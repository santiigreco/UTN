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70" windowWidth="9015" windowHeight="8130" activeTab="1"/>
  </bookViews>
  <sheets>
    <sheet name="Mesa Final - Economía General -" sheetId="1" r:id="rId1"/>
    <sheet name="Hoja1" sheetId="3" r:id="rId2"/>
  </sheets>
  <calcPr calcId="145621"/>
</workbook>
</file>

<file path=xl/calcChain.xml><?xml version="1.0" encoding="utf-8"?>
<calcChain xmlns="http://schemas.openxmlformats.org/spreadsheetml/2006/main">
  <c r="S9" i="1" l="1"/>
  <c r="R9" i="1"/>
  <c r="Q9" i="1"/>
  <c r="P9" i="1"/>
  <c r="O9" i="1"/>
  <c r="N9" i="1"/>
  <c r="M9" i="1"/>
  <c r="L9" i="1"/>
  <c r="K9" i="1"/>
  <c r="J9" i="1"/>
  <c r="I8" i="1"/>
  <c r="I7" i="1"/>
  <c r="I6" i="1"/>
  <c r="I5" i="1"/>
  <c r="I4" i="1"/>
  <c r="I3" i="1"/>
  <c r="I2" i="1"/>
  <c r="I9" i="1" s="1"/>
  <c r="A2" i="1"/>
  <c r="A3" i="1" s="1"/>
  <c r="A4" i="1" s="1"/>
  <c r="A5" i="1" s="1"/>
  <c r="A6" i="1" s="1"/>
  <c r="A7" i="1" s="1"/>
  <c r="A8" i="1" s="1"/>
  <c r="Q10" i="1" l="1"/>
  <c r="Q11" i="1" s="1"/>
  <c r="M10" i="1"/>
  <c r="M11" i="1" s="1"/>
  <c r="P10" i="1"/>
  <c r="P11" i="1" s="1"/>
  <c r="S10" i="1"/>
  <c r="S11" i="1" s="1"/>
  <c r="O10" i="1"/>
  <c r="O11" i="1" s="1"/>
  <c r="K10" i="1"/>
  <c r="K11" i="1" s="1"/>
  <c r="L10" i="1"/>
  <c r="L11" i="1" s="1"/>
  <c r="J10" i="1"/>
  <c r="J11" i="1" s="1"/>
  <c r="N10" i="1"/>
  <c r="N11" i="1" s="1"/>
  <c r="R10" i="1"/>
  <c r="R11" i="1" s="1"/>
  <c r="I10" i="1"/>
  <c r="I11" i="1" s="1"/>
</calcChain>
</file>

<file path=xl/sharedStrings.xml><?xml version="1.0" encoding="utf-8"?>
<sst xmlns="http://schemas.openxmlformats.org/spreadsheetml/2006/main" count="139" uniqueCount="118">
  <si>
    <t>Apellido(s)</t>
  </si>
  <si>
    <t>Nombre</t>
  </si>
  <si>
    <t>Dirección de correo</t>
  </si>
  <si>
    <t>Estado</t>
  </si>
  <si>
    <t>Comenzado el</t>
  </si>
  <si>
    <t>Finalizado</t>
  </si>
  <si>
    <t>Tiempo requerido</t>
  </si>
  <si>
    <t>Calificación/20,00</t>
  </si>
  <si>
    <t>P. 1 /2,00</t>
  </si>
  <si>
    <t>P. 2 /2,00</t>
  </si>
  <si>
    <t>P. 3 /2,00</t>
  </si>
  <si>
    <t>P. 4 /2,00</t>
  </si>
  <si>
    <t>P. 5 /2,00</t>
  </si>
  <si>
    <t>P. 6 /2,00</t>
  </si>
  <si>
    <t>P. 7 /2,00</t>
  </si>
  <si>
    <t>P. 8 /2,00</t>
  </si>
  <si>
    <t>P. 9 /2,00</t>
  </si>
  <si>
    <t>P. 10 /2,00</t>
  </si>
  <si>
    <t>Hernandez Monet</t>
  </si>
  <si>
    <t>Francisco</t>
  </si>
  <si>
    <t>fhernandezmonet@frba.utn.edu.ar</t>
  </si>
  <si>
    <t>23 de September de 2021  19:56</t>
  </si>
  <si>
    <t>23 de September de 2021  20:11</t>
  </si>
  <si>
    <t>14 minutos 17 segundos</t>
  </si>
  <si>
    <t>Lisacchi</t>
  </si>
  <si>
    <t>Luciano Nicolas</t>
  </si>
  <si>
    <t>llisacchi@frba.utn.edu.ar</t>
  </si>
  <si>
    <t>23 de September de 2021  20:13</t>
  </si>
  <si>
    <t>16 minutos 57 segundos</t>
  </si>
  <si>
    <t>Mazzea</t>
  </si>
  <si>
    <t>Victoria</t>
  </si>
  <si>
    <t>vmazzea@frba.utn.edu.ar</t>
  </si>
  <si>
    <t>23 de September de 2021  20:15</t>
  </si>
  <si>
    <t>18 minutos 49 segundos</t>
  </si>
  <si>
    <t>Perez</t>
  </si>
  <si>
    <t>Facundo Gonzalo</t>
  </si>
  <si>
    <t>faperez@frba.utn.edu.ar</t>
  </si>
  <si>
    <t>23 de September de 2021  20:07</t>
  </si>
  <si>
    <t>10 minutos 41 segundos</t>
  </si>
  <si>
    <t>Serra</t>
  </si>
  <si>
    <t>Angeles Constanza</t>
  </si>
  <si>
    <t>aserra@frba.utn.edu.ar</t>
  </si>
  <si>
    <t>23 de September de 2021  19:57</t>
  </si>
  <si>
    <t>23 de September de 2021  20:24</t>
  </si>
  <si>
    <t>26 minutos 48 segundos</t>
  </si>
  <si>
    <t>Strangis</t>
  </si>
  <si>
    <t>Santos Exequiel</t>
  </si>
  <si>
    <t>santosstrangis@frba.utn.edu.ar</t>
  </si>
  <si>
    <t>23 de September de 2021  20:09</t>
  </si>
  <si>
    <t>12 minutos 40 segundos</t>
  </si>
  <si>
    <t>Tucto Oncoy</t>
  </si>
  <si>
    <t>Jose Manuel</t>
  </si>
  <si>
    <t>josetuctooncoy@frba.utn.edu.ar</t>
  </si>
  <si>
    <t>23 de September de 2021  20:17</t>
  </si>
  <si>
    <t>20 minutos 8 segundos</t>
  </si>
  <si>
    <t>SUMA</t>
  </si>
  <si>
    <t>Promedio general</t>
  </si>
  <si>
    <t>PREGUNTA N°01</t>
  </si>
  <si>
    <t>La frontera de posibilidades de producción tiene pendiente decreciente con el aumento de la cantidad producida de uno de los bienes, porque:</t>
  </si>
  <si>
    <t>Seleccione una:</t>
  </si>
  <si>
    <t>a. Porque se ha perdido la preferencia por alguno de los bienes</t>
  </si>
  <si>
    <t>b. Los recursos son escasos</t>
  </si>
  <si>
    <t>c. Las productividades marginales son decrecientes</t>
  </si>
  <si>
    <t>d. Cuando producimos más de un bien, nunca tenemos que renunciar a otro</t>
  </si>
  <si>
    <t>PREGUNTA N°02</t>
  </si>
  <si>
    <t>Cuál de las siguientes situaciones provocaría una reducción de la curva de la F.P.P. ?</t>
  </si>
  <si>
    <t>a. La disminución de la disponibilidad de los recursos productivos.</t>
  </si>
  <si>
    <t>b. El aumento de la disponibilidad los recursos productivos.</t>
  </si>
  <si>
    <t>c. Conflictos sociales producto de las disputas por la distribución de las rentas entre factores productivos.</t>
  </si>
  <si>
    <t>d. El país utiliza recursos que permanecen ociosos.</t>
  </si>
  <si>
    <t>PREGUNTA N°03</t>
  </si>
  <si>
    <t>Considere la siguiente ecuación de la Frontera de Posibilidades Producción (FPP): Y = 98 − 2 * X ^2</t>
  </si>
  <si>
    <t>a. El punto (X;Y)= (3;80) es una combinación posible y eficiente</t>
  </si>
  <si>
    <t>b. El punto (X;Y)= (2;88) es una combinación imposible</t>
  </si>
  <si>
    <t>c. El punto (X;Y)= (4;67) es una combinación posible y ineficiente</t>
  </si>
  <si>
    <t>d. El punto (X;Y)= (5;40) es una combinación posible, pero su costo de oportunidad es demasiado alto</t>
  </si>
  <si>
    <t>PREGUNTA N°04</t>
  </si>
  <si>
    <t>Si la elasticidad de la demanda con respecto al precio es 2, al aumentar el precio del bien un 2%, los ingresos de los productores:</t>
  </si>
  <si>
    <t>a. Disminuirán</t>
  </si>
  <si>
    <t>b. Permanecerán constantes</t>
  </si>
  <si>
    <t>c. Aumentarán</t>
  </si>
  <si>
    <t>d. Alcanzarán el máximo posible</t>
  </si>
  <si>
    <t>PREGUNTA N°05</t>
  </si>
  <si>
    <t>Los productos turísticos, como la compra de un pasaje de avión, se consideran bienes normales, por lo que:</t>
  </si>
  <si>
    <t>a. A mayor renta, menor cantidad demandada de pasajes de avión.</t>
  </si>
  <si>
    <t>b. A mayor renta, mayor cantidad demandada de pasajes de avión.</t>
  </si>
  <si>
    <t>c. la elasticidad ingreso o renta de la demanda sera &lt; 0 (cero)</t>
  </si>
  <si>
    <t>d. La elasticidad precio de la demanda sera &lt; 0 (cero)</t>
  </si>
  <si>
    <t>PREGUNTA N°06</t>
  </si>
  <si>
    <t>En una empresa, el ingreso marginal de la próxima unidad producida es 12$. El costo marginal de la próxima unidad es 10$ y resulta igual que el costo variable medio. Para aumentar beneficios, la empresa debería:</t>
  </si>
  <si>
    <t>a. Dejar de producir</t>
  </si>
  <si>
    <t>b. Aumentar la producción y vender mas.</t>
  </si>
  <si>
    <t>c. Reducir la producción y vender menos.</t>
  </si>
  <si>
    <t>d. Seguir produciendo lo mismo</t>
  </si>
  <si>
    <t>PREGUNTA N°07</t>
  </si>
  <si>
    <t>En un mercado intervenido en el que la función de demanda es Qx = 40 ­- Px, y la oferta es Qx = Px/2 + 10, el gobierno fija un precio P = 30 $/u. La cantidad intercambiada será:</t>
  </si>
  <si>
    <t>a. 20 u. ya que representa el equilibrio.</t>
  </si>
  <si>
    <t>b. 10 u. ya que se trata de una política de precios mínimos.</t>
  </si>
  <si>
    <t>c. 5 u. ya que se trata de una política de precios máximos.</t>
  </si>
  <si>
    <t>d. 25 u. que es lo demandado por los consumidores</t>
  </si>
  <si>
    <t>PREGUNTA N°08</t>
  </si>
  <si>
    <t>El gobierno aplica un impuesto que pagan los vendedores con una oferta rígida(Epo = 0), entonces:</t>
  </si>
  <si>
    <t>a. El 100% del impuesto es afrontado por los compradores</t>
  </si>
  <si>
    <t>b. El 100% del impuesto es afrontado por los vendedores</t>
  </si>
  <si>
    <t>c. El impuesto es afrontado por partes iguales entre vendedores y compradores</t>
  </si>
  <si>
    <t>d. El impuesto es afrontado por partes iguales entre el gobierno y los compradores</t>
  </si>
  <si>
    <t>PREGUNTA N°09</t>
  </si>
  <si>
    <t>La empresa competitiva en el mercado de competencia perfecta se enfrenta a una curva de demanda dirigida:</t>
  </si>
  <si>
    <t>a. Elástica</t>
  </si>
  <si>
    <t>b. Rígida</t>
  </si>
  <si>
    <t>c. Perfectamente elástica</t>
  </si>
  <si>
    <t>d. Inelástica</t>
  </si>
  <si>
    <t>PREGUNTA N°10</t>
  </si>
  <si>
    <t>El monopolísta maximiza sus beneficios en el corto plazo produciendo la cantidad en donde:</t>
  </si>
  <si>
    <t>a. El precio de mercado iguala al costo marginal</t>
  </si>
  <si>
    <t>b. El ingreso marginal iguala al costo marginal</t>
  </si>
  <si>
    <t>c. El precio de mercado iguala al costo medio</t>
  </si>
  <si>
    <t>d. El precio donde se igualan ingreso medio e ingreso marginal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</si>
</sst>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sz val="11"/>
      <color rgb="FF2F6473"/>
      <name val="Calibri"/>
    </font>
    <font>
      <sz val="12"/>
      <color rgb="FF2F6473"/>
      <name val="Calibri"/>
    </font>
    <font>
      <sz val="12"/>
      <color rgb="FF2F647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2" fontId="1" fillId="0" borderId="1" xfId="0" applyNumberFormat="1" applyFont="1" applyBorder="1"/>
    <xf numFmtId="10" fontId="1" fillId="2" borderId="1" xfId="0" applyNumberFormat="1" applyFont="1" applyFill="1" applyBorder="1"/>
    <xf numFmtId="10" fontId="1" fillId="3" borderId="1" xfId="0" applyNumberFormat="1" applyFont="1" applyFill="1" applyBorder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2" xfId="0" applyFont="1" applyFill="1" applyBorder="1" applyAlignment="1">
      <alignment horizontal="center" wrapText="1"/>
    </xf>
    <xf numFmtId="0" fontId="2" fillId="0" borderId="8" xfId="0" applyFont="1" applyFill="1" applyBorder="1"/>
    <xf numFmtId="0" fontId="2" fillId="0" borderId="3" xfId="0" applyFont="1" applyFill="1" applyBorder="1"/>
    <xf numFmtId="0" fontId="0" fillId="0" borderId="0" xfId="0" applyFont="1" applyFill="1" applyAlignment="1"/>
    <xf numFmtId="0" fontId="3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" fillId="0" borderId="0" xfId="0" applyFont="1" applyFill="1" applyAlignment="1"/>
    <xf numFmtId="0" fontId="1" fillId="0" borderId="0" xfId="0" applyFont="1" applyFill="1"/>
    <xf numFmtId="0" fontId="4" fillId="4" borderId="2" xfId="0" applyFont="1" applyFill="1" applyBorder="1" applyAlignment="1">
      <alignment horizontal="left" wrapText="1"/>
    </xf>
    <xf numFmtId="0" fontId="2" fillId="4" borderId="8" xfId="0" applyFont="1" applyFill="1" applyBorder="1"/>
    <xf numFmtId="0" fontId="2" fillId="4" borderId="3" xfId="0" applyFont="1" applyFill="1" applyBorder="1"/>
    <xf numFmtId="0" fontId="1" fillId="5" borderId="2" xfId="0" applyFont="1" applyFill="1" applyBorder="1" applyAlignment="1">
      <alignment horizontal="center" wrapText="1"/>
    </xf>
    <xf numFmtId="0" fontId="2" fillId="5" borderId="8" xfId="0" applyFont="1" applyFill="1" applyBorder="1"/>
    <xf numFmtId="0" fontId="2" fillId="5" borderId="3" xfId="0" applyFont="1" applyFill="1" applyBorder="1"/>
    <xf numFmtId="0" fontId="3" fillId="5" borderId="2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/>
  </sheetViews>
  <sheetFormatPr baseColWidth="10" defaultColWidth="11.25" defaultRowHeight="15" customHeight="1" x14ac:dyDescent="0.25"/>
  <cols>
    <col min="2" max="2" width="16.125" customWidth="1"/>
    <col min="3" max="3" width="18.125" customWidth="1"/>
    <col min="4" max="4" width="11.5" hidden="1" customWidth="1"/>
    <col min="5" max="8" width="11.25" hidden="1"/>
  </cols>
  <sheetData>
    <row r="1" spans="1:19" ht="15.75" x14ac:dyDescent="0.25">
      <c r="A1" s="1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t="15.75" x14ac:dyDescent="0.25">
      <c r="A2" s="2">
        <f t="shared" ref="A2:A8" si="0">A1+1</f>
        <v>1</v>
      </c>
      <c r="B2" s="2" t="s">
        <v>18</v>
      </c>
      <c r="C2" s="2" t="s">
        <v>19</v>
      </c>
      <c r="D2" s="2" t="s">
        <v>20</v>
      </c>
      <c r="E2" s="2" t="s">
        <v>5</v>
      </c>
      <c r="F2" s="2" t="s">
        <v>21</v>
      </c>
      <c r="G2" s="2" t="s">
        <v>22</v>
      </c>
      <c r="H2" s="2" t="s">
        <v>23</v>
      </c>
      <c r="I2" s="2">
        <f t="shared" ref="I2:I8" si="1">SUM(J2:S2)</f>
        <v>10</v>
      </c>
      <c r="J2" s="1">
        <v>0</v>
      </c>
      <c r="K2" s="1">
        <v>2</v>
      </c>
      <c r="L2" s="1">
        <v>2</v>
      </c>
      <c r="M2" s="1">
        <v>2</v>
      </c>
      <c r="N2" s="1">
        <v>2</v>
      </c>
      <c r="O2" s="1">
        <v>0</v>
      </c>
      <c r="P2" s="1">
        <v>0</v>
      </c>
      <c r="Q2" s="1">
        <v>0</v>
      </c>
      <c r="R2" s="1">
        <v>2</v>
      </c>
      <c r="S2" s="1">
        <v>0</v>
      </c>
    </row>
    <row r="3" spans="1:19" ht="15.75" x14ac:dyDescent="0.25">
      <c r="A3" s="2">
        <f t="shared" si="0"/>
        <v>2</v>
      </c>
      <c r="B3" s="2" t="s">
        <v>24</v>
      </c>
      <c r="C3" s="2" t="s">
        <v>25</v>
      </c>
      <c r="D3" s="2" t="s">
        <v>26</v>
      </c>
      <c r="E3" s="2" t="s">
        <v>5</v>
      </c>
      <c r="F3" s="2" t="s">
        <v>21</v>
      </c>
      <c r="G3" s="2" t="s">
        <v>27</v>
      </c>
      <c r="H3" s="2" t="s">
        <v>28</v>
      </c>
      <c r="I3" s="2">
        <f t="shared" si="1"/>
        <v>8</v>
      </c>
      <c r="J3" s="1">
        <v>0</v>
      </c>
      <c r="K3" s="1">
        <v>2</v>
      </c>
      <c r="L3" s="1">
        <v>0</v>
      </c>
      <c r="M3" s="1">
        <v>0</v>
      </c>
      <c r="N3" s="1">
        <v>2</v>
      </c>
      <c r="O3" s="1">
        <v>2</v>
      </c>
      <c r="P3" s="1">
        <v>2</v>
      </c>
      <c r="Q3" s="1">
        <v>0</v>
      </c>
      <c r="R3" s="1">
        <v>0</v>
      </c>
      <c r="S3" s="1">
        <v>0</v>
      </c>
    </row>
    <row r="4" spans="1:19" ht="15.75" x14ac:dyDescent="0.25">
      <c r="A4" s="2">
        <f t="shared" si="0"/>
        <v>3</v>
      </c>
      <c r="B4" s="2" t="s">
        <v>29</v>
      </c>
      <c r="C4" s="2" t="s">
        <v>30</v>
      </c>
      <c r="D4" s="2" t="s">
        <v>31</v>
      </c>
      <c r="E4" s="2" t="s">
        <v>5</v>
      </c>
      <c r="F4" s="2" t="s">
        <v>21</v>
      </c>
      <c r="G4" s="2" t="s">
        <v>32</v>
      </c>
      <c r="H4" s="2" t="s">
        <v>33</v>
      </c>
      <c r="I4" s="2">
        <f t="shared" si="1"/>
        <v>12</v>
      </c>
      <c r="J4" s="1">
        <v>0</v>
      </c>
      <c r="K4" s="1">
        <v>2</v>
      </c>
      <c r="L4" s="1">
        <v>0</v>
      </c>
      <c r="M4" s="1">
        <v>2</v>
      </c>
      <c r="N4" s="1">
        <v>2</v>
      </c>
      <c r="O4" s="1">
        <v>0</v>
      </c>
      <c r="P4" s="1">
        <v>2</v>
      </c>
      <c r="Q4" s="1">
        <v>0</v>
      </c>
      <c r="R4" s="1">
        <v>2</v>
      </c>
      <c r="S4" s="1">
        <v>2</v>
      </c>
    </row>
    <row r="5" spans="1:19" ht="15.75" x14ac:dyDescent="0.25">
      <c r="A5" s="2">
        <f t="shared" si="0"/>
        <v>4</v>
      </c>
      <c r="B5" s="2" t="s">
        <v>34</v>
      </c>
      <c r="C5" s="2" t="s">
        <v>35</v>
      </c>
      <c r="D5" s="2" t="s">
        <v>36</v>
      </c>
      <c r="E5" s="2" t="s">
        <v>5</v>
      </c>
      <c r="F5" s="2" t="s">
        <v>21</v>
      </c>
      <c r="G5" s="2" t="s">
        <v>37</v>
      </c>
      <c r="H5" s="2" t="s">
        <v>38</v>
      </c>
      <c r="I5" s="2">
        <f t="shared" si="1"/>
        <v>20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1">
        <v>2</v>
      </c>
    </row>
    <row r="6" spans="1:19" ht="15.75" x14ac:dyDescent="0.25">
      <c r="A6" s="2">
        <f t="shared" si="0"/>
        <v>5</v>
      </c>
      <c r="B6" s="2" t="s">
        <v>39</v>
      </c>
      <c r="C6" s="2" t="s">
        <v>40</v>
      </c>
      <c r="D6" s="2" t="s">
        <v>41</v>
      </c>
      <c r="E6" s="2" t="s">
        <v>5</v>
      </c>
      <c r="F6" s="2" t="s">
        <v>42</v>
      </c>
      <c r="G6" s="2" t="s">
        <v>43</v>
      </c>
      <c r="H6" s="2" t="s">
        <v>44</v>
      </c>
      <c r="I6" s="2">
        <f t="shared" si="1"/>
        <v>10</v>
      </c>
      <c r="J6" s="1">
        <v>0</v>
      </c>
      <c r="K6" s="1">
        <v>2</v>
      </c>
      <c r="L6" s="1">
        <v>2</v>
      </c>
      <c r="M6" s="1">
        <v>0</v>
      </c>
      <c r="N6" s="1">
        <v>2</v>
      </c>
      <c r="O6" s="1">
        <v>2</v>
      </c>
      <c r="P6" s="1">
        <v>0</v>
      </c>
      <c r="Q6" s="1">
        <v>0</v>
      </c>
      <c r="R6" s="1">
        <v>0</v>
      </c>
      <c r="S6" s="1">
        <v>2</v>
      </c>
    </row>
    <row r="7" spans="1:19" ht="15.75" x14ac:dyDescent="0.25">
      <c r="A7" s="2">
        <f t="shared" si="0"/>
        <v>6</v>
      </c>
      <c r="B7" s="2" t="s">
        <v>45</v>
      </c>
      <c r="C7" s="2" t="s">
        <v>46</v>
      </c>
      <c r="D7" s="2" t="s">
        <v>47</v>
      </c>
      <c r="E7" s="2" t="s">
        <v>5</v>
      </c>
      <c r="F7" s="2" t="s">
        <v>42</v>
      </c>
      <c r="G7" s="2" t="s">
        <v>48</v>
      </c>
      <c r="H7" s="2" t="s">
        <v>49</v>
      </c>
      <c r="I7" s="2">
        <f t="shared" si="1"/>
        <v>16</v>
      </c>
      <c r="J7" s="1">
        <v>2</v>
      </c>
      <c r="K7" s="1">
        <v>2</v>
      </c>
      <c r="L7" s="1">
        <v>2</v>
      </c>
      <c r="M7" s="1">
        <v>0</v>
      </c>
      <c r="N7" s="1">
        <v>2</v>
      </c>
      <c r="O7" s="1">
        <v>2</v>
      </c>
      <c r="P7" s="1">
        <v>2</v>
      </c>
      <c r="Q7" s="1">
        <v>0</v>
      </c>
      <c r="R7" s="1">
        <v>2</v>
      </c>
      <c r="S7" s="1">
        <v>2</v>
      </c>
    </row>
    <row r="8" spans="1:19" ht="15.75" x14ac:dyDescent="0.25">
      <c r="A8" s="2">
        <f t="shared" si="0"/>
        <v>7</v>
      </c>
      <c r="B8" s="2" t="s">
        <v>50</v>
      </c>
      <c r="C8" s="2" t="s">
        <v>51</v>
      </c>
      <c r="D8" s="2" t="s">
        <v>52</v>
      </c>
      <c r="E8" s="2" t="s">
        <v>5</v>
      </c>
      <c r="F8" s="2" t="s">
        <v>21</v>
      </c>
      <c r="G8" s="2" t="s">
        <v>53</v>
      </c>
      <c r="H8" s="2" t="s">
        <v>54</v>
      </c>
      <c r="I8" s="2">
        <f t="shared" si="1"/>
        <v>12</v>
      </c>
      <c r="J8" s="1">
        <v>2</v>
      </c>
      <c r="K8" s="1">
        <v>0</v>
      </c>
      <c r="L8" s="1">
        <v>2</v>
      </c>
      <c r="M8" s="1">
        <v>0</v>
      </c>
      <c r="N8" s="1">
        <v>2</v>
      </c>
      <c r="O8" s="1">
        <v>0</v>
      </c>
      <c r="P8" s="1">
        <v>2</v>
      </c>
      <c r="Q8" s="1">
        <v>0</v>
      </c>
      <c r="R8" s="1">
        <v>2</v>
      </c>
      <c r="S8" s="1">
        <v>2</v>
      </c>
    </row>
    <row r="9" spans="1:19" ht="15.75" x14ac:dyDescent="0.25">
      <c r="A9" s="2"/>
      <c r="B9" s="6" t="s">
        <v>55</v>
      </c>
      <c r="C9" s="7"/>
      <c r="D9" s="2"/>
      <c r="E9" s="2"/>
      <c r="F9" s="2"/>
      <c r="G9" s="2"/>
      <c r="H9" s="2"/>
      <c r="I9" s="2">
        <f t="shared" ref="I9:S9" si="2">SUM(I2:I8)</f>
        <v>88</v>
      </c>
      <c r="J9" s="2">
        <f t="shared" si="2"/>
        <v>6</v>
      </c>
      <c r="K9" s="2">
        <f t="shared" si="2"/>
        <v>12</v>
      </c>
      <c r="L9" s="2">
        <f t="shared" si="2"/>
        <v>10</v>
      </c>
      <c r="M9" s="2">
        <f t="shared" si="2"/>
        <v>6</v>
      </c>
      <c r="N9" s="2">
        <f t="shared" si="2"/>
        <v>14</v>
      </c>
      <c r="O9" s="2">
        <f t="shared" si="2"/>
        <v>8</v>
      </c>
      <c r="P9" s="2">
        <f t="shared" si="2"/>
        <v>10</v>
      </c>
      <c r="Q9" s="2">
        <f t="shared" si="2"/>
        <v>2</v>
      </c>
      <c r="R9" s="2">
        <f t="shared" si="2"/>
        <v>10</v>
      </c>
      <c r="S9" s="2">
        <f t="shared" si="2"/>
        <v>10</v>
      </c>
    </row>
    <row r="10" spans="1:19" ht="15.75" x14ac:dyDescent="0.25">
      <c r="A10" s="2"/>
      <c r="B10" s="8" t="s">
        <v>56</v>
      </c>
      <c r="C10" s="9"/>
      <c r="D10" s="2"/>
      <c r="E10" s="2"/>
      <c r="F10" s="2"/>
      <c r="G10" s="2"/>
      <c r="H10" s="2"/>
      <c r="I10" s="3">
        <f t="shared" ref="I10:S10" si="3">I9/$A$8</f>
        <v>12.571428571428571</v>
      </c>
      <c r="J10" s="3">
        <f t="shared" si="3"/>
        <v>0.8571428571428571</v>
      </c>
      <c r="K10" s="3">
        <f t="shared" si="3"/>
        <v>1.7142857142857142</v>
      </c>
      <c r="L10" s="3">
        <f t="shared" si="3"/>
        <v>1.4285714285714286</v>
      </c>
      <c r="M10" s="3">
        <f t="shared" si="3"/>
        <v>0.8571428571428571</v>
      </c>
      <c r="N10" s="3">
        <f t="shared" si="3"/>
        <v>2</v>
      </c>
      <c r="O10" s="3">
        <f t="shared" si="3"/>
        <v>1.1428571428571428</v>
      </c>
      <c r="P10" s="3">
        <f t="shared" si="3"/>
        <v>1.4285714285714286</v>
      </c>
      <c r="Q10" s="3">
        <f t="shared" si="3"/>
        <v>0.2857142857142857</v>
      </c>
      <c r="R10" s="3">
        <f t="shared" si="3"/>
        <v>1.4285714285714286</v>
      </c>
      <c r="S10" s="3">
        <f t="shared" si="3"/>
        <v>1.4285714285714286</v>
      </c>
    </row>
    <row r="11" spans="1:19" ht="15.75" x14ac:dyDescent="0.25">
      <c r="A11" s="2"/>
      <c r="B11" s="10"/>
      <c r="C11" s="11"/>
      <c r="D11" s="2"/>
      <c r="E11" s="2"/>
      <c r="F11" s="2"/>
      <c r="G11" s="2"/>
      <c r="H11" s="2"/>
      <c r="I11" s="4">
        <f>I10/20</f>
        <v>0.62857142857142856</v>
      </c>
      <c r="J11" s="4">
        <f t="shared" ref="J11:S11" si="4">J10/2</f>
        <v>0.42857142857142855</v>
      </c>
      <c r="K11" s="5">
        <f t="shared" si="4"/>
        <v>0.8571428571428571</v>
      </c>
      <c r="L11" s="5">
        <f t="shared" si="4"/>
        <v>0.7142857142857143</v>
      </c>
      <c r="M11" s="4">
        <f t="shared" si="4"/>
        <v>0.42857142857142855</v>
      </c>
      <c r="N11" s="5">
        <f t="shared" si="4"/>
        <v>1</v>
      </c>
      <c r="O11" s="4">
        <f t="shared" si="4"/>
        <v>0.5714285714285714</v>
      </c>
      <c r="P11" s="5">
        <f t="shared" si="4"/>
        <v>0.7142857142857143</v>
      </c>
      <c r="Q11" s="4">
        <f t="shared" si="4"/>
        <v>0.14285714285714285</v>
      </c>
      <c r="R11" s="5">
        <f t="shared" si="4"/>
        <v>0.7142857142857143</v>
      </c>
      <c r="S11" s="5">
        <f t="shared" si="4"/>
        <v>0.7142857142857143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9:C9"/>
    <mergeCell ref="B10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selection activeCell="E76" sqref="E76"/>
    </sheetView>
  </sheetViews>
  <sheetFormatPr baseColWidth="10" defaultColWidth="11.25" defaultRowHeight="15.75" x14ac:dyDescent="0.25"/>
  <cols>
    <col min="1" max="9" width="11.25" style="15"/>
    <col min="10" max="10" width="41.25" style="15" customWidth="1"/>
    <col min="11" max="16384" width="11.25" style="15"/>
  </cols>
  <sheetData>
    <row r="1" spans="1:10" x14ac:dyDescent="0.25">
      <c r="A1" s="12" t="s">
        <v>57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x14ac:dyDescent="0.25">
      <c r="A2" s="16" t="s">
        <v>58</v>
      </c>
      <c r="B2" s="13"/>
      <c r="C2" s="13"/>
      <c r="D2" s="13"/>
      <c r="E2" s="13"/>
      <c r="F2" s="13"/>
      <c r="G2" s="13"/>
      <c r="H2" s="13"/>
      <c r="I2" s="13"/>
      <c r="J2" s="14"/>
    </row>
    <row r="3" spans="1:10" x14ac:dyDescent="0.25">
      <c r="A3" s="16" t="s">
        <v>59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x14ac:dyDescent="0.25">
      <c r="A4" s="17" t="s">
        <v>60</v>
      </c>
      <c r="B4" s="13"/>
      <c r="C4" s="13"/>
      <c r="D4" s="13"/>
      <c r="E4" s="13"/>
      <c r="F4" s="13"/>
      <c r="G4" s="13"/>
      <c r="H4" s="13"/>
      <c r="I4" s="13"/>
      <c r="J4" s="14"/>
    </row>
    <row r="5" spans="1:10" x14ac:dyDescent="0.25">
      <c r="A5" s="17" t="s">
        <v>61</v>
      </c>
      <c r="B5" s="13"/>
      <c r="C5" s="13"/>
      <c r="D5" s="13"/>
      <c r="E5" s="13"/>
      <c r="F5" s="13"/>
      <c r="G5" s="13"/>
      <c r="H5" s="13"/>
      <c r="I5" s="13"/>
      <c r="J5" s="14"/>
    </row>
    <row r="6" spans="1:10" x14ac:dyDescent="0.25">
      <c r="A6" s="21" t="s">
        <v>62</v>
      </c>
      <c r="B6" s="22"/>
      <c r="C6" s="22"/>
      <c r="D6" s="22"/>
      <c r="E6" s="22"/>
      <c r="F6" s="22"/>
      <c r="G6" s="22"/>
      <c r="H6" s="22"/>
      <c r="I6" s="22"/>
      <c r="J6" s="23"/>
    </row>
    <row r="7" spans="1:10" x14ac:dyDescent="0.25">
      <c r="A7" s="17" t="s">
        <v>63</v>
      </c>
      <c r="B7" s="13"/>
      <c r="C7" s="13"/>
      <c r="D7" s="13"/>
      <c r="E7" s="13"/>
      <c r="F7" s="13"/>
      <c r="G7" s="13"/>
      <c r="H7" s="13"/>
      <c r="I7" s="13"/>
      <c r="J7" s="14"/>
    </row>
    <row r="8" spans="1:10" x14ac:dyDescent="0.25">
      <c r="A8" s="12" t="s">
        <v>64</v>
      </c>
      <c r="B8" s="13"/>
      <c r="C8" s="13"/>
      <c r="D8" s="13"/>
      <c r="E8" s="13"/>
      <c r="F8" s="13"/>
      <c r="G8" s="13"/>
      <c r="H8" s="13"/>
      <c r="I8" s="13"/>
      <c r="J8" s="14"/>
    </row>
    <row r="9" spans="1:10" x14ac:dyDescent="0.25">
      <c r="A9" s="16" t="s">
        <v>65</v>
      </c>
      <c r="B9" s="13"/>
      <c r="C9" s="13"/>
      <c r="D9" s="13"/>
      <c r="E9" s="13"/>
      <c r="F9" s="13"/>
      <c r="G9" s="13"/>
      <c r="H9" s="13"/>
      <c r="I9" s="13"/>
      <c r="J9" s="14"/>
    </row>
    <row r="10" spans="1:10" x14ac:dyDescent="0.25">
      <c r="A10" s="16" t="s">
        <v>59</v>
      </c>
      <c r="B10" s="13"/>
      <c r="C10" s="13"/>
      <c r="D10" s="13"/>
      <c r="E10" s="13"/>
      <c r="F10" s="13"/>
      <c r="G10" s="13"/>
      <c r="H10" s="13"/>
      <c r="I10" s="13"/>
      <c r="J10" s="14"/>
    </row>
    <row r="11" spans="1:10" x14ac:dyDescent="0.25">
      <c r="A11" s="21" t="s">
        <v>66</v>
      </c>
      <c r="B11" s="22"/>
      <c r="C11" s="22"/>
      <c r="D11" s="22"/>
      <c r="E11" s="22"/>
      <c r="F11" s="22"/>
      <c r="G11" s="22"/>
      <c r="H11" s="22"/>
      <c r="I11" s="22"/>
      <c r="J11" s="23"/>
    </row>
    <row r="12" spans="1:10" x14ac:dyDescent="0.25">
      <c r="A12" s="17" t="s">
        <v>67</v>
      </c>
      <c r="B12" s="13"/>
      <c r="C12" s="13"/>
      <c r="D12" s="13"/>
      <c r="E12" s="13"/>
      <c r="F12" s="13"/>
      <c r="G12" s="13"/>
      <c r="H12" s="13"/>
      <c r="I12" s="13"/>
      <c r="J12" s="14"/>
    </row>
    <row r="13" spans="1:10" x14ac:dyDescent="0.25">
      <c r="A13" s="17" t="s">
        <v>68</v>
      </c>
      <c r="B13" s="13"/>
      <c r="C13" s="13"/>
      <c r="D13" s="13"/>
      <c r="E13" s="13"/>
      <c r="F13" s="13"/>
      <c r="G13" s="13"/>
      <c r="H13" s="13"/>
      <c r="I13" s="13"/>
      <c r="J13" s="14"/>
    </row>
    <row r="14" spans="1:10" x14ac:dyDescent="0.25">
      <c r="A14" s="17" t="s">
        <v>69</v>
      </c>
      <c r="B14" s="13"/>
      <c r="C14" s="13"/>
      <c r="D14" s="13"/>
      <c r="E14" s="13"/>
      <c r="F14" s="13"/>
      <c r="G14" s="13"/>
      <c r="H14" s="13"/>
      <c r="I14" s="13"/>
      <c r="J14" s="14"/>
    </row>
    <row r="15" spans="1:10" x14ac:dyDescent="0.25">
      <c r="A15" s="12" t="s">
        <v>70</v>
      </c>
      <c r="B15" s="13"/>
      <c r="C15" s="13"/>
      <c r="D15" s="13"/>
      <c r="E15" s="13"/>
      <c r="F15" s="13"/>
      <c r="G15" s="13"/>
      <c r="H15" s="13"/>
      <c r="I15" s="13"/>
      <c r="J15" s="14"/>
    </row>
    <row r="16" spans="1:10" x14ac:dyDescent="0.25">
      <c r="A16" s="18" t="s">
        <v>71</v>
      </c>
      <c r="B16" s="13"/>
      <c r="C16" s="13"/>
      <c r="D16" s="13"/>
      <c r="E16" s="13"/>
      <c r="F16" s="13"/>
      <c r="G16" s="13"/>
      <c r="H16" s="13"/>
      <c r="I16" s="13"/>
      <c r="J16" s="14"/>
    </row>
    <row r="17" spans="1:11" x14ac:dyDescent="0.25">
      <c r="A17" s="16" t="s">
        <v>59</v>
      </c>
      <c r="B17" s="13"/>
      <c r="C17" s="13"/>
      <c r="D17" s="13"/>
      <c r="E17" s="13"/>
      <c r="F17" s="13"/>
      <c r="G17" s="13"/>
      <c r="H17" s="13"/>
      <c r="I17" s="13"/>
      <c r="J17" s="14"/>
      <c r="K17" s="19"/>
    </row>
    <row r="18" spans="1:11" x14ac:dyDescent="0.25">
      <c r="A18" s="21" t="s">
        <v>72</v>
      </c>
      <c r="B18" s="22"/>
      <c r="C18" s="22"/>
      <c r="D18" s="22"/>
      <c r="E18" s="22"/>
      <c r="F18" s="22"/>
      <c r="G18" s="22"/>
      <c r="H18" s="22"/>
      <c r="I18" s="22"/>
      <c r="J18" s="23"/>
      <c r="K18" s="20"/>
    </row>
    <row r="19" spans="1:11" x14ac:dyDescent="0.25">
      <c r="A19" s="17" t="s">
        <v>73</v>
      </c>
      <c r="B19" s="13"/>
      <c r="C19" s="13"/>
      <c r="D19" s="13"/>
      <c r="E19" s="13"/>
      <c r="F19" s="13"/>
      <c r="G19" s="13"/>
      <c r="H19" s="13"/>
      <c r="I19" s="13"/>
      <c r="J19" s="14"/>
      <c r="K19" s="20"/>
    </row>
    <row r="20" spans="1:11" x14ac:dyDescent="0.25">
      <c r="A20" s="17" t="s">
        <v>74</v>
      </c>
      <c r="B20" s="13"/>
      <c r="C20" s="13"/>
      <c r="D20" s="13"/>
      <c r="E20" s="13"/>
      <c r="F20" s="13"/>
      <c r="G20" s="13"/>
      <c r="H20" s="13"/>
      <c r="I20" s="13"/>
      <c r="J20" s="14"/>
      <c r="K20" s="20"/>
    </row>
    <row r="21" spans="1:11" x14ac:dyDescent="0.25">
      <c r="A21" s="17" t="s">
        <v>75</v>
      </c>
      <c r="B21" s="13"/>
      <c r="C21" s="13"/>
      <c r="D21" s="13"/>
      <c r="E21" s="13"/>
      <c r="F21" s="13"/>
      <c r="G21" s="13"/>
      <c r="H21" s="13"/>
      <c r="I21" s="13"/>
      <c r="J21" s="14"/>
      <c r="K21" s="20"/>
    </row>
    <row r="22" spans="1:11" x14ac:dyDescent="0.25">
      <c r="A22" s="12" t="s">
        <v>76</v>
      </c>
      <c r="B22" s="13"/>
      <c r="C22" s="13"/>
      <c r="D22" s="13"/>
      <c r="E22" s="13"/>
      <c r="F22" s="13"/>
      <c r="G22" s="13"/>
      <c r="H22" s="13"/>
      <c r="I22" s="13"/>
      <c r="J22" s="14"/>
    </row>
    <row r="23" spans="1:11" x14ac:dyDescent="0.25">
      <c r="A23" s="16" t="s">
        <v>77</v>
      </c>
      <c r="B23" s="13"/>
      <c r="C23" s="13"/>
      <c r="D23" s="13"/>
      <c r="E23" s="13"/>
      <c r="F23" s="13"/>
      <c r="G23" s="13"/>
      <c r="H23" s="13"/>
      <c r="I23" s="13"/>
      <c r="J23" s="14"/>
    </row>
    <row r="24" spans="1:11" x14ac:dyDescent="0.25">
      <c r="A24" s="16" t="s">
        <v>59</v>
      </c>
      <c r="B24" s="13"/>
      <c r="C24" s="13"/>
      <c r="D24" s="13"/>
      <c r="E24" s="13"/>
      <c r="F24" s="13"/>
      <c r="G24" s="13"/>
      <c r="H24" s="13"/>
      <c r="I24" s="13"/>
      <c r="J24" s="14"/>
    </row>
    <row r="25" spans="1:11" x14ac:dyDescent="0.25">
      <c r="A25" s="21" t="s">
        <v>78</v>
      </c>
      <c r="B25" s="22"/>
      <c r="C25" s="22"/>
      <c r="D25" s="22"/>
      <c r="E25" s="22"/>
      <c r="F25" s="22"/>
      <c r="G25" s="22"/>
      <c r="H25" s="22"/>
      <c r="I25" s="22"/>
      <c r="J25" s="23"/>
    </row>
    <row r="26" spans="1:11" x14ac:dyDescent="0.25">
      <c r="A26" s="17" t="s">
        <v>79</v>
      </c>
      <c r="B26" s="13"/>
      <c r="C26" s="13"/>
      <c r="D26" s="13"/>
      <c r="E26" s="13"/>
      <c r="F26" s="13"/>
      <c r="G26" s="13"/>
      <c r="H26" s="13"/>
      <c r="I26" s="13"/>
      <c r="J26" s="14"/>
    </row>
    <row r="27" spans="1:11" x14ac:dyDescent="0.25">
      <c r="A27" s="17" t="s">
        <v>80</v>
      </c>
      <c r="B27" s="13"/>
      <c r="C27" s="13"/>
      <c r="D27" s="13"/>
      <c r="E27" s="13"/>
      <c r="F27" s="13"/>
      <c r="G27" s="13"/>
      <c r="H27" s="13"/>
      <c r="I27" s="13"/>
      <c r="J27" s="14"/>
    </row>
    <row r="28" spans="1:11" x14ac:dyDescent="0.25">
      <c r="A28" s="17" t="s">
        <v>81</v>
      </c>
      <c r="B28" s="13"/>
      <c r="C28" s="13"/>
      <c r="D28" s="13"/>
      <c r="E28" s="13"/>
      <c r="F28" s="13"/>
      <c r="G28" s="13"/>
      <c r="H28" s="13"/>
      <c r="I28" s="13"/>
      <c r="J28" s="14"/>
    </row>
    <row r="29" spans="1:11" x14ac:dyDescent="0.25">
      <c r="A29" s="12" t="s">
        <v>82</v>
      </c>
      <c r="B29" s="13"/>
      <c r="C29" s="13"/>
      <c r="D29" s="13"/>
      <c r="E29" s="13"/>
      <c r="F29" s="13"/>
      <c r="G29" s="13"/>
      <c r="H29" s="13"/>
      <c r="I29" s="13"/>
      <c r="J29" s="14"/>
    </row>
    <row r="30" spans="1:11" x14ac:dyDescent="0.25">
      <c r="A30" s="16" t="s">
        <v>83</v>
      </c>
      <c r="B30" s="13"/>
      <c r="C30" s="13"/>
      <c r="D30" s="13"/>
      <c r="E30" s="13"/>
      <c r="F30" s="13"/>
      <c r="G30" s="13"/>
      <c r="H30" s="13"/>
      <c r="I30" s="13"/>
      <c r="J30" s="14"/>
    </row>
    <row r="31" spans="1:11" x14ac:dyDescent="0.25">
      <c r="A31" s="16" t="s">
        <v>59</v>
      </c>
      <c r="B31" s="13"/>
      <c r="C31" s="13"/>
      <c r="D31" s="13"/>
      <c r="E31" s="13"/>
      <c r="F31" s="13"/>
      <c r="G31" s="13"/>
      <c r="H31" s="13"/>
      <c r="I31" s="13"/>
      <c r="J31" s="14"/>
    </row>
    <row r="32" spans="1:11" x14ac:dyDescent="0.25">
      <c r="A32" s="17" t="s">
        <v>84</v>
      </c>
      <c r="B32" s="13"/>
      <c r="C32" s="13"/>
      <c r="D32" s="13"/>
      <c r="E32" s="13"/>
      <c r="F32" s="13"/>
      <c r="G32" s="13"/>
      <c r="H32" s="13"/>
      <c r="I32" s="13"/>
      <c r="J32" s="14"/>
    </row>
    <row r="33" spans="1:10" x14ac:dyDescent="0.25">
      <c r="A33" s="21" t="s">
        <v>85</v>
      </c>
      <c r="B33" s="22"/>
      <c r="C33" s="22"/>
      <c r="D33" s="22"/>
      <c r="E33" s="22"/>
      <c r="F33" s="22"/>
      <c r="G33" s="22"/>
      <c r="H33" s="22"/>
      <c r="I33" s="22"/>
      <c r="J33" s="23"/>
    </row>
    <row r="34" spans="1:10" x14ac:dyDescent="0.25">
      <c r="A34" s="17" t="s">
        <v>86</v>
      </c>
      <c r="B34" s="13"/>
      <c r="C34" s="13"/>
      <c r="D34" s="13"/>
      <c r="E34" s="13"/>
      <c r="F34" s="13"/>
      <c r="G34" s="13"/>
      <c r="H34" s="13"/>
      <c r="I34" s="13"/>
      <c r="J34" s="14"/>
    </row>
    <row r="35" spans="1:10" x14ac:dyDescent="0.25">
      <c r="A35" s="17" t="s">
        <v>87</v>
      </c>
      <c r="B35" s="13"/>
      <c r="C35" s="13"/>
      <c r="D35" s="13"/>
      <c r="E35" s="13"/>
      <c r="F35" s="13"/>
      <c r="G35" s="13"/>
      <c r="H35" s="13"/>
      <c r="I35" s="13"/>
      <c r="J35" s="14"/>
    </row>
    <row r="36" spans="1:10" x14ac:dyDescent="0.25">
      <c r="A36" s="12" t="s">
        <v>88</v>
      </c>
      <c r="B36" s="13"/>
      <c r="C36" s="13"/>
      <c r="D36" s="13"/>
      <c r="E36" s="13"/>
      <c r="F36" s="13"/>
      <c r="G36" s="13"/>
      <c r="H36" s="13"/>
      <c r="I36" s="13"/>
      <c r="J36" s="14"/>
    </row>
    <row r="37" spans="1:10" ht="42.75" customHeight="1" x14ac:dyDescent="0.25">
      <c r="A37" s="16" t="s">
        <v>89</v>
      </c>
      <c r="B37" s="13"/>
      <c r="C37" s="13"/>
      <c r="D37" s="13"/>
      <c r="E37" s="13"/>
      <c r="F37" s="13"/>
      <c r="G37" s="13"/>
      <c r="H37" s="13"/>
      <c r="I37" s="13"/>
      <c r="J37" s="14"/>
    </row>
    <row r="38" spans="1:10" x14ac:dyDescent="0.25">
      <c r="A38" s="16" t="s">
        <v>59</v>
      </c>
      <c r="B38" s="13"/>
      <c r="C38" s="13"/>
      <c r="D38" s="13"/>
      <c r="E38" s="13"/>
      <c r="F38" s="13"/>
      <c r="G38" s="13"/>
      <c r="H38" s="13"/>
      <c r="I38" s="13"/>
      <c r="J38" s="14"/>
    </row>
    <row r="39" spans="1:10" x14ac:dyDescent="0.25">
      <c r="A39" s="17" t="s">
        <v>90</v>
      </c>
      <c r="B39" s="13"/>
      <c r="C39" s="13"/>
      <c r="D39" s="13"/>
      <c r="E39" s="13"/>
      <c r="F39" s="13"/>
      <c r="G39" s="13"/>
      <c r="H39" s="13"/>
      <c r="I39" s="13"/>
      <c r="J39" s="14"/>
    </row>
    <row r="40" spans="1:10" x14ac:dyDescent="0.25">
      <c r="A40" s="21" t="s">
        <v>91</v>
      </c>
      <c r="B40" s="22"/>
      <c r="C40" s="22"/>
      <c r="D40" s="22"/>
      <c r="E40" s="22"/>
      <c r="F40" s="22"/>
      <c r="G40" s="22"/>
      <c r="H40" s="22"/>
      <c r="I40" s="22"/>
      <c r="J40" s="23"/>
    </row>
    <row r="41" spans="1:10" x14ac:dyDescent="0.25">
      <c r="A41" s="17" t="s">
        <v>92</v>
      </c>
      <c r="B41" s="13"/>
      <c r="C41" s="13"/>
      <c r="D41" s="13"/>
      <c r="E41" s="13"/>
      <c r="F41" s="13"/>
      <c r="G41" s="13"/>
      <c r="H41" s="13"/>
      <c r="I41" s="13"/>
      <c r="J41" s="14"/>
    </row>
    <row r="42" spans="1:10" x14ac:dyDescent="0.25">
      <c r="A42" s="17" t="s">
        <v>93</v>
      </c>
      <c r="B42" s="13"/>
      <c r="C42" s="13"/>
      <c r="D42" s="13"/>
      <c r="E42" s="13"/>
      <c r="F42" s="13"/>
      <c r="G42" s="13"/>
      <c r="H42" s="13"/>
      <c r="I42" s="13"/>
      <c r="J42" s="14"/>
    </row>
    <row r="43" spans="1:10" x14ac:dyDescent="0.25">
      <c r="A43" s="12" t="s">
        <v>94</v>
      </c>
      <c r="B43" s="13"/>
      <c r="C43" s="13"/>
      <c r="D43" s="13"/>
      <c r="E43" s="13"/>
      <c r="F43" s="13"/>
      <c r="G43" s="13"/>
      <c r="H43" s="13"/>
      <c r="I43" s="13"/>
      <c r="J43" s="14"/>
    </row>
    <row r="44" spans="1:10" ht="18" customHeight="1" x14ac:dyDescent="0.25">
      <c r="A44" s="16" t="s">
        <v>95</v>
      </c>
      <c r="B44" s="13"/>
      <c r="C44" s="13"/>
      <c r="D44" s="13"/>
      <c r="E44" s="13"/>
      <c r="F44" s="13"/>
      <c r="G44" s="13"/>
      <c r="H44" s="13"/>
      <c r="I44" s="13"/>
      <c r="J44" s="14"/>
    </row>
    <row r="45" spans="1:10" x14ac:dyDescent="0.25">
      <c r="A45" s="16" t="s">
        <v>59</v>
      </c>
      <c r="B45" s="13"/>
      <c r="C45" s="13"/>
      <c r="D45" s="13"/>
      <c r="E45" s="13"/>
      <c r="F45" s="13"/>
      <c r="G45" s="13"/>
      <c r="H45" s="13"/>
      <c r="I45" s="13"/>
      <c r="J45" s="14"/>
    </row>
    <row r="46" spans="1:10" x14ac:dyDescent="0.25">
      <c r="A46" s="17" t="s">
        <v>96</v>
      </c>
      <c r="B46" s="13"/>
      <c r="C46" s="13"/>
      <c r="D46" s="13"/>
      <c r="E46" s="13"/>
      <c r="F46" s="13"/>
      <c r="G46" s="13"/>
      <c r="H46" s="13"/>
      <c r="I46" s="13"/>
      <c r="J46" s="14"/>
    </row>
    <row r="47" spans="1:10" x14ac:dyDescent="0.25">
      <c r="A47" s="21" t="s">
        <v>97</v>
      </c>
      <c r="B47" s="22"/>
      <c r="C47" s="22"/>
      <c r="D47" s="22"/>
      <c r="E47" s="22"/>
      <c r="F47" s="22"/>
      <c r="G47" s="22"/>
      <c r="H47" s="22"/>
      <c r="I47" s="22"/>
      <c r="J47" s="23"/>
    </row>
    <row r="48" spans="1:10" x14ac:dyDescent="0.25">
      <c r="A48" s="17" t="s">
        <v>98</v>
      </c>
      <c r="B48" s="13"/>
      <c r="C48" s="13"/>
      <c r="D48" s="13"/>
      <c r="E48" s="13"/>
      <c r="F48" s="13"/>
      <c r="G48" s="13"/>
      <c r="H48" s="13"/>
      <c r="I48" s="13"/>
      <c r="J48" s="14"/>
    </row>
    <row r="49" spans="1:10" x14ac:dyDescent="0.25">
      <c r="A49" s="17" t="s">
        <v>99</v>
      </c>
      <c r="B49" s="13"/>
      <c r="C49" s="13"/>
      <c r="D49" s="13"/>
      <c r="E49" s="13"/>
      <c r="F49" s="13"/>
      <c r="G49" s="13"/>
      <c r="H49" s="13"/>
      <c r="I49" s="13"/>
      <c r="J49" s="14"/>
    </row>
    <row r="50" spans="1:10" x14ac:dyDescent="0.25">
      <c r="A50" s="24" t="s">
        <v>100</v>
      </c>
      <c r="B50" s="25"/>
      <c r="C50" s="25"/>
      <c r="D50" s="25"/>
      <c r="E50" s="25"/>
      <c r="F50" s="25"/>
      <c r="G50" s="25"/>
      <c r="H50" s="25"/>
      <c r="I50" s="25"/>
      <c r="J50" s="26"/>
    </row>
    <row r="51" spans="1:10" x14ac:dyDescent="0.25">
      <c r="A51" s="27" t="s">
        <v>101</v>
      </c>
      <c r="B51" s="25"/>
      <c r="C51" s="25"/>
      <c r="D51" s="25"/>
      <c r="E51" s="25"/>
      <c r="F51" s="25"/>
      <c r="G51" s="25"/>
      <c r="H51" s="25"/>
      <c r="I51" s="25"/>
      <c r="J51" s="26"/>
    </row>
    <row r="52" spans="1:10" x14ac:dyDescent="0.25">
      <c r="A52" s="27" t="s">
        <v>59</v>
      </c>
      <c r="B52" s="25"/>
      <c r="C52" s="25"/>
      <c r="D52" s="25"/>
      <c r="E52" s="25"/>
      <c r="F52" s="25"/>
      <c r="G52" s="25"/>
      <c r="H52" s="25"/>
      <c r="I52" s="25"/>
      <c r="J52" s="26"/>
    </row>
    <row r="53" spans="1:10" x14ac:dyDescent="0.25">
      <c r="A53" s="28" t="s">
        <v>102</v>
      </c>
      <c r="B53" s="25"/>
      <c r="C53" s="25"/>
      <c r="D53" s="25"/>
      <c r="E53" s="25"/>
      <c r="F53" s="25"/>
      <c r="G53" s="25"/>
      <c r="H53" s="25"/>
      <c r="I53" s="25"/>
      <c r="J53" s="26"/>
    </row>
    <row r="54" spans="1:10" x14ac:dyDescent="0.25">
      <c r="A54" s="28" t="s">
        <v>103</v>
      </c>
      <c r="B54" s="25"/>
      <c r="C54" s="25"/>
      <c r="D54" s="25"/>
      <c r="E54" s="25"/>
      <c r="F54" s="25"/>
      <c r="G54" s="25"/>
      <c r="H54" s="25"/>
      <c r="I54" s="25"/>
      <c r="J54" s="26"/>
    </row>
    <row r="55" spans="1:10" x14ac:dyDescent="0.25">
      <c r="A55" s="28" t="s">
        <v>104</v>
      </c>
      <c r="B55" s="25"/>
      <c r="C55" s="25"/>
      <c r="D55" s="25"/>
      <c r="E55" s="25"/>
      <c r="F55" s="25"/>
      <c r="G55" s="25"/>
      <c r="H55" s="25"/>
      <c r="I55" s="25"/>
      <c r="J55" s="26"/>
    </row>
    <row r="56" spans="1:10" x14ac:dyDescent="0.25">
      <c r="A56" s="28" t="s">
        <v>105</v>
      </c>
      <c r="B56" s="25"/>
      <c r="C56" s="25"/>
      <c r="D56" s="25"/>
      <c r="E56" s="25"/>
      <c r="F56" s="25"/>
      <c r="G56" s="25"/>
      <c r="H56" s="25"/>
      <c r="I56" s="25"/>
      <c r="J56" s="26"/>
    </row>
    <row r="57" spans="1:10" x14ac:dyDescent="0.25">
      <c r="A57" s="12" t="s">
        <v>106</v>
      </c>
      <c r="B57" s="13"/>
      <c r="C57" s="13"/>
      <c r="D57" s="13"/>
      <c r="E57" s="13"/>
      <c r="F57" s="13"/>
      <c r="G57" s="13"/>
      <c r="H57" s="13"/>
      <c r="I57" s="13"/>
      <c r="J57" s="14"/>
    </row>
    <row r="58" spans="1:10" x14ac:dyDescent="0.25">
      <c r="A58" s="16" t="s">
        <v>107</v>
      </c>
      <c r="B58" s="13"/>
      <c r="C58" s="13"/>
      <c r="D58" s="13"/>
      <c r="E58" s="13"/>
      <c r="F58" s="13"/>
      <c r="G58" s="13"/>
      <c r="H58" s="13"/>
      <c r="I58" s="13"/>
      <c r="J58" s="14"/>
    </row>
    <row r="59" spans="1:10" x14ac:dyDescent="0.25">
      <c r="A59" s="16" t="s">
        <v>59</v>
      </c>
      <c r="B59" s="13"/>
      <c r="C59" s="13"/>
      <c r="D59" s="13"/>
      <c r="E59" s="13"/>
      <c r="F59" s="13"/>
      <c r="G59" s="13"/>
      <c r="H59" s="13"/>
      <c r="I59" s="13"/>
      <c r="J59" s="14"/>
    </row>
    <row r="60" spans="1:10" x14ac:dyDescent="0.25">
      <c r="A60" s="17" t="s">
        <v>108</v>
      </c>
      <c r="B60" s="13"/>
      <c r="C60" s="13"/>
      <c r="D60" s="13"/>
      <c r="E60" s="13"/>
      <c r="F60" s="13"/>
      <c r="G60" s="13"/>
      <c r="H60" s="13"/>
      <c r="I60" s="13"/>
      <c r="J60" s="14"/>
    </row>
    <row r="61" spans="1:10" x14ac:dyDescent="0.25">
      <c r="A61" s="17" t="s">
        <v>109</v>
      </c>
      <c r="B61" s="13"/>
      <c r="C61" s="13"/>
      <c r="D61" s="13"/>
      <c r="E61" s="13"/>
      <c r="F61" s="13"/>
      <c r="G61" s="13"/>
      <c r="H61" s="13"/>
      <c r="I61" s="13"/>
      <c r="J61" s="14"/>
    </row>
    <row r="62" spans="1:10" x14ac:dyDescent="0.25">
      <c r="A62" s="21" t="s">
        <v>110</v>
      </c>
      <c r="B62" s="22"/>
      <c r="C62" s="22"/>
      <c r="D62" s="22"/>
      <c r="E62" s="22"/>
      <c r="F62" s="22"/>
      <c r="G62" s="22"/>
      <c r="H62" s="22"/>
      <c r="I62" s="22"/>
      <c r="J62" s="23"/>
    </row>
    <row r="63" spans="1:10" x14ac:dyDescent="0.25">
      <c r="A63" s="17" t="s">
        <v>111</v>
      </c>
      <c r="B63" s="13"/>
      <c r="C63" s="13"/>
      <c r="D63" s="13"/>
      <c r="E63" s="13"/>
      <c r="F63" s="13"/>
      <c r="G63" s="13"/>
      <c r="H63" s="13"/>
      <c r="I63" s="13"/>
      <c r="J63" s="14"/>
    </row>
    <row r="64" spans="1:10" x14ac:dyDescent="0.25">
      <c r="A64" s="12" t="s">
        <v>112</v>
      </c>
      <c r="B64" s="13"/>
      <c r="C64" s="13"/>
      <c r="D64" s="13"/>
      <c r="E64" s="13"/>
      <c r="F64" s="13"/>
      <c r="G64" s="13"/>
      <c r="H64" s="13"/>
      <c r="I64" s="13"/>
      <c r="J64" s="14"/>
    </row>
    <row r="65" spans="1:10" x14ac:dyDescent="0.25">
      <c r="A65" s="16" t="s">
        <v>113</v>
      </c>
      <c r="B65" s="13"/>
      <c r="C65" s="13"/>
      <c r="D65" s="13"/>
      <c r="E65" s="13"/>
      <c r="F65" s="13"/>
      <c r="G65" s="13"/>
      <c r="H65" s="13"/>
      <c r="I65" s="13"/>
      <c r="J65" s="14"/>
    </row>
    <row r="66" spans="1:10" x14ac:dyDescent="0.25">
      <c r="A66" s="16" t="s">
        <v>59</v>
      </c>
      <c r="B66" s="13"/>
      <c r="C66" s="13"/>
      <c r="D66" s="13"/>
      <c r="E66" s="13"/>
      <c r="F66" s="13"/>
      <c r="G66" s="13"/>
      <c r="H66" s="13"/>
      <c r="I66" s="13"/>
      <c r="J66" s="14"/>
    </row>
    <row r="67" spans="1:10" x14ac:dyDescent="0.25">
      <c r="A67" s="17" t="s">
        <v>114</v>
      </c>
      <c r="B67" s="13"/>
      <c r="C67" s="13"/>
      <c r="D67" s="13"/>
      <c r="E67" s="13"/>
      <c r="F67" s="13"/>
      <c r="G67" s="13"/>
      <c r="H67" s="13"/>
      <c r="I67" s="13"/>
      <c r="J67" s="14"/>
    </row>
    <row r="68" spans="1:10" x14ac:dyDescent="0.25">
      <c r="A68" s="21" t="s">
        <v>115</v>
      </c>
      <c r="B68" s="22"/>
      <c r="C68" s="22"/>
      <c r="D68" s="22"/>
      <c r="E68" s="22"/>
      <c r="F68" s="22"/>
      <c r="G68" s="22"/>
      <c r="H68" s="22"/>
      <c r="I68" s="22"/>
      <c r="J68" s="23"/>
    </row>
    <row r="69" spans="1:10" x14ac:dyDescent="0.25">
      <c r="A69" s="17" t="s">
        <v>116</v>
      </c>
      <c r="B69" s="13"/>
      <c r="C69" s="13"/>
      <c r="D69" s="13"/>
      <c r="E69" s="13"/>
      <c r="F69" s="13"/>
      <c r="G69" s="13"/>
      <c r="H69" s="13"/>
      <c r="I69" s="13"/>
      <c r="J69" s="14"/>
    </row>
    <row r="70" spans="1:10" x14ac:dyDescent="0.25">
      <c r="A70" s="17" t="s">
        <v>117</v>
      </c>
      <c r="B70" s="13"/>
      <c r="C70" s="13"/>
      <c r="D70" s="13"/>
      <c r="E70" s="13"/>
      <c r="F70" s="13"/>
      <c r="G70" s="13"/>
      <c r="H70" s="13"/>
      <c r="I70" s="13"/>
      <c r="J70" s="14"/>
    </row>
  </sheetData>
  <mergeCells count="70">
    <mergeCell ref="A67:J67"/>
    <mergeCell ref="A68:J68"/>
    <mergeCell ref="A69:J69"/>
    <mergeCell ref="A70:J70"/>
    <mergeCell ref="A61:J61"/>
    <mergeCell ref="A62:J62"/>
    <mergeCell ref="A63:J63"/>
    <mergeCell ref="A64:J64"/>
    <mergeCell ref="A65:J65"/>
    <mergeCell ref="A66:J66"/>
    <mergeCell ref="A55:J55"/>
    <mergeCell ref="A56:J56"/>
    <mergeCell ref="A57:J57"/>
    <mergeCell ref="A58:J58"/>
    <mergeCell ref="A59:J59"/>
    <mergeCell ref="A60:J60"/>
    <mergeCell ref="A49:J49"/>
    <mergeCell ref="A50:J50"/>
    <mergeCell ref="A51:J51"/>
    <mergeCell ref="A52:J52"/>
    <mergeCell ref="A53:J53"/>
    <mergeCell ref="A54:J54"/>
    <mergeCell ref="A43:J43"/>
    <mergeCell ref="A44:J44"/>
    <mergeCell ref="A45:J45"/>
    <mergeCell ref="A46:J46"/>
    <mergeCell ref="A47:J47"/>
    <mergeCell ref="A48:J48"/>
    <mergeCell ref="A37:J37"/>
    <mergeCell ref="A38:J38"/>
    <mergeCell ref="A39:J39"/>
    <mergeCell ref="A40:J40"/>
    <mergeCell ref="A41:J41"/>
    <mergeCell ref="A42:J42"/>
    <mergeCell ref="A31:J31"/>
    <mergeCell ref="A32:J32"/>
    <mergeCell ref="A33:J33"/>
    <mergeCell ref="A34:J34"/>
    <mergeCell ref="A35:J35"/>
    <mergeCell ref="A36:J36"/>
    <mergeCell ref="A25:J25"/>
    <mergeCell ref="A26:J26"/>
    <mergeCell ref="A27:J27"/>
    <mergeCell ref="A28:J28"/>
    <mergeCell ref="A29:J29"/>
    <mergeCell ref="A30:J30"/>
    <mergeCell ref="A19:J19"/>
    <mergeCell ref="A20:J20"/>
    <mergeCell ref="A21:J21"/>
    <mergeCell ref="A22:J22"/>
    <mergeCell ref="A23:J23"/>
    <mergeCell ref="A24:J24"/>
    <mergeCell ref="A13:J13"/>
    <mergeCell ref="A14:J14"/>
    <mergeCell ref="A15:J15"/>
    <mergeCell ref="A16:J16"/>
    <mergeCell ref="A17:J17"/>
    <mergeCell ref="A18:J18"/>
    <mergeCell ref="A7:J7"/>
    <mergeCell ref="A8:J8"/>
    <mergeCell ref="A9:J9"/>
    <mergeCell ref="A10:J10"/>
    <mergeCell ref="A11:J11"/>
    <mergeCell ref="A12:J12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Mesa Final - Economía General -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Magali</cp:lastModifiedBy>
  <dcterms:modified xsi:type="dcterms:W3CDTF">2022-02-19T18:05:59Z</dcterms:modified>
</cp:coreProperties>
</file>