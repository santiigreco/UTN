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Economía General\Material teórico MACRO\Presentaciones\"/>
    </mc:Choice>
  </mc:AlternateContent>
  <bookViews>
    <workbookView xWindow="600" yWindow="75" windowWidth="12855" windowHeight="7440"/>
  </bookViews>
  <sheets>
    <sheet name="Renta equilibrio" sheetId="1" r:id="rId1"/>
    <sheet name="Multiplicadores M.Bienes 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A39" i="1" l="1"/>
  <c r="E17" i="2"/>
  <c r="G19" i="2" s="1"/>
  <c r="G21" i="2" s="1"/>
  <c r="D14" i="2"/>
  <c r="D13" i="1"/>
</calcChain>
</file>

<file path=xl/sharedStrings.xml><?xml version="1.0" encoding="utf-8"?>
<sst xmlns="http://schemas.openxmlformats.org/spreadsheetml/2006/main" count="121" uniqueCount="100">
  <si>
    <t>RENTA EN EQUILIBRIO</t>
  </si>
  <si>
    <t>ECONOMIA 2 SECTORES</t>
  </si>
  <si>
    <t>IB= 50</t>
  </si>
  <si>
    <t xml:space="preserve">Busco equilibrio </t>
  </si>
  <si>
    <t>Y =</t>
  </si>
  <si>
    <t>DA</t>
  </si>
  <si>
    <t>C= 50 + 0,80 yd</t>
  </si>
  <si>
    <t>50 + 0,8y +50</t>
  </si>
  <si>
    <t>y =</t>
  </si>
  <si>
    <t>0,8 y + 100</t>
  </si>
  <si>
    <t>y - 0,8 y =</t>
  </si>
  <si>
    <t>y (1-08) =</t>
  </si>
  <si>
    <t>Renta en quilibrio</t>
  </si>
  <si>
    <t>ECONOMIA DE 3 SECTORES</t>
  </si>
  <si>
    <t>DA = C+ IB + GP</t>
  </si>
  <si>
    <t>GP = 200</t>
  </si>
  <si>
    <t>T (imp )= 100</t>
  </si>
  <si>
    <t xml:space="preserve">Y = </t>
  </si>
  <si>
    <t>Y=</t>
  </si>
  <si>
    <t>Y-0,8Y=</t>
  </si>
  <si>
    <t>Y(0,2) =</t>
  </si>
  <si>
    <t xml:space="preserve">DA = C + IB + GP + X - M </t>
  </si>
  <si>
    <t>XN = X - M</t>
  </si>
  <si>
    <t>X = 150</t>
  </si>
  <si>
    <t>M = 200</t>
  </si>
  <si>
    <t>y - 0,8y =</t>
  </si>
  <si>
    <t>y(0,2) =</t>
  </si>
  <si>
    <t>Multiplicadores</t>
  </si>
  <si>
    <t>POLITICA FISCAL</t>
  </si>
  <si>
    <t>Créditos productivos a tasas subsidiadas ( inyectan $ 100 un. Monetarias)</t>
  </si>
  <si>
    <t xml:space="preserve">I = </t>
  </si>
  <si>
    <t>∆ 100 un . Monetarias</t>
  </si>
  <si>
    <t>∆ Y =</t>
  </si>
  <si>
    <t>?</t>
  </si>
  <si>
    <t>Y - 0,8Y =</t>
  </si>
  <si>
    <t>K inversión =</t>
  </si>
  <si>
    <t>1 / pms =</t>
  </si>
  <si>
    <t>1/0,2 =</t>
  </si>
  <si>
    <t xml:space="preserve">DA  Se desplazan positivamente si : </t>
  </si>
  <si>
    <t>Aumenta la Inversión Privada (IB)</t>
  </si>
  <si>
    <t>Aumenta el gasto público (GP)</t>
  </si>
  <si>
    <t>Aumenta el consumo ( C )</t>
  </si>
  <si>
    <t>Aumentan las exportaciones ( X )</t>
  </si>
  <si>
    <t>50+0,8 (Y - T+ TR) + 50 + 200</t>
  </si>
  <si>
    <t>Yd = Y - T + Tr</t>
  </si>
  <si>
    <t>ECONOMIA DE 4 SECTORES</t>
  </si>
  <si>
    <t>Yd = C + S</t>
  </si>
  <si>
    <t>S = -50 + 0,2Yd</t>
  </si>
  <si>
    <t>1/(1-0,8) =5</t>
  </si>
  <si>
    <t xml:space="preserve">K inversión =  </t>
  </si>
  <si>
    <t>K Consumo</t>
  </si>
  <si>
    <t>K GP</t>
  </si>
  <si>
    <t xml:space="preserve">K X </t>
  </si>
  <si>
    <t>Variac Y = Ki x variac I</t>
  </si>
  <si>
    <t>S = I</t>
  </si>
  <si>
    <t>Tn = T- Tr</t>
  </si>
  <si>
    <t xml:space="preserve">1/ 1- PMC </t>
  </si>
  <si>
    <t xml:space="preserve">IB + GP </t>
  </si>
  <si>
    <t>50 = 50</t>
  </si>
  <si>
    <t>MODELO DEL GASTO AGREGADO</t>
  </si>
  <si>
    <t>MODELO AHORRO = INVERSIÓN</t>
  </si>
  <si>
    <r>
      <t xml:space="preserve">YD </t>
    </r>
    <r>
      <rPr>
        <sz val="11"/>
        <color rgb="FFFF0000"/>
        <rFont val="Calibri"/>
        <family val="2"/>
      </rPr>
      <t>≠ Y</t>
    </r>
  </si>
  <si>
    <t>TR = 10</t>
  </si>
  <si>
    <t>50 + 0,8(Y -100 + 10) + 50 + 200</t>
  </si>
  <si>
    <t>300 + 0,8Y - 80+8</t>
  </si>
  <si>
    <t>S + Tn  =</t>
  </si>
  <si>
    <t>160 + 90 = 50 + 200</t>
  </si>
  <si>
    <t>250=</t>
  </si>
  <si>
    <t>S + (Tn-GP) =</t>
  </si>
  <si>
    <t>50=</t>
  </si>
  <si>
    <t>50 + 0,8 y - 80 + 8+ 50 + 200 + 150 - 200</t>
  </si>
  <si>
    <t>178 + 0,8y</t>
  </si>
  <si>
    <t>S + Tn + M =</t>
  </si>
  <si>
    <t>IB</t>
  </si>
  <si>
    <t>IB + GP + X</t>
  </si>
  <si>
    <t>50 + 200+150</t>
  </si>
  <si>
    <t>110 +90 + 200=</t>
  </si>
  <si>
    <t>400 =</t>
  </si>
  <si>
    <t xml:space="preserve">160+(90-200) = </t>
  </si>
  <si>
    <t>I + IEN</t>
  </si>
  <si>
    <t>110 + (-110) =</t>
  </si>
  <si>
    <t>50 +(-50)</t>
  </si>
  <si>
    <t>0 =</t>
  </si>
  <si>
    <t>278 + 0,8Y</t>
  </si>
  <si>
    <t>278 / 0,2</t>
  </si>
  <si>
    <t xml:space="preserve"> Determinar como alteran a Y (PBI de un país) medidas de políticas fiscales </t>
  </si>
  <si>
    <t xml:space="preserve">POLITICA FISCAL EXPANSIVA = AUMENTAR LA DA </t>
  </si>
  <si>
    <t xml:space="preserve">POLITAS FISCALES CONTRACTIVAS = REDUCIR LA DA </t>
  </si>
  <si>
    <r>
      <t xml:space="preserve">50 + 0,8 (Y - 100 + 10) + </t>
    </r>
    <r>
      <rPr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+ 200 + 150 - 200</t>
    </r>
  </si>
  <si>
    <t>1-pmc + pmc *(t) + pmm</t>
  </si>
  <si>
    <t xml:space="preserve">Ktr (transferencias) = </t>
  </si>
  <si>
    <t>Yd = Y</t>
  </si>
  <si>
    <t>(-50+0,2 Y)=</t>
  </si>
  <si>
    <t xml:space="preserve">( Y - T + Tr)- Co + pmc (Y - T+ Tr) = </t>
  </si>
  <si>
    <t>S</t>
  </si>
  <si>
    <t>Co + GP + IB +  X - pmm*M -pmc*T+pmc*Tr</t>
  </si>
  <si>
    <t>IGUALES</t>
  </si>
  <si>
    <t>K M =  -1 / 1-pmc + pmc*(t) + pmm</t>
  </si>
  <si>
    <t>Kt (IMPUESTOS) =  - pmc / 1-pmc + pmc * t) + pmm</t>
  </si>
  <si>
    <t>pmc / 1-pmc + pmc * t) + pmm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</si>
</sst>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right"/>
    </xf>
    <xf numFmtId="0" fontId="1" fillId="0" borderId="3" xfId="0" applyFont="1" applyBorder="1" applyAlignment="1">
      <alignment horizontal="left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1" xfId="0" applyFill="1" applyBorder="1" applyAlignment="1">
      <alignment horizontal="right"/>
    </xf>
    <xf numFmtId="0" fontId="0" fillId="3" borderId="3" xfId="0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4" borderId="3" xfId="0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619125</xdr:colOff>
      <xdr:row>7</xdr:row>
      <xdr:rowOff>114300</xdr:rowOff>
    </xdr:from>
    <xdr:to>
      <xdr:col>8</xdr:col>
      <xdr:colOff>114300</xdr:colOff>
      <xdr:row>8</xdr:row>
      <xdr:rowOff>142875</xdr:rowOff>
    </xdr:to>
    <xdr:sp macro="" textlink="">
      <xdr:nvSpPr>
        <xdr:cNvPr id="23" name="22 CuadroTexto"/>
        <xdr:cNvSpPr txBox="1"/>
      </xdr:nvSpPr>
      <xdr:spPr>
        <a:xfrm>
          <a:off x="6343650" y="1447800"/>
          <a:ext cx="2571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</a:t>
          </a:r>
        </a:p>
      </xdr:txBody>
    </xdr:sp>
    <xdr:clientData/>
  </xdr:twoCellAnchor>
  <xdr:twoCellAnchor>
    <xdr:from>
      <xdr:col>7</xdr:col>
      <xdr:colOff>638175</xdr:colOff>
      <xdr:row>21</xdr:row>
      <xdr:rowOff>123825</xdr:rowOff>
    </xdr:from>
    <xdr:to>
      <xdr:col>8</xdr:col>
      <xdr:colOff>133350</xdr:colOff>
      <xdr:row>22</xdr:row>
      <xdr:rowOff>152400</xdr:rowOff>
    </xdr:to>
    <xdr:sp macro="" textlink="">
      <xdr:nvSpPr>
        <xdr:cNvPr id="83" name="82 CuadroTexto"/>
        <xdr:cNvSpPr txBox="1"/>
      </xdr:nvSpPr>
      <xdr:spPr>
        <a:xfrm>
          <a:off x="6362700" y="4152900"/>
          <a:ext cx="2571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</a:t>
          </a:r>
        </a:p>
      </xdr:txBody>
    </xdr:sp>
    <xdr:clientData/>
  </xdr:twoCellAnchor>
  <xdr:twoCellAnchor>
    <xdr:from>
      <xdr:col>6</xdr:col>
      <xdr:colOff>695325</xdr:colOff>
      <xdr:row>15</xdr:row>
      <xdr:rowOff>19050</xdr:rowOff>
    </xdr:from>
    <xdr:to>
      <xdr:col>9</xdr:col>
      <xdr:colOff>190500</xdr:colOff>
      <xdr:row>15</xdr:row>
      <xdr:rowOff>20638</xdr:rowOff>
    </xdr:to>
    <xdr:cxnSp macro="">
      <xdr:nvCxnSpPr>
        <xdr:cNvPr id="3" name="2 Conector recto de flecha"/>
        <xdr:cNvCxnSpPr/>
      </xdr:nvCxnSpPr>
      <xdr:spPr>
        <a:xfrm>
          <a:off x="5476875" y="2495550"/>
          <a:ext cx="1781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742952</xdr:colOff>
      <xdr:row>3</xdr:row>
      <xdr:rowOff>38101</xdr:rowOff>
    </xdr:from>
    <xdr:to>
      <xdr:col>7</xdr:col>
      <xdr:colOff>9525</xdr:colOff>
      <xdr:row>15</xdr:row>
      <xdr:rowOff>19052</xdr:rowOff>
    </xdr:to>
    <xdr:cxnSp macro="">
      <xdr:nvCxnSpPr>
        <xdr:cNvPr id="5" name="4 Conector recto de flecha"/>
        <xdr:cNvCxnSpPr/>
      </xdr:nvCxnSpPr>
      <xdr:spPr>
        <a:xfrm rot="5400000" flipH="1" flipV="1">
          <a:off x="4595813" y="1538290"/>
          <a:ext cx="1885951" cy="2857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742950</xdr:colOff>
      <xdr:row>4</xdr:row>
      <xdr:rowOff>161925</xdr:rowOff>
    </xdr:from>
    <xdr:to>
      <xdr:col>8</xdr:col>
      <xdr:colOff>438150</xdr:colOff>
      <xdr:row>15</xdr:row>
      <xdr:rowOff>9527</xdr:rowOff>
    </xdr:to>
    <xdr:cxnSp macro="">
      <xdr:nvCxnSpPr>
        <xdr:cNvPr id="10" name="9 Conector recto"/>
        <xdr:cNvCxnSpPr/>
      </xdr:nvCxnSpPr>
      <xdr:spPr>
        <a:xfrm rot="5400000" flipH="1" flipV="1">
          <a:off x="5343524" y="1285876"/>
          <a:ext cx="1943102" cy="12192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0</xdr:rowOff>
    </xdr:from>
    <xdr:to>
      <xdr:col>8</xdr:col>
      <xdr:colOff>704850</xdr:colOff>
      <xdr:row>9</xdr:row>
      <xdr:rowOff>95250</xdr:rowOff>
    </xdr:to>
    <xdr:cxnSp macro="">
      <xdr:nvCxnSpPr>
        <xdr:cNvPr id="12" name="11 Conector recto"/>
        <xdr:cNvCxnSpPr/>
      </xdr:nvCxnSpPr>
      <xdr:spPr>
        <a:xfrm flipV="1">
          <a:off x="5781675" y="1524000"/>
          <a:ext cx="140970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152399</xdr:rowOff>
    </xdr:from>
    <xdr:to>
      <xdr:col>7</xdr:col>
      <xdr:colOff>676275</xdr:colOff>
      <xdr:row>8</xdr:row>
      <xdr:rowOff>161924</xdr:rowOff>
    </xdr:to>
    <xdr:cxnSp macro="">
      <xdr:nvCxnSpPr>
        <xdr:cNvPr id="14" name="13 Conector recto"/>
        <xdr:cNvCxnSpPr/>
      </xdr:nvCxnSpPr>
      <xdr:spPr>
        <a:xfrm rot="10800000" flipV="1">
          <a:off x="5553075" y="1676399"/>
          <a:ext cx="666750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8</xdr:row>
      <xdr:rowOff>152398</xdr:rowOff>
    </xdr:from>
    <xdr:to>
      <xdr:col>7</xdr:col>
      <xdr:colOff>723900</xdr:colOff>
      <xdr:row>15</xdr:row>
      <xdr:rowOff>19049</xdr:rowOff>
    </xdr:to>
    <xdr:cxnSp macro="">
      <xdr:nvCxnSpPr>
        <xdr:cNvPr id="15" name="14 Conector recto"/>
        <xdr:cNvCxnSpPr/>
      </xdr:nvCxnSpPr>
      <xdr:spPr>
        <a:xfrm rot="16200000" flipH="1">
          <a:off x="5853112" y="2081211"/>
          <a:ext cx="819151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3</xdr:row>
      <xdr:rowOff>114300</xdr:rowOff>
    </xdr:from>
    <xdr:to>
      <xdr:col>9</xdr:col>
      <xdr:colOff>466725</xdr:colOff>
      <xdr:row>4</xdr:row>
      <xdr:rowOff>142875</xdr:rowOff>
    </xdr:to>
    <xdr:sp macro="" textlink="">
      <xdr:nvSpPr>
        <xdr:cNvPr id="18" name="17 CuadroTexto"/>
        <xdr:cNvSpPr txBox="1"/>
      </xdr:nvSpPr>
      <xdr:spPr>
        <a:xfrm>
          <a:off x="6638925" y="685800"/>
          <a:ext cx="89535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OA = Y</a:t>
          </a:r>
          <a:r>
            <a:rPr lang="es-AR" sz="1100" baseline="0"/>
            <a:t> = DA</a:t>
          </a:r>
          <a:endParaRPr lang="es-AR" sz="1100"/>
        </a:p>
      </xdr:txBody>
    </xdr:sp>
    <xdr:clientData/>
  </xdr:twoCellAnchor>
  <xdr:twoCellAnchor>
    <xdr:from>
      <xdr:col>9</xdr:col>
      <xdr:colOff>47624</xdr:colOff>
      <xdr:row>7</xdr:row>
      <xdr:rowOff>38100</xdr:rowOff>
    </xdr:from>
    <xdr:to>
      <xdr:col>10</xdr:col>
      <xdr:colOff>304799</xdr:colOff>
      <xdr:row>8</xdr:row>
      <xdr:rowOff>57150</xdr:rowOff>
    </xdr:to>
    <xdr:sp macro="" textlink="">
      <xdr:nvSpPr>
        <xdr:cNvPr id="20" name="19 CuadroTexto"/>
        <xdr:cNvSpPr txBox="1"/>
      </xdr:nvSpPr>
      <xdr:spPr>
        <a:xfrm>
          <a:off x="7115174" y="1371600"/>
          <a:ext cx="10191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 = C + IB</a:t>
          </a:r>
        </a:p>
      </xdr:txBody>
    </xdr:sp>
    <xdr:clientData/>
  </xdr:twoCellAnchor>
  <xdr:twoCellAnchor>
    <xdr:from>
      <xdr:col>6</xdr:col>
      <xdr:colOff>219075</xdr:colOff>
      <xdr:row>8</xdr:row>
      <xdr:rowOff>47625</xdr:rowOff>
    </xdr:from>
    <xdr:to>
      <xdr:col>6</xdr:col>
      <xdr:colOff>723900</xdr:colOff>
      <xdr:row>9</xdr:row>
      <xdr:rowOff>95250</xdr:rowOff>
    </xdr:to>
    <xdr:sp macro="" textlink="">
      <xdr:nvSpPr>
        <xdr:cNvPr id="21" name="20 CuadroTexto"/>
        <xdr:cNvSpPr txBox="1"/>
      </xdr:nvSpPr>
      <xdr:spPr>
        <a:xfrm>
          <a:off x="5000625" y="1571625"/>
          <a:ext cx="5048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$500</a:t>
          </a:r>
        </a:p>
      </xdr:txBody>
    </xdr:sp>
    <xdr:clientData/>
  </xdr:twoCellAnchor>
  <xdr:twoCellAnchor>
    <xdr:from>
      <xdr:col>7</xdr:col>
      <xdr:colOff>495300</xdr:colOff>
      <xdr:row>15</xdr:row>
      <xdr:rowOff>104776</xdr:rowOff>
    </xdr:from>
    <xdr:to>
      <xdr:col>8</xdr:col>
      <xdr:colOff>238125</xdr:colOff>
      <xdr:row>16</xdr:row>
      <xdr:rowOff>161926</xdr:rowOff>
    </xdr:to>
    <xdr:sp macro="" textlink="">
      <xdr:nvSpPr>
        <xdr:cNvPr id="22" name="21 CuadroTexto"/>
        <xdr:cNvSpPr txBox="1"/>
      </xdr:nvSpPr>
      <xdr:spPr>
        <a:xfrm>
          <a:off x="6219825" y="2962276"/>
          <a:ext cx="5048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$500</a:t>
          </a:r>
        </a:p>
      </xdr:txBody>
    </xdr:sp>
    <xdr:clientData/>
  </xdr:twoCellAnchor>
  <xdr:twoCellAnchor>
    <xdr:from>
      <xdr:col>6</xdr:col>
      <xdr:colOff>161925</xdr:colOff>
      <xdr:row>3</xdr:row>
      <xdr:rowOff>66675</xdr:rowOff>
    </xdr:from>
    <xdr:to>
      <xdr:col>6</xdr:col>
      <xdr:colOff>619125</xdr:colOff>
      <xdr:row>5</xdr:row>
      <xdr:rowOff>0</xdr:rowOff>
    </xdr:to>
    <xdr:sp macro="" textlink="">
      <xdr:nvSpPr>
        <xdr:cNvPr id="24" name="23 CuadroTexto"/>
        <xdr:cNvSpPr txBox="1"/>
      </xdr:nvSpPr>
      <xdr:spPr>
        <a:xfrm>
          <a:off x="4943475" y="638175"/>
          <a:ext cx="457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</a:t>
          </a:r>
        </a:p>
      </xdr:txBody>
    </xdr:sp>
    <xdr:clientData/>
  </xdr:twoCellAnchor>
  <xdr:twoCellAnchor>
    <xdr:from>
      <xdr:col>8</xdr:col>
      <xdr:colOff>704850</xdr:colOff>
      <xdr:row>15</xdr:row>
      <xdr:rowOff>85725</xdr:rowOff>
    </xdr:from>
    <xdr:to>
      <xdr:col>10</xdr:col>
      <xdr:colOff>66675</xdr:colOff>
      <xdr:row>16</xdr:row>
      <xdr:rowOff>114301</xdr:rowOff>
    </xdr:to>
    <xdr:sp macro="" textlink="">
      <xdr:nvSpPr>
        <xdr:cNvPr id="25" name="24 CuadroTexto"/>
        <xdr:cNvSpPr txBox="1"/>
      </xdr:nvSpPr>
      <xdr:spPr>
        <a:xfrm>
          <a:off x="7191375" y="2943225"/>
          <a:ext cx="885825" cy="219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Y</a:t>
          </a:r>
          <a:r>
            <a:rPr lang="es-AR" sz="1100" baseline="0"/>
            <a:t> = PBI </a:t>
          </a:r>
          <a:r>
            <a:rPr lang="es-AR" sz="1100" baseline="-25000"/>
            <a:t>R</a:t>
          </a:r>
        </a:p>
      </xdr:txBody>
    </xdr:sp>
    <xdr:clientData/>
  </xdr:twoCellAnchor>
  <xdr:twoCellAnchor>
    <xdr:from>
      <xdr:col>9</xdr:col>
      <xdr:colOff>485775</xdr:colOff>
      <xdr:row>51</xdr:row>
      <xdr:rowOff>104775</xdr:rowOff>
    </xdr:from>
    <xdr:to>
      <xdr:col>9</xdr:col>
      <xdr:colOff>742950</xdr:colOff>
      <xdr:row>52</xdr:row>
      <xdr:rowOff>133350</xdr:rowOff>
    </xdr:to>
    <xdr:sp macro="" textlink="">
      <xdr:nvSpPr>
        <xdr:cNvPr id="26" name="25 CuadroTexto"/>
        <xdr:cNvSpPr txBox="1"/>
      </xdr:nvSpPr>
      <xdr:spPr>
        <a:xfrm>
          <a:off x="6029325" y="1438275"/>
          <a:ext cx="2571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</a:t>
          </a:r>
        </a:p>
      </xdr:txBody>
    </xdr:sp>
    <xdr:clientData/>
  </xdr:twoCellAnchor>
  <xdr:twoCellAnchor>
    <xdr:from>
      <xdr:col>8</xdr:col>
      <xdr:colOff>695325</xdr:colOff>
      <xdr:row>57</xdr:row>
      <xdr:rowOff>19050</xdr:rowOff>
    </xdr:from>
    <xdr:to>
      <xdr:col>11</xdr:col>
      <xdr:colOff>190500</xdr:colOff>
      <xdr:row>57</xdr:row>
      <xdr:rowOff>20638</xdr:rowOff>
    </xdr:to>
    <xdr:cxnSp macro="">
      <xdr:nvCxnSpPr>
        <xdr:cNvPr id="27" name="26 Conector recto de flecha"/>
        <xdr:cNvCxnSpPr/>
      </xdr:nvCxnSpPr>
      <xdr:spPr>
        <a:xfrm>
          <a:off x="5476875" y="2495550"/>
          <a:ext cx="1781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742952</xdr:colOff>
      <xdr:row>47</xdr:row>
      <xdr:rowOff>38101</xdr:rowOff>
    </xdr:from>
    <xdr:to>
      <xdr:col>9</xdr:col>
      <xdr:colOff>9525</xdr:colOff>
      <xdr:row>57</xdr:row>
      <xdr:rowOff>19052</xdr:rowOff>
    </xdr:to>
    <xdr:cxnSp macro="">
      <xdr:nvCxnSpPr>
        <xdr:cNvPr id="28" name="27 Conector recto de flecha"/>
        <xdr:cNvCxnSpPr/>
      </xdr:nvCxnSpPr>
      <xdr:spPr>
        <a:xfrm rot="5400000" flipH="1" flipV="1">
          <a:off x="4595813" y="1538290"/>
          <a:ext cx="1885951" cy="2857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48</xdr:row>
      <xdr:rowOff>171451</xdr:rowOff>
    </xdr:from>
    <xdr:to>
      <xdr:col>10</xdr:col>
      <xdr:colOff>561975</xdr:colOff>
      <xdr:row>57</xdr:row>
      <xdr:rowOff>9526</xdr:rowOff>
    </xdr:to>
    <xdr:cxnSp macro="">
      <xdr:nvCxnSpPr>
        <xdr:cNvPr id="29" name="28 Conector recto"/>
        <xdr:cNvCxnSpPr/>
      </xdr:nvCxnSpPr>
      <xdr:spPr>
        <a:xfrm rot="5400000" flipH="1" flipV="1">
          <a:off x="5419725" y="1038226"/>
          <a:ext cx="1552575" cy="13430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51</xdr:row>
      <xdr:rowOff>171450</xdr:rowOff>
    </xdr:from>
    <xdr:to>
      <xdr:col>10</xdr:col>
      <xdr:colOff>723900</xdr:colOff>
      <xdr:row>53</xdr:row>
      <xdr:rowOff>76200</xdr:rowOff>
    </xdr:to>
    <xdr:cxnSp macro="">
      <xdr:nvCxnSpPr>
        <xdr:cNvPr id="30" name="29 Conector recto"/>
        <xdr:cNvCxnSpPr/>
      </xdr:nvCxnSpPr>
      <xdr:spPr>
        <a:xfrm flipV="1">
          <a:off x="5619750" y="1504950"/>
          <a:ext cx="140970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52</xdr:row>
      <xdr:rowOff>152399</xdr:rowOff>
    </xdr:from>
    <xdr:to>
      <xdr:col>9</xdr:col>
      <xdr:colOff>676275</xdr:colOff>
      <xdr:row>52</xdr:row>
      <xdr:rowOff>161924</xdr:rowOff>
    </xdr:to>
    <xdr:cxnSp macro="">
      <xdr:nvCxnSpPr>
        <xdr:cNvPr id="31" name="30 Conector recto"/>
        <xdr:cNvCxnSpPr/>
      </xdr:nvCxnSpPr>
      <xdr:spPr>
        <a:xfrm rot="10800000" flipV="1">
          <a:off x="5553075" y="1676399"/>
          <a:ext cx="666750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714375</xdr:colOff>
      <xdr:row>52</xdr:row>
      <xdr:rowOff>152398</xdr:rowOff>
    </xdr:from>
    <xdr:to>
      <xdr:col>9</xdr:col>
      <xdr:colOff>723900</xdr:colOff>
      <xdr:row>57</xdr:row>
      <xdr:rowOff>19049</xdr:rowOff>
    </xdr:to>
    <xdr:cxnSp macro="">
      <xdr:nvCxnSpPr>
        <xdr:cNvPr id="32" name="31 Conector recto"/>
        <xdr:cNvCxnSpPr/>
      </xdr:nvCxnSpPr>
      <xdr:spPr>
        <a:xfrm rot="16200000" flipH="1">
          <a:off x="5853112" y="2081211"/>
          <a:ext cx="819151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10</xdr:row>
      <xdr:rowOff>47625</xdr:rowOff>
    </xdr:from>
    <xdr:to>
      <xdr:col>12</xdr:col>
      <xdr:colOff>219075</xdr:colOff>
      <xdr:row>11</xdr:row>
      <xdr:rowOff>76200</xdr:rowOff>
    </xdr:to>
    <xdr:sp macro="" textlink="">
      <xdr:nvSpPr>
        <xdr:cNvPr id="33" name="32 CuadroTexto"/>
        <xdr:cNvSpPr txBox="1"/>
      </xdr:nvSpPr>
      <xdr:spPr>
        <a:xfrm>
          <a:off x="8858250" y="1952625"/>
          <a:ext cx="89535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OA = Y</a:t>
          </a:r>
          <a:r>
            <a:rPr lang="es-AR" sz="1100" baseline="0"/>
            <a:t> = DA</a:t>
          </a:r>
          <a:endParaRPr lang="es-AR" sz="1100"/>
        </a:p>
      </xdr:txBody>
    </xdr:sp>
    <xdr:clientData/>
  </xdr:twoCellAnchor>
  <xdr:twoCellAnchor>
    <xdr:from>
      <xdr:col>10</xdr:col>
      <xdr:colOff>752474</xdr:colOff>
      <xdr:row>51</xdr:row>
      <xdr:rowOff>95249</xdr:rowOff>
    </xdr:from>
    <xdr:to>
      <xdr:col>12</xdr:col>
      <xdr:colOff>781049</xdr:colOff>
      <xdr:row>53</xdr:row>
      <xdr:rowOff>9524</xdr:rowOff>
    </xdr:to>
    <xdr:sp macro="" textlink="">
      <xdr:nvSpPr>
        <xdr:cNvPr id="34" name="33 CuadroTexto"/>
        <xdr:cNvSpPr txBox="1"/>
      </xdr:nvSpPr>
      <xdr:spPr>
        <a:xfrm>
          <a:off x="8762999" y="9877424"/>
          <a:ext cx="1552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 = C + IB + GP + X -M</a:t>
          </a:r>
        </a:p>
      </xdr:txBody>
    </xdr:sp>
    <xdr:clientData/>
  </xdr:twoCellAnchor>
  <xdr:twoCellAnchor>
    <xdr:from>
      <xdr:col>8</xdr:col>
      <xdr:colOff>219075</xdr:colOff>
      <xdr:row>52</xdr:row>
      <xdr:rowOff>47625</xdr:rowOff>
    </xdr:from>
    <xdr:to>
      <xdr:col>8</xdr:col>
      <xdr:colOff>723900</xdr:colOff>
      <xdr:row>53</xdr:row>
      <xdr:rowOff>95250</xdr:rowOff>
    </xdr:to>
    <xdr:sp macro="" textlink="">
      <xdr:nvSpPr>
        <xdr:cNvPr id="35" name="34 CuadroTexto"/>
        <xdr:cNvSpPr txBox="1"/>
      </xdr:nvSpPr>
      <xdr:spPr>
        <a:xfrm>
          <a:off x="5000625" y="1571625"/>
          <a:ext cx="5048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$890</a:t>
          </a:r>
        </a:p>
      </xdr:txBody>
    </xdr:sp>
    <xdr:clientData/>
  </xdr:twoCellAnchor>
  <xdr:twoCellAnchor>
    <xdr:from>
      <xdr:col>9</xdr:col>
      <xdr:colOff>495300</xdr:colOff>
      <xdr:row>57</xdr:row>
      <xdr:rowOff>104775</xdr:rowOff>
    </xdr:from>
    <xdr:to>
      <xdr:col>10</xdr:col>
      <xdr:colOff>238125</xdr:colOff>
      <xdr:row>58</xdr:row>
      <xdr:rowOff>171450</xdr:rowOff>
    </xdr:to>
    <xdr:sp macro="" textlink="">
      <xdr:nvSpPr>
        <xdr:cNvPr id="36" name="35 CuadroTexto"/>
        <xdr:cNvSpPr txBox="1"/>
      </xdr:nvSpPr>
      <xdr:spPr>
        <a:xfrm>
          <a:off x="7743825" y="11029950"/>
          <a:ext cx="5048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$890</a:t>
          </a:r>
        </a:p>
      </xdr:txBody>
    </xdr:sp>
    <xdr:clientData/>
  </xdr:twoCellAnchor>
  <xdr:twoCellAnchor>
    <xdr:from>
      <xdr:col>10</xdr:col>
      <xdr:colOff>704850</xdr:colOff>
      <xdr:row>57</xdr:row>
      <xdr:rowOff>152400</xdr:rowOff>
    </xdr:from>
    <xdr:to>
      <xdr:col>12</xdr:col>
      <xdr:colOff>66675</xdr:colOff>
      <xdr:row>59</xdr:row>
      <xdr:rowOff>0</xdr:rowOff>
    </xdr:to>
    <xdr:sp macro="" textlink="">
      <xdr:nvSpPr>
        <xdr:cNvPr id="38" name="37 CuadroTexto"/>
        <xdr:cNvSpPr txBox="1"/>
      </xdr:nvSpPr>
      <xdr:spPr>
        <a:xfrm>
          <a:off x="8715375" y="11077575"/>
          <a:ext cx="8858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Y</a:t>
          </a:r>
          <a:r>
            <a:rPr lang="es-AR" sz="1100" baseline="0"/>
            <a:t> = PBI </a:t>
          </a:r>
          <a:r>
            <a:rPr lang="es-AR" sz="1100" baseline="-25000"/>
            <a:t>R</a:t>
          </a:r>
        </a:p>
      </xdr:txBody>
    </xdr:sp>
    <xdr:clientData/>
  </xdr:twoCellAnchor>
  <xdr:twoCellAnchor>
    <xdr:from>
      <xdr:col>7</xdr:col>
      <xdr:colOff>9525</xdr:colOff>
      <xdr:row>26</xdr:row>
      <xdr:rowOff>9525</xdr:rowOff>
    </xdr:from>
    <xdr:to>
      <xdr:col>9</xdr:col>
      <xdr:colOff>400050</xdr:colOff>
      <xdr:row>26</xdr:row>
      <xdr:rowOff>19050</xdr:rowOff>
    </xdr:to>
    <xdr:cxnSp macro="">
      <xdr:nvCxnSpPr>
        <xdr:cNvPr id="61" name="60 Conector recto de flecha"/>
        <xdr:cNvCxnSpPr/>
      </xdr:nvCxnSpPr>
      <xdr:spPr>
        <a:xfrm flipV="1">
          <a:off x="5629275" y="4581525"/>
          <a:ext cx="19145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19051</xdr:colOff>
      <xdr:row>18</xdr:row>
      <xdr:rowOff>95250</xdr:rowOff>
    </xdr:from>
    <xdr:to>
      <xdr:col>7</xdr:col>
      <xdr:colOff>38101</xdr:colOff>
      <xdr:row>26</xdr:row>
      <xdr:rowOff>9525</xdr:rowOff>
    </xdr:to>
    <xdr:cxnSp macro="">
      <xdr:nvCxnSpPr>
        <xdr:cNvPr id="65" name="64 Conector recto de flecha"/>
        <xdr:cNvCxnSpPr/>
      </xdr:nvCxnSpPr>
      <xdr:spPr>
        <a:xfrm rot="16200000" flipV="1">
          <a:off x="4929188" y="3852863"/>
          <a:ext cx="143827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23</xdr:row>
      <xdr:rowOff>0</xdr:rowOff>
    </xdr:from>
    <xdr:to>
      <xdr:col>9</xdr:col>
      <xdr:colOff>285750</xdr:colOff>
      <xdr:row>23</xdr:row>
      <xdr:rowOff>19050</xdr:rowOff>
    </xdr:to>
    <xdr:cxnSp macro="">
      <xdr:nvCxnSpPr>
        <xdr:cNvPr id="69" name="68 Conector recto"/>
        <xdr:cNvCxnSpPr/>
      </xdr:nvCxnSpPr>
      <xdr:spPr>
        <a:xfrm flipV="1">
          <a:off x="5667375" y="4000500"/>
          <a:ext cx="17621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22</xdr:row>
      <xdr:rowOff>57150</xdr:rowOff>
    </xdr:from>
    <xdr:to>
      <xdr:col>10</xdr:col>
      <xdr:colOff>514350</xdr:colOff>
      <xdr:row>23</xdr:row>
      <xdr:rowOff>142875</xdr:rowOff>
    </xdr:to>
    <xdr:sp macro="" textlink="">
      <xdr:nvSpPr>
        <xdr:cNvPr id="70" name="69 CuadroTexto"/>
        <xdr:cNvSpPr txBox="1"/>
      </xdr:nvSpPr>
      <xdr:spPr>
        <a:xfrm>
          <a:off x="7562850" y="3867150"/>
          <a:ext cx="8572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Inversión</a:t>
          </a:r>
        </a:p>
      </xdr:txBody>
    </xdr:sp>
    <xdr:clientData/>
  </xdr:twoCellAnchor>
  <xdr:twoCellAnchor>
    <xdr:from>
      <xdr:col>7</xdr:col>
      <xdr:colOff>161925</xdr:colOff>
      <xdr:row>18</xdr:row>
      <xdr:rowOff>180976</xdr:rowOff>
    </xdr:from>
    <xdr:to>
      <xdr:col>8</xdr:col>
      <xdr:colOff>552450</xdr:colOff>
      <xdr:row>27</xdr:row>
      <xdr:rowOff>133351</xdr:rowOff>
    </xdr:to>
    <xdr:cxnSp macro="">
      <xdr:nvCxnSpPr>
        <xdr:cNvPr id="74" name="73 Conector recto"/>
        <xdr:cNvCxnSpPr/>
      </xdr:nvCxnSpPr>
      <xdr:spPr>
        <a:xfrm rot="5400000" flipH="1" flipV="1">
          <a:off x="5524500" y="3486151"/>
          <a:ext cx="1666875" cy="1152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26</xdr:row>
      <xdr:rowOff>85725</xdr:rowOff>
    </xdr:from>
    <xdr:to>
      <xdr:col>10</xdr:col>
      <xdr:colOff>152400</xdr:colOff>
      <xdr:row>27</xdr:row>
      <xdr:rowOff>85725</xdr:rowOff>
    </xdr:to>
    <xdr:sp macro="" textlink="">
      <xdr:nvSpPr>
        <xdr:cNvPr id="75" name="74 CuadroTexto"/>
        <xdr:cNvSpPr txBox="1"/>
      </xdr:nvSpPr>
      <xdr:spPr>
        <a:xfrm>
          <a:off x="7467600" y="5067300"/>
          <a:ext cx="6953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Yd</a:t>
          </a:r>
        </a:p>
      </xdr:txBody>
    </xdr:sp>
    <xdr:clientData/>
  </xdr:twoCellAnchor>
  <xdr:twoCellAnchor>
    <xdr:from>
      <xdr:col>8</xdr:col>
      <xdr:colOff>8731</xdr:colOff>
      <xdr:row>18</xdr:row>
      <xdr:rowOff>143669</xdr:rowOff>
    </xdr:from>
    <xdr:to>
      <xdr:col>8</xdr:col>
      <xdr:colOff>10319</xdr:colOff>
      <xdr:row>26</xdr:row>
      <xdr:rowOff>48419</xdr:rowOff>
    </xdr:to>
    <xdr:cxnSp macro="">
      <xdr:nvCxnSpPr>
        <xdr:cNvPr id="81" name="80 Conector recto"/>
        <xdr:cNvCxnSpPr/>
      </xdr:nvCxnSpPr>
      <xdr:spPr>
        <a:xfrm rot="5400000">
          <a:off x="5676900" y="3905250"/>
          <a:ext cx="1428750" cy="1588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628650</xdr:colOff>
      <xdr:row>18</xdr:row>
      <xdr:rowOff>123825</xdr:rowOff>
    </xdr:from>
    <xdr:to>
      <xdr:col>9</xdr:col>
      <xdr:colOff>723900</xdr:colOff>
      <xdr:row>20</xdr:row>
      <xdr:rowOff>0</xdr:rowOff>
    </xdr:to>
    <xdr:sp macro="" textlink="">
      <xdr:nvSpPr>
        <xdr:cNvPr id="63" name="62 CuadroTexto"/>
        <xdr:cNvSpPr txBox="1"/>
      </xdr:nvSpPr>
      <xdr:spPr>
        <a:xfrm>
          <a:off x="7115175" y="3562350"/>
          <a:ext cx="8572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Ahorro ( S)</a:t>
          </a:r>
        </a:p>
      </xdr:txBody>
    </xdr:sp>
    <xdr:clientData/>
  </xdr:twoCellAnchor>
  <xdr:twoCellAnchor>
    <xdr:from>
      <xdr:col>6</xdr:col>
      <xdr:colOff>180975</xdr:colOff>
      <xdr:row>18</xdr:row>
      <xdr:rowOff>180976</xdr:rowOff>
    </xdr:from>
    <xdr:to>
      <xdr:col>6</xdr:col>
      <xdr:colOff>733425</xdr:colOff>
      <xdr:row>20</xdr:row>
      <xdr:rowOff>47626</xdr:rowOff>
    </xdr:to>
    <xdr:sp macro="" textlink="">
      <xdr:nvSpPr>
        <xdr:cNvPr id="67" name="66 CuadroTexto"/>
        <xdr:cNvSpPr txBox="1"/>
      </xdr:nvSpPr>
      <xdr:spPr>
        <a:xfrm>
          <a:off x="5143500" y="3619501"/>
          <a:ext cx="552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S</a:t>
          </a:r>
          <a:r>
            <a:rPr lang="es-AR" sz="1100" baseline="0"/>
            <a:t>  /  I </a:t>
          </a:r>
          <a:endParaRPr lang="es-AR" sz="1100"/>
        </a:p>
      </xdr:txBody>
    </xdr:sp>
    <xdr:clientData/>
  </xdr:twoCellAnchor>
  <xdr:twoCellAnchor>
    <xdr:from>
      <xdr:col>7</xdr:col>
      <xdr:colOff>19051</xdr:colOff>
      <xdr:row>18</xdr:row>
      <xdr:rowOff>95250</xdr:rowOff>
    </xdr:from>
    <xdr:to>
      <xdr:col>7</xdr:col>
      <xdr:colOff>38101</xdr:colOff>
      <xdr:row>26</xdr:row>
      <xdr:rowOff>9525</xdr:rowOff>
    </xdr:to>
    <xdr:cxnSp macro="">
      <xdr:nvCxnSpPr>
        <xdr:cNvPr id="71" name="70 Conector recto de flecha"/>
        <xdr:cNvCxnSpPr/>
      </xdr:nvCxnSpPr>
      <xdr:spPr>
        <a:xfrm rot="16200000" flipV="1">
          <a:off x="5024438" y="4252913"/>
          <a:ext cx="14573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22</xdr:row>
      <xdr:rowOff>95249</xdr:rowOff>
    </xdr:from>
    <xdr:to>
      <xdr:col>7</xdr:col>
      <xdr:colOff>19050</xdr:colOff>
      <xdr:row>23</xdr:row>
      <xdr:rowOff>161924</xdr:rowOff>
    </xdr:to>
    <xdr:sp macro="" textlink="">
      <xdr:nvSpPr>
        <xdr:cNvPr id="80" name="79 CuadroTexto"/>
        <xdr:cNvSpPr txBox="1"/>
      </xdr:nvSpPr>
      <xdr:spPr>
        <a:xfrm>
          <a:off x="5238750" y="4314824"/>
          <a:ext cx="5048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/>
          <a:r>
            <a:rPr lang="es-AR" sz="1100"/>
            <a:t>$ 50</a:t>
          </a:r>
        </a:p>
      </xdr:txBody>
    </xdr:sp>
    <xdr:clientData/>
  </xdr:twoCellAnchor>
  <xdr:twoCellAnchor>
    <xdr:from>
      <xdr:col>7</xdr:col>
      <xdr:colOff>476250</xdr:colOff>
      <xdr:row>26</xdr:row>
      <xdr:rowOff>95250</xdr:rowOff>
    </xdr:from>
    <xdr:to>
      <xdr:col>8</xdr:col>
      <xdr:colOff>219075</xdr:colOff>
      <xdr:row>27</xdr:row>
      <xdr:rowOff>152400</xdr:rowOff>
    </xdr:to>
    <xdr:sp macro="" textlink="">
      <xdr:nvSpPr>
        <xdr:cNvPr id="82" name="81 CuadroTexto"/>
        <xdr:cNvSpPr txBox="1"/>
      </xdr:nvSpPr>
      <xdr:spPr>
        <a:xfrm>
          <a:off x="6200775" y="5076825"/>
          <a:ext cx="5048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$500</a:t>
          </a:r>
        </a:p>
      </xdr:txBody>
    </xdr:sp>
    <xdr:clientData/>
  </xdr:twoCellAnchor>
  <xdr:twoCellAnchor>
    <xdr:from>
      <xdr:col>7</xdr:col>
      <xdr:colOff>485775</xdr:colOff>
      <xdr:row>34</xdr:row>
      <xdr:rowOff>104775</xdr:rowOff>
    </xdr:from>
    <xdr:to>
      <xdr:col>7</xdr:col>
      <xdr:colOff>742950</xdr:colOff>
      <xdr:row>35</xdr:row>
      <xdr:rowOff>133350</xdr:rowOff>
    </xdr:to>
    <xdr:sp macro="" textlink="">
      <xdr:nvSpPr>
        <xdr:cNvPr id="86" name="85 CuadroTexto"/>
        <xdr:cNvSpPr txBox="1"/>
      </xdr:nvSpPr>
      <xdr:spPr>
        <a:xfrm>
          <a:off x="7734300" y="8934450"/>
          <a:ext cx="2571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</a:t>
          </a:r>
        </a:p>
      </xdr:txBody>
    </xdr:sp>
    <xdr:clientData/>
  </xdr:twoCellAnchor>
  <xdr:twoCellAnchor>
    <xdr:from>
      <xdr:col>6</xdr:col>
      <xdr:colOff>695325</xdr:colOff>
      <xdr:row>40</xdr:row>
      <xdr:rowOff>19050</xdr:rowOff>
    </xdr:from>
    <xdr:to>
      <xdr:col>9</xdr:col>
      <xdr:colOff>190500</xdr:colOff>
      <xdr:row>40</xdr:row>
      <xdr:rowOff>20638</xdr:rowOff>
    </xdr:to>
    <xdr:cxnSp macro="">
      <xdr:nvCxnSpPr>
        <xdr:cNvPr id="87" name="86 Conector recto de flecha"/>
        <xdr:cNvCxnSpPr/>
      </xdr:nvCxnSpPr>
      <xdr:spPr>
        <a:xfrm>
          <a:off x="7181850" y="9991725"/>
          <a:ext cx="1781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742952</xdr:colOff>
      <xdr:row>30</xdr:row>
      <xdr:rowOff>38101</xdr:rowOff>
    </xdr:from>
    <xdr:to>
      <xdr:col>7</xdr:col>
      <xdr:colOff>9525</xdr:colOff>
      <xdr:row>40</xdr:row>
      <xdr:rowOff>19052</xdr:rowOff>
    </xdr:to>
    <xdr:cxnSp macro="">
      <xdr:nvCxnSpPr>
        <xdr:cNvPr id="88" name="87 Conector recto de flecha"/>
        <xdr:cNvCxnSpPr/>
      </xdr:nvCxnSpPr>
      <xdr:spPr>
        <a:xfrm rot="5400000" flipH="1" flipV="1">
          <a:off x="6300788" y="9034465"/>
          <a:ext cx="1885951" cy="2857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742950</xdr:colOff>
      <xdr:row>31</xdr:row>
      <xdr:rowOff>171451</xdr:rowOff>
    </xdr:from>
    <xdr:to>
      <xdr:col>8</xdr:col>
      <xdr:colOff>561975</xdr:colOff>
      <xdr:row>40</xdr:row>
      <xdr:rowOff>9526</xdr:rowOff>
    </xdr:to>
    <xdr:cxnSp macro="">
      <xdr:nvCxnSpPr>
        <xdr:cNvPr id="89" name="88 Conector recto"/>
        <xdr:cNvCxnSpPr/>
      </xdr:nvCxnSpPr>
      <xdr:spPr>
        <a:xfrm rot="5400000" flipH="1" flipV="1">
          <a:off x="7124700" y="8534401"/>
          <a:ext cx="1552575" cy="13430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34</xdr:row>
      <xdr:rowOff>171450</xdr:rowOff>
    </xdr:from>
    <xdr:to>
      <xdr:col>8</xdr:col>
      <xdr:colOff>723900</xdr:colOff>
      <xdr:row>36</xdr:row>
      <xdr:rowOff>76200</xdr:rowOff>
    </xdr:to>
    <xdr:cxnSp macro="">
      <xdr:nvCxnSpPr>
        <xdr:cNvPr id="90" name="89 Conector recto"/>
        <xdr:cNvCxnSpPr/>
      </xdr:nvCxnSpPr>
      <xdr:spPr>
        <a:xfrm flipV="1">
          <a:off x="7324725" y="9001125"/>
          <a:ext cx="140970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35</xdr:row>
      <xdr:rowOff>152399</xdr:rowOff>
    </xdr:from>
    <xdr:to>
      <xdr:col>7</xdr:col>
      <xdr:colOff>676275</xdr:colOff>
      <xdr:row>35</xdr:row>
      <xdr:rowOff>161924</xdr:rowOff>
    </xdr:to>
    <xdr:cxnSp macro="">
      <xdr:nvCxnSpPr>
        <xdr:cNvPr id="91" name="90 Conector recto"/>
        <xdr:cNvCxnSpPr/>
      </xdr:nvCxnSpPr>
      <xdr:spPr>
        <a:xfrm rot="10800000" flipV="1">
          <a:off x="7258050" y="9172574"/>
          <a:ext cx="666750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35</xdr:row>
      <xdr:rowOff>152398</xdr:rowOff>
    </xdr:from>
    <xdr:to>
      <xdr:col>7</xdr:col>
      <xdr:colOff>723900</xdr:colOff>
      <xdr:row>40</xdr:row>
      <xdr:rowOff>19049</xdr:rowOff>
    </xdr:to>
    <xdr:cxnSp macro="">
      <xdr:nvCxnSpPr>
        <xdr:cNvPr id="92" name="91 Conector recto"/>
        <xdr:cNvCxnSpPr/>
      </xdr:nvCxnSpPr>
      <xdr:spPr>
        <a:xfrm rot="16200000" flipH="1">
          <a:off x="7558087" y="9577386"/>
          <a:ext cx="819151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752475</xdr:colOff>
      <xdr:row>34</xdr:row>
      <xdr:rowOff>95251</xdr:rowOff>
    </xdr:from>
    <xdr:to>
      <xdr:col>10</xdr:col>
      <xdr:colOff>323851</xdr:colOff>
      <xdr:row>35</xdr:row>
      <xdr:rowOff>123826</xdr:rowOff>
    </xdr:to>
    <xdr:sp macro="" textlink="">
      <xdr:nvSpPr>
        <xdr:cNvPr id="93" name="92 CuadroTexto"/>
        <xdr:cNvSpPr txBox="1"/>
      </xdr:nvSpPr>
      <xdr:spPr>
        <a:xfrm>
          <a:off x="7239000" y="6610351"/>
          <a:ext cx="109537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 = C + IB + GP </a:t>
          </a:r>
        </a:p>
      </xdr:txBody>
    </xdr:sp>
    <xdr:clientData/>
  </xdr:twoCellAnchor>
  <xdr:twoCellAnchor>
    <xdr:from>
      <xdr:col>6</xdr:col>
      <xdr:colOff>133351</xdr:colOff>
      <xdr:row>35</xdr:row>
      <xdr:rowOff>47625</xdr:rowOff>
    </xdr:from>
    <xdr:to>
      <xdr:col>6</xdr:col>
      <xdr:colOff>723901</xdr:colOff>
      <xdr:row>36</xdr:row>
      <xdr:rowOff>95250</xdr:rowOff>
    </xdr:to>
    <xdr:sp macro="" textlink="">
      <xdr:nvSpPr>
        <xdr:cNvPr id="94" name="93 CuadroTexto"/>
        <xdr:cNvSpPr txBox="1"/>
      </xdr:nvSpPr>
      <xdr:spPr>
        <a:xfrm>
          <a:off x="5095876" y="6762750"/>
          <a:ext cx="590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$1140</a:t>
          </a:r>
        </a:p>
      </xdr:txBody>
    </xdr:sp>
    <xdr:clientData/>
  </xdr:twoCellAnchor>
  <xdr:twoCellAnchor>
    <xdr:from>
      <xdr:col>7</xdr:col>
      <xdr:colOff>352426</xdr:colOff>
      <xdr:row>40</xdr:row>
      <xdr:rowOff>104775</xdr:rowOff>
    </xdr:from>
    <xdr:to>
      <xdr:col>8</xdr:col>
      <xdr:colOff>238126</xdr:colOff>
      <xdr:row>41</xdr:row>
      <xdr:rowOff>152400</xdr:rowOff>
    </xdr:to>
    <xdr:sp macro="" textlink="">
      <xdr:nvSpPr>
        <xdr:cNvPr id="95" name="94 CuadroTexto"/>
        <xdr:cNvSpPr txBox="1"/>
      </xdr:nvSpPr>
      <xdr:spPr>
        <a:xfrm>
          <a:off x="6076951" y="7772400"/>
          <a:ext cx="6477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$1140</a:t>
          </a:r>
        </a:p>
        <a:p>
          <a:endParaRPr lang="es-AR" sz="1100"/>
        </a:p>
        <a:p>
          <a:endParaRPr lang="es-AR" sz="1100"/>
        </a:p>
      </xdr:txBody>
    </xdr:sp>
    <xdr:clientData/>
  </xdr:twoCellAnchor>
  <xdr:twoCellAnchor>
    <xdr:from>
      <xdr:col>8</xdr:col>
      <xdr:colOff>704850</xdr:colOff>
      <xdr:row>40</xdr:row>
      <xdr:rowOff>152399</xdr:rowOff>
    </xdr:from>
    <xdr:to>
      <xdr:col>10</xdr:col>
      <xdr:colOff>66675</xdr:colOff>
      <xdr:row>42</xdr:row>
      <xdr:rowOff>57150</xdr:rowOff>
    </xdr:to>
    <xdr:sp macro="" textlink="">
      <xdr:nvSpPr>
        <xdr:cNvPr id="96" name="95 CuadroTexto"/>
        <xdr:cNvSpPr txBox="1"/>
      </xdr:nvSpPr>
      <xdr:spPr>
        <a:xfrm>
          <a:off x="7191375" y="7820024"/>
          <a:ext cx="885825" cy="285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Y</a:t>
          </a:r>
          <a:r>
            <a:rPr lang="es-AR" sz="1100" baseline="0"/>
            <a:t> = PBI </a:t>
          </a:r>
          <a:r>
            <a:rPr lang="es-AR" sz="1100" baseline="-25000"/>
            <a:t>R</a:t>
          </a:r>
        </a:p>
      </xdr:txBody>
    </xdr:sp>
    <xdr:clientData/>
  </xdr:twoCellAnchor>
  <xdr:twoCellAnchor>
    <xdr:from>
      <xdr:col>8</xdr:col>
      <xdr:colOff>485775</xdr:colOff>
      <xdr:row>30</xdr:row>
      <xdr:rowOff>104775</xdr:rowOff>
    </xdr:from>
    <xdr:to>
      <xdr:col>9</xdr:col>
      <xdr:colOff>238125</xdr:colOff>
      <xdr:row>31</xdr:row>
      <xdr:rowOff>114300</xdr:rowOff>
    </xdr:to>
    <xdr:sp macro="" textlink="">
      <xdr:nvSpPr>
        <xdr:cNvPr id="97" name="96 CuadroTexto"/>
        <xdr:cNvSpPr txBox="1"/>
      </xdr:nvSpPr>
      <xdr:spPr>
        <a:xfrm>
          <a:off x="6972300" y="5848350"/>
          <a:ext cx="5143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AR" sz="1100"/>
        </a:p>
      </xdr:txBody>
    </xdr:sp>
    <xdr:clientData/>
  </xdr:twoCellAnchor>
  <xdr:twoCellAnchor>
    <xdr:from>
      <xdr:col>8</xdr:col>
      <xdr:colOff>485775</xdr:colOff>
      <xdr:row>30</xdr:row>
      <xdr:rowOff>104775</xdr:rowOff>
    </xdr:from>
    <xdr:to>
      <xdr:col>9</xdr:col>
      <xdr:colOff>619125</xdr:colOff>
      <xdr:row>31</xdr:row>
      <xdr:rowOff>133350</xdr:rowOff>
    </xdr:to>
    <xdr:sp macro="" textlink="">
      <xdr:nvSpPr>
        <xdr:cNvPr id="98" name="97 CuadroTexto"/>
        <xdr:cNvSpPr txBox="1"/>
      </xdr:nvSpPr>
      <xdr:spPr>
        <a:xfrm>
          <a:off x="6972300" y="5848350"/>
          <a:ext cx="89535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OA = Y</a:t>
          </a:r>
          <a:r>
            <a:rPr lang="es-AR" sz="1100" baseline="0"/>
            <a:t> = DA</a:t>
          </a:r>
          <a:endParaRPr lang="es-AR" sz="1100"/>
        </a:p>
      </xdr:txBody>
    </xdr:sp>
    <xdr:clientData/>
  </xdr:twoCellAnchor>
  <xdr:twoCellAnchor>
    <xdr:from>
      <xdr:col>8</xdr:col>
      <xdr:colOff>133350</xdr:colOff>
      <xdr:row>47</xdr:row>
      <xdr:rowOff>104775</xdr:rowOff>
    </xdr:from>
    <xdr:to>
      <xdr:col>8</xdr:col>
      <xdr:colOff>638175</xdr:colOff>
      <xdr:row>48</xdr:row>
      <xdr:rowOff>152400</xdr:rowOff>
    </xdr:to>
    <xdr:sp macro="" textlink="">
      <xdr:nvSpPr>
        <xdr:cNvPr id="99" name="98 CuadroTexto"/>
        <xdr:cNvSpPr txBox="1"/>
      </xdr:nvSpPr>
      <xdr:spPr>
        <a:xfrm>
          <a:off x="6619875" y="9124950"/>
          <a:ext cx="5048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/>
          <a:r>
            <a:rPr lang="es-AR" sz="1100"/>
            <a:t>DA</a:t>
          </a:r>
        </a:p>
      </xdr:txBody>
    </xdr:sp>
    <xdr:clientData/>
  </xdr:twoCellAnchor>
  <xdr:twoCellAnchor>
    <xdr:from>
      <xdr:col>10</xdr:col>
      <xdr:colOff>0</xdr:colOff>
      <xdr:row>48</xdr:row>
      <xdr:rowOff>0</xdr:rowOff>
    </xdr:from>
    <xdr:to>
      <xdr:col>11</xdr:col>
      <xdr:colOff>133350</xdr:colOff>
      <xdr:row>49</xdr:row>
      <xdr:rowOff>28575</xdr:rowOff>
    </xdr:to>
    <xdr:sp macro="" textlink="">
      <xdr:nvSpPr>
        <xdr:cNvPr id="100" name="99 CuadroTexto"/>
        <xdr:cNvSpPr txBox="1"/>
      </xdr:nvSpPr>
      <xdr:spPr>
        <a:xfrm>
          <a:off x="8010525" y="9210675"/>
          <a:ext cx="89535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OA = Y</a:t>
          </a:r>
          <a:r>
            <a:rPr lang="es-AR" sz="1100" baseline="0"/>
            <a:t> = DA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13</xdr:row>
      <xdr:rowOff>161925</xdr:rowOff>
    </xdr:from>
    <xdr:to>
      <xdr:col>10</xdr:col>
      <xdr:colOff>66675</xdr:colOff>
      <xdr:row>15</xdr:row>
      <xdr:rowOff>9525</xdr:rowOff>
    </xdr:to>
    <xdr:sp macro="" textlink="">
      <xdr:nvSpPr>
        <xdr:cNvPr id="2" name="1 CuadroTexto"/>
        <xdr:cNvSpPr txBox="1"/>
      </xdr:nvSpPr>
      <xdr:spPr>
        <a:xfrm>
          <a:off x="7743825" y="14382750"/>
          <a:ext cx="3333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E1</a:t>
          </a:r>
        </a:p>
      </xdr:txBody>
    </xdr:sp>
    <xdr:clientData/>
  </xdr:twoCellAnchor>
  <xdr:twoCellAnchor>
    <xdr:from>
      <xdr:col>10</xdr:col>
      <xdr:colOff>190500</xdr:colOff>
      <xdr:row>11</xdr:row>
      <xdr:rowOff>9525</xdr:rowOff>
    </xdr:from>
    <xdr:to>
      <xdr:col>10</xdr:col>
      <xdr:colOff>523875</xdr:colOff>
      <xdr:row>12</xdr:row>
      <xdr:rowOff>19050</xdr:rowOff>
    </xdr:to>
    <xdr:sp macro="" textlink="">
      <xdr:nvSpPr>
        <xdr:cNvPr id="3" name="2 CuadroTexto"/>
        <xdr:cNvSpPr txBox="1"/>
      </xdr:nvSpPr>
      <xdr:spPr>
        <a:xfrm>
          <a:off x="8201025" y="13849350"/>
          <a:ext cx="33337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E3</a:t>
          </a:r>
        </a:p>
        <a:p>
          <a:endParaRPr lang="es-AR" sz="1100"/>
        </a:p>
      </xdr:txBody>
    </xdr:sp>
    <xdr:clientData/>
  </xdr:twoCellAnchor>
  <xdr:twoCellAnchor>
    <xdr:from>
      <xdr:col>10</xdr:col>
      <xdr:colOff>47625</xdr:colOff>
      <xdr:row>12</xdr:row>
      <xdr:rowOff>123825</xdr:rowOff>
    </xdr:from>
    <xdr:to>
      <xdr:col>10</xdr:col>
      <xdr:colOff>381000</xdr:colOff>
      <xdr:row>13</xdr:row>
      <xdr:rowOff>133350</xdr:rowOff>
    </xdr:to>
    <xdr:sp macro="" textlink="">
      <xdr:nvSpPr>
        <xdr:cNvPr id="4" name="3 CuadroTexto"/>
        <xdr:cNvSpPr txBox="1"/>
      </xdr:nvSpPr>
      <xdr:spPr>
        <a:xfrm>
          <a:off x="8058150" y="14154150"/>
          <a:ext cx="33337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E2</a:t>
          </a:r>
        </a:p>
      </xdr:txBody>
    </xdr:sp>
    <xdr:clientData/>
  </xdr:twoCellAnchor>
  <xdr:twoCellAnchor>
    <xdr:from>
      <xdr:col>8</xdr:col>
      <xdr:colOff>695325</xdr:colOff>
      <xdr:row>19</xdr:row>
      <xdr:rowOff>19050</xdr:rowOff>
    </xdr:from>
    <xdr:to>
      <xdr:col>11</xdr:col>
      <xdr:colOff>190500</xdr:colOff>
      <xdr:row>19</xdr:row>
      <xdr:rowOff>20638</xdr:rowOff>
    </xdr:to>
    <xdr:cxnSp macro="">
      <xdr:nvCxnSpPr>
        <xdr:cNvPr id="5" name="4 Conector recto de flecha"/>
        <xdr:cNvCxnSpPr/>
      </xdr:nvCxnSpPr>
      <xdr:spPr>
        <a:xfrm>
          <a:off x="7181850" y="15401925"/>
          <a:ext cx="17811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742952</xdr:colOff>
      <xdr:row>9</xdr:row>
      <xdr:rowOff>38101</xdr:rowOff>
    </xdr:from>
    <xdr:to>
      <xdr:col>9</xdr:col>
      <xdr:colOff>9525</xdr:colOff>
      <xdr:row>19</xdr:row>
      <xdr:rowOff>19052</xdr:rowOff>
    </xdr:to>
    <xdr:cxnSp macro="">
      <xdr:nvCxnSpPr>
        <xdr:cNvPr id="6" name="5 Conector recto de flecha"/>
        <xdr:cNvCxnSpPr/>
      </xdr:nvCxnSpPr>
      <xdr:spPr>
        <a:xfrm rot="5400000" flipH="1" flipV="1">
          <a:off x="6291263" y="14435140"/>
          <a:ext cx="1905001" cy="2857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10</xdr:row>
      <xdr:rowOff>171451</xdr:rowOff>
    </xdr:from>
    <xdr:to>
      <xdr:col>10</xdr:col>
      <xdr:colOff>561975</xdr:colOff>
      <xdr:row>19</xdr:row>
      <xdr:rowOff>9526</xdr:rowOff>
    </xdr:to>
    <xdr:cxnSp macro="">
      <xdr:nvCxnSpPr>
        <xdr:cNvPr id="7" name="6 Conector recto"/>
        <xdr:cNvCxnSpPr/>
      </xdr:nvCxnSpPr>
      <xdr:spPr>
        <a:xfrm rot="5400000" flipH="1" flipV="1">
          <a:off x="7115175" y="13935076"/>
          <a:ext cx="1571625" cy="1343025"/>
        </a:xfrm>
        <a:prstGeom prst="line">
          <a:avLst/>
        </a:prstGeom>
        <a:ln w="28575">
          <a:solidFill>
            <a:schemeClr val="accent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13</xdr:row>
      <xdr:rowOff>171450</xdr:rowOff>
    </xdr:from>
    <xdr:to>
      <xdr:col>10</xdr:col>
      <xdr:colOff>723900</xdr:colOff>
      <xdr:row>15</xdr:row>
      <xdr:rowOff>76200</xdr:rowOff>
    </xdr:to>
    <xdr:cxnSp macro="">
      <xdr:nvCxnSpPr>
        <xdr:cNvPr id="8" name="7 Conector recto"/>
        <xdr:cNvCxnSpPr/>
      </xdr:nvCxnSpPr>
      <xdr:spPr>
        <a:xfrm flipV="1">
          <a:off x="7324725" y="14392275"/>
          <a:ext cx="140970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14</xdr:row>
      <xdr:rowOff>152399</xdr:rowOff>
    </xdr:from>
    <xdr:to>
      <xdr:col>9</xdr:col>
      <xdr:colOff>676275</xdr:colOff>
      <xdr:row>14</xdr:row>
      <xdr:rowOff>161924</xdr:rowOff>
    </xdr:to>
    <xdr:cxnSp macro="">
      <xdr:nvCxnSpPr>
        <xdr:cNvPr id="9" name="8 Conector recto"/>
        <xdr:cNvCxnSpPr/>
      </xdr:nvCxnSpPr>
      <xdr:spPr>
        <a:xfrm rot="10800000" flipV="1">
          <a:off x="7258050" y="14563724"/>
          <a:ext cx="666750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714375</xdr:colOff>
      <xdr:row>14</xdr:row>
      <xdr:rowOff>152398</xdr:rowOff>
    </xdr:from>
    <xdr:to>
      <xdr:col>9</xdr:col>
      <xdr:colOff>723900</xdr:colOff>
      <xdr:row>19</xdr:row>
      <xdr:rowOff>19049</xdr:rowOff>
    </xdr:to>
    <xdr:cxnSp macro="">
      <xdr:nvCxnSpPr>
        <xdr:cNvPr id="10" name="9 Conector recto"/>
        <xdr:cNvCxnSpPr/>
      </xdr:nvCxnSpPr>
      <xdr:spPr>
        <a:xfrm rot="16200000" flipH="1">
          <a:off x="7548562" y="14978061"/>
          <a:ext cx="838201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9</xdr:row>
      <xdr:rowOff>114300</xdr:rowOff>
    </xdr:from>
    <xdr:to>
      <xdr:col>11</xdr:col>
      <xdr:colOff>466725</xdr:colOff>
      <xdr:row>10</xdr:row>
      <xdr:rowOff>142875</xdr:rowOff>
    </xdr:to>
    <xdr:sp macro="" textlink="">
      <xdr:nvSpPr>
        <xdr:cNvPr id="11" name="10 CuadroTexto"/>
        <xdr:cNvSpPr txBox="1"/>
      </xdr:nvSpPr>
      <xdr:spPr>
        <a:xfrm>
          <a:off x="8343900" y="13573125"/>
          <a:ext cx="89535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OA = Y</a:t>
          </a:r>
          <a:r>
            <a:rPr lang="es-AR" sz="1100" baseline="0"/>
            <a:t> = DA</a:t>
          </a:r>
          <a:endParaRPr lang="es-AR" sz="1100"/>
        </a:p>
      </xdr:txBody>
    </xdr:sp>
    <xdr:clientData/>
  </xdr:twoCellAnchor>
  <xdr:twoCellAnchor>
    <xdr:from>
      <xdr:col>10</xdr:col>
      <xdr:colOff>752474</xdr:colOff>
      <xdr:row>13</xdr:row>
      <xdr:rowOff>95250</xdr:rowOff>
    </xdr:from>
    <xdr:to>
      <xdr:col>13</xdr:col>
      <xdr:colOff>85725</xdr:colOff>
      <xdr:row>14</xdr:row>
      <xdr:rowOff>133350</xdr:rowOff>
    </xdr:to>
    <xdr:sp macro="" textlink="">
      <xdr:nvSpPr>
        <xdr:cNvPr id="12" name="11 CuadroTexto"/>
        <xdr:cNvSpPr txBox="1"/>
      </xdr:nvSpPr>
      <xdr:spPr>
        <a:xfrm>
          <a:off x="8762999" y="14316075"/>
          <a:ext cx="197167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 = C + IB + GP + X -M</a:t>
          </a:r>
        </a:p>
      </xdr:txBody>
    </xdr:sp>
    <xdr:clientData/>
  </xdr:twoCellAnchor>
  <xdr:twoCellAnchor>
    <xdr:from>
      <xdr:col>8</xdr:col>
      <xdr:colOff>219075</xdr:colOff>
      <xdr:row>14</xdr:row>
      <xdr:rowOff>47625</xdr:rowOff>
    </xdr:from>
    <xdr:to>
      <xdr:col>8</xdr:col>
      <xdr:colOff>723900</xdr:colOff>
      <xdr:row>15</xdr:row>
      <xdr:rowOff>95250</xdr:rowOff>
    </xdr:to>
    <xdr:sp macro="" textlink="">
      <xdr:nvSpPr>
        <xdr:cNvPr id="13" name="12 CuadroTexto"/>
        <xdr:cNvSpPr txBox="1"/>
      </xdr:nvSpPr>
      <xdr:spPr>
        <a:xfrm>
          <a:off x="6705600" y="14458950"/>
          <a:ext cx="5048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$890</a:t>
          </a:r>
        </a:p>
      </xdr:txBody>
    </xdr:sp>
    <xdr:clientData/>
  </xdr:twoCellAnchor>
  <xdr:twoCellAnchor>
    <xdr:from>
      <xdr:col>9</xdr:col>
      <xdr:colOff>428625</xdr:colOff>
      <xdr:row>19</xdr:row>
      <xdr:rowOff>95250</xdr:rowOff>
    </xdr:from>
    <xdr:to>
      <xdr:col>10</xdr:col>
      <xdr:colOff>171450</xdr:colOff>
      <xdr:row>20</xdr:row>
      <xdr:rowOff>142875</xdr:rowOff>
    </xdr:to>
    <xdr:sp macro="" textlink="">
      <xdr:nvSpPr>
        <xdr:cNvPr id="14" name="13 CuadroTexto"/>
        <xdr:cNvSpPr txBox="1"/>
      </xdr:nvSpPr>
      <xdr:spPr>
        <a:xfrm>
          <a:off x="7677150" y="15478125"/>
          <a:ext cx="5048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$890</a:t>
          </a:r>
        </a:p>
      </xdr:txBody>
    </xdr:sp>
    <xdr:clientData/>
  </xdr:twoCellAnchor>
  <xdr:twoCellAnchor>
    <xdr:from>
      <xdr:col>8</xdr:col>
      <xdr:colOff>161925</xdr:colOff>
      <xdr:row>9</xdr:row>
      <xdr:rowOff>66675</xdr:rowOff>
    </xdr:from>
    <xdr:to>
      <xdr:col>8</xdr:col>
      <xdr:colOff>619125</xdr:colOff>
      <xdr:row>11</xdr:row>
      <xdr:rowOff>0</xdr:rowOff>
    </xdr:to>
    <xdr:sp macro="" textlink="">
      <xdr:nvSpPr>
        <xdr:cNvPr id="15" name="14 CuadroTexto"/>
        <xdr:cNvSpPr txBox="1"/>
      </xdr:nvSpPr>
      <xdr:spPr>
        <a:xfrm>
          <a:off x="6648450" y="13525500"/>
          <a:ext cx="457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</a:t>
          </a:r>
        </a:p>
      </xdr:txBody>
    </xdr:sp>
    <xdr:clientData/>
  </xdr:twoCellAnchor>
  <xdr:twoCellAnchor>
    <xdr:from>
      <xdr:col>10</xdr:col>
      <xdr:colOff>704850</xdr:colOff>
      <xdr:row>19</xdr:row>
      <xdr:rowOff>152398</xdr:rowOff>
    </xdr:from>
    <xdr:to>
      <xdr:col>12</xdr:col>
      <xdr:colOff>323850</xdr:colOff>
      <xdr:row>21</xdr:row>
      <xdr:rowOff>38100</xdr:rowOff>
    </xdr:to>
    <xdr:sp macro="" textlink="">
      <xdr:nvSpPr>
        <xdr:cNvPr id="16" name="15 CuadroTexto"/>
        <xdr:cNvSpPr txBox="1"/>
      </xdr:nvSpPr>
      <xdr:spPr>
        <a:xfrm>
          <a:off x="8715375" y="15535273"/>
          <a:ext cx="1143000" cy="2762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Y</a:t>
          </a:r>
          <a:r>
            <a:rPr lang="es-AR" sz="1100" baseline="0"/>
            <a:t> = PBI </a:t>
          </a:r>
          <a:r>
            <a:rPr lang="es-AR" sz="1100" baseline="-25000"/>
            <a:t>R</a:t>
          </a:r>
        </a:p>
      </xdr:txBody>
    </xdr:sp>
    <xdr:clientData/>
  </xdr:twoCellAnchor>
  <xdr:twoCellAnchor>
    <xdr:from>
      <xdr:col>9</xdr:col>
      <xdr:colOff>0</xdr:colOff>
      <xdr:row>13</xdr:row>
      <xdr:rowOff>66675</xdr:rowOff>
    </xdr:from>
    <xdr:to>
      <xdr:col>10</xdr:col>
      <xdr:colOff>180975</xdr:colOff>
      <xdr:row>13</xdr:row>
      <xdr:rowOff>104775</xdr:rowOff>
    </xdr:to>
    <xdr:cxnSp macro="">
      <xdr:nvCxnSpPr>
        <xdr:cNvPr id="17" name="16 Conector recto"/>
        <xdr:cNvCxnSpPr/>
      </xdr:nvCxnSpPr>
      <xdr:spPr>
        <a:xfrm flipV="1">
          <a:off x="7248525" y="14287500"/>
          <a:ext cx="942975" cy="3810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13</xdr:row>
      <xdr:rowOff>104775</xdr:rowOff>
    </xdr:from>
    <xdr:to>
      <xdr:col>10</xdr:col>
      <xdr:colOff>161925</xdr:colOff>
      <xdr:row>19</xdr:row>
      <xdr:rowOff>9525</xdr:rowOff>
    </xdr:to>
    <xdr:cxnSp macro="">
      <xdr:nvCxnSpPr>
        <xdr:cNvPr id="18" name="17 Conector recto"/>
        <xdr:cNvCxnSpPr/>
      </xdr:nvCxnSpPr>
      <xdr:spPr>
        <a:xfrm rot="16200000" flipV="1">
          <a:off x="7634288" y="14854237"/>
          <a:ext cx="1066800" cy="952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12</xdr:row>
      <xdr:rowOff>180974</xdr:rowOff>
    </xdr:from>
    <xdr:to>
      <xdr:col>8</xdr:col>
      <xdr:colOff>723900</xdr:colOff>
      <xdr:row>13</xdr:row>
      <xdr:rowOff>190499</xdr:rowOff>
    </xdr:to>
    <xdr:sp macro="" textlink="">
      <xdr:nvSpPr>
        <xdr:cNvPr id="19" name="18 CuadroTexto"/>
        <xdr:cNvSpPr txBox="1"/>
      </xdr:nvSpPr>
      <xdr:spPr>
        <a:xfrm>
          <a:off x="6810375" y="14211299"/>
          <a:ext cx="4000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99</a:t>
          </a:r>
        </a:p>
        <a:p>
          <a:r>
            <a:rPr lang="es-AR" sz="1100"/>
            <a:t>0</a:t>
          </a:r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400050</xdr:colOff>
      <xdr:row>20</xdr:row>
      <xdr:rowOff>9525</xdr:rowOff>
    </xdr:to>
    <xdr:sp macro="" textlink="">
      <xdr:nvSpPr>
        <xdr:cNvPr id="20" name="19 CuadroTexto"/>
        <xdr:cNvSpPr txBox="1"/>
      </xdr:nvSpPr>
      <xdr:spPr>
        <a:xfrm>
          <a:off x="8010525" y="15382875"/>
          <a:ext cx="4000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990</a:t>
          </a:r>
        </a:p>
      </xdr:txBody>
    </xdr:sp>
    <xdr:clientData/>
  </xdr:twoCellAnchor>
  <xdr:twoCellAnchor>
    <xdr:from>
      <xdr:col>9</xdr:col>
      <xdr:colOff>85725</xdr:colOff>
      <xdr:row>12</xdr:row>
      <xdr:rowOff>66675</xdr:rowOff>
    </xdr:from>
    <xdr:to>
      <xdr:col>10</xdr:col>
      <xdr:colOff>561975</xdr:colOff>
      <xdr:row>13</xdr:row>
      <xdr:rowOff>104775</xdr:rowOff>
    </xdr:to>
    <xdr:cxnSp macro="">
      <xdr:nvCxnSpPr>
        <xdr:cNvPr id="21" name="20 Conector recto"/>
        <xdr:cNvCxnSpPr/>
      </xdr:nvCxnSpPr>
      <xdr:spPr>
        <a:xfrm flipV="1">
          <a:off x="7334250" y="14097000"/>
          <a:ext cx="1238250" cy="228600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11</xdr:row>
      <xdr:rowOff>152400</xdr:rowOff>
    </xdr:from>
    <xdr:to>
      <xdr:col>10</xdr:col>
      <xdr:colOff>561975</xdr:colOff>
      <xdr:row>13</xdr:row>
      <xdr:rowOff>9525</xdr:rowOff>
    </xdr:to>
    <xdr:cxnSp macro="">
      <xdr:nvCxnSpPr>
        <xdr:cNvPr id="22" name="21 Conector recto"/>
        <xdr:cNvCxnSpPr/>
      </xdr:nvCxnSpPr>
      <xdr:spPr>
        <a:xfrm flipV="1">
          <a:off x="7296150" y="13992225"/>
          <a:ext cx="1276350" cy="238125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11</xdr:row>
      <xdr:rowOff>161925</xdr:rowOff>
    </xdr:from>
    <xdr:to>
      <xdr:col>10</xdr:col>
      <xdr:colOff>390525</xdr:colOff>
      <xdr:row>11</xdr:row>
      <xdr:rowOff>171450</xdr:rowOff>
    </xdr:to>
    <xdr:cxnSp macro="">
      <xdr:nvCxnSpPr>
        <xdr:cNvPr id="23" name="22 Conector recto"/>
        <xdr:cNvCxnSpPr/>
      </xdr:nvCxnSpPr>
      <xdr:spPr>
        <a:xfrm flipV="1">
          <a:off x="7286625" y="14001750"/>
          <a:ext cx="1114425" cy="9525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11</xdr:row>
      <xdr:rowOff>161927</xdr:rowOff>
    </xdr:from>
    <xdr:to>
      <xdr:col>10</xdr:col>
      <xdr:colOff>400050</xdr:colOff>
      <xdr:row>19</xdr:row>
      <xdr:rowOff>100013</xdr:rowOff>
    </xdr:to>
    <xdr:cxnSp macro="">
      <xdr:nvCxnSpPr>
        <xdr:cNvPr id="24" name="23 Conector recto"/>
        <xdr:cNvCxnSpPr>
          <a:stCxn id="20" idx="3"/>
        </xdr:cNvCxnSpPr>
      </xdr:nvCxnSpPr>
      <xdr:spPr>
        <a:xfrm flipH="1" flipV="1">
          <a:off x="8391525" y="14001752"/>
          <a:ext cx="19050" cy="1481136"/>
        </a:xfrm>
        <a:prstGeom prst="line">
          <a:avLst/>
        </a:prstGeom>
        <a:ln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11</xdr:row>
      <xdr:rowOff>95250</xdr:rowOff>
    </xdr:from>
    <xdr:to>
      <xdr:col>9</xdr:col>
      <xdr:colOff>0</xdr:colOff>
      <xdr:row>12</xdr:row>
      <xdr:rowOff>95250</xdr:rowOff>
    </xdr:to>
    <xdr:sp macro="" textlink="">
      <xdr:nvSpPr>
        <xdr:cNvPr id="25" name="24 CuadroTexto"/>
        <xdr:cNvSpPr txBox="1"/>
      </xdr:nvSpPr>
      <xdr:spPr>
        <a:xfrm>
          <a:off x="6629400" y="13935075"/>
          <a:ext cx="6191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/>
          <a:r>
            <a:rPr lang="es-AR" sz="1100"/>
            <a:t>$1390</a:t>
          </a:r>
        </a:p>
      </xdr:txBody>
    </xdr:sp>
    <xdr:clientData/>
  </xdr:twoCellAnchor>
  <xdr:twoCellAnchor>
    <xdr:from>
      <xdr:col>10</xdr:col>
      <xdr:colOff>323850</xdr:colOff>
      <xdr:row>19</xdr:row>
      <xdr:rowOff>19050</xdr:rowOff>
    </xdr:from>
    <xdr:to>
      <xdr:col>11</xdr:col>
      <xdr:colOff>180975</xdr:colOff>
      <xdr:row>20</xdr:row>
      <xdr:rowOff>19050</xdr:rowOff>
    </xdr:to>
    <xdr:sp macro="" textlink="">
      <xdr:nvSpPr>
        <xdr:cNvPr id="26" name="25 CuadroTexto"/>
        <xdr:cNvSpPr txBox="1"/>
      </xdr:nvSpPr>
      <xdr:spPr>
        <a:xfrm>
          <a:off x="8334375" y="15401925"/>
          <a:ext cx="61912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/>
          <a:r>
            <a:rPr lang="es-AR" sz="1100"/>
            <a:t>$1390</a:t>
          </a:r>
        </a:p>
      </xdr:txBody>
    </xdr:sp>
    <xdr:clientData/>
  </xdr:twoCellAnchor>
  <xdr:twoCellAnchor>
    <xdr:from>
      <xdr:col>11</xdr:col>
      <xdr:colOff>0</xdr:colOff>
      <xdr:row>10</xdr:row>
      <xdr:rowOff>190499</xdr:rowOff>
    </xdr:from>
    <xdr:to>
      <xdr:col>13</xdr:col>
      <xdr:colOff>419100</xdr:colOff>
      <xdr:row>12</xdr:row>
      <xdr:rowOff>66674</xdr:rowOff>
    </xdr:to>
    <xdr:sp macro="" textlink="">
      <xdr:nvSpPr>
        <xdr:cNvPr id="27" name="26 CuadroTexto"/>
        <xdr:cNvSpPr txBox="1"/>
      </xdr:nvSpPr>
      <xdr:spPr>
        <a:xfrm>
          <a:off x="8772525" y="13839824"/>
          <a:ext cx="22955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DA´ = C + Ib  + GP + X -M</a:t>
          </a:r>
        </a:p>
      </xdr:txBody>
    </xdr:sp>
    <xdr:clientData/>
  </xdr:twoCellAnchor>
  <xdr:twoCellAnchor>
    <xdr:from>
      <xdr:col>10</xdr:col>
      <xdr:colOff>504825</xdr:colOff>
      <xdr:row>12</xdr:row>
      <xdr:rowOff>142875</xdr:rowOff>
    </xdr:from>
    <xdr:to>
      <xdr:col>10</xdr:col>
      <xdr:colOff>550544</xdr:colOff>
      <xdr:row>13</xdr:row>
      <xdr:rowOff>152400</xdr:rowOff>
    </xdr:to>
    <xdr:sp macro="" textlink="">
      <xdr:nvSpPr>
        <xdr:cNvPr id="28" name="27 Flecha arriba"/>
        <xdr:cNvSpPr/>
      </xdr:nvSpPr>
      <xdr:spPr>
        <a:xfrm>
          <a:off x="8515350" y="14173200"/>
          <a:ext cx="45719" cy="200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0</xdr:col>
      <xdr:colOff>857250</xdr:colOff>
      <xdr:row>27</xdr:row>
      <xdr:rowOff>9525</xdr:rowOff>
    </xdr:from>
    <xdr:to>
      <xdr:col>1</xdr:col>
      <xdr:colOff>95250</xdr:colOff>
      <xdr:row>32</xdr:row>
      <xdr:rowOff>133350</xdr:rowOff>
    </xdr:to>
    <xdr:sp macro="" textlink="">
      <xdr:nvSpPr>
        <xdr:cNvPr id="29" name="28 Abrir llave"/>
        <xdr:cNvSpPr/>
      </xdr:nvSpPr>
      <xdr:spPr>
        <a:xfrm>
          <a:off x="857250" y="16944975"/>
          <a:ext cx="209550" cy="10858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8</xdr:col>
      <xdr:colOff>723900</xdr:colOff>
      <xdr:row>26</xdr:row>
      <xdr:rowOff>66675</xdr:rowOff>
    </xdr:from>
    <xdr:to>
      <xdr:col>9</xdr:col>
      <xdr:colOff>123825</xdr:colOff>
      <xdr:row>29</xdr:row>
      <xdr:rowOff>123825</xdr:rowOff>
    </xdr:to>
    <xdr:sp macro="" textlink="">
      <xdr:nvSpPr>
        <xdr:cNvPr id="30" name="29 Abrir corchete"/>
        <xdr:cNvSpPr/>
      </xdr:nvSpPr>
      <xdr:spPr>
        <a:xfrm>
          <a:off x="7210425" y="16811625"/>
          <a:ext cx="161925" cy="62865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10</xdr:col>
      <xdr:colOff>647700</xdr:colOff>
      <xdr:row>26</xdr:row>
      <xdr:rowOff>95250</xdr:rowOff>
    </xdr:from>
    <xdr:to>
      <xdr:col>10</xdr:col>
      <xdr:colOff>733425</xdr:colOff>
      <xdr:row>29</xdr:row>
      <xdr:rowOff>95250</xdr:rowOff>
    </xdr:to>
    <xdr:sp macro="" textlink="">
      <xdr:nvSpPr>
        <xdr:cNvPr id="31" name="30 Cerrar corchete"/>
        <xdr:cNvSpPr/>
      </xdr:nvSpPr>
      <xdr:spPr>
        <a:xfrm>
          <a:off x="8658225" y="16840200"/>
          <a:ext cx="85725" cy="57150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8</xdr:col>
      <xdr:colOff>742950</xdr:colOff>
      <xdr:row>28</xdr:row>
      <xdr:rowOff>9525</xdr:rowOff>
    </xdr:from>
    <xdr:to>
      <xdr:col>10</xdr:col>
      <xdr:colOff>619125</xdr:colOff>
      <xdr:row>28</xdr:row>
      <xdr:rowOff>19050</xdr:rowOff>
    </xdr:to>
    <xdr:cxnSp macro="">
      <xdr:nvCxnSpPr>
        <xdr:cNvPr id="32" name="31 Conector recto"/>
        <xdr:cNvCxnSpPr/>
      </xdr:nvCxnSpPr>
      <xdr:spPr>
        <a:xfrm flipV="1">
          <a:off x="7229475" y="17135475"/>
          <a:ext cx="1400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workbookViewId="0">
      <selection activeCell="D11" sqref="D11"/>
    </sheetView>
  </sheetViews>
  <sheetFormatPr baseColWidth="10" defaultRowHeight="15" x14ac:dyDescent="0.25"/>
  <cols>
    <col min="1" max="1" width="14.5703125" customWidth="1"/>
    <col min="2" max="2" width="12.5703125" customWidth="1"/>
    <col min="4" max="4" width="13" customWidth="1"/>
    <col min="13" max="14" width="16.7109375" customWidth="1"/>
  </cols>
  <sheetData>
    <row r="1" spans="1:10" ht="15.75" thickBot="1" x14ac:dyDescent="0.3">
      <c r="A1" s="3" t="s">
        <v>0</v>
      </c>
      <c r="B1" s="3"/>
      <c r="C1" s="4"/>
      <c r="D1" s="4"/>
    </row>
    <row r="2" spans="1:10" ht="15.75" thickBot="1" x14ac:dyDescent="0.3">
      <c r="H2" s="38" t="s">
        <v>59</v>
      </c>
      <c r="I2" s="39"/>
      <c r="J2" s="40"/>
    </row>
    <row r="3" spans="1:10" x14ac:dyDescent="0.25">
      <c r="A3" s="4" t="s">
        <v>1</v>
      </c>
      <c r="B3" s="4"/>
      <c r="D3" t="s">
        <v>46</v>
      </c>
      <c r="E3" t="s">
        <v>91</v>
      </c>
    </row>
    <row r="5" spans="1:10" x14ac:dyDescent="0.25">
      <c r="A5" t="s">
        <v>6</v>
      </c>
      <c r="C5" t="s">
        <v>47</v>
      </c>
    </row>
    <row r="6" spans="1:10" x14ac:dyDescent="0.25">
      <c r="A6" t="s">
        <v>2</v>
      </c>
    </row>
    <row r="8" spans="1:10" x14ac:dyDescent="0.25">
      <c r="A8" t="s">
        <v>3</v>
      </c>
      <c r="C8" s="1" t="s">
        <v>4</v>
      </c>
      <c r="D8" t="s">
        <v>5</v>
      </c>
    </row>
    <row r="9" spans="1:10" x14ac:dyDescent="0.25">
      <c r="C9" s="1" t="s">
        <v>4</v>
      </c>
      <c r="D9" t="s">
        <v>7</v>
      </c>
    </row>
    <row r="10" spans="1:10" x14ac:dyDescent="0.25">
      <c r="C10" s="1" t="s">
        <v>8</v>
      </c>
      <c r="D10" t="s">
        <v>9</v>
      </c>
    </row>
    <row r="11" spans="1:10" x14ac:dyDescent="0.25">
      <c r="C11" s="1" t="s">
        <v>10</v>
      </c>
      <c r="D11" s="7">
        <v>100</v>
      </c>
    </row>
    <row r="12" spans="1:10" x14ac:dyDescent="0.25">
      <c r="C12" s="1" t="s">
        <v>11</v>
      </c>
      <c r="D12" s="7">
        <v>100</v>
      </c>
    </row>
    <row r="13" spans="1:10" x14ac:dyDescent="0.25">
      <c r="C13" s="2" t="s">
        <v>8</v>
      </c>
      <c r="D13" s="8">
        <f>D12/0.2</f>
        <v>500</v>
      </c>
      <c r="E13" t="s">
        <v>12</v>
      </c>
    </row>
    <row r="14" spans="1:10" x14ac:dyDescent="0.25">
      <c r="C14" s="2"/>
      <c r="D14" s="3"/>
    </row>
    <row r="15" spans="1:10" x14ac:dyDescent="0.25">
      <c r="C15" s="2"/>
      <c r="D15" s="3"/>
    </row>
    <row r="17" spans="1:14" ht="15.75" thickBot="1" x14ac:dyDescent="0.3">
      <c r="L17" t="s">
        <v>54</v>
      </c>
    </row>
    <row r="18" spans="1:14" ht="15.75" thickBot="1" x14ac:dyDescent="0.3">
      <c r="H18" s="38" t="s">
        <v>60</v>
      </c>
      <c r="I18" s="39"/>
      <c r="J18" s="40"/>
    </row>
    <row r="19" spans="1:14" ht="15.75" thickBot="1" x14ac:dyDescent="0.3">
      <c r="L19" s="42" t="s">
        <v>54</v>
      </c>
      <c r="M19" s="43"/>
    </row>
    <row r="20" spans="1:14" ht="15.75" thickBot="1" x14ac:dyDescent="0.3">
      <c r="L20" t="s">
        <v>92</v>
      </c>
      <c r="M20" s="7">
        <v>50</v>
      </c>
    </row>
    <row r="21" spans="1:14" ht="15.75" thickBot="1" x14ac:dyDescent="0.3">
      <c r="L21" s="39" t="s">
        <v>58</v>
      </c>
      <c r="M21" s="39"/>
    </row>
    <row r="29" spans="1:14" x14ac:dyDescent="0.25">
      <c r="A29" s="4" t="s">
        <v>13</v>
      </c>
      <c r="B29" s="4"/>
      <c r="D29" s="3" t="s">
        <v>61</v>
      </c>
      <c r="E29" s="3" t="s">
        <v>44</v>
      </c>
      <c r="N29" t="s">
        <v>55</v>
      </c>
    </row>
    <row r="31" spans="1:14" x14ac:dyDescent="0.25">
      <c r="A31" t="s">
        <v>14</v>
      </c>
      <c r="C31" s="1" t="s">
        <v>17</v>
      </c>
      <c r="D31" t="s">
        <v>5</v>
      </c>
    </row>
    <row r="32" spans="1:14" x14ac:dyDescent="0.25">
      <c r="A32" t="s">
        <v>15</v>
      </c>
      <c r="C32" s="1" t="s">
        <v>18</v>
      </c>
      <c r="D32" t="s">
        <v>43</v>
      </c>
    </row>
    <row r="33" spans="1:14" x14ac:dyDescent="0.25">
      <c r="A33" t="s">
        <v>16</v>
      </c>
      <c r="C33" s="1" t="s">
        <v>17</v>
      </c>
      <c r="D33" t="s">
        <v>63</v>
      </c>
    </row>
    <row r="34" spans="1:14" ht="15.75" thickBot="1" x14ac:dyDescent="0.3">
      <c r="A34" t="s">
        <v>62</v>
      </c>
      <c r="C34" s="1" t="s">
        <v>17</v>
      </c>
      <c r="D34" t="s">
        <v>64</v>
      </c>
    </row>
    <row r="35" spans="1:14" ht="15.75" thickBot="1" x14ac:dyDescent="0.3">
      <c r="C35" s="1" t="s">
        <v>19</v>
      </c>
      <c r="D35" s="7">
        <v>228</v>
      </c>
      <c r="M35" s="18" t="s">
        <v>65</v>
      </c>
      <c r="N35" s="19" t="s">
        <v>57</v>
      </c>
    </row>
    <row r="36" spans="1:14" x14ac:dyDescent="0.25">
      <c r="C36" s="1" t="s">
        <v>20</v>
      </c>
      <c r="D36" s="7">
        <v>228</v>
      </c>
      <c r="M36" s="44" t="s">
        <v>66</v>
      </c>
      <c r="N36" s="44"/>
    </row>
    <row r="37" spans="1:14" x14ac:dyDescent="0.25">
      <c r="A37">
        <v>1050</v>
      </c>
      <c r="C37" s="2" t="s">
        <v>17</v>
      </c>
      <c r="D37" s="8">
        <v>1140</v>
      </c>
      <c r="M37" s="29" t="s">
        <v>67</v>
      </c>
      <c r="N37" s="30">
        <v>250</v>
      </c>
    </row>
    <row r="38" spans="1:14" ht="15.75" thickBot="1" x14ac:dyDescent="0.3">
      <c r="A38">
        <v>890</v>
      </c>
      <c r="C38" s="2"/>
      <c r="D38" s="8"/>
    </row>
    <row r="39" spans="1:14" ht="15.75" thickBot="1" x14ac:dyDescent="0.3">
      <c r="A39">
        <f>A37-A38</f>
        <v>160</v>
      </c>
      <c r="C39" s="2"/>
      <c r="D39" s="8"/>
      <c r="M39" s="21" t="s">
        <v>68</v>
      </c>
      <c r="N39" s="22" t="s">
        <v>73</v>
      </c>
    </row>
    <row r="40" spans="1:14" x14ac:dyDescent="0.25">
      <c r="C40" s="2" t="s">
        <v>46</v>
      </c>
      <c r="M40" s="27" t="s">
        <v>78</v>
      </c>
      <c r="N40" s="28">
        <v>50</v>
      </c>
    </row>
    <row r="41" spans="1:14" x14ac:dyDescent="0.25">
      <c r="C41" s="2" t="s">
        <v>93</v>
      </c>
      <c r="D41" t="s">
        <v>94</v>
      </c>
      <c r="M41" s="25" t="s">
        <v>69</v>
      </c>
      <c r="N41" s="26">
        <v>50</v>
      </c>
    </row>
    <row r="42" spans="1:14" x14ac:dyDescent="0.25">
      <c r="M42" s="20"/>
      <c r="N42" s="20"/>
    </row>
    <row r="43" spans="1:14" x14ac:dyDescent="0.25">
      <c r="M43" s="20"/>
      <c r="N43" s="20"/>
    </row>
    <row r="44" spans="1:14" x14ac:dyDescent="0.25">
      <c r="M44" s="20"/>
      <c r="N44" s="20"/>
    </row>
    <row r="45" spans="1:14" x14ac:dyDescent="0.25">
      <c r="M45" s="20"/>
      <c r="N45" s="20"/>
    </row>
    <row r="46" spans="1:14" x14ac:dyDescent="0.25">
      <c r="M46" s="20"/>
      <c r="N46" s="20"/>
    </row>
    <row r="47" spans="1:14" ht="15.75" thickBot="1" x14ac:dyDescent="0.3"/>
    <row r="48" spans="1:14" ht="15.75" thickBot="1" x14ac:dyDescent="0.3">
      <c r="A48" s="4" t="s">
        <v>45</v>
      </c>
      <c r="B48" s="4"/>
      <c r="M48" s="23" t="s">
        <v>72</v>
      </c>
      <c r="N48" s="24" t="s">
        <v>74</v>
      </c>
    </row>
    <row r="49" spans="1:14" x14ac:dyDescent="0.25">
      <c r="A49" t="s">
        <v>21</v>
      </c>
      <c r="G49" t="s">
        <v>22</v>
      </c>
      <c r="M49" s="1" t="s">
        <v>76</v>
      </c>
      <c r="N49" t="s">
        <v>75</v>
      </c>
    </row>
    <row r="50" spans="1:14" x14ac:dyDescent="0.25">
      <c r="C50" s="1" t="s">
        <v>8</v>
      </c>
      <c r="D50" t="s">
        <v>5</v>
      </c>
      <c r="M50" s="29" t="s">
        <v>77</v>
      </c>
      <c r="N50" s="30">
        <v>400</v>
      </c>
    </row>
    <row r="51" spans="1:14" x14ac:dyDescent="0.25">
      <c r="A51" t="s">
        <v>23</v>
      </c>
      <c r="C51" s="1" t="s">
        <v>8</v>
      </c>
      <c r="D51" t="s">
        <v>70</v>
      </c>
    </row>
    <row r="52" spans="1:14" x14ac:dyDescent="0.25">
      <c r="A52" t="s">
        <v>24</v>
      </c>
      <c r="C52" s="1" t="s">
        <v>8</v>
      </c>
      <c r="D52" t="s">
        <v>71</v>
      </c>
    </row>
    <row r="53" spans="1:14" x14ac:dyDescent="0.25">
      <c r="C53" s="1" t="s">
        <v>25</v>
      </c>
      <c r="D53" s="7">
        <v>178</v>
      </c>
    </row>
    <row r="54" spans="1:14" ht="15.75" thickBot="1" x14ac:dyDescent="0.3">
      <c r="C54" s="1" t="s">
        <v>26</v>
      </c>
      <c r="D54" s="7">
        <v>178</v>
      </c>
    </row>
    <row r="55" spans="1:14" ht="15.75" thickBot="1" x14ac:dyDescent="0.3">
      <c r="C55" s="2" t="s">
        <v>8</v>
      </c>
      <c r="D55" s="8">
        <v>890</v>
      </c>
      <c r="M55" s="23" t="s">
        <v>68</v>
      </c>
      <c r="N55" s="24" t="s">
        <v>79</v>
      </c>
    </row>
    <row r="56" spans="1:14" x14ac:dyDescent="0.25">
      <c r="M56" s="1" t="s">
        <v>80</v>
      </c>
      <c r="N56" t="s">
        <v>81</v>
      </c>
    </row>
    <row r="57" spans="1:14" x14ac:dyDescent="0.25">
      <c r="M57" s="1" t="s">
        <v>82</v>
      </c>
      <c r="N57" s="7">
        <v>0</v>
      </c>
    </row>
    <row r="62" spans="1:14" x14ac:dyDescent="0.25">
      <c r="A62" s="31"/>
    </row>
    <row r="63" spans="1:14" x14ac:dyDescent="0.25">
      <c r="A63" s="31"/>
      <c r="B63" s="13"/>
      <c r="C63" s="13"/>
      <c r="D63" s="13"/>
      <c r="E63" s="13"/>
    </row>
    <row r="64" spans="1:14" x14ac:dyDescent="0.25">
      <c r="B64" s="13"/>
      <c r="C64" s="13"/>
      <c r="D64" s="13"/>
      <c r="E64" s="13"/>
    </row>
    <row r="68" spans="1:5" x14ac:dyDescent="0.25">
      <c r="A68" s="1"/>
      <c r="B68" s="5"/>
    </row>
    <row r="69" spans="1:5" x14ac:dyDescent="0.25">
      <c r="A69" s="6"/>
    </row>
    <row r="71" spans="1:5" x14ac:dyDescent="0.25">
      <c r="C71" s="1"/>
    </row>
    <row r="72" spans="1:5" x14ac:dyDescent="0.25">
      <c r="C72" s="1"/>
    </row>
    <row r="73" spans="1:5" x14ac:dyDescent="0.25">
      <c r="C73" s="1"/>
    </row>
    <row r="74" spans="1:5" x14ac:dyDescent="0.25">
      <c r="C74" s="1"/>
    </row>
    <row r="75" spans="1:5" x14ac:dyDescent="0.25">
      <c r="C75" s="2"/>
      <c r="D75" s="8"/>
    </row>
    <row r="78" spans="1:5" x14ac:dyDescent="0.25">
      <c r="B78" s="13"/>
      <c r="C78" s="36"/>
      <c r="D78" s="36"/>
      <c r="E78" s="37"/>
    </row>
    <row r="81" spans="2:14" x14ac:dyDescent="0.25">
      <c r="G81" s="3"/>
    </row>
    <row r="82" spans="2:14" x14ac:dyDescent="0.25">
      <c r="B82" s="41"/>
      <c r="C82" s="41"/>
      <c r="D82" s="41"/>
    </row>
    <row r="83" spans="2:14" x14ac:dyDescent="0.25">
      <c r="B83" s="13"/>
      <c r="C83" s="13"/>
      <c r="D83" s="13"/>
    </row>
    <row r="84" spans="2:14" x14ac:dyDescent="0.25">
      <c r="B84" s="13"/>
      <c r="C84" s="13"/>
      <c r="D84" s="13"/>
    </row>
    <row r="85" spans="2:14" x14ac:dyDescent="0.25">
      <c r="B85" s="13"/>
      <c r="C85" s="13"/>
      <c r="D85" s="13"/>
    </row>
    <row r="86" spans="2:14" x14ac:dyDescent="0.25">
      <c r="B86" s="13"/>
      <c r="C86" s="13"/>
      <c r="D86" s="13"/>
    </row>
    <row r="88" spans="2:14" x14ac:dyDescent="0.25">
      <c r="I88" s="13"/>
      <c r="J88" s="13"/>
      <c r="K88" s="13"/>
      <c r="L88" s="13"/>
      <c r="M88" s="13"/>
      <c r="N88" s="13"/>
    </row>
    <row r="89" spans="2:14" x14ac:dyDescent="0.25">
      <c r="I89" s="36"/>
      <c r="J89" s="13"/>
      <c r="K89" s="13"/>
      <c r="L89" s="13"/>
      <c r="M89" s="13"/>
      <c r="N89" s="13"/>
    </row>
    <row r="90" spans="2:14" x14ac:dyDescent="0.25">
      <c r="I90" s="13"/>
      <c r="J90" s="13"/>
      <c r="K90" s="13"/>
      <c r="L90" s="13"/>
      <c r="M90" s="13"/>
      <c r="N90" s="13"/>
    </row>
    <row r="91" spans="2:14" x14ac:dyDescent="0.25">
      <c r="I91" s="13"/>
      <c r="J91" s="13"/>
      <c r="K91" s="13"/>
      <c r="L91" s="13"/>
      <c r="M91" s="13"/>
      <c r="N91" s="13"/>
    </row>
  </sheetData>
  <sheetProtection algorithmName="SHA-512" hashValue="JQRsesN4o+QdUeRzyQNag2b8Y8yITXQ9D2uc550Ib5JMbTxUesz84EOz4WP7EFoLoQZfLIekUFq7RdCrBCy4zA==" saltValue="BtlpoaqW1w6dSUpaM7BrLw==" spinCount="100000" sheet="1" objects="1" scenarios="1" selectLockedCells="1" selectUnlockedCells="1"/>
  <mergeCells count="6">
    <mergeCell ref="H2:J2"/>
    <mergeCell ref="H18:J18"/>
    <mergeCell ref="B82:D82"/>
    <mergeCell ref="L19:M19"/>
    <mergeCell ref="M36:N36"/>
    <mergeCell ref="L21:M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E8" sqref="E8"/>
    </sheetView>
  </sheetViews>
  <sheetFormatPr baseColWidth="10" defaultRowHeight="15" x14ac:dyDescent="0.25"/>
  <cols>
    <col min="1" max="1" width="16.5703125" customWidth="1"/>
  </cols>
  <sheetData>
    <row r="1" spans="1:5" ht="15.75" thickBot="1" x14ac:dyDescent="0.3">
      <c r="A1" s="31" t="s">
        <v>27</v>
      </c>
      <c r="B1" t="s">
        <v>85</v>
      </c>
    </row>
    <row r="2" spans="1:5" x14ac:dyDescent="0.25">
      <c r="A2" s="31"/>
      <c r="B2" s="32" t="s">
        <v>87</v>
      </c>
      <c r="C2" s="33"/>
      <c r="D2" s="33"/>
      <c r="E2" s="34"/>
    </row>
    <row r="3" spans="1:5" ht="15.75" thickBot="1" x14ac:dyDescent="0.3">
      <c r="B3" s="15" t="s">
        <v>86</v>
      </c>
      <c r="C3" s="16"/>
      <c r="D3" s="16"/>
      <c r="E3" s="17"/>
    </row>
    <row r="5" spans="1:5" x14ac:dyDescent="0.25">
      <c r="A5" t="s">
        <v>28</v>
      </c>
      <c r="B5" t="s">
        <v>29</v>
      </c>
    </row>
    <row r="7" spans="1:5" x14ac:dyDescent="0.25">
      <c r="A7" s="1" t="s">
        <v>30</v>
      </c>
      <c r="B7" s="5" t="s">
        <v>31</v>
      </c>
    </row>
    <row r="8" spans="1:5" x14ac:dyDescent="0.25">
      <c r="A8" s="6" t="s">
        <v>32</v>
      </c>
      <c r="B8" t="s">
        <v>33</v>
      </c>
    </row>
    <row r="10" spans="1:5" x14ac:dyDescent="0.25">
      <c r="C10" s="1" t="s">
        <v>4</v>
      </c>
      <c r="D10" t="s">
        <v>5</v>
      </c>
    </row>
    <row r="11" spans="1:5" x14ac:dyDescent="0.25">
      <c r="C11" s="1" t="s">
        <v>17</v>
      </c>
      <c r="D11" t="s">
        <v>88</v>
      </c>
    </row>
    <row r="12" spans="1:5" x14ac:dyDescent="0.25">
      <c r="C12" s="1" t="s">
        <v>4</v>
      </c>
      <c r="D12" t="s">
        <v>83</v>
      </c>
    </row>
    <row r="13" spans="1:5" x14ac:dyDescent="0.25">
      <c r="C13" s="1" t="s">
        <v>34</v>
      </c>
      <c r="D13" t="s">
        <v>84</v>
      </c>
    </row>
    <row r="14" spans="1:5" x14ac:dyDescent="0.25">
      <c r="C14" s="2" t="s">
        <v>4</v>
      </c>
      <c r="D14" s="8">
        <f>278/0.2</f>
        <v>1390</v>
      </c>
    </row>
    <row r="16" spans="1:5" ht="15.75" thickBot="1" x14ac:dyDescent="0.3"/>
    <row r="17" spans="1:14" ht="15.75" thickBot="1" x14ac:dyDescent="0.3">
      <c r="B17" s="9" t="s">
        <v>35</v>
      </c>
      <c r="C17" s="10" t="s">
        <v>36</v>
      </c>
      <c r="D17" s="10" t="s">
        <v>37</v>
      </c>
      <c r="E17" s="11">
        <f>1/0.2</f>
        <v>5</v>
      </c>
    </row>
    <row r="18" spans="1:14" x14ac:dyDescent="0.25">
      <c r="C18" t="s">
        <v>56</v>
      </c>
      <c r="D18" t="s">
        <v>48</v>
      </c>
      <c r="F18" t="s">
        <v>53</v>
      </c>
    </row>
    <row r="19" spans="1:14" x14ac:dyDescent="0.25">
      <c r="G19">
        <f>E17*100</f>
        <v>500</v>
      </c>
    </row>
    <row r="20" spans="1:14" ht="15.75" thickBot="1" x14ac:dyDescent="0.3">
      <c r="G20" s="3">
        <v>890</v>
      </c>
    </row>
    <row r="21" spans="1:14" x14ac:dyDescent="0.25">
      <c r="B21" s="45" t="s">
        <v>38</v>
      </c>
      <c r="C21" s="46"/>
      <c r="D21" s="47"/>
      <c r="G21">
        <f>G19+G20</f>
        <v>1390</v>
      </c>
    </row>
    <row r="22" spans="1:14" x14ac:dyDescent="0.25">
      <c r="B22" s="12" t="s">
        <v>40</v>
      </c>
      <c r="C22" s="13"/>
      <c r="D22" s="14"/>
    </row>
    <row r="23" spans="1:14" x14ac:dyDescent="0.25">
      <c r="B23" s="12" t="s">
        <v>39</v>
      </c>
      <c r="C23" s="13"/>
      <c r="D23" s="14"/>
    </row>
    <row r="24" spans="1:14" x14ac:dyDescent="0.25">
      <c r="B24" s="12" t="s">
        <v>41</v>
      </c>
      <c r="C24" s="13"/>
      <c r="D24" s="14"/>
    </row>
    <row r="25" spans="1:14" ht="15.75" thickBot="1" x14ac:dyDescent="0.3">
      <c r="B25" s="15" t="s">
        <v>42</v>
      </c>
      <c r="C25" s="16"/>
      <c r="D25" s="17"/>
    </row>
    <row r="26" spans="1:14" ht="15.75" thickBot="1" x14ac:dyDescent="0.3"/>
    <row r="27" spans="1:14" x14ac:dyDescent="0.25">
      <c r="A27" t="s">
        <v>27</v>
      </c>
      <c r="I27" s="32"/>
      <c r="J27" s="33"/>
      <c r="K27" s="33"/>
      <c r="L27" s="33"/>
      <c r="M27" s="33"/>
      <c r="N27" s="34"/>
    </row>
    <row r="28" spans="1:14" x14ac:dyDescent="0.25">
      <c r="I28" s="35" t="s">
        <v>17</v>
      </c>
      <c r="J28" s="13">
        <v>1</v>
      </c>
      <c r="K28" s="13"/>
      <c r="L28" s="13" t="s">
        <v>95</v>
      </c>
      <c r="M28" s="13"/>
      <c r="N28" s="14"/>
    </row>
    <row r="29" spans="1:14" x14ac:dyDescent="0.25">
      <c r="A29" t="s">
        <v>49</v>
      </c>
      <c r="E29" t="s">
        <v>98</v>
      </c>
      <c r="I29" s="12"/>
      <c r="J29" s="13" t="s">
        <v>89</v>
      </c>
      <c r="K29" s="13"/>
      <c r="L29" s="13"/>
      <c r="M29" s="13"/>
      <c r="N29" s="14"/>
    </row>
    <row r="30" spans="1:14" ht="15.75" thickBot="1" x14ac:dyDescent="0.3">
      <c r="A30" t="s">
        <v>50</v>
      </c>
      <c r="B30" t="s">
        <v>96</v>
      </c>
      <c r="I30" s="15"/>
      <c r="J30" s="16"/>
      <c r="K30" s="16"/>
      <c r="L30" s="16"/>
      <c r="M30" s="16"/>
      <c r="N30" s="17"/>
    </row>
    <row r="31" spans="1:14" x14ac:dyDescent="0.25">
      <c r="A31" t="s">
        <v>51</v>
      </c>
      <c r="E31" t="s">
        <v>90</v>
      </c>
      <c r="G31" t="s">
        <v>99</v>
      </c>
    </row>
    <row r="32" spans="1:14" x14ac:dyDescent="0.25">
      <c r="A32" t="s">
        <v>52</v>
      </c>
    </row>
    <row r="33" spans="5:5" x14ac:dyDescent="0.25">
      <c r="E33" t="s">
        <v>97</v>
      </c>
    </row>
  </sheetData>
  <sheetProtection algorithmName="SHA-512" hashValue="BQh5U/JoB7T6Y+R9Hot4DTsZ5UKEpq0A7Y1lLtiTEcXWGw80EUgSmzIyWQh0k9uSpqCUwnlhzVO2yeihD3UClQ==" saltValue="TTZHHfhbj2Cy9mKpa1lXtg==" spinCount="100000" sheet="1" objects="1" scenarios="1" selectLockedCells="1" selectUnlockedCells="1"/>
  <mergeCells count="1">
    <mergeCell ref="B21:D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sheetProtection algorithmName="SHA-512" hashValue="POhAK5N9UZrDr2S00T6J/qgb3swD39yLWRTK9Pg8cm0gRdc90SRcdPfpm5gDBpnP32Vh1heYZEosi+yLWoZFjA==" saltValue="40vGkbjMyH920FhCdd6bR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Renta equilibrio</vt:lpstr>
      <vt:lpstr>Multiplicadores M.Bienes 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García</dc:creator>
  <cp:lastModifiedBy>Usuario</cp:lastModifiedBy>
  <dcterms:created xsi:type="dcterms:W3CDTF">2020-08-25T00:04:25Z</dcterms:created>
  <dcterms:modified xsi:type="dcterms:W3CDTF">2021-08-30T23:45:33Z</dcterms:modified>
</cp:coreProperties>
</file>