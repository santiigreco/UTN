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cuments\Economía General\Trabajos practicos MACRO\Año 2021\"/>
    </mc:Choice>
  </mc:AlternateContent>
  <bookViews>
    <workbookView xWindow="0" yWindow="0" windowWidth="7470" windowHeight="21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C15" i="1"/>
  <c r="B18" i="1" s="1"/>
  <c r="D18" i="1" s="1"/>
  <c r="B15" i="1"/>
  <c r="E14" i="1"/>
  <c r="E13" i="1"/>
  <c r="C10" i="1"/>
  <c r="C8" i="1"/>
  <c r="B10" i="1" s="1"/>
  <c r="D10" i="1" s="1"/>
  <c r="B8" i="1"/>
  <c r="E16" i="1" l="1"/>
  <c r="E12" i="1"/>
  <c r="E15" i="1" s="1"/>
  <c r="E9" i="1"/>
  <c r="E5" i="1"/>
  <c r="E8" i="1" s="1"/>
</calcChain>
</file>

<file path=xl/sharedStrings.xml><?xml version="1.0" encoding="utf-8"?>
<sst xmlns="http://schemas.openxmlformats.org/spreadsheetml/2006/main" count="28" uniqueCount="19">
  <si>
    <t>DA = C + I + G    C = $300 +0.75 * Yd    I = $50     G =$250    T =$300   Variación de Inventarios = -$20</t>
  </si>
  <si>
    <t xml:space="preserve">Calcule: </t>
  </si>
  <si>
    <r>
      <t xml:space="preserve">a) El consumo (C eq.)  y el ahorro en el equilibrio (S eq.)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u/>
        <sz val="11"/>
        <color indexed="8"/>
        <rFont val="Calibri"/>
        <family val="2"/>
      </rPr>
      <t xml:space="preserve"> 4 puntos</t>
    </r>
  </si>
  <si>
    <t>Consumo =</t>
  </si>
  <si>
    <t xml:space="preserve">Yo </t>
  </si>
  <si>
    <r>
      <rPr>
        <b/>
        <u/>
        <sz val="11"/>
        <color indexed="8"/>
        <rFont val="Calibri"/>
        <family val="2"/>
      </rPr>
      <t>El ahorro privado de equilibrio es igual $0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Yd = Yo - T = $2400 - $300 = $2100 =&gt; Consumo eq. + ahorro eq. = $2100 + $0                                        (T-GP)+(S-I) = 0 =&gt; (300 - 250) + (0 -50) = 0</t>
    </r>
  </si>
  <si>
    <t>Inversión =</t>
  </si>
  <si>
    <t>Gasto Público =</t>
  </si>
  <si>
    <t>Demanda Agregada</t>
  </si>
  <si>
    <t>Oferta Agregada</t>
  </si>
  <si>
    <t>Yo =</t>
  </si>
  <si>
    <r>
      <t xml:space="preserve">b)El consumo (C actual) y el ahorro en la actualidad (S actual)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u/>
        <sz val="11"/>
        <color indexed="8"/>
        <rFont val="Calibri"/>
        <family val="2"/>
      </rPr>
      <t>4 puntos</t>
    </r>
  </si>
  <si>
    <t xml:space="preserve">Yactual </t>
  </si>
  <si>
    <r>
      <rPr>
        <b/>
        <u/>
        <sz val="11"/>
        <color indexed="8"/>
        <rFont val="Calibri"/>
        <family val="2"/>
      </rPr>
      <t>El ahorro privado actual es igual $-20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Yd = Yo - T = $2340 - $300 = $2040=&gt; Consumo eq. + ahorro eq. = $2040+ (-20)                                       (T-GP)+(S-I) = 0 =&gt; (300 - 250) + (-20 -50) = -20</t>
    </r>
  </si>
  <si>
    <t>Variación de existencias</t>
  </si>
  <si>
    <t>Yactual =</t>
  </si>
  <si>
    <r>
      <t xml:space="preserve">c) Pronostique la evolución de la actividad económica en el corto plazo.                                                                                                                                                                                                                 </t>
    </r>
    <r>
      <rPr>
        <b/>
        <u/>
        <sz val="11"/>
        <color indexed="8"/>
        <rFont val="Calibri"/>
        <family val="2"/>
      </rPr>
      <t>2 puntos</t>
    </r>
  </si>
  <si>
    <t>Como se han reducido las existencias (inventarios), se compremete la posibilidad de atender con la producción actual la mayor cantidad demandada,  lo cual induce a aumentar la producción y se puede pronosticar que aumentará el nivel de actividad en el corto plazo.</t>
  </si>
  <si>
    <t>CHENDY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</si>
</sst>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5" formatCode="_-&quot;$&quot;* #,##0.00_-;\-&quot;$&quot;* #,##0.00_-;_-&quot;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indexed="8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4" fillId="2" borderId="4" xfId="0" applyFont="1" applyFill="1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0" fillId="0" borderId="5" xfId="0" applyBorder="1" applyAlignment="1">
      <alignment wrapText="1"/>
    </xf>
    <xf numFmtId="0" fontId="4" fillId="2" borderId="6" xfId="0" applyFont="1" applyFill="1" applyBorder="1" applyAlignment="1">
      <alignment horizontal="left" vertic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4" fillId="2" borderId="9" xfId="0" applyFont="1" applyFill="1" applyBorder="1" applyAlignment="1">
      <alignment horizontal="left" vertic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6" fillId="3" borderId="12" xfId="0" applyFont="1" applyFill="1" applyBorder="1" applyAlignment="1">
      <alignment horizontal="left" vertical="center" wrapText="1"/>
    </xf>
    <xf numFmtId="44" fontId="7" fillId="3" borderId="13" xfId="1" applyFont="1" applyFill="1" applyBorder="1" applyAlignment="1">
      <alignment wrapText="1"/>
    </xf>
    <xf numFmtId="0" fontId="3" fillId="3" borderId="13" xfId="0" applyFont="1" applyFill="1" applyBorder="1" applyAlignment="1">
      <alignment wrapText="1"/>
    </xf>
    <xf numFmtId="165" fontId="3" fillId="3" borderId="13" xfId="0" applyNumberFormat="1" applyFont="1" applyFill="1" applyBorder="1" applyAlignment="1">
      <alignment wrapText="1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4" fillId="3" borderId="14" xfId="0" applyFont="1" applyFill="1" applyBorder="1" applyAlignment="1">
      <alignment horizontal="left" vertical="center" wrapText="1"/>
    </xf>
    <xf numFmtId="44" fontId="2" fillId="3" borderId="15" xfId="1" applyFont="1" applyFill="1" applyBorder="1" applyAlignment="1">
      <alignment wrapText="1"/>
    </xf>
    <xf numFmtId="0" fontId="0" fillId="3" borderId="15" xfId="0" applyFill="1" applyBorder="1" applyAlignment="1">
      <alignment wrapText="1"/>
    </xf>
    <xf numFmtId="165" fontId="0" fillId="3" borderId="15" xfId="0" applyNumberFormat="1" applyFill="1" applyBorder="1" applyAlignment="1">
      <alignment wrapText="1"/>
    </xf>
    <xf numFmtId="0" fontId="0" fillId="3" borderId="0" xfId="0" applyFill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3" borderId="15" xfId="0" applyFill="1" applyBorder="1" applyAlignment="1">
      <alignment horizontal="right" wrapText="1"/>
    </xf>
    <xf numFmtId="44" fontId="1" fillId="3" borderId="15" xfId="1" applyFont="1" applyFill="1" applyBorder="1" applyAlignment="1">
      <alignment wrapText="1"/>
    </xf>
    <xf numFmtId="0" fontId="0" fillId="2" borderId="15" xfId="0" applyFill="1" applyBorder="1" applyAlignment="1">
      <alignment wrapText="1"/>
    </xf>
    <xf numFmtId="0" fontId="0" fillId="3" borderId="16" xfId="0" applyFill="1" applyBorder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16" xfId="0" applyFill="1" applyBorder="1" applyAlignment="1">
      <alignment horizontal="left" vertical="top"/>
    </xf>
    <xf numFmtId="0" fontId="4" fillId="3" borderId="17" xfId="0" applyFont="1" applyFill="1" applyBorder="1" applyAlignment="1">
      <alignment horizontal="left" vertical="center"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165" fontId="2" fillId="3" borderId="15" xfId="0" applyNumberFormat="1" applyFont="1" applyFill="1" applyBorder="1" applyAlignment="1">
      <alignment wrapText="1"/>
    </xf>
    <xf numFmtId="0" fontId="4" fillId="3" borderId="20" xfId="0" applyFont="1" applyFill="1" applyBorder="1" applyAlignment="1">
      <alignment horizontal="left" vertical="center" wrapText="1"/>
    </xf>
    <xf numFmtId="0" fontId="0" fillId="3" borderId="21" xfId="0" applyFill="1" applyBorder="1" applyAlignment="1">
      <alignment horizontal="right" wrapText="1"/>
    </xf>
    <xf numFmtId="44" fontId="1" fillId="3" borderId="21" xfId="1" applyFont="1" applyFill="1" applyBorder="1" applyAlignment="1">
      <alignment wrapText="1"/>
    </xf>
    <xf numFmtId="0" fontId="0" fillId="3" borderId="21" xfId="0" applyFill="1" applyBorder="1" applyAlignment="1">
      <alignment wrapText="1"/>
    </xf>
    <xf numFmtId="0" fontId="0" fillId="3" borderId="22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4" fillId="3" borderId="6" xfId="0" applyFont="1" applyFill="1" applyBorder="1" applyAlignment="1">
      <alignment horizontal="left" vertical="center" wrapText="1"/>
    </xf>
    <xf numFmtId="0" fontId="0" fillId="3" borderId="7" xfId="0" applyFill="1" applyBorder="1" applyAlignment="1">
      <alignment wrapText="1"/>
    </xf>
    <xf numFmtId="0" fontId="0" fillId="3" borderId="8" xfId="0" applyFill="1" applyBorder="1" applyAlignment="1">
      <alignment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19558</xdr:colOff>
      <xdr:row>0</xdr:row>
      <xdr:rowOff>0</xdr:rowOff>
    </xdr:from>
    <xdr:to>
      <xdr:col>17</xdr:col>
      <xdr:colOff>209946</xdr:colOff>
      <xdr:row>12</xdr:row>
      <xdr:rowOff>102024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3558" y="0"/>
          <a:ext cx="4000388" cy="29976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topLeftCell="B1" workbookViewId="0">
      <selection activeCell="M3" sqref="M3"/>
    </sheetView>
  </sheetViews>
  <sheetFormatPr baseColWidth="10" defaultRowHeight="15" x14ac:dyDescent="0.25"/>
  <sheetData>
    <row r="1" spans="1:12" x14ac:dyDescent="0.25">
      <c r="A1" s="1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x14ac:dyDescent="0.2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spans="1:12" ht="15.75" thickBot="1" x14ac:dyDescent="0.3">
      <c r="A3" s="7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9"/>
    </row>
    <row r="4" spans="1:12" ht="15.75" thickBot="1" x14ac:dyDescent="0.3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</row>
    <row r="5" spans="1:12" x14ac:dyDescent="0.25">
      <c r="A5" s="13" t="s">
        <v>3</v>
      </c>
      <c r="B5" s="14">
        <v>300</v>
      </c>
      <c r="C5" s="15">
        <v>0.75</v>
      </c>
      <c r="D5" s="15" t="s">
        <v>4</v>
      </c>
      <c r="E5" s="16">
        <f>+B5+C5*D10</f>
        <v>2100</v>
      </c>
      <c r="F5" s="17" t="s">
        <v>5</v>
      </c>
      <c r="G5" s="17"/>
      <c r="H5" s="17"/>
      <c r="I5" s="17"/>
      <c r="J5" s="17"/>
      <c r="K5" s="17"/>
      <c r="L5" s="18"/>
    </row>
    <row r="6" spans="1:12" x14ac:dyDescent="0.25">
      <c r="A6" s="19" t="s">
        <v>6</v>
      </c>
      <c r="B6" s="20">
        <v>50</v>
      </c>
      <c r="C6" s="21"/>
      <c r="D6" s="21"/>
      <c r="E6" s="22">
        <v>50</v>
      </c>
      <c r="F6" s="23"/>
      <c r="G6" s="23"/>
      <c r="H6" s="23"/>
      <c r="I6" s="23"/>
      <c r="J6" s="23"/>
      <c r="K6" s="23"/>
      <c r="L6" s="24"/>
    </row>
    <row r="7" spans="1:12" ht="30" x14ac:dyDescent="0.25">
      <c r="A7" s="19" t="s">
        <v>7</v>
      </c>
      <c r="B7" s="20">
        <v>250</v>
      </c>
      <c r="C7" s="21"/>
      <c r="D7" s="21"/>
      <c r="E7" s="22">
        <v>250</v>
      </c>
      <c r="F7" s="23"/>
      <c r="G7" s="23"/>
      <c r="H7" s="23"/>
      <c r="I7" s="23"/>
      <c r="J7" s="23"/>
      <c r="K7" s="23"/>
      <c r="L7" s="24"/>
    </row>
    <row r="8" spans="1:12" ht="30" x14ac:dyDescent="0.25">
      <c r="A8" s="19" t="s">
        <v>8</v>
      </c>
      <c r="B8" s="20">
        <f>SUM(B5:B7)</f>
        <v>600</v>
      </c>
      <c r="C8" s="21">
        <f>SUM(C5:C7)</f>
        <v>0.75</v>
      </c>
      <c r="D8" s="21" t="s">
        <v>4</v>
      </c>
      <c r="E8" s="22">
        <f>SUM(E5:E7)</f>
        <v>2400</v>
      </c>
      <c r="F8" s="23"/>
      <c r="G8" s="23"/>
      <c r="H8" s="23"/>
      <c r="I8" s="23"/>
      <c r="J8" s="23"/>
      <c r="K8" s="23"/>
      <c r="L8" s="24"/>
    </row>
    <row r="9" spans="1:12" ht="30" x14ac:dyDescent="0.25">
      <c r="A9" s="19" t="s">
        <v>9</v>
      </c>
      <c r="B9" s="21"/>
      <c r="C9" s="21">
        <v>1</v>
      </c>
      <c r="D9" s="21" t="s">
        <v>4</v>
      </c>
      <c r="E9" s="22">
        <f>+C9*D10</f>
        <v>2400</v>
      </c>
      <c r="F9" s="23"/>
      <c r="G9" s="23"/>
      <c r="H9" s="23"/>
      <c r="I9" s="23"/>
      <c r="J9" s="23"/>
      <c r="K9" s="23"/>
      <c r="L9" s="24"/>
    </row>
    <row r="10" spans="1:12" ht="15.75" thickBot="1" x14ac:dyDescent="0.3">
      <c r="A10" s="19" t="s">
        <v>10</v>
      </c>
      <c r="B10" s="25">
        <f>+(1/(C9-C8))</f>
        <v>4</v>
      </c>
      <c r="C10" s="20">
        <f>+B8</f>
        <v>600</v>
      </c>
      <c r="D10" s="26">
        <f>+B10*C10</f>
        <v>2400</v>
      </c>
      <c r="E10" s="27"/>
      <c r="F10" s="23"/>
      <c r="G10" s="23"/>
      <c r="H10" s="23"/>
      <c r="I10" s="23"/>
      <c r="J10" s="23"/>
      <c r="K10" s="23"/>
      <c r="L10" s="24"/>
    </row>
    <row r="11" spans="1:12" ht="15.75" thickBot="1" x14ac:dyDescent="0.3">
      <c r="A11" s="10" t="s">
        <v>11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2"/>
    </row>
    <row r="12" spans="1:12" x14ac:dyDescent="0.25">
      <c r="A12" s="13" t="s">
        <v>3</v>
      </c>
      <c r="B12" s="14">
        <v>300</v>
      </c>
      <c r="C12" s="15">
        <v>0.75</v>
      </c>
      <c r="D12" s="15" t="s">
        <v>12</v>
      </c>
      <c r="E12" s="16">
        <f>+B12+C12*D18</f>
        <v>2040</v>
      </c>
      <c r="F12" s="28" t="s">
        <v>13</v>
      </c>
      <c r="G12" s="29"/>
      <c r="H12" s="29"/>
      <c r="I12" s="29"/>
      <c r="J12" s="29"/>
      <c r="K12" s="29"/>
      <c r="L12" s="30"/>
    </row>
    <row r="13" spans="1:12" x14ac:dyDescent="0.25">
      <c r="A13" s="19" t="s">
        <v>6</v>
      </c>
      <c r="B13" s="20">
        <v>50</v>
      </c>
      <c r="C13" s="21"/>
      <c r="D13" s="21"/>
      <c r="E13" s="22">
        <f>+B13</f>
        <v>50</v>
      </c>
      <c r="F13" s="31"/>
      <c r="G13" s="29"/>
      <c r="H13" s="29"/>
      <c r="I13" s="29"/>
      <c r="J13" s="29"/>
      <c r="K13" s="29"/>
      <c r="L13" s="30"/>
    </row>
    <row r="14" spans="1:12" ht="30" x14ac:dyDescent="0.25">
      <c r="A14" s="19" t="s">
        <v>7</v>
      </c>
      <c r="B14" s="20">
        <v>250</v>
      </c>
      <c r="C14" s="21"/>
      <c r="D14" s="21"/>
      <c r="E14" s="22">
        <f>+B14</f>
        <v>250</v>
      </c>
      <c r="F14" s="31"/>
      <c r="G14" s="29"/>
      <c r="H14" s="29"/>
      <c r="I14" s="29"/>
      <c r="J14" s="29"/>
      <c r="K14" s="29"/>
      <c r="L14" s="30"/>
    </row>
    <row r="15" spans="1:12" ht="30" x14ac:dyDescent="0.25">
      <c r="A15" s="19" t="s">
        <v>8</v>
      </c>
      <c r="B15" s="20">
        <f>SUM(B12:B14)</f>
        <v>600</v>
      </c>
      <c r="C15" s="21">
        <f>SUM(C12:C14)</f>
        <v>0.75</v>
      </c>
      <c r="D15" s="21" t="s">
        <v>12</v>
      </c>
      <c r="E15" s="22">
        <f>SUM(E12:E14)</f>
        <v>2340</v>
      </c>
      <c r="F15" s="31"/>
      <c r="G15" s="29"/>
      <c r="H15" s="29"/>
      <c r="I15" s="29"/>
      <c r="J15" s="29"/>
      <c r="K15" s="29"/>
      <c r="L15" s="30"/>
    </row>
    <row r="16" spans="1:12" ht="30" x14ac:dyDescent="0.25">
      <c r="A16" s="19" t="s">
        <v>9</v>
      </c>
      <c r="B16" s="21"/>
      <c r="C16" s="21">
        <v>1</v>
      </c>
      <c r="D16" s="21" t="s">
        <v>12</v>
      </c>
      <c r="E16" s="22">
        <f>+C16*D18</f>
        <v>2320</v>
      </c>
      <c r="F16" s="31"/>
      <c r="G16" s="29"/>
      <c r="H16" s="29"/>
      <c r="I16" s="29"/>
      <c r="J16" s="29"/>
      <c r="K16" s="29"/>
      <c r="L16" s="30"/>
    </row>
    <row r="17" spans="1:12" x14ac:dyDescent="0.25">
      <c r="A17" s="32" t="s">
        <v>14</v>
      </c>
      <c r="B17" s="33"/>
      <c r="C17" s="33"/>
      <c r="D17" s="34"/>
      <c r="E17" s="35">
        <v>-20</v>
      </c>
      <c r="F17" s="31"/>
      <c r="G17" s="29"/>
      <c r="H17" s="29"/>
      <c r="I17" s="29"/>
      <c r="J17" s="29"/>
      <c r="K17" s="29"/>
      <c r="L17" s="30"/>
    </row>
    <row r="18" spans="1:12" ht="15.75" thickBot="1" x14ac:dyDescent="0.3">
      <c r="A18" s="36" t="s">
        <v>15</v>
      </c>
      <c r="B18" s="37">
        <f>+(1/(C16-C15))</f>
        <v>4</v>
      </c>
      <c r="C18" s="38">
        <f>+B15+E17</f>
        <v>580</v>
      </c>
      <c r="D18" s="38">
        <f>+B18*C18</f>
        <v>2320</v>
      </c>
      <c r="E18" s="39"/>
      <c r="F18" s="40"/>
      <c r="G18" s="41"/>
      <c r="H18" s="41"/>
      <c r="I18" s="41"/>
      <c r="J18" s="41"/>
      <c r="K18" s="41"/>
      <c r="L18" s="42"/>
    </row>
    <row r="19" spans="1:12" ht="15.75" thickBot="1" x14ac:dyDescent="0.3">
      <c r="A19" s="10" t="s">
        <v>16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2"/>
    </row>
    <row r="20" spans="1:12" ht="15.75" thickBot="1" x14ac:dyDescent="0.3">
      <c r="A20" s="43" t="s">
        <v>17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5"/>
    </row>
  </sheetData>
  <sheetProtection algorithmName="SHA-512" hashValue="ouPXoI0Rvi014uAi+Q+ODHY4rxYskupE+d4seTwcITAh0UT1R7FYfeqR3r/4bBhOP45HyckKmQ+EdhLPVVqP8Q==" saltValue="Gal20gyKg48JYfw5mjkgHA==" spinCount="100000" sheet="1" objects="1" scenarios="1"/>
  <mergeCells count="10">
    <mergeCell ref="F12:L18"/>
    <mergeCell ref="A17:D17"/>
    <mergeCell ref="A19:L19"/>
    <mergeCell ref="A20:L20"/>
    <mergeCell ref="A1:L1"/>
    <mergeCell ref="A2:L2"/>
    <mergeCell ref="A3:L3"/>
    <mergeCell ref="A4:L4"/>
    <mergeCell ref="F5:L10"/>
    <mergeCell ref="A11:L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2021-09-30T17:59:34Z</dcterms:created>
  <dcterms:modified xsi:type="dcterms:W3CDTF">2021-09-30T18:01:28Z</dcterms:modified>
</cp:coreProperties>
</file>