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v\Downloads\"/>
    </mc:Choice>
  </mc:AlternateContent>
  <xr:revisionPtr revIDLastSave="0" documentId="13_ncr:1_{7AE4E2A4-F3F1-4B9F-8C55-6D4D4ECF9FC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aterias Primas" sheetId="1" r:id="rId1"/>
    <sheet name="Costo por Producto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" l="1"/>
  <c r="L8" i="2"/>
  <c r="L9" i="2" s="1"/>
</calcChain>
</file>

<file path=xl/sharedStrings.xml><?xml version="1.0" encoding="utf-8"?>
<sst xmlns="http://schemas.openxmlformats.org/spreadsheetml/2006/main" count="146" uniqueCount="88">
  <si>
    <t>MATERIAS PRIMAS</t>
  </si>
  <si>
    <t>Ingrediente</t>
  </si>
  <si>
    <t>Unidad</t>
  </si>
  <si>
    <t>Precio Unit. ($)</t>
  </si>
  <si>
    <t>Observaciones</t>
  </si>
  <si>
    <t>HARINAS</t>
  </si>
  <si>
    <t>FECULA DE MAIZ</t>
  </si>
  <si>
    <t>Kg.</t>
  </si>
  <si>
    <t>HARINA DE ARROZ</t>
  </si>
  <si>
    <t>FECULA DE MANDIOCA</t>
  </si>
  <si>
    <t>PREMEZCLA PAN BLEND PRECISA BAKE INGREDION</t>
  </si>
  <si>
    <t>SANACEL ADD 030 Psyllium blanco BRENNTAG</t>
  </si>
  <si>
    <t>FIBRA CELULOSA C-200 - ENSOLFOOD</t>
  </si>
  <si>
    <t>GRASAS Y ACEITES</t>
  </si>
  <si>
    <t>ACEITE VEGETAL INTERESTERIFICADO</t>
  </si>
  <si>
    <t>ACEITE PURO DE GIRASOL ALTO OLEICO GRANEL</t>
  </si>
  <si>
    <t>LECITINA DE SOJA</t>
  </si>
  <si>
    <t>MONOESTEARATO DE GLICERILO</t>
  </si>
  <si>
    <t>ENDULZANTES</t>
  </si>
  <si>
    <t>AZUCAR COMUN</t>
  </si>
  <si>
    <t>JARABE DE GLUCOSA</t>
  </si>
  <si>
    <t>JARABE DE MAIZ ALTA FRUCTOSA</t>
  </si>
  <si>
    <t>LECHE CONDENSADA</t>
  </si>
  <si>
    <t>EDULZUGAR - endulzante - EL BAHIENSE</t>
  </si>
  <si>
    <t>ADITIVOS / OTROS</t>
  </si>
  <si>
    <t>AGUA</t>
  </si>
  <si>
    <t>L.</t>
  </si>
  <si>
    <t>SAL</t>
  </si>
  <si>
    <t>POLVO PARA HORNEAR</t>
  </si>
  <si>
    <t>SORBATO DE POTASIO</t>
  </si>
  <si>
    <t>PROPIONATO DE CALCIO</t>
  </si>
  <si>
    <t>GOMA XANTICA</t>
  </si>
  <si>
    <t>BICARBONATO DE AMONIO</t>
  </si>
  <si>
    <t>BICARBONATO DE SODIO</t>
  </si>
  <si>
    <t>LEVADURA SECA</t>
  </si>
  <si>
    <t>ESENCIA DE VAINILLA HARMONY</t>
  </si>
  <si>
    <t>ESENCIA AROMA BUDIN</t>
  </si>
  <si>
    <t>ESENCIA PAN DUAS RODAS</t>
  </si>
  <si>
    <t>SUPROLAC BK3</t>
  </si>
  <si>
    <t>HUEVO ENTERO EN POLVO-OVOALFA</t>
  </si>
  <si>
    <t>PANACEA 2813</t>
  </si>
  <si>
    <t>GLICERINA VEGETAL</t>
  </si>
  <si>
    <t>GRANOPLUS FRESCURA</t>
  </si>
  <si>
    <t>ACIDO CITRICO</t>
  </si>
  <si>
    <t>EMULSIONANTE PROBAT PLUS GEL</t>
  </si>
  <si>
    <t>GRANOZYME SOFT</t>
  </si>
  <si>
    <t>MEZCLA AVI</t>
  </si>
  <si>
    <t>GLUTAMATO MONOSODICO</t>
  </si>
  <si>
    <t>CACAO EN POLVO ALCALINO</t>
  </si>
  <si>
    <t>CHIPS CHOCOLATE AMARGO VEGANO</t>
  </si>
  <si>
    <t>COSTO DE MATERIA PRIMA POR PRODUCTO</t>
  </si>
  <si>
    <t>Sección</t>
  </si>
  <si>
    <t>BUDINES</t>
  </si>
  <si>
    <t>PEPAS CHOC. Y BATATA</t>
  </si>
  <si>
    <t>POLVORONES</t>
  </si>
  <si>
    <t>PAN DE MOLDE</t>
  </si>
  <si>
    <t>GALL. CHOCOLINAS</t>
  </si>
  <si>
    <t>BIZCOCHOS SALADOS</t>
  </si>
  <si>
    <t>CHOC. CHIPS PICANTE</t>
  </si>
  <si>
    <t>Subtotal ($)</t>
  </si>
  <si>
    <t>$/Kg secc.</t>
  </si>
  <si>
    <t>Harinas</t>
  </si>
  <si>
    <t>Grasas y Aceites</t>
  </si>
  <si>
    <t>Endulzantes</t>
  </si>
  <si>
    <t>—</t>
  </si>
  <si>
    <t>Aditivos / Otros</t>
  </si>
  <si>
    <t>TOTAL LOTE ($)</t>
  </si>
  <si>
    <t>COSTO / KG</t>
  </si>
  <si>
    <t>RESUMEN – COSTO DE MATERIA PRIMA POR PRODUCTO</t>
  </si>
  <si>
    <t>Producto</t>
  </si>
  <si>
    <t>Costo MP / Kg ($)</t>
  </si>
  <si>
    <t>Estado</t>
  </si>
  <si>
    <t>Tipo receta</t>
  </si>
  <si>
    <t>PRODUCTOS CON DATOS DE ARCHIVO</t>
  </si>
  <si>
    <t>Budines</t>
  </si>
  <si>
    <t>✓ Datos reales</t>
  </si>
  <si>
    <t>Panificado</t>
  </si>
  <si>
    <t>Pepas chocolate y batata</t>
  </si>
  <si>
    <t>Galletita</t>
  </si>
  <si>
    <t>Polvorones</t>
  </si>
  <si>
    <t>Pan de molde</t>
  </si>
  <si>
    <t>NUEVAS RECETAS (costos estimados)</t>
  </si>
  <si>
    <t>Galletitas simil chocolinas</t>
  </si>
  <si>
    <t>~ Estimado</t>
  </si>
  <si>
    <t>Galletita (nueva)</t>
  </si>
  <si>
    <t>Bizcochos salados</t>
  </si>
  <si>
    <t>Chocolate con chips picante</t>
  </si>
  <si>
    <t>✓ Precios actualizados: CACAO EN POLVO ALCALINO $11.000/kg | CHIPS CHOCOLATE AMARGO VEGANO $5.000/kg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</si>
</sst>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9"/>
      <color rgb="FF000000"/>
      <name val="Arial"/>
    </font>
    <font>
      <i/>
      <sz val="8"/>
      <color rgb="FF000000"/>
      <name val="Arial"/>
    </font>
    <font>
      <i/>
      <sz val="9"/>
      <color rgb="FF9C0006"/>
      <name val="Arial"/>
    </font>
    <font>
      <i/>
      <sz val="8"/>
      <color rgb="FF9C0006"/>
      <name val="Arial"/>
    </font>
    <font>
      <b/>
      <sz val="11"/>
      <color rgb="FFFFFFFF"/>
      <name val="Arial"/>
    </font>
    <font>
      <b/>
      <sz val="9"/>
      <color rgb="FF000000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sz val="9"/>
      <color rgb="FF006100"/>
      <name val="Arial"/>
    </font>
    <font>
      <sz val="9"/>
      <color rgb="FF9C0006"/>
      <name val="Arial"/>
    </font>
    <font>
      <i/>
      <sz val="8"/>
      <color rgb="FF006100"/>
      <name val="Arial"/>
    </font>
    <font>
      <b/>
      <sz val="8"/>
      <color rgb="FF000000"/>
      <name val="Arial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4B183"/>
        <bgColor rgb="FFF4B183"/>
      </patternFill>
    </fill>
    <fill>
      <patternFill patternType="solid">
        <fgColor rgb="FFFCE4D6"/>
        <bgColor rgb="FFFCE4D6"/>
      </patternFill>
    </fill>
    <fill>
      <patternFill patternType="solid">
        <fgColor rgb="FFA9D18E"/>
        <bgColor rgb="FFA9D18E"/>
      </patternFill>
    </fill>
    <fill>
      <patternFill patternType="solid">
        <fgColor rgb="FFE2EFDA"/>
        <bgColor rgb="FFE2EFDA"/>
      </patternFill>
    </fill>
    <fill>
      <patternFill patternType="solid">
        <fgColor rgb="FF9DC3E6"/>
        <bgColor rgb="FF9DC3E6"/>
      </patternFill>
    </fill>
    <fill>
      <patternFill patternType="solid">
        <fgColor rgb="FFEAF0FB"/>
        <bgColor rgb="FFEAF0FB"/>
      </patternFill>
    </fill>
    <fill>
      <patternFill patternType="solid">
        <fgColor rgb="FFD6DCE4"/>
        <bgColor rgb="FFD6DCE4"/>
      </patternFill>
    </fill>
    <fill>
      <patternFill patternType="solid">
        <fgColor rgb="FFD6E4F0"/>
        <bgColor rgb="FFD6E4F0"/>
      </patternFill>
    </fill>
    <fill>
      <patternFill patternType="solid">
        <fgColor rgb="FFBDD7EE"/>
        <bgColor rgb="FFBDD7EE"/>
      </patternFill>
    </fill>
    <fill>
      <patternFill patternType="solid">
        <fgColor rgb="FF375623"/>
        <bgColor rgb="FF375623"/>
      </patternFill>
    </fill>
    <fill>
      <patternFill patternType="solid">
        <fgColor rgb="FF843C0C"/>
        <bgColor rgb="FF843C0C"/>
      </patternFill>
    </fill>
    <fill>
      <patternFill patternType="solid">
        <fgColor rgb="FF4A235A"/>
        <bgColor rgb="FF4A235A"/>
      </patternFill>
    </fill>
    <fill>
      <patternFill patternType="solid">
        <fgColor rgb="FFF3E6FA"/>
        <bgColor rgb="FFF3E6FA"/>
      </patternFill>
    </fill>
    <fill>
      <patternFill patternType="solid">
        <fgColor rgb="FFD7B8F0"/>
        <bgColor rgb="FFD7B8F0"/>
      </patternFill>
    </fill>
    <fill>
      <patternFill patternType="solid">
        <fgColor rgb="FF833C00"/>
        <bgColor rgb="FF833C00"/>
      </patternFill>
    </fill>
    <fill>
      <patternFill patternType="solid">
        <fgColor rgb="FFC00000"/>
        <bgColor rgb="FFC00000"/>
      </patternFill>
    </fill>
    <fill>
      <patternFill patternType="solid">
        <fgColor rgb="FFFFE0E0"/>
        <bgColor rgb="FFFFE0E0"/>
      </patternFill>
    </fill>
    <fill>
      <patternFill patternType="solid">
        <fgColor rgb="FFFF9999"/>
        <bgColor rgb="FFFF999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left" vertical="center" indent="1"/>
    </xf>
    <xf numFmtId="0" fontId="4" fillId="11" borderId="1" xfId="0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right" vertical="center"/>
    </xf>
    <xf numFmtId="0" fontId="5" fillId="11" borderId="1" xfId="0" applyFont="1" applyFill="1" applyBorder="1" applyAlignment="1">
      <alignment horizontal="left" vertical="center" indent="1"/>
    </xf>
    <xf numFmtId="164" fontId="6" fillId="11" borderId="1" xfId="0" applyNumberFormat="1" applyFont="1" applyFill="1" applyBorder="1" applyAlignment="1">
      <alignment horizontal="right" vertical="center"/>
    </xf>
    <xf numFmtId="0" fontId="7" fillId="11" borderId="1" xfId="0" applyFont="1" applyFill="1" applyBorder="1" applyAlignment="1">
      <alignment horizontal="left" vertical="center" indent="1"/>
    </xf>
    <xf numFmtId="0" fontId="4" fillId="13" borderId="1" xfId="0" applyFont="1" applyFill="1" applyBorder="1" applyAlignment="1">
      <alignment horizontal="center" vertical="center"/>
    </xf>
    <xf numFmtId="0" fontId="0" fillId="14" borderId="1" xfId="0" applyFill="1" applyBorder="1"/>
    <xf numFmtId="164" fontId="9" fillId="14" borderId="1" xfId="0" applyNumberFormat="1" applyFont="1" applyFill="1" applyBorder="1" applyAlignment="1">
      <alignment horizontal="right" vertical="center"/>
    </xf>
    <xf numFmtId="0" fontId="0" fillId="8" borderId="1" xfId="0" applyFill="1" applyBorder="1"/>
    <xf numFmtId="164" fontId="9" fillId="8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164" fontId="9" fillId="6" borderId="1" xfId="0" applyNumberFormat="1" applyFont="1" applyFill="1" applyBorder="1" applyAlignment="1">
      <alignment horizontal="right" vertical="center"/>
    </xf>
    <xf numFmtId="0" fontId="4" fillId="14" borderId="1" xfId="0" applyFont="1" applyFill="1" applyBorder="1" applyAlignment="1">
      <alignment horizontal="center" vertical="center"/>
    </xf>
    <xf numFmtId="0" fontId="0" fillId="10" borderId="1" xfId="0" applyFill="1" applyBorder="1"/>
    <xf numFmtId="164" fontId="9" fillId="10" borderId="1" xfId="0" applyNumberFormat="1" applyFont="1" applyFill="1" applyBorder="1" applyAlignment="1">
      <alignment horizontal="right" vertical="center"/>
    </xf>
    <xf numFmtId="0" fontId="4" fillId="18" borderId="1" xfId="0" applyFont="1" applyFill="1" applyBorder="1" applyAlignment="1">
      <alignment horizontal="center" vertical="center"/>
    </xf>
    <xf numFmtId="0" fontId="0" fillId="19" borderId="1" xfId="0" applyFill="1" applyBorder="1"/>
    <xf numFmtId="164" fontId="9" fillId="19" borderId="1" xfId="0" applyNumberFormat="1" applyFont="1" applyFill="1" applyBorder="1" applyAlignment="1">
      <alignment horizontal="right" vertical="center"/>
    </xf>
    <xf numFmtId="0" fontId="0" fillId="4" borderId="1" xfId="0" applyFill="1" applyBorder="1"/>
    <xf numFmtId="164" fontId="9" fillId="4" borderId="1" xfId="0" applyNumberFormat="1" applyFont="1" applyFill="1" applyBorder="1" applyAlignment="1">
      <alignment horizontal="right" vertical="center"/>
    </xf>
    <xf numFmtId="0" fontId="4" fillId="22" borderId="1" xfId="0" applyFont="1" applyFill="1" applyBorder="1" applyAlignment="1">
      <alignment horizontal="center" vertical="center"/>
    </xf>
    <xf numFmtId="0" fontId="0" fillId="23" borderId="1" xfId="0" applyFill="1" applyBorder="1"/>
    <xf numFmtId="0" fontId="3" fillId="13" borderId="1" xfId="0" applyFont="1" applyFill="1" applyBorder="1" applyAlignment="1">
      <alignment horizontal="left" vertical="center" indent="1"/>
    </xf>
    <xf numFmtId="164" fontId="3" fillId="14" borderId="1" xfId="0" applyNumberFormat="1" applyFont="1" applyFill="1" applyBorder="1" applyAlignment="1">
      <alignment horizontal="right" vertical="center"/>
    </xf>
    <xf numFmtId="0" fontId="12" fillId="1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3" fillId="9" borderId="1" xfId="0" applyFont="1" applyFill="1" applyBorder="1" applyAlignment="1">
      <alignment horizontal="left" vertical="center" indent="1"/>
    </xf>
    <xf numFmtId="164" fontId="3" fillId="8" borderId="1" xfId="0" applyNumberFormat="1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3" fillId="7" borderId="1" xfId="0" applyFont="1" applyFill="1" applyBorder="1" applyAlignment="1">
      <alignment horizontal="left" vertical="center" indent="1"/>
    </xf>
    <xf numFmtId="164" fontId="3" fillId="6" borderId="1" xfId="0" applyNumberFormat="1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3" fillId="14" borderId="1" xfId="0" applyFont="1" applyFill="1" applyBorder="1" applyAlignment="1">
      <alignment horizontal="left" vertical="center" indent="1"/>
    </xf>
    <xf numFmtId="164" fontId="3" fillId="10" borderId="1" xfId="0" applyNumberFormat="1" applyFont="1" applyFill="1" applyBorder="1" applyAlignment="1">
      <alignment horizontal="right" vertical="center"/>
    </xf>
    <xf numFmtId="0" fontId="12" fillId="14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left" vertical="center" indent="1"/>
    </xf>
    <xf numFmtId="164" fontId="3" fillId="19" borderId="1" xfId="0" applyNumberFormat="1" applyFont="1" applyFill="1" applyBorder="1" applyAlignment="1">
      <alignment horizontal="right" vertical="center"/>
    </xf>
    <xf numFmtId="0" fontId="13" fillId="18" borderId="1" xfId="0" applyFont="1" applyFill="1" applyBorder="1" applyAlignment="1">
      <alignment horizontal="center" vertical="center"/>
    </xf>
    <xf numFmtId="0" fontId="0" fillId="18" borderId="1" xfId="0" applyFill="1" applyBorder="1"/>
    <xf numFmtId="0" fontId="3" fillId="5" borderId="1" xfId="0" applyFont="1" applyFill="1" applyBorder="1" applyAlignment="1">
      <alignment horizontal="left" vertical="center" indent="1"/>
    </xf>
    <xf numFmtId="164" fontId="3" fillId="4" borderId="1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3" fillId="22" borderId="1" xfId="0" applyFont="1" applyFill="1" applyBorder="1" applyAlignment="1">
      <alignment horizontal="left" vertical="center" indent="1"/>
    </xf>
    <xf numFmtId="164" fontId="3" fillId="23" borderId="1" xfId="0" applyNumberFormat="1" applyFont="1" applyFill="1" applyBorder="1" applyAlignment="1">
      <alignment horizontal="right" vertical="center"/>
    </xf>
    <xf numFmtId="0" fontId="13" fillId="22" borderId="1" xfId="0" applyFont="1" applyFill="1" applyBorder="1" applyAlignment="1">
      <alignment horizontal="center" vertical="center"/>
    </xf>
    <xf numFmtId="0" fontId="0" fillId="22" borderId="1" xfId="0" applyFill="1" applyBorder="1"/>
    <xf numFmtId="0" fontId="9" fillId="4" borderId="1" xfId="0" applyFont="1" applyFill="1" applyBorder="1" applyAlignment="1">
      <alignment horizontal="left" vertical="center" indent="1"/>
    </xf>
    <xf numFmtId="164" fontId="4" fillId="4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 indent="1"/>
    </xf>
    <xf numFmtId="164" fontId="4" fillId="6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 indent="1"/>
    </xf>
    <xf numFmtId="164" fontId="4" fillId="8" borderId="1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left" vertical="center" indent="1"/>
    </xf>
    <xf numFmtId="164" fontId="4" fillId="10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15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0" fillId="0" borderId="1" xfId="0" applyBorder="1"/>
    <xf numFmtId="164" fontId="8" fillId="21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0" fillId="0" borderId="0" xfId="0"/>
    <xf numFmtId="164" fontId="8" fillId="2" borderId="1" xfId="0" applyNumberFormat="1" applyFont="1" applyFill="1" applyBorder="1" applyAlignment="1">
      <alignment horizontal="center" vertical="center"/>
    </xf>
    <xf numFmtId="164" fontId="8" fillId="15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8" fillId="16" borderId="1" xfId="0" applyNumberFormat="1" applyFont="1" applyFill="1" applyBorder="1" applyAlignment="1">
      <alignment horizontal="center" vertical="center"/>
    </xf>
    <xf numFmtId="164" fontId="8" fillId="20" borderId="1" xfId="0" applyNumberFormat="1" applyFont="1" applyFill="1" applyBorder="1" applyAlignment="1">
      <alignment horizontal="center" vertical="center"/>
    </xf>
    <xf numFmtId="164" fontId="8" fillId="17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workbookViewId="0">
      <selection sqref="A1:D1"/>
    </sheetView>
  </sheetViews>
  <sheetFormatPr baseColWidth="10" defaultColWidth="9.140625" defaultRowHeight="15" x14ac:dyDescent="0.25"/>
  <cols>
    <col min="1" max="1" width="32" customWidth="1"/>
    <col min="2" max="2" width="8" customWidth="1"/>
    <col min="3" max="3" width="18" customWidth="1"/>
    <col min="4" max="4" width="24" customWidth="1"/>
  </cols>
  <sheetData>
    <row r="1" spans="1:4" ht="27.95" customHeight="1" x14ac:dyDescent="0.25">
      <c r="A1" s="77" t="s">
        <v>0</v>
      </c>
      <c r="B1" s="78"/>
      <c r="C1" s="78"/>
      <c r="D1" s="79"/>
    </row>
    <row r="2" spans="1:4" ht="20.100000000000001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18" customHeight="1" x14ac:dyDescent="0.25">
      <c r="A3" s="80" t="s">
        <v>5</v>
      </c>
      <c r="B3" s="78"/>
      <c r="C3" s="78"/>
      <c r="D3" s="79"/>
    </row>
    <row r="4" spans="1:4" ht="15.95" customHeight="1" x14ac:dyDescent="0.25">
      <c r="A4" s="2" t="s">
        <v>6</v>
      </c>
      <c r="B4" s="3" t="s">
        <v>7</v>
      </c>
      <c r="C4" s="4">
        <v>792.4</v>
      </c>
      <c r="D4" s="5"/>
    </row>
    <row r="5" spans="1:4" ht="15.95" customHeight="1" x14ac:dyDescent="0.25">
      <c r="A5" s="2" t="s">
        <v>8</v>
      </c>
      <c r="B5" s="3" t="s">
        <v>7</v>
      </c>
      <c r="C5" s="4">
        <v>616</v>
      </c>
      <c r="D5" s="5"/>
    </row>
    <row r="6" spans="1:4" ht="15.95" customHeight="1" x14ac:dyDescent="0.25">
      <c r="A6" s="2" t="s">
        <v>9</v>
      </c>
      <c r="B6" s="3" t="s">
        <v>7</v>
      </c>
      <c r="C6" s="4">
        <v>1075.4000000000001</v>
      </c>
      <c r="D6" s="5"/>
    </row>
    <row r="7" spans="1:4" ht="15.95" customHeight="1" x14ac:dyDescent="0.25">
      <c r="A7" s="2" t="s">
        <v>10</v>
      </c>
      <c r="B7" s="3" t="s">
        <v>7</v>
      </c>
      <c r="C7" s="4">
        <v>4525.5</v>
      </c>
      <c r="D7" s="5"/>
    </row>
    <row r="8" spans="1:4" ht="15.95" customHeight="1" x14ac:dyDescent="0.25">
      <c r="A8" s="2" t="s">
        <v>11</v>
      </c>
      <c r="B8" s="3" t="s">
        <v>7</v>
      </c>
      <c r="C8" s="4">
        <v>18040.32</v>
      </c>
      <c r="D8" s="5"/>
    </row>
    <row r="9" spans="1:4" ht="15.95" customHeight="1" x14ac:dyDescent="0.25">
      <c r="A9" s="2" t="s">
        <v>12</v>
      </c>
      <c r="B9" s="3" t="s">
        <v>7</v>
      </c>
      <c r="C9" s="4">
        <v>5380.54</v>
      </c>
      <c r="D9" s="5"/>
    </row>
    <row r="10" spans="1:4" ht="18" customHeight="1" x14ac:dyDescent="0.25">
      <c r="A10" s="83" t="s">
        <v>13</v>
      </c>
      <c r="B10" s="78"/>
      <c r="C10" s="78"/>
      <c r="D10" s="79"/>
    </row>
    <row r="11" spans="1:4" ht="15.95" customHeight="1" x14ac:dyDescent="0.25">
      <c r="A11" s="6" t="s">
        <v>14</v>
      </c>
      <c r="B11" s="7" t="s">
        <v>7</v>
      </c>
      <c r="C11" s="8">
        <v>3768.8</v>
      </c>
      <c r="D11" s="9"/>
    </row>
    <row r="12" spans="1:4" ht="15.95" customHeight="1" x14ac:dyDescent="0.25">
      <c r="A12" s="6" t="s">
        <v>15</v>
      </c>
      <c r="B12" s="7" t="s">
        <v>7</v>
      </c>
      <c r="C12" s="8">
        <v>2132.625</v>
      </c>
      <c r="D12" s="9"/>
    </row>
    <row r="13" spans="1:4" ht="15.95" customHeight="1" x14ac:dyDescent="0.25">
      <c r="A13" s="6" t="s">
        <v>16</v>
      </c>
      <c r="B13" s="7" t="s">
        <v>7</v>
      </c>
      <c r="C13" s="8">
        <v>1710</v>
      </c>
      <c r="D13" s="9"/>
    </row>
    <row r="14" spans="1:4" ht="15.95" customHeight="1" x14ac:dyDescent="0.25">
      <c r="A14" s="6" t="s">
        <v>17</v>
      </c>
      <c r="B14" s="7" t="s">
        <v>7</v>
      </c>
      <c r="C14" s="8">
        <v>4018</v>
      </c>
      <c r="D14" s="9"/>
    </row>
    <row r="15" spans="1:4" ht="18" customHeight="1" x14ac:dyDescent="0.25">
      <c r="A15" s="82" t="s">
        <v>18</v>
      </c>
      <c r="B15" s="78"/>
      <c r="C15" s="78"/>
      <c r="D15" s="79"/>
    </row>
    <row r="16" spans="1:4" ht="15.95" customHeight="1" x14ac:dyDescent="0.25">
      <c r="A16" s="10" t="s">
        <v>19</v>
      </c>
      <c r="B16" s="11" t="s">
        <v>7</v>
      </c>
      <c r="C16" s="12">
        <v>804</v>
      </c>
      <c r="D16" s="13"/>
    </row>
    <row r="17" spans="1:4" ht="15.95" customHeight="1" x14ac:dyDescent="0.25">
      <c r="A17" s="10" t="s">
        <v>20</v>
      </c>
      <c r="B17" s="11" t="s">
        <v>7</v>
      </c>
      <c r="C17" s="12">
        <v>1245</v>
      </c>
      <c r="D17" s="13"/>
    </row>
    <row r="18" spans="1:4" ht="15.95" customHeight="1" x14ac:dyDescent="0.25">
      <c r="A18" s="10" t="s">
        <v>21</v>
      </c>
      <c r="B18" s="11" t="s">
        <v>7</v>
      </c>
      <c r="C18" s="12">
        <v>1139</v>
      </c>
      <c r="D18" s="13"/>
    </row>
    <row r="19" spans="1:4" ht="15.95" customHeight="1" x14ac:dyDescent="0.25">
      <c r="A19" s="10" t="s">
        <v>22</v>
      </c>
      <c r="B19" s="11" t="s">
        <v>7</v>
      </c>
      <c r="C19" s="12">
        <v>39408.5</v>
      </c>
      <c r="D19" s="13"/>
    </row>
    <row r="20" spans="1:4" ht="15.95" customHeight="1" x14ac:dyDescent="0.25">
      <c r="A20" s="10" t="s">
        <v>23</v>
      </c>
      <c r="B20" s="11" t="s">
        <v>7</v>
      </c>
      <c r="C20" s="12">
        <v>1297</v>
      </c>
      <c r="D20" s="13"/>
    </row>
    <row r="21" spans="1:4" ht="18" customHeight="1" x14ac:dyDescent="0.25">
      <c r="A21" s="81" t="s">
        <v>24</v>
      </c>
      <c r="B21" s="78"/>
      <c r="C21" s="78"/>
      <c r="D21" s="79"/>
    </row>
    <row r="22" spans="1:4" ht="15.95" customHeight="1" x14ac:dyDescent="0.25">
      <c r="A22" s="14" t="s">
        <v>25</v>
      </c>
      <c r="B22" s="15" t="s">
        <v>26</v>
      </c>
      <c r="C22" s="16">
        <v>1</v>
      </c>
      <c r="D22" s="17"/>
    </row>
    <row r="23" spans="1:4" ht="15.95" customHeight="1" x14ac:dyDescent="0.25">
      <c r="A23" s="14" t="s">
        <v>27</v>
      </c>
      <c r="B23" s="15" t="s">
        <v>7</v>
      </c>
      <c r="C23" s="16">
        <v>407.04</v>
      </c>
      <c r="D23" s="17"/>
    </row>
    <row r="24" spans="1:4" ht="15.95" customHeight="1" x14ac:dyDescent="0.25">
      <c r="A24" s="14" t="s">
        <v>28</v>
      </c>
      <c r="B24" s="15" t="s">
        <v>7</v>
      </c>
      <c r="C24" s="16">
        <v>2058</v>
      </c>
      <c r="D24" s="17"/>
    </row>
    <row r="25" spans="1:4" ht="15.95" customHeight="1" x14ac:dyDescent="0.25">
      <c r="A25" s="14" t="s">
        <v>29</v>
      </c>
      <c r="B25" s="15" t="s">
        <v>7</v>
      </c>
      <c r="C25" s="16">
        <v>5130</v>
      </c>
      <c r="D25" s="17"/>
    </row>
    <row r="26" spans="1:4" ht="15.95" customHeight="1" x14ac:dyDescent="0.25">
      <c r="A26" s="14" t="s">
        <v>30</v>
      </c>
      <c r="B26" s="15" t="s">
        <v>7</v>
      </c>
      <c r="C26" s="16">
        <v>2842</v>
      </c>
      <c r="D26" s="17"/>
    </row>
    <row r="27" spans="1:4" ht="15.95" customHeight="1" x14ac:dyDescent="0.25">
      <c r="A27" s="14" t="s">
        <v>31</v>
      </c>
      <c r="B27" s="15" t="s">
        <v>7</v>
      </c>
      <c r="C27" s="16">
        <v>4200</v>
      </c>
      <c r="D27" s="17"/>
    </row>
    <row r="28" spans="1:4" ht="15.95" customHeight="1" x14ac:dyDescent="0.25">
      <c r="A28" s="14" t="s">
        <v>32</v>
      </c>
      <c r="B28" s="15" t="s">
        <v>7</v>
      </c>
      <c r="C28" s="16">
        <v>1102</v>
      </c>
      <c r="D28" s="17"/>
    </row>
    <row r="29" spans="1:4" ht="15.95" customHeight="1" x14ac:dyDescent="0.25">
      <c r="A29" s="14" t="s">
        <v>33</v>
      </c>
      <c r="B29" s="15" t="s">
        <v>7</v>
      </c>
      <c r="C29" s="16">
        <v>1219.75</v>
      </c>
      <c r="D29" s="17"/>
    </row>
    <row r="30" spans="1:4" ht="15.95" customHeight="1" x14ac:dyDescent="0.25">
      <c r="A30" s="14" t="s">
        <v>34</v>
      </c>
      <c r="B30" s="15" t="s">
        <v>7</v>
      </c>
      <c r="C30" s="16">
        <v>8273.4500000000007</v>
      </c>
      <c r="D30" s="17"/>
    </row>
    <row r="31" spans="1:4" ht="15.95" customHeight="1" x14ac:dyDescent="0.25">
      <c r="A31" s="14" t="s">
        <v>35</v>
      </c>
      <c r="B31" s="15" t="s">
        <v>7</v>
      </c>
      <c r="C31" s="16">
        <v>43468.800000000003</v>
      </c>
      <c r="D31" s="17"/>
    </row>
    <row r="32" spans="1:4" ht="15.95" customHeight="1" x14ac:dyDescent="0.25">
      <c r="A32" s="14" t="s">
        <v>36</v>
      </c>
      <c r="B32" s="15" t="s">
        <v>7</v>
      </c>
      <c r="C32" s="16">
        <v>40126.35</v>
      </c>
      <c r="D32" s="17"/>
    </row>
    <row r="33" spans="1:4" ht="15.95" customHeight="1" x14ac:dyDescent="0.25">
      <c r="A33" s="14" t="s">
        <v>37</v>
      </c>
      <c r="B33" s="15" t="s">
        <v>7</v>
      </c>
      <c r="C33" s="16">
        <v>7511.1760999999997</v>
      </c>
      <c r="D33" s="17"/>
    </row>
    <row r="34" spans="1:4" ht="15.95" customHeight="1" x14ac:dyDescent="0.25">
      <c r="A34" s="14" t="s">
        <v>38</v>
      </c>
      <c r="B34" s="15" t="s">
        <v>7</v>
      </c>
      <c r="C34" s="16">
        <v>3976</v>
      </c>
      <c r="D34" s="17"/>
    </row>
    <row r="35" spans="1:4" ht="15.95" customHeight="1" x14ac:dyDescent="0.25">
      <c r="A35" s="14" t="s">
        <v>39</v>
      </c>
      <c r="B35" s="15" t="s">
        <v>7</v>
      </c>
      <c r="C35" s="16">
        <v>11400</v>
      </c>
      <c r="D35" s="17"/>
    </row>
    <row r="36" spans="1:4" ht="15.95" customHeight="1" x14ac:dyDescent="0.25">
      <c r="A36" s="14" t="s">
        <v>40</v>
      </c>
      <c r="B36" s="15" t="s">
        <v>7</v>
      </c>
      <c r="C36" s="16">
        <v>8425.94</v>
      </c>
      <c r="D36" s="17"/>
    </row>
    <row r="37" spans="1:4" ht="15.95" customHeight="1" x14ac:dyDescent="0.25">
      <c r="A37" s="14" t="s">
        <v>41</v>
      </c>
      <c r="B37" s="15" t="s">
        <v>7</v>
      </c>
      <c r="C37" s="16">
        <v>2646</v>
      </c>
      <c r="D37" s="17"/>
    </row>
    <row r="38" spans="1:4" ht="15.95" customHeight="1" x14ac:dyDescent="0.25">
      <c r="A38" s="14" t="s">
        <v>42</v>
      </c>
      <c r="B38" s="15" t="s">
        <v>7</v>
      </c>
      <c r="C38" s="16">
        <v>13542</v>
      </c>
      <c r="D38" s="17"/>
    </row>
    <row r="39" spans="1:4" ht="15.95" customHeight="1" x14ac:dyDescent="0.25">
      <c r="A39" s="14" t="s">
        <v>43</v>
      </c>
      <c r="B39" s="15" t="s">
        <v>7</v>
      </c>
      <c r="C39" s="16">
        <v>1698</v>
      </c>
      <c r="D39" s="17"/>
    </row>
    <row r="40" spans="1:4" ht="15.95" customHeight="1" x14ac:dyDescent="0.25">
      <c r="A40" s="14" t="s">
        <v>44</v>
      </c>
      <c r="B40" s="15" t="s">
        <v>7</v>
      </c>
      <c r="C40" s="16">
        <v>7668</v>
      </c>
      <c r="D40" s="17"/>
    </row>
    <row r="41" spans="1:4" ht="15.95" customHeight="1" x14ac:dyDescent="0.25">
      <c r="A41" s="14" t="s">
        <v>45</v>
      </c>
      <c r="B41" s="15" t="s">
        <v>7</v>
      </c>
      <c r="C41" s="16">
        <v>189360</v>
      </c>
      <c r="D41" s="17"/>
    </row>
    <row r="42" spans="1:4" ht="15.95" customHeight="1" x14ac:dyDescent="0.25">
      <c r="A42" s="14" t="s">
        <v>46</v>
      </c>
      <c r="B42" s="15" t="s">
        <v>7</v>
      </c>
      <c r="C42" s="16">
        <v>2747.2489</v>
      </c>
      <c r="D42" s="17"/>
    </row>
    <row r="43" spans="1:4" ht="15.95" customHeight="1" x14ac:dyDescent="0.25">
      <c r="A43" s="14" t="s">
        <v>47</v>
      </c>
      <c r="B43" s="15" t="s">
        <v>7</v>
      </c>
      <c r="C43" s="16">
        <v>5781</v>
      </c>
      <c r="D43" s="17"/>
    </row>
    <row r="44" spans="1:4" ht="15.95" customHeight="1" x14ac:dyDescent="0.25">
      <c r="A44" s="14" t="s">
        <v>48</v>
      </c>
      <c r="B44" s="15" t="s">
        <v>7</v>
      </c>
      <c r="C44" s="18">
        <v>11000</v>
      </c>
      <c r="D44" s="19"/>
    </row>
    <row r="45" spans="1:4" ht="15.95" customHeight="1" x14ac:dyDescent="0.25">
      <c r="A45" s="14" t="s">
        <v>49</v>
      </c>
      <c r="B45" s="15" t="s">
        <v>7</v>
      </c>
      <c r="C45" s="18">
        <v>5000</v>
      </c>
      <c r="D45" s="19"/>
    </row>
  </sheetData>
  <mergeCells count="5">
    <mergeCell ref="A1:D1"/>
    <mergeCell ref="A3:D3"/>
    <mergeCell ref="A21:D21"/>
    <mergeCell ref="A15:D15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"/>
  <sheetViews>
    <sheetView tabSelected="1" workbookViewId="0">
      <selection activeCell="H14" sqref="H14"/>
    </sheetView>
  </sheetViews>
  <sheetFormatPr baseColWidth="10" defaultColWidth="9.140625" defaultRowHeight="15" x14ac:dyDescent="0.25"/>
  <cols>
    <col min="1" max="1" width="20" customWidth="1"/>
    <col min="2" max="2" width="14" customWidth="1"/>
    <col min="3" max="3" width="12" customWidth="1"/>
    <col min="4" max="4" width="14" customWidth="1"/>
    <col min="5" max="5" width="12" customWidth="1"/>
    <col min="6" max="6" width="14" customWidth="1"/>
    <col min="7" max="7" width="12" customWidth="1"/>
    <col min="8" max="8" width="14" customWidth="1"/>
    <col min="9" max="9" width="12" customWidth="1"/>
    <col min="10" max="10" width="14" customWidth="1"/>
    <col min="11" max="11" width="12" customWidth="1"/>
    <col min="12" max="12" width="14" customWidth="1"/>
    <col min="13" max="13" width="12" customWidth="1"/>
    <col min="14" max="14" width="14" customWidth="1"/>
    <col min="15" max="15" width="12" customWidth="1"/>
  </cols>
  <sheetData>
    <row r="1" spans="1:15" ht="27.95" customHeight="1" x14ac:dyDescent="0.25">
      <c r="A1" s="77" t="s">
        <v>50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2" spans="1:15" ht="21.95" customHeight="1" x14ac:dyDescent="0.25">
      <c r="A2" s="72" t="s">
        <v>51</v>
      </c>
      <c r="B2" s="88" t="s">
        <v>52</v>
      </c>
      <c r="C2" s="85"/>
      <c r="D2" s="90" t="s">
        <v>53</v>
      </c>
      <c r="E2" s="85"/>
      <c r="F2" s="87" t="s">
        <v>54</v>
      </c>
      <c r="G2" s="85"/>
      <c r="H2" s="89" t="s">
        <v>55</v>
      </c>
      <c r="I2" s="85"/>
      <c r="J2" s="91" t="s">
        <v>56</v>
      </c>
      <c r="K2" s="85"/>
      <c r="L2" s="84" t="s">
        <v>57</v>
      </c>
      <c r="M2" s="85"/>
      <c r="N2" s="92" t="s">
        <v>58</v>
      </c>
      <c r="O2" s="85"/>
    </row>
    <row r="3" spans="1:15" ht="15.95" customHeight="1" x14ac:dyDescent="0.25">
      <c r="A3" s="73"/>
      <c r="B3" s="74" t="s">
        <v>59</v>
      </c>
      <c r="C3" s="74" t="s">
        <v>60</v>
      </c>
      <c r="D3" s="74" t="s">
        <v>59</v>
      </c>
      <c r="E3" s="74" t="s">
        <v>60</v>
      </c>
      <c r="F3" s="74" t="s">
        <v>59</v>
      </c>
      <c r="G3" s="74" t="s">
        <v>60</v>
      </c>
      <c r="H3" s="74" t="s">
        <v>59</v>
      </c>
      <c r="I3" s="74" t="s">
        <v>60</v>
      </c>
      <c r="J3" s="74" t="s">
        <v>59</v>
      </c>
      <c r="K3" s="74" t="s">
        <v>60</v>
      </c>
      <c r="L3" s="74" t="s">
        <v>59</v>
      </c>
      <c r="M3" s="74" t="s">
        <v>60</v>
      </c>
      <c r="N3" s="74" t="s">
        <v>59</v>
      </c>
      <c r="O3" s="74" t="s">
        <v>60</v>
      </c>
    </row>
    <row r="4" spans="1:15" ht="17.100000000000001" customHeight="1" x14ac:dyDescent="0.25">
      <c r="A4" s="64" t="s">
        <v>61</v>
      </c>
      <c r="B4" s="65">
        <v>5167.7299999999996</v>
      </c>
      <c r="C4" s="65">
        <v>815.1</v>
      </c>
      <c r="D4" s="65">
        <v>90938.4</v>
      </c>
      <c r="E4" s="65">
        <v>739.34</v>
      </c>
      <c r="F4" s="65">
        <v>77379.399999999994</v>
      </c>
      <c r="G4" s="65">
        <v>729.99</v>
      </c>
      <c r="H4" s="65">
        <v>52825.120000000003</v>
      </c>
      <c r="I4" s="65">
        <v>3565.65</v>
      </c>
      <c r="J4" s="65">
        <v>36092</v>
      </c>
      <c r="K4" s="65">
        <v>721.84</v>
      </c>
      <c r="L4" s="65">
        <v>77379.399999999994</v>
      </c>
      <c r="M4" s="65">
        <v>768.62</v>
      </c>
      <c r="N4" s="65">
        <v>82400</v>
      </c>
      <c r="O4" s="65">
        <v>723.37</v>
      </c>
    </row>
    <row r="5" spans="1:15" ht="17.100000000000001" customHeight="1" x14ac:dyDescent="0.25">
      <c r="A5" s="66" t="s">
        <v>62</v>
      </c>
      <c r="B5" s="67">
        <v>22034.25</v>
      </c>
      <c r="C5" s="67">
        <v>3782.7</v>
      </c>
      <c r="D5" s="67">
        <v>149548.20000000001</v>
      </c>
      <c r="E5" s="67">
        <v>3692.55</v>
      </c>
      <c r="F5" s="67">
        <v>88563.4</v>
      </c>
      <c r="G5" s="67">
        <v>3674.83</v>
      </c>
      <c r="H5" s="67">
        <v>1599.47</v>
      </c>
      <c r="I5" s="67">
        <v>2132.62</v>
      </c>
      <c r="J5" s="67">
        <v>58242</v>
      </c>
      <c r="K5" s="67">
        <v>3640.12</v>
      </c>
      <c r="L5" s="67">
        <v>45825</v>
      </c>
      <c r="M5" s="67">
        <v>2109.7800000000002</v>
      </c>
      <c r="N5" s="67">
        <v>54473.2</v>
      </c>
      <c r="O5" s="67">
        <v>3631.55</v>
      </c>
    </row>
    <row r="6" spans="1:15" ht="17.100000000000001" customHeight="1" x14ac:dyDescent="0.25">
      <c r="A6" s="68" t="s">
        <v>63</v>
      </c>
      <c r="B6" s="69">
        <v>4964.7</v>
      </c>
      <c r="C6" s="69">
        <v>804</v>
      </c>
      <c r="D6" s="69">
        <v>64306.9</v>
      </c>
      <c r="E6" s="69">
        <v>1193.08</v>
      </c>
      <c r="F6" s="69">
        <v>42976.5</v>
      </c>
      <c r="G6" s="69">
        <v>924.23</v>
      </c>
      <c r="H6" s="69">
        <v>993.51</v>
      </c>
      <c r="I6" s="69">
        <v>903.19</v>
      </c>
      <c r="J6" s="69">
        <v>18207</v>
      </c>
      <c r="K6" s="69">
        <v>867</v>
      </c>
      <c r="L6" s="69">
        <v>0</v>
      </c>
      <c r="M6" s="69" t="s">
        <v>64</v>
      </c>
      <c r="N6" s="69">
        <v>17844</v>
      </c>
      <c r="O6" s="69">
        <v>892.2</v>
      </c>
    </row>
    <row r="7" spans="1:15" ht="17.100000000000001" customHeight="1" x14ac:dyDescent="0.25">
      <c r="A7" s="70" t="s">
        <v>65</v>
      </c>
      <c r="B7" s="71">
        <v>36392.050000000003</v>
      </c>
      <c r="C7" s="71">
        <v>4816.95</v>
      </c>
      <c r="D7" s="71">
        <v>43339.18</v>
      </c>
      <c r="E7" s="71">
        <v>1758.18</v>
      </c>
      <c r="F7" s="71">
        <v>14078.32</v>
      </c>
      <c r="G7" s="71">
        <v>553.17999999999995</v>
      </c>
      <c r="H7" s="71">
        <v>4417.37</v>
      </c>
      <c r="I7" s="71">
        <v>352.63</v>
      </c>
      <c r="J7" s="71">
        <v>91725.7</v>
      </c>
      <c r="K7" s="71">
        <v>7055.82</v>
      </c>
      <c r="L7" s="71">
        <v>21985</v>
      </c>
      <c r="M7" s="71">
        <v>813.6</v>
      </c>
      <c r="N7" s="71">
        <v>63974.400000000001</v>
      </c>
      <c r="O7" s="71">
        <v>3367.07</v>
      </c>
    </row>
    <row r="8" spans="1:15" ht="18" customHeight="1" x14ac:dyDescent="0.25">
      <c r="A8" s="75" t="s">
        <v>66</v>
      </c>
      <c r="B8" s="22">
        <v>68558.720000000001</v>
      </c>
      <c r="C8" s="21"/>
      <c r="D8" s="24">
        <v>348132.68</v>
      </c>
      <c r="E8" s="23"/>
      <c r="F8" s="26">
        <v>222997.62</v>
      </c>
      <c r="G8" s="25"/>
      <c r="H8" s="29">
        <v>59835.46</v>
      </c>
      <c r="I8" s="28"/>
      <c r="J8" s="32">
        <v>204266.7</v>
      </c>
      <c r="K8" s="31"/>
      <c r="L8" s="34">
        <f>SUM(L4:L7)</f>
        <v>145189.4</v>
      </c>
      <c r="M8" s="33"/>
      <c r="N8" s="34">
        <f>SUM(N4:N7)</f>
        <v>218691.6</v>
      </c>
      <c r="O8" s="36"/>
    </row>
    <row r="9" spans="1:15" ht="21.95" customHeight="1" x14ac:dyDescent="0.25">
      <c r="A9" s="76" t="s">
        <v>67</v>
      </c>
      <c r="B9" s="94">
        <v>3798.7381999999998</v>
      </c>
      <c r="C9" s="85"/>
      <c r="D9" s="95">
        <v>2404.9812000000002</v>
      </c>
      <c r="E9" s="85"/>
      <c r="F9" s="97">
        <v>1958.9652000000001</v>
      </c>
      <c r="G9" s="85"/>
      <c r="H9" s="96">
        <v>3034.2006000000001</v>
      </c>
      <c r="I9" s="85"/>
      <c r="J9" s="99">
        <v>2042.67</v>
      </c>
      <c r="K9" s="85"/>
      <c r="L9" s="98">
        <f>L8/170</f>
        <v>854.05529411764701</v>
      </c>
      <c r="M9" s="85"/>
      <c r="N9" s="86">
        <v>1695.67</v>
      </c>
      <c r="O9" s="85"/>
    </row>
  </sheetData>
  <mergeCells count="15">
    <mergeCell ref="A1:O1"/>
    <mergeCell ref="B9:C9"/>
    <mergeCell ref="D9:E9"/>
    <mergeCell ref="H9:I9"/>
    <mergeCell ref="F9:G9"/>
    <mergeCell ref="L9:M9"/>
    <mergeCell ref="J9:K9"/>
    <mergeCell ref="L2:M2"/>
    <mergeCell ref="N9:O9"/>
    <mergeCell ref="F2:G2"/>
    <mergeCell ref="B2:C2"/>
    <mergeCell ref="H2:I2"/>
    <mergeCell ref="D2:E2"/>
    <mergeCell ref="J2:K2"/>
    <mergeCell ref="N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baseColWidth="10" defaultColWidth="9.140625" defaultRowHeight="15" x14ac:dyDescent="0.25"/>
  <cols>
    <col min="1" max="1" width="32" customWidth="1"/>
    <col min="2" max="4" width="20" customWidth="1"/>
    <col min="5" max="5" width="26" customWidth="1"/>
  </cols>
  <sheetData>
    <row r="1" spans="1:5" ht="26.1" customHeight="1" x14ac:dyDescent="0.25">
      <c r="A1" s="101" t="s">
        <v>68</v>
      </c>
      <c r="B1" s="78"/>
      <c r="C1" s="78"/>
      <c r="D1" s="78"/>
      <c r="E1" s="79"/>
    </row>
    <row r="2" spans="1:5" ht="20.100000000000001" customHeight="1" x14ac:dyDescent="0.25">
      <c r="A2" s="1" t="s">
        <v>69</v>
      </c>
      <c r="B2" s="1" t="s">
        <v>70</v>
      </c>
      <c r="C2" s="1" t="s">
        <v>71</v>
      </c>
      <c r="D2" s="1" t="s">
        <v>72</v>
      </c>
      <c r="E2" s="1"/>
    </row>
    <row r="4" spans="1:5" ht="15.95" customHeight="1" x14ac:dyDescent="0.25">
      <c r="A4" s="102" t="s">
        <v>73</v>
      </c>
      <c r="B4" s="78"/>
      <c r="C4" s="78"/>
      <c r="D4" s="78"/>
      <c r="E4" s="79"/>
    </row>
    <row r="5" spans="1:5" ht="20.100000000000001" customHeight="1" x14ac:dyDescent="0.25">
      <c r="A5" s="37" t="s">
        <v>74</v>
      </c>
      <c r="B5" s="38">
        <v>3798.7381999999998</v>
      </c>
      <c r="C5" s="39" t="s">
        <v>75</v>
      </c>
      <c r="D5" s="20" t="s">
        <v>76</v>
      </c>
      <c r="E5" s="40"/>
    </row>
    <row r="6" spans="1:5" ht="20.100000000000001" customHeight="1" x14ac:dyDescent="0.25">
      <c r="A6" s="41" t="s">
        <v>77</v>
      </c>
      <c r="B6" s="42">
        <v>2404.9812000000002</v>
      </c>
      <c r="C6" s="43" t="s">
        <v>75</v>
      </c>
      <c r="D6" s="11" t="s">
        <v>78</v>
      </c>
      <c r="E6" s="44"/>
    </row>
    <row r="7" spans="1:5" ht="20.100000000000001" customHeight="1" x14ac:dyDescent="0.25">
      <c r="A7" s="45" t="s">
        <v>79</v>
      </c>
      <c r="B7" s="46">
        <v>1958.9652000000001</v>
      </c>
      <c r="C7" s="47" t="s">
        <v>75</v>
      </c>
      <c r="D7" s="7" t="s">
        <v>78</v>
      </c>
      <c r="E7" s="48"/>
    </row>
    <row r="8" spans="1:5" ht="20.100000000000001" customHeight="1" x14ac:dyDescent="0.25">
      <c r="A8" s="49" t="s">
        <v>80</v>
      </c>
      <c r="B8" s="50">
        <v>3034.2006000000001</v>
      </c>
      <c r="C8" s="51" t="s">
        <v>75</v>
      </c>
      <c r="D8" s="27" t="s">
        <v>76</v>
      </c>
      <c r="E8" s="21"/>
    </row>
    <row r="10" spans="1:5" ht="15.95" customHeight="1" x14ac:dyDescent="0.25">
      <c r="A10" s="103" t="s">
        <v>81</v>
      </c>
      <c r="B10" s="78"/>
      <c r="C10" s="78"/>
      <c r="D10" s="78"/>
      <c r="E10" s="79"/>
    </row>
    <row r="11" spans="1:5" ht="20.100000000000001" customHeight="1" x14ac:dyDescent="0.25">
      <c r="A11" s="52" t="s">
        <v>82</v>
      </c>
      <c r="B11" s="53">
        <v>1498.67</v>
      </c>
      <c r="C11" s="54" t="s">
        <v>83</v>
      </c>
      <c r="D11" s="30" t="s">
        <v>84</v>
      </c>
      <c r="E11" s="55"/>
    </row>
    <row r="12" spans="1:5" ht="20.100000000000001" customHeight="1" x14ac:dyDescent="0.25">
      <c r="A12" s="56" t="s">
        <v>85</v>
      </c>
      <c r="B12" s="57">
        <v>974.85</v>
      </c>
      <c r="C12" s="58" t="s">
        <v>83</v>
      </c>
      <c r="D12" s="3" t="s">
        <v>84</v>
      </c>
      <c r="E12" s="59"/>
    </row>
    <row r="13" spans="1:5" ht="20.100000000000001" customHeight="1" x14ac:dyDescent="0.25">
      <c r="A13" s="60" t="s">
        <v>86</v>
      </c>
      <c r="B13" s="61">
        <v>1775.67</v>
      </c>
      <c r="C13" s="62" t="s">
        <v>83</v>
      </c>
      <c r="D13" s="35" t="s">
        <v>84</v>
      </c>
      <c r="E13" s="63"/>
    </row>
    <row r="15" spans="1:5" ht="30" customHeight="1" x14ac:dyDescent="0.25">
      <c r="A15" s="100" t="s">
        <v>87</v>
      </c>
      <c r="B15" s="78"/>
      <c r="C15" s="78"/>
      <c r="D15" s="78"/>
      <c r="E15" s="79"/>
    </row>
  </sheetData>
  <mergeCells count="4">
    <mergeCell ref="A15:E15"/>
    <mergeCell ref="A1:E1"/>
    <mergeCell ref="A4:E4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Materias Primas</vt:lpstr>
      <vt:lpstr>Costo por Producto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Cruz</cp:lastModifiedBy>
  <dcterms:created xsi:type="dcterms:W3CDTF">2026-04-11T20:53:19Z</dcterms:created>
  <dcterms:modified xsi:type="dcterms:W3CDTF">2026-04-11T21:12:51Z</dcterms:modified>
</cp:coreProperties>
</file>