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Brenda/Curso/PF/"/>
    </mc:Choice>
  </mc:AlternateContent>
  <xr:revisionPtr revIDLastSave="0" documentId="8_{320B3F44-2503-4320-A465-5B135ADF19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qui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19" i="1"/>
  <c r="F9" i="1"/>
  <c r="F10" i="1"/>
  <c r="F11" i="1"/>
  <c r="F12" i="1"/>
  <c r="F13" i="1"/>
  <c r="F8" i="1"/>
  <c r="F16" i="1"/>
  <c r="F2" i="1"/>
  <c r="F3" i="1"/>
  <c r="F4" i="1"/>
  <c r="F5" i="1"/>
  <c r="F6" i="1"/>
  <c r="F7" i="1"/>
  <c r="F14" i="1"/>
  <c r="F15" i="1"/>
  <c r="F17" i="1"/>
  <c r="F18" i="1"/>
  <c r="F20" i="1"/>
  <c r="F23" i="1" l="1"/>
</calcChain>
</file>

<file path=xl/sharedStrings.xml><?xml version="1.0" encoding="utf-8"?>
<sst xmlns="http://schemas.openxmlformats.org/spreadsheetml/2006/main" count="32" uniqueCount="31">
  <si>
    <t>Categoría</t>
  </si>
  <si>
    <t>Equipo</t>
  </si>
  <si>
    <t>Cantidad</t>
  </si>
  <si>
    <t>Total</t>
  </si>
  <si>
    <t>Uso general</t>
  </si>
  <si>
    <t>Autoelevador</t>
  </si>
  <si>
    <t>Zorra</t>
  </si>
  <si>
    <t>Impresora Injket</t>
  </si>
  <si>
    <t>Computadoras</t>
  </si>
  <si>
    <t>Balanza micro pesado</t>
  </si>
  <si>
    <t>Balanza macro pesado</t>
  </si>
  <si>
    <t>Línea de Galletitas</t>
  </si>
  <si>
    <t>Amasadora Industrial</t>
  </si>
  <si>
    <t>Moldes formadores</t>
  </si>
  <si>
    <t>Horno de Túnel (Continuo)</t>
  </si>
  <si>
    <t>Cinta de Enfriamiento</t>
  </si>
  <si>
    <t>Envasadora</t>
  </si>
  <si>
    <t>Línea de panificados</t>
  </si>
  <si>
    <t>Batidora Industrial</t>
  </si>
  <si>
    <t>Dosificadora Volumétrica de Pistones</t>
  </si>
  <si>
    <t>Horno Rotativo</t>
  </si>
  <si>
    <t>Fermentadora de pan</t>
  </si>
  <si>
    <t>Cortadora de pan</t>
  </si>
  <si>
    <t>Carros de enfriamiento</t>
  </si>
  <si>
    <t>Detector de metales</t>
  </si>
  <si>
    <t>TOTAL GENERAL</t>
  </si>
  <si>
    <t xml:space="preserve">Precio USD </t>
  </si>
  <si>
    <t xml:space="preserve">Precio $ </t>
  </si>
  <si>
    <t>Dólar hoy</t>
  </si>
  <si>
    <t xml:space="preserve">Carros para horno </t>
  </si>
  <si>
    <t>Rotativa con dulcera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</si>
</sst>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[$USD]\ #,##0.00"/>
    <numFmt numFmtId="166" formatCode="[$USD]\ #,##0"/>
    <numFmt numFmtId="171" formatCode="&quot;$&quot;#,##0"/>
    <numFmt numFmtId="174" formatCode="_-&quot;$&quot;* #,##0_-;\-&quot;$&quot;* #,##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ED7D3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4" fontId="1" fillId="2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171" fontId="2" fillId="4" borderId="1" xfId="0" applyNumberFormat="1" applyFont="1" applyFill="1" applyBorder="1" applyAlignment="1">
      <alignment horizontal="center" vertical="center"/>
    </xf>
    <xf numFmtId="171" fontId="2" fillId="6" borderId="1" xfId="0" applyNumberFormat="1" applyFont="1" applyFill="1" applyBorder="1" applyAlignment="1">
      <alignment horizontal="center" vertical="center"/>
    </xf>
    <xf numFmtId="171" fontId="2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174" fontId="2" fillId="4" borderId="1" xfId="1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L10" sqref="L10"/>
    </sheetView>
  </sheetViews>
  <sheetFormatPr baseColWidth="10" defaultColWidth="9.140625" defaultRowHeight="15" x14ac:dyDescent="0.25"/>
  <cols>
    <col min="1" max="1" width="20" customWidth="1"/>
    <col min="2" max="2" width="38" customWidth="1"/>
    <col min="3" max="3" width="12" customWidth="1"/>
    <col min="4" max="5" width="14" customWidth="1"/>
    <col min="6" max="6" width="16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3</v>
      </c>
      <c r="J1" t="s">
        <v>28</v>
      </c>
      <c r="K1">
        <v>1400</v>
      </c>
    </row>
    <row r="2" spans="1:11" ht="18" customHeight="1" x14ac:dyDescent="0.25">
      <c r="A2" s="2" t="s">
        <v>4</v>
      </c>
      <c r="B2" s="3" t="s">
        <v>5</v>
      </c>
      <c r="C2" s="4">
        <v>1</v>
      </c>
      <c r="D2" s="18">
        <v>15000</v>
      </c>
      <c r="E2" s="18"/>
      <c r="F2" s="26">
        <f>D2*$C$2*$K$1</f>
        <v>21000000</v>
      </c>
    </row>
    <row r="3" spans="1:11" ht="18" customHeight="1" x14ac:dyDescent="0.25">
      <c r="A3" s="5"/>
      <c r="B3" s="3" t="s">
        <v>6</v>
      </c>
      <c r="C3" s="4">
        <v>2</v>
      </c>
      <c r="D3" s="18"/>
      <c r="E3" s="21">
        <v>450000</v>
      </c>
      <c r="F3" s="26">
        <f t="shared" ref="F3:F22" si="0">IF(AND(C3&lt;&gt;"",E3&lt;&gt;""),C3*E3,"")</f>
        <v>900000</v>
      </c>
    </row>
    <row r="4" spans="1:11" ht="18" customHeight="1" x14ac:dyDescent="0.25">
      <c r="A4" s="5"/>
      <c r="B4" s="3" t="s">
        <v>7</v>
      </c>
      <c r="C4" s="4">
        <v>1</v>
      </c>
      <c r="D4" s="18"/>
      <c r="E4" s="21">
        <v>20000</v>
      </c>
      <c r="F4" s="26">
        <f t="shared" si="0"/>
        <v>20000</v>
      </c>
    </row>
    <row r="5" spans="1:11" ht="18" customHeight="1" x14ac:dyDescent="0.25">
      <c r="A5" s="5"/>
      <c r="B5" s="3" t="s">
        <v>8</v>
      </c>
      <c r="C5" s="4">
        <v>8</v>
      </c>
      <c r="D5" s="18"/>
      <c r="E5" s="21">
        <v>500000</v>
      </c>
      <c r="F5" s="26">
        <f t="shared" si="0"/>
        <v>4000000</v>
      </c>
    </row>
    <row r="6" spans="1:11" ht="18" customHeight="1" x14ac:dyDescent="0.25">
      <c r="A6" s="5"/>
      <c r="B6" s="3" t="s">
        <v>9</v>
      </c>
      <c r="C6" s="4">
        <v>1</v>
      </c>
      <c r="D6" s="18"/>
      <c r="E6" s="21">
        <v>200000</v>
      </c>
      <c r="F6" s="26">
        <f t="shared" si="0"/>
        <v>200000</v>
      </c>
    </row>
    <row r="7" spans="1:11" ht="18" customHeight="1" x14ac:dyDescent="0.25">
      <c r="A7" s="5"/>
      <c r="B7" s="3" t="s">
        <v>10</v>
      </c>
      <c r="C7" s="4">
        <v>1</v>
      </c>
      <c r="D7" s="18"/>
      <c r="E7" s="21">
        <v>700000</v>
      </c>
      <c r="F7" s="26">
        <f t="shared" si="0"/>
        <v>700000</v>
      </c>
    </row>
    <row r="8" spans="1:11" ht="18" customHeight="1" x14ac:dyDescent="0.25">
      <c r="A8" s="6" t="s">
        <v>11</v>
      </c>
      <c r="B8" s="7" t="s">
        <v>12</v>
      </c>
      <c r="C8" s="8">
        <v>1</v>
      </c>
      <c r="D8" s="19">
        <v>13500</v>
      </c>
      <c r="E8" s="22"/>
      <c r="F8" s="26">
        <f>D8*C8*$K$1</f>
        <v>18900000</v>
      </c>
    </row>
    <row r="9" spans="1:11" ht="18" customHeight="1" x14ac:dyDescent="0.25">
      <c r="A9" s="9"/>
      <c r="B9" s="25" t="s">
        <v>30</v>
      </c>
      <c r="C9" s="8">
        <v>1</v>
      </c>
      <c r="D9" s="19">
        <v>15000</v>
      </c>
      <c r="E9" s="22"/>
      <c r="F9" s="26">
        <f t="shared" ref="F9:F13" si="1">D9*C9*$K$1</f>
        <v>21000000</v>
      </c>
    </row>
    <row r="10" spans="1:11" ht="18" customHeight="1" x14ac:dyDescent="0.25">
      <c r="A10" s="9"/>
      <c r="B10" s="7" t="s">
        <v>13</v>
      </c>
      <c r="C10" s="8">
        <v>4</v>
      </c>
      <c r="D10" s="19">
        <v>5000</v>
      </c>
      <c r="E10" s="22"/>
      <c r="F10" s="26">
        <f t="shared" si="1"/>
        <v>28000000</v>
      </c>
    </row>
    <row r="11" spans="1:11" ht="18" customHeight="1" x14ac:dyDescent="0.25">
      <c r="A11" s="9"/>
      <c r="B11" s="7" t="s">
        <v>14</v>
      </c>
      <c r="C11" s="8">
        <v>1</v>
      </c>
      <c r="D11" s="19">
        <v>100000</v>
      </c>
      <c r="E11" s="22"/>
      <c r="F11" s="26">
        <f t="shared" si="1"/>
        <v>140000000</v>
      </c>
    </row>
    <row r="12" spans="1:11" ht="18" customHeight="1" x14ac:dyDescent="0.25">
      <c r="A12" s="9"/>
      <c r="B12" s="7" t="s">
        <v>15</v>
      </c>
      <c r="C12" s="8">
        <v>1</v>
      </c>
      <c r="D12" s="19">
        <v>12000</v>
      </c>
      <c r="E12" s="22"/>
      <c r="F12" s="26">
        <f t="shared" si="1"/>
        <v>16800000</v>
      </c>
    </row>
    <row r="13" spans="1:11" ht="18" customHeight="1" x14ac:dyDescent="0.25">
      <c r="A13" s="9"/>
      <c r="B13" s="7" t="s">
        <v>16</v>
      </c>
      <c r="C13" s="8">
        <v>1</v>
      </c>
      <c r="D13" s="19">
        <v>4000</v>
      </c>
      <c r="E13" s="22"/>
      <c r="F13" s="26">
        <f t="shared" si="1"/>
        <v>5600000</v>
      </c>
    </row>
    <row r="14" spans="1:11" ht="18" customHeight="1" x14ac:dyDescent="0.25">
      <c r="A14" s="10" t="s">
        <v>17</v>
      </c>
      <c r="B14" s="11" t="s">
        <v>18</v>
      </c>
      <c r="C14" s="12">
        <v>1</v>
      </c>
      <c r="D14" s="20"/>
      <c r="E14" s="23">
        <v>2500000</v>
      </c>
      <c r="F14" s="26">
        <f t="shared" si="0"/>
        <v>2500000</v>
      </c>
    </row>
    <row r="15" spans="1:11" ht="18" customHeight="1" x14ac:dyDescent="0.25">
      <c r="A15" s="13"/>
      <c r="B15" s="11" t="s">
        <v>19</v>
      </c>
      <c r="C15" s="12">
        <v>1</v>
      </c>
      <c r="D15" s="20"/>
      <c r="E15" s="23">
        <v>2000000</v>
      </c>
      <c r="F15" s="26">
        <f t="shared" si="0"/>
        <v>2000000</v>
      </c>
    </row>
    <row r="16" spans="1:11" ht="18" customHeight="1" x14ac:dyDescent="0.25">
      <c r="A16" s="13"/>
      <c r="B16" s="24" t="s">
        <v>29</v>
      </c>
      <c r="C16" s="12">
        <v>4</v>
      </c>
      <c r="D16" s="20"/>
      <c r="E16" s="23">
        <v>510000</v>
      </c>
      <c r="F16" s="26">
        <f t="shared" si="0"/>
        <v>2040000</v>
      </c>
    </row>
    <row r="17" spans="1:6" ht="18" customHeight="1" x14ac:dyDescent="0.25">
      <c r="A17" s="13"/>
      <c r="B17" s="11" t="s">
        <v>20</v>
      </c>
      <c r="C17" s="12">
        <v>2</v>
      </c>
      <c r="D17" s="20"/>
      <c r="E17" s="23">
        <v>15000000</v>
      </c>
      <c r="F17" s="26">
        <f t="shared" si="0"/>
        <v>30000000</v>
      </c>
    </row>
    <row r="18" spans="1:6" ht="18" customHeight="1" x14ac:dyDescent="0.25">
      <c r="A18" s="13"/>
      <c r="B18" s="11" t="s">
        <v>21</v>
      </c>
      <c r="C18" s="12">
        <v>1</v>
      </c>
      <c r="D18" s="20"/>
      <c r="E18" s="23">
        <v>1900000</v>
      </c>
      <c r="F18" s="26">
        <f t="shared" si="0"/>
        <v>1900000</v>
      </c>
    </row>
    <row r="19" spans="1:6" ht="18" customHeight="1" x14ac:dyDescent="0.25">
      <c r="A19" s="13"/>
      <c r="B19" s="11" t="s">
        <v>22</v>
      </c>
      <c r="C19" s="12">
        <v>1</v>
      </c>
      <c r="D19" s="20">
        <v>500</v>
      </c>
      <c r="E19" s="23"/>
      <c r="F19" s="26">
        <f t="shared" ref="F19" si="2">D19*C19*$K$1</f>
        <v>700000</v>
      </c>
    </row>
    <row r="20" spans="1:6" ht="18" customHeight="1" x14ac:dyDescent="0.25">
      <c r="A20" s="13"/>
      <c r="B20" s="11" t="s">
        <v>23</v>
      </c>
      <c r="C20" s="12">
        <v>4</v>
      </c>
      <c r="D20" s="20"/>
      <c r="E20" s="23">
        <v>400000</v>
      </c>
      <c r="F20" s="26">
        <f t="shared" si="0"/>
        <v>1600000</v>
      </c>
    </row>
    <row r="21" spans="1:6" ht="18" customHeight="1" x14ac:dyDescent="0.25">
      <c r="A21" s="13"/>
      <c r="B21" s="11" t="s">
        <v>24</v>
      </c>
      <c r="C21" s="12">
        <v>1</v>
      </c>
      <c r="D21" s="17">
        <v>3200</v>
      </c>
      <c r="E21" s="23"/>
      <c r="F21" s="26">
        <f t="shared" ref="F21:F22" si="3">D21*C21*$K$1</f>
        <v>4480000</v>
      </c>
    </row>
    <row r="22" spans="1:6" ht="18" customHeight="1" x14ac:dyDescent="0.25">
      <c r="A22" s="13"/>
      <c r="B22" s="11" t="s">
        <v>16</v>
      </c>
      <c r="C22" s="12">
        <v>1</v>
      </c>
      <c r="D22" s="17">
        <v>50000</v>
      </c>
      <c r="E22" s="23"/>
      <c r="F22" s="26">
        <f>D22*C22*$K$1</f>
        <v>70000000</v>
      </c>
    </row>
    <row r="23" spans="1:6" ht="21.95" customHeight="1" x14ac:dyDescent="0.25">
      <c r="A23" s="14"/>
      <c r="B23" s="1" t="s">
        <v>25</v>
      </c>
      <c r="C23" s="15"/>
      <c r="D23" s="15"/>
      <c r="E23" s="15"/>
      <c r="F23" s="16">
        <f>SUM(F2:F22)</f>
        <v>372340000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</cp:lastModifiedBy>
  <dcterms:created xsi:type="dcterms:W3CDTF">2026-04-11T18:31:26Z</dcterms:created>
  <dcterms:modified xsi:type="dcterms:W3CDTF">2026-04-11T19:13:07Z</dcterms:modified>
</cp:coreProperties>
</file>