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ón de costos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TSVKjBKJ9GQ8uU3GjmIAKROuAKAWS4C8HYQUz0wRBLk="/>
    </ext>
  </extLst>
</workbook>
</file>

<file path=xl/sharedStrings.xml><?xml version="1.0" encoding="utf-8"?>
<sst xmlns="http://schemas.openxmlformats.org/spreadsheetml/2006/main" count="58" uniqueCount="57">
  <si>
    <t>Familia de Insumos</t>
  </si>
  <si>
    <t>Polvorones</t>
  </si>
  <si>
    <t>Pepas</t>
  </si>
  <si>
    <t>Budines</t>
  </si>
  <si>
    <t>Total (kg)</t>
  </si>
  <si>
    <t>Costo por kg/l</t>
  </si>
  <si>
    <t>Costo total por kg/l</t>
  </si>
  <si>
    <r>
      <rPr>
        <rFont val="Arial"/>
        <b/>
        <color rgb="FF000000"/>
        <sz val="10.0"/>
      </rPr>
      <t>Mezcla de Harinas Sin TACC</t>
    </r>
    <r>
      <rPr>
        <rFont val="Arial"/>
        <b val="0"/>
        <color rgb="FF000000"/>
        <sz val="10.0"/>
      </rPr>
      <t xml:space="preserve"> (Almidón de maíz, Harina de arroz, Harina de soja)</t>
    </r>
  </si>
  <si>
    <r>
      <rPr>
        <rFont val="Arial"/>
        <b/>
        <color rgb="FF000000"/>
        <sz val="10.0"/>
      </rPr>
      <t>Endulzantes</t>
    </r>
    <r>
      <rPr>
        <rFont val="Arial"/>
        <b val="0"/>
        <color rgb="FF000000"/>
        <sz val="10.0"/>
      </rPr>
      <t xml:space="preserve"> (Azúcar, Jarabe de glucosa, JMAF, Miel)</t>
    </r>
  </si>
  <si>
    <r>
      <rPr>
        <rFont val="Arial"/>
        <b/>
        <color rgb="FF000000"/>
        <sz val="10.0"/>
      </rPr>
      <t>Materia Grasa</t>
    </r>
    <r>
      <rPr>
        <rFont val="Arial"/>
        <b val="0"/>
        <color rgb="FF000000"/>
        <sz val="10.0"/>
      </rPr>
      <t xml:space="preserve"> (Aceite vegetal interesterificado)</t>
    </r>
  </si>
  <si>
    <r>
      <rPr>
        <rFont val="Arial"/>
        <b/>
        <color rgb="FF000000"/>
        <sz val="10.0"/>
      </rPr>
      <t>Líquidos y Aglutinantes</t>
    </r>
    <r>
      <rPr>
        <rFont val="Arial"/>
        <b val="0"/>
        <color rgb="FF000000"/>
        <sz val="10.0"/>
      </rPr>
      <t xml:space="preserve"> (Agua, Huevo en polvo, Leche en polvo)</t>
    </r>
  </si>
  <si>
    <r>
      <rPr>
        <rFont val="Arial"/>
        <b/>
        <color rgb="FF000000"/>
        <sz val="10.0"/>
      </rPr>
      <t>Rellenos</t>
    </r>
    <r>
      <rPr>
        <rFont val="Arial"/>
        <b val="0"/>
        <color rgb="FF000000"/>
        <sz val="10.0"/>
      </rPr>
      <t xml:space="preserve"> (Dulce de membrillo)</t>
    </r>
  </si>
  <si>
    <r>
      <rPr>
        <rFont val="Arial"/>
        <b/>
        <color rgb="FF000000"/>
        <sz val="10.0"/>
      </rPr>
      <t>Aditivos y Sabor</t>
    </r>
    <r>
      <rPr>
        <rFont val="Arial"/>
        <b val="0"/>
        <color rgb="FF000000"/>
        <sz val="10.0"/>
      </rPr>
      <t xml:space="preserve"> (Leudantes, Gomas, Esencias, Sal, Conservantes)</t>
    </r>
  </si>
  <si>
    <t>TOTAL INSUMOS BRUTOS</t>
  </si>
  <si>
    <t>Merma estimada (Evaporación/Proceso)</t>
  </si>
  <si>
    <t>PRODUCTO FINAL NETO</t>
  </si>
  <si>
    <t>Puesto / Categoría</t>
  </si>
  <si>
    <t>Cantidad</t>
  </si>
  <si>
    <t>Costo Unitario Mensual (ARS)</t>
  </si>
  <si>
    <t>Subtotal Mensual (ARS)</t>
  </si>
  <si>
    <t>Operario Calificado (Producción/Empaque)</t>
  </si>
  <si>
    <t>$2.400.000</t>
  </si>
  <si>
    <t>$108.000.000</t>
  </si>
  <si>
    <t>Mantenimiento / Logística</t>
  </si>
  <si>
    <t>$3.200.000</t>
  </si>
  <si>
    <t>$25.600.000</t>
  </si>
  <si>
    <t>Supervisores / Calidad (QA/QC)</t>
  </si>
  <si>
    <t>$4.500.000</t>
  </si>
  <si>
    <t>$22.500.000</t>
  </si>
  <si>
    <t>Gerencia de Planta / Admin</t>
  </si>
  <si>
    <t>$7.000.000</t>
  </si>
  <si>
    <t>$14.000.000</t>
  </si>
  <si>
    <t>TOTAL (60 Empleados)</t>
  </si>
  <si>
    <t>Promedio: $2.835.000</t>
  </si>
  <si>
    <t>$170.100.000</t>
  </si>
  <si>
    <t>mes</t>
  </si>
  <si>
    <t>año</t>
  </si>
  <si>
    <t>Facturacion (ARS)</t>
  </si>
  <si>
    <t>pepas</t>
  </si>
  <si>
    <t>$/kg</t>
  </si>
  <si>
    <t>budines</t>
  </si>
  <si>
    <t>polvorones</t>
  </si>
  <si>
    <t>Ventas</t>
  </si>
  <si>
    <t>Mercado base</t>
  </si>
  <si>
    <t>Poblacion Arg</t>
  </si>
  <si>
    <t>Celiacos</t>
  </si>
  <si>
    <t>Total</t>
  </si>
  <si>
    <t>Mercado extra</t>
  </si>
  <si>
    <t>Factor conviviente</t>
  </si>
  <si>
    <t>Factor saludable</t>
  </si>
  <si>
    <t>Proyeccion</t>
  </si>
  <si>
    <t>Participación</t>
  </si>
  <si>
    <t>Mercado objetivo</t>
  </si>
  <si>
    <t>Consumo kg/p mensual</t>
  </si>
  <si>
    <t>Consumo kg/p anual</t>
  </si>
  <si>
    <t>Demanda anual (kg)</t>
  </si>
  <si>
    <t>Produccion anual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</si>
</sst>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[$$]#,##0"/>
  </numFmts>
  <fonts count="17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ptos Narrow"/>
    </font>
    <font>
      <b/>
      <sz val="11.0"/>
      <color theme="1"/>
      <name val="Aptos Narrow"/>
    </font>
    <font>
      <i/>
      <sz val="10.0"/>
      <color rgb="FF000000"/>
      <name val="Arial"/>
    </font>
    <font>
      <b/>
      <sz val="11.0"/>
      <color theme="1"/>
      <name val="&quot;Google Sans&quot;"/>
    </font>
    <font>
      <sz val="11.0"/>
      <color theme="1"/>
      <name val="&quot;Google Sans&quot;"/>
    </font>
    <font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color rgb="FF000000"/>
      <name val="Aptos"/>
    </font>
    <font>
      <b/>
      <color rgb="FFFFFFFF"/>
      <name val="Aptos"/>
    </font>
    <font>
      <color rgb="FFFFFFFF"/>
      <name val="Aptos"/>
    </font>
    <font>
      <sz val="11.0"/>
      <color rgb="FF000000"/>
      <name val="Calibri"/>
    </font>
    <font>
      <b/>
      <color rgb="FF000000"/>
      <name val="Aptos"/>
    </font>
  </fonts>
  <fills count="4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</fills>
  <borders count="5">
    <border/>
    <border>
      <top style="thin">
        <color rgb="FFDCDFE5"/>
      </top>
      <bottom style="thin">
        <color rgb="FFDCDFE5"/>
      </bottom>
    </border>
    <border>
      <top style="thin">
        <color rgb="FFDCDFE5"/>
      </top>
    </border>
    <border>
      <bottom style="thin">
        <color rgb="FFDCDFE5"/>
      </bottom>
    </border>
    <border>
      <bottom style="thin">
        <color rgb="FFA6A6A6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3" numFmtId="2" xfId="0" applyAlignment="1" applyBorder="1" applyFont="1" applyNumberFormat="1">
      <alignment shrinkToFit="0" vertical="center" wrapText="0"/>
    </xf>
    <xf borderId="1" fillId="0" fontId="3" numFmtId="1" xfId="0" applyAlignment="1" applyBorder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1" fillId="0" fontId="2" numFmtId="2" xfId="0" applyAlignment="1" applyBorder="1" applyFont="1" applyNumberFormat="1">
      <alignment shrinkToFit="0" vertical="center" wrapText="0"/>
    </xf>
    <xf borderId="0" fillId="0" fontId="5" numFmtId="1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4" xfId="0" applyAlignment="1" applyFont="1" applyNumberFormat="1">
      <alignment shrinkToFit="0" vertical="center" wrapText="0"/>
    </xf>
    <xf borderId="1" fillId="0" fontId="6" numFmtId="0" xfId="0" applyAlignment="1" applyBorder="1" applyFont="1">
      <alignment shrinkToFit="0" vertical="center" wrapText="0"/>
    </xf>
    <xf borderId="1" fillId="0" fontId="6" numFmtId="2" xfId="0" applyAlignment="1" applyBorder="1" applyFont="1" applyNumberForma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2" numFmtId="2" xfId="0" applyAlignment="1" applyBorder="1" applyFont="1" applyNumberForma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9" numFmtId="165" xfId="0" applyAlignment="1" applyFont="1" applyNumberFormat="1">
      <alignment vertical="center"/>
    </xf>
    <xf borderId="0" fillId="0" fontId="11" numFmtId="165" xfId="0" applyAlignment="1" applyFont="1" applyNumberFormat="1">
      <alignment vertical="center"/>
    </xf>
    <xf borderId="0" fillId="0" fontId="12" numFmtId="0" xfId="0" applyAlignment="1" applyFont="1">
      <alignment shrinkToFit="0" wrapText="0"/>
    </xf>
    <xf borderId="0" fillId="2" fontId="13" numFmtId="0" xfId="0" applyAlignment="1" applyFill="1" applyFont="1">
      <alignment readingOrder="0" shrinkToFit="0" wrapText="0"/>
    </xf>
    <xf borderId="0" fillId="2" fontId="14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4" fillId="0" fontId="16" numFmtId="0" xfId="0" applyAlignment="1" applyBorder="1" applyFont="1">
      <alignment readingOrder="0" shrinkToFit="0" wrapText="0"/>
    </xf>
    <xf borderId="4" fillId="0" fontId="12" numFmtId="0" xfId="0" applyAlignment="1" applyBorder="1" applyFont="1">
      <alignment shrinkToFit="0" wrapText="0"/>
    </xf>
    <xf borderId="4" fillId="0" fontId="12" numFmtId="0" xfId="0" applyAlignment="1" applyBorder="1" applyFont="1">
      <alignment readingOrder="0" shrinkToFit="0" wrapText="0"/>
    </xf>
    <xf borderId="4" fillId="0" fontId="12" numFmtId="3" xfId="0" applyAlignment="1" applyBorder="1" applyFont="1" applyNumberFormat="1">
      <alignment readingOrder="0" shrinkToFit="0" wrapText="0"/>
    </xf>
    <xf borderId="4" fillId="0" fontId="12" numFmtId="9" xfId="0" applyAlignment="1" applyBorder="1" applyFont="1" applyNumberFormat="1">
      <alignment horizontal="right" readingOrder="0" shrinkToFit="0" wrapText="0"/>
    </xf>
    <xf borderId="4" fillId="3" fontId="16" numFmtId="0" xfId="0" applyAlignment="1" applyBorder="1" applyFill="1" applyFont="1">
      <alignment readingOrder="0" shrinkToFit="0" wrapText="0"/>
    </xf>
    <xf borderId="4" fillId="3" fontId="16" numFmtId="3" xfId="0" applyAlignment="1" applyBorder="1" applyFont="1" applyNumberForma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6" numFmtId="10" xfId="0" applyAlignment="1" applyFont="1" applyNumberFormat="1">
      <alignment horizontal="right" readingOrder="0" shrinkToFit="0" wrapText="0"/>
    </xf>
    <xf borderId="4" fillId="0" fontId="16" numFmtId="3" xfId="0" applyAlignment="1" applyBorder="1" applyFont="1" applyNumberFormat="1">
      <alignment readingOrder="0" shrinkToFit="0" wrapText="0"/>
    </xf>
    <xf borderId="0" fillId="0" fontId="12" numFmtId="0" xfId="0" applyAlignment="1" applyFont="1">
      <alignment horizontal="right" readingOrder="0" shrinkToFit="0" wrapText="0"/>
    </xf>
    <xf borderId="4" fillId="0" fontId="12" numFmtId="0" xfId="0" applyAlignment="1" applyBorder="1" applyFont="1">
      <alignment horizontal="right" readingOrder="0" shrinkToFit="0" wrapText="0"/>
    </xf>
    <xf borderId="0" fillId="3" fontId="16" numFmtId="0" xfId="0" applyAlignment="1" applyFont="1">
      <alignment readingOrder="0" shrinkToFit="0" wrapText="0"/>
    </xf>
    <xf borderId="0" fillId="3" fontId="16" numFmtId="3" xfId="0" applyAlignment="1" applyFont="1" applyNumberFormat="1">
      <alignment readingOrder="0" shrinkToFit="0" wrapText="0"/>
    </xf>
    <xf borderId="0" fillId="0" fontId="16" numFmtId="0" xfId="0" applyAlignment="1" applyFont="1">
      <alignment readingOrder="0" shrinkToFit="0" wrapText="0"/>
    </xf>
    <xf borderId="0" fillId="0" fontId="16" numFmtId="3" xfId="0" applyAlignment="1" applyFont="1" applyNumberForma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stimación de co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mación de costo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" displayName="Tabla_1" name="Tabla_1" id="1">
  <tableColumns count="7">
    <tableColumn name="Familia de Insumos" id="1"/>
    <tableColumn name="Polvorones" id="2"/>
    <tableColumn name="Pepas" id="3"/>
    <tableColumn name="Budines" id="4"/>
    <tableColumn name="Total (kg)" id="5"/>
    <tableColumn name="Costo por kg/l" id="6"/>
    <tableColumn name="Costo total por kg/l" id="7"/>
  </tableColumns>
  <tableStyleInfo name="Estimación de costos-style" showColumnStripes="0" showFirstColumn="1" showLastColumn="1" showRowStripes="1"/>
</table>
</file>

<file path=xl/tables/table2.xml><?xml version="1.0" encoding="utf-8"?>
<table xmlns="http://schemas.openxmlformats.org/spreadsheetml/2006/main" ref="A15:D20" displayName="Tabla_2" name="Tabla_2" id="2">
  <tableColumns count="4">
    <tableColumn name="Puesto / Categoría" id="1"/>
    <tableColumn name="Cantidad" id="2"/>
    <tableColumn name="Costo Unitario Mensual (ARS)" id="3"/>
    <tableColumn name="Subtotal Mensual (ARS)" id="4"/>
  </tableColumns>
  <tableStyleInfo name="Estimación de cost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7.0"/>
    <col customWidth="1" min="2" max="2" width="19.63"/>
    <col customWidth="1" min="3" max="3" width="31.13"/>
    <col customWidth="1" min="4" max="4" width="25.88"/>
    <col customWidth="1" min="5" max="5" width="15.25"/>
    <col customWidth="1" min="6" max="6" width="16.75"/>
    <col customWidth="1" min="7" max="7" width="21.75"/>
    <col customWidth="1" min="8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>
        <v>650.0</v>
      </c>
      <c r="C2" s="3">
        <v>550.0</v>
      </c>
      <c r="D2" s="3">
        <v>450.0</v>
      </c>
      <c r="E2" s="4">
        <f t="shared" ref="E2:E7" si="1">+SUM(B2:D2)</f>
        <v>1650</v>
      </c>
      <c r="F2" s="5">
        <v>3500.0</v>
      </c>
      <c r="G2" s="6">
        <f t="shared" ref="G2:G7" si="2">+F2/1000*E2</f>
        <v>5775</v>
      </c>
    </row>
    <row r="3" ht="22.5" customHeight="1">
      <c r="A3" s="2" t="s">
        <v>8</v>
      </c>
      <c r="B3" s="3">
        <v>250.0</v>
      </c>
      <c r="C3" s="3">
        <v>200.0</v>
      </c>
      <c r="D3" s="3">
        <v>300.0</v>
      </c>
      <c r="E3" s="4">
        <f t="shared" si="1"/>
        <v>750</v>
      </c>
      <c r="F3" s="5">
        <v>2200.0</v>
      </c>
      <c r="G3" s="6">
        <f t="shared" si="2"/>
        <v>1650</v>
      </c>
    </row>
    <row r="4" ht="22.5" customHeight="1">
      <c r="A4" s="2" t="s">
        <v>9</v>
      </c>
      <c r="B4" s="3">
        <v>150.0</v>
      </c>
      <c r="C4" s="3">
        <v>100.0</v>
      </c>
      <c r="D4" s="3">
        <v>150.0</v>
      </c>
      <c r="E4" s="4">
        <f t="shared" si="1"/>
        <v>400</v>
      </c>
      <c r="F4" s="5">
        <v>4800.0</v>
      </c>
      <c r="G4" s="6">
        <f t="shared" si="2"/>
        <v>1920</v>
      </c>
    </row>
    <row r="5" ht="22.5" customHeight="1">
      <c r="A5" s="2" t="s">
        <v>10</v>
      </c>
      <c r="B5" s="3">
        <v>50.0</v>
      </c>
      <c r="C5" s="3">
        <v>70.0</v>
      </c>
      <c r="D5" s="3">
        <v>250.0</v>
      </c>
      <c r="E5" s="4">
        <f t="shared" si="1"/>
        <v>370</v>
      </c>
      <c r="F5" s="5">
        <v>8500.0</v>
      </c>
      <c r="G5" s="6">
        <f t="shared" si="2"/>
        <v>3145</v>
      </c>
    </row>
    <row r="6" ht="22.5" customHeight="1">
      <c r="A6" s="2" t="s">
        <v>11</v>
      </c>
      <c r="B6" s="3">
        <v>0.0</v>
      </c>
      <c r="C6" s="3">
        <v>150.0</v>
      </c>
      <c r="D6" s="3">
        <v>0.0</v>
      </c>
      <c r="E6" s="4">
        <f t="shared" si="1"/>
        <v>150</v>
      </c>
      <c r="F6" s="5">
        <v>3000.0</v>
      </c>
      <c r="G6" s="6">
        <f t="shared" si="2"/>
        <v>450</v>
      </c>
    </row>
    <row r="7" ht="22.5" customHeight="1">
      <c r="A7" s="2" t="s">
        <v>12</v>
      </c>
      <c r="B7" s="3">
        <v>50.0</v>
      </c>
      <c r="C7" s="3">
        <v>50.0</v>
      </c>
      <c r="D7" s="3">
        <v>70.0</v>
      </c>
      <c r="E7" s="4">
        <f t="shared" si="1"/>
        <v>170</v>
      </c>
      <c r="F7" s="5">
        <v>9000.0</v>
      </c>
      <c r="G7" s="6">
        <f t="shared" si="2"/>
        <v>1530</v>
      </c>
    </row>
    <row r="8" ht="22.5" customHeight="1">
      <c r="A8" s="2" t="s">
        <v>13</v>
      </c>
      <c r="B8" s="7">
        <v>1150.0</v>
      </c>
      <c r="C8" s="7">
        <v>1120.0</v>
      </c>
      <c r="D8" s="7">
        <v>1220.0</v>
      </c>
      <c r="E8" s="8">
        <f>+SUM(E2:E7)</f>
        <v>3490</v>
      </c>
      <c r="F8" s="9"/>
      <c r="G8" s="10">
        <f>+SUM(G2:G7)</f>
        <v>14470</v>
      </c>
    </row>
    <row r="9" ht="22.5" customHeight="1">
      <c r="A9" s="11" t="s">
        <v>14</v>
      </c>
      <c r="B9" s="12">
        <v>0.15</v>
      </c>
      <c r="C9" s="12">
        <v>0.12</v>
      </c>
      <c r="D9" s="12">
        <v>0.22</v>
      </c>
      <c r="E9" s="13"/>
    </row>
    <row r="10" ht="22.5" customHeight="1">
      <c r="A10" s="14" t="s">
        <v>15</v>
      </c>
      <c r="B10" s="15">
        <v>1000.0</v>
      </c>
      <c r="C10" s="15">
        <v>1000.0</v>
      </c>
      <c r="D10" s="15">
        <v>1000.0</v>
      </c>
      <c r="E10" s="13"/>
    </row>
    <row r="15" ht="22.5" customHeight="1">
      <c r="A15" s="16" t="s">
        <v>16</v>
      </c>
      <c r="B15" s="16" t="s">
        <v>17</v>
      </c>
      <c r="C15" s="16" t="s">
        <v>18</v>
      </c>
      <c r="D15" s="16" t="s">
        <v>19</v>
      </c>
    </row>
    <row r="16" ht="22.5" customHeight="1">
      <c r="A16" s="17" t="s">
        <v>20</v>
      </c>
      <c r="B16" s="18">
        <v>45.0</v>
      </c>
      <c r="C16" s="17" t="s">
        <v>21</v>
      </c>
      <c r="D16" s="18" t="s">
        <v>22</v>
      </c>
    </row>
    <row r="17" ht="22.5" customHeight="1">
      <c r="A17" s="17" t="s">
        <v>23</v>
      </c>
      <c r="B17" s="18">
        <v>8.0</v>
      </c>
      <c r="C17" s="17" t="s">
        <v>24</v>
      </c>
      <c r="D17" s="18" t="s">
        <v>25</v>
      </c>
    </row>
    <row r="18" ht="22.5" customHeight="1">
      <c r="A18" s="17" t="s">
        <v>26</v>
      </c>
      <c r="B18" s="18">
        <v>5.0</v>
      </c>
      <c r="C18" s="17" t="s">
        <v>27</v>
      </c>
      <c r="D18" s="18" t="s">
        <v>28</v>
      </c>
    </row>
    <row r="19" ht="22.5" customHeight="1">
      <c r="A19" s="17" t="s">
        <v>29</v>
      </c>
      <c r="B19" s="18">
        <v>2.0</v>
      </c>
      <c r="C19" s="17" t="s">
        <v>30</v>
      </c>
      <c r="D19" s="18" t="s">
        <v>31</v>
      </c>
    </row>
    <row r="20" ht="22.5" customHeight="1">
      <c r="A20" s="17" t="s">
        <v>32</v>
      </c>
      <c r="B20" s="17">
        <v>60.0</v>
      </c>
      <c r="C20" s="17" t="s">
        <v>33</v>
      </c>
      <c r="D20" s="17" t="s">
        <v>34</v>
      </c>
    </row>
    <row r="21" ht="15.75" customHeight="1"/>
    <row r="22" ht="15.75" customHeight="1"/>
    <row r="23" ht="22.5" customHeight="1">
      <c r="A23" s="19"/>
      <c r="B23" s="20" t="s">
        <v>35</v>
      </c>
      <c r="C23" s="20" t="s">
        <v>36</v>
      </c>
      <c r="D23" s="20" t="s">
        <v>37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22.5" customHeight="1">
      <c r="A24" s="20" t="s">
        <v>38</v>
      </c>
      <c r="B24" s="19">
        <f>9</f>
        <v>9</v>
      </c>
      <c r="C24" s="19">
        <f t="shared" ref="C24:C26" si="3">B24*12</f>
        <v>108</v>
      </c>
      <c r="D24" s="21">
        <f t="shared" ref="D24:D26" si="4">$G$24*1000*C24</f>
        <v>1620000000</v>
      </c>
      <c r="E24" s="19"/>
      <c r="F24" s="20" t="s">
        <v>39</v>
      </c>
      <c r="G24" s="21">
        <f>15000</f>
        <v>15000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22.5" customHeight="1">
      <c r="A25" s="20" t="s">
        <v>40</v>
      </c>
      <c r="B25" s="20">
        <v>9.0</v>
      </c>
      <c r="C25" s="19">
        <f t="shared" si="3"/>
        <v>108</v>
      </c>
      <c r="D25" s="21">
        <f t="shared" si="4"/>
        <v>1620000000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22.5" customHeight="1">
      <c r="A26" s="20" t="s">
        <v>41</v>
      </c>
      <c r="B26" s="20">
        <v>5.0</v>
      </c>
      <c r="C26" s="19">
        <f t="shared" si="3"/>
        <v>60</v>
      </c>
      <c r="D26" s="21">
        <f t="shared" si="4"/>
        <v>900000000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22.5" customHeight="1">
      <c r="A27" s="19"/>
      <c r="B27" s="19"/>
      <c r="C27" s="19"/>
      <c r="D27" s="22">
        <f>SUM(D24:D26)</f>
        <v>4140000000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10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3"/>
      <c r="C1" s="23"/>
    </row>
    <row r="2">
      <c r="B2" s="24" t="s">
        <v>42</v>
      </c>
      <c r="C2" s="25"/>
    </row>
    <row r="3">
      <c r="B3" s="26"/>
      <c r="C3" s="26"/>
    </row>
    <row r="4">
      <c r="B4" s="27" t="s">
        <v>43</v>
      </c>
      <c r="C4" s="28"/>
    </row>
    <row r="5">
      <c r="B5" s="29" t="s">
        <v>44</v>
      </c>
      <c r="C5" s="30">
        <v>4.6E7</v>
      </c>
    </row>
    <row r="6">
      <c r="B6" s="29" t="s">
        <v>45</v>
      </c>
      <c r="C6" s="31">
        <v>0.01</v>
      </c>
    </row>
    <row r="7">
      <c r="B7" s="32" t="s">
        <v>46</v>
      </c>
      <c r="C7" s="33">
        <v>460000.0</v>
      </c>
    </row>
    <row r="8">
      <c r="B8" s="23"/>
      <c r="C8" s="23"/>
    </row>
    <row r="9">
      <c r="B9" s="27" t="s">
        <v>47</v>
      </c>
      <c r="C9" s="28"/>
    </row>
    <row r="10">
      <c r="B10" s="29" t="s">
        <v>48</v>
      </c>
      <c r="C10" s="29">
        <v>1.5</v>
      </c>
    </row>
    <row r="11">
      <c r="B11" s="29" t="s">
        <v>49</v>
      </c>
      <c r="C11" s="29">
        <v>1.4</v>
      </c>
    </row>
    <row r="12">
      <c r="B12" s="32" t="s">
        <v>46</v>
      </c>
      <c r="C12" s="33">
        <v>1334000.0</v>
      </c>
    </row>
    <row r="13">
      <c r="B13" s="23"/>
      <c r="C13" s="23"/>
    </row>
    <row r="14">
      <c r="B14" s="27" t="s">
        <v>50</v>
      </c>
      <c r="C14" s="28"/>
    </row>
    <row r="15">
      <c r="B15" s="34" t="s">
        <v>51</v>
      </c>
      <c r="C15" s="35">
        <v>0.07</v>
      </c>
    </row>
    <row r="16">
      <c r="B16" s="29" t="s">
        <v>52</v>
      </c>
      <c r="C16" s="36">
        <v>93380.0</v>
      </c>
    </row>
    <row r="17">
      <c r="B17" s="34" t="s">
        <v>53</v>
      </c>
      <c r="C17" s="37">
        <v>2.0</v>
      </c>
    </row>
    <row r="18">
      <c r="B18" s="29" t="s">
        <v>54</v>
      </c>
      <c r="C18" s="38">
        <v>24.0</v>
      </c>
    </row>
    <row r="19">
      <c r="B19" s="39" t="s">
        <v>55</v>
      </c>
      <c r="C19" s="40">
        <v>2241120.0</v>
      </c>
    </row>
    <row r="20">
      <c r="B20" s="23"/>
      <c r="C20" s="23"/>
    </row>
    <row r="21">
      <c r="B21" s="41" t="s">
        <v>56</v>
      </c>
      <c r="C21" s="42">
        <v>2393280.0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2026-04-07T01:05:34Z</dcterms:created>
  <dc:creator>Joaquin Carrizo</dc:creator>
</cp:coreProperties>
</file>