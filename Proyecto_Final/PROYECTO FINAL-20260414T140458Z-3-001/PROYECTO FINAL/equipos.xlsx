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s" sheetId="1" r:id="rId4"/>
  </sheets>
  <definedNames/>
  <calcPr/>
  <extLst>
    <ext uri="GoogleSheetsCustomDataVersion2">
      <go:sheetsCustomData xmlns:go="http://customooxmlschemas.google.com/" r:id="rId5" roundtripDataChecksum="qMfT8PZVNimZYRqV54enJWD/PzA28eRQlT4ktIWvrJ0="/>
    </ext>
  </extLst>
</workbook>
</file>

<file path=xl/sharedStrings.xml><?xml version="1.0" encoding="utf-8"?>
<sst xmlns="http://schemas.openxmlformats.org/spreadsheetml/2006/main" count="32" uniqueCount="31">
  <si>
    <t>Categoría</t>
  </si>
  <si>
    <t>Equipo</t>
  </si>
  <si>
    <t>Cantidad</t>
  </si>
  <si>
    <t xml:space="preserve">Precio USD </t>
  </si>
  <si>
    <t xml:space="preserve">Precio $ </t>
  </si>
  <si>
    <t>Total</t>
  </si>
  <si>
    <t>Dólar hoy</t>
  </si>
  <si>
    <t>Uso general</t>
  </si>
  <si>
    <t>Autoelevador</t>
  </si>
  <si>
    <t>Zorra</t>
  </si>
  <si>
    <t>Impresora Injket</t>
  </si>
  <si>
    <t>Computadoras</t>
  </si>
  <si>
    <t>Balanza micro pesado</t>
  </si>
  <si>
    <t>Balanza macro pesado</t>
  </si>
  <si>
    <t>Línea de Galletitas</t>
  </si>
  <si>
    <t>Amasadora Industrial</t>
  </si>
  <si>
    <t>Rotativa con dulcera</t>
  </si>
  <si>
    <t>Moldes formadores</t>
  </si>
  <si>
    <t>Horno de Túnel (Continuo)</t>
  </si>
  <si>
    <t>Cinta de Enfriamiento</t>
  </si>
  <si>
    <t>Envasadora</t>
  </si>
  <si>
    <t>Línea de panificados</t>
  </si>
  <si>
    <t>Batidora Industrial</t>
  </si>
  <si>
    <t>Dosificadora Volumétrica de Pistones</t>
  </si>
  <si>
    <t xml:space="preserve">Carros para horno </t>
  </si>
  <si>
    <t>Horno Rotativo</t>
  </si>
  <si>
    <t>Fermentadora de pan</t>
  </si>
  <si>
    <t>Cortadora de pan</t>
  </si>
  <si>
    <t>Carros de enfriamiento</t>
  </si>
  <si>
    <t>Detector de metales</t>
  </si>
  <si>
    <t>TOTAL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</si>
</sst>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USD]\ #,##0"/>
    <numFmt numFmtId="165" formatCode="_-&quot;$&quot;* #,##0_-;\-&quot;$&quot;* #,##0_-;_-&quot;$&quot;* &quot;-&quot;??_-;_-@"/>
    <numFmt numFmtId="166" formatCode="&quot;$&quot;#,##0"/>
    <numFmt numFmtId="167" formatCode="[$USD]\ #,##0.00"/>
  </numFmts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2F4F7F"/>
        <bgColor rgb="FF2F4F7F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1" fillId="3" fontId="1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left" vertical="center"/>
    </xf>
    <xf borderId="1" fillId="4" fontId="3" numFmtId="0" xfId="0" applyAlignment="1" applyBorder="1" applyFont="1">
      <alignment horizontal="center" vertical="center"/>
    </xf>
    <xf borderId="1" fillId="4" fontId="3" numFmtId="164" xfId="0" applyAlignment="1" applyBorder="1" applyFont="1" applyNumberFormat="1">
      <alignment horizontal="center" vertical="center"/>
    </xf>
    <xf borderId="1" fillId="4" fontId="3" numFmtId="165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4" fontId="3" numFmtId="166" xfId="0" applyAlignment="1" applyBorder="1" applyFont="1" applyNumberForma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left" vertical="center"/>
    </xf>
    <xf borderId="1" fillId="6" fontId="3" numFmtId="0" xfId="0" applyAlignment="1" applyBorder="1" applyFont="1">
      <alignment horizontal="center" vertical="center"/>
    </xf>
    <xf borderId="1" fillId="6" fontId="3" numFmtId="164" xfId="0" applyAlignment="1" applyBorder="1" applyFont="1" applyNumberFormat="1">
      <alignment horizontal="center" vertical="center"/>
    </xf>
    <xf borderId="1" fillId="6" fontId="3" numFmtId="166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left" vertical="center"/>
    </xf>
    <xf borderId="1" fillId="8" fontId="3" numFmtId="0" xfId="0" applyAlignment="1" applyBorder="1" applyFont="1">
      <alignment horizontal="center" vertical="center"/>
    </xf>
    <xf borderId="1" fillId="8" fontId="3" numFmtId="164" xfId="0" applyAlignment="1" applyBorder="1" applyFont="1" applyNumberFormat="1">
      <alignment horizontal="center" vertical="center"/>
    </xf>
    <xf borderId="1" fillId="8" fontId="3" numFmtId="166" xfId="0" applyAlignment="1" applyBorder="1" applyFont="1" applyNumberForma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8" fontId="3" numFmtId="167" xfId="0" applyAlignment="1" applyBorder="1" applyFont="1" applyNumberFormat="1">
      <alignment horizontal="center" vertical="center"/>
    </xf>
    <xf borderId="1" fillId="0" fontId="4" numFmtId="0" xfId="0" applyBorder="1" applyFont="1"/>
    <xf borderId="1" fillId="2" fontId="4" numFmtId="0" xfId="0" applyBorder="1" applyFont="1"/>
    <xf borderId="1" fillId="2" fontId="1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8.0"/>
    <col customWidth="1" min="3" max="3" width="12.0"/>
    <col customWidth="1" min="4" max="5" width="14.0"/>
    <col customWidth="1" min="6" max="6" width="16.0"/>
    <col customWidth="1" min="7" max="26" width="9.14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2" t="s">
        <v>6</v>
      </c>
      <c r="K1" s="2">
        <v>1400.0</v>
      </c>
    </row>
    <row r="2" ht="18.0" customHeight="1">
      <c r="A2" s="3" t="s">
        <v>7</v>
      </c>
      <c r="B2" s="4" t="s">
        <v>8</v>
      </c>
      <c r="C2" s="5">
        <v>1.0</v>
      </c>
      <c r="D2" s="6">
        <v>15000.0</v>
      </c>
      <c r="E2" s="6"/>
      <c r="F2" s="7">
        <f>D2*$C$2*$K$1</f>
        <v>21000000</v>
      </c>
    </row>
    <row r="3" ht="18.0" customHeight="1">
      <c r="A3" s="8"/>
      <c r="B3" s="4" t="s">
        <v>9</v>
      </c>
      <c r="C3" s="5">
        <v>2.0</v>
      </c>
      <c r="D3" s="6"/>
      <c r="E3" s="9">
        <v>450000.0</v>
      </c>
      <c r="F3" s="7">
        <f t="shared" ref="F3:F7" si="1">IF(AND(C3&lt;&gt;"",E3&lt;&gt;""),C3*E3,"")</f>
        <v>900000</v>
      </c>
    </row>
    <row r="4" ht="18.0" customHeight="1">
      <c r="A4" s="8"/>
      <c r="B4" s="4" t="s">
        <v>10</v>
      </c>
      <c r="C4" s="5">
        <v>1.0</v>
      </c>
      <c r="D4" s="6"/>
      <c r="E4" s="9">
        <v>20000.0</v>
      </c>
      <c r="F4" s="7">
        <f t="shared" si="1"/>
        <v>20000</v>
      </c>
    </row>
    <row r="5" ht="18.0" customHeight="1">
      <c r="A5" s="8"/>
      <c r="B5" s="4" t="s">
        <v>11</v>
      </c>
      <c r="C5" s="5">
        <v>8.0</v>
      </c>
      <c r="D5" s="6"/>
      <c r="E5" s="9">
        <v>500000.0</v>
      </c>
      <c r="F5" s="7">
        <f t="shared" si="1"/>
        <v>4000000</v>
      </c>
    </row>
    <row r="6" ht="18.0" customHeight="1">
      <c r="A6" s="8"/>
      <c r="B6" s="4" t="s">
        <v>12</v>
      </c>
      <c r="C6" s="5">
        <v>1.0</v>
      </c>
      <c r="D6" s="6"/>
      <c r="E6" s="9">
        <v>200000.0</v>
      </c>
      <c r="F6" s="7">
        <f t="shared" si="1"/>
        <v>200000</v>
      </c>
    </row>
    <row r="7" ht="18.0" customHeight="1">
      <c r="A7" s="8"/>
      <c r="B7" s="4" t="s">
        <v>13</v>
      </c>
      <c r="C7" s="5">
        <v>1.0</v>
      </c>
      <c r="D7" s="6"/>
      <c r="E7" s="9">
        <v>700000.0</v>
      </c>
      <c r="F7" s="7">
        <f t="shared" si="1"/>
        <v>700000</v>
      </c>
    </row>
    <row r="8" ht="18.0" customHeight="1">
      <c r="A8" s="10" t="s">
        <v>14</v>
      </c>
      <c r="B8" s="11" t="s">
        <v>15</v>
      </c>
      <c r="C8" s="12">
        <v>1.0</v>
      </c>
      <c r="D8" s="13">
        <v>13500.0</v>
      </c>
      <c r="E8" s="14"/>
      <c r="F8" s="7">
        <f t="shared" ref="F8:F13" si="2">D8*C8*$K$1</f>
        <v>18900000</v>
      </c>
    </row>
    <row r="9" ht="18.0" customHeight="1">
      <c r="A9" s="15"/>
      <c r="B9" s="11" t="s">
        <v>16</v>
      </c>
      <c r="C9" s="12">
        <v>1.0</v>
      </c>
      <c r="D9" s="13">
        <v>15000.0</v>
      </c>
      <c r="E9" s="14"/>
      <c r="F9" s="7">
        <f t="shared" si="2"/>
        <v>21000000</v>
      </c>
    </row>
    <row r="10" ht="18.0" customHeight="1">
      <c r="A10" s="15"/>
      <c r="B10" s="11" t="s">
        <v>17</v>
      </c>
      <c r="C10" s="12">
        <v>4.0</v>
      </c>
      <c r="D10" s="13">
        <v>5000.0</v>
      </c>
      <c r="E10" s="14"/>
      <c r="F10" s="7">
        <f t="shared" si="2"/>
        <v>28000000</v>
      </c>
    </row>
    <row r="11" ht="18.0" customHeight="1">
      <c r="A11" s="15"/>
      <c r="B11" s="11" t="s">
        <v>18</v>
      </c>
      <c r="C11" s="12">
        <v>1.0</v>
      </c>
      <c r="D11" s="13">
        <v>100000.0</v>
      </c>
      <c r="E11" s="14"/>
      <c r="F11" s="7">
        <f t="shared" si="2"/>
        <v>140000000</v>
      </c>
    </row>
    <row r="12" ht="18.0" customHeight="1">
      <c r="A12" s="15"/>
      <c r="B12" s="11" t="s">
        <v>19</v>
      </c>
      <c r="C12" s="12">
        <v>1.0</v>
      </c>
      <c r="D12" s="13">
        <v>12000.0</v>
      </c>
      <c r="E12" s="14"/>
      <c r="F12" s="7">
        <f t="shared" si="2"/>
        <v>16800000</v>
      </c>
    </row>
    <row r="13" ht="18.0" customHeight="1">
      <c r="A13" s="15"/>
      <c r="B13" s="11" t="s">
        <v>20</v>
      </c>
      <c r="C13" s="12">
        <v>1.0</v>
      </c>
      <c r="D13" s="13">
        <v>4000.0</v>
      </c>
      <c r="E13" s="14"/>
      <c r="F13" s="7">
        <f t="shared" si="2"/>
        <v>5600000</v>
      </c>
    </row>
    <row r="14" ht="18.0" customHeight="1">
      <c r="A14" s="16" t="s">
        <v>21</v>
      </c>
      <c r="B14" s="17" t="s">
        <v>22</v>
      </c>
      <c r="C14" s="18">
        <v>1.0</v>
      </c>
      <c r="D14" s="19"/>
      <c r="E14" s="20">
        <v>2500000.0</v>
      </c>
      <c r="F14" s="7">
        <f t="shared" ref="F14:F18" si="3">IF(AND(C14&lt;&gt;"",E14&lt;&gt;""),C14*E14,"")</f>
        <v>2500000</v>
      </c>
    </row>
    <row r="15" ht="18.0" customHeight="1">
      <c r="A15" s="21"/>
      <c r="B15" s="17" t="s">
        <v>23</v>
      </c>
      <c r="C15" s="18">
        <v>1.0</v>
      </c>
      <c r="D15" s="19"/>
      <c r="E15" s="20">
        <v>2000000.0</v>
      </c>
      <c r="F15" s="7">
        <f t="shared" si="3"/>
        <v>2000000</v>
      </c>
    </row>
    <row r="16" ht="18.0" customHeight="1">
      <c r="A16" s="21"/>
      <c r="B16" s="17" t="s">
        <v>24</v>
      </c>
      <c r="C16" s="18">
        <v>4.0</v>
      </c>
      <c r="D16" s="19"/>
      <c r="E16" s="20">
        <v>510000.0</v>
      </c>
      <c r="F16" s="7">
        <f t="shared" si="3"/>
        <v>2040000</v>
      </c>
    </row>
    <row r="17" ht="18.0" customHeight="1">
      <c r="A17" s="21"/>
      <c r="B17" s="17" t="s">
        <v>25</v>
      </c>
      <c r="C17" s="18">
        <v>2.0</v>
      </c>
      <c r="D17" s="19"/>
      <c r="E17" s="20">
        <v>1.5E7</v>
      </c>
      <c r="F17" s="7">
        <f t="shared" si="3"/>
        <v>30000000</v>
      </c>
    </row>
    <row r="18" ht="18.0" customHeight="1">
      <c r="A18" s="21"/>
      <c r="B18" s="17" t="s">
        <v>26</v>
      </c>
      <c r="C18" s="18">
        <v>1.0</v>
      </c>
      <c r="D18" s="19"/>
      <c r="E18" s="20">
        <v>1900000.0</v>
      </c>
      <c r="F18" s="7">
        <f t="shared" si="3"/>
        <v>1900000</v>
      </c>
    </row>
    <row r="19" ht="18.0" customHeight="1">
      <c r="A19" s="21"/>
      <c r="B19" s="17" t="s">
        <v>27</v>
      </c>
      <c r="C19" s="18">
        <v>1.0</v>
      </c>
      <c r="D19" s="19">
        <v>500.0</v>
      </c>
      <c r="E19" s="20"/>
      <c r="F19" s="7">
        <f>D19*C19*$K$1</f>
        <v>700000</v>
      </c>
    </row>
    <row r="20" ht="18.0" customHeight="1">
      <c r="A20" s="21"/>
      <c r="B20" s="17" t="s">
        <v>28</v>
      </c>
      <c r="C20" s="18">
        <v>4.0</v>
      </c>
      <c r="D20" s="19"/>
      <c r="E20" s="20">
        <v>400000.0</v>
      </c>
      <c r="F20" s="7">
        <f>IF(AND(C20&lt;&gt;"",E20&lt;&gt;""),C20*E20,"")</f>
        <v>1600000</v>
      </c>
    </row>
    <row r="21" ht="18.0" customHeight="1">
      <c r="A21" s="21"/>
      <c r="B21" s="17" t="s">
        <v>29</v>
      </c>
      <c r="C21" s="18">
        <v>1.0</v>
      </c>
      <c r="D21" s="22">
        <v>3200.0</v>
      </c>
      <c r="E21" s="20"/>
      <c r="F21" s="7">
        <f t="shared" ref="F21:F22" si="4">D21*C21*$K$1</f>
        <v>4480000</v>
      </c>
    </row>
    <row r="22" ht="18.0" customHeight="1">
      <c r="A22" s="21"/>
      <c r="B22" s="17" t="s">
        <v>20</v>
      </c>
      <c r="C22" s="18">
        <v>1.0</v>
      </c>
      <c r="D22" s="22">
        <v>50000.0</v>
      </c>
      <c r="E22" s="20"/>
      <c r="F22" s="7">
        <f t="shared" si="4"/>
        <v>70000000</v>
      </c>
    </row>
    <row r="23" ht="21.75" customHeight="1">
      <c r="A23" s="23"/>
      <c r="B23" s="1" t="s">
        <v>30</v>
      </c>
      <c r="C23" s="24"/>
      <c r="D23" s="24"/>
      <c r="E23" s="24"/>
      <c r="F23" s="25">
        <f>SUM(F2:F22)</f>
        <v>372340000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2026-04-11T18:31:26Z</dcterms:created>
  <dc:creator>openpyxl</dc:creator>
</cp:coreProperties>
</file>