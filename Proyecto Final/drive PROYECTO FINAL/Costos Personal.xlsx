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f413fcc799067a/SMAMS NUEVO/Brenda/Curso/PF/"/>
    </mc:Choice>
  </mc:AlternateContent>
  <xr:revisionPtr revIDLastSave="0" documentId="8_{35C5B379-E1C8-4DCD-953C-555A44A5DBD5}" xr6:coauthVersionLast="47" xr6:coauthVersionMax="47" xr10:uidLastSave="{00000000-0000-0000-0000-000000000000}"/>
  <bookViews>
    <workbookView xWindow="-120" yWindow="-120" windowWidth="20730" windowHeight="11160" xr2:uid="{E83C5189-565E-4C35-ACC7-7B3223A9E4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D7" i="1"/>
  <c r="D9" i="1" s="1"/>
  <c r="D8" i="1"/>
  <c r="B6" i="1"/>
  <c r="D6" i="1" s="1"/>
  <c r="B5" i="1"/>
  <c r="C5" i="1"/>
  <c r="D4" i="1"/>
  <c r="C4" i="1"/>
  <c r="B4" i="1"/>
  <c r="D5" i="1" l="1"/>
</calcChain>
</file>

<file path=xl/sharedStrings.xml><?xml version="1.0" encoding="utf-8"?>
<sst xmlns="http://schemas.openxmlformats.org/spreadsheetml/2006/main" count="10" uniqueCount="10">
  <si>
    <t>Puesto / Categoría</t>
  </si>
  <si>
    <t>Cantidad</t>
  </si>
  <si>
    <t>Costo Unitario Mensual (ARS)</t>
  </si>
  <si>
    <t>Subtotal Mensual (ARS)</t>
  </si>
  <si>
    <t>Operario Calificado (Producción/Empaque)</t>
  </si>
  <si>
    <t>Mantenimiento / Logística</t>
  </si>
  <si>
    <t>Gerencia de Planta / Admin</t>
  </si>
  <si>
    <t>TOTAL (60 Empleados)</t>
  </si>
  <si>
    <t xml:space="preserve">Administrativos </t>
  </si>
  <si>
    <t>Staff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</si>
</sst>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9" formatCode="_-&quot;$&quot;* #,##0_-;\-&quot;$&quot;* #,##0_-;_-&quot;$&quot;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Google Sans"/>
    </font>
    <font>
      <sz val="11"/>
      <color theme="1"/>
      <name val="Google Sans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CDFE5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right" vertical="center" wrapText="1"/>
    </xf>
    <xf numFmtId="44" fontId="3" fillId="4" borderId="2" xfId="1" applyFont="1" applyFill="1" applyBorder="1" applyAlignment="1">
      <alignment vertical="center" wrapText="1"/>
    </xf>
    <xf numFmtId="44" fontId="2" fillId="3" borderId="1" xfId="1" applyFont="1" applyFill="1" applyBorder="1" applyAlignment="1">
      <alignment vertical="center" wrapText="1"/>
    </xf>
    <xf numFmtId="169" fontId="2" fillId="3" borderId="1" xfId="1" applyNumberFormat="1" applyFont="1" applyFill="1" applyBorder="1" applyAlignment="1">
      <alignment horizontal="right" vertical="center" wrapText="1"/>
    </xf>
    <xf numFmtId="169" fontId="3" fillId="3" borderId="2" xfId="1" applyNumberFormat="1" applyFont="1" applyFill="1" applyBorder="1" applyAlignment="1">
      <alignment vertical="center" wrapText="1"/>
    </xf>
    <xf numFmtId="169" fontId="3" fillId="4" borderId="2" xfId="1" applyNumberFormat="1" applyFont="1" applyFill="1" applyBorder="1" applyAlignment="1">
      <alignment vertical="center" wrapText="1"/>
    </xf>
    <xf numFmtId="169" fontId="2" fillId="3" borderId="1" xfId="1" applyNumberFormat="1" applyFont="1" applyFill="1" applyBorder="1" applyAlignment="1">
      <alignment horizontal="left" vertical="center" wrapText="1"/>
    </xf>
    <xf numFmtId="169" fontId="2" fillId="4" borderId="1" xfId="1" applyNumberFormat="1" applyFont="1" applyFill="1" applyBorder="1" applyAlignment="1">
      <alignment vertical="center" wrapText="1"/>
    </xf>
    <xf numFmtId="0" fontId="2" fillId="3" borderId="1" xfId="1" applyNumberFormat="1" applyFont="1" applyFill="1" applyBorder="1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01B2-248C-405F-88D0-AAE6D6268F3F}">
  <dimension ref="A1:D9"/>
  <sheetViews>
    <sheetView tabSelected="1" topLeftCell="A3" workbookViewId="0">
      <selection activeCell="D13" sqref="D13"/>
    </sheetView>
  </sheetViews>
  <sheetFormatPr baseColWidth="10" defaultRowHeight="15"/>
  <cols>
    <col min="1" max="1" width="31.7109375" customWidth="1"/>
    <col min="2" max="4" width="21.7109375" customWidth="1"/>
  </cols>
  <sheetData>
    <row r="1" spans="1:4" ht="15.75" thickBot="1"/>
    <row r="2" spans="1:4" ht="15.75" thickBot="1">
      <c r="A2" s="1"/>
      <c r="B2" s="1"/>
      <c r="C2" s="1"/>
      <c r="D2" s="1"/>
    </row>
    <row r="3" spans="1:4" ht="60.75" thickBot="1">
      <c r="A3" s="2" t="s">
        <v>0</v>
      </c>
      <c r="B3" s="2" t="s">
        <v>1</v>
      </c>
      <c r="C3" s="2" t="s">
        <v>2</v>
      </c>
      <c r="D3" s="2" t="s">
        <v>3</v>
      </c>
    </row>
    <row r="4" spans="1:4" ht="30.75" thickBot="1">
      <c r="A4" s="3" t="s">
        <v>4</v>
      </c>
      <c r="B4" s="4">
        <f>9*2+6*2+2</f>
        <v>32</v>
      </c>
      <c r="C4" s="9">
        <f>8*20*6700</f>
        <v>1072000</v>
      </c>
      <c r="D4" s="10">
        <f>C4*B4</f>
        <v>34304000</v>
      </c>
    </row>
    <row r="5" spans="1:4" ht="15.75" thickBot="1">
      <c r="A5" s="5" t="s">
        <v>5</v>
      </c>
      <c r="B5" s="6">
        <f>2+1+1+2</f>
        <v>6</v>
      </c>
      <c r="C5" s="9">
        <f>8*20*8720</f>
        <v>1395200</v>
      </c>
      <c r="D5" s="11">
        <f>B5*C5</f>
        <v>8371200</v>
      </c>
    </row>
    <row r="6" spans="1:4" ht="15.75" thickBot="1">
      <c r="A6" s="3" t="s">
        <v>9</v>
      </c>
      <c r="B6" s="4">
        <f>2+1+1+1+1</f>
        <v>6</v>
      </c>
      <c r="C6" s="12">
        <v>2500000</v>
      </c>
      <c r="D6" s="11">
        <f>B6*C6</f>
        <v>15000000</v>
      </c>
    </row>
    <row r="7" spans="1:4" ht="15.75" thickBot="1">
      <c r="A7" s="5" t="s">
        <v>8</v>
      </c>
      <c r="B7" s="6">
        <v>4</v>
      </c>
      <c r="C7" s="13">
        <v>2200000</v>
      </c>
      <c r="D7" s="11">
        <f t="shared" ref="D7:D8" si="0">B7*C7</f>
        <v>8800000</v>
      </c>
    </row>
    <row r="8" spans="1:4" ht="15.75" thickBot="1">
      <c r="A8" s="5" t="s">
        <v>6</v>
      </c>
      <c r="B8" s="6">
        <v>2</v>
      </c>
      <c r="C8" s="13">
        <v>7000000</v>
      </c>
      <c r="D8" s="7">
        <f t="shared" si="0"/>
        <v>14000000</v>
      </c>
    </row>
    <row r="9" spans="1:4" ht="15.75" thickBot="1">
      <c r="A9" s="3" t="s">
        <v>7</v>
      </c>
      <c r="B9" s="14">
        <f>+SUM(B4:B8)</f>
        <v>50</v>
      </c>
      <c r="C9" s="8"/>
      <c r="D9" s="8">
        <f>+SUM(D4:D8)</f>
        <v>80475200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Cruz</dc:creator>
  <cp:lastModifiedBy>Juan Cruz</cp:lastModifiedBy>
  <dcterms:created xsi:type="dcterms:W3CDTF">2026-04-11T21:17:24Z</dcterms:created>
  <dcterms:modified xsi:type="dcterms:W3CDTF">2026-04-11T21:30:02Z</dcterms:modified>
</cp:coreProperties>
</file>