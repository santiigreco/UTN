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roduccion" sheetId="2" r:id="rId5"/>
  </sheets>
  <definedNames/>
  <calcPr/>
  <extLst>
    <ext uri="GoogleSheetsCustomDataVersion2">
      <go:sheetsCustomData xmlns:go="http://customooxmlschemas.google.com/" r:id="rId6" roundtripDataChecksum="QcpjW0ofSTNhynIrUujCruzDvZ4Fwxf9MdOpuhKaHHk="/>
    </ext>
  </extLst>
</workbook>
</file>

<file path=xl/sharedStrings.xml><?xml version="1.0" encoding="utf-8"?>
<sst xmlns="http://schemas.openxmlformats.org/spreadsheetml/2006/main" count="136" uniqueCount="78">
  <si>
    <t>Ventas</t>
  </si>
  <si>
    <t>Estimación anual de la demanda</t>
  </si>
  <si>
    <t>A chequear, basado en el consumo que necesita un celiaco por mes segun un estudio del indec de 2018</t>
  </si>
  <si>
    <t>https://biblioteca.indec.gob.ar/bases/minde/88vol23_n11nov2018.pdf</t>
  </si>
  <si>
    <t>Mercado base</t>
  </si>
  <si>
    <t>Población</t>
  </si>
  <si>
    <t>Poblacion Arg</t>
  </si>
  <si>
    <t>Población total Arg</t>
  </si>
  <si>
    <t>Celiacos</t>
  </si>
  <si>
    <t>% Celíacos</t>
  </si>
  <si>
    <t>Total</t>
  </si>
  <si>
    <t>Subpoblación celíacos</t>
  </si>
  <si>
    <t>Mercado extra</t>
  </si>
  <si>
    <t>Consumo teórico anual por persona (según INDEC)</t>
  </si>
  <si>
    <t>Factor conviviente</t>
  </si>
  <si>
    <t>Producto</t>
  </si>
  <si>
    <t>Unidades</t>
  </si>
  <si>
    <t>Factor saludable</t>
  </si>
  <si>
    <t>Pan</t>
  </si>
  <si>
    <t>kg</t>
  </si>
  <si>
    <t>Galletitas saladas</t>
  </si>
  <si>
    <t>Galletitas dulces</t>
  </si>
  <si>
    <t xml:space="preserve">Proyeccion </t>
  </si>
  <si>
    <t>Harinas alternativas</t>
  </si>
  <si>
    <t>Participación</t>
  </si>
  <si>
    <t>Fideos</t>
  </si>
  <si>
    <t>Mercado objetivo</t>
  </si>
  <si>
    <t>Consumo kg/p mensual</t>
  </si>
  <si>
    <t>Consumo kg/p anual</t>
  </si>
  <si>
    <t>Consumo anual subpoblación celíaca</t>
  </si>
  <si>
    <t>Demanda anual (kg)</t>
  </si>
  <si>
    <t>Produccion anual (kg)</t>
  </si>
  <si>
    <t xml:space="preserve">Habria que comparar esto con el % de market share que tiene SMAMS en ARG, si es segmentado por producto mejor, y ahi </t>
  </si>
  <si>
    <t>se puede estimar el mercado en kg tambien de cuanto es.</t>
  </si>
  <si>
    <t>De ahi veria que surtido armar en 2 o 3 lineas, alguna diferenciacion en sabor piola o algo asi y vemos</t>
  </si>
  <si>
    <t>Ventas SMAMS 2025 [kg]</t>
  </si>
  <si>
    <t>%Mkt share de SMAMS</t>
  </si>
  <si>
    <t>Sabiendo esto podemos estimar el consumo total en kg de productos sin gluten</t>
  </si>
  <si>
    <t>Consumo mercado total [kg]</t>
  </si>
  <si>
    <t>Produccion</t>
  </si>
  <si>
    <t>Personal</t>
  </si>
  <si>
    <t>Producción por turno y eficiencia</t>
  </si>
  <si>
    <t>Escala de producción</t>
  </si>
  <si>
    <t>Linea</t>
  </si>
  <si>
    <t>Turnos</t>
  </si>
  <si>
    <t>Horario</t>
  </si>
  <si>
    <t>RH/turno</t>
  </si>
  <si>
    <t>RH</t>
  </si>
  <si>
    <t>Cajas/turno</t>
  </si>
  <si>
    <t>Cajas/h</t>
  </si>
  <si>
    <t>kg/caja</t>
  </si>
  <si>
    <t>kg/turno</t>
  </si>
  <si>
    <t>kg/h</t>
  </si>
  <si>
    <t>kg/dia</t>
  </si>
  <si>
    <t>kg/año</t>
  </si>
  <si>
    <t>Tn/año</t>
  </si>
  <si>
    <t>$/kg</t>
  </si>
  <si>
    <t>FC ($M)</t>
  </si>
  <si>
    <t>Pepas</t>
  </si>
  <si>
    <t>A</t>
  </si>
  <si>
    <t>M, T</t>
  </si>
  <si>
    <t>Polvorones</t>
  </si>
  <si>
    <t>N</t>
  </si>
  <si>
    <t>Budines</t>
  </si>
  <si>
    <t>B</t>
  </si>
  <si>
    <t>Linea A</t>
  </si>
  <si>
    <t>Linea B</t>
  </si>
  <si>
    <t>Venta smams</t>
  </si>
  <si>
    <t>Factor</t>
  </si>
  <si>
    <t>Chocolate con chips picante</t>
  </si>
  <si>
    <t>Galleitas simil chocolinas</t>
  </si>
  <si>
    <t>Pepas chocolate y batata</t>
  </si>
  <si>
    <t>Bizcochos salados</t>
  </si>
  <si>
    <t>Pan de molde</t>
  </si>
  <si>
    <t>x año</t>
  </si>
  <si>
    <t>x mes</t>
  </si>
  <si>
    <t>x dia</t>
  </si>
  <si>
    <t>x 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</si>
</sst>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-* #,##0.0_-;\-* #,##0.0_-;_-* &quot;-&quot;??_-;_-@"/>
    <numFmt numFmtId="166" formatCode="0.0%"/>
    <numFmt numFmtId="167" formatCode="0.0"/>
    <numFmt numFmtId="168" formatCode="[$ $]#,##0"/>
  </numFmts>
  <fonts count="27">
    <font>
      <sz val="11.0"/>
      <color theme="1"/>
      <name val="Calibri"/>
      <scheme val="minor"/>
    </font>
    <font>
      <sz val="10.0"/>
      <color theme="1"/>
      <name val="Aptos"/>
    </font>
    <font>
      <b/>
      <sz val="10.0"/>
      <color theme="0"/>
      <name val="Aptos"/>
    </font>
    <font>
      <sz val="10.0"/>
      <color theme="0"/>
      <name val="Aptos"/>
    </font>
    <font>
      <b/>
      <sz val="11.0"/>
      <color rgb="FF000000"/>
      <name val="&quot;Aptos Narrow&quot;"/>
    </font>
    <font>
      <sz val="10.0"/>
      <color theme="1"/>
      <name val="Arial"/>
    </font>
    <font>
      <u/>
      <sz val="10.0"/>
      <color rgb="FF000000"/>
      <name val="Arial"/>
    </font>
    <font>
      <sz val="11.0"/>
      <color rgb="FF000000"/>
      <name val="&quot;Aptos Narrow&quot;"/>
    </font>
    <font>
      <b/>
      <sz val="10.0"/>
      <color theme="1"/>
      <name val="Aptos"/>
    </font>
    <font>
      <sz val="11.0"/>
      <color rgb="FF000000"/>
      <name val="Arial"/>
    </font>
    <font>
      <b/>
      <sz val="10.0"/>
      <color theme="1"/>
      <name val="Arial"/>
    </font>
    <font/>
    <font>
      <sz val="10.0"/>
      <color rgb="FF0070C0"/>
      <name val="Aptos"/>
    </font>
    <font>
      <sz val="10.0"/>
      <color rgb="FF0070C0"/>
      <name val="Arial"/>
    </font>
    <font>
      <sz val="10.0"/>
      <color rgb="FFC55A11"/>
      <name val="Aptos"/>
    </font>
    <font>
      <sz val="10.0"/>
      <color rgb="FFC55A11"/>
      <name val="Arial"/>
    </font>
    <font>
      <b/>
      <sz val="10.0"/>
      <color rgb="FF0070C0"/>
      <name val="Aptos"/>
    </font>
    <font>
      <b/>
      <sz val="10.0"/>
      <color rgb="FFC55A11"/>
      <name val="Aptos"/>
    </font>
    <font>
      <b/>
      <color rgb="FFFFFFFF"/>
      <name val="Aptos"/>
    </font>
    <font>
      <sz val="11.0"/>
      <color rgb="FF000000"/>
      <name val="Calibri"/>
    </font>
    <font>
      <color rgb="FF0070C0"/>
      <name val="Arial"/>
    </font>
    <font>
      <color rgb="FF0070C0"/>
      <name val="Aptos"/>
    </font>
    <font>
      <b/>
      <color rgb="FF000000"/>
      <name val="Aptos"/>
    </font>
    <font>
      <sz val="10.0"/>
      <color theme="5"/>
      <name val="Aptos"/>
    </font>
    <font>
      <color theme="5"/>
      <name val="Aptos"/>
    </font>
    <font>
      <color theme="5"/>
      <name val="Arial"/>
    </font>
    <font>
      <sz val="11.0"/>
      <color theme="5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</fills>
  <borders count="12">
    <border/>
    <border>
      <left/>
      <right/>
      <top/>
      <bottom/>
    </border>
    <border>
      <bottom style="thin">
        <color rgb="FFA5A5A5"/>
      </bottom>
    </border>
    <border>
      <bottom style="thin">
        <color rgb="FF000000"/>
      </bottom>
    </border>
    <border>
      <top style="thin">
        <color rgb="FFA5A5A5"/>
      </top>
      <bottom style="thin">
        <color rgb="FFA5A5A5"/>
      </bottom>
    </border>
    <border>
      <left/>
      <right/>
      <top/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</border>
    <border>
      <right style="thin">
        <color rgb="FFA5A5A5"/>
      </right>
      <bottom style="thin">
        <color rgb="FFA5A5A5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3" fontId="4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4" fontId="7" numFmtId="0" xfId="0" applyAlignment="1" applyFill="1" applyFont="1">
      <alignment shrinkToFit="0" vertical="bottom" wrapText="0"/>
    </xf>
    <xf borderId="2" fillId="0" fontId="8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4" fontId="4" numFmtId="0" xfId="0" applyAlignment="1" applyBorder="1" applyFont="1">
      <alignment readingOrder="0" shrinkToFit="0" vertical="bottom" wrapText="0"/>
    </xf>
    <xf borderId="3" fillId="4" fontId="7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vertical="center"/>
    </xf>
    <xf borderId="0" fillId="4" fontId="7" numFmtId="0" xfId="0" applyAlignment="1" applyFont="1">
      <alignment readingOrder="0" shrinkToFit="0" vertical="bottom" wrapText="0"/>
    </xf>
    <xf borderId="0" fillId="4" fontId="9" numFmtId="3" xfId="0" applyAlignment="1" applyFont="1" applyNumberFormat="1">
      <alignment readingOrder="0" shrinkToFit="0" vertical="bottom" wrapText="0"/>
    </xf>
    <xf borderId="4" fillId="0" fontId="1" numFmtId="0" xfId="0" applyAlignment="1" applyBorder="1" applyFont="1">
      <alignment vertical="center"/>
    </xf>
    <xf borderId="4" fillId="0" fontId="1" numFmtId="9" xfId="0" applyAlignment="1" applyBorder="1" applyFont="1" applyNumberFormat="1">
      <alignment vertical="center"/>
    </xf>
    <xf borderId="0" fillId="4" fontId="7" numFmtId="9" xfId="0" applyAlignment="1" applyFont="1" applyNumberFormat="1">
      <alignment horizontal="right" readingOrder="0" shrinkToFit="0" vertical="bottom" wrapText="0"/>
    </xf>
    <xf borderId="5" fillId="5" fontId="8" numFmtId="0" xfId="0" applyAlignment="1" applyBorder="1" applyFill="1" applyFont="1">
      <alignment vertical="center"/>
    </xf>
    <xf borderId="5" fillId="5" fontId="8" numFmtId="164" xfId="0" applyAlignment="1" applyBorder="1" applyFont="1" applyNumberFormat="1">
      <alignment vertical="center"/>
    </xf>
    <xf borderId="0" fillId="4" fontId="7" numFmtId="3" xfId="0" applyAlignment="1" applyFont="1" applyNumberForma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4" fontId="4" numFmtId="0" xfId="0" applyAlignment="1" applyFont="1">
      <alignment shrinkToFit="0" vertical="bottom" wrapText="0"/>
    </xf>
    <xf borderId="4" fillId="0" fontId="1" numFmtId="165" xfId="0" applyAlignment="1" applyBorder="1" applyFont="1" applyNumberFormat="1">
      <alignment vertical="center"/>
    </xf>
    <xf borderId="3" fillId="4" fontId="4" numFmtId="0" xfId="0" applyAlignment="1" applyBorder="1" applyFont="1">
      <alignment horizontal="right" readingOrder="0" shrinkToFit="0" vertical="bottom" wrapText="0"/>
    </xf>
    <xf borderId="0" fillId="4" fontId="9" numFmtId="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vertical="center"/>
    </xf>
    <xf borderId="0" fillId="4" fontId="9" numFmtId="0" xfId="0" applyAlignment="1" applyFont="1">
      <alignment readingOrder="0" shrinkToFit="0" vertical="bottom" wrapText="0"/>
    </xf>
    <xf borderId="0" fillId="0" fontId="10" numFmtId="166" xfId="0" applyAlignment="1" applyFont="1" applyNumberFormat="1">
      <alignment readingOrder="0" vertical="center"/>
    </xf>
    <xf borderId="3" fillId="4" fontId="7" numFmtId="0" xfId="0" applyAlignment="1" applyBorder="1" applyFont="1">
      <alignment readingOrder="0" shrinkToFit="0" vertical="bottom" wrapText="0"/>
    </xf>
    <xf borderId="3" fillId="4" fontId="9" numFmtId="4" xfId="0" applyAlignment="1" applyBorder="1" applyFont="1" applyNumberFormat="1">
      <alignment horizontal="right" readingOrder="0" shrinkToFit="0" vertical="bottom" wrapText="0"/>
    </xf>
    <xf borderId="2" fillId="0" fontId="8" numFmtId="164" xfId="0" applyAlignment="1" applyBorder="1" applyFont="1" applyNumberFormat="1">
      <alignment vertical="center"/>
    </xf>
    <xf borderId="0" fillId="4" fontId="4" numFmtId="4" xfId="0" applyAlignment="1" applyFont="1" applyNumberFormat="1">
      <alignment horizontal="right" readingOrder="0" shrinkToFit="0" vertical="bottom" wrapText="0"/>
    </xf>
    <xf borderId="1" fillId="5" fontId="8" numFmtId="0" xfId="0" applyAlignment="1" applyBorder="1" applyFont="1">
      <alignment vertical="center"/>
    </xf>
    <xf borderId="1" fillId="5" fontId="8" numFmtId="16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3" fillId="4" fontId="7" numFmtId="3" xfId="0" applyAlignment="1" applyBorder="1" applyFont="1" applyNumberFormat="1">
      <alignment readingOrder="0" shrinkToFit="0" vertical="bottom" wrapText="0"/>
    </xf>
    <xf borderId="0" fillId="4" fontId="4" numFmtId="3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vertical="center"/>
    </xf>
    <xf borderId="2" fillId="0" fontId="8" numFmtId="0" xfId="0" applyAlignment="1" applyBorder="1" applyFont="1">
      <alignment horizontal="left" vertical="center"/>
    </xf>
    <xf borderId="2" fillId="0" fontId="11" numFmtId="0" xfId="0" applyBorder="1" applyFont="1"/>
    <xf borderId="6" fillId="2" fontId="2" numFmtId="0" xfId="0" applyAlignment="1" applyBorder="1" applyFont="1">
      <alignment horizontal="center" vertical="center"/>
    </xf>
    <xf borderId="6" fillId="0" fontId="12" numFmtId="0" xfId="0" applyAlignment="1" applyBorder="1" applyFont="1">
      <alignment vertical="center"/>
    </xf>
    <xf borderId="6" fillId="0" fontId="12" numFmtId="0" xfId="0" applyAlignment="1" applyBorder="1" applyFont="1">
      <alignment horizontal="center" vertical="center"/>
    </xf>
    <xf borderId="6" fillId="0" fontId="13" numFmtId="164" xfId="0" applyAlignment="1" applyBorder="1" applyFont="1" applyNumberFormat="1">
      <alignment readingOrder="0" vertical="center"/>
    </xf>
    <xf borderId="6" fillId="0" fontId="12" numFmtId="164" xfId="0" applyAlignment="1" applyBorder="1" applyFont="1" applyNumberFormat="1">
      <alignment vertical="center"/>
    </xf>
    <xf borderId="6" fillId="0" fontId="12" numFmtId="164" xfId="0" applyAlignment="1" applyBorder="1" applyFont="1" applyNumberFormat="1">
      <alignment horizontal="center" vertical="center"/>
    </xf>
    <xf borderId="6" fillId="0" fontId="12" numFmtId="167" xfId="0" applyAlignment="1" applyBorder="1" applyFont="1" applyNumberFormat="1">
      <alignment vertical="center"/>
    </xf>
    <xf borderId="6" fillId="6" fontId="8" numFmtId="164" xfId="0" applyAlignment="1" applyBorder="1" applyFill="1" applyFont="1" applyNumberFormat="1">
      <alignment vertical="center"/>
    </xf>
    <xf borderId="6" fillId="0" fontId="14" numFmtId="0" xfId="0" applyAlignment="1" applyBorder="1" applyFont="1">
      <alignment horizontal="center" vertical="center"/>
    </xf>
    <xf borderId="6" fillId="0" fontId="15" numFmtId="164" xfId="0" applyAlignment="1" applyBorder="1" applyFont="1" applyNumberFormat="1">
      <alignment readingOrder="0" vertical="center"/>
    </xf>
    <xf borderId="6" fillId="0" fontId="14" numFmtId="164" xfId="0" applyAlignment="1" applyBorder="1" applyFont="1" applyNumberFormat="1">
      <alignment vertical="center"/>
    </xf>
    <xf borderId="6" fillId="0" fontId="14" numFmtId="164" xfId="0" applyAlignment="1" applyBorder="1" applyFont="1" applyNumberFormat="1">
      <alignment horizontal="center" vertical="center"/>
    </xf>
    <xf borderId="6" fillId="0" fontId="14" numFmtId="167" xfId="0" applyAlignment="1" applyBorder="1" applyFont="1" applyNumberFormat="1">
      <alignment vertical="center"/>
    </xf>
    <xf borderId="6" fillId="7" fontId="8" numFmtId="0" xfId="0" applyAlignment="1" applyBorder="1" applyFill="1" applyFont="1">
      <alignment vertical="center"/>
    </xf>
    <xf borderId="6" fillId="7" fontId="8" numFmtId="167" xfId="0" applyAlignment="1" applyBorder="1" applyFont="1" applyNumberFormat="1">
      <alignment vertical="center"/>
    </xf>
    <xf borderId="6" fillId="7" fontId="8" numFmtId="164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6" fillId="2" fontId="18" numFmtId="0" xfId="0" applyAlignment="1" applyBorder="1" applyFont="1">
      <alignment horizontal="center" readingOrder="0" vertical="center"/>
    </xf>
    <xf borderId="7" fillId="2" fontId="18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0"/>
    </xf>
    <xf borderId="0" fillId="2" fontId="18" numFmtId="0" xfId="0" applyAlignment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9" fillId="0" fontId="21" numFmtId="0" xfId="0" applyAlignment="1" applyBorder="1" applyFont="1">
      <alignment vertical="center"/>
    </xf>
    <xf borderId="9" fillId="0" fontId="21" numFmtId="0" xfId="0" applyAlignment="1" applyBorder="1" applyFont="1">
      <alignment horizontal="center" vertical="center"/>
    </xf>
    <xf borderId="8" fillId="0" fontId="19" numFmtId="0" xfId="0" applyAlignment="1" applyBorder="1" applyFont="1">
      <alignment vertical="center"/>
    </xf>
    <xf borderId="9" fillId="0" fontId="21" numFmtId="0" xfId="0" applyAlignment="1" applyBorder="1" applyFont="1">
      <alignment horizontal="right" vertical="center"/>
    </xf>
    <xf borderId="9" fillId="0" fontId="21" numFmtId="1" xfId="0" applyAlignment="1" applyBorder="1" applyFont="1" applyNumberFormat="1">
      <alignment horizontal="right" vertical="center"/>
    </xf>
    <xf borderId="9" fillId="0" fontId="21" numFmtId="3" xfId="0" applyAlignment="1" applyBorder="1" applyFont="1" applyNumberFormat="1">
      <alignment horizontal="right" readingOrder="0" vertical="center"/>
    </xf>
    <xf borderId="9" fillId="0" fontId="21" numFmtId="0" xfId="0" applyAlignment="1" applyBorder="1" applyFont="1">
      <alignment horizontal="right" readingOrder="0" vertical="center"/>
    </xf>
    <xf borderId="9" fillId="0" fontId="20" numFmtId="168" xfId="0" applyAlignment="1" applyBorder="1" applyFont="1" applyNumberFormat="1">
      <alignment horizontal="right" readingOrder="0" vertical="center"/>
    </xf>
    <xf borderId="9" fillId="6" fontId="22" numFmtId="168" xfId="0" applyAlignment="1" applyBorder="1" applyFont="1" applyNumberFormat="1">
      <alignment horizontal="right" readingOrder="0" vertical="center"/>
    </xf>
    <xf borderId="0" fillId="0" fontId="7" numFmtId="3" xfId="0" applyAlignment="1" applyFont="1" applyNumberFormat="1">
      <alignment horizontal="right" readingOrder="0" shrinkToFit="0" vertical="center" wrapText="0"/>
    </xf>
    <xf borderId="8" fillId="0" fontId="21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right" vertical="center"/>
    </xf>
    <xf borderId="8" fillId="0" fontId="21" numFmtId="1" xfId="0" applyAlignment="1" applyBorder="1" applyFont="1" applyNumberFormat="1">
      <alignment horizontal="right" vertical="center"/>
    </xf>
    <xf borderId="6" fillId="0" fontId="13" numFmtId="0" xfId="0" applyAlignment="1" applyBorder="1" applyFont="1">
      <alignment readingOrder="0" vertical="center"/>
    </xf>
    <xf borderId="0" fillId="0" fontId="7" numFmtId="0" xfId="0" applyAlignment="1" applyFont="1">
      <alignment shrinkToFit="0" vertical="center" wrapText="0"/>
    </xf>
    <xf borderId="10" fillId="0" fontId="21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right" vertical="center"/>
    </xf>
    <xf borderId="10" fillId="0" fontId="21" numFmtId="1" xfId="0" applyAlignment="1" applyBorder="1" applyFont="1" applyNumberFormat="1">
      <alignment horizontal="right" vertical="center"/>
    </xf>
    <xf borderId="6" fillId="0" fontId="23" numFmtId="0" xfId="0" applyAlignment="1" applyBorder="1" applyFont="1">
      <alignment vertical="center"/>
    </xf>
    <xf borderId="9" fillId="0" fontId="24" numFmtId="0" xfId="0" applyAlignment="1" applyBorder="1" applyFont="1">
      <alignment horizontal="center" readingOrder="0" vertical="center"/>
    </xf>
    <xf borderId="9" fillId="0" fontId="25" numFmtId="0" xfId="0" applyAlignment="1" applyBorder="1" applyFont="1">
      <alignment horizontal="center" readingOrder="0" vertical="center"/>
    </xf>
    <xf borderId="9" fillId="0" fontId="24" numFmtId="0" xfId="0" applyAlignment="1" applyBorder="1" applyFont="1">
      <alignment vertical="center"/>
    </xf>
    <xf borderId="8" fillId="0" fontId="26" numFmtId="0" xfId="0" applyAlignment="1" applyBorder="1" applyFont="1">
      <alignment vertical="center"/>
    </xf>
    <xf borderId="9" fillId="0" fontId="24" numFmtId="0" xfId="0" applyAlignment="1" applyBorder="1" applyFont="1">
      <alignment horizontal="center" vertical="center"/>
    </xf>
    <xf borderId="9" fillId="0" fontId="24" numFmtId="0" xfId="0" applyAlignment="1" applyBorder="1" applyFont="1">
      <alignment horizontal="right" vertical="center"/>
    </xf>
    <xf borderId="9" fillId="0" fontId="24" numFmtId="1" xfId="0" applyAlignment="1" applyBorder="1" applyFont="1" applyNumberFormat="1">
      <alignment horizontal="right" vertical="center"/>
    </xf>
    <xf borderId="9" fillId="0" fontId="24" numFmtId="3" xfId="0" applyAlignment="1" applyBorder="1" applyFont="1" applyNumberFormat="1">
      <alignment horizontal="right" readingOrder="0" vertical="center"/>
    </xf>
    <xf borderId="9" fillId="0" fontId="24" numFmtId="0" xfId="0" applyAlignment="1" applyBorder="1" applyFont="1">
      <alignment horizontal="right" readingOrder="0" vertical="center"/>
    </xf>
    <xf borderId="9" fillId="0" fontId="25" numFmtId="168" xfId="0" applyAlignment="1" applyBorder="1" applyFont="1" applyNumberFormat="1">
      <alignment horizontal="right" readingOrder="0" vertical="center"/>
    </xf>
    <xf borderId="11" fillId="7" fontId="22" numFmtId="0" xfId="0" applyAlignment="1" applyBorder="1" applyFont="1">
      <alignment readingOrder="0" vertical="center"/>
    </xf>
    <xf borderId="9" fillId="7" fontId="19" numFmtId="0" xfId="0" applyAlignment="1" applyBorder="1" applyFont="1">
      <alignment vertical="center"/>
    </xf>
    <xf borderId="9" fillId="7" fontId="22" numFmtId="0" xfId="0" applyAlignment="1" applyBorder="1" applyFont="1">
      <alignment horizontal="right" readingOrder="0" vertical="center"/>
    </xf>
    <xf borderId="9" fillId="7" fontId="22" numFmtId="1" xfId="0" applyAlignment="1" applyBorder="1" applyFont="1" applyNumberFormat="1">
      <alignment horizontal="right" readingOrder="0" vertical="center"/>
    </xf>
    <xf borderId="9" fillId="7" fontId="22" numFmtId="3" xfId="0" applyAlignment="1" applyBorder="1" applyFont="1" applyNumberFormat="1">
      <alignment horizontal="right" readingOrder="0" vertical="center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3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iblioteca.indec.gob.ar/bases/minde/88vol23_n11nov2018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22.43"/>
    <col customWidth="1" min="3" max="3" width="14.0"/>
    <col customWidth="1" min="4" max="6" width="11.57"/>
    <col customWidth="1" min="7" max="7" width="52.29"/>
    <col customWidth="1" min="8" max="8" width="10.86"/>
    <col customWidth="1" min="9" max="9" width="11.57"/>
    <col customWidth="1" min="10" max="26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2" t="s">
        <v>0</v>
      </c>
      <c r="C2" s="3"/>
      <c r="D2" s="1"/>
      <c r="E2" s="1"/>
      <c r="F2" s="1"/>
      <c r="G2" s="4" t="s">
        <v>1</v>
      </c>
      <c r="H2" s="5"/>
      <c r="I2" s="5"/>
      <c r="J2" s="5"/>
      <c r="K2" s="1"/>
      <c r="L2" s="6" t="s">
        <v>2</v>
      </c>
      <c r="M2" s="1"/>
      <c r="N2" s="1"/>
      <c r="O2" s="1"/>
      <c r="P2" s="1"/>
      <c r="Q2" s="1"/>
      <c r="R2" s="1"/>
      <c r="S2" s="1"/>
      <c r="T2" s="1"/>
      <c r="U2" s="7" t="s">
        <v>3</v>
      </c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9" t="s">
        <v>4</v>
      </c>
      <c r="C4" s="10"/>
      <c r="D4" s="1"/>
      <c r="E4" s="1"/>
      <c r="F4" s="1"/>
      <c r="G4" s="11" t="s">
        <v>5</v>
      </c>
      <c r="H4" s="12"/>
      <c r="I4" s="12"/>
      <c r="J4" s="1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0" t="s">
        <v>6</v>
      </c>
      <c r="C5" s="13">
        <v>4.6E7</v>
      </c>
      <c r="D5" s="1"/>
      <c r="E5" s="1"/>
      <c r="F5" s="1"/>
      <c r="G5" s="14" t="s">
        <v>7</v>
      </c>
      <c r="H5" s="8"/>
      <c r="I5" s="15">
        <v>4.6E7</v>
      </c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6" t="s">
        <v>8</v>
      </c>
      <c r="C6" s="17">
        <v>0.01</v>
      </c>
      <c r="D6" s="1"/>
      <c r="E6" s="1"/>
      <c r="F6" s="1"/>
      <c r="G6" s="14" t="s">
        <v>9</v>
      </c>
      <c r="H6" s="8"/>
      <c r="I6" s="18">
        <v>0.01</v>
      </c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9" t="s">
        <v>10</v>
      </c>
      <c r="C7" s="20">
        <f>C5*C6</f>
        <v>460000</v>
      </c>
      <c r="D7" s="1"/>
      <c r="E7" s="1"/>
      <c r="F7" s="1"/>
      <c r="G7" s="14" t="s">
        <v>11</v>
      </c>
      <c r="H7" s="8"/>
      <c r="I7" s="21">
        <f>I5*I6</f>
        <v>460000</v>
      </c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8"/>
      <c r="H8" s="8"/>
      <c r="I8" s="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9" t="s">
        <v>12</v>
      </c>
      <c r="C9" s="10"/>
      <c r="D9" s="1"/>
      <c r="E9" s="1"/>
      <c r="F9" s="1"/>
      <c r="G9" s="22" t="s">
        <v>13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6" t="s">
        <v>14</v>
      </c>
      <c r="C10" s="24">
        <v>1.5</v>
      </c>
      <c r="D10" s="1"/>
      <c r="E10" s="1"/>
      <c r="F10" s="1"/>
      <c r="G10" s="11" t="s">
        <v>15</v>
      </c>
      <c r="H10" s="12"/>
      <c r="I10" s="25" t="s">
        <v>16</v>
      </c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6" t="s">
        <v>17</v>
      </c>
      <c r="C11" s="24">
        <v>1.4</v>
      </c>
      <c r="D11" s="1"/>
      <c r="E11" s="1"/>
      <c r="F11" s="1"/>
      <c r="G11" s="14" t="s">
        <v>18</v>
      </c>
      <c r="H11" s="8"/>
      <c r="I11" s="26">
        <f>1.2*12</f>
        <v>14.4</v>
      </c>
      <c r="J11" s="14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9" t="s">
        <v>10</v>
      </c>
      <c r="C12" s="20">
        <f>C7*(C10+C11)</f>
        <v>1334000</v>
      </c>
      <c r="D12" s="1"/>
      <c r="E12" s="27"/>
      <c r="F12" s="1"/>
      <c r="G12" s="14" t="s">
        <v>20</v>
      </c>
      <c r="H12" s="8"/>
      <c r="I12" s="26">
        <v>5.04</v>
      </c>
      <c r="J12" s="14" t="s">
        <v>19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27"/>
      <c r="F13" s="1"/>
      <c r="G13" s="14" t="s">
        <v>21</v>
      </c>
      <c r="H13" s="8"/>
      <c r="I13" s="26">
        <v>2.52</v>
      </c>
      <c r="J13" s="14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9" t="s">
        <v>22</v>
      </c>
      <c r="C14" s="10"/>
      <c r="D14" s="1"/>
      <c r="E14" s="27"/>
      <c r="F14" s="1"/>
      <c r="G14" s="28" t="s">
        <v>23</v>
      </c>
      <c r="H14" s="8"/>
      <c r="I14" s="26">
        <v>12.96</v>
      </c>
      <c r="J14" s="14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" t="s">
        <v>24</v>
      </c>
      <c r="C15" s="29">
        <v>0.015</v>
      </c>
      <c r="D15" s="1"/>
      <c r="E15" s="1"/>
      <c r="F15" s="1"/>
      <c r="G15" s="30" t="s">
        <v>25</v>
      </c>
      <c r="H15" s="12"/>
      <c r="I15" s="31">
        <v>26.1</v>
      </c>
      <c r="J15" s="30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0" t="s">
        <v>26</v>
      </c>
      <c r="C16" s="32">
        <f>C12*C15</f>
        <v>20010</v>
      </c>
      <c r="D16" s="1"/>
      <c r="E16" s="1"/>
      <c r="F16" s="1"/>
      <c r="G16" s="22" t="s">
        <v>10</v>
      </c>
      <c r="H16" s="8"/>
      <c r="I16" s="33">
        <f>SUM(I11:I15)</f>
        <v>61.02</v>
      </c>
      <c r="J16" s="22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" t="s">
        <v>27</v>
      </c>
      <c r="C17" s="1">
        <v>2.0</v>
      </c>
      <c r="D17" s="1"/>
      <c r="E17" s="1"/>
      <c r="F17" s="1"/>
      <c r="G17" s="8"/>
      <c r="H17" s="8"/>
      <c r="I17" s="8">
        <f>I16/12</f>
        <v>5.085</v>
      </c>
      <c r="J17" s="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0" t="s">
        <v>28</v>
      </c>
      <c r="C18" s="10">
        <f>C17*12</f>
        <v>24</v>
      </c>
      <c r="D18" s="1"/>
      <c r="E18" s="1"/>
      <c r="F18" s="1"/>
      <c r="G18" s="22" t="s">
        <v>29</v>
      </c>
      <c r="I18" s="8"/>
      <c r="J18" s="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34" t="s">
        <v>30</v>
      </c>
      <c r="C19" s="35">
        <f>C18*C16</f>
        <v>480240</v>
      </c>
      <c r="D19" s="1"/>
      <c r="E19" s="1"/>
      <c r="F19" s="1"/>
      <c r="G19" s="11" t="s">
        <v>15</v>
      </c>
      <c r="H19" s="12"/>
      <c r="I19" s="25" t="s">
        <v>16</v>
      </c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"/>
      <c r="C20" s="1"/>
      <c r="D20" s="1"/>
      <c r="E20" s="1"/>
      <c r="F20" s="1"/>
      <c r="G20" s="14" t="s">
        <v>18</v>
      </c>
      <c r="H20" s="8"/>
      <c r="I20" s="21">
        <f t="shared" ref="I20:I24" si="1">I11*$I$7</f>
        <v>6624000</v>
      </c>
      <c r="J20" s="14" t="s">
        <v>19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36" t="s">
        <v>31</v>
      </c>
      <c r="C21" s="37">
        <f>Produccion!Q7</f>
        <v>1391040</v>
      </c>
      <c r="D21" s="1"/>
      <c r="E21" s="1"/>
      <c r="F21" s="1"/>
      <c r="G21" s="14" t="s">
        <v>20</v>
      </c>
      <c r="H21" s="8"/>
      <c r="I21" s="21">
        <f t="shared" si="1"/>
        <v>2318400</v>
      </c>
      <c r="J21" s="14" t="s">
        <v>19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1"/>
      <c r="D22" s="1"/>
      <c r="E22" s="1"/>
      <c r="F22" s="1"/>
      <c r="G22" s="14" t="s">
        <v>21</v>
      </c>
      <c r="H22" s="8"/>
      <c r="I22" s="21">
        <f t="shared" si="1"/>
        <v>1159200</v>
      </c>
      <c r="J22" s="14" t="s">
        <v>19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"/>
      <c r="C23" s="1"/>
      <c r="D23" s="1"/>
      <c r="E23" s="1"/>
      <c r="F23" s="1"/>
      <c r="G23" s="28" t="s">
        <v>23</v>
      </c>
      <c r="H23" s="8"/>
      <c r="I23" s="21">
        <f t="shared" si="1"/>
        <v>5961600</v>
      </c>
      <c r="J23" s="14" t="s">
        <v>19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"/>
      <c r="C24" s="1"/>
      <c r="D24" s="1"/>
      <c r="E24" s="1"/>
      <c r="F24" s="1"/>
      <c r="G24" s="30" t="s">
        <v>25</v>
      </c>
      <c r="H24" s="12"/>
      <c r="I24" s="38">
        <f t="shared" si="1"/>
        <v>12006000</v>
      </c>
      <c r="J24" s="30" t="s">
        <v>19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"/>
      <c r="C25" s="1"/>
      <c r="D25" s="1"/>
      <c r="E25" s="1"/>
      <c r="F25" s="1"/>
      <c r="G25" s="22" t="s">
        <v>10</v>
      </c>
      <c r="H25" s="8"/>
      <c r="I25" s="39">
        <f>SUM(I20:I24)</f>
        <v>28069200</v>
      </c>
      <c r="J25" s="22" t="s">
        <v>19</v>
      </c>
      <c r="K25" s="1">
        <f>I25/1000</f>
        <v>28069.2</v>
      </c>
      <c r="L25" s="6" t="s">
        <v>32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6" t="s">
        <v>33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6" t="s">
        <v>34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"/>
      <c r="C28" s="1"/>
      <c r="D28" s="1"/>
      <c r="E28" s="1"/>
      <c r="F28" s="1"/>
      <c r="G28" s="40" t="s">
        <v>35</v>
      </c>
      <c r="H28" s="1"/>
      <c r="I28" s="39">
        <v>1462828.92</v>
      </c>
      <c r="J28" s="22" t="s">
        <v>19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"/>
      <c r="C29" s="1"/>
      <c r="D29" s="1"/>
      <c r="E29" s="1"/>
      <c r="F29" s="1"/>
      <c r="G29" s="40" t="s">
        <v>36</v>
      </c>
      <c r="H29" s="1"/>
      <c r="I29" s="1"/>
      <c r="J29" s="6" t="s">
        <v>37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1"/>
      <c r="D30" s="1"/>
      <c r="E30" s="1"/>
      <c r="F30" s="1"/>
      <c r="G30" s="40" t="s">
        <v>38</v>
      </c>
      <c r="H30" s="1"/>
      <c r="I30" s="1" t="str">
        <f>100%*I28/I29</f>
        <v>#DIV/0!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G9:I9"/>
    <mergeCell ref="G18:H18"/>
  </mergeCells>
  <hyperlinks>
    <hyperlink r:id="rId1" ref="U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3.14"/>
    <col customWidth="1" min="3" max="3" width="9.0"/>
    <col customWidth="1" min="4" max="5" width="9.29"/>
    <col customWidth="1" min="6" max="6" width="1.43"/>
    <col customWidth="1" min="7" max="8" width="10.29"/>
    <col customWidth="1" min="9" max="9" width="1.43"/>
    <col customWidth="1" min="10" max="14" width="12.71"/>
    <col customWidth="1" min="15" max="15" width="1.43"/>
    <col customWidth="1" min="16" max="18" width="12.71"/>
    <col customWidth="1" min="19" max="19" width="14.43"/>
    <col customWidth="1" min="20" max="20" width="12.29"/>
    <col customWidth="1" min="21" max="21" width="10.71"/>
    <col customWidth="1" min="22" max="22" width="13.0"/>
    <col customWidth="1" min="23" max="26" width="10.71"/>
  </cols>
  <sheetData>
    <row r="1" ht="11.25" customHeight="1">
      <c r="A1" s="1"/>
      <c r="B1" s="1"/>
      <c r="C1" s="1"/>
      <c r="D1" s="1"/>
      <c r="E1" s="1"/>
      <c r="G1" s="1"/>
      <c r="H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1" t="s">
        <v>39</v>
      </c>
      <c r="C2" s="42"/>
      <c r="D2" s="42"/>
      <c r="E2" s="42"/>
      <c r="G2" s="41" t="s">
        <v>40</v>
      </c>
      <c r="H2" s="42"/>
      <c r="J2" s="41" t="s">
        <v>41</v>
      </c>
      <c r="K2" s="42"/>
      <c r="L2" s="42"/>
      <c r="M2" s="42"/>
      <c r="N2" s="42"/>
      <c r="P2" s="41" t="s">
        <v>42</v>
      </c>
      <c r="Q2" s="42"/>
      <c r="R2" s="42"/>
      <c r="S2" s="42"/>
      <c r="T2" s="42"/>
      <c r="U2" s="1"/>
      <c r="V2" s="1"/>
      <c r="W2" s="1"/>
      <c r="X2" s="1"/>
      <c r="Y2" s="1"/>
      <c r="Z2" s="1"/>
    </row>
    <row r="3" ht="21.75" customHeight="1">
      <c r="A3" s="1"/>
      <c r="B3" s="43" t="s">
        <v>15</v>
      </c>
      <c r="C3" s="43" t="s">
        <v>43</v>
      </c>
      <c r="D3" s="43" t="s">
        <v>44</v>
      </c>
      <c r="E3" s="43" t="s">
        <v>45</v>
      </c>
      <c r="G3" s="43" t="s">
        <v>46</v>
      </c>
      <c r="H3" s="43" t="s">
        <v>47</v>
      </c>
      <c r="J3" s="43" t="s">
        <v>48</v>
      </c>
      <c r="K3" s="43" t="s">
        <v>49</v>
      </c>
      <c r="L3" s="43" t="s">
        <v>50</v>
      </c>
      <c r="M3" s="43" t="s">
        <v>51</v>
      </c>
      <c r="N3" s="43" t="s">
        <v>52</v>
      </c>
      <c r="P3" s="43" t="s">
        <v>53</v>
      </c>
      <c r="Q3" s="43" t="s">
        <v>54</v>
      </c>
      <c r="R3" s="43" t="s">
        <v>55</v>
      </c>
      <c r="S3" s="43" t="s">
        <v>56</v>
      </c>
      <c r="T3" s="43" t="s">
        <v>57</v>
      </c>
      <c r="U3" s="1"/>
      <c r="V3" s="1"/>
      <c r="W3" s="1"/>
      <c r="X3" s="1"/>
      <c r="Y3" s="1"/>
      <c r="Z3" s="1"/>
    </row>
    <row r="4" ht="21.75" customHeight="1">
      <c r="A4" s="1"/>
      <c r="B4" s="44" t="s">
        <v>58</v>
      </c>
      <c r="C4" s="45" t="s">
        <v>59</v>
      </c>
      <c r="D4" s="46">
        <v>1.0</v>
      </c>
      <c r="E4" s="47" t="s">
        <v>60</v>
      </c>
      <c r="G4" s="48">
        <v>9.0</v>
      </c>
      <c r="H4" s="48">
        <f t="shared" ref="H4:H6" si="1">D4*G4</f>
        <v>9</v>
      </c>
      <c r="J4" s="47">
        <v>900.0</v>
      </c>
      <c r="K4" s="47">
        <f t="shared" ref="K4:K6" si="2">J4/8</f>
        <v>112.5</v>
      </c>
      <c r="L4" s="49">
        <v>2.7</v>
      </c>
      <c r="M4" s="47">
        <f t="shared" ref="M4:M6" si="3">J4*L4</f>
        <v>2430</v>
      </c>
      <c r="N4" s="47">
        <f t="shared" ref="N4:N6" si="4">M4/8</f>
        <v>303.75</v>
      </c>
      <c r="P4" s="47">
        <f t="shared" ref="P4:P6" si="5">M4*D4</f>
        <v>2430</v>
      </c>
      <c r="Q4" s="47">
        <f t="shared" ref="Q4:Q6" si="6">P4*24*12</f>
        <v>699840</v>
      </c>
      <c r="R4" s="47">
        <f t="shared" ref="R4:R6" si="7">Q4/1000</f>
        <v>699.84</v>
      </c>
      <c r="S4" s="47">
        <v>10000.0</v>
      </c>
      <c r="T4" s="50">
        <f t="shared" ref="T4:T6" si="8">Q4*S4/1000000</f>
        <v>6998.4</v>
      </c>
      <c r="U4" s="1"/>
      <c r="V4" s="1"/>
      <c r="W4" s="1"/>
      <c r="X4" s="1"/>
      <c r="Y4" s="1"/>
      <c r="Z4" s="1"/>
    </row>
    <row r="5" ht="21.75" customHeight="1">
      <c r="A5" s="1"/>
      <c r="B5" s="44" t="s">
        <v>61</v>
      </c>
      <c r="C5" s="45" t="s">
        <v>59</v>
      </c>
      <c r="D5" s="46">
        <v>1.0</v>
      </c>
      <c r="E5" s="47" t="s">
        <v>62</v>
      </c>
      <c r="G5" s="48">
        <v>6.0</v>
      </c>
      <c r="H5" s="48">
        <f t="shared" si="1"/>
        <v>6</v>
      </c>
      <c r="J5" s="47">
        <v>500.0</v>
      </c>
      <c r="K5" s="47">
        <f t="shared" si="2"/>
        <v>62.5</v>
      </c>
      <c r="L5" s="44">
        <v>2.7</v>
      </c>
      <c r="M5" s="47">
        <f t="shared" si="3"/>
        <v>1350</v>
      </c>
      <c r="N5" s="47">
        <f t="shared" si="4"/>
        <v>168.75</v>
      </c>
      <c r="P5" s="47">
        <f t="shared" si="5"/>
        <v>1350</v>
      </c>
      <c r="Q5" s="47">
        <f t="shared" si="6"/>
        <v>388800</v>
      </c>
      <c r="R5" s="47">
        <f t="shared" si="7"/>
        <v>388.8</v>
      </c>
      <c r="S5" s="47">
        <v>10000.0</v>
      </c>
      <c r="T5" s="50">
        <f t="shared" si="8"/>
        <v>3888</v>
      </c>
      <c r="U5" s="1"/>
      <c r="V5" s="1"/>
      <c r="W5" s="1"/>
      <c r="X5" s="1"/>
      <c r="Y5" s="1"/>
      <c r="Z5" s="1"/>
    </row>
    <row r="6" ht="21.75" customHeight="1">
      <c r="A6" s="1"/>
      <c r="B6" s="44" t="s">
        <v>63</v>
      </c>
      <c r="C6" s="51" t="s">
        <v>64</v>
      </c>
      <c r="D6" s="52">
        <v>1.0</v>
      </c>
      <c r="E6" s="53" t="s">
        <v>60</v>
      </c>
      <c r="G6" s="54">
        <v>8.0</v>
      </c>
      <c r="H6" s="54">
        <f t="shared" si="1"/>
        <v>8</v>
      </c>
      <c r="J6" s="53">
        <v>350.0</v>
      </c>
      <c r="K6" s="53">
        <f t="shared" si="2"/>
        <v>43.75</v>
      </c>
      <c r="L6" s="55">
        <v>3.0</v>
      </c>
      <c r="M6" s="53">
        <f t="shared" si="3"/>
        <v>1050</v>
      </c>
      <c r="N6" s="53">
        <f t="shared" si="4"/>
        <v>131.25</v>
      </c>
      <c r="P6" s="53">
        <f t="shared" si="5"/>
        <v>1050</v>
      </c>
      <c r="Q6" s="53">
        <f t="shared" si="6"/>
        <v>302400</v>
      </c>
      <c r="R6" s="53">
        <f t="shared" si="7"/>
        <v>302.4</v>
      </c>
      <c r="S6" s="53">
        <v>15000.0</v>
      </c>
      <c r="T6" s="50">
        <f t="shared" si="8"/>
        <v>4536</v>
      </c>
      <c r="U6" s="1"/>
      <c r="V6" s="1"/>
      <c r="W6" s="1"/>
      <c r="X6" s="1"/>
      <c r="Y6" s="1"/>
      <c r="Z6" s="1"/>
    </row>
    <row r="7" ht="21.75" customHeight="1">
      <c r="A7" s="1"/>
      <c r="B7" s="56" t="s">
        <v>10</v>
      </c>
      <c r="C7" s="56"/>
      <c r="D7" s="57">
        <f>AVERAGE(D4:D6)</f>
        <v>1</v>
      </c>
      <c r="E7" s="57"/>
      <c r="G7" s="58">
        <f t="shared" ref="G7:H7" si="9">SUM(G4:G6)</f>
        <v>23</v>
      </c>
      <c r="H7" s="58">
        <f t="shared" si="9"/>
        <v>23</v>
      </c>
      <c r="J7" s="58">
        <f t="shared" ref="J7:K7" si="10">SUM(J4:J6)</f>
        <v>1750</v>
      </c>
      <c r="K7" s="58">
        <f t="shared" si="10"/>
        <v>218.75</v>
      </c>
      <c r="L7" s="57">
        <f>AVERAGE(L4:L6)</f>
        <v>2.8</v>
      </c>
      <c r="M7" s="58">
        <f t="shared" ref="M7:N7" si="11">SUM(M4:M6)</f>
        <v>4830</v>
      </c>
      <c r="N7" s="58">
        <f t="shared" si="11"/>
        <v>603.75</v>
      </c>
      <c r="P7" s="58">
        <f t="shared" ref="P7:T7" si="12">SUM(P4:P6)</f>
        <v>4830</v>
      </c>
      <c r="Q7" s="58">
        <f t="shared" si="12"/>
        <v>1391040</v>
      </c>
      <c r="R7" s="58">
        <f t="shared" si="12"/>
        <v>1391.04</v>
      </c>
      <c r="S7" s="58">
        <f t="shared" si="12"/>
        <v>35000</v>
      </c>
      <c r="T7" s="50">
        <f t="shared" si="12"/>
        <v>15422.4</v>
      </c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27"/>
      <c r="E8" s="27"/>
      <c r="G8" s="1"/>
      <c r="H8" s="1"/>
      <c r="J8" s="1"/>
      <c r="K8" s="59"/>
      <c r="L8" s="1"/>
      <c r="M8" s="1"/>
      <c r="N8" s="59"/>
      <c r="P8" s="27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60" t="s">
        <v>65</v>
      </c>
      <c r="C9" s="1"/>
      <c r="D9" s="1"/>
      <c r="E9" s="1"/>
      <c r="G9" s="1"/>
      <c r="H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61" t="s">
        <v>66</v>
      </c>
      <c r="C10" s="1"/>
      <c r="D10" s="1"/>
      <c r="E10" s="1"/>
      <c r="G10" s="1"/>
      <c r="H10" s="1"/>
      <c r="J10" s="1"/>
      <c r="K10" s="27"/>
      <c r="L10" s="1"/>
      <c r="M10" s="1"/>
      <c r="N10" s="2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G11" s="1"/>
      <c r="H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G12" s="1"/>
      <c r="H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G13" s="1"/>
      <c r="H13" s="1"/>
      <c r="J13" s="1"/>
      <c r="K13" s="1"/>
      <c r="L13" s="1"/>
      <c r="M13" s="1"/>
      <c r="N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G14" s="1"/>
      <c r="H14" s="1"/>
      <c r="J14" s="1"/>
      <c r="K14" s="1"/>
      <c r="L14" s="1"/>
      <c r="M14" s="1"/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62" t="s">
        <v>15</v>
      </c>
      <c r="C15" s="63" t="s">
        <v>43</v>
      </c>
      <c r="D15" s="63" t="s">
        <v>44</v>
      </c>
      <c r="E15" s="63" t="s">
        <v>45</v>
      </c>
      <c r="F15" s="64"/>
      <c r="G15" s="63" t="s">
        <v>47</v>
      </c>
      <c r="H15" s="63" t="s">
        <v>47</v>
      </c>
      <c r="I15" s="64"/>
      <c r="J15" s="63" t="s">
        <v>48</v>
      </c>
      <c r="K15" s="63" t="s">
        <v>49</v>
      </c>
      <c r="L15" s="63" t="s">
        <v>50</v>
      </c>
      <c r="M15" s="63" t="s">
        <v>51</v>
      </c>
      <c r="N15" s="63" t="s">
        <v>52</v>
      </c>
      <c r="O15" s="64"/>
      <c r="P15" s="63" t="s">
        <v>53</v>
      </c>
      <c r="Q15" s="63" t="s">
        <v>54</v>
      </c>
      <c r="R15" s="63" t="s">
        <v>55</v>
      </c>
      <c r="S15" s="63" t="s">
        <v>56</v>
      </c>
      <c r="T15" s="63" t="s">
        <v>57</v>
      </c>
      <c r="U15" s="65"/>
      <c r="V15" s="66" t="s">
        <v>67</v>
      </c>
      <c r="W15" s="1"/>
      <c r="X15" s="6" t="s">
        <v>68</v>
      </c>
      <c r="Y15" s="1"/>
      <c r="Z15" s="1"/>
    </row>
    <row r="16" ht="22.5" customHeight="1">
      <c r="A16" s="1"/>
      <c r="B16" s="44" t="s">
        <v>69</v>
      </c>
      <c r="C16" s="45" t="s">
        <v>59</v>
      </c>
      <c r="D16" s="67">
        <v>1.0</v>
      </c>
      <c r="E16" s="68"/>
      <c r="F16" s="64"/>
      <c r="G16" s="69"/>
      <c r="H16" s="69"/>
      <c r="I16" s="70"/>
      <c r="J16" s="71"/>
      <c r="K16" s="71"/>
      <c r="L16" s="71"/>
      <c r="M16" s="71"/>
      <c r="N16" s="71"/>
      <c r="O16" s="64"/>
      <c r="P16" s="72">
        <f t="shared" ref="P16:P22" si="13">Q16/(12*20)</f>
        <v>266.6666667</v>
      </c>
      <c r="Q16" s="73">
        <f t="shared" ref="Q16:Q22" si="14">V16*$X$16</f>
        <v>64000</v>
      </c>
      <c r="R16" s="74">
        <f t="shared" ref="R16:R22" si="15">Q16/1000</f>
        <v>64</v>
      </c>
      <c r="S16" s="75">
        <v>13700.0</v>
      </c>
      <c r="T16" s="76">
        <f t="shared" ref="T16:T22" si="16">Q16*S16/1000000</f>
        <v>876.8</v>
      </c>
      <c r="U16" s="65"/>
      <c r="V16" s="77">
        <v>80000.0</v>
      </c>
      <c r="W16" s="1"/>
      <c r="X16" s="6">
        <v>0.8</v>
      </c>
      <c r="Y16" s="1"/>
      <c r="Z16" s="1"/>
    </row>
    <row r="17" ht="22.5" customHeight="1">
      <c r="A17" s="1"/>
      <c r="B17" s="44" t="s">
        <v>70</v>
      </c>
      <c r="C17" s="45" t="s">
        <v>59</v>
      </c>
      <c r="D17" s="67">
        <v>1.0</v>
      </c>
      <c r="E17" s="68"/>
      <c r="F17" s="64"/>
      <c r="G17" s="78"/>
      <c r="H17" s="69"/>
      <c r="I17" s="64"/>
      <c r="J17" s="79"/>
      <c r="K17" s="71"/>
      <c r="L17" s="71"/>
      <c r="M17" s="71"/>
      <c r="N17" s="71"/>
      <c r="O17" s="64"/>
      <c r="P17" s="80">
        <f t="shared" si="13"/>
        <v>154.1666667</v>
      </c>
      <c r="Q17" s="73">
        <f t="shared" si="14"/>
        <v>37000</v>
      </c>
      <c r="R17" s="74">
        <f t="shared" si="15"/>
        <v>37</v>
      </c>
      <c r="S17" s="75">
        <v>10500.0</v>
      </c>
      <c r="T17" s="76">
        <f t="shared" si="16"/>
        <v>388.5</v>
      </c>
      <c r="U17" s="65"/>
      <c r="V17" s="77">
        <v>46250.0</v>
      </c>
      <c r="W17" s="1"/>
      <c r="X17" s="1"/>
      <c r="Y17" s="1"/>
      <c r="Z17" s="1"/>
    </row>
    <row r="18" ht="22.5" customHeight="1">
      <c r="A18" s="1"/>
      <c r="B18" s="81" t="s">
        <v>71</v>
      </c>
      <c r="C18" s="45" t="s">
        <v>59</v>
      </c>
      <c r="D18" s="67">
        <v>1.0</v>
      </c>
      <c r="E18" s="71"/>
      <c r="F18" s="82"/>
      <c r="G18" s="83"/>
      <c r="H18" s="69"/>
      <c r="I18" s="82"/>
      <c r="J18" s="84"/>
      <c r="K18" s="71"/>
      <c r="L18" s="71"/>
      <c r="M18" s="71"/>
      <c r="N18" s="71"/>
      <c r="O18" s="82"/>
      <c r="P18" s="85">
        <f t="shared" si="13"/>
        <v>433.3333333</v>
      </c>
      <c r="Q18" s="73">
        <f t="shared" si="14"/>
        <v>104000</v>
      </c>
      <c r="R18" s="74">
        <f t="shared" si="15"/>
        <v>104</v>
      </c>
      <c r="S18" s="75">
        <v>11000.0</v>
      </c>
      <c r="T18" s="76">
        <f t="shared" si="16"/>
        <v>1144</v>
      </c>
      <c r="U18" s="65"/>
      <c r="V18" s="77">
        <v>130000.0</v>
      </c>
      <c r="W18" s="1"/>
      <c r="X18" s="1"/>
      <c r="Y18" s="1"/>
      <c r="Z18" s="1"/>
    </row>
    <row r="19" ht="22.5" customHeight="1">
      <c r="A19" s="1"/>
      <c r="B19" s="44" t="s">
        <v>72</v>
      </c>
      <c r="C19" s="45" t="s">
        <v>59</v>
      </c>
      <c r="D19" s="67">
        <v>1.0</v>
      </c>
      <c r="E19" s="71"/>
      <c r="F19" s="82"/>
      <c r="G19" s="83"/>
      <c r="H19" s="69"/>
      <c r="I19" s="82"/>
      <c r="J19" s="84"/>
      <c r="K19" s="71"/>
      <c r="L19" s="71"/>
      <c r="M19" s="71"/>
      <c r="N19" s="71"/>
      <c r="O19" s="82"/>
      <c r="P19" s="85">
        <f t="shared" si="13"/>
        <v>173.3333333</v>
      </c>
      <c r="Q19" s="73">
        <f t="shared" si="14"/>
        <v>41600</v>
      </c>
      <c r="R19" s="74">
        <f t="shared" si="15"/>
        <v>41.6</v>
      </c>
      <c r="S19" s="75">
        <v>11500.0</v>
      </c>
      <c r="T19" s="76">
        <f t="shared" si="16"/>
        <v>478.4</v>
      </c>
      <c r="U19" s="65"/>
      <c r="V19" s="77">
        <v>52000.0</v>
      </c>
      <c r="W19" s="1"/>
      <c r="X19" s="1"/>
      <c r="Y19" s="1"/>
      <c r="Z19" s="1"/>
    </row>
    <row r="20" ht="22.5" customHeight="1">
      <c r="A20" s="1"/>
      <c r="B20" s="44" t="s">
        <v>61</v>
      </c>
      <c r="C20" s="45" t="s">
        <v>59</v>
      </c>
      <c r="D20" s="67">
        <v>1.0</v>
      </c>
      <c r="E20" s="71"/>
      <c r="F20" s="82"/>
      <c r="G20" s="83"/>
      <c r="H20" s="69"/>
      <c r="I20" s="82"/>
      <c r="J20" s="84"/>
      <c r="K20" s="71"/>
      <c r="L20" s="71"/>
      <c r="M20" s="71"/>
      <c r="N20" s="71"/>
      <c r="O20" s="82"/>
      <c r="P20" s="85">
        <f t="shared" si="13"/>
        <v>293.3333333</v>
      </c>
      <c r="Q20" s="73">
        <f t="shared" si="14"/>
        <v>70400</v>
      </c>
      <c r="R20" s="74">
        <f t="shared" si="15"/>
        <v>70.4</v>
      </c>
      <c r="S20" s="75">
        <v>10000.0</v>
      </c>
      <c r="T20" s="76">
        <f t="shared" si="16"/>
        <v>704</v>
      </c>
      <c r="U20" s="65"/>
      <c r="V20" s="77">
        <v>88000.0</v>
      </c>
      <c r="W20" s="1"/>
      <c r="X20" s="1"/>
      <c r="Y20" s="1"/>
      <c r="Z20" s="1"/>
    </row>
    <row r="21" ht="22.5" customHeight="1">
      <c r="A21" s="1"/>
      <c r="B21" s="86" t="s">
        <v>73</v>
      </c>
      <c r="C21" s="87" t="s">
        <v>64</v>
      </c>
      <c r="D21" s="88">
        <v>1.0</v>
      </c>
      <c r="E21" s="89"/>
      <c r="F21" s="90"/>
      <c r="G21" s="91"/>
      <c r="H21" s="91"/>
      <c r="I21" s="90"/>
      <c r="J21" s="92"/>
      <c r="K21" s="92"/>
      <c r="L21" s="92"/>
      <c r="M21" s="92"/>
      <c r="N21" s="92"/>
      <c r="O21" s="90"/>
      <c r="P21" s="93">
        <f t="shared" si="13"/>
        <v>416.6666667</v>
      </c>
      <c r="Q21" s="94">
        <f t="shared" si="14"/>
        <v>100000</v>
      </c>
      <c r="R21" s="95">
        <f t="shared" si="15"/>
        <v>100</v>
      </c>
      <c r="S21" s="96">
        <v>12700.0</v>
      </c>
      <c r="T21" s="76">
        <f t="shared" si="16"/>
        <v>1270</v>
      </c>
      <c r="U21" s="65"/>
      <c r="V21" s="77">
        <v>125000.0</v>
      </c>
      <c r="W21" s="1"/>
      <c r="X21" s="1"/>
      <c r="Y21" s="1"/>
      <c r="Z21" s="1"/>
    </row>
    <row r="22" ht="22.5" customHeight="1">
      <c r="A22" s="1"/>
      <c r="B22" s="86" t="s">
        <v>63</v>
      </c>
      <c r="C22" s="87" t="s">
        <v>64</v>
      </c>
      <c r="D22" s="88">
        <v>1.0</v>
      </c>
      <c r="E22" s="89"/>
      <c r="F22" s="90"/>
      <c r="G22" s="91"/>
      <c r="H22" s="91"/>
      <c r="I22" s="90"/>
      <c r="J22" s="92"/>
      <c r="K22" s="92"/>
      <c r="L22" s="92"/>
      <c r="M22" s="92"/>
      <c r="N22" s="92"/>
      <c r="O22" s="90"/>
      <c r="P22" s="93">
        <f t="shared" si="13"/>
        <v>393.3333333</v>
      </c>
      <c r="Q22" s="94">
        <f t="shared" si="14"/>
        <v>94400</v>
      </c>
      <c r="R22" s="95">
        <f t="shared" si="15"/>
        <v>94.4</v>
      </c>
      <c r="S22" s="96">
        <v>12000.0</v>
      </c>
      <c r="T22" s="76">
        <f t="shared" si="16"/>
        <v>1132.8</v>
      </c>
      <c r="U22" s="65"/>
      <c r="V22" s="77">
        <v>118000.0</v>
      </c>
      <c r="W22" s="1"/>
      <c r="X22" s="1"/>
      <c r="Y22" s="1"/>
      <c r="Z22" s="1"/>
    </row>
    <row r="23" ht="22.5" customHeight="1">
      <c r="A23" s="1"/>
      <c r="B23" s="97" t="s">
        <v>10</v>
      </c>
      <c r="C23" s="98"/>
      <c r="D23" s="99">
        <v>0.0</v>
      </c>
      <c r="E23" s="98"/>
      <c r="F23" s="64"/>
      <c r="G23" s="99">
        <f t="shared" ref="G23:H23" si="17">SUM(G16:G22)</f>
        <v>0</v>
      </c>
      <c r="H23" s="99">
        <f t="shared" si="17"/>
        <v>0</v>
      </c>
      <c r="I23" s="64"/>
      <c r="J23" s="99">
        <v>0.0</v>
      </c>
      <c r="K23" s="99">
        <f>SUM(K16:K22)</f>
        <v>0</v>
      </c>
      <c r="L23" s="99">
        <v>0.0</v>
      </c>
      <c r="M23" s="99">
        <f>SUM(M16:M22)</f>
        <v>0</v>
      </c>
      <c r="N23" s="99">
        <v>0.0</v>
      </c>
      <c r="O23" s="64"/>
      <c r="P23" s="100">
        <f>SUM(P16:P22)</f>
        <v>2130.833333</v>
      </c>
      <c r="Q23" s="101">
        <v>511400.0</v>
      </c>
      <c r="R23" s="99">
        <f>SUM(R16:R22)</f>
        <v>511.4</v>
      </c>
      <c r="S23" s="101">
        <v>81400.0</v>
      </c>
      <c r="T23" s="76">
        <f>SUM(T16:T22)</f>
        <v>5994.5</v>
      </c>
      <c r="U23" s="65"/>
      <c r="V23" s="65"/>
      <c r="W23" s="1"/>
      <c r="X23" s="1"/>
      <c r="Y23" s="1"/>
      <c r="Z23" s="1"/>
    </row>
    <row r="24" ht="16.5" customHeight="1">
      <c r="A24" s="1"/>
      <c r="B24" s="102"/>
      <c r="C24" s="102"/>
      <c r="D24" s="102"/>
      <c r="E24" s="102"/>
      <c r="F24" s="103"/>
      <c r="G24" s="102"/>
      <c r="H24" s="102"/>
      <c r="I24" s="103"/>
      <c r="J24" s="102"/>
      <c r="K24" s="102"/>
      <c r="L24" s="102"/>
      <c r="M24" s="102"/>
      <c r="N24" s="102"/>
      <c r="O24" s="103"/>
      <c r="P24" s="102"/>
      <c r="Q24" s="102"/>
      <c r="R24" s="102"/>
      <c r="S24" s="102"/>
      <c r="T24" s="102"/>
      <c r="U24" s="102"/>
      <c r="V24" s="102"/>
      <c r="W24" s="1"/>
      <c r="X24" s="1"/>
      <c r="Y24" s="1"/>
      <c r="Z24" s="1"/>
    </row>
    <row r="25" ht="16.5" customHeight="1">
      <c r="A25" s="1"/>
      <c r="B25" s="102"/>
      <c r="C25" s="102"/>
      <c r="D25" s="102"/>
      <c r="E25" s="102"/>
      <c r="F25" s="103"/>
      <c r="G25" s="102"/>
      <c r="H25" s="102"/>
      <c r="I25" s="103"/>
      <c r="J25" s="102"/>
      <c r="K25" s="102"/>
      <c r="L25" s="102"/>
      <c r="M25" s="102"/>
      <c r="N25" s="102"/>
      <c r="O25" s="103"/>
      <c r="P25" s="102"/>
      <c r="Q25" s="102"/>
      <c r="R25" s="102"/>
      <c r="S25" s="102"/>
      <c r="T25" s="102"/>
      <c r="U25" s="102"/>
      <c r="V25" s="102"/>
      <c r="W25" s="1"/>
      <c r="X25" s="1"/>
      <c r="Y25" s="1"/>
      <c r="Z25" s="1"/>
    </row>
    <row r="26" ht="16.5" customHeight="1">
      <c r="A26" s="1"/>
      <c r="B26" s="102"/>
      <c r="C26" s="102"/>
      <c r="D26" s="102"/>
      <c r="E26" s="102"/>
      <c r="F26" s="103"/>
      <c r="G26" s="102"/>
      <c r="H26" s="102"/>
      <c r="I26" s="103"/>
      <c r="J26" s="102"/>
      <c r="K26" s="102"/>
      <c r="L26" s="102"/>
      <c r="M26" s="102"/>
      <c r="N26" s="102"/>
      <c r="O26" s="103"/>
      <c r="P26" s="102"/>
      <c r="Q26" s="102"/>
      <c r="R26" s="104" t="s">
        <v>65</v>
      </c>
      <c r="S26" s="104" t="s">
        <v>74</v>
      </c>
      <c r="T26" s="105">
        <v>317000.0</v>
      </c>
      <c r="U26" s="104" t="s">
        <v>19</v>
      </c>
      <c r="V26" s="104" t="s">
        <v>66</v>
      </c>
      <c r="W26" s="1"/>
      <c r="X26" s="1"/>
      <c r="Y26" s="1"/>
      <c r="Z26" s="1"/>
    </row>
    <row r="27" ht="16.5" customHeight="1">
      <c r="A27" s="1"/>
      <c r="B27" s="102"/>
      <c r="C27" s="102"/>
      <c r="D27" s="102"/>
      <c r="E27" s="102"/>
      <c r="F27" s="103"/>
      <c r="G27" s="102"/>
      <c r="H27" s="102"/>
      <c r="I27" s="103"/>
      <c r="J27" s="102"/>
      <c r="K27" s="102"/>
      <c r="L27" s="102"/>
      <c r="M27" s="102"/>
      <c r="N27" s="102"/>
      <c r="O27" s="103"/>
      <c r="P27" s="102"/>
      <c r="Q27" s="102"/>
      <c r="R27" s="102"/>
      <c r="S27" s="104" t="s">
        <v>75</v>
      </c>
      <c r="T27" s="106">
        <v>26416.66667</v>
      </c>
      <c r="U27" s="104" t="s">
        <v>19</v>
      </c>
      <c r="V27" s="102"/>
      <c r="W27" s="1"/>
      <c r="X27" s="1"/>
      <c r="Y27" s="1"/>
      <c r="Z27" s="1"/>
    </row>
    <row r="28" ht="16.5" customHeight="1">
      <c r="A28" s="1"/>
      <c r="B28" s="102"/>
      <c r="C28" s="102"/>
      <c r="D28" s="102"/>
      <c r="E28" s="102"/>
      <c r="F28" s="103"/>
      <c r="G28" s="102"/>
      <c r="H28" s="102"/>
      <c r="I28" s="103"/>
      <c r="J28" s="102"/>
      <c r="K28" s="102"/>
      <c r="L28" s="102"/>
      <c r="M28" s="102"/>
      <c r="N28" s="102"/>
      <c r="O28" s="103"/>
      <c r="P28" s="102"/>
      <c r="Q28" s="102"/>
      <c r="R28" s="102"/>
      <c r="S28" s="104" t="s">
        <v>76</v>
      </c>
      <c r="T28" s="106">
        <v>1320.833333</v>
      </c>
      <c r="U28" s="104" t="s">
        <v>19</v>
      </c>
      <c r="V28" s="102"/>
      <c r="W28" s="1"/>
      <c r="X28" s="1"/>
      <c r="Y28" s="1"/>
      <c r="Z28" s="1"/>
    </row>
    <row r="29" ht="16.5" customHeight="1">
      <c r="A29" s="1"/>
      <c r="B29" s="102"/>
      <c r="C29" s="102"/>
      <c r="D29" s="102"/>
      <c r="E29" s="102"/>
      <c r="F29" s="103"/>
      <c r="G29" s="102"/>
      <c r="H29" s="102"/>
      <c r="I29" s="103"/>
      <c r="J29" s="102"/>
      <c r="K29" s="102"/>
      <c r="L29" s="102"/>
      <c r="M29" s="102"/>
      <c r="N29" s="102"/>
      <c r="O29" s="103"/>
      <c r="P29" s="102"/>
      <c r="Q29" s="102"/>
      <c r="R29" s="102"/>
      <c r="S29" s="104" t="s">
        <v>77</v>
      </c>
      <c r="T29" s="106">
        <v>82.55208333</v>
      </c>
      <c r="U29" s="104" t="s">
        <v>19</v>
      </c>
      <c r="V29" s="102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G30" s="1"/>
      <c r="H30" s="1"/>
      <c r="J30" s="1"/>
      <c r="K30" s="1"/>
      <c r="L30" s="1"/>
      <c r="M30" s="1"/>
      <c r="N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G31" s="1"/>
      <c r="H31" s="1"/>
      <c r="J31" s="1"/>
      <c r="K31" s="1"/>
      <c r="L31" s="1"/>
      <c r="M31" s="1"/>
      <c r="N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G32" s="1"/>
      <c r="H32" s="1"/>
      <c r="J32" s="1"/>
      <c r="K32" s="1"/>
      <c r="L32" s="1"/>
      <c r="M32" s="1"/>
      <c r="N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G33" s="1"/>
      <c r="H33" s="1"/>
      <c r="J33" s="1"/>
      <c r="K33" s="1"/>
      <c r="L33" s="1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G34" s="1"/>
      <c r="H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G35" s="1"/>
      <c r="H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G36" s="1"/>
      <c r="H36" s="1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G37" s="1"/>
      <c r="H37" s="1"/>
      <c r="J37" s="1"/>
      <c r="K37" s="1"/>
      <c r="L37" s="1"/>
      <c r="M37" s="1"/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G38" s="1"/>
      <c r="H38" s="1"/>
      <c r="J38" s="1"/>
      <c r="K38" s="1"/>
      <c r="L38" s="1"/>
      <c r="M38" s="1"/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G39" s="1"/>
      <c r="H39" s="1"/>
      <c r="J39" s="1"/>
      <c r="K39" s="1"/>
      <c r="L39" s="1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G40" s="1"/>
      <c r="H40" s="1"/>
      <c r="J40" s="1"/>
      <c r="K40" s="1"/>
      <c r="L40" s="1"/>
      <c r="M40" s="1"/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G41" s="1"/>
      <c r="H41" s="1"/>
      <c r="J41" s="1"/>
      <c r="K41" s="1"/>
      <c r="L41" s="1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G42" s="1"/>
      <c r="H42" s="1"/>
      <c r="J42" s="1"/>
      <c r="K42" s="1"/>
      <c r="L42" s="1"/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G43" s="1"/>
      <c r="H43" s="1"/>
      <c r="J43" s="1"/>
      <c r="K43" s="1"/>
      <c r="L43" s="1"/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G44" s="1"/>
      <c r="H44" s="1"/>
      <c r="J44" s="1"/>
      <c r="K44" s="1"/>
      <c r="L44" s="1"/>
      <c r="M44" s="1"/>
      <c r="N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G45" s="1"/>
      <c r="H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G46" s="1"/>
      <c r="H46" s="1"/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G47" s="1"/>
      <c r="H47" s="1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G48" s="1"/>
      <c r="H48" s="1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G49" s="1"/>
      <c r="H49" s="1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G50" s="1"/>
      <c r="H50" s="1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G51" s="1"/>
      <c r="H51" s="1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G52" s="1"/>
      <c r="H52" s="1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G53" s="1"/>
      <c r="H53" s="1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G54" s="1"/>
      <c r="H54" s="1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G55" s="1"/>
      <c r="H55" s="1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G56" s="1"/>
      <c r="H56" s="1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G57" s="1"/>
      <c r="H57" s="1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G58" s="1"/>
      <c r="H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G59" s="1"/>
      <c r="H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G60" s="1"/>
      <c r="H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G61" s="1"/>
      <c r="H61" s="1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G62" s="1"/>
      <c r="H62" s="1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G63" s="1"/>
      <c r="H63" s="1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G64" s="1"/>
      <c r="H64" s="1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G65" s="1"/>
      <c r="H65" s="1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G66" s="1"/>
      <c r="H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G67" s="1"/>
      <c r="H67" s="1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G68" s="1"/>
      <c r="H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G69" s="1"/>
      <c r="H69" s="1"/>
      <c r="J69" s="1"/>
      <c r="K69" s="1"/>
      <c r="L69" s="1"/>
      <c r="M69" s="1"/>
      <c r="N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G70" s="1"/>
      <c r="H70" s="1"/>
      <c r="J70" s="1"/>
      <c r="K70" s="1"/>
      <c r="L70" s="1"/>
      <c r="M70" s="1"/>
      <c r="N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G71" s="1"/>
      <c r="H71" s="1"/>
      <c r="J71" s="1"/>
      <c r="K71" s="1"/>
      <c r="L71" s="1"/>
      <c r="M71" s="1"/>
      <c r="N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G72" s="1"/>
      <c r="H72" s="1"/>
      <c r="J72" s="1"/>
      <c r="K72" s="1"/>
      <c r="L72" s="1"/>
      <c r="M72" s="1"/>
      <c r="N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G73" s="1"/>
      <c r="H73" s="1"/>
      <c r="J73" s="1"/>
      <c r="K73" s="1"/>
      <c r="L73" s="1"/>
      <c r="M73" s="1"/>
      <c r="N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G74" s="1"/>
      <c r="H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G75" s="1"/>
      <c r="H75" s="1"/>
      <c r="J75" s="1"/>
      <c r="K75" s="1"/>
      <c r="L75" s="1"/>
      <c r="M75" s="1"/>
      <c r="N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G76" s="1"/>
      <c r="H76" s="1"/>
      <c r="J76" s="1"/>
      <c r="K76" s="1"/>
      <c r="L76" s="1"/>
      <c r="M76" s="1"/>
      <c r="N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G77" s="1"/>
      <c r="H77" s="1"/>
      <c r="J77" s="1"/>
      <c r="K77" s="1"/>
      <c r="L77" s="1"/>
      <c r="M77" s="1"/>
      <c r="N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G78" s="1"/>
      <c r="H78" s="1"/>
      <c r="J78" s="1"/>
      <c r="K78" s="1"/>
      <c r="L78" s="1"/>
      <c r="M78" s="1"/>
      <c r="N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G79" s="1"/>
      <c r="H79" s="1"/>
      <c r="J79" s="1"/>
      <c r="K79" s="1"/>
      <c r="L79" s="1"/>
      <c r="M79" s="1"/>
      <c r="N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G80" s="1"/>
      <c r="H80" s="1"/>
      <c r="J80" s="1"/>
      <c r="K80" s="1"/>
      <c r="L80" s="1"/>
      <c r="M80" s="1"/>
      <c r="N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G81" s="1"/>
      <c r="H81" s="1"/>
      <c r="J81" s="1"/>
      <c r="K81" s="1"/>
      <c r="L81" s="1"/>
      <c r="M81" s="1"/>
      <c r="N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G82" s="1"/>
      <c r="H82" s="1"/>
      <c r="J82" s="1"/>
      <c r="K82" s="1"/>
      <c r="L82" s="1"/>
      <c r="M82" s="1"/>
      <c r="N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G83" s="1"/>
      <c r="H83" s="1"/>
      <c r="J83" s="1"/>
      <c r="K83" s="1"/>
      <c r="L83" s="1"/>
      <c r="M83" s="1"/>
      <c r="N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G84" s="1"/>
      <c r="H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G85" s="1"/>
      <c r="H85" s="1"/>
      <c r="J85" s="1"/>
      <c r="K85" s="1"/>
      <c r="L85" s="1"/>
      <c r="M85" s="1"/>
      <c r="N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G86" s="1"/>
      <c r="H86" s="1"/>
      <c r="J86" s="1"/>
      <c r="K86" s="1"/>
      <c r="L86" s="1"/>
      <c r="M86" s="1"/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G87" s="1"/>
      <c r="H87" s="1"/>
      <c r="J87" s="1"/>
      <c r="K87" s="1"/>
      <c r="L87" s="1"/>
      <c r="M87" s="1"/>
      <c r="N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G88" s="1"/>
      <c r="H88" s="1"/>
      <c r="J88" s="1"/>
      <c r="K88" s="1"/>
      <c r="L88" s="1"/>
      <c r="M88" s="1"/>
      <c r="N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G89" s="1"/>
      <c r="H89" s="1"/>
      <c r="J89" s="1"/>
      <c r="K89" s="1"/>
      <c r="L89" s="1"/>
      <c r="M89" s="1"/>
      <c r="N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G90" s="1"/>
      <c r="H90" s="1"/>
      <c r="J90" s="1"/>
      <c r="K90" s="1"/>
      <c r="L90" s="1"/>
      <c r="M90" s="1"/>
      <c r="N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G91" s="1"/>
      <c r="H91" s="1"/>
      <c r="J91" s="1"/>
      <c r="K91" s="1"/>
      <c r="L91" s="1"/>
      <c r="M91" s="1"/>
      <c r="N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G92" s="1"/>
      <c r="H92" s="1"/>
      <c r="J92" s="1"/>
      <c r="K92" s="1"/>
      <c r="L92" s="1"/>
      <c r="M92" s="1"/>
      <c r="N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G93" s="1"/>
      <c r="H93" s="1"/>
      <c r="J93" s="1"/>
      <c r="K93" s="1"/>
      <c r="L93" s="1"/>
      <c r="M93" s="1"/>
      <c r="N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G94" s="1"/>
      <c r="H94" s="1"/>
      <c r="J94" s="1"/>
      <c r="K94" s="1"/>
      <c r="L94" s="1"/>
      <c r="M94" s="1"/>
      <c r="N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G95" s="1"/>
      <c r="H95" s="1"/>
      <c r="J95" s="1"/>
      <c r="K95" s="1"/>
      <c r="L95" s="1"/>
      <c r="M95" s="1"/>
      <c r="N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G96" s="1"/>
      <c r="H96" s="1"/>
      <c r="J96" s="1"/>
      <c r="K96" s="1"/>
      <c r="L96" s="1"/>
      <c r="M96" s="1"/>
      <c r="N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G97" s="1"/>
      <c r="H97" s="1"/>
      <c r="J97" s="1"/>
      <c r="K97" s="1"/>
      <c r="L97" s="1"/>
      <c r="M97" s="1"/>
      <c r="N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G98" s="1"/>
      <c r="H98" s="1"/>
      <c r="J98" s="1"/>
      <c r="K98" s="1"/>
      <c r="L98" s="1"/>
      <c r="M98" s="1"/>
      <c r="N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G99" s="1"/>
      <c r="H99" s="1"/>
      <c r="J99" s="1"/>
      <c r="K99" s="1"/>
      <c r="L99" s="1"/>
      <c r="M99" s="1"/>
      <c r="N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G100" s="1"/>
      <c r="H100" s="1"/>
      <c r="J100" s="1"/>
      <c r="K100" s="1"/>
      <c r="L100" s="1"/>
      <c r="M100" s="1"/>
      <c r="N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G101" s="1"/>
      <c r="H101" s="1"/>
      <c r="J101" s="1"/>
      <c r="K101" s="1"/>
      <c r="L101" s="1"/>
      <c r="M101" s="1"/>
      <c r="N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G102" s="1"/>
      <c r="H102" s="1"/>
      <c r="J102" s="1"/>
      <c r="K102" s="1"/>
      <c r="L102" s="1"/>
      <c r="M102" s="1"/>
      <c r="N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G103" s="1"/>
      <c r="H103" s="1"/>
      <c r="J103" s="1"/>
      <c r="K103" s="1"/>
      <c r="L103" s="1"/>
      <c r="M103" s="1"/>
      <c r="N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G104" s="1"/>
      <c r="H104" s="1"/>
      <c r="J104" s="1"/>
      <c r="K104" s="1"/>
      <c r="L104" s="1"/>
      <c r="M104" s="1"/>
      <c r="N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G105" s="1"/>
      <c r="H105" s="1"/>
      <c r="J105" s="1"/>
      <c r="K105" s="1"/>
      <c r="L105" s="1"/>
      <c r="M105" s="1"/>
      <c r="N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G106" s="1"/>
      <c r="H106" s="1"/>
      <c r="J106" s="1"/>
      <c r="K106" s="1"/>
      <c r="L106" s="1"/>
      <c r="M106" s="1"/>
      <c r="N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G107" s="1"/>
      <c r="H107" s="1"/>
      <c r="J107" s="1"/>
      <c r="K107" s="1"/>
      <c r="L107" s="1"/>
      <c r="M107" s="1"/>
      <c r="N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G108" s="1"/>
      <c r="H108" s="1"/>
      <c r="J108" s="1"/>
      <c r="K108" s="1"/>
      <c r="L108" s="1"/>
      <c r="M108" s="1"/>
      <c r="N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G109" s="1"/>
      <c r="H109" s="1"/>
      <c r="J109" s="1"/>
      <c r="K109" s="1"/>
      <c r="L109" s="1"/>
      <c r="M109" s="1"/>
      <c r="N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G110" s="1"/>
      <c r="H110" s="1"/>
      <c r="J110" s="1"/>
      <c r="K110" s="1"/>
      <c r="L110" s="1"/>
      <c r="M110" s="1"/>
      <c r="N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G112" s="1"/>
      <c r="H112" s="1"/>
      <c r="J112" s="1"/>
      <c r="K112" s="1"/>
      <c r="L112" s="1"/>
      <c r="M112" s="1"/>
      <c r="N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G113" s="1"/>
      <c r="H113" s="1"/>
      <c r="J113" s="1"/>
      <c r="K113" s="1"/>
      <c r="L113" s="1"/>
      <c r="M113" s="1"/>
      <c r="N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G114" s="1"/>
      <c r="H114" s="1"/>
      <c r="J114" s="1"/>
      <c r="K114" s="1"/>
      <c r="L114" s="1"/>
      <c r="M114" s="1"/>
      <c r="N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G115" s="1"/>
      <c r="H115" s="1"/>
      <c r="J115" s="1"/>
      <c r="K115" s="1"/>
      <c r="L115" s="1"/>
      <c r="M115" s="1"/>
      <c r="N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G116" s="1"/>
      <c r="H116" s="1"/>
      <c r="J116" s="1"/>
      <c r="K116" s="1"/>
      <c r="L116" s="1"/>
      <c r="M116" s="1"/>
      <c r="N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G117" s="1"/>
      <c r="H117" s="1"/>
      <c r="J117" s="1"/>
      <c r="K117" s="1"/>
      <c r="L117" s="1"/>
      <c r="M117" s="1"/>
      <c r="N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G118" s="1"/>
      <c r="H118" s="1"/>
      <c r="J118" s="1"/>
      <c r="K118" s="1"/>
      <c r="L118" s="1"/>
      <c r="M118" s="1"/>
      <c r="N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G119" s="1"/>
      <c r="H119" s="1"/>
      <c r="J119" s="1"/>
      <c r="K119" s="1"/>
      <c r="L119" s="1"/>
      <c r="M119" s="1"/>
      <c r="N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G120" s="1"/>
      <c r="H120" s="1"/>
      <c r="J120" s="1"/>
      <c r="K120" s="1"/>
      <c r="L120" s="1"/>
      <c r="M120" s="1"/>
      <c r="N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G121" s="1"/>
      <c r="H121" s="1"/>
      <c r="J121" s="1"/>
      <c r="K121" s="1"/>
      <c r="L121" s="1"/>
      <c r="M121" s="1"/>
      <c r="N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G122" s="1"/>
      <c r="H122" s="1"/>
      <c r="J122" s="1"/>
      <c r="K122" s="1"/>
      <c r="L122" s="1"/>
      <c r="M122" s="1"/>
      <c r="N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G123" s="1"/>
      <c r="H123" s="1"/>
      <c r="J123" s="1"/>
      <c r="K123" s="1"/>
      <c r="L123" s="1"/>
      <c r="M123" s="1"/>
      <c r="N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G124" s="1"/>
      <c r="H124" s="1"/>
      <c r="J124" s="1"/>
      <c r="K124" s="1"/>
      <c r="L124" s="1"/>
      <c r="M124" s="1"/>
      <c r="N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G125" s="1"/>
      <c r="H125" s="1"/>
      <c r="J125" s="1"/>
      <c r="K125" s="1"/>
      <c r="L125" s="1"/>
      <c r="M125" s="1"/>
      <c r="N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G126" s="1"/>
      <c r="H126" s="1"/>
      <c r="J126" s="1"/>
      <c r="K126" s="1"/>
      <c r="L126" s="1"/>
      <c r="M126" s="1"/>
      <c r="N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G127" s="1"/>
      <c r="H127" s="1"/>
      <c r="J127" s="1"/>
      <c r="K127" s="1"/>
      <c r="L127" s="1"/>
      <c r="M127" s="1"/>
      <c r="N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G128" s="1"/>
      <c r="H128" s="1"/>
      <c r="J128" s="1"/>
      <c r="K128" s="1"/>
      <c r="L128" s="1"/>
      <c r="M128" s="1"/>
      <c r="N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G129" s="1"/>
      <c r="H129" s="1"/>
      <c r="J129" s="1"/>
      <c r="K129" s="1"/>
      <c r="L129" s="1"/>
      <c r="M129" s="1"/>
      <c r="N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G130" s="1"/>
      <c r="H130" s="1"/>
      <c r="J130" s="1"/>
      <c r="K130" s="1"/>
      <c r="L130" s="1"/>
      <c r="M130" s="1"/>
      <c r="N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G131" s="1"/>
      <c r="H131" s="1"/>
      <c r="J131" s="1"/>
      <c r="K131" s="1"/>
      <c r="L131" s="1"/>
      <c r="M131" s="1"/>
      <c r="N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G132" s="1"/>
      <c r="H132" s="1"/>
      <c r="J132" s="1"/>
      <c r="K132" s="1"/>
      <c r="L132" s="1"/>
      <c r="M132" s="1"/>
      <c r="N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G133" s="1"/>
      <c r="H133" s="1"/>
      <c r="J133" s="1"/>
      <c r="K133" s="1"/>
      <c r="L133" s="1"/>
      <c r="M133" s="1"/>
      <c r="N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G134" s="1"/>
      <c r="H134" s="1"/>
      <c r="J134" s="1"/>
      <c r="K134" s="1"/>
      <c r="L134" s="1"/>
      <c r="M134" s="1"/>
      <c r="N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G135" s="1"/>
      <c r="H135" s="1"/>
      <c r="J135" s="1"/>
      <c r="K135" s="1"/>
      <c r="L135" s="1"/>
      <c r="M135" s="1"/>
      <c r="N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G136" s="1"/>
      <c r="H136" s="1"/>
      <c r="J136" s="1"/>
      <c r="K136" s="1"/>
      <c r="L136" s="1"/>
      <c r="M136" s="1"/>
      <c r="N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G137" s="1"/>
      <c r="H137" s="1"/>
      <c r="J137" s="1"/>
      <c r="K137" s="1"/>
      <c r="L137" s="1"/>
      <c r="M137" s="1"/>
      <c r="N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G138" s="1"/>
      <c r="H138" s="1"/>
      <c r="J138" s="1"/>
      <c r="K138" s="1"/>
      <c r="L138" s="1"/>
      <c r="M138" s="1"/>
      <c r="N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G139" s="1"/>
      <c r="H139" s="1"/>
      <c r="J139" s="1"/>
      <c r="K139" s="1"/>
      <c r="L139" s="1"/>
      <c r="M139" s="1"/>
      <c r="N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G140" s="1"/>
      <c r="H140" s="1"/>
      <c r="J140" s="1"/>
      <c r="K140" s="1"/>
      <c r="L140" s="1"/>
      <c r="M140" s="1"/>
      <c r="N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G141" s="1"/>
      <c r="H141" s="1"/>
      <c r="J141" s="1"/>
      <c r="K141" s="1"/>
      <c r="L141" s="1"/>
      <c r="M141" s="1"/>
      <c r="N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G142" s="1"/>
      <c r="H142" s="1"/>
      <c r="J142" s="1"/>
      <c r="K142" s="1"/>
      <c r="L142" s="1"/>
      <c r="M142" s="1"/>
      <c r="N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G143" s="1"/>
      <c r="H143" s="1"/>
      <c r="J143" s="1"/>
      <c r="K143" s="1"/>
      <c r="L143" s="1"/>
      <c r="M143" s="1"/>
      <c r="N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G144" s="1"/>
      <c r="H144" s="1"/>
      <c r="J144" s="1"/>
      <c r="K144" s="1"/>
      <c r="L144" s="1"/>
      <c r="M144" s="1"/>
      <c r="N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G145" s="1"/>
      <c r="H145" s="1"/>
      <c r="J145" s="1"/>
      <c r="K145" s="1"/>
      <c r="L145" s="1"/>
      <c r="M145" s="1"/>
      <c r="N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G146" s="1"/>
      <c r="H146" s="1"/>
      <c r="J146" s="1"/>
      <c r="K146" s="1"/>
      <c r="L146" s="1"/>
      <c r="M146" s="1"/>
      <c r="N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G147" s="1"/>
      <c r="H147" s="1"/>
      <c r="J147" s="1"/>
      <c r="K147" s="1"/>
      <c r="L147" s="1"/>
      <c r="M147" s="1"/>
      <c r="N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G148" s="1"/>
      <c r="H148" s="1"/>
      <c r="J148" s="1"/>
      <c r="K148" s="1"/>
      <c r="L148" s="1"/>
      <c r="M148" s="1"/>
      <c r="N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G149" s="1"/>
      <c r="H149" s="1"/>
      <c r="J149" s="1"/>
      <c r="K149" s="1"/>
      <c r="L149" s="1"/>
      <c r="M149" s="1"/>
      <c r="N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G150" s="1"/>
      <c r="H150" s="1"/>
      <c r="J150" s="1"/>
      <c r="K150" s="1"/>
      <c r="L150" s="1"/>
      <c r="M150" s="1"/>
      <c r="N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G151" s="1"/>
      <c r="H151" s="1"/>
      <c r="J151" s="1"/>
      <c r="K151" s="1"/>
      <c r="L151" s="1"/>
      <c r="M151" s="1"/>
      <c r="N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G152" s="1"/>
      <c r="H152" s="1"/>
      <c r="J152" s="1"/>
      <c r="K152" s="1"/>
      <c r="L152" s="1"/>
      <c r="M152" s="1"/>
      <c r="N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G153" s="1"/>
      <c r="H153" s="1"/>
      <c r="J153" s="1"/>
      <c r="K153" s="1"/>
      <c r="L153" s="1"/>
      <c r="M153" s="1"/>
      <c r="N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G154" s="1"/>
      <c r="H154" s="1"/>
      <c r="J154" s="1"/>
      <c r="K154" s="1"/>
      <c r="L154" s="1"/>
      <c r="M154" s="1"/>
      <c r="N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G155" s="1"/>
      <c r="H155" s="1"/>
      <c r="J155" s="1"/>
      <c r="K155" s="1"/>
      <c r="L155" s="1"/>
      <c r="M155" s="1"/>
      <c r="N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G156" s="1"/>
      <c r="H156" s="1"/>
      <c r="J156" s="1"/>
      <c r="K156" s="1"/>
      <c r="L156" s="1"/>
      <c r="M156" s="1"/>
      <c r="N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G157" s="1"/>
      <c r="H157" s="1"/>
      <c r="J157" s="1"/>
      <c r="K157" s="1"/>
      <c r="L157" s="1"/>
      <c r="M157" s="1"/>
      <c r="N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G158" s="1"/>
      <c r="H158" s="1"/>
      <c r="J158" s="1"/>
      <c r="K158" s="1"/>
      <c r="L158" s="1"/>
      <c r="M158" s="1"/>
      <c r="N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G159" s="1"/>
      <c r="H159" s="1"/>
      <c r="J159" s="1"/>
      <c r="K159" s="1"/>
      <c r="L159" s="1"/>
      <c r="M159" s="1"/>
      <c r="N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G160" s="1"/>
      <c r="H160" s="1"/>
      <c r="J160" s="1"/>
      <c r="K160" s="1"/>
      <c r="L160" s="1"/>
      <c r="M160" s="1"/>
      <c r="N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G161" s="1"/>
      <c r="H161" s="1"/>
      <c r="J161" s="1"/>
      <c r="K161" s="1"/>
      <c r="L161" s="1"/>
      <c r="M161" s="1"/>
      <c r="N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G162" s="1"/>
      <c r="H162" s="1"/>
      <c r="J162" s="1"/>
      <c r="K162" s="1"/>
      <c r="L162" s="1"/>
      <c r="M162" s="1"/>
      <c r="N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G163" s="1"/>
      <c r="H163" s="1"/>
      <c r="J163" s="1"/>
      <c r="K163" s="1"/>
      <c r="L163" s="1"/>
      <c r="M163" s="1"/>
      <c r="N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G164" s="1"/>
      <c r="H164" s="1"/>
      <c r="J164" s="1"/>
      <c r="K164" s="1"/>
      <c r="L164" s="1"/>
      <c r="M164" s="1"/>
      <c r="N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G165" s="1"/>
      <c r="H165" s="1"/>
      <c r="J165" s="1"/>
      <c r="K165" s="1"/>
      <c r="L165" s="1"/>
      <c r="M165" s="1"/>
      <c r="N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G166" s="1"/>
      <c r="H166" s="1"/>
      <c r="J166" s="1"/>
      <c r="K166" s="1"/>
      <c r="L166" s="1"/>
      <c r="M166" s="1"/>
      <c r="N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G167" s="1"/>
      <c r="H167" s="1"/>
      <c r="J167" s="1"/>
      <c r="K167" s="1"/>
      <c r="L167" s="1"/>
      <c r="M167" s="1"/>
      <c r="N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G168" s="1"/>
      <c r="H168" s="1"/>
      <c r="J168" s="1"/>
      <c r="K168" s="1"/>
      <c r="L168" s="1"/>
      <c r="M168" s="1"/>
      <c r="N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G169" s="1"/>
      <c r="H169" s="1"/>
      <c r="J169" s="1"/>
      <c r="K169" s="1"/>
      <c r="L169" s="1"/>
      <c r="M169" s="1"/>
      <c r="N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G170" s="1"/>
      <c r="H170" s="1"/>
      <c r="J170" s="1"/>
      <c r="K170" s="1"/>
      <c r="L170" s="1"/>
      <c r="M170" s="1"/>
      <c r="N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G171" s="1"/>
      <c r="H171" s="1"/>
      <c r="J171" s="1"/>
      <c r="K171" s="1"/>
      <c r="L171" s="1"/>
      <c r="M171" s="1"/>
      <c r="N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G172" s="1"/>
      <c r="H172" s="1"/>
      <c r="J172" s="1"/>
      <c r="K172" s="1"/>
      <c r="L172" s="1"/>
      <c r="M172" s="1"/>
      <c r="N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G173" s="1"/>
      <c r="H173" s="1"/>
      <c r="J173" s="1"/>
      <c r="K173" s="1"/>
      <c r="L173" s="1"/>
      <c r="M173" s="1"/>
      <c r="N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G174" s="1"/>
      <c r="H174" s="1"/>
      <c r="J174" s="1"/>
      <c r="K174" s="1"/>
      <c r="L174" s="1"/>
      <c r="M174" s="1"/>
      <c r="N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G175" s="1"/>
      <c r="H175" s="1"/>
      <c r="J175" s="1"/>
      <c r="K175" s="1"/>
      <c r="L175" s="1"/>
      <c r="M175" s="1"/>
      <c r="N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G176" s="1"/>
      <c r="H176" s="1"/>
      <c r="J176" s="1"/>
      <c r="K176" s="1"/>
      <c r="L176" s="1"/>
      <c r="M176" s="1"/>
      <c r="N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G177" s="1"/>
      <c r="H177" s="1"/>
      <c r="J177" s="1"/>
      <c r="K177" s="1"/>
      <c r="L177" s="1"/>
      <c r="M177" s="1"/>
      <c r="N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G178" s="1"/>
      <c r="H178" s="1"/>
      <c r="J178" s="1"/>
      <c r="K178" s="1"/>
      <c r="L178" s="1"/>
      <c r="M178" s="1"/>
      <c r="N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G179" s="1"/>
      <c r="H179" s="1"/>
      <c r="J179" s="1"/>
      <c r="K179" s="1"/>
      <c r="L179" s="1"/>
      <c r="M179" s="1"/>
      <c r="N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G180" s="1"/>
      <c r="H180" s="1"/>
      <c r="J180" s="1"/>
      <c r="K180" s="1"/>
      <c r="L180" s="1"/>
      <c r="M180" s="1"/>
      <c r="N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G181" s="1"/>
      <c r="H181" s="1"/>
      <c r="J181" s="1"/>
      <c r="K181" s="1"/>
      <c r="L181" s="1"/>
      <c r="M181" s="1"/>
      <c r="N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G182" s="1"/>
      <c r="H182" s="1"/>
      <c r="J182" s="1"/>
      <c r="K182" s="1"/>
      <c r="L182" s="1"/>
      <c r="M182" s="1"/>
      <c r="N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G183" s="1"/>
      <c r="H183" s="1"/>
      <c r="J183" s="1"/>
      <c r="K183" s="1"/>
      <c r="L183" s="1"/>
      <c r="M183" s="1"/>
      <c r="N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G184" s="1"/>
      <c r="H184" s="1"/>
      <c r="J184" s="1"/>
      <c r="K184" s="1"/>
      <c r="L184" s="1"/>
      <c r="M184" s="1"/>
      <c r="N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G185" s="1"/>
      <c r="H185" s="1"/>
      <c r="J185" s="1"/>
      <c r="K185" s="1"/>
      <c r="L185" s="1"/>
      <c r="M185" s="1"/>
      <c r="N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G186" s="1"/>
      <c r="H186" s="1"/>
      <c r="J186" s="1"/>
      <c r="K186" s="1"/>
      <c r="L186" s="1"/>
      <c r="M186" s="1"/>
      <c r="N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G187" s="1"/>
      <c r="H187" s="1"/>
      <c r="J187" s="1"/>
      <c r="K187" s="1"/>
      <c r="L187" s="1"/>
      <c r="M187" s="1"/>
      <c r="N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G188" s="1"/>
      <c r="H188" s="1"/>
      <c r="J188" s="1"/>
      <c r="K188" s="1"/>
      <c r="L188" s="1"/>
      <c r="M188" s="1"/>
      <c r="N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G189" s="1"/>
      <c r="H189" s="1"/>
      <c r="J189" s="1"/>
      <c r="K189" s="1"/>
      <c r="L189" s="1"/>
      <c r="M189" s="1"/>
      <c r="N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G190" s="1"/>
      <c r="H190" s="1"/>
      <c r="J190" s="1"/>
      <c r="K190" s="1"/>
      <c r="L190" s="1"/>
      <c r="M190" s="1"/>
      <c r="N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G191" s="1"/>
      <c r="H191" s="1"/>
      <c r="J191" s="1"/>
      <c r="K191" s="1"/>
      <c r="L191" s="1"/>
      <c r="M191" s="1"/>
      <c r="N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G192" s="1"/>
      <c r="H192" s="1"/>
      <c r="J192" s="1"/>
      <c r="K192" s="1"/>
      <c r="L192" s="1"/>
      <c r="M192" s="1"/>
      <c r="N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G193" s="1"/>
      <c r="H193" s="1"/>
      <c r="J193" s="1"/>
      <c r="K193" s="1"/>
      <c r="L193" s="1"/>
      <c r="M193" s="1"/>
      <c r="N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G194" s="1"/>
      <c r="H194" s="1"/>
      <c r="J194" s="1"/>
      <c r="K194" s="1"/>
      <c r="L194" s="1"/>
      <c r="M194" s="1"/>
      <c r="N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G195" s="1"/>
      <c r="H195" s="1"/>
      <c r="J195" s="1"/>
      <c r="K195" s="1"/>
      <c r="L195" s="1"/>
      <c r="M195" s="1"/>
      <c r="N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G196" s="1"/>
      <c r="H196" s="1"/>
      <c r="J196" s="1"/>
      <c r="K196" s="1"/>
      <c r="L196" s="1"/>
      <c r="M196" s="1"/>
      <c r="N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G197" s="1"/>
      <c r="H197" s="1"/>
      <c r="J197" s="1"/>
      <c r="K197" s="1"/>
      <c r="L197" s="1"/>
      <c r="M197" s="1"/>
      <c r="N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G198" s="1"/>
      <c r="H198" s="1"/>
      <c r="J198" s="1"/>
      <c r="K198" s="1"/>
      <c r="L198" s="1"/>
      <c r="M198" s="1"/>
      <c r="N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G199" s="1"/>
      <c r="H199" s="1"/>
      <c r="J199" s="1"/>
      <c r="K199" s="1"/>
      <c r="L199" s="1"/>
      <c r="M199" s="1"/>
      <c r="N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G200" s="1"/>
      <c r="H200" s="1"/>
      <c r="J200" s="1"/>
      <c r="K200" s="1"/>
      <c r="L200" s="1"/>
      <c r="M200" s="1"/>
      <c r="N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G201" s="1"/>
      <c r="H201" s="1"/>
      <c r="J201" s="1"/>
      <c r="K201" s="1"/>
      <c r="L201" s="1"/>
      <c r="M201" s="1"/>
      <c r="N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G202" s="1"/>
      <c r="H202" s="1"/>
      <c r="J202" s="1"/>
      <c r="K202" s="1"/>
      <c r="L202" s="1"/>
      <c r="M202" s="1"/>
      <c r="N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G203" s="1"/>
      <c r="H203" s="1"/>
      <c r="J203" s="1"/>
      <c r="K203" s="1"/>
      <c r="L203" s="1"/>
      <c r="M203" s="1"/>
      <c r="N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G204" s="1"/>
      <c r="H204" s="1"/>
      <c r="J204" s="1"/>
      <c r="K204" s="1"/>
      <c r="L204" s="1"/>
      <c r="M204" s="1"/>
      <c r="N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G205" s="1"/>
      <c r="H205" s="1"/>
      <c r="J205" s="1"/>
      <c r="K205" s="1"/>
      <c r="L205" s="1"/>
      <c r="M205" s="1"/>
      <c r="N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G206" s="1"/>
      <c r="H206" s="1"/>
      <c r="J206" s="1"/>
      <c r="K206" s="1"/>
      <c r="L206" s="1"/>
      <c r="M206" s="1"/>
      <c r="N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G207" s="1"/>
      <c r="H207" s="1"/>
      <c r="J207" s="1"/>
      <c r="K207" s="1"/>
      <c r="L207" s="1"/>
      <c r="M207" s="1"/>
      <c r="N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G208" s="1"/>
      <c r="H208" s="1"/>
      <c r="J208" s="1"/>
      <c r="K208" s="1"/>
      <c r="L208" s="1"/>
      <c r="M208" s="1"/>
      <c r="N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G209" s="1"/>
      <c r="H209" s="1"/>
      <c r="J209" s="1"/>
      <c r="K209" s="1"/>
      <c r="L209" s="1"/>
      <c r="M209" s="1"/>
      <c r="N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G210" s="1"/>
      <c r="H210" s="1"/>
      <c r="J210" s="1"/>
      <c r="K210" s="1"/>
      <c r="L210" s="1"/>
      <c r="M210" s="1"/>
      <c r="N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G211" s="1"/>
      <c r="H211" s="1"/>
      <c r="J211" s="1"/>
      <c r="K211" s="1"/>
      <c r="L211" s="1"/>
      <c r="M211" s="1"/>
      <c r="N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G212" s="1"/>
      <c r="H212" s="1"/>
      <c r="J212" s="1"/>
      <c r="K212" s="1"/>
      <c r="L212" s="1"/>
      <c r="M212" s="1"/>
      <c r="N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G213" s="1"/>
      <c r="H213" s="1"/>
      <c r="J213" s="1"/>
      <c r="K213" s="1"/>
      <c r="L213" s="1"/>
      <c r="M213" s="1"/>
      <c r="N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G214" s="1"/>
      <c r="H214" s="1"/>
      <c r="J214" s="1"/>
      <c r="K214" s="1"/>
      <c r="L214" s="1"/>
      <c r="M214" s="1"/>
      <c r="N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G215" s="1"/>
      <c r="H215" s="1"/>
      <c r="J215" s="1"/>
      <c r="K215" s="1"/>
      <c r="L215" s="1"/>
      <c r="M215" s="1"/>
      <c r="N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G216" s="1"/>
      <c r="H216" s="1"/>
      <c r="J216" s="1"/>
      <c r="K216" s="1"/>
      <c r="L216" s="1"/>
      <c r="M216" s="1"/>
      <c r="N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G217" s="1"/>
      <c r="H217" s="1"/>
      <c r="J217" s="1"/>
      <c r="K217" s="1"/>
      <c r="L217" s="1"/>
      <c r="M217" s="1"/>
      <c r="N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G218" s="1"/>
      <c r="H218" s="1"/>
      <c r="J218" s="1"/>
      <c r="K218" s="1"/>
      <c r="L218" s="1"/>
      <c r="M218" s="1"/>
      <c r="N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G219" s="1"/>
      <c r="H219" s="1"/>
      <c r="J219" s="1"/>
      <c r="K219" s="1"/>
      <c r="L219" s="1"/>
      <c r="M219" s="1"/>
      <c r="N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G220" s="1"/>
      <c r="H220" s="1"/>
      <c r="J220" s="1"/>
      <c r="K220" s="1"/>
      <c r="L220" s="1"/>
      <c r="M220" s="1"/>
      <c r="N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G221" s="1"/>
      <c r="H221" s="1"/>
      <c r="J221" s="1"/>
      <c r="K221" s="1"/>
      <c r="L221" s="1"/>
      <c r="M221" s="1"/>
      <c r="N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G222" s="1"/>
      <c r="H222" s="1"/>
      <c r="J222" s="1"/>
      <c r="K222" s="1"/>
      <c r="L222" s="1"/>
      <c r="M222" s="1"/>
      <c r="N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G223" s="1"/>
      <c r="H223" s="1"/>
      <c r="J223" s="1"/>
      <c r="K223" s="1"/>
      <c r="L223" s="1"/>
      <c r="M223" s="1"/>
      <c r="N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G224" s="1"/>
      <c r="H224" s="1"/>
      <c r="J224" s="1"/>
      <c r="K224" s="1"/>
      <c r="L224" s="1"/>
      <c r="M224" s="1"/>
      <c r="N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G225" s="1"/>
      <c r="H225" s="1"/>
      <c r="J225" s="1"/>
      <c r="K225" s="1"/>
      <c r="L225" s="1"/>
      <c r="M225" s="1"/>
      <c r="N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G226" s="1"/>
      <c r="H226" s="1"/>
      <c r="J226" s="1"/>
      <c r="K226" s="1"/>
      <c r="L226" s="1"/>
      <c r="M226" s="1"/>
      <c r="N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G227" s="1"/>
      <c r="H227" s="1"/>
      <c r="J227" s="1"/>
      <c r="K227" s="1"/>
      <c r="L227" s="1"/>
      <c r="M227" s="1"/>
      <c r="N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G228" s="1"/>
      <c r="H228" s="1"/>
      <c r="J228" s="1"/>
      <c r="K228" s="1"/>
      <c r="L228" s="1"/>
      <c r="M228" s="1"/>
      <c r="N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G229" s="1"/>
      <c r="H229" s="1"/>
      <c r="J229" s="1"/>
      <c r="K229" s="1"/>
      <c r="L229" s="1"/>
      <c r="M229" s="1"/>
      <c r="N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G230" s="1"/>
      <c r="H230" s="1"/>
      <c r="J230" s="1"/>
      <c r="K230" s="1"/>
      <c r="L230" s="1"/>
      <c r="M230" s="1"/>
      <c r="N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G231" s="1"/>
      <c r="H231" s="1"/>
      <c r="J231" s="1"/>
      <c r="K231" s="1"/>
      <c r="L231" s="1"/>
      <c r="M231" s="1"/>
      <c r="N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G232" s="1"/>
      <c r="H232" s="1"/>
      <c r="J232" s="1"/>
      <c r="K232" s="1"/>
      <c r="L232" s="1"/>
      <c r="M232" s="1"/>
      <c r="N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G233" s="1"/>
      <c r="H233" s="1"/>
      <c r="J233" s="1"/>
      <c r="K233" s="1"/>
      <c r="L233" s="1"/>
      <c r="M233" s="1"/>
      <c r="N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G234" s="1"/>
      <c r="H234" s="1"/>
      <c r="J234" s="1"/>
      <c r="K234" s="1"/>
      <c r="L234" s="1"/>
      <c r="M234" s="1"/>
      <c r="N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G235" s="1"/>
      <c r="H235" s="1"/>
      <c r="J235" s="1"/>
      <c r="K235" s="1"/>
      <c r="L235" s="1"/>
      <c r="M235" s="1"/>
      <c r="N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G236" s="1"/>
      <c r="H236" s="1"/>
      <c r="J236" s="1"/>
      <c r="K236" s="1"/>
      <c r="L236" s="1"/>
      <c r="M236" s="1"/>
      <c r="N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G237" s="1"/>
      <c r="H237" s="1"/>
      <c r="J237" s="1"/>
      <c r="K237" s="1"/>
      <c r="L237" s="1"/>
      <c r="M237" s="1"/>
      <c r="N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G238" s="1"/>
      <c r="H238" s="1"/>
      <c r="J238" s="1"/>
      <c r="K238" s="1"/>
      <c r="L238" s="1"/>
      <c r="M238" s="1"/>
      <c r="N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G239" s="1"/>
      <c r="H239" s="1"/>
      <c r="J239" s="1"/>
      <c r="K239" s="1"/>
      <c r="L239" s="1"/>
      <c r="M239" s="1"/>
      <c r="N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G240" s="1"/>
      <c r="H240" s="1"/>
      <c r="J240" s="1"/>
      <c r="K240" s="1"/>
      <c r="L240" s="1"/>
      <c r="M240" s="1"/>
      <c r="N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G241" s="1"/>
      <c r="H241" s="1"/>
      <c r="J241" s="1"/>
      <c r="K241" s="1"/>
      <c r="L241" s="1"/>
      <c r="M241" s="1"/>
      <c r="N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G242" s="1"/>
      <c r="H242" s="1"/>
      <c r="J242" s="1"/>
      <c r="K242" s="1"/>
      <c r="L242" s="1"/>
      <c r="M242" s="1"/>
      <c r="N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G243" s="1"/>
      <c r="H243" s="1"/>
      <c r="J243" s="1"/>
      <c r="K243" s="1"/>
      <c r="L243" s="1"/>
      <c r="M243" s="1"/>
      <c r="N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G244" s="1"/>
      <c r="H244" s="1"/>
      <c r="J244" s="1"/>
      <c r="K244" s="1"/>
      <c r="L244" s="1"/>
      <c r="M244" s="1"/>
      <c r="N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G245" s="1"/>
      <c r="H245" s="1"/>
      <c r="J245" s="1"/>
      <c r="K245" s="1"/>
      <c r="L245" s="1"/>
      <c r="M245" s="1"/>
      <c r="N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G246" s="1"/>
      <c r="H246" s="1"/>
      <c r="J246" s="1"/>
      <c r="K246" s="1"/>
      <c r="L246" s="1"/>
      <c r="M246" s="1"/>
      <c r="N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G247" s="1"/>
      <c r="H247" s="1"/>
      <c r="J247" s="1"/>
      <c r="K247" s="1"/>
      <c r="L247" s="1"/>
      <c r="M247" s="1"/>
      <c r="N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G248" s="1"/>
      <c r="H248" s="1"/>
      <c r="J248" s="1"/>
      <c r="K248" s="1"/>
      <c r="L248" s="1"/>
      <c r="M248" s="1"/>
      <c r="N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G249" s="1"/>
      <c r="H249" s="1"/>
      <c r="J249" s="1"/>
      <c r="K249" s="1"/>
      <c r="L249" s="1"/>
      <c r="M249" s="1"/>
      <c r="N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G250" s="1"/>
      <c r="H250" s="1"/>
      <c r="J250" s="1"/>
      <c r="K250" s="1"/>
      <c r="L250" s="1"/>
      <c r="M250" s="1"/>
      <c r="N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G251" s="1"/>
      <c r="H251" s="1"/>
      <c r="J251" s="1"/>
      <c r="K251" s="1"/>
      <c r="L251" s="1"/>
      <c r="M251" s="1"/>
      <c r="N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G252" s="1"/>
      <c r="H252" s="1"/>
      <c r="J252" s="1"/>
      <c r="K252" s="1"/>
      <c r="L252" s="1"/>
      <c r="M252" s="1"/>
      <c r="N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G253" s="1"/>
      <c r="H253" s="1"/>
      <c r="J253" s="1"/>
      <c r="K253" s="1"/>
      <c r="L253" s="1"/>
      <c r="M253" s="1"/>
      <c r="N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G254" s="1"/>
      <c r="H254" s="1"/>
      <c r="J254" s="1"/>
      <c r="K254" s="1"/>
      <c r="L254" s="1"/>
      <c r="M254" s="1"/>
      <c r="N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G255" s="1"/>
      <c r="H255" s="1"/>
      <c r="J255" s="1"/>
      <c r="K255" s="1"/>
      <c r="L255" s="1"/>
      <c r="M255" s="1"/>
      <c r="N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G256" s="1"/>
      <c r="H256" s="1"/>
      <c r="J256" s="1"/>
      <c r="K256" s="1"/>
      <c r="L256" s="1"/>
      <c r="M256" s="1"/>
      <c r="N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G257" s="1"/>
      <c r="H257" s="1"/>
      <c r="J257" s="1"/>
      <c r="K257" s="1"/>
      <c r="L257" s="1"/>
      <c r="M257" s="1"/>
      <c r="N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G258" s="1"/>
      <c r="H258" s="1"/>
      <c r="J258" s="1"/>
      <c r="K258" s="1"/>
      <c r="L258" s="1"/>
      <c r="M258" s="1"/>
      <c r="N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G259" s="1"/>
      <c r="H259" s="1"/>
      <c r="J259" s="1"/>
      <c r="K259" s="1"/>
      <c r="L259" s="1"/>
      <c r="M259" s="1"/>
      <c r="N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G260" s="1"/>
      <c r="H260" s="1"/>
      <c r="J260" s="1"/>
      <c r="K260" s="1"/>
      <c r="L260" s="1"/>
      <c r="M260" s="1"/>
      <c r="N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G261" s="1"/>
      <c r="H261" s="1"/>
      <c r="J261" s="1"/>
      <c r="K261" s="1"/>
      <c r="L261" s="1"/>
      <c r="M261" s="1"/>
      <c r="N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G262" s="1"/>
      <c r="H262" s="1"/>
      <c r="J262" s="1"/>
      <c r="K262" s="1"/>
      <c r="L262" s="1"/>
      <c r="M262" s="1"/>
      <c r="N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G263" s="1"/>
      <c r="H263" s="1"/>
      <c r="J263" s="1"/>
      <c r="K263" s="1"/>
      <c r="L263" s="1"/>
      <c r="M263" s="1"/>
      <c r="N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G264" s="1"/>
      <c r="H264" s="1"/>
      <c r="J264" s="1"/>
      <c r="K264" s="1"/>
      <c r="L264" s="1"/>
      <c r="M264" s="1"/>
      <c r="N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G265" s="1"/>
      <c r="H265" s="1"/>
      <c r="J265" s="1"/>
      <c r="K265" s="1"/>
      <c r="L265" s="1"/>
      <c r="M265" s="1"/>
      <c r="N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G266" s="1"/>
      <c r="H266" s="1"/>
      <c r="J266" s="1"/>
      <c r="K266" s="1"/>
      <c r="L266" s="1"/>
      <c r="M266" s="1"/>
      <c r="N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G267" s="1"/>
      <c r="H267" s="1"/>
      <c r="J267" s="1"/>
      <c r="K267" s="1"/>
      <c r="L267" s="1"/>
      <c r="M267" s="1"/>
      <c r="N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G268" s="1"/>
      <c r="H268" s="1"/>
      <c r="J268" s="1"/>
      <c r="K268" s="1"/>
      <c r="L268" s="1"/>
      <c r="M268" s="1"/>
      <c r="N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G269" s="1"/>
      <c r="H269" s="1"/>
      <c r="J269" s="1"/>
      <c r="K269" s="1"/>
      <c r="L269" s="1"/>
      <c r="M269" s="1"/>
      <c r="N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G270" s="1"/>
      <c r="H270" s="1"/>
      <c r="J270" s="1"/>
      <c r="K270" s="1"/>
      <c r="L270" s="1"/>
      <c r="M270" s="1"/>
      <c r="N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G271" s="1"/>
      <c r="H271" s="1"/>
      <c r="J271" s="1"/>
      <c r="K271" s="1"/>
      <c r="L271" s="1"/>
      <c r="M271" s="1"/>
      <c r="N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G272" s="1"/>
      <c r="H272" s="1"/>
      <c r="J272" s="1"/>
      <c r="K272" s="1"/>
      <c r="L272" s="1"/>
      <c r="M272" s="1"/>
      <c r="N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G273" s="1"/>
      <c r="H273" s="1"/>
      <c r="J273" s="1"/>
      <c r="K273" s="1"/>
      <c r="L273" s="1"/>
      <c r="M273" s="1"/>
      <c r="N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G274" s="1"/>
      <c r="H274" s="1"/>
      <c r="J274" s="1"/>
      <c r="K274" s="1"/>
      <c r="L274" s="1"/>
      <c r="M274" s="1"/>
      <c r="N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G275" s="1"/>
      <c r="H275" s="1"/>
      <c r="J275" s="1"/>
      <c r="K275" s="1"/>
      <c r="L275" s="1"/>
      <c r="M275" s="1"/>
      <c r="N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G276" s="1"/>
      <c r="H276" s="1"/>
      <c r="J276" s="1"/>
      <c r="K276" s="1"/>
      <c r="L276" s="1"/>
      <c r="M276" s="1"/>
      <c r="N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G277" s="1"/>
      <c r="H277" s="1"/>
      <c r="J277" s="1"/>
      <c r="K277" s="1"/>
      <c r="L277" s="1"/>
      <c r="M277" s="1"/>
      <c r="N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G278" s="1"/>
      <c r="H278" s="1"/>
      <c r="J278" s="1"/>
      <c r="K278" s="1"/>
      <c r="L278" s="1"/>
      <c r="M278" s="1"/>
      <c r="N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G279" s="1"/>
      <c r="H279" s="1"/>
      <c r="J279" s="1"/>
      <c r="K279" s="1"/>
      <c r="L279" s="1"/>
      <c r="M279" s="1"/>
      <c r="N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G280" s="1"/>
      <c r="H280" s="1"/>
      <c r="J280" s="1"/>
      <c r="K280" s="1"/>
      <c r="L280" s="1"/>
      <c r="M280" s="1"/>
      <c r="N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G281" s="1"/>
      <c r="H281" s="1"/>
      <c r="J281" s="1"/>
      <c r="K281" s="1"/>
      <c r="L281" s="1"/>
      <c r="M281" s="1"/>
      <c r="N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G282" s="1"/>
      <c r="H282" s="1"/>
      <c r="J282" s="1"/>
      <c r="K282" s="1"/>
      <c r="L282" s="1"/>
      <c r="M282" s="1"/>
      <c r="N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G283" s="1"/>
      <c r="H283" s="1"/>
      <c r="J283" s="1"/>
      <c r="K283" s="1"/>
      <c r="L283" s="1"/>
      <c r="M283" s="1"/>
      <c r="N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G284" s="1"/>
      <c r="H284" s="1"/>
      <c r="J284" s="1"/>
      <c r="K284" s="1"/>
      <c r="L284" s="1"/>
      <c r="M284" s="1"/>
      <c r="N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G285" s="1"/>
      <c r="H285" s="1"/>
      <c r="J285" s="1"/>
      <c r="K285" s="1"/>
      <c r="L285" s="1"/>
      <c r="M285" s="1"/>
      <c r="N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G286" s="1"/>
      <c r="H286" s="1"/>
      <c r="J286" s="1"/>
      <c r="K286" s="1"/>
      <c r="L286" s="1"/>
      <c r="M286" s="1"/>
      <c r="N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G287" s="1"/>
      <c r="H287" s="1"/>
      <c r="J287" s="1"/>
      <c r="K287" s="1"/>
      <c r="L287" s="1"/>
      <c r="M287" s="1"/>
      <c r="N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G288" s="1"/>
      <c r="H288" s="1"/>
      <c r="J288" s="1"/>
      <c r="K288" s="1"/>
      <c r="L288" s="1"/>
      <c r="M288" s="1"/>
      <c r="N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G289" s="1"/>
      <c r="H289" s="1"/>
      <c r="J289" s="1"/>
      <c r="K289" s="1"/>
      <c r="L289" s="1"/>
      <c r="M289" s="1"/>
      <c r="N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G290" s="1"/>
      <c r="H290" s="1"/>
      <c r="J290" s="1"/>
      <c r="K290" s="1"/>
      <c r="L290" s="1"/>
      <c r="M290" s="1"/>
      <c r="N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G291" s="1"/>
      <c r="H291" s="1"/>
      <c r="J291" s="1"/>
      <c r="K291" s="1"/>
      <c r="L291" s="1"/>
      <c r="M291" s="1"/>
      <c r="N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G292" s="1"/>
      <c r="H292" s="1"/>
      <c r="J292" s="1"/>
      <c r="K292" s="1"/>
      <c r="L292" s="1"/>
      <c r="M292" s="1"/>
      <c r="N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G293" s="1"/>
      <c r="H293" s="1"/>
      <c r="J293" s="1"/>
      <c r="K293" s="1"/>
      <c r="L293" s="1"/>
      <c r="M293" s="1"/>
      <c r="N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G294" s="1"/>
      <c r="H294" s="1"/>
      <c r="J294" s="1"/>
      <c r="K294" s="1"/>
      <c r="L294" s="1"/>
      <c r="M294" s="1"/>
      <c r="N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G295" s="1"/>
      <c r="H295" s="1"/>
      <c r="J295" s="1"/>
      <c r="K295" s="1"/>
      <c r="L295" s="1"/>
      <c r="M295" s="1"/>
      <c r="N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G296" s="1"/>
      <c r="H296" s="1"/>
      <c r="J296" s="1"/>
      <c r="K296" s="1"/>
      <c r="L296" s="1"/>
      <c r="M296" s="1"/>
      <c r="N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G297" s="1"/>
      <c r="H297" s="1"/>
      <c r="J297" s="1"/>
      <c r="K297" s="1"/>
      <c r="L297" s="1"/>
      <c r="M297" s="1"/>
      <c r="N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G298" s="1"/>
      <c r="H298" s="1"/>
      <c r="J298" s="1"/>
      <c r="K298" s="1"/>
      <c r="L298" s="1"/>
      <c r="M298" s="1"/>
      <c r="N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G299" s="1"/>
      <c r="H299" s="1"/>
      <c r="J299" s="1"/>
      <c r="K299" s="1"/>
      <c r="L299" s="1"/>
      <c r="M299" s="1"/>
      <c r="N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G300" s="1"/>
      <c r="H300" s="1"/>
      <c r="J300" s="1"/>
      <c r="K300" s="1"/>
      <c r="L300" s="1"/>
      <c r="M300" s="1"/>
      <c r="N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G301" s="1"/>
      <c r="H301" s="1"/>
      <c r="J301" s="1"/>
      <c r="K301" s="1"/>
      <c r="L301" s="1"/>
      <c r="M301" s="1"/>
      <c r="N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G302" s="1"/>
      <c r="H302" s="1"/>
      <c r="J302" s="1"/>
      <c r="K302" s="1"/>
      <c r="L302" s="1"/>
      <c r="M302" s="1"/>
      <c r="N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G303" s="1"/>
      <c r="H303" s="1"/>
      <c r="J303" s="1"/>
      <c r="K303" s="1"/>
      <c r="L303" s="1"/>
      <c r="M303" s="1"/>
      <c r="N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G304" s="1"/>
      <c r="H304" s="1"/>
      <c r="J304" s="1"/>
      <c r="K304" s="1"/>
      <c r="L304" s="1"/>
      <c r="M304" s="1"/>
      <c r="N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G305" s="1"/>
      <c r="H305" s="1"/>
      <c r="J305" s="1"/>
      <c r="K305" s="1"/>
      <c r="L305" s="1"/>
      <c r="M305" s="1"/>
      <c r="N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G306" s="1"/>
      <c r="H306" s="1"/>
      <c r="J306" s="1"/>
      <c r="K306" s="1"/>
      <c r="L306" s="1"/>
      <c r="M306" s="1"/>
      <c r="N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G307" s="1"/>
      <c r="H307" s="1"/>
      <c r="J307" s="1"/>
      <c r="K307" s="1"/>
      <c r="L307" s="1"/>
      <c r="M307" s="1"/>
      <c r="N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G308" s="1"/>
      <c r="H308" s="1"/>
      <c r="J308" s="1"/>
      <c r="K308" s="1"/>
      <c r="L308" s="1"/>
      <c r="M308" s="1"/>
      <c r="N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G309" s="1"/>
      <c r="H309" s="1"/>
      <c r="J309" s="1"/>
      <c r="K309" s="1"/>
      <c r="L309" s="1"/>
      <c r="M309" s="1"/>
      <c r="N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G310" s="1"/>
      <c r="H310" s="1"/>
      <c r="J310" s="1"/>
      <c r="K310" s="1"/>
      <c r="L310" s="1"/>
      <c r="M310" s="1"/>
      <c r="N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G311" s="1"/>
      <c r="H311" s="1"/>
      <c r="J311" s="1"/>
      <c r="K311" s="1"/>
      <c r="L311" s="1"/>
      <c r="M311" s="1"/>
      <c r="N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G312" s="1"/>
      <c r="H312" s="1"/>
      <c r="J312" s="1"/>
      <c r="K312" s="1"/>
      <c r="L312" s="1"/>
      <c r="M312" s="1"/>
      <c r="N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G313" s="1"/>
      <c r="H313" s="1"/>
      <c r="J313" s="1"/>
      <c r="K313" s="1"/>
      <c r="L313" s="1"/>
      <c r="M313" s="1"/>
      <c r="N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G314" s="1"/>
      <c r="H314" s="1"/>
      <c r="J314" s="1"/>
      <c r="K314" s="1"/>
      <c r="L314" s="1"/>
      <c r="M314" s="1"/>
      <c r="N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G315" s="1"/>
      <c r="H315" s="1"/>
      <c r="J315" s="1"/>
      <c r="K315" s="1"/>
      <c r="L315" s="1"/>
      <c r="M315" s="1"/>
      <c r="N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G316" s="1"/>
      <c r="H316" s="1"/>
      <c r="J316" s="1"/>
      <c r="K316" s="1"/>
      <c r="L316" s="1"/>
      <c r="M316" s="1"/>
      <c r="N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G317" s="1"/>
      <c r="H317" s="1"/>
      <c r="J317" s="1"/>
      <c r="K317" s="1"/>
      <c r="L317" s="1"/>
      <c r="M317" s="1"/>
      <c r="N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G318" s="1"/>
      <c r="H318" s="1"/>
      <c r="J318" s="1"/>
      <c r="K318" s="1"/>
      <c r="L318" s="1"/>
      <c r="M318" s="1"/>
      <c r="N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G319" s="1"/>
      <c r="H319" s="1"/>
      <c r="J319" s="1"/>
      <c r="K319" s="1"/>
      <c r="L319" s="1"/>
      <c r="M319" s="1"/>
      <c r="N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G320" s="1"/>
      <c r="H320" s="1"/>
      <c r="J320" s="1"/>
      <c r="K320" s="1"/>
      <c r="L320" s="1"/>
      <c r="M320" s="1"/>
      <c r="N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G321" s="1"/>
      <c r="H321" s="1"/>
      <c r="J321" s="1"/>
      <c r="K321" s="1"/>
      <c r="L321" s="1"/>
      <c r="M321" s="1"/>
      <c r="N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G322" s="1"/>
      <c r="H322" s="1"/>
      <c r="J322" s="1"/>
      <c r="K322" s="1"/>
      <c r="L322" s="1"/>
      <c r="M322" s="1"/>
      <c r="N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G323" s="1"/>
      <c r="H323" s="1"/>
      <c r="J323" s="1"/>
      <c r="K323" s="1"/>
      <c r="L323" s="1"/>
      <c r="M323" s="1"/>
      <c r="N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G324" s="1"/>
      <c r="H324" s="1"/>
      <c r="J324" s="1"/>
      <c r="K324" s="1"/>
      <c r="L324" s="1"/>
      <c r="M324" s="1"/>
      <c r="N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G325" s="1"/>
      <c r="H325" s="1"/>
      <c r="J325" s="1"/>
      <c r="K325" s="1"/>
      <c r="L325" s="1"/>
      <c r="M325" s="1"/>
      <c r="N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G326" s="1"/>
      <c r="H326" s="1"/>
      <c r="J326" s="1"/>
      <c r="K326" s="1"/>
      <c r="L326" s="1"/>
      <c r="M326" s="1"/>
      <c r="N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G327" s="1"/>
      <c r="H327" s="1"/>
      <c r="J327" s="1"/>
      <c r="K327" s="1"/>
      <c r="L327" s="1"/>
      <c r="M327" s="1"/>
      <c r="N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G328" s="1"/>
      <c r="H328" s="1"/>
      <c r="J328" s="1"/>
      <c r="K328" s="1"/>
      <c r="L328" s="1"/>
      <c r="M328" s="1"/>
      <c r="N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G329" s="1"/>
      <c r="H329" s="1"/>
      <c r="J329" s="1"/>
      <c r="K329" s="1"/>
      <c r="L329" s="1"/>
      <c r="M329" s="1"/>
      <c r="N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G330" s="1"/>
      <c r="H330" s="1"/>
      <c r="J330" s="1"/>
      <c r="K330" s="1"/>
      <c r="L330" s="1"/>
      <c r="M330" s="1"/>
      <c r="N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G331" s="1"/>
      <c r="H331" s="1"/>
      <c r="J331" s="1"/>
      <c r="K331" s="1"/>
      <c r="L331" s="1"/>
      <c r="M331" s="1"/>
      <c r="N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G332" s="1"/>
      <c r="H332" s="1"/>
      <c r="J332" s="1"/>
      <c r="K332" s="1"/>
      <c r="L332" s="1"/>
      <c r="M332" s="1"/>
      <c r="N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G333" s="1"/>
      <c r="H333" s="1"/>
      <c r="J333" s="1"/>
      <c r="K333" s="1"/>
      <c r="L333" s="1"/>
      <c r="M333" s="1"/>
      <c r="N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G334" s="1"/>
      <c r="H334" s="1"/>
      <c r="J334" s="1"/>
      <c r="K334" s="1"/>
      <c r="L334" s="1"/>
      <c r="M334" s="1"/>
      <c r="N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G335" s="1"/>
      <c r="H335" s="1"/>
      <c r="J335" s="1"/>
      <c r="K335" s="1"/>
      <c r="L335" s="1"/>
      <c r="M335" s="1"/>
      <c r="N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G336" s="1"/>
      <c r="H336" s="1"/>
      <c r="J336" s="1"/>
      <c r="K336" s="1"/>
      <c r="L336" s="1"/>
      <c r="M336" s="1"/>
      <c r="N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G337" s="1"/>
      <c r="H337" s="1"/>
      <c r="J337" s="1"/>
      <c r="K337" s="1"/>
      <c r="L337" s="1"/>
      <c r="M337" s="1"/>
      <c r="N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G338" s="1"/>
      <c r="H338" s="1"/>
      <c r="J338" s="1"/>
      <c r="K338" s="1"/>
      <c r="L338" s="1"/>
      <c r="M338" s="1"/>
      <c r="N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G339" s="1"/>
      <c r="H339" s="1"/>
      <c r="J339" s="1"/>
      <c r="K339" s="1"/>
      <c r="L339" s="1"/>
      <c r="M339" s="1"/>
      <c r="N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G340" s="1"/>
      <c r="H340" s="1"/>
      <c r="J340" s="1"/>
      <c r="K340" s="1"/>
      <c r="L340" s="1"/>
      <c r="M340" s="1"/>
      <c r="N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G341" s="1"/>
      <c r="H341" s="1"/>
      <c r="J341" s="1"/>
      <c r="K341" s="1"/>
      <c r="L341" s="1"/>
      <c r="M341" s="1"/>
      <c r="N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G342" s="1"/>
      <c r="H342" s="1"/>
      <c r="J342" s="1"/>
      <c r="K342" s="1"/>
      <c r="L342" s="1"/>
      <c r="M342" s="1"/>
      <c r="N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G343" s="1"/>
      <c r="H343" s="1"/>
      <c r="J343" s="1"/>
      <c r="K343" s="1"/>
      <c r="L343" s="1"/>
      <c r="M343" s="1"/>
      <c r="N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G344" s="1"/>
      <c r="H344" s="1"/>
      <c r="J344" s="1"/>
      <c r="K344" s="1"/>
      <c r="L344" s="1"/>
      <c r="M344" s="1"/>
      <c r="N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G345" s="1"/>
      <c r="H345" s="1"/>
      <c r="J345" s="1"/>
      <c r="K345" s="1"/>
      <c r="L345" s="1"/>
      <c r="M345" s="1"/>
      <c r="N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G346" s="1"/>
      <c r="H346" s="1"/>
      <c r="J346" s="1"/>
      <c r="K346" s="1"/>
      <c r="L346" s="1"/>
      <c r="M346" s="1"/>
      <c r="N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G347" s="1"/>
      <c r="H347" s="1"/>
      <c r="J347" s="1"/>
      <c r="K347" s="1"/>
      <c r="L347" s="1"/>
      <c r="M347" s="1"/>
      <c r="N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G348" s="1"/>
      <c r="H348" s="1"/>
      <c r="J348" s="1"/>
      <c r="K348" s="1"/>
      <c r="L348" s="1"/>
      <c r="M348" s="1"/>
      <c r="N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G349" s="1"/>
      <c r="H349" s="1"/>
      <c r="J349" s="1"/>
      <c r="K349" s="1"/>
      <c r="L349" s="1"/>
      <c r="M349" s="1"/>
      <c r="N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G350" s="1"/>
      <c r="H350" s="1"/>
      <c r="J350" s="1"/>
      <c r="K350" s="1"/>
      <c r="L350" s="1"/>
      <c r="M350" s="1"/>
      <c r="N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G351" s="1"/>
      <c r="H351" s="1"/>
      <c r="J351" s="1"/>
      <c r="K351" s="1"/>
      <c r="L351" s="1"/>
      <c r="M351" s="1"/>
      <c r="N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G352" s="1"/>
      <c r="H352" s="1"/>
      <c r="J352" s="1"/>
      <c r="K352" s="1"/>
      <c r="L352" s="1"/>
      <c r="M352" s="1"/>
      <c r="N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G353" s="1"/>
      <c r="H353" s="1"/>
      <c r="J353" s="1"/>
      <c r="K353" s="1"/>
      <c r="L353" s="1"/>
      <c r="M353" s="1"/>
      <c r="N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G354" s="1"/>
      <c r="H354" s="1"/>
      <c r="J354" s="1"/>
      <c r="K354" s="1"/>
      <c r="L354" s="1"/>
      <c r="M354" s="1"/>
      <c r="N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G355" s="1"/>
      <c r="H355" s="1"/>
      <c r="J355" s="1"/>
      <c r="K355" s="1"/>
      <c r="L355" s="1"/>
      <c r="M355" s="1"/>
      <c r="N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G356" s="1"/>
      <c r="H356" s="1"/>
      <c r="J356" s="1"/>
      <c r="K356" s="1"/>
      <c r="L356" s="1"/>
      <c r="M356" s="1"/>
      <c r="N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G357" s="1"/>
      <c r="H357" s="1"/>
      <c r="J357" s="1"/>
      <c r="K357" s="1"/>
      <c r="L357" s="1"/>
      <c r="M357" s="1"/>
      <c r="N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G358" s="1"/>
      <c r="H358" s="1"/>
      <c r="J358" s="1"/>
      <c r="K358" s="1"/>
      <c r="L358" s="1"/>
      <c r="M358" s="1"/>
      <c r="N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G359" s="1"/>
      <c r="H359" s="1"/>
      <c r="J359" s="1"/>
      <c r="K359" s="1"/>
      <c r="L359" s="1"/>
      <c r="M359" s="1"/>
      <c r="N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G360" s="1"/>
      <c r="H360" s="1"/>
      <c r="J360" s="1"/>
      <c r="K360" s="1"/>
      <c r="L360" s="1"/>
      <c r="M360" s="1"/>
      <c r="N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G361" s="1"/>
      <c r="H361" s="1"/>
      <c r="J361" s="1"/>
      <c r="K361" s="1"/>
      <c r="L361" s="1"/>
      <c r="M361" s="1"/>
      <c r="N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G362" s="1"/>
      <c r="H362" s="1"/>
      <c r="J362" s="1"/>
      <c r="K362" s="1"/>
      <c r="L362" s="1"/>
      <c r="M362" s="1"/>
      <c r="N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G363" s="1"/>
      <c r="H363" s="1"/>
      <c r="J363" s="1"/>
      <c r="K363" s="1"/>
      <c r="L363" s="1"/>
      <c r="M363" s="1"/>
      <c r="N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G364" s="1"/>
      <c r="H364" s="1"/>
      <c r="J364" s="1"/>
      <c r="K364" s="1"/>
      <c r="L364" s="1"/>
      <c r="M364" s="1"/>
      <c r="N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G365" s="1"/>
      <c r="H365" s="1"/>
      <c r="J365" s="1"/>
      <c r="K365" s="1"/>
      <c r="L365" s="1"/>
      <c r="M365" s="1"/>
      <c r="N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G366" s="1"/>
      <c r="H366" s="1"/>
      <c r="J366" s="1"/>
      <c r="K366" s="1"/>
      <c r="L366" s="1"/>
      <c r="M366" s="1"/>
      <c r="N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G367" s="1"/>
      <c r="H367" s="1"/>
      <c r="J367" s="1"/>
      <c r="K367" s="1"/>
      <c r="L367" s="1"/>
      <c r="M367" s="1"/>
      <c r="N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G368" s="1"/>
      <c r="H368" s="1"/>
      <c r="J368" s="1"/>
      <c r="K368" s="1"/>
      <c r="L368" s="1"/>
      <c r="M368" s="1"/>
      <c r="N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G369" s="1"/>
      <c r="H369" s="1"/>
      <c r="J369" s="1"/>
      <c r="K369" s="1"/>
      <c r="L369" s="1"/>
      <c r="M369" s="1"/>
      <c r="N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G370" s="1"/>
      <c r="H370" s="1"/>
      <c r="J370" s="1"/>
      <c r="K370" s="1"/>
      <c r="L370" s="1"/>
      <c r="M370" s="1"/>
      <c r="N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G371" s="1"/>
      <c r="H371" s="1"/>
      <c r="J371" s="1"/>
      <c r="K371" s="1"/>
      <c r="L371" s="1"/>
      <c r="M371" s="1"/>
      <c r="N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G372" s="1"/>
      <c r="H372" s="1"/>
      <c r="J372" s="1"/>
      <c r="K372" s="1"/>
      <c r="L372" s="1"/>
      <c r="M372" s="1"/>
      <c r="N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G373" s="1"/>
      <c r="H373" s="1"/>
      <c r="J373" s="1"/>
      <c r="K373" s="1"/>
      <c r="L373" s="1"/>
      <c r="M373" s="1"/>
      <c r="N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G374" s="1"/>
      <c r="H374" s="1"/>
      <c r="J374" s="1"/>
      <c r="K374" s="1"/>
      <c r="L374" s="1"/>
      <c r="M374" s="1"/>
      <c r="N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G375" s="1"/>
      <c r="H375" s="1"/>
      <c r="J375" s="1"/>
      <c r="K375" s="1"/>
      <c r="L375" s="1"/>
      <c r="M375" s="1"/>
      <c r="N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G376" s="1"/>
      <c r="H376" s="1"/>
      <c r="J376" s="1"/>
      <c r="K376" s="1"/>
      <c r="L376" s="1"/>
      <c r="M376" s="1"/>
      <c r="N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G377" s="1"/>
      <c r="H377" s="1"/>
      <c r="J377" s="1"/>
      <c r="K377" s="1"/>
      <c r="L377" s="1"/>
      <c r="M377" s="1"/>
      <c r="N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G378" s="1"/>
      <c r="H378" s="1"/>
      <c r="J378" s="1"/>
      <c r="K378" s="1"/>
      <c r="L378" s="1"/>
      <c r="M378" s="1"/>
      <c r="N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G379" s="1"/>
      <c r="H379" s="1"/>
      <c r="J379" s="1"/>
      <c r="K379" s="1"/>
      <c r="L379" s="1"/>
      <c r="M379" s="1"/>
      <c r="N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G380" s="1"/>
      <c r="H380" s="1"/>
      <c r="J380" s="1"/>
      <c r="K380" s="1"/>
      <c r="L380" s="1"/>
      <c r="M380" s="1"/>
      <c r="N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G381" s="1"/>
      <c r="H381" s="1"/>
      <c r="J381" s="1"/>
      <c r="K381" s="1"/>
      <c r="L381" s="1"/>
      <c r="M381" s="1"/>
      <c r="N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G382" s="1"/>
      <c r="H382" s="1"/>
      <c r="J382" s="1"/>
      <c r="K382" s="1"/>
      <c r="L382" s="1"/>
      <c r="M382" s="1"/>
      <c r="N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G383" s="1"/>
      <c r="H383" s="1"/>
      <c r="J383" s="1"/>
      <c r="K383" s="1"/>
      <c r="L383" s="1"/>
      <c r="M383" s="1"/>
      <c r="N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G384" s="1"/>
      <c r="H384" s="1"/>
      <c r="J384" s="1"/>
      <c r="K384" s="1"/>
      <c r="L384" s="1"/>
      <c r="M384" s="1"/>
      <c r="N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G385" s="1"/>
      <c r="H385" s="1"/>
      <c r="J385" s="1"/>
      <c r="K385" s="1"/>
      <c r="L385" s="1"/>
      <c r="M385" s="1"/>
      <c r="N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G386" s="1"/>
      <c r="H386" s="1"/>
      <c r="J386" s="1"/>
      <c r="K386" s="1"/>
      <c r="L386" s="1"/>
      <c r="M386" s="1"/>
      <c r="N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G387" s="1"/>
      <c r="H387" s="1"/>
      <c r="J387" s="1"/>
      <c r="K387" s="1"/>
      <c r="L387" s="1"/>
      <c r="M387" s="1"/>
      <c r="N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G388" s="1"/>
      <c r="H388" s="1"/>
      <c r="J388" s="1"/>
      <c r="K388" s="1"/>
      <c r="L388" s="1"/>
      <c r="M388" s="1"/>
      <c r="N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G389" s="1"/>
      <c r="H389" s="1"/>
      <c r="J389" s="1"/>
      <c r="K389" s="1"/>
      <c r="L389" s="1"/>
      <c r="M389" s="1"/>
      <c r="N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G390" s="1"/>
      <c r="H390" s="1"/>
      <c r="J390" s="1"/>
      <c r="K390" s="1"/>
      <c r="L390" s="1"/>
      <c r="M390" s="1"/>
      <c r="N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G391" s="1"/>
      <c r="H391" s="1"/>
      <c r="J391" s="1"/>
      <c r="K391" s="1"/>
      <c r="L391" s="1"/>
      <c r="M391" s="1"/>
      <c r="N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G392" s="1"/>
      <c r="H392" s="1"/>
      <c r="J392" s="1"/>
      <c r="K392" s="1"/>
      <c r="L392" s="1"/>
      <c r="M392" s="1"/>
      <c r="N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G393" s="1"/>
      <c r="H393" s="1"/>
      <c r="J393" s="1"/>
      <c r="K393" s="1"/>
      <c r="L393" s="1"/>
      <c r="M393" s="1"/>
      <c r="N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G394" s="1"/>
      <c r="H394" s="1"/>
      <c r="J394" s="1"/>
      <c r="K394" s="1"/>
      <c r="L394" s="1"/>
      <c r="M394" s="1"/>
      <c r="N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G395" s="1"/>
      <c r="H395" s="1"/>
      <c r="J395" s="1"/>
      <c r="K395" s="1"/>
      <c r="L395" s="1"/>
      <c r="M395" s="1"/>
      <c r="N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G396" s="1"/>
      <c r="H396" s="1"/>
      <c r="J396" s="1"/>
      <c r="K396" s="1"/>
      <c r="L396" s="1"/>
      <c r="M396" s="1"/>
      <c r="N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G397" s="1"/>
      <c r="H397" s="1"/>
      <c r="J397" s="1"/>
      <c r="K397" s="1"/>
      <c r="L397" s="1"/>
      <c r="M397" s="1"/>
      <c r="N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G398" s="1"/>
      <c r="H398" s="1"/>
      <c r="J398" s="1"/>
      <c r="K398" s="1"/>
      <c r="L398" s="1"/>
      <c r="M398" s="1"/>
      <c r="N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G399" s="1"/>
      <c r="H399" s="1"/>
      <c r="J399" s="1"/>
      <c r="K399" s="1"/>
      <c r="L399" s="1"/>
      <c r="M399" s="1"/>
      <c r="N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G400" s="1"/>
      <c r="H400" s="1"/>
      <c r="J400" s="1"/>
      <c r="K400" s="1"/>
      <c r="L400" s="1"/>
      <c r="M400" s="1"/>
      <c r="N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G401" s="1"/>
      <c r="H401" s="1"/>
      <c r="J401" s="1"/>
      <c r="K401" s="1"/>
      <c r="L401" s="1"/>
      <c r="M401" s="1"/>
      <c r="N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G402" s="1"/>
      <c r="H402" s="1"/>
      <c r="J402" s="1"/>
      <c r="K402" s="1"/>
      <c r="L402" s="1"/>
      <c r="M402" s="1"/>
      <c r="N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G403" s="1"/>
      <c r="H403" s="1"/>
      <c r="J403" s="1"/>
      <c r="K403" s="1"/>
      <c r="L403" s="1"/>
      <c r="M403" s="1"/>
      <c r="N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G404" s="1"/>
      <c r="H404" s="1"/>
      <c r="J404" s="1"/>
      <c r="K404" s="1"/>
      <c r="L404" s="1"/>
      <c r="M404" s="1"/>
      <c r="N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G405" s="1"/>
      <c r="H405" s="1"/>
      <c r="J405" s="1"/>
      <c r="K405" s="1"/>
      <c r="L405" s="1"/>
      <c r="M405" s="1"/>
      <c r="N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G406" s="1"/>
      <c r="H406" s="1"/>
      <c r="J406" s="1"/>
      <c r="K406" s="1"/>
      <c r="L406" s="1"/>
      <c r="M406" s="1"/>
      <c r="N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G407" s="1"/>
      <c r="H407" s="1"/>
      <c r="J407" s="1"/>
      <c r="K407" s="1"/>
      <c r="L407" s="1"/>
      <c r="M407" s="1"/>
      <c r="N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G408" s="1"/>
      <c r="H408" s="1"/>
      <c r="J408" s="1"/>
      <c r="K408" s="1"/>
      <c r="L408" s="1"/>
      <c r="M408" s="1"/>
      <c r="N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G409" s="1"/>
      <c r="H409" s="1"/>
      <c r="J409" s="1"/>
      <c r="K409" s="1"/>
      <c r="L409" s="1"/>
      <c r="M409" s="1"/>
      <c r="N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G410" s="1"/>
      <c r="H410" s="1"/>
      <c r="J410" s="1"/>
      <c r="K410" s="1"/>
      <c r="L410" s="1"/>
      <c r="M410" s="1"/>
      <c r="N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G411" s="1"/>
      <c r="H411" s="1"/>
      <c r="J411" s="1"/>
      <c r="K411" s="1"/>
      <c r="L411" s="1"/>
      <c r="M411" s="1"/>
      <c r="N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G412" s="1"/>
      <c r="H412" s="1"/>
      <c r="J412" s="1"/>
      <c r="K412" s="1"/>
      <c r="L412" s="1"/>
      <c r="M412" s="1"/>
      <c r="N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G413" s="1"/>
      <c r="H413" s="1"/>
      <c r="J413" s="1"/>
      <c r="K413" s="1"/>
      <c r="L413" s="1"/>
      <c r="M413" s="1"/>
      <c r="N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G414" s="1"/>
      <c r="H414" s="1"/>
      <c r="J414" s="1"/>
      <c r="K414" s="1"/>
      <c r="L414" s="1"/>
      <c r="M414" s="1"/>
      <c r="N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G415" s="1"/>
      <c r="H415" s="1"/>
      <c r="J415" s="1"/>
      <c r="K415" s="1"/>
      <c r="L415" s="1"/>
      <c r="M415" s="1"/>
      <c r="N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G416" s="1"/>
      <c r="H416" s="1"/>
      <c r="J416" s="1"/>
      <c r="K416" s="1"/>
      <c r="L416" s="1"/>
      <c r="M416" s="1"/>
      <c r="N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G417" s="1"/>
      <c r="H417" s="1"/>
      <c r="J417" s="1"/>
      <c r="K417" s="1"/>
      <c r="L417" s="1"/>
      <c r="M417" s="1"/>
      <c r="N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G418" s="1"/>
      <c r="H418" s="1"/>
      <c r="J418" s="1"/>
      <c r="K418" s="1"/>
      <c r="L418" s="1"/>
      <c r="M418" s="1"/>
      <c r="N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G419" s="1"/>
      <c r="H419" s="1"/>
      <c r="J419" s="1"/>
      <c r="K419" s="1"/>
      <c r="L419" s="1"/>
      <c r="M419" s="1"/>
      <c r="N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G420" s="1"/>
      <c r="H420" s="1"/>
      <c r="J420" s="1"/>
      <c r="K420" s="1"/>
      <c r="L420" s="1"/>
      <c r="M420" s="1"/>
      <c r="N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G421" s="1"/>
      <c r="H421" s="1"/>
      <c r="J421" s="1"/>
      <c r="K421" s="1"/>
      <c r="L421" s="1"/>
      <c r="M421" s="1"/>
      <c r="N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G422" s="1"/>
      <c r="H422" s="1"/>
      <c r="J422" s="1"/>
      <c r="K422" s="1"/>
      <c r="L422" s="1"/>
      <c r="M422" s="1"/>
      <c r="N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G423" s="1"/>
      <c r="H423" s="1"/>
      <c r="J423" s="1"/>
      <c r="K423" s="1"/>
      <c r="L423" s="1"/>
      <c r="M423" s="1"/>
      <c r="N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G424" s="1"/>
      <c r="H424" s="1"/>
      <c r="J424" s="1"/>
      <c r="K424" s="1"/>
      <c r="L424" s="1"/>
      <c r="M424" s="1"/>
      <c r="N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G425" s="1"/>
      <c r="H425" s="1"/>
      <c r="J425" s="1"/>
      <c r="K425" s="1"/>
      <c r="L425" s="1"/>
      <c r="M425" s="1"/>
      <c r="N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G426" s="1"/>
      <c r="H426" s="1"/>
      <c r="J426" s="1"/>
      <c r="K426" s="1"/>
      <c r="L426" s="1"/>
      <c r="M426" s="1"/>
      <c r="N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G427" s="1"/>
      <c r="H427" s="1"/>
      <c r="J427" s="1"/>
      <c r="K427" s="1"/>
      <c r="L427" s="1"/>
      <c r="M427" s="1"/>
      <c r="N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G428" s="1"/>
      <c r="H428" s="1"/>
      <c r="J428" s="1"/>
      <c r="K428" s="1"/>
      <c r="L428" s="1"/>
      <c r="M428" s="1"/>
      <c r="N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G429" s="1"/>
      <c r="H429" s="1"/>
      <c r="J429" s="1"/>
      <c r="K429" s="1"/>
      <c r="L429" s="1"/>
      <c r="M429" s="1"/>
      <c r="N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G430" s="1"/>
      <c r="H430" s="1"/>
      <c r="J430" s="1"/>
      <c r="K430" s="1"/>
      <c r="L430" s="1"/>
      <c r="M430" s="1"/>
      <c r="N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G431" s="1"/>
      <c r="H431" s="1"/>
      <c r="J431" s="1"/>
      <c r="K431" s="1"/>
      <c r="L431" s="1"/>
      <c r="M431" s="1"/>
      <c r="N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G432" s="1"/>
      <c r="H432" s="1"/>
      <c r="J432" s="1"/>
      <c r="K432" s="1"/>
      <c r="L432" s="1"/>
      <c r="M432" s="1"/>
      <c r="N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G433" s="1"/>
      <c r="H433" s="1"/>
      <c r="J433" s="1"/>
      <c r="K433" s="1"/>
      <c r="L433" s="1"/>
      <c r="M433" s="1"/>
      <c r="N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G434" s="1"/>
      <c r="H434" s="1"/>
      <c r="J434" s="1"/>
      <c r="K434" s="1"/>
      <c r="L434" s="1"/>
      <c r="M434" s="1"/>
      <c r="N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G435" s="1"/>
      <c r="H435" s="1"/>
      <c r="J435" s="1"/>
      <c r="K435" s="1"/>
      <c r="L435" s="1"/>
      <c r="M435" s="1"/>
      <c r="N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G436" s="1"/>
      <c r="H436" s="1"/>
      <c r="J436" s="1"/>
      <c r="K436" s="1"/>
      <c r="L436" s="1"/>
      <c r="M436" s="1"/>
      <c r="N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G437" s="1"/>
      <c r="H437" s="1"/>
      <c r="J437" s="1"/>
      <c r="K437" s="1"/>
      <c r="L437" s="1"/>
      <c r="M437" s="1"/>
      <c r="N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G438" s="1"/>
      <c r="H438" s="1"/>
      <c r="J438" s="1"/>
      <c r="K438" s="1"/>
      <c r="L438" s="1"/>
      <c r="M438" s="1"/>
      <c r="N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G439" s="1"/>
      <c r="H439" s="1"/>
      <c r="J439" s="1"/>
      <c r="K439" s="1"/>
      <c r="L439" s="1"/>
      <c r="M439" s="1"/>
      <c r="N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G440" s="1"/>
      <c r="H440" s="1"/>
      <c r="J440" s="1"/>
      <c r="K440" s="1"/>
      <c r="L440" s="1"/>
      <c r="M440" s="1"/>
      <c r="N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G441" s="1"/>
      <c r="H441" s="1"/>
      <c r="J441" s="1"/>
      <c r="K441" s="1"/>
      <c r="L441" s="1"/>
      <c r="M441" s="1"/>
      <c r="N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G442" s="1"/>
      <c r="H442" s="1"/>
      <c r="J442" s="1"/>
      <c r="K442" s="1"/>
      <c r="L442" s="1"/>
      <c r="M442" s="1"/>
      <c r="N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G443" s="1"/>
      <c r="H443" s="1"/>
      <c r="J443" s="1"/>
      <c r="K443" s="1"/>
      <c r="L443" s="1"/>
      <c r="M443" s="1"/>
      <c r="N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G444" s="1"/>
      <c r="H444" s="1"/>
      <c r="J444" s="1"/>
      <c r="K444" s="1"/>
      <c r="L444" s="1"/>
      <c r="M444" s="1"/>
      <c r="N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G445" s="1"/>
      <c r="H445" s="1"/>
      <c r="J445" s="1"/>
      <c r="K445" s="1"/>
      <c r="L445" s="1"/>
      <c r="M445" s="1"/>
      <c r="N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G446" s="1"/>
      <c r="H446" s="1"/>
      <c r="J446" s="1"/>
      <c r="K446" s="1"/>
      <c r="L446" s="1"/>
      <c r="M446" s="1"/>
      <c r="N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G447" s="1"/>
      <c r="H447" s="1"/>
      <c r="J447" s="1"/>
      <c r="K447" s="1"/>
      <c r="L447" s="1"/>
      <c r="M447" s="1"/>
      <c r="N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G448" s="1"/>
      <c r="H448" s="1"/>
      <c r="J448" s="1"/>
      <c r="K448" s="1"/>
      <c r="L448" s="1"/>
      <c r="M448" s="1"/>
      <c r="N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G449" s="1"/>
      <c r="H449" s="1"/>
      <c r="J449" s="1"/>
      <c r="K449" s="1"/>
      <c r="L449" s="1"/>
      <c r="M449" s="1"/>
      <c r="N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G450" s="1"/>
      <c r="H450" s="1"/>
      <c r="J450" s="1"/>
      <c r="K450" s="1"/>
      <c r="L450" s="1"/>
      <c r="M450" s="1"/>
      <c r="N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G451" s="1"/>
      <c r="H451" s="1"/>
      <c r="J451" s="1"/>
      <c r="K451" s="1"/>
      <c r="L451" s="1"/>
      <c r="M451" s="1"/>
      <c r="N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G452" s="1"/>
      <c r="H452" s="1"/>
      <c r="J452" s="1"/>
      <c r="K452" s="1"/>
      <c r="L452" s="1"/>
      <c r="M452" s="1"/>
      <c r="N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G453" s="1"/>
      <c r="H453" s="1"/>
      <c r="J453" s="1"/>
      <c r="K453" s="1"/>
      <c r="L453" s="1"/>
      <c r="M453" s="1"/>
      <c r="N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G454" s="1"/>
      <c r="H454" s="1"/>
      <c r="J454" s="1"/>
      <c r="K454" s="1"/>
      <c r="L454" s="1"/>
      <c r="M454" s="1"/>
      <c r="N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G455" s="1"/>
      <c r="H455" s="1"/>
      <c r="J455" s="1"/>
      <c r="K455" s="1"/>
      <c r="L455" s="1"/>
      <c r="M455" s="1"/>
      <c r="N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G456" s="1"/>
      <c r="H456" s="1"/>
      <c r="J456" s="1"/>
      <c r="K456" s="1"/>
      <c r="L456" s="1"/>
      <c r="M456" s="1"/>
      <c r="N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G457" s="1"/>
      <c r="H457" s="1"/>
      <c r="J457" s="1"/>
      <c r="K457" s="1"/>
      <c r="L457" s="1"/>
      <c r="M457" s="1"/>
      <c r="N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G458" s="1"/>
      <c r="H458" s="1"/>
      <c r="J458" s="1"/>
      <c r="K458" s="1"/>
      <c r="L458" s="1"/>
      <c r="M458" s="1"/>
      <c r="N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G459" s="1"/>
      <c r="H459" s="1"/>
      <c r="J459" s="1"/>
      <c r="K459" s="1"/>
      <c r="L459" s="1"/>
      <c r="M459" s="1"/>
      <c r="N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G460" s="1"/>
      <c r="H460" s="1"/>
      <c r="J460" s="1"/>
      <c r="K460" s="1"/>
      <c r="L460" s="1"/>
      <c r="M460" s="1"/>
      <c r="N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G461" s="1"/>
      <c r="H461" s="1"/>
      <c r="J461" s="1"/>
      <c r="K461" s="1"/>
      <c r="L461" s="1"/>
      <c r="M461" s="1"/>
      <c r="N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G462" s="1"/>
      <c r="H462" s="1"/>
      <c r="J462" s="1"/>
      <c r="K462" s="1"/>
      <c r="L462" s="1"/>
      <c r="M462" s="1"/>
      <c r="N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G463" s="1"/>
      <c r="H463" s="1"/>
      <c r="J463" s="1"/>
      <c r="K463" s="1"/>
      <c r="L463" s="1"/>
      <c r="M463" s="1"/>
      <c r="N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G464" s="1"/>
      <c r="H464" s="1"/>
      <c r="J464" s="1"/>
      <c r="K464" s="1"/>
      <c r="L464" s="1"/>
      <c r="M464" s="1"/>
      <c r="N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G465" s="1"/>
      <c r="H465" s="1"/>
      <c r="J465" s="1"/>
      <c r="K465" s="1"/>
      <c r="L465" s="1"/>
      <c r="M465" s="1"/>
      <c r="N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G466" s="1"/>
      <c r="H466" s="1"/>
      <c r="J466" s="1"/>
      <c r="K466" s="1"/>
      <c r="L466" s="1"/>
      <c r="M466" s="1"/>
      <c r="N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G467" s="1"/>
      <c r="H467" s="1"/>
      <c r="J467" s="1"/>
      <c r="K467" s="1"/>
      <c r="L467" s="1"/>
      <c r="M467" s="1"/>
      <c r="N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G468" s="1"/>
      <c r="H468" s="1"/>
      <c r="J468" s="1"/>
      <c r="K468" s="1"/>
      <c r="L468" s="1"/>
      <c r="M468" s="1"/>
      <c r="N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G469" s="1"/>
      <c r="H469" s="1"/>
      <c r="J469" s="1"/>
      <c r="K469" s="1"/>
      <c r="L469" s="1"/>
      <c r="M469" s="1"/>
      <c r="N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G470" s="1"/>
      <c r="H470" s="1"/>
      <c r="J470" s="1"/>
      <c r="K470" s="1"/>
      <c r="L470" s="1"/>
      <c r="M470" s="1"/>
      <c r="N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G471" s="1"/>
      <c r="H471" s="1"/>
      <c r="J471" s="1"/>
      <c r="K471" s="1"/>
      <c r="L471" s="1"/>
      <c r="M471" s="1"/>
      <c r="N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G472" s="1"/>
      <c r="H472" s="1"/>
      <c r="J472" s="1"/>
      <c r="K472" s="1"/>
      <c r="L472" s="1"/>
      <c r="M472" s="1"/>
      <c r="N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G473" s="1"/>
      <c r="H473" s="1"/>
      <c r="J473" s="1"/>
      <c r="K473" s="1"/>
      <c r="L473" s="1"/>
      <c r="M473" s="1"/>
      <c r="N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G474" s="1"/>
      <c r="H474" s="1"/>
      <c r="J474" s="1"/>
      <c r="K474" s="1"/>
      <c r="L474" s="1"/>
      <c r="M474" s="1"/>
      <c r="N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G475" s="1"/>
      <c r="H475" s="1"/>
      <c r="J475" s="1"/>
      <c r="K475" s="1"/>
      <c r="L475" s="1"/>
      <c r="M475" s="1"/>
      <c r="N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G476" s="1"/>
      <c r="H476" s="1"/>
      <c r="J476" s="1"/>
      <c r="K476" s="1"/>
      <c r="L476" s="1"/>
      <c r="M476" s="1"/>
      <c r="N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G477" s="1"/>
      <c r="H477" s="1"/>
      <c r="J477" s="1"/>
      <c r="K477" s="1"/>
      <c r="L477" s="1"/>
      <c r="M477" s="1"/>
      <c r="N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G478" s="1"/>
      <c r="H478" s="1"/>
      <c r="J478" s="1"/>
      <c r="K478" s="1"/>
      <c r="L478" s="1"/>
      <c r="M478" s="1"/>
      <c r="N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G479" s="1"/>
      <c r="H479" s="1"/>
      <c r="J479" s="1"/>
      <c r="K479" s="1"/>
      <c r="L479" s="1"/>
      <c r="M479" s="1"/>
      <c r="N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G480" s="1"/>
      <c r="H480" s="1"/>
      <c r="J480" s="1"/>
      <c r="K480" s="1"/>
      <c r="L480" s="1"/>
      <c r="M480" s="1"/>
      <c r="N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G481" s="1"/>
      <c r="H481" s="1"/>
      <c r="J481" s="1"/>
      <c r="K481" s="1"/>
      <c r="L481" s="1"/>
      <c r="M481" s="1"/>
      <c r="N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G482" s="1"/>
      <c r="H482" s="1"/>
      <c r="J482" s="1"/>
      <c r="K482" s="1"/>
      <c r="L482" s="1"/>
      <c r="M482" s="1"/>
      <c r="N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G483" s="1"/>
      <c r="H483" s="1"/>
      <c r="J483" s="1"/>
      <c r="K483" s="1"/>
      <c r="L483" s="1"/>
      <c r="M483" s="1"/>
      <c r="N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G484" s="1"/>
      <c r="H484" s="1"/>
      <c r="J484" s="1"/>
      <c r="K484" s="1"/>
      <c r="L484" s="1"/>
      <c r="M484" s="1"/>
      <c r="N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G485" s="1"/>
      <c r="H485" s="1"/>
      <c r="J485" s="1"/>
      <c r="K485" s="1"/>
      <c r="L485" s="1"/>
      <c r="M485" s="1"/>
      <c r="N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G486" s="1"/>
      <c r="H486" s="1"/>
      <c r="J486" s="1"/>
      <c r="K486" s="1"/>
      <c r="L486" s="1"/>
      <c r="M486" s="1"/>
      <c r="N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G487" s="1"/>
      <c r="H487" s="1"/>
      <c r="J487" s="1"/>
      <c r="K487" s="1"/>
      <c r="L487" s="1"/>
      <c r="M487" s="1"/>
      <c r="N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G488" s="1"/>
      <c r="H488" s="1"/>
      <c r="J488" s="1"/>
      <c r="K488" s="1"/>
      <c r="L488" s="1"/>
      <c r="M488" s="1"/>
      <c r="N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G489" s="1"/>
      <c r="H489" s="1"/>
      <c r="J489" s="1"/>
      <c r="K489" s="1"/>
      <c r="L489" s="1"/>
      <c r="M489" s="1"/>
      <c r="N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G490" s="1"/>
      <c r="H490" s="1"/>
      <c r="J490" s="1"/>
      <c r="K490" s="1"/>
      <c r="L490" s="1"/>
      <c r="M490" s="1"/>
      <c r="N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G491" s="1"/>
      <c r="H491" s="1"/>
      <c r="J491" s="1"/>
      <c r="K491" s="1"/>
      <c r="L491" s="1"/>
      <c r="M491" s="1"/>
      <c r="N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G492" s="1"/>
      <c r="H492" s="1"/>
      <c r="J492" s="1"/>
      <c r="K492" s="1"/>
      <c r="L492" s="1"/>
      <c r="M492" s="1"/>
      <c r="N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G493" s="1"/>
      <c r="H493" s="1"/>
      <c r="J493" s="1"/>
      <c r="K493" s="1"/>
      <c r="L493" s="1"/>
      <c r="M493" s="1"/>
      <c r="N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G494" s="1"/>
      <c r="H494" s="1"/>
      <c r="J494" s="1"/>
      <c r="K494" s="1"/>
      <c r="L494" s="1"/>
      <c r="M494" s="1"/>
      <c r="N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G495" s="1"/>
      <c r="H495" s="1"/>
      <c r="J495" s="1"/>
      <c r="K495" s="1"/>
      <c r="L495" s="1"/>
      <c r="M495" s="1"/>
      <c r="N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G496" s="1"/>
      <c r="H496" s="1"/>
      <c r="J496" s="1"/>
      <c r="K496" s="1"/>
      <c r="L496" s="1"/>
      <c r="M496" s="1"/>
      <c r="N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G497" s="1"/>
      <c r="H497" s="1"/>
      <c r="J497" s="1"/>
      <c r="K497" s="1"/>
      <c r="L497" s="1"/>
      <c r="M497" s="1"/>
      <c r="N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G498" s="1"/>
      <c r="H498" s="1"/>
      <c r="J498" s="1"/>
      <c r="K498" s="1"/>
      <c r="L498" s="1"/>
      <c r="M498" s="1"/>
      <c r="N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G499" s="1"/>
      <c r="H499" s="1"/>
      <c r="J499" s="1"/>
      <c r="K499" s="1"/>
      <c r="L499" s="1"/>
      <c r="M499" s="1"/>
      <c r="N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G500" s="1"/>
      <c r="H500" s="1"/>
      <c r="J500" s="1"/>
      <c r="K500" s="1"/>
      <c r="L500" s="1"/>
      <c r="M500" s="1"/>
      <c r="N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G501" s="1"/>
      <c r="H501" s="1"/>
      <c r="J501" s="1"/>
      <c r="K501" s="1"/>
      <c r="L501" s="1"/>
      <c r="M501" s="1"/>
      <c r="N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G502" s="1"/>
      <c r="H502" s="1"/>
      <c r="J502" s="1"/>
      <c r="K502" s="1"/>
      <c r="L502" s="1"/>
      <c r="M502" s="1"/>
      <c r="N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G503" s="1"/>
      <c r="H503" s="1"/>
      <c r="J503" s="1"/>
      <c r="K503" s="1"/>
      <c r="L503" s="1"/>
      <c r="M503" s="1"/>
      <c r="N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G504" s="1"/>
      <c r="H504" s="1"/>
      <c r="J504" s="1"/>
      <c r="K504" s="1"/>
      <c r="L504" s="1"/>
      <c r="M504" s="1"/>
      <c r="N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G505" s="1"/>
      <c r="H505" s="1"/>
      <c r="J505" s="1"/>
      <c r="K505" s="1"/>
      <c r="L505" s="1"/>
      <c r="M505" s="1"/>
      <c r="N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G506" s="1"/>
      <c r="H506" s="1"/>
      <c r="J506" s="1"/>
      <c r="K506" s="1"/>
      <c r="L506" s="1"/>
      <c r="M506" s="1"/>
      <c r="N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G507" s="1"/>
      <c r="H507" s="1"/>
      <c r="J507" s="1"/>
      <c r="K507" s="1"/>
      <c r="L507" s="1"/>
      <c r="M507" s="1"/>
      <c r="N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G508" s="1"/>
      <c r="H508" s="1"/>
      <c r="J508" s="1"/>
      <c r="K508" s="1"/>
      <c r="L508" s="1"/>
      <c r="M508" s="1"/>
      <c r="N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G509" s="1"/>
      <c r="H509" s="1"/>
      <c r="J509" s="1"/>
      <c r="K509" s="1"/>
      <c r="L509" s="1"/>
      <c r="M509" s="1"/>
      <c r="N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G510" s="1"/>
      <c r="H510" s="1"/>
      <c r="J510" s="1"/>
      <c r="K510" s="1"/>
      <c r="L510" s="1"/>
      <c r="M510" s="1"/>
      <c r="N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G511" s="1"/>
      <c r="H511" s="1"/>
      <c r="J511" s="1"/>
      <c r="K511" s="1"/>
      <c r="L511" s="1"/>
      <c r="M511" s="1"/>
      <c r="N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G512" s="1"/>
      <c r="H512" s="1"/>
      <c r="J512" s="1"/>
      <c r="K512" s="1"/>
      <c r="L512" s="1"/>
      <c r="M512" s="1"/>
      <c r="N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G513" s="1"/>
      <c r="H513" s="1"/>
      <c r="J513" s="1"/>
      <c r="K513" s="1"/>
      <c r="L513" s="1"/>
      <c r="M513" s="1"/>
      <c r="N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G514" s="1"/>
      <c r="H514" s="1"/>
      <c r="J514" s="1"/>
      <c r="K514" s="1"/>
      <c r="L514" s="1"/>
      <c r="M514" s="1"/>
      <c r="N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G515" s="1"/>
      <c r="H515" s="1"/>
      <c r="J515" s="1"/>
      <c r="K515" s="1"/>
      <c r="L515" s="1"/>
      <c r="M515" s="1"/>
      <c r="N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G516" s="1"/>
      <c r="H516" s="1"/>
      <c r="J516" s="1"/>
      <c r="K516" s="1"/>
      <c r="L516" s="1"/>
      <c r="M516" s="1"/>
      <c r="N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G517" s="1"/>
      <c r="H517" s="1"/>
      <c r="J517" s="1"/>
      <c r="K517" s="1"/>
      <c r="L517" s="1"/>
      <c r="M517" s="1"/>
      <c r="N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G518" s="1"/>
      <c r="H518" s="1"/>
      <c r="J518" s="1"/>
      <c r="K518" s="1"/>
      <c r="L518" s="1"/>
      <c r="M518" s="1"/>
      <c r="N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G519" s="1"/>
      <c r="H519" s="1"/>
      <c r="J519" s="1"/>
      <c r="K519" s="1"/>
      <c r="L519" s="1"/>
      <c r="M519" s="1"/>
      <c r="N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G520" s="1"/>
      <c r="H520" s="1"/>
      <c r="J520" s="1"/>
      <c r="K520" s="1"/>
      <c r="L520" s="1"/>
      <c r="M520" s="1"/>
      <c r="N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G521" s="1"/>
      <c r="H521" s="1"/>
      <c r="J521" s="1"/>
      <c r="K521" s="1"/>
      <c r="L521" s="1"/>
      <c r="M521" s="1"/>
      <c r="N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G522" s="1"/>
      <c r="H522" s="1"/>
      <c r="J522" s="1"/>
      <c r="K522" s="1"/>
      <c r="L522" s="1"/>
      <c r="M522" s="1"/>
      <c r="N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G523" s="1"/>
      <c r="H523" s="1"/>
      <c r="J523" s="1"/>
      <c r="K523" s="1"/>
      <c r="L523" s="1"/>
      <c r="M523" s="1"/>
      <c r="N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G524" s="1"/>
      <c r="H524" s="1"/>
      <c r="J524" s="1"/>
      <c r="K524" s="1"/>
      <c r="L524" s="1"/>
      <c r="M524" s="1"/>
      <c r="N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G525" s="1"/>
      <c r="H525" s="1"/>
      <c r="J525" s="1"/>
      <c r="K525" s="1"/>
      <c r="L525" s="1"/>
      <c r="M525" s="1"/>
      <c r="N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G526" s="1"/>
      <c r="H526" s="1"/>
      <c r="J526" s="1"/>
      <c r="K526" s="1"/>
      <c r="L526" s="1"/>
      <c r="M526" s="1"/>
      <c r="N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G527" s="1"/>
      <c r="H527" s="1"/>
      <c r="J527" s="1"/>
      <c r="K527" s="1"/>
      <c r="L527" s="1"/>
      <c r="M527" s="1"/>
      <c r="N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G528" s="1"/>
      <c r="H528" s="1"/>
      <c r="J528" s="1"/>
      <c r="K528" s="1"/>
      <c r="L528" s="1"/>
      <c r="M528" s="1"/>
      <c r="N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G529" s="1"/>
      <c r="H529" s="1"/>
      <c r="J529" s="1"/>
      <c r="K529" s="1"/>
      <c r="L529" s="1"/>
      <c r="M529" s="1"/>
      <c r="N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G530" s="1"/>
      <c r="H530" s="1"/>
      <c r="J530" s="1"/>
      <c r="K530" s="1"/>
      <c r="L530" s="1"/>
      <c r="M530" s="1"/>
      <c r="N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G531" s="1"/>
      <c r="H531" s="1"/>
      <c r="J531" s="1"/>
      <c r="K531" s="1"/>
      <c r="L531" s="1"/>
      <c r="M531" s="1"/>
      <c r="N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G532" s="1"/>
      <c r="H532" s="1"/>
      <c r="J532" s="1"/>
      <c r="K532" s="1"/>
      <c r="L532" s="1"/>
      <c r="M532" s="1"/>
      <c r="N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G533" s="1"/>
      <c r="H533" s="1"/>
      <c r="J533" s="1"/>
      <c r="K533" s="1"/>
      <c r="L533" s="1"/>
      <c r="M533" s="1"/>
      <c r="N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G534" s="1"/>
      <c r="H534" s="1"/>
      <c r="J534" s="1"/>
      <c r="K534" s="1"/>
      <c r="L534" s="1"/>
      <c r="M534" s="1"/>
      <c r="N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G535" s="1"/>
      <c r="H535" s="1"/>
      <c r="J535" s="1"/>
      <c r="K535" s="1"/>
      <c r="L535" s="1"/>
      <c r="M535" s="1"/>
      <c r="N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G536" s="1"/>
      <c r="H536" s="1"/>
      <c r="J536" s="1"/>
      <c r="K536" s="1"/>
      <c r="L536" s="1"/>
      <c r="M536" s="1"/>
      <c r="N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G537" s="1"/>
      <c r="H537" s="1"/>
      <c r="J537" s="1"/>
      <c r="K537" s="1"/>
      <c r="L537" s="1"/>
      <c r="M537" s="1"/>
      <c r="N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G538" s="1"/>
      <c r="H538" s="1"/>
      <c r="J538" s="1"/>
      <c r="K538" s="1"/>
      <c r="L538" s="1"/>
      <c r="M538" s="1"/>
      <c r="N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G539" s="1"/>
      <c r="H539" s="1"/>
      <c r="J539" s="1"/>
      <c r="K539" s="1"/>
      <c r="L539" s="1"/>
      <c r="M539" s="1"/>
      <c r="N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G540" s="1"/>
      <c r="H540" s="1"/>
      <c r="J540" s="1"/>
      <c r="K540" s="1"/>
      <c r="L540" s="1"/>
      <c r="M540" s="1"/>
      <c r="N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G541" s="1"/>
      <c r="H541" s="1"/>
      <c r="J541" s="1"/>
      <c r="K541" s="1"/>
      <c r="L541" s="1"/>
      <c r="M541" s="1"/>
      <c r="N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G542" s="1"/>
      <c r="H542" s="1"/>
      <c r="J542" s="1"/>
      <c r="K542" s="1"/>
      <c r="L542" s="1"/>
      <c r="M542" s="1"/>
      <c r="N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G543" s="1"/>
      <c r="H543" s="1"/>
      <c r="J543" s="1"/>
      <c r="K543" s="1"/>
      <c r="L543" s="1"/>
      <c r="M543" s="1"/>
      <c r="N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G544" s="1"/>
      <c r="H544" s="1"/>
      <c r="J544" s="1"/>
      <c r="K544" s="1"/>
      <c r="L544" s="1"/>
      <c r="M544" s="1"/>
      <c r="N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G545" s="1"/>
      <c r="H545" s="1"/>
      <c r="J545" s="1"/>
      <c r="K545" s="1"/>
      <c r="L545" s="1"/>
      <c r="M545" s="1"/>
      <c r="N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G546" s="1"/>
      <c r="H546" s="1"/>
      <c r="J546" s="1"/>
      <c r="K546" s="1"/>
      <c r="L546" s="1"/>
      <c r="M546" s="1"/>
      <c r="N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G547" s="1"/>
      <c r="H547" s="1"/>
      <c r="J547" s="1"/>
      <c r="K547" s="1"/>
      <c r="L547" s="1"/>
      <c r="M547" s="1"/>
      <c r="N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G548" s="1"/>
      <c r="H548" s="1"/>
      <c r="J548" s="1"/>
      <c r="K548" s="1"/>
      <c r="L548" s="1"/>
      <c r="M548" s="1"/>
      <c r="N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G549" s="1"/>
      <c r="H549" s="1"/>
      <c r="J549" s="1"/>
      <c r="K549" s="1"/>
      <c r="L549" s="1"/>
      <c r="M549" s="1"/>
      <c r="N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G550" s="1"/>
      <c r="H550" s="1"/>
      <c r="J550" s="1"/>
      <c r="K550" s="1"/>
      <c r="L550" s="1"/>
      <c r="M550" s="1"/>
      <c r="N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G551" s="1"/>
      <c r="H551" s="1"/>
      <c r="J551" s="1"/>
      <c r="K551" s="1"/>
      <c r="L551" s="1"/>
      <c r="M551" s="1"/>
      <c r="N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G552" s="1"/>
      <c r="H552" s="1"/>
      <c r="J552" s="1"/>
      <c r="K552" s="1"/>
      <c r="L552" s="1"/>
      <c r="M552" s="1"/>
      <c r="N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G553" s="1"/>
      <c r="H553" s="1"/>
      <c r="J553" s="1"/>
      <c r="K553" s="1"/>
      <c r="L553" s="1"/>
      <c r="M553" s="1"/>
      <c r="N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G554" s="1"/>
      <c r="H554" s="1"/>
      <c r="J554" s="1"/>
      <c r="K554" s="1"/>
      <c r="L554" s="1"/>
      <c r="M554" s="1"/>
      <c r="N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G555" s="1"/>
      <c r="H555" s="1"/>
      <c r="J555" s="1"/>
      <c r="K555" s="1"/>
      <c r="L555" s="1"/>
      <c r="M555" s="1"/>
      <c r="N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G556" s="1"/>
      <c r="H556" s="1"/>
      <c r="J556" s="1"/>
      <c r="K556" s="1"/>
      <c r="L556" s="1"/>
      <c r="M556" s="1"/>
      <c r="N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G557" s="1"/>
      <c r="H557" s="1"/>
      <c r="J557" s="1"/>
      <c r="K557" s="1"/>
      <c r="L557" s="1"/>
      <c r="M557" s="1"/>
      <c r="N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G558" s="1"/>
      <c r="H558" s="1"/>
      <c r="J558" s="1"/>
      <c r="K558" s="1"/>
      <c r="L558" s="1"/>
      <c r="M558" s="1"/>
      <c r="N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G559" s="1"/>
      <c r="H559" s="1"/>
      <c r="J559" s="1"/>
      <c r="K559" s="1"/>
      <c r="L559" s="1"/>
      <c r="M559" s="1"/>
      <c r="N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G560" s="1"/>
      <c r="H560" s="1"/>
      <c r="J560" s="1"/>
      <c r="K560" s="1"/>
      <c r="L560" s="1"/>
      <c r="M560" s="1"/>
      <c r="N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G561" s="1"/>
      <c r="H561" s="1"/>
      <c r="J561" s="1"/>
      <c r="K561" s="1"/>
      <c r="L561" s="1"/>
      <c r="M561" s="1"/>
      <c r="N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G562" s="1"/>
      <c r="H562" s="1"/>
      <c r="J562" s="1"/>
      <c r="K562" s="1"/>
      <c r="L562" s="1"/>
      <c r="M562" s="1"/>
      <c r="N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G563" s="1"/>
      <c r="H563" s="1"/>
      <c r="J563" s="1"/>
      <c r="K563" s="1"/>
      <c r="L563" s="1"/>
      <c r="M563" s="1"/>
      <c r="N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G564" s="1"/>
      <c r="H564" s="1"/>
      <c r="J564" s="1"/>
      <c r="K564" s="1"/>
      <c r="L564" s="1"/>
      <c r="M564" s="1"/>
      <c r="N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G565" s="1"/>
      <c r="H565" s="1"/>
      <c r="J565" s="1"/>
      <c r="K565" s="1"/>
      <c r="L565" s="1"/>
      <c r="M565" s="1"/>
      <c r="N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G566" s="1"/>
      <c r="H566" s="1"/>
      <c r="J566" s="1"/>
      <c r="K566" s="1"/>
      <c r="L566" s="1"/>
      <c r="M566" s="1"/>
      <c r="N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G567" s="1"/>
      <c r="H567" s="1"/>
      <c r="J567" s="1"/>
      <c r="K567" s="1"/>
      <c r="L567" s="1"/>
      <c r="M567" s="1"/>
      <c r="N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G568" s="1"/>
      <c r="H568" s="1"/>
      <c r="J568" s="1"/>
      <c r="K568" s="1"/>
      <c r="L568" s="1"/>
      <c r="M568" s="1"/>
      <c r="N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G569" s="1"/>
      <c r="H569" s="1"/>
      <c r="J569" s="1"/>
      <c r="K569" s="1"/>
      <c r="L569" s="1"/>
      <c r="M569" s="1"/>
      <c r="N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G570" s="1"/>
      <c r="H570" s="1"/>
      <c r="J570" s="1"/>
      <c r="K570" s="1"/>
      <c r="L570" s="1"/>
      <c r="M570" s="1"/>
      <c r="N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G571" s="1"/>
      <c r="H571" s="1"/>
      <c r="J571" s="1"/>
      <c r="K571" s="1"/>
      <c r="L571" s="1"/>
      <c r="M571" s="1"/>
      <c r="N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G572" s="1"/>
      <c r="H572" s="1"/>
      <c r="J572" s="1"/>
      <c r="K572" s="1"/>
      <c r="L572" s="1"/>
      <c r="M572" s="1"/>
      <c r="N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G573" s="1"/>
      <c r="H573" s="1"/>
      <c r="J573" s="1"/>
      <c r="K573" s="1"/>
      <c r="L573" s="1"/>
      <c r="M573" s="1"/>
      <c r="N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G574" s="1"/>
      <c r="H574" s="1"/>
      <c r="J574" s="1"/>
      <c r="K574" s="1"/>
      <c r="L574" s="1"/>
      <c r="M574" s="1"/>
      <c r="N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G575" s="1"/>
      <c r="H575" s="1"/>
      <c r="J575" s="1"/>
      <c r="K575" s="1"/>
      <c r="L575" s="1"/>
      <c r="M575" s="1"/>
      <c r="N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G576" s="1"/>
      <c r="H576" s="1"/>
      <c r="J576" s="1"/>
      <c r="K576" s="1"/>
      <c r="L576" s="1"/>
      <c r="M576" s="1"/>
      <c r="N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G577" s="1"/>
      <c r="H577" s="1"/>
      <c r="J577" s="1"/>
      <c r="K577" s="1"/>
      <c r="L577" s="1"/>
      <c r="M577" s="1"/>
      <c r="N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G578" s="1"/>
      <c r="H578" s="1"/>
      <c r="J578" s="1"/>
      <c r="K578" s="1"/>
      <c r="L578" s="1"/>
      <c r="M578" s="1"/>
      <c r="N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G579" s="1"/>
      <c r="H579" s="1"/>
      <c r="J579" s="1"/>
      <c r="K579" s="1"/>
      <c r="L579" s="1"/>
      <c r="M579" s="1"/>
      <c r="N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G580" s="1"/>
      <c r="H580" s="1"/>
      <c r="J580" s="1"/>
      <c r="K580" s="1"/>
      <c r="L580" s="1"/>
      <c r="M580" s="1"/>
      <c r="N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G581" s="1"/>
      <c r="H581" s="1"/>
      <c r="J581" s="1"/>
      <c r="K581" s="1"/>
      <c r="L581" s="1"/>
      <c r="M581" s="1"/>
      <c r="N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G582" s="1"/>
      <c r="H582" s="1"/>
      <c r="J582" s="1"/>
      <c r="K582" s="1"/>
      <c r="L582" s="1"/>
      <c r="M582" s="1"/>
      <c r="N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G583" s="1"/>
      <c r="H583" s="1"/>
      <c r="J583" s="1"/>
      <c r="K583" s="1"/>
      <c r="L583" s="1"/>
      <c r="M583" s="1"/>
      <c r="N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G584" s="1"/>
      <c r="H584" s="1"/>
      <c r="J584" s="1"/>
      <c r="K584" s="1"/>
      <c r="L584" s="1"/>
      <c r="M584" s="1"/>
      <c r="N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G585" s="1"/>
      <c r="H585" s="1"/>
      <c r="J585" s="1"/>
      <c r="K585" s="1"/>
      <c r="L585" s="1"/>
      <c r="M585" s="1"/>
      <c r="N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G586" s="1"/>
      <c r="H586" s="1"/>
      <c r="J586" s="1"/>
      <c r="K586" s="1"/>
      <c r="L586" s="1"/>
      <c r="M586" s="1"/>
      <c r="N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G587" s="1"/>
      <c r="H587" s="1"/>
      <c r="J587" s="1"/>
      <c r="K587" s="1"/>
      <c r="L587" s="1"/>
      <c r="M587" s="1"/>
      <c r="N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G588" s="1"/>
      <c r="H588" s="1"/>
      <c r="J588" s="1"/>
      <c r="K588" s="1"/>
      <c r="L588" s="1"/>
      <c r="M588" s="1"/>
      <c r="N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G589" s="1"/>
      <c r="H589" s="1"/>
      <c r="J589" s="1"/>
      <c r="K589" s="1"/>
      <c r="L589" s="1"/>
      <c r="M589" s="1"/>
      <c r="N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G590" s="1"/>
      <c r="H590" s="1"/>
      <c r="J590" s="1"/>
      <c r="K590" s="1"/>
      <c r="L590" s="1"/>
      <c r="M590" s="1"/>
      <c r="N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G591" s="1"/>
      <c r="H591" s="1"/>
      <c r="J591" s="1"/>
      <c r="K591" s="1"/>
      <c r="L591" s="1"/>
      <c r="M591" s="1"/>
      <c r="N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G592" s="1"/>
      <c r="H592" s="1"/>
      <c r="J592" s="1"/>
      <c r="K592" s="1"/>
      <c r="L592" s="1"/>
      <c r="M592" s="1"/>
      <c r="N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G593" s="1"/>
      <c r="H593" s="1"/>
      <c r="J593" s="1"/>
      <c r="K593" s="1"/>
      <c r="L593" s="1"/>
      <c r="M593" s="1"/>
      <c r="N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G594" s="1"/>
      <c r="H594" s="1"/>
      <c r="J594" s="1"/>
      <c r="K594" s="1"/>
      <c r="L594" s="1"/>
      <c r="M594" s="1"/>
      <c r="N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G595" s="1"/>
      <c r="H595" s="1"/>
      <c r="J595" s="1"/>
      <c r="K595" s="1"/>
      <c r="L595" s="1"/>
      <c r="M595" s="1"/>
      <c r="N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G596" s="1"/>
      <c r="H596" s="1"/>
      <c r="J596" s="1"/>
      <c r="K596" s="1"/>
      <c r="L596" s="1"/>
      <c r="M596" s="1"/>
      <c r="N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G597" s="1"/>
      <c r="H597" s="1"/>
      <c r="J597" s="1"/>
      <c r="K597" s="1"/>
      <c r="L597" s="1"/>
      <c r="M597" s="1"/>
      <c r="N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G598" s="1"/>
      <c r="H598" s="1"/>
      <c r="J598" s="1"/>
      <c r="K598" s="1"/>
      <c r="L598" s="1"/>
      <c r="M598" s="1"/>
      <c r="N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G599" s="1"/>
      <c r="H599" s="1"/>
      <c r="J599" s="1"/>
      <c r="K599" s="1"/>
      <c r="L599" s="1"/>
      <c r="M599" s="1"/>
      <c r="N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G600" s="1"/>
      <c r="H600" s="1"/>
      <c r="J600" s="1"/>
      <c r="K600" s="1"/>
      <c r="L600" s="1"/>
      <c r="M600" s="1"/>
      <c r="N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G601" s="1"/>
      <c r="H601" s="1"/>
      <c r="J601" s="1"/>
      <c r="K601" s="1"/>
      <c r="L601" s="1"/>
      <c r="M601" s="1"/>
      <c r="N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G602" s="1"/>
      <c r="H602" s="1"/>
      <c r="J602" s="1"/>
      <c r="K602" s="1"/>
      <c r="L602" s="1"/>
      <c r="M602" s="1"/>
      <c r="N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G603" s="1"/>
      <c r="H603" s="1"/>
      <c r="J603" s="1"/>
      <c r="K603" s="1"/>
      <c r="L603" s="1"/>
      <c r="M603" s="1"/>
      <c r="N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G604" s="1"/>
      <c r="H604" s="1"/>
      <c r="J604" s="1"/>
      <c r="K604" s="1"/>
      <c r="L604" s="1"/>
      <c r="M604" s="1"/>
      <c r="N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G605" s="1"/>
      <c r="H605" s="1"/>
      <c r="J605" s="1"/>
      <c r="K605" s="1"/>
      <c r="L605" s="1"/>
      <c r="M605" s="1"/>
      <c r="N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G606" s="1"/>
      <c r="H606" s="1"/>
      <c r="J606" s="1"/>
      <c r="K606" s="1"/>
      <c r="L606" s="1"/>
      <c r="M606" s="1"/>
      <c r="N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G607" s="1"/>
      <c r="H607" s="1"/>
      <c r="J607" s="1"/>
      <c r="K607" s="1"/>
      <c r="L607" s="1"/>
      <c r="M607" s="1"/>
      <c r="N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G608" s="1"/>
      <c r="H608" s="1"/>
      <c r="J608" s="1"/>
      <c r="K608" s="1"/>
      <c r="L608" s="1"/>
      <c r="M608" s="1"/>
      <c r="N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G609" s="1"/>
      <c r="H609" s="1"/>
      <c r="J609" s="1"/>
      <c r="K609" s="1"/>
      <c r="L609" s="1"/>
      <c r="M609" s="1"/>
      <c r="N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G610" s="1"/>
      <c r="H610" s="1"/>
      <c r="J610" s="1"/>
      <c r="K610" s="1"/>
      <c r="L610" s="1"/>
      <c r="M610" s="1"/>
      <c r="N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G611" s="1"/>
      <c r="H611" s="1"/>
      <c r="J611" s="1"/>
      <c r="K611" s="1"/>
      <c r="L611" s="1"/>
      <c r="M611" s="1"/>
      <c r="N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G612" s="1"/>
      <c r="H612" s="1"/>
      <c r="J612" s="1"/>
      <c r="K612" s="1"/>
      <c r="L612" s="1"/>
      <c r="M612" s="1"/>
      <c r="N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G613" s="1"/>
      <c r="H613" s="1"/>
      <c r="J613" s="1"/>
      <c r="K613" s="1"/>
      <c r="L613" s="1"/>
      <c r="M613" s="1"/>
      <c r="N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G614" s="1"/>
      <c r="H614" s="1"/>
      <c r="J614" s="1"/>
      <c r="K614" s="1"/>
      <c r="L614" s="1"/>
      <c r="M614" s="1"/>
      <c r="N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G615" s="1"/>
      <c r="H615" s="1"/>
      <c r="J615" s="1"/>
      <c r="K615" s="1"/>
      <c r="L615" s="1"/>
      <c r="M615" s="1"/>
      <c r="N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G616" s="1"/>
      <c r="H616" s="1"/>
      <c r="J616" s="1"/>
      <c r="K616" s="1"/>
      <c r="L616" s="1"/>
      <c r="M616" s="1"/>
      <c r="N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G617" s="1"/>
      <c r="H617" s="1"/>
      <c r="J617" s="1"/>
      <c r="K617" s="1"/>
      <c r="L617" s="1"/>
      <c r="M617" s="1"/>
      <c r="N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G618" s="1"/>
      <c r="H618" s="1"/>
      <c r="J618" s="1"/>
      <c r="K618" s="1"/>
      <c r="L618" s="1"/>
      <c r="M618" s="1"/>
      <c r="N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G619" s="1"/>
      <c r="H619" s="1"/>
      <c r="J619" s="1"/>
      <c r="K619" s="1"/>
      <c r="L619" s="1"/>
      <c r="M619" s="1"/>
      <c r="N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G620" s="1"/>
      <c r="H620" s="1"/>
      <c r="J620" s="1"/>
      <c r="K620" s="1"/>
      <c r="L620" s="1"/>
      <c r="M620" s="1"/>
      <c r="N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G621" s="1"/>
      <c r="H621" s="1"/>
      <c r="J621" s="1"/>
      <c r="K621" s="1"/>
      <c r="L621" s="1"/>
      <c r="M621" s="1"/>
      <c r="N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G622" s="1"/>
      <c r="H622" s="1"/>
      <c r="J622" s="1"/>
      <c r="K622" s="1"/>
      <c r="L622" s="1"/>
      <c r="M622" s="1"/>
      <c r="N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G623" s="1"/>
      <c r="H623" s="1"/>
      <c r="J623" s="1"/>
      <c r="K623" s="1"/>
      <c r="L623" s="1"/>
      <c r="M623" s="1"/>
      <c r="N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G624" s="1"/>
      <c r="H624" s="1"/>
      <c r="J624" s="1"/>
      <c r="K624" s="1"/>
      <c r="L624" s="1"/>
      <c r="M624" s="1"/>
      <c r="N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G625" s="1"/>
      <c r="H625" s="1"/>
      <c r="J625" s="1"/>
      <c r="K625" s="1"/>
      <c r="L625" s="1"/>
      <c r="M625" s="1"/>
      <c r="N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G626" s="1"/>
      <c r="H626" s="1"/>
      <c r="J626" s="1"/>
      <c r="K626" s="1"/>
      <c r="L626" s="1"/>
      <c r="M626" s="1"/>
      <c r="N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G627" s="1"/>
      <c r="H627" s="1"/>
      <c r="J627" s="1"/>
      <c r="K627" s="1"/>
      <c r="L627" s="1"/>
      <c r="M627" s="1"/>
      <c r="N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G628" s="1"/>
      <c r="H628" s="1"/>
      <c r="J628" s="1"/>
      <c r="K628" s="1"/>
      <c r="L628" s="1"/>
      <c r="M628" s="1"/>
      <c r="N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G629" s="1"/>
      <c r="H629" s="1"/>
      <c r="J629" s="1"/>
      <c r="K629" s="1"/>
      <c r="L629" s="1"/>
      <c r="M629" s="1"/>
      <c r="N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G630" s="1"/>
      <c r="H630" s="1"/>
      <c r="J630" s="1"/>
      <c r="K630" s="1"/>
      <c r="L630" s="1"/>
      <c r="M630" s="1"/>
      <c r="N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G631" s="1"/>
      <c r="H631" s="1"/>
      <c r="J631" s="1"/>
      <c r="K631" s="1"/>
      <c r="L631" s="1"/>
      <c r="M631" s="1"/>
      <c r="N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G632" s="1"/>
      <c r="H632" s="1"/>
      <c r="J632" s="1"/>
      <c r="K632" s="1"/>
      <c r="L632" s="1"/>
      <c r="M632" s="1"/>
      <c r="N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G633" s="1"/>
      <c r="H633" s="1"/>
      <c r="J633" s="1"/>
      <c r="K633" s="1"/>
      <c r="L633" s="1"/>
      <c r="M633" s="1"/>
      <c r="N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G634" s="1"/>
      <c r="H634" s="1"/>
      <c r="J634" s="1"/>
      <c r="K634" s="1"/>
      <c r="L634" s="1"/>
      <c r="M634" s="1"/>
      <c r="N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G635" s="1"/>
      <c r="H635" s="1"/>
      <c r="J635" s="1"/>
      <c r="K635" s="1"/>
      <c r="L635" s="1"/>
      <c r="M635" s="1"/>
      <c r="N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G636" s="1"/>
      <c r="H636" s="1"/>
      <c r="J636" s="1"/>
      <c r="K636" s="1"/>
      <c r="L636" s="1"/>
      <c r="M636" s="1"/>
      <c r="N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G637" s="1"/>
      <c r="H637" s="1"/>
      <c r="J637" s="1"/>
      <c r="K637" s="1"/>
      <c r="L637" s="1"/>
      <c r="M637" s="1"/>
      <c r="N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G638" s="1"/>
      <c r="H638" s="1"/>
      <c r="J638" s="1"/>
      <c r="K638" s="1"/>
      <c r="L638" s="1"/>
      <c r="M638" s="1"/>
      <c r="N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G639" s="1"/>
      <c r="H639" s="1"/>
      <c r="J639" s="1"/>
      <c r="K639" s="1"/>
      <c r="L639" s="1"/>
      <c r="M639" s="1"/>
      <c r="N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G640" s="1"/>
      <c r="H640" s="1"/>
      <c r="J640" s="1"/>
      <c r="K640" s="1"/>
      <c r="L640" s="1"/>
      <c r="M640" s="1"/>
      <c r="N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G641" s="1"/>
      <c r="H641" s="1"/>
      <c r="J641" s="1"/>
      <c r="K641" s="1"/>
      <c r="L641" s="1"/>
      <c r="M641" s="1"/>
      <c r="N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G642" s="1"/>
      <c r="H642" s="1"/>
      <c r="J642" s="1"/>
      <c r="K642" s="1"/>
      <c r="L642" s="1"/>
      <c r="M642" s="1"/>
      <c r="N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G643" s="1"/>
      <c r="H643" s="1"/>
      <c r="J643" s="1"/>
      <c r="K643" s="1"/>
      <c r="L643" s="1"/>
      <c r="M643" s="1"/>
      <c r="N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G644" s="1"/>
      <c r="H644" s="1"/>
      <c r="J644" s="1"/>
      <c r="K644" s="1"/>
      <c r="L644" s="1"/>
      <c r="M644" s="1"/>
      <c r="N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G645" s="1"/>
      <c r="H645" s="1"/>
      <c r="J645" s="1"/>
      <c r="K645" s="1"/>
      <c r="L645" s="1"/>
      <c r="M645" s="1"/>
      <c r="N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G646" s="1"/>
      <c r="H646" s="1"/>
      <c r="J646" s="1"/>
      <c r="K646" s="1"/>
      <c r="L646" s="1"/>
      <c r="M646" s="1"/>
      <c r="N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G647" s="1"/>
      <c r="H647" s="1"/>
      <c r="J647" s="1"/>
      <c r="K647" s="1"/>
      <c r="L647" s="1"/>
      <c r="M647" s="1"/>
      <c r="N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G648" s="1"/>
      <c r="H648" s="1"/>
      <c r="J648" s="1"/>
      <c r="K648" s="1"/>
      <c r="L648" s="1"/>
      <c r="M648" s="1"/>
      <c r="N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G649" s="1"/>
      <c r="H649" s="1"/>
      <c r="J649" s="1"/>
      <c r="K649" s="1"/>
      <c r="L649" s="1"/>
      <c r="M649" s="1"/>
      <c r="N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G650" s="1"/>
      <c r="H650" s="1"/>
      <c r="J650" s="1"/>
      <c r="K650" s="1"/>
      <c r="L650" s="1"/>
      <c r="M650" s="1"/>
      <c r="N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G651" s="1"/>
      <c r="H651" s="1"/>
      <c r="J651" s="1"/>
      <c r="K651" s="1"/>
      <c r="L651" s="1"/>
      <c r="M651" s="1"/>
      <c r="N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G652" s="1"/>
      <c r="H652" s="1"/>
      <c r="J652" s="1"/>
      <c r="K652" s="1"/>
      <c r="L652" s="1"/>
      <c r="M652" s="1"/>
      <c r="N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G653" s="1"/>
      <c r="H653" s="1"/>
      <c r="J653" s="1"/>
      <c r="K653" s="1"/>
      <c r="L653" s="1"/>
      <c r="M653" s="1"/>
      <c r="N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G654" s="1"/>
      <c r="H654" s="1"/>
      <c r="J654" s="1"/>
      <c r="K654" s="1"/>
      <c r="L654" s="1"/>
      <c r="M654" s="1"/>
      <c r="N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G655" s="1"/>
      <c r="H655" s="1"/>
      <c r="J655" s="1"/>
      <c r="K655" s="1"/>
      <c r="L655" s="1"/>
      <c r="M655" s="1"/>
      <c r="N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G656" s="1"/>
      <c r="H656" s="1"/>
      <c r="J656" s="1"/>
      <c r="K656" s="1"/>
      <c r="L656" s="1"/>
      <c r="M656" s="1"/>
      <c r="N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G657" s="1"/>
      <c r="H657" s="1"/>
      <c r="J657" s="1"/>
      <c r="K657" s="1"/>
      <c r="L657" s="1"/>
      <c r="M657" s="1"/>
      <c r="N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G658" s="1"/>
      <c r="H658" s="1"/>
      <c r="J658" s="1"/>
      <c r="K658" s="1"/>
      <c r="L658" s="1"/>
      <c r="M658" s="1"/>
      <c r="N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G659" s="1"/>
      <c r="H659" s="1"/>
      <c r="J659" s="1"/>
      <c r="K659" s="1"/>
      <c r="L659" s="1"/>
      <c r="M659" s="1"/>
      <c r="N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G660" s="1"/>
      <c r="H660" s="1"/>
      <c r="J660" s="1"/>
      <c r="K660" s="1"/>
      <c r="L660" s="1"/>
      <c r="M660" s="1"/>
      <c r="N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G661" s="1"/>
      <c r="H661" s="1"/>
      <c r="J661" s="1"/>
      <c r="K661" s="1"/>
      <c r="L661" s="1"/>
      <c r="M661" s="1"/>
      <c r="N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G662" s="1"/>
      <c r="H662" s="1"/>
      <c r="J662" s="1"/>
      <c r="K662" s="1"/>
      <c r="L662" s="1"/>
      <c r="M662" s="1"/>
      <c r="N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G663" s="1"/>
      <c r="H663" s="1"/>
      <c r="J663" s="1"/>
      <c r="K663" s="1"/>
      <c r="L663" s="1"/>
      <c r="M663" s="1"/>
      <c r="N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G664" s="1"/>
      <c r="H664" s="1"/>
      <c r="J664" s="1"/>
      <c r="K664" s="1"/>
      <c r="L664" s="1"/>
      <c r="M664" s="1"/>
      <c r="N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G665" s="1"/>
      <c r="H665" s="1"/>
      <c r="J665" s="1"/>
      <c r="K665" s="1"/>
      <c r="L665" s="1"/>
      <c r="M665" s="1"/>
      <c r="N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G666" s="1"/>
      <c r="H666" s="1"/>
      <c r="J666" s="1"/>
      <c r="K666" s="1"/>
      <c r="L666" s="1"/>
      <c r="M666" s="1"/>
      <c r="N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G667" s="1"/>
      <c r="H667" s="1"/>
      <c r="J667" s="1"/>
      <c r="K667" s="1"/>
      <c r="L667" s="1"/>
      <c r="M667" s="1"/>
      <c r="N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G668" s="1"/>
      <c r="H668" s="1"/>
      <c r="J668" s="1"/>
      <c r="K668" s="1"/>
      <c r="L668" s="1"/>
      <c r="M668" s="1"/>
      <c r="N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G669" s="1"/>
      <c r="H669" s="1"/>
      <c r="J669" s="1"/>
      <c r="K669" s="1"/>
      <c r="L669" s="1"/>
      <c r="M669" s="1"/>
      <c r="N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G670" s="1"/>
      <c r="H670" s="1"/>
      <c r="J670" s="1"/>
      <c r="K670" s="1"/>
      <c r="L670" s="1"/>
      <c r="M670" s="1"/>
      <c r="N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G671" s="1"/>
      <c r="H671" s="1"/>
      <c r="J671" s="1"/>
      <c r="K671" s="1"/>
      <c r="L671" s="1"/>
      <c r="M671" s="1"/>
      <c r="N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G672" s="1"/>
      <c r="H672" s="1"/>
      <c r="J672" s="1"/>
      <c r="K672" s="1"/>
      <c r="L672" s="1"/>
      <c r="M672" s="1"/>
      <c r="N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G673" s="1"/>
      <c r="H673" s="1"/>
      <c r="J673" s="1"/>
      <c r="K673" s="1"/>
      <c r="L673" s="1"/>
      <c r="M673" s="1"/>
      <c r="N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G674" s="1"/>
      <c r="H674" s="1"/>
      <c r="J674" s="1"/>
      <c r="K674" s="1"/>
      <c r="L674" s="1"/>
      <c r="M674" s="1"/>
      <c r="N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G675" s="1"/>
      <c r="H675" s="1"/>
      <c r="J675" s="1"/>
      <c r="K675" s="1"/>
      <c r="L675" s="1"/>
      <c r="M675" s="1"/>
      <c r="N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G676" s="1"/>
      <c r="H676" s="1"/>
      <c r="J676" s="1"/>
      <c r="K676" s="1"/>
      <c r="L676" s="1"/>
      <c r="M676" s="1"/>
      <c r="N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G677" s="1"/>
      <c r="H677" s="1"/>
      <c r="J677" s="1"/>
      <c r="K677" s="1"/>
      <c r="L677" s="1"/>
      <c r="M677" s="1"/>
      <c r="N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G678" s="1"/>
      <c r="H678" s="1"/>
      <c r="J678" s="1"/>
      <c r="K678" s="1"/>
      <c r="L678" s="1"/>
      <c r="M678" s="1"/>
      <c r="N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G679" s="1"/>
      <c r="H679" s="1"/>
      <c r="J679" s="1"/>
      <c r="K679" s="1"/>
      <c r="L679" s="1"/>
      <c r="M679" s="1"/>
      <c r="N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G680" s="1"/>
      <c r="H680" s="1"/>
      <c r="J680" s="1"/>
      <c r="K680" s="1"/>
      <c r="L680" s="1"/>
      <c r="M680" s="1"/>
      <c r="N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G681" s="1"/>
      <c r="H681" s="1"/>
      <c r="J681" s="1"/>
      <c r="K681" s="1"/>
      <c r="L681" s="1"/>
      <c r="M681" s="1"/>
      <c r="N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G682" s="1"/>
      <c r="H682" s="1"/>
      <c r="J682" s="1"/>
      <c r="K682" s="1"/>
      <c r="L682" s="1"/>
      <c r="M682" s="1"/>
      <c r="N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G683" s="1"/>
      <c r="H683" s="1"/>
      <c r="J683" s="1"/>
      <c r="K683" s="1"/>
      <c r="L683" s="1"/>
      <c r="M683" s="1"/>
      <c r="N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G684" s="1"/>
      <c r="H684" s="1"/>
      <c r="J684" s="1"/>
      <c r="K684" s="1"/>
      <c r="L684" s="1"/>
      <c r="M684" s="1"/>
      <c r="N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G685" s="1"/>
      <c r="H685" s="1"/>
      <c r="J685" s="1"/>
      <c r="K685" s="1"/>
      <c r="L685" s="1"/>
      <c r="M685" s="1"/>
      <c r="N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G686" s="1"/>
      <c r="H686" s="1"/>
      <c r="J686" s="1"/>
      <c r="K686" s="1"/>
      <c r="L686" s="1"/>
      <c r="M686" s="1"/>
      <c r="N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G687" s="1"/>
      <c r="H687" s="1"/>
      <c r="J687" s="1"/>
      <c r="K687" s="1"/>
      <c r="L687" s="1"/>
      <c r="M687" s="1"/>
      <c r="N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G688" s="1"/>
      <c r="H688" s="1"/>
      <c r="J688" s="1"/>
      <c r="K688" s="1"/>
      <c r="L688" s="1"/>
      <c r="M688" s="1"/>
      <c r="N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G689" s="1"/>
      <c r="H689" s="1"/>
      <c r="J689" s="1"/>
      <c r="K689" s="1"/>
      <c r="L689" s="1"/>
      <c r="M689" s="1"/>
      <c r="N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G690" s="1"/>
      <c r="H690" s="1"/>
      <c r="J690" s="1"/>
      <c r="K690" s="1"/>
      <c r="L690" s="1"/>
      <c r="M690" s="1"/>
      <c r="N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G691" s="1"/>
      <c r="H691" s="1"/>
      <c r="J691" s="1"/>
      <c r="K691" s="1"/>
      <c r="L691" s="1"/>
      <c r="M691" s="1"/>
      <c r="N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G692" s="1"/>
      <c r="H692" s="1"/>
      <c r="J692" s="1"/>
      <c r="K692" s="1"/>
      <c r="L692" s="1"/>
      <c r="M692" s="1"/>
      <c r="N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G693" s="1"/>
      <c r="H693" s="1"/>
      <c r="J693" s="1"/>
      <c r="K693" s="1"/>
      <c r="L693" s="1"/>
      <c r="M693" s="1"/>
      <c r="N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G694" s="1"/>
      <c r="H694" s="1"/>
      <c r="J694" s="1"/>
      <c r="K694" s="1"/>
      <c r="L694" s="1"/>
      <c r="M694" s="1"/>
      <c r="N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G695" s="1"/>
      <c r="H695" s="1"/>
      <c r="J695" s="1"/>
      <c r="K695" s="1"/>
      <c r="L695" s="1"/>
      <c r="M695" s="1"/>
      <c r="N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G696" s="1"/>
      <c r="H696" s="1"/>
      <c r="J696" s="1"/>
      <c r="K696" s="1"/>
      <c r="L696" s="1"/>
      <c r="M696" s="1"/>
      <c r="N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G697" s="1"/>
      <c r="H697" s="1"/>
      <c r="J697" s="1"/>
      <c r="K697" s="1"/>
      <c r="L697" s="1"/>
      <c r="M697" s="1"/>
      <c r="N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G698" s="1"/>
      <c r="H698" s="1"/>
      <c r="J698" s="1"/>
      <c r="K698" s="1"/>
      <c r="L698" s="1"/>
      <c r="M698" s="1"/>
      <c r="N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G699" s="1"/>
      <c r="H699" s="1"/>
      <c r="J699" s="1"/>
      <c r="K699" s="1"/>
      <c r="L699" s="1"/>
      <c r="M699" s="1"/>
      <c r="N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G700" s="1"/>
      <c r="H700" s="1"/>
      <c r="J700" s="1"/>
      <c r="K700" s="1"/>
      <c r="L700" s="1"/>
      <c r="M700" s="1"/>
      <c r="N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G701" s="1"/>
      <c r="H701" s="1"/>
      <c r="J701" s="1"/>
      <c r="K701" s="1"/>
      <c r="L701" s="1"/>
      <c r="M701" s="1"/>
      <c r="N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G702" s="1"/>
      <c r="H702" s="1"/>
      <c r="J702" s="1"/>
      <c r="K702" s="1"/>
      <c r="L702" s="1"/>
      <c r="M702" s="1"/>
      <c r="N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G703" s="1"/>
      <c r="H703" s="1"/>
      <c r="J703" s="1"/>
      <c r="K703" s="1"/>
      <c r="L703" s="1"/>
      <c r="M703" s="1"/>
      <c r="N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G704" s="1"/>
      <c r="H704" s="1"/>
      <c r="J704" s="1"/>
      <c r="K704" s="1"/>
      <c r="L704" s="1"/>
      <c r="M704" s="1"/>
      <c r="N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G705" s="1"/>
      <c r="H705" s="1"/>
      <c r="J705" s="1"/>
      <c r="K705" s="1"/>
      <c r="L705" s="1"/>
      <c r="M705" s="1"/>
      <c r="N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G706" s="1"/>
      <c r="H706" s="1"/>
      <c r="J706" s="1"/>
      <c r="K706" s="1"/>
      <c r="L706" s="1"/>
      <c r="M706" s="1"/>
      <c r="N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G707" s="1"/>
      <c r="H707" s="1"/>
      <c r="J707" s="1"/>
      <c r="K707" s="1"/>
      <c r="L707" s="1"/>
      <c r="M707" s="1"/>
      <c r="N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G708" s="1"/>
      <c r="H708" s="1"/>
      <c r="J708" s="1"/>
      <c r="K708" s="1"/>
      <c r="L708" s="1"/>
      <c r="M708" s="1"/>
      <c r="N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G709" s="1"/>
      <c r="H709" s="1"/>
      <c r="J709" s="1"/>
      <c r="K709" s="1"/>
      <c r="L709" s="1"/>
      <c r="M709" s="1"/>
      <c r="N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G710" s="1"/>
      <c r="H710" s="1"/>
      <c r="J710" s="1"/>
      <c r="K710" s="1"/>
      <c r="L710" s="1"/>
      <c r="M710" s="1"/>
      <c r="N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G711" s="1"/>
      <c r="H711" s="1"/>
      <c r="J711" s="1"/>
      <c r="K711" s="1"/>
      <c r="L711" s="1"/>
      <c r="M711" s="1"/>
      <c r="N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G712" s="1"/>
      <c r="H712" s="1"/>
      <c r="J712" s="1"/>
      <c r="K712" s="1"/>
      <c r="L712" s="1"/>
      <c r="M712" s="1"/>
      <c r="N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G713" s="1"/>
      <c r="H713" s="1"/>
      <c r="J713" s="1"/>
      <c r="K713" s="1"/>
      <c r="L713" s="1"/>
      <c r="M713" s="1"/>
      <c r="N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G714" s="1"/>
      <c r="H714" s="1"/>
      <c r="J714" s="1"/>
      <c r="K714" s="1"/>
      <c r="L714" s="1"/>
      <c r="M714" s="1"/>
      <c r="N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G715" s="1"/>
      <c r="H715" s="1"/>
      <c r="J715" s="1"/>
      <c r="K715" s="1"/>
      <c r="L715" s="1"/>
      <c r="M715" s="1"/>
      <c r="N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G716" s="1"/>
      <c r="H716" s="1"/>
      <c r="J716" s="1"/>
      <c r="K716" s="1"/>
      <c r="L716" s="1"/>
      <c r="M716" s="1"/>
      <c r="N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G717" s="1"/>
      <c r="H717" s="1"/>
      <c r="J717" s="1"/>
      <c r="K717" s="1"/>
      <c r="L717" s="1"/>
      <c r="M717" s="1"/>
      <c r="N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G718" s="1"/>
      <c r="H718" s="1"/>
      <c r="J718" s="1"/>
      <c r="K718" s="1"/>
      <c r="L718" s="1"/>
      <c r="M718" s="1"/>
      <c r="N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G719" s="1"/>
      <c r="H719" s="1"/>
      <c r="J719" s="1"/>
      <c r="K719" s="1"/>
      <c r="L719" s="1"/>
      <c r="M719" s="1"/>
      <c r="N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G720" s="1"/>
      <c r="H720" s="1"/>
      <c r="J720" s="1"/>
      <c r="K720" s="1"/>
      <c r="L720" s="1"/>
      <c r="M720" s="1"/>
      <c r="N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G721" s="1"/>
      <c r="H721" s="1"/>
      <c r="J721" s="1"/>
      <c r="K721" s="1"/>
      <c r="L721" s="1"/>
      <c r="M721" s="1"/>
      <c r="N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G722" s="1"/>
      <c r="H722" s="1"/>
      <c r="J722" s="1"/>
      <c r="K722" s="1"/>
      <c r="L722" s="1"/>
      <c r="M722" s="1"/>
      <c r="N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G723" s="1"/>
      <c r="H723" s="1"/>
      <c r="J723" s="1"/>
      <c r="K723" s="1"/>
      <c r="L723" s="1"/>
      <c r="M723" s="1"/>
      <c r="N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G724" s="1"/>
      <c r="H724" s="1"/>
      <c r="J724" s="1"/>
      <c r="K724" s="1"/>
      <c r="L724" s="1"/>
      <c r="M724" s="1"/>
      <c r="N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G725" s="1"/>
      <c r="H725" s="1"/>
      <c r="J725" s="1"/>
      <c r="K725" s="1"/>
      <c r="L725" s="1"/>
      <c r="M725" s="1"/>
      <c r="N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G726" s="1"/>
      <c r="H726" s="1"/>
      <c r="J726" s="1"/>
      <c r="K726" s="1"/>
      <c r="L726" s="1"/>
      <c r="M726" s="1"/>
      <c r="N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G727" s="1"/>
      <c r="H727" s="1"/>
      <c r="J727" s="1"/>
      <c r="K727" s="1"/>
      <c r="L727" s="1"/>
      <c r="M727" s="1"/>
      <c r="N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G728" s="1"/>
      <c r="H728" s="1"/>
      <c r="J728" s="1"/>
      <c r="K728" s="1"/>
      <c r="L728" s="1"/>
      <c r="M728" s="1"/>
      <c r="N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G729" s="1"/>
      <c r="H729" s="1"/>
      <c r="J729" s="1"/>
      <c r="K729" s="1"/>
      <c r="L729" s="1"/>
      <c r="M729" s="1"/>
      <c r="N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G730" s="1"/>
      <c r="H730" s="1"/>
      <c r="J730" s="1"/>
      <c r="K730" s="1"/>
      <c r="L730" s="1"/>
      <c r="M730" s="1"/>
      <c r="N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G731" s="1"/>
      <c r="H731" s="1"/>
      <c r="J731" s="1"/>
      <c r="K731" s="1"/>
      <c r="L731" s="1"/>
      <c r="M731" s="1"/>
      <c r="N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G732" s="1"/>
      <c r="H732" s="1"/>
      <c r="J732" s="1"/>
      <c r="K732" s="1"/>
      <c r="L732" s="1"/>
      <c r="M732" s="1"/>
      <c r="N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G733" s="1"/>
      <c r="H733" s="1"/>
      <c r="J733" s="1"/>
      <c r="K733" s="1"/>
      <c r="L733" s="1"/>
      <c r="M733" s="1"/>
      <c r="N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G734" s="1"/>
      <c r="H734" s="1"/>
      <c r="J734" s="1"/>
      <c r="K734" s="1"/>
      <c r="L734" s="1"/>
      <c r="M734" s="1"/>
      <c r="N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G735" s="1"/>
      <c r="H735" s="1"/>
      <c r="J735" s="1"/>
      <c r="K735" s="1"/>
      <c r="L735" s="1"/>
      <c r="M735" s="1"/>
      <c r="N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G736" s="1"/>
      <c r="H736" s="1"/>
      <c r="J736" s="1"/>
      <c r="K736" s="1"/>
      <c r="L736" s="1"/>
      <c r="M736" s="1"/>
      <c r="N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G737" s="1"/>
      <c r="H737" s="1"/>
      <c r="J737" s="1"/>
      <c r="K737" s="1"/>
      <c r="L737" s="1"/>
      <c r="M737" s="1"/>
      <c r="N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G738" s="1"/>
      <c r="H738" s="1"/>
      <c r="J738" s="1"/>
      <c r="K738" s="1"/>
      <c r="L738" s="1"/>
      <c r="M738" s="1"/>
      <c r="N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G739" s="1"/>
      <c r="H739" s="1"/>
      <c r="J739" s="1"/>
      <c r="K739" s="1"/>
      <c r="L739" s="1"/>
      <c r="M739" s="1"/>
      <c r="N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G740" s="1"/>
      <c r="H740" s="1"/>
      <c r="J740" s="1"/>
      <c r="K740" s="1"/>
      <c r="L740" s="1"/>
      <c r="M740" s="1"/>
      <c r="N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G741" s="1"/>
      <c r="H741" s="1"/>
      <c r="J741" s="1"/>
      <c r="K741" s="1"/>
      <c r="L741" s="1"/>
      <c r="M741" s="1"/>
      <c r="N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G742" s="1"/>
      <c r="H742" s="1"/>
      <c r="J742" s="1"/>
      <c r="K742" s="1"/>
      <c r="L742" s="1"/>
      <c r="M742" s="1"/>
      <c r="N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G743" s="1"/>
      <c r="H743" s="1"/>
      <c r="J743" s="1"/>
      <c r="K743" s="1"/>
      <c r="L743" s="1"/>
      <c r="M743" s="1"/>
      <c r="N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G744" s="1"/>
      <c r="H744" s="1"/>
      <c r="J744" s="1"/>
      <c r="K744" s="1"/>
      <c r="L744" s="1"/>
      <c r="M744" s="1"/>
      <c r="N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G745" s="1"/>
      <c r="H745" s="1"/>
      <c r="J745" s="1"/>
      <c r="K745" s="1"/>
      <c r="L745" s="1"/>
      <c r="M745" s="1"/>
      <c r="N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G746" s="1"/>
      <c r="H746" s="1"/>
      <c r="J746" s="1"/>
      <c r="K746" s="1"/>
      <c r="L746" s="1"/>
      <c r="M746" s="1"/>
      <c r="N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G747" s="1"/>
      <c r="H747" s="1"/>
      <c r="J747" s="1"/>
      <c r="K747" s="1"/>
      <c r="L747" s="1"/>
      <c r="M747" s="1"/>
      <c r="N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G748" s="1"/>
      <c r="H748" s="1"/>
      <c r="J748" s="1"/>
      <c r="K748" s="1"/>
      <c r="L748" s="1"/>
      <c r="M748" s="1"/>
      <c r="N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G749" s="1"/>
      <c r="H749" s="1"/>
      <c r="J749" s="1"/>
      <c r="K749" s="1"/>
      <c r="L749" s="1"/>
      <c r="M749" s="1"/>
      <c r="N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G750" s="1"/>
      <c r="H750" s="1"/>
      <c r="J750" s="1"/>
      <c r="K750" s="1"/>
      <c r="L750" s="1"/>
      <c r="M750" s="1"/>
      <c r="N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G751" s="1"/>
      <c r="H751" s="1"/>
      <c r="J751" s="1"/>
      <c r="K751" s="1"/>
      <c r="L751" s="1"/>
      <c r="M751" s="1"/>
      <c r="N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G752" s="1"/>
      <c r="H752" s="1"/>
      <c r="J752" s="1"/>
      <c r="K752" s="1"/>
      <c r="L752" s="1"/>
      <c r="M752" s="1"/>
      <c r="N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G753" s="1"/>
      <c r="H753" s="1"/>
      <c r="J753" s="1"/>
      <c r="K753" s="1"/>
      <c r="L753" s="1"/>
      <c r="M753" s="1"/>
      <c r="N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G754" s="1"/>
      <c r="H754" s="1"/>
      <c r="J754" s="1"/>
      <c r="K754" s="1"/>
      <c r="L754" s="1"/>
      <c r="M754" s="1"/>
      <c r="N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G755" s="1"/>
      <c r="H755" s="1"/>
      <c r="J755" s="1"/>
      <c r="K755" s="1"/>
      <c r="L755" s="1"/>
      <c r="M755" s="1"/>
      <c r="N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G756" s="1"/>
      <c r="H756" s="1"/>
      <c r="J756" s="1"/>
      <c r="K756" s="1"/>
      <c r="L756" s="1"/>
      <c r="M756" s="1"/>
      <c r="N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G757" s="1"/>
      <c r="H757" s="1"/>
      <c r="J757" s="1"/>
      <c r="K757" s="1"/>
      <c r="L757" s="1"/>
      <c r="M757" s="1"/>
      <c r="N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G758" s="1"/>
      <c r="H758" s="1"/>
      <c r="J758" s="1"/>
      <c r="K758" s="1"/>
      <c r="L758" s="1"/>
      <c r="M758" s="1"/>
      <c r="N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G759" s="1"/>
      <c r="H759" s="1"/>
      <c r="J759" s="1"/>
      <c r="K759" s="1"/>
      <c r="L759" s="1"/>
      <c r="M759" s="1"/>
      <c r="N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G760" s="1"/>
      <c r="H760" s="1"/>
      <c r="J760" s="1"/>
      <c r="K760" s="1"/>
      <c r="L760" s="1"/>
      <c r="M760" s="1"/>
      <c r="N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G761" s="1"/>
      <c r="H761" s="1"/>
      <c r="J761" s="1"/>
      <c r="K761" s="1"/>
      <c r="L761" s="1"/>
      <c r="M761" s="1"/>
      <c r="N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G762" s="1"/>
      <c r="H762" s="1"/>
      <c r="J762" s="1"/>
      <c r="K762" s="1"/>
      <c r="L762" s="1"/>
      <c r="M762" s="1"/>
      <c r="N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G763" s="1"/>
      <c r="H763" s="1"/>
      <c r="J763" s="1"/>
      <c r="K763" s="1"/>
      <c r="L763" s="1"/>
      <c r="M763" s="1"/>
      <c r="N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G764" s="1"/>
      <c r="H764" s="1"/>
      <c r="J764" s="1"/>
      <c r="K764" s="1"/>
      <c r="L764" s="1"/>
      <c r="M764" s="1"/>
      <c r="N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G765" s="1"/>
      <c r="H765" s="1"/>
      <c r="J765" s="1"/>
      <c r="K765" s="1"/>
      <c r="L765" s="1"/>
      <c r="M765" s="1"/>
      <c r="N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G766" s="1"/>
      <c r="H766" s="1"/>
      <c r="J766" s="1"/>
      <c r="K766" s="1"/>
      <c r="L766" s="1"/>
      <c r="M766" s="1"/>
      <c r="N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G767" s="1"/>
      <c r="H767" s="1"/>
      <c r="J767" s="1"/>
      <c r="K767" s="1"/>
      <c r="L767" s="1"/>
      <c r="M767" s="1"/>
      <c r="N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G768" s="1"/>
      <c r="H768" s="1"/>
      <c r="J768" s="1"/>
      <c r="K768" s="1"/>
      <c r="L768" s="1"/>
      <c r="M768" s="1"/>
      <c r="N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G769" s="1"/>
      <c r="H769" s="1"/>
      <c r="J769" s="1"/>
      <c r="K769" s="1"/>
      <c r="L769" s="1"/>
      <c r="M769" s="1"/>
      <c r="N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G770" s="1"/>
      <c r="H770" s="1"/>
      <c r="J770" s="1"/>
      <c r="K770" s="1"/>
      <c r="L770" s="1"/>
      <c r="M770" s="1"/>
      <c r="N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G771" s="1"/>
      <c r="H771" s="1"/>
      <c r="J771" s="1"/>
      <c r="K771" s="1"/>
      <c r="L771" s="1"/>
      <c r="M771" s="1"/>
      <c r="N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G772" s="1"/>
      <c r="H772" s="1"/>
      <c r="J772" s="1"/>
      <c r="K772" s="1"/>
      <c r="L772" s="1"/>
      <c r="M772" s="1"/>
      <c r="N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G773" s="1"/>
      <c r="H773" s="1"/>
      <c r="J773" s="1"/>
      <c r="K773" s="1"/>
      <c r="L773" s="1"/>
      <c r="M773" s="1"/>
      <c r="N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G774" s="1"/>
      <c r="H774" s="1"/>
      <c r="J774" s="1"/>
      <c r="K774" s="1"/>
      <c r="L774" s="1"/>
      <c r="M774" s="1"/>
      <c r="N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G775" s="1"/>
      <c r="H775" s="1"/>
      <c r="J775" s="1"/>
      <c r="K775" s="1"/>
      <c r="L775" s="1"/>
      <c r="M775" s="1"/>
      <c r="N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G776" s="1"/>
      <c r="H776" s="1"/>
      <c r="J776" s="1"/>
      <c r="K776" s="1"/>
      <c r="L776" s="1"/>
      <c r="M776" s="1"/>
      <c r="N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G777" s="1"/>
      <c r="H777" s="1"/>
      <c r="J777" s="1"/>
      <c r="K777" s="1"/>
      <c r="L777" s="1"/>
      <c r="M777" s="1"/>
      <c r="N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G778" s="1"/>
      <c r="H778" s="1"/>
      <c r="J778" s="1"/>
      <c r="K778" s="1"/>
      <c r="L778" s="1"/>
      <c r="M778" s="1"/>
      <c r="N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G779" s="1"/>
      <c r="H779" s="1"/>
      <c r="J779" s="1"/>
      <c r="K779" s="1"/>
      <c r="L779" s="1"/>
      <c r="M779" s="1"/>
      <c r="N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G780" s="1"/>
      <c r="H780" s="1"/>
      <c r="J780" s="1"/>
      <c r="K780" s="1"/>
      <c r="L780" s="1"/>
      <c r="M780" s="1"/>
      <c r="N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G781" s="1"/>
      <c r="H781" s="1"/>
      <c r="J781" s="1"/>
      <c r="K781" s="1"/>
      <c r="L781" s="1"/>
      <c r="M781" s="1"/>
      <c r="N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G782" s="1"/>
      <c r="H782" s="1"/>
      <c r="J782" s="1"/>
      <c r="K782" s="1"/>
      <c r="L782" s="1"/>
      <c r="M782" s="1"/>
      <c r="N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G783" s="1"/>
      <c r="H783" s="1"/>
      <c r="J783" s="1"/>
      <c r="K783" s="1"/>
      <c r="L783" s="1"/>
      <c r="M783" s="1"/>
      <c r="N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G784" s="1"/>
      <c r="H784" s="1"/>
      <c r="J784" s="1"/>
      <c r="K784" s="1"/>
      <c r="L784" s="1"/>
      <c r="M784" s="1"/>
      <c r="N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G785" s="1"/>
      <c r="H785" s="1"/>
      <c r="J785" s="1"/>
      <c r="K785" s="1"/>
      <c r="L785" s="1"/>
      <c r="M785" s="1"/>
      <c r="N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G786" s="1"/>
      <c r="H786" s="1"/>
      <c r="J786" s="1"/>
      <c r="K786" s="1"/>
      <c r="L786" s="1"/>
      <c r="M786" s="1"/>
      <c r="N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G787" s="1"/>
      <c r="H787" s="1"/>
      <c r="J787" s="1"/>
      <c r="K787" s="1"/>
      <c r="L787" s="1"/>
      <c r="M787" s="1"/>
      <c r="N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G788" s="1"/>
      <c r="H788" s="1"/>
      <c r="J788" s="1"/>
      <c r="K788" s="1"/>
      <c r="L788" s="1"/>
      <c r="M788" s="1"/>
      <c r="N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G789" s="1"/>
      <c r="H789" s="1"/>
      <c r="J789" s="1"/>
      <c r="K789" s="1"/>
      <c r="L789" s="1"/>
      <c r="M789" s="1"/>
      <c r="N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G790" s="1"/>
      <c r="H790" s="1"/>
      <c r="J790" s="1"/>
      <c r="K790" s="1"/>
      <c r="L790" s="1"/>
      <c r="M790" s="1"/>
      <c r="N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G791" s="1"/>
      <c r="H791" s="1"/>
      <c r="J791" s="1"/>
      <c r="K791" s="1"/>
      <c r="L791" s="1"/>
      <c r="M791" s="1"/>
      <c r="N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G792" s="1"/>
      <c r="H792" s="1"/>
      <c r="J792" s="1"/>
      <c r="K792" s="1"/>
      <c r="L792" s="1"/>
      <c r="M792" s="1"/>
      <c r="N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G793" s="1"/>
      <c r="H793" s="1"/>
      <c r="J793" s="1"/>
      <c r="K793" s="1"/>
      <c r="L793" s="1"/>
      <c r="M793" s="1"/>
      <c r="N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G794" s="1"/>
      <c r="H794" s="1"/>
      <c r="J794" s="1"/>
      <c r="K794" s="1"/>
      <c r="L794" s="1"/>
      <c r="M794" s="1"/>
      <c r="N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G795" s="1"/>
      <c r="H795" s="1"/>
      <c r="J795" s="1"/>
      <c r="K795" s="1"/>
      <c r="L795" s="1"/>
      <c r="M795" s="1"/>
      <c r="N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G796" s="1"/>
      <c r="H796" s="1"/>
      <c r="J796" s="1"/>
      <c r="K796" s="1"/>
      <c r="L796" s="1"/>
      <c r="M796" s="1"/>
      <c r="N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G797" s="1"/>
      <c r="H797" s="1"/>
      <c r="J797" s="1"/>
      <c r="K797" s="1"/>
      <c r="L797" s="1"/>
      <c r="M797" s="1"/>
      <c r="N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G798" s="1"/>
      <c r="H798" s="1"/>
      <c r="J798" s="1"/>
      <c r="K798" s="1"/>
      <c r="L798" s="1"/>
      <c r="M798" s="1"/>
      <c r="N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G799" s="1"/>
      <c r="H799" s="1"/>
      <c r="J799" s="1"/>
      <c r="K799" s="1"/>
      <c r="L799" s="1"/>
      <c r="M799" s="1"/>
      <c r="N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G800" s="1"/>
      <c r="H800" s="1"/>
      <c r="J800" s="1"/>
      <c r="K800" s="1"/>
      <c r="L800" s="1"/>
      <c r="M800" s="1"/>
      <c r="N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G801" s="1"/>
      <c r="H801" s="1"/>
      <c r="J801" s="1"/>
      <c r="K801" s="1"/>
      <c r="L801" s="1"/>
      <c r="M801" s="1"/>
      <c r="N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G802" s="1"/>
      <c r="H802" s="1"/>
      <c r="J802" s="1"/>
      <c r="K802" s="1"/>
      <c r="L802" s="1"/>
      <c r="M802" s="1"/>
      <c r="N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G803" s="1"/>
      <c r="H803" s="1"/>
      <c r="J803" s="1"/>
      <c r="K803" s="1"/>
      <c r="L803" s="1"/>
      <c r="M803" s="1"/>
      <c r="N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G804" s="1"/>
      <c r="H804" s="1"/>
      <c r="J804" s="1"/>
      <c r="K804" s="1"/>
      <c r="L804" s="1"/>
      <c r="M804" s="1"/>
      <c r="N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G805" s="1"/>
      <c r="H805" s="1"/>
      <c r="J805" s="1"/>
      <c r="K805" s="1"/>
      <c r="L805" s="1"/>
      <c r="M805" s="1"/>
      <c r="N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G806" s="1"/>
      <c r="H806" s="1"/>
      <c r="J806" s="1"/>
      <c r="K806" s="1"/>
      <c r="L806" s="1"/>
      <c r="M806" s="1"/>
      <c r="N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G807" s="1"/>
      <c r="H807" s="1"/>
      <c r="J807" s="1"/>
      <c r="K807" s="1"/>
      <c r="L807" s="1"/>
      <c r="M807" s="1"/>
      <c r="N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G808" s="1"/>
      <c r="H808" s="1"/>
      <c r="J808" s="1"/>
      <c r="K808" s="1"/>
      <c r="L808" s="1"/>
      <c r="M808" s="1"/>
      <c r="N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G809" s="1"/>
      <c r="H809" s="1"/>
      <c r="J809" s="1"/>
      <c r="K809" s="1"/>
      <c r="L809" s="1"/>
      <c r="M809" s="1"/>
      <c r="N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G810" s="1"/>
      <c r="H810" s="1"/>
      <c r="J810" s="1"/>
      <c r="K810" s="1"/>
      <c r="L810" s="1"/>
      <c r="M810" s="1"/>
      <c r="N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G811" s="1"/>
      <c r="H811" s="1"/>
      <c r="J811" s="1"/>
      <c r="K811" s="1"/>
      <c r="L811" s="1"/>
      <c r="M811" s="1"/>
      <c r="N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G812" s="1"/>
      <c r="H812" s="1"/>
      <c r="J812" s="1"/>
      <c r="K812" s="1"/>
      <c r="L812" s="1"/>
      <c r="M812" s="1"/>
      <c r="N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G813" s="1"/>
      <c r="H813" s="1"/>
      <c r="J813" s="1"/>
      <c r="K813" s="1"/>
      <c r="L813" s="1"/>
      <c r="M813" s="1"/>
      <c r="N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G814" s="1"/>
      <c r="H814" s="1"/>
      <c r="J814" s="1"/>
      <c r="K814" s="1"/>
      <c r="L814" s="1"/>
      <c r="M814" s="1"/>
      <c r="N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G815" s="1"/>
      <c r="H815" s="1"/>
      <c r="J815" s="1"/>
      <c r="K815" s="1"/>
      <c r="L815" s="1"/>
      <c r="M815" s="1"/>
      <c r="N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G816" s="1"/>
      <c r="H816" s="1"/>
      <c r="J816" s="1"/>
      <c r="K816" s="1"/>
      <c r="L816" s="1"/>
      <c r="M816" s="1"/>
      <c r="N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G817" s="1"/>
      <c r="H817" s="1"/>
      <c r="J817" s="1"/>
      <c r="K817" s="1"/>
      <c r="L817" s="1"/>
      <c r="M817" s="1"/>
      <c r="N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G818" s="1"/>
      <c r="H818" s="1"/>
      <c r="J818" s="1"/>
      <c r="K818" s="1"/>
      <c r="L818" s="1"/>
      <c r="M818" s="1"/>
      <c r="N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G819" s="1"/>
      <c r="H819" s="1"/>
      <c r="J819" s="1"/>
      <c r="K819" s="1"/>
      <c r="L819" s="1"/>
      <c r="M819" s="1"/>
      <c r="N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G820" s="1"/>
      <c r="H820" s="1"/>
      <c r="J820" s="1"/>
      <c r="K820" s="1"/>
      <c r="L820" s="1"/>
      <c r="M820" s="1"/>
      <c r="N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G821" s="1"/>
      <c r="H821" s="1"/>
      <c r="J821" s="1"/>
      <c r="K821" s="1"/>
      <c r="L821" s="1"/>
      <c r="M821" s="1"/>
      <c r="N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G822" s="1"/>
      <c r="H822" s="1"/>
      <c r="J822" s="1"/>
      <c r="K822" s="1"/>
      <c r="L822" s="1"/>
      <c r="M822" s="1"/>
      <c r="N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G823" s="1"/>
      <c r="H823" s="1"/>
      <c r="J823" s="1"/>
      <c r="K823" s="1"/>
      <c r="L823" s="1"/>
      <c r="M823" s="1"/>
      <c r="N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G824" s="1"/>
      <c r="H824" s="1"/>
      <c r="J824" s="1"/>
      <c r="K824" s="1"/>
      <c r="L824" s="1"/>
      <c r="M824" s="1"/>
      <c r="N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G825" s="1"/>
      <c r="H825" s="1"/>
      <c r="J825" s="1"/>
      <c r="K825" s="1"/>
      <c r="L825" s="1"/>
      <c r="M825" s="1"/>
      <c r="N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G826" s="1"/>
      <c r="H826" s="1"/>
      <c r="J826" s="1"/>
      <c r="K826" s="1"/>
      <c r="L826" s="1"/>
      <c r="M826" s="1"/>
      <c r="N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G827" s="1"/>
      <c r="H827" s="1"/>
      <c r="J827" s="1"/>
      <c r="K827" s="1"/>
      <c r="L827" s="1"/>
      <c r="M827" s="1"/>
      <c r="N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G828" s="1"/>
      <c r="H828" s="1"/>
      <c r="J828" s="1"/>
      <c r="K828" s="1"/>
      <c r="L828" s="1"/>
      <c r="M828" s="1"/>
      <c r="N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G829" s="1"/>
      <c r="H829" s="1"/>
      <c r="J829" s="1"/>
      <c r="K829" s="1"/>
      <c r="L829" s="1"/>
      <c r="M829" s="1"/>
      <c r="N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G830" s="1"/>
      <c r="H830" s="1"/>
      <c r="J830" s="1"/>
      <c r="K830" s="1"/>
      <c r="L830" s="1"/>
      <c r="M830" s="1"/>
      <c r="N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G831" s="1"/>
      <c r="H831" s="1"/>
      <c r="J831" s="1"/>
      <c r="K831" s="1"/>
      <c r="L831" s="1"/>
      <c r="M831" s="1"/>
      <c r="N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G832" s="1"/>
      <c r="H832" s="1"/>
      <c r="J832" s="1"/>
      <c r="K832" s="1"/>
      <c r="L832" s="1"/>
      <c r="M832" s="1"/>
      <c r="N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G833" s="1"/>
      <c r="H833" s="1"/>
      <c r="J833" s="1"/>
      <c r="K833" s="1"/>
      <c r="L833" s="1"/>
      <c r="M833" s="1"/>
      <c r="N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G834" s="1"/>
      <c r="H834" s="1"/>
      <c r="J834" s="1"/>
      <c r="K834" s="1"/>
      <c r="L834" s="1"/>
      <c r="M834" s="1"/>
      <c r="N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G835" s="1"/>
      <c r="H835" s="1"/>
      <c r="J835" s="1"/>
      <c r="K835" s="1"/>
      <c r="L835" s="1"/>
      <c r="M835" s="1"/>
      <c r="N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G836" s="1"/>
      <c r="H836" s="1"/>
      <c r="J836" s="1"/>
      <c r="K836" s="1"/>
      <c r="L836" s="1"/>
      <c r="M836" s="1"/>
      <c r="N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G837" s="1"/>
      <c r="H837" s="1"/>
      <c r="J837" s="1"/>
      <c r="K837" s="1"/>
      <c r="L837" s="1"/>
      <c r="M837" s="1"/>
      <c r="N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G838" s="1"/>
      <c r="H838" s="1"/>
      <c r="J838" s="1"/>
      <c r="K838" s="1"/>
      <c r="L838" s="1"/>
      <c r="M838" s="1"/>
      <c r="N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G839" s="1"/>
      <c r="H839" s="1"/>
      <c r="J839" s="1"/>
      <c r="K839" s="1"/>
      <c r="L839" s="1"/>
      <c r="M839" s="1"/>
      <c r="N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G840" s="1"/>
      <c r="H840" s="1"/>
      <c r="J840" s="1"/>
      <c r="K840" s="1"/>
      <c r="L840" s="1"/>
      <c r="M840" s="1"/>
      <c r="N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G841" s="1"/>
      <c r="H841" s="1"/>
      <c r="J841" s="1"/>
      <c r="K841" s="1"/>
      <c r="L841" s="1"/>
      <c r="M841" s="1"/>
      <c r="N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G842" s="1"/>
      <c r="H842" s="1"/>
      <c r="J842" s="1"/>
      <c r="K842" s="1"/>
      <c r="L842" s="1"/>
      <c r="M842" s="1"/>
      <c r="N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G843" s="1"/>
      <c r="H843" s="1"/>
      <c r="J843" s="1"/>
      <c r="K843" s="1"/>
      <c r="L843" s="1"/>
      <c r="M843" s="1"/>
      <c r="N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G844" s="1"/>
      <c r="H844" s="1"/>
      <c r="J844" s="1"/>
      <c r="K844" s="1"/>
      <c r="L844" s="1"/>
      <c r="M844" s="1"/>
      <c r="N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G845" s="1"/>
      <c r="H845" s="1"/>
      <c r="J845" s="1"/>
      <c r="K845" s="1"/>
      <c r="L845" s="1"/>
      <c r="M845" s="1"/>
      <c r="N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G846" s="1"/>
      <c r="H846" s="1"/>
      <c r="J846" s="1"/>
      <c r="K846" s="1"/>
      <c r="L846" s="1"/>
      <c r="M846" s="1"/>
      <c r="N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G847" s="1"/>
      <c r="H847" s="1"/>
      <c r="J847" s="1"/>
      <c r="K847" s="1"/>
      <c r="L847" s="1"/>
      <c r="M847" s="1"/>
      <c r="N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G848" s="1"/>
      <c r="H848" s="1"/>
      <c r="J848" s="1"/>
      <c r="K848" s="1"/>
      <c r="L848" s="1"/>
      <c r="M848" s="1"/>
      <c r="N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G849" s="1"/>
      <c r="H849" s="1"/>
      <c r="J849" s="1"/>
      <c r="K849" s="1"/>
      <c r="L849" s="1"/>
      <c r="M849" s="1"/>
      <c r="N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G850" s="1"/>
      <c r="H850" s="1"/>
      <c r="J850" s="1"/>
      <c r="K850" s="1"/>
      <c r="L850" s="1"/>
      <c r="M850" s="1"/>
      <c r="N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G851" s="1"/>
      <c r="H851" s="1"/>
      <c r="J851" s="1"/>
      <c r="K851" s="1"/>
      <c r="L851" s="1"/>
      <c r="M851" s="1"/>
      <c r="N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G852" s="1"/>
      <c r="H852" s="1"/>
      <c r="J852" s="1"/>
      <c r="K852" s="1"/>
      <c r="L852" s="1"/>
      <c r="M852" s="1"/>
      <c r="N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G853" s="1"/>
      <c r="H853" s="1"/>
      <c r="J853" s="1"/>
      <c r="K853" s="1"/>
      <c r="L853" s="1"/>
      <c r="M853" s="1"/>
      <c r="N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G854" s="1"/>
      <c r="H854" s="1"/>
      <c r="J854" s="1"/>
      <c r="K854" s="1"/>
      <c r="L854" s="1"/>
      <c r="M854" s="1"/>
      <c r="N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G855" s="1"/>
      <c r="H855" s="1"/>
      <c r="J855" s="1"/>
      <c r="K855" s="1"/>
      <c r="L855" s="1"/>
      <c r="M855" s="1"/>
      <c r="N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G856" s="1"/>
      <c r="H856" s="1"/>
      <c r="J856" s="1"/>
      <c r="K856" s="1"/>
      <c r="L856" s="1"/>
      <c r="M856" s="1"/>
      <c r="N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G857" s="1"/>
      <c r="H857" s="1"/>
      <c r="J857" s="1"/>
      <c r="K857" s="1"/>
      <c r="L857" s="1"/>
      <c r="M857" s="1"/>
      <c r="N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G858" s="1"/>
      <c r="H858" s="1"/>
      <c r="J858" s="1"/>
      <c r="K858" s="1"/>
      <c r="L858" s="1"/>
      <c r="M858" s="1"/>
      <c r="N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G859" s="1"/>
      <c r="H859" s="1"/>
      <c r="J859" s="1"/>
      <c r="K859" s="1"/>
      <c r="L859" s="1"/>
      <c r="M859" s="1"/>
      <c r="N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G860" s="1"/>
      <c r="H860" s="1"/>
      <c r="J860" s="1"/>
      <c r="K860" s="1"/>
      <c r="L860" s="1"/>
      <c r="M860" s="1"/>
      <c r="N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G861" s="1"/>
      <c r="H861" s="1"/>
      <c r="J861" s="1"/>
      <c r="K861" s="1"/>
      <c r="L861" s="1"/>
      <c r="M861" s="1"/>
      <c r="N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G862" s="1"/>
      <c r="H862" s="1"/>
      <c r="J862" s="1"/>
      <c r="K862" s="1"/>
      <c r="L862" s="1"/>
      <c r="M862" s="1"/>
      <c r="N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G863" s="1"/>
      <c r="H863" s="1"/>
      <c r="J863" s="1"/>
      <c r="K863" s="1"/>
      <c r="L863" s="1"/>
      <c r="M863" s="1"/>
      <c r="N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G864" s="1"/>
      <c r="H864" s="1"/>
      <c r="J864" s="1"/>
      <c r="K864" s="1"/>
      <c r="L864" s="1"/>
      <c r="M864" s="1"/>
      <c r="N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G865" s="1"/>
      <c r="H865" s="1"/>
      <c r="J865" s="1"/>
      <c r="K865" s="1"/>
      <c r="L865" s="1"/>
      <c r="M865" s="1"/>
      <c r="N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G866" s="1"/>
      <c r="H866" s="1"/>
      <c r="J866" s="1"/>
      <c r="K866" s="1"/>
      <c r="L866" s="1"/>
      <c r="M866" s="1"/>
      <c r="N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G867" s="1"/>
      <c r="H867" s="1"/>
      <c r="J867" s="1"/>
      <c r="K867" s="1"/>
      <c r="L867" s="1"/>
      <c r="M867" s="1"/>
      <c r="N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G868" s="1"/>
      <c r="H868" s="1"/>
      <c r="J868" s="1"/>
      <c r="K868" s="1"/>
      <c r="L868" s="1"/>
      <c r="M868" s="1"/>
      <c r="N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G869" s="1"/>
      <c r="H869" s="1"/>
      <c r="J869" s="1"/>
      <c r="K869" s="1"/>
      <c r="L869" s="1"/>
      <c r="M869" s="1"/>
      <c r="N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G870" s="1"/>
      <c r="H870" s="1"/>
      <c r="J870" s="1"/>
      <c r="K870" s="1"/>
      <c r="L870" s="1"/>
      <c r="M870" s="1"/>
      <c r="N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G871" s="1"/>
      <c r="H871" s="1"/>
      <c r="J871" s="1"/>
      <c r="K871" s="1"/>
      <c r="L871" s="1"/>
      <c r="M871" s="1"/>
      <c r="N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G872" s="1"/>
      <c r="H872" s="1"/>
      <c r="J872" s="1"/>
      <c r="K872" s="1"/>
      <c r="L872" s="1"/>
      <c r="M872" s="1"/>
      <c r="N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G873" s="1"/>
      <c r="H873" s="1"/>
      <c r="J873" s="1"/>
      <c r="K873" s="1"/>
      <c r="L873" s="1"/>
      <c r="M873" s="1"/>
      <c r="N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G874" s="1"/>
      <c r="H874" s="1"/>
      <c r="J874" s="1"/>
      <c r="K874" s="1"/>
      <c r="L874" s="1"/>
      <c r="M874" s="1"/>
      <c r="N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G875" s="1"/>
      <c r="H875" s="1"/>
      <c r="J875" s="1"/>
      <c r="K875" s="1"/>
      <c r="L875" s="1"/>
      <c r="M875" s="1"/>
      <c r="N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G876" s="1"/>
      <c r="H876" s="1"/>
      <c r="J876" s="1"/>
      <c r="K876" s="1"/>
      <c r="L876" s="1"/>
      <c r="M876" s="1"/>
      <c r="N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G877" s="1"/>
      <c r="H877" s="1"/>
      <c r="J877" s="1"/>
      <c r="K877" s="1"/>
      <c r="L877" s="1"/>
      <c r="M877" s="1"/>
      <c r="N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G878" s="1"/>
      <c r="H878" s="1"/>
      <c r="J878" s="1"/>
      <c r="K878" s="1"/>
      <c r="L878" s="1"/>
      <c r="M878" s="1"/>
      <c r="N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G879" s="1"/>
      <c r="H879" s="1"/>
      <c r="J879" s="1"/>
      <c r="K879" s="1"/>
      <c r="L879" s="1"/>
      <c r="M879" s="1"/>
      <c r="N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G880" s="1"/>
      <c r="H880" s="1"/>
      <c r="J880" s="1"/>
      <c r="K880" s="1"/>
      <c r="L880" s="1"/>
      <c r="M880" s="1"/>
      <c r="N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G881" s="1"/>
      <c r="H881" s="1"/>
      <c r="J881" s="1"/>
      <c r="K881" s="1"/>
      <c r="L881" s="1"/>
      <c r="M881" s="1"/>
      <c r="N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G882" s="1"/>
      <c r="H882" s="1"/>
      <c r="J882" s="1"/>
      <c r="K882" s="1"/>
      <c r="L882" s="1"/>
      <c r="M882" s="1"/>
      <c r="N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G883" s="1"/>
      <c r="H883" s="1"/>
      <c r="J883" s="1"/>
      <c r="K883" s="1"/>
      <c r="L883" s="1"/>
      <c r="M883" s="1"/>
      <c r="N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G884" s="1"/>
      <c r="H884" s="1"/>
      <c r="J884" s="1"/>
      <c r="K884" s="1"/>
      <c r="L884" s="1"/>
      <c r="M884" s="1"/>
      <c r="N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G885" s="1"/>
      <c r="H885" s="1"/>
      <c r="J885" s="1"/>
      <c r="K885" s="1"/>
      <c r="L885" s="1"/>
      <c r="M885" s="1"/>
      <c r="N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G886" s="1"/>
      <c r="H886" s="1"/>
      <c r="J886" s="1"/>
      <c r="K886" s="1"/>
      <c r="L886" s="1"/>
      <c r="M886" s="1"/>
      <c r="N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G887" s="1"/>
      <c r="H887" s="1"/>
      <c r="J887" s="1"/>
      <c r="K887" s="1"/>
      <c r="L887" s="1"/>
      <c r="M887" s="1"/>
      <c r="N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G888" s="1"/>
      <c r="H888" s="1"/>
      <c r="J888" s="1"/>
      <c r="K888" s="1"/>
      <c r="L888" s="1"/>
      <c r="M888" s="1"/>
      <c r="N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G889" s="1"/>
      <c r="H889" s="1"/>
      <c r="J889" s="1"/>
      <c r="K889" s="1"/>
      <c r="L889" s="1"/>
      <c r="M889" s="1"/>
      <c r="N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G890" s="1"/>
      <c r="H890" s="1"/>
      <c r="J890" s="1"/>
      <c r="K890" s="1"/>
      <c r="L890" s="1"/>
      <c r="M890" s="1"/>
      <c r="N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G891" s="1"/>
      <c r="H891" s="1"/>
      <c r="J891" s="1"/>
      <c r="K891" s="1"/>
      <c r="L891" s="1"/>
      <c r="M891" s="1"/>
      <c r="N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G892" s="1"/>
      <c r="H892" s="1"/>
      <c r="J892" s="1"/>
      <c r="K892" s="1"/>
      <c r="L892" s="1"/>
      <c r="M892" s="1"/>
      <c r="N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G893" s="1"/>
      <c r="H893" s="1"/>
      <c r="J893" s="1"/>
      <c r="K893" s="1"/>
      <c r="L893" s="1"/>
      <c r="M893" s="1"/>
      <c r="N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G894" s="1"/>
      <c r="H894" s="1"/>
      <c r="J894" s="1"/>
      <c r="K894" s="1"/>
      <c r="L894" s="1"/>
      <c r="M894" s="1"/>
      <c r="N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G895" s="1"/>
      <c r="H895" s="1"/>
      <c r="J895" s="1"/>
      <c r="K895" s="1"/>
      <c r="L895" s="1"/>
      <c r="M895" s="1"/>
      <c r="N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G896" s="1"/>
      <c r="H896" s="1"/>
      <c r="J896" s="1"/>
      <c r="K896" s="1"/>
      <c r="L896" s="1"/>
      <c r="M896" s="1"/>
      <c r="N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G897" s="1"/>
      <c r="H897" s="1"/>
      <c r="J897" s="1"/>
      <c r="K897" s="1"/>
      <c r="L897" s="1"/>
      <c r="M897" s="1"/>
      <c r="N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G898" s="1"/>
      <c r="H898" s="1"/>
      <c r="J898" s="1"/>
      <c r="K898" s="1"/>
      <c r="L898" s="1"/>
      <c r="M898" s="1"/>
      <c r="N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G899" s="1"/>
      <c r="H899" s="1"/>
      <c r="J899" s="1"/>
      <c r="K899" s="1"/>
      <c r="L899" s="1"/>
      <c r="M899" s="1"/>
      <c r="N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G900" s="1"/>
      <c r="H900" s="1"/>
      <c r="J900" s="1"/>
      <c r="K900" s="1"/>
      <c r="L900" s="1"/>
      <c r="M900" s="1"/>
      <c r="N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G901" s="1"/>
      <c r="H901" s="1"/>
      <c r="J901" s="1"/>
      <c r="K901" s="1"/>
      <c r="L901" s="1"/>
      <c r="M901" s="1"/>
      <c r="N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G902" s="1"/>
      <c r="H902" s="1"/>
      <c r="J902" s="1"/>
      <c r="K902" s="1"/>
      <c r="L902" s="1"/>
      <c r="M902" s="1"/>
      <c r="N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G903" s="1"/>
      <c r="H903" s="1"/>
      <c r="J903" s="1"/>
      <c r="K903" s="1"/>
      <c r="L903" s="1"/>
      <c r="M903" s="1"/>
      <c r="N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G904" s="1"/>
      <c r="H904" s="1"/>
      <c r="J904" s="1"/>
      <c r="K904" s="1"/>
      <c r="L904" s="1"/>
      <c r="M904" s="1"/>
      <c r="N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G905" s="1"/>
      <c r="H905" s="1"/>
      <c r="J905" s="1"/>
      <c r="K905" s="1"/>
      <c r="L905" s="1"/>
      <c r="M905" s="1"/>
      <c r="N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G906" s="1"/>
      <c r="H906" s="1"/>
      <c r="J906" s="1"/>
      <c r="K906" s="1"/>
      <c r="L906" s="1"/>
      <c r="M906" s="1"/>
      <c r="N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G907" s="1"/>
      <c r="H907" s="1"/>
      <c r="J907" s="1"/>
      <c r="K907" s="1"/>
      <c r="L907" s="1"/>
      <c r="M907" s="1"/>
      <c r="N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G908" s="1"/>
      <c r="H908" s="1"/>
      <c r="J908" s="1"/>
      <c r="K908" s="1"/>
      <c r="L908" s="1"/>
      <c r="M908" s="1"/>
      <c r="N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G909" s="1"/>
      <c r="H909" s="1"/>
      <c r="J909" s="1"/>
      <c r="K909" s="1"/>
      <c r="L909" s="1"/>
      <c r="M909" s="1"/>
      <c r="N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G910" s="1"/>
      <c r="H910" s="1"/>
      <c r="J910" s="1"/>
      <c r="K910" s="1"/>
      <c r="L910" s="1"/>
      <c r="M910" s="1"/>
      <c r="N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G911" s="1"/>
      <c r="H911" s="1"/>
      <c r="J911" s="1"/>
      <c r="K911" s="1"/>
      <c r="L911" s="1"/>
      <c r="M911" s="1"/>
      <c r="N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G912" s="1"/>
      <c r="H912" s="1"/>
      <c r="J912" s="1"/>
      <c r="K912" s="1"/>
      <c r="L912" s="1"/>
      <c r="M912" s="1"/>
      <c r="N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G913" s="1"/>
      <c r="H913" s="1"/>
      <c r="J913" s="1"/>
      <c r="K913" s="1"/>
      <c r="L913" s="1"/>
      <c r="M913" s="1"/>
      <c r="N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G914" s="1"/>
      <c r="H914" s="1"/>
      <c r="J914" s="1"/>
      <c r="K914" s="1"/>
      <c r="L914" s="1"/>
      <c r="M914" s="1"/>
      <c r="N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G915" s="1"/>
      <c r="H915" s="1"/>
      <c r="J915" s="1"/>
      <c r="K915" s="1"/>
      <c r="L915" s="1"/>
      <c r="M915" s="1"/>
      <c r="N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G916" s="1"/>
      <c r="H916" s="1"/>
      <c r="J916" s="1"/>
      <c r="K916" s="1"/>
      <c r="L916" s="1"/>
      <c r="M916" s="1"/>
      <c r="N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G917" s="1"/>
      <c r="H917" s="1"/>
      <c r="J917" s="1"/>
      <c r="K917" s="1"/>
      <c r="L917" s="1"/>
      <c r="M917" s="1"/>
      <c r="N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G918" s="1"/>
      <c r="H918" s="1"/>
      <c r="J918" s="1"/>
      <c r="K918" s="1"/>
      <c r="L918" s="1"/>
      <c r="M918" s="1"/>
      <c r="N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G919" s="1"/>
      <c r="H919" s="1"/>
      <c r="J919" s="1"/>
      <c r="K919" s="1"/>
      <c r="L919" s="1"/>
      <c r="M919" s="1"/>
      <c r="N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G920" s="1"/>
      <c r="H920" s="1"/>
      <c r="J920" s="1"/>
      <c r="K920" s="1"/>
      <c r="L920" s="1"/>
      <c r="M920" s="1"/>
      <c r="N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G921" s="1"/>
      <c r="H921" s="1"/>
      <c r="J921" s="1"/>
      <c r="K921" s="1"/>
      <c r="L921" s="1"/>
      <c r="M921" s="1"/>
      <c r="N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G922" s="1"/>
      <c r="H922" s="1"/>
      <c r="J922" s="1"/>
      <c r="K922" s="1"/>
      <c r="L922" s="1"/>
      <c r="M922" s="1"/>
      <c r="N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G923" s="1"/>
      <c r="H923" s="1"/>
      <c r="J923" s="1"/>
      <c r="K923" s="1"/>
      <c r="L923" s="1"/>
      <c r="M923" s="1"/>
      <c r="N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G924" s="1"/>
      <c r="H924" s="1"/>
      <c r="J924" s="1"/>
      <c r="K924" s="1"/>
      <c r="L924" s="1"/>
      <c r="M924" s="1"/>
      <c r="N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G925" s="1"/>
      <c r="H925" s="1"/>
      <c r="J925" s="1"/>
      <c r="K925" s="1"/>
      <c r="L925" s="1"/>
      <c r="M925" s="1"/>
      <c r="N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G926" s="1"/>
      <c r="H926" s="1"/>
      <c r="J926" s="1"/>
      <c r="K926" s="1"/>
      <c r="L926" s="1"/>
      <c r="M926" s="1"/>
      <c r="N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G927" s="1"/>
      <c r="H927" s="1"/>
      <c r="J927" s="1"/>
      <c r="K927" s="1"/>
      <c r="L927" s="1"/>
      <c r="M927" s="1"/>
      <c r="N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G928" s="1"/>
      <c r="H928" s="1"/>
      <c r="J928" s="1"/>
      <c r="K928" s="1"/>
      <c r="L928" s="1"/>
      <c r="M928" s="1"/>
      <c r="N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G929" s="1"/>
      <c r="H929" s="1"/>
      <c r="J929" s="1"/>
      <c r="K929" s="1"/>
      <c r="L929" s="1"/>
      <c r="M929" s="1"/>
      <c r="N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G930" s="1"/>
      <c r="H930" s="1"/>
      <c r="J930" s="1"/>
      <c r="K930" s="1"/>
      <c r="L930" s="1"/>
      <c r="M930" s="1"/>
      <c r="N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G931" s="1"/>
      <c r="H931" s="1"/>
      <c r="J931" s="1"/>
      <c r="K931" s="1"/>
      <c r="L931" s="1"/>
      <c r="M931" s="1"/>
      <c r="N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G932" s="1"/>
      <c r="H932" s="1"/>
      <c r="J932" s="1"/>
      <c r="K932" s="1"/>
      <c r="L932" s="1"/>
      <c r="M932" s="1"/>
      <c r="N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G933" s="1"/>
      <c r="H933" s="1"/>
      <c r="J933" s="1"/>
      <c r="K933" s="1"/>
      <c r="L933" s="1"/>
      <c r="M933" s="1"/>
      <c r="N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G934" s="1"/>
      <c r="H934" s="1"/>
      <c r="J934" s="1"/>
      <c r="K934" s="1"/>
      <c r="L934" s="1"/>
      <c r="M934" s="1"/>
      <c r="N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G935" s="1"/>
      <c r="H935" s="1"/>
      <c r="J935" s="1"/>
      <c r="K935" s="1"/>
      <c r="L935" s="1"/>
      <c r="M935" s="1"/>
      <c r="N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G936" s="1"/>
      <c r="H936" s="1"/>
      <c r="J936" s="1"/>
      <c r="K936" s="1"/>
      <c r="L936" s="1"/>
      <c r="M936" s="1"/>
      <c r="N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G937" s="1"/>
      <c r="H937" s="1"/>
      <c r="J937" s="1"/>
      <c r="K937" s="1"/>
      <c r="L937" s="1"/>
      <c r="M937" s="1"/>
      <c r="N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G938" s="1"/>
      <c r="H938" s="1"/>
      <c r="J938" s="1"/>
      <c r="K938" s="1"/>
      <c r="L938" s="1"/>
      <c r="M938" s="1"/>
      <c r="N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G939" s="1"/>
      <c r="H939" s="1"/>
      <c r="J939" s="1"/>
      <c r="K939" s="1"/>
      <c r="L939" s="1"/>
      <c r="M939" s="1"/>
      <c r="N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G940" s="1"/>
      <c r="H940" s="1"/>
      <c r="J940" s="1"/>
      <c r="K940" s="1"/>
      <c r="L940" s="1"/>
      <c r="M940" s="1"/>
      <c r="N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G941" s="1"/>
      <c r="H941" s="1"/>
      <c r="J941" s="1"/>
      <c r="K941" s="1"/>
      <c r="L941" s="1"/>
      <c r="M941" s="1"/>
      <c r="N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G942" s="1"/>
      <c r="H942" s="1"/>
      <c r="J942" s="1"/>
      <c r="K942" s="1"/>
      <c r="L942" s="1"/>
      <c r="M942" s="1"/>
      <c r="N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G943" s="1"/>
      <c r="H943" s="1"/>
      <c r="J943" s="1"/>
      <c r="K943" s="1"/>
      <c r="L943" s="1"/>
      <c r="M943" s="1"/>
      <c r="N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G944" s="1"/>
      <c r="H944" s="1"/>
      <c r="J944" s="1"/>
      <c r="K944" s="1"/>
      <c r="L944" s="1"/>
      <c r="M944" s="1"/>
      <c r="N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G945" s="1"/>
      <c r="H945" s="1"/>
      <c r="J945" s="1"/>
      <c r="K945" s="1"/>
      <c r="L945" s="1"/>
      <c r="M945" s="1"/>
      <c r="N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G946" s="1"/>
      <c r="H946" s="1"/>
      <c r="J946" s="1"/>
      <c r="K946" s="1"/>
      <c r="L946" s="1"/>
      <c r="M946" s="1"/>
      <c r="N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G947" s="1"/>
      <c r="H947" s="1"/>
      <c r="J947" s="1"/>
      <c r="K947" s="1"/>
      <c r="L947" s="1"/>
      <c r="M947" s="1"/>
      <c r="N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G948" s="1"/>
      <c r="H948" s="1"/>
      <c r="J948" s="1"/>
      <c r="K948" s="1"/>
      <c r="L948" s="1"/>
      <c r="M948" s="1"/>
      <c r="N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G949" s="1"/>
      <c r="H949" s="1"/>
      <c r="J949" s="1"/>
      <c r="K949" s="1"/>
      <c r="L949" s="1"/>
      <c r="M949" s="1"/>
      <c r="N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G950" s="1"/>
      <c r="H950" s="1"/>
      <c r="J950" s="1"/>
      <c r="K950" s="1"/>
      <c r="L950" s="1"/>
      <c r="M950" s="1"/>
      <c r="N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G951" s="1"/>
      <c r="H951" s="1"/>
      <c r="J951" s="1"/>
      <c r="K951" s="1"/>
      <c r="L951" s="1"/>
      <c r="M951" s="1"/>
      <c r="N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G952" s="1"/>
      <c r="H952" s="1"/>
      <c r="J952" s="1"/>
      <c r="K952" s="1"/>
      <c r="L952" s="1"/>
      <c r="M952" s="1"/>
      <c r="N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G953" s="1"/>
      <c r="H953" s="1"/>
      <c r="J953" s="1"/>
      <c r="K953" s="1"/>
      <c r="L953" s="1"/>
      <c r="M953" s="1"/>
      <c r="N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G954" s="1"/>
      <c r="H954" s="1"/>
      <c r="J954" s="1"/>
      <c r="K954" s="1"/>
      <c r="L954" s="1"/>
      <c r="M954" s="1"/>
      <c r="N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G955" s="1"/>
      <c r="H955" s="1"/>
      <c r="J955" s="1"/>
      <c r="K955" s="1"/>
      <c r="L955" s="1"/>
      <c r="M955" s="1"/>
      <c r="N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G956" s="1"/>
      <c r="H956" s="1"/>
      <c r="J956" s="1"/>
      <c r="K956" s="1"/>
      <c r="L956" s="1"/>
      <c r="M956" s="1"/>
      <c r="N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G957" s="1"/>
      <c r="H957" s="1"/>
      <c r="J957" s="1"/>
      <c r="K957" s="1"/>
      <c r="L957" s="1"/>
      <c r="M957" s="1"/>
      <c r="N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G958" s="1"/>
      <c r="H958" s="1"/>
      <c r="J958" s="1"/>
      <c r="K958" s="1"/>
      <c r="L958" s="1"/>
      <c r="M958" s="1"/>
      <c r="N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G959" s="1"/>
      <c r="H959" s="1"/>
      <c r="J959" s="1"/>
      <c r="K959" s="1"/>
      <c r="L959" s="1"/>
      <c r="M959" s="1"/>
      <c r="N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G960" s="1"/>
      <c r="H960" s="1"/>
      <c r="J960" s="1"/>
      <c r="K960" s="1"/>
      <c r="L960" s="1"/>
      <c r="M960" s="1"/>
      <c r="N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G961" s="1"/>
      <c r="H961" s="1"/>
      <c r="J961" s="1"/>
      <c r="K961" s="1"/>
      <c r="L961" s="1"/>
      <c r="M961" s="1"/>
      <c r="N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G962" s="1"/>
      <c r="H962" s="1"/>
      <c r="J962" s="1"/>
      <c r="K962" s="1"/>
      <c r="L962" s="1"/>
      <c r="M962" s="1"/>
      <c r="N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G963" s="1"/>
      <c r="H963" s="1"/>
      <c r="J963" s="1"/>
      <c r="K963" s="1"/>
      <c r="L963" s="1"/>
      <c r="M963" s="1"/>
      <c r="N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G964" s="1"/>
      <c r="H964" s="1"/>
      <c r="J964" s="1"/>
      <c r="K964" s="1"/>
      <c r="L964" s="1"/>
      <c r="M964" s="1"/>
      <c r="N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G965" s="1"/>
      <c r="H965" s="1"/>
      <c r="J965" s="1"/>
      <c r="K965" s="1"/>
      <c r="L965" s="1"/>
      <c r="M965" s="1"/>
      <c r="N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G966" s="1"/>
      <c r="H966" s="1"/>
      <c r="J966" s="1"/>
      <c r="K966" s="1"/>
      <c r="L966" s="1"/>
      <c r="M966" s="1"/>
      <c r="N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G967" s="1"/>
      <c r="H967" s="1"/>
      <c r="J967" s="1"/>
      <c r="K967" s="1"/>
      <c r="L967" s="1"/>
      <c r="M967" s="1"/>
      <c r="N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G968" s="1"/>
      <c r="H968" s="1"/>
      <c r="J968" s="1"/>
      <c r="K968" s="1"/>
      <c r="L968" s="1"/>
      <c r="M968" s="1"/>
      <c r="N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G969" s="1"/>
      <c r="H969" s="1"/>
      <c r="J969" s="1"/>
      <c r="K969" s="1"/>
      <c r="L969" s="1"/>
      <c r="M969" s="1"/>
      <c r="N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G970" s="1"/>
      <c r="H970" s="1"/>
      <c r="J970" s="1"/>
      <c r="K970" s="1"/>
      <c r="L970" s="1"/>
      <c r="M970" s="1"/>
      <c r="N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G971" s="1"/>
      <c r="H971" s="1"/>
      <c r="J971" s="1"/>
      <c r="K971" s="1"/>
      <c r="L971" s="1"/>
      <c r="M971" s="1"/>
      <c r="N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G972" s="1"/>
      <c r="H972" s="1"/>
      <c r="J972" s="1"/>
      <c r="K972" s="1"/>
      <c r="L972" s="1"/>
      <c r="M972" s="1"/>
      <c r="N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G973" s="1"/>
      <c r="H973" s="1"/>
      <c r="J973" s="1"/>
      <c r="K973" s="1"/>
      <c r="L973" s="1"/>
      <c r="M973" s="1"/>
      <c r="N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G974" s="1"/>
      <c r="H974" s="1"/>
      <c r="J974" s="1"/>
      <c r="K974" s="1"/>
      <c r="L974" s="1"/>
      <c r="M974" s="1"/>
      <c r="N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G975" s="1"/>
      <c r="H975" s="1"/>
      <c r="J975" s="1"/>
      <c r="K975" s="1"/>
      <c r="L975" s="1"/>
      <c r="M975" s="1"/>
      <c r="N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G976" s="1"/>
      <c r="H976" s="1"/>
      <c r="J976" s="1"/>
      <c r="K976" s="1"/>
      <c r="L976" s="1"/>
      <c r="M976" s="1"/>
      <c r="N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G977" s="1"/>
      <c r="H977" s="1"/>
      <c r="J977" s="1"/>
      <c r="K977" s="1"/>
      <c r="L977" s="1"/>
      <c r="M977" s="1"/>
      <c r="N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G978" s="1"/>
      <c r="H978" s="1"/>
      <c r="J978" s="1"/>
      <c r="K978" s="1"/>
      <c r="L978" s="1"/>
      <c r="M978" s="1"/>
      <c r="N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G979" s="1"/>
      <c r="H979" s="1"/>
      <c r="J979" s="1"/>
      <c r="K979" s="1"/>
      <c r="L979" s="1"/>
      <c r="M979" s="1"/>
      <c r="N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G980" s="1"/>
      <c r="H980" s="1"/>
      <c r="J980" s="1"/>
      <c r="K980" s="1"/>
      <c r="L980" s="1"/>
      <c r="M980" s="1"/>
      <c r="N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G981" s="1"/>
      <c r="H981" s="1"/>
      <c r="J981" s="1"/>
      <c r="K981" s="1"/>
      <c r="L981" s="1"/>
      <c r="M981" s="1"/>
      <c r="N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G982" s="1"/>
      <c r="H982" s="1"/>
      <c r="J982" s="1"/>
      <c r="K982" s="1"/>
      <c r="L982" s="1"/>
      <c r="M982" s="1"/>
      <c r="N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G983" s="1"/>
      <c r="H983" s="1"/>
      <c r="J983" s="1"/>
      <c r="K983" s="1"/>
      <c r="L983" s="1"/>
      <c r="M983" s="1"/>
      <c r="N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G984" s="1"/>
      <c r="H984" s="1"/>
      <c r="J984" s="1"/>
      <c r="K984" s="1"/>
      <c r="L984" s="1"/>
      <c r="M984" s="1"/>
      <c r="N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G985" s="1"/>
      <c r="H985" s="1"/>
      <c r="J985" s="1"/>
      <c r="K985" s="1"/>
      <c r="L985" s="1"/>
      <c r="M985" s="1"/>
      <c r="N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G986" s="1"/>
      <c r="H986" s="1"/>
      <c r="J986" s="1"/>
      <c r="K986" s="1"/>
      <c r="L986" s="1"/>
      <c r="M986" s="1"/>
      <c r="N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G987" s="1"/>
      <c r="H987" s="1"/>
      <c r="J987" s="1"/>
      <c r="K987" s="1"/>
      <c r="L987" s="1"/>
      <c r="M987" s="1"/>
      <c r="N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G988" s="1"/>
      <c r="H988" s="1"/>
      <c r="J988" s="1"/>
      <c r="K988" s="1"/>
      <c r="L988" s="1"/>
      <c r="M988" s="1"/>
      <c r="N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G989" s="1"/>
      <c r="H989" s="1"/>
      <c r="J989" s="1"/>
      <c r="K989" s="1"/>
      <c r="L989" s="1"/>
      <c r="M989" s="1"/>
      <c r="N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G990" s="1"/>
      <c r="H990" s="1"/>
      <c r="J990" s="1"/>
      <c r="K990" s="1"/>
      <c r="L990" s="1"/>
      <c r="M990" s="1"/>
      <c r="N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G991" s="1"/>
      <c r="H991" s="1"/>
      <c r="J991" s="1"/>
      <c r="K991" s="1"/>
      <c r="L991" s="1"/>
      <c r="M991" s="1"/>
      <c r="N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G992" s="1"/>
      <c r="H992" s="1"/>
      <c r="J992" s="1"/>
      <c r="K992" s="1"/>
      <c r="L992" s="1"/>
      <c r="M992" s="1"/>
      <c r="N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G993" s="1"/>
      <c r="H993" s="1"/>
      <c r="J993" s="1"/>
      <c r="K993" s="1"/>
      <c r="L993" s="1"/>
      <c r="M993" s="1"/>
      <c r="N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G994" s="1"/>
      <c r="H994" s="1"/>
      <c r="J994" s="1"/>
      <c r="K994" s="1"/>
      <c r="L994" s="1"/>
      <c r="M994" s="1"/>
      <c r="N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G995" s="1"/>
      <c r="H995" s="1"/>
      <c r="J995" s="1"/>
      <c r="K995" s="1"/>
      <c r="L995" s="1"/>
      <c r="M995" s="1"/>
      <c r="N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G996" s="1"/>
      <c r="H996" s="1"/>
      <c r="J996" s="1"/>
      <c r="K996" s="1"/>
      <c r="L996" s="1"/>
      <c r="M996" s="1"/>
      <c r="N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G997" s="1"/>
      <c r="H997" s="1"/>
      <c r="J997" s="1"/>
      <c r="K997" s="1"/>
      <c r="L997" s="1"/>
      <c r="M997" s="1"/>
      <c r="N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G998" s="1"/>
      <c r="H998" s="1"/>
      <c r="J998" s="1"/>
      <c r="K998" s="1"/>
      <c r="L998" s="1"/>
      <c r="M998" s="1"/>
      <c r="N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G999" s="1"/>
      <c r="H999" s="1"/>
      <c r="J999" s="1"/>
      <c r="K999" s="1"/>
      <c r="L999" s="1"/>
      <c r="M999" s="1"/>
      <c r="N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G1000" s="1"/>
      <c r="H1000" s="1"/>
      <c r="J1000" s="1"/>
      <c r="K1000" s="1"/>
      <c r="L1000" s="1"/>
      <c r="M1000" s="1"/>
      <c r="N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E2"/>
    <mergeCell ref="G2:H2"/>
    <mergeCell ref="J2:N2"/>
    <mergeCell ref="P2:T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2026-04-07T17:23:29Z</dcterms:created>
  <dc:creator>Albarracin, Mateo</dc:creator>
</cp:coreProperties>
</file>