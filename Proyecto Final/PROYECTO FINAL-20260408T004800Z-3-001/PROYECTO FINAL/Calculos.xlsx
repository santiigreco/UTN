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namericanenergy-my.sharepoint.com/personal/malbarracin_litionenergy_com/Documents/Documentos/MATEO/UTN/2026/Proyecto Final/"/>
    </mc:Choice>
  </mc:AlternateContent>
  <xr:revisionPtr revIDLastSave="2" documentId="8_{F1104992-B297-4E61-84FA-E9896BA1AAA9}" xr6:coauthVersionLast="47" xr6:coauthVersionMax="47" xr10:uidLastSave="{8054BDC2-2E86-4F65-8786-502763628D0F}"/>
  <bookViews>
    <workbookView xWindow="-108" yWindow="-108" windowWidth="23256" windowHeight="12456" xr2:uid="{AEA51C99-43E8-422E-8DEE-A4D45C613D36}"/>
  </bookViews>
  <sheets>
    <sheet name="Demanda" sheetId="2" r:id="rId1"/>
    <sheet name="Producc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21" i="2"/>
  <c r="C18" i="2"/>
  <c r="C7" i="2"/>
  <c r="C12" i="2" s="1"/>
  <c r="P4" i="1"/>
  <c r="H5" i="1"/>
  <c r="H6" i="1"/>
  <c r="H4" i="1"/>
  <c r="G7" i="1"/>
  <c r="K6" i="1"/>
  <c r="M6" i="1"/>
  <c r="N6" i="1" s="1"/>
  <c r="K5" i="1"/>
  <c r="K4" i="1"/>
  <c r="M4" i="1"/>
  <c r="Q4" i="1" s="1"/>
  <c r="M5" i="1"/>
  <c r="P5" i="1" s="1"/>
  <c r="J7" i="1"/>
  <c r="L7" i="1"/>
  <c r="D7" i="1"/>
  <c r="S7" i="1"/>
  <c r="C19" i="2" l="1"/>
  <c r="H7" i="1"/>
  <c r="N4" i="1"/>
  <c r="K7" i="1"/>
  <c r="M7" i="1"/>
  <c r="P6" i="1"/>
  <c r="Q6" i="1" s="1"/>
  <c r="N5" i="1"/>
  <c r="R4" i="1"/>
  <c r="T4" i="1"/>
  <c r="Q5" i="1"/>
  <c r="R6" i="1" l="1"/>
  <c r="T6" i="1"/>
  <c r="N7" i="1"/>
  <c r="P7" i="1"/>
  <c r="R5" i="1"/>
  <c r="T5" i="1"/>
  <c r="Q7" i="1"/>
  <c r="T7" i="1" l="1"/>
  <c r="R7" i="1"/>
</calcChain>
</file>

<file path=xl/sharedStrings.xml><?xml version="1.0" encoding="utf-8"?>
<sst xmlns="http://schemas.openxmlformats.org/spreadsheetml/2006/main" count="48" uniqueCount="44">
  <si>
    <t>Pepas</t>
  </si>
  <si>
    <t>Polvorones</t>
  </si>
  <si>
    <t>Budines</t>
  </si>
  <si>
    <t>Producto</t>
  </si>
  <si>
    <t>kg/turno</t>
  </si>
  <si>
    <t>kg/caja</t>
  </si>
  <si>
    <t>Cajas/turno</t>
  </si>
  <si>
    <t>Turnos</t>
  </si>
  <si>
    <t>kg/dia</t>
  </si>
  <si>
    <t>kg/año</t>
  </si>
  <si>
    <t>$/kg</t>
  </si>
  <si>
    <t>Total</t>
  </si>
  <si>
    <t>FC ($M)</t>
  </si>
  <si>
    <t>Tn/año</t>
  </si>
  <si>
    <t>Cajas/h</t>
  </si>
  <si>
    <t>kg/h</t>
  </si>
  <si>
    <t>Linea</t>
  </si>
  <si>
    <t>A</t>
  </si>
  <si>
    <t>B</t>
  </si>
  <si>
    <t>Personal</t>
  </si>
  <si>
    <t>RH/turno</t>
  </si>
  <si>
    <t>RH</t>
  </si>
  <si>
    <t>Produccion</t>
  </si>
  <si>
    <t>Producción por turno y eficiencia</t>
  </si>
  <si>
    <t>Escala de producción</t>
  </si>
  <si>
    <t>N</t>
  </si>
  <si>
    <t>M, T</t>
  </si>
  <si>
    <t>Horario</t>
  </si>
  <si>
    <t>Linea A</t>
  </si>
  <si>
    <t>Linea B</t>
  </si>
  <si>
    <t>Ventas</t>
  </si>
  <si>
    <t>Celiacos</t>
  </si>
  <si>
    <t>Poblacion Arg</t>
  </si>
  <si>
    <t>Mercado base</t>
  </si>
  <si>
    <t>Mercado extra</t>
  </si>
  <si>
    <t>Factor conviviente</t>
  </si>
  <si>
    <t>Factor saludable</t>
  </si>
  <si>
    <t>Participación</t>
  </si>
  <si>
    <t>Consumo kg/p mensual</t>
  </si>
  <si>
    <t>Consumo kg/p anual</t>
  </si>
  <si>
    <t>Mercado objetivo</t>
  </si>
  <si>
    <t xml:space="preserve">Proyeccion </t>
  </si>
  <si>
    <t>Produccion anual (kg)</t>
  </si>
  <si>
    <t>Demanda anual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</si>
</sst>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7" formatCode="0.0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rgb="FF0070C0"/>
      <name val="Aptos"/>
      <family val="2"/>
    </font>
    <font>
      <sz val="10"/>
      <color theme="5" tint="-0.249977111117893"/>
      <name val="Aptos"/>
      <family val="2"/>
    </font>
    <font>
      <b/>
      <sz val="10"/>
      <color rgb="FF0070C0"/>
      <name val="Aptos"/>
      <family val="2"/>
    </font>
    <font>
      <b/>
      <sz val="10"/>
      <color theme="5" tint="-0.249977111117893"/>
      <name val="Aptos"/>
      <family val="2"/>
    </font>
    <font>
      <sz val="10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 applyAlignment="1">
      <alignment vertical="center"/>
    </xf>
    <xf numFmtId="165" fontId="3" fillId="3" borderId="1" xfId="1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165" fontId="6" fillId="0" borderId="1" xfId="1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5" fontId="2" fillId="0" borderId="2" xfId="1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9" fontId="2" fillId="0" borderId="3" xfId="2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164" fontId="2" fillId="0" borderId="3" xfId="1" applyNumberFormat="1" applyFont="1" applyBorder="1" applyAlignment="1">
      <alignment vertical="center"/>
    </xf>
    <xf numFmtId="165" fontId="3" fillId="0" borderId="0" xfId="1" applyNumberFormat="1" applyFont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165" fontId="3" fillId="5" borderId="2" xfId="1" applyNumberFormat="1" applyFont="1" applyFill="1" applyBorder="1" applyAlignment="1">
      <alignment vertical="center"/>
    </xf>
    <xf numFmtId="165" fontId="3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168" fontId="3" fillId="0" borderId="0" xfId="2" applyNumberFormat="1" applyFont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4CA5-0779-4DCF-86EE-1537E46E34BF}">
  <dimension ref="B1:E21"/>
  <sheetViews>
    <sheetView showGridLines="0" tabSelected="1" workbookViewId="0">
      <selection activeCell="B1" sqref="B1:C1048576"/>
    </sheetView>
  </sheetViews>
  <sheetFormatPr baseColWidth="10" defaultRowHeight="18.600000000000001" customHeight="1" x14ac:dyDescent="0.3"/>
  <cols>
    <col min="1" max="1" width="1.88671875" style="1" customWidth="1"/>
    <col min="2" max="2" width="22.44140625" style="1" customWidth="1"/>
    <col min="3" max="3" width="14" style="1" bestFit="1" customWidth="1"/>
    <col min="4" max="16384" width="11.5546875" style="1"/>
  </cols>
  <sheetData>
    <row r="1" spans="2:5" ht="8.4" customHeight="1" x14ac:dyDescent="0.3"/>
    <row r="2" spans="2:5" ht="19.8" customHeight="1" x14ac:dyDescent="0.3">
      <c r="B2" s="32" t="s">
        <v>30</v>
      </c>
      <c r="C2" s="33"/>
    </row>
    <row r="3" spans="2:5" customFormat="1" ht="7.8" customHeight="1" x14ac:dyDescent="0.3"/>
    <row r="4" spans="2:5" ht="18.600000000000001" customHeight="1" x14ac:dyDescent="0.3">
      <c r="B4" s="13" t="s">
        <v>33</v>
      </c>
      <c r="C4" s="28"/>
    </row>
    <row r="5" spans="2:5" ht="18.600000000000001" customHeight="1" x14ac:dyDescent="0.3">
      <c r="B5" s="28" t="s">
        <v>32</v>
      </c>
      <c r="C5" s="29">
        <v>46000000</v>
      </c>
    </row>
    <row r="6" spans="2:5" ht="18.600000000000001" customHeight="1" x14ac:dyDescent="0.3">
      <c r="B6" s="30" t="s">
        <v>31</v>
      </c>
      <c r="C6" s="31">
        <v>0.01</v>
      </c>
    </row>
    <row r="7" spans="2:5" ht="18.600000000000001" customHeight="1" x14ac:dyDescent="0.3">
      <c r="B7" s="37" t="s">
        <v>11</v>
      </c>
      <c r="C7" s="38">
        <f>C5*C6</f>
        <v>460000</v>
      </c>
    </row>
    <row r="8" spans="2:5" ht="15.6" customHeight="1" x14ac:dyDescent="0.3"/>
    <row r="9" spans="2:5" ht="18.600000000000001" customHeight="1" x14ac:dyDescent="0.3">
      <c r="B9" s="13" t="s">
        <v>34</v>
      </c>
      <c r="C9" s="28"/>
    </row>
    <row r="10" spans="2:5" ht="18.600000000000001" customHeight="1" x14ac:dyDescent="0.3">
      <c r="B10" s="30" t="s">
        <v>35</v>
      </c>
      <c r="C10" s="34">
        <v>1.5</v>
      </c>
    </row>
    <row r="11" spans="2:5" ht="18.600000000000001" customHeight="1" x14ac:dyDescent="0.3">
      <c r="B11" s="30" t="s">
        <v>36</v>
      </c>
      <c r="C11" s="34">
        <v>1.4</v>
      </c>
    </row>
    <row r="12" spans="2:5" ht="18.600000000000001" customHeight="1" x14ac:dyDescent="0.3">
      <c r="B12" s="37" t="s">
        <v>11</v>
      </c>
      <c r="C12" s="38">
        <f>C7*(C10+C11)</f>
        <v>1334000</v>
      </c>
      <c r="E12" s="4"/>
    </row>
    <row r="13" spans="2:5" ht="15.6" customHeight="1" x14ac:dyDescent="0.3">
      <c r="E13" s="4"/>
    </row>
    <row r="14" spans="2:5" ht="18.600000000000001" customHeight="1" x14ac:dyDescent="0.3">
      <c r="B14" s="13" t="s">
        <v>41</v>
      </c>
      <c r="C14" s="28"/>
      <c r="E14" s="4"/>
    </row>
    <row r="15" spans="2:5" ht="18.600000000000001" customHeight="1" x14ac:dyDescent="0.3">
      <c r="B15" s="1" t="s">
        <v>37</v>
      </c>
      <c r="C15" s="41">
        <v>7.0000000000000007E-2</v>
      </c>
    </row>
    <row r="16" spans="2:5" ht="18.600000000000001" customHeight="1" x14ac:dyDescent="0.3">
      <c r="B16" s="28" t="s">
        <v>40</v>
      </c>
      <c r="C16" s="36">
        <f>C12*C15</f>
        <v>93380.000000000015</v>
      </c>
    </row>
    <row r="17" spans="2:3" ht="18.600000000000001" customHeight="1" x14ac:dyDescent="0.3">
      <c r="B17" s="1" t="s">
        <v>38</v>
      </c>
      <c r="C17" s="1">
        <v>2</v>
      </c>
    </row>
    <row r="18" spans="2:3" ht="18.600000000000001" customHeight="1" x14ac:dyDescent="0.3">
      <c r="B18" s="28" t="s">
        <v>39</v>
      </c>
      <c r="C18" s="28">
        <f>C17*12</f>
        <v>24</v>
      </c>
    </row>
    <row r="19" spans="2:3" ht="18.600000000000001" customHeight="1" x14ac:dyDescent="0.3">
      <c r="B19" s="40" t="s">
        <v>43</v>
      </c>
      <c r="C19" s="39">
        <f>C18*C16</f>
        <v>2241120.0000000005</v>
      </c>
    </row>
    <row r="21" spans="2:3" ht="18.600000000000001" customHeight="1" x14ac:dyDescent="0.3">
      <c r="B21" s="2" t="s">
        <v>42</v>
      </c>
      <c r="C21" s="35">
        <f>Produccion!Q7</f>
        <v>2393280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0752-EF14-4AEE-BE1A-0D9DE1DEDBA8}">
  <dimension ref="B1:T20"/>
  <sheetViews>
    <sheetView showGridLines="0" workbookViewId="0">
      <selection activeCell="B3" sqref="B3"/>
    </sheetView>
  </sheetViews>
  <sheetFormatPr baseColWidth="10" defaultRowHeight="16.8" customHeight="1" x14ac:dyDescent="0.3"/>
  <cols>
    <col min="1" max="1" width="1.5546875" style="1" customWidth="1"/>
    <col min="2" max="2" width="18.77734375" style="1" customWidth="1"/>
    <col min="3" max="3" width="9" style="1" customWidth="1"/>
    <col min="4" max="5" width="9.21875" style="1" customWidth="1"/>
    <col min="6" max="6" width="1.44140625" customWidth="1"/>
    <col min="7" max="8" width="10.33203125" style="1" customWidth="1"/>
    <col min="9" max="9" width="1.44140625" customWidth="1"/>
    <col min="10" max="14" width="12.77734375" style="1" customWidth="1"/>
    <col min="15" max="15" width="1.44140625" customWidth="1"/>
    <col min="16" max="18" width="12.77734375" style="1" customWidth="1"/>
    <col min="19" max="19" width="11.5546875" style="1"/>
    <col min="20" max="20" width="12.21875" style="1" customWidth="1"/>
    <col min="21" max="16384" width="11.5546875" style="1"/>
  </cols>
  <sheetData>
    <row r="1" spans="2:20" ht="11.4" customHeight="1" x14ac:dyDescent="0.3"/>
    <row r="2" spans="2:20" ht="16.8" customHeight="1" x14ac:dyDescent="0.3">
      <c r="B2" s="12" t="s">
        <v>22</v>
      </c>
      <c r="C2" s="12"/>
      <c r="D2" s="12"/>
      <c r="E2" s="12"/>
      <c r="G2" s="12" t="s">
        <v>19</v>
      </c>
      <c r="H2" s="12"/>
      <c r="J2" s="12" t="s">
        <v>23</v>
      </c>
      <c r="K2" s="12"/>
      <c r="L2" s="12"/>
      <c r="M2" s="12"/>
      <c r="N2" s="12"/>
      <c r="P2" s="12" t="s">
        <v>24</v>
      </c>
      <c r="Q2" s="12"/>
      <c r="R2" s="12"/>
      <c r="S2" s="12"/>
      <c r="T2" s="12"/>
    </row>
    <row r="3" spans="2:20" ht="22.2" customHeight="1" x14ac:dyDescent="0.3">
      <c r="B3" s="10" t="s">
        <v>3</v>
      </c>
      <c r="C3" s="10" t="s">
        <v>16</v>
      </c>
      <c r="D3" s="10" t="s">
        <v>7</v>
      </c>
      <c r="E3" s="10" t="s">
        <v>27</v>
      </c>
      <c r="G3" s="10" t="s">
        <v>20</v>
      </c>
      <c r="H3" s="10" t="s">
        <v>21</v>
      </c>
      <c r="J3" s="10" t="s">
        <v>6</v>
      </c>
      <c r="K3" s="10" t="s">
        <v>14</v>
      </c>
      <c r="L3" s="10" t="s">
        <v>5</v>
      </c>
      <c r="M3" s="10" t="s">
        <v>4</v>
      </c>
      <c r="N3" s="10" t="s">
        <v>15</v>
      </c>
      <c r="P3" s="10" t="s">
        <v>8</v>
      </c>
      <c r="Q3" s="10" t="s">
        <v>9</v>
      </c>
      <c r="R3" s="10" t="s">
        <v>13</v>
      </c>
      <c r="S3" s="10" t="s">
        <v>10</v>
      </c>
      <c r="T3" s="10" t="s">
        <v>12</v>
      </c>
    </row>
    <row r="4" spans="2:20" ht="22.2" customHeight="1" x14ac:dyDescent="0.3">
      <c r="B4" s="14" t="s">
        <v>0</v>
      </c>
      <c r="C4" s="15" t="s">
        <v>17</v>
      </c>
      <c r="D4" s="16">
        <v>2</v>
      </c>
      <c r="E4" s="16" t="s">
        <v>26</v>
      </c>
      <c r="G4" s="17">
        <v>9</v>
      </c>
      <c r="H4" s="17">
        <f>D4*G4</f>
        <v>18</v>
      </c>
      <c r="J4" s="16">
        <v>900</v>
      </c>
      <c r="K4" s="16">
        <f>J4/8</f>
        <v>112.5</v>
      </c>
      <c r="L4" s="18">
        <v>2.7</v>
      </c>
      <c r="M4" s="16">
        <f>J4*L4</f>
        <v>2430</v>
      </c>
      <c r="N4" s="16">
        <f>M4/8</f>
        <v>303.75</v>
      </c>
      <c r="P4" s="16">
        <f>M4*D4</f>
        <v>4860</v>
      </c>
      <c r="Q4" s="19">
        <f>P4*24*12</f>
        <v>1399680</v>
      </c>
      <c r="R4" s="19">
        <f>Q4/1000</f>
        <v>1399.68</v>
      </c>
      <c r="S4" s="16">
        <v>10000</v>
      </c>
      <c r="T4" s="8">
        <f>Q4*S4/1000000</f>
        <v>13996.8</v>
      </c>
    </row>
    <row r="5" spans="2:20" ht="22.2" customHeight="1" x14ac:dyDescent="0.3">
      <c r="B5" s="14" t="s">
        <v>1</v>
      </c>
      <c r="C5" s="15" t="s">
        <v>17</v>
      </c>
      <c r="D5" s="16">
        <v>1</v>
      </c>
      <c r="E5" s="16" t="s">
        <v>25</v>
      </c>
      <c r="G5" s="17">
        <v>6</v>
      </c>
      <c r="H5" s="17">
        <f t="shared" ref="H5:H6" si="0">D5*G5</f>
        <v>6</v>
      </c>
      <c r="J5" s="16">
        <v>500</v>
      </c>
      <c r="K5" s="16">
        <f>J5/8</f>
        <v>62.5</v>
      </c>
      <c r="L5" s="14">
        <v>2.7</v>
      </c>
      <c r="M5" s="16">
        <f>J5*L5</f>
        <v>1350</v>
      </c>
      <c r="N5" s="16">
        <f t="shared" ref="N5:N6" si="1">M5/8</f>
        <v>168.75</v>
      </c>
      <c r="P5" s="16">
        <f>M5*D5</f>
        <v>1350</v>
      </c>
      <c r="Q5" s="19">
        <f t="shared" ref="Q5:Q6" si="2">P5*24*12</f>
        <v>388800</v>
      </c>
      <c r="R5" s="19">
        <f>Q5/1000</f>
        <v>388.8</v>
      </c>
      <c r="S5" s="16">
        <v>10000</v>
      </c>
      <c r="T5" s="8">
        <f t="shared" ref="T5:T6" si="3">Q5*S5/1000000</f>
        <v>3888</v>
      </c>
    </row>
    <row r="6" spans="2:20" ht="22.2" customHeight="1" x14ac:dyDescent="0.3">
      <c r="B6" s="20" t="s">
        <v>2</v>
      </c>
      <c r="C6" s="21" t="s">
        <v>18</v>
      </c>
      <c r="D6" s="22">
        <v>2</v>
      </c>
      <c r="E6" s="22" t="s">
        <v>26</v>
      </c>
      <c r="G6" s="23">
        <v>8</v>
      </c>
      <c r="H6" s="23">
        <f t="shared" si="0"/>
        <v>16</v>
      </c>
      <c r="J6" s="22">
        <v>350</v>
      </c>
      <c r="K6" s="22">
        <f>J6/8</f>
        <v>43.75</v>
      </c>
      <c r="L6" s="24">
        <v>3</v>
      </c>
      <c r="M6" s="22">
        <f>J6*L6</f>
        <v>1050</v>
      </c>
      <c r="N6" s="22">
        <f t="shared" si="1"/>
        <v>131.25</v>
      </c>
      <c r="P6" s="22">
        <f>M6*D6</f>
        <v>2100</v>
      </c>
      <c r="Q6" s="25">
        <f t="shared" si="2"/>
        <v>604800</v>
      </c>
      <c r="R6" s="25">
        <f>Q6/1000</f>
        <v>604.79999999999995</v>
      </c>
      <c r="S6" s="22">
        <v>15000</v>
      </c>
      <c r="T6" s="8">
        <f t="shared" si="3"/>
        <v>9072</v>
      </c>
    </row>
    <row r="7" spans="2:20" ht="22.2" customHeight="1" x14ac:dyDescent="0.3">
      <c r="B7" s="5" t="s">
        <v>11</v>
      </c>
      <c r="C7" s="5"/>
      <c r="D7" s="7">
        <f>AVERAGE(D4:D6)</f>
        <v>1.6666666666666667</v>
      </c>
      <c r="E7" s="7"/>
      <c r="G7" s="6">
        <f>SUM(G4:G6)</f>
        <v>23</v>
      </c>
      <c r="H7" s="6">
        <f>SUM(H4:H6)</f>
        <v>40</v>
      </c>
      <c r="J7" s="6">
        <f>SUM(J4:J6)</f>
        <v>1750</v>
      </c>
      <c r="K7" s="6">
        <f>SUM(K4:K6)</f>
        <v>218.75</v>
      </c>
      <c r="L7" s="7">
        <f>AVERAGE(L4:L6)</f>
        <v>2.8000000000000003</v>
      </c>
      <c r="M7" s="6">
        <f>SUM(M4:M6)</f>
        <v>4830</v>
      </c>
      <c r="N7" s="6">
        <f>SUM(N4:N6)</f>
        <v>603.75</v>
      </c>
      <c r="P7" s="6">
        <f>SUM(P4:P6)</f>
        <v>8310</v>
      </c>
      <c r="Q7" s="6">
        <f>SUM(Q4:Q6)</f>
        <v>2393280</v>
      </c>
      <c r="R7" s="6">
        <f>SUM(R4:R6)</f>
        <v>2393.2799999999997</v>
      </c>
      <c r="S7" s="6">
        <f>SUM(S4:S6)</f>
        <v>35000</v>
      </c>
      <c r="T7" s="9">
        <f>SUM(T4:T6)</f>
        <v>26956.799999999999</v>
      </c>
    </row>
    <row r="8" spans="2:20" ht="15" customHeight="1" x14ac:dyDescent="0.3">
      <c r="D8" s="3"/>
      <c r="E8" s="3"/>
      <c r="K8" s="11"/>
      <c r="N8" s="11"/>
      <c r="P8" s="4"/>
    </row>
    <row r="9" spans="2:20" ht="16.8" customHeight="1" x14ac:dyDescent="0.3">
      <c r="B9" s="26" t="s">
        <v>28</v>
      </c>
    </row>
    <row r="10" spans="2:20" ht="16.8" customHeight="1" x14ac:dyDescent="0.3">
      <c r="B10" s="27" t="s">
        <v>29</v>
      </c>
      <c r="K10" s="4"/>
      <c r="N10" s="4"/>
    </row>
    <row r="16" spans="2:20" ht="16.8" customHeight="1" x14ac:dyDescent="0.3">
      <c r="I16" s="1"/>
    </row>
    <row r="17" spans="3:3" ht="16.8" customHeight="1" x14ac:dyDescent="0.3">
      <c r="C17" s="3"/>
    </row>
    <row r="18" spans="3:3" ht="16.8" customHeight="1" x14ac:dyDescent="0.3">
      <c r="C18" s="3"/>
    </row>
    <row r="19" spans="3:3" ht="16.8" customHeight="1" x14ac:dyDescent="0.3">
      <c r="C19" s="3"/>
    </row>
    <row r="20" spans="3:3" ht="16.8" customHeight="1" x14ac:dyDescent="0.3">
      <c r="C20" s="3"/>
    </row>
  </sheetData>
  <mergeCells count="4">
    <mergeCell ref="G2:H2"/>
    <mergeCell ref="J2:N2"/>
    <mergeCell ref="P2:T2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Demanda</vt:lpstr>
      <vt:lpstr>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Albarracin, Mateo</dc:creator>
  <cp:lastModifiedBy>Albarracin, Mateo</cp:lastModifiedBy>
  <dcterms:created xsi:type="dcterms:W3CDTF">2026-04-07T17:23:29Z</dcterms:created>
  <dcterms:modified xsi:type="dcterms:W3CDTF">2026-04-07T20:11:07Z</dcterms:modified>
</cp:coreProperties>
</file>