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11715" windowHeight="4680"/>
  </bookViews>
  <sheets>
    <sheet name="Tema Unico" sheetId="5" r:id="rId1"/>
    <sheet name="Solución" sheetId="10" r:id="rId2"/>
  </sheets>
  <calcPr calcId="125725"/>
</workbook>
</file>

<file path=xl/calcChain.xml><?xml version="1.0" encoding="utf-8"?>
<calcChain xmlns="http://schemas.openxmlformats.org/spreadsheetml/2006/main">
  <c r="U44" i="10"/>
  <c r="T44"/>
  <c r="S44"/>
  <c r="R44"/>
  <c r="Q44"/>
  <c r="O44"/>
  <c r="N44"/>
  <c r="M44"/>
  <c r="L44"/>
  <c r="K44"/>
  <c r="J44"/>
  <c r="I44"/>
  <c r="H44"/>
  <c r="G44"/>
  <c r="F44"/>
  <c r="E44"/>
  <c r="D44"/>
  <c r="C44"/>
  <c r="P39"/>
  <c r="P44" s="1"/>
  <c r="AP37"/>
  <c r="AM38" s="1"/>
  <c r="AP36"/>
  <c r="AP35"/>
  <c r="AK35"/>
  <c r="AH35"/>
  <c r="AH36" s="1"/>
  <c r="AM34"/>
  <c r="AP34" s="1"/>
  <c r="AK34"/>
  <c r="P29"/>
  <c r="N29"/>
  <c r="H29"/>
  <c r="AE28"/>
  <c r="AE29" s="1"/>
  <c r="AE30" s="1"/>
  <c r="AE31" s="1"/>
  <c r="P28"/>
  <c r="N28"/>
  <c r="H28"/>
  <c r="P27"/>
  <c r="N27"/>
  <c r="H27"/>
  <c r="P26"/>
  <c r="N26"/>
  <c r="H26"/>
  <c r="P25"/>
  <c r="N25"/>
  <c r="H25"/>
  <c r="P24"/>
  <c r="N24"/>
  <c r="H24"/>
  <c r="P23"/>
  <c r="N23"/>
  <c r="H23"/>
  <c r="P22"/>
  <c r="N22"/>
  <c r="H22"/>
  <c r="P21"/>
  <c r="N21"/>
  <c r="H21"/>
  <c r="P20"/>
  <c r="N20"/>
  <c r="H20"/>
  <c r="P19"/>
  <c r="N19"/>
  <c r="H19"/>
  <c r="P18"/>
  <c r="N18"/>
  <c r="H18"/>
  <c r="AQ17"/>
  <c r="AL17"/>
  <c r="AG17"/>
  <c r="P17"/>
  <c r="N17"/>
  <c r="N30" s="1"/>
  <c r="F30" s="1"/>
  <c r="H17"/>
  <c r="AM13"/>
  <c r="AL13"/>
  <c r="AK13"/>
  <c r="AM12"/>
  <c r="AE12"/>
  <c r="AD12"/>
  <c r="AL12" s="1"/>
  <c r="AC12"/>
  <c r="AK12" s="1"/>
  <c r="AS8"/>
  <c r="AL7"/>
  <c r="AE7"/>
  <c r="AD7"/>
  <c r="AC7"/>
  <c r="AL6"/>
  <c r="AE6"/>
  <c r="AD6"/>
  <c r="AC6"/>
  <c r="AL5"/>
  <c r="AE5"/>
  <c r="AM7" s="1"/>
  <c r="AD5"/>
  <c r="AC5"/>
  <c r="AK7" s="1"/>
  <c r="AO7" l="1"/>
  <c r="AU7" s="1"/>
  <c r="AP7"/>
  <c r="AV7" s="1"/>
  <c r="AQ7"/>
  <c r="AW7" s="1"/>
  <c r="AH37"/>
  <c r="AK36"/>
  <c r="AP38"/>
  <c r="AM39" s="1"/>
  <c r="AK5"/>
  <c r="AK6"/>
  <c r="AM5"/>
  <c r="AM6"/>
  <c r="AO6" l="1"/>
  <c r="AU6" s="1"/>
  <c r="AQ6"/>
  <c r="AW6" s="1"/>
  <c r="AP6"/>
  <c r="AV6" s="1"/>
  <c r="AO5"/>
  <c r="AU5" s="1"/>
  <c r="AU8" s="1"/>
  <c r="AU10" s="1"/>
  <c r="AQ5"/>
  <c r="AW5" s="1"/>
  <c r="AW8" s="1"/>
  <c r="AW10" s="1"/>
  <c r="AP5"/>
  <c r="AV5" s="1"/>
  <c r="AH38"/>
  <c r="AK37"/>
  <c r="AP39"/>
  <c r="AM40" s="1"/>
  <c r="AP40" l="1"/>
  <c r="AM41" s="1"/>
  <c r="AV8"/>
  <c r="AV10" s="1"/>
  <c r="AH39"/>
  <c r="AK38"/>
  <c r="AP41" l="1"/>
  <c r="AM42" s="1"/>
  <c r="AH40"/>
  <c r="AK39"/>
  <c r="AP42" l="1"/>
  <c r="AM43" s="1"/>
  <c r="AH41"/>
  <c r="AK40"/>
  <c r="AP43" l="1"/>
  <c r="AH42"/>
  <c r="AK41"/>
  <c r="AH43" l="1"/>
  <c r="AK43" s="1"/>
  <c r="AK45" s="1"/>
  <c r="AK42"/>
</calcChain>
</file>

<file path=xl/sharedStrings.xml><?xml version="1.0" encoding="utf-8"?>
<sst xmlns="http://schemas.openxmlformats.org/spreadsheetml/2006/main" count="143" uniqueCount="95">
  <si>
    <t>Puntaje Obtenido</t>
  </si>
  <si>
    <t>Puntaje Total</t>
  </si>
  <si>
    <t>Nombre/s y Apellido/s:</t>
  </si>
  <si>
    <t>Tema Único</t>
  </si>
  <si>
    <t>4.- Simulación</t>
  </si>
  <si>
    <t>5.- Filas de Espera</t>
  </si>
  <si>
    <t>6.- Cadenas de Markov</t>
  </si>
  <si>
    <t>7.- Programación de Proyectos</t>
  </si>
  <si>
    <t>1.- Una cuarta holgura se llama holgura independiente. Note que las otras tres medidas de holgura son medidas que dependen de la ruta; esto es, modificar la duración de una tarea afectará las medidas de holgura de las otras tareas. Sin embargo, en algunos casos la duración de una tarea se puede modificar sin afectar las otras tareas del proyecto. Esta información puede ser útil para un administrador de proyectos, que deben considerar estos efectos de interacción. El tiempo que puede aumentarse la duración de una tarea sin afectar la duración de otras se conoce como holgura independiente</t>
  </si>
  <si>
    <t>Explicar por qué es útil el Concepto de Margen Independiente</t>
  </si>
  <si>
    <t>2.- F es la uniforme</t>
  </si>
  <si>
    <t>Indicar si es V o F. Justificar en caso de ser Falso:
En simulación el número aleatorio se define como una muestra aleatoria independiente tomada de una distribución continua normal. Los arribos se simulan con la distribución de Poisson y los tiempos de servicio con la Exponencial.</t>
  </si>
  <si>
    <t>2° Recuperatorio: 1° Parcial Investigación Operativa - 10/12/2018</t>
  </si>
  <si>
    <t>Los consumidores de chocolate de Cacaolandia usan tres marcas A, B y C. En Julio de este año, se realizó una encuesta en la que se entrevistaron 16900 personas que compran el producto con los siguientes resultados:</t>
  </si>
  <si>
    <t>a.- Si las compras se hacen mensualmente, ¿Cuál será la distribución de mercado en el mes de Octubre?</t>
  </si>
  <si>
    <t>b.- Qué proporción de clientes se mantuvieron leales en Octubre?</t>
  </si>
  <si>
    <t>Una estación de Servicio solo tiene un surtidor y llegan en promedio 40 clientes por hora; la capacidad de atención promedio es de 50 clientes por hora y se sabe que los clientes esperan un promedio de 4 min en la cola. Determine:</t>
  </si>
  <si>
    <t>a.-  Tiempo promedio que un cliente pasa en el sistema</t>
  </si>
  <si>
    <t>b.-  Número promedio de clientes en la cola.</t>
  </si>
  <si>
    <t>c.-  Número promedio de clientes en el sistema</t>
  </si>
  <si>
    <t>Resolver la siguiente red de actividades. Confeccionar el Diagrama de Gantt a Fecha Temprana y su carga Financiera. Los costos por UT ( unidad de Tiempo) se dan en la tabla adjunta. Se arregló el pago de Mat 50 % la 1º UTde cada actividad y 50% en la UT siguiente y para la mano de obra 20 % en la 1º UT y el 80 % restante en la última UT de cada actividad.</t>
  </si>
  <si>
    <t>En un banco, se estima que las personas llegan según Poisson con la siguiente tasa ƛ = 4. Existe un cajero que normalmente atiende a las personas que llegan según la siguiente tasa:</t>
  </si>
  <si>
    <t>El banco se encuentra en proceso de crecimiento por lo que se ha decidido simular los tiempos de servicio para analizar si es necesario agregar un segundo cajero teniendo en cuenta que se desea que el tiempo de espera sea menor a 3 minutos en promedio. Los nros aleatorios obtenidos son: 0,03 - 0,05 - 0,12 - 0,91 - 0,31 - 0,3 - 0,69 - 0,21 - 0,06 - 0,75
Indicar el resultado de dicho análisis.</t>
  </si>
  <si>
    <t>3.-</t>
  </si>
  <si>
    <t>1a</t>
  </si>
  <si>
    <t>A</t>
  </si>
  <si>
    <t>B</t>
  </si>
  <si>
    <t>C</t>
  </si>
  <si>
    <t>Agosto</t>
  </si>
  <si>
    <t>P2</t>
  </si>
  <si>
    <t>Septiembre</t>
  </si>
  <si>
    <t>P3</t>
  </si>
  <si>
    <t>Octubre</t>
  </si>
  <si>
    <t>D</t>
  </si>
  <si>
    <t>G</t>
  </si>
  <si>
    <t>E</t>
  </si>
  <si>
    <t>K</t>
  </si>
  <si>
    <t>H</t>
  </si>
  <si>
    <t>L</t>
  </si>
  <si>
    <t>I</t>
  </si>
  <si>
    <t>M</t>
  </si>
  <si>
    <t>1b</t>
  </si>
  <si>
    <t>F</t>
  </si>
  <si>
    <t>J</t>
  </si>
  <si>
    <t>2a.-</t>
  </si>
  <si>
    <t>2b.-</t>
  </si>
  <si>
    <t>2c.-</t>
  </si>
  <si>
    <t>Tarea</t>
  </si>
  <si>
    <t>Ftaef</t>
  </si>
  <si>
    <t>Fteei</t>
  </si>
  <si>
    <t>Tt</t>
  </si>
  <si>
    <t>MFt</t>
  </si>
  <si>
    <t>T. Cr.</t>
  </si>
  <si>
    <t>$MOUT</t>
  </si>
  <si>
    <t>$MatUT</t>
  </si>
  <si>
    <t>$TMO</t>
  </si>
  <si>
    <t>$TMat</t>
  </si>
  <si>
    <t>l =</t>
  </si>
  <si>
    <t>40 Cl/hs</t>
  </si>
  <si>
    <t>Ws =</t>
  </si>
  <si>
    <r>
      <t xml:space="preserve">w + 1/ </t>
    </r>
    <r>
      <rPr>
        <sz val="14"/>
        <color indexed="8"/>
        <rFont val="Symbol"/>
        <family val="1"/>
        <charset val="2"/>
      </rPr>
      <t>m</t>
    </r>
  </si>
  <si>
    <r>
      <t xml:space="preserve">Lc = </t>
    </r>
    <r>
      <rPr>
        <sz val="14"/>
        <color indexed="8"/>
        <rFont val="Symbol"/>
        <family val="1"/>
        <charset val="2"/>
      </rPr>
      <t>r</t>
    </r>
    <r>
      <rPr>
        <vertAlign val="superscript"/>
        <sz val="14"/>
        <color indexed="8"/>
        <rFont val="Symbol"/>
        <family val="1"/>
        <charset val="2"/>
      </rPr>
      <t>2</t>
    </r>
    <r>
      <rPr>
        <sz val="14"/>
        <color indexed="8"/>
        <rFont val="Symbol"/>
        <family val="1"/>
        <charset val="2"/>
      </rPr>
      <t>/(1-</t>
    </r>
    <r>
      <rPr>
        <sz val="14"/>
        <color indexed="8"/>
        <rFont val="Calibri"/>
        <family val="2"/>
      </rPr>
      <t xml:space="preserve"> </t>
    </r>
    <r>
      <rPr>
        <sz val="14"/>
        <color indexed="8"/>
        <rFont val="Symbol"/>
        <family val="1"/>
        <charset val="2"/>
      </rPr>
      <t>r</t>
    </r>
    <r>
      <rPr>
        <sz val="14"/>
        <color indexed="8"/>
        <rFont val="Calibri"/>
        <family val="2"/>
      </rPr>
      <t>)</t>
    </r>
  </si>
  <si>
    <r>
      <t xml:space="preserve">Ls = </t>
    </r>
    <r>
      <rPr>
        <sz val="14"/>
        <color indexed="8"/>
        <rFont val="Symbol"/>
        <family val="1"/>
        <charset val="2"/>
      </rPr>
      <t>r</t>
    </r>
    <r>
      <rPr>
        <sz val="14"/>
        <color indexed="8"/>
        <rFont val="Symbol"/>
        <family val="1"/>
        <charset val="2"/>
      </rPr>
      <t>/(1-</t>
    </r>
    <r>
      <rPr>
        <sz val="14"/>
        <color indexed="8"/>
        <rFont val="Calibri"/>
        <family val="2"/>
      </rPr>
      <t xml:space="preserve"> </t>
    </r>
    <r>
      <rPr>
        <sz val="14"/>
        <color indexed="8"/>
        <rFont val="Symbol"/>
        <family val="1"/>
        <charset val="2"/>
      </rPr>
      <t>r</t>
    </r>
    <r>
      <rPr>
        <sz val="14"/>
        <color indexed="8"/>
        <rFont val="Calibri"/>
        <family val="2"/>
      </rPr>
      <t>)</t>
    </r>
  </si>
  <si>
    <t>Si</t>
  </si>
  <si>
    <t>m =</t>
  </si>
  <si>
    <t>50 Cl/hs</t>
  </si>
  <si>
    <t>min</t>
  </si>
  <si>
    <t xml:space="preserve">Lq =  </t>
  </si>
  <si>
    <t>Clientes</t>
  </si>
  <si>
    <t xml:space="preserve">Ls = </t>
  </si>
  <si>
    <t>w =</t>
  </si>
  <si>
    <t>4 min</t>
  </si>
  <si>
    <r>
      <t xml:space="preserve">Ws =1/( </t>
    </r>
    <r>
      <rPr>
        <sz val="12"/>
        <color indexed="9"/>
        <rFont val="Symbol"/>
        <family val="1"/>
        <charset val="2"/>
      </rPr>
      <t>r/(1-</t>
    </r>
    <r>
      <rPr>
        <sz val="12"/>
        <color indexed="9"/>
        <rFont val="Calibri"/>
        <family val="2"/>
      </rPr>
      <t xml:space="preserve"> </t>
    </r>
    <r>
      <rPr>
        <sz val="12"/>
        <color indexed="9"/>
        <rFont val="Symbol"/>
        <family val="1"/>
        <charset val="2"/>
      </rPr>
      <t>r</t>
    </r>
    <r>
      <rPr>
        <sz val="12"/>
        <color indexed="9"/>
        <rFont val="Calibri"/>
        <family val="2"/>
      </rPr>
      <t>))</t>
    </r>
  </si>
  <si>
    <r>
      <rPr>
        <sz val="16"/>
        <color indexed="8"/>
        <rFont val="Calibri"/>
        <family val="2"/>
      </rPr>
      <t>4.-</t>
    </r>
    <r>
      <rPr>
        <sz val="12"/>
        <color indexed="8"/>
        <rFont val="Calibri"/>
        <family val="2"/>
      </rPr>
      <t>El banco se encuentra en proceso de crecimiento por lo que se ha decidido simular los tiempos de servicio para analizar si es necesario agregar un segundo cajero teniendo en cuenta que se desea que el tiempo de espera sea menor a 3 minutos en promedio. Los nros aleatorios obtenidos son: 0,03 - 0,05 - 0,12 - 0,91 - 0,31 - 0,3 - 0,69 - 0,21 - 0,06 - 0,75
Indicar el resultado de dicho análisis.</t>
    </r>
  </si>
  <si>
    <t>µ (min)</t>
  </si>
  <si>
    <t>Probabilidad</t>
  </si>
  <si>
    <t>Prob. Acumulada</t>
  </si>
  <si>
    <t>Intervalos</t>
  </si>
  <si>
    <t>0 - 0,05</t>
  </si>
  <si>
    <t>0,06 - 0,15</t>
  </si>
  <si>
    <t>Costo Medio</t>
  </si>
  <si>
    <t>Costo Total</t>
  </si>
  <si>
    <t>0,16 - 0,65</t>
  </si>
  <si>
    <t>0,66 - 1</t>
  </si>
  <si>
    <t>Nro de llegada</t>
  </si>
  <si>
    <t>Nro Aleatorio</t>
  </si>
  <si>
    <t>ƛ (min)</t>
  </si>
  <si>
    <t>Tiempo de arribo</t>
  </si>
  <si>
    <t>Lq</t>
  </si>
  <si>
    <t>Tiempo de Espera</t>
  </si>
  <si>
    <t>Tiempo en que es atendido</t>
  </si>
  <si>
    <t>Tiempo de Salida</t>
  </si>
  <si>
    <t>Promedio</t>
  </si>
  <si>
    <t>Se debe agregar otro cajero</t>
  </si>
  <si>
    <t>Explique la metodología requerida para la aceleración de un proyecto</t>
  </si>
</sst>
</file>

<file path=xl/styles.xml><?xml version="1.0" encoding="utf-8"?>
<styleSheet xmlns="http://schemas.openxmlformats.org/spreadsheetml/2006/main">
  <numFmts count="2">
    <numFmt numFmtId="164" formatCode="0.000"/>
    <numFmt numFmtId="165" formatCode="0.0000"/>
  </numFmts>
  <fonts count="34">
    <font>
      <sz val="11"/>
      <color theme="1"/>
      <name val="Calibri"/>
      <family val="2"/>
      <scheme val="minor"/>
    </font>
    <font>
      <sz val="10"/>
      <name val="Arial"/>
    </font>
    <font>
      <sz val="10"/>
      <name val="Calibri"/>
      <family val="2"/>
      <scheme val="minor"/>
    </font>
    <font>
      <b/>
      <sz val="10"/>
      <name val="Calibri"/>
      <family val="2"/>
      <scheme val="minor"/>
    </font>
    <font>
      <sz val="11"/>
      <name val="Calibri"/>
      <family val="2"/>
      <scheme val="minor"/>
    </font>
    <font>
      <sz val="10"/>
      <color theme="1"/>
      <name val="Calibri"/>
      <family val="2"/>
      <scheme val="minor"/>
    </font>
    <font>
      <sz val="11"/>
      <color rgb="FFFF0000"/>
      <name val="Calibri"/>
      <family val="2"/>
      <scheme val="minor"/>
    </font>
    <font>
      <b/>
      <sz val="1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6"/>
      <color theme="1"/>
      <name val="Calibri"/>
      <family val="2"/>
      <scheme val="minor"/>
    </font>
    <font>
      <sz val="8"/>
      <color theme="1"/>
      <name val="Calibri"/>
      <family val="2"/>
      <scheme val="minor"/>
    </font>
    <font>
      <b/>
      <sz val="16"/>
      <color rgb="FFFF0000"/>
      <name val="Calibri"/>
      <family val="2"/>
      <scheme val="minor"/>
    </font>
    <font>
      <sz val="16"/>
      <color theme="3" tint="0.39997558519241921"/>
      <name val="Calibri"/>
      <family val="2"/>
      <scheme val="minor"/>
    </font>
    <font>
      <sz val="14"/>
      <color theme="1"/>
      <name val="Symbol"/>
      <family val="1"/>
      <charset val="2"/>
    </font>
    <font>
      <sz val="14"/>
      <color indexed="8"/>
      <name val="Symbol"/>
      <family val="1"/>
      <charset val="2"/>
    </font>
    <font>
      <vertAlign val="superscript"/>
      <sz val="14"/>
      <color indexed="8"/>
      <name val="Symbol"/>
      <family val="1"/>
      <charset val="2"/>
    </font>
    <font>
      <sz val="14"/>
      <color indexed="8"/>
      <name val="Calibri"/>
      <family val="2"/>
    </font>
    <font>
      <sz val="16"/>
      <name val="Calibri"/>
      <family val="2"/>
      <scheme val="minor"/>
    </font>
    <font>
      <b/>
      <sz val="16"/>
      <name val="Calibri"/>
      <family val="2"/>
      <scheme val="minor"/>
    </font>
    <font>
      <b/>
      <sz val="16"/>
      <color theme="3" tint="0.39997558519241921"/>
      <name val="Calibri"/>
      <family val="2"/>
      <scheme val="minor"/>
    </font>
    <font>
      <sz val="12"/>
      <color theme="0"/>
      <name val="Calibri"/>
      <family val="2"/>
      <scheme val="minor"/>
    </font>
    <font>
      <sz val="12"/>
      <color indexed="9"/>
      <name val="Symbol"/>
      <family val="1"/>
      <charset val="2"/>
    </font>
    <font>
      <sz val="12"/>
      <color indexed="9"/>
      <name val="Calibri"/>
      <family val="2"/>
    </font>
    <font>
      <sz val="14"/>
      <color theme="0"/>
      <name val="Calibri"/>
      <family val="2"/>
      <scheme val="minor"/>
    </font>
    <font>
      <sz val="12"/>
      <color theme="1"/>
      <name val="Calibri"/>
      <family val="2"/>
      <scheme val="minor"/>
    </font>
    <font>
      <sz val="16"/>
      <color indexed="8"/>
      <name val="Calibri"/>
      <family val="2"/>
    </font>
    <font>
      <sz val="12"/>
      <color indexed="8"/>
      <name val="Calibri"/>
      <family val="2"/>
    </font>
    <font>
      <sz val="10"/>
      <color theme="1"/>
      <name val="Calibri"/>
      <family val="2"/>
    </font>
    <font>
      <b/>
      <sz val="18"/>
      <color theme="1"/>
      <name val="Calibri"/>
      <family val="2"/>
      <scheme val="minor"/>
    </font>
    <font>
      <b/>
      <sz val="10"/>
      <color theme="1"/>
      <name val="Calibri"/>
      <family val="2"/>
    </font>
    <font>
      <b/>
      <sz val="14"/>
      <color rgb="FFFF0000"/>
      <name val="Calibri"/>
      <family val="2"/>
      <scheme val="minor"/>
    </font>
    <font>
      <b/>
      <sz val="14"/>
      <color theme="3" tint="0.3999755851924192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DashDotDot">
        <color indexed="64"/>
      </right>
      <top/>
      <bottom/>
      <diagonal/>
    </border>
    <border>
      <left style="mediumDashDotDot">
        <color indexed="64"/>
      </left>
      <right/>
      <top/>
      <bottom/>
      <diagonal/>
    </border>
    <border>
      <left/>
      <right/>
      <top style="mediumDashDotDot">
        <color indexed="64"/>
      </top>
      <bottom/>
      <diagonal/>
    </border>
    <border>
      <left/>
      <right style="mediumDashDotDot">
        <color indexed="64"/>
      </right>
      <top style="mediumDashDotDot">
        <color indexed="64"/>
      </top>
      <bottom/>
      <diagonal/>
    </border>
    <border>
      <left/>
      <right/>
      <top/>
      <bottom style="mediumDashDotDot">
        <color indexed="64"/>
      </bottom>
      <diagonal/>
    </border>
    <border>
      <left/>
      <right style="mediumDashDotDot">
        <color indexed="64"/>
      </right>
      <top/>
      <bottom style="mediumDashDotDot">
        <color indexed="64"/>
      </bottom>
      <diagonal/>
    </border>
    <border>
      <left/>
      <right/>
      <top/>
      <bottom style="medium">
        <color indexed="64"/>
      </bottom>
      <diagonal/>
    </border>
    <border>
      <left/>
      <right/>
      <top style="medium">
        <color indexed="64"/>
      </top>
      <bottom/>
      <diagonal/>
    </border>
  </borders>
  <cellStyleXfs count="2">
    <xf numFmtId="0" fontId="0" fillId="0" borderId="0"/>
    <xf numFmtId="0" fontId="1" fillId="0" borderId="0"/>
  </cellStyleXfs>
  <cellXfs count="129">
    <xf numFmtId="0" fontId="0" fillId="0" borderId="0" xfId="0"/>
    <xf numFmtId="0" fontId="3" fillId="0" borderId="0" xfId="1" applyFont="1" applyAlignment="1"/>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3" fillId="0" borderId="0" xfId="1" applyFont="1" applyAlignment="1">
      <alignment horizontal="center"/>
    </xf>
    <xf numFmtId="0" fontId="3" fillId="0" borderId="0" xfId="1" applyFont="1" applyBorder="1" applyAlignment="1">
      <alignment horizontal="center"/>
    </xf>
    <xf numFmtId="0" fontId="2" fillId="0" borderId="0" xfId="1" applyFont="1" applyBorder="1" applyAlignment="1">
      <alignment horizontal="left" vertical="center" wrapText="1"/>
    </xf>
    <xf numFmtId="0" fontId="5" fillId="0" borderId="0" xfId="0" applyFont="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0" fillId="0" borderId="0" xfId="0" applyFont="1"/>
    <xf numFmtId="0" fontId="2" fillId="0" borderId="13" xfId="1" applyFont="1" applyBorder="1" applyAlignment="1">
      <alignment horizontal="center" vertical="center"/>
    </xf>
    <xf numFmtId="0" fontId="2" fillId="0" borderId="0" xfId="0" applyFont="1" applyFill="1" applyAlignment="1">
      <alignment horizontal="left" wrapText="1"/>
    </xf>
    <xf numFmtId="0" fontId="5" fillId="0" borderId="0" xfId="0" applyFont="1" applyFill="1" applyAlignment="1">
      <alignment horizontal="left" wrapText="1"/>
    </xf>
    <xf numFmtId="0" fontId="4" fillId="0" borderId="0" xfId="0" applyFont="1" applyFill="1" applyAlignment="1">
      <alignment horizontal="left" wrapText="1"/>
    </xf>
    <xf numFmtId="0" fontId="4" fillId="0" borderId="0" xfId="0" applyFont="1" applyAlignment="1">
      <alignment horizontal="left" wrapText="1"/>
    </xf>
    <xf numFmtId="0" fontId="4" fillId="0" borderId="0" xfId="0" applyFont="1" applyFill="1" applyAlignment="1">
      <alignment horizontal="left" wrapText="1"/>
    </xf>
    <xf numFmtId="0" fontId="6" fillId="0" borderId="0" xfId="0" applyFont="1" applyAlignment="1">
      <alignment horizontal="center" vertical="center"/>
    </xf>
    <xf numFmtId="0" fontId="2" fillId="0" borderId="3" xfId="1" applyFont="1" applyFill="1" applyBorder="1" applyAlignment="1">
      <alignment horizontal="left" vertical="center" wrapText="1"/>
    </xf>
    <xf numFmtId="0" fontId="2" fillId="0" borderId="11" xfId="1" applyFont="1" applyFill="1" applyBorder="1" applyAlignment="1">
      <alignment horizontal="left" vertical="center" wrapText="1"/>
    </xf>
    <xf numFmtId="0" fontId="2" fillId="0" borderId="9" xfId="1" applyFont="1" applyFill="1" applyBorder="1" applyAlignment="1">
      <alignment horizontal="left" vertical="center" wrapText="1"/>
    </xf>
    <xf numFmtId="0" fontId="2" fillId="0" borderId="4" xfId="1" applyFont="1" applyFill="1" applyBorder="1" applyAlignment="1">
      <alignment horizontal="left" vertical="center" wrapText="1"/>
    </xf>
    <xf numFmtId="0" fontId="2" fillId="0" borderId="12" xfId="1" applyFont="1" applyFill="1" applyBorder="1" applyAlignment="1">
      <alignment horizontal="left" vertical="center" wrapText="1"/>
    </xf>
    <xf numFmtId="0" fontId="2" fillId="0" borderId="10" xfId="1" applyFont="1" applyFill="1" applyBorder="1" applyAlignment="1">
      <alignment horizontal="left" vertical="center" wrapText="1"/>
    </xf>
    <xf numFmtId="0" fontId="2" fillId="0" borderId="13" xfId="1" applyFont="1" applyFill="1" applyBorder="1" applyAlignment="1">
      <alignment horizontal="left" vertical="center" wrapText="1"/>
    </xf>
    <xf numFmtId="0" fontId="2" fillId="0" borderId="14" xfId="1" applyFont="1" applyFill="1" applyBorder="1" applyAlignment="1">
      <alignment horizontal="left" vertical="center" wrapText="1"/>
    </xf>
    <xf numFmtId="0" fontId="2" fillId="0" borderId="15" xfId="1" applyFont="1" applyFill="1" applyBorder="1" applyAlignment="1">
      <alignment horizontal="left" vertical="center" wrapText="1"/>
    </xf>
    <xf numFmtId="0" fontId="3" fillId="0" borderId="6" xfId="1" applyFont="1" applyBorder="1" applyAlignment="1">
      <alignment horizontal="center"/>
    </xf>
    <xf numFmtId="0" fontId="3" fillId="0" borderId="8" xfId="1" applyFont="1" applyBorder="1" applyAlignment="1">
      <alignment horizontal="center"/>
    </xf>
    <xf numFmtId="0" fontId="3" fillId="0" borderId="7" xfId="1" applyFont="1" applyBorder="1" applyAlignment="1">
      <alignment horizontal="center"/>
    </xf>
    <xf numFmtId="0" fontId="7" fillId="0" borderId="0" xfId="1" applyFont="1" applyAlignment="1">
      <alignment horizontal="center" wrapText="1"/>
    </xf>
    <xf numFmtId="0" fontId="0" fillId="0" borderId="0" xfId="0" applyAlignment="1">
      <alignment horizontal="left"/>
    </xf>
    <xf numFmtId="0" fontId="0" fillId="0" borderId="0" xfId="0" applyAlignment="1">
      <alignment horizontal="left" wrapText="1"/>
    </xf>
    <xf numFmtId="0" fontId="5" fillId="0" borderId="0" xfId="0" applyFont="1"/>
    <xf numFmtId="0" fontId="9" fillId="0" borderId="0" xfId="0" applyFont="1"/>
    <xf numFmtId="0" fontId="9" fillId="0" borderId="0" xfId="0" applyFont="1" applyAlignment="1">
      <alignment horizontal="center" vertical="top" wrapText="1"/>
    </xf>
    <xf numFmtId="0" fontId="9"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wrapText="1"/>
    </xf>
    <xf numFmtId="0" fontId="10" fillId="0" borderId="0" xfId="0" applyFont="1" applyAlignment="1">
      <alignment horizontal="center" vertical="top" wrapText="1"/>
    </xf>
    <xf numFmtId="0" fontId="11" fillId="0" borderId="0" xfId="0" applyFont="1" applyAlignment="1">
      <alignment horizontal="center" vertical="center"/>
    </xf>
    <xf numFmtId="0" fontId="11" fillId="0" borderId="16" xfId="0" applyFont="1" applyFill="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right"/>
    </xf>
    <xf numFmtId="0" fontId="11" fillId="0" borderId="0" xfId="0" applyFont="1"/>
    <xf numFmtId="164" fontId="9" fillId="0" borderId="0" xfId="0" applyNumberFormat="1" applyFont="1" applyAlignment="1">
      <alignment horizontal="left" vertical="top" wrapText="1"/>
    </xf>
    <xf numFmtId="164" fontId="9" fillId="0" borderId="0" xfId="0" applyNumberFormat="1" applyFont="1"/>
    <xf numFmtId="1" fontId="9" fillId="0" borderId="0" xfId="0" applyNumberFormat="1" applyFont="1"/>
    <xf numFmtId="0" fontId="11" fillId="0" borderId="18" xfId="0" applyFont="1" applyFill="1" applyBorder="1" applyAlignment="1">
      <alignment horizontal="center" vertical="center"/>
    </xf>
    <xf numFmtId="0" fontId="11" fillId="0" borderId="19" xfId="0" applyFont="1" applyBorder="1" applyAlignment="1">
      <alignment horizontal="center" vertical="center"/>
    </xf>
    <xf numFmtId="0" fontId="11" fillId="0" borderId="0" xfId="0" applyFont="1" applyAlignment="1">
      <alignment horizontal="right" vertical="center"/>
    </xf>
    <xf numFmtId="0" fontId="11" fillId="2" borderId="0" xfId="0" applyFont="1" applyFill="1" applyAlignment="1">
      <alignment horizontal="right" vertical="center"/>
    </xf>
    <xf numFmtId="0" fontId="10" fillId="2" borderId="0" xfId="0" applyFont="1" applyFill="1"/>
    <xf numFmtId="0" fontId="11" fillId="2" borderId="0" xfId="0" applyFont="1" applyFill="1" applyAlignment="1">
      <alignment horizontal="center"/>
    </xf>
    <xf numFmtId="0" fontId="9" fillId="0" borderId="0" xfId="0" applyFont="1" applyFill="1"/>
    <xf numFmtId="165" fontId="9" fillId="0" borderId="0" xfId="0" applyNumberFormat="1" applyFont="1" applyFill="1"/>
    <xf numFmtId="0" fontId="10" fillId="0" borderId="0" xfId="0" applyFont="1" applyFill="1" applyAlignment="1">
      <alignment horizontal="center" vertical="top" wrapText="1"/>
    </xf>
    <xf numFmtId="0" fontId="10" fillId="2" borderId="0" xfId="0" applyFont="1" applyFill="1" applyAlignment="1">
      <alignment horizontal="center" vertical="top" wrapText="1"/>
    </xf>
    <xf numFmtId="0" fontId="11" fillId="0" borderId="0" xfId="0" applyFont="1" applyAlignment="1">
      <alignment horizontal="left" vertical="center"/>
    </xf>
    <xf numFmtId="2" fontId="9" fillId="0" borderId="0" xfId="0" applyNumberFormat="1" applyFont="1"/>
    <xf numFmtId="165" fontId="10" fillId="2" borderId="0" xfId="0" applyNumberFormat="1" applyFont="1" applyFill="1" applyAlignment="1">
      <alignment horizontal="center"/>
    </xf>
    <xf numFmtId="0" fontId="9" fillId="0" borderId="0" xfId="0" applyFont="1" applyAlignment="1">
      <alignment horizontal="center"/>
    </xf>
    <xf numFmtId="165" fontId="9" fillId="0" borderId="0" xfId="0" applyNumberFormat="1" applyFont="1"/>
    <xf numFmtId="0" fontId="12" fillId="0" borderId="0" xfId="0" applyFont="1" applyAlignment="1">
      <alignment horizontal="center" vertical="center"/>
    </xf>
    <xf numFmtId="0" fontId="11" fillId="0" borderId="1" xfId="0" applyFont="1" applyBorder="1" applyAlignment="1">
      <alignment horizontal="center"/>
    </xf>
    <xf numFmtId="0" fontId="11" fillId="0" borderId="1" xfId="0" applyFont="1" applyBorder="1" applyAlignment="1">
      <alignment horizontal="center"/>
    </xf>
    <xf numFmtId="0" fontId="13" fillId="0" borderId="1" xfId="0" applyFont="1" applyBorder="1" applyAlignment="1">
      <alignment horizontal="center"/>
    </xf>
    <xf numFmtId="0" fontId="14" fillId="0" borderId="1" xfId="0" applyFont="1" applyBorder="1" applyAlignment="1">
      <alignment horizontal="center"/>
    </xf>
    <xf numFmtId="0" fontId="15" fillId="0" borderId="0" xfId="0" applyFont="1" applyAlignment="1">
      <alignment horizontal="right"/>
    </xf>
    <xf numFmtId="0" fontId="19" fillId="0" borderId="1" xfId="0" applyFont="1" applyFill="1" applyBorder="1" applyAlignment="1">
      <alignment horizontal="center"/>
    </xf>
    <xf numFmtId="0" fontId="19" fillId="0" borderId="1" xfId="0" applyFont="1" applyBorder="1" applyAlignment="1">
      <alignment horizontal="center"/>
    </xf>
    <xf numFmtId="0" fontId="20" fillId="0" borderId="1" xfId="0" applyFont="1" applyBorder="1" applyAlignment="1">
      <alignment horizontal="center"/>
    </xf>
    <xf numFmtId="0" fontId="19" fillId="0" borderId="1" xfId="0" applyFont="1" applyBorder="1" applyAlignment="1">
      <alignment horizontal="center"/>
    </xf>
    <xf numFmtId="0" fontId="21" fillId="0" borderId="1" xfId="0" applyFont="1" applyBorder="1" applyAlignment="1">
      <alignment horizontal="center"/>
    </xf>
    <xf numFmtId="164" fontId="9" fillId="0" borderId="0" xfId="0" applyNumberFormat="1" applyFont="1" applyAlignment="1">
      <alignment horizontal="left"/>
    </xf>
    <xf numFmtId="0" fontId="9" fillId="0" borderId="0" xfId="0" applyFont="1" applyAlignment="1">
      <alignment horizontal="right"/>
    </xf>
    <xf numFmtId="0" fontId="22" fillId="3" borderId="0" xfId="0" applyFont="1" applyFill="1"/>
    <xf numFmtId="0" fontId="25" fillId="3" borderId="0" xfId="0" applyFont="1" applyFill="1"/>
    <xf numFmtId="0" fontId="26" fillId="0" borderId="0" xfId="0" applyFont="1" applyAlignment="1">
      <alignment horizontal="left" wrapText="1"/>
    </xf>
    <xf numFmtId="1" fontId="19" fillId="0" borderId="1" xfId="0" applyNumberFormat="1" applyFont="1" applyBorder="1" applyAlignment="1">
      <alignment horizontal="center"/>
    </xf>
    <xf numFmtId="0" fontId="26" fillId="0" borderId="1" xfId="0" applyFont="1" applyBorder="1"/>
    <xf numFmtId="0" fontId="26" fillId="0" borderId="0" xfId="0" applyFont="1"/>
    <xf numFmtId="0" fontId="29" fillId="0" borderId="1" xfId="0" applyFont="1" applyBorder="1" applyAlignment="1">
      <alignment horizontal="center" vertical="center"/>
    </xf>
    <xf numFmtId="0" fontId="0" fillId="0" borderId="1" xfId="0" applyBorder="1" applyAlignment="1">
      <alignment horizontal="center"/>
    </xf>
    <xf numFmtId="0" fontId="11" fillId="0" borderId="20" xfId="0" applyFont="1" applyBorder="1" applyAlignment="1">
      <alignment horizontal="center"/>
    </xf>
    <xf numFmtId="0" fontId="11" fillId="0" borderId="12" xfId="0" applyFont="1" applyBorder="1" applyAlignment="1">
      <alignment horizontal="center"/>
    </xf>
    <xf numFmtId="0" fontId="11" fillId="0" borderId="5" xfId="0" applyFont="1" applyBorder="1" applyAlignment="1">
      <alignment horizontal="center"/>
    </xf>
    <xf numFmtId="1" fontId="30" fillId="0" borderId="21" xfId="0" applyNumberFormat="1" applyFont="1" applyBorder="1" applyAlignment="1">
      <alignment horizontal="center"/>
    </xf>
    <xf numFmtId="0" fontId="11" fillId="0" borderId="21" xfId="0" applyFont="1" applyBorder="1" applyAlignment="1">
      <alignment horizontal="center"/>
    </xf>
    <xf numFmtId="0" fontId="30" fillId="0" borderId="21" xfId="0" applyFont="1" applyBorder="1" applyAlignment="1">
      <alignment horizontal="center"/>
    </xf>
    <xf numFmtId="0" fontId="0" fillId="0" borderId="1" xfId="0" applyBorder="1" applyAlignment="1">
      <alignment horizontal="center" vertical="center"/>
    </xf>
    <xf numFmtId="0" fontId="31" fillId="0" borderId="1" xfId="0" applyFont="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32" fillId="0" borderId="0" xfId="0" applyFont="1" applyAlignment="1">
      <alignment horizontal="center"/>
    </xf>
    <xf numFmtId="0" fontId="0" fillId="0" borderId="1" xfId="0" applyFill="1" applyBorder="1" applyAlignment="1">
      <alignment horizontal="center"/>
    </xf>
    <xf numFmtId="0" fontId="8" fillId="0" borderId="1" xfId="0" applyFont="1" applyBorder="1" applyAlignment="1">
      <alignment horizontal="center"/>
    </xf>
    <xf numFmtId="0" fontId="9" fillId="0" borderId="22" xfId="0" applyFont="1" applyBorder="1"/>
    <xf numFmtId="0" fontId="33" fillId="0" borderId="23" xfId="0" applyFont="1" applyBorder="1" applyAlignment="1">
      <alignment horizontal="center"/>
    </xf>
    <xf numFmtId="0" fontId="33" fillId="0" borderId="0" xfId="0" applyFont="1" applyAlignment="1">
      <alignment horizontal="center"/>
    </xf>
    <xf numFmtId="0" fontId="9" fillId="0" borderId="24" xfId="0" applyFont="1" applyBorder="1"/>
    <xf numFmtId="0" fontId="9" fillId="0" borderId="25" xfId="0" applyFont="1" applyBorder="1"/>
    <xf numFmtId="0" fontId="32" fillId="0" borderId="0" xfId="0" applyFont="1" applyBorder="1" applyAlignment="1">
      <alignment horizontal="center"/>
    </xf>
    <xf numFmtId="0" fontId="32" fillId="0" borderId="0" xfId="0" applyFont="1" applyAlignment="1">
      <alignment horizontal="left"/>
    </xf>
    <xf numFmtId="0" fontId="9" fillId="0" borderId="0" xfId="0" applyFont="1" applyBorder="1"/>
    <xf numFmtId="0" fontId="9" fillId="0" borderId="0" xfId="0" applyFont="1" applyBorder="1" applyAlignment="1">
      <alignment horizontal="center"/>
    </xf>
    <xf numFmtId="0" fontId="33" fillId="0" borderId="0" xfId="0" applyFont="1" applyBorder="1" applyAlignment="1">
      <alignment horizontal="center"/>
    </xf>
    <xf numFmtId="0" fontId="32" fillId="0" borderId="23" xfId="0" applyFont="1" applyBorder="1" applyAlignment="1">
      <alignment horizontal="center"/>
    </xf>
    <xf numFmtId="0" fontId="9" fillId="0" borderId="26" xfId="0" applyFont="1" applyBorder="1"/>
    <xf numFmtId="0" fontId="9" fillId="0" borderId="27" xfId="0" applyFont="1" applyBorder="1"/>
    <xf numFmtId="0" fontId="32" fillId="0" borderId="0" xfId="0" applyFont="1"/>
    <xf numFmtId="0" fontId="33" fillId="0" borderId="26" xfId="0" applyFont="1" applyBorder="1" applyAlignment="1">
      <alignment horizontal="center"/>
    </xf>
    <xf numFmtId="0" fontId="32" fillId="0" borderId="0" xfId="0" applyFont="1" applyAlignment="1">
      <alignment horizontal="center" vertical="center"/>
    </xf>
    <xf numFmtId="0" fontId="0" fillId="0" borderId="1" xfId="0" applyFill="1" applyBorder="1" applyAlignment="1">
      <alignment horizontal="center" vertical="center"/>
    </xf>
    <xf numFmtId="0" fontId="0" fillId="0" borderId="0" xfId="0" applyAlignment="1">
      <alignment horizontal="right"/>
    </xf>
    <xf numFmtId="0" fontId="0" fillId="2" borderId="20" xfId="0" applyFill="1" applyBorder="1" applyAlignment="1">
      <alignment horizontal="center"/>
    </xf>
    <xf numFmtId="0" fontId="0" fillId="2" borderId="5" xfId="0" applyFill="1" applyBorder="1" applyAlignment="1">
      <alignment horizontal="center"/>
    </xf>
    <xf numFmtId="0" fontId="9" fillId="0" borderId="28" xfId="0" applyFont="1" applyBorder="1"/>
    <xf numFmtId="0" fontId="9" fillId="0" borderId="29" xfId="0" applyFont="1" applyBorder="1"/>
    <xf numFmtId="0" fontId="0" fillId="0" borderId="0" xfId="0" applyFont="1" applyFill="1" applyAlignment="1">
      <alignment horizontal="left" wrapText="1"/>
    </xf>
    <xf numFmtId="0" fontId="26" fillId="0" borderId="0" xfId="0" applyFont="1" applyFill="1" applyAlignment="1">
      <alignment wrapText="1"/>
    </xf>
    <xf numFmtId="0" fontId="6" fillId="0" borderId="0" xfId="0" applyFont="1" applyFill="1" applyAlignment="1">
      <alignment horizontal="left" wrapText="1"/>
    </xf>
    <xf numFmtId="0" fontId="0" fillId="0" borderId="0" xfId="0" applyFont="1" applyFill="1"/>
    <xf numFmtId="0" fontId="6" fillId="0" borderId="0" xfId="0" applyFont="1" applyFill="1" applyAlignment="1">
      <alignment horizontal="left" wrapText="1"/>
    </xf>
  </cellXfs>
  <cellStyles count="2">
    <cellStyle name="Normal" xfId="0" builtinId="0"/>
    <cellStyle name="Normal 2" xfId="1"/>
  </cellStyles>
  <dxfs count="1">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447675</xdr:colOff>
      <xdr:row>25</xdr:row>
      <xdr:rowOff>47626</xdr:rowOff>
    </xdr:from>
    <xdr:to>
      <xdr:col>6</xdr:col>
      <xdr:colOff>209550</xdr:colOff>
      <xdr:row>30</xdr:row>
      <xdr:rowOff>155172</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762000" y="5810251"/>
          <a:ext cx="3581400" cy="1060046"/>
        </a:xfrm>
        <a:prstGeom prst="rect">
          <a:avLst/>
        </a:prstGeom>
        <a:noFill/>
        <a:ln w="1">
          <a:noFill/>
          <a:miter lim="800000"/>
          <a:headEnd/>
          <a:tailEnd type="none" w="med" len="med"/>
        </a:ln>
        <a:effectLst/>
      </xdr:spPr>
    </xdr:pic>
    <xdr:clientData/>
  </xdr:twoCellAnchor>
  <xdr:twoCellAnchor editAs="oneCell">
    <xdr:from>
      <xdr:col>0</xdr:col>
      <xdr:colOff>219076</xdr:colOff>
      <xdr:row>36</xdr:row>
      <xdr:rowOff>28576</xdr:rowOff>
    </xdr:from>
    <xdr:to>
      <xdr:col>7</xdr:col>
      <xdr:colOff>228601</xdr:colOff>
      <xdr:row>49</xdr:row>
      <xdr:rowOff>159464</xdr:rowOff>
    </xdr:to>
    <xdr:pic>
      <xdr:nvPicPr>
        <xdr:cNvPr id="2"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219076" y="8277226"/>
          <a:ext cx="5124450" cy="2607388"/>
        </a:xfrm>
        <a:prstGeom prst="rect">
          <a:avLst/>
        </a:prstGeom>
        <a:noFill/>
        <a:ln w="1">
          <a:noFill/>
          <a:miter lim="800000"/>
          <a:headEnd/>
          <a:tailEnd type="none" w="med" len="med"/>
        </a:ln>
        <a:effectLst/>
      </xdr:spPr>
    </xdr:pic>
    <xdr:clientData/>
  </xdr:twoCellAnchor>
  <xdr:twoCellAnchor editAs="oneCell">
    <xdr:from>
      <xdr:col>2</xdr:col>
      <xdr:colOff>752475</xdr:colOff>
      <xdr:row>10</xdr:row>
      <xdr:rowOff>47625</xdr:rowOff>
    </xdr:from>
    <xdr:to>
      <xdr:col>4</xdr:col>
      <xdr:colOff>123825</xdr:colOff>
      <xdr:row>14</xdr:row>
      <xdr:rowOff>141126</xdr:rowOff>
    </xdr:to>
    <xdr:pic>
      <xdr:nvPicPr>
        <xdr:cNvPr id="1027"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1609725" y="2981325"/>
          <a:ext cx="1552575" cy="855501"/>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5</xdr:row>
      <xdr:rowOff>38100</xdr:rowOff>
    </xdr:from>
    <xdr:to>
      <xdr:col>6</xdr:col>
      <xdr:colOff>0</xdr:colOff>
      <xdr:row>8</xdr:row>
      <xdr:rowOff>238125</xdr:rowOff>
    </xdr:to>
    <xdr:cxnSp macro="">
      <xdr:nvCxnSpPr>
        <xdr:cNvPr id="2" name="Straight Arrow Connector 2"/>
        <xdr:cNvCxnSpPr>
          <a:cxnSpLocks noChangeShapeType="1"/>
        </xdr:cNvCxnSpPr>
      </xdr:nvCxnSpPr>
      <xdr:spPr bwMode="auto">
        <a:xfrm flipV="1">
          <a:off x="1628775" y="2181225"/>
          <a:ext cx="1152525" cy="10191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4</xdr:col>
      <xdr:colOff>0</xdr:colOff>
      <xdr:row>9</xdr:row>
      <xdr:rowOff>38100</xdr:rowOff>
    </xdr:from>
    <xdr:to>
      <xdr:col>6</xdr:col>
      <xdr:colOff>0</xdr:colOff>
      <xdr:row>13</xdr:row>
      <xdr:rowOff>38100</xdr:rowOff>
    </xdr:to>
    <xdr:cxnSp macro="">
      <xdr:nvCxnSpPr>
        <xdr:cNvPr id="3" name="Straight Arrow Connector 4"/>
        <xdr:cNvCxnSpPr>
          <a:cxnSpLocks noChangeShapeType="1"/>
        </xdr:cNvCxnSpPr>
      </xdr:nvCxnSpPr>
      <xdr:spPr bwMode="auto">
        <a:xfrm rot="16200000" flipH="1">
          <a:off x="1657350" y="3228975"/>
          <a:ext cx="1085850" cy="116205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0</xdr:colOff>
      <xdr:row>6</xdr:row>
      <xdr:rowOff>9525</xdr:rowOff>
    </xdr:from>
    <xdr:to>
      <xdr:col>7</xdr:col>
      <xdr:colOff>9525</xdr:colOff>
      <xdr:row>12</xdr:row>
      <xdr:rowOff>0</xdr:rowOff>
    </xdr:to>
    <xdr:cxnSp macro="">
      <xdr:nvCxnSpPr>
        <xdr:cNvPr id="4" name="Straight Arrow Connector 6"/>
        <xdr:cNvCxnSpPr>
          <a:cxnSpLocks noChangeShapeType="1"/>
        </xdr:cNvCxnSpPr>
      </xdr:nvCxnSpPr>
      <xdr:spPr bwMode="auto">
        <a:xfrm rot="5400000">
          <a:off x="2557463" y="3233737"/>
          <a:ext cx="1619250" cy="95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8</xdr:col>
      <xdr:colOff>38100</xdr:colOff>
      <xdr:row>13</xdr:row>
      <xdr:rowOff>0</xdr:rowOff>
    </xdr:from>
    <xdr:to>
      <xdr:col>10</xdr:col>
      <xdr:colOff>0</xdr:colOff>
      <xdr:row>13</xdr:row>
      <xdr:rowOff>9525</xdr:rowOff>
    </xdr:to>
    <xdr:cxnSp macro="">
      <xdr:nvCxnSpPr>
        <xdr:cNvPr id="5" name="Straight Arrow Connector 12"/>
        <xdr:cNvCxnSpPr>
          <a:cxnSpLocks noChangeShapeType="1"/>
        </xdr:cNvCxnSpPr>
      </xdr:nvCxnSpPr>
      <xdr:spPr bwMode="auto">
        <a:xfrm>
          <a:off x="3981450" y="4314825"/>
          <a:ext cx="1123950" cy="95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8</xdr:col>
      <xdr:colOff>0</xdr:colOff>
      <xdr:row>5</xdr:row>
      <xdr:rowOff>0</xdr:rowOff>
    </xdr:from>
    <xdr:to>
      <xdr:col>10</xdr:col>
      <xdr:colOff>0</xdr:colOff>
      <xdr:row>5</xdr:row>
      <xdr:rowOff>0</xdr:rowOff>
    </xdr:to>
    <xdr:cxnSp macro="">
      <xdr:nvCxnSpPr>
        <xdr:cNvPr id="6" name="Straight Arrow Connector 14"/>
        <xdr:cNvCxnSpPr>
          <a:cxnSpLocks noChangeShapeType="1"/>
        </xdr:cNvCxnSpPr>
      </xdr:nvCxnSpPr>
      <xdr:spPr bwMode="auto">
        <a:xfrm>
          <a:off x="3943350" y="2143125"/>
          <a:ext cx="11620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15</xdr:col>
      <xdr:colOff>419100</xdr:colOff>
      <xdr:row>9</xdr:row>
      <xdr:rowOff>238125</xdr:rowOff>
    </xdr:from>
    <xdr:to>
      <xdr:col>17</xdr:col>
      <xdr:colOff>533400</xdr:colOff>
      <xdr:row>13</xdr:row>
      <xdr:rowOff>0</xdr:rowOff>
    </xdr:to>
    <xdr:cxnSp macro="">
      <xdr:nvCxnSpPr>
        <xdr:cNvPr id="7" name="Straight Arrow Connector 23"/>
        <xdr:cNvCxnSpPr>
          <a:cxnSpLocks noChangeShapeType="1"/>
        </xdr:cNvCxnSpPr>
      </xdr:nvCxnSpPr>
      <xdr:spPr bwMode="auto">
        <a:xfrm flipV="1">
          <a:off x="8629650" y="3467100"/>
          <a:ext cx="1276350" cy="8477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7</xdr:col>
      <xdr:colOff>581025</xdr:colOff>
      <xdr:row>5</xdr:row>
      <xdr:rowOff>95250</xdr:rowOff>
    </xdr:from>
    <xdr:to>
      <xdr:col>10</xdr:col>
      <xdr:colOff>9525</xdr:colOff>
      <xdr:row>13</xdr:row>
      <xdr:rowOff>9525</xdr:rowOff>
    </xdr:to>
    <xdr:cxnSp macro="">
      <xdr:nvCxnSpPr>
        <xdr:cNvPr id="8" name="Straight Arrow Connector 41"/>
        <xdr:cNvCxnSpPr>
          <a:cxnSpLocks noChangeShapeType="1"/>
        </xdr:cNvCxnSpPr>
      </xdr:nvCxnSpPr>
      <xdr:spPr bwMode="auto">
        <a:xfrm rot="5400000" flipH="1" flipV="1">
          <a:off x="3486150" y="2695575"/>
          <a:ext cx="2085975" cy="11715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11</xdr:col>
      <xdr:colOff>561975</xdr:colOff>
      <xdr:row>5</xdr:row>
      <xdr:rowOff>9525</xdr:rowOff>
    </xdr:from>
    <xdr:to>
      <xdr:col>13</xdr:col>
      <xdr:colOff>561975</xdr:colOff>
      <xdr:row>5</xdr:row>
      <xdr:rowOff>9525</xdr:rowOff>
    </xdr:to>
    <xdr:cxnSp macro="">
      <xdr:nvCxnSpPr>
        <xdr:cNvPr id="9" name="Straight Arrow Connector 14"/>
        <xdr:cNvCxnSpPr>
          <a:cxnSpLocks noChangeShapeType="1"/>
        </xdr:cNvCxnSpPr>
      </xdr:nvCxnSpPr>
      <xdr:spPr bwMode="auto">
        <a:xfrm>
          <a:off x="6315075" y="2152650"/>
          <a:ext cx="129540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9525</xdr:colOff>
      <xdr:row>5</xdr:row>
      <xdr:rowOff>28575</xdr:rowOff>
    </xdr:from>
    <xdr:to>
      <xdr:col>13</xdr:col>
      <xdr:colOff>561975</xdr:colOff>
      <xdr:row>9</xdr:row>
      <xdr:rowOff>0</xdr:rowOff>
    </xdr:to>
    <xdr:cxnSp macro="">
      <xdr:nvCxnSpPr>
        <xdr:cNvPr id="10" name="Straight Arrow Connector 14"/>
        <xdr:cNvCxnSpPr>
          <a:cxnSpLocks noChangeShapeType="1"/>
        </xdr:cNvCxnSpPr>
      </xdr:nvCxnSpPr>
      <xdr:spPr bwMode="auto">
        <a:xfrm>
          <a:off x="6410325" y="2171700"/>
          <a:ext cx="1200150" cy="105727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28575</xdr:colOff>
      <xdr:row>13</xdr:row>
      <xdr:rowOff>9525</xdr:rowOff>
    </xdr:from>
    <xdr:to>
      <xdr:col>14</xdr:col>
      <xdr:colOff>28575</xdr:colOff>
      <xdr:row>13</xdr:row>
      <xdr:rowOff>9525</xdr:rowOff>
    </xdr:to>
    <xdr:cxnSp macro="">
      <xdr:nvCxnSpPr>
        <xdr:cNvPr id="11" name="Straight Arrow Connector 14"/>
        <xdr:cNvCxnSpPr>
          <a:cxnSpLocks noChangeShapeType="1"/>
        </xdr:cNvCxnSpPr>
      </xdr:nvCxnSpPr>
      <xdr:spPr bwMode="auto">
        <a:xfrm>
          <a:off x="6429375" y="4324350"/>
          <a:ext cx="1228725"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16</xdr:col>
      <xdr:colOff>0</xdr:colOff>
      <xdr:row>9</xdr:row>
      <xdr:rowOff>0</xdr:rowOff>
    </xdr:from>
    <xdr:to>
      <xdr:col>18</xdr:col>
      <xdr:colOff>0</xdr:colOff>
      <xdr:row>9</xdr:row>
      <xdr:rowOff>0</xdr:rowOff>
    </xdr:to>
    <xdr:cxnSp macro="">
      <xdr:nvCxnSpPr>
        <xdr:cNvPr id="12" name="Straight Arrow Connector 14"/>
        <xdr:cNvCxnSpPr>
          <a:cxnSpLocks noChangeShapeType="1"/>
        </xdr:cNvCxnSpPr>
      </xdr:nvCxnSpPr>
      <xdr:spPr bwMode="auto">
        <a:xfrm>
          <a:off x="8791575" y="3228975"/>
          <a:ext cx="1162050" cy="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12</xdr:col>
      <xdr:colOff>9525</xdr:colOff>
      <xdr:row>9</xdr:row>
      <xdr:rowOff>38100</xdr:rowOff>
    </xdr:from>
    <xdr:to>
      <xdr:col>13</xdr:col>
      <xdr:colOff>561975</xdr:colOff>
      <xdr:row>12</xdr:row>
      <xdr:rowOff>257175</xdr:rowOff>
    </xdr:to>
    <xdr:cxnSp macro="">
      <xdr:nvCxnSpPr>
        <xdr:cNvPr id="13" name="Straight Arrow Connector 14"/>
        <xdr:cNvCxnSpPr>
          <a:cxnSpLocks noChangeShapeType="1"/>
        </xdr:cNvCxnSpPr>
      </xdr:nvCxnSpPr>
      <xdr:spPr bwMode="auto">
        <a:xfrm flipV="1">
          <a:off x="6410325" y="3267075"/>
          <a:ext cx="1200150" cy="1038225"/>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15</xdr:col>
      <xdr:colOff>438150</xdr:colOff>
      <xdr:row>5</xdr:row>
      <xdr:rowOff>28575</xdr:rowOff>
    </xdr:from>
    <xdr:to>
      <xdr:col>17</xdr:col>
      <xdr:colOff>514350</xdr:colOff>
      <xdr:row>8</xdr:row>
      <xdr:rowOff>47625</xdr:rowOff>
    </xdr:to>
    <xdr:cxnSp macro="">
      <xdr:nvCxnSpPr>
        <xdr:cNvPr id="14" name="Straight Arrow Connector 14"/>
        <xdr:cNvCxnSpPr>
          <a:cxnSpLocks noChangeShapeType="1"/>
        </xdr:cNvCxnSpPr>
      </xdr:nvCxnSpPr>
      <xdr:spPr bwMode="auto">
        <a:xfrm>
          <a:off x="8648700" y="2171700"/>
          <a:ext cx="1238250" cy="838200"/>
        </a:xfrm>
        <a:prstGeom prst="straightConnector1">
          <a:avLst/>
        </a:prstGeom>
        <a:noFill/>
        <a:ln w="25400">
          <a:solidFill>
            <a:srgbClr val="000000"/>
          </a:solidFill>
          <a:round/>
          <a:headEnd/>
          <a:tailEnd type="arrow" w="med" len="med"/>
        </a:ln>
        <a:effectLst>
          <a:outerShdw dist="20000" dir="5400000" rotWithShape="0">
            <a:srgbClr val="808080">
              <a:alpha val="37999"/>
            </a:srgbClr>
          </a:outerShdw>
        </a:effectLst>
      </xdr:spPr>
    </xdr:cxnSp>
    <xdr:clientData/>
  </xdr:twoCellAnchor>
  <xdr:twoCellAnchor>
    <xdr:from>
      <xdr:col>3</xdr:col>
      <xdr:colOff>458701</xdr:colOff>
      <xdr:row>7</xdr:row>
      <xdr:rowOff>45471</xdr:rowOff>
    </xdr:from>
    <xdr:to>
      <xdr:col>6</xdr:col>
      <xdr:colOff>228352</xdr:colOff>
      <xdr:row>7</xdr:row>
      <xdr:rowOff>258322</xdr:rowOff>
    </xdr:to>
    <xdr:sp macro="" textlink="">
      <xdr:nvSpPr>
        <xdr:cNvPr id="15" name="14 Flecha derecha"/>
        <xdr:cNvSpPr/>
      </xdr:nvSpPr>
      <xdr:spPr>
        <a:xfrm rot="19202324">
          <a:off x="1496926" y="2731521"/>
          <a:ext cx="1512726" cy="2128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7</xdr:col>
      <xdr:colOff>66675</xdr:colOff>
      <xdr:row>6</xdr:row>
      <xdr:rowOff>19051</xdr:rowOff>
    </xdr:from>
    <xdr:to>
      <xdr:col>7</xdr:col>
      <xdr:colOff>314325</xdr:colOff>
      <xdr:row>11</xdr:row>
      <xdr:rowOff>247653</xdr:rowOff>
    </xdr:to>
    <xdr:sp macro="" textlink="">
      <xdr:nvSpPr>
        <xdr:cNvPr id="16" name="15 Flecha derecha"/>
        <xdr:cNvSpPr/>
      </xdr:nvSpPr>
      <xdr:spPr>
        <a:xfrm rot="5400000">
          <a:off x="2762249" y="3105152"/>
          <a:ext cx="1581152" cy="2476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8</xdr:col>
      <xdr:colOff>559449</xdr:colOff>
      <xdr:row>5</xdr:row>
      <xdr:rowOff>152083</xdr:rowOff>
    </xdr:from>
    <xdr:to>
      <xdr:col>9</xdr:col>
      <xdr:colOff>261991</xdr:colOff>
      <xdr:row>13</xdr:row>
      <xdr:rowOff>126109</xdr:rowOff>
    </xdr:to>
    <xdr:sp macro="" textlink="">
      <xdr:nvSpPr>
        <xdr:cNvPr id="17" name="16 Flecha derecha"/>
        <xdr:cNvSpPr/>
      </xdr:nvSpPr>
      <xdr:spPr>
        <a:xfrm rot="17894419">
          <a:off x="3571720" y="3226287"/>
          <a:ext cx="2145726" cy="28356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12</xdr:col>
      <xdr:colOff>68176</xdr:colOff>
      <xdr:row>5</xdr:row>
      <xdr:rowOff>16896</xdr:rowOff>
    </xdr:from>
    <xdr:to>
      <xdr:col>13</xdr:col>
      <xdr:colOff>409575</xdr:colOff>
      <xdr:row>6</xdr:row>
      <xdr:rowOff>9525</xdr:rowOff>
    </xdr:to>
    <xdr:sp macro="" textlink="">
      <xdr:nvSpPr>
        <xdr:cNvPr id="18" name="17 Flecha derecha"/>
        <xdr:cNvSpPr/>
      </xdr:nvSpPr>
      <xdr:spPr>
        <a:xfrm>
          <a:off x="6468976" y="2160021"/>
          <a:ext cx="989099" cy="26885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15</xdr:col>
      <xdr:colOff>365761</xdr:colOff>
      <xdr:row>6</xdr:row>
      <xdr:rowOff>214834</xdr:rowOff>
    </xdr:from>
    <xdr:to>
      <xdr:col>17</xdr:col>
      <xdr:colOff>402383</xdr:colOff>
      <xdr:row>8</xdr:row>
      <xdr:rowOff>36033</xdr:rowOff>
    </xdr:to>
    <xdr:sp macro="" textlink="">
      <xdr:nvSpPr>
        <xdr:cNvPr id="19" name="18 Flecha derecha"/>
        <xdr:cNvSpPr/>
      </xdr:nvSpPr>
      <xdr:spPr>
        <a:xfrm rot="1977058">
          <a:off x="8576311" y="2634184"/>
          <a:ext cx="1198672" cy="36412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s-AR"/>
        </a:p>
      </xdr:txBody>
    </xdr:sp>
    <xdr:clientData/>
  </xdr:twoCellAnchor>
  <xdr:twoCellAnchor>
    <xdr:from>
      <xdr:col>2</xdr:col>
      <xdr:colOff>9524</xdr:colOff>
      <xdr:row>35</xdr:row>
      <xdr:rowOff>228599</xdr:rowOff>
    </xdr:from>
    <xdr:to>
      <xdr:col>5</xdr:col>
      <xdr:colOff>462449</xdr:colOff>
      <xdr:row>35</xdr:row>
      <xdr:rowOff>228599</xdr:rowOff>
    </xdr:to>
    <xdr:cxnSp macro="">
      <xdr:nvCxnSpPr>
        <xdr:cNvPr id="20" name="19 Conector recto de flecha"/>
        <xdr:cNvCxnSpPr/>
      </xdr:nvCxnSpPr>
      <xdr:spPr>
        <a:xfrm flipV="1">
          <a:off x="466724" y="10439399"/>
          <a:ext cx="2196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95249</xdr:colOff>
      <xdr:row>35</xdr:row>
      <xdr:rowOff>238124</xdr:rowOff>
    </xdr:from>
    <xdr:to>
      <xdr:col>9</xdr:col>
      <xdr:colOff>512174</xdr:colOff>
      <xdr:row>35</xdr:row>
      <xdr:rowOff>238124</xdr:rowOff>
    </xdr:to>
    <xdr:cxnSp macro="">
      <xdr:nvCxnSpPr>
        <xdr:cNvPr id="21" name="20 Conector recto de flecha"/>
        <xdr:cNvCxnSpPr/>
      </xdr:nvCxnSpPr>
      <xdr:spPr>
        <a:xfrm flipV="1">
          <a:off x="2876549" y="10448924"/>
          <a:ext cx="2160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95249</xdr:colOff>
      <xdr:row>36</xdr:row>
      <xdr:rowOff>9524</xdr:rowOff>
    </xdr:from>
    <xdr:to>
      <xdr:col>13</xdr:col>
      <xdr:colOff>512174</xdr:colOff>
      <xdr:row>36</xdr:row>
      <xdr:rowOff>9524</xdr:rowOff>
    </xdr:to>
    <xdr:cxnSp macro="">
      <xdr:nvCxnSpPr>
        <xdr:cNvPr id="22" name="21 Conector recto de flecha"/>
        <xdr:cNvCxnSpPr/>
      </xdr:nvCxnSpPr>
      <xdr:spPr>
        <a:xfrm flipV="1">
          <a:off x="5200649" y="10458449"/>
          <a:ext cx="2360025"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104774</xdr:colOff>
      <xdr:row>36</xdr:row>
      <xdr:rowOff>9524</xdr:rowOff>
    </xdr:from>
    <xdr:to>
      <xdr:col>17</xdr:col>
      <xdr:colOff>485699</xdr:colOff>
      <xdr:row>36</xdr:row>
      <xdr:rowOff>9524</xdr:rowOff>
    </xdr:to>
    <xdr:cxnSp macro="">
      <xdr:nvCxnSpPr>
        <xdr:cNvPr id="23" name="22 Conector recto de flecha"/>
        <xdr:cNvCxnSpPr/>
      </xdr:nvCxnSpPr>
      <xdr:spPr>
        <a:xfrm flipV="1">
          <a:off x="7734299" y="10458449"/>
          <a:ext cx="2124000"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28574</xdr:colOff>
      <xdr:row>36</xdr:row>
      <xdr:rowOff>9524</xdr:rowOff>
    </xdr:from>
    <xdr:to>
      <xdr:col>21</xdr:col>
      <xdr:colOff>1252</xdr:colOff>
      <xdr:row>36</xdr:row>
      <xdr:rowOff>9524</xdr:rowOff>
    </xdr:to>
    <xdr:cxnSp macro="">
      <xdr:nvCxnSpPr>
        <xdr:cNvPr id="24" name="23 Conector recto de flecha"/>
        <xdr:cNvCxnSpPr/>
      </xdr:nvCxnSpPr>
      <xdr:spPr>
        <a:xfrm flipV="1">
          <a:off x="9982199" y="10458449"/>
          <a:ext cx="1715753" cy="0"/>
        </a:xfrm>
        <a:prstGeom prst="straightConnector1">
          <a:avLst/>
        </a:prstGeom>
        <a:ln w="381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9524</xdr:colOff>
      <xdr:row>37</xdr:row>
      <xdr:rowOff>238124</xdr:rowOff>
    </xdr:from>
    <xdr:to>
      <xdr:col>8</xdr:col>
      <xdr:colOff>15374</xdr:colOff>
      <xdr:row>37</xdr:row>
      <xdr:rowOff>238124</xdr:rowOff>
    </xdr:to>
    <xdr:cxnSp macro="">
      <xdr:nvCxnSpPr>
        <xdr:cNvPr id="25" name="24 Conector recto de flecha"/>
        <xdr:cNvCxnSpPr/>
      </xdr:nvCxnSpPr>
      <xdr:spPr>
        <a:xfrm flipV="1">
          <a:off x="466724" y="10925174"/>
          <a:ext cx="3492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xdr:colOff>
      <xdr:row>34</xdr:row>
      <xdr:rowOff>9524</xdr:rowOff>
    </xdr:from>
    <xdr:to>
      <xdr:col>8</xdr:col>
      <xdr:colOff>575474</xdr:colOff>
      <xdr:row>34</xdr:row>
      <xdr:rowOff>9524</xdr:rowOff>
    </xdr:to>
    <xdr:cxnSp macro="">
      <xdr:nvCxnSpPr>
        <xdr:cNvPr id="26" name="25 Conector recto de flecha"/>
        <xdr:cNvCxnSpPr/>
      </xdr:nvCxnSpPr>
      <xdr:spPr>
        <a:xfrm flipV="1">
          <a:off x="2790824" y="9982199"/>
          <a:ext cx="172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19049</xdr:colOff>
      <xdr:row>37</xdr:row>
      <xdr:rowOff>238124</xdr:rowOff>
    </xdr:from>
    <xdr:to>
      <xdr:col>11</xdr:col>
      <xdr:colOff>482024</xdr:colOff>
      <xdr:row>37</xdr:row>
      <xdr:rowOff>238124</xdr:rowOff>
    </xdr:to>
    <xdr:cxnSp macro="">
      <xdr:nvCxnSpPr>
        <xdr:cNvPr id="27" name="26 Conector recto de flecha"/>
        <xdr:cNvCxnSpPr/>
      </xdr:nvCxnSpPr>
      <xdr:spPr>
        <a:xfrm flipV="1">
          <a:off x="5124449" y="10925174"/>
          <a:ext cx="1110675"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28574</xdr:colOff>
      <xdr:row>38</xdr:row>
      <xdr:rowOff>9524</xdr:rowOff>
    </xdr:from>
    <xdr:to>
      <xdr:col>14</xdr:col>
      <xdr:colOff>496574</xdr:colOff>
      <xdr:row>38</xdr:row>
      <xdr:rowOff>9524</xdr:rowOff>
    </xdr:to>
    <xdr:cxnSp macro="">
      <xdr:nvCxnSpPr>
        <xdr:cNvPr id="28" name="27 Conector recto de flecha"/>
        <xdr:cNvCxnSpPr/>
      </xdr:nvCxnSpPr>
      <xdr:spPr>
        <a:xfrm flipV="1">
          <a:off x="7658099" y="10944224"/>
          <a:ext cx="46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28574</xdr:colOff>
      <xdr:row>38</xdr:row>
      <xdr:rowOff>228599</xdr:rowOff>
    </xdr:from>
    <xdr:to>
      <xdr:col>13</xdr:col>
      <xdr:colOff>563549</xdr:colOff>
      <xdr:row>38</xdr:row>
      <xdr:rowOff>228599</xdr:rowOff>
    </xdr:to>
    <xdr:cxnSp macro="">
      <xdr:nvCxnSpPr>
        <xdr:cNvPr id="29" name="28 Conector recto de flecha"/>
        <xdr:cNvCxnSpPr/>
      </xdr:nvCxnSpPr>
      <xdr:spPr>
        <a:xfrm flipV="1">
          <a:off x="6429374" y="11163299"/>
          <a:ext cx="1182675"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xdr:colOff>
      <xdr:row>33</xdr:row>
      <xdr:rowOff>247649</xdr:rowOff>
    </xdr:from>
    <xdr:to>
      <xdr:col>8</xdr:col>
      <xdr:colOff>575474</xdr:colOff>
      <xdr:row>33</xdr:row>
      <xdr:rowOff>247649</xdr:rowOff>
    </xdr:to>
    <xdr:cxnSp macro="">
      <xdr:nvCxnSpPr>
        <xdr:cNvPr id="30" name="29 Conector recto de flecha"/>
        <xdr:cNvCxnSpPr/>
      </xdr:nvCxnSpPr>
      <xdr:spPr>
        <a:xfrm flipV="1">
          <a:off x="2790824" y="9972674"/>
          <a:ext cx="1728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19049</xdr:colOff>
      <xdr:row>40</xdr:row>
      <xdr:rowOff>238124</xdr:rowOff>
    </xdr:from>
    <xdr:to>
      <xdr:col>14</xdr:col>
      <xdr:colOff>512999</xdr:colOff>
      <xdr:row>40</xdr:row>
      <xdr:rowOff>238124</xdr:rowOff>
    </xdr:to>
    <xdr:cxnSp macro="">
      <xdr:nvCxnSpPr>
        <xdr:cNvPr id="31" name="30 Conector recto de flecha"/>
        <xdr:cNvCxnSpPr/>
      </xdr:nvCxnSpPr>
      <xdr:spPr>
        <a:xfrm flipV="1">
          <a:off x="6419849" y="11658599"/>
          <a:ext cx="1722675"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19049</xdr:colOff>
      <xdr:row>37</xdr:row>
      <xdr:rowOff>247649</xdr:rowOff>
    </xdr:from>
    <xdr:to>
      <xdr:col>19</xdr:col>
      <xdr:colOff>34949</xdr:colOff>
      <xdr:row>37</xdr:row>
      <xdr:rowOff>247649</xdr:rowOff>
    </xdr:to>
    <xdr:cxnSp macro="">
      <xdr:nvCxnSpPr>
        <xdr:cNvPr id="32" name="31 Conector recto de flecha"/>
        <xdr:cNvCxnSpPr/>
      </xdr:nvCxnSpPr>
      <xdr:spPr>
        <a:xfrm flipV="1">
          <a:off x="8229599" y="10934699"/>
          <a:ext cx="2340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133349</xdr:colOff>
      <xdr:row>40</xdr:row>
      <xdr:rowOff>228599</xdr:rowOff>
    </xdr:from>
    <xdr:to>
      <xdr:col>17</xdr:col>
      <xdr:colOff>555299</xdr:colOff>
      <xdr:row>40</xdr:row>
      <xdr:rowOff>228599</xdr:rowOff>
    </xdr:to>
    <xdr:cxnSp macro="">
      <xdr:nvCxnSpPr>
        <xdr:cNvPr id="33" name="32 Conector recto de flecha"/>
        <xdr:cNvCxnSpPr/>
      </xdr:nvCxnSpPr>
      <xdr:spPr>
        <a:xfrm flipV="1">
          <a:off x="8343899" y="11649074"/>
          <a:ext cx="1584000" cy="0"/>
        </a:xfrm>
        <a:prstGeom prst="straightConnector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257175</xdr:colOff>
      <xdr:row>34</xdr:row>
      <xdr:rowOff>228600</xdr:rowOff>
    </xdr:from>
    <xdr:to>
      <xdr:col>1</xdr:col>
      <xdr:colOff>180975</xdr:colOff>
      <xdr:row>36</xdr:row>
      <xdr:rowOff>209550</xdr:rowOff>
    </xdr:to>
    <xdr:sp macro="" textlink="">
      <xdr:nvSpPr>
        <xdr:cNvPr id="34" name="33 CuadroTexto"/>
        <xdr:cNvSpPr txBox="1"/>
      </xdr:nvSpPr>
      <xdr:spPr>
        <a:xfrm>
          <a:off x="257175" y="1020127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1</a:t>
          </a:r>
        </a:p>
      </xdr:txBody>
    </xdr:sp>
    <xdr:clientData/>
  </xdr:twoCellAnchor>
  <xdr:twoCellAnchor>
    <xdr:from>
      <xdr:col>21</xdr:col>
      <xdr:colOff>30</xdr:colOff>
      <xdr:row>35</xdr:row>
      <xdr:rowOff>9525</xdr:rowOff>
    </xdr:from>
    <xdr:to>
      <xdr:col>21</xdr:col>
      <xdr:colOff>190530</xdr:colOff>
      <xdr:row>36</xdr:row>
      <xdr:rowOff>228600</xdr:rowOff>
    </xdr:to>
    <xdr:sp macro="" textlink="">
      <xdr:nvSpPr>
        <xdr:cNvPr id="35" name="34 CuadroTexto"/>
        <xdr:cNvSpPr txBox="1"/>
      </xdr:nvSpPr>
      <xdr:spPr>
        <a:xfrm>
          <a:off x="11696730" y="102203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9</a:t>
          </a:r>
        </a:p>
      </xdr:txBody>
    </xdr:sp>
    <xdr:clientData/>
  </xdr:twoCellAnchor>
  <xdr:twoCellAnchor>
    <xdr:from>
      <xdr:col>14</xdr:col>
      <xdr:colOff>495300</xdr:colOff>
      <xdr:row>40</xdr:row>
      <xdr:rowOff>9525</xdr:rowOff>
    </xdr:from>
    <xdr:to>
      <xdr:col>15</xdr:col>
      <xdr:colOff>104775</xdr:colOff>
      <xdr:row>41</xdr:row>
      <xdr:rowOff>219075</xdr:rowOff>
    </xdr:to>
    <xdr:sp macro="" textlink="">
      <xdr:nvSpPr>
        <xdr:cNvPr id="36" name="35 CuadroTexto"/>
        <xdr:cNvSpPr txBox="1"/>
      </xdr:nvSpPr>
      <xdr:spPr>
        <a:xfrm>
          <a:off x="8124825" y="1143000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8</a:t>
          </a:r>
        </a:p>
      </xdr:txBody>
    </xdr:sp>
    <xdr:clientData/>
  </xdr:twoCellAnchor>
  <xdr:twoCellAnchor>
    <xdr:from>
      <xdr:col>14</xdr:col>
      <xdr:colOff>476250</xdr:colOff>
      <xdr:row>37</xdr:row>
      <xdr:rowOff>19050</xdr:rowOff>
    </xdr:from>
    <xdr:to>
      <xdr:col>15</xdr:col>
      <xdr:colOff>85725</xdr:colOff>
      <xdr:row>38</xdr:row>
      <xdr:rowOff>228600</xdr:rowOff>
    </xdr:to>
    <xdr:sp macro="" textlink="">
      <xdr:nvSpPr>
        <xdr:cNvPr id="37" name="36 CuadroTexto"/>
        <xdr:cNvSpPr txBox="1"/>
      </xdr:nvSpPr>
      <xdr:spPr>
        <a:xfrm>
          <a:off x="8105775" y="1070610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7</a:t>
          </a:r>
        </a:p>
      </xdr:txBody>
    </xdr:sp>
    <xdr:clientData/>
  </xdr:twoCellAnchor>
  <xdr:twoCellAnchor>
    <xdr:from>
      <xdr:col>17</xdr:col>
      <xdr:colOff>485775</xdr:colOff>
      <xdr:row>35</xdr:row>
      <xdr:rowOff>9525</xdr:rowOff>
    </xdr:from>
    <xdr:to>
      <xdr:col>18</xdr:col>
      <xdr:colOff>95250</xdr:colOff>
      <xdr:row>36</xdr:row>
      <xdr:rowOff>228600</xdr:rowOff>
    </xdr:to>
    <xdr:sp macro="" textlink="">
      <xdr:nvSpPr>
        <xdr:cNvPr id="38" name="37 CuadroTexto"/>
        <xdr:cNvSpPr txBox="1"/>
      </xdr:nvSpPr>
      <xdr:spPr>
        <a:xfrm>
          <a:off x="9858375" y="102203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6</a:t>
          </a:r>
        </a:p>
      </xdr:txBody>
    </xdr:sp>
    <xdr:clientData/>
  </xdr:twoCellAnchor>
  <xdr:twoCellAnchor>
    <xdr:from>
      <xdr:col>11</xdr:col>
      <xdr:colOff>485775</xdr:colOff>
      <xdr:row>37</xdr:row>
      <xdr:rowOff>0</xdr:rowOff>
    </xdr:from>
    <xdr:to>
      <xdr:col>12</xdr:col>
      <xdr:colOff>95250</xdr:colOff>
      <xdr:row>38</xdr:row>
      <xdr:rowOff>209550</xdr:rowOff>
    </xdr:to>
    <xdr:sp macro="" textlink="">
      <xdr:nvSpPr>
        <xdr:cNvPr id="39" name="38 CuadroTexto"/>
        <xdr:cNvSpPr txBox="1"/>
      </xdr:nvSpPr>
      <xdr:spPr>
        <a:xfrm>
          <a:off x="6238875" y="10687050"/>
          <a:ext cx="257175"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5</a:t>
          </a:r>
        </a:p>
      </xdr:txBody>
    </xdr:sp>
    <xdr:clientData/>
  </xdr:twoCellAnchor>
  <xdr:twoCellAnchor>
    <xdr:from>
      <xdr:col>13</xdr:col>
      <xdr:colOff>476250</xdr:colOff>
      <xdr:row>35</xdr:row>
      <xdr:rowOff>19050</xdr:rowOff>
    </xdr:from>
    <xdr:to>
      <xdr:col>14</xdr:col>
      <xdr:colOff>85725</xdr:colOff>
      <xdr:row>37</xdr:row>
      <xdr:rowOff>0</xdr:rowOff>
    </xdr:to>
    <xdr:sp macro="" textlink="">
      <xdr:nvSpPr>
        <xdr:cNvPr id="40" name="39 CuadroTexto"/>
        <xdr:cNvSpPr txBox="1"/>
      </xdr:nvSpPr>
      <xdr:spPr>
        <a:xfrm>
          <a:off x="7524750" y="10229850"/>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4</a:t>
          </a:r>
        </a:p>
      </xdr:txBody>
    </xdr:sp>
    <xdr:clientData/>
  </xdr:twoCellAnchor>
  <xdr:twoCellAnchor>
    <xdr:from>
      <xdr:col>9</xdr:col>
      <xdr:colOff>466725</xdr:colOff>
      <xdr:row>35</xdr:row>
      <xdr:rowOff>9525</xdr:rowOff>
    </xdr:from>
    <xdr:to>
      <xdr:col>10</xdr:col>
      <xdr:colOff>76200</xdr:colOff>
      <xdr:row>36</xdr:row>
      <xdr:rowOff>228600</xdr:rowOff>
    </xdr:to>
    <xdr:sp macro="" textlink="">
      <xdr:nvSpPr>
        <xdr:cNvPr id="41" name="40 CuadroTexto"/>
        <xdr:cNvSpPr txBox="1"/>
      </xdr:nvSpPr>
      <xdr:spPr>
        <a:xfrm>
          <a:off x="4991100" y="102203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3</a:t>
          </a:r>
        </a:p>
      </xdr:txBody>
    </xdr:sp>
    <xdr:clientData/>
  </xdr:twoCellAnchor>
  <xdr:twoCellAnchor>
    <xdr:from>
      <xdr:col>5</xdr:col>
      <xdr:colOff>457200</xdr:colOff>
      <xdr:row>35</xdr:row>
      <xdr:rowOff>9525</xdr:rowOff>
    </xdr:from>
    <xdr:to>
      <xdr:col>6</xdr:col>
      <xdr:colOff>66675</xdr:colOff>
      <xdr:row>36</xdr:row>
      <xdr:rowOff>228600</xdr:rowOff>
    </xdr:to>
    <xdr:sp macro="" textlink="">
      <xdr:nvSpPr>
        <xdr:cNvPr id="42" name="41 CuadroTexto"/>
        <xdr:cNvSpPr txBox="1"/>
      </xdr:nvSpPr>
      <xdr:spPr>
        <a:xfrm>
          <a:off x="2657475" y="10220325"/>
          <a:ext cx="190500" cy="457200"/>
        </a:xfrm>
        <a:prstGeom prst="rect">
          <a:avLst/>
        </a:prstGeom>
        <a:noFill/>
        <a:ln w="15875"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s-AR" sz="2000"/>
            <a:t>2</a:t>
          </a:r>
        </a:p>
      </xdr:txBody>
    </xdr:sp>
    <xdr:clientData/>
  </xdr:twoCellAnchor>
  <xdr:twoCellAnchor>
    <xdr:from>
      <xdr:col>1</xdr:col>
      <xdr:colOff>189707</xdr:colOff>
      <xdr:row>46</xdr:row>
      <xdr:rowOff>171450</xdr:rowOff>
    </xdr:from>
    <xdr:to>
      <xdr:col>2</xdr:col>
      <xdr:colOff>1</xdr:colOff>
      <xdr:row>55</xdr:row>
      <xdr:rowOff>224144</xdr:rowOff>
    </xdr:to>
    <xdr:cxnSp macro="">
      <xdr:nvCxnSpPr>
        <xdr:cNvPr id="43" name="42 Conector recto"/>
        <xdr:cNvCxnSpPr/>
      </xdr:nvCxnSpPr>
      <xdr:spPr>
        <a:xfrm rot="5400000" flipH="1" flipV="1">
          <a:off x="-641106" y="14127713"/>
          <a:ext cx="219581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46</xdr:row>
      <xdr:rowOff>152400</xdr:rowOff>
    </xdr:from>
    <xdr:to>
      <xdr:col>3</xdr:col>
      <xdr:colOff>19050</xdr:colOff>
      <xdr:row>46</xdr:row>
      <xdr:rowOff>153988</xdr:rowOff>
    </xdr:to>
    <xdr:cxnSp macro="">
      <xdr:nvCxnSpPr>
        <xdr:cNvPr id="44" name="43 Conector recto"/>
        <xdr:cNvCxnSpPr/>
      </xdr:nvCxnSpPr>
      <xdr:spPr>
        <a:xfrm>
          <a:off x="457200" y="130111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580231</xdr:colOff>
      <xdr:row>46</xdr:row>
      <xdr:rowOff>153194</xdr:rowOff>
    </xdr:from>
    <xdr:to>
      <xdr:col>3</xdr:col>
      <xdr:colOff>794</xdr:colOff>
      <xdr:row>49</xdr:row>
      <xdr:rowOff>162719</xdr:rowOff>
    </xdr:to>
    <xdr:cxnSp macro="">
      <xdr:nvCxnSpPr>
        <xdr:cNvPr id="45" name="44 Conector recto"/>
        <xdr:cNvCxnSpPr/>
      </xdr:nvCxnSpPr>
      <xdr:spPr>
        <a:xfrm rot="5400000">
          <a:off x="676275" y="13373100"/>
          <a:ext cx="723900"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49</xdr:row>
      <xdr:rowOff>133350</xdr:rowOff>
    </xdr:from>
    <xdr:to>
      <xdr:col>4</xdr:col>
      <xdr:colOff>19050</xdr:colOff>
      <xdr:row>49</xdr:row>
      <xdr:rowOff>134938</xdr:rowOff>
    </xdr:to>
    <xdr:cxnSp macro="">
      <xdr:nvCxnSpPr>
        <xdr:cNvPr id="46" name="45 Conector recto"/>
        <xdr:cNvCxnSpPr/>
      </xdr:nvCxnSpPr>
      <xdr:spPr>
        <a:xfrm>
          <a:off x="1038225" y="137064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794</xdr:colOff>
      <xdr:row>49</xdr:row>
      <xdr:rowOff>115093</xdr:rowOff>
    </xdr:from>
    <xdr:to>
      <xdr:col>4</xdr:col>
      <xdr:colOff>9525</xdr:colOff>
      <xdr:row>56</xdr:row>
      <xdr:rowOff>28574</xdr:rowOff>
    </xdr:to>
    <xdr:cxnSp macro="">
      <xdr:nvCxnSpPr>
        <xdr:cNvPr id="47" name="46 Conector recto"/>
        <xdr:cNvCxnSpPr/>
      </xdr:nvCxnSpPr>
      <xdr:spPr>
        <a:xfrm rot="16200000" flipH="1">
          <a:off x="829469" y="14478793"/>
          <a:ext cx="15898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794</xdr:colOff>
      <xdr:row>49</xdr:row>
      <xdr:rowOff>76993</xdr:rowOff>
    </xdr:from>
    <xdr:to>
      <xdr:col>5</xdr:col>
      <xdr:colOff>9525</xdr:colOff>
      <xdr:row>55</xdr:row>
      <xdr:rowOff>238124</xdr:rowOff>
    </xdr:to>
    <xdr:cxnSp macro="">
      <xdr:nvCxnSpPr>
        <xdr:cNvPr id="48" name="47 Conector recto"/>
        <xdr:cNvCxnSpPr/>
      </xdr:nvCxnSpPr>
      <xdr:spPr>
        <a:xfrm rot="16200000" flipH="1">
          <a:off x="1410494" y="14440693"/>
          <a:ext cx="15898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49</xdr:row>
      <xdr:rowOff>95250</xdr:rowOff>
    </xdr:from>
    <xdr:to>
      <xdr:col>6</xdr:col>
      <xdr:colOff>19050</xdr:colOff>
      <xdr:row>49</xdr:row>
      <xdr:rowOff>96838</xdr:rowOff>
    </xdr:to>
    <xdr:cxnSp macro="">
      <xdr:nvCxnSpPr>
        <xdr:cNvPr id="49" name="48 Conector recto"/>
        <xdr:cNvCxnSpPr/>
      </xdr:nvCxnSpPr>
      <xdr:spPr>
        <a:xfrm>
          <a:off x="2200275" y="136683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572294</xdr:colOff>
      <xdr:row>49</xdr:row>
      <xdr:rowOff>115093</xdr:rowOff>
    </xdr:from>
    <xdr:to>
      <xdr:col>6</xdr:col>
      <xdr:colOff>0</xdr:colOff>
      <xdr:row>50</xdr:row>
      <xdr:rowOff>95249</xdr:rowOff>
    </xdr:to>
    <xdr:cxnSp macro="">
      <xdr:nvCxnSpPr>
        <xdr:cNvPr id="50" name="49 Conector recto"/>
        <xdr:cNvCxnSpPr/>
      </xdr:nvCxnSpPr>
      <xdr:spPr>
        <a:xfrm rot="16200000" flipH="1">
          <a:off x="2667794" y="13792993"/>
          <a:ext cx="218281" cy="8731"/>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50</xdr:row>
      <xdr:rowOff>95250</xdr:rowOff>
    </xdr:from>
    <xdr:to>
      <xdr:col>7</xdr:col>
      <xdr:colOff>9525</xdr:colOff>
      <xdr:row>50</xdr:row>
      <xdr:rowOff>96838</xdr:rowOff>
    </xdr:to>
    <xdr:cxnSp macro="">
      <xdr:nvCxnSpPr>
        <xdr:cNvPr id="51" name="50 Conector recto"/>
        <xdr:cNvCxnSpPr/>
      </xdr:nvCxnSpPr>
      <xdr:spPr>
        <a:xfrm>
          <a:off x="2771775" y="139065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580232</xdr:colOff>
      <xdr:row>46</xdr:row>
      <xdr:rowOff>47624</xdr:rowOff>
    </xdr:from>
    <xdr:to>
      <xdr:col>7</xdr:col>
      <xdr:colOff>1</xdr:colOff>
      <xdr:row>50</xdr:row>
      <xdr:rowOff>76993</xdr:rowOff>
    </xdr:to>
    <xdr:cxnSp macro="">
      <xdr:nvCxnSpPr>
        <xdr:cNvPr id="52" name="51 Conector recto"/>
        <xdr:cNvCxnSpPr/>
      </xdr:nvCxnSpPr>
      <xdr:spPr>
        <a:xfrm rot="5400000">
          <a:off x="2870994" y="13396912"/>
          <a:ext cx="98186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46</xdr:row>
      <xdr:rowOff>57150</xdr:rowOff>
    </xdr:from>
    <xdr:to>
      <xdr:col>8</xdr:col>
      <xdr:colOff>19050</xdr:colOff>
      <xdr:row>46</xdr:row>
      <xdr:rowOff>58738</xdr:rowOff>
    </xdr:to>
    <xdr:cxnSp macro="">
      <xdr:nvCxnSpPr>
        <xdr:cNvPr id="53" name="52 Conector recto"/>
        <xdr:cNvCxnSpPr/>
      </xdr:nvCxnSpPr>
      <xdr:spPr>
        <a:xfrm>
          <a:off x="3362325" y="129159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571501</xdr:colOff>
      <xdr:row>46</xdr:row>
      <xdr:rowOff>66673</xdr:rowOff>
    </xdr:from>
    <xdr:to>
      <xdr:col>8</xdr:col>
      <xdr:colOff>9525</xdr:colOff>
      <xdr:row>54</xdr:row>
      <xdr:rowOff>66674</xdr:rowOff>
    </xdr:to>
    <xdr:cxnSp macro="">
      <xdr:nvCxnSpPr>
        <xdr:cNvPr id="54" name="53 Conector recto"/>
        <xdr:cNvCxnSpPr/>
      </xdr:nvCxnSpPr>
      <xdr:spPr>
        <a:xfrm rot="16200000" flipH="1">
          <a:off x="2990850" y="13868399"/>
          <a:ext cx="1905001" cy="19049"/>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54</xdr:row>
      <xdr:rowOff>76200</xdr:rowOff>
    </xdr:from>
    <xdr:to>
      <xdr:col>9</xdr:col>
      <xdr:colOff>19050</xdr:colOff>
      <xdr:row>54</xdr:row>
      <xdr:rowOff>77788</xdr:rowOff>
    </xdr:to>
    <xdr:cxnSp macro="">
      <xdr:nvCxnSpPr>
        <xdr:cNvPr id="55" name="54 Conector recto"/>
        <xdr:cNvCxnSpPr/>
      </xdr:nvCxnSpPr>
      <xdr:spPr>
        <a:xfrm>
          <a:off x="3943350" y="148399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51</xdr:row>
      <xdr:rowOff>123828</xdr:rowOff>
    </xdr:from>
    <xdr:to>
      <xdr:col>8</xdr:col>
      <xdr:colOff>580232</xdr:colOff>
      <xdr:row>54</xdr:row>
      <xdr:rowOff>76993</xdr:rowOff>
    </xdr:to>
    <xdr:cxnSp macro="">
      <xdr:nvCxnSpPr>
        <xdr:cNvPr id="56" name="55 Conector recto"/>
        <xdr:cNvCxnSpPr/>
      </xdr:nvCxnSpPr>
      <xdr:spPr>
        <a:xfrm rot="16200000" flipH="1">
          <a:off x="4185446" y="14502607"/>
          <a:ext cx="667540" cy="873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51</xdr:row>
      <xdr:rowOff>133350</xdr:rowOff>
    </xdr:from>
    <xdr:to>
      <xdr:col>10</xdr:col>
      <xdr:colOff>28575</xdr:colOff>
      <xdr:row>51</xdr:row>
      <xdr:rowOff>134938</xdr:rowOff>
    </xdr:to>
    <xdr:cxnSp macro="">
      <xdr:nvCxnSpPr>
        <xdr:cNvPr id="57" name="56 Conector recto"/>
        <xdr:cNvCxnSpPr/>
      </xdr:nvCxnSpPr>
      <xdr:spPr>
        <a:xfrm>
          <a:off x="4533900" y="141827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48</xdr:row>
      <xdr:rowOff>161928</xdr:rowOff>
    </xdr:from>
    <xdr:to>
      <xdr:col>10</xdr:col>
      <xdr:colOff>8732</xdr:colOff>
      <xdr:row>51</xdr:row>
      <xdr:rowOff>115093</xdr:rowOff>
    </xdr:to>
    <xdr:cxnSp macro="">
      <xdr:nvCxnSpPr>
        <xdr:cNvPr id="58" name="57 Conector recto"/>
        <xdr:cNvCxnSpPr/>
      </xdr:nvCxnSpPr>
      <xdr:spPr>
        <a:xfrm rot="16200000" flipH="1">
          <a:off x="4775996" y="13826332"/>
          <a:ext cx="667540" cy="873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48</xdr:row>
      <xdr:rowOff>161925</xdr:rowOff>
    </xdr:from>
    <xdr:to>
      <xdr:col>11</xdr:col>
      <xdr:colOff>28575</xdr:colOff>
      <xdr:row>48</xdr:row>
      <xdr:rowOff>163513</xdr:rowOff>
    </xdr:to>
    <xdr:cxnSp macro="">
      <xdr:nvCxnSpPr>
        <xdr:cNvPr id="59" name="58 Conector recto"/>
        <xdr:cNvCxnSpPr/>
      </xdr:nvCxnSpPr>
      <xdr:spPr>
        <a:xfrm>
          <a:off x="5114925" y="13496925"/>
          <a:ext cx="666750"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95250</xdr:rowOff>
    </xdr:from>
    <xdr:to>
      <xdr:col>12</xdr:col>
      <xdr:colOff>19050</xdr:colOff>
      <xdr:row>48</xdr:row>
      <xdr:rowOff>96838</xdr:rowOff>
    </xdr:to>
    <xdr:cxnSp macro="">
      <xdr:nvCxnSpPr>
        <xdr:cNvPr id="60" name="59 Conector recto"/>
        <xdr:cNvCxnSpPr/>
      </xdr:nvCxnSpPr>
      <xdr:spPr>
        <a:xfrm>
          <a:off x="5753100" y="13430250"/>
          <a:ext cx="666750"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48</xdr:row>
      <xdr:rowOff>114301</xdr:rowOff>
    </xdr:from>
    <xdr:to>
      <xdr:col>12</xdr:col>
      <xdr:colOff>3</xdr:colOff>
      <xdr:row>52</xdr:row>
      <xdr:rowOff>133352</xdr:rowOff>
    </xdr:to>
    <xdr:cxnSp macro="">
      <xdr:nvCxnSpPr>
        <xdr:cNvPr id="61" name="60 Conector recto"/>
        <xdr:cNvCxnSpPr/>
      </xdr:nvCxnSpPr>
      <xdr:spPr>
        <a:xfrm rot="16200000" flipH="1">
          <a:off x="5915026" y="13935075"/>
          <a:ext cx="971551" cy="3"/>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xdr:colOff>
      <xdr:row>52</xdr:row>
      <xdr:rowOff>114300</xdr:rowOff>
    </xdr:from>
    <xdr:to>
      <xdr:col>13</xdr:col>
      <xdr:colOff>28575</xdr:colOff>
      <xdr:row>52</xdr:row>
      <xdr:rowOff>115888</xdr:rowOff>
    </xdr:to>
    <xdr:cxnSp macro="">
      <xdr:nvCxnSpPr>
        <xdr:cNvPr id="62" name="61 Conector recto"/>
        <xdr:cNvCxnSpPr/>
      </xdr:nvCxnSpPr>
      <xdr:spPr>
        <a:xfrm>
          <a:off x="6410325" y="14401800"/>
          <a:ext cx="666750"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xdr:colOff>
      <xdr:row>45</xdr:row>
      <xdr:rowOff>104777</xdr:rowOff>
    </xdr:from>
    <xdr:to>
      <xdr:col>13</xdr:col>
      <xdr:colOff>19051</xdr:colOff>
      <xdr:row>52</xdr:row>
      <xdr:rowOff>104775</xdr:rowOff>
    </xdr:to>
    <xdr:cxnSp macro="">
      <xdr:nvCxnSpPr>
        <xdr:cNvPr id="63" name="62 Conector recto"/>
        <xdr:cNvCxnSpPr/>
      </xdr:nvCxnSpPr>
      <xdr:spPr>
        <a:xfrm rot="5400000">
          <a:off x="6224591" y="13549316"/>
          <a:ext cx="1666873" cy="19046"/>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xdr:colOff>
      <xdr:row>45</xdr:row>
      <xdr:rowOff>95250</xdr:rowOff>
    </xdr:from>
    <xdr:to>
      <xdr:col>14</xdr:col>
      <xdr:colOff>28575</xdr:colOff>
      <xdr:row>45</xdr:row>
      <xdr:rowOff>96838</xdr:rowOff>
    </xdr:to>
    <xdr:cxnSp macro="">
      <xdr:nvCxnSpPr>
        <xdr:cNvPr id="64" name="63 Conector recto"/>
        <xdr:cNvCxnSpPr/>
      </xdr:nvCxnSpPr>
      <xdr:spPr>
        <a:xfrm>
          <a:off x="7058025" y="127158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45</xdr:row>
      <xdr:rowOff>95250</xdr:rowOff>
    </xdr:from>
    <xdr:to>
      <xdr:col>14</xdr:col>
      <xdr:colOff>9527</xdr:colOff>
      <xdr:row>48</xdr:row>
      <xdr:rowOff>114303</xdr:rowOff>
    </xdr:to>
    <xdr:cxnSp macro="">
      <xdr:nvCxnSpPr>
        <xdr:cNvPr id="65" name="64 Conector recto"/>
        <xdr:cNvCxnSpPr/>
      </xdr:nvCxnSpPr>
      <xdr:spPr>
        <a:xfrm rot="16200000" flipH="1">
          <a:off x="7267575" y="13077825"/>
          <a:ext cx="733428" cy="9527"/>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48</xdr:row>
      <xdr:rowOff>89927</xdr:rowOff>
    </xdr:from>
    <xdr:to>
      <xdr:col>11</xdr:col>
      <xdr:colOff>9527</xdr:colOff>
      <xdr:row>48</xdr:row>
      <xdr:rowOff>161927</xdr:rowOff>
    </xdr:to>
    <xdr:cxnSp macro="">
      <xdr:nvCxnSpPr>
        <xdr:cNvPr id="66" name="65 Conector recto"/>
        <xdr:cNvCxnSpPr/>
      </xdr:nvCxnSpPr>
      <xdr:spPr>
        <a:xfrm rot="16200000" flipH="1">
          <a:off x="5726626" y="13460925"/>
          <a:ext cx="72000" cy="3"/>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123825</xdr:rowOff>
    </xdr:from>
    <xdr:to>
      <xdr:col>15</xdr:col>
      <xdr:colOff>19050</xdr:colOff>
      <xdr:row>48</xdr:row>
      <xdr:rowOff>125413</xdr:rowOff>
    </xdr:to>
    <xdr:cxnSp macro="">
      <xdr:nvCxnSpPr>
        <xdr:cNvPr id="67" name="66 Conector recto"/>
        <xdr:cNvCxnSpPr/>
      </xdr:nvCxnSpPr>
      <xdr:spPr>
        <a:xfrm>
          <a:off x="7629525" y="134588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47</xdr:row>
      <xdr:rowOff>133350</xdr:rowOff>
    </xdr:from>
    <xdr:to>
      <xdr:col>15</xdr:col>
      <xdr:colOff>9526</xdr:colOff>
      <xdr:row>48</xdr:row>
      <xdr:rowOff>142874</xdr:rowOff>
    </xdr:to>
    <xdr:cxnSp macro="">
      <xdr:nvCxnSpPr>
        <xdr:cNvPr id="68" name="67 Conector recto"/>
        <xdr:cNvCxnSpPr/>
      </xdr:nvCxnSpPr>
      <xdr:spPr>
        <a:xfrm rot="5400000">
          <a:off x="8091489" y="13349287"/>
          <a:ext cx="247649" cy="9525"/>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571500</xdr:colOff>
      <xdr:row>47</xdr:row>
      <xdr:rowOff>123825</xdr:rowOff>
    </xdr:from>
    <xdr:to>
      <xdr:col>16</xdr:col>
      <xdr:colOff>9525</xdr:colOff>
      <xdr:row>47</xdr:row>
      <xdr:rowOff>125413</xdr:rowOff>
    </xdr:to>
    <xdr:cxnSp macro="">
      <xdr:nvCxnSpPr>
        <xdr:cNvPr id="69" name="68 Conector recto"/>
        <xdr:cNvCxnSpPr/>
      </xdr:nvCxnSpPr>
      <xdr:spPr>
        <a:xfrm>
          <a:off x="8201025" y="1322070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570707</xdr:colOff>
      <xdr:row>47</xdr:row>
      <xdr:rowOff>114299</xdr:rowOff>
    </xdr:from>
    <xdr:to>
      <xdr:col>15</xdr:col>
      <xdr:colOff>571501</xdr:colOff>
      <xdr:row>52</xdr:row>
      <xdr:rowOff>115093</xdr:rowOff>
    </xdr:to>
    <xdr:cxnSp macro="">
      <xdr:nvCxnSpPr>
        <xdr:cNvPr id="70" name="69 Conector recto"/>
        <xdr:cNvCxnSpPr/>
      </xdr:nvCxnSpPr>
      <xdr:spPr>
        <a:xfrm rot="5400000">
          <a:off x="8185944" y="13806487"/>
          <a:ext cx="1191419" cy="794"/>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52</xdr:row>
      <xdr:rowOff>104775</xdr:rowOff>
    </xdr:from>
    <xdr:to>
      <xdr:col>17</xdr:col>
      <xdr:colOff>19050</xdr:colOff>
      <xdr:row>52</xdr:row>
      <xdr:rowOff>106363</xdr:rowOff>
    </xdr:to>
    <xdr:cxnSp macro="">
      <xdr:nvCxnSpPr>
        <xdr:cNvPr id="71" name="70 Conector recto"/>
        <xdr:cNvCxnSpPr/>
      </xdr:nvCxnSpPr>
      <xdr:spPr>
        <a:xfrm>
          <a:off x="8791575" y="1439227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571501</xdr:colOff>
      <xdr:row>48</xdr:row>
      <xdr:rowOff>219870</xdr:rowOff>
    </xdr:from>
    <xdr:to>
      <xdr:col>17</xdr:col>
      <xdr:colOff>795</xdr:colOff>
      <xdr:row>52</xdr:row>
      <xdr:rowOff>104775</xdr:rowOff>
    </xdr:to>
    <xdr:cxnSp macro="">
      <xdr:nvCxnSpPr>
        <xdr:cNvPr id="72" name="71 Conector recto"/>
        <xdr:cNvCxnSpPr/>
      </xdr:nvCxnSpPr>
      <xdr:spPr>
        <a:xfrm rot="5400000">
          <a:off x="8949533" y="13968413"/>
          <a:ext cx="837405" cy="10319"/>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48</xdr:row>
      <xdr:rowOff>209550</xdr:rowOff>
    </xdr:from>
    <xdr:to>
      <xdr:col>18</xdr:col>
      <xdr:colOff>19050</xdr:colOff>
      <xdr:row>48</xdr:row>
      <xdr:rowOff>211138</xdr:rowOff>
    </xdr:to>
    <xdr:cxnSp macro="">
      <xdr:nvCxnSpPr>
        <xdr:cNvPr id="73" name="72 Conector recto"/>
        <xdr:cNvCxnSpPr/>
      </xdr:nvCxnSpPr>
      <xdr:spPr>
        <a:xfrm>
          <a:off x="9372600" y="135445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xdr:colOff>
      <xdr:row>48</xdr:row>
      <xdr:rowOff>238124</xdr:rowOff>
    </xdr:from>
    <xdr:to>
      <xdr:col>18</xdr:col>
      <xdr:colOff>3</xdr:colOff>
      <xdr:row>51</xdr:row>
      <xdr:rowOff>104774</xdr:rowOff>
    </xdr:to>
    <xdr:cxnSp macro="">
      <xdr:nvCxnSpPr>
        <xdr:cNvPr id="74" name="73 Conector recto"/>
        <xdr:cNvCxnSpPr/>
      </xdr:nvCxnSpPr>
      <xdr:spPr>
        <a:xfrm rot="5400000">
          <a:off x="9663114" y="13863636"/>
          <a:ext cx="581025"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51</xdr:row>
      <xdr:rowOff>95250</xdr:rowOff>
    </xdr:from>
    <xdr:to>
      <xdr:col>19</xdr:col>
      <xdr:colOff>19050</xdr:colOff>
      <xdr:row>51</xdr:row>
      <xdr:rowOff>96838</xdr:rowOff>
    </xdr:to>
    <xdr:cxnSp macro="">
      <xdr:nvCxnSpPr>
        <xdr:cNvPr id="75" name="74 Conector recto"/>
        <xdr:cNvCxnSpPr/>
      </xdr:nvCxnSpPr>
      <xdr:spPr>
        <a:xfrm>
          <a:off x="9953625" y="14144625"/>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xdr:colOff>
      <xdr:row>51</xdr:row>
      <xdr:rowOff>123823</xdr:rowOff>
    </xdr:from>
    <xdr:to>
      <xdr:col>19</xdr:col>
      <xdr:colOff>9526</xdr:colOff>
      <xdr:row>54</xdr:row>
      <xdr:rowOff>142877</xdr:rowOff>
    </xdr:to>
    <xdr:cxnSp macro="">
      <xdr:nvCxnSpPr>
        <xdr:cNvPr id="76" name="75 Conector recto"/>
        <xdr:cNvCxnSpPr/>
      </xdr:nvCxnSpPr>
      <xdr:spPr>
        <a:xfrm rot="16200000" flipH="1">
          <a:off x="10172700" y="14535152"/>
          <a:ext cx="733429" cy="952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54</xdr:row>
      <xdr:rowOff>114300</xdr:rowOff>
    </xdr:from>
    <xdr:to>
      <xdr:col>20</xdr:col>
      <xdr:colOff>19050</xdr:colOff>
      <xdr:row>54</xdr:row>
      <xdr:rowOff>115888</xdr:rowOff>
    </xdr:to>
    <xdr:cxnSp macro="">
      <xdr:nvCxnSpPr>
        <xdr:cNvPr id="77" name="76 Conector recto"/>
        <xdr:cNvCxnSpPr/>
      </xdr:nvCxnSpPr>
      <xdr:spPr>
        <a:xfrm>
          <a:off x="10534650" y="14878050"/>
          <a:ext cx="600075"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571501</xdr:colOff>
      <xdr:row>54</xdr:row>
      <xdr:rowOff>114299</xdr:rowOff>
    </xdr:from>
    <xdr:to>
      <xdr:col>19</xdr:col>
      <xdr:colOff>571503</xdr:colOff>
      <xdr:row>55</xdr:row>
      <xdr:rowOff>66673</xdr:rowOff>
    </xdr:to>
    <xdr:cxnSp macro="">
      <xdr:nvCxnSpPr>
        <xdr:cNvPr id="78" name="77 Conector recto"/>
        <xdr:cNvCxnSpPr/>
      </xdr:nvCxnSpPr>
      <xdr:spPr>
        <a:xfrm rot="16200000" flipH="1">
          <a:off x="11010902" y="14973298"/>
          <a:ext cx="190499"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571500</xdr:colOff>
      <xdr:row>55</xdr:row>
      <xdr:rowOff>38100</xdr:rowOff>
    </xdr:from>
    <xdr:to>
      <xdr:col>20</xdr:col>
      <xdr:colOff>562392</xdr:colOff>
      <xdr:row>55</xdr:row>
      <xdr:rowOff>39688</xdr:rowOff>
    </xdr:to>
    <xdr:cxnSp macro="">
      <xdr:nvCxnSpPr>
        <xdr:cNvPr id="79" name="78 Conector recto"/>
        <xdr:cNvCxnSpPr/>
      </xdr:nvCxnSpPr>
      <xdr:spPr>
        <a:xfrm>
          <a:off x="11106150" y="15039975"/>
          <a:ext cx="571917" cy="1588"/>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567449</xdr:colOff>
      <xdr:row>55</xdr:row>
      <xdr:rowOff>28574</xdr:rowOff>
    </xdr:from>
    <xdr:to>
      <xdr:col>20</xdr:col>
      <xdr:colOff>567451</xdr:colOff>
      <xdr:row>55</xdr:row>
      <xdr:rowOff>219073</xdr:rowOff>
    </xdr:to>
    <xdr:cxnSp macro="">
      <xdr:nvCxnSpPr>
        <xdr:cNvPr id="80" name="79 Conector recto"/>
        <xdr:cNvCxnSpPr/>
      </xdr:nvCxnSpPr>
      <xdr:spPr>
        <a:xfrm rot="16200000" flipH="1">
          <a:off x="11587875" y="15125698"/>
          <a:ext cx="190499" cy="2"/>
        </a:xfrm>
        <a:prstGeom prst="line">
          <a:avLst/>
        </a:prstGeom>
        <a:ln w="15875">
          <a:solidFill>
            <a:schemeClr val="tx1"/>
          </a:solidFill>
        </a:ln>
        <a:effectLst>
          <a:outerShdw blurRad="50800" dist="50800" dir="5400000" algn="ctr" rotWithShape="0">
            <a:srgbClr val="92D05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50</xdr:row>
      <xdr:rowOff>133350</xdr:rowOff>
    </xdr:from>
    <xdr:to>
      <xdr:col>21</xdr:col>
      <xdr:colOff>8357</xdr:colOff>
      <xdr:row>50</xdr:row>
      <xdr:rowOff>161925</xdr:rowOff>
    </xdr:to>
    <xdr:cxnSp macro="">
      <xdr:nvCxnSpPr>
        <xdr:cNvPr id="81" name="80 Conector recto"/>
        <xdr:cNvCxnSpPr/>
      </xdr:nvCxnSpPr>
      <xdr:spPr>
        <a:xfrm flipV="1">
          <a:off x="266700" y="13944600"/>
          <a:ext cx="11438357" cy="28575"/>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36"/>
  <sheetViews>
    <sheetView showGridLines="0" tabSelected="1" workbookViewId="0">
      <selection sqref="A1:E1"/>
    </sheetView>
  </sheetViews>
  <sheetFormatPr baseColWidth="10" defaultRowHeight="1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15.75" customHeight="1">
      <c r="A1" s="33" t="s">
        <v>12</v>
      </c>
      <c r="B1" s="33"/>
      <c r="C1" s="33"/>
      <c r="D1" s="33"/>
      <c r="E1" s="33"/>
      <c r="F1" s="7"/>
      <c r="G1" s="20" t="s">
        <v>3</v>
      </c>
      <c r="H1" s="20"/>
    </row>
    <row r="2" spans="1:8" ht="15.75" thickBot="1">
      <c r="A2" s="1" t="s">
        <v>2</v>
      </c>
      <c r="B2" s="1"/>
      <c r="C2" s="1"/>
      <c r="D2" s="1"/>
      <c r="G2" s="10" t="s">
        <v>0</v>
      </c>
      <c r="H2" s="10" t="s">
        <v>1</v>
      </c>
    </row>
    <row r="3" spans="1:8" ht="15.75" thickBot="1">
      <c r="A3" s="30"/>
      <c r="B3" s="31"/>
      <c r="C3" s="31"/>
      <c r="D3" s="31"/>
      <c r="E3" s="32"/>
      <c r="F3" s="8"/>
      <c r="G3" s="11"/>
      <c r="H3" s="12">
        <v>10</v>
      </c>
    </row>
    <row r="4" spans="1:8" ht="4.5" customHeight="1" thickBot="1"/>
    <row r="5" spans="1:8" ht="30" customHeight="1">
      <c r="A5" s="2">
        <v>1</v>
      </c>
      <c r="B5" s="21" t="s">
        <v>9</v>
      </c>
      <c r="C5" s="22"/>
      <c r="D5" s="22"/>
      <c r="E5" s="23"/>
      <c r="F5" s="9"/>
      <c r="G5" s="4"/>
      <c r="H5" s="6">
        <v>2</v>
      </c>
    </row>
    <row r="6" spans="1:8" ht="67.5" customHeight="1">
      <c r="A6" s="3">
        <v>2</v>
      </c>
      <c r="B6" s="24" t="s">
        <v>11</v>
      </c>
      <c r="C6" s="25"/>
      <c r="D6" s="25"/>
      <c r="E6" s="26"/>
      <c r="F6" s="9"/>
      <c r="G6" s="4"/>
      <c r="H6" s="6">
        <v>1</v>
      </c>
    </row>
    <row r="7" spans="1:8" ht="30" customHeight="1" thickBot="1">
      <c r="A7" s="14">
        <v>3</v>
      </c>
      <c r="B7" s="27" t="s">
        <v>94</v>
      </c>
      <c r="C7" s="28"/>
      <c r="D7" s="28"/>
      <c r="E7" s="29"/>
      <c r="F7" s="9"/>
      <c r="G7" s="4"/>
      <c r="H7" s="6">
        <v>2</v>
      </c>
    </row>
    <row r="8" spans="1:8" ht="7.5" customHeight="1"/>
    <row r="9" spans="1:8" ht="15" customHeight="1">
      <c r="A9" s="18" t="s">
        <v>4</v>
      </c>
      <c r="B9" s="18"/>
      <c r="C9" s="18"/>
      <c r="D9" s="18"/>
      <c r="E9" s="18"/>
      <c r="G9" s="4"/>
      <c r="H9" s="5">
        <v>2</v>
      </c>
    </row>
    <row r="10" spans="1:8" ht="45.75" customHeight="1">
      <c r="A10" s="19" t="s">
        <v>21</v>
      </c>
      <c r="B10" s="19"/>
      <c r="C10" s="19"/>
      <c r="D10" s="19"/>
      <c r="E10" s="19"/>
      <c r="F10" s="19"/>
      <c r="G10" s="19"/>
    </row>
    <row r="11" spans="1:8">
      <c r="A11" s="15"/>
      <c r="B11" s="15"/>
      <c r="C11" s="15"/>
      <c r="D11" s="15"/>
      <c r="E11" s="15"/>
      <c r="F11" s="15"/>
      <c r="G11" s="15"/>
    </row>
    <row r="12" spans="1:8">
      <c r="A12" s="15"/>
      <c r="B12" s="15"/>
      <c r="C12" s="15"/>
      <c r="D12" s="15"/>
      <c r="E12" s="15"/>
      <c r="F12" s="15"/>
      <c r="G12" s="15"/>
    </row>
    <row r="13" spans="1:8">
      <c r="A13" s="15"/>
      <c r="B13" s="15"/>
      <c r="C13" s="15"/>
      <c r="D13" s="15"/>
      <c r="E13" s="15"/>
      <c r="F13" s="15"/>
      <c r="G13" s="15"/>
    </row>
    <row r="14" spans="1:8">
      <c r="A14" s="15"/>
      <c r="B14" s="15"/>
      <c r="C14" s="15"/>
      <c r="D14" s="15"/>
      <c r="E14" s="15"/>
      <c r="F14" s="15"/>
      <c r="G14" s="15"/>
    </row>
    <row r="15" spans="1:8">
      <c r="A15" s="15"/>
      <c r="B15" s="15"/>
      <c r="C15" s="15"/>
      <c r="D15" s="15"/>
      <c r="E15" s="15"/>
      <c r="F15" s="15"/>
      <c r="G15" s="15"/>
    </row>
    <row r="16" spans="1:8" ht="91.5" customHeight="1">
      <c r="A16" s="15"/>
      <c r="B16" s="124" t="s">
        <v>22</v>
      </c>
      <c r="C16" s="124"/>
      <c r="D16" s="124"/>
      <c r="E16" s="124"/>
      <c r="F16" s="124"/>
      <c r="G16" s="124"/>
    </row>
    <row r="17" spans="1:8" ht="7.5" customHeight="1"/>
    <row r="18" spans="1:8" ht="15" customHeight="1">
      <c r="A18" s="18" t="s">
        <v>5</v>
      </c>
      <c r="B18" s="18"/>
      <c r="C18" s="18"/>
      <c r="D18" s="18"/>
      <c r="E18" s="18"/>
      <c r="G18" s="4"/>
      <c r="H18" s="5">
        <v>1</v>
      </c>
    </row>
    <row r="19" spans="1:8" ht="51.75" customHeight="1">
      <c r="A19" s="19" t="s">
        <v>16</v>
      </c>
      <c r="B19" s="126"/>
      <c r="C19" s="126"/>
      <c r="D19" s="126"/>
      <c r="E19" s="126"/>
      <c r="F19" s="126"/>
      <c r="G19" s="126"/>
    </row>
    <row r="20" spans="1:8" s="36" customFormat="1" ht="15" customHeight="1">
      <c r="A20" s="17"/>
      <c r="B20" s="127" t="s">
        <v>17</v>
      </c>
      <c r="C20" s="128"/>
      <c r="D20" s="128"/>
      <c r="E20" s="128"/>
      <c r="F20" s="128"/>
      <c r="G20" s="128"/>
    </row>
    <row r="21" spans="1:8" s="36" customFormat="1">
      <c r="A21" s="13"/>
      <c r="B21" s="13" t="s">
        <v>18</v>
      </c>
      <c r="C21" s="13"/>
      <c r="D21" s="13"/>
      <c r="E21" s="13"/>
      <c r="F21" s="13"/>
      <c r="G21" s="13"/>
    </row>
    <row r="22" spans="1:8" s="36" customFormat="1">
      <c r="A22" s="13"/>
      <c r="B22" s="13" t="s">
        <v>19</v>
      </c>
      <c r="C22" s="13"/>
      <c r="D22" s="13"/>
      <c r="E22" s="13"/>
      <c r="F22" s="13"/>
      <c r="G22" s="13"/>
    </row>
    <row r="23" spans="1:8" ht="7.5" customHeight="1"/>
    <row r="24" spans="1:8">
      <c r="A24" s="34" t="s">
        <v>6</v>
      </c>
      <c r="B24" s="34"/>
      <c r="C24" s="34"/>
      <c r="D24" s="34"/>
      <c r="E24" s="34"/>
      <c r="G24" s="4"/>
      <c r="H24" s="5">
        <v>1</v>
      </c>
    </row>
    <row r="25" spans="1:8" ht="50.25" customHeight="1">
      <c r="A25" s="124" t="s">
        <v>13</v>
      </c>
      <c r="B25" s="124"/>
      <c r="C25" s="124"/>
      <c r="D25" s="124"/>
      <c r="E25" s="124"/>
      <c r="F25" s="124"/>
      <c r="G25" s="124"/>
    </row>
    <row r="26" spans="1:8">
      <c r="A26" s="16"/>
      <c r="B26" s="16"/>
      <c r="C26" s="16"/>
      <c r="D26" s="16"/>
      <c r="E26" s="16"/>
      <c r="F26" s="16"/>
      <c r="G26" s="16"/>
    </row>
    <row r="27" spans="1:8">
      <c r="A27" s="16"/>
      <c r="B27" s="16"/>
      <c r="C27" s="16"/>
      <c r="D27" s="16"/>
      <c r="E27" s="16"/>
      <c r="F27" s="16"/>
      <c r="G27" s="16"/>
    </row>
    <row r="28" spans="1:8">
      <c r="A28" s="16"/>
      <c r="B28" s="16"/>
      <c r="C28" s="16"/>
      <c r="D28" s="16"/>
      <c r="E28" s="16"/>
      <c r="F28" s="16"/>
      <c r="G28" s="16"/>
    </row>
    <row r="29" spans="1:8">
      <c r="A29" s="16"/>
      <c r="B29" s="16"/>
      <c r="C29" s="16"/>
      <c r="D29" s="16"/>
      <c r="E29" s="16"/>
      <c r="F29" s="16"/>
      <c r="G29" s="16"/>
    </row>
    <row r="30" spans="1:8">
      <c r="A30" s="16"/>
      <c r="B30" s="16"/>
      <c r="C30" s="16"/>
      <c r="D30" s="16"/>
      <c r="E30" s="16"/>
      <c r="F30" s="16"/>
      <c r="G30" s="16"/>
    </row>
    <row r="31" spans="1:8">
      <c r="A31" s="16"/>
      <c r="B31" s="16"/>
      <c r="C31" s="16"/>
      <c r="D31" s="16"/>
      <c r="E31" s="16"/>
      <c r="F31" s="16"/>
      <c r="G31" s="16"/>
    </row>
    <row r="32" spans="1:8" s="86" customFormat="1" ht="33.75" customHeight="1">
      <c r="B32" s="125" t="s">
        <v>14</v>
      </c>
      <c r="C32" s="125"/>
      <c r="D32" s="125"/>
      <c r="E32" s="125"/>
      <c r="F32" s="125"/>
      <c r="G32" s="125"/>
    </row>
    <row r="33" spans="1:8" s="86" customFormat="1" ht="18.75" customHeight="1">
      <c r="B33" s="125" t="s">
        <v>15</v>
      </c>
      <c r="C33" s="125"/>
      <c r="D33" s="125"/>
      <c r="E33" s="125"/>
      <c r="F33" s="125"/>
      <c r="G33" s="125"/>
    </row>
    <row r="34" spans="1:8" ht="7.5" customHeight="1"/>
    <row r="35" spans="1:8">
      <c r="A35" s="34" t="s">
        <v>7</v>
      </c>
      <c r="B35" s="34"/>
      <c r="C35" s="34"/>
      <c r="D35" s="34"/>
      <c r="E35" s="34"/>
      <c r="G35" s="4"/>
      <c r="H35" s="5">
        <v>1</v>
      </c>
    </row>
    <row r="36" spans="1:8" ht="77.25" customHeight="1">
      <c r="A36" s="124" t="s">
        <v>20</v>
      </c>
      <c r="B36" s="124"/>
      <c r="C36" s="124"/>
      <c r="D36" s="124"/>
      <c r="E36" s="124"/>
      <c r="F36" s="124"/>
      <c r="G36" s="124"/>
    </row>
  </sheetData>
  <mergeCells count="17">
    <mergeCell ref="B32:G32"/>
    <mergeCell ref="A35:E35"/>
    <mergeCell ref="A19:G19"/>
    <mergeCell ref="A24:E24"/>
    <mergeCell ref="A25:G25"/>
    <mergeCell ref="B33:G33"/>
    <mergeCell ref="A36:G36"/>
    <mergeCell ref="A9:E9"/>
    <mergeCell ref="A10:G10"/>
    <mergeCell ref="A18:E18"/>
    <mergeCell ref="G1:H1"/>
    <mergeCell ref="B5:E5"/>
    <mergeCell ref="B6:E6"/>
    <mergeCell ref="B7:E7"/>
    <mergeCell ref="A3:E3"/>
    <mergeCell ref="A1:E1"/>
    <mergeCell ref="B16:G16"/>
  </mergeCells>
  <pageMargins left="0.70866141732283472" right="0.19685039370078741" top="0.74803149606299213"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AW57"/>
  <sheetViews>
    <sheetView zoomScale="70" zoomScaleNormal="70" workbookViewId="0">
      <selection sqref="A1:P1"/>
    </sheetView>
  </sheetViews>
  <sheetFormatPr baseColWidth="10" defaultRowHeight="18.75"/>
  <cols>
    <col min="1" max="1" width="4" style="37" bestFit="1" customWidth="1"/>
    <col min="2" max="2" width="2.85546875" style="37" bestFit="1" customWidth="1"/>
    <col min="3" max="10" width="8.7109375" style="37" customWidth="1"/>
    <col min="11" max="13" width="9.7109375" style="37" customWidth="1"/>
    <col min="14" max="24" width="8.7109375" style="37" customWidth="1"/>
    <col min="25" max="25" width="6.7109375" style="37" customWidth="1"/>
    <col min="26" max="59" width="8.7109375" style="37" customWidth="1"/>
    <col min="60" max="256" width="11.42578125" style="37"/>
    <col min="257" max="257" width="4" style="37" bestFit="1" customWidth="1"/>
    <col min="258" max="258" width="2.85546875" style="37" bestFit="1" customWidth="1"/>
    <col min="259" max="266" width="8.7109375" style="37" customWidth="1"/>
    <col min="267" max="269" width="9.7109375" style="37" customWidth="1"/>
    <col min="270" max="280" width="8.7109375" style="37" customWidth="1"/>
    <col min="281" max="281" width="6.7109375" style="37" customWidth="1"/>
    <col min="282" max="315" width="8.7109375" style="37" customWidth="1"/>
    <col min="316" max="512" width="11.42578125" style="37"/>
    <col min="513" max="513" width="4" style="37" bestFit="1" customWidth="1"/>
    <col min="514" max="514" width="2.85546875" style="37" bestFit="1" customWidth="1"/>
    <col min="515" max="522" width="8.7109375" style="37" customWidth="1"/>
    <col min="523" max="525" width="9.7109375" style="37" customWidth="1"/>
    <col min="526" max="536" width="8.7109375" style="37" customWidth="1"/>
    <col min="537" max="537" width="6.7109375" style="37" customWidth="1"/>
    <col min="538" max="571" width="8.7109375" style="37" customWidth="1"/>
    <col min="572" max="768" width="11.42578125" style="37"/>
    <col min="769" max="769" width="4" style="37" bestFit="1" customWidth="1"/>
    <col min="770" max="770" width="2.85546875" style="37" bestFit="1" customWidth="1"/>
    <col min="771" max="778" width="8.7109375" style="37" customWidth="1"/>
    <col min="779" max="781" width="9.7109375" style="37" customWidth="1"/>
    <col min="782" max="792" width="8.7109375" style="37" customWidth="1"/>
    <col min="793" max="793" width="6.7109375" style="37" customWidth="1"/>
    <col min="794" max="827" width="8.7109375" style="37" customWidth="1"/>
    <col min="828" max="1024" width="11.42578125" style="37"/>
    <col min="1025" max="1025" width="4" style="37" bestFit="1" customWidth="1"/>
    <col min="1026" max="1026" width="2.85546875" style="37" bestFit="1" customWidth="1"/>
    <col min="1027" max="1034" width="8.7109375" style="37" customWidth="1"/>
    <col min="1035" max="1037" width="9.7109375" style="37" customWidth="1"/>
    <col min="1038" max="1048" width="8.7109375" style="37" customWidth="1"/>
    <col min="1049" max="1049" width="6.7109375" style="37" customWidth="1"/>
    <col min="1050" max="1083" width="8.7109375" style="37" customWidth="1"/>
    <col min="1084" max="1280" width="11.42578125" style="37"/>
    <col min="1281" max="1281" width="4" style="37" bestFit="1" customWidth="1"/>
    <col min="1282" max="1282" width="2.85546875" style="37" bestFit="1" customWidth="1"/>
    <col min="1283" max="1290" width="8.7109375" style="37" customWidth="1"/>
    <col min="1291" max="1293" width="9.7109375" style="37" customWidth="1"/>
    <col min="1294" max="1304" width="8.7109375" style="37" customWidth="1"/>
    <col min="1305" max="1305" width="6.7109375" style="37" customWidth="1"/>
    <col min="1306" max="1339" width="8.7109375" style="37" customWidth="1"/>
    <col min="1340" max="1536" width="11.42578125" style="37"/>
    <col min="1537" max="1537" width="4" style="37" bestFit="1" customWidth="1"/>
    <col min="1538" max="1538" width="2.85546875" style="37" bestFit="1" customWidth="1"/>
    <col min="1539" max="1546" width="8.7109375" style="37" customWidth="1"/>
    <col min="1547" max="1549" width="9.7109375" style="37" customWidth="1"/>
    <col min="1550" max="1560" width="8.7109375" style="37" customWidth="1"/>
    <col min="1561" max="1561" width="6.7109375" style="37" customWidth="1"/>
    <col min="1562" max="1595" width="8.7109375" style="37" customWidth="1"/>
    <col min="1596" max="1792" width="11.42578125" style="37"/>
    <col min="1793" max="1793" width="4" style="37" bestFit="1" customWidth="1"/>
    <col min="1794" max="1794" width="2.85546875" style="37" bestFit="1" customWidth="1"/>
    <col min="1795" max="1802" width="8.7109375" style="37" customWidth="1"/>
    <col min="1803" max="1805" width="9.7109375" style="37" customWidth="1"/>
    <col min="1806" max="1816" width="8.7109375" style="37" customWidth="1"/>
    <col min="1817" max="1817" width="6.7109375" style="37" customWidth="1"/>
    <col min="1818" max="1851" width="8.7109375" style="37" customWidth="1"/>
    <col min="1852" max="2048" width="11.42578125" style="37"/>
    <col min="2049" max="2049" width="4" style="37" bestFit="1" customWidth="1"/>
    <col min="2050" max="2050" width="2.85546875" style="37" bestFit="1" customWidth="1"/>
    <col min="2051" max="2058" width="8.7109375" style="37" customWidth="1"/>
    <col min="2059" max="2061" width="9.7109375" style="37" customWidth="1"/>
    <col min="2062" max="2072" width="8.7109375" style="37" customWidth="1"/>
    <col min="2073" max="2073" width="6.7109375" style="37" customWidth="1"/>
    <col min="2074" max="2107" width="8.7109375" style="37" customWidth="1"/>
    <col min="2108" max="2304" width="11.42578125" style="37"/>
    <col min="2305" max="2305" width="4" style="37" bestFit="1" customWidth="1"/>
    <col min="2306" max="2306" width="2.85546875" style="37" bestFit="1" customWidth="1"/>
    <col min="2307" max="2314" width="8.7109375" style="37" customWidth="1"/>
    <col min="2315" max="2317" width="9.7109375" style="37" customWidth="1"/>
    <col min="2318" max="2328" width="8.7109375" style="37" customWidth="1"/>
    <col min="2329" max="2329" width="6.7109375" style="37" customWidth="1"/>
    <col min="2330" max="2363" width="8.7109375" style="37" customWidth="1"/>
    <col min="2364" max="2560" width="11.42578125" style="37"/>
    <col min="2561" max="2561" width="4" style="37" bestFit="1" customWidth="1"/>
    <col min="2562" max="2562" width="2.85546875" style="37" bestFit="1" customWidth="1"/>
    <col min="2563" max="2570" width="8.7109375" style="37" customWidth="1"/>
    <col min="2571" max="2573" width="9.7109375" style="37" customWidth="1"/>
    <col min="2574" max="2584" width="8.7109375" style="37" customWidth="1"/>
    <col min="2585" max="2585" width="6.7109375" style="37" customWidth="1"/>
    <col min="2586" max="2619" width="8.7109375" style="37" customWidth="1"/>
    <col min="2620" max="2816" width="11.42578125" style="37"/>
    <col min="2817" max="2817" width="4" style="37" bestFit="1" customWidth="1"/>
    <col min="2818" max="2818" width="2.85546875" style="37" bestFit="1" customWidth="1"/>
    <col min="2819" max="2826" width="8.7109375" style="37" customWidth="1"/>
    <col min="2827" max="2829" width="9.7109375" style="37" customWidth="1"/>
    <col min="2830" max="2840" width="8.7109375" style="37" customWidth="1"/>
    <col min="2841" max="2841" width="6.7109375" style="37" customWidth="1"/>
    <col min="2842" max="2875" width="8.7109375" style="37" customWidth="1"/>
    <col min="2876" max="3072" width="11.42578125" style="37"/>
    <col min="3073" max="3073" width="4" style="37" bestFit="1" customWidth="1"/>
    <col min="3074" max="3074" width="2.85546875" style="37" bestFit="1" customWidth="1"/>
    <col min="3075" max="3082" width="8.7109375" style="37" customWidth="1"/>
    <col min="3083" max="3085" width="9.7109375" style="37" customWidth="1"/>
    <col min="3086" max="3096" width="8.7109375" style="37" customWidth="1"/>
    <col min="3097" max="3097" width="6.7109375" style="37" customWidth="1"/>
    <col min="3098" max="3131" width="8.7109375" style="37" customWidth="1"/>
    <col min="3132" max="3328" width="11.42578125" style="37"/>
    <col min="3329" max="3329" width="4" style="37" bestFit="1" customWidth="1"/>
    <col min="3330" max="3330" width="2.85546875" style="37" bestFit="1" customWidth="1"/>
    <col min="3331" max="3338" width="8.7109375" style="37" customWidth="1"/>
    <col min="3339" max="3341" width="9.7109375" style="37" customWidth="1"/>
    <col min="3342" max="3352" width="8.7109375" style="37" customWidth="1"/>
    <col min="3353" max="3353" width="6.7109375" style="37" customWidth="1"/>
    <col min="3354" max="3387" width="8.7109375" style="37" customWidth="1"/>
    <col min="3388" max="3584" width="11.42578125" style="37"/>
    <col min="3585" max="3585" width="4" style="37" bestFit="1" customWidth="1"/>
    <col min="3586" max="3586" width="2.85546875" style="37" bestFit="1" customWidth="1"/>
    <col min="3587" max="3594" width="8.7109375" style="37" customWidth="1"/>
    <col min="3595" max="3597" width="9.7109375" style="37" customWidth="1"/>
    <col min="3598" max="3608" width="8.7109375" style="37" customWidth="1"/>
    <col min="3609" max="3609" width="6.7109375" style="37" customWidth="1"/>
    <col min="3610" max="3643" width="8.7109375" style="37" customWidth="1"/>
    <col min="3644" max="3840" width="11.42578125" style="37"/>
    <col min="3841" max="3841" width="4" style="37" bestFit="1" customWidth="1"/>
    <col min="3842" max="3842" width="2.85546875" style="37" bestFit="1" customWidth="1"/>
    <col min="3843" max="3850" width="8.7109375" style="37" customWidth="1"/>
    <col min="3851" max="3853" width="9.7109375" style="37" customWidth="1"/>
    <col min="3854" max="3864" width="8.7109375" style="37" customWidth="1"/>
    <col min="3865" max="3865" width="6.7109375" style="37" customWidth="1"/>
    <col min="3866" max="3899" width="8.7109375" style="37" customWidth="1"/>
    <col min="3900" max="4096" width="11.42578125" style="37"/>
    <col min="4097" max="4097" width="4" style="37" bestFit="1" customWidth="1"/>
    <col min="4098" max="4098" width="2.85546875" style="37" bestFit="1" customWidth="1"/>
    <col min="4099" max="4106" width="8.7109375" style="37" customWidth="1"/>
    <col min="4107" max="4109" width="9.7109375" style="37" customWidth="1"/>
    <col min="4110" max="4120" width="8.7109375" style="37" customWidth="1"/>
    <col min="4121" max="4121" width="6.7109375" style="37" customWidth="1"/>
    <col min="4122" max="4155" width="8.7109375" style="37" customWidth="1"/>
    <col min="4156" max="4352" width="11.42578125" style="37"/>
    <col min="4353" max="4353" width="4" style="37" bestFit="1" customWidth="1"/>
    <col min="4354" max="4354" width="2.85546875" style="37" bestFit="1" customWidth="1"/>
    <col min="4355" max="4362" width="8.7109375" style="37" customWidth="1"/>
    <col min="4363" max="4365" width="9.7109375" style="37" customWidth="1"/>
    <col min="4366" max="4376" width="8.7109375" style="37" customWidth="1"/>
    <col min="4377" max="4377" width="6.7109375" style="37" customWidth="1"/>
    <col min="4378" max="4411" width="8.7109375" style="37" customWidth="1"/>
    <col min="4412" max="4608" width="11.42578125" style="37"/>
    <col min="4609" max="4609" width="4" style="37" bestFit="1" customWidth="1"/>
    <col min="4610" max="4610" width="2.85546875" style="37" bestFit="1" customWidth="1"/>
    <col min="4611" max="4618" width="8.7109375" style="37" customWidth="1"/>
    <col min="4619" max="4621" width="9.7109375" style="37" customWidth="1"/>
    <col min="4622" max="4632" width="8.7109375" style="37" customWidth="1"/>
    <col min="4633" max="4633" width="6.7109375" style="37" customWidth="1"/>
    <col min="4634" max="4667" width="8.7109375" style="37" customWidth="1"/>
    <col min="4668" max="4864" width="11.42578125" style="37"/>
    <col min="4865" max="4865" width="4" style="37" bestFit="1" customWidth="1"/>
    <col min="4866" max="4866" width="2.85546875" style="37" bestFit="1" customWidth="1"/>
    <col min="4867" max="4874" width="8.7109375" style="37" customWidth="1"/>
    <col min="4875" max="4877" width="9.7109375" style="37" customWidth="1"/>
    <col min="4878" max="4888" width="8.7109375" style="37" customWidth="1"/>
    <col min="4889" max="4889" width="6.7109375" style="37" customWidth="1"/>
    <col min="4890" max="4923" width="8.7109375" style="37" customWidth="1"/>
    <col min="4924" max="5120" width="11.42578125" style="37"/>
    <col min="5121" max="5121" width="4" style="37" bestFit="1" customWidth="1"/>
    <col min="5122" max="5122" width="2.85546875" style="37" bestFit="1" customWidth="1"/>
    <col min="5123" max="5130" width="8.7109375" style="37" customWidth="1"/>
    <col min="5131" max="5133" width="9.7109375" style="37" customWidth="1"/>
    <col min="5134" max="5144" width="8.7109375" style="37" customWidth="1"/>
    <col min="5145" max="5145" width="6.7109375" style="37" customWidth="1"/>
    <col min="5146" max="5179" width="8.7109375" style="37" customWidth="1"/>
    <col min="5180" max="5376" width="11.42578125" style="37"/>
    <col min="5377" max="5377" width="4" style="37" bestFit="1" customWidth="1"/>
    <col min="5378" max="5378" width="2.85546875" style="37" bestFit="1" customWidth="1"/>
    <col min="5379" max="5386" width="8.7109375" style="37" customWidth="1"/>
    <col min="5387" max="5389" width="9.7109375" style="37" customWidth="1"/>
    <col min="5390" max="5400" width="8.7109375" style="37" customWidth="1"/>
    <col min="5401" max="5401" width="6.7109375" style="37" customWidth="1"/>
    <col min="5402" max="5435" width="8.7109375" style="37" customWidth="1"/>
    <col min="5436" max="5632" width="11.42578125" style="37"/>
    <col min="5633" max="5633" width="4" style="37" bestFit="1" customWidth="1"/>
    <col min="5634" max="5634" width="2.85546875" style="37" bestFit="1" customWidth="1"/>
    <col min="5635" max="5642" width="8.7109375" style="37" customWidth="1"/>
    <col min="5643" max="5645" width="9.7109375" style="37" customWidth="1"/>
    <col min="5646" max="5656" width="8.7109375" style="37" customWidth="1"/>
    <col min="5657" max="5657" width="6.7109375" style="37" customWidth="1"/>
    <col min="5658" max="5691" width="8.7109375" style="37" customWidth="1"/>
    <col min="5692" max="5888" width="11.42578125" style="37"/>
    <col min="5889" max="5889" width="4" style="37" bestFit="1" customWidth="1"/>
    <col min="5890" max="5890" width="2.85546875" style="37" bestFit="1" customWidth="1"/>
    <col min="5891" max="5898" width="8.7109375" style="37" customWidth="1"/>
    <col min="5899" max="5901" width="9.7109375" style="37" customWidth="1"/>
    <col min="5902" max="5912" width="8.7109375" style="37" customWidth="1"/>
    <col min="5913" max="5913" width="6.7109375" style="37" customWidth="1"/>
    <col min="5914" max="5947" width="8.7109375" style="37" customWidth="1"/>
    <col min="5948" max="6144" width="11.42578125" style="37"/>
    <col min="6145" max="6145" width="4" style="37" bestFit="1" customWidth="1"/>
    <col min="6146" max="6146" width="2.85546875" style="37" bestFit="1" customWidth="1"/>
    <col min="6147" max="6154" width="8.7109375" style="37" customWidth="1"/>
    <col min="6155" max="6157" width="9.7109375" style="37" customWidth="1"/>
    <col min="6158" max="6168" width="8.7109375" style="37" customWidth="1"/>
    <col min="6169" max="6169" width="6.7109375" style="37" customWidth="1"/>
    <col min="6170" max="6203" width="8.7109375" style="37" customWidth="1"/>
    <col min="6204" max="6400" width="11.42578125" style="37"/>
    <col min="6401" max="6401" width="4" style="37" bestFit="1" customWidth="1"/>
    <col min="6402" max="6402" width="2.85546875" style="37" bestFit="1" customWidth="1"/>
    <col min="6403" max="6410" width="8.7109375" style="37" customWidth="1"/>
    <col min="6411" max="6413" width="9.7109375" style="37" customWidth="1"/>
    <col min="6414" max="6424" width="8.7109375" style="37" customWidth="1"/>
    <col min="6425" max="6425" width="6.7109375" style="37" customWidth="1"/>
    <col min="6426" max="6459" width="8.7109375" style="37" customWidth="1"/>
    <col min="6460" max="6656" width="11.42578125" style="37"/>
    <col min="6657" max="6657" width="4" style="37" bestFit="1" customWidth="1"/>
    <col min="6658" max="6658" width="2.85546875" style="37" bestFit="1" customWidth="1"/>
    <col min="6659" max="6666" width="8.7109375" style="37" customWidth="1"/>
    <col min="6667" max="6669" width="9.7109375" style="37" customWidth="1"/>
    <col min="6670" max="6680" width="8.7109375" style="37" customWidth="1"/>
    <col min="6681" max="6681" width="6.7109375" style="37" customWidth="1"/>
    <col min="6682" max="6715" width="8.7109375" style="37" customWidth="1"/>
    <col min="6716" max="6912" width="11.42578125" style="37"/>
    <col min="6913" max="6913" width="4" style="37" bestFit="1" customWidth="1"/>
    <col min="6914" max="6914" width="2.85546875" style="37" bestFit="1" customWidth="1"/>
    <col min="6915" max="6922" width="8.7109375" style="37" customWidth="1"/>
    <col min="6923" max="6925" width="9.7109375" style="37" customWidth="1"/>
    <col min="6926" max="6936" width="8.7109375" style="37" customWidth="1"/>
    <col min="6937" max="6937" width="6.7109375" style="37" customWidth="1"/>
    <col min="6938" max="6971" width="8.7109375" style="37" customWidth="1"/>
    <col min="6972" max="7168" width="11.42578125" style="37"/>
    <col min="7169" max="7169" width="4" style="37" bestFit="1" customWidth="1"/>
    <col min="7170" max="7170" width="2.85546875" style="37" bestFit="1" customWidth="1"/>
    <col min="7171" max="7178" width="8.7109375" style="37" customWidth="1"/>
    <col min="7179" max="7181" width="9.7109375" style="37" customWidth="1"/>
    <col min="7182" max="7192" width="8.7109375" style="37" customWidth="1"/>
    <col min="7193" max="7193" width="6.7109375" style="37" customWidth="1"/>
    <col min="7194" max="7227" width="8.7109375" style="37" customWidth="1"/>
    <col min="7228" max="7424" width="11.42578125" style="37"/>
    <col min="7425" max="7425" width="4" style="37" bestFit="1" customWidth="1"/>
    <col min="7426" max="7426" width="2.85546875" style="37" bestFit="1" customWidth="1"/>
    <col min="7427" max="7434" width="8.7109375" style="37" customWidth="1"/>
    <col min="7435" max="7437" width="9.7109375" style="37" customWidth="1"/>
    <col min="7438" max="7448" width="8.7109375" style="37" customWidth="1"/>
    <col min="7449" max="7449" width="6.7109375" style="37" customWidth="1"/>
    <col min="7450" max="7483" width="8.7109375" style="37" customWidth="1"/>
    <col min="7484" max="7680" width="11.42578125" style="37"/>
    <col min="7681" max="7681" width="4" style="37" bestFit="1" customWidth="1"/>
    <col min="7682" max="7682" width="2.85546875" style="37" bestFit="1" customWidth="1"/>
    <col min="7683" max="7690" width="8.7109375" style="37" customWidth="1"/>
    <col min="7691" max="7693" width="9.7109375" style="37" customWidth="1"/>
    <col min="7694" max="7704" width="8.7109375" style="37" customWidth="1"/>
    <col min="7705" max="7705" width="6.7109375" style="37" customWidth="1"/>
    <col min="7706" max="7739" width="8.7109375" style="37" customWidth="1"/>
    <col min="7740" max="7936" width="11.42578125" style="37"/>
    <col min="7937" max="7937" width="4" style="37" bestFit="1" customWidth="1"/>
    <col min="7938" max="7938" width="2.85546875" style="37" bestFit="1" customWidth="1"/>
    <col min="7939" max="7946" width="8.7109375" style="37" customWidth="1"/>
    <col min="7947" max="7949" width="9.7109375" style="37" customWidth="1"/>
    <col min="7950" max="7960" width="8.7109375" style="37" customWidth="1"/>
    <col min="7961" max="7961" width="6.7109375" style="37" customWidth="1"/>
    <col min="7962" max="7995" width="8.7109375" style="37" customWidth="1"/>
    <col min="7996" max="8192" width="11.42578125" style="37"/>
    <col min="8193" max="8193" width="4" style="37" bestFit="1" customWidth="1"/>
    <col min="8194" max="8194" width="2.85546875" style="37" bestFit="1" customWidth="1"/>
    <col min="8195" max="8202" width="8.7109375" style="37" customWidth="1"/>
    <col min="8203" max="8205" width="9.7109375" style="37" customWidth="1"/>
    <col min="8206" max="8216" width="8.7109375" style="37" customWidth="1"/>
    <col min="8217" max="8217" width="6.7109375" style="37" customWidth="1"/>
    <col min="8218" max="8251" width="8.7109375" style="37" customWidth="1"/>
    <col min="8252" max="8448" width="11.42578125" style="37"/>
    <col min="8449" max="8449" width="4" style="37" bestFit="1" customWidth="1"/>
    <col min="8450" max="8450" width="2.85546875" style="37" bestFit="1" customWidth="1"/>
    <col min="8451" max="8458" width="8.7109375" style="37" customWidth="1"/>
    <col min="8459" max="8461" width="9.7109375" style="37" customWidth="1"/>
    <col min="8462" max="8472" width="8.7109375" style="37" customWidth="1"/>
    <col min="8473" max="8473" width="6.7109375" style="37" customWidth="1"/>
    <col min="8474" max="8507" width="8.7109375" style="37" customWidth="1"/>
    <col min="8508" max="8704" width="11.42578125" style="37"/>
    <col min="8705" max="8705" width="4" style="37" bestFit="1" customWidth="1"/>
    <col min="8706" max="8706" width="2.85546875" style="37" bestFit="1" customWidth="1"/>
    <col min="8707" max="8714" width="8.7109375" style="37" customWidth="1"/>
    <col min="8715" max="8717" width="9.7109375" style="37" customWidth="1"/>
    <col min="8718" max="8728" width="8.7109375" style="37" customWidth="1"/>
    <col min="8729" max="8729" width="6.7109375" style="37" customWidth="1"/>
    <col min="8730" max="8763" width="8.7109375" style="37" customWidth="1"/>
    <col min="8764" max="8960" width="11.42578125" style="37"/>
    <col min="8961" max="8961" width="4" style="37" bestFit="1" customWidth="1"/>
    <col min="8962" max="8962" width="2.85546875" style="37" bestFit="1" customWidth="1"/>
    <col min="8963" max="8970" width="8.7109375" style="37" customWidth="1"/>
    <col min="8971" max="8973" width="9.7109375" style="37" customWidth="1"/>
    <col min="8974" max="8984" width="8.7109375" style="37" customWidth="1"/>
    <col min="8985" max="8985" width="6.7109375" style="37" customWidth="1"/>
    <col min="8986" max="9019" width="8.7109375" style="37" customWidth="1"/>
    <col min="9020" max="9216" width="11.42578125" style="37"/>
    <col min="9217" max="9217" width="4" style="37" bestFit="1" customWidth="1"/>
    <col min="9218" max="9218" width="2.85546875" style="37" bestFit="1" customWidth="1"/>
    <col min="9219" max="9226" width="8.7109375" style="37" customWidth="1"/>
    <col min="9227" max="9229" width="9.7109375" style="37" customWidth="1"/>
    <col min="9230" max="9240" width="8.7109375" style="37" customWidth="1"/>
    <col min="9241" max="9241" width="6.7109375" style="37" customWidth="1"/>
    <col min="9242" max="9275" width="8.7109375" style="37" customWidth="1"/>
    <col min="9276" max="9472" width="11.42578125" style="37"/>
    <col min="9473" max="9473" width="4" style="37" bestFit="1" customWidth="1"/>
    <col min="9474" max="9474" width="2.85546875" style="37" bestFit="1" customWidth="1"/>
    <col min="9475" max="9482" width="8.7109375" style="37" customWidth="1"/>
    <col min="9483" max="9485" width="9.7109375" style="37" customWidth="1"/>
    <col min="9486" max="9496" width="8.7109375" style="37" customWidth="1"/>
    <col min="9497" max="9497" width="6.7109375" style="37" customWidth="1"/>
    <col min="9498" max="9531" width="8.7109375" style="37" customWidth="1"/>
    <col min="9532" max="9728" width="11.42578125" style="37"/>
    <col min="9729" max="9729" width="4" style="37" bestFit="1" customWidth="1"/>
    <col min="9730" max="9730" width="2.85546875" style="37" bestFit="1" customWidth="1"/>
    <col min="9731" max="9738" width="8.7109375" style="37" customWidth="1"/>
    <col min="9739" max="9741" width="9.7109375" style="37" customWidth="1"/>
    <col min="9742" max="9752" width="8.7109375" style="37" customWidth="1"/>
    <col min="9753" max="9753" width="6.7109375" style="37" customWidth="1"/>
    <col min="9754" max="9787" width="8.7109375" style="37" customWidth="1"/>
    <col min="9788" max="9984" width="11.42578125" style="37"/>
    <col min="9985" max="9985" width="4" style="37" bestFit="1" customWidth="1"/>
    <col min="9986" max="9986" width="2.85546875" style="37" bestFit="1" customWidth="1"/>
    <col min="9987" max="9994" width="8.7109375" style="37" customWidth="1"/>
    <col min="9995" max="9997" width="9.7109375" style="37" customWidth="1"/>
    <col min="9998" max="10008" width="8.7109375" style="37" customWidth="1"/>
    <col min="10009" max="10009" width="6.7109375" style="37" customWidth="1"/>
    <col min="10010" max="10043" width="8.7109375" style="37" customWidth="1"/>
    <col min="10044" max="10240" width="11.42578125" style="37"/>
    <col min="10241" max="10241" width="4" style="37" bestFit="1" customWidth="1"/>
    <col min="10242" max="10242" width="2.85546875" style="37" bestFit="1" customWidth="1"/>
    <col min="10243" max="10250" width="8.7109375" style="37" customWidth="1"/>
    <col min="10251" max="10253" width="9.7109375" style="37" customWidth="1"/>
    <col min="10254" max="10264" width="8.7109375" style="37" customWidth="1"/>
    <col min="10265" max="10265" width="6.7109375" style="37" customWidth="1"/>
    <col min="10266" max="10299" width="8.7109375" style="37" customWidth="1"/>
    <col min="10300" max="10496" width="11.42578125" style="37"/>
    <col min="10497" max="10497" width="4" style="37" bestFit="1" customWidth="1"/>
    <col min="10498" max="10498" width="2.85546875" style="37" bestFit="1" customWidth="1"/>
    <col min="10499" max="10506" width="8.7109375" style="37" customWidth="1"/>
    <col min="10507" max="10509" width="9.7109375" style="37" customWidth="1"/>
    <col min="10510" max="10520" width="8.7109375" style="37" customWidth="1"/>
    <col min="10521" max="10521" width="6.7109375" style="37" customWidth="1"/>
    <col min="10522" max="10555" width="8.7109375" style="37" customWidth="1"/>
    <col min="10556" max="10752" width="11.42578125" style="37"/>
    <col min="10753" max="10753" width="4" style="37" bestFit="1" customWidth="1"/>
    <col min="10754" max="10754" width="2.85546875" style="37" bestFit="1" customWidth="1"/>
    <col min="10755" max="10762" width="8.7109375" style="37" customWidth="1"/>
    <col min="10763" max="10765" width="9.7109375" style="37" customWidth="1"/>
    <col min="10766" max="10776" width="8.7109375" style="37" customWidth="1"/>
    <col min="10777" max="10777" width="6.7109375" style="37" customWidth="1"/>
    <col min="10778" max="10811" width="8.7109375" style="37" customWidth="1"/>
    <col min="10812" max="11008" width="11.42578125" style="37"/>
    <col min="11009" max="11009" width="4" style="37" bestFit="1" customWidth="1"/>
    <col min="11010" max="11010" width="2.85546875" style="37" bestFit="1" customWidth="1"/>
    <col min="11011" max="11018" width="8.7109375" style="37" customWidth="1"/>
    <col min="11019" max="11021" width="9.7109375" style="37" customWidth="1"/>
    <col min="11022" max="11032" width="8.7109375" style="37" customWidth="1"/>
    <col min="11033" max="11033" width="6.7109375" style="37" customWidth="1"/>
    <col min="11034" max="11067" width="8.7109375" style="37" customWidth="1"/>
    <col min="11068" max="11264" width="11.42578125" style="37"/>
    <col min="11265" max="11265" width="4" style="37" bestFit="1" customWidth="1"/>
    <col min="11266" max="11266" width="2.85546875" style="37" bestFit="1" customWidth="1"/>
    <col min="11267" max="11274" width="8.7109375" style="37" customWidth="1"/>
    <col min="11275" max="11277" width="9.7109375" style="37" customWidth="1"/>
    <col min="11278" max="11288" width="8.7109375" style="37" customWidth="1"/>
    <col min="11289" max="11289" width="6.7109375" style="37" customWidth="1"/>
    <col min="11290" max="11323" width="8.7109375" style="37" customWidth="1"/>
    <col min="11324" max="11520" width="11.42578125" style="37"/>
    <col min="11521" max="11521" width="4" style="37" bestFit="1" customWidth="1"/>
    <col min="11522" max="11522" width="2.85546875" style="37" bestFit="1" customWidth="1"/>
    <col min="11523" max="11530" width="8.7109375" style="37" customWidth="1"/>
    <col min="11531" max="11533" width="9.7109375" style="37" customWidth="1"/>
    <col min="11534" max="11544" width="8.7109375" style="37" customWidth="1"/>
    <col min="11545" max="11545" width="6.7109375" style="37" customWidth="1"/>
    <col min="11546" max="11579" width="8.7109375" style="37" customWidth="1"/>
    <col min="11580" max="11776" width="11.42578125" style="37"/>
    <col min="11777" max="11777" width="4" style="37" bestFit="1" customWidth="1"/>
    <col min="11778" max="11778" width="2.85546875" style="37" bestFit="1" customWidth="1"/>
    <col min="11779" max="11786" width="8.7109375" style="37" customWidth="1"/>
    <col min="11787" max="11789" width="9.7109375" style="37" customWidth="1"/>
    <col min="11790" max="11800" width="8.7109375" style="37" customWidth="1"/>
    <col min="11801" max="11801" width="6.7109375" style="37" customWidth="1"/>
    <col min="11802" max="11835" width="8.7109375" style="37" customWidth="1"/>
    <col min="11836" max="12032" width="11.42578125" style="37"/>
    <col min="12033" max="12033" width="4" style="37" bestFit="1" customWidth="1"/>
    <col min="12034" max="12034" width="2.85546875" style="37" bestFit="1" customWidth="1"/>
    <col min="12035" max="12042" width="8.7109375" style="37" customWidth="1"/>
    <col min="12043" max="12045" width="9.7109375" style="37" customWidth="1"/>
    <col min="12046" max="12056" width="8.7109375" style="37" customWidth="1"/>
    <col min="12057" max="12057" width="6.7109375" style="37" customWidth="1"/>
    <col min="12058" max="12091" width="8.7109375" style="37" customWidth="1"/>
    <col min="12092" max="12288" width="11.42578125" style="37"/>
    <col min="12289" max="12289" width="4" style="37" bestFit="1" customWidth="1"/>
    <col min="12290" max="12290" width="2.85546875" style="37" bestFit="1" customWidth="1"/>
    <col min="12291" max="12298" width="8.7109375" style="37" customWidth="1"/>
    <col min="12299" max="12301" width="9.7109375" style="37" customWidth="1"/>
    <col min="12302" max="12312" width="8.7109375" style="37" customWidth="1"/>
    <col min="12313" max="12313" width="6.7109375" style="37" customWidth="1"/>
    <col min="12314" max="12347" width="8.7109375" style="37" customWidth="1"/>
    <col min="12348" max="12544" width="11.42578125" style="37"/>
    <col min="12545" max="12545" width="4" style="37" bestFit="1" customWidth="1"/>
    <col min="12546" max="12546" width="2.85546875" style="37" bestFit="1" customWidth="1"/>
    <col min="12547" max="12554" width="8.7109375" style="37" customWidth="1"/>
    <col min="12555" max="12557" width="9.7109375" style="37" customWidth="1"/>
    <col min="12558" max="12568" width="8.7109375" style="37" customWidth="1"/>
    <col min="12569" max="12569" width="6.7109375" style="37" customWidth="1"/>
    <col min="12570" max="12603" width="8.7109375" style="37" customWidth="1"/>
    <col min="12604" max="12800" width="11.42578125" style="37"/>
    <col min="12801" max="12801" width="4" style="37" bestFit="1" customWidth="1"/>
    <col min="12802" max="12802" width="2.85546875" style="37" bestFit="1" customWidth="1"/>
    <col min="12803" max="12810" width="8.7109375" style="37" customWidth="1"/>
    <col min="12811" max="12813" width="9.7109375" style="37" customWidth="1"/>
    <col min="12814" max="12824" width="8.7109375" style="37" customWidth="1"/>
    <col min="12825" max="12825" width="6.7109375" style="37" customWidth="1"/>
    <col min="12826" max="12859" width="8.7109375" style="37" customWidth="1"/>
    <col min="12860" max="13056" width="11.42578125" style="37"/>
    <col min="13057" max="13057" width="4" style="37" bestFit="1" customWidth="1"/>
    <col min="13058" max="13058" width="2.85546875" style="37" bestFit="1" customWidth="1"/>
    <col min="13059" max="13066" width="8.7109375" style="37" customWidth="1"/>
    <col min="13067" max="13069" width="9.7109375" style="37" customWidth="1"/>
    <col min="13070" max="13080" width="8.7109375" style="37" customWidth="1"/>
    <col min="13081" max="13081" width="6.7109375" style="37" customWidth="1"/>
    <col min="13082" max="13115" width="8.7109375" style="37" customWidth="1"/>
    <col min="13116" max="13312" width="11.42578125" style="37"/>
    <col min="13313" max="13313" width="4" style="37" bestFit="1" customWidth="1"/>
    <col min="13314" max="13314" width="2.85546875" style="37" bestFit="1" customWidth="1"/>
    <col min="13315" max="13322" width="8.7109375" style="37" customWidth="1"/>
    <col min="13323" max="13325" width="9.7109375" style="37" customWidth="1"/>
    <col min="13326" max="13336" width="8.7109375" style="37" customWidth="1"/>
    <col min="13337" max="13337" width="6.7109375" style="37" customWidth="1"/>
    <col min="13338" max="13371" width="8.7109375" style="37" customWidth="1"/>
    <col min="13372" max="13568" width="11.42578125" style="37"/>
    <col min="13569" max="13569" width="4" style="37" bestFit="1" customWidth="1"/>
    <col min="13570" max="13570" width="2.85546875" style="37" bestFit="1" customWidth="1"/>
    <col min="13571" max="13578" width="8.7109375" style="37" customWidth="1"/>
    <col min="13579" max="13581" width="9.7109375" style="37" customWidth="1"/>
    <col min="13582" max="13592" width="8.7109375" style="37" customWidth="1"/>
    <col min="13593" max="13593" width="6.7109375" style="37" customWidth="1"/>
    <col min="13594" max="13627" width="8.7109375" style="37" customWidth="1"/>
    <col min="13628" max="13824" width="11.42578125" style="37"/>
    <col min="13825" max="13825" width="4" style="37" bestFit="1" customWidth="1"/>
    <col min="13826" max="13826" width="2.85546875" style="37" bestFit="1" customWidth="1"/>
    <col min="13827" max="13834" width="8.7109375" style="37" customWidth="1"/>
    <col min="13835" max="13837" width="9.7109375" style="37" customWidth="1"/>
    <col min="13838" max="13848" width="8.7109375" style="37" customWidth="1"/>
    <col min="13849" max="13849" width="6.7109375" style="37" customWidth="1"/>
    <col min="13850" max="13883" width="8.7109375" style="37" customWidth="1"/>
    <col min="13884" max="14080" width="11.42578125" style="37"/>
    <col min="14081" max="14081" width="4" style="37" bestFit="1" customWidth="1"/>
    <col min="14082" max="14082" width="2.85546875" style="37" bestFit="1" customWidth="1"/>
    <col min="14083" max="14090" width="8.7109375" style="37" customWidth="1"/>
    <col min="14091" max="14093" width="9.7109375" style="37" customWidth="1"/>
    <col min="14094" max="14104" width="8.7109375" style="37" customWidth="1"/>
    <col min="14105" max="14105" width="6.7109375" style="37" customWidth="1"/>
    <col min="14106" max="14139" width="8.7109375" style="37" customWidth="1"/>
    <col min="14140" max="14336" width="11.42578125" style="37"/>
    <col min="14337" max="14337" width="4" style="37" bestFit="1" customWidth="1"/>
    <col min="14338" max="14338" width="2.85546875" style="37" bestFit="1" customWidth="1"/>
    <col min="14339" max="14346" width="8.7109375" style="37" customWidth="1"/>
    <col min="14347" max="14349" width="9.7109375" style="37" customWidth="1"/>
    <col min="14350" max="14360" width="8.7109375" style="37" customWidth="1"/>
    <col min="14361" max="14361" width="6.7109375" style="37" customWidth="1"/>
    <col min="14362" max="14395" width="8.7109375" style="37" customWidth="1"/>
    <col min="14396" max="14592" width="11.42578125" style="37"/>
    <col min="14593" max="14593" width="4" style="37" bestFit="1" customWidth="1"/>
    <col min="14594" max="14594" width="2.85546875" style="37" bestFit="1" customWidth="1"/>
    <col min="14595" max="14602" width="8.7109375" style="37" customWidth="1"/>
    <col min="14603" max="14605" width="9.7109375" style="37" customWidth="1"/>
    <col min="14606" max="14616" width="8.7109375" style="37" customWidth="1"/>
    <col min="14617" max="14617" width="6.7109375" style="37" customWidth="1"/>
    <col min="14618" max="14651" width="8.7109375" style="37" customWidth="1"/>
    <col min="14652" max="14848" width="11.42578125" style="37"/>
    <col min="14849" max="14849" width="4" style="37" bestFit="1" customWidth="1"/>
    <col min="14850" max="14850" width="2.85546875" style="37" bestFit="1" customWidth="1"/>
    <col min="14851" max="14858" width="8.7109375" style="37" customWidth="1"/>
    <col min="14859" max="14861" width="9.7109375" style="37" customWidth="1"/>
    <col min="14862" max="14872" width="8.7109375" style="37" customWidth="1"/>
    <col min="14873" max="14873" width="6.7109375" style="37" customWidth="1"/>
    <col min="14874" max="14907" width="8.7109375" style="37" customWidth="1"/>
    <col min="14908" max="15104" width="11.42578125" style="37"/>
    <col min="15105" max="15105" width="4" style="37" bestFit="1" customWidth="1"/>
    <col min="15106" max="15106" width="2.85546875" style="37" bestFit="1" customWidth="1"/>
    <col min="15107" max="15114" width="8.7109375" style="37" customWidth="1"/>
    <col min="15115" max="15117" width="9.7109375" style="37" customWidth="1"/>
    <col min="15118" max="15128" width="8.7109375" style="37" customWidth="1"/>
    <col min="15129" max="15129" width="6.7109375" style="37" customWidth="1"/>
    <col min="15130" max="15163" width="8.7109375" style="37" customWidth="1"/>
    <col min="15164" max="15360" width="11.42578125" style="37"/>
    <col min="15361" max="15361" width="4" style="37" bestFit="1" customWidth="1"/>
    <col min="15362" max="15362" width="2.85546875" style="37" bestFit="1" customWidth="1"/>
    <col min="15363" max="15370" width="8.7109375" style="37" customWidth="1"/>
    <col min="15371" max="15373" width="9.7109375" style="37" customWidth="1"/>
    <col min="15374" max="15384" width="8.7109375" style="37" customWidth="1"/>
    <col min="15385" max="15385" width="6.7109375" style="37" customWidth="1"/>
    <col min="15386" max="15419" width="8.7109375" style="37" customWidth="1"/>
    <col min="15420" max="15616" width="11.42578125" style="37"/>
    <col min="15617" max="15617" width="4" style="37" bestFit="1" customWidth="1"/>
    <col min="15618" max="15618" width="2.85546875" style="37" bestFit="1" customWidth="1"/>
    <col min="15619" max="15626" width="8.7109375" style="37" customWidth="1"/>
    <col min="15627" max="15629" width="9.7109375" style="37" customWidth="1"/>
    <col min="15630" max="15640" width="8.7109375" style="37" customWidth="1"/>
    <col min="15641" max="15641" width="6.7109375" style="37" customWidth="1"/>
    <col min="15642" max="15675" width="8.7109375" style="37" customWidth="1"/>
    <col min="15676" max="15872" width="11.42578125" style="37"/>
    <col min="15873" max="15873" width="4" style="37" bestFit="1" customWidth="1"/>
    <col min="15874" max="15874" width="2.85546875" style="37" bestFit="1" customWidth="1"/>
    <col min="15875" max="15882" width="8.7109375" style="37" customWidth="1"/>
    <col min="15883" max="15885" width="9.7109375" style="37" customWidth="1"/>
    <col min="15886" max="15896" width="8.7109375" style="37" customWidth="1"/>
    <col min="15897" max="15897" width="6.7109375" style="37" customWidth="1"/>
    <col min="15898" max="15931" width="8.7109375" style="37" customWidth="1"/>
    <col min="15932" max="16128" width="11.42578125" style="37"/>
    <col min="16129" max="16129" width="4" style="37" bestFit="1" customWidth="1"/>
    <col min="16130" max="16130" width="2.85546875" style="37" bestFit="1" customWidth="1"/>
    <col min="16131" max="16138" width="8.7109375" style="37" customWidth="1"/>
    <col min="16139" max="16141" width="9.7109375" style="37" customWidth="1"/>
    <col min="16142" max="16152" width="8.7109375" style="37" customWidth="1"/>
    <col min="16153" max="16153" width="6.7109375" style="37" customWidth="1"/>
    <col min="16154" max="16187" width="8.7109375" style="37" customWidth="1"/>
    <col min="16188" max="16384" width="11.42578125" style="37"/>
  </cols>
  <sheetData>
    <row r="1" spans="1:49" ht="90.75" customHeight="1">
      <c r="A1" s="35" t="s">
        <v>8</v>
      </c>
      <c r="B1" s="35"/>
      <c r="C1" s="35"/>
      <c r="D1" s="35"/>
      <c r="E1" s="35"/>
      <c r="F1" s="35"/>
      <c r="G1" s="35"/>
      <c r="H1" s="35"/>
      <c r="I1" s="35"/>
      <c r="J1" s="35"/>
      <c r="K1" s="35"/>
      <c r="L1" s="35"/>
      <c r="M1" s="35"/>
      <c r="N1" s="35"/>
      <c r="O1" s="35"/>
      <c r="P1" s="35"/>
    </row>
    <row r="2" spans="1:49">
      <c r="A2" t="s">
        <v>10</v>
      </c>
      <c r="B2"/>
      <c r="C2"/>
      <c r="D2"/>
      <c r="E2"/>
      <c r="F2"/>
      <c r="G2"/>
      <c r="H2"/>
      <c r="I2"/>
    </row>
    <row r="4" spans="1:49" ht="19.5" customHeight="1" thickBot="1">
      <c r="A4" s="37" t="s">
        <v>23</v>
      </c>
      <c r="AA4" s="37" t="s">
        <v>24</v>
      </c>
      <c r="AC4" s="38" t="s">
        <v>25</v>
      </c>
      <c r="AD4" s="38" t="s">
        <v>26</v>
      </c>
      <c r="AE4" s="38" t="s">
        <v>27</v>
      </c>
      <c r="AF4" s="39"/>
      <c r="AG4" s="40" t="s">
        <v>28</v>
      </c>
      <c r="AH4" s="40"/>
      <c r="AI4" s="41"/>
      <c r="AK4" s="37" t="s">
        <v>29</v>
      </c>
      <c r="AL4" s="40" t="s">
        <v>30</v>
      </c>
      <c r="AM4" s="40"/>
      <c r="AO4" s="37" t="s">
        <v>31</v>
      </c>
      <c r="AP4" s="40" t="s">
        <v>32</v>
      </c>
      <c r="AQ4" s="40"/>
      <c r="AU4" s="42" t="s">
        <v>25</v>
      </c>
      <c r="AV4" s="42" t="s">
        <v>26</v>
      </c>
      <c r="AW4" s="42" t="s">
        <v>27</v>
      </c>
    </row>
    <row r="5" spans="1:49" ht="21">
      <c r="C5" s="43"/>
      <c r="D5" s="43"/>
      <c r="E5" s="43"/>
      <c r="F5" s="43"/>
      <c r="G5" s="44">
        <v>2</v>
      </c>
      <c r="H5" s="45">
        <v>4</v>
      </c>
      <c r="I5" s="46">
        <v>3</v>
      </c>
      <c r="J5" s="47" t="s">
        <v>33</v>
      </c>
      <c r="K5" s="44">
        <v>4</v>
      </c>
      <c r="L5" s="45">
        <v>12</v>
      </c>
      <c r="M5" s="46">
        <v>4</v>
      </c>
      <c r="N5" s="48" t="s">
        <v>34</v>
      </c>
      <c r="O5" s="44">
        <v>6</v>
      </c>
      <c r="P5" s="45">
        <v>16</v>
      </c>
      <c r="Q5" s="43"/>
      <c r="R5" s="43"/>
      <c r="S5" s="49"/>
      <c r="T5" s="49"/>
      <c r="AB5" s="37" t="s">
        <v>25</v>
      </c>
      <c r="AC5" s="50">
        <f>1014/3380</f>
        <v>0.3</v>
      </c>
      <c r="AD5" s="50">
        <f>1690/3380</f>
        <v>0.5</v>
      </c>
      <c r="AE5" s="50">
        <f>676/3380</f>
        <v>0.2</v>
      </c>
      <c r="AG5" s="50">
        <v>0.3</v>
      </c>
      <c r="AH5" s="50">
        <v>0.5</v>
      </c>
      <c r="AI5" s="50">
        <v>0.2</v>
      </c>
      <c r="AK5" s="51">
        <f>+AC5*AG5+AC6*AH5+AC7*AI5</f>
        <v>0.24</v>
      </c>
      <c r="AL5" s="51">
        <f>+AD5*AG5+AD6*AH5+AD7*AI5</f>
        <v>0.49999999999999994</v>
      </c>
      <c r="AM5" s="51">
        <f>+AE5*AG5+AE6*AH5+AE7*AI5</f>
        <v>0.26</v>
      </c>
      <c r="AO5" s="51">
        <f>+AG5*AK5+AG6*AL5+AG7*AM5</f>
        <v>0.23699999999999999</v>
      </c>
      <c r="AP5" s="51">
        <f>+AH5*AK5+AH6*AL5+AH7*AM5</f>
        <v>0.48499999999999993</v>
      </c>
      <c r="AQ5" s="51">
        <f>+AI5*AK5+AI6*AL5+AI7*AM5</f>
        <v>0.27800000000000002</v>
      </c>
      <c r="AS5" s="37">
        <v>3380</v>
      </c>
      <c r="AU5" s="52">
        <f>+AO5*AS5</f>
        <v>801.06</v>
      </c>
      <c r="AV5" s="52">
        <f>+AP5*AS5</f>
        <v>1639.2999999999997</v>
      </c>
      <c r="AW5" s="52">
        <f>+AQ5*AS5</f>
        <v>939.6400000000001</v>
      </c>
    </row>
    <row r="6" spans="1:49" ht="21.75" thickBot="1">
      <c r="C6" s="43"/>
      <c r="D6" s="43"/>
      <c r="E6" s="43"/>
      <c r="F6" s="47" t="s">
        <v>25</v>
      </c>
      <c r="G6" s="53"/>
      <c r="H6" s="54">
        <v>4</v>
      </c>
      <c r="I6" s="46"/>
      <c r="J6" s="47" t="s">
        <v>35</v>
      </c>
      <c r="K6" s="53"/>
      <c r="L6" s="54">
        <v>12</v>
      </c>
      <c r="M6" s="46"/>
      <c r="N6"/>
      <c r="O6" s="53"/>
      <c r="P6" s="54">
        <v>16</v>
      </c>
      <c r="Q6" s="43"/>
      <c r="R6" s="43"/>
      <c r="S6" s="43"/>
      <c r="T6" s="43"/>
      <c r="AB6" s="37" t="s">
        <v>26</v>
      </c>
      <c r="AC6" s="50">
        <f>1352/6760</f>
        <v>0.2</v>
      </c>
      <c r="AD6" s="50">
        <f>4056/6760</f>
        <v>0.6</v>
      </c>
      <c r="AE6" s="50">
        <f>1352/6760</f>
        <v>0.2</v>
      </c>
      <c r="AG6" s="50">
        <v>0.2</v>
      </c>
      <c r="AH6" s="50">
        <v>0.6</v>
      </c>
      <c r="AI6" s="50">
        <v>0.2</v>
      </c>
      <c r="AK6" s="51">
        <f>+AC5*AG6+AC6*AH6+AC7*AI6</f>
        <v>0.22999999999999998</v>
      </c>
      <c r="AL6" s="51">
        <f>+AD5*AG6+AD6*AH6+AD7*AI6</f>
        <v>0.51</v>
      </c>
      <c r="AM6" s="51">
        <f>+AE5*AG6+AE6*AH6+AE7*AI6</f>
        <v>0.26</v>
      </c>
      <c r="AO6" s="51">
        <f>+AG5*AK6+AG6*AL6+AG7*AM6</f>
        <v>0.23599999999999999</v>
      </c>
      <c r="AP6" s="51">
        <f>+AH5*AK6+AH6*AL6+AH7*AM6</f>
        <v>0.48599999999999999</v>
      </c>
      <c r="AQ6" s="51">
        <f>+AI5*AK6+AI6*AL6+AI7*AM6</f>
        <v>0.27800000000000002</v>
      </c>
      <c r="AS6" s="37">
        <v>6760</v>
      </c>
      <c r="AU6" s="52">
        <f>+AO6*AS6</f>
        <v>1595.36</v>
      </c>
      <c r="AV6" s="52">
        <f>+AP6*AS6</f>
        <v>3285.36</v>
      </c>
      <c r="AW6" s="52">
        <f>+AQ6*AS6</f>
        <v>1879.2800000000002</v>
      </c>
    </row>
    <row r="7" spans="1:49" ht="21">
      <c r="C7" s="43"/>
      <c r="D7" s="43"/>
      <c r="E7" s="43">
        <v>4</v>
      </c>
      <c r="F7" s="43"/>
      <c r="G7" s="43"/>
      <c r="H7" s="43"/>
      <c r="I7" s="43"/>
      <c r="J7" s="43"/>
      <c r="K7" s="43"/>
      <c r="L7" s="43"/>
      <c r="M7" s="43"/>
      <c r="N7"/>
      <c r="O7"/>
      <c r="P7"/>
      <c r="Q7" s="43"/>
      <c r="R7" s="43">
        <v>3</v>
      </c>
      <c r="S7" s="43"/>
      <c r="T7" s="43"/>
      <c r="AB7" s="37" t="s">
        <v>27</v>
      </c>
      <c r="AC7" s="50">
        <f>1690/6760</f>
        <v>0.25</v>
      </c>
      <c r="AD7" s="50">
        <f>1690/6760</f>
        <v>0.25</v>
      </c>
      <c r="AE7" s="50">
        <f>3380/6760</f>
        <v>0.5</v>
      </c>
      <c r="AG7" s="50">
        <v>0.25</v>
      </c>
      <c r="AH7" s="50">
        <v>0.25</v>
      </c>
      <c r="AI7" s="50">
        <v>0.5</v>
      </c>
      <c r="AK7" s="51">
        <f>+AC5*AG7+AC6*AH7+AC7*AI7</f>
        <v>0.25</v>
      </c>
      <c r="AL7" s="51">
        <f>+AD5*AG7+AD6*AH7+AD7*AI7</f>
        <v>0.4</v>
      </c>
      <c r="AM7" s="51">
        <f>+AE5*AG7+AE6*AH7+AE7*AI7</f>
        <v>0.35</v>
      </c>
      <c r="AO7" s="51">
        <f>+AG5*AK7+AG6*AL7+AG7*AM7</f>
        <v>0.24250000000000002</v>
      </c>
      <c r="AP7" s="51">
        <f>+AH5*AK7+AH6*AL7+AH7*AM7</f>
        <v>0.45250000000000001</v>
      </c>
      <c r="AQ7" s="51">
        <f>+AI5*AK7+AI6*AL7+AI7*AM7</f>
        <v>0.30499999999999999</v>
      </c>
      <c r="AS7" s="37">
        <v>6760</v>
      </c>
      <c r="AU7" s="52">
        <f>+AO7*AS7</f>
        <v>1639.3000000000002</v>
      </c>
      <c r="AV7" s="52">
        <f>+AP7*AS7</f>
        <v>3058.9</v>
      </c>
      <c r="AW7" s="52">
        <f>+AQ7*AS7</f>
        <v>2061.8000000000002</v>
      </c>
    </row>
    <row r="8" spans="1:49" ht="21.75" thickBot="1">
      <c r="C8" s="43"/>
      <c r="D8" s="43"/>
      <c r="E8" s="43"/>
      <c r="F8" s="55"/>
      <c r="G8" s="43"/>
      <c r="H8" s="55"/>
      <c r="I8" s="43"/>
      <c r="J8" s="43"/>
      <c r="K8" s="43"/>
      <c r="L8" s="43"/>
      <c r="M8" s="43">
        <v>1</v>
      </c>
      <c r="N8"/>
      <c r="O8"/>
      <c r="P8"/>
      <c r="Q8" s="43"/>
      <c r="R8" s="56" t="s">
        <v>36</v>
      </c>
      <c r="S8" s="43"/>
      <c r="T8" s="43"/>
      <c r="AK8" s="38" t="s">
        <v>25</v>
      </c>
      <c r="AL8" s="38" t="s">
        <v>26</v>
      </c>
      <c r="AM8" s="38" t="s">
        <v>27</v>
      </c>
      <c r="AS8" s="37">
        <f>SUM(AS5:AS7)</f>
        <v>16900</v>
      </c>
      <c r="AU8" s="57">
        <f>SUM(AU5:AU7)</f>
        <v>4035.7200000000003</v>
      </c>
      <c r="AV8" s="57">
        <f>SUM(AV5:AV7)</f>
        <v>7983.5599999999995</v>
      </c>
      <c r="AW8" s="57">
        <f>SUM(AW5:AW7)</f>
        <v>4880.72</v>
      </c>
    </row>
    <row r="9" spans="1:49" ht="21">
      <c r="C9" s="44">
        <v>1</v>
      </c>
      <c r="D9" s="45">
        <v>0</v>
      </c>
      <c r="E9" s="46"/>
      <c r="F9" s="43"/>
      <c r="G9" s="43">
        <v>4</v>
      </c>
      <c r="H9" s="43"/>
      <c r="I9" s="43">
        <v>4</v>
      </c>
      <c r="J9" s="43"/>
      <c r="K9" s="43"/>
      <c r="L9" s="43"/>
      <c r="M9" s="43"/>
      <c r="N9" s="58" t="s">
        <v>37</v>
      </c>
      <c r="O9" s="44">
        <v>7</v>
      </c>
      <c r="P9" s="45">
        <v>13</v>
      </c>
      <c r="Q9" s="43"/>
      <c r="R9" s="56" t="s">
        <v>38</v>
      </c>
      <c r="S9" s="44">
        <v>9</v>
      </c>
      <c r="T9" s="45">
        <v>19</v>
      </c>
      <c r="AA9" s="59"/>
      <c r="AB9" s="59"/>
      <c r="AC9" s="59"/>
      <c r="AD9" s="59"/>
      <c r="AE9" s="59"/>
      <c r="AF9" s="59"/>
      <c r="AG9" s="59"/>
      <c r="AH9" s="59"/>
      <c r="AI9" s="59"/>
      <c r="AJ9" s="59"/>
      <c r="AK9" s="60"/>
      <c r="AL9" s="60"/>
      <c r="AM9" s="60"/>
      <c r="AN9" s="59"/>
      <c r="AO9" s="61"/>
      <c r="AP9" s="61"/>
      <c r="AQ9" s="61"/>
      <c r="AS9" s="59"/>
      <c r="AU9" s="62" t="s">
        <v>25</v>
      </c>
      <c r="AV9" s="62" t="s">
        <v>26</v>
      </c>
      <c r="AW9" s="62" t="s">
        <v>27</v>
      </c>
    </row>
    <row r="10" spans="1:49" ht="21.75" thickBot="1">
      <c r="C10" s="53"/>
      <c r="D10" s="54">
        <v>0</v>
      </c>
      <c r="E10" s="46"/>
      <c r="F10" s="43"/>
      <c r="G10" s="43"/>
      <c r="H10" s="43"/>
      <c r="I10" s="43"/>
      <c r="J10" s="43"/>
      <c r="K10" s="43"/>
      <c r="L10" s="43"/>
      <c r="M10" s="43"/>
      <c r="N10" s="58" t="s">
        <v>39</v>
      </c>
      <c r="O10" s="53"/>
      <c r="P10" s="54">
        <v>15</v>
      </c>
      <c r="Q10" s="43">
        <v>4</v>
      </c>
      <c r="R10" s="56" t="s">
        <v>40</v>
      </c>
      <c r="S10" s="53"/>
      <c r="T10" s="54">
        <v>19</v>
      </c>
      <c r="AA10" s="37" t="s">
        <v>41</v>
      </c>
      <c r="AG10" s="38" t="s">
        <v>25</v>
      </c>
      <c r="AH10" s="38" t="s">
        <v>26</v>
      </c>
      <c r="AI10" s="38" t="s">
        <v>27</v>
      </c>
      <c r="AU10" s="59">
        <f>+AU8/AS8</f>
        <v>0.23880000000000001</v>
      </c>
      <c r="AV10" s="59">
        <f>+AV8/AS8</f>
        <v>0.47239999999999999</v>
      </c>
      <c r="AW10" s="59">
        <f>+AW8/AS8</f>
        <v>0.2888</v>
      </c>
    </row>
    <row r="11" spans="1:49" ht="21">
      <c r="C11" s="43"/>
      <c r="D11" s="43"/>
      <c r="E11" s="43"/>
      <c r="F11" s="43"/>
      <c r="G11" s="43"/>
      <c r="H11" s="43"/>
      <c r="I11" s="63"/>
      <c r="J11" s="43"/>
      <c r="K11" s="43"/>
      <c r="L11" s="43"/>
      <c r="M11" s="43">
        <v>2</v>
      </c>
      <c r="N11"/>
      <c r="O11"/>
      <c r="P11"/>
      <c r="Q11" s="43"/>
      <c r="R11" s="43"/>
      <c r="S11" s="43"/>
      <c r="T11" s="43"/>
      <c r="AC11" s="38" t="s">
        <v>25</v>
      </c>
      <c r="AD11" s="38" t="s">
        <v>26</v>
      </c>
      <c r="AE11" s="38" t="s">
        <v>27</v>
      </c>
      <c r="AF11" s="37" t="s">
        <v>25</v>
      </c>
      <c r="AG11" s="50">
        <v>0.23699999999999999</v>
      </c>
      <c r="AH11" s="50">
        <v>0.48499999999999993</v>
      </c>
      <c r="AI11" s="50">
        <v>0.27800000000000002</v>
      </c>
      <c r="AK11" s="62" t="s">
        <v>25</v>
      </c>
      <c r="AL11" s="62" t="s">
        <v>26</v>
      </c>
      <c r="AM11" s="62" t="s">
        <v>27</v>
      </c>
    </row>
    <row r="12" spans="1:49" ht="21.75" thickBot="1">
      <c r="C12" s="43"/>
      <c r="D12" s="43"/>
      <c r="E12" s="43">
        <v>6</v>
      </c>
      <c r="F12" s="43"/>
      <c r="G12" s="47" t="s">
        <v>27</v>
      </c>
      <c r="H12" s="43"/>
      <c r="I12" s="43"/>
      <c r="J12" s="43"/>
      <c r="K12" s="43"/>
      <c r="L12" s="43"/>
      <c r="M12" s="43"/>
      <c r="N12"/>
      <c r="O12"/>
      <c r="P12"/>
      <c r="Q12" s="43"/>
      <c r="R12" s="43">
        <v>3</v>
      </c>
      <c r="S12" s="43"/>
      <c r="T12" s="43"/>
      <c r="AC12" s="64">
        <f>3380/16900</f>
        <v>0.2</v>
      </c>
      <c r="AD12" s="37">
        <f>6760/16900</f>
        <v>0.4</v>
      </c>
      <c r="AE12" s="37">
        <f>6760/16900</f>
        <v>0.4</v>
      </c>
      <c r="AF12" s="37" t="s">
        <v>26</v>
      </c>
      <c r="AG12" s="50">
        <v>0.23599999999999999</v>
      </c>
      <c r="AH12" s="50">
        <v>0.48599999999999999</v>
      </c>
      <c r="AI12" s="50">
        <v>0.27800000000000002</v>
      </c>
      <c r="AK12" s="65">
        <f>+AC12*AG11</f>
        <v>4.7399999999999998E-2</v>
      </c>
      <c r="AL12" s="65">
        <f>+AD12*AH12</f>
        <v>0.19440000000000002</v>
      </c>
      <c r="AM12" s="65">
        <f>AE12*AI13</f>
        <v>0.122</v>
      </c>
    </row>
    <row r="13" spans="1:49" ht="21">
      <c r="C13" s="43"/>
      <c r="D13" s="43"/>
      <c r="E13" s="43"/>
      <c r="F13" s="47" t="s">
        <v>26</v>
      </c>
      <c r="G13" s="44">
        <v>3</v>
      </c>
      <c r="H13" s="45">
        <v>8</v>
      </c>
      <c r="I13" s="46"/>
      <c r="J13" s="56" t="s">
        <v>42</v>
      </c>
      <c r="K13" s="44">
        <v>5</v>
      </c>
      <c r="L13" s="45">
        <v>10</v>
      </c>
      <c r="M13" s="46"/>
      <c r="N13" s="48" t="s">
        <v>43</v>
      </c>
      <c r="O13" s="44">
        <v>8</v>
      </c>
      <c r="P13" s="45">
        <v>13</v>
      </c>
      <c r="Q13" s="43"/>
      <c r="R13" s="43"/>
      <c r="S13" s="43"/>
      <c r="T13" s="43"/>
      <c r="AF13" s="37" t="s">
        <v>27</v>
      </c>
      <c r="AG13" s="50">
        <v>0.24250000000000002</v>
      </c>
      <c r="AH13" s="50">
        <v>0.45250000000000001</v>
      </c>
      <c r="AI13" s="50">
        <v>0.30499999999999999</v>
      </c>
      <c r="AK13" s="66">
        <f>+AG11*AS5</f>
        <v>801.06</v>
      </c>
      <c r="AL13" s="66">
        <f>+AH12*AS6</f>
        <v>3285.36</v>
      </c>
      <c r="AM13" s="66">
        <f>+AI13*AS7</f>
        <v>2061.8000000000002</v>
      </c>
    </row>
    <row r="14" spans="1:49" ht="21.75" thickBot="1">
      <c r="C14" s="43"/>
      <c r="D14" s="43"/>
      <c r="E14" s="43"/>
      <c r="F14" s="43"/>
      <c r="G14" s="53"/>
      <c r="H14" s="54">
        <v>8</v>
      </c>
      <c r="I14" s="46">
        <v>2</v>
      </c>
      <c r="J14" s="43"/>
      <c r="K14" s="53"/>
      <c r="L14" s="54">
        <v>13</v>
      </c>
      <c r="M14" s="46">
        <v>3</v>
      </c>
      <c r="N14"/>
      <c r="O14" s="53"/>
      <c r="P14" s="54">
        <v>16</v>
      </c>
      <c r="Q14" s="43"/>
      <c r="R14" s="43"/>
      <c r="S14" s="43"/>
      <c r="T14" s="43"/>
      <c r="AK14" s="67"/>
    </row>
    <row r="15" spans="1:49">
      <c r="C15" s="68"/>
      <c r="D15" s="68"/>
      <c r="E15" s="68"/>
      <c r="F15" s="68"/>
      <c r="G15" s="68"/>
      <c r="H15" s="68"/>
      <c r="I15" s="68"/>
      <c r="J15" s="68"/>
      <c r="K15" s="68"/>
      <c r="L15" s="68"/>
      <c r="M15" s="68"/>
      <c r="N15" s="68"/>
      <c r="O15" s="68"/>
      <c r="P15" s="68"/>
      <c r="Q15" s="68"/>
      <c r="R15" s="68"/>
      <c r="S15" s="68"/>
      <c r="T15" s="68"/>
      <c r="AA15" s="37" t="s">
        <v>44</v>
      </c>
      <c r="AJ15" s="37" t="s">
        <v>45</v>
      </c>
      <c r="AO15" s="37" t="s">
        <v>46</v>
      </c>
    </row>
    <row r="16" spans="1:49" ht="21.75">
      <c r="C16" s="69" t="s">
        <v>47</v>
      </c>
      <c r="D16" s="69"/>
      <c r="E16" s="70" t="s">
        <v>48</v>
      </c>
      <c r="F16" s="70" t="s">
        <v>49</v>
      </c>
      <c r="G16" s="70" t="s">
        <v>50</v>
      </c>
      <c r="H16" s="70" t="s">
        <v>51</v>
      </c>
      <c r="I16" s="70" t="s">
        <v>52</v>
      </c>
      <c r="J16" s="69" t="s">
        <v>53</v>
      </c>
      <c r="K16" s="69"/>
      <c r="L16" s="69" t="s">
        <v>54</v>
      </c>
      <c r="M16" s="69"/>
      <c r="N16" s="71" t="s">
        <v>55</v>
      </c>
      <c r="O16" s="71"/>
      <c r="P16" s="72" t="s">
        <v>56</v>
      </c>
      <c r="Q16" s="72"/>
      <c r="R16" s="49"/>
      <c r="S16" s="49"/>
      <c r="T16" s="49"/>
      <c r="AC16" s="73" t="s">
        <v>57</v>
      </c>
      <c r="AD16" s="37" t="s">
        <v>58</v>
      </c>
      <c r="AF16" s="37" t="s">
        <v>59</v>
      </c>
      <c r="AG16" s="37" t="s">
        <v>60</v>
      </c>
      <c r="AK16" s="37" t="s">
        <v>61</v>
      </c>
      <c r="AP16" s="37" t="s">
        <v>62</v>
      </c>
    </row>
    <row r="17" spans="2:47" ht="21">
      <c r="B17" s="37" t="s">
        <v>25</v>
      </c>
      <c r="C17" s="74">
        <v>1</v>
      </c>
      <c r="D17" s="74">
        <v>2</v>
      </c>
      <c r="E17" s="75">
        <v>4</v>
      </c>
      <c r="F17" s="75">
        <v>0</v>
      </c>
      <c r="G17" s="75">
        <v>4</v>
      </c>
      <c r="H17" s="75">
        <f>+E17-F17-G17</f>
        <v>0</v>
      </c>
      <c r="I17" s="76" t="s">
        <v>63</v>
      </c>
      <c r="J17" s="77">
        <v>20</v>
      </c>
      <c r="K17" s="77"/>
      <c r="L17" s="77">
        <v>10</v>
      </c>
      <c r="M17" s="77"/>
      <c r="N17" s="71">
        <f>+J17*G17</f>
        <v>80</v>
      </c>
      <c r="O17" s="71"/>
      <c r="P17" s="78">
        <f>+L17*G17</f>
        <v>40</v>
      </c>
      <c r="Q17" s="78"/>
      <c r="R17" s="49"/>
      <c r="S17" s="49"/>
      <c r="T17" s="49"/>
      <c r="AC17" s="73" t="s">
        <v>64</v>
      </c>
      <c r="AD17" s="37" t="s">
        <v>65</v>
      </c>
      <c r="AF17" s="37" t="s">
        <v>59</v>
      </c>
      <c r="AG17" s="79">
        <f>4+1/(5/6)</f>
        <v>5.2</v>
      </c>
      <c r="AH17" s="37" t="s">
        <v>66</v>
      </c>
      <c r="AK17" s="80" t="s">
        <v>67</v>
      </c>
      <c r="AL17" s="37">
        <f>(4/5*4/5)/(1-4/5)</f>
        <v>3.2000000000000006</v>
      </c>
      <c r="AM17" s="37" t="s">
        <v>68</v>
      </c>
      <c r="AP17" s="80" t="s">
        <v>69</v>
      </c>
      <c r="AQ17" s="51">
        <f>(4/5)/(1-4/5)</f>
        <v>4.0000000000000009</v>
      </c>
      <c r="AR17" s="37" t="s">
        <v>68</v>
      </c>
    </row>
    <row r="18" spans="2:47" ht="21">
      <c r="B18" s="37" t="s">
        <v>26</v>
      </c>
      <c r="C18" s="74">
        <v>1</v>
      </c>
      <c r="D18" s="74">
        <v>3</v>
      </c>
      <c r="E18" s="75">
        <v>8</v>
      </c>
      <c r="F18" s="75">
        <v>0</v>
      </c>
      <c r="G18" s="75">
        <v>6</v>
      </c>
      <c r="H18" s="75">
        <f t="shared" ref="H18:H29" si="0">+E18-F18-G18</f>
        <v>2</v>
      </c>
      <c r="I18" s="75"/>
      <c r="J18" s="77">
        <v>12</v>
      </c>
      <c r="K18" s="77"/>
      <c r="L18" s="77">
        <v>14</v>
      </c>
      <c r="M18" s="77"/>
      <c r="N18" s="71">
        <f>+J18*G18</f>
        <v>72</v>
      </c>
      <c r="O18" s="71"/>
      <c r="P18" s="78">
        <f>+L18*G18</f>
        <v>84</v>
      </c>
      <c r="Q18" s="78"/>
      <c r="R18" s="49"/>
      <c r="S18" s="49"/>
      <c r="T18" s="49"/>
      <c r="AC18" s="80" t="s">
        <v>70</v>
      </c>
      <c r="AD18" s="37" t="s">
        <v>71</v>
      </c>
      <c r="AE18" s="81" t="s">
        <v>72</v>
      </c>
      <c r="AF18" s="82"/>
      <c r="AG18" s="82">
        <v>6</v>
      </c>
      <c r="AH18" s="82" t="s">
        <v>66</v>
      </c>
    </row>
    <row r="19" spans="2:47" ht="21">
      <c r="B19" s="37" t="s">
        <v>27</v>
      </c>
      <c r="C19" s="74">
        <v>2</v>
      </c>
      <c r="D19" s="74">
        <v>3</v>
      </c>
      <c r="E19" s="75">
        <v>8</v>
      </c>
      <c r="F19" s="75">
        <v>4</v>
      </c>
      <c r="G19" s="75">
        <v>4</v>
      </c>
      <c r="H19" s="75">
        <f t="shared" si="0"/>
        <v>0</v>
      </c>
      <c r="I19" s="76" t="s">
        <v>63</v>
      </c>
      <c r="J19" s="77">
        <v>14</v>
      </c>
      <c r="K19" s="77"/>
      <c r="L19" s="77">
        <v>12</v>
      </c>
      <c r="M19" s="77"/>
      <c r="N19" s="71">
        <f>+J19*G19</f>
        <v>56</v>
      </c>
      <c r="O19" s="71"/>
      <c r="P19" s="78">
        <f>+L19*G19</f>
        <v>48</v>
      </c>
      <c r="Q19" s="78"/>
      <c r="R19" s="49"/>
      <c r="S19" s="49"/>
      <c r="T19" s="49"/>
    </row>
    <row r="20" spans="2:47" ht="21">
      <c r="B20" s="37" t="s">
        <v>33</v>
      </c>
      <c r="C20" s="74">
        <v>2</v>
      </c>
      <c r="D20" s="74">
        <v>4</v>
      </c>
      <c r="E20" s="75">
        <v>12</v>
      </c>
      <c r="F20" s="75">
        <v>4</v>
      </c>
      <c r="G20" s="75">
        <v>3</v>
      </c>
      <c r="H20" s="75">
        <f t="shared" si="0"/>
        <v>5</v>
      </c>
      <c r="I20" s="75"/>
      <c r="J20" s="77">
        <v>8</v>
      </c>
      <c r="K20" s="77"/>
      <c r="L20" s="77">
        <v>12</v>
      </c>
      <c r="M20" s="77"/>
      <c r="N20" s="71">
        <f>+J20*G20</f>
        <v>24</v>
      </c>
      <c r="O20" s="71"/>
      <c r="P20" s="78">
        <f>+L20*G20</f>
        <v>36</v>
      </c>
      <c r="Q20" s="78"/>
      <c r="R20" s="49"/>
      <c r="S20" s="49"/>
      <c r="T20" s="49"/>
    </row>
    <row r="21" spans="2:47" ht="21">
      <c r="B21" s="37" t="s">
        <v>35</v>
      </c>
      <c r="C21" s="74">
        <v>3</v>
      </c>
      <c r="D21" s="74">
        <v>4</v>
      </c>
      <c r="E21" s="75">
        <v>12</v>
      </c>
      <c r="F21" s="75">
        <v>8</v>
      </c>
      <c r="G21" s="75">
        <v>4</v>
      </c>
      <c r="H21" s="75">
        <f t="shared" si="0"/>
        <v>0</v>
      </c>
      <c r="I21" s="76" t="s">
        <v>63</v>
      </c>
      <c r="J21" s="77">
        <v>16</v>
      </c>
      <c r="K21" s="77"/>
      <c r="L21" s="77">
        <v>18</v>
      </c>
      <c r="M21" s="77"/>
      <c r="N21" s="71">
        <f>+J21*G21</f>
        <v>64</v>
      </c>
      <c r="O21" s="71"/>
      <c r="P21" s="78">
        <f>+L21*G21</f>
        <v>72</v>
      </c>
      <c r="Q21" s="78"/>
      <c r="R21" s="49"/>
      <c r="S21" s="49"/>
      <c r="T21" s="49"/>
    </row>
    <row r="22" spans="2:47" ht="21">
      <c r="B22" s="37" t="s">
        <v>42</v>
      </c>
      <c r="C22" s="74">
        <v>3</v>
      </c>
      <c r="D22" s="74">
        <v>5</v>
      </c>
      <c r="E22" s="75">
        <v>13</v>
      </c>
      <c r="F22" s="75">
        <v>8</v>
      </c>
      <c r="G22" s="75">
        <v>2</v>
      </c>
      <c r="H22" s="75">
        <f t="shared" si="0"/>
        <v>3</v>
      </c>
      <c r="I22" s="75"/>
      <c r="J22" s="77">
        <v>12</v>
      </c>
      <c r="K22" s="77"/>
      <c r="L22" s="77">
        <v>20</v>
      </c>
      <c r="M22" s="77"/>
      <c r="N22" s="71">
        <f>+J22*G22</f>
        <v>24</v>
      </c>
      <c r="O22" s="71"/>
      <c r="P22" s="78">
        <f>+L22*G22</f>
        <v>40</v>
      </c>
      <c r="Q22" s="78"/>
      <c r="R22" s="49"/>
      <c r="S22" s="49"/>
      <c r="T22" s="49"/>
    </row>
    <row r="23" spans="2:47" ht="21">
      <c r="B23" s="37" t="s">
        <v>34</v>
      </c>
      <c r="C23" s="74">
        <v>4</v>
      </c>
      <c r="D23" s="74">
        <v>6</v>
      </c>
      <c r="E23" s="75">
        <v>16</v>
      </c>
      <c r="F23" s="75">
        <v>12</v>
      </c>
      <c r="G23" s="75">
        <v>4</v>
      </c>
      <c r="H23" s="75">
        <f t="shared" si="0"/>
        <v>0</v>
      </c>
      <c r="I23" s="76" t="s">
        <v>63</v>
      </c>
      <c r="J23" s="77">
        <v>10</v>
      </c>
      <c r="K23" s="77"/>
      <c r="L23" s="77">
        <v>12</v>
      </c>
      <c r="M23" s="77"/>
      <c r="N23" s="71">
        <f>+J23*G23</f>
        <v>40</v>
      </c>
      <c r="O23" s="71"/>
      <c r="P23" s="78">
        <f>+L23*G23</f>
        <v>48</v>
      </c>
      <c r="Q23" s="78"/>
      <c r="R23" s="49"/>
      <c r="S23" s="49"/>
      <c r="T23" s="49"/>
      <c r="AA23" s="83" t="s">
        <v>73</v>
      </c>
      <c r="AB23" s="83"/>
      <c r="AC23" s="83"/>
      <c r="AD23" s="83"/>
      <c r="AE23" s="83"/>
      <c r="AF23" s="83"/>
      <c r="AG23" s="83"/>
      <c r="AH23" s="83"/>
      <c r="AI23" s="83"/>
      <c r="AJ23" s="83"/>
      <c r="AK23" s="83"/>
      <c r="AL23" s="83"/>
      <c r="AM23" s="83"/>
      <c r="AN23" s="83"/>
      <c r="AO23" s="83"/>
      <c r="AP23" s="83"/>
      <c r="AQ23" s="83"/>
      <c r="AR23" s="83"/>
      <c r="AS23" s="83"/>
      <c r="AT23" s="83"/>
      <c r="AU23" s="83"/>
    </row>
    <row r="24" spans="2:47" ht="21" customHeight="1">
      <c r="B24" s="37" t="s">
        <v>37</v>
      </c>
      <c r="C24" s="74">
        <v>4</v>
      </c>
      <c r="D24" s="74">
        <v>7</v>
      </c>
      <c r="E24" s="75">
        <v>15</v>
      </c>
      <c r="F24" s="75">
        <v>12</v>
      </c>
      <c r="G24" s="75">
        <v>1</v>
      </c>
      <c r="H24" s="75">
        <f t="shared" si="0"/>
        <v>2</v>
      </c>
      <c r="I24" s="75"/>
      <c r="J24" s="77">
        <v>16</v>
      </c>
      <c r="K24" s="77"/>
      <c r="L24" s="77">
        <v>14</v>
      </c>
      <c r="M24" s="77"/>
      <c r="N24" s="71">
        <f>+J24*G24</f>
        <v>16</v>
      </c>
      <c r="O24" s="71"/>
      <c r="P24" s="78">
        <f>+L24*G24</f>
        <v>14</v>
      </c>
      <c r="Q24" s="78"/>
      <c r="R24" s="49"/>
      <c r="S24" s="49"/>
      <c r="T24" s="49"/>
      <c r="AA24" s="83"/>
      <c r="AB24" s="83"/>
      <c r="AC24" s="83"/>
      <c r="AD24" s="83"/>
      <c r="AE24" s="83"/>
      <c r="AF24" s="83"/>
      <c r="AG24" s="83"/>
      <c r="AH24" s="83"/>
      <c r="AI24" s="83"/>
      <c r="AJ24" s="83"/>
      <c r="AK24" s="83"/>
      <c r="AL24" s="83"/>
      <c r="AM24" s="83"/>
      <c r="AN24" s="83"/>
      <c r="AO24" s="83"/>
      <c r="AP24" s="83"/>
      <c r="AQ24" s="83"/>
      <c r="AR24" s="83"/>
      <c r="AS24" s="83"/>
      <c r="AT24" s="83"/>
      <c r="AU24" s="83"/>
    </row>
    <row r="25" spans="2:47" ht="21" customHeight="1">
      <c r="B25" s="37" t="s">
        <v>39</v>
      </c>
      <c r="C25" s="74">
        <v>5</v>
      </c>
      <c r="D25" s="74">
        <v>7</v>
      </c>
      <c r="E25" s="75">
        <v>15</v>
      </c>
      <c r="F25" s="75">
        <v>10</v>
      </c>
      <c r="G25" s="75">
        <v>2</v>
      </c>
      <c r="H25" s="75">
        <f t="shared" si="0"/>
        <v>3</v>
      </c>
      <c r="I25" s="4"/>
      <c r="J25" s="77">
        <v>20</v>
      </c>
      <c r="K25" s="77"/>
      <c r="L25" s="84">
        <v>9</v>
      </c>
      <c r="M25" s="84"/>
      <c r="N25" s="71">
        <f>+J25*G25</f>
        <v>40</v>
      </c>
      <c r="O25" s="71"/>
      <c r="P25" s="78">
        <f>+L25*G25</f>
        <v>18</v>
      </c>
      <c r="Q25" s="78"/>
      <c r="R25" s="49"/>
      <c r="S25" s="49"/>
      <c r="T25" s="49"/>
      <c r="AA25" s="83"/>
      <c r="AB25" s="83"/>
      <c r="AC25" s="83"/>
      <c r="AD25" s="83"/>
      <c r="AE25" s="83"/>
      <c r="AF25" s="83"/>
      <c r="AG25" s="83"/>
      <c r="AH25" s="83"/>
      <c r="AI25" s="83"/>
      <c r="AJ25" s="83"/>
      <c r="AK25" s="83"/>
      <c r="AL25" s="83"/>
      <c r="AM25" s="83"/>
      <c r="AN25" s="83"/>
      <c r="AO25" s="83"/>
      <c r="AP25" s="83"/>
      <c r="AQ25" s="83"/>
      <c r="AR25" s="83"/>
      <c r="AS25" s="83"/>
      <c r="AT25" s="83"/>
      <c r="AU25" s="83"/>
    </row>
    <row r="26" spans="2:47" ht="21">
      <c r="B26" s="37" t="s">
        <v>43</v>
      </c>
      <c r="C26" s="74">
        <v>5</v>
      </c>
      <c r="D26" s="74">
        <v>8</v>
      </c>
      <c r="E26" s="75">
        <v>16</v>
      </c>
      <c r="F26" s="75">
        <v>10</v>
      </c>
      <c r="G26" s="75">
        <v>3</v>
      </c>
      <c r="H26" s="75">
        <f t="shared" si="0"/>
        <v>3</v>
      </c>
      <c r="I26" s="85"/>
      <c r="J26" s="77">
        <v>8</v>
      </c>
      <c r="K26" s="77"/>
      <c r="L26" s="77">
        <v>10</v>
      </c>
      <c r="M26" s="77"/>
      <c r="N26" s="71">
        <f>+J26*G26</f>
        <v>24</v>
      </c>
      <c r="O26" s="71"/>
      <c r="P26" s="78">
        <f>+L26*G26</f>
        <v>30</v>
      </c>
      <c r="Q26" s="78"/>
      <c r="R26" s="86"/>
      <c r="S26" s="86"/>
      <c r="T26" s="86"/>
      <c r="AA26"/>
      <c r="AB26"/>
      <c r="AC26"/>
      <c r="AD26"/>
      <c r="AE26"/>
      <c r="AF26"/>
      <c r="AG26"/>
      <c r="AH26"/>
      <c r="AI26"/>
      <c r="AJ26"/>
    </row>
    <row r="27" spans="2:47" ht="21">
      <c r="B27" s="37" t="s">
        <v>36</v>
      </c>
      <c r="C27" s="74">
        <v>6</v>
      </c>
      <c r="D27" s="74">
        <v>9</v>
      </c>
      <c r="E27" s="75">
        <v>19</v>
      </c>
      <c r="F27" s="75">
        <v>16</v>
      </c>
      <c r="G27" s="75">
        <v>3</v>
      </c>
      <c r="H27" s="75">
        <f t="shared" si="0"/>
        <v>0</v>
      </c>
      <c r="I27" s="76" t="s">
        <v>63</v>
      </c>
      <c r="J27" s="77">
        <v>4</v>
      </c>
      <c r="K27" s="77"/>
      <c r="L27" s="77">
        <v>10</v>
      </c>
      <c r="M27" s="77"/>
      <c r="N27" s="71">
        <f>+J27*G27</f>
        <v>12</v>
      </c>
      <c r="O27" s="71"/>
      <c r="P27" s="78">
        <f>+L27*G27</f>
        <v>30</v>
      </c>
      <c r="Q27" s="78"/>
      <c r="R27"/>
      <c r="S27"/>
      <c r="T27"/>
      <c r="AA27"/>
      <c r="AB27" s="87" t="s">
        <v>74</v>
      </c>
      <c r="AC27" s="88" t="s">
        <v>75</v>
      </c>
      <c r="AD27" s="88"/>
      <c r="AE27" s="88" t="s">
        <v>76</v>
      </c>
      <c r="AF27" s="88"/>
      <c r="AG27" s="88" t="s">
        <v>77</v>
      </c>
      <c r="AH27" s="88"/>
      <c r="AI27"/>
      <c r="AJ27"/>
    </row>
    <row r="28" spans="2:47" ht="21">
      <c r="B28" s="37" t="s">
        <v>38</v>
      </c>
      <c r="C28" s="74">
        <v>7</v>
      </c>
      <c r="D28" s="74">
        <v>9</v>
      </c>
      <c r="E28" s="75">
        <v>19</v>
      </c>
      <c r="F28" s="75">
        <v>13</v>
      </c>
      <c r="G28" s="75">
        <v>4</v>
      </c>
      <c r="H28" s="75">
        <f t="shared" si="0"/>
        <v>2</v>
      </c>
      <c r="I28" s="4"/>
      <c r="J28" s="77">
        <v>8</v>
      </c>
      <c r="K28" s="77"/>
      <c r="L28" s="77">
        <v>12</v>
      </c>
      <c r="M28" s="77"/>
      <c r="N28" s="71">
        <f>+J28*G28</f>
        <v>32</v>
      </c>
      <c r="O28" s="71"/>
      <c r="P28" s="78">
        <f>+L28*G28</f>
        <v>48</v>
      </c>
      <c r="Q28" s="78"/>
      <c r="R28"/>
      <c r="S28"/>
      <c r="T28"/>
      <c r="AA28"/>
      <c r="AB28" s="5">
        <v>1</v>
      </c>
      <c r="AC28" s="88">
        <v>0.05</v>
      </c>
      <c r="AD28" s="88"/>
      <c r="AE28" s="88">
        <f>+AC28</f>
        <v>0.05</v>
      </c>
      <c r="AF28" s="88"/>
      <c r="AG28" s="88" t="s">
        <v>78</v>
      </c>
      <c r="AH28" s="88"/>
      <c r="AI28"/>
      <c r="AJ28"/>
    </row>
    <row r="29" spans="2:47" ht="21">
      <c r="B29" s="37" t="s">
        <v>40</v>
      </c>
      <c r="C29" s="75">
        <v>8</v>
      </c>
      <c r="D29" s="75">
        <v>9</v>
      </c>
      <c r="E29" s="75">
        <v>19</v>
      </c>
      <c r="F29" s="75">
        <v>13</v>
      </c>
      <c r="G29" s="75">
        <v>3</v>
      </c>
      <c r="H29" s="75">
        <f t="shared" si="0"/>
        <v>3</v>
      </c>
      <c r="I29" s="4"/>
      <c r="J29" s="77">
        <v>16</v>
      </c>
      <c r="K29" s="77"/>
      <c r="L29" s="77">
        <v>8</v>
      </c>
      <c r="M29" s="77"/>
      <c r="N29" s="71">
        <f>+J29*G29</f>
        <v>48</v>
      </c>
      <c r="O29" s="71"/>
      <c r="P29" s="78">
        <f>+L29*G29</f>
        <v>24</v>
      </c>
      <c r="Q29" s="78"/>
      <c r="R29"/>
      <c r="S29"/>
      <c r="T29"/>
      <c r="AA29"/>
      <c r="AB29" s="5">
        <v>3</v>
      </c>
      <c r="AC29" s="88">
        <v>0.1</v>
      </c>
      <c r="AD29" s="88"/>
      <c r="AE29" s="88">
        <f>+AE28+AC29</f>
        <v>0.15000000000000002</v>
      </c>
      <c r="AF29" s="88"/>
      <c r="AG29" s="88" t="s">
        <v>79</v>
      </c>
      <c r="AH29" s="88"/>
      <c r="AI29"/>
      <c r="AJ29"/>
    </row>
    <row r="30" spans="2:47" ht="23.25">
      <c r="C30" s="89" t="s">
        <v>80</v>
      </c>
      <c r="D30" s="90"/>
      <c r="E30" s="91"/>
      <c r="F30" s="92">
        <f>+N30/E29</f>
        <v>56</v>
      </c>
      <c r="G30" s="92"/>
      <c r="H30" s="92"/>
      <c r="I30" s="49"/>
      <c r="J30" s="93" t="s">
        <v>81</v>
      </c>
      <c r="K30" s="93"/>
      <c r="L30" s="93"/>
      <c r="M30" s="93"/>
      <c r="N30" s="94">
        <f>SUM(N17:Q29)</f>
        <v>1064</v>
      </c>
      <c r="O30" s="94"/>
      <c r="P30" s="94"/>
      <c r="Q30" s="94"/>
      <c r="R30"/>
      <c r="S30"/>
      <c r="T30"/>
      <c r="AA30"/>
      <c r="AB30" s="5">
        <v>5</v>
      </c>
      <c r="AC30" s="88">
        <v>0.5</v>
      </c>
      <c r="AD30" s="88"/>
      <c r="AE30" s="88">
        <f>+AE29+AC30</f>
        <v>0.65</v>
      </c>
      <c r="AF30" s="88"/>
      <c r="AG30" s="88" t="s">
        <v>82</v>
      </c>
      <c r="AH30" s="88"/>
      <c r="AI30"/>
      <c r="AJ30"/>
    </row>
    <row r="31" spans="2:47">
      <c r="C31"/>
      <c r="D31"/>
      <c r="E31"/>
      <c r="F31"/>
      <c r="G31"/>
      <c r="H31"/>
      <c r="I31"/>
      <c r="J31"/>
      <c r="K31"/>
      <c r="L31"/>
      <c r="M31"/>
      <c r="N31"/>
      <c r="O31"/>
      <c r="P31"/>
      <c r="Q31"/>
      <c r="R31"/>
      <c r="S31"/>
      <c r="T31"/>
      <c r="AA31"/>
      <c r="AB31" s="5">
        <v>7</v>
      </c>
      <c r="AC31" s="88">
        <v>0.35</v>
      </c>
      <c r="AD31" s="88"/>
      <c r="AE31" s="88">
        <f>+AE30+AC31</f>
        <v>1</v>
      </c>
      <c r="AF31" s="88"/>
      <c r="AG31" s="88" t="s">
        <v>83</v>
      </c>
      <c r="AH31" s="88"/>
      <c r="AI31"/>
      <c r="AJ31"/>
    </row>
    <row r="32" spans="2:47">
      <c r="B32" s="37">
        <v>0</v>
      </c>
      <c r="C32" s="37">
        <v>1</v>
      </c>
      <c r="D32" s="37">
        <v>2</v>
      </c>
      <c r="E32" s="37">
        <v>3</v>
      </c>
      <c r="F32" s="37">
        <v>4</v>
      </c>
      <c r="G32" s="37">
        <v>5</v>
      </c>
      <c r="H32" s="37">
        <v>6</v>
      </c>
      <c r="I32" s="37">
        <v>7</v>
      </c>
      <c r="J32" s="37">
        <v>8</v>
      </c>
      <c r="K32" s="37">
        <v>9</v>
      </c>
      <c r="L32" s="37">
        <v>10</v>
      </c>
      <c r="M32" s="37">
        <v>11</v>
      </c>
      <c r="N32" s="37">
        <v>12</v>
      </c>
      <c r="O32" s="37">
        <v>13</v>
      </c>
      <c r="P32" s="37">
        <v>14</v>
      </c>
      <c r="Q32" s="37">
        <v>15</v>
      </c>
      <c r="R32" s="37">
        <v>16</v>
      </c>
      <c r="S32" s="37">
        <v>17</v>
      </c>
      <c r="T32" s="37">
        <v>18</v>
      </c>
      <c r="U32" s="37">
        <v>19</v>
      </c>
      <c r="AA32"/>
      <c r="AB32"/>
      <c r="AC32"/>
      <c r="AD32"/>
      <c r="AE32"/>
      <c r="AF32"/>
      <c r="AG32"/>
      <c r="AH32"/>
      <c r="AI32"/>
      <c r="AJ32"/>
    </row>
    <row r="33" spans="2:43" ht="30" customHeight="1">
      <c r="AA33"/>
      <c r="AB33" s="95" t="s">
        <v>84</v>
      </c>
      <c r="AC33" s="95"/>
      <c r="AD33" s="95" t="s">
        <v>85</v>
      </c>
      <c r="AE33" s="95"/>
      <c r="AF33" s="87" t="s">
        <v>86</v>
      </c>
      <c r="AG33" s="96" t="s">
        <v>74</v>
      </c>
      <c r="AH33" s="97" t="s">
        <v>87</v>
      </c>
      <c r="AI33" s="97"/>
      <c r="AJ33" s="6" t="s">
        <v>88</v>
      </c>
      <c r="AK33" s="97" t="s">
        <v>89</v>
      </c>
      <c r="AL33" s="97"/>
      <c r="AM33" s="97" t="s">
        <v>90</v>
      </c>
      <c r="AN33" s="97"/>
      <c r="AO33" s="97"/>
      <c r="AP33" s="98" t="s">
        <v>91</v>
      </c>
      <c r="AQ33" s="98"/>
    </row>
    <row r="34" spans="2:43" ht="19.5" thickBot="1">
      <c r="G34" s="99">
        <v>4.8</v>
      </c>
      <c r="H34" s="99"/>
      <c r="I34" s="99">
        <v>19.2</v>
      </c>
      <c r="AA34"/>
      <c r="AB34" s="100">
        <v>1</v>
      </c>
      <c r="AC34" s="100"/>
      <c r="AD34" s="88">
        <v>0.03</v>
      </c>
      <c r="AE34" s="88"/>
      <c r="AF34" s="5">
        <v>4</v>
      </c>
      <c r="AG34" s="101">
        <v>1</v>
      </c>
      <c r="AH34" s="95">
        <v>4</v>
      </c>
      <c r="AI34" s="95"/>
      <c r="AJ34" s="6">
        <v>0</v>
      </c>
      <c r="AK34" s="88">
        <f t="shared" ref="AK34:AK43" si="1">+AM34-AH34</f>
        <v>0</v>
      </c>
      <c r="AL34" s="88"/>
      <c r="AM34" s="95">
        <f>+AH34</f>
        <v>4</v>
      </c>
      <c r="AN34" s="95"/>
      <c r="AO34" s="95"/>
      <c r="AP34" s="95">
        <f t="shared" ref="AP34:AP43" si="2">+AM34+AG34</f>
        <v>5</v>
      </c>
      <c r="AQ34" s="95"/>
    </row>
    <row r="35" spans="2:43">
      <c r="F35" s="102"/>
      <c r="G35" s="103">
        <v>18</v>
      </c>
      <c r="H35" s="104">
        <v>18</v>
      </c>
      <c r="J35" s="105"/>
      <c r="K35" s="105"/>
      <c r="L35" s="105"/>
      <c r="M35" s="105"/>
      <c r="N35" s="106"/>
      <c r="AA35"/>
      <c r="AB35" s="100">
        <v>2</v>
      </c>
      <c r="AC35" s="100"/>
      <c r="AD35" s="88">
        <v>0.05</v>
      </c>
      <c r="AE35" s="88"/>
      <c r="AF35" s="5">
        <v>4</v>
      </c>
      <c r="AG35" s="101">
        <v>1</v>
      </c>
      <c r="AH35" s="95">
        <f t="shared" ref="AH35:AH43" si="3">+AH34+AF35</f>
        <v>8</v>
      </c>
      <c r="AI35" s="95"/>
      <c r="AJ35" s="6">
        <v>0</v>
      </c>
      <c r="AK35" s="88">
        <f t="shared" si="1"/>
        <v>0</v>
      </c>
      <c r="AL35" s="88"/>
      <c r="AM35" s="95">
        <v>8</v>
      </c>
      <c r="AN35" s="95"/>
      <c r="AO35" s="95"/>
      <c r="AP35" s="95">
        <f t="shared" si="2"/>
        <v>9</v>
      </c>
      <c r="AQ35" s="95"/>
    </row>
    <row r="36" spans="2:43">
      <c r="C36" s="99">
        <v>16</v>
      </c>
      <c r="D36" s="99"/>
      <c r="E36" s="99"/>
      <c r="F36" s="107">
        <v>64</v>
      </c>
      <c r="G36" s="107">
        <v>11.2</v>
      </c>
      <c r="H36" s="99"/>
      <c r="I36" s="99"/>
      <c r="J36" s="107">
        <v>44.8</v>
      </c>
      <c r="K36" s="107">
        <v>12.8</v>
      </c>
      <c r="L36" s="107"/>
      <c r="M36" s="107"/>
      <c r="N36" s="107">
        <v>51.2</v>
      </c>
      <c r="O36" s="107">
        <v>8</v>
      </c>
      <c r="P36" s="99"/>
      <c r="Q36" s="99"/>
      <c r="R36" s="108">
        <v>32</v>
      </c>
      <c r="S36" s="99">
        <v>2.4</v>
      </c>
      <c r="T36" s="99"/>
      <c r="U36" s="99">
        <v>9.6</v>
      </c>
      <c r="V36" s="99"/>
      <c r="W36" s="99"/>
      <c r="X36" s="99"/>
      <c r="AA36"/>
      <c r="AB36" s="100">
        <v>3</v>
      </c>
      <c r="AC36" s="100"/>
      <c r="AD36" s="88">
        <v>0.12</v>
      </c>
      <c r="AE36" s="88"/>
      <c r="AF36" s="5">
        <v>4</v>
      </c>
      <c r="AG36" s="101">
        <v>3</v>
      </c>
      <c r="AH36" s="95">
        <f t="shared" si="3"/>
        <v>12</v>
      </c>
      <c r="AI36" s="95"/>
      <c r="AJ36" s="6">
        <v>0</v>
      </c>
      <c r="AK36" s="88">
        <f t="shared" si="1"/>
        <v>0</v>
      </c>
      <c r="AL36" s="88"/>
      <c r="AM36" s="95">
        <v>12</v>
      </c>
      <c r="AN36" s="95"/>
      <c r="AO36" s="95"/>
      <c r="AP36" s="95">
        <f t="shared" si="2"/>
        <v>15</v>
      </c>
      <c r="AQ36" s="95"/>
    </row>
    <row r="37" spans="2:43">
      <c r="B37" s="102"/>
      <c r="C37" s="103">
        <v>20</v>
      </c>
      <c r="D37" s="104">
        <v>20</v>
      </c>
      <c r="F37" s="66"/>
      <c r="G37" s="104">
        <v>24</v>
      </c>
      <c r="H37" s="104">
        <v>24</v>
      </c>
      <c r="I37" s="109"/>
      <c r="J37" s="110"/>
      <c r="K37" s="111">
        <v>36</v>
      </c>
      <c r="L37" s="104">
        <v>36</v>
      </c>
      <c r="N37" s="109"/>
      <c r="O37" s="111">
        <v>24</v>
      </c>
      <c r="P37" s="104">
        <v>24</v>
      </c>
      <c r="S37" s="104">
        <v>15</v>
      </c>
      <c r="T37" s="111">
        <v>15</v>
      </c>
      <c r="U37" s="102"/>
      <c r="V37" s="109"/>
      <c r="W37" s="109"/>
      <c r="X37" s="109"/>
      <c r="AA37"/>
      <c r="AB37" s="100">
        <v>4</v>
      </c>
      <c r="AC37" s="100"/>
      <c r="AD37" s="88">
        <v>0.91</v>
      </c>
      <c r="AE37" s="88"/>
      <c r="AF37" s="5">
        <v>4</v>
      </c>
      <c r="AG37" s="101">
        <v>7</v>
      </c>
      <c r="AH37" s="95">
        <f t="shared" si="3"/>
        <v>16</v>
      </c>
      <c r="AI37" s="95"/>
      <c r="AJ37" s="6">
        <v>0</v>
      </c>
      <c r="AK37" s="88">
        <f t="shared" si="1"/>
        <v>0</v>
      </c>
      <c r="AL37" s="88"/>
      <c r="AM37" s="95">
        <v>16</v>
      </c>
      <c r="AN37" s="95"/>
      <c r="AO37" s="95"/>
      <c r="AP37" s="95">
        <f t="shared" si="2"/>
        <v>23</v>
      </c>
      <c r="AQ37" s="95"/>
    </row>
    <row r="38" spans="2:43" ht="19.5" thickBot="1">
      <c r="B38" s="102"/>
      <c r="C38" s="112">
        <v>14.4</v>
      </c>
      <c r="D38" s="99"/>
      <c r="E38" s="99"/>
      <c r="F38" s="99"/>
      <c r="G38" s="99"/>
      <c r="H38" s="99">
        <v>57.6</v>
      </c>
      <c r="I38" s="113"/>
      <c r="J38" s="114"/>
      <c r="K38" s="99">
        <v>4.8</v>
      </c>
      <c r="L38" s="99">
        <v>19.2</v>
      </c>
      <c r="N38" s="102"/>
      <c r="O38" s="112">
        <v>16</v>
      </c>
      <c r="P38" s="99">
        <v>6.4</v>
      </c>
      <c r="Q38" s="115"/>
      <c r="R38" s="115"/>
      <c r="S38" s="108">
        <v>25.6</v>
      </c>
      <c r="T38" s="113"/>
      <c r="U38" s="114"/>
      <c r="V38" s="109"/>
      <c r="W38" s="109"/>
      <c r="X38" s="109"/>
      <c r="AA38"/>
      <c r="AB38" s="100">
        <v>5</v>
      </c>
      <c r="AC38" s="100"/>
      <c r="AD38" s="88">
        <v>0.31</v>
      </c>
      <c r="AE38" s="88"/>
      <c r="AF38" s="5">
        <v>4</v>
      </c>
      <c r="AG38" s="101">
        <v>5</v>
      </c>
      <c r="AH38" s="98">
        <f t="shared" si="3"/>
        <v>20</v>
      </c>
      <c r="AI38" s="98"/>
      <c r="AJ38" s="6">
        <v>1</v>
      </c>
      <c r="AK38" s="88">
        <f t="shared" si="1"/>
        <v>3</v>
      </c>
      <c r="AL38" s="88"/>
      <c r="AM38" s="95">
        <f t="shared" ref="AM38:AM43" si="4">+AP37</f>
        <v>23</v>
      </c>
      <c r="AN38" s="95"/>
      <c r="AO38" s="95"/>
      <c r="AP38" s="95">
        <f t="shared" si="2"/>
        <v>28</v>
      </c>
      <c r="AQ38" s="95"/>
    </row>
    <row r="39" spans="2:43" ht="19.5" thickBot="1">
      <c r="C39" s="104">
        <v>42</v>
      </c>
      <c r="D39" s="104">
        <v>42</v>
      </c>
      <c r="H39" s="66"/>
      <c r="K39" s="104">
        <v>20</v>
      </c>
      <c r="L39" s="111">
        <v>20</v>
      </c>
      <c r="M39" s="107">
        <v>8</v>
      </c>
      <c r="N39" s="99">
        <v>32</v>
      </c>
      <c r="O39" s="116">
        <v>7</v>
      </c>
      <c r="P39" s="104">
        <f>24+7</f>
        <v>31</v>
      </c>
      <c r="Q39" s="104">
        <v>24</v>
      </c>
      <c r="S39" s="109"/>
      <c r="T39" s="109"/>
      <c r="U39" s="102"/>
      <c r="V39" s="109"/>
      <c r="W39" s="109"/>
      <c r="X39" s="109"/>
      <c r="AA39"/>
      <c r="AB39" s="100">
        <v>6</v>
      </c>
      <c r="AC39" s="100"/>
      <c r="AD39" s="88">
        <v>0.3</v>
      </c>
      <c r="AE39" s="88"/>
      <c r="AF39" s="5">
        <v>4</v>
      </c>
      <c r="AG39" s="101">
        <v>5</v>
      </c>
      <c r="AH39" s="95">
        <f t="shared" si="3"/>
        <v>24</v>
      </c>
      <c r="AI39" s="95"/>
      <c r="AJ39" s="6">
        <v>1</v>
      </c>
      <c r="AK39" s="88">
        <f t="shared" si="1"/>
        <v>4</v>
      </c>
      <c r="AL39" s="88"/>
      <c r="AM39" s="95">
        <f t="shared" si="4"/>
        <v>28</v>
      </c>
      <c r="AN39" s="95"/>
      <c r="AO39" s="95"/>
      <c r="AP39" s="95">
        <f t="shared" si="2"/>
        <v>33</v>
      </c>
      <c r="AQ39" s="95"/>
    </row>
    <row r="40" spans="2:43">
      <c r="L40" s="102"/>
      <c r="M40" s="103">
        <v>9</v>
      </c>
      <c r="N40" s="104">
        <v>9</v>
      </c>
      <c r="U40" s="102"/>
      <c r="V40" s="109"/>
      <c r="W40" s="109"/>
      <c r="X40" s="109"/>
      <c r="AA40"/>
      <c r="AB40" s="100">
        <v>7</v>
      </c>
      <c r="AC40" s="100"/>
      <c r="AD40" s="88">
        <v>0.69</v>
      </c>
      <c r="AE40" s="88"/>
      <c r="AF40" s="5">
        <v>4</v>
      </c>
      <c r="AG40" s="101">
        <v>7</v>
      </c>
      <c r="AH40" s="95">
        <f t="shared" si="3"/>
        <v>28</v>
      </c>
      <c r="AI40" s="95"/>
      <c r="AJ40" s="6">
        <v>2</v>
      </c>
      <c r="AK40" s="88">
        <f t="shared" si="1"/>
        <v>5</v>
      </c>
      <c r="AL40" s="88"/>
      <c r="AM40" s="95">
        <f t="shared" si="4"/>
        <v>33</v>
      </c>
      <c r="AN40" s="95"/>
      <c r="AO40" s="95"/>
      <c r="AP40" s="95">
        <f t="shared" si="2"/>
        <v>40</v>
      </c>
      <c r="AQ40" s="95"/>
    </row>
    <row r="41" spans="2:43" ht="19.5" thickBot="1">
      <c r="L41" s="102"/>
      <c r="M41" s="112">
        <v>4.8</v>
      </c>
      <c r="N41" s="99"/>
      <c r="O41" s="99">
        <v>19.2</v>
      </c>
      <c r="P41" s="117">
        <v>9.6</v>
      </c>
      <c r="Q41" s="115"/>
      <c r="R41" s="99">
        <v>38.4</v>
      </c>
      <c r="S41" s="113"/>
      <c r="T41" s="113"/>
      <c r="U41" s="114"/>
      <c r="V41" s="109"/>
      <c r="W41" s="109"/>
      <c r="X41" s="109"/>
      <c r="AA41"/>
      <c r="AB41" s="100">
        <v>8</v>
      </c>
      <c r="AC41" s="100"/>
      <c r="AD41" s="88">
        <v>0.21</v>
      </c>
      <c r="AE41" s="88"/>
      <c r="AF41" s="5">
        <v>4</v>
      </c>
      <c r="AG41" s="101">
        <v>5</v>
      </c>
      <c r="AH41" s="95">
        <f t="shared" si="3"/>
        <v>32</v>
      </c>
      <c r="AI41" s="95"/>
      <c r="AJ41" s="6">
        <v>2</v>
      </c>
      <c r="AK41" s="88">
        <f t="shared" si="1"/>
        <v>8</v>
      </c>
      <c r="AL41" s="88"/>
      <c r="AM41" s="95">
        <f t="shared" si="4"/>
        <v>40</v>
      </c>
      <c r="AN41" s="95"/>
      <c r="AO41" s="95"/>
      <c r="AP41" s="95">
        <f t="shared" si="2"/>
        <v>45</v>
      </c>
      <c r="AQ41" s="95"/>
    </row>
    <row r="42" spans="2:43">
      <c r="M42" s="104">
        <v>15</v>
      </c>
      <c r="N42" s="104">
        <v>15</v>
      </c>
      <c r="P42" s="104">
        <v>12</v>
      </c>
      <c r="Q42" s="104">
        <v>12</v>
      </c>
      <c r="AA42"/>
      <c r="AB42" s="100">
        <v>9</v>
      </c>
      <c r="AC42" s="100"/>
      <c r="AD42" s="88">
        <v>0.06</v>
      </c>
      <c r="AE42" s="88"/>
      <c r="AF42" s="5">
        <v>4</v>
      </c>
      <c r="AG42" s="101">
        <v>3</v>
      </c>
      <c r="AH42" s="95">
        <f t="shared" si="3"/>
        <v>36</v>
      </c>
      <c r="AI42" s="95"/>
      <c r="AJ42" s="118">
        <v>3</v>
      </c>
      <c r="AK42" s="88">
        <f t="shared" si="1"/>
        <v>9</v>
      </c>
      <c r="AL42" s="88"/>
      <c r="AM42" s="95">
        <f t="shared" si="4"/>
        <v>45</v>
      </c>
      <c r="AN42" s="95"/>
      <c r="AO42" s="95"/>
      <c r="AP42" s="95">
        <f t="shared" si="2"/>
        <v>48</v>
      </c>
      <c r="AQ42" s="95"/>
    </row>
    <row r="43" spans="2:43">
      <c r="M43" s="66"/>
      <c r="N43" s="66"/>
      <c r="P43" s="66"/>
      <c r="Q43" s="66"/>
      <c r="AA43"/>
      <c r="AB43" s="100">
        <v>10</v>
      </c>
      <c r="AC43" s="100"/>
      <c r="AD43" s="88">
        <v>0.75</v>
      </c>
      <c r="AE43" s="88"/>
      <c r="AF43" s="5">
        <v>4</v>
      </c>
      <c r="AG43" s="101">
        <v>7</v>
      </c>
      <c r="AH43" s="95">
        <f t="shared" si="3"/>
        <v>40</v>
      </c>
      <c r="AI43" s="95"/>
      <c r="AJ43" s="118">
        <v>2</v>
      </c>
      <c r="AK43" s="88">
        <f t="shared" si="1"/>
        <v>8</v>
      </c>
      <c r="AL43" s="88"/>
      <c r="AM43" s="95">
        <f t="shared" si="4"/>
        <v>48</v>
      </c>
      <c r="AN43" s="95"/>
      <c r="AO43" s="95"/>
      <c r="AP43" s="95">
        <f t="shared" si="2"/>
        <v>55</v>
      </c>
      <c r="AQ43" s="95"/>
    </row>
    <row r="44" spans="2:43">
      <c r="C44" s="109">
        <f t="shared" ref="C44:U44" si="5">SUM(C34:C42)</f>
        <v>92.4</v>
      </c>
      <c r="D44" s="109">
        <f t="shared" si="5"/>
        <v>62</v>
      </c>
      <c r="E44" s="109">
        <f t="shared" si="5"/>
        <v>0</v>
      </c>
      <c r="F44" s="109">
        <f t="shared" si="5"/>
        <v>64</v>
      </c>
      <c r="G44" s="109">
        <f t="shared" si="5"/>
        <v>58</v>
      </c>
      <c r="H44" s="109">
        <f t="shared" si="5"/>
        <v>99.6</v>
      </c>
      <c r="I44" s="109">
        <f t="shared" si="5"/>
        <v>19.2</v>
      </c>
      <c r="J44" s="109">
        <f t="shared" si="5"/>
        <v>44.8</v>
      </c>
      <c r="K44" s="109">
        <f t="shared" si="5"/>
        <v>73.599999999999994</v>
      </c>
      <c r="L44" s="109">
        <f t="shared" si="5"/>
        <v>75.2</v>
      </c>
      <c r="M44" s="109">
        <f t="shared" si="5"/>
        <v>36.799999999999997</v>
      </c>
      <c r="N44" s="109">
        <f t="shared" si="5"/>
        <v>107.2</v>
      </c>
      <c r="O44" s="109">
        <f t="shared" si="5"/>
        <v>74.2</v>
      </c>
      <c r="P44" s="109">
        <f t="shared" si="5"/>
        <v>83</v>
      </c>
      <c r="Q44" s="109">
        <f t="shared" si="5"/>
        <v>36</v>
      </c>
      <c r="R44" s="109">
        <f t="shared" si="5"/>
        <v>70.400000000000006</v>
      </c>
      <c r="S44" s="109">
        <f t="shared" si="5"/>
        <v>43</v>
      </c>
      <c r="T44" s="109">
        <f t="shared" si="5"/>
        <v>15</v>
      </c>
      <c r="U44" s="109">
        <f t="shared" si="5"/>
        <v>9.6</v>
      </c>
      <c r="V44" s="109"/>
      <c r="W44" s="109"/>
      <c r="X44" s="109"/>
      <c r="AA44"/>
      <c r="AB44"/>
      <c r="AC44"/>
      <c r="AD44"/>
      <c r="AE44"/>
      <c r="AF44"/>
      <c r="AG44"/>
      <c r="AH44"/>
      <c r="AI44"/>
      <c r="AJ44"/>
    </row>
    <row r="45" spans="2:43">
      <c r="C45" s="109"/>
      <c r="D45" s="109"/>
      <c r="E45" s="109"/>
      <c r="F45" s="109"/>
      <c r="G45" s="109"/>
      <c r="H45" s="109"/>
      <c r="I45" s="109"/>
      <c r="J45" s="109"/>
      <c r="K45" s="109"/>
      <c r="L45" s="109"/>
      <c r="M45" s="109"/>
      <c r="N45" s="109"/>
      <c r="O45" s="109"/>
      <c r="P45" s="109"/>
      <c r="Q45" s="109"/>
      <c r="R45" s="109"/>
      <c r="S45" s="109"/>
      <c r="T45" s="109"/>
      <c r="U45" s="109"/>
      <c r="V45" s="109"/>
      <c r="W45" s="109"/>
      <c r="X45" s="109"/>
      <c r="AA45"/>
      <c r="AB45"/>
      <c r="AC45"/>
      <c r="AD45"/>
      <c r="AE45"/>
      <c r="AF45"/>
      <c r="AJ45" s="119" t="s">
        <v>92</v>
      </c>
      <c r="AK45" s="120">
        <f>+AVERAGE(AK34:AK43)</f>
        <v>3.7</v>
      </c>
      <c r="AL45" s="121"/>
      <c r="AM45" t="s">
        <v>93</v>
      </c>
    </row>
    <row r="56" spans="2:24" ht="19.5" thickBot="1">
      <c r="C56" s="122"/>
      <c r="D56" s="122"/>
      <c r="E56" s="122"/>
      <c r="F56" s="122"/>
      <c r="G56" s="122"/>
      <c r="H56" s="122"/>
      <c r="I56" s="122"/>
      <c r="J56" s="122"/>
      <c r="K56" s="122"/>
      <c r="L56" s="122"/>
      <c r="M56" s="122"/>
      <c r="N56" s="122"/>
      <c r="O56" s="122"/>
      <c r="P56" s="122"/>
      <c r="Q56" s="122"/>
      <c r="R56" s="122"/>
      <c r="S56" s="122"/>
      <c r="T56" s="122"/>
      <c r="U56" s="122"/>
      <c r="V56" s="109"/>
      <c r="W56" s="109"/>
      <c r="X56" s="109"/>
    </row>
    <row r="57" spans="2:24">
      <c r="B57" s="37">
        <v>0</v>
      </c>
      <c r="C57" s="123">
        <v>1</v>
      </c>
      <c r="D57" s="123">
        <v>2</v>
      </c>
      <c r="E57" s="123">
        <v>3</v>
      </c>
      <c r="F57" s="123">
        <v>4</v>
      </c>
      <c r="G57" s="123">
        <v>5</v>
      </c>
      <c r="H57" s="123">
        <v>6</v>
      </c>
      <c r="I57" s="123">
        <v>7</v>
      </c>
      <c r="J57" s="123">
        <v>8</v>
      </c>
      <c r="K57" s="123">
        <v>9</v>
      </c>
      <c r="L57" s="123">
        <v>10</v>
      </c>
      <c r="M57" s="123">
        <v>11</v>
      </c>
      <c r="N57" s="123">
        <v>12</v>
      </c>
      <c r="O57" s="123">
        <v>13</v>
      </c>
      <c r="P57" s="123">
        <v>14</v>
      </c>
      <c r="Q57" s="123">
        <v>15</v>
      </c>
      <c r="R57" s="123">
        <v>16</v>
      </c>
      <c r="S57" s="123">
        <v>17</v>
      </c>
      <c r="T57" s="123">
        <v>18</v>
      </c>
      <c r="U57" s="123">
        <v>19</v>
      </c>
      <c r="V57" s="109"/>
      <c r="W57" s="109"/>
      <c r="X57" s="109"/>
    </row>
  </sheetData>
  <mergeCells count="157">
    <mergeCell ref="AK45:AL45"/>
    <mergeCell ref="AB43:AC43"/>
    <mergeCell ref="AD43:AE43"/>
    <mergeCell ref="AH43:AI43"/>
    <mergeCell ref="AK43:AL43"/>
    <mergeCell ref="AM43:AO43"/>
    <mergeCell ref="AP43:AQ43"/>
    <mergeCell ref="AB42:AC42"/>
    <mergeCell ref="AD42:AE42"/>
    <mergeCell ref="AH42:AI42"/>
    <mergeCell ref="AK42:AL42"/>
    <mergeCell ref="AM42:AO42"/>
    <mergeCell ref="AP42:AQ42"/>
    <mergeCell ref="AB41:AC41"/>
    <mergeCell ref="AD41:AE41"/>
    <mergeCell ref="AH41:AI41"/>
    <mergeCell ref="AK41:AL41"/>
    <mergeCell ref="AM41:AO41"/>
    <mergeCell ref="AP41:AQ41"/>
    <mergeCell ref="AB40:AC40"/>
    <mergeCell ref="AD40:AE40"/>
    <mergeCell ref="AH40:AI40"/>
    <mergeCell ref="AK40:AL40"/>
    <mergeCell ref="AM40:AO40"/>
    <mergeCell ref="AP40:AQ40"/>
    <mergeCell ref="AB39:AC39"/>
    <mergeCell ref="AD39:AE39"/>
    <mergeCell ref="AH39:AI39"/>
    <mergeCell ref="AK39:AL39"/>
    <mergeCell ref="AM39:AO39"/>
    <mergeCell ref="AP39:AQ39"/>
    <mergeCell ref="AB38:AC38"/>
    <mergeCell ref="AD38:AE38"/>
    <mergeCell ref="AH38:AI38"/>
    <mergeCell ref="AK38:AL38"/>
    <mergeCell ref="AM38:AO38"/>
    <mergeCell ref="AP38:AQ38"/>
    <mergeCell ref="AB37:AC37"/>
    <mergeCell ref="AD37:AE37"/>
    <mergeCell ref="AH37:AI37"/>
    <mergeCell ref="AK37:AL37"/>
    <mergeCell ref="AM37:AO37"/>
    <mergeCell ref="AP37:AQ37"/>
    <mergeCell ref="AB36:AC36"/>
    <mergeCell ref="AD36:AE36"/>
    <mergeCell ref="AH36:AI36"/>
    <mergeCell ref="AK36:AL36"/>
    <mergeCell ref="AM36:AO36"/>
    <mergeCell ref="AP36:AQ36"/>
    <mergeCell ref="AB35:AC35"/>
    <mergeCell ref="AD35:AE35"/>
    <mergeCell ref="AH35:AI35"/>
    <mergeCell ref="AK35:AL35"/>
    <mergeCell ref="AM35:AO35"/>
    <mergeCell ref="AP35:AQ35"/>
    <mergeCell ref="AK33:AL33"/>
    <mergeCell ref="AM33:AO33"/>
    <mergeCell ref="AP33:AQ33"/>
    <mergeCell ref="AB34:AC34"/>
    <mergeCell ref="AD34:AE34"/>
    <mergeCell ref="AH34:AI34"/>
    <mergeCell ref="AK34:AL34"/>
    <mergeCell ref="AM34:AO34"/>
    <mergeCell ref="AP34:AQ34"/>
    <mergeCell ref="AC31:AD31"/>
    <mergeCell ref="AE31:AF31"/>
    <mergeCell ref="AG31:AH31"/>
    <mergeCell ref="AB33:AC33"/>
    <mergeCell ref="AD33:AE33"/>
    <mergeCell ref="AH33:AI33"/>
    <mergeCell ref="AG29:AH29"/>
    <mergeCell ref="C30:E30"/>
    <mergeCell ref="F30:H30"/>
    <mergeCell ref="J30:M30"/>
    <mergeCell ref="N30:Q30"/>
    <mergeCell ref="AC30:AD30"/>
    <mergeCell ref="AE30:AF30"/>
    <mergeCell ref="AG30:AH30"/>
    <mergeCell ref="J29:K29"/>
    <mergeCell ref="L29:M29"/>
    <mergeCell ref="N29:O29"/>
    <mergeCell ref="P29:Q29"/>
    <mergeCell ref="AC29:AD29"/>
    <mergeCell ref="AE29:AF29"/>
    <mergeCell ref="AC27:AD27"/>
    <mergeCell ref="AE27:AF27"/>
    <mergeCell ref="AG27:AH27"/>
    <mergeCell ref="J28:K28"/>
    <mergeCell ref="L28:M28"/>
    <mergeCell ref="N28:O28"/>
    <mergeCell ref="P28:Q28"/>
    <mergeCell ref="AC28:AD28"/>
    <mergeCell ref="AE28:AF28"/>
    <mergeCell ref="AG28:AH28"/>
    <mergeCell ref="J26:K26"/>
    <mergeCell ref="L26:M26"/>
    <mergeCell ref="N26:O26"/>
    <mergeCell ref="P26:Q26"/>
    <mergeCell ref="J27:K27"/>
    <mergeCell ref="L27:M27"/>
    <mergeCell ref="N27:O27"/>
    <mergeCell ref="P27:Q27"/>
    <mergeCell ref="AA23:AU25"/>
    <mergeCell ref="J24:K24"/>
    <mergeCell ref="L24:M24"/>
    <mergeCell ref="N24:O24"/>
    <mergeCell ref="P24:Q24"/>
    <mergeCell ref="J25:K25"/>
    <mergeCell ref="L25:M25"/>
    <mergeCell ref="N25:O25"/>
    <mergeCell ref="P25:Q25"/>
    <mergeCell ref="J22:K22"/>
    <mergeCell ref="L22:M22"/>
    <mergeCell ref="N22:O22"/>
    <mergeCell ref="P22:Q22"/>
    <mergeCell ref="J23:K23"/>
    <mergeCell ref="L23:M23"/>
    <mergeCell ref="N23:O23"/>
    <mergeCell ref="P23:Q23"/>
    <mergeCell ref="J20:K20"/>
    <mergeCell ref="L20:M20"/>
    <mergeCell ref="N20:O20"/>
    <mergeCell ref="P20:Q20"/>
    <mergeCell ref="J21:K21"/>
    <mergeCell ref="L21:M21"/>
    <mergeCell ref="N21:O21"/>
    <mergeCell ref="P21:Q21"/>
    <mergeCell ref="J18:K18"/>
    <mergeCell ref="L18:M18"/>
    <mergeCell ref="N18:O18"/>
    <mergeCell ref="P18:Q18"/>
    <mergeCell ref="J19:K19"/>
    <mergeCell ref="L19:M19"/>
    <mergeCell ref="N19:O19"/>
    <mergeCell ref="P19:Q19"/>
    <mergeCell ref="C16:D16"/>
    <mergeCell ref="J16:K16"/>
    <mergeCell ref="L16:M16"/>
    <mergeCell ref="N16:O16"/>
    <mergeCell ref="P16:Q16"/>
    <mergeCell ref="J17:K17"/>
    <mergeCell ref="L17:M17"/>
    <mergeCell ref="N17:O17"/>
    <mergeCell ref="P17:Q17"/>
    <mergeCell ref="C9:C10"/>
    <mergeCell ref="O9:O10"/>
    <mergeCell ref="S9:S10"/>
    <mergeCell ref="G13:G14"/>
    <mergeCell ref="K13:K14"/>
    <mergeCell ref="O13:O14"/>
    <mergeCell ref="A1:P1"/>
    <mergeCell ref="AG4:AH4"/>
    <mergeCell ref="AL4:AM4"/>
    <mergeCell ref="AP4:AQ4"/>
    <mergeCell ref="G5:G6"/>
    <mergeCell ref="K5:K6"/>
    <mergeCell ref="O5:O6"/>
  </mergeCells>
  <conditionalFormatting sqref="I17:J24 J25:J29 L17:L29 I27 N17:N29 P17:P29">
    <cfRule type="cellIs" dxfId="0" priority="1" operator="equal">
      <formula>"SI"</formula>
    </cfRule>
  </conditionalFormatting>
  <printOptions horizontalCentered="1"/>
  <pageMargins left="0.31496062992125984" right="0" top="0" bottom="0" header="0.31496062992125984" footer="0.31496062992125984"/>
  <pageSetup paperSize="9" scale="53" fitToWidth="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Tema Unico</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cp:lastModifiedBy>
  <cp:lastPrinted>2018-12-09T19:24:36Z</cp:lastPrinted>
  <dcterms:created xsi:type="dcterms:W3CDTF">2018-04-20T22:08:32Z</dcterms:created>
  <dcterms:modified xsi:type="dcterms:W3CDTF">2018-12-09T19:24:46Z</dcterms:modified>
</cp:coreProperties>
</file>