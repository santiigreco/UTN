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75" windowWidth="11715" windowHeight="4680"/>
  </bookViews>
  <sheets>
    <sheet name="Tema A" sheetId="5" r:id="rId1"/>
    <sheet name="Tema B" sheetId="7" r:id="rId2"/>
    <sheet name="Solución" sheetId="9" r:id="rId3"/>
  </sheets>
  <calcPr calcId="125725"/>
</workbook>
</file>

<file path=xl/calcChain.xml><?xml version="1.0" encoding="utf-8"?>
<calcChain xmlns="http://schemas.openxmlformats.org/spreadsheetml/2006/main">
  <c r="D2" i="9"/>
  <c r="C2"/>
  <c r="C3" s="1"/>
  <c r="C4" s="1"/>
  <c r="C5" s="1"/>
</calcChain>
</file>

<file path=xl/sharedStrings.xml><?xml version="1.0" encoding="utf-8"?>
<sst xmlns="http://schemas.openxmlformats.org/spreadsheetml/2006/main" count="88" uniqueCount="61">
  <si>
    <t>Puntaje Obtenido</t>
  </si>
  <si>
    <t>Puntaje Total</t>
  </si>
  <si>
    <t>Nombre/s y Apellido/s:</t>
  </si>
  <si>
    <t>1° Parcial Investigación Operativa - 23/06/2018</t>
  </si>
  <si>
    <t>Explique las etapas que deben cumplirse desde la formulación hasta la implementación de un modelo de Simulación con un sistema digital.</t>
  </si>
  <si>
    <t>Indique si la siguiente afirmación es Verdadera o Falsa. En caso de ser Falsa justifique conceptualmente:
"Son homogeneas las cadenas de Markov cuyas probabilidades de transición son estacionarias"</t>
  </si>
  <si>
    <t>Tema A</t>
  </si>
  <si>
    <t>Realice el diagrama de un modelo de Filas de Espera de Cola simple, capacidad infinita y múltiples canales en paralelo. Indique, en dicho diagrama, y nombre las principales variables que lo describen.</t>
  </si>
  <si>
    <t>Explique cómo se calcula, qué valores puede tomar y para qué sirve el Margen Libre</t>
  </si>
  <si>
    <t>¿Qué es la Matriz Insumo Producto?</t>
  </si>
  <si>
    <t>¿Cuál es la utilidad de la Matriz Insumo Producto?</t>
  </si>
  <si>
    <t>Explique cómo se calcula, qué valores puede tomar y para qué sirve el Margen Independiente</t>
  </si>
  <si>
    <t>Realice el diagrama de un modelo de Filas de Espera de Cola simple, capacidad finita y un único canal. Indique, en dicho diagrama, y nombre las principales variables que lo describen.</t>
  </si>
  <si>
    <t>Tema B</t>
  </si>
  <si>
    <t>Indique si la siguiente afirmación es Verdadera o Falsa. En caso de ser Falsa justifique conceptualmente:
"Un caso especial de las Cadenas de Markov con parámetro t discreto son los llamados procesos de nacimiento y muerte."</t>
  </si>
  <si>
    <t>Explique las etapas que deben cumplirse desde la formulación hasta la implementación de un modelo de Simulación con un sistema manual.</t>
  </si>
  <si>
    <t>6.- Un shopping considera la posibilidad de instalar una nueva red de cajeros en su instalación. Dado que se desconoce la afluencia de público que va a demandar dicho servicio, coloca un único cajero durante un mes. Diariamente se recogen datos sobre los tiempos de llegadas de los clientes,
así como de los tiempos de servicio. Se ha observado que no existe otro servicio semejante en el barrio por lo que el cliente que llega, prefiere esperar a poder utilizar el cajero cuando este esté ocupado.
Tras el oportuno analisis de los datos recogidos, se estima que: (i) las llegadas siguen un proceso de Poisson; (ii) la distribucion del tiempo de servicio es exponencial; (iii) el tiempo medio transcurrido entre dos llegadas consecutivas es de 7.5 minutos; (iv) el tiempo medio de servicio es de 5 minutos por cliente.</t>
  </si>
  <si>
    <t>a.- Tiempo medio de espera de cada cliente y tamaño medio de la cola</t>
  </si>
  <si>
    <t>b.- Tiempo medio de espera de cada cliente y tamaño medio de la cola si se agrega un segundo cajero</t>
  </si>
  <si>
    <t>Punto 6 Tema A</t>
  </si>
  <si>
    <t>Sistema M/M/1 con λ = 1/7.5 y µ = 1/5. a) Wq = 10 minutos / Lq = 1.33 personas</t>
  </si>
  <si>
    <t>P0=</t>
  </si>
  <si>
    <t>λ</t>
  </si>
  <si>
    <t>µ</t>
  </si>
  <si>
    <t>Lq=</t>
  </si>
  <si>
    <t>Personas</t>
  </si>
  <si>
    <t>Wq=</t>
  </si>
  <si>
    <t>minutos</t>
  </si>
  <si>
    <t>Sistema M/M/2 con λ = 1/7.5 y µ = 1/5.</t>
  </si>
  <si>
    <t>Punto 6 Tema B</t>
  </si>
  <si>
    <t>a.- Cantidad de Individuos que fumaran 1 paquete o menos el próximo mes</t>
  </si>
  <si>
    <t>6.- En una población de 10000 habitantes, 5000 no fuman, 2500 fuman uno o
menos de un paquete diario y 2500 fuman más de un paquete diario.
Luego de una campaña anti tabaco en un mes hay un 5% de probabilidad de que un no fumador comience a fumar un paquete diario, o menos, y un 2% de que un no fumador pase a fumar más de un paquete diario. Para los que fuman un paquete o menos, hay un 10% de probabilidad de que dejen el tabaco, y un 10% de que pasen fumar más de un paquete diario. Entre los que fuman más de un paquete, hay un 5% de probabilidad de que dejen el tabaco y un 10% de que pasen a fumar un paquete o menos.</t>
  </si>
  <si>
    <t>Punto 7 Tema A</t>
  </si>
  <si>
    <t>Actividad</t>
  </si>
  <si>
    <t>Tiempo optimista</t>
  </si>
  <si>
    <t>Tiempo más probable</t>
  </si>
  <si>
    <t xml:space="preserve">Tiempo pesimista </t>
  </si>
  <si>
    <t>Actividades Precedentes</t>
  </si>
  <si>
    <t>A</t>
  </si>
  <si>
    <t>B</t>
  </si>
  <si>
    <t>C</t>
  </si>
  <si>
    <t>D</t>
  </si>
  <si>
    <t>E</t>
  </si>
  <si>
    <t>F</t>
  </si>
  <si>
    <t>G</t>
  </si>
  <si>
    <t>H</t>
  </si>
  <si>
    <t>G-H</t>
  </si>
  <si>
    <t>I</t>
  </si>
  <si>
    <t>J</t>
  </si>
  <si>
    <t>7.- Resuelva la siguiente red de proyecto e indique el camino crítico del proyecto. Justifique calculando el Margen de Flotación total:</t>
  </si>
  <si>
    <t>Punto 7 Tema B</t>
  </si>
  <si>
    <t>7.- Resuelva la siguiente red de proyecto e indique el camino crítico del proyecto. Justifique calculando el Margen de Flotación total, Libre e Independiente:</t>
  </si>
  <si>
    <t>Tiempo</t>
  </si>
  <si>
    <t>Predecesoras</t>
  </si>
  <si>
    <t>F-G</t>
  </si>
  <si>
    <t>C-H</t>
  </si>
  <si>
    <t>Tiempo total = 22</t>
  </si>
  <si>
    <t>Tiempo total = 11,7</t>
  </si>
  <si>
    <t>Punto 2 Tema A</t>
  </si>
  <si>
    <t>Punto 2 Tema B</t>
  </si>
  <si>
    <t>FALSO - Parámetro t continuo</t>
  </si>
</sst>
</file>

<file path=xl/styles.xml><?xml version="1.0" encoding="utf-8"?>
<styleSheet xmlns="http://schemas.openxmlformats.org/spreadsheetml/2006/main">
  <fonts count="10">
    <font>
      <sz val="11"/>
      <color theme="1"/>
      <name val="Calibri"/>
      <family val="2"/>
      <scheme val="minor"/>
    </font>
    <font>
      <sz val="10"/>
      <name val="Arial"/>
    </font>
    <font>
      <sz val="10"/>
      <name val="Calibri"/>
      <family val="2"/>
      <scheme val="minor"/>
    </font>
    <font>
      <b/>
      <sz val="10"/>
      <name val="Calibri"/>
      <family val="2"/>
      <scheme val="minor"/>
    </font>
    <font>
      <sz val="11"/>
      <name val="Calibri"/>
      <family val="2"/>
      <scheme val="minor"/>
    </font>
    <font>
      <sz val="10"/>
      <color theme="1"/>
      <name val="Calibri"/>
      <family val="2"/>
      <scheme val="minor"/>
    </font>
    <font>
      <b/>
      <sz val="12"/>
      <name val="Calibri"/>
      <family val="2"/>
      <scheme val="minor"/>
    </font>
    <font>
      <sz val="10"/>
      <color theme="1"/>
      <name val="Calibri"/>
      <family val="2"/>
    </font>
    <font>
      <sz val="11"/>
      <color rgb="FFFF0000"/>
      <name val="Calibri"/>
      <family val="2"/>
      <scheme val="minor"/>
    </font>
    <font>
      <b/>
      <sz val="10"/>
      <color theme="1"/>
      <name val="Calibri"/>
      <family val="2"/>
      <scheme val="minor"/>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2">
    <xf numFmtId="0" fontId="0" fillId="0" borderId="0"/>
    <xf numFmtId="0" fontId="1" fillId="0" borderId="0"/>
  </cellStyleXfs>
  <cellXfs count="55">
    <xf numFmtId="0" fontId="0" fillId="0" borderId="0" xfId="0"/>
    <xf numFmtId="0" fontId="3" fillId="0" borderId="0" xfId="1" applyFont="1" applyAlignment="1"/>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2" fillId="0" borderId="5" xfId="1" applyFont="1" applyBorder="1" applyAlignment="1">
      <alignment horizontal="center" vertical="center"/>
    </xf>
    <xf numFmtId="0" fontId="4" fillId="0" borderId="0" xfId="0" applyFont="1" applyFill="1"/>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0" fontId="3" fillId="0" borderId="0" xfId="1" applyFont="1" applyAlignment="1">
      <alignment horizontal="center"/>
    </xf>
    <xf numFmtId="0" fontId="3" fillId="0" borderId="0" xfId="1" applyFont="1" applyBorder="1" applyAlignment="1">
      <alignment horizontal="center"/>
    </xf>
    <xf numFmtId="0" fontId="2" fillId="0" borderId="0" xfId="1" applyFont="1" applyBorder="1" applyAlignment="1">
      <alignment horizontal="left" vertical="center" wrapText="1"/>
    </xf>
    <xf numFmtId="0" fontId="2" fillId="0" borderId="0" xfId="1" applyFont="1" applyBorder="1" applyAlignment="1">
      <alignment horizontal="left" vertical="center"/>
    </xf>
    <xf numFmtId="0" fontId="5" fillId="0" borderId="0" xfId="0" applyFont="1" applyAlignment="1">
      <alignment horizontal="center"/>
    </xf>
    <xf numFmtId="0" fontId="5" fillId="0" borderId="2" xfId="0" applyFont="1" applyBorder="1" applyAlignment="1">
      <alignment horizontal="center"/>
    </xf>
    <xf numFmtId="0" fontId="5" fillId="0" borderId="6" xfId="0" applyFont="1" applyBorder="1" applyAlignment="1">
      <alignment horizontal="center"/>
    </xf>
    <xf numFmtId="0" fontId="5" fillId="0" borderId="0" xfId="0" applyFont="1" applyFill="1"/>
    <xf numFmtId="0" fontId="7" fillId="0" borderId="0" xfId="0" applyFont="1" applyAlignment="1">
      <alignment horizontal="left" indent="5"/>
    </xf>
    <xf numFmtId="0" fontId="7" fillId="0" borderId="0" xfId="0" applyFont="1" applyAlignment="1">
      <alignment horizontal="left"/>
    </xf>
    <xf numFmtId="0" fontId="5" fillId="0" borderId="0" xfId="0" applyFont="1" applyAlignment="1">
      <alignment wrapText="1"/>
    </xf>
    <xf numFmtId="0" fontId="0" fillId="0" borderId="0" xfId="0"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0" xfId="0" applyFill="1"/>
    <xf numFmtId="0" fontId="5" fillId="0" borderId="1" xfId="0" applyFont="1" applyBorder="1" applyAlignment="1">
      <alignment horizontal="center"/>
    </xf>
    <xf numFmtId="0" fontId="2" fillId="0" borderId="0" xfId="1" applyFont="1" applyFill="1" applyBorder="1" applyAlignment="1">
      <alignment vertical="center" wrapText="1"/>
    </xf>
    <xf numFmtId="0" fontId="5" fillId="0" borderId="1" xfId="0" applyFont="1" applyBorder="1" applyAlignment="1">
      <alignment horizontal="center" wrapText="1"/>
    </xf>
    <xf numFmtId="0" fontId="9" fillId="0" borderId="1" xfId="0" applyFont="1" applyBorder="1" applyAlignment="1">
      <alignment horizontal="center" vertical="center" wrapText="1"/>
    </xf>
    <xf numFmtId="0" fontId="9" fillId="0" borderId="0" xfId="0" applyFont="1" applyBorder="1" applyAlignment="1">
      <alignment wrapText="1"/>
    </xf>
    <xf numFmtId="0" fontId="5" fillId="0" borderId="0" xfId="0" applyFont="1" applyBorder="1" applyAlignment="1">
      <alignment wrapText="1"/>
    </xf>
    <xf numFmtId="0" fontId="5" fillId="0" borderId="0" xfId="0" applyFont="1" applyBorder="1" applyAlignment="1"/>
    <xf numFmtId="0" fontId="9" fillId="0" borderId="1" xfId="0" applyFont="1" applyBorder="1" applyAlignment="1">
      <alignment horizontal="center" vertical="center"/>
    </xf>
    <xf numFmtId="0" fontId="9" fillId="0" borderId="1" xfId="0" applyFont="1" applyBorder="1" applyAlignment="1">
      <alignment horizontal="center" wrapText="1"/>
    </xf>
    <xf numFmtId="0" fontId="8" fillId="0" borderId="0" xfId="0" applyFont="1" applyAlignment="1">
      <alignment horizontal="center"/>
    </xf>
    <xf numFmtId="0" fontId="5" fillId="0" borderId="0" xfId="0" applyFont="1" applyAlignment="1">
      <alignment horizontal="left" wrapText="1"/>
    </xf>
    <xf numFmtId="0" fontId="2" fillId="0" borderId="3" xfId="1" applyFont="1" applyBorder="1" applyAlignment="1">
      <alignment horizontal="left" vertical="center" wrapText="1"/>
    </xf>
    <xf numFmtId="0" fontId="2" fillId="0" borderId="16" xfId="1" applyFont="1" applyBorder="1" applyAlignment="1">
      <alignment horizontal="left" vertical="center" wrapText="1"/>
    </xf>
    <xf numFmtId="0" fontId="2" fillId="0" borderId="13" xfId="1" applyFont="1" applyBorder="1" applyAlignment="1">
      <alignment horizontal="left" vertical="center" wrapText="1"/>
    </xf>
    <xf numFmtId="0" fontId="2" fillId="0" borderId="4" xfId="1" applyFont="1" applyBorder="1" applyAlignment="1">
      <alignment horizontal="left" vertical="center" wrapText="1"/>
    </xf>
    <xf numFmtId="0" fontId="2" fillId="0" borderId="17" xfId="1" applyFont="1" applyBorder="1" applyAlignment="1">
      <alignment horizontal="left" vertical="center" wrapText="1"/>
    </xf>
    <xf numFmtId="0" fontId="2" fillId="0" borderId="14" xfId="1" applyFont="1" applyBorder="1" applyAlignment="1">
      <alignment horizontal="left" vertical="center" wrapText="1"/>
    </xf>
    <xf numFmtId="0" fontId="2" fillId="0" borderId="5" xfId="1" applyFont="1" applyBorder="1" applyAlignment="1">
      <alignment horizontal="left" vertical="center" wrapText="1"/>
    </xf>
    <xf numFmtId="0" fontId="2" fillId="0" borderId="18" xfId="1" applyFont="1" applyBorder="1" applyAlignment="1">
      <alignment horizontal="left" vertical="center" wrapText="1"/>
    </xf>
    <xf numFmtId="0" fontId="2" fillId="0" borderId="15" xfId="1" applyFont="1" applyBorder="1" applyAlignment="1">
      <alignment horizontal="left" vertical="center" wrapText="1"/>
    </xf>
    <xf numFmtId="0" fontId="2" fillId="0" borderId="0" xfId="1" applyFont="1" applyFill="1" applyBorder="1" applyAlignment="1">
      <alignment horizontal="left" vertical="center" wrapText="1"/>
    </xf>
    <xf numFmtId="0" fontId="3" fillId="0" borderId="7" xfId="1" applyFont="1" applyBorder="1" applyAlignment="1">
      <alignment horizontal="center"/>
    </xf>
    <xf numFmtId="0" fontId="3" fillId="0" borderId="11" xfId="1" applyFont="1" applyBorder="1" applyAlignment="1">
      <alignment horizontal="center"/>
    </xf>
    <xf numFmtId="0" fontId="3" fillId="0" borderId="8" xfId="1" applyFont="1" applyBorder="1" applyAlignment="1">
      <alignment horizontal="center"/>
    </xf>
    <xf numFmtId="0" fontId="6" fillId="0" borderId="0" xfId="1" applyFont="1" applyAlignment="1">
      <alignment horizontal="center"/>
    </xf>
    <xf numFmtId="0" fontId="5" fillId="0" borderId="1" xfId="0" applyFont="1" applyBorder="1" applyAlignment="1">
      <alignment horizontal="center"/>
    </xf>
    <xf numFmtId="0" fontId="5" fillId="0" borderId="12" xfId="0" applyFont="1" applyBorder="1" applyAlignment="1">
      <alignment horizontal="center" wrapText="1"/>
    </xf>
    <xf numFmtId="0" fontId="5" fillId="0" borderId="6" xfId="0" applyFont="1" applyBorder="1" applyAlignment="1">
      <alignment horizontal="center" wrapText="1"/>
    </xf>
    <xf numFmtId="0" fontId="5" fillId="0" borderId="12" xfId="0" applyFont="1" applyBorder="1" applyAlignment="1">
      <alignment horizontal="center"/>
    </xf>
    <xf numFmtId="0" fontId="5" fillId="0" borderId="6" xfId="0" applyFont="1" applyBorder="1" applyAlignment="1">
      <alignment horizontal="center"/>
    </xf>
    <xf numFmtId="0" fontId="5" fillId="0" borderId="0" xfId="0" applyFont="1" applyAlignment="1">
      <alignment horizontal="left"/>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257175</xdr:colOff>
      <xdr:row>7</xdr:row>
      <xdr:rowOff>9525</xdr:rowOff>
    </xdr:from>
    <xdr:to>
      <xdr:col>2</xdr:col>
      <xdr:colOff>161925</xdr:colOff>
      <xdr:row>14</xdr:row>
      <xdr:rowOff>57150</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57175" y="1343025"/>
          <a:ext cx="4933950" cy="1381125"/>
        </a:xfrm>
        <a:prstGeom prst="rect">
          <a:avLst/>
        </a:prstGeom>
        <a:noFill/>
        <a:ln w="1">
          <a:noFill/>
          <a:miter lim="800000"/>
          <a:headEnd/>
          <a:tailEnd type="none" w="med" len="med"/>
        </a:ln>
        <a:effectLst/>
      </xdr:spPr>
    </xdr:pic>
    <xdr:clientData/>
  </xdr:twoCellAnchor>
  <xdr:twoCellAnchor editAs="oneCell">
    <xdr:from>
      <xdr:col>0</xdr:col>
      <xdr:colOff>161925</xdr:colOff>
      <xdr:row>17</xdr:row>
      <xdr:rowOff>28574</xdr:rowOff>
    </xdr:from>
    <xdr:to>
      <xdr:col>2</xdr:col>
      <xdr:colOff>898867</xdr:colOff>
      <xdr:row>35</xdr:row>
      <xdr:rowOff>38099</xdr:rowOff>
    </xdr:to>
    <xdr:pic>
      <xdr:nvPicPr>
        <xdr:cNvPr id="1026"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161925" y="3267074"/>
          <a:ext cx="5766142" cy="3438525"/>
        </a:xfrm>
        <a:prstGeom prst="rect">
          <a:avLst/>
        </a:prstGeom>
        <a:noFill/>
        <a:ln w="1">
          <a:noFill/>
          <a:miter lim="800000"/>
          <a:headEnd/>
          <a:tailEnd type="none" w="med" len="med"/>
        </a:ln>
        <a:effectLst/>
      </xdr:spPr>
    </xdr:pic>
    <xdr:clientData/>
  </xdr:twoCellAnchor>
  <xdr:twoCellAnchor editAs="oneCell">
    <xdr:from>
      <xdr:col>0</xdr:col>
      <xdr:colOff>0</xdr:colOff>
      <xdr:row>37</xdr:row>
      <xdr:rowOff>0</xdr:rowOff>
    </xdr:from>
    <xdr:to>
      <xdr:col>2</xdr:col>
      <xdr:colOff>762000</xdr:colOff>
      <xdr:row>45</xdr:row>
      <xdr:rowOff>28575</xdr:rowOff>
    </xdr:to>
    <xdr:pic>
      <xdr:nvPicPr>
        <xdr:cNvPr id="1027" name="Picture 3"/>
        <xdr:cNvPicPr>
          <a:picLocks noChangeAspect="1" noChangeArrowheads="1"/>
        </xdr:cNvPicPr>
      </xdr:nvPicPr>
      <xdr:blipFill>
        <a:blip xmlns:r="http://schemas.openxmlformats.org/officeDocument/2006/relationships" r:embed="rId3" cstate="print"/>
        <a:srcRect/>
        <a:stretch>
          <a:fillRect/>
        </a:stretch>
      </xdr:blipFill>
      <xdr:spPr bwMode="auto">
        <a:xfrm>
          <a:off x="0" y="7048500"/>
          <a:ext cx="5791200" cy="155257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29"/>
  <sheetViews>
    <sheetView showGridLines="0" tabSelected="1" workbookViewId="0">
      <selection activeCell="G7" sqref="G7"/>
    </sheetView>
  </sheetViews>
  <sheetFormatPr baseColWidth="10" defaultRowHeight="15"/>
  <cols>
    <col min="1" max="1" width="4.7109375" customWidth="1"/>
    <col min="2" max="2" width="8.140625" bestFit="1" customWidth="1"/>
    <col min="3" max="3" width="14.7109375" bestFit="1" customWidth="1"/>
    <col min="4" max="4" width="18" bestFit="1" customWidth="1"/>
    <col min="5" max="5" width="14.7109375" bestFit="1" customWidth="1"/>
    <col min="6" max="6" width="1.7109375" customWidth="1"/>
    <col min="7" max="7" width="14.7109375" bestFit="1" customWidth="1"/>
    <col min="10" max="10" width="8.42578125" bestFit="1" customWidth="1"/>
    <col min="11" max="11" width="14.7109375" bestFit="1" customWidth="1"/>
    <col min="12" max="12" width="18.140625" bestFit="1" customWidth="1"/>
    <col min="13" max="13" width="15.28515625" bestFit="1" customWidth="1"/>
    <col min="14" max="14" width="20.140625" bestFit="1" customWidth="1"/>
  </cols>
  <sheetData>
    <row r="1" spans="1:8" ht="15.75">
      <c r="A1" s="48" t="s">
        <v>3</v>
      </c>
      <c r="B1" s="48"/>
      <c r="C1" s="48"/>
      <c r="D1" s="48"/>
      <c r="E1" s="48"/>
      <c r="F1" s="9"/>
      <c r="G1" s="33" t="s">
        <v>6</v>
      </c>
      <c r="H1" s="33"/>
    </row>
    <row r="2" spans="1:8" ht="15.75" thickBot="1">
      <c r="A2" s="1" t="s">
        <v>2</v>
      </c>
      <c r="B2" s="1"/>
      <c r="C2" s="1"/>
      <c r="D2" s="1"/>
      <c r="G2" s="13" t="s">
        <v>0</v>
      </c>
      <c r="H2" s="13" t="s">
        <v>1</v>
      </c>
    </row>
    <row r="3" spans="1:8" ht="15.75" thickBot="1">
      <c r="A3" s="45"/>
      <c r="B3" s="46"/>
      <c r="C3" s="46"/>
      <c r="D3" s="46"/>
      <c r="E3" s="47"/>
      <c r="F3" s="10"/>
      <c r="G3" s="14"/>
      <c r="H3" s="15">
        <v>10</v>
      </c>
    </row>
    <row r="4" spans="1:8" ht="4.5" customHeight="1" thickBot="1"/>
    <row r="5" spans="1:8" ht="51" customHeight="1">
      <c r="A5" s="2">
        <v>1</v>
      </c>
      <c r="B5" s="35" t="s">
        <v>15</v>
      </c>
      <c r="C5" s="36"/>
      <c r="D5" s="36"/>
      <c r="E5" s="37"/>
      <c r="F5" s="11"/>
      <c r="G5" s="6"/>
      <c r="H5" s="8">
        <v>1</v>
      </c>
    </row>
    <row r="6" spans="1:8" ht="51" customHeight="1">
      <c r="A6" s="3">
        <v>2</v>
      </c>
      <c r="B6" s="38" t="s">
        <v>14</v>
      </c>
      <c r="C6" s="39"/>
      <c r="D6" s="39"/>
      <c r="E6" s="40"/>
      <c r="F6" s="11"/>
      <c r="G6" s="6"/>
      <c r="H6" s="8">
        <v>1</v>
      </c>
    </row>
    <row r="7" spans="1:8" ht="51" customHeight="1">
      <c r="A7" s="3">
        <v>3</v>
      </c>
      <c r="B7" s="38" t="s">
        <v>7</v>
      </c>
      <c r="C7" s="39"/>
      <c r="D7" s="39"/>
      <c r="E7" s="40"/>
      <c r="F7" s="11"/>
      <c r="G7" s="6"/>
      <c r="H7" s="8">
        <v>1</v>
      </c>
    </row>
    <row r="8" spans="1:8" ht="51" customHeight="1">
      <c r="A8" s="3">
        <v>4</v>
      </c>
      <c r="B8" s="38" t="s">
        <v>8</v>
      </c>
      <c r="C8" s="39"/>
      <c r="D8" s="39"/>
      <c r="E8" s="40"/>
      <c r="F8" s="12"/>
      <c r="G8" s="6"/>
      <c r="H8" s="8">
        <v>1</v>
      </c>
    </row>
    <row r="9" spans="1:8" ht="51" customHeight="1" thickBot="1">
      <c r="A9" s="4">
        <v>5</v>
      </c>
      <c r="B9" s="41" t="s">
        <v>9</v>
      </c>
      <c r="C9" s="42"/>
      <c r="D9" s="42"/>
      <c r="E9" s="43"/>
      <c r="F9" s="11"/>
      <c r="G9" s="6"/>
      <c r="H9" s="8">
        <v>1</v>
      </c>
    </row>
    <row r="10" spans="1:8" ht="7.5" customHeight="1"/>
    <row r="11" spans="1:8">
      <c r="A11" s="34" t="s">
        <v>16</v>
      </c>
      <c r="B11" s="34"/>
      <c r="C11" s="34"/>
      <c r="D11" s="34"/>
      <c r="E11" s="34"/>
      <c r="G11" s="6"/>
      <c r="H11" s="7">
        <v>2</v>
      </c>
    </row>
    <row r="12" spans="1:8" ht="143.25" customHeight="1">
      <c r="A12" s="34"/>
      <c r="B12" s="34"/>
      <c r="C12" s="34"/>
      <c r="D12" s="34"/>
      <c r="E12" s="34"/>
    </row>
    <row r="13" spans="1:8">
      <c r="B13" s="44" t="s">
        <v>17</v>
      </c>
      <c r="C13" s="44"/>
      <c r="D13" s="44"/>
      <c r="E13" s="44"/>
      <c r="F13" s="25"/>
    </row>
    <row r="14" spans="1:8" ht="28.5" customHeight="1">
      <c r="B14" s="44" t="s">
        <v>18</v>
      </c>
      <c r="C14" s="44"/>
      <c r="D14" s="44"/>
      <c r="E14" s="44"/>
    </row>
    <row r="15" spans="1:8" ht="7.5" customHeight="1"/>
    <row r="16" spans="1:8">
      <c r="A16" s="34" t="s">
        <v>49</v>
      </c>
      <c r="B16" s="34"/>
      <c r="C16" s="34"/>
      <c r="D16" s="34"/>
      <c r="E16" s="34"/>
      <c r="G16" s="6"/>
      <c r="H16" s="7">
        <v>3</v>
      </c>
    </row>
    <row r="17" spans="1:8" ht="12.75" customHeight="1">
      <c r="A17" s="34"/>
      <c r="B17" s="34"/>
      <c r="C17" s="34"/>
      <c r="D17" s="34"/>
      <c r="E17" s="34"/>
    </row>
    <row r="18" spans="1:8" ht="7.5" customHeight="1">
      <c r="A18" s="5"/>
      <c r="B18" s="5"/>
      <c r="C18" s="5"/>
      <c r="D18" s="5"/>
    </row>
    <row r="19" spans="1:8" ht="25.5" customHeight="1">
      <c r="A19" s="18"/>
      <c r="B19" s="27" t="s">
        <v>33</v>
      </c>
      <c r="C19" s="27" t="s">
        <v>34</v>
      </c>
      <c r="D19" s="27" t="s">
        <v>35</v>
      </c>
      <c r="E19" s="27" t="s">
        <v>36</v>
      </c>
      <c r="F19" s="32" t="s">
        <v>37</v>
      </c>
      <c r="G19" s="32"/>
      <c r="H19" s="28"/>
    </row>
    <row r="20" spans="1:8">
      <c r="A20" s="18"/>
      <c r="B20" s="26" t="s">
        <v>38</v>
      </c>
      <c r="C20" s="26">
        <v>3</v>
      </c>
      <c r="D20" s="26">
        <v>5.5</v>
      </c>
      <c r="E20" s="26">
        <v>11</v>
      </c>
      <c r="F20" s="50"/>
      <c r="G20" s="51"/>
      <c r="H20" s="29"/>
    </row>
    <row r="21" spans="1:8">
      <c r="A21" s="18"/>
      <c r="B21" s="24" t="s">
        <v>39</v>
      </c>
      <c r="C21" s="24">
        <v>1</v>
      </c>
      <c r="D21" s="24">
        <v>1.5</v>
      </c>
      <c r="E21" s="24">
        <v>5</v>
      </c>
      <c r="F21" s="52"/>
      <c r="G21" s="53"/>
      <c r="H21" s="30"/>
    </row>
    <row r="22" spans="1:8">
      <c r="B22" s="24" t="s">
        <v>40</v>
      </c>
      <c r="C22" s="24">
        <v>1.5</v>
      </c>
      <c r="D22" s="24">
        <v>3</v>
      </c>
      <c r="E22" s="24">
        <v>4.5</v>
      </c>
      <c r="F22" s="49" t="s">
        <v>38</v>
      </c>
      <c r="G22" s="49"/>
      <c r="H22" s="30"/>
    </row>
    <row r="23" spans="1:8">
      <c r="A23" s="17"/>
      <c r="B23" s="24" t="s">
        <v>41</v>
      </c>
      <c r="C23" s="24">
        <v>1.2</v>
      </c>
      <c r="D23" s="24">
        <v>3.2</v>
      </c>
      <c r="E23" s="24">
        <v>4</v>
      </c>
      <c r="F23" s="49" t="s">
        <v>39</v>
      </c>
      <c r="G23" s="49"/>
      <c r="H23" s="30"/>
    </row>
    <row r="24" spans="1:8">
      <c r="A24" s="17"/>
      <c r="B24" s="24" t="s">
        <v>42</v>
      </c>
      <c r="C24" s="24">
        <v>2</v>
      </c>
      <c r="D24" s="24">
        <v>3.5</v>
      </c>
      <c r="E24" s="24">
        <v>8</v>
      </c>
      <c r="F24" s="49" t="s">
        <v>40</v>
      </c>
      <c r="G24" s="49"/>
      <c r="H24" s="30"/>
    </row>
    <row r="25" spans="1:8">
      <c r="A25" s="17"/>
      <c r="B25" s="24" t="s">
        <v>43</v>
      </c>
      <c r="C25" s="24">
        <v>1.8</v>
      </c>
      <c r="D25" s="24">
        <v>2.8</v>
      </c>
      <c r="E25" s="24">
        <v>5</v>
      </c>
      <c r="F25" s="49" t="s">
        <v>41</v>
      </c>
      <c r="G25" s="49"/>
      <c r="H25" s="30"/>
    </row>
    <row r="26" spans="1:8">
      <c r="B26" s="24" t="s">
        <v>44</v>
      </c>
      <c r="C26" s="24">
        <v>3</v>
      </c>
      <c r="D26" s="24">
        <v>6.5</v>
      </c>
      <c r="E26" s="24">
        <v>7</v>
      </c>
      <c r="F26" s="49" t="s">
        <v>42</v>
      </c>
      <c r="G26" s="49"/>
      <c r="H26" s="30"/>
    </row>
    <row r="27" spans="1:8">
      <c r="B27" s="24" t="s">
        <v>45</v>
      </c>
      <c r="C27" s="24">
        <v>2</v>
      </c>
      <c r="D27" s="24">
        <v>4.2</v>
      </c>
      <c r="E27" s="24">
        <v>5.2</v>
      </c>
      <c r="F27" s="49" t="s">
        <v>43</v>
      </c>
      <c r="G27" s="49"/>
      <c r="H27" s="30"/>
    </row>
    <row r="28" spans="1:8">
      <c r="B28" s="24" t="s">
        <v>47</v>
      </c>
      <c r="C28" s="24">
        <v>0.5</v>
      </c>
      <c r="D28" s="24">
        <v>0.8</v>
      </c>
      <c r="E28" s="24">
        <v>2.2999999999999998</v>
      </c>
      <c r="F28" s="49" t="s">
        <v>46</v>
      </c>
      <c r="G28" s="49"/>
      <c r="H28" s="30"/>
    </row>
    <row r="29" spans="1:8">
      <c r="B29" s="24" t="s">
        <v>48</v>
      </c>
      <c r="C29" s="24">
        <v>0.8</v>
      </c>
      <c r="D29" s="24">
        <v>2.1</v>
      </c>
      <c r="E29" s="24">
        <v>2.8</v>
      </c>
      <c r="F29" s="49" t="s">
        <v>47</v>
      </c>
      <c r="G29" s="49"/>
      <c r="H29" s="30"/>
    </row>
  </sheetData>
  <mergeCells count="23">
    <mergeCell ref="F27:G27"/>
    <mergeCell ref="F28:G28"/>
    <mergeCell ref="F29:G29"/>
    <mergeCell ref="F20:G20"/>
    <mergeCell ref="F21:G21"/>
    <mergeCell ref="F22:G22"/>
    <mergeCell ref="F23:G23"/>
    <mergeCell ref="F24:G24"/>
    <mergeCell ref="F25:G25"/>
    <mergeCell ref="F26:G26"/>
    <mergeCell ref="F19:G19"/>
    <mergeCell ref="G1:H1"/>
    <mergeCell ref="A11:E12"/>
    <mergeCell ref="A16:E17"/>
    <mergeCell ref="B5:E5"/>
    <mergeCell ref="B6:E6"/>
    <mergeCell ref="B7:E7"/>
    <mergeCell ref="B8:E8"/>
    <mergeCell ref="B9:E9"/>
    <mergeCell ref="B13:E13"/>
    <mergeCell ref="B14:E14"/>
    <mergeCell ref="A3:E3"/>
    <mergeCell ref="A1:E1"/>
  </mergeCells>
  <pageMargins left="0.70866141732283472" right="0.19685039370078741" top="0.74803149606299213" bottom="0.74803149606299213" header="0.31496062992125984" footer="0.31496062992125984"/>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dimension ref="A1:G27"/>
  <sheetViews>
    <sheetView showGridLines="0" workbookViewId="0">
      <selection sqref="A1:D1"/>
    </sheetView>
  </sheetViews>
  <sheetFormatPr baseColWidth="10" defaultRowHeight="15"/>
  <cols>
    <col min="1" max="1" width="4.7109375" customWidth="1"/>
    <col min="2" max="2" width="8.140625" bestFit="1" customWidth="1"/>
    <col min="3" max="3" width="8.140625" customWidth="1"/>
    <col min="4" max="4" width="45" customWidth="1"/>
    <col min="5" max="5" width="1.7109375" customWidth="1"/>
    <col min="6" max="6" width="14.7109375" bestFit="1" customWidth="1"/>
  </cols>
  <sheetData>
    <row r="1" spans="1:7" ht="15.75">
      <c r="A1" s="48" t="s">
        <v>3</v>
      </c>
      <c r="B1" s="48"/>
      <c r="C1" s="48"/>
      <c r="D1" s="48"/>
      <c r="E1" s="9"/>
      <c r="F1" s="33" t="s">
        <v>13</v>
      </c>
      <c r="G1" s="33"/>
    </row>
    <row r="2" spans="1:7" ht="15.75" thickBot="1">
      <c r="A2" s="1" t="s">
        <v>2</v>
      </c>
      <c r="B2" s="1"/>
      <c r="C2" s="1"/>
      <c r="F2" s="13" t="s">
        <v>0</v>
      </c>
      <c r="G2" s="13" t="s">
        <v>1</v>
      </c>
    </row>
    <row r="3" spans="1:7" ht="15.75" thickBot="1">
      <c r="A3" s="45"/>
      <c r="B3" s="46"/>
      <c r="C3" s="46"/>
      <c r="D3" s="47"/>
      <c r="E3" s="10"/>
      <c r="F3" s="14"/>
      <c r="G3" s="15">
        <v>10</v>
      </c>
    </row>
    <row r="4" spans="1:7" ht="4.5" customHeight="1" thickBot="1"/>
    <row r="5" spans="1:7" ht="51" customHeight="1">
      <c r="A5" s="2">
        <v>1</v>
      </c>
      <c r="B5" s="35" t="s">
        <v>4</v>
      </c>
      <c r="C5" s="36"/>
      <c r="D5" s="37"/>
      <c r="E5" s="11"/>
      <c r="F5" s="6"/>
      <c r="G5" s="8">
        <v>1</v>
      </c>
    </row>
    <row r="6" spans="1:7" ht="51" customHeight="1">
      <c r="A6" s="3">
        <v>2</v>
      </c>
      <c r="B6" s="38" t="s">
        <v>5</v>
      </c>
      <c r="C6" s="39"/>
      <c r="D6" s="40"/>
      <c r="E6" s="11"/>
      <c r="F6" s="6"/>
      <c r="G6" s="8">
        <v>1</v>
      </c>
    </row>
    <row r="7" spans="1:7" ht="51" customHeight="1">
      <c r="A7" s="3">
        <v>3</v>
      </c>
      <c r="B7" s="38" t="s">
        <v>12</v>
      </c>
      <c r="C7" s="39"/>
      <c r="D7" s="40"/>
      <c r="E7" s="11"/>
      <c r="F7" s="6"/>
      <c r="G7" s="8">
        <v>1</v>
      </c>
    </row>
    <row r="8" spans="1:7" ht="51" customHeight="1">
      <c r="A8" s="3">
        <v>4</v>
      </c>
      <c r="B8" s="38" t="s">
        <v>11</v>
      </c>
      <c r="C8" s="39"/>
      <c r="D8" s="40"/>
      <c r="E8" s="12"/>
      <c r="F8" s="6"/>
      <c r="G8" s="8">
        <v>1</v>
      </c>
    </row>
    <row r="9" spans="1:7" ht="51" customHeight="1" thickBot="1">
      <c r="A9" s="4">
        <v>5</v>
      </c>
      <c r="B9" s="41" t="s">
        <v>10</v>
      </c>
      <c r="C9" s="42"/>
      <c r="D9" s="43"/>
      <c r="E9" s="11"/>
      <c r="F9" s="6"/>
      <c r="G9" s="8">
        <v>1</v>
      </c>
    </row>
    <row r="11" spans="1:7">
      <c r="A11" s="34" t="s">
        <v>31</v>
      </c>
      <c r="B11" s="34"/>
      <c r="C11" s="34"/>
      <c r="D11" s="54"/>
      <c r="F11" s="6"/>
      <c r="G11" s="7">
        <v>2</v>
      </c>
    </row>
    <row r="12" spans="1:7" ht="101.25" customHeight="1">
      <c r="A12" s="54"/>
      <c r="B12" s="54"/>
      <c r="C12" s="54"/>
      <c r="D12" s="54"/>
    </row>
    <row r="13" spans="1:7">
      <c r="B13" s="44" t="s">
        <v>30</v>
      </c>
      <c r="C13" s="44"/>
      <c r="D13" s="44"/>
    </row>
    <row r="15" spans="1:7" ht="15" customHeight="1">
      <c r="A15" s="34" t="s">
        <v>51</v>
      </c>
      <c r="B15" s="34"/>
      <c r="C15" s="34"/>
      <c r="D15" s="34"/>
      <c r="E15" s="19"/>
      <c r="F15" s="6"/>
      <c r="G15" s="7">
        <v>3</v>
      </c>
    </row>
    <row r="16" spans="1:7" ht="15.75" customHeight="1">
      <c r="A16" s="34"/>
      <c r="B16" s="34"/>
      <c r="C16" s="34"/>
      <c r="D16" s="34"/>
      <c r="E16" s="19"/>
      <c r="F16" s="19"/>
      <c r="G16" s="19"/>
    </row>
    <row r="17" spans="1:4">
      <c r="A17" s="16"/>
      <c r="B17" s="16"/>
      <c r="C17" s="16"/>
    </row>
    <row r="18" spans="1:4">
      <c r="A18" s="5"/>
      <c r="B18" s="31" t="s">
        <v>33</v>
      </c>
      <c r="C18" s="31" t="s">
        <v>52</v>
      </c>
      <c r="D18" s="31" t="s">
        <v>53</v>
      </c>
    </row>
    <row r="19" spans="1:4">
      <c r="A19" s="18"/>
      <c r="B19" s="24" t="s">
        <v>38</v>
      </c>
      <c r="C19" s="24">
        <v>3</v>
      </c>
      <c r="D19" s="24"/>
    </row>
    <row r="20" spans="1:4">
      <c r="B20" s="24" t="s">
        <v>39</v>
      </c>
      <c r="C20" s="24">
        <v>1</v>
      </c>
      <c r="D20" s="24" t="s">
        <v>38</v>
      </c>
    </row>
    <row r="21" spans="1:4">
      <c r="A21" s="17"/>
      <c r="B21" s="24" t="s">
        <v>40</v>
      </c>
      <c r="C21" s="24">
        <v>1.5</v>
      </c>
      <c r="D21" s="24" t="s">
        <v>39</v>
      </c>
    </row>
    <row r="22" spans="1:4">
      <c r="A22" s="17"/>
      <c r="B22" s="24" t="s">
        <v>41</v>
      </c>
      <c r="C22" s="24">
        <v>1.2</v>
      </c>
      <c r="D22" s="24" t="s">
        <v>38</v>
      </c>
    </row>
    <row r="23" spans="1:4">
      <c r="A23" s="17"/>
      <c r="B23" s="24" t="s">
        <v>42</v>
      </c>
      <c r="C23" s="24">
        <v>2</v>
      </c>
      <c r="D23" s="24" t="s">
        <v>41</v>
      </c>
    </row>
    <row r="24" spans="1:4">
      <c r="B24" s="24" t="s">
        <v>43</v>
      </c>
      <c r="C24" s="24">
        <v>1.8</v>
      </c>
      <c r="D24" s="24" t="s">
        <v>41</v>
      </c>
    </row>
    <row r="25" spans="1:4">
      <c r="B25" s="24" t="s">
        <v>44</v>
      </c>
      <c r="C25" s="24">
        <v>3</v>
      </c>
      <c r="D25" s="24" t="s">
        <v>42</v>
      </c>
    </row>
    <row r="26" spans="1:4">
      <c r="B26" s="24" t="s">
        <v>45</v>
      </c>
      <c r="C26" s="24">
        <v>2</v>
      </c>
      <c r="D26" s="24" t="s">
        <v>54</v>
      </c>
    </row>
    <row r="27" spans="1:4">
      <c r="B27" s="24" t="s">
        <v>47</v>
      </c>
      <c r="C27" s="24">
        <v>0.5</v>
      </c>
      <c r="D27" s="24" t="s">
        <v>55</v>
      </c>
    </row>
  </sheetData>
  <mergeCells count="11">
    <mergeCell ref="A1:D1"/>
    <mergeCell ref="F1:G1"/>
    <mergeCell ref="A3:D3"/>
    <mergeCell ref="A11:D12"/>
    <mergeCell ref="A15:D16"/>
    <mergeCell ref="B13:D13"/>
    <mergeCell ref="B5:D5"/>
    <mergeCell ref="B6:D6"/>
    <mergeCell ref="B7:D7"/>
    <mergeCell ref="B8:D8"/>
    <mergeCell ref="B9:D9"/>
  </mergeCells>
  <pageMargins left="0.70866141732283472" right="0.19685039370078741" top="0.74803149606299213" bottom="0.74803149606299213" header="0.31496062992125984" footer="0.31496062992125984"/>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dimension ref="A1:G37"/>
  <sheetViews>
    <sheetView workbookViewId="0">
      <selection activeCell="C12" sqref="C12"/>
    </sheetView>
  </sheetViews>
  <sheetFormatPr baseColWidth="10" defaultRowHeight="15"/>
  <cols>
    <col min="1" max="1" width="70.42578125" bestFit="1" customWidth="1"/>
    <col min="2" max="2" width="5" bestFit="1" customWidth="1"/>
    <col min="3" max="3" width="17.85546875" bestFit="1" customWidth="1"/>
    <col min="4" max="4" width="16.7109375" bestFit="1" customWidth="1"/>
    <col min="5" max="5" width="20.28515625" bestFit="1" customWidth="1"/>
    <col min="6" max="6" width="14.7109375" bestFit="1" customWidth="1"/>
    <col min="7" max="7" width="27.28515625" bestFit="1" customWidth="1"/>
  </cols>
  <sheetData>
    <row r="1" spans="1:7">
      <c r="A1" t="s">
        <v>19</v>
      </c>
      <c r="C1" s="21" t="s">
        <v>22</v>
      </c>
      <c r="D1" s="21" t="s">
        <v>23</v>
      </c>
    </row>
    <row r="2" spans="1:7">
      <c r="A2" t="s">
        <v>20</v>
      </c>
      <c r="C2" s="22">
        <f>1/7.5</f>
        <v>0.13333333333333333</v>
      </c>
      <c r="D2" s="22">
        <f>1/5</f>
        <v>0.2</v>
      </c>
      <c r="F2" t="s">
        <v>58</v>
      </c>
      <c r="G2" t="s">
        <v>60</v>
      </c>
    </row>
    <row r="3" spans="1:7">
      <c r="A3" s="23" t="s">
        <v>28</v>
      </c>
      <c r="B3" t="s">
        <v>21</v>
      </c>
      <c r="C3" s="20">
        <f>(1+(C2/D2)+(((C2/D2)^2)/(FACT(2)*(1-((C2/D2)/2)))))^-1</f>
        <v>0.5</v>
      </c>
      <c r="F3" t="s">
        <v>59</v>
      </c>
      <c r="G3" t="b">
        <v>1</v>
      </c>
    </row>
    <row r="4" spans="1:7">
      <c r="B4" t="s">
        <v>24</v>
      </c>
      <c r="C4">
        <f>+C3*(((C2/D2)^3)/(FACT(2)*2*(1-((C2/D2)/2)^2)))</f>
        <v>4.1666666666666664E-2</v>
      </c>
      <c r="D4" t="s">
        <v>25</v>
      </c>
    </row>
    <row r="5" spans="1:7">
      <c r="B5" t="s">
        <v>26</v>
      </c>
      <c r="C5">
        <f>+C4*7.5</f>
        <v>0.3125</v>
      </c>
      <c r="D5" t="s">
        <v>27</v>
      </c>
    </row>
    <row r="7" spans="1:7">
      <c r="A7" t="s">
        <v>29</v>
      </c>
    </row>
    <row r="17" spans="1:3">
      <c r="A17" t="s">
        <v>32</v>
      </c>
      <c r="C17" t="s">
        <v>56</v>
      </c>
    </row>
    <row r="37" spans="1:3">
      <c r="A37" t="s">
        <v>50</v>
      </c>
      <c r="C37" t="s">
        <v>57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Tema A</vt:lpstr>
      <vt:lpstr>Tema B</vt:lpstr>
      <vt:lpstr>Solución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dc:creator>
  <cp:lastModifiedBy>Flor</cp:lastModifiedBy>
  <cp:lastPrinted>2018-06-23T01:49:20Z</cp:lastPrinted>
  <dcterms:created xsi:type="dcterms:W3CDTF">2018-04-20T22:08:32Z</dcterms:created>
  <dcterms:modified xsi:type="dcterms:W3CDTF">2018-06-26T22:55:54Z</dcterms:modified>
</cp:coreProperties>
</file>