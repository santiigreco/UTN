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4EA1CCD8-C72F-455F-8CD4-ABCD0C133C3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1" sheetId="3" r:id="rId1"/>
    <sheet name="P2" sheetId="1" r:id="rId2"/>
    <sheet name="P3" sheetId="2" r:id="rId3"/>
    <sheet name="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F4" i="4"/>
  <c r="F3" i="4"/>
  <c r="F2" i="4"/>
  <c r="E7" i="4"/>
  <c r="E6" i="4"/>
  <c r="E5" i="4"/>
  <c r="E4" i="4"/>
  <c r="E3" i="4"/>
  <c r="E2" i="4"/>
  <c r="D7" i="4"/>
  <c r="D6" i="4"/>
  <c r="D5" i="4"/>
  <c r="D4" i="4"/>
  <c r="D3" i="4"/>
  <c r="D2" i="4"/>
  <c r="C15" i="2" a="1"/>
  <c r="C15" i="2" s="1"/>
  <c r="B15" i="2" a="1"/>
  <c r="B15" i="2" s="1"/>
  <c r="C10" i="2" a="1"/>
  <c r="C10" i="2" s="1"/>
  <c r="B10" i="2" a="1"/>
  <c r="B10" i="2" s="1"/>
  <c r="E7" i="2"/>
  <c r="F7" i="2" s="1"/>
  <c r="D6" i="2"/>
  <c r="F6" i="2" s="1"/>
  <c r="C5" i="2"/>
  <c r="F5" i="2" s="1"/>
  <c r="D18" i="3"/>
  <c r="D14" i="3"/>
  <c r="D11" i="3"/>
  <c r="D8" i="3"/>
  <c r="D6" i="3"/>
  <c r="G2" i="3"/>
  <c r="H15" i="1"/>
  <c r="H12" i="1"/>
  <c r="H11" i="1"/>
  <c r="C7" i="1"/>
  <c r="H18" i="1" s="1"/>
  <c r="C6" i="1"/>
  <c r="H17" i="1" s="1"/>
  <c r="C5" i="1"/>
  <c r="H14" i="1" s="1"/>
  <c r="C4" i="1"/>
  <c r="H19" i="1" s="1"/>
  <c r="B2" i="1"/>
  <c r="C19" i="1" s="1"/>
  <c r="C13" i="1"/>
  <c r="E6" i="1"/>
  <c r="E7" i="1" s="1"/>
  <c r="C14" i="1" l="1"/>
  <c r="H16" i="1"/>
  <c r="C11" i="1"/>
  <c r="C15" i="1"/>
  <c r="H13" i="1"/>
  <c r="C10" i="1"/>
  <c r="C12" i="1"/>
  <c r="C16" i="1"/>
  <c r="H10" i="1"/>
  <c r="C17" i="1"/>
  <c r="C18" i="1"/>
  <c r="B5" i="2" a="1"/>
  <c r="B5" i="2" s="1"/>
  <c r="D10" i="1"/>
  <c r="F10" i="1" s="1"/>
  <c r="E10" i="1" s="1"/>
  <c r="I10" i="1" l="1"/>
  <c r="D11" i="1"/>
  <c r="F11" i="1" l="1"/>
  <c r="E11" i="1" s="1"/>
  <c r="D12" i="1"/>
  <c r="I11" i="1" l="1"/>
  <c r="F12" i="1" s="1"/>
  <c r="I12" i="1" s="1"/>
  <c r="D13" i="1"/>
  <c r="D14" i="1" s="1"/>
  <c r="D15" i="1" l="1"/>
  <c r="F13" i="1"/>
  <c r="I13" i="1" s="1"/>
  <c r="F14" i="1" s="1"/>
  <c r="E12" i="1"/>
  <c r="D16" i="1" l="1"/>
  <c r="I14" i="1"/>
  <c r="F15" i="1" s="1"/>
  <c r="E13" i="1"/>
  <c r="D17" i="1" l="1"/>
  <c r="I15" i="1"/>
  <c r="F16" i="1" s="1"/>
  <c r="E14" i="1"/>
  <c r="D18" i="1" l="1"/>
  <c r="I16" i="1"/>
  <c r="F17" i="1" s="1"/>
  <c r="E15" i="1"/>
  <c r="D19" i="1" l="1"/>
  <c r="I17" i="1"/>
  <c r="F18" i="1" s="1"/>
  <c r="E16" i="1"/>
  <c r="I18" i="1" l="1"/>
  <c r="F19" i="1" s="1"/>
  <c r="E17" i="1"/>
  <c r="E18" i="1" l="1"/>
  <c r="E19" i="1" l="1"/>
  <c r="I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<sst xmlns="http://schemas.openxmlformats.org/spreadsheetml/2006/main" count="67" uniqueCount="50">
  <si>
    <t>Nro de Llegada</t>
  </si>
  <si>
    <t>Tiempo de Espera</t>
  </si>
  <si>
    <t>Momento en que es atendido</t>
  </si>
  <si>
    <t>Salidas</t>
  </si>
  <si>
    <t>Llegadas</t>
  </si>
  <si>
    <t>clientes/hora</t>
  </si>
  <si>
    <t>Llegada (minutos)</t>
  </si>
  <si>
    <t>Momento de Arribo (minutos)</t>
  </si>
  <si>
    <t>Momento de Salida</t>
  </si>
  <si>
    <t>Nro Aleatorio 1</t>
  </si>
  <si>
    <t>Nro Aleatorio 2</t>
  </si>
  <si>
    <t>Tiempo de Atención</t>
  </si>
  <si>
    <t>ro</t>
  </si>
  <si>
    <t>Actividad</t>
  </si>
  <si>
    <t>Duración</t>
  </si>
  <si>
    <t>Predecesoras</t>
  </si>
  <si>
    <t>A</t>
  </si>
  <si>
    <t>B</t>
  </si>
  <si>
    <t>C</t>
  </si>
  <si>
    <t>D</t>
  </si>
  <si>
    <t>E</t>
  </si>
  <si>
    <t>F</t>
  </si>
  <si>
    <t>Tipo de Transacción</t>
  </si>
  <si>
    <t>Probabilidad</t>
  </si>
  <si>
    <t>Consultas</t>
  </si>
  <si>
    <t>Extracción</t>
  </si>
  <si>
    <t>Depósitos</t>
  </si>
  <si>
    <t>Otros</t>
  </si>
  <si>
    <t>Probabilidad Acumulada</t>
  </si>
  <si>
    <t>clientes/minutos</t>
  </si>
  <si>
    <t>Tiempo estimado (minutos)</t>
  </si>
  <si>
    <t>clientes</t>
  </si>
  <si>
    <t>horas</t>
  </si>
  <si>
    <t>M1</t>
  </si>
  <si>
    <t>M2</t>
  </si>
  <si>
    <t>M3</t>
  </si>
  <si>
    <t>Periodo 1</t>
  </si>
  <si>
    <t>Periodo 2</t>
  </si>
  <si>
    <t>Periodo 3</t>
  </si>
  <si>
    <t>Si tengo M1, la probabilidad es del 39,7%</t>
  </si>
  <si>
    <t>Si tengo M2, la probabilidad es del 28,3%</t>
  </si>
  <si>
    <t>Si tengo M3, la probabilidad es del 41,2%</t>
  </si>
  <si>
    <t> A</t>
  </si>
  <si>
    <t>C,D</t>
  </si>
  <si>
    <t>Margen Libre</t>
  </si>
  <si>
    <t>Margen Independiente</t>
  </si>
  <si>
    <t>Margen Total</t>
  </si>
  <si>
    <t>Es crítica?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</si>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</sst>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EF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 wrapText="1" readingOrder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Fill="1"/>
    <xf numFmtId="9" fontId="0" fillId="0" borderId="1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12</xdr:row>
      <xdr:rowOff>161925</xdr:rowOff>
    </xdr:from>
    <xdr:to>
      <xdr:col>2</xdr:col>
      <xdr:colOff>733425</xdr:colOff>
      <xdr:row>15</xdr:row>
      <xdr:rowOff>85725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8AD46C3-4408-5C57-C220-EE64DB00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447925"/>
          <a:ext cx="198120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266700</xdr:colOff>
      <xdr:row>9</xdr:row>
      <xdr:rowOff>152400</xdr:rowOff>
    </xdr:from>
    <xdr:to>
      <xdr:col>2</xdr:col>
      <xdr:colOff>219075</xdr:colOff>
      <xdr:row>12</xdr:row>
      <xdr:rowOff>142875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1B3B470-FB34-411F-A620-59D6A8A62F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r="56140"/>
        <a:stretch/>
      </xdr:blipFill>
      <xdr:spPr bwMode="auto">
        <a:xfrm>
          <a:off x="1028700" y="1866900"/>
          <a:ext cx="71437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466725</xdr:colOff>
      <xdr:row>4</xdr:row>
      <xdr:rowOff>161925</xdr:rowOff>
    </xdr:from>
    <xdr:to>
      <xdr:col>2</xdr:col>
      <xdr:colOff>476154</xdr:colOff>
      <xdr:row>6</xdr:row>
      <xdr:rowOff>47592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0F7F2B2-3343-23ED-2D58-C57AE3D2D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8725" y="923925"/>
          <a:ext cx="771429" cy="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6</xdr:row>
      <xdr:rowOff>142875</xdr:rowOff>
    </xdr:from>
    <xdr:to>
      <xdr:col>2</xdr:col>
      <xdr:colOff>533217</xdr:colOff>
      <xdr:row>8</xdr:row>
      <xdr:rowOff>171399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33376B7-35D3-D1D3-3C2D-8B70CD41F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1285875"/>
          <a:ext cx="1466667" cy="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16</xdr:row>
      <xdr:rowOff>142875</xdr:rowOff>
    </xdr:from>
    <xdr:to>
      <xdr:col>3</xdr:col>
      <xdr:colOff>66386</xdr:colOff>
      <xdr:row>18</xdr:row>
      <xdr:rowOff>190446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267DCBA-908B-04CE-5B8E-9756F1C1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3190875"/>
          <a:ext cx="2314286" cy="4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9</xdr:row>
      <xdr:rowOff>47625</xdr:rowOff>
    </xdr:from>
    <xdr:to>
      <xdr:col>8</xdr:col>
      <xdr:colOff>8851</xdr:colOff>
      <xdr:row>18</xdr:row>
      <xdr:rowOff>161696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BF1DDE-C2BD-0D5A-16B1-3EDDFF56E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895475"/>
          <a:ext cx="5390476" cy="1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7"/>
  <sheetViews>
    <sheetView showGridLines="0" workbookViewId="0">
      <selection activeCell="D20" sqref="D20"/>
    </sheetView>
  </sheetViews>
  <sheetFormatPr baseColWidth="10" defaultRowHeight="15" x14ac:dyDescent="0.25"/>
  <cols>
    <col min="3" max="3" width="13" bestFit="1" customWidth="1"/>
    <col min="4" max="4" width="12.85546875" bestFit="1" customWidth="1"/>
    <col min="5" max="5" width="13" bestFit="1" customWidth="1"/>
  </cols>
  <sheetData>
    <row r="1" spans="2:9" x14ac:dyDescent="0.25">
      <c r="F1" s="17" t="s">
        <v>12</v>
      </c>
      <c r="G1" s="17"/>
    </row>
    <row r="2" spans="2:9" x14ac:dyDescent="0.25">
      <c r="B2" t="s">
        <v>4</v>
      </c>
      <c r="C2" s="18">
        <v>30</v>
      </c>
      <c r="D2" t="s">
        <v>5</v>
      </c>
      <c r="F2" s="6">
        <v>1</v>
      </c>
      <c r="G2" s="6">
        <f>+C2/C3</f>
        <v>0.8571428571428571</v>
      </c>
    </row>
    <row r="3" spans="2:9" x14ac:dyDescent="0.25">
      <c r="B3" t="s">
        <v>3</v>
      </c>
      <c r="C3">
        <v>35</v>
      </c>
      <c r="D3" t="s">
        <v>5</v>
      </c>
    </row>
    <row r="6" spans="2:9" x14ac:dyDescent="0.25">
      <c r="D6" s="20">
        <f>1-G2</f>
        <v>0.1428571428571429</v>
      </c>
    </row>
    <row r="7" spans="2:9" x14ac:dyDescent="0.25">
      <c r="D7" s="4"/>
    </row>
    <row r="8" spans="2:9" x14ac:dyDescent="0.25">
      <c r="D8" s="21">
        <f>+(C2^2)/(C3*(C3-C2))</f>
        <v>5.1428571428571432</v>
      </c>
      <c r="E8" t="s">
        <v>31</v>
      </c>
    </row>
    <row r="11" spans="2:9" x14ac:dyDescent="0.25">
      <c r="D11" s="21">
        <f>+D8/C2</f>
        <v>0.17142857142857143</v>
      </c>
      <c r="E11" t="s">
        <v>32</v>
      </c>
    </row>
    <row r="14" spans="2:9" x14ac:dyDescent="0.25">
      <c r="D14" s="22">
        <f>+C2/(C3-C2)</f>
        <v>6</v>
      </c>
      <c r="E14" t="s">
        <v>31</v>
      </c>
      <c r="I14" s="3"/>
    </row>
    <row r="15" spans="2:9" x14ac:dyDescent="0.25">
      <c r="I15" s="3"/>
    </row>
    <row r="16" spans="2:9" x14ac:dyDescent="0.25">
      <c r="D16" s="8"/>
      <c r="E16" s="8"/>
      <c r="I16" s="3"/>
    </row>
    <row r="17" spans="3:9" x14ac:dyDescent="0.25">
      <c r="D17" s="4"/>
      <c r="I17" s="3"/>
    </row>
    <row r="18" spans="3:9" x14ac:dyDescent="0.25">
      <c r="D18" s="4">
        <f>+D14/C2</f>
        <v>0.2</v>
      </c>
      <c r="E18" t="s">
        <v>32</v>
      </c>
    </row>
    <row r="19" spans="3:9" x14ac:dyDescent="0.25">
      <c r="E19" s="8"/>
    </row>
    <row r="20" spans="3:9" ht="18.75" x14ac:dyDescent="0.3">
      <c r="C20" s="11"/>
      <c r="E20" s="9"/>
    </row>
    <row r="21" spans="3:9" x14ac:dyDescent="0.25">
      <c r="E21" s="9"/>
    </row>
    <row r="22" spans="3:9" x14ac:dyDescent="0.25">
      <c r="E22" s="9"/>
    </row>
    <row r="23" spans="3:9" x14ac:dyDescent="0.25">
      <c r="E23" s="9"/>
    </row>
    <row r="24" spans="3:9" x14ac:dyDescent="0.25">
      <c r="E24" s="10"/>
    </row>
    <row r="25" spans="3:9" x14ac:dyDescent="0.25">
      <c r="E25" s="10"/>
      <c r="F25" s="8"/>
    </row>
    <row r="26" spans="3:9" x14ac:dyDescent="0.25">
      <c r="E26" s="9"/>
      <c r="F26" s="8"/>
    </row>
    <row r="27" spans="3:9" x14ac:dyDescent="0.25">
      <c r="F27" s="8"/>
    </row>
  </sheetData>
  <mergeCells count="1">
    <mergeCell ref="F1:G1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"/>
  <sheetViews>
    <sheetView showGridLines="0" zoomScale="110" zoomScaleNormal="110" workbookViewId="0"/>
  </sheetViews>
  <sheetFormatPr baseColWidth="10" defaultColWidth="11.5703125" defaultRowHeight="15" x14ac:dyDescent="0.25"/>
  <cols>
    <col min="1" max="1" width="14.140625" bestFit="1" customWidth="1"/>
    <col min="2" max="2" width="18.42578125" bestFit="1" customWidth="1"/>
    <col min="3" max="3" width="25.85546875" bestFit="1" customWidth="1"/>
    <col min="4" max="4" width="28" bestFit="1" customWidth="1"/>
    <col min="5" max="5" width="22.85546875" bestFit="1" customWidth="1"/>
    <col min="6" max="6" width="27.5703125" bestFit="1" customWidth="1"/>
    <col min="7" max="7" width="14.42578125" bestFit="1" customWidth="1"/>
    <col min="8" max="8" width="19" bestFit="1" customWidth="1"/>
    <col min="9" max="9" width="18.28515625" bestFit="1" customWidth="1"/>
  </cols>
  <sheetData>
    <row r="2" spans="1:9" x14ac:dyDescent="0.25">
      <c r="A2" t="s">
        <v>4</v>
      </c>
      <c r="B2" s="18">
        <f>1/5</f>
        <v>0.2</v>
      </c>
      <c r="C2" t="s">
        <v>29</v>
      </c>
    </row>
    <row r="3" spans="1:9" x14ac:dyDescent="0.25">
      <c r="A3" t="s">
        <v>3</v>
      </c>
      <c r="B3" s="1" t="s">
        <v>22</v>
      </c>
      <c r="C3" s="1" t="s">
        <v>30</v>
      </c>
      <c r="D3" s="2" t="s">
        <v>23</v>
      </c>
      <c r="E3" s="2" t="s">
        <v>28</v>
      </c>
    </row>
    <row r="4" spans="1:9" x14ac:dyDescent="0.25">
      <c r="B4" s="1" t="s">
        <v>24</v>
      </c>
      <c r="C4" s="1">
        <f>1/4</f>
        <v>0.25</v>
      </c>
      <c r="D4" s="19">
        <v>0.25</v>
      </c>
      <c r="E4" s="19">
        <v>0.25</v>
      </c>
    </row>
    <row r="5" spans="1:9" x14ac:dyDescent="0.25">
      <c r="B5" s="1" t="s">
        <v>25</v>
      </c>
      <c r="C5" s="1">
        <f>1/2</f>
        <v>0.5</v>
      </c>
      <c r="D5" s="19">
        <v>0.25</v>
      </c>
      <c r="E5" s="19">
        <v>0.5</v>
      </c>
    </row>
    <row r="6" spans="1:9" x14ac:dyDescent="0.25">
      <c r="B6" s="1" t="s">
        <v>26</v>
      </c>
      <c r="C6" s="1">
        <f>1/15</f>
        <v>6.6666666666666666E-2</v>
      </c>
      <c r="D6" s="19">
        <v>0.35</v>
      </c>
      <c r="E6" s="19">
        <f>+D6+E5</f>
        <v>0.85</v>
      </c>
    </row>
    <row r="7" spans="1:9" x14ac:dyDescent="0.25">
      <c r="B7" s="1" t="s">
        <v>27</v>
      </c>
      <c r="C7" s="1">
        <f>1/1</f>
        <v>1</v>
      </c>
      <c r="D7" s="19">
        <v>0.15</v>
      </c>
      <c r="E7" s="19">
        <f>+D7+E6</f>
        <v>1</v>
      </c>
    </row>
    <row r="9" spans="1:9" x14ac:dyDescent="0.25">
      <c r="A9" s="1" t="s">
        <v>0</v>
      </c>
      <c r="B9" s="1" t="s">
        <v>9</v>
      </c>
      <c r="C9" s="2" t="s">
        <v>6</v>
      </c>
      <c r="D9" s="2" t="s">
        <v>7</v>
      </c>
      <c r="E9" s="2" t="s">
        <v>1</v>
      </c>
      <c r="F9" s="2" t="s">
        <v>2</v>
      </c>
      <c r="G9" s="1" t="s">
        <v>10</v>
      </c>
      <c r="H9" s="1" t="s">
        <v>11</v>
      </c>
      <c r="I9" s="2" t="s">
        <v>8</v>
      </c>
    </row>
    <row r="10" spans="1:9" x14ac:dyDescent="0.25">
      <c r="A10" s="1">
        <v>1</v>
      </c>
      <c r="B10" s="1"/>
      <c r="C10" s="1" t="e">
        <f>+(1/$B$2)*(LN(1/B10))</f>
        <v>#DIV/0!</v>
      </c>
      <c r="D10" s="1" t="e">
        <f>+C10</f>
        <v>#DIV/0!</v>
      </c>
      <c r="E10" s="1" t="e">
        <f>+F10-D10</f>
        <v>#DIV/0!</v>
      </c>
      <c r="F10" s="1" t="e">
        <f>+D10</f>
        <v>#DIV/0!</v>
      </c>
      <c r="G10" s="1"/>
      <c r="H10" s="1" t="str">
        <f t="shared" ref="H10:H17" si="0">IF(AND(G10&lt;=0.25,G10&gt;0),$C$4,IF(AND(G10&lt;=0.5,G10&gt;0.25),$C$5,IF(AND(G10&lt;=0.85,G10&gt;0.5),$C$6,IF(AND(G10&lt;=1,G10&gt;0.85),$C$7,"Error"))))</f>
        <v>Error</v>
      </c>
      <c r="I10" s="1" t="e">
        <f>+H10+F10</f>
        <v>#VALUE!</v>
      </c>
    </row>
    <row r="11" spans="1:9" x14ac:dyDescent="0.25">
      <c r="A11" s="1">
        <v>2</v>
      </c>
      <c r="B11" s="1"/>
      <c r="C11" s="1" t="e">
        <f t="shared" ref="C11:C19" si="1">+(1/$B$2)*(LN(1/B11))</f>
        <v>#DIV/0!</v>
      </c>
      <c r="D11" s="1" t="e">
        <f>+D10+C11</f>
        <v>#DIV/0!</v>
      </c>
      <c r="E11" s="1" t="e">
        <f>+F11-D11</f>
        <v>#DIV/0!</v>
      </c>
      <c r="F11" s="1" t="e">
        <f>+MAX(D11,I10)</f>
        <v>#DIV/0!</v>
      </c>
      <c r="G11" s="1"/>
      <c r="H11" s="1" t="str">
        <f t="shared" si="0"/>
        <v>Error</v>
      </c>
      <c r="I11" s="1" t="e">
        <f t="shared" ref="I11:I19" si="2">+H11+F11</f>
        <v>#VALUE!</v>
      </c>
    </row>
    <row r="12" spans="1:9" x14ac:dyDescent="0.25">
      <c r="A12" s="1">
        <v>3</v>
      </c>
      <c r="B12" s="1"/>
      <c r="C12" s="1" t="e">
        <f t="shared" si="1"/>
        <v>#DIV/0!</v>
      </c>
      <c r="D12" s="1" t="e">
        <f t="shared" ref="D12:D19" si="3">+D11+C12</f>
        <v>#DIV/0!</v>
      </c>
      <c r="E12" s="1" t="e">
        <f t="shared" ref="E12:E19" si="4">+F12-D12</f>
        <v>#DIV/0!</v>
      </c>
      <c r="F12" s="1" t="e">
        <f t="shared" ref="F12:F19" si="5">+MAX(D12,I11)</f>
        <v>#DIV/0!</v>
      </c>
      <c r="G12" s="1"/>
      <c r="H12" s="1" t="str">
        <f t="shared" si="0"/>
        <v>Error</v>
      </c>
      <c r="I12" s="1" t="e">
        <f t="shared" si="2"/>
        <v>#VALUE!</v>
      </c>
    </row>
    <row r="13" spans="1:9" x14ac:dyDescent="0.25">
      <c r="A13" s="1">
        <v>4</v>
      </c>
      <c r="B13" s="1"/>
      <c r="C13" s="1" t="e">
        <f t="shared" si="1"/>
        <v>#DIV/0!</v>
      </c>
      <c r="D13" s="1" t="e">
        <f t="shared" si="3"/>
        <v>#DIV/0!</v>
      </c>
      <c r="E13" s="1" t="e">
        <f t="shared" si="4"/>
        <v>#DIV/0!</v>
      </c>
      <c r="F13" s="1" t="e">
        <f t="shared" si="5"/>
        <v>#DIV/0!</v>
      </c>
      <c r="G13" s="1"/>
      <c r="H13" s="1" t="str">
        <f t="shared" si="0"/>
        <v>Error</v>
      </c>
      <c r="I13" s="1" t="e">
        <f t="shared" si="2"/>
        <v>#VALUE!</v>
      </c>
    </row>
    <row r="14" spans="1:9" x14ac:dyDescent="0.25">
      <c r="A14" s="1">
        <v>5</v>
      </c>
      <c r="B14" s="1"/>
      <c r="C14" s="1" t="e">
        <f t="shared" si="1"/>
        <v>#DIV/0!</v>
      </c>
      <c r="D14" s="1" t="e">
        <f t="shared" si="3"/>
        <v>#DIV/0!</v>
      </c>
      <c r="E14" s="1" t="e">
        <f t="shared" si="4"/>
        <v>#DIV/0!</v>
      </c>
      <c r="F14" s="1" t="e">
        <f t="shared" si="5"/>
        <v>#DIV/0!</v>
      </c>
      <c r="G14" s="1"/>
      <c r="H14" s="1" t="str">
        <f t="shared" si="0"/>
        <v>Error</v>
      </c>
      <c r="I14" s="1" t="e">
        <f t="shared" si="2"/>
        <v>#VALUE!</v>
      </c>
    </row>
    <row r="15" spans="1:9" x14ac:dyDescent="0.25">
      <c r="A15" s="1">
        <v>6</v>
      </c>
      <c r="B15" s="1"/>
      <c r="C15" s="1" t="e">
        <f t="shared" si="1"/>
        <v>#DIV/0!</v>
      </c>
      <c r="D15" s="1" t="e">
        <f t="shared" si="3"/>
        <v>#DIV/0!</v>
      </c>
      <c r="E15" s="1" t="e">
        <f t="shared" si="4"/>
        <v>#DIV/0!</v>
      </c>
      <c r="F15" s="1" t="e">
        <f t="shared" si="5"/>
        <v>#DIV/0!</v>
      </c>
      <c r="G15" s="1"/>
      <c r="H15" s="1" t="str">
        <f t="shared" si="0"/>
        <v>Error</v>
      </c>
      <c r="I15" s="1" t="e">
        <f t="shared" si="2"/>
        <v>#VALUE!</v>
      </c>
    </row>
    <row r="16" spans="1:9" x14ac:dyDescent="0.25">
      <c r="A16" s="1">
        <v>7</v>
      </c>
      <c r="B16" s="1"/>
      <c r="C16" s="1" t="e">
        <f t="shared" si="1"/>
        <v>#DIV/0!</v>
      </c>
      <c r="D16" s="1" t="e">
        <f t="shared" si="3"/>
        <v>#DIV/0!</v>
      </c>
      <c r="E16" s="1" t="e">
        <f t="shared" si="4"/>
        <v>#DIV/0!</v>
      </c>
      <c r="F16" s="1" t="e">
        <f t="shared" si="5"/>
        <v>#DIV/0!</v>
      </c>
      <c r="G16" s="1"/>
      <c r="H16" s="1" t="str">
        <f t="shared" si="0"/>
        <v>Error</v>
      </c>
      <c r="I16" s="1" t="e">
        <f t="shared" si="2"/>
        <v>#VALUE!</v>
      </c>
    </row>
    <row r="17" spans="1:9" x14ac:dyDescent="0.25">
      <c r="A17" s="1">
        <v>8</v>
      </c>
      <c r="B17" s="1"/>
      <c r="C17" s="1" t="e">
        <f t="shared" si="1"/>
        <v>#DIV/0!</v>
      </c>
      <c r="D17" s="1" t="e">
        <f t="shared" si="3"/>
        <v>#DIV/0!</v>
      </c>
      <c r="E17" s="1" t="e">
        <f t="shared" si="4"/>
        <v>#DIV/0!</v>
      </c>
      <c r="F17" s="1" t="e">
        <f t="shared" si="5"/>
        <v>#DIV/0!</v>
      </c>
      <c r="G17" s="1"/>
      <c r="H17" s="1" t="str">
        <f t="shared" si="0"/>
        <v>Error</v>
      </c>
      <c r="I17" s="1" t="e">
        <f t="shared" si="2"/>
        <v>#VALUE!</v>
      </c>
    </row>
    <row r="18" spans="1:9" x14ac:dyDescent="0.25">
      <c r="A18" s="1">
        <v>9</v>
      </c>
      <c r="B18" s="1"/>
      <c r="C18" s="1" t="e">
        <f t="shared" si="1"/>
        <v>#DIV/0!</v>
      </c>
      <c r="D18" s="1" t="e">
        <f t="shared" si="3"/>
        <v>#DIV/0!</v>
      </c>
      <c r="E18" s="1" t="e">
        <f t="shared" si="4"/>
        <v>#DIV/0!</v>
      </c>
      <c r="F18" s="1" t="e">
        <f t="shared" si="5"/>
        <v>#DIV/0!</v>
      </c>
      <c r="G18" s="1"/>
      <c r="H18" s="1" t="str">
        <f>IF(AND(G18&lt;=0.25,G18&gt;0),$C$4,IF(AND(G18&lt;=0.5,G18&gt;0.25),$C$5,IF(AND(G18&lt;=0.85,G18&gt;0.5),$C$6,IF(AND(G18&lt;=1,G18&gt;0.85),$C$7,"Error"))))</f>
        <v>Error</v>
      </c>
      <c r="I18" s="1" t="e">
        <f t="shared" si="2"/>
        <v>#VALUE!</v>
      </c>
    </row>
    <row r="19" spans="1:9" x14ac:dyDescent="0.25">
      <c r="A19" s="1">
        <v>10</v>
      </c>
      <c r="B19" s="1"/>
      <c r="C19" s="1" t="e">
        <f t="shared" si="1"/>
        <v>#DIV/0!</v>
      </c>
      <c r="D19" s="1" t="e">
        <f t="shared" si="3"/>
        <v>#DIV/0!</v>
      </c>
      <c r="E19" s="1" t="e">
        <f t="shared" si="4"/>
        <v>#DIV/0!</v>
      </c>
      <c r="F19" s="1" t="e">
        <f t="shared" si="5"/>
        <v>#DIV/0!</v>
      </c>
      <c r="G19" s="1"/>
      <c r="H19" s="1" t="str">
        <f t="shared" ref="H19" si="6">IF(AND(G19&lt;=0.25,G19&gt;0),$C$4,IF(AND(G19&lt;=0.5,G19&gt;0.25),$C$5,IF(AND(G19&lt;=0.85,G19&gt;0.5),$C$6,IF(AND(G19&lt;=1,G19&gt;0.85),$C$7,"Error"))))</f>
        <v>Error</v>
      </c>
      <c r="I19" s="1" t="e">
        <f t="shared" si="2"/>
        <v>#VALUE!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7"/>
  <sheetViews>
    <sheetView showGridLines="0" workbookViewId="0">
      <selection activeCell="A18" sqref="A18"/>
    </sheetView>
  </sheetViews>
  <sheetFormatPr baseColWidth="10" defaultRowHeight="15" x14ac:dyDescent="0.25"/>
  <cols>
    <col min="2" max="2" width="22.7109375" bestFit="1" customWidth="1"/>
    <col min="3" max="3" width="15.140625" customWidth="1"/>
    <col min="4" max="4" width="14.5703125" customWidth="1"/>
    <col min="5" max="5" width="17.140625" customWidth="1"/>
  </cols>
  <sheetData>
    <row r="2" spans="2:8" x14ac:dyDescent="0.25">
      <c r="B2" s="3"/>
      <c r="C2" s="4"/>
      <c r="D2" s="4"/>
      <c r="E2" s="4"/>
    </row>
    <row r="4" spans="2:8" x14ac:dyDescent="0.25">
      <c r="B4" s="15" t="s">
        <v>36</v>
      </c>
      <c r="C4" s="5" t="s">
        <v>33</v>
      </c>
      <c r="D4" s="5" t="s">
        <v>34</v>
      </c>
      <c r="E4" s="5" t="s">
        <v>35</v>
      </c>
    </row>
    <row r="5" spans="2:8" x14ac:dyDescent="0.25">
      <c r="B5" s="1" t="str" cm="1">
        <f t="array" ref="B5:B7">+TRANSPOSE(C4:E4)</f>
        <v>M1</v>
      </c>
      <c r="C5" s="1">
        <f>1-SUM(D5:E5)</f>
        <v>0.65</v>
      </c>
      <c r="D5" s="1">
        <v>0.15</v>
      </c>
      <c r="E5" s="1">
        <v>0.2</v>
      </c>
      <c r="F5" s="4">
        <f>+SUM(C5:E5)</f>
        <v>1</v>
      </c>
      <c r="H5" s="16"/>
    </row>
    <row r="6" spans="2:8" x14ac:dyDescent="0.25">
      <c r="B6" s="1" t="str">
        <v>M2</v>
      </c>
      <c r="C6" s="1">
        <v>0.25</v>
      </c>
      <c r="D6" s="23">
        <f>1-C6-E6</f>
        <v>0.15000000000000002</v>
      </c>
      <c r="E6" s="7">
        <v>0.6</v>
      </c>
      <c r="F6" s="4">
        <f t="shared" ref="F6:F7" si="0">+SUM(C6:E6)</f>
        <v>1</v>
      </c>
      <c r="H6" s="16"/>
    </row>
    <row r="7" spans="2:8" x14ac:dyDescent="0.25">
      <c r="B7" s="1" t="str">
        <v>M3</v>
      </c>
      <c r="C7" s="1">
        <v>0.1</v>
      </c>
      <c r="D7" s="1">
        <v>0.5</v>
      </c>
      <c r="E7" s="1">
        <f>1-SUM(C7:D7)</f>
        <v>0.4</v>
      </c>
      <c r="F7" s="4">
        <f t="shared" si="0"/>
        <v>1</v>
      </c>
      <c r="H7" s="16"/>
    </row>
    <row r="9" spans="2:8" x14ac:dyDescent="0.25">
      <c r="B9" s="15" t="s">
        <v>37</v>
      </c>
      <c r="C9" s="5" t="s">
        <v>33</v>
      </c>
      <c r="D9" s="5" t="s">
        <v>34</v>
      </c>
      <c r="E9" s="5" t="s">
        <v>35</v>
      </c>
    </row>
    <row r="10" spans="2:8" x14ac:dyDescent="0.25">
      <c r="B10" s="1" t="str" cm="1">
        <f t="array" ref="B10:B12">+TRANSPOSE(C9:E9)</f>
        <v>M1</v>
      </c>
      <c r="C10" s="1" cm="1">
        <f t="array" ref="C10:E12">+MMULT(C5:E7,C5:E7)</f>
        <v>0.48000000000000004</v>
      </c>
      <c r="D10" s="1">
        <v>0.22000000000000003</v>
      </c>
      <c r="E10" s="1">
        <v>0.30000000000000004</v>
      </c>
    </row>
    <row r="11" spans="2:8" x14ac:dyDescent="0.25">
      <c r="B11" s="1" t="str">
        <v>M2</v>
      </c>
      <c r="C11" s="1">
        <v>0.26</v>
      </c>
      <c r="D11" s="23">
        <v>0.36</v>
      </c>
      <c r="E11" s="7">
        <v>0.38</v>
      </c>
    </row>
    <row r="12" spans="2:8" x14ac:dyDescent="0.25">
      <c r="B12" s="1" t="str">
        <v>M3</v>
      </c>
      <c r="C12" s="1">
        <v>0.23</v>
      </c>
      <c r="D12" s="1">
        <v>0.29000000000000004</v>
      </c>
      <c r="E12" s="1">
        <v>0.48000000000000004</v>
      </c>
    </row>
    <row r="14" spans="2:8" x14ac:dyDescent="0.25">
      <c r="B14" s="15" t="s">
        <v>38</v>
      </c>
      <c r="C14" s="5" t="s">
        <v>33</v>
      </c>
      <c r="D14" s="5" t="s">
        <v>34</v>
      </c>
      <c r="E14" s="5" t="s">
        <v>35</v>
      </c>
    </row>
    <row r="15" spans="2:8" x14ac:dyDescent="0.25">
      <c r="B15" s="1" t="str" cm="1">
        <f t="array" ref="B15:B17">+TRANSPOSE(C14:E14)</f>
        <v>M1</v>
      </c>
      <c r="C15" s="24" cm="1">
        <f t="array" ref="C15:E17">+MMULT(C10:E12,C5:E7)</f>
        <v>0.39700000000000008</v>
      </c>
      <c r="D15" s="1">
        <v>0.255</v>
      </c>
      <c r="E15" s="1">
        <v>0.34800000000000009</v>
      </c>
      <c r="G15" t="s">
        <v>39</v>
      </c>
    </row>
    <row r="16" spans="2:8" x14ac:dyDescent="0.25">
      <c r="B16" s="1" t="str">
        <v>M2</v>
      </c>
      <c r="C16" s="1">
        <v>0.29700000000000004</v>
      </c>
      <c r="D16" s="25">
        <v>0.28300000000000003</v>
      </c>
      <c r="E16" s="7">
        <v>0.42000000000000004</v>
      </c>
      <c r="G16" t="s">
        <v>40</v>
      </c>
    </row>
    <row r="17" spans="2:7" x14ac:dyDescent="0.25">
      <c r="B17" s="1" t="str">
        <v>M3</v>
      </c>
      <c r="C17" s="1">
        <v>0.27</v>
      </c>
      <c r="D17" s="1">
        <v>0.31800000000000006</v>
      </c>
      <c r="E17" s="24">
        <v>0.41200000000000003</v>
      </c>
      <c r="G17" t="s">
        <v>41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5B89-16B7-4E24-862C-7D33296D8E89}">
  <dimension ref="A1:L17"/>
  <sheetViews>
    <sheetView showGridLines="0" tabSelected="1" workbookViewId="0">
      <selection activeCell="F6" sqref="F6"/>
    </sheetView>
  </sheetViews>
  <sheetFormatPr baseColWidth="10" defaultRowHeight="15" x14ac:dyDescent="0.25"/>
  <cols>
    <col min="5" max="5" width="13.5703125" customWidth="1"/>
  </cols>
  <sheetData>
    <row r="1" spans="1:12" ht="38.25" x14ac:dyDescent="0.25">
      <c r="A1" s="12" t="s">
        <v>13</v>
      </c>
      <c r="B1" s="12" t="s">
        <v>14</v>
      </c>
      <c r="C1" s="12" t="s">
        <v>15</v>
      </c>
      <c r="D1" s="12" t="s">
        <v>44</v>
      </c>
      <c r="E1" s="12" t="s">
        <v>45</v>
      </c>
      <c r="F1" s="12" t="s">
        <v>46</v>
      </c>
      <c r="G1" s="12" t="s">
        <v>47</v>
      </c>
    </row>
    <row r="2" spans="1:12" x14ac:dyDescent="0.25">
      <c r="A2" s="27" t="s">
        <v>16</v>
      </c>
      <c r="B2" s="13">
        <v>13</v>
      </c>
      <c r="C2" s="13"/>
      <c r="D2" s="1">
        <f>13-0-B2</f>
        <v>0</v>
      </c>
      <c r="E2" s="1">
        <f>13-0-B2</f>
        <v>0</v>
      </c>
      <c r="F2" s="1">
        <f>13-0-B2</f>
        <v>0</v>
      </c>
      <c r="G2" s="26" t="s">
        <v>48</v>
      </c>
    </row>
    <row r="3" spans="1:12" x14ac:dyDescent="0.25">
      <c r="A3" s="12" t="s">
        <v>17</v>
      </c>
      <c r="B3" s="13">
        <v>12</v>
      </c>
      <c r="C3" s="13"/>
      <c r="D3" s="1">
        <f>12-0-B3</f>
        <v>0</v>
      </c>
      <c r="E3" s="1">
        <f>12-0-B3</f>
        <v>0</v>
      </c>
      <c r="F3" s="1">
        <f>18-0-B3</f>
        <v>6</v>
      </c>
      <c r="G3" s="1" t="s">
        <v>49</v>
      </c>
    </row>
    <row r="4" spans="1:12" x14ac:dyDescent="0.25">
      <c r="A4" s="12" t="s">
        <v>18</v>
      </c>
      <c r="B4" s="13">
        <v>2</v>
      </c>
      <c r="C4" s="13" t="s">
        <v>16</v>
      </c>
      <c r="D4" s="1">
        <f>20-13-B4</f>
        <v>5</v>
      </c>
      <c r="E4" s="1">
        <f>20-13-B4</f>
        <v>5</v>
      </c>
      <c r="F4" s="1">
        <f>26-13-B4</f>
        <v>11</v>
      </c>
      <c r="G4" s="1" t="s">
        <v>49</v>
      </c>
      <c r="K4" s="4"/>
    </row>
    <row r="5" spans="1:12" x14ac:dyDescent="0.25">
      <c r="A5" s="12" t="s">
        <v>19</v>
      </c>
      <c r="B5" s="13">
        <v>8</v>
      </c>
      <c r="C5" s="13" t="s">
        <v>17</v>
      </c>
      <c r="D5" s="1">
        <f>20-12-B5</f>
        <v>0</v>
      </c>
      <c r="E5" s="1">
        <f>20-18-B5</f>
        <v>-6</v>
      </c>
      <c r="F5" s="1">
        <f>26-12-B5</f>
        <v>6</v>
      </c>
      <c r="G5" s="1" t="s">
        <v>49</v>
      </c>
    </row>
    <row r="6" spans="1:12" x14ac:dyDescent="0.25">
      <c r="A6" s="27" t="s">
        <v>20</v>
      </c>
      <c r="B6" s="13">
        <v>15</v>
      </c>
      <c r="C6" s="13" t="s">
        <v>42</v>
      </c>
      <c r="D6" s="1">
        <f>28-13-B6</f>
        <v>0</v>
      </c>
      <c r="E6" s="1">
        <f>28-13-B6</f>
        <v>0</v>
      </c>
      <c r="F6" s="1">
        <f>28-13-B6</f>
        <v>0</v>
      </c>
      <c r="G6" s="26" t="s">
        <v>48</v>
      </c>
      <c r="L6" s="4"/>
    </row>
    <row r="7" spans="1:12" x14ac:dyDescent="0.25">
      <c r="A7" s="12" t="s">
        <v>21</v>
      </c>
      <c r="B7" s="13">
        <v>2</v>
      </c>
      <c r="C7" s="13" t="s">
        <v>43</v>
      </c>
      <c r="D7" s="1">
        <f>28-20-B7</f>
        <v>6</v>
      </c>
      <c r="E7" s="1">
        <f>28-26-B7</f>
        <v>0</v>
      </c>
      <c r="F7" s="1">
        <f>28-20-B7</f>
        <v>6</v>
      </c>
      <c r="G7" s="1" t="s">
        <v>49</v>
      </c>
    </row>
    <row r="8" spans="1:12" x14ac:dyDescent="0.25">
      <c r="F8" s="4"/>
    </row>
    <row r="10" spans="1:12" x14ac:dyDescent="0.25">
      <c r="A10" s="14"/>
    </row>
    <row r="13" spans="1:12" x14ac:dyDescent="0.25">
      <c r="I13" s="4"/>
    </row>
    <row r="14" spans="1:12" x14ac:dyDescent="0.25">
      <c r="I14" s="3"/>
    </row>
    <row r="17" spans="9:9" x14ac:dyDescent="0.25">
      <c r="I17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2023-06-22T17:05:08Z</dcterms:modified>
</cp:coreProperties>
</file>