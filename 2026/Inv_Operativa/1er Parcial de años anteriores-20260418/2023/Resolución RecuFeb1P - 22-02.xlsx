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23A99309-C97D-4663-BC7C-FB90329B78A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1" sheetId="3" r:id="rId1"/>
    <sheet name="P2" sheetId="1" r:id="rId2"/>
    <sheet name="P3" sheetId="2" r:id="rId3"/>
    <sheet name="P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4" l="1"/>
  <c r="F11" i="4"/>
  <c r="F10" i="4"/>
  <c r="F9" i="4"/>
  <c r="F8" i="4"/>
  <c r="F7" i="4"/>
  <c r="F6" i="4"/>
  <c r="F5" i="4"/>
  <c r="F4" i="4"/>
  <c r="F3" i="4"/>
  <c r="F2" i="4"/>
  <c r="B2" i="2"/>
  <c r="B1" i="2"/>
  <c r="H10" i="1"/>
  <c r="H9" i="1"/>
  <c r="H8" i="1"/>
  <c r="H7" i="1"/>
  <c r="H6" i="1"/>
  <c r="C10" i="1"/>
  <c r="C9" i="1"/>
  <c r="C8" i="1"/>
  <c r="C7" i="1"/>
  <c r="C6" i="1"/>
  <c r="D6" i="1" l="1"/>
  <c r="F6" i="1" s="1"/>
  <c r="E6" i="1" s="1"/>
  <c r="I6" i="1" l="1"/>
  <c r="D7" i="1"/>
  <c r="F7" i="1" l="1"/>
  <c r="E7" i="1" s="1"/>
  <c r="D8" i="1"/>
  <c r="I7" i="1" l="1"/>
  <c r="F8" i="1" s="1"/>
  <c r="I8" i="1" s="1"/>
  <c r="D9" i="1"/>
  <c r="D10" i="1" s="1"/>
  <c r="F9" i="1" l="1"/>
  <c r="I9" i="1" s="1"/>
  <c r="F10" i="1" s="1"/>
  <c r="E8" i="1"/>
  <c r="I10" i="1" l="1"/>
  <c r="E9" i="1"/>
  <c r="E10" i="1" l="1"/>
</calcChain>
</file>

<file path=xl/sharedStrings.xml><?xml version="1.0" encoding="utf-8"?>
<sst xmlns="http://schemas.openxmlformats.org/spreadsheetml/2006/main" count="24" uniqueCount="23">
  <si>
    <t>Nro de Llegada</t>
  </si>
  <si>
    <t>Tiempo de Espera</t>
  </si>
  <si>
    <t>Momento en que es atendido</t>
  </si>
  <si>
    <t>Salidas</t>
  </si>
  <si>
    <t>Llegadas</t>
  </si>
  <si>
    <t>clientes/hora</t>
  </si>
  <si>
    <t>Momento de Salida</t>
  </si>
  <si>
    <t>Nro Aleatorio 1</t>
  </si>
  <si>
    <t>Nro Aleatorio 2</t>
  </si>
  <si>
    <t>Tiempo de Atención</t>
  </si>
  <si>
    <t>Actividad</t>
  </si>
  <si>
    <t>Predecesoras</t>
  </si>
  <si>
    <t>Llegada</t>
  </si>
  <si>
    <t>Momento de Arribo</t>
  </si>
  <si>
    <t>landa</t>
  </si>
  <si>
    <t>mu</t>
  </si>
  <si>
    <t>s</t>
  </si>
  <si>
    <t>4,6,7</t>
  </si>
  <si>
    <t>9,10</t>
  </si>
  <si>
    <t>Tiempo Optimista</t>
  </si>
  <si>
    <t>Tiempo Probable</t>
  </si>
  <si>
    <t>Tiempo Pesimista</t>
  </si>
  <si>
    <t>Tiempo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</si>
</sst>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EF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</xdr:row>
      <xdr:rowOff>104775</xdr:rowOff>
    </xdr:from>
    <xdr:to>
      <xdr:col>6</xdr:col>
      <xdr:colOff>704218</xdr:colOff>
      <xdr:row>6</xdr:row>
      <xdr:rowOff>152275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9AEFFA-58D7-D2F4-7F5E-9673A0E36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295275"/>
          <a:ext cx="5057143" cy="10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3</xdr:row>
      <xdr:rowOff>85725</xdr:rowOff>
    </xdr:from>
    <xdr:to>
      <xdr:col>4</xdr:col>
      <xdr:colOff>485218</xdr:colOff>
      <xdr:row>16</xdr:row>
      <xdr:rowOff>85415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3C64FA7-836F-06ED-CA48-1338C3CB4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657225"/>
          <a:ext cx="4457143" cy="2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17</xdr:row>
      <xdr:rowOff>9525</xdr:rowOff>
    </xdr:from>
    <xdr:to>
      <xdr:col>4</xdr:col>
      <xdr:colOff>389994</xdr:colOff>
      <xdr:row>28</xdr:row>
      <xdr:rowOff>171168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327E6CE-E2C5-502C-F46A-53368400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3248025"/>
          <a:ext cx="4247619" cy="22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13</xdr:row>
      <xdr:rowOff>104775</xdr:rowOff>
    </xdr:from>
    <xdr:to>
      <xdr:col>9</xdr:col>
      <xdr:colOff>189692</xdr:colOff>
      <xdr:row>29</xdr:row>
      <xdr:rowOff>104394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3BCBA7-BD44-4D1D-61D6-4151D62F3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2714625"/>
          <a:ext cx="6466667" cy="3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F7"/>
  <sheetViews>
    <sheetView showGridLines="0" workbookViewId="0">
      <selection activeCell="C4" sqref="C4"/>
    </sheetView>
  </sheetViews>
  <sheetFormatPr baseColWidth="10" defaultRowHeight="15" x14ac:dyDescent="0.25"/>
  <cols>
    <col min="3" max="3" width="13" bestFit="1" customWidth="1"/>
    <col min="4" max="4" width="12.85546875" bestFit="1" customWidth="1"/>
    <col min="5" max="5" width="13" bestFit="1" customWidth="1"/>
  </cols>
  <sheetData>
    <row r="1" spans="5:6" x14ac:dyDescent="0.25">
      <c r="E1" s="6"/>
    </row>
    <row r="2" spans="5:6" x14ac:dyDescent="0.25">
      <c r="E2" s="6"/>
    </row>
    <row r="3" spans="5:6" x14ac:dyDescent="0.25">
      <c r="E3" s="6"/>
    </row>
    <row r="4" spans="5:6" x14ac:dyDescent="0.25">
      <c r="E4" s="7"/>
    </row>
    <row r="5" spans="5:6" x14ac:dyDescent="0.25">
      <c r="E5" s="7"/>
      <c r="F5" s="5"/>
    </row>
    <row r="6" spans="5:6" x14ac:dyDescent="0.25">
      <c r="E6" s="6"/>
      <c r="F6" s="5"/>
    </row>
    <row r="7" spans="5:6" x14ac:dyDescent="0.25">
      <c r="F7" s="5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"/>
  <sheetViews>
    <sheetView showGridLines="0" zoomScale="110" zoomScaleNormal="110" workbookViewId="0">
      <selection activeCell="B10" sqref="B10"/>
    </sheetView>
  </sheetViews>
  <sheetFormatPr baseColWidth="10" defaultColWidth="11.5703125" defaultRowHeight="15" x14ac:dyDescent="0.25"/>
  <cols>
    <col min="1" max="1" width="14.140625" bestFit="1" customWidth="1"/>
    <col min="2" max="2" width="18.42578125" bestFit="1" customWidth="1"/>
    <col min="3" max="3" width="25.85546875" bestFit="1" customWidth="1"/>
    <col min="4" max="4" width="28" bestFit="1" customWidth="1"/>
    <col min="5" max="5" width="22.85546875" bestFit="1" customWidth="1"/>
    <col min="6" max="6" width="27.5703125" bestFit="1" customWidth="1"/>
    <col min="7" max="7" width="14.42578125" bestFit="1" customWidth="1"/>
    <col min="8" max="8" width="19" bestFit="1" customWidth="1"/>
    <col min="9" max="9" width="18.28515625" bestFit="1" customWidth="1"/>
  </cols>
  <sheetData>
    <row r="2" spans="1:9" x14ac:dyDescent="0.25">
      <c r="A2" t="s">
        <v>4</v>
      </c>
      <c r="B2">
        <v>15</v>
      </c>
      <c r="C2" t="s">
        <v>5</v>
      </c>
    </row>
    <row r="3" spans="1:9" x14ac:dyDescent="0.25">
      <c r="A3" t="s">
        <v>3</v>
      </c>
      <c r="B3">
        <v>20</v>
      </c>
      <c r="C3" t="s">
        <v>5</v>
      </c>
    </row>
    <row r="5" spans="1:9" x14ac:dyDescent="0.25">
      <c r="A5" s="1" t="s">
        <v>0</v>
      </c>
      <c r="B5" s="1" t="s">
        <v>7</v>
      </c>
      <c r="C5" s="2" t="s">
        <v>12</v>
      </c>
      <c r="D5" s="2" t="s">
        <v>13</v>
      </c>
      <c r="E5" s="2" t="s">
        <v>1</v>
      </c>
      <c r="F5" s="2" t="s">
        <v>2</v>
      </c>
      <c r="G5" s="1" t="s">
        <v>8</v>
      </c>
      <c r="H5" s="1" t="s">
        <v>9</v>
      </c>
      <c r="I5" s="2" t="s">
        <v>6</v>
      </c>
    </row>
    <row r="6" spans="1:9" x14ac:dyDescent="0.25">
      <c r="A6" s="1">
        <v>1</v>
      </c>
      <c r="B6" s="1"/>
      <c r="C6" s="1" t="e">
        <f>+(1/$B$2)*(LN(1/B6))</f>
        <v>#DIV/0!</v>
      </c>
      <c r="D6" s="1" t="e">
        <f>+C6</f>
        <v>#DIV/0!</v>
      </c>
      <c r="E6" s="1" t="e">
        <f>+F6-D6</f>
        <v>#DIV/0!</v>
      </c>
      <c r="F6" s="1" t="e">
        <f>+D6</f>
        <v>#DIV/0!</v>
      </c>
      <c r="G6" s="1"/>
      <c r="H6" s="1" t="e">
        <f>+(1/$B$3)*(LN(1/G6))</f>
        <v>#DIV/0!</v>
      </c>
      <c r="I6" s="1" t="e">
        <f>+H6+F6</f>
        <v>#DIV/0!</v>
      </c>
    </row>
    <row r="7" spans="1:9" x14ac:dyDescent="0.25">
      <c r="A7" s="1">
        <v>2</v>
      </c>
      <c r="B7" s="1"/>
      <c r="C7" s="1" t="e">
        <f t="shared" ref="C7:C10" si="0">+(1/$B$2)*(LN(1/B7))</f>
        <v>#DIV/0!</v>
      </c>
      <c r="D7" s="1" t="e">
        <f>+D6+C7</f>
        <v>#DIV/0!</v>
      </c>
      <c r="E7" s="1" t="e">
        <f>+F7-D7</f>
        <v>#DIV/0!</v>
      </c>
      <c r="F7" s="1" t="e">
        <f>+MAX(D7,I6)</f>
        <v>#DIV/0!</v>
      </c>
      <c r="G7" s="1"/>
      <c r="H7" s="1" t="e">
        <f t="shared" ref="H7:H10" si="1">+(1/$B$3)*(LN(1/G7))</f>
        <v>#DIV/0!</v>
      </c>
      <c r="I7" s="1" t="e">
        <f t="shared" ref="I7:I10" si="2">+H7+F7</f>
        <v>#DIV/0!</v>
      </c>
    </row>
    <row r="8" spans="1:9" x14ac:dyDescent="0.25">
      <c r="A8" s="1">
        <v>3</v>
      </c>
      <c r="B8" s="1"/>
      <c r="C8" s="1" t="e">
        <f t="shared" si="0"/>
        <v>#DIV/0!</v>
      </c>
      <c r="D8" s="1" t="e">
        <f t="shared" ref="D8:D10" si="3">+D7+C8</f>
        <v>#DIV/0!</v>
      </c>
      <c r="E8" s="1" t="e">
        <f t="shared" ref="E8:E10" si="4">+F8-D8</f>
        <v>#DIV/0!</v>
      </c>
      <c r="F8" s="1" t="e">
        <f t="shared" ref="F8:F10" si="5">+MAX(D8,I7)</f>
        <v>#DIV/0!</v>
      </c>
      <c r="G8" s="1"/>
      <c r="H8" s="1" t="e">
        <f t="shared" si="1"/>
        <v>#DIV/0!</v>
      </c>
      <c r="I8" s="1" t="e">
        <f t="shared" si="2"/>
        <v>#DIV/0!</v>
      </c>
    </row>
    <row r="9" spans="1:9" x14ac:dyDescent="0.25">
      <c r="A9" s="1">
        <v>4</v>
      </c>
      <c r="B9" s="1"/>
      <c r="C9" s="1" t="e">
        <f t="shared" si="0"/>
        <v>#DIV/0!</v>
      </c>
      <c r="D9" s="1" t="e">
        <f t="shared" si="3"/>
        <v>#DIV/0!</v>
      </c>
      <c r="E9" s="1" t="e">
        <f t="shared" si="4"/>
        <v>#DIV/0!</v>
      </c>
      <c r="F9" s="1" t="e">
        <f t="shared" si="5"/>
        <v>#DIV/0!</v>
      </c>
      <c r="G9" s="1"/>
      <c r="H9" s="1" t="e">
        <f t="shared" si="1"/>
        <v>#DIV/0!</v>
      </c>
      <c r="I9" s="1" t="e">
        <f t="shared" si="2"/>
        <v>#DIV/0!</v>
      </c>
    </row>
    <row r="10" spans="1:9" x14ac:dyDescent="0.25">
      <c r="A10" s="1">
        <v>5</v>
      </c>
      <c r="B10" s="1"/>
      <c r="C10" s="1" t="e">
        <f t="shared" si="0"/>
        <v>#DIV/0!</v>
      </c>
      <c r="D10" s="1" t="e">
        <f t="shared" si="3"/>
        <v>#DIV/0!</v>
      </c>
      <c r="E10" s="1" t="e">
        <f t="shared" si="4"/>
        <v>#DIV/0!</v>
      </c>
      <c r="F10" s="1" t="e">
        <f t="shared" si="5"/>
        <v>#DIV/0!</v>
      </c>
      <c r="G10" s="1"/>
      <c r="H10" s="1" t="e">
        <f t="shared" si="1"/>
        <v>#DIV/0!</v>
      </c>
      <c r="I10" s="1" t="e">
        <f t="shared" si="2"/>
        <v>#DIV/0!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showGridLines="0" topLeftCell="A11" workbookViewId="0">
      <selection activeCell="E31" sqref="E31"/>
    </sheetView>
  </sheetViews>
  <sheetFormatPr baseColWidth="10" defaultRowHeight="15" x14ac:dyDescent="0.25"/>
  <cols>
    <col min="2" max="2" width="22.7109375" bestFit="1" customWidth="1"/>
    <col min="3" max="3" width="15.140625" customWidth="1"/>
    <col min="4" max="4" width="14.5703125" customWidth="1"/>
    <col min="5" max="5" width="17.140625" customWidth="1"/>
  </cols>
  <sheetData>
    <row r="1" spans="1:5" x14ac:dyDescent="0.25">
      <c r="A1" t="s">
        <v>14</v>
      </c>
      <c r="B1">
        <f>10/15</f>
        <v>0.66666666666666663</v>
      </c>
    </row>
    <row r="2" spans="1:5" x14ac:dyDescent="0.25">
      <c r="A2" t="s">
        <v>15</v>
      </c>
      <c r="B2" s="3">
        <f>1/4</f>
        <v>0.25</v>
      </c>
      <c r="C2" s="4"/>
      <c r="D2" s="4"/>
      <c r="E2" s="4"/>
    </row>
    <row r="3" spans="1:5" x14ac:dyDescent="0.25">
      <c r="A3" t="s">
        <v>16</v>
      </c>
      <c r="B3">
        <v>3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5B89-16B7-4E24-862C-7D33296D8E89}">
  <dimension ref="A1:H17"/>
  <sheetViews>
    <sheetView showGridLines="0" tabSelected="1" workbookViewId="0">
      <selection activeCell="G8" sqref="G8"/>
    </sheetView>
  </sheetViews>
  <sheetFormatPr baseColWidth="10" defaultRowHeight="15" x14ac:dyDescent="0.25"/>
  <sheetData>
    <row r="1" spans="1:8" ht="25.5" x14ac:dyDescent="0.25">
      <c r="A1" s="8" t="s">
        <v>10</v>
      </c>
      <c r="B1" s="8" t="s">
        <v>11</v>
      </c>
      <c r="C1" s="8" t="s">
        <v>19</v>
      </c>
      <c r="D1" s="8" t="s">
        <v>20</v>
      </c>
      <c r="E1" s="8" t="s">
        <v>21</v>
      </c>
      <c r="F1" s="8" t="s">
        <v>22</v>
      </c>
    </row>
    <row r="2" spans="1:8" x14ac:dyDescent="0.25">
      <c r="A2" s="8">
        <v>1</v>
      </c>
      <c r="B2" s="9"/>
      <c r="C2" s="9">
        <v>14</v>
      </c>
      <c r="D2" s="9">
        <v>17</v>
      </c>
      <c r="E2" s="9">
        <v>20</v>
      </c>
      <c r="F2" s="9">
        <f>+(C2+4*D2+E2)/6</f>
        <v>17</v>
      </c>
    </row>
    <row r="3" spans="1:8" x14ac:dyDescent="0.25">
      <c r="A3" s="8">
        <v>2</v>
      </c>
      <c r="B3" s="9">
        <v>1</v>
      </c>
      <c r="C3" s="9">
        <v>18</v>
      </c>
      <c r="D3" s="9">
        <v>25</v>
      </c>
      <c r="E3" s="9">
        <v>26</v>
      </c>
      <c r="F3" s="9">
        <f t="shared" ref="F3:F12" si="0">+(C3+4*D3+E3)/6</f>
        <v>24</v>
      </c>
    </row>
    <row r="4" spans="1:8" x14ac:dyDescent="0.25">
      <c r="A4" s="8">
        <v>3</v>
      </c>
      <c r="B4" s="9">
        <v>1</v>
      </c>
      <c r="C4" s="9">
        <v>15</v>
      </c>
      <c r="D4" s="9">
        <v>19</v>
      </c>
      <c r="E4" s="9">
        <v>23</v>
      </c>
      <c r="F4" s="9">
        <f t="shared" si="0"/>
        <v>19</v>
      </c>
      <c r="G4" s="4"/>
    </row>
    <row r="5" spans="1:8" x14ac:dyDescent="0.25">
      <c r="A5" s="8">
        <v>4</v>
      </c>
      <c r="B5" s="9">
        <v>3</v>
      </c>
      <c r="C5" s="9">
        <v>21</v>
      </c>
      <c r="D5" s="9">
        <v>25</v>
      </c>
      <c r="E5" s="9">
        <v>29</v>
      </c>
      <c r="F5" s="9">
        <f t="shared" si="0"/>
        <v>25</v>
      </c>
    </row>
    <row r="6" spans="1:8" x14ac:dyDescent="0.25">
      <c r="A6" s="8">
        <v>5</v>
      </c>
      <c r="B6" s="9">
        <v>2</v>
      </c>
      <c r="C6" s="9">
        <v>25</v>
      </c>
      <c r="D6" s="9">
        <v>30</v>
      </c>
      <c r="E6" s="9">
        <v>35</v>
      </c>
      <c r="F6" s="9">
        <f t="shared" si="0"/>
        <v>30</v>
      </c>
      <c r="H6" s="4"/>
    </row>
    <row r="7" spans="1:8" x14ac:dyDescent="0.25">
      <c r="A7" s="8">
        <v>6</v>
      </c>
      <c r="B7" s="9">
        <v>3</v>
      </c>
      <c r="C7" s="9">
        <v>12</v>
      </c>
      <c r="D7" s="9">
        <v>15</v>
      </c>
      <c r="E7" s="9">
        <v>18</v>
      </c>
      <c r="F7" s="9">
        <f t="shared" si="0"/>
        <v>15</v>
      </c>
    </row>
    <row r="8" spans="1:8" x14ac:dyDescent="0.25">
      <c r="A8" s="8">
        <v>7</v>
      </c>
      <c r="B8" s="9">
        <v>5</v>
      </c>
      <c r="C8" s="9">
        <v>25</v>
      </c>
      <c r="D8" s="9">
        <v>27</v>
      </c>
      <c r="E8" s="9">
        <v>29</v>
      </c>
      <c r="F8" s="9">
        <f t="shared" si="0"/>
        <v>27</v>
      </c>
    </row>
    <row r="9" spans="1:8" x14ac:dyDescent="0.25">
      <c r="A9" s="8">
        <v>8</v>
      </c>
      <c r="B9" s="9" t="s">
        <v>17</v>
      </c>
      <c r="C9" s="9">
        <v>23</v>
      </c>
      <c r="D9" s="9">
        <v>24</v>
      </c>
      <c r="E9" s="9">
        <v>25</v>
      </c>
      <c r="F9" s="9">
        <f t="shared" si="0"/>
        <v>24</v>
      </c>
    </row>
    <row r="10" spans="1:8" x14ac:dyDescent="0.25">
      <c r="A10" s="8">
        <v>9</v>
      </c>
      <c r="B10" s="9">
        <v>8</v>
      </c>
      <c r="C10" s="9">
        <v>12</v>
      </c>
      <c r="D10" s="9">
        <v>15</v>
      </c>
      <c r="E10" s="9">
        <v>18</v>
      </c>
      <c r="F10" s="9">
        <f t="shared" si="0"/>
        <v>15</v>
      </c>
    </row>
    <row r="11" spans="1:8" x14ac:dyDescent="0.25">
      <c r="A11" s="8">
        <v>10</v>
      </c>
      <c r="B11" s="9">
        <v>8</v>
      </c>
      <c r="C11" s="9">
        <v>22</v>
      </c>
      <c r="D11" s="9">
        <v>26</v>
      </c>
      <c r="E11" s="9">
        <v>30</v>
      </c>
      <c r="F11" s="9">
        <f t="shared" si="0"/>
        <v>26</v>
      </c>
    </row>
    <row r="12" spans="1:8" x14ac:dyDescent="0.25">
      <c r="A12" s="8">
        <v>11</v>
      </c>
      <c r="B12" s="9" t="s">
        <v>18</v>
      </c>
      <c r="C12" s="9">
        <v>14</v>
      </c>
      <c r="D12" s="9">
        <v>19</v>
      </c>
      <c r="E12" s="9">
        <v>24</v>
      </c>
      <c r="F12" s="9">
        <f t="shared" si="0"/>
        <v>19</v>
      </c>
    </row>
    <row r="13" spans="1:8" x14ac:dyDescent="0.25">
      <c r="E13" s="4"/>
    </row>
    <row r="14" spans="1:8" x14ac:dyDescent="0.25">
      <c r="E14" s="3"/>
    </row>
    <row r="17" spans="5:5" x14ac:dyDescent="0.25">
      <c r="E17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2023-12-03T15:10:49Z</dcterms:modified>
</cp:coreProperties>
</file>