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 activeTab="1"/>
  </bookViews>
  <sheets>
    <sheet name="Tema A" sheetId="1" r:id="rId1"/>
    <sheet name="Solución" sheetId="3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8" i="3"/>
  <c r="C76"/>
  <c r="C74"/>
  <c r="B72"/>
  <c r="B68"/>
  <c r="E58"/>
  <c r="H49" l="1"/>
  <c r="H48"/>
  <c r="H47"/>
  <c r="H46"/>
  <c r="H45"/>
  <c r="H44"/>
  <c r="H43"/>
  <c r="G44"/>
  <c r="G45"/>
  <c r="G46"/>
  <c r="G47"/>
  <c r="G48"/>
  <c r="G49"/>
  <c r="G43"/>
  <c r="F44"/>
  <c r="F45"/>
  <c r="F46"/>
  <c r="F47"/>
  <c r="F48"/>
  <c r="F49"/>
  <c r="F43"/>
  <c r="C18" a="1"/>
  <c r="C18" s="1"/>
  <c r="C11" a="1"/>
  <c r="C11" s="1"/>
  <c r="D18" l="1"/>
  <c r="D20"/>
  <c r="C19"/>
  <c r="C20"/>
  <c r="E18"/>
  <c r="E19"/>
  <c r="E20"/>
  <c r="D19"/>
  <c r="C12"/>
  <c r="E11"/>
  <c r="E12"/>
  <c r="D11"/>
  <c r="D13"/>
  <c r="C13"/>
  <c r="E13"/>
  <c r="D12"/>
</calcChain>
</file>

<file path=xl/sharedStrings.xml><?xml version="1.0" encoding="utf-8"?>
<sst xmlns="http://schemas.openxmlformats.org/spreadsheetml/2006/main" count="135" uniqueCount="66">
  <si>
    <t>Tema A</t>
  </si>
  <si>
    <t>Nombre/s y Apellido/s:</t>
  </si>
  <si>
    <t>Puntaje Obtenido</t>
  </si>
  <si>
    <t>Puntaje Total</t>
  </si>
  <si>
    <t>4.-</t>
  </si>
  <si>
    <t>5.-</t>
  </si>
  <si>
    <t>6.-</t>
  </si>
  <si>
    <t>D</t>
  </si>
  <si>
    <t>1.-</t>
  </si>
  <si>
    <t>2.-</t>
  </si>
  <si>
    <t>3.-</t>
  </si>
  <si>
    <t>General</t>
  </si>
  <si>
    <t>Donde cada fila indica la probabilidad de que un usuario permanezca en su compañía o cambie a otra.</t>
  </si>
  <si>
    <t>Caro</t>
  </si>
  <si>
    <t>A- ¿Con qué frecuencia un usuario de Caro cambiará a General?
B- ¿Cuál será la posición de mercado de cada marca en septiembre?
C- ¿Cuál será la posición de mercado en el largo plazo?</t>
  </si>
  <si>
    <t>2° Recuperatorio del 1° Parcial
Investigación Operativa - 07/12/2019</t>
  </si>
  <si>
    <t>En el mercado de telefonía celular para empresas, existen únicamente 3 compañías que brindan servicio: Caro, MovieEstar y General.
Luego de una encuesta de mercado realizada en junio en la que se preguntó a más de 8500 personas, se determinó la siguiente tabla:</t>
  </si>
  <si>
    <t>MovieEstar</t>
  </si>
  <si>
    <t>En la siguiente tabla se presentan las actividades relacionadas a un proyecto. Asimismo, se indica cuál es la precedencia entre ellas y sus tiempos optimista, normal y pesimista de cada una. A partir de esta información se solicita:</t>
  </si>
  <si>
    <t>A- Armar la red del proyecto</t>
  </si>
  <si>
    <t>B- Determinar la duración media del proyecto y su desvío estándar</t>
  </si>
  <si>
    <t>C- Identificar las actividades críticas</t>
  </si>
  <si>
    <t>Actividad</t>
  </si>
  <si>
    <t>Precedencia</t>
  </si>
  <si>
    <t>Tiempos</t>
  </si>
  <si>
    <t>Optimista</t>
  </si>
  <si>
    <t>Normal</t>
  </si>
  <si>
    <t>Pesimista</t>
  </si>
  <si>
    <t>B</t>
  </si>
  <si>
    <t>A</t>
  </si>
  <si>
    <t>C</t>
  </si>
  <si>
    <t>E</t>
  </si>
  <si>
    <t>F</t>
  </si>
  <si>
    <t>G</t>
  </si>
  <si>
    <t>-</t>
  </si>
  <si>
    <t>A, B</t>
  </si>
  <si>
    <t>D, C</t>
  </si>
  <si>
    <t>Indicar notación de Kendall y supuestos considerados para el problema 6.-</t>
  </si>
  <si>
    <t>Definir suceso crítico y tarea crítica de un proyecto. ¿Qué es el camino crítico de un proyecto? ¿Cómo se construye un calendario de fechas tardías?</t>
  </si>
  <si>
    <t>¿Qué es una matríz de transición? ¿Qué información contiene?</t>
  </si>
  <si>
    <t>A-</t>
  </si>
  <si>
    <t>el 30% de las veces</t>
  </si>
  <si>
    <t>B-</t>
  </si>
  <si>
    <t>C-</t>
  </si>
  <si>
    <t>4-</t>
  </si>
  <si>
    <t>5-</t>
  </si>
  <si>
    <t>T</t>
  </si>
  <si>
    <t>σ</t>
  </si>
  <si>
    <t>Mft</t>
  </si>
  <si>
    <t>En la pizzería "El Corte" hay dos cajas en servicio. Los clientes llegan a las cajas a una tasa media de 40 por hora. Se requiere en promedio 2 minutos para tomar el pedido a un cliente. Cuando ambas cajas están ocupadas, el cliente que llega se une a una cola y espera a que lo atiendan.
Determinar:
A- Tiempo esperado de un cliente dentro de la pizzería
B- Tiempo esperado por cliente dentro de la cola de la pizzería
C- Cantidad de clientes que aguardan ser atendidos
D- Cantidad de clientes dentro de la pizzería</t>
  </si>
  <si>
    <t>λ</t>
  </si>
  <si>
    <t>µ</t>
  </si>
  <si>
    <t>s</t>
  </si>
  <si>
    <t>ƿ</t>
  </si>
  <si>
    <t>P0=</t>
  </si>
  <si>
    <t>Lq=</t>
  </si>
  <si>
    <t>c.-</t>
  </si>
  <si>
    <t>b.-</t>
  </si>
  <si>
    <t>wq=</t>
  </si>
  <si>
    <t>LQ/λ</t>
  </si>
  <si>
    <t>L=</t>
  </si>
  <si>
    <t>λ*w</t>
  </si>
  <si>
    <t>a.-</t>
  </si>
  <si>
    <t>W=</t>
  </si>
  <si>
    <t>wq+1/µ</t>
  </si>
  <si>
    <t>d.-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</si>
</sst>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09">
    <xf numFmtId="0" fontId="0" fillId="0" borderId="0" xfId="0"/>
    <xf numFmtId="0" fontId="4" fillId="0" borderId="0" xfId="1" applyFont="1" applyAlignment="1">
      <alignment horizontal="center" vertical="center"/>
    </xf>
    <xf numFmtId="0" fontId="4" fillId="0" borderId="0" xfId="1" applyFont="1" applyAlignment="1"/>
    <xf numFmtId="0" fontId="5" fillId="0" borderId="0" xfId="0" applyFont="1" applyAlignment="1">
      <alignment horizontal="center"/>
    </xf>
    <xf numFmtId="0" fontId="4" fillId="0" borderId="0" xfId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6" xfId="1" applyFont="1" applyBorder="1" applyAlignment="1">
      <alignment horizontal="center" vertical="center"/>
    </xf>
    <xf numFmtId="0" fontId="6" fillId="0" borderId="0" xfId="1" applyFont="1" applyBorder="1" applyAlignment="1">
      <alignment horizontal="left" vertical="center" wrapText="1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0" xfId="1" applyFont="1" applyBorder="1" applyAlignment="1">
      <alignment horizontal="left" vertical="center"/>
    </xf>
    <xf numFmtId="0" fontId="0" fillId="0" borderId="0" xfId="0" applyFill="1"/>
    <xf numFmtId="0" fontId="0" fillId="0" borderId="9" xfId="0" applyFill="1" applyBorder="1"/>
    <xf numFmtId="0" fontId="0" fillId="0" borderId="9" xfId="0" applyBorder="1" applyAlignment="1">
      <alignment horizontal="center"/>
    </xf>
    <xf numFmtId="0" fontId="5" fillId="0" borderId="0" xfId="0" applyFont="1" applyFill="1" applyAlignment="1">
      <alignment horizontal="left" wrapText="1"/>
    </xf>
    <xf numFmtId="0" fontId="6" fillId="0" borderId="0" xfId="1" applyFont="1" applyFill="1" applyBorder="1" applyAlignment="1">
      <alignment vertical="center" wrapText="1"/>
    </xf>
    <xf numFmtId="0" fontId="5" fillId="0" borderId="9" xfId="0" applyFont="1" applyFill="1" applyBorder="1" applyAlignment="1">
      <alignment horizontal="left" wrapText="1"/>
    </xf>
    <xf numFmtId="0" fontId="5" fillId="0" borderId="17" xfId="0" applyFont="1" applyFill="1" applyBorder="1" applyAlignment="1">
      <alignment horizontal="left" wrapText="1"/>
    </xf>
    <xf numFmtId="0" fontId="5" fillId="0" borderId="19" xfId="0" applyFont="1" applyFill="1" applyBorder="1" applyAlignment="1">
      <alignment horizontal="left" wrapText="1"/>
    </xf>
    <xf numFmtId="0" fontId="5" fillId="0" borderId="20" xfId="0" applyFont="1" applyFill="1" applyBorder="1" applyAlignment="1">
      <alignment horizontal="left" wrapText="1"/>
    </xf>
    <xf numFmtId="0" fontId="5" fillId="0" borderId="5" xfId="0" applyFont="1" applyFill="1" applyBorder="1" applyAlignment="1">
      <alignment horizontal="left" wrapText="1"/>
    </xf>
    <xf numFmtId="0" fontId="5" fillId="0" borderId="21" xfId="0" applyFont="1" applyFill="1" applyBorder="1" applyAlignment="1">
      <alignment horizontal="left" wrapText="1"/>
    </xf>
    <xf numFmtId="0" fontId="5" fillId="0" borderId="25" xfId="0" applyFont="1" applyFill="1" applyBorder="1" applyAlignment="1">
      <alignment horizontal="left" wrapText="1"/>
    </xf>
    <xf numFmtId="0" fontId="5" fillId="0" borderId="26" xfId="0" applyFont="1" applyFill="1" applyBorder="1" applyAlignment="1">
      <alignment horizontal="left" wrapText="1"/>
    </xf>
    <xf numFmtId="0" fontId="5" fillId="0" borderId="27" xfId="0" applyFont="1" applyFill="1" applyBorder="1" applyAlignment="1">
      <alignment horizontal="left" wrapText="1"/>
    </xf>
    <xf numFmtId="0" fontId="0" fillId="0" borderId="4" xfId="0" applyBorder="1"/>
    <xf numFmtId="0" fontId="9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Alignment="1">
      <alignment horizontal="left" vertical="center" wrapText="1"/>
    </xf>
    <xf numFmtId="0" fontId="8" fillId="0" borderId="4" xfId="0" applyFont="1" applyBorder="1" applyAlignment="1">
      <alignment vertical="center"/>
    </xf>
    <xf numFmtId="0" fontId="9" fillId="0" borderId="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9" fillId="0" borderId="23" xfId="0" applyFont="1" applyFill="1" applyBorder="1" applyAlignment="1">
      <alignment horizontal="left" vertical="center" wrapText="1"/>
    </xf>
    <xf numFmtId="0" fontId="9" fillId="0" borderId="24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3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9" fillId="0" borderId="37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5" fillId="0" borderId="38" xfId="0" applyFont="1" applyFill="1" applyBorder="1" applyAlignment="1">
      <alignment horizontal="left" wrapText="1"/>
    </xf>
    <xf numFmtId="0" fontId="5" fillId="0" borderId="39" xfId="0" applyFont="1" applyFill="1" applyBorder="1" applyAlignment="1">
      <alignment horizontal="left" wrapText="1"/>
    </xf>
    <xf numFmtId="0" fontId="5" fillId="0" borderId="40" xfId="0" applyFont="1" applyFill="1" applyBorder="1" applyAlignment="1">
      <alignment horizontal="left" wrapText="1"/>
    </xf>
    <xf numFmtId="0" fontId="5" fillId="0" borderId="41" xfId="0" applyFont="1" applyFill="1" applyBorder="1" applyAlignment="1">
      <alignment horizontal="left" wrapText="1"/>
    </xf>
    <xf numFmtId="0" fontId="5" fillId="0" borderId="42" xfId="0" applyFont="1" applyFill="1" applyBorder="1" applyAlignment="1">
      <alignment horizontal="left" wrapText="1"/>
    </xf>
    <xf numFmtId="0" fontId="8" fillId="0" borderId="1" xfId="0" applyFont="1" applyBorder="1" applyAlignment="1">
      <alignment vertical="center"/>
    </xf>
    <xf numFmtId="0" fontId="9" fillId="0" borderId="48" xfId="0" applyFont="1" applyFill="1" applyBorder="1" applyAlignment="1">
      <alignment horizontal="left" vertical="center" wrapText="1"/>
    </xf>
    <xf numFmtId="0" fontId="5" fillId="3" borderId="46" xfId="0" applyFont="1" applyFill="1" applyBorder="1" applyAlignment="1">
      <alignment horizontal="left" wrapText="1"/>
    </xf>
    <xf numFmtId="0" fontId="5" fillId="3" borderId="9" xfId="0" applyFont="1" applyFill="1" applyBorder="1" applyAlignment="1">
      <alignment horizontal="left" wrapText="1"/>
    </xf>
    <xf numFmtId="0" fontId="5" fillId="3" borderId="17" xfId="0" applyFont="1" applyFill="1" applyBorder="1" applyAlignment="1">
      <alignment horizontal="left" wrapText="1"/>
    </xf>
    <xf numFmtId="0" fontId="5" fillId="2" borderId="47" xfId="0" applyFont="1" applyFill="1" applyBorder="1" applyAlignment="1">
      <alignment horizontal="left" wrapText="1"/>
    </xf>
    <xf numFmtId="0" fontId="5" fillId="2" borderId="19" xfId="0" applyFont="1" applyFill="1" applyBorder="1" applyAlignment="1">
      <alignment horizontal="left" wrapText="1"/>
    </xf>
    <xf numFmtId="0" fontId="5" fillId="2" borderId="20" xfId="0" applyFont="1" applyFill="1" applyBorder="1" applyAlignment="1">
      <alignment horizontal="left" wrapText="1"/>
    </xf>
    <xf numFmtId="0" fontId="5" fillId="2" borderId="43" xfId="0" applyFont="1" applyFill="1" applyBorder="1" applyAlignment="1">
      <alignment horizontal="left" wrapText="1"/>
    </xf>
    <xf numFmtId="0" fontId="5" fillId="2" borderId="44" xfId="0" applyFont="1" applyFill="1" applyBorder="1" applyAlignment="1">
      <alignment horizontal="left" wrapText="1"/>
    </xf>
    <xf numFmtId="0" fontId="5" fillId="2" borderId="45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vertical="center" wrapText="1"/>
    </xf>
    <xf numFmtId="0" fontId="0" fillId="0" borderId="33" xfId="0" applyBorder="1" applyAlignment="1"/>
    <xf numFmtId="0" fontId="0" fillId="0" borderId="34" xfId="0" applyBorder="1" applyAlignment="1"/>
    <xf numFmtId="0" fontId="0" fillId="0" borderId="30" xfId="0" applyBorder="1" applyAlignment="1"/>
    <xf numFmtId="0" fontId="0" fillId="4" borderId="28" xfId="0" applyFill="1" applyBorder="1"/>
    <xf numFmtId="0" fontId="0" fillId="4" borderId="31" xfId="0" applyFill="1" applyBorder="1"/>
    <xf numFmtId="0" fontId="0" fillId="0" borderId="0" xfId="0" applyFill="1" applyAlignment="1">
      <alignment horizontal="right"/>
    </xf>
    <xf numFmtId="0" fontId="0" fillId="0" borderId="33" xfId="0" applyBorder="1" applyAlignment="1">
      <alignment horizontal="right"/>
    </xf>
    <xf numFmtId="0" fontId="0" fillId="0" borderId="32" xfId="0" applyBorder="1" applyAlignment="1">
      <alignment horizontal="right"/>
    </xf>
    <xf numFmtId="0" fontId="6" fillId="0" borderId="6" xfId="1" applyFont="1" applyFill="1" applyBorder="1" applyAlignment="1">
      <alignment horizontal="left" vertical="center" wrapText="1"/>
    </xf>
    <xf numFmtId="0" fontId="6" fillId="0" borderId="7" xfId="1" applyFont="1" applyFill="1" applyBorder="1" applyAlignment="1">
      <alignment horizontal="left" vertical="center" wrapText="1"/>
    </xf>
    <xf numFmtId="0" fontId="6" fillId="0" borderId="8" xfId="1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wrapText="1"/>
    </xf>
    <xf numFmtId="0" fontId="5" fillId="0" borderId="0" xfId="0" applyFont="1" applyAlignment="1">
      <alignment horizontal="left"/>
    </xf>
    <xf numFmtId="0" fontId="3" fillId="0" borderId="0" xfId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10" xfId="1" applyFont="1" applyFill="1" applyBorder="1" applyAlignment="1">
      <alignment horizontal="left" vertical="center" wrapText="1"/>
    </xf>
    <xf numFmtId="0" fontId="6" fillId="0" borderId="11" xfId="1" applyFont="1" applyFill="1" applyBorder="1" applyAlignment="1">
      <alignment horizontal="left" vertical="center" wrapText="1"/>
    </xf>
    <xf numFmtId="0" fontId="6" fillId="0" borderId="12" xfId="1" applyFont="1" applyFill="1" applyBorder="1" applyAlignment="1">
      <alignment horizontal="left" vertical="center" wrapText="1"/>
    </xf>
    <xf numFmtId="0" fontId="7" fillId="0" borderId="0" xfId="1" applyFont="1" applyFill="1" applyBorder="1" applyAlignment="1">
      <alignment horizontal="left" vertical="center" wrapText="1"/>
    </xf>
    <xf numFmtId="0" fontId="6" fillId="0" borderId="0" xfId="1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right"/>
    </xf>
    <xf numFmtId="0" fontId="0" fillId="0" borderId="29" xfId="0" applyBorder="1" applyAlignment="1">
      <alignment horizontal="right"/>
    </xf>
    <xf numFmtId="0" fontId="0" fillId="0" borderId="34" xfId="0" applyBorder="1" applyAlignment="1">
      <alignment horizontal="right"/>
    </xf>
    <xf numFmtId="0" fontId="0" fillId="0" borderId="36" xfId="0" applyBorder="1" applyAlignment="1">
      <alignment horizontal="right"/>
    </xf>
    <xf numFmtId="0" fontId="0" fillId="0" borderId="41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0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0" fillId="0" borderId="0" xfId="0" quotePrefix="1" applyNumberFormat="1" applyAlignment="1">
      <alignment horizontal="right"/>
    </xf>
  </cellXfs>
  <cellStyles count="2">
    <cellStyle name="Normal" xfId="0" builtinId="0"/>
    <cellStyle name="Normal 2" xfId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relativeIndent="255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relativeIndent="255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40</xdr:row>
      <xdr:rowOff>200025</xdr:rowOff>
    </xdr:from>
    <xdr:ext cx="546432" cy="229037"/>
    <mc:AlternateContent xmlns:mc="http://schemas.openxmlformats.org/markup-compatibility/2006">
      <mc:Choice xmlns:a14="http://schemas.microsoft.com/office/drawing/2010/main" xmlns="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DC821639-7B87-4ACB-942A-3E925CE7E0BD}"/>
                </a:ext>
              </a:extLst>
            </xdr:cNvPr>
            <xdr:cNvSpPr txBox="1"/>
          </xdr:nvSpPr>
          <xdr:spPr>
            <a:xfrm>
              <a:off x="228600" y="11277600"/>
              <a:ext cx="546432" cy="2290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A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r>
                      <a:rPr lang="es-A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type m:val="skw"/>
                        <m:ctrlPr>
                          <a:rPr lang="es-A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A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𝑐𝑙</m:t>
                        </m:r>
                      </m:num>
                      <m:den>
                        <m:r>
                          <a:rPr lang="es-A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den>
                    </m:f>
                  </m:oMath>
                </m:oMathPara>
              </a14:m>
              <a:endParaRPr lang="es-AR" sz="11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xmlns="" xmlns:a14="http://schemas.microsoft.com/office/drawing/2010/main" id="{DC821639-7B87-4ACB-942A-3E925CE7E0BD}"/>
                </a:ext>
              </a:extLst>
            </xdr:cNvPr>
            <xdr:cNvSpPr txBox="1"/>
          </xdr:nvSpPr>
          <xdr:spPr>
            <a:xfrm>
              <a:off x="228600" y="11277600"/>
              <a:ext cx="546432" cy="2290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𝜇=𝑐𝑙⁄ℎ</a:t>
              </a:r>
              <a:endParaRPr lang="es-AR" sz="1100"/>
            </a:p>
          </xdr:txBody>
        </xdr:sp>
      </mc:Fallback>
    </mc:AlternateContent>
    <xdr:clientData/>
  </xdr:oneCellAnchor>
  <xdr:oneCellAnchor>
    <xdr:from>
      <xdr:col>0</xdr:col>
      <xdr:colOff>219075</xdr:colOff>
      <xdr:row>42</xdr:row>
      <xdr:rowOff>0</xdr:rowOff>
    </xdr:from>
    <xdr:ext cx="540789" cy="229037"/>
    <mc:AlternateContent xmlns:mc="http://schemas.openxmlformats.org/markup-compatibility/2006">
      <mc:Choice xmlns:a14="http://schemas.microsoft.com/office/drawing/2010/main" xmlns="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A5B54BB-1DE7-4F7D-BF5C-DD6F88DD8CDA}"/>
                </a:ext>
              </a:extLst>
            </xdr:cNvPr>
            <xdr:cNvSpPr txBox="1"/>
          </xdr:nvSpPr>
          <xdr:spPr>
            <a:xfrm>
              <a:off x="219075" y="11620500"/>
              <a:ext cx="540789" cy="2290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AR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𝜆</m:t>
                    </m:r>
                    <m:r>
                      <a:rPr lang="es-A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type m:val="skw"/>
                        <m:ctrlPr>
                          <a:rPr lang="es-A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A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𝑐𝑙</m:t>
                        </m:r>
                      </m:num>
                      <m:den>
                        <m:r>
                          <a:rPr lang="es-A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den>
                    </m:f>
                  </m:oMath>
                </m:oMathPara>
              </a14:m>
              <a:endParaRPr lang="es-AR" sz="11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xmlns="" xmlns:a14="http://schemas.microsoft.com/office/drawing/2010/main" id="{9A5B54BB-1DE7-4F7D-BF5C-DD6F88DD8CDA}"/>
                </a:ext>
              </a:extLst>
            </xdr:cNvPr>
            <xdr:cNvSpPr txBox="1"/>
          </xdr:nvSpPr>
          <xdr:spPr>
            <a:xfrm>
              <a:off x="219075" y="11620500"/>
              <a:ext cx="540789" cy="2290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s-A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=𝑐𝑙⁄ℎ</a:t>
              </a:r>
              <a:endParaRPr lang="es-AR" sz="1100"/>
            </a:p>
          </xdr:txBody>
        </xdr:sp>
      </mc:Fallback>
    </mc:AlternateContent>
    <xdr:clientData/>
  </xdr:oneCellAnchor>
  <xdr:oneCellAnchor>
    <xdr:from>
      <xdr:col>3</xdr:col>
      <xdr:colOff>76200</xdr:colOff>
      <xdr:row>40</xdr:row>
      <xdr:rowOff>295275</xdr:rowOff>
    </xdr:from>
    <xdr:ext cx="854721" cy="307648"/>
    <mc:AlternateContent xmlns:mc="http://schemas.openxmlformats.org/markup-compatibility/2006">
      <mc:Choice xmlns:a14="http://schemas.microsoft.com/office/drawing/2010/main" xmlns=""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C9DE92F-4438-4025-B8F1-1EB464EF3C11}"/>
                </a:ext>
              </a:extLst>
            </xdr:cNvPr>
            <xdr:cNvSpPr txBox="1"/>
          </xdr:nvSpPr>
          <xdr:spPr>
            <a:xfrm>
              <a:off x="2085975" y="11372850"/>
              <a:ext cx="854721" cy="3076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AR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𝜌</m:t>
                  </m:r>
                  <m:r>
                    <a:rPr lang="es-AR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AR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s-AR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𝜇</m:t>
                      </m:r>
                    </m:num>
                    <m:den>
                      <m:r>
                        <a:rPr lang="es-AR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𝑠</m:t>
                      </m:r>
                      <m:r>
                        <a:rPr lang="es-AR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𝜆</m:t>
                      </m:r>
                    </m:den>
                  </m:f>
                  <m:r>
                    <a:rPr lang="es-AR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AR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f>
                        <m:fPr>
                          <m:type m:val="skw"/>
                          <m:ctrlPr>
                            <a:rPr lang="es-AR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s-AR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𝑐𝑙</m:t>
                          </m:r>
                        </m:num>
                        <m:den>
                          <m:r>
                            <a:rPr lang="es-AR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h</m:t>
                          </m:r>
                        </m:den>
                      </m:f>
                    </m:num>
                    <m:den>
                      <m:r>
                        <a:rPr lang="es-AR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∗</m:t>
                      </m:r>
                      <m:f>
                        <m:fPr>
                          <m:type m:val="skw"/>
                          <m:ctrlPr>
                            <a:rPr lang="es-AR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s-AR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𝑐𝑙</m:t>
                          </m:r>
                        </m:num>
                        <m:den>
                          <m:r>
                            <a:rPr lang="es-AR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h</m:t>
                          </m:r>
                        </m:den>
                      </m:f>
                    </m:den>
                  </m:f>
                </m:oMath>
              </a14:m>
              <a:r>
                <a:rPr lang="es-AR" sz="1100"/>
                <a:t>=</a:t>
              </a:r>
            </a:p>
          </xdr:txBody>
        </xdr:sp>
      </mc:Choice>
      <mc:Fallback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xmlns="" xmlns:a14="http://schemas.microsoft.com/office/drawing/2010/main" id="{1C9DE92F-4438-4025-B8F1-1EB464EF3C11}"/>
                </a:ext>
              </a:extLst>
            </xdr:cNvPr>
            <xdr:cNvSpPr txBox="1"/>
          </xdr:nvSpPr>
          <xdr:spPr>
            <a:xfrm>
              <a:off x="2085975" y="11372850"/>
              <a:ext cx="854721" cy="3076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A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s-A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=𝜇/𝑠𝜆=(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𝑐𝑙⁄ℎ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)/(</a:t>
              </a:r>
              <a:r>
                <a:rPr lang="es-A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∗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𝑐𝑙⁄ℎ</a:t>
              </a:r>
              <a:r>
                <a:rPr lang="es-A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r>
                <a:rPr lang="es-AR" sz="1100"/>
                <a:t>=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31</xdr:row>
      <xdr:rowOff>0</xdr:rowOff>
    </xdr:from>
    <xdr:to>
      <xdr:col>12</xdr:col>
      <xdr:colOff>390525</xdr:colOff>
      <xdr:row>34</xdr:row>
      <xdr:rowOff>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xmlns="" id="{F837DCC3-99D6-463C-87E4-65A5190693F1}"/>
            </a:ext>
          </a:extLst>
        </xdr:cNvPr>
        <xdr:cNvCxnSpPr/>
      </xdr:nvCxnSpPr>
      <xdr:spPr>
        <a:xfrm flipV="1">
          <a:off x="5438775" y="5829300"/>
          <a:ext cx="752475" cy="5715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34</xdr:row>
      <xdr:rowOff>19050</xdr:rowOff>
    </xdr:from>
    <xdr:to>
      <xdr:col>13</xdr:col>
      <xdr:colOff>0</xdr:colOff>
      <xdr:row>36</xdr:row>
      <xdr:rowOff>180975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xmlns="" id="{07E5B8C6-8CCB-44F9-AEB1-B4E7F644DAAB}"/>
            </a:ext>
          </a:extLst>
        </xdr:cNvPr>
        <xdr:cNvCxnSpPr/>
      </xdr:nvCxnSpPr>
      <xdr:spPr>
        <a:xfrm>
          <a:off x="5438775" y="6419850"/>
          <a:ext cx="762000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31</xdr:row>
      <xdr:rowOff>9525</xdr:rowOff>
    </xdr:from>
    <xdr:to>
      <xdr:col>18</xdr:col>
      <xdr:colOff>9525</xdr:colOff>
      <xdr:row>31</xdr:row>
      <xdr:rowOff>19050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xmlns="" id="{9F8F600C-9678-4862-B198-12C3D534E5D8}"/>
            </a:ext>
          </a:extLst>
        </xdr:cNvPr>
        <xdr:cNvCxnSpPr/>
      </xdr:nvCxnSpPr>
      <xdr:spPr>
        <a:xfrm>
          <a:off x="7010400" y="5838825"/>
          <a:ext cx="1200150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37</xdr:row>
      <xdr:rowOff>9525</xdr:rowOff>
    </xdr:from>
    <xdr:to>
      <xdr:col>18</xdr:col>
      <xdr:colOff>0</xdr:colOff>
      <xdr:row>37</xdr:row>
      <xdr:rowOff>19050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xmlns="" id="{EC36FAEC-18FA-4743-9A28-412272C952A4}"/>
            </a:ext>
          </a:extLst>
        </xdr:cNvPr>
        <xdr:cNvCxnSpPr/>
      </xdr:nvCxnSpPr>
      <xdr:spPr>
        <a:xfrm>
          <a:off x="7000875" y="6991350"/>
          <a:ext cx="12001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32</xdr:row>
      <xdr:rowOff>0</xdr:rowOff>
    </xdr:from>
    <xdr:to>
      <xdr:col>14</xdr:col>
      <xdr:colOff>0</xdr:colOff>
      <xdr:row>36</xdr:row>
      <xdr:rowOff>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xmlns="" id="{E5C71402-123A-4F90-A168-646CE38C283D}"/>
            </a:ext>
          </a:extLst>
        </xdr:cNvPr>
        <xdr:cNvCxnSpPr/>
      </xdr:nvCxnSpPr>
      <xdr:spPr>
        <a:xfrm>
          <a:off x="6600825" y="6019800"/>
          <a:ext cx="0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31</xdr:row>
      <xdr:rowOff>47626</xdr:rowOff>
    </xdr:from>
    <xdr:to>
      <xdr:col>18</xdr:col>
      <xdr:colOff>0</xdr:colOff>
      <xdr:row>36</xdr:row>
      <xdr:rowOff>180975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xmlns="" id="{866AFC9C-16E3-4A9E-8CEF-4C735C8609E3}"/>
            </a:ext>
          </a:extLst>
        </xdr:cNvPr>
        <xdr:cNvCxnSpPr/>
      </xdr:nvCxnSpPr>
      <xdr:spPr>
        <a:xfrm flipV="1">
          <a:off x="7010400" y="5876926"/>
          <a:ext cx="1190625" cy="10953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</xdr:colOff>
      <xdr:row>31</xdr:row>
      <xdr:rowOff>19050</xdr:rowOff>
    </xdr:from>
    <xdr:to>
      <xdr:col>21</xdr:col>
      <xdr:colOff>390525</xdr:colOff>
      <xdr:row>34</xdr:row>
      <xdr:rowOff>19050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xmlns="" id="{523A2A9C-28D1-4EB4-9D2E-2B5F33B68D85}"/>
            </a:ext>
          </a:extLst>
        </xdr:cNvPr>
        <xdr:cNvCxnSpPr/>
      </xdr:nvCxnSpPr>
      <xdr:spPr>
        <a:xfrm>
          <a:off x="9039225" y="5848350"/>
          <a:ext cx="752475" cy="5715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</xdr:colOff>
      <xdr:row>34</xdr:row>
      <xdr:rowOff>0</xdr:rowOff>
    </xdr:from>
    <xdr:to>
      <xdr:col>21</xdr:col>
      <xdr:colOff>381000</xdr:colOff>
      <xdr:row>37</xdr:row>
      <xdr:rowOff>0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xmlns="" id="{6E71857D-D656-444F-8163-772D89C8CCA3}"/>
            </a:ext>
          </a:extLst>
        </xdr:cNvPr>
        <xdr:cNvCxnSpPr/>
      </xdr:nvCxnSpPr>
      <xdr:spPr>
        <a:xfrm flipV="1">
          <a:off x="9020175" y="6400800"/>
          <a:ext cx="762000" cy="581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285750</xdr:colOff>
      <xdr:row>30</xdr:row>
      <xdr:rowOff>76200</xdr:rowOff>
    </xdr:from>
    <xdr:ext cx="26629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xmlns="" id="{ED8EC56A-E0E1-4197-A35D-FA02038233A3}"/>
            </a:ext>
          </a:extLst>
        </xdr:cNvPr>
        <xdr:cNvSpPr txBox="1"/>
      </xdr:nvSpPr>
      <xdr:spPr>
        <a:xfrm>
          <a:off x="5686425" y="5715000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11</xdr:col>
      <xdr:colOff>219075</xdr:colOff>
      <xdr:row>35</xdr:row>
      <xdr:rowOff>76200</xdr:rowOff>
    </xdr:from>
    <xdr:ext cx="261418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xmlns="" id="{4E0FEB6D-52C4-4B14-8A9C-A5BB3D534AC3}"/>
            </a:ext>
          </a:extLst>
        </xdr:cNvPr>
        <xdr:cNvSpPr txBox="1"/>
      </xdr:nvSpPr>
      <xdr:spPr>
        <a:xfrm>
          <a:off x="5619750" y="6677025"/>
          <a:ext cx="2614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B</a:t>
          </a:r>
        </a:p>
      </xdr:txBody>
    </xdr:sp>
    <xdr:clientData/>
  </xdr:oneCellAnchor>
  <xdr:oneCellAnchor>
    <xdr:from>
      <xdr:col>13</xdr:col>
      <xdr:colOff>390525</xdr:colOff>
      <xdr:row>32</xdr:row>
      <xdr:rowOff>180975</xdr:rowOff>
    </xdr:from>
    <xdr:ext cx="634789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xmlns="" id="{EE02ED93-C8E6-40ED-96B2-B938944A55C5}"/>
            </a:ext>
          </a:extLst>
        </xdr:cNvPr>
        <xdr:cNvSpPr txBox="1"/>
      </xdr:nvSpPr>
      <xdr:spPr>
        <a:xfrm>
          <a:off x="6591300" y="6200775"/>
          <a:ext cx="6347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Dummy</a:t>
          </a:r>
        </a:p>
      </xdr:txBody>
    </xdr:sp>
    <xdr:clientData/>
  </xdr:oneCellAnchor>
  <xdr:oneCellAnchor>
    <xdr:from>
      <xdr:col>15</xdr:col>
      <xdr:colOff>342900</xdr:colOff>
      <xdr:row>29</xdr:row>
      <xdr:rowOff>123825</xdr:rowOff>
    </xdr:from>
    <xdr:ext cx="259879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xmlns="" id="{B97FB790-CEF7-4750-8045-504423DB7982}"/>
            </a:ext>
          </a:extLst>
        </xdr:cNvPr>
        <xdr:cNvSpPr txBox="1"/>
      </xdr:nvSpPr>
      <xdr:spPr>
        <a:xfrm>
          <a:off x="7343775" y="5572125"/>
          <a:ext cx="2598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16</xdr:col>
      <xdr:colOff>323850</xdr:colOff>
      <xdr:row>33</xdr:row>
      <xdr:rowOff>47625</xdr:rowOff>
    </xdr:from>
    <xdr:ext cx="271485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xmlns="" id="{95413367-CE39-48AA-95E6-64333ED1DF49}"/>
            </a:ext>
          </a:extLst>
        </xdr:cNvPr>
        <xdr:cNvSpPr txBox="1"/>
      </xdr:nvSpPr>
      <xdr:spPr>
        <a:xfrm>
          <a:off x="7724775" y="6257925"/>
          <a:ext cx="2714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D</a:t>
          </a:r>
        </a:p>
      </xdr:txBody>
    </xdr:sp>
    <xdr:clientData/>
  </xdr:oneCellAnchor>
  <xdr:oneCellAnchor>
    <xdr:from>
      <xdr:col>16</xdr:col>
      <xdr:colOff>38100</xdr:colOff>
      <xdr:row>36</xdr:row>
      <xdr:rowOff>180975</xdr:rowOff>
    </xdr:from>
    <xdr:ext cx="2535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xmlns="" id="{CDD99870-1930-4E5A-BE28-66816B2AC2E6}"/>
            </a:ext>
          </a:extLst>
        </xdr:cNvPr>
        <xdr:cNvSpPr txBox="1"/>
      </xdr:nvSpPr>
      <xdr:spPr>
        <a:xfrm>
          <a:off x="7439025" y="6972300"/>
          <a:ext cx="2535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E</a:t>
          </a:r>
        </a:p>
      </xdr:txBody>
    </xdr:sp>
    <xdr:clientData/>
  </xdr:oneCellAnchor>
  <xdr:oneCellAnchor>
    <xdr:from>
      <xdr:col>20</xdr:col>
      <xdr:colOff>285750</xdr:colOff>
      <xdr:row>35</xdr:row>
      <xdr:rowOff>85725</xdr:rowOff>
    </xdr:from>
    <xdr:ext cx="273665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xmlns="" id="{D732CE66-ECC4-4D9A-985C-0FBBE4D72F5F}"/>
            </a:ext>
          </a:extLst>
        </xdr:cNvPr>
        <xdr:cNvSpPr txBox="1"/>
      </xdr:nvSpPr>
      <xdr:spPr>
        <a:xfrm>
          <a:off x="9286875" y="6686550"/>
          <a:ext cx="2736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/>
            <a:t>G</a:t>
          </a:r>
        </a:p>
      </xdr:txBody>
    </xdr:sp>
    <xdr:clientData/>
  </xdr:oneCellAnchor>
  <xdr:oneCellAnchor>
    <xdr:from>
      <xdr:col>20</xdr:col>
      <xdr:colOff>323850</xdr:colOff>
      <xdr:row>31</xdr:row>
      <xdr:rowOff>0</xdr:rowOff>
    </xdr:from>
    <xdr:ext cx="249492" cy="264560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xmlns="" id="{44B55E77-BBC2-4355-94EE-DC9CC0A30045}"/>
            </a:ext>
          </a:extLst>
        </xdr:cNvPr>
        <xdr:cNvSpPr txBox="1"/>
      </xdr:nvSpPr>
      <xdr:spPr>
        <a:xfrm>
          <a:off x="9324975" y="5829300"/>
          <a:ext cx="24949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100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0</xdr:col>
      <xdr:colOff>400049</xdr:colOff>
      <xdr:row>50</xdr:row>
      <xdr:rowOff>104774</xdr:rowOff>
    </xdr:from>
    <xdr:ext cx="5610226" cy="876843"/>
    <mc:AlternateContent xmlns:mc="http://schemas.openxmlformats.org/markup-compatibility/2006">
      <mc:Choice xmlns:a14="http://schemas.microsoft.com/office/drawing/2010/main" xmlns="" Requires="a14">
        <xdr:sp macro="" textlink="">
          <xdr:nvSpPr>
            <xdr:cNvPr id="32" name="CuadroTexto 31">
              <a:extLst>
                <a:ext uri="{FF2B5EF4-FFF2-40B4-BE49-F238E27FC236}">
                  <a16:creationId xmlns:a16="http://schemas.microsoft.com/office/drawing/2014/main" id="{F5447BE0-B6B6-4CF7-BC92-623A2F590C31}"/>
                </a:ext>
              </a:extLst>
            </xdr:cNvPr>
            <xdr:cNvSpPr txBox="1"/>
          </xdr:nvSpPr>
          <xdr:spPr>
            <a:xfrm>
              <a:off x="400049" y="9820274"/>
              <a:ext cx="5610226" cy="8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s-AR" sz="28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pPr>
                    <m:e>
                      <m:r>
                        <a:rPr lang="el-GR" sz="28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𝜎</m:t>
                      </m:r>
                    </m:e>
                    <m:sup>
                      <m:r>
                        <a:rPr lang="es-AR" sz="2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s-AR" sz="2800"/>
                <a:t>=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s-AR" sz="28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sSubSup>
                        <m:sSubSupPr>
                          <m:ctrlPr>
                            <a:rPr lang="es-AR" sz="2800" i="1">
                              <a:latin typeface="Cambria Math" panose="02040503050406030204" pitchFamily="18" charset="0"/>
                            </a:rPr>
                          </m:ctrlPr>
                        </m:sSubSupPr>
                        <m:e>
                          <m:r>
                            <a:rPr lang="el-GR" sz="28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𝜎</m:t>
                          </m:r>
                        </m:e>
                        <m:sub>
                          <m:r>
                            <a:rPr lang="es-AR" sz="2800" b="0" i="1">
                              <a:latin typeface="Cambria Math" panose="02040503050406030204" pitchFamily="18" charset="0"/>
                            </a:rPr>
                            <m:t>𝐴</m:t>
                          </m:r>
                        </m:sub>
                        <m:sup>
                          <m:r>
                            <a:rPr lang="es-AR" sz="28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bSup>
                      <m:r>
                        <a:rPr lang="es-AR" sz="2800" b="0" i="1">
                          <a:latin typeface="Cambria Math" panose="02040503050406030204" pitchFamily="18" charset="0"/>
                        </a:rPr>
                        <m:t>+</m:t>
                      </m:r>
                      <m:sSubSup>
                        <m:sSubSupPr>
                          <m:ctrlPr>
                            <a:rPr lang="es-AR" sz="28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SupPr>
                        <m:e>
                          <m:r>
                            <a:rPr lang="el-GR" sz="28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𝜎</m:t>
                          </m:r>
                        </m:e>
                        <m:sub>
                          <m:r>
                            <a:rPr lang="es-AR" sz="28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𝐶</m:t>
                          </m:r>
                        </m:sub>
                        <m:sup>
                          <m:r>
                            <a:rPr lang="es-AR" sz="28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bSup>
                      <m:r>
                        <a:rPr lang="es-AR" sz="2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++</m:t>
                      </m:r>
                      <m:sSubSup>
                        <m:sSubSupPr>
                          <m:ctrlPr>
                            <a:rPr lang="es-AR" sz="28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SupPr>
                        <m:e>
                          <m:r>
                            <a:rPr lang="el-GR" sz="28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𝜎</m:t>
                          </m:r>
                        </m:e>
                        <m:sub>
                          <m:r>
                            <a:rPr lang="es-AR" sz="28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𝐹</m:t>
                          </m:r>
                        </m:sub>
                        <m:sup>
                          <m:r>
                            <a:rPr lang="es-AR" sz="28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bSup>
                    </m:e>
                  </m:rad>
                </m:oMath>
              </a14:m>
              <a:r>
                <a:rPr lang="es-AR" sz="2800"/>
                <a:t> = 1,374</a:t>
              </a:r>
            </a:p>
          </xdr:txBody>
        </xdr:sp>
      </mc:Choice>
      <mc:Fallback>
        <xdr:sp macro="" textlink="">
          <xdr:nvSpPr>
            <xdr:cNvPr id="32" name="CuadroTexto 31">
              <a:extLst>
                <a:ext uri="{FF2B5EF4-FFF2-40B4-BE49-F238E27FC236}">
                  <a16:creationId xmlns:a16="http://schemas.microsoft.com/office/drawing/2014/main" xmlns="" xmlns:a14="http://schemas.microsoft.com/office/drawing/2010/main" id="{F5447BE0-B6B6-4CF7-BC92-623A2F590C31}"/>
                </a:ext>
              </a:extLst>
            </xdr:cNvPr>
            <xdr:cNvSpPr txBox="1"/>
          </xdr:nvSpPr>
          <xdr:spPr>
            <a:xfrm>
              <a:off x="400049" y="9820274"/>
              <a:ext cx="5610226" cy="8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l-GR" sz="2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es-AR" sz="2800" i="0">
                  <a:latin typeface="Cambria Math" panose="02040503050406030204" pitchFamily="18" charset="0"/>
                  <a:ea typeface="Cambria Math" panose="02040503050406030204" pitchFamily="18" charset="0"/>
                </a:rPr>
                <a:t>^</a:t>
              </a:r>
              <a:r>
                <a:rPr lang="es-AR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s-AR" sz="2800"/>
                <a:t>=</a:t>
              </a:r>
              <a:r>
                <a:rPr lang="es-AR" sz="2800" i="0">
                  <a:latin typeface="Cambria Math" panose="02040503050406030204" pitchFamily="18" charset="0"/>
                </a:rPr>
                <a:t>√(</a:t>
              </a:r>
              <a:r>
                <a:rPr lang="el-GR" sz="28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</a:t>
              </a:r>
              <a:r>
                <a:rPr lang="es-AR" sz="28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AR" sz="2800" b="0" i="0">
                  <a:latin typeface="Cambria Math" panose="02040503050406030204" pitchFamily="18" charset="0"/>
                </a:rPr>
                <a:t>𝐴^2+</a:t>
              </a:r>
              <a:r>
                <a:rPr lang="el-GR" sz="28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</a:t>
              </a:r>
              <a:r>
                <a:rPr lang="es-AR" sz="28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AR" sz="2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es-AR" sz="2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s-AR" sz="2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s-AR" sz="2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l-GR" sz="28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</a:t>
              </a:r>
              <a:r>
                <a:rPr lang="es-AR" sz="28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AR" sz="2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𝐹^2</a:t>
              </a:r>
              <a:r>
                <a:rPr lang="es-AR" sz="2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es-AR" sz="2800"/>
                <a:t> = 1,374</a:t>
              </a:r>
            </a:p>
          </xdr:txBody>
        </xdr:sp>
      </mc:Fallback>
    </mc:AlternateContent>
    <xdr:clientData/>
  </xdr:oneCellAnchor>
  <xdr:twoCellAnchor editAs="oneCell">
    <xdr:from>
      <xdr:col>0</xdr:col>
      <xdr:colOff>246529</xdr:colOff>
      <xdr:row>60</xdr:row>
      <xdr:rowOff>33617</xdr:rowOff>
    </xdr:from>
    <xdr:to>
      <xdr:col>3</xdr:col>
      <xdr:colOff>727262</xdr:colOff>
      <xdr:row>65</xdr:row>
      <xdr:rowOff>100292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6529" y="11654117"/>
          <a:ext cx="2643468" cy="1019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212911</xdr:colOff>
      <xdr:row>60</xdr:row>
      <xdr:rowOff>145676</xdr:rowOff>
    </xdr:from>
    <xdr:to>
      <xdr:col>6</xdr:col>
      <xdr:colOff>365871</xdr:colOff>
      <xdr:row>63</xdr:row>
      <xdr:rowOff>183776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171264" y="11766176"/>
          <a:ext cx="1676960" cy="60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ables/table1.xml><?xml version="1.0" encoding="utf-8"?>
<table xmlns="http://schemas.openxmlformats.org/spreadsheetml/2006/main" id="4" name="Tabla4" displayName="Tabla4" ref="C3:E6" totalsRowShown="0" headerRowDxfId="5" headerRowBorderDxfId="4" tableBorderDxfId="3">
  <autoFilter ref="C3:E6"/>
  <tableColumns count="3">
    <tableColumn id="1" name="Caro" dataDxfId="2"/>
    <tableColumn id="2" name="MovieEstar" dataDxfId="1"/>
    <tableColumn id="3" name="Genera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showGridLines="0" topLeftCell="A29" workbookViewId="0">
      <selection activeCell="A40" sqref="A40:G40"/>
    </sheetView>
  </sheetViews>
  <sheetFormatPr baseColWidth="10" defaultRowHeight="15"/>
  <cols>
    <col min="1" max="1" width="4.7109375" customWidth="1"/>
    <col min="2" max="2" width="10.7109375" customWidth="1"/>
    <col min="3" max="3" width="14.7109375" bestFit="1" customWidth="1"/>
    <col min="4" max="4" width="18" bestFit="1" customWidth="1"/>
    <col min="5" max="5" width="14.7109375" bestFit="1" customWidth="1"/>
    <col min="6" max="6" width="1.7109375" customWidth="1"/>
    <col min="7" max="7" width="14.7109375" bestFit="1" customWidth="1"/>
    <col min="10" max="10" width="8.42578125" bestFit="1" customWidth="1"/>
    <col min="11" max="11" width="14.7109375" bestFit="1" customWidth="1"/>
    <col min="12" max="12" width="18.140625" bestFit="1" customWidth="1"/>
    <col min="13" max="13" width="15.28515625" bestFit="1" customWidth="1"/>
    <col min="14" max="14" width="20.140625" bestFit="1" customWidth="1"/>
  </cols>
  <sheetData>
    <row r="1" spans="1:8" ht="32.25" customHeight="1">
      <c r="A1" s="81" t="s">
        <v>15</v>
      </c>
      <c r="B1" s="81"/>
      <c r="C1" s="81"/>
      <c r="D1" s="81"/>
      <c r="E1" s="81"/>
      <c r="F1" s="1"/>
      <c r="G1" s="82" t="s">
        <v>0</v>
      </c>
      <c r="H1" s="82"/>
    </row>
    <row r="2" spans="1:8" ht="15.75" thickBot="1">
      <c r="A2" s="2" t="s">
        <v>1</v>
      </c>
      <c r="B2" s="2"/>
      <c r="C2" s="2"/>
      <c r="D2" s="2"/>
      <c r="G2" s="3" t="s">
        <v>2</v>
      </c>
      <c r="H2" s="3" t="s">
        <v>3</v>
      </c>
    </row>
    <row r="3" spans="1:8" ht="15.75" thickBot="1">
      <c r="A3" s="83"/>
      <c r="B3" s="84"/>
      <c r="C3" s="84"/>
      <c r="D3" s="84"/>
      <c r="E3" s="85"/>
      <c r="F3" s="4"/>
      <c r="G3" s="5"/>
      <c r="H3" s="6"/>
    </row>
    <row r="4" spans="1:8" ht="4.5" customHeight="1" thickBot="1"/>
    <row r="5" spans="1:8" ht="42" customHeight="1">
      <c r="A5" s="7" t="s">
        <v>8</v>
      </c>
      <c r="B5" s="76" t="s">
        <v>39</v>
      </c>
      <c r="C5" s="77"/>
      <c r="D5" s="77"/>
      <c r="E5" s="78"/>
      <c r="F5" s="8"/>
      <c r="G5" s="9"/>
      <c r="H5" s="10"/>
    </row>
    <row r="6" spans="1:8" ht="42" customHeight="1" thickBot="1">
      <c r="A6" s="11" t="s">
        <v>9</v>
      </c>
      <c r="B6" s="86" t="s">
        <v>38</v>
      </c>
      <c r="C6" s="87"/>
      <c r="D6" s="87"/>
      <c r="E6" s="88"/>
      <c r="F6" s="8"/>
      <c r="G6" s="9"/>
      <c r="H6" s="10"/>
    </row>
    <row r="7" spans="1:8" ht="42" customHeight="1" thickBot="1">
      <c r="A7" s="12" t="s">
        <v>10</v>
      </c>
      <c r="B7" s="76" t="s">
        <v>37</v>
      </c>
      <c r="C7" s="77"/>
      <c r="D7" s="77"/>
      <c r="E7" s="78"/>
      <c r="F7" s="13"/>
      <c r="G7" s="9"/>
      <c r="H7" s="10"/>
    </row>
    <row r="8" spans="1:8" ht="7.5" customHeight="1"/>
    <row r="9" spans="1:8" ht="15" customHeight="1">
      <c r="A9" s="79" t="s">
        <v>4</v>
      </c>
      <c r="B9" s="79"/>
      <c r="C9" s="79"/>
      <c r="D9" s="79"/>
      <c r="E9" s="79"/>
      <c r="F9" s="14"/>
      <c r="G9" s="15"/>
      <c r="H9" s="16"/>
    </row>
    <row r="10" spans="1:8" ht="54.75" customHeight="1" thickBot="1">
      <c r="A10" s="79" t="s">
        <v>16</v>
      </c>
      <c r="B10" s="79"/>
      <c r="C10" s="79"/>
      <c r="D10" s="79"/>
      <c r="E10" s="79"/>
      <c r="F10" s="79"/>
      <c r="G10" s="79"/>
    </row>
    <row r="11" spans="1:8" s="35" customFormat="1" ht="12.75" customHeight="1" thickBot="1">
      <c r="A11" s="31"/>
      <c r="B11" s="32"/>
      <c r="C11" s="33" t="s">
        <v>13</v>
      </c>
      <c r="D11" s="33" t="s">
        <v>17</v>
      </c>
      <c r="E11" s="34" t="s">
        <v>11</v>
      </c>
      <c r="F11" s="31"/>
      <c r="G11" s="31"/>
    </row>
    <row r="12" spans="1:8" ht="12.75" customHeight="1">
      <c r="A12" s="17"/>
      <c r="B12" s="36" t="s">
        <v>13</v>
      </c>
      <c r="C12" s="25">
        <v>0.3</v>
      </c>
      <c r="D12" s="26">
        <v>0.4</v>
      </c>
      <c r="E12" s="27">
        <v>0.3</v>
      </c>
      <c r="F12" s="17"/>
      <c r="G12" s="17"/>
    </row>
    <row r="13" spans="1:8" ht="12.75" customHeight="1">
      <c r="A13" s="17"/>
      <c r="B13" s="36" t="s">
        <v>17</v>
      </c>
      <c r="C13" s="23">
        <v>0.4</v>
      </c>
      <c r="D13" s="19">
        <v>0.25</v>
      </c>
      <c r="E13" s="20">
        <v>0.35</v>
      </c>
      <c r="F13" s="17"/>
      <c r="G13" s="17"/>
    </row>
    <row r="14" spans="1:8" ht="15" customHeight="1" thickBot="1">
      <c r="A14" s="17"/>
      <c r="B14" s="37" t="s">
        <v>11</v>
      </c>
      <c r="C14" s="24">
        <v>0.2</v>
      </c>
      <c r="D14" s="21">
        <v>0.3</v>
      </c>
      <c r="E14" s="22">
        <v>0.5</v>
      </c>
      <c r="F14" s="17"/>
      <c r="G14" s="17"/>
    </row>
    <row r="15" spans="1:8" ht="15" customHeight="1">
      <c r="A15" s="17"/>
      <c r="B15" s="29"/>
      <c r="C15" s="30"/>
      <c r="D15" s="30"/>
      <c r="E15" s="30"/>
      <c r="F15" s="17"/>
      <c r="G15" s="17"/>
    </row>
    <row r="16" spans="1:8" ht="31.5" customHeight="1">
      <c r="A16" s="79" t="s">
        <v>12</v>
      </c>
      <c r="B16" s="79"/>
      <c r="C16" s="79"/>
      <c r="D16" s="79"/>
      <c r="E16" s="79"/>
      <c r="F16" s="79"/>
      <c r="G16" s="79"/>
    </row>
    <row r="17" spans="1:8" ht="42" customHeight="1">
      <c r="A17" s="79" t="s">
        <v>14</v>
      </c>
      <c r="B17" s="79"/>
      <c r="C17" s="79"/>
      <c r="D17" s="79"/>
      <c r="E17" s="79"/>
      <c r="F17" s="79"/>
      <c r="G17" s="79"/>
    </row>
    <row r="18" spans="1:8" ht="7.5" customHeight="1"/>
    <row r="19" spans="1:8" ht="15" customHeight="1">
      <c r="A19" s="79" t="s">
        <v>5</v>
      </c>
      <c r="B19" s="79"/>
      <c r="C19" s="79"/>
      <c r="D19" s="79"/>
      <c r="E19" s="79"/>
      <c r="G19" s="9"/>
      <c r="H19" s="16"/>
    </row>
    <row r="20" spans="1:8" ht="40.5" customHeight="1">
      <c r="A20" s="79" t="s">
        <v>18</v>
      </c>
      <c r="B20" s="79"/>
      <c r="C20" s="79"/>
      <c r="D20" s="79"/>
      <c r="E20" s="79"/>
      <c r="F20" s="79"/>
      <c r="G20" s="79"/>
    </row>
    <row r="21" spans="1:8">
      <c r="A21" s="80" t="s">
        <v>19</v>
      </c>
      <c r="B21" s="80"/>
      <c r="C21" s="80"/>
      <c r="D21" s="80"/>
      <c r="E21" s="80"/>
      <c r="F21" s="80"/>
      <c r="G21" s="80"/>
      <c r="H21" s="80"/>
    </row>
    <row r="22" spans="1:8">
      <c r="A22" s="80" t="s">
        <v>20</v>
      </c>
      <c r="B22" s="80"/>
      <c r="C22" s="80"/>
      <c r="D22" s="80"/>
      <c r="E22" s="80"/>
      <c r="F22" s="80"/>
      <c r="G22" s="80"/>
    </row>
    <row r="23" spans="1:8">
      <c r="A23" s="80" t="s">
        <v>21</v>
      </c>
      <c r="B23" s="80"/>
      <c r="C23" s="80"/>
      <c r="D23" s="80"/>
      <c r="E23" s="80"/>
      <c r="F23" s="80"/>
      <c r="G23" s="80"/>
    </row>
    <row r="25" spans="1:8" ht="15.75" thickBot="1"/>
    <row r="26" spans="1:8" ht="15.75" thickBot="1">
      <c r="B26" s="91" t="s">
        <v>22</v>
      </c>
      <c r="C26" s="93" t="s">
        <v>23</v>
      </c>
      <c r="D26" s="95" t="s">
        <v>24</v>
      </c>
      <c r="E26" s="95"/>
      <c r="F26" s="95"/>
      <c r="G26" s="96"/>
    </row>
    <row r="27" spans="1:8" ht="15.75" thickBot="1">
      <c r="B27" s="92"/>
      <c r="C27" s="94"/>
      <c r="D27" s="39" t="s">
        <v>25</v>
      </c>
      <c r="E27" s="38" t="s">
        <v>26</v>
      </c>
      <c r="F27" s="39"/>
      <c r="G27" s="28" t="s">
        <v>27</v>
      </c>
    </row>
    <row r="28" spans="1:8">
      <c r="B28" s="42" t="s">
        <v>29</v>
      </c>
      <c r="C28" s="40" t="s">
        <v>34</v>
      </c>
      <c r="D28" s="41">
        <v>2</v>
      </c>
      <c r="E28" s="97">
        <v>3</v>
      </c>
      <c r="F28" s="98"/>
      <c r="G28" s="40">
        <v>4</v>
      </c>
    </row>
    <row r="29" spans="1:8">
      <c r="B29" s="45" t="s">
        <v>28</v>
      </c>
      <c r="C29" s="43" t="s">
        <v>34</v>
      </c>
      <c r="D29" s="44">
        <v>1</v>
      </c>
      <c r="E29" s="74">
        <v>2</v>
      </c>
      <c r="F29" s="75"/>
      <c r="G29" s="43">
        <v>3</v>
      </c>
    </row>
    <row r="30" spans="1:8">
      <c r="B30" s="45" t="s">
        <v>30</v>
      </c>
      <c r="C30" s="43" t="s">
        <v>29</v>
      </c>
      <c r="D30" s="44">
        <v>4</v>
      </c>
      <c r="E30" s="74">
        <v>11</v>
      </c>
      <c r="F30" s="75"/>
      <c r="G30" s="43">
        <v>12</v>
      </c>
    </row>
    <row r="31" spans="1:8">
      <c r="B31" s="45" t="s">
        <v>7</v>
      </c>
      <c r="C31" s="43" t="s">
        <v>35</v>
      </c>
      <c r="D31" s="44">
        <v>5</v>
      </c>
      <c r="E31" s="74">
        <v>6</v>
      </c>
      <c r="F31" s="75"/>
      <c r="G31" s="43">
        <v>13</v>
      </c>
    </row>
    <row r="32" spans="1:8">
      <c r="B32" s="45" t="s">
        <v>31</v>
      </c>
      <c r="C32" s="43" t="s">
        <v>35</v>
      </c>
      <c r="D32" s="44">
        <v>6</v>
      </c>
      <c r="E32" s="74">
        <v>6</v>
      </c>
      <c r="F32" s="75"/>
      <c r="G32" s="43">
        <v>6</v>
      </c>
    </row>
    <row r="33" spans="1:8">
      <c r="B33" s="45" t="s">
        <v>32</v>
      </c>
      <c r="C33" s="43" t="s">
        <v>36</v>
      </c>
      <c r="D33" s="44">
        <v>2</v>
      </c>
      <c r="E33" s="74">
        <v>2</v>
      </c>
      <c r="F33" s="75"/>
      <c r="G33" s="43">
        <v>2</v>
      </c>
    </row>
    <row r="34" spans="1:8" ht="15.75" thickBot="1">
      <c r="B34" s="46" t="s">
        <v>33</v>
      </c>
      <c r="C34" s="47" t="s">
        <v>31</v>
      </c>
      <c r="D34" s="48">
        <v>3</v>
      </c>
      <c r="E34" s="99">
        <v>5</v>
      </c>
      <c r="F34" s="100"/>
      <c r="G34" s="47">
        <v>7</v>
      </c>
    </row>
    <row r="37" spans="1:8">
      <c r="A37" s="14"/>
      <c r="B37" s="89"/>
      <c r="C37" s="89"/>
      <c r="D37" s="89"/>
      <c r="E37" s="89"/>
      <c r="F37" s="18"/>
      <c r="G37" s="18"/>
    </row>
    <row r="38" spans="1:8" ht="6" customHeight="1"/>
    <row r="39" spans="1:8" ht="15" customHeight="1">
      <c r="A39" s="79" t="s">
        <v>6</v>
      </c>
      <c r="B39" s="79"/>
      <c r="C39" s="79"/>
      <c r="D39" s="79"/>
      <c r="E39" s="79"/>
      <c r="G39" s="9"/>
      <c r="H39" s="16"/>
    </row>
    <row r="40" spans="1:8" ht="117" customHeight="1">
      <c r="A40" s="79" t="s">
        <v>49</v>
      </c>
      <c r="B40" s="79"/>
      <c r="C40" s="79"/>
      <c r="D40" s="79"/>
      <c r="E40" s="79"/>
      <c r="F40" s="79"/>
      <c r="G40" s="79"/>
    </row>
    <row r="41" spans="1:8" ht="27.75" customHeight="1">
      <c r="A41" s="14"/>
      <c r="B41" s="90"/>
      <c r="C41" s="90"/>
      <c r="D41" s="90"/>
      <c r="E41" s="90"/>
      <c r="F41" s="90"/>
      <c r="G41" s="90"/>
    </row>
    <row r="42" spans="1:8">
      <c r="A42" s="14"/>
      <c r="B42" s="14"/>
      <c r="C42" s="73" t="s">
        <v>40</v>
      </c>
      <c r="D42" s="14"/>
      <c r="E42" s="14"/>
      <c r="F42" s="14"/>
      <c r="G42" s="14"/>
    </row>
    <row r="43" spans="1:8">
      <c r="A43" s="14"/>
      <c r="B43" s="14"/>
      <c r="C43" s="14"/>
      <c r="D43" s="14"/>
      <c r="E43" s="14"/>
      <c r="F43" s="14"/>
      <c r="G43" s="14"/>
    </row>
    <row r="44" spans="1:8">
      <c r="A44" s="14"/>
      <c r="B44" s="14"/>
      <c r="C44" s="14"/>
      <c r="D44" s="14"/>
      <c r="E44" s="14"/>
      <c r="F44" s="14"/>
      <c r="G44" s="14"/>
    </row>
    <row r="45" spans="1:8">
      <c r="A45" s="14"/>
      <c r="B45" s="14"/>
      <c r="C45" s="14"/>
      <c r="D45" s="14"/>
      <c r="E45" s="14"/>
      <c r="F45" s="14"/>
      <c r="G45" s="14"/>
    </row>
    <row r="46" spans="1:8">
      <c r="A46" s="14"/>
      <c r="B46" s="14"/>
      <c r="C46" s="14"/>
      <c r="D46" s="14"/>
      <c r="E46" s="14"/>
      <c r="F46" s="14"/>
      <c r="G46" s="14"/>
    </row>
  </sheetData>
  <mergeCells count="29">
    <mergeCell ref="B37:E37"/>
    <mergeCell ref="A39:E39"/>
    <mergeCell ref="A40:G40"/>
    <mergeCell ref="B41:G41"/>
    <mergeCell ref="A9:E9"/>
    <mergeCell ref="A10:G10"/>
    <mergeCell ref="A19:E19"/>
    <mergeCell ref="A20:G20"/>
    <mergeCell ref="A22:G22"/>
    <mergeCell ref="A23:G23"/>
    <mergeCell ref="B26:B27"/>
    <mergeCell ref="C26:C27"/>
    <mergeCell ref="D26:G26"/>
    <mergeCell ref="E28:F28"/>
    <mergeCell ref="E34:F34"/>
    <mergeCell ref="E29:F29"/>
    <mergeCell ref="A1:E1"/>
    <mergeCell ref="G1:H1"/>
    <mergeCell ref="A3:E3"/>
    <mergeCell ref="B5:E5"/>
    <mergeCell ref="B6:E6"/>
    <mergeCell ref="E30:F30"/>
    <mergeCell ref="E31:F31"/>
    <mergeCell ref="E32:F32"/>
    <mergeCell ref="E33:F33"/>
    <mergeCell ref="B7:E7"/>
    <mergeCell ref="A16:G16"/>
    <mergeCell ref="A17:G17"/>
    <mergeCell ref="A21:H21"/>
  </mergeCells>
  <pageMargins left="0.70866141732283472" right="0.19685039370078741" top="0.74803149606299213" bottom="0.74803149606299213" header="0.31496062992125984" footer="0.31496062992125984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X78"/>
  <sheetViews>
    <sheetView tabSelected="1" topLeftCell="A54" zoomScale="85" zoomScaleNormal="85" workbookViewId="0">
      <selection activeCell="G70" sqref="G70"/>
    </sheetView>
  </sheetViews>
  <sheetFormatPr baseColWidth="10" defaultRowHeight="15"/>
  <cols>
    <col min="1" max="1" width="9.5703125" bestFit="1" customWidth="1"/>
    <col min="4" max="4" width="11.85546875" customWidth="1"/>
    <col min="7" max="8" width="10" customWidth="1"/>
    <col min="9" max="37" width="6" customWidth="1"/>
  </cols>
  <sheetData>
    <row r="1" spans="1:5">
      <c r="A1" t="s">
        <v>44</v>
      </c>
      <c r="B1" t="s">
        <v>40</v>
      </c>
      <c r="C1" t="s">
        <v>41</v>
      </c>
    </row>
    <row r="2" spans="1:5" ht="15.75" thickBot="1"/>
    <row r="3" spans="1:5" ht="15.75" thickBot="1">
      <c r="B3" s="56"/>
      <c r="C3" s="57" t="s">
        <v>13</v>
      </c>
      <c r="D3" s="57" t="s">
        <v>17</v>
      </c>
      <c r="E3" s="57" t="s">
        <v>11</v>
      </c>
    </row>
    <row r="4" spans="1:5">
      <c r="B4" s="49" t="s">
        <v>13</v>
      </c>
      <c r="C4" s="25">
        <v>0.3</v>
      </c>
      <c r="D4" s="26">
        <v>0.4</v>
      </c>
      <c r="E4" s="51">
        <v>0.3</v>
      </c>
    </row>
    <row r="5" spans="1:5">
      <c r="B5" s="49" t="s">
        <v>17</v>
      </c>
      <c r="C5" s="23">
        <v>0.4</v>
      </c>
      <c r="D5" s="19">
        <v>0.25</v>
      </c>
      <c r="E5" s="52">
        <v>0.35</v>
      </c>
    </row>
    <row r="6" spans="1:5" ht="15.75" thickBot="1">
      <c r="B6" s="50" t="s">
        <v>11</v>
      </c>
      <c r="C6" s="53">
        <v>0.2</v>
      </c>
      <c r="D6" s="54">
        <v>0.3</v>
      </c>
      <c r="E6" s="55">
        <v>0.5</v>
      </c>
    </row>
    <row r="9" spans="1:5" ht="15.75" thickBot="1">
      <c r="B9" t="s">
        <v>42</v>
      </c>
    </row>
    <row r="10" spans="1:5" ht="15.75" thickBot="1">
      <c r="B10" s="56"/>
      <c r="C10" s="67" t="s">
        <v>13</v>
      </c>
      <c r="D10" s="33" t="s">
        <v>17</v>
      </c>
      <c r="E10" s="34" t="s">
        <v>11</v>
      </c>
    </row>
    <row r="11" spans="1:5">
      <c r="B11" s="49" t="s">
        <v>13</v>
      </c>
      <c r="C11" s="64">
        <f t="array" ref="C11:E13">MMULT(MMULT(MMULT(C4:E6,C4:E6),C4:E6),C4:E6)</f>
        <v>0.29239999999999999</v>
      </c>
      <c r="D11" s="65">
        <v>0.31352500000000005</v>
      </c>
      <c r="E11" s="66">
        <v>0.39407500000000001</v>
      </c>
    </row>
    <row r="12" spans="1:5">
      <c r="B12" s="49" t="s">
        <v>17</v>
      </c>
      <c r="C12" s="58">
        <v>0.29197499999999998</v>
      </c>
      <c r="D12" s="59">
        <v>0.31381874999999998</v>
      </c>
      <c r="E12" s="60">
        <v>0.39420624999999998</v>
      </c>
    </row>
    <row r="13" spans="1:5" ht="15.75" thickBot="1">
      <c r="B13" s="50" t="s">
        <v>11</v>
      </c>
      <c r="C13" s="61">
        <v>0.29145000000000004</v>
      </c>
      <c r="D13" s="62">
        <v>0.3132625</v>
      </c>
      <c r="E13" s="63">
        <v>0.39528750000000001</v>
      </c>
    </row>
    <row r="16" spans="1:5" ht="15.75" thickBot="1">
      <c r="B16" t="s">
        <v>43</v>
      </c>
    </row>
    <row r="17" spans="1:20" ht="15.75" thickBot="1">
      <c r="B17" s="56"/>
      <c r="C17" s="67" t="s">
        <v>13</v>
      </c>
      <c r="D17" s="33" t="s">
        <v>17</v>
      </c>
      <c r="E17" s="34" t="s">
        <v>11</v>
      </c>
    </row>
    <row r="18" spans="1:20">
      <c r="B18" s="49" t="s">
        <v>13</v>
      </c>
      <c r="C18" s="64">
        <f t="array" ref="C18:E20">MMULT(MMULT(MMULT(MMULT(MMULT(MMULT(MMULT(MMULT(MMULT(MMULT(MMULT(MMULT(C4:E6,C4:E6),C4:E6),C4:E6),C4:E6),C4:E6),C4:E6),C4:E6),C4:E6),C4:E6),C4:E6),C4:E6),C4:E6)</f>
        <v>0.29189189198686699</v>
      </c>
      <c r="D18" s="65">
        <v>0.31351351355697898</v>
      </c>
      <c r="E18" s="66">
        <v>0.39459459445615391</v>
      </c>
    </row>
    <row r="19" spans="1:20">
      <c r="B19" s="49" t="s">
        <v>17</v>
      </c>
      <c r="C19" s="58">
        <v>0.2918918919585492</v>
      </c>
      <c r="D19" s="59">
        <v>0.3135135135378283</v>
      </c>
      <c r="E19" s="60">
        <v>0.39459459450362222</v>
      </c>
    </row>
    <row r="20" spans="1:20" ht="15.75" thickBot="1">
      <c r="B20" s="50" t="s">
        <v>11</v>
      </c>
      <c r="C20" s="61">
        <v>0.29189189176867569</v>
      </c>
      <c r="D20" s="62">
        <v>0.31351351346204226</v>
      </c>
      <c r="E20" s="63">
        <v>0.39459459476928205</v>
      </c>
    </row>
    <row r="24" spans="1:20">
      <c r="A24" t="s">
        <v>45</v>
      </c>
    </row>
    <row r="25" spans="1:20" ht="15.75" thickBot="1"/>
    <row r="26" spans="1:20" ht="15.75" thickBot="1">
      <c r="A26" s="91" t="s">
        <v>22</v>
      </c>
      <c r="B26" s="93" t="s">
        <v>23</v>
      </c>
      <c r="C26" s="103" t="s">
        <v>24</v>
      </c>
      <c r="D26" s="104"/>
      <c r="E26" s="105"/>
    </row>
    <row r="27" spans="1:20" ht="15.75" thickBot="1">
      <c r="A27" s="92"/>
      <c r="B27" s="94"/>
      <c r="C27" s="39" t="s">
        <v>25</v>
      </c>
      <c r="D27" s="38" t="s">
        <v>26</v>
      </c>
      <c r="E27" s="28" t="s">
        <v>27</v>
      </c>
    </row>
    <row r="28" spans="1:20">
      <c r="A28" s="42" t="s">
        <v>29</v>
      </c>
      <c r="B28" s="40" t="s">
        <v>34</v>
      </c>
      <c r="C28" s="41">
        <v>2</v>
      </c>
      <c r="D28" s="70">
        <v>3</v>
      </c>
      <c r="E28" s="40">
        <v>4</v>
      </c>
    </row>
    <row r="29" spans="1:20">
      <c r="A29" s="45" t="s">
        <v>28</v>
      </c>
      <c r="B29" s="43" t="s">
        <v>34</v>
      </c>
      <c r="C29" s="44">
        <v>1</v>
      </c>
      <c r="D29" s="68">
        <v>2</v>
      </c>
      <c r="E29" s="43">
        <v>3</v>
      </c>
    </row>
    <row r="30" spans="1:20">
      <c r="A30" s="45" t="s">
        <v>30</v>
      </c>
      <c r="B30" s="43" t="s">
        <v>29</v>
      </c>
      <c r="C30" s="44">
        <v>4</v>
      </c>
      <c r="D30" s="68">
        <v>11</v>
      </c>
      <c r="E30" s="43">
        <v>12</v>
      </c>
    </row>
    <row r="31" spans="1:20">
      <c r="A31" s="45" t="s">
        <v>7</v>
      </c>
      <c r="B31" s="43" t="s">
        <v>35</v>
      </c>
      <c r="C31" s="44">
        <v>5</v>
      </c>
      <c r="D31" s="68">
        <v>6</v>
      </c>
      <c r="E31" s="43">
        <v>13</v>
      </c>
      <c r="N31" s="101">
        <v>2</v>
      </c>
      <c r="O31" s="9">
        <v>3</v>
      </c>
      <c r="S31" s="101">
        <v>4</v>
      </c>
      <c r="T31" s="9">
        <v>13</v>
      </c>
    </row>
    <row r="32" spans="1:20">
      <c r="A32" s="45" t="s">
        <v>31</v>
      </c>
      <c r="B32" s="43" t="s">
        <v>35</v>
      </c>
      <c r="C32" s="44">
        <v>6</v>
      </c>
      <c r="D32" s="68">
        <v>6</v>
      </c>
      <c r="E32" s="43">
        <v>6</v>
      </c>
      <c r="I32" t="s">
        <v>40</v>
      </c>
      <c r="N32" s="102"/>
      <c r="O32" s="9">
        <v>3</v>
      </c>
      <c r="S32" s="102"/>
      <c r="T32" s="9">
        <v>13</v>
      </c>
    </row>
    <row r="33" spans="1:24">
      <c r="A33" s="45" t="s">
        <v>32</v>
      </c>
      <c r="B33" s="43" t="s">
        <v>36</v>
      </c>
      <c r="C33" s="44">
        <v>2</v>
      </c>
      <c r="D33" s="68">
        <v>2</v>
      </c>
      <c r="E33" s="43">
        <v>2</v>
      </c>
    </row>
    <row r="34" spans="1:24" ht="15.75" thickBot="1">
      <c r="A34" s="46" t="s">
        <v>33</v>
      </c>
      <c r="B34" s="47" t="s">
        <v>31</v>
      </c>
      <c r="C34" s="48">
        <v>3</v>
      </c>
      <c r="D34" s="69">
        <v>5</v>
      </c>
      <c r="E34" s="47">
        <v>7</v>
      </c>
      <c r="J34" s="101">
        <v>1</v>
      </c>
      <c r="K34" s="9">
        <v>0</v>
      </c>
      <c r="W34" s="101">
        <v>6</v>
      </c>
      <c r="X34" s="9">
        <v>15</v>
      </c>
    </row>
    <row r="35" spans="1:24">
      <c r="J35" s="102"/>
      <c r="K35" s="9">
        <v>0</v>
      </c>
      <c r="W35" s="102"/>
      <c r="X35" s="9">
        <v>15</v>
      </c>
    </row>
    <row r="37" spans="1:24">
      <c r="N37" s="101">
        <v>3</v>
      </c>
      <c r="O37" s="9">
        <v>3</v>
      </c>
      <c r="S37" s="101">
        <v>5</v>
      </c>
      <c r="T37" s="9">
        <v>9</v>
      </c>
    </row>
    <row r="38" spans="1:24">
      <c r="N38" s="102"/>
      <c r="O38" s="9">
        <v>4</v>
      </c>
      <c r="S38" s="102"/>
      <c r="T38" s="9">
        <v>10</v>
      </c>
    </row>
    <row r="40" spans="1:24" ht="15.75" thickBot="1"/>
    <row r="41" spans="1:24" ht="15.75" thickBot="1">
      <c r="A41" s="91" t="s">
        <v>22</v>
      </c>
      <c r="B41" s="93" t="s">
        <v>23</v>
      </c>
      <c r="C41" s="103" t="s">
        <v>24</v>
      </c>
      <c r="D41" s="104"/>
      <c r="E41" s="105"/>
    </row>
    <row r="42" spans="1:24" ht="15.75" thickBot="1">
      <c r="A42" s="92"/>
      <c r="B42" s="94"/>
      <c r="C42" s="39" t="s">
        <v>25</v>
      </c>
      <c r="D42" s="38" t="s">
        <v>26</v>
      </c>
      <c r="E42" s="28" t="s">
        <v>27</v>
      </c>
      <c r="F42" s="38" t="s">
        <v>46</v>
      </c>
      <c r="G42" s="38" t="s">
        <v>47</v>
      </c>
      <c r="H42" s="28" t="s">
        <v>48</v>
      </c>
    </row>
    <row r="43" spans="1:24">
      <c r="A43" s="42" t="s">
        <v>29</v>
      </c>
      <c r="B43" s="40" t="s">
        <v>34</v>
      </c>
      <c r="C43" s="41">
        <v>2</v>
      </c>
      <c r="D43" s="70">
        <v>3</v>
      </c>
      <c r="E43" s="40">
        <v>4</v>
      </c>
      <c r="F43" s="70">
        <f>(C43+4*D43+E43)/6</f>
        <v>3</v>
      </c>
      <c r="G43" s="70">
        <f>(E43-C43)/6</f>
        <v>0.33333333333333331</v>
      </c>
      <c r="H43" s="71">
        <f>O32-K34-F43</f>
        <v>0</v>
      </c>
    </row>
    <row r="44" spans="1:24">
      <c r="A44" s="45" t="s">
        <v>28</v>
      </c>
      <c r="B44" s="43" t="s">
        <v>34</v>
      </c>
      <c r="C44" s="44">
        <v>1</v>
      </c>
      <c r="D44" s="68">
        <v>2</v>
      </c>
      <c r="E44" s="43">
        <v>3</v>
      </c>
      <c r="F44" s="68">
        <f t="shared" ref="F44:F49" si="0">(C44+4*D44+E44)/6</f>
        <v>2</v>
      </c>
      <c r="G44" s="68">
        <f t="shared" ref="G44:G49" si="1">(E44-C44)/6</f>
        <v>0.33333333333333331</v>
      </c>
      <c r="H44" s="43">
        <f>O38-K34-F44</f>
        <v>2</v>
      </c>
    </row>
    <row r="45" spans="1:24">
      <c r="A45" s="45" t="s">
        <v>30</v>
      </c>
      <c r="B45" s="43" t="s">
        <v>29</v>
      </c>
      <c r="C45" s="44">
        <v>4</v>
      </c>
      <c r="D45" s="68">
        <v>11</v>
      </c>
      <c r="E45" s="43">
        <v>12</v>
      </c>
      <c r="F45" s="68">
        <f t="shared" si="0"/>
        <v>10</v>
      </c>
      <c r="G45" s="68">
        <f t="shared" si="1"/>
        <v>1.3333333333333333</v>
      </c>
      <c r="H45" s="72">
        <f>T32-O31-F45</f>
        <v>0</v>
      </c>
    </row>
    <row r="46" spans="1:24">
      <c r="A46" s="45" t="s">
        <v>7</v>
      </c>
      <c r="B46" s="43" t="s">
        <v>35</v>
      </c>
      <c r="C46" s="44">
        <v>5</v>
      </c>
      <c r="D46" s="68">
        <v>6</v>
      </c>
      <c r="E46" s="43">
        <v>13</v>
      </c>
      <c r="F46" s="68">
        <f t="shared" si="0"/>
        <v>7</v>
      </c>
      <c r="G46" s="68">
        <f t="shared" si="1"/>
        <v>1.3333333333333333</v>
      </c>
      <c r="H46" s="43">
        <f>T32-O37-F46</f>
        <v>3</v>
      </c>
    </row>
    <row r="47" spans="1:24">
      <c r="A47" s="45" t="s">
        <v>31</v>
      </c>
      <c r="B47" s="43" t="s">
        <v>35</v>
      </c>
      <c r="C47" s="44">
        <v>6</v>
      </c>
      <c r="D47" s="68">
        <v>6</v>
      </c>
      <c r="E47" s="43">
        <v>6</v>
      </c>
      <c r="F47" s="68">
        <f t="shared" si="0"/>
        <v>6</v>
      </c>
      <c r="G47" s="68">
        <f t="shared" si="1"/>
        <v>0</v>
      </c>
      <c r="H47" s="43">
        <f>T38-O37-F47</f>
        <v>1</v>
      </c>
    </row>
    <row r="48" spans="1:24">
      <c r="A48" s="45" t="s">
        <v>32</v>
      </c>
      <c r="B48" s="43" t="s">
        <v>36</v>
      </c>
      <c r="C48" s="44">
        <v>2</v>
      </c>
      <c r="D48" s="68">
        <v>2</v>
      </c>
      <c r="E48" s="43">
        <v>2</v>
      </c>
      <c r="F48" s="68">
        <f t="shared" si="0"/>
        <v>2</v>
      </c>
      <c r="G48" s="68">
        <f t="shared" si="1"/>
        <v>0</v>
      </c>
      <c r="H48" s="72">
        <f>X35-T31-F48</f>
        <v>0</v>
      </c>
    </row>
    <row r="49" spans="1:8" ht="15.75" thickBot="1">
      <c r="A49" s="46" t="s">
        <v>33</v>
      </c>
      <c r="B49" s="47" t="s">
        <v>31</v>
      </c>
      <c r="C49" s="48">
        <v>3</v>
      </c>
      <c r="D49" s="69">
        <v>5</v>
      </c>
      <c r="E49" s="47">
        <v>7</v>
      </c>
      <c r="F49" s="69">
        <f t="shared" si="0"/>
        <v>5</v>
      </c>
      <c r="G49" s="69">
        <f t="shared" si="1"/>
        <v>0.66666666666666663</v>
      </c>
      <c r="H49" s="47">
        <f>X35-T37-F49</f>
        <v>1</v>
      </c>
    </row>
    <row r="51" spans="1:8">
      <c r="A51" t="s">
        <v>42</v>
      </c>
    </row>
    <row r="57" spans="1:8">
      <c r="A57" t="s">
        <v>6</v>
      </c>
    </row>
    <row r="58" spans="1:8">
      <c r="A58" s="106" t="s">
        <v>50</v>
      </c>
      <c r="B58">
        <v>40</v>
      </c>
      <c r="D58" s="106" t="s">
        <v>53</v>
      </c>
      <c r="E58">
        <f>+B58/B59*B60</f>
        <v>2.6666666666666665</v>
      </c>
    </row>
    <row r="59" spans="1:8">
      <c r="A59" s="106" t="s">
        <v>51</v>
      </c>
      <c r="B59">
        <v>30</v>
      </c>
    </row>
    <row r="60" spans="1:8">
      <c r="A60" s="107" t="s">
        <v>52</v>
      </c>
      <c r="B60">
        <v>2</v>
      </c>
    </row>
    <row r="62" spans="1:8">
      <c r="A62" s="107"/>
      <c r="B62" s="108"/>
    </row>
    <row r="68" spans="1:3">
      <c r="A68" t="s">
        <v>54</v>
      </c>
      <c r="B68">
        <f>1/((((B58/B59)^0)/FACT(0))+(((B58/B59)^1)/FACT(1))+(((B58/B59)^2)/FACT(2)*(1-E58)^2))</f>
        <v>0.20822622107969155</v>
      </c>
    </row>
    <row r="71" spans="1:3">
      <c r="A71" t="s">
        <v>56</v>
      </c>
    </row>
    <row r="72" spans="1:3">
      <c r="A72" t="s">
        <v>55</v>
      </c>
      <c r="B72">
        <f>+((((B58/B59)^B60)*B58*B59)/((FACT(B60-1)*(B60*B59-B58)^2)))*B68</f>
        <v>1.1105398457583551</v>
      </c>
    </row>
    <row r="73" spans="1:3">
      <c r="A73" t="s">
        <v>57</v>
      </c>
    </row>
    <row r="74" spans="1:3">
      <c r="A74" t="s">
        <v>58</v>
      </c>
      <c r="B74" t="s">
        <v>59</v>
      </c>
      <c r="C74">
        <f>+B72/B58</f>
        <v>2.7763496143958878E-2</v>
      </c>
    </row>
    <row r="75" spans="1:3">
      <c r="A75" t="s">
        <v>62</v>
      </c>
    </row>
    <row r="76" spans="1:3">
      <c r="A76" t="s">
        <v>63</v>
      </c>
      <c r="B76" t="s">
        <v>64</v>
      </c>
      <c r="C76">
        <f>+C74+(1/B59)</f>
        <v>6.1096829477292211E-2</v>
      </c>
    </row>
    <row r="77" spans="1:3">
      <c r="A77" t="s">
        <v>65</v>
      </c>
    </row>
    <row r="78" spans="1:3">
      <c r="A78" t="s">
        <v>60</v>
      </c>
      <c r="B78" t="s">
        <v>61</v>
      </c>
      <c r="C78">
        <f>+B58*C76</f>
        <v>2.4438731790916886</v>
      </c>
    </row>
  </sheetData>
  <mergeCells count="12">
    <mergeCell ref="A41:A42"/>
    <mergeCell ref="B41:B42"/>
    <mergeCell ref="C41:E41"/>
    <mergeCell ref="J34:J35"/>
    <mergeCell ref="N31:N32"/>
    <mergeCell ref="N37:N38"/>
    <mergeCell ref="S31:S32"/>
    <mergeCell ref="S37:S38"/>
    <mergeCell ref="C26:E26"/>
    <mergeCell ref="W34:W35"/>
    <mergeCell ref="A26:A27"/>
    <mergeCell ref="B26:B2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Tema A</vt:lpstr>
      <vt:lpstr>Solución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</dc:creator>
  <cp:lastModifiedBy>Flor</cp:lastModifiedBy>
  <dcterms:created xsi:type="dcterms:W3CDTF">2019-11-09T12:38:35Z</dcterms:created>
  <dcterms:modified xsi:type="dcterms:W3CDTF">2019-12-16T01:59:44Z</dcterms:modified>
</cp:coreProperties>
</file>