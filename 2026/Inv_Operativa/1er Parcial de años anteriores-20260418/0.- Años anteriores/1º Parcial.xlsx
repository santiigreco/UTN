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50" windowWidth="12240" windowHeight="9240" activeTab="1"/>
  </bookViews>
  <sheets>
    <sheet name="Tema 1" sheetId="1" r:id="rId1"/>
    <sheet name="Sol T1" sheetId="7" r:id="rId2"/>
    <sheet name="Tema 2" sheetId="3" r:id="rId3"/>
    <sheet name="Sol T2" sheetId="8" r:id="rId4"/>
    <sheet name="Teórico 2016" sheetId="6" r:id="rId5"/>
    <sheet name="Teórico 2015" sheetId="5" r:id="rId6"/>
  </sheets>
  <definedNames>
    <definedName name="_xlnm.Print_Area" localSheetId="4">'Teórico 2016'!$A$1:$B$44</definedName>
  </definedNames>
  <calcPr calcId="125725"/>
</workbook>
</file>

<file path=xl/calcChain.xml><?xml version="1.0" encoding="utf-8"?>
<calcChain xmlns="http://schemas.openxmlformats.org/spreadsheetml/2006/main">
  <c r="G99" i="7"/>
  <c r="G97"/>
  <c r="G96"/>
  <c r="G95"/>
  <c r="G94"/>
  <c r="G93"/>
  <c r="G92"/>
  <c r="G91"/>
  <c r="G90"/>
  <c r="G89"/>
  <c r="J91"/>
  <c r="I92"/>
  <c r="J92" s="1"/>
  <c r="I93" s="1"/>
  <c r="J93" s="1"/>
  <c r="I94" s="1"/>
  <c r="J94" s="1"/>
  <c r="I95" s="1"/>
  <c r="J95" s="1"/>
  <c r="I96" s="1"/>
  <c r="J96" s="1"/>
  <c r="I97" s="1"/>
  <c r="J97" s="1"/>
  <c r="I91"/>
  <c r="J90"/>
  <c r="I90"/>
  <c r="J89"/>
  <c r="H74"/>
  <c r="H86" i="8"/>
  <c r="J78"/>
  <c r="J79" s="1"/>
  <c r="I77"/>
  <c r="J77" s="1"/>
  <c r="I76"/>
  <c r="J76"/>
  <c r="J75"/>
  <c r="F75"/>
  <c r="H75" s="1"/>
  <c r="E69"/>
  <c r="E70" s="1"/>
  <c r="E71" s="1"/>
  <c r="E72" s="1"/>
  <c r="F75" i="7"/>
  <c r="F76" s="1"/>
  <c r="F74"/>
  <c r="J76"/>
  <c r="I77" s="1"/>
  <c r="J77" s="1"/>
  <c r="I78" s="1"/>
  <c r="J78" s="1"/>
  <c r="I79" s="1"/>
  <c r="J79" s="1"/>
  <c r="I80" s="1"/>
  <c r="J80" s="1"/>
  <c r="I81" s="1"/>
  <c r="J81" s="1"/>
  <c r="I82" s="1"/>
  <c r="J82" s="1"/>
  <c r="J75"/>
  <c r="J74"/>
  <c r="J73"/>
  <c r="H73"/>
  <c r="E70"/>
  <c r="E69"/>
  <c r="E68"/>
  <c r="E67"/>
  <c r="R32" i="8"/>
  <c r="Q32"/>
  <c r="Q37"/>
  <c r="AB35"/>
  <c r="Z35"/>
  <c r="AB32"/>
  <c r="AB37"/>
  <c r="Z32"/>
  <c r="Z37"/>
  <c r="V32"/>
  <c r="S32"/>
  <c r="S37"/>
  <c r="Y34"/>
  <c r="X34"/>
  <c r="X37"/>
  <c r="Y32"/>
  <c r="W32"/>
  <c r="V34"/>
  <c r="S34"/>
  <c r="AD25"/>
  <c r="AD24"/>
  <c r="AD23"/>
  <c r="AD22"/>
  <c r="AD21"/>
  <c r="AD20"/>
  <c r="AD19"/>
  <c r="AB25"/>
  <c r="AB24"/>
  <c r="AB23"/>
  <c r="AB22"/>
  <c r="AB21"/>
  <c r="AB20"/>
  <c r="AB26"/>
  <c r="T26"/>
  <c r="AB19"/>
  <c r="AD18"/>
  <c r="AB18"/>
  <c r="V25"/>
  <c r="V24"/>
  <c r="V23"/>
  <c r="V22"/>
  <c r="V21"/>
  <c r="V20"/>
  <c r="V19"/>
  <c r="V18"/>
  <c r="AA37"/>
  <c r="Y37"/>
  <c r="W37"/>
  <c r="V37"/>
  <c r="U37"/>
  <c r="T37"/>
  <c r="R37"/>
  <c r="H16" i="7"/>
  <c r="H10"/>
  <c r="F49"/>
  <c r="I46"/>
  <c r="AD38"/>
  <c r="AC38"/>
  <c r="AB38"/>
  <c r="AA38"/>
  <c r="Z38"/>
  <c r="Y38"/>
  <c r="X38"/>
  <c r="W38"/>
  <c r="V38"/>
  <c r="U38"/>
  <c r="T38"/>
  <c r="S38"/>
  <c r="R38"/>
  <c r="AD26"/>
  <c r="AD25"/>
  <c r="AD24"/>
  <c r="AD23"/>
  <c r="AD22"/>
  <c r="AD21"/>
  <c r="AD20"/>
  <c r="AB26"/>
  <c r="AB25"/>
  <c r="AB24"/>
  <c r="AB23"/>
  <c r="AB22"/>
  <c r="AB21"/>
  <c r="AB20"/>
  <c r="AB27"/>
  <c r="T27"/>
  <c r="AD19"/>
  <c r="AB19"/>
  <c r="V26"/>
  <c r="V25"/>
  <c r="V24"/>
  <c r="V23"/>
  <c r="V22"/>
  <c r="V21"/>
  <c r="V20"/>
  <c r="V19"/>
  <c r="I31"/>
  <c r="C31"/>
  <c r="I15" i="8"/>
  <c r="H15"/>
  <c r="I16" i="7"/>
  <c r="I14"/>
  <c r="H14"/>
  <c r="I13"/>
  <c r="H13"/>
  <c r="I12" i="8"/>
  <c r="I13"/>
  <c r="H13"/>
  <c r="H12"/>
  <c r="I9"/>
  <c r="H9"/>
  <c r="I10" i="7"/>
  <c r="A34" i="6"/>
  <c r="A35"/>
  <c r="A36"/>
  <c r="A37"/>
  <c r="A38"/>
  <c r="A39"/>
  <c r="A40"/>
  <c r="A41"/>
  <c r="A42"/>
  <c r="A8"/>
  <c r="A9"/>
  <c r="A10"/>
  <c r="A11"/>
  <c r="A12"/>
  <c r="A13"/>
  <c r="A14"/>
  <c r="A15"/>
  <c r="A16"/>
  <c r="F76" i="8" l="1"/>
  <c r="F77" s="1"/>
  <c r="F78" s="1"/>
  <c r="J80"/>
  <c r="F77" i="7"/>
  <c r="H76"/>
  <c r="H75"/>
  <c r="H76" i="8" l="1"/>
  <c r="H77"/>
  <c r="J81"/>
  <c r="H78"/>
  <c r="F79"/>
  <c r="F78" i="7"/>
  <c r="H77"/>
  <c r="F80" i="8" l="1"/>
  <c r="H79"/>
  <c r="J82"/>
  <c r="F79" i="7"/>
  <c r="H78"/>
  <c r="F81" i="8" l="1"/>
  <c r="H80"/>
  <c r="J83"/>
  <c r="F80" i="7"/>
  <c r="H79"/>
  <c r="F82" i="8" l="1"/>
  <c r="H81"/>
  <c r="J84"/>
  <c r="F81" i="7"/>
  <c r="H80"/>
  <c r="F83" i="8" l="1"/>
  <c r="H82"/>
  <c r="H81" i="7"/>
  <c r="F82"/>
  <c r="H82" s="1"/>
  <c r="F84" i="8" l="1"/>
  <c r="H84" s="1"/>
  <c r="H83"/>
</calcChain>
</file>

<file path=xl/sharedStrings.xml><?xml version="1.0" encoding="utf-8"?>
<sst xmlns="http://schemas.openxmlformats.org/spreadsheetml/2006/main" count="350" uniqueCount="159">
  <si>
    <t>1º Parcial Investigación Operativa</t>
  </si>
  <si>
    <t>22.06.2015</t>
  </si>
  <si>
    <t>Apellido, Nombre</t>
  </si>
  <si>
    <t xml:space="preserve">Ej 1 </t>
  </si>
  <si>
    <t xml:space="preserve">Ej 2 </t>
  </si>
  <si>
    <t xml:space="preserve">Ej 3 </t>
  </si>
  <si>
    <t>Ptos</t>
  </si>
  <si>
    <t>Nota</t>
  </si>
  <si>
    <t>a.-</t>
  </si>
  <si>
    <t>b.-</t>
  </si>
  <si>
    <t xml:space="preserve">¿Cuántos lo comprarán al mes próximo? </t>
  </si>
  <si>
    <t>¿Cuántos dentro de dos meses?</t>
  </si>
  <si>
    <t>2.-   Los trabajadores de una fábrica tienen que llevar su trabajo al departamento de control de calidad antes de que el producto llegue al final del proceso de producción. Hay un gran número de empleados y las llegadas son aproximadamente de 2,50 trabajadores cada 5 minutos, siguiendo un proceso de Poisson. El tiempo para inspeccionar una pieza sigue una distribución exponencial de media 1,5 minutos. Determinar:</t>
  </si>
  <si>
    <t>Tt</t>
  </si>
  <si>
    <t>Costo Medio</t>
  </si>
  <si>
    <t>Costo Total</t>
  </si>
  <si>
    <t xml:space="preserve"> </t>
  </si>
  <si>
    <t>MFt</t>
  </si>
  <si>
    <t>T. Cr.</t>
  </si>
  <si>
    <t>$MOUT</t>
  </si>
  <si>
    <t>$MatUT</t>
  </si>
  <si>
    <t>$TMO</t>
  </si>
  <si>
    <t>2.-   Los trabajadores de una fábrica tienen que llevar su trabajo al departamento de control de calidad antes de que el producto llegue al final del proceso de producción. Hay un gran número de empleados y las llegadas son aproximadamente de 1,50 trabajadores cada 6 minutos, siguiendo un proceso de Poisson. El tiempo para inspeccionar una pieza sigue una distribución exponencial de media 2 minutos. Determinar:</t>
  </si>
  <si>
    <r>
      <t>1.</t>
    </r>
    <r>
      <rPr>
        <sz val="16"/>
        <color indexed="8"/>
        <rFont val="Times New Roman"/>
        <family val="1"/>
      </rPr>
      <t xml:space="preserve">   </t>
    </r>
    <r>
      <rPr>
        <sz val="16"/>
        <color indexed="8"/>
        <rFont val="Calibri"/>
        <family val="2"/>
      </rPr>
      <t xml:space="preserve">El departamento de estudios de mercado de una fábrica estima que el 30% de la gente que compra un producto un mes, no lo comprará el mes siguiente. Además, el 40% de quienes no lo compren un mes lo adquirirá al mes siguiente. En una población de 10000 individuos, 1000 compraron el producto el primer mes.                                                            </t>
    </r>
  </si>
  <si>
    <t>a.-  Número medio de obreros en cola.</t>
  </si>
  <si>
    <t>b.-  Tiempo medio de espera en la cola.</t>
  </si>
  <si>
    <t>c.-  El costo para la empresa, si una hora del Inspector vale $ 300 y una hora del Trabajador $ 500.</t>
  </si>
  <si>
    <t>d.-  ¿Sería rentable poner otro Inspector?</t>
  </si>
  <si>
    <t>Tema 1</t>
  </si>
  <si>
    <t>Tema 2</t>
  </si>
  <si>
    <t>Ftaef</t>
  </si>
  <si>
    <t>Fteei</t>
  </si>
  <si>
    <t>area</t>
  </si>
  <si>
    <r>
      <t>1.</t>
    </r>
    <r>
      <rPr>
        <sz val="16"/>
        <color indexed="8"/>
        <rFont val="Times New Roman"/>
        <family val="1"/>
      </rPr>
      <t xml:space="preserve">   </t>
    </r>
    <r>
      <rPr>
        <sz val="16"/>
        <color indexed="8"/>
        <rFont val="Calibri"/>
        <family val="2"/>
      </rPr>
      <t xml:space="preserve">El departamento de estudios de mercado de una fábrica estima que el 10% de la gente que compra un producto un mes, no lo comprará el mes siguiente. Además, el 20% de quienes no lo compren un mes lo adquirirá al mes siguiente. En una población de 10000 individuos, 1000 compraron el producto el primer mes.                                                            </t>
    </r>
  </si>
  <si>
    <t>c.-  El costo para la empresa, si la hora del Inspector vale $ 400 y la hora del Trabajador $ 600.</t>
  </si>
  <si>
    <t>$TMat</t>
  </si>
  <si>
    <t>1.  Defina las condiciones que aseguran la posible estacionalidad de un proceso estocástico</t>
  </si>
  <si>
    <t>2.  ¿Cómo identifica matemáticamente que un proceso Markoviano NO ES ERGODICO ?</t>
  </si>
  <si>
    <t>3)  ¿ Cómo determina el estado estacionario de un proceso Markoviano con parametro de tiempo discreto?</t>
  </si>
  <si>
    <t>4) Idem, con parámetro de tiempo continuo</t>
  </si>
  <si>
    <t>5) ¿Cómo define formalmente un proceso de nacimiento y muerte?</t>
  </si>
  <si>
    <t>6)  ¿ Para que condiciones específicas la tasa de transición de un proceso markoviano es igual a Lamda?</t>
  </si>
  <si>
    <t>7)  ¿ Cuál es la condición obligatoria , para que el sistema tenga cola finita, en un modelo de canales en paralelo?</t>
  </si>
  <si>
    <t>8)  Idem, para un solo canal</t>
  </si>
  <si>
    <t>9)  ¿Cuál es el proceso clave para obtener muestras virtuales de una distribución conocida a la cual responde el tiempo de operación de un equipo ?</t>
  </si>
  <si>
    <t>10)  ¿En que condiciones es posible aplicar un proceso de simulación sobre un sistema complejo?</t>
  </si>
  <si>
    <t>11)  ¿ Qué es un suceso crítico en una red de proyecto?</t>
  </si>
  <si>
    <t>12 ) ¿ Qué es una tarea crítica en una red de proyecto?</t>
  </si>
  <si>
    <t>Tema 1 Impares</t>
  </si>
  <si>
    <t>Tema 2 Pares</t>
  </si>
  <si>
    <t>3.-  Resolver la siguiente red de actividades. Confeccionar el Diagrama de Gantt a Fecha Temprana y su carga Financiera. Los costos por UT ( unidad de Tiempo) se dan en la tabla adjunta. Se arregló el pago de Mat 50 % la 1º UTde cada actividad y 50% en la UT siguiente y para la mano de obra al finalizar cada actividad</t>
  </si>
  <si>
    <t>3.-  Resolver la siguiente red de actividades. Confeccionar el Diagrama de Gantt a Fecha Tardía y su carga Financiera. Los costos por UT ( Unidad de Tiempo)  se dan en la tabla adjunta. Se arregló el pago de Mat al inicio de la 1º UT de cada actividad y para la mano de obra 20% en la 1º UT de cada actividad y el 80% restante al final de cada actividad.</t>
  </si>
  <si>
    <t>13.06.2016</t>
  </si>
  <si>
    <t>Preguntas teóricas para examen Parcial de IO   ( Tema 1 : Impares, Tema 2 : Pares)</t>
  </si>
  <si>
    <t>¿ Cuándo puede no tener solución la forma final del Vector Estacionario de un proceso Markoviano?</t>
  </si>
  <si>
    <t>¿  Qué entiende formalmente por un proceso de nacimiento y muerte?</t>
  </si>
  <si>
    <t>¿ Qué parámetros e incognitas determinan la Función Objetivo de un modelo de Filas de Espera?</t>
  </si>
  <si>
    <t>¿ Qué función de distribución utiliza para el caso de una muestra representada por un histograma de frecuencias?</t>
  </si>
  <si>
    <t>Defina Margen total e independiente de una tarea de un proyecto.</t>
  </si>
  <si>
    <t>¿Cuando y cómo puede determinarse el estado estacionario de un Proceso Estocástico?</t>
  </si>
  <si>
    <t>¿ Un Modelo de Filas con  fuente infinita y M canales en paralelo   tiene restricciones de factibilidad operativa?</t>
  </si>
  <si>
    <t>¿ Con que distribución  simulamos el tiempo entre arribos a un sistema de atención ?</t>
  </si>
  <si>
    <t xml:space="preserve">¿ Cuánto vale la función de distribución que representa el tiempo entre arribos  en un proceso de simulación  , para t = 0? </t>
  </si>
  <si>
    <t xml:space="preserve">¿ Que tipo de diagrama calendario  elige un contratista propenso al riesgo , en la licitación de un proyecto de mas de 40 tareas y 4 meses de duración? </t>
  </si>
  <si>
    <t>El parcial teórico se hace en hojas separadas y se corrige con nota no integrada al práctico.</t>
  </si>
  <si>
    <t>1º Parcial Investigación Operativa                            13.06.2016</t>
  </si>
  <si>
    <t>l =</t>
  </si>
  <si>
    <t>tr/hs</t>
  </si>
  <si>
    <t>tr/min</t>
  </si>
  <si>
    <t>ts =</t>
  </si>
  <si>
    <t>min</t>
  </si>
  <si>
    <t>m =</t>
  </si>
  <si>
    <r>
      <t>Lc=</t>
    </r>
    <r>
      <rPr>
        <sz val="12"/>
        <color indexed="8"/>
        <rFont val="Symbol"/>
        <family val="1"/>
        <charset val="2"/>
      </rPr>
      <t>r</t>
    </r>
    <r>
      <rPr>
        <vertAlign val="superscript"/>
        <sz val="12"/>
        <color indexed="8"/>
        <rFont val="Symbol"/>
        <family val="1"/>
        <charset val="2"/>
      </rPr>
      <t>2</t>
    </r>
    <r>
      <rPr>
        <sz val="12"/>
        <color indexed="8"/>
        <rFont val="Symbol"/>
        <family val="1"/>
        <charset val="2"/>
      </rPr>
      <t>/(1-r</t>
    </r>
    <r>
      <rPr>
        <sz val="12"/>
        <color indexed="8"/>
        <rFont val="Symbol"/>
        <family val="1"/>
        <charset val="2"/>
      </rPr>
      <t>)</t>
    </r>
  </si>
  <si>
    <t>1/4 * 2</t>
  </si>
  <si>
    <t>m * (1-r)</t>
  </si>
  <si>
    <t>1/2 * 1/2</t>
  </si>
  <si>
    <t xml:space="preserve"> -Ts =</t>
  </si>
  <si>
    <t xml:space="preserve"> -2 =</t>
  </si>
  <si>
    <t>Wc = 2 min</t>
  </si>
  <si>
    <t>c.-</t>
  </si>
  <si>
    <r>
      <t xml:space="preserve">L = Lc + </t>
    </r>
    <r>
      <rPr>
        <sz val="12"/>
        <color indexed="8"/>
        <rFont val="Symbol"/>
        <family val="1"/>
        <charset val="2"/>
      </rPr>
      <t>r =</t>
    </r>
  </si>
  <si>
    <t>1/2 + 1/2 =</t>
  </si>
  <si>
    <t>Lc = 1</t>
  </si>
  <si>
    <t>CT = L * $Tr + q Ir * $ Ir =</t>
  </si>
  <si>
    <t>600 + 400</t>
  </si>
  <si>
    <t>CT = 1000</t>
  </si>
  <si>
    <t>d.-</t>
  </si>
  <si>
    <t>n = 0</t>
  </si>
  <si>
    <t>M - 1</t>
  </si>
  <si>
    <r>
      <rPr>
        <sz val="12"/>
        <color indexed="8"/>
        <rFont val="Calibri"/>
        <family val="2"/>
      </rPr>
      <t>P</t>
    </r>
    <r>
      <rPr>
        <sz val="9"/>
        <color indexed="8"/>
        <rFont val="Calibri"/>
        <family val="2"/>
      </rPr>
      <t>0</t>
    </r>
    <r>
      <rPr>
        <sz val="11"/>
        <color theme="1"/>
        <rFont val="Calibri"/>
        <family val="2"/>
        <scheme val="minor"/>
      </rPr>
      <t xml:space="preserve"> =      </t>
    </r>
    <r>
      <rPr>
        <sz val="11"/>
        <color indexed="8"/>
        <rFont val="Symbol"/>
        <family val="1"/>
        <charset val="2"/>
      </rPr>
      <t>S r</t>
    </r>
    <r>
      <rPr>
        <vertAlign val="superscript"/>
        <sz val="11"/>
        <color indexed="8"/>
        <rFont val="Calibri"/>
        <family val="2"/>
      </rPr>
      <t>n</t>
    </r>
    <r>
      <rPr>
        <sz val="11"/>
        <color indexed="8"/>
        <rFont val="Calibri"/>
        <family val="2"/>
      </rPr>
      <t xml:space="preserve">/n! + </t>
    </r>
    <r>
      <rPr>
        <sz val="11"/>
        <color indexed="8"/>
        <rFont val="Symbol"/>
        <family val="1"/>
        <charset val="2"/>
      </rPr>
      <t>r</t>
    </r>
    <r>
      <rPr>
        <vertAlign val="superscript"/>
        <sz val="11"/>
        <color indexed="8"/>
        <rFont val="Calibri"/>
        <family val="2"/>
      </rPr>
      <t>m</t>
    </r>
    <r>
      <rPr>
        <sz val="11"/>
        <color indexed="8"/>
        <rFont val="Calibri"/>
        <family val="2"/>
      </rPr>
      <t>/m! * 1/(1-</t>
    </r>
    <r>
      <rPr>
        <sz val="11"/>
        <color indexed="8"/>
        <rFont val="Symbol"/>
        <family val="1"/>
        <charset val="2"/>
      </rPr>
      <t>r</t>
    </r>
    <r>
      <rPr>
        <sz val="11"/>
        <color indexed="8"/>
        <rFont val="Calibri"/>
        <family val="2"/>
      </rPr>
      <t>/m)</t>
    </r>
  </si>
  <si>
    <r>
      <t>(1+1/2+1/4*1/2*4/3)</t>
    </r>
    <r>
      <rPr>
        <vertAlign val="superscript"/>
        <sz val="11"/>
        <color indexed="8"/>
        <rFont val="Calibri"/>
        <family val="2"/>
      </rPr>
      <t>-1</t>
    </r>
  </si>
  <si>
    <r>
      <rPr>
        <sz val="12"/>
        <color indexed="8"/>
        <rFont val="Calibri"/>
        <family val="2"/>
      </rPr>
      <t>P</t>
    </r>
    <r>
      <rPr>
        <sz val="9"/>
        <color indexed="8"/>
        <rFont val="Calibri"/>
        <family val="2"/>
      </rPr>
      <t>0</t>
    </r>
    <r>
      <rPr>
        <sz val="11"/>
        <color theme="1"/>
        <rFont val="Calibri"/>
        <family val="2"/>
        <scheme val="minor"/>
      </rPr>
      <t xml:space="preserve"> = 3/5</t>
    </r>
  </si>
  <si>
    <r>
      <t>M!*M           (1-</t>
    </r>
    <r>
      <rPr>
        <sz val="11"/>
        <color indexed="8"/>
        <rFont val="Symbol"/>
        <family val="1"/>
        <charset val="2"/>
      </rPr>
      <t>r</t>
    </r>
    <r>
      <rPr>
        <sz val="11"/>
        <color theme="1"/>
        <rFont val="Calibri"/>
        <family val="2"/>
        <scheme val="minor"/>
      </rPr>
      <t>/M)</t>
    </r>
    <r>
      <rPr>
        <vertAlign val="superscript"/>
        <sz val="11"/>
        <color indexed="8"/>
        <rFont val="Calibri"/>
        <family val="2"/>
      </rPr>
      <t>2</t>
    </r>
  </si>
  <si>
    <r>
      <t xml:space="preserve">Lc = P0     *      </t>
    </r>
    <r>
      <rPr>
        <sz val="11"/>
        <color indexed="8"/>
        <rFont val="Symbol"/>
        <family val="1"/>
        <charset val="2"/>
      </rPr>
      <t>r</t>
    </r>
    <r>
      <rPr>
        <vertAlign val="superscript"/>
        <sz val="11"/>
        <color indexed="8"/>
        <rFont val="Calibri"/>
        <family val="2"/>
      </rPr>
      <t xml:space="preserve">m+1         </t>
    </r>
    <r>
      <rPr>
        <sz val="11"/>
        <color theme="1"/>
        <rFont val="Calibri"/>
        <family val="2"/>
        <scheme val="minor"/>
      </rPr>
      <t xml:space="preserve">    *      1 </t>
    </r>
  </si>
  <si>
    <t>3/5 * 1/8 * 1/4 * 16/9</t>
  </si>
  <si>
    <t>Lc = 1/30</t>
  </si>
  <si>
    <r>
      <t xml:space="preserve">L = Lc + </t>
    </r>
    <r>
      <rPr>
        <sz val="11"/>
        <color indexed="8"/>
        <rFont val="Symbol"/>
        <family val="1"/>
        <charset val="2"/>
      </rPr>
      <t>r</t>
    </r>
  </si>
  <si>
    <t>1/30 + 1/2</t>
  </si>
  <si>
    <t>L = 8/15</t>
  </si>
  <si>
    <r>
      <t>CT</t>
    </r>
    <r>
      <rPr>
        <vertAlign val="subscript"/>
        <sz val="11"/>
        <color indexed="8"/>
        <rFont val="Calibri"/>
        <family val="2"/>
      </rPr>
      <t>d</t>
    </r>
    <r>
      <rPr>
        <sz val="11"/>
        <color theme="1"/>
        <rFont val="Calibri"/>
        <family val="2"/>
        <scheme val="minor"/>
      </rPr>
      <t xml:space="preserve"> = 8/15 * 600 + 2 * 400</t>
    </r>
  </si>
  <si>
    <r>
      <t>CT</t>
    </r>
    <r>
      <rPr>
        <vertAlign val="subscript"/>
        <sz val="11"/>
        <color indexed="8"/>
        <rFont val="Calibri"/>
        <family val="2"/>
      </rPr>
      <t>d</t>
    </r>
    <r>
      <rPr>
        <sz val="11"/>
        <color theme="1"/>
        <rFont val="Calibri"/>
        <family val="2"/>
        <scheme val="minor"/>
      </rPr>
      <t xml:space="preserve"> = 1120</t>
    </r>
  </si>
  <si>
    <t>No es conveniente</t>
  </si>
  <si>
    <t xml:space="preserve"> 2/3</t>
  </si>
  <si>
    <t>9/16 * 4</t>
  </si>
  <si>
    <t>Lc=9/4</t>
  </si>
  <si>
    <t>2/3 * 1/4</t>
  </si>
  <si>
    <t xml:space="preserve"> -1,5 =</t>
  </si>
  <si>
    <t>Wc = 4,5 min</t>
  </si>
  <si>
    <t>9/4 + 3/4 =</t>
  </si>
  <si>
    <t>1500 + 300</t>
  </si>
  <si>
    <t>CT = 1800</t>
  </si>
  <si>
    <r>
      <t>(1+3/4+9/16*1/2*8/5)</t>
    </r>
    <r>
      <rPr>
        <vertAlign val="superscript"/>
        <sz val="11"/>
        <color indexed="8"/>
        <rFont val="Calibri"/>
        <family val="2"/>
      </rPr>
      <t>-1</t>
    </r>
  </si>
  <si>
    <r>
      <rPr>
        <sz val="12"/>
        <color indexed="8"/>
        <rFont val="Calibri"/>
        <family val="2"/>
      </rPr>
      <t>P</t>
    </r>
    <r>
      <rPr>
        <sz val="9"/>
        <color indexed="8"/>
        <rFont val="Calibri"/>
        <family val="2"/>
      </rPr>
      <t>0</t>
    </r>
    <r>
      <rPr>
        <sz val="11"/>
        <color theme="1"/>
        <rFont val="Calibri"/>
        <family val="2"/>
        <scheme val="minor"/>
      </rPr>
      <t xml:space="preserve"> = 5/11</t>
    </r>
  </si>
  <si>
    <t>Si</t>
  </si>
  <si>
    <t xml:space="preserve"> 1/2</t>
  </si>
  <si>
    <t>Lc= 2,25</t>
  </si>
  <si>
    <t>5/11 * 27/64 * 1/4 * 64/25</t>
  </si>
  <si>
    <t>Lc = 27/220</t>
  </si>
  <si>
    <t>27/220 + 3/4</t>
  </si>
  <si>
    <t>L = 48/55</t>
  </si>
  <si>
    <r>
      <t>CT</t>
    </r>
    <r>
      <rPr>
        <vertAlign val="subscript"/>
        <sz val="11"/>
        <color indexed="8"/>
        <rFont val="Calibri"/>
        <family val="2"/>
      </rPr>
      <t>d</t>
    </r>
    <r>
      <rPr>
        <sz val="11"/>
        <color theme="1"/>
        <rFont val="Calibri"/>
        <family val="2"/>
        <scheme val="minor"/>
      </rPr>
      <t xml:space="preserve"> = 48/55 * 500 + 2 * 300</t>
    </r>
  </si>
  <si>
    <r>
      <t>CT</t>
    </r>
    <r>
      <rPr>
        <vertAlign val="subscript"/>
        <sz val="11"/>
        <color indexed="8"/>
        <rFont val="Calibri"/>
        <family val="2"/>
      </rPr>
      <t>d</t>
    </r>
    <r>
      <rPr>
        <sz val="11"/>
        <color theme="1"/>
        <rFont val="Calibri"/>
        <family val="2"/>
        <scheme val="minor"/>
      </rPr>
      <t xml:space="preserve"> = 1036,36 Si conviene</t>
    </r>
  </si>
  <si>
    <t>Wc = 0,075 h</t>
  </si>
  <si>
    <t xml:space="preserve">Wc = W - Ts = </t>
  </si>
  <si>
    <t xml:space="preserve">      ===&gt;</t>
  </si>
  <si>
    <t>L = 3</t>
  </si>
  <si>
    <t>Lc=1/2</t>
  </si>
  <si>
    <t xml:space="preserve">Wc = W-Ts = </t>
  </si>
  <si>
    <t>Ej 4</t>
  </si>
  <si>
    <t>&lt;=12</t>
  </si>
  <si>
    <t>12.06.2017</t>
  </si>
  <si>
    <r>
      <t>1.</t>
    </r>
    <r>
      <rPr>
        <sz val="12"/>
        <color indexed="8"/>
        <rFont val="Times New Roman"/>
        <family val="1"/>
      </rPr>
      <t xml:space="preserve">   </t>
    </r>
    <r>
      <rPr>
        <sz val="12"/>
        <color indexed="8"/>
        <rFont val="Calibri"/>
        <family val="2"/>
      </rPr>
      <t xml:space="preserve">El departamento de estudios de mercado de una fábrica estima que el 30% de la gente que compra un producto un mes, no lo comprará el mes siguiente. Además, el 40% de quienes no lo compren un mes lo adquirirá al mes siguiente. En una población de 10000 individuos, 1000 compraron el producto el primer mes.                                                            </t>
    </r>
  </si>
  <si>
    <t>3.-  Resolver la siguiente red de actividades. Confeccionar el Diagrama de Gantt a Fecha Temprana y su carga Financiera. Los costos por UT (unidad de Tiempo) se dan en la tabla adjunta. Se arregló el pago de Mat 50 % la 1º UTde cada actividad y 50% en la UT siguiente y para la mano de obra al finalizar cada actividad</t>
  </si>
  <si>
    <t>ƛ (min)</t>
  </si>
  <si>
    <t>Probabilidad</t>
  </si>
  <si>
    <t>4.- En una isla de soldadura las ordenes de fabricación llegan según Poisson con la siguiente tasa:</t>
  </si>
  <si>
    <t>Prob. Acumulada</t>
  </si>
  <si>
    <t>Intervalos</t>
  </si>
  <si>
    <t>0 - 0,05</t>
  </si>
  <si>
    <t>0,06 - 0,15</t>
  </si>
  <si>
    <t>0,16 - 0,65</t>
  </si>
  <si>
    <t>0,66 - 1</t>
  </si>
  <si>
    <t>Nro de llegada</t>
  </si>
  <si>
    <t>Nro Aleatorio</t>
  </si>
  <si>
    <r>
      <rPr>
        <sz val="11"/>
        <color theme="1"/>
        <rFont val="Calibri"/>
        <family val="2"/>
      </rPr>
      <t>µ</t>
    </r>
    <r>
      <rPr>
        <sz val="8.8000000000000007"/>
        <color theme="1"/>
        <rFont val="Calibri"/>
        <family val="2"/>
      </rPr>
      <t xml:space="preserve"> (min)</t>
    </r>
  </si>
  <si>
    <t>Tiempo de arribo</t>
  </si>
  <si>
    <t>Lq</t>
  </si>
  <si>
    <t>Tiempo en que es atendido</t>
  </si>
  <si>
    <t>Tiempo de Salida</t>
  </si>
  <si>
    <t>Tiempo de Espera</t>
  </si>
  <si>
    <t>Si se sabe que cada orden de trabajo se realiza en 5 minutos se ha decidido simular las llegadas para analizar si es necesario agregar una segunda isla teniendo en cuenta que se desea que el tiempo de espera sea menor a 3 minutos en promedio. Los nros aleatorios obtenidos son: 0,03 - 0,05 - 0,12 - 0,91 - 0,31 - 0,3 - 0,69 - 0,21 - 0,06 - 0,75
Indicar el resultado de dicho análisis.</t>
  </si>
  <si>
    <t>Promedio</t>
  </si>
  <si>
    <t>Se debe agregar otra isla</t>
  </si>
  <si>
    <r>
      <t>1.</t>
    </r>
    <r>
      <rPr>
        <sz val="12"/>
        <color indexed="8"/>
        <rFont val="Times New Roman"/>
        <family val="1"/>
      </rPr>
      <t xml:space="preserve">   </t>
    </r>
    <r>
      <rPr>
        <sz val="12"/>
        <color indexed="8"/>
        <rFont val="Calibri"/>
        <family val="2"/>
      </rPr>
      <t xml:space="preserve">El departamento de estudios de mercado de una fábrica estima que el 10% de la gente que compra un producto un mes, no lo comprará el mes siguiente. Además, el 20% de quienes no lo compren un mes lo adquirirá al mes siguiente. En una población de 10000 individuos, 1000 compraron el producto el primer mes.                                                            </t>
    </r>
  </si>
  <si>
    <t>No se debe agregar otra isla</t>
  </si>
  <si>
    <t>Se sabe que en el mismo momento que se desocupa el puesto de trabajo, se empieza a soldar la siguiente pieza. Si se sabe que cada orden de trabajo se realiza en 5 minutos se ha decidido simular las llegadas para analizar si es necesario agregar una segunda isla teniendo en cuenta que se desea que el tiempo de espera sea menor a 3 minutos en promedio. Los nros aleatorios obtenidos son: 0,03 - 0,05 - 0,12 - 0,91 - 0,31 - 0,3 - 0,69 - 0,21 - 0,06 - 0,75
Indicar el resultado de dicho análisis.</t>
  </si>
  <si>
    <t>µ (min)</t>
  </si>
  <si>
    <t>Momento en que es atendido</t>
  </si>
  <si>
    <t>Momento de arribo</t>
  </si>
</sst>
</file>

<file path=xl/styles.xml><?xml version="1.0" encoding="utf-8"?>
<styleSheet xmlns="http://schemas.openxmlformats.org/spreadsheetml/2006/main">
  <numFmts count="2">
    <numFmt numFmtId="164" formatCode="0.000"/>
    <numFmt numFmtId="165" formatCode="0.0"/>
  </numFmts>
  <fonts count="36">
    <font>
      <sz val="11"/>
      <color theme="1"/>
      <name val="Calibri"/>
      <family val="2"/>
      <scheme val="minor"/>
    </font>
    <font>
      <b/>
      <sz val="22"/>
      <color indexed="8"/>
      <name val="Calibri"/>
      <family val="2"/>
    </font>
    <font>
      <b/>
      <sz val="12"/>
      <color indexed="8"/>
      <name val="Calibri"/>
      <family val="2"/>
    </font>
    <font>
      <sz val="16"/>
      <color indexed="8"/>
      <name val="Calibri"/>
      <family val="2"/>
    </font>
    <font>
      <sz val="16"/>
      <color indexed="8"/>
      <name val="Times New Roman"/>
      <family val="1"/>
    </font>
    <font>
      <b/>
      <sz val="11"/>
      <color indexed="8"/>
      <name val="Calibri"/>
      <family val="2"/>
    </font>
    <font>
      <sz val="12"/>
      <color indexed="8"/>
      <name val="Symbol"/>
      <family val="1"/>
      <charset val="2"/>
    </font>
    <font>
      <vertAlign val="superscript"/>
      <sz val="12"/>
      <color indexed="8"/>
      <name val="Symbol"/>
      <family val="1"/>
      <charset val="2"/>
    </font>
    <font>
      <sz val="12"/>
      <color indexed="8"/>
      <name val="Calibri"/>
      <family val="2"/>
    </font>
    <font>
      <sz val="11"/>
      <color indexed="8"/>
      <name val="Symbol"/>
      <family val="1"/>
      <charset val="2"/>
    </font>
    <font>
      <sz val="11"/>
      <color indexed="8"/>
      <name val="Calibri"/>
      <family val="2"/>
    </font>
    <font>
      <vertAlign val="superscript"/>
      <sz val="11"/>
      <color indexed="8"/>
      <name val="Calibri"/>
      <family val="2"/>
    </font>
    <font>
      <sz val="9"/>
      <color indexed="8"/>
      <name val="Calibri"/>
      <family val="2"/>
    </font>
    <font>
      <vertAlign val="subscript"/>
      <sz val="11"/>
      <color indexed="8"/>
      <name val="Calibri"/>
      <family val="2"/>
    </font>
    <font>
      <b/>
      <sz val="11"/>
      <color theme="1"/>
      <name val="Calibri"/>
      <family val="2"/>
      <scheme val="minor"/>
    </font>
    <font>
      <sz val="12"/>
      <color theme="1"/>
      <name val="Calibri"/>
      <family val="2"/>
      <scheme val="minor"/>
    </font>
    <font>
      <sz val="16"/>
      <color theme="1"/>
      <name val="Calibri"/>
      <family val="2"/>
      <scheme val="minor"/>
    </font>
    <font>
      <sz val="16"/>
      <name val="Calibri"/>
      <family val="2"/>
      <scheme val="minor"/>
    </font>
    <font>
      <b/>
      <sz val="16"/>
      <name val="Calibri"/>
      <family val="2"/>
      <scheme val="minor"/>
    </font>
    <font>
      <sz val="14"/>
      <color rgb="FF222222"/>
      <name val="Arial"/>
      <family val="2"/>
    </font>
    <font>
      <b/>
      <sz val="11"/>
      <color theme="1"/>
      <name val="Arial Black"/>
      <family val="2"/>
    </font>
    <font>
      <b/>
      <sz val="11"/>
      <color theme="1"/>
      <name val="Tahoma"/>
      <family val="2"/>
    </font>
    <font>
      <b/>
      <sz val="9"/>
      <color theme="1"/>
      <name val="Tahoma"/>
      <family val="2"/>
    </font>
    <font>
      <b/>
      <i/>
      <sz val="9"/>
      <color theme="1"/>
      <name val="Tahoma"/>
      <family val="2"/>
    </font>
    <font>
      <sz val="14"/>
      <color theme="1"/>
      <name val="Symbol"/>
      <family val="1"/>
      <charset val="2"/>
    </font>
    <font>
      <sz val="11"/>
      <color theme="1"/>
      <name val="Symbol"/>
      <family val="1"/>
      <charset val="2"/>
    </font>
    <font>
      <sz val="12"/>
      <name val="Calibri"/>
      <family val="2"/>
      <scheme val="minor"/>
    </font>
    <font>
      <b/>
      <sz val="12"/>
      <name val="Calibri"/>
      <family val="2"/>
      <scheme val="minor"/>
    </font>
    <font>
      <sz val="11"/>
      <color rgb="FFFFFF00"/>
      <name val="Calibri"/>
      <family val="2"/>
      <scheme val="minor"/>
    </font>
    <font>
      <b/>
      <sz val="12"/>
      <color theme="1"/>
      <name val="Calibri"/>
      <family val="2"/>
      <scheme val="minor"/>
    </font>
    <font>
      <b/>
      <sz val="16"/>
      <color theme="1"/>
      <name val="Calibri"/>
      <family val="2"/>
      <scheme val="minor"/>
    </font>
    <font>
      <sz val="12"/>
      <color indexed="8"/>
      <name val="Times New Roman"/>
      <family val="1"/>
    </font>
    <font>
      <sz val="11"/>
      <color theme="1"/>
      <name val="Calibri"/>
      <family val="2"/>
    </font>
    <font>
      <sz val="10"/>
      <color theme="1"/>
      <name val="Calibri"/>
      <family val="2"/>
    </font>
    <font>
      <b/>
      <sz val="10"/>
      <color theme="1"/>
      <name val="Calibri"/>
      <family val="2"/>
    </font>
    <font>
      <sz val="8.8000000000000007"/>
      <color theme="1"/>
      <name val="Calibri"/>
      <family val="2"/>
    </font>
  </fonts>
  <fills count="5">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double">
        <color indexed="64"/>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151">
    <xf numFmtId="0" fontId="0" fillId="0" borderId="0" xfId="0"/>
    <xf numFmtId="0" fontId="1" fillId="0" borderId="0" xfId="0" applyFont="1" applyAlignment="1">
      <alignment horizontal="left"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Alignment="1">
      <alignment wrapText="1"/>
    </xf>
    <xf numFmtId="0" fontId="15" fillId="0" borderId="0" xfId="0" applyFont="1"/>
    <xf numFmtId="0" fontId="16" fillId="0" borderId="0" xfId="0" applyFont="1" applyAlignment="1">
      <alignment wrapText="1"/>
    </xf>
    <xf numFmtId="0" fontId="16" fillId="0" borderId="0" xfId="0" applyFont="1"/>
    <xf numFmtId="0" fontId="16" fillId="0" borderId="0" xfId="0" applyFont="1" applyAlignment="1">
      <alignment horizontal="left" indent="4"/>
    </xf>
    <xf numFmtId="0" fontId="16" fillId="0" borderId="0" xfId="0" applyFont="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0" xfId="0" applyFont="1" applyAlignment="1">
      <alignment horizontal="right" vertical="center"/>
    </xf>
    <xf numFmtId="0" fontId="17" fillId="0" borderId="0" xfId="0" applyFont="1" applyAlignment="1">
      <alignment horizontal="left" vertical="center"/>
    </xf>
    <xf numFmtId="0" fontId="16" fillId="0" borderId="7" xfId="0" applyFont="1" applyBorder="1" applyAlignment="1">
      <alignment horizontal="center"/>
    </xf>
    <xf numFmtId="0" fontId="17" fillId="0" borderId="8" xfId="0" applyFont="1" applyBorder="1" applyAlignment="1">
      <alignment horizontal="center"/>
    </xf>
    <xf numFmtId="0" fontId="17" fillId="0" borderId="9" xfId="0" applyFont="1" applyBorder="1" applyAlignment="1">
      <alignment horizontal="center"/>
    </xf>
    <xf numFmtId="0" fontId="18" fillId="0" borderId="7" xfId="0" applyFont="1" applyBorder="1" applyAlignment="1">
      <alignment horizontal="center"/>
    </xf>
    <xf numFmtId="0" fontId="17" fillId="0" borderId="7" xfId="0" applyFont="1" applyBorder="1" applyAlignment="1">
      <alignment horizontal="center"/>
    </xf>
    <xf numFmtId="0" fontId="17" fillId="0" borderId="10" xfId="0" applyFont="1" applyBorder="1" applyAlignment="1">
      <alignment horizontal="center"/>
    </xf>
    <xf numFmtId="0" fontId="17" fillId="0" borderId="11" xfId="0" applyFont="1" applyBorder="1" applyAlignment="1">
      <alignment horizontal="center"/>
    </xf>
    <xf numFmtId="0" fontId="17" fillId="0" borderId="12" xfId="0" applyFont="1" applyBorder="1" applyAlignment="1">
      <alignment horizontal="center"/>
    </xf>
    <xf numFmtId="0" fontId="16" fillId="0" borderId="0" xfId="0" applyFont="1" applyAlignment="1">
      <alignment horizontal="right"/>
    </xf>
    <xf numFmtId="0" fontId="1" fillId="0" borderId="0" xfId="0" applyFont="1" applyAlignment="1"/>
    <xf numFmtId="0" fontId="5" fillId="0" borderId="0" xfId="0" applyFont="1" applyAlignment="1">
      <alignment horizontal="left" wrapText="1"/>
    </xf>
    <xf numFmtId="0" fontId="5" fillId="0" borderId="0" xfId="0" applyFont="1" applyAlignment="1">
      <alignment wrapText="1"/>
    </xf>
    <xf numFmtId="0" fontId="5" fillId="0" borderId="0" xfId="0" applyFont="1" applyAlignment="1">
      <alignment horizontal="center" wrapText="1"/>
    </xf>
    <xf numFmtId="0" fontId="19" fillId="0" borderId="13" xfId="0" applyFont="1" applyBorder="1" applyAlignment="1">
      <alignment horizontal="left" wrapText="1"/>
    </xf>
    <xf numFmtId="0" fontId="0" fillId="0" borderId="13" xfId="0" applyBorder="1"/>
    <xf numFmtId="0" fontId="0" fillId="0" borderId="14" xfId="0" applyBorder="1"/>
    <xf numFmtId="0" fontId="2" fillId="0" borderId="15" xfId="0" applyFont="1" applyBorder="1" applyAlignment="1">
      <alignment vertical="center" wrapText="1"/>
    </xf>
    <xf numFmtId="0" fontId="2" fillId="0" borderId="16" xfId="0" applyFont="1" applyBorder="1" applyAlignment="1">
      <alignment vertical="center" wrapText="1"/>
    </xf>
    <xf numFmtId="0" fontId="20" fillId="0" borderId="0" xfId="0" applyFont="1"/>
    <xf numFmtId="0" fontId="21" fillId="0" borderId="7" xfId="0" applyFont="1" applyBorder="1" applyAlignment="1">
      <alignment horizontal="center"/>
    </xf>
    <xf numFmtId="0" fontId="22" fillId="0" borderId="7" xfId="0" applyFont="1" applyBorder="1" applyAlignment="1">
      <alignment wrapText="1"/>
    </xf>
    <xf numFmtId="0" fontId="23" fillId="0" borderId="0" xfId="0" applyFont="1" applyFill="1" applyBorder="1" applyAlignment="1">
      <alignment wrapText="1"/>
    </xf>
    <xf numFmtId="0" fontId="0" fillId="0" borderId="17" xfId="0" applyBorder="1"/>
    <xf numFmtId="0" fontId="0" fillId="0" borderId="18" xfId="0" applyBorder="1"/>
    <xf numFmtId="0" fontId="0" fillId="0" borderId="0" xfId="0" applyAlignment="1">
      <alignment horizontal="center" vertical="center"/>
    </xf>
    <xf numFmtId="0" fontId="0" fillId="0" borderId="0" xfId="0" applyBorder="1" applyAlignment="1">
      <alignment horizontal="center" vertical="center"/>
    </xf>
    <xf numFmtId="0" fontId="24" fillId="0" borderId="0" xfId="0" applyFont="1" applyAlignment="1">
      <alignment horizontal="right"/>
    </xf>
    <xf numFmtId="0" fontId="0" fillId="0" borderId="0" xfId="0" applyAlignment="1">
      <alignment horizontal="right"/>
    </xf>
    <xf numFmtId="0" fontId="16" fillId="0" borderId="0" xfId="0" applyFont="1" applyAlignment="1">
      <alignment horizontal="center" vertical="center"/>
    </xf>
    <xf numFmtId="0" fontId="0" fillId="0" borderId="0" xfId="0" applyAlignment="1">
      <alignment horizontal="center"/>
    </xf>
    <xf numFmtId="0" fontId="0" fillId="0" borderId="13" xfId="0" applyBorder="1" applyAlignment="1">
      <alignment horizontal="center"/>
    </xf>
    <xf numFmtId="0" fontId="25" fillId="0" borderId="0" xfId="0" applyFont="1" applyAlignment="1">
      <alignment horizontal="center"/>
    </xf>
    <xf numFmtId="0" fontId="0" fillId="0" borderId="0" xfId="0" applyAlignment="1"/>
    <xf numFmtId="0" fontId="0" fillId="0" borderId="0" xfId="0" applyAlignment="1">
      <alignment horizontal="left"/>
    </xf>
    <xf numFmtId="0" fontId="16" fillId="2" borderId="0" xfId="0" applyFont="1" applyFill="1"/>
    <xf numFmtId="0" fontId="0" fillId="2" borderId="0" xfId="0" applyFill="1"/>
    <xf numFmtId="16" fontId="0" fillId="0" borderId="0" xfId="0" applyNumberFormat="1" applyAlignment="1">
      <alignment horizontal="right"/>
    </xf>
    <xf numFmtId="0" fontId="15" fillId="0" borderId="7" xfId="0" applyFont="1" applyBorder="1" applyAlignment="1">
      <alignment horizontal="center"/>
    </xf>
    <xf numFmtId="0" fontId="26" fillId="0" borderId="8" xfId="0" applyFont="1" applyBorder="1" applyAlignment="1">
      <alignment horizontal="center"/>
    </xf>
    <xf numFmtId="0" fontId="26" fillId="0" borderId="9" xfId="0" applyFont="1" applyBorder="1" applyAlignment="1">
      <alignment horizontal="center"/>
    </xf>
    <xf numFmtId="0" fontId="26" fillId="0" borderId="7" xfId="0" applyFont="1" applyBorder="1" applyAlignment="1">
      <alignment horizontal="center"/>
    </xf>
    <xf numFmtId="0" fontId="27" fillId="0" borderId="7" xfId="0" applyFont="1" applyBorder="1" applyAlignment="1">
      <alignment horizontal="center"/>
    </xf>
    <xf numFmtId="0" fontId="26" fillId="0" borderId="10" xfId="0" applyFont="1" applyBorder="1" applyAlignment="1">
      <alignment horizontal="center"/>
    </xf>
    <xf numFmtId="0" fontId="26" fillId="0" borderId="11" xfId="0" applyFont="1" applyBorder="1" applyAlignment="1">
      <alignment horizontal="center"/>
    </xf>
    <xf numFmtId="0" fontId="26" fillId="0" borderId="12" xfId="0" applyFont="1" applyBorder="1" applyAlignment="1">
      <alignment horizontal="center"/>
    </xf>
    <xf numFmtId="0" fontId="16" fillId="0" borderId="18" xfId="0" applyFont="1" applyBorder="1"/>
    <xf numFmtId="0" fontId="16" fillId="0" borderId="19" xfId="0" applyFont="1" applyBorder="1"/>
    <xf numFmtId="0" fontId="0" fillId="0" borderId="19" xfId="0" applyBorder="1"/>
    <xf numFmtId="0" fontId="26" fillId="0" borderId="0" xfId="0" applyFont="1" applyFill="1" applyBorder="1" applyAlignment="1">
      <alignment horizontal="right"/>
    </xf>
    <xf numFmtId="0" fontId="0" fillId="0" borderId="19" xfId="0" applyBorder="1" applyAlignment="1">
      <alignment horizontal="left"/>
    </xf>
    <xf numFmtId="0" fontId="0" fillId="0" borderId="20" xfId="0" applyBorder="1"/>
    <xf numFmtId="0" fontId="0" fillId="0" borderId="17" xfId="0" applyBorder="1" applyAlignment="1">
      <alignment horizontal="center"/>
    </xf>
    <xf numFmtId="0" fontId="28" fillId="3" borderId="17" xfId="0" applyFont="1" applyFill="1" applyBorder="1" applyAlignment="1">
      <alignment horizontal="center" vertical="center"/>
    </xf>
    <xf numFmtId="0" fontId="0" fillId="0" borderId="18" xfId="0" applyBorder="1" applyAlignment="1">
      <alignment horizontal="center"/>
    </xf>
    <xf numFmtId="164" fontId="0" fillId="2" borderId="0" xfId="0" applyNumberFormat="1" applyFill="1"/>
    <xf numFmtId="0" fontId="16" fillId="0" borderId="0" xfId="0" applyFont="1" applyAlignment="1">
      <alignment horizontal="left" wrapText="1"/>
    </xf>
    <xf numFmtId="0" fontId="17" fillId="0" borderId="7" xfId="0" applyFont="1" applyBorder="1" applyAlignment="1">
      <alignment horizontal="center"/>
    </xf>
    <xf numFmtId="0" fontId="16" fillId="0" borderId="7" xfId="0" applyFont="1" applyBorder="1" applyAlignment="1">
      <alignment horizontal="center"/>
    </xf>
    <xf numFmtId="0" fontId="18" fillId="0" borderId="7" xfId="0" applyFont="1" applyBorder="1" applyAlignment="1">
      <alignment horizontal="center"/>
    </xf>
    <xf numFmtId="0" fontId="16" fillId="0" borderId="0" xfId="0" applyFont="1" applyAlignment="1">
      <alignment horizontal="center" vertical="center"/>
    </xf>
    <xf numFmtId="0" fontId="0" fillId="0" borderId="0" xfId="0" applyBorder="1"/>
    <xf numFmtId="0" fontId="0" fillId="0" borderId="17" xfId="0" applyBorder="1" applyAlignment="1">
      <alignment horizontal="left"/>
    </xf>
    <xf numFmtId="0" fontId="28" fillId="3" borderId="0" xfId="0" applyFont="1" applyFill="1" applyBorder="1" applyAlignment="1">
      <alignment horizontal="center" vertical="center"/>
    </xf>
    <xf numFmtId="0" fontId="0" fillId="0" borderId="19" xfId="0" applyBorder="1" applyAlignment="1">
      <alignment horizontal="right"/>
    </xf>
    <xf numFmtId="0" fontId="16" fillId="0" borderId="0" xfId="0" applyFont="1" applyAlignment="1">
      <alignment horizontal="left" vertical="center"/>
    </xf>
    <xf numFmtId="0" fontId="26" fillId="0" borderId="7" xfId="0" applyFont="1" applyBorder="1" applyAlignment="1">
      <alignment horizontal="center"/>
    </xf>
    <xf numFmtId="0" fontId="15" fillId="0" borderId="7" xfId="0" applyFont="1" applyBorder="1" applyAlignment="1">
      <alignment horizontal="center"/>
    </xf>
    <xf numFmtId="0" fontId="15" fillId="0" borderId="0" xfId="0" applyFont="1" applyAlignment="1">
      <alignment wrapText="1"/>
    </xf>
    <xf numFmtId="0" fontId="15" fillId="0" borderId="0" xfId="0" applyFont="1" applyAlignment="1">
      <alignment horizontal="right"/>
    </xf>
    <xf numFmtId="0" fontId="15" fillId="0" borderId="0" xfId="0" applyFont="1" applyAlignment="1">
      <alignment horizontal="left" indent="4"/>
    </xf>
    <xf numFmtId="0" fontId="15" fillId="0" borderId="0" xfId="0" applyFont="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0" xfId="0" applyFont="1" applyAlignment="1">
      <alignment horizontal="right" vertical="center"/>
    </xf>
    <xf numFmtId="0" fontId="26" fillId="0" borderId="0" xfId="0" applyFont="1" applyAlignment="1">
      <alignment horizontal="left" vertical="center"/>
    </xf>
    <xf numFmtId="0" fontId="33" fillId="0" borderId="7" xfId="0" applyFont="1" applyBorder="1" applyAlignment="1">
      <alignment horizontal="center"/>
    </xf>
    <xf numFmtId="0" fontId="0" fillId="0" borderId="7" xfId="0" applyBorder="1" applyAlignment="1">
      <alignment horizontal="center"/>
    </xf>
    <xf numFmtId="0" fontId="15" fillId="0" borderId="0" xfId="0" applyFont="1" applyAlignment="1"/>
    <xf numFmtId="0" fontId="0" fillId="0" borderId="7" xfId="0" applyFill="1" applyBorder="1" applyAlignment="1">
      <alignment horizontal="center"/>
    </xf>
    <xf numFmtId="0" fontId="14" fillId="0" borderId="7" xfId="0" applyFont="1" applyBorder="1" applyAlignment="1">
      <alignment horizontal="center"/>
    </xf>
    <xf numFmtId="0" fontId="0" fillId="0" borderId="7" xfId="0" applyBorder="1" applyAlignment="1">
      <alignment vertical="center"/>
    </xf>
    <xf numFmtId="0" fontId="0" fillId="0" borderId="7" xfId="0" applyBorder="1" applyAlignment="1">
      <alignment horizontal="center" vertical="center"/>
    </xf>
    <xf numFmtId="0" fontId="34" fillId="0" borderId="7" xfId="0" applyFont="1" applyBorder="1" applyAlignment="1">
      <alignment horizontal="center" vertical="center"/>
    </xf>
    <xf numFmtId="0" fontId="32" fillId="0" borderId="7" xfId="0" applyFont="1" applyBorder="1" applyAlignment="1">
      <alignment horizontal="center" vertical="center"/>
    </xf>
    <xf numFmtId="0" fontId="0" fillId="0" borderId="7" xfId="0" applyFill="1" applyBorder="1" applyAlignment="1">
      <alignment horizontal="center" vertical="center" wrapText="1"/>
    </xf>
    <xf numFmtId="0" fontId="0" fillId="0" borderId="7" xfId="0" applyBorder="1" applyAlignment="1">
      <alignment horizontal="center" vertical="center" wrapText="1"/>
    </xf>
    <xf numFmtId="0" fontId="0" fillId="4" borderId="7" xfId="0" applyFill="1" applyBorder="1" applyAlignment="1">
      <alignment horizontal="center"/>
    </xf>
    <xf numFmtId="0" fontId="0" fillId="0" borderId="7" xfId="0" applyBorder="1" applyAlignment="1">
      <alignment horizontal="center"/>
    </xf>
    <xf numFmtId="0" fontId="27" fillId="0" borderId="7" xfId="0" applyFont="1" applyBorder="1" applyAlignment="1">
      <alignment horizontal="center"/>
    </xf>
    <xf numFmtId="0" fontId="2" fillId="0" borderId="25" xfId="0" applyFont="1" applyBorder="1" applyAlignment="1">
      <alignment horizontal="left" vertical="center"/>
    </xf>
    <xf numFmtId="0" fontId="2" fillId="0" borderId="26" xfId="0" applyFont="1" applyBorder="1" applyAlignment="1">
      <alignment horizontal="left" vertical="center"/>
    </xf>
    <xf numFmtId="0" fontId="15" fillId="0" borderId="0" xfId="0" applyFont="1" applyAlignment="1">
      <alignment horizontal="left" wrapText="1"/>
    </xf>
    <xf numFmtId="0" fontId="15" fillId="0" borderId="7" xfId="0" applyFont="1" applyBorder="1" applyAlignment="1">
      <alignment horizontal="center"/>
    </xf>
    <xf numFmtId="0" fontId="26" fillId="0" borderId="7" xfId="0" applyFont="1" applyBorder="1" applyAlignment="1">
      <alignment horizont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8" xfId="0" applyFont="1" applyBorder="1" applyAlignment="1">
      <alignment horizontal="center"/>
    </xf>
    <xf numFmtId="0" fontId="15" fillId="0" borderId="9" xfId="0" applyFont="1" applyBorder="1" applyAlignment="1">
      <alignment horizont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1" fillId="0" borderId="0" xfId="0" applyFont="1" applyAlignment="1">
      <alignment horizontal="center" wrapText="1"/>
    </xf>
    <xf numFmtId="0" fontId="1" fillId="0" borderId="0" xfId="0" applyFont="1" applyAlignment="1">
      <alignment horizontal="left" wrapText="1"/>
    </xf>
    <xf numFmtId="0" fontId="15" fillId="0" borderId="0" xfId="0" applyFont="1" applyAlignment="1">
      <alignment wrapText="1"/>
    </xf>
    <xf numFmtId="0" fontId="15" fillId="0" borderId="0" xfId="0" applyFont="1" applyAlignment="1">
      <alignment horizontal="left"/>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7" fillId="0" borderId="8" xfId="0" applyFont="1" applyBorder="1" applyAlignment="1">
      <alignment horizontal="center"/>
    </xf>
    <xf numFmtId="0" fontId="27" fillId="0" borderId="9" xfId="0" applyFont="1" applyBorder="1" applyAlignment="1">
      <alignment horizontal="center"/>
    </xf>
    <xf numFmtId="2" fontId="29" fillId="0" borderId="7" xfId="0" applyNumberFormat="1" applyFont="1" applyBorder="1" applyAlignment="1">
      <alignment horizontal="center"/>
    </xf>
    <xf numFmtId="0" fontId="29" fillId="0" borderId="7" xfId="0" applyFont="1" applyBorder="1" applyAlignment="1">
      <alignment horizontal="center"/>
    </xf>
    <xf numFmtId="0" fontId="16" fillId="0" borderId="0" xfId="0" applyFont="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16" fillId="0" borderId="18" xfId="0" applyFont="1" applyBorder="1" applyAlignment="1">
      <alignment horizontal="center" vertical="center"/>
    </xf>
    <xf numFmtId="0" fontId="0" fillId="0" borderId="0" xfId="0" applyAlignment="1">
      <alignment horizontal="left" vertical="center"/>
    </xf>
    <xf numFmtId="0" fontId="16" fillId="0" borderId="0" xfId="0" applyFont="1" applyAlignment="1">
      <alignment horizontal="left" wrapText="1"/>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5" fillId="0" borderId="0" xfId="0" applyFont="1" applyAlignment="1">
      <alignment horizontal="center"/>
    </xf>
    <xf numFmtId="0" fontId="15" fillId="0" borderId="0" xfId="0" applyFont="1" applyAlignment="1">
      <alignment horizontal="center" wrapText="1"/>
    </xf>
    <xf numFmtId="0" fontId="17" fillId="0" borderId="7" xfId="0" applyFont="1" applyBorder="1" applyAlignment="1">
      <alignment horizontal="center"/>
    </xf>
    <xf numFmtId="0" fontId="18" fillId="0" borderId="7" xfId="0" applyFont="1" applyBorder="1" applyAlignment="1">
      <alignment horizontal="center"/>
    </xf>
    <xf numFmtId="0" fontId="16" fillId="0" borderId="8" xfId="0" applyFont="1" applyBorder="1" applyAlignment="1">
      <alignment horizontal="center"/>
    </xf>
    <xf numFmtId="0" fontId="16" fillId="0" borderId="9" xfId="0" applyFont="1" applyBorder="1" applyAlignment="1">
      <alignment horizontal="center"/>
    </xf>
    <xf numFmtId="0" fontId="16" fillId="0" borderId="7" xfId="0" applyFont="1" applyBorder="1" applyAlignment="1">
      <alignment horizontal="center"/>
    </xf>
    <xf numFmtId="0" fontId="16" fillId="0" borderId="0" xfId="0" applyFont="1" applyAlignment="1">
      <alignment horizontal="left" vertical="top" wrapText="1"/>
    </xf>
    <xf numFmtId="165" fontId="30" fillId="0" borderId="7" xfId="0" applyNumberFormat="1" applyFont="1" applyBorder="1" applyAlignment="1">
      <alignment horizontal="center"/>
    </xf>
    <xf numFmtId="0" fontId="18" fillId="0" borderId="8" xfId="0" applyFont="1" applyBorder="1" applyAlignment="1">
      <alignment horizontal="center"/>
    </xf>
    <xf numFmtId="0" fontId="18" fillId="0" borderId="9" xfId="0" applyFont="1" applyBorder="1" applyAlignment="1">
      <alignment horizontal="center"/>
    </xf>
    <xf numFmtId="0" fontId="30" fillId="0" borderId="7" xfId="0" applyFont="1" applyBorder="1" applyAlignment="1">
      <alignment horizontal="center"/>
    </xf>
    <xf numFmtId="0" fontId="19" fillId="0" borderId="0" xfId="0" applyFont="1" applyAlignment="1">
      <alignment horizontal="left" wrapText="1"/>
    </xf>
    <xf numFmtId="0" fontId="32" fillId="0" borderId="7" xfId="0" applyFont="1" applyBorder="1" applyAlignment="1">
      <alignment horizontal="center" vertical="center" wrapText="1"/>
    </xf>
  </cellXfs>
  <cellStyles count="1">
    <cellStyle name="Normal" xfId="0" builtinId="0"/>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85725</xdr:colOff>
      <xdr:row>25</xdr:row>
      <xdr:rowOff>38100</xdr:rowOff>
    </xdr:from>
    <xdr:to>
      <xdr:col>4</xdr:col>
      <xdr:colOff>266700</xdr:colOff>
      <xdr:row>28</xdr:row>
      <xdr:rowOff>66675</xdr:rowOff>
    </xdr:to>
    <xdr:cxnSp macro="">
      <xdr:nvCxnSpPr>
        <xdr:cNvPr id="2625" name="Straight Arrow Connector 2"/>
        <xdr:cNvCxnSpPr>
          <a:cxnSpLocks noChangeShapeType="1"/>
        </xdr:cNvCxnSpPr>
      </xdr:nvCxnSpPr>
      <xdr:spPr bwMode="auto">
        <a:xfrm flipV="1">
          <a:off x="981075" y="7867650"/>
          <a:ext cx="1076325" cy="8477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xdr:col>
      <xdr:colOff>66675</xdr:colOff>
      <xdr:row>29</xdr:row>
      <xdr:rowOff>180975</xdr:rowOff>
    </xdr:from>
    <xdr:to>
      <xdr:col>4</xdr:col>
      <xdr:colOff>219075</xdr:colOff>
      <xdr:row>33</xdr:row>
      <xdr:rowOff>38100</xdr:rowOff>
    </xdr:to>
    <xdr:cxnSp macro="">
      <xdr:nvCxnSpPr>
        <xdr:cNvPr id="2626" name="Straight Arrow Connector 4"/>
        <xdr:cNvCxnSpPr>
          <a:cxnSpLocks noChangeShapeType="1"/>
        </xdr:cNvCxnSpPr>
      </xdr:nvCxnSpPr>
      <xdr:spPr bwMode="auto">
        <a:xfrm>
          <a:off x="962025" y="7753350"/>
          <a:ext cx="1047750" cy="9429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6</xdr:col>
      <xdr:colOff>19050</xdr:colOff>
      <xdr:row>26</xdr:row>
      <xdr:rowOff>104775</xdr:rowOff>
    </xdr:from>
    <xdr:to>
      <xdr:col>6</xdr:col>
      <xdr:colOff>19050</xdr:colOff>
      <xdr:row>31</xdr:row>
      <xdr:rowOff>66675</xdr:rowOff>
    </xdr:to>
    <xdr:cxnSp macro="">
      <xdr:nvCxnSpPr>
        <xdr:cNvPr id="2627" name="Straight Arrow Connector 6"/>
        <xdr:cNvCxnSpPr>
          <a:cxnSpLocks noChangeShapeType="1"/>
        </xdr:cNvCxnSpPr>
      </xdr:nvCxnSpPr>
      <xdr:spPr bwMode="auto">
        <a:xfrm>
          <a:off x="2705100" y="8210550"/>
          <a:ext cx="0" cy="13144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152400</xdr:colOff>
      <xdr:row>33</xdr:row>
      <xdr:rowOff>9525</xdr:rowOff>
    </xdr:from>
    <xdr:to>
      <xdr:col>10</xdr:col>
      <xdr:colOff>561975</xdr:colOff>
      <xdr:row>33</xdr:row>
      <xdr:rowOff>9525</xdr:rowOff>
    </xdr:to>
    <xdr:cxnSp macro="">
      <xdr:nvCxnSpPr>
        <xdr:cNvPr id="2628" name="Straight Arrow Connector 12"/>
        <xdr:cNvCxnSpPr>
          <a:cxnSpLocks noChangeShapeType="1"/>
        </xdr:cNvCxnSpPr>
      </xdr:nvCxnSpPr>
      <xdr:spPr bwMode="auto">
        <a:xfrm>
          <a:off x="3286125" y="10010775"/>
          <a:ext cx="163830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171450</xdr:colOff>
      <xdr:row>25</xdr:row>
      <xdr:rowOff>0</xdr:rowOff>
    </xdr:from>
    <xdr:to>
      <xdr:col>10</xdr:col>
      <xdr:colOff>542925</xdr:colOff>
      <xdr:row>25</xdr:row>
      <xdr:rowOff>0</xdr:rowOff>
    </xdr:to>
    <xdr:cxnSp macro="">
      <xdr:nvCxnSpPr>
        <xdr:cNvPr id="2629" name="Straight Arrow Connector 14"/>
        <xdr:cNvCxnSpPr>
          <a:cxnSpLocks noChangeShapeType="1"/>
        </xdr:cNvCxnSpPr>
      </xdr:nvCxnSpPr>
      <xdr:spPr bwMode="auto">
        <a:xfrm>
          <a:off x="3305175" y="7829550"/>
          <a:ext cx="16192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13</xdr:col>
      <xdr:colOff>123825</xdr:colOff>
      <xdr:row>29</xdr:row>
      <xdr:rowOff>114300</xdr:rowOff>
    </xdr:from>
    <xdr:to>
      <xdr:col>15</xdr:col>
      <xdr:colOff>285750</xdr:colOff>
      <xdr:row>32</xdr:row>
      <xdr:rowOff>114300</xdr:rowOff>
    </xdr:to>
    <xdr:cxnSp macro="">
      <xdr:nvCxnSpPr>
        <xdr:cNvPr id="2630" name="Straight Arrow Connector 23"/>
        <xdr:cNvCxnSpPr>
          <a:cxnSpLocks noChangeShapeType="1"/>
        </xdr:cNvCxnSpPr>
      </xdr:nvCxnSpPr>
      <xdr:spPr bwMode="auto">
        <a:xfrm flipV="1">
          <a:off x="5943600" y="9029700"/>
          <a:ext cx="1057275" cy="8191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13</xdr:col>
      <xdr:colOff>85725</xdr:colOff>
      <xdr:row>25</xdr:row>
      <xdr:rowOff>123825</xdr:rowOff>
    </xdr:from>
    <xdr:to>
      <xdr:col>15</xdr:col>
      <xdr:colOff>209550</xdr:colOff>
      <xdr:row>29</xdr:row>
      <xdr:rowOff>9525</xdr:rowOff>
    </xdr:to>
    <xdr:cxnSp macro="">
      <xdr:nvCxnSpPr>
        <xdr:cNvPr id="2631" name="Straight Arrow Connector 26"/>
        <xdr:cNvCxnSpPr>
          <a:cxnSpLocks noChangeShapeType="1"/>
        </xdr:cNvCxnSpPr>
      </xdr:nvCxnSpPr>
      <xdr:spPr bwMode="auto">
        <a:xfrm>
          <a:off x="5905500" y="7953375"/>
          <a:ext cx="1019175" cy="9715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66675</xdr:colOff>
      <xdr:row>26</xdr:row>
      <xdr:rowOff>57150</xdr:rowOff>
    </xdr:from>
    <xdr:to>
      <xdr:col>10</xdr:col>
      <xdr:colOff>371475</xdr:colOff>
      <xdr:row>32</xdr:row>
      <xdr:rowOff>28575</xdr:rowOff>
    </xdr:to>
    <xdr:cxnSp macro="">
      <xdr:nvCxnSpPr>
        <xdr:cNvPr id="2632" name="Straight Arrow Connector 41"/>
        <xdr:cNvCxnSpPr>
          <a:cxnSpLocks noChangeShapeType="1"/>
        </xdr:cNvCxnSpPr>
      </xdr:nvCxnSpPr>
      <xdr:spPr bwMode="auto">
        <a:xfrm flipV="1">
          <a:off x="3200400" y="8162925"/>
          <a:ext cx="1647825" cy="160020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373381</xdr:colOff>
      <xdr:row>41</xdr:row>
      <xdr:rowOff>47625</xdr:rowOff>
    </xdr:from>
    <xdr:to>
      <xdr:col>3</xdr:col>
      <xdr:colOff>733425</xdr:colOff>
      <xdr:row>44</xdr:row>
      <xdr:rowOff>19050</xdr:rowOff>
    </xdr:to>
    <xdr:sp macro="" textlink="">
      <xdr:nvSpPr>
        <xdr:cNvPr id="5" name="4 Corchetes"/>
        <xdr:cNvSpPr/>
      </xdr:nvSpPr>
      <xdr:spPr>
        <a:xfrm>
          <a:off x="1135381" y="8401050"/>
          <a:ext cx="1884044" cy="571500"/>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s-AR"/>
        </a:p>
      </xdr:txBody>
    </xdr:sp>
    <xdr:clientData/>
  </xdr:twoCellAnchor>
  <xdr:twoCellAnchor>
    <xdr:from>
      <xdr:col>1</xdr:col>
      <xdr:colOff>552450</xdr:colOff>
      <xdr:row>46</xdr:row>
      <xdr:rowOff>0</xdr:rowOff>
    </xdr:from>
    <xdr:to>
      <xdr:col>2</xdr:col>
      <xdr:colOff>171450</xdr:colOff>
      <xdr:row>46</xdr:row>
      <xdr:rowOff>0</xdr:rowOff>
    </xdr:to>
    <xdr:cxnSp macro="">
      <xdr:nvCxnSpPr>
        <xdr:cNvPr id="6" name="5 Conector recto"/>
        <xdr:cNvCxnSpPr/>
      </xdr:nvCxnSpPr>
      <xdr:spPr>
        <a:xfrm>
          <a:off x="1314450" y="9363075"/>
          <a:ext cx="3810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514350</xdr:colOff>
      <xdr:row>46</xdr:row>
      <xdr:rowOff>9525</xdr:rowOff>
    </xdr:from>
    <xdr:to>
      <xdr:col>3</xdr:col>
      <xdr:colOff>133350</xdr:colOff>
      <xdr:row>46</xdr:row>
      <xdr:rowOff>9525</xdr:rowOff>
    </xdr:to>
    <xdr:cxnSp macro="">
      <xdr:nvCxnSpPr>
        <xdr:cNvPr id="7" name="6 Conector recto"/>
        <xdr:cNvCxnSpPr/>
      </xdr:nvCxnSpPr>
      <xdr:spPr>
        <a:xfrm>
          <a:off x="2038350" y="9372600"/>
          <a:ext cx="3810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85725</xdr:colOff>
      <xdr:row>7</xdr:row>
      <xdr:rowOff>38100</xdr:rowOff>
    </xdr:from>
    <xdr:to>
      <xdr:col>20</xdr:col>
      <xdr:colOff>266700</xdr:colOff>
      <xdr:row>10</xdr:row>
      <xdr:rowOff>66675</xdr:rowOff>
    </xdr:to>
    <xdr:cxnSp macro="">
      <xdr:nvCxnSpPr>
        <xdr:cNvPr id="10179" name="Straight Arrow Connector 2"/>
        <xdr:cNvCxnSpPr>
          <a:cxnSpLocks noChangeShapeType="1"/>
        </xdr:cNvCxnSpPr>
      </xdr:nvCxnSpPr>
      <xdr:spPr bwMode="auto">
        <a:xfrm flipV="1">
          <a:off x="13477875" y="1609725"/>
          <a:ext cx="1076325" cy="8477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18</xdr:col>
      <xdr:colOff>66675</xdr:colOff>
      <xdr:row>11</xdr:row>
      <xdr:rowOff>180975</xdr:rowOff>
    </xdr:from>
    <xdr:to>
      <xdr:col>20</xdr:col>
      <xdr:colOff>219075</xdr:colOff>
      <xdr:row>15</xdr:row>
      <xdr:rowOff>38100</xdr:rowOff>
    </xdr:to>
    <xdr:cxnSp macro="">
      <xdr:nvCxnSpPr>
        <xdr:cNvPr id="10180" name="Straight Arrow Connector 4"/>
        <xdr:cNvCxnSpPr>
          <a:cxnSpLocks noChangeShapeType="1"/>
        </xdr:cNvCxnSpPr>
      </xdr:nvCxnSpPr>
      <xdr:spPr bwMode="auto">
        <a:xfrm>
          <a:off x="13458825" y="2838450"/>
          <a:ext cx="1047750" cy="7810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22</xdr:col>
      <xdr:colOff>19050</xdr:colOff>
      <xdr:row>8</xdr:row>
      <xdr:rowOff>104775</xdr:rowOff>
    </xdr:from>
    <xdr:to>
      <xdr:col>22</xdr:col>
      <xdr:colOff>19050</xdr:colOff>
      <xdr:row>13</xdr:row>
      <xdr:rowOff>66675</xdr:rowOff>
    </xdr:to>
    <xdr:cxnSp macro="">
      <xdr:nvCxnSpPr>
        <xdr:cNvPr id="10181" name="Straight Arrow Connector 6"/>
        <xdr:cNvCxnSpPr>
          <a:cxnSpLocks noChangeShapeType="1"/>
        </xdr:cNvCxnSpPr>
      </xdr:nvCxnSpPr>
      <xdr:spPr bwMode="auto">
        <a:xfrm>
          <a:off x="15201900" y="1952625"/>
          <a:ext cx="0" cy="12382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23</xdr:col>
      <xdr:colOff>152400</xdr:colOff>
      <xdr:row>15</xdr:row>
      <xdr:rowOff>9525</xdr:rowOff>
    </xdr:from>
    <xdr:to>
      <xdr:col>26</xdr:col>
      <xdr:colOff>561975</xdr:colOff>
      <xdr:row>15</xdr:row>
      <xdr:rowOff>9525</xdr:rowOff>
    </xdr:to>
    <xdr:cxnSp macro="">
      <xdr:nvCxnSpPr>
        <xdr:cNvPr id="10182" name="Straight Arrow Connector 12"/>
        <xdr:cNvCxnSpPr>
          <a:cxnSpLocks noChangeShapeType="1"/>
        </xdr:cNvCxnSpPr>
      </xdr:nvCxnSpPr>
      <xdr:spPr bwMode="auto">
        <a:xfrm>
          <a:off x="15782925" y="3590925"/>
          <a:ext cx="163830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23</xdr:col>
      <xdr:colOff>171450</xdr:colOff>
      <xdr:row>7</xdr:row>
      <xdr:rowOff>0</xdr:rowOff>
    </xdr:from>
    <xdr:to>
      <xdr:col>26</xdr:col>
      <xdr:colOff>542925</xdr:colOff>
      <xdr:row>7</xdr:row>
      <xdr:rowOff>0</xdr:rowOff>
    </xdr:to>
    <xdr:cxnSp macro="">
      <xdr:nvCxnSpPr>
        <xdr:cNvPr id="10183" name="Straight Arrow Connector 14"/>
        <xdr:cNvCxnSpPr>
          <a:cxnSpLocks noChangeShapeType="1"/>
        </xdr:cNvCxnSpPr>
      </xdr:nvCxnSpPr>
      <xdr:spPr bwMode="auto">
        <a:xfrm>
          <a:off x="15801975" y="1571625"/>
          <a:ext cx="16192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29</xdr:col>
      <xdr:colOff>123825</xdr:colOff>
      <xdr:row>11</xdr:row>
      <xdr:rowOff>47625</xdr:rowOff>
    </xdr:from>
    <xdr:to>
      <xdr:col>31</xdr:col>
      <xdr:colOff>409575</xdr:colOff>
      <xdr:row>14</xdr:row>
      <xdr:rowOff>114300</xdr:rowOff>
    </xdr:to>
    <xdr:cxnSp macro="">
      <xdr:nvCxnSpPr>
        <xdr:cNvPr id="10184" name="Straight Arrow Connector 23"/>
        <xdr:cNvCxnSpPr>
          <a:cxnSpLocks noChangeShapeType="1"/>
        </xdr:cNvCxnSpPr>
      </xdr:nvCxnSpPr>
      <xdr:spPr bwMode="auto">
        <a:xfrm flipV="1">
          <a:off x="18440400" y="2705100"/>
          <a:ext cx="1181100" cy="72390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29</xdr:col>
      <xdr:colOff>85725</xdr:colOff>
      <xdr:row>7</xdr:row>
      <xdr:rowOff>123825</xdr:rowOff>
    </xdr:from>
    <xdr:to>
      <xdr:col>31</xdr:col>
      <xdr:colOff>409575</xdr:colOff>
      <xdr:row>11</xdr:row>
      <xdr:rowOff>0</xdr:rowOff>
    </xdr:to>
    <xdr:cxnSp macro="">
      <xdr:nvCxnSpPr>
        <xdr:cNvPr id="10185" name="Straight Arrow Connector 26"/>
        <xdr:cNvCxnSpPr>
          <a:cxnSpLocks noChangeShapeType="1"/>
        </xdr:cNvCxnSpPr>
      </xdr:nvCxnSpPr>
      <xdr:spPr bwMode="auto">
        <a:xfrm>
          <a:off x="18402300" y="1695450"/>
          <a:ext cx="1219200" cy="9620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23</xdr:col>
      <xdr:colOff>66675</xdr:colOff>
      <xdr:row>8</xdr:row>
      <xdr:rowOff>57150</xdr:rowOff>
    </xdr:from>
    <xdr:to>
      <xdr:col>26</xdr:col>
      <xdr:colOff>371475</xdr:colOff>
      <xdr:row>14</xdr:row>
      <xdr:rowOff>28575</xdr:rowOff>
    </xdr:to>
    <xdr:cxnSp macro="">
      <xdr:nvCxnSpPr>
        <xdr:cNvPr id="10186" name="Straight Arrow Connector 41"/>
        <xdr:cNvCxnSpPr>
          <a:cxnSpLocks noChangeShapeType="1"/>
        </xdr:cNvCxnSpPr>
      </xdr:nvCxnSpPr>
      <xdr:spPr bwMode="auto">
        <a:xfrm flipV="1">
          <a:off x="15697200" y="1905000"/>
          <a:ext cx="1647825" cy="14382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18</xdr:col>
      <xdr:colOff>9525</xdr:colOff>
      <xdr:row>7</xdr:row>
      <xdr:rowOff>28575</xdr:rowOff>
    </xdr:from>
    <xdr:to>
      <xdr:col>21</xdr:col>
      <xdr:colOff>0</xdr:colOff>
      <xdr:row>11</xdr:row>
      <xdr:rowOff>38100</xdr:rowOff>
    </xdr:to>
    <xdr:cxnSp macro="">
      <xdr:nvCxnSpPr>
        <xdr:cNvPr id="10187" name="Straight Arrow Connector 2"/>
        <xdr:cNvCxnSpPr>
          <a:cxnSpLocks noChangeShapeType="1"/>
        </xdr:cNvCxnSpPr>
      </xdr:nvCxnSpPr>
      <xdr:spPr bwMode="auto">
        <a:xfrm flipV="1">
          <a:off x="13401675" y="1600200"/>
          <a:ext cx="1333500" cy="109537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22</xdr:col>
      <xdr:colOff>161925</xdr:colOff>
      <xdr:row>8</xdr:row>
      <xdr:rowOff>9525</xdr:rowOff>
    </xdr:from>
    <xdr:to>
      <xdr:col>22</xdr:col>
      <xdr:colOff>171450</xdr:colOff>
      <xdr:row>13</xdr:row>
      <xdr:rowOff>266700</xdr:rowOff>
    </xdr:to>
    <xdr:cxnSp macro="">
      <xdr:nvCxnSpPr>
        <xdr:cNvPr id="10188" name="Straight Arrow Connector 2"/>
        <xdr:cNvCxnSpPr>
          <a:cxnSpLocks noChangeShapeType="1"/>
        </xdr:cNvCxnSpPr>
      </xdr:nvCxnSpPr>
      <xdr:spPr bwMode="auto">
        <a:xfrm flipH="1">
          <a:off x="15344775" y="1857375"/>
          <a:ext cx="9525" cy="145732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23</xdr:col>
      <xdr:colOff>38100</xdr:colOff>
      <xdr:row>8</xdr:row>
      <xdr:rowOff>0</xdr:rowOff>
    </xdr:from>
    <xdr:to>
      <xdr:col>27</xdr:col>
      <xdr:colOff>238125</xdr:colOff>
      <xdr:row>14</xdr:row>
      <xdr:rowOff>257175</xdr:rowOff>
    </xdr:to>
    <xdr:cxnSp macro="">
      <xdr:nvCxnSpPr>
        <xdr:cNvPr id="10189" name="Straight Arrow Connector 2"/>
        <xdr:cNvCxnSpPr>
          <a:cxnSpLocks noChangeShapeType="1"/>
        </xdr:cNvCxnSpPr>
      </xdr:nvCxnSpPr>
      <xdr:spPr bwMode="auto">
        <a:xfrm flipV="1">
          <a:off x="15668625" y="1847850"/>
          <a:ext cx="1990725" cy="172402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29</xdr:col>
      <xdr:colOff>19050</xdr:colOff>
      <xdr:row>7</xdr:row>
      <xdr:rowOff>219075</xdr:rowOff>
    </xdr:from>
    <xdr:to>
      <xdr:col>31</xdr:col>
      <xdr:colOff>438150</xdr:colOff>
      <xdr:row>11</xdr:row>
      <xdr:rowOff>95250</xdr:rowOff>
    </xdr:to>
    <xdr:cxnSp macro="">
      <xdr:nvCxnSpPr>
        <xdr:cNvPr id="10190" name="Straight Arrow Connector 2"/>
        <xdr:cNvCxnSpPr>
          <a:cxnSpLocks noChangeShapeType="1"/>
        </xdr:cNvCxnSpPr>
      </xdr:nvCxnSpPr>
      <xdr:spPr bwMode="auto">
        <a:xfrm>
          <a:off x="18335625" y="1790700"/>
          <a:ext cx="1314450" cy="96202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16</xdr:col>
      <xdr:colOff>219075</xdr:colOff>
      <xdr:row>31</xdr:row>
      <xdr:rowOff>9525</xdr:rowOff>
    </xdr:from>
    <xdr:to>
      <xdr:col>17</xdr:col>
      <xdr:colOff>238125</xdr:colOff>
      <xdr:row>33</xdr:row>
      <xdr:rowOff>0</xdr:rowOff>
    </xdr:to>
    <xdr:sp macro="" textlink="">
      <xdr:nvSpPr>
        <xdr:cNvPr id="37" name="36 CuadroTexto"/>
        <xdr:cNvSpPr txBox="1"/>
      </xdr:nvSpPr>
      <xdr:spPr>
        <a:xfrm>
          <a:off x="12411075" y="7686675"/>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1</a:t>
          </a:r>
        </a:p>
      </xdr:txBody>
    </xdr:sp>
    <xdr:clientData/>
  </xdr:twoCellAnchor>
  <xdr:twoCellAnchor>
    <xdr:from>
      <xdr:col>19</xdr:col>
      <xdr:colOff>219075</xdr:colOff>
      <xdr:row>31</xdr:row>
      <xdr:rowOff>0</xdr:rowOff>
    </xdr:from>
    <xdr:to>
      <xdr:col>20</xdr:col>
      <xdr:colOff>238125</xdr:colOff>
      <xdr:row>32</xdr:row>
      <xdr:rowOff>180975</xdr:rowOff>
    </xdr:to>
    <xdr:sp macro="" textlink="">
      <xdr:nvSpPr>
        <xdr:cNvPr id="38" name="37 CuadroTexto"/>
        <xdr:cNvSpPr txBox="1"/>
      </xdr:nvSpPr>
      <xdr:spPr>
        <a:xfrm>
          <a:off x="13754100" y="7677150"/>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2</a:t>
          </a:r>
        </a:p>
      </xdr:txBody>
    </xdr:sp>
    <xdr:clientData/>
  </xdr:twoCellAnchor>
  <xdr:twoCellAnchor>
    <xdr:from>
      <xdr:col>23</xdr:col>
      <xdr:colOff>219075</xdr:colOff>
      <xdr:row>31</xdr:row>
      <xdr:rowOff>0</xdr:rowOff>
    </xdr:from>
    <xdr:to>
      <xdr:col>24</xdr:col>
      <xdr:colOff>238125</xdr:colOff>
      <xdr:row>32</xdr:row>
      <xdr:rowOff>180975</xdr:rowOff>
    </xdr:to>
    <xdr:sp macro="" textlink="">
      <xdr:nvSpPr>
        <xdr:cNvPr id="39" name="38 CuadroTexto"/>
        <xdr:cNvSpPr txBox="1"/>
      </xdr:nvSpPr>
      <xdr:spPr>
        <a:xfrm>
          <a:off x="15544800" y="7677150"/>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3</a:t>
          </a:r>
        </a:p>
      </xdr:txBody>
    </xdr:sp>
    <xdr:clientData/>
  </xdr:twoCellAnchor>
  <xdr:twoCellAnchor>
    <xdr:from>
      <xdr:col>25</xdr:col>
      <xdr:colOff>228600</xdr:colOff>
      <xdr:row>31</xdr:row>
      <xdr:rowOff>0</xdr:rowOff>
    </xdr:from>
    <xdr:to>
      <xdr:col>26</xdr:col>
      <xdr:colOff>247650</xdr:colOff>
      <xdr:row>32</xdr:row>
      <xdr:rowOff>180975</xdr:rowOff>
    </xdr:to>
    <xdr:sp macro="" textlink="">
      <xdr:nvSpPr>
        <xdr:cNvPr id="40" name="39 CuadroTexto"/>
        <xdr:cNvSpPr txBox="1"/>
      </xdr:nvSpPr>
      <xdr:spPr>
        <a:xfrm>
          <a:off x="16449675" y="7677150"/>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4</a:t>
          </a:r>
        </a:p>
      </xdr:txBody>
    </xdr:sp>
    <xdr:clientData/>
  </xdr:twoCellAnchor>
  <xdr:twoCellAnchor>
    <xdr:from>
      <xdr:col>29</xdr:col>
      <xdr:colOff>219075</xdr:colOff>
      <xdr:row>31</xdr:row>
      <xdr:rowOff>0</xdr:rowOff>
    </xdr:from>
    <xdr:to>
      <xdr:col>30</xdr:col>
      <xdr:colOff>238125</xdr:colOff>
      <xdr:row>32</xdr:row>
      <xdr:rowOff>180975</xdr:rowOff>
    </xdr:to>
    <xdr:sp macro="" textlink="">
      <xdr:nvSpPr>
        <xdr:cNvPr id="41" name="40 CuadroTexto"/>
        <xdr:cNvSpPr txBox="1"/>
      </xdr:nvSpPr>
      <xdr:spPr>
        <a:xfrm>
          <a:off x="18230850" y="7677150"/>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6</a:t>
          </a:r>
        </a:p>
      </xdr:txBody>
    </xdr:sp>
    <xdr:clientData/>
  </xdr:twoCellAnchor>
  <xdr:twoCellAnchor>
    <xdr:from>
      <xdr:col>26</xdr:col>
      <xdr:colOff>219075</xdr:colOff>
      <xdr:row>33</xdr:row>
      <xdr:rowOff>171450</xdr:rowOff>
    </xdr:from>
    <xdr:to>
      <xdr:col>27</xdr:col>
      <xdr:colOff>238125</xdr:colOff>
      <xdr:row>36</xdr:row>
      <xdr:rowOff>9525</xdr:rowOff>
    </xdr:to>
    <xdr:sp macro="" textlink="">
      <xdr:nvSpPr>
        <xdr:cNvPr id="42" name="41 CuadroTexto"/>
        <xdr:cNvSpPr txBox="1"/>
      </xdr:nvSpPr>
      <xdr:spPr>
        <a:xfrm>
          <a:off x="16887825" y="8267700"/>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5</a:t>
          </a:r>
        </a:p>
      </xdr:txBody>
    </xdr:sp>
    <xdr:clientData/>
  </xdr:twoCellAnchor>
  <xdr:twoCellAnchor>
    <xdr:from>
      <xdr:col>17</xdr:col>
      <xdr:colOff>238125</xdr:colOff>
      <xdr:row>31</xdr:row>
      <xdr:rowOff>204788</xdr:rowOff>
    </xdr:from>
    <xdr:to>
      <xdr:col>19</xdr:col>
      <xdr:colOff>219075</xdr:colOff>
      <xdr:row>31</xdr:row>
      <xdr:rowOff>214313</xdr:rowOff>
    </xdr:to>
    <xdr:cxnSp macro="">
      <xdr:nvCxnSpPr>
        <xdr:cNvPr id="44" name="43 Conector recto de flecha"/>
        <xdr:cNvCxnSpPr>
          <a:stCxn id="37" idx="3"/>
          <a:endCxn id="38" idx="1"/>
        </xdr:cNvCxnSpPr>
      </xdr:nvCxnSpPr>
      <xdr:spPr>
        <a:xfrm flipV="1">
          <a:off x="12877800" y="7881938"/>
          <a:ext cx="876300" cy="9525"/>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247650</xdr:colOff>
      <xdr:row>31</xdr:row>
      <xdr:rowOff>204788</xdr:rowOff>
    </xdr:from>
    <xdr:to>
      <xdr:col>23</xdr:col>
      <xdr:colOff>219075</xdr:colOff>
      <xdr:row>31</xdr:row>
      <xdr:rowOff>223839</xdr:rowOff>
    </xdr:to>
    <xdr:cxnSp macro="">
      <xdr:nvCxnSpPr>
        <xdr:cNvPr id="45" name="44 Conector recto de flecha"/>
        <xdr:cNvCxnSpPr>
          <a:endCxn id="39" idx="1"/>
        </xdr:cNvCxnSpPr>
      </xdr:nvCxnSpPr>
      <xdr:spPr>
        <a:xfrm flipV="1">
          <a:off x="14230350" y="7881938"/>
          <a:ext cx="1314450" cy="19051"/>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238125</xdr:colOff>
      <xdr:row>31</xdr:row>
      <xdr:rowOff>204788</xdr:rowOff>
    </xdr:from>
    <xdr:to>
      <xdr:col>25</xdr:col>
      <xdr:colOff>228600</xdr:colOff>
      <xdr:row>31</xdr:row>
      <xdr:rowOff>204788</xdr:rowOff>
    </xdr:to>
    <xdr:cxnSp macro="">
      <xdr:nvCxnSpPr>
        <xdr:cNvPr id="47" name="46 Conector recto de flecha"/>
        <xdr:cNvCxnSpPr>
          <a:stCxn id="39" idx="3"/>
          <a:endCxn id="40" idx="1"/>
        </xdr:cNvCxnSpPr>
      </xdr:nvCxnSpPr>
      <xdr:spPr>
        <a:xfrm>
          <a:off x="16011525" y="7881938"/>
          <a:ext cx="438150" cy="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257175</xdr:colOff>
      <xdr:row>31</xdr:row>
      <xdr:rowOff>204788</xdr:rowOff>
    </xdr:from>
    <xdr:to>
      <xdr:col>29</xdr:col>
      <xdr:colOff>219075</xdr:colOff>
      <xdr:row>32</xdr:row>
      <xdr:rowOff>4763</xdr:rowOff>
    </xdr:to>
    <xdr:cxnSp macro="">
      <xdr:nvCxnSpPr>
        <xdr:cNvPr id="50" name="49 Conector recto de flecha"/>
        <xdr:cNvCxnSpPr>
          <a:endCxn id="41" idx="1"/>
        </xdr:cNvCxnSpPr>
      </xdr:nvCxnSpPr>
      <xdr:spPr>
        <a:xfrm flipV="1">
          <a:off x="16925925" y="7881938"/>
          <a:ext cx="1304925" cy="28575"/>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xdr:colOff>
      <xdr:row>34</xdr:row>
      <xdr:rowOff>4764</xdr:rowOff>
    </xdr:from>
    <xdr:to>
      <xdr:col>20</xdr:col>
      <xdr:colOff>9525</xdr:colOff>
      <xdr:row>34</xdr:row>
      <xdr:rowOff>9525</xdr:rowOff>
    </xdr:to>
    <xdr:cxnSp macro="">
      <xdr:nvCxnSpPr>
        <xdr:cNvPr id="52" name="51 Conector recto de flecha"/>
        <xdr:cNvCxnSpPr/>
      </xdr:nvCxnSpPr>
      <xdr:spPr>
        <a:xfrm>
          <a:off x="12658725" y="8291514"/>
          <a:ext cx="1333500" cy="4761"/>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33</xdr:row>
      <xdr:rowOff>185739</xdr:rowOff>
    </xdr:from>
    <xdr:to>
      <xdr:col>24</xdr:col>
      <xdr:colOff>19050</xdr:colOff>
      <xdr:row>34</xdr:row>
      <xdr:rowOff>9525</xdr:rowOff>
    </xdr:to>
    <xdr:cxnSp macro="">
      <xdr:nvCxnSpPr>
        <xdr:cNvPr id="54" name="53 Conector recto de flecha"/>
        <xdr:cNvCxnSpPr/>
      </xdr:nvCxnSpPr>
      <xdr:spPr>
        <a:xfrm>
          <a:off x="13982700" y="8281989"/>
          <a:ext cx="1809750" cy="14286"/>
        </a:xfrm>
        <a:prstGeom prst="straightConnector1">
          <a:avLst/>
        </a:prstGeom>
        <a:ln w="1270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9525</xdr:colOff>
      <xdr:row>29</xdr:row>
      <xdr:rowOff>252414</xdr:rowOff>
    </xdr:from>
    <xdr:to>
      <xdr:col>21</xdr:col>
      <xdr:colOff>19050</xdr:colOff>
      <xdr:row>29</xdr:row>
      <xdr:rowOff>257175</xdr:rowOff>
    </xdr:to>
    <xdr:cxnSp macro="">
      <xdr:nvCxnSpPr>
        <xdr:cNvPr id="56" name="55 Conector recto de flecha"/>
        <xdr:cNvCxnSpPr/>
      </xdr:nvCxnSpPr>
      <xdr:spPr>
        <a:xfrm>
          <a:off x="13992225" y="7472364"/>
          <a:ext cx="457200" cy="4761"/>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30</xdr:row>
      <xdr:rowOff>0</xdr:rowOff>
    </xdr:from>
    <xdr:to>
      <xdr:col>26</xdr:col>
      <xdr:colOff>0</xdr:colOff>
      <xdr:row>30</xdr:row>
      <xdr:rowOff>9526</xdr:rowOff>
    </xdr:to>
    <xdr:cxnSp macro="">
      <xdr:nvCxnSpPr>
        <xdr:cNvPr id="57" name="56 Conector recto de flecha"/>
        <xdr:cNvCxnSpPr/>
      </xdr:nvCxnSpPr>
      <xdr:spPr>
        <a:xfrm>
          <a:off x="14430375" y="7486650"/>
          <a:ext cx="2238375" cy="9526"/>
        </a:xfrm>
        <a:prstGeom prst="straightConnector1">
          <a:avLst/>
        </a:prstGeom>
        <a:ln w="1270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34</xdr:row>
      <xdr:rowOff>176214</xdr:rowOff>
    </xdr:from>
    <xdr:to>
      <xdr:col>26</xdr:col>
      <xdr:colOff>219075</xdr:colOff>
      <xdr:row>34</xdr:row>
      <xdr:rowOff>185738</xdr:rowOff>
    </xdr:to>
    <xdr:cxnSp macro="">
      <xdr:nvCxnSpPr>
        <xdr:cNvPr id="59" name="58 Conector recto de flecha"/>
        <xdr:cNvCxnSpPr>
          <a:endCxn id="42" idx="1"/>
        </xdr:cNvCxnSpPr>
      </xdr:nvCxnSpPr>
      <xdr:spPr>
        <a:xfrm>
          <a:off x="15792450" y="8462964"/>
          <a:ext cx="1095375" cy="9524"/>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35</xdr:row>
      <xdr:rowOff>4764</xdr:rowOff>
    </xdr:from>
    <xdr:to>
      <xdr:col>30</xdr:col>
      <xdr:colOff>9525</xdr:colOff>
      <xdr:row>35</xdr:row>
      <xdr:rowOff>19050</xdr:rowOff>
    </xdr:to>
    <xdr:cxnSp macro="">
      <xdr:nvCxnSpPr>
        <xdr:cNvPr id="60" name="59 Conector recto de flecha"/>
        <xdr:cNvCxnSpPr/>
      </xdr:nvCxnSpPr>
      <xdr:spPr>
        <a:xfrm>
          <a:off x="18021300" y="8482014"/>
          <a:ext cx="447675" cy="14286"/>
        </a:xfrm>
        <a:prstGeom prst="straightConnector1">
          <a:avLst/>
        </a:prstGeom>
        <a:ln w="1270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238125</xdr:colOff>
      <xdr:row>34</xdr:row>
      <xdr:rowOff>185739</xdr:rowOff>
    </xdr:from>
    <xdr:to>
      <xdr:col>29</xdr:col>
      <xdr:colOff>9525</xdr:colOff>
      <xdr:row>35</xdr:row>
      <xdr:rowOff>9525</xdr:rowOff>
    </xdr:to>
    <xdr:cxnSp macro="">
      <xdr:nvCxnSpPr>
        <xdr:cNvPr id="62" name="61 Conector recto de flecha"/>
        <xdr:cNvCxnSpPr/>
      </xdr:nvCxnSpPr>
      <xdr:spPr>
        <a:xfrm>
          <a:off x="17354550" y="8472489"/>
          <a:ext cx="666750" cy="14286"/>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44</xdr:row>
      <xdr:rowOff>76200</xdr:rowOff>
    </xdr:from>
    <xdr:to>
      <xdr:col>19</xdr:col>
      <xdr:colOff>19050</xdr:colOff>
      <xdr:row>44</xdr:row>
      <xdr:rowOff>76200</xdr:rowOff>
    </xdr:to>
    <xdr:cxnSp macro="">
      <xdr:nvCxnSpPr>
        <xdr:cNvPr id="70" name="69 Conector recto"/>
        <xdr:cNvCxnSpPr/>
      </xdr:nvCxnSpPr>
      <xdr:spPr>
        <a:xfrm>
          <a:off x="12649200" y="10334625"/>
          <a:ext cx="9048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40</xdr:row>
      <xdr:rowOff>66675</xdr:rowOff>
    </xdr:from>
    <xdr:to>
      <xdr:col>20</xdr:col>
      <xdr:colOff>9525</xdr:colOff>
      <xdr:row>40</xdr:row>
      <xdr:rowOff>66675</xdr:rowOff>
    </xdr:to>
    <xdr:cxnSp macro="">
      <xdr:nvCxnSpPr>
        <xdr:cNvPr id="71" name="70 Conector recto"/>
        <xdr:cNvCxnSpPr/>
      </xdr:nvCxnSpPr>
      <xdr:spPr>
        <a:xfrm>
          <a:off x="13544550" y="9505950"/>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9525</xdr:colOff>
      <xdr:row>42</xdr:row>
      <xdr:rowOff>95250</xdr:rowOff>
    </xdr:from>
    <xdr:to>
      <xdr:col>21</xdr:col>
      <xdr:colOff>9525</xdr:colOff>
      <xdr:row>42</xdr:row>
      <xdr:rowOff>95250</xdr:rowOff>
    </xdr:to>
    <xdr:cxnSp macro="">
      <xdr:nvCxnSpPr>
        <xdr:cNvPr id="73" name="72 Conector recto"/>
        <xdr:cNvCxnSpPr/>
      </xdr:nvCxnSpPr>
      <xdr:spPr>
        <a:xfrm>
          <a:off x="13992225" y="9944100"/>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9525</xdr:colOff>
      <xdr:row>43</xdr:row>
      <xdr:rowOff>171450</xdr:rowOff>
    </xdr:from>
    <xdr:to>
      <xdr:col>22</xdr:col>
      <xdr:colOff>9525</xdr:colOff>
      <xdr:row>43</xdr:row>
      <xdr:rowOff>171450</xdr:rowOff>
    </xdr:to>
    <xdr:cxnSp macro="">
      <xdr:nvCxnSpPr>
        <xdr:cNvPr id="74" name="73 Conector recto"/>
        <xdr:cNvCxnSpPr/>
      </xdr:nvCxnSpPr>
      <xdr:spPr>
        <a:xfrm>
          <a:off x="14439900" y="10210800"/>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47</xdr:row>
      <xdr:rowOff>180975</xdr:rowOff>
    </xdr:from>
    <xdr:to>
      <xdr:col>23</xdr:col>
      <xdr:colOff>0</xdr:colOff>
      <xdr:row>47</xdr:row>
      <xdr:rowOff>180975</xdr:rowOff>
    </xdr:to>
    <xdr:cxnSp macro="">
      <xdr:nvCxnSpPr>
        <xdr:cNvPr id="75" name="74 Conector recto"/>
        <xdr:cNvCxnSpPr/>
      </xdr:nvCxnSpPr>
      <xdr:spPr>
        <a:xfrm>
          <a:off x="14878050" y="11039475"/>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44</xdr:row>
      <xdr:rowOff>114300</xdr:rowOff>
    </xdr:from>
    <xdr:to>
      <xdr:col>24</xdr:col>
      <xdr:colOff>9525</xdr:colOff>
      <xdr:row>44</xdr:row>
      <xdr:rowOff>114300</xdr:rowOff>
    </xdr:to>
    <xdr:cxnSp macro="">
      <xdr:nvCxnSpPr>
        <xdr:cNvPr id="76" name="75 Conector recto"/>
        <xdr:cNvCxnSpPr/>
      </xdr:nvCxnSpPr>
      <xdr:spPr>
        <a:xfrm>
          <a:off x="15335250" y="10372725"/>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45</xdr:row>
      <xdr:rowOff>142875</xdr:rowOff>
    </xdr:from>
    <xdr:to>
      <xdr:col>25</xdr:col>
      <xdr:colOff>9525</xdr:colOff>
      <xdr:row>45</xdr:row>
      <xdr:rowOff>142875</xdr:rowOff>
    </xdr:to>
    <xdr:cxnSp macro="">
      <xdr:nvCxnSpPr>
        <xdr:cNvPr id="77" name="76 Conector recto"/>
        <xdr:cNvCxnSpPr/>
      </xdr:nvCxnSpPr>
      <xdr:spPr>
        <a:xfrm>
          <a:off x="15782925" y="10620375"/>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xdr:colOff>
      <xdr:row>43</xdr:row>
      <xdr:rowOff>114300</xdr:rowOff>
    </xdr:from>
    <xdr:to>
      <xdr:col>26</xdr:col>
      <xdr:colOff>9525</xdr:colOff>
      <xdr:row>43</xdr:row>
      <xdr:rowOff>114300</xdr:rowOff>
    </xdr:to>
    <xdr:cxnSp macro="">
      <xdr:nvCxnSpPr>
        <xdr:cNvPr id="78" name="77 Conector recto"/>
        <xdr:cNvCxnSpPr/>
      </xdr:nvCxnSpPr>
      <xdr:spPr>
        <a:xfrm>
          <a:off x="16230600" y="10153650"/>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9525</xdr:colOff>
      <xdr:row>40</xdr:row>
      <xdr:rowOff>209550</xdr:rowOff>
    </xdr:from>
    <xdr:to>
      <xdr:col>27</xdr:col>
      <xdr:colOff>9525</xdr:colOff>
      <xdr:row>40</xdr:row>
      <xdr:rowOff>209550</xdr:rowOff>
    </xdr:to>
    <xdr:cxnSp macro="">
      <xdr:nvCxnSpPr>
        <xdr:cNvPr id="79" name="78 Conector recto"/>
        <xdr:cNvCxnSpPr/>
      </xdr:nvCxnSpPr>
      <xdr:spPr>
        <a:xfrm>
          <a:off x="16678275" y="9648825"/>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19050</xdr:colOff>
      <xdr:row>43</xdr:row>
      <xdr:rowOff>104775</xdr:rowOff>
    </xdr:from>
    <xdr:to>
      <xdr:col>28</xdr:col>
      <xdr:colOff>19050</xdr:colOff>
      <xdr:row>43</xdr:row>
      <xdr:rowOff>104775</xdr:rowOff>
    </xdr:to>
    <xdr:cxnSp macro="">
      <xdr:nvCxnSpPr>
        <xdr:cNvPr id="80" name="79 Conector recto"/>
        <xdr:cNvCxnSpPr/>
      </xdr:nvCxnSpPr>
      <xdr:spPr>
        <a:xfrm>
          <a:off x="17135475" y="10144125"/>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45</xdr:row>
      <xdr:rowOff>95250</xdr:rowOff>
    </xdr:from>
    <xdr:to>
      <xdr:col>29</xdr:col>
      <xdr:colOff>0</xdr:colOff>
      <xdr:row>45</xdr:row>
      <xdr:rowOff>95250</xdr:rowOff>
    </xdr:to>
    <xdr:cxnSp macro="">
      <xdr:nvCxnSpPr>
        <xdr:cNvPr id="81" name="80 Conector recto"/>
        <xdr:cNvCxnSpPr/>
      </xdr:nvCxnSpPr>
      <xdr:spPr>
        <a:xfrm>
          <a:off x="17564100" y="10572750"/>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41</xdr:row>
      <xdr:rowOff>95250</xdr:rowOff>
    </xdr:from>
    <xdr:to>
      <xdr:col>30</xdr:col>
      <xdr:colOff>9525</xdr:colOff>
      <xdr:row>41</xdr:row>
      <xdr:rowOff>95250</xdr:rowOff>
    </xdr:to>
    <xdr:cxnSp macro="">
      <xdr:nvCxnSpPr>
        <xdr:cNvPr id="82" name="81 Conector recto"/>
        <xdr:cNvCxnSpPr/>
      </xdr:nvCxnSpPr>
      <xdr:spPr>
        <a:xfrm>
          <a:off x="18021300" y="9753600"/>
          <a:ext cx="44767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44</xdr:row>
      <xdr:rowOff>85725</xdr:rowOff>
    </xdr:from>
    <xdr:to>
      <xdr:col>17</xdr:col>
      <xdr:colOff>9525</xdr:colOff>
      <xdr:row>47</xdr:row>
      <xdr:rowOff>180976</xdr:rowOff>
    </xdr:to>
    <xdr:cxnSp macro="">
      <xdr:nvCxnSpPr>
        <xdr:cNvPr id="83" name="82 Conector recto"/>
        <xdr:cNvCxnSpPr/>
      </xdr:nvCxnSpPr>
      <xdr:spPr>
        <a:xfrm flipV="1">
          <a:off x="12639675" y="10344150"/>
          <a:ext cx="9525" cy="695326"/>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40</xdr:row>
      <xdr:rowOff>85725</xdr:rowOff>
    </xdr:from>
    <xdr:to>
      <xdr:col>19</xdr:col>
      <xdr:colOff>9525</xdr:colOff>
      <xdr:row>44</xdr:row>
      <xdr:rowOff>57151</xdr:rowOff>
    </xdr:to>
    <xdr:cxnSp macro="">
      <xdr:nvCxnSpPr>
        <xdr:cNvPr id="86" name="85 Conector recto"/>
        <xdr:cNvCxnSpPr/>
      </xdr:nvCxnSpPr>
      <xdr:spPr>
        <a:xfrm flipV="1">
          <a:off x="13535025" y="9525000"/>
          <a:ext cx="9525" cy="790576"/>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438150</xdr:colOff>
      <xdr:row>40</xdr:row>
      <xdr:rowOff>76200</xdr:rowOff>
    </xdr:from>
    <xdr:to>
      <xdr:col>20</xdr:col>
      <xdr:colOff>9525</xdr:colOff>
      <xdr:row>42</xdr:row>
      <xdr:rowOff>95250</xdr:rowOff>
    </xdr:to>
    <xdr:cxnSp macro="">
      <xdr:nvCxnSpPr>
        <xdr:cNvPr id="88" name="87 Conector recto"/>
        <xdr:cNvCxnSpPr/>
      </xdr:nvCxnSpPr>
      <xdr:spPr>
        <a:xfrm flipH="1" flipV="1">
          <a:off x="13973175" y="9515475"/>
          <a:ext cx="19050" cy="428625"/>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9525</xdr:colOff>
      <xdr:row>42</xdr:row>
      <xdr:rowOff>114300</xdr:rowOff>
    </xdr:from>
    <xdr:to>
      <xdr:col>21</xdr:col>
      <xdr:colOff>19050</xdr:colOff>
      <xdr:row>43</xdr:row>
      <xdr:rowOff>171450</xdr:rowOff>
    </xdr:to>
    <xdr:cxnSp macro="">
      <xdr:nvCxnSpPr>
        <xdr:cNvPr id="90" name="89 Conector recto"/>
        <xdr:cNvCxnSpPr/>
      </xdr:nvCxnSpPr>
      <xdr:spPr>
        <a:xfrm flipH="1" flipV="1">
          <a:off x="14439900" y="9963150"/>
          <a:ext cx="9525" cy="24765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438150</xdr:colOff>
      <xdr:row>43</xdr:row>
      <xdr:rowOff>190500</xdr:rowOff>
    </xdr:from>
    <xdr:to>
      <xdr:col>22</xdr:col>
      <xdr:colOff>0</xdr:colOff>
      <xdr:row>47</xdr:row>
      <xdr:rowOff>161926</xdr:rowOff>
    </xdr:to>
    <xdr:cxnSp macro="">
      <xdr:nvCxnSpPr>
        <xdr:cNvPr id="92" name="91 Conector recto"/>
        <xdr:cNvCxnSpPr/>
      </xdr:nvCxnSpPr>
      <xdr:spPr>
        <a:xfrm flipV="1">
          <a:off x="14868525" y="10229850"/>
          <a:ext cx="9525" cy="790576"/>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44</xdr:row>
      <xdr:rowOff>114300</xdr:rowOff>
    </xdr:from>
    <xdr:to>
      <xdr:col>23</xdr:col>
      <xdr:colOff>19050</xdr:colOff>
      <xdr:row>47</xdr:row>
      <xdr:rowOff>180975</xdr:rowOff>
    </xdr:to>
    <xdr:cxnSp macro="">
      <xdr:nvCxnSpPr>
        <xdr:cNvPr id="93" name="92 Conector recto"/>
        <xdr:cNvCxnSpPr/>
      </xdr:nvCxnSpPr>
      <xdr:spPr>
        <a:xfrm flipV="1">
          <a:off x="15335250" y="10372725"/>
          <a:ext cx="9525" cy="66675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44</xdr:row>
      <xdr:rowOff>114300</xdr:rowOff>
    </xdr:from>
    <xdr:to>
      <xdr:col>24</xdr:col>
      <xdr:colOff>19050</xdr:colOff>
      <xdr:row>45</xdr:row>
      <xdr:rowOff>142875</xdr:rowOff>
    </xdr:to>
    <xdr:cxnSp macro="">
      <xdr:nvCxnSpPr>
        <xdr:cNvPr id="95" name="94 Conector recto"/>
        <xdr:cNvCxnSpPr/>
      </xdr:nvCxnSpPr>
      <xdr:spPr>
        <a:xfrm flipH="1" flipV="1">
          <a:off x="15782925" y="10372725"/>
          <a:ext cx="9525" cy="24765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xdr:colOff>
      <xdr:row>43</xdr:row>
      <xdr:rowOff>123825</xdr:rowOff>
    </xdr:from>
    <xdr:to>
      <xdr:col>25</xdr:col>
      <xdr:colOff>9525</xdr:colOff>
      <xdr:row>45</xdr:row>
      <xdr:rowOff>142875</xdr:rowOff>
    </xdr:to>
    <xdr:cxnSp macro="">
      <xdr:nvCxnSpPr>
        <xdr:cNvPr id="97" name="96 Conector recto"/>
        <xdr:cNvCxnSpPr/>
      </xdr:nvCxnSpPr>
      <xdr:spPr>
        <a:xfrm flipV="1">
          <a:off x="16230600" y="10163175"/>
          <a:ext cx="0" cy="45720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9525</xdr:colOff>
      <xdr:row>41</xdr:row>
      <xdr:rowOff>0</xdr:rowOff>
    </xdr:from>
    <xdr:to>
      <xdr:col>26</xdr:col>
      <xdr:colOff>9525</xdr:colOff>
      <xdr:row>43</xdr:row>
      <xdr:rowOff>114300</xdr:rowOff>
    </xdr:to>
    <xdr:cxnSp macro="">
      <xdr:nvCxnSpPr>
        <xdr:cNvPr id="99" name="98 Conector recto"/>
        <xdr:cNvCxnSpPr/>
      </xdr:nvCxnSpPr>
      <xdr:spPr>
        <a:xfrm flipV="1">
          <a:off x="16678275" y="9658350"/>
          <a:ext cx="0" cy="49530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41</xdr:row>
      <xdr:rowOff>0</xdr:rowOff>
    </xdr:from>
    <xdr:to>
      <xdr:col>27</xdr:col>
      <xdr:colOff>28575</xdr:colOff>
      <xdr:row>43</xdr:row>
      <xdr:rowOff>114300</xdr:rowOff>
    </xdr:to>
    <xdr:cxnSp macro="">
      <xdr:nvCxnSpPr>
        <xdr:cNvPr id="101" name="100 Conector recto"/>
        <xdr:cNvCxnSpPr/>
      </xdr:nvCxnSpPr>
      <xdr:spPr>
        <a:xfrm flipH="1" flipV="1">
          <a:off x="17125950" y="9658350"/>
          <a:ext cx="19050" cy="49530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43</xdr:row>
      <xdr:rowOff>114300</xdr:rowOff>
    </xdr:from>
    <xdr:to>
      <xdr:col>28</xdr:col>
      <xdr:colOff>9525</xdr:colOff>
      <xdr:row>45</xdr:row>
      <xdr:rowOff>104775</xdr:rowOff>
    </xdr:to>
    <xdr:cxnSp macro="">
      <xdr:nvCxnSpPr>
        <xdr:cNvPr id="103" name="102 Conector recto"/>
        <xdr:cNvCxnSpPr/>
      </xdr:nvCxnSpPr>
      <xdr:spPr>
        <a:xfrm flipH="1" flipV="1">
          <a:off x="17564100" y="10153650"/>
          <a:ext cx="9525" cy="428625"/>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41</xdr:row>
      <xdr:rowOff>104775</xdr:rowOff>
    </xdr:from>
    <xdr:to>
      <xdr:col>29</xdr:col>
      <xdr:colOff>9525</xdr:colOff>
      <xdr:row>45</xdr:row>
      <xdr:rowOff>76201</xdr:rowOff>
    </xdr:to>
    <xdr:cxnSp macro="">
      <xdr:nvCxnSpPr>
        <xdr:cNvPr id="105" name="104 Conector recto"/>
        <xdr:cNvCxnSpPr/>
      </xdr:nvCxnSpPr>
      <xdr:spPr>
        <a:xfrm flipV="1">
          <a:off x="18011775" y="9763125"/>
          <a:ext cx="9525" cy="790576"/>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9525</xdr:colOff>
      <xdr:row>41</xdr:row>
      <xdr:rowOff>114300</xdr:rowOff>
    </xdr:from>
    <xdr:to>
      <xdr:col>30</xdr:col>
      <xdr:colOff>9525</xdr:colOff>
      <xdr:row>48</xdr:row>
      <xdr:rowOff>9525</xdr:rowOff>
    </xdr:to>
    <xdr:cxnSp macro="">
      <xdr:nvCxnSpPr>
        <xdr:cNvPr id="106" name="105 Conector recto"/>
        <xdr:cNvCxnSpPr/>
      </xdr:nvCxnSpPr>
      <xdr:spPr>
        <a:xfrm flipV="1">
          <a:off x="18468975" y="9772650"/>
          <a:ext cx="0" cy="1285875"/>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43</xdr:row>
      <xdr:rowOff>114300</xdr:rowOff>
    </xdr:from>
    <xdr:to>
      <xdr:col>30</xdr:col>
      <xdr:colOff>28575</xdr:colOff>
      <xdr:row>43</xdr:row>
      <xdr:rowOff>123825</xdr:rowOff>
    </xdr:to>
    <xdr:cxnSp macro="">
      <xdr:nvCxnSpPr>
        <xdr:cNvPr id="108" name="107 Conector recto"/>
        <xdr:cNvCxnSpPr/>
      </xdr:nvCxnSpPr>
      <xdr:spPr>
        <a:xfrm flipV="1">
          <a:off x="12649200" y="10153650"/>
          <a:ext cx="5838825" cy="9525"/>
        </a:xfrm>
        <a:prstGeom prst="line">
          <a:avLst/>
        </a:prstGeom>
        <a:ln w="254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26</xdr:row>
      <xdr:rowOff>38100</xdr:rowOff>
    </xdr:from>
    <xdr:to>
      <xdr:col>4</xdr:col>
      <xdr:colOff>266700</xdr:colOff>
      <xdr:row>29</xdr:row>
      <xdr:rowOff>66675</xdr:rowOff>
    </xdr:to>
    <xdr:cxnSp macro="">
      <xdr:nvCxnSpPr>
        <xdr:cNvPr id="3633" name="Straight Arrow Connector 2"/>
        <xdr:cNvCxnSpPr>
          <a:cxnSpLocks noChangeShapeType="1"/>
        </xdr:cNvCxnSpPr>
      </xdr:nvCxnSpPr>
      <xdr:spPr bwMode="auto">
        <a:xfrm flipV="1">
          <a:off x="981075" y="8020050"/>
          <a:ext cx="1076325" cy="8477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xdr:col>
      <xdr:colOff>66675</xdr:colOff>
      <xdr:row>30</xdr:row>
      <xdr:rowOff>180975</xdr:rowOff>
    </xdr:from>
    <xdr:to>
      <xdr:col>4</xdr:col>
      <xdr:colOff>219075</xdr:colOff>
      <xdr:row>34</xdr:row>
      <xdr:rowOff>38100</xdr:rowOff>
    </xdr:to>
    <xdr:cxnSp macro="">
      <xdr:nvCxnSpPr>
        <xdr:cNvPr id="3634" name="Straight Arrow Connector 4"/>
        <xdr:cNvCxnSpPr>
          <a:cxnSpLocks noChangeShapeType="1"/>
        </xdr:cNvCxnSpPr>
      </xdr:nvCxnSpPr>
      <xdr:spPr bwMode="auto">
        <a:xfrm>
          <a:off x="962025" y="9248775"/>
          <a:ext cx="1047750" cy="9429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5</xdr:col>
      <xdr:colOff>438150</xdr:colOff>
      <xdr:row>27</xdr:row>
      <xdr:rowOff>142875</xdr:rowOff>
    </xdr:from>
    <xdr:to>
      <xdr:col>5</xdr:col>
      <xdr:colOff>438150</xdr:colOff>
      <xdr:row>32</xdr:row>
      <xdr:rowOff>152400</xdr:rowOff>
    </xdr:to>
    <xdr:cxnSp macro="">
      <xdr:nvCxnSpPr>
        <xdr:cNvPr id="3635" name="Straight Arrow Connector 6"/>
        <xdr:cNvCxnSpPr>
          <a:cxnSpLocks noChangeShapeType="1"/>
        </xdr:cNvCxnSpPr>
      </xdr:nvCxnSpPr>
      <xdr:spPr bwMode="auto">
        <a:xfrm rot="16200000" flipV="1">
          <a:off x="1995487" y="9082088"/>
          <a:ext cx="1362075"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152400</xdr:colOff>
      <xdr:row>34</xdr:row>
      <xdr:rowOff>9525</xdr:rowOff>
    </xdr:from>
    <xdr:to>
      <xdr:col>10</xdr:col>
      <xdr:colOff>561975</xdr:colOff>
      <xdr:row>34</xdr:row>
      <xdr:rowOff>9525</xdr:rowOff>
    </xdr:to>
    <xdr:cxnSp macro="">
      <xdr:nvCxnSpPr>
        <xdr:cNvPr id="3636" name="Straight Arrow Connector 12"/>
        <xdr:cNvCxnSpPr>
          <a:cxnSpLocks noChangeShapeType="1"/>
        </xdr:cNvCxnSpPr>
      </xdr:nvCxnSpPr>
      <xdr:spPr bwMode="auto">
        <a:xfrm>
          <a:off x="3286125" y="10163175"/>
          <a:ext cx="163830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171450</xdr:colOff>
      <xdr:row>26</xdr:row>
      <xdr:rowOff>0</xdr:rowOff>
    </xdr:from>
    <xdr:to>
      <xdr:col>10</xdr:col>
      <xdr:colOff>542925</xdr:colOff>
      <xdr:row>26</xdr:row>
      <xdr:rowOff>0</xdr:rowOff>
    </xdr:to>
    <xdr:cxnSp macro="">
      <xdr:nvCxnSpPr>
        <xdr:cNvPr id="3637" name="Straight Arrow Connector 14"/>
        <xdr:cNvCxnSpPr>
          <a:cxnSpLocks noChangeShapeType="1"/>
        </xdr:cNvCxnSpPr>
      </xdr:nvCxnSpPr>
      <xdr:spPr bwMode="auto">
        <a:xfrm>
          <a:off x="3305175" y="7981950"/>
          <a:ext cx="16192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13</xdr:col>
      <xdr:colOff>66675</xdr:colOff>
      <xdr:row>30</xdr:row>
      <xdr:rowOff>133350</xdr:rowOff>
    </xdr:from>
    <xdr:to>
      <xdr:col>15</xdr:col>
      <xdr:colOff>352425</xdr:colOff>
      <xdr:row>33</xdr:row>
      <xdr:rowOff>247650</xdr:rowOff>
    </xdr:to>
    <xdr:cxnSp macro="">
      <xdr:nvCxnSpPr>
        <xdr:cNvPr id="3638" name="Straight Arrow Connector 23"/>
        <xdr:cNvCxnSpPr>
          <a:cxnSpLocks noChangeShapeType="1"/>
        </xdr:cNvCxnSpPr>
      </xdr:nvCxnSpPr>
      <xdr:spPr bwMode="auto">
        <a:xfrm flipV="1">
          <a:off x="5886450" y="9201150"/>
          <a:ext cx="1181100" cy="9334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13</xdr:col>
      <xdr:colOff>57150</xdr:colOff>
      <xdr:row>26</xdr:row>
      <xdr:rowOff>66675</xdr:rowOff>
    </xdr:from>
    <xdr:to>
      <xdr:col>15</xdr:col>
      <xdr:colOff>323850</xdr:colOff>
      <xdr:row>30</xdr:row>
      <xdr:rowOff>0</xdr:rowOff>
    </xdr:to>
    <xdr:cxnSp macro="">
      <xdr:nvCxnSpPr>
        <xdr:cNvPr id="3639" name="Straight Arrow Connector 26"/>
        <xdr:cNvCxnSpPr>
          <a:cxnSpLocks noChangeShapeType="1"/>
        </xdr:cNvCxnSpPr>
      </xdr:nvCxnSpPr>
      <xdr:spPr bwMode="auto">
        <a:xfrm>
          <a:off x="5876925" y="8048625"/>
          <a:ext cx="1162050" cy="10191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66675</xdr:colOff>
      <xdr:row>27</xdr:row>
      <xdr:rowOff>57150</xdr:rowOff>
    </xdr:from>
    <xdr:to>
      <xdr:col>10</xdr:col>
      <xdr:colOff>361950</xdr:colOff>
      <xdr:row>32</xdr:row>
      <xdr:rowOff>200025</xdr:rowOff>
    </xdr:to>
    <xdr:cxnSp macro="">
      <xdr:nvCxnSpPr>
        <xdr:cNvPr id="3640" name="Straight Arrow Connector 41"/>
        <xdr:cNvCxnSpPr>
          <a:cxnSpLocks noChangeShapeType="1"/>
        </xdr:cNvCxnSpPr>
      </xdr:nvCxnSpPr>
      <xdr:spPr bwMode="auto">
        <a:xfrm>
          <a:off x="3200400" y="8315325"/>
          <a:ext cx="1638300" cy="14954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373381</xdr:colOff>
      <xdr:row>40</xdr:row>
      <xdr:rowOff>47625</xdr:rowOff>
    </xdr:from>
    <xdr:to>
      <xdr:col>3</xdr:col>
      <xdr:colOff>733425</xdr:colOff>
      <xdr:row>43</xdr:row>
      <xdr:rowOff>19050</xdr:rowOff>
    </xdr:to>
    <xdr:sp macro="" textlink="">
      <xdr:nvSpPr>
        <xdr:cNvPr id="2" name="1 Corchetes"/>
        <xdr:cNvSpPr/>
      </xdr:nvSpPr>
      <xdr:spPr>
        <a:xfrm>
          <a:off x="1135381" y="8401050"/>
          <a:ext cx="1884044" cy="714375"/>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es-AR"/>
        </a:p>
      </xdr:txBody>
    </xdr:sp>
    <xdr:clientData/>
  </xdr:twoCellAnchor>
  <xdr:twoCellAnchor>
    <xdr:from>
      <xdr:col>1</xdr:col>
      <xdr:colOff>552450</xdr:colOff>
      <xdr:row>45</xdr:row>
      <xdr:rowOff>0</xdr:rowOff>
    </xdr:from>
    <xdr:to>
      <xdr:col>2</xdr:col>
      <xdr:colOff>171450</xdr:colOff>
      <xdr:row>45</xdr:row>
      <xdr:rowOff>0</xdr:rowOff>
    </xdr:to>
    <xdr:cxnSp macro="">
      <xdr:nvCxnSpPr>
        <xdr:cNvPr id="4" name="3 Conector recto"/>
        <xdr:cNvCxnSpPr/>
      </xdr:nvCxnSpPr>
      <xdr:spPr>
        <a:xfrm>
          <a:off x="1314450" y="9363075"/>
          <a:ext cx="3810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514350</xdr:colOff>
      <xdr:row>45</xdr:row>
      <xdr:rowOff>9525</xdr:rowOff>
    </xdr:from>
    <xdr:to>
      <xdr:col>3</xdr:col>
      <xdr:colOff>133350</xdr:colOff>
      <xdr:row>45</xdr:row>
      <xdr:rowOff>9525</xdr:rowOff>
    </xdr:to>
    <xdr:cxnSp macro="">
      <xdr:nvCxnSpPr>
        <xdr:cNvPr id="5" name="4 Conector recto"/>
        <xdr:cNvCxnSpPr/>
      </xdr:nvCxnSpPr>
      <xdr:spPr>
        <a:xfrm>
          <a:off x="1276350" y="9372600"/>
          <a:ext cx="3810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219075</xdr:colOff>
      <xdr:row>30</xdr:row>
      <xdr:rowOff>9525</xdr:rowOff>
    </xdr:from>
    <xdr:to>
      <xdr:col>16</xdr:col>
      <xdr:colOff>238125</xdr:colOff>
      <xdr:row>32</xdr:row>
      <xdr:rowOff>0</xdr:rowOff>
    </xdr:to>
    <xdr:sp macro="" textlink="">
      <xdr:nvSpPr>
        <xdr:cNvPr id="18" name="17 CuadroTexto"/>
        <xdr:cNvSpPr txBox="1"/>
      </xdr:nvSpPr>
      <xdr:spPr>
        <a:xfrm>
          <a:off x="12411075" y="7686675"/>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1</a:t>
          </a:r>
        </a:p>
      </xdr:txBody>
    </xdr:sp>
    <xdr:clientData/>
  </xdr:twoCellAnchor>
  <xdr:twoCellAnchor>
    <xdr:from>
      <xdr:col>17</xdr:col>
      <xdr:colOff>323850</xdr:colOff>
      <xdr:row>30</xdr:row>
      <xdr:rowOff>9525</xdr:rowOff>
    </xdr:from>
    <xdr:to>
      <xdr:col>18</xdr:col>
      <xdr:colOff>133350</xdr:colOff>
      <xdr:row>32</xdr:row>
      <xdr:rowOff>0</xdr:rowOff>
    </xdr:to>
    <xdr:sp macro="" textlink="">
      <xdr:nvSpPr>
        <xdr:cNvPr id="19" name="18 CuadroTexto"/>
        <xdr:cNvSpPr txBox="1"/>
      </xdr:nvSpPr>
      <xdr:spPr>
        <a:xfrm>
          <a:off x="12782550" y="8067675"/>
          <a:ext cx="3905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3</a:t>
          </a:r>
        </a:p>
      </xdr:txBody>
    </xdr:sp>
    <xdr:clientData/>
  </xdr:twoCellAnchor>
  <xdr:twoCellAnchor>
    <xdr:from>
      <xdr:col>21</xdr:col>
      <xdr:colOff>371476</xdr:colOff>
      <xdr:row>30</xdr:row>
      <xdr:rowOff>0</xdr:rowOff>
    </xdr:from>
    <xdr:to>
      <xdr:col>22</xdr:col>
      <xdr:colOff>209551</xdr:colOff>
      <xdr:row>31</xdr:row>
      <xdr:rowOff>180975</xdr:rowOff>
    </xdr:to>
    <xdr:sp macro="" textlink="">
      <xdr:nvSpPr>
        <xdr:cNvPr id="20" name="19 CuadroTexto"/>
        <xdr:cNvSpPr txBox="1"/>
      </xdr:nvSpPr>
      <xdr:spPr>
        <a:xfrm>
          <a:off x="15154276" y="8058150"/>
          <a:ext cx="4191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2</a:t>
          </a:r>
        </a:p>
      </xdr:txBody>
    </xdr:sp>
    <xdr:clientData/>
  </xdr:twoCellAnchor>
  <xdr:twoCellAnchor>
    <xdr:from>
      <xdr:col>24</xdr:col>
      <xdr:colOff>361950</xdr:colOff>
      <xdr:row>30</xdr:row>
      <xdr:rowOff>0</xdr:rowOff>
    </xdr:from>
    <xdr:to>
      <xdr:col>25</xdr:col>
      <xdr:colOff>228600</xdr:colOff>
      <xdr:row>31</xdr:row>
      <xdr:rowOff>180975</xdr:rowOff>
    </xdr:to>
    <xdr:sp macro="" textlink="">
      <xdr:nvSpPr>
        <xdr:cNvPr id="21" name="20 CuadroTexto"/>
        <xdr:cNvSpPr txBox="1"/>
      </xdr:nvSpPr>
      <xdr:spPr>
        <a:xfrm>
          <a:off x="16887825" y="8058150"/>
          <a:ext cx="44767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4</a:t>
          </a:r>
        </a:p>
      </xdr:txBody>
    </xdr:sp>
    <xdr:clientData/>
  </xdr:twoCellAnchor>
  <xdr:twoCellAnchor>
    <xdr:from>
      <xdr:col>27</xdr:col>
      <xdr:colOff>352425</xdr:colOff>
      <xdr:row>30</xdr:row>
      <xdr:rowOff>0</xdr:rowOff>
    </xdr:from>
    <xdr:to>
      <xdr:col>28</xdr:col>
      <xdr:colOff>238125</xdr:colOff>
      <xdr:row>31</xdr:row>
      <xdr:rowOff>180975</xdr:rowOff>
    </xdr:to>
    <xdr:sp macro="" textlink="">
      <xdr:nvSpPr>
        <xdr:cNvPr id="22" name="21 CuadroTexto"/>
        <xdr:cNvSpPr txBox="1"/>
      </xdr:nvSpPr>
      <xdr:spPr>
        <a:xfrm>
          <a:off x="18621375" y="8058150"/>
          <a:ext cx="4667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6</a:t>
          </a:r>
        </a:p>
      </xdr:txBody>
    </xdr:sp>
    <xdr:clientData/>
  </xdr:twoCellAnchor>
  <xdr:twoCellAnchor>
    <xdr:from>
      <xdr:col>24</xdr:col>
      <xdr:colOff>390525</xdr:colOff>
      <xdr:row>32</xdr:row>
      <xdr:rowOff>171450</xdr:rowOff>
    </xdr:from>
    <xdr:to>
      <xdr:col>25</xdr:col>
      <xdr:colOff>247650</xdr:colOff>
      <xdr:row>35</xdr:row>
      <xdr:rowOff>9525</xdr:rowOff>
    </xdr:to>
    <xdr:sp macro="" textlink="">
      <xdr:nvSpPr>
        <xdr:cNvPr id="23" name="22 CuadroTexto"/>
        <xdr:cNvSpPr txBox="1"/>
      </xdr:nvSpPr>
      <xdr:spPr>
        <a:xfrm>
          <a:off x="16916400" y="8648700"/>
          <a:ext cx="43815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AR" sz="1800"/>
            <a:t>5</a:t>
          </a:r>
        </a:p>
      </xdr:txBody>
    </xdr:sp>
    <xdr:clientData/>
  </xdr:twoCellAnchor>
  <xdr:twoCellAnchor>
    <xdr:from>
      <xdr:col>16</xdr:col>
      <xdr:colOff>238125</xdr:colOff>
      <xdr:row>30</xdr:row>
      <xdr:rowOff>214313</xdr:rowOff>
    </xdr:from>
    <xdr:to>
      <xdr:col>17</xdr:col>
      <xdr:colOff>323850</xdr:colOff>
      <xdr:row>30</xdr:row>
      <xdr:rowOff>215901</xdr:rowOff>
    </xdr:to>
    <xdr:cxnSp macro="">
      <xdr:nvCxnSpPr>
        <xdr:cNvPr id="24" name="23 Conector recto de flecha"/>
        <xdr:cNvCxnSpPr>
          <a:stCxn id="18" idx="3"/>
          <a:endCxn id="19" idx="1"/>
        </xdr:cNvCxnSpPr>
      </xdr:nvCxnSpPr>
      <xdr:spPr>
        <a:xfrm>
          <a:off x="12115800" y="8272463"/>
          <a:ext cx="666750" cy="158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133350</xdr:colOff>
      <xdr:row>30</xdr:row>
      <xdr:rowOff>204788</xdr:rowOff>
    </xdr:from>
    <xdr:to>
      <xdr:col>21</xdr:col>
      <xdr:colOff>371476</xdr:colOff>
      <xdr:row>30</xdr:row>
      <xdr:rowOff>214313</xdr:rowOff>
    </xdr:to>
    <xdr:cxnSp macro="">
      <xdr:nvCxnSpPr>
        <xdr:cNvPr id="25" name="24 Conector recto de flecha"/>
        <xdr:cNvCxnSpPr>
          <a:stCxn id="19" idx="3"/>
          <a:endCxn id="20" idx="1"/>
        </xdr:cNvCxnSpPr>
      </xdr:nvCxnSpPr>
      <xdr:spPr>
        <a:xfrm flipV="1">
          <a:off x="13173075" y="8262938"/>
          <a:ext cx="1981201" cy="9525"/>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209551</xdr:colOff>
      <xdr:row>30</xdr:row>
      <xdr:rowOff>204788</xdr:rowOff>
    </xdr:from>
    <xdr:to>
      <xdr:col>24</xdr:col>
      <xdr:colOff>361950</xdr:colOff>
      <xdr:row>30</xdr:row>
      <xdr:rowOff>206376</xdr:rowOff>
    </xdr:to>
    <xdr:cxnSp macro="">
      <xdr:nvCxnSpPr>
        <xdr:cNvPr id="26" name="25 Conector recto de flecha"/>
        <xdr:cNvCxnSpPr>
          <a:stCxn id="20" idx="3"/>
          <a:endCxn id="21" idx="1"/>
        </xdr:cNvCxnSpPr>
      </xdr:nvCxnSpPr>
      <xdr:spPr>
        <a:xfrm>
          <a:off x="15573376" y="8262938"/>
          <a:ext cx="1314449" cy="158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228600</xdr:colOff>
      <xdr:row>30</xdr:row>
      <xdr:rowOff>204788</xdr:rowOff>
    </xdr:from>
    <xdr:to>
      <xdr:col>27</xdr:col>
      <xdr:colOff>352425</xdr:colOff>
      <xdr:row>30</xdr:row>
      <xdr:rowOff>206376</xdr:rowOff>
    </xdr:to>
    <xdr:cxnSp macro="">
      <xdr:nvCxnSpPr>
        <xdr:cNvPr id="27" name="26 Conector recto de flecha"/>
        <xdr:cNvCxnSpPr>
          <a:stCxn id="21" idx="3"/>
          <a:endCxn id="22" idx="1"/>
        </xdr:cNvCxnSpPr>
      </xdr:nvCxnSpPr>
      <xdr:spPr>
        <a:xfrm>
          <a:off x="17335500" y="8262938"/>
          <a:ext cx="1285875" cy="158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561975</xdr:colOff>
      <xdr:row>32</xdr:row>
      <xdr:rowOff>209550</xdr:rowOff>
    </xdr:from>
    <xdr:to>
      <xdr:col>22</xdr:col>
      <xdr:colOff>0</xdr:colOff>
      <xdr:row>33</xdr:row>
      <xdr:rowOff>0</xdr:rowOff>
    </xdr:to>
    <xdr:cxnSp macro="">
      <xdr:nvCxnSpPr>
        <xdr:cNvPr id="28" name="27 Conector recto de flecha"/>
        <xdr:cNvCxnSpPr/>
      </xdr:nvCxnSpPr>
      <xdr:spPr>
        <a:xfrm>
          <a:off x="13020675" y="8305800"/>
          <a:ext cx="2343150" cy="1905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33</xdr:row>
      <xdr:rowOff>0</xdr:rowOff>
    </xdr:from>
    <xdr:to>
      <xdr:col>18</xdr:col>
      <xdr:colOff>19050</xdr:colOff>
      <xdr:row>33</xdr:row>
      <xdr:rowOff>9525</xdr:rowOff>
    </xdr:to>
    <xdr:cxnSp macro="">
      <xdr:nvCxnSpPr>
        <xdr:cNvPr id="29" name="28 Conector recto de flecha"/>
        <xdr:cNvCxnSpPr/>
      </xdr:nvCxnSpPr>
      <xdr:spPr>
        <a:xfrm flipV="1">
          <a:off x="11887200" y="8324850"/>
          <a:ext cx="1171575" cy="9525"/>
        </a:xfrm>
        <a:prstGeom prst="straightConnector1">
          <a:avLst/>
        </a:prstGeom>
        <a:ln w="1270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247650</xdr:colOff>
      <xdr:row>34</xdr:row>
      <xdr:rowOff>0</xdr:rowOff>
    </xdr:from>
    <xdr:to>
      <xdr:col>27</xdr:col>
      <xdr:colOff>571500</xdr:colOff>
      <xdr:row>34</xdr:row>
      <xdr:rowOff>4764</xdr:rowOff>
    </xdr:to>
    <xdr:cxnSp macro="">
      <xdr:nvCxnSpPr>
        <xdr:cNvPr id="30" name="29 Conector recto de flecha"/>
        <xdr:cNvCxnSpPr/>
      </xdr:nvCxnSpPr>
      <xdr:spPr>
        <a:xfrm flipV="1">
          <a:off x="17354550" y="8858250"/>
          <a:ext cx="1485900" cy="4764"/>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34</xdr:row>
      <xdr:rowOff>180975</xdr:rowOff>
    </xdr:from>
    <xdr:to>
      <xdr:col>24</xdr:col>
      <xdr:colOff>9525</xdr:colOff>
      <xdr:row>35</xdr:row>
      <xdr:rowOff>9525</xdr:rowOff>
    </xdr:to>
    <xdr:cxnSp macro="">
      <xdr:nvCxnSpPr>
        <xdr:cNvPr id="31" name="30 Conector recto de flecha"/>
        <xdr:cNvCxnSpPr/>
      </xdr:nvCxnSpPr>
      <xdr:spPr>
        <a:xfrm>
          <a:off x="12782550" y="9039225"/>
          <a:ext cx="2686050" cy="19050"/>
        </a:xfrm>
        <a:prstGeom prst="straightConnector1">
          <a:avLst/>
        </a:prstGeom>
        <a:ln w="1270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33</xdr:row>
      <xdr:rowOff>0</xdr:rowOff>
    </xdr:from>
    <xdr:to>
      <xdr:col>24</xdr:col>
      <xdr:colOff>400050</xdr:colOff>
      <xdr:row>33</xdr:row>
      <xdr:rowOff>9525</xdr:rowOff>
    </xdr:to>
    <xdr:cxnSp macro="">
      <xdr:nvCxnSpPr>
        <xdr:cNvPr id="32" name="31 Conector recto de flecha"/>
        <xdr:cNvCxnSpPr/>
      </xdr:nvCxnSpPr>
      <xdr:spPr>
        <a:xfrm>
          <a:off x="15963900" y="8324850"/>
          <a:ext cx="962025" cy="9525"/>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33</xdr:row>
      <xdr:rowOff>0</xdr:rowOff>
    </xdr:from>
    <xdr:to>
      <xdr:col>23</xdr:col>
      <xdr:colOff>9525</xdr:colOff>
      <xdr:row>33</xdr:row>
      <xdr:rowOff>9525</xdr:rowOff>
    </xdr:to>
    <xdr:cxnSp macro="">
      <xdr:nvCxnSpPr>
        <xdr:cNvPr id="33" name="32 Conector recto de flecha"/>
        <xdr:cNvCxnSpPr/>
      </xdr:nvCxnSpPr>
      <xdr:spPr>
        <a:xfrm flipV="1">
          <a:off x="15363825" y="8324850"/>
          <a:ext cx="590550" cy="9525"/>
        </a:xfrm>
        <a:prstGeom prst="straightConnector1">
          <a:avLst/>
        </a:prstGeom>
        <a:ln w="1270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34</xdr:row>
      <xdr:rowOff>180975</xdr:rowOff>
    </xdr:from>
    <xdr:to>
      <xdr:col>24</xdr:col>
      <xdr:colOff>390525</xdr:colOff>
      <xdr:row>35</xdr:row>
      <xdr:rowOff>1</xdr:rowOff>
    </xdr:to>
    <xdr:cxnSp macro="">
      <xdr:nvCxnSpPr>
        <xdr:cNvPr id="34" name="33 Conector recto de flecha"/>
        <xdr:cNvCxnSpPr/>
      </xdr:nvCxnSpPr>
      <xdr:spPr>
        <a:xfrm flipV="1">
          <a:off x="16535400" y="9039225"/>
          <a:ext cx="381000" cy="9526"/>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52</xdr:row>
      <xdr:rowOff>76200</xdr:rowOff>
    </xdr:from>
    <xdr:to>
      <xdr:col>17</xdr:col>
      <xdr:colOff>0</xdr:colOff>
      <xdr:row>52</xdr:row>
      <xdr:rowOff>85725</xdr:rowOff>
    </xdr:to>
    <xdr:cxnSp macro="">
      <xdr:nvCxnSpPr>
        <xdr:cNvPr id="35" name="34 Conector recto"/>
        <xdr:cNvCxnSpPr/>
      </xdr:nvCxnSpPr>
      <xdr:spPr>
        <a:xfrm flipV="1">
          <a:off x="11887200" y="11125200"/>
          <a:ext cx="571500" cy="9525"/>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39</xdr:row>
      <xdr:rowOff>47625</xdr:rowOff>
    </xdr:from>
    <xdr:to>
      <xdr:col>19</xdr:col>
      <xdr:colOff>9525</xdr:colOff>
      <xdr:row>39</xdr:row>
      <xdr:rowOff>47625</xdr:rowOff>
    </xdr:to>
    <xdr:cxnSp macro="">
      <xdr:nvCxnSpPr>
        <xdr:cNvPr id="36" name="35 Conector recto"/>
        <xdr:cNvCxnSpPr/>
      </xdr:nvCxnSpPr>
      <xdr:spPr>
        <a:xfrm>
          <a:off x="13049250" y="9867900"/>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44</xdr:row>
      <xdr:rowOff>57150</xdr:rowOff>
    </xdr:from>
    <xdr:to>
      <xdr:col>22</xdr:col>
      <xdr:colOff>0</xdr:colOff>
      <xdr:row>44</xdr:row>
      <xdr:rowOff>57150</xdr:rowOff>
    </xdr:to>
    <xdr:cxnSp macro="">
      <xdr:nvCxnSpPr>
        <xdr:cNvPr id="37" name="36 Conector recto"/>
        <xdr:cNvCxnSpPr/>
      </xdr:nvCxnSpPr>
      <xdr:spPr>
        <a:xfrm>
          <a:off x="14782800" y="10915650"/>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47</xdr:row>
      <xdr:rowOff>114300</xdr:rowOff>
    </xdr:from>
    <xdr:to>
      <xdr:col>23</xdr:col>
      <xdr:colOff>0</xdr:colOff>
      <xdr:row>47</xdr:row>
      <xdr:rowOff>114300</xdr:rowOff>
    </xdr:to>
    <xdr:cxnSp macro="">
      <xdr:nvCxnSpPr>
        <xdr:cNvPr id="38" name="37 Conector recto"/>
        <xdr:cNvCxnSpPr/>
      </xdr:nvCxnSpPr>
      <xdr:spPr>
        <a:xfrm>
          <a:off x="15363825" y="11544300"/>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49</xdr:row>
      <xdr:rowOff>133350</xdr:rowOff>
    </xdr:from>
    <xdr:to>
      <xdr:col>24</xdr:col>
      <xdr:colOff>9525</xdr:colOff>
      <xdr:row>49</xdr:row>
      <xdr:rowOff>133350</xdr:rowOff>
    </xdr:to>
    <xdr:cxnSp macro="">
      <xdr:nvCxnSpPr>
        <xdr:cNvPr id="41" name="40 Conector recto"/>
        <xdr:cNvCxnSpPr/>
      </xdr:nvCxnSpPr>
      <xdr:spPr>
        <a:xfrm>
          <a:off x="15954375" y="11982450"/>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44</xdr:row>
      <xdr:rowOff>85725</xdr:rowOff>
    </xdr:from>
    <xdr:to>
      <xdr:col>25</xdr:col>
      <xdr:colOff>0</xdr:colOff>
      <xdr:row>44</xdr:row>
      <xdr:rowOff>85725</xdr:rowOff>
    </xdr:to>
    <xdr:cxnSp macro="">
      <xdr:nvCxnSpPr>
        <xdr:cNvPr id="42" name="41 Conector recto"/>
        <xdr:cNvCxnSpPr/>
      </xdr:nvCxnSpPr>
      <xdr:spPr>
        <a:xfrm>
          <a:off x="16525875" y="10944225"/>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xdr:colOff>
      <xdr:row>44</xdr:row>
      <xdr:rowOff>142875</xdr:rowOff>
    </xdr:from>
    <xdr:to>
      <xdr:col>26</xdr:col>
      <xdr:colOff>9525</xdr:colOff>
      <xdr:row>44</xdr:row>
      <xdr:rowOff>142875</xdr:rowOff>
    </xdr:to>
    <xdr:cxnSp macro="">
      <xdr:nvCxnSpPr>
        <xdr:cNvPr id="43" name="42 Conector recto"/>
        <xdr:cNvCxnSpPr/>
      </xdr:nvCxnSpPr>
      <xdr:spPr>
        <a:xfrm>
          <a:off x="17116425" y="11001375"/>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45</xdr:row>
      <xdr:rowOff>66675</xdr:rowOff>
    </xdr:from>
    <xdr:to>
      <xdr:col>28</xdr:col>
      <xdr:colOff>9525</xdr:colOff>
      <xdr:row>45</xdr:row>
      <xdr:rowOff>66675</xdr:rowOff>
    </xdr:to>
    <xdr:cxnSp macro="">
      <xdr:nvCxnSpPr>
        <xdr:cNvPr id="45" name="44 Conector recto"/>
        <xdr:cNvCxnSpPr/>
      </xdr:nvCxnSpPr>
      <xdr:spPr>
        <a:xfrm>
          <a:off x="18278475" y="11115675"/>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53</xdr:row>
      <xdr:rowOff>57150</xdr:rowOff>
    </xdr:from>
    <xdr:to>
      <xdr:col>18</xdr:col>
      <xdr:colOff>9525</xdr:colOff>
      <xdr:row>53</xdr:row>
      <xdr:rowOff>57150</xdr:rowOff>
    </xdr:to>
    <xdr:cxnSp macro="">
      <xdr:nvCxnSpPr>
        <xdr:cNvPr id="46" name="45 Conector recto"/>
        <xdr:cNvCxnSpPr/>
      </xdr:nvCxnSpPr>
      <xdr:spPr>
        <a:xfrm>
          <a:off x="12468225" y="11296650"/>
          <a:ext cx="581025" cy="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52</xdr:row>
      <xdr:rowOff>95250</xdr:rowOff>
    </xdr:from>
    <xdr:to>
      <xdr:col>16</xdr:col>
      <xdr:colOff>19050</xdr:colOff>
      <xdr:row>53</xdr:row>
      <xdr:rowOff>180976</xdr:rowOff>
    </xdr:to>
    <xdr:cxnSp macro="">
      <xdr:nvCxnSpPr>
        <xdr:cNvPr id="47" name="46 Conector recto"/>
        <xdr:cNvCxnSpPr/>
      </xdr:nvCxnSpPr>
      <xdr:spPr>
        <a:xfrm rot="5400000" flipH="1" flipV="1">
          <a:off x="11749087" y="11272838"/>
          <a:ext cx="276226" cy="1905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571499</xdr:colOff>
      <xdr:row>39</xdr:row>
      <xdr:rowOff>57151</xdr:rowOff>
    </xdr:from>
    <xdr:to>
      <xdr:col>17</xdr:col>
      <xdr:colOff>581024</xdr:colOff>
      <xdr:row>53</xdr:row>
      <xdr:rowOff>66676</xdr:rowOff>
    </xdr:to>
    <xdr:cxnSp macro="">
      <xdr:nvCxnSpPr>
        <xdr:cNvPr id="48" name="47 Conector recto"/>
        <xdr:cNvCxnSpPr/>
      </xdr:nvCxnSpPr>
      <xdr:spPr>
        <a:xfrm rot="5400000" flipH="1" flipV="1">
          <a:off x="11634787" y="11272838"/>
          <a:ext cx="2800350" cy="9525"/>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581024</xdr:colOff>
      <xdr:row>39</xdr:row>
      <xdr:rowOff>47626</xdr:rowOff>
    </xdr:from>
    <xdr:to>
      <xdr:col>19</xdr:col>
      <xdr:colOff>0</xdr:colOff>
      <xdr:row>54</xdr:row>
      <xdr:rowOff>1</xdr:rowOff>
    </xdr:to>
    <xdr:cxnSp macro="">
      <xdr:nvCxnSpPr>
        <xdr:cNvPr id="49" name="48 Conector recto"/>
        <xdr:cNvCxnSpPr/>
      </xdr:nvCxnSpPr>
      <xdr:spPr>
        <a:xfrm rot="5400000" flipH="1" flipV="1">
          <a:off x="12153900" y="11334750"/>
          <a:ext cx="2933700" cy="1"/>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581024</xdr:colOff>
      <xdr:row>44</xdr:row>
      <xdr:rowOff>66675</xdr:rowOff>
    </xdr:from>
    <xdr:to>
      <xdr:col>21</xdr:col>
      <xdr:colOff>19053</xdr:colOff>
      <xdr:row>54</xdr:row>
      <xdr:rowOff>1</xdr:rowOff>
    </xdr:to>
    <xdr:cxnSp macro="">
      <xdr:nvCxnSpPr>
        <xdr:cNvPr id="50" name="49 Conector recto"/>
        <xdr:cNvCxnSpPr/>
      </xdr:nvCxnSpPr>
      <xdr:spPr>
        <a:xfrm rot="5400000" flipH="1" flipV="1">
          <a:off x="13854113" y="11853861"/>
          <a:ext cx="1876426" cy="19054"/>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571500</xdr:colOff>
      <xdr:row>44</xdr:row>
      <xdr:rowOff>47625</xdr:rowOff>
    </xdr:from>
    <xdr:to>
      <xdr:col>22</xdr:col>
      <xdr:colOff>0</xdr:colOff>
      <xdr:row>47</xdr:row>
      <xdr:rowOff>114300</xdr:rowOff>
    </xdr:to>
    <xdr:cxnSp macro="">
      <xdr:nvCxnSpPr>
        <xdr:cNvPr id="52" name="51 Conector recto"/>
        <xdr:cNvCxnSpPr/>
      </xdr:nvCxnSpPr>
      <xdr:spPr>
        <a:xfrm flipV="1">
          <a:off x="15354300" y="10906125"/>
          <a:ext cx="9525" cy="638175"/>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xdr:colOff>
      <xdr:row>47</xdr:row>
      <xdr:rowOff>114300</xdr:rowOff>
    </xdr:from>
    <xdr:to>
      <xdr:col>23</xdr:col>
      <xdr:colOff>9525</xdr:colOff>
      <xdr:row>49</xdr:row>
      <xdr:rowOff>133350</xdr:rowOff>
    </xdr:to>
    <xdr:cxnSp macro="">
      <xdr:nvCxnSpPr>
        <xdr:cNvPr id="53" name="52 Conector recto"/>
        <xdr:cNvCxnSpPr/>
      </xdr:nvCxnSpPr>
      <xdr:spPr>
        <a:xfrm rot="16200000" flipV="1">
          <a:off x="15730538" y="11758613"/>
          <a:ext cx="438150" cy="9524"/>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8732</xdr:colOff>
      <xdr:row>44</xdr:row>
      <xdr:rowOff>105569</xdr:rowOff>
    </xdr:from>
    <xdr:to>
      <xdr:col>24</xdr:col>
      <xdr:colOff>10320</xdr:colOff>
      <xdr:row>49</xdr:row>
      <xdr:rowOff>134144</xdr:rowOff>
    </xdr:to>
    <xdr:cxnSp macro="">
      <xdr:nvCxnSpPr>
        <xdr:cNvPr id="54" name="53 Conector recto"/>
        <xdr:cNvCxnSpPr/>
      </xdr:nvCxnSpPr>
      <xdr:spPr>
        <a:xfrm rot="5400000" flipH="1" flipV="1">
          <a:off x="16025813" y="11472863"/>
          <a:ext cx="1019175" cy="1588"/>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xdr:colOff>
      <xdr:row>44</xdr:row>
      <xdr:rowOff>85725</xdr:rowOff>
    </xdr:from>
    <xdr:to>
      <xdr:col>25</xdr:col>
      <xdr:colOff>9525</xdr:colOff>
      <xdr:row>44</xdr:row>
      <xdr:rowOff>121725</xdr:rowOff>
    </xdr:to>
    <xdr:cxnSp macro="">
      <xdr:nvCxnSpPr>
        <xdr:cNvPr id="55" name="54 Conector recto"/>
        <xdr:cNvCxnSpPr/>
      </xdr:nvCxnSpPr>
      <xdr:spPr>
        <a:xfrm flipV="1">
          <a:off x="17116425" y="10944225"/>
          <a:ext cx="0" cy="3600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xdr:colOff>
      <xdr:row>44</xdr:row>
      <xdr:rowOff>142877</xdr:rowOff>
    </xdr:from>
    <xdr:to>
      <xdr:col>26</xdr:col>
      <xdr:colOff>9526</xdr:colOff>
      <xdr:row>54</xdr:row>
      <xdr:rowOff>9526</xdr:rowOff>
    </xdr:to>
    <xdr:cxnSp macro="">
      <xdr:nvCxnSpPr>
        <xdr:cNvPr id="56" name="55 Conector recto"/>
        <xdr:cNvCxnSpPr/>
      </xdr:nvCxnSpPr>
      <xdr:spPr>
        <a:xfrm rot="5400000" flipH="1" flipV="1">
          <a:off x="16787815" y="11901490"/>
          <a:ext cx="1809749" cy="9523"/>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561976</xdr:colOff>
      <xdr:row>45</xdr:row>
      <xdr:rowOff>76200</xdr:rowOff>
    </xdr:from>
    <xdr:to>
      <xdr:col>27</xdr:col>
      <xdr:colOff>1</xdr:colOff>
      <xdr:row>54</xdr:row>
      <xdr:rowOff>9525</xdr:rowOff>
    </xdr:to>
    <xdr:cxnSp macro="">
      <xdr:nvCxnSpPr>
        <xdr:cNvPr id="57" name="56 Conector recto"/>
        <xdr:cNvCxnSpPr/>
      </xdr:nvCxnSpPr>
      <xdr:spPr>
        <a:xfrm rot="5400000" flipH="1" flipV="1">
          <a:off x="17416463" y="11958638"/>
          <a:ext cx="1685925" cy="1905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571501</xdr:colOff>
      <xdr:row>52</xdr:row>
      <xdr:rowOff>85725</xdr:rowOff>
    </xdr:from>
    <xdr:to>
      <xdr:col>17</xdr:col>
      <xdr:colOff>9526</xdr:colOff>
      <xdr:row>53</xdr:row>
      <xdr:rowOff>66676</xdr:rowOff>
    </xdr:to>
    <xdr:cxnSp macro="">
      <xdr:nvCxnSpPr>
        <xdr:cNvPr id="58" name="57 Conector recto"/>
        <xdr:cNvCxnSpPr/>
      </xdr:nvCxnSpPr>
      <xdr:spPr>
        <a:xfrm rot="16200000" flipV="1">
          <a:off x="12372975" y="11210926"/>
          <a:ext cx="171451" cy="19050"/>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580232</xdr:colOff>
      <xdr:row>45</xdr:row>
      <xdr:rowOff>86520</xdr:rowOff>
    </xdr:from>
    <xdr:to>
      <xdr:col>28</xdr:col>
      <xdr:colOff>795</xdr:colOff>
      <xdr:row>54</xdr:row>
      <xdr:rowOff>10319</xdr:rowOff>
    </xdr:to>
    <xdr:cxnSp macro="">
      <xdr:nvCxnSpPr>
        <xdr:cNvPr id="59" name="58 Conector recto"/>
        <xdr:cNvCxnSpPr/>
      </xdr:nvCxnSpPr>
      <xdr:spPr>
        <a:xfrm rot="5400000" flipH="1" flipV="1">
          <a:off x="18011776" y="11972926"/>
          <a:ext cx="1676399" cy="1588"/>
        </a:xfrm>
        <a:prstGeom prst="line">
          <a:avLst/>
        </a:prstGeom>
        <a:ln w="2540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48</xdr:row>
      <xdr:rowOff>76200</xdr:rowOff>
    </xdr:from>
    <xdr:to>
      <xdr:col>27</xdr:col>
      <xdr:colOff>566250</xdr:colOff>
      <xdr:row>48</xdr:row>
      <xdr:rowOff>112200</xdr:rowOff>
    </xdr:to>
    <xdr:cxnSp macro="">
      <xdr:nvCxnSpPr>
        <xdr:cNvPr id="60" name="59 Conector recto"/>
        <xdr:cNvCxnSpPr/>
      </xdr:nvCxnSpPr>
      <xdr:spPr>
        <a:xfrm flipV="1">
          <a:off x="11887200" y="11353800"/>
          <a:ext cx="6948000" cy="36000"/>
        </a:xfrm>
        <a:prstGeom prst="line">
          <a:avLst/>
        </a:prstGeom>
        <a:ln w="254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85725</xdr:colOff>
      <xdr:row>6</xdr:row>
      <xdr:rowOff>38100</xdr:rowOff>
    </xdr:from>
    <xdr:to>
      <xdr:col>19</xdr:col>
      <xdr:colOff>266700</xdr:colOff>
      <xdr:row>9</xdr:row>
      <xdr:rowOff>66675</xdr:rowOff>
    </xdr:to>
    <xdr:cxnSp macro="">
      <xdr:nvCxnSpPr>
        <xdr:cNvPr id="10470" name="Straight Arrow Connector 2"/>
        <xdr:cNvCxnSpPr>
          <a:cxnSpLocks noChangeShapeType="1"/>
        </xdr:cNvCxnSpPr>
      </xdr:nvCxnSpPr>
      <xdr:spPr bwMode="auto">
        <a:xfrm flipV="1">
          <a:off x="12544425" y="1343025"/>
          <a:ext cx="1343025" cy="83820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17</xdr:col>
      <xdr:colOff>66675</xdr:colOff>
      <xdr:row>10</xdr:row>
      <xdr:rowOff>180975</xdr:rowOff>
    </xdr:from>
    <xdr:to>
      <xdr:col>19</xdr:col>
      <xdr:colOff>219075</xdr:colOff>
      <xdr:row>14</xdr:row>
      <xdr:rowOff>38100</xdr:rowOff>
    </xdr:to>
    <xdr:cxnSp macro="">
      <xdr:nvCxnSpPr>
        <xdr:cNvPr id="10471" name="Straight Arrow Connector 4"/>
        <xdr:cNvCxnSpPr>
          <a:cxnSpLocks noChangeShapeType="1"/>
        </xdr:cNvCxnSpPr>
      </xdr:nvCxnSpPr>
      <xdr:spPr bwMode="auto">
        <a:xfrm>
          <a:off x="12525375" y="2562225"/>
          <a:ext cx="1314450" cy="9239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20</xdr:col>
      <xdr:colOff>438150</xdr:colOff>
      <xdr:row>7</xdr:row>
      <xdr:rowOff>142875</xdr:rowOff>
    </xdr:from>
    <xdr:to>
      <xdr:col>20</xdr:col>
      <xdr:colOff>438150</xdr:colOff>
      <xdr:row>12</xdr:row>
      <xdr:rowOff>152400</xdr:rowOff>
    </xdr:to>
    <xdr:cxnSp macro="">
      <xdr:nvCxnSpPr>
        <xdr:cNvPr id="10472" name="Straight Arrow Connector 6"/>
        <xdr:cNvCxnSpPr>
          <a:cxnSpLocks noChangeShapeType="1"/>
        </xdr:cNvCxnSpPr>
      </xdr:nvCxnSpPr>
      <xdr:spPr bwMode="auto">
        <a:xfrm rot="16200000" flipV="1">
          <a:off x="13968412" y="2395538"/>
          <a:ext cx="1343025"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22</xdr:col>
      <xdr:colOff>152400</xdr:colOff>
      <xdr:row>14</xdr:row>
      <xdr:rowOff>9525</xdr:rowOff>
    </xdr:from>
    <xdr:to>
      <xdr:col>25</xdr:col>
      <xdr:colOff>561975</xdr:colOff>
      <xdr:row>14</xdr:row>
      <xdr:rowOff>9525</xdr:rowOff>
    </xdr:to>
    <xdr:cxnSp macro="">
      <xdr:nvCxnSpPr>
        <xdr:cNvPr id="10473" name="Straight Arrow Connector 12"/>
        <xdr:cNvCxnSpPr>
          <a:cxnSpLocks noChangeShapeType="1"/>
        </xdr:cNvCxnSpPr>
      </xdr:nvCxnSpPr>
      <xdr:spPr bwMode="auto">
        <a:xfrm>
          <a:off x="15516225" y="3457575"/>
          <a:ext cx="21526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22</xdr:col>
      <xdr:colOff>171450</xdr:colOff>
      <xdr:row>6</xdr:row>
      <xdr:rowOff>0</xdr:rowOff>
    </xdr:from>
    <xdr:to>
      <xdr:col>25</xdr:col>
      <xdr:colOff>542925</xdr:colOff>
      <xdr:row>6</xdr:row>
      <xdr:rowOff>0</xdr:rowOff>
    </xdr:to>
    <xdr:cxnSp macro="">
      <xdr:nvCxnSpPr>
        <xdr:cNvPr id="10474" name="Straight Arrow Connector 14"/>
        <xdr:cNvCxnSpPr>
          <a:cxnSpLocks noChangeShapeType="1"/>
        </xdr:cNvCxnSpPr>
      </xdr:nvCxnSpPr>
      <xdr:spPr bwMode="auto">
        <a:xfrm>
          <a:off x="15535275" y="1304925"/>
          <a:ext cx="21145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28</xdr:col>
      <xdr:colOff>66675</xdr:colOff>
      <xdr:row>10</xdr:row>
      <xdr:rowOff>133350</xdr:rowOff>
    </xdr:from>
    <xdr:to>
      <xdr:col>30</xdr:col>
      <xdr:colOff>352425</xdr:colOff>
      <xdr:row>13</xdr:row>
      <xdr:rowOff>247650</xdr:rowOff>
    </xdr:to>
    <xdr:cxnSp macro="">
      <xdr:nvCxnSpPr>
        <xdr:cNvPr id="10475" name="Straight Arrow Connector 23"/>
        <xdr:cNvCxnSpPr>
          <a:cxnSpLocks noChangeShapeType="1"/>
        </xdr:cNvCxnSpPr>
      </xdr:nvCxnSpPr>
      <xdr:spPr bwMode="auto">
        <a:xfrm flipV="1">
          <a:off x="18916650" y="2514600"/>
          <a:ext cx="1447800" cy="91440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28</xdr:col>
      <xdr:colOff>57150</xdr:colOff>
      <xdr:row>6</xdr:row>
      <xdr:rowOff>66675</xdr:rowOff>
    </xdr:from>
    <xdr:to>
      <xdr:col>30</xdr:col>
      <xdr:colOff>323850</xdr:colOff>
      <xdr:row>10</xdr:row>
      <xdr:rowOff>0</xdr:rowOff>
    </xdr:to>
    <xdr:cxnSp macro="">
      <xdr:nvCxnSpPr>
        <xdr:cNvPr id="10476" name="Straight Arrow Connector 26"/>
        <xdr:cNvCxnSpPr>
          <a:cxnSpLocks noChangeShapeType="1"/>
        </xdr:cNvCxnSpPr>
      </xdr:nvCxnSpPr>
      <xdr:spPr bwMode="auto">
        <a:xfrm>
          <a:off x="18907125" y="1371600"/>
          <a:ext cx="1428750" cy="10096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22</xdr:col>
      <xdr:colOff>66675</xdr:colOff>
      <xdr:row>7</xdr:row>
      <xdr:rowOff>57150</xdr:rowOff>
    </xdr:from>
    <xdr:to>
      <xdr:col>25</xdr:col>
      <xdr:colOff>361950</xdr:colOff>
      <xdr:row>12</xdr:row>
      <xdr:rowOff>200025</xdr:rowOff>
    </xdr:to>
    <xdr:cxnSp macro="">
      <xdr:nvCxnSpPr>
        <xdr:cNvPr id="10477" name="Straight Arrow Connector 41"/>
        <xdr:cNvCxnSpPr>
          <a:cxnSpLocks noChangeShapeType="1"/>
        </xdr:cNvCxnSpPr>
      </xdr:nvCxnSpPr>
      <xdr:spPr bwMode="auto">
        <a:xfrm>
          <a:off x="15430500" y="1638300"/>
          <a:ext cx="2038350" cy="14763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17</xdr:col>
      <xdr:colOff>28575</xdr:colOff>
      <xdr:row>10</xdr:row>
      <xdr:rowOff>28575</xdr:rowOff>
    </xdr:from>
    <xdr:to>
      <xdr:col>19</xdr:col>
      <xdr:colOff>419100</xdr:colOff>
      <xdr:row>14</xdr:row>
      <xdr:rowOff>57150</xdr:rowOff>
    </xdr:to>
    <xdr:cxnSp macro="">
      <xdr:nvCxnSpPr>
        <xdr:cNvPr id="10478" name="Straight Arrow Connector 2"/>
        <xdr:cNvCxnSpPr>
          <a:cxnSpLocks noChangeShapeType="1"/>
        </xdr:cNvCxnSpPr>
      </xdr:nvCxnSpPr>
      <xdr:spPr bwMode="auto">
        <a:xfrm>
          <a:off x="12487275" y="2409825"/>
          <a:ext cx="1552575" cy="109537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22</xdr:col>
      <xdr:colOff>47625</xdr:colOff>
      <xdr:row>5</xdr:row>
      <xdr:rowOff>123825</xdr:rowOff>
    </xdr:from>
    <xdr:to>
      <xdr:col>25</xdr:col>
      <xdr:colOff>419100</xdr:colOff>
      <xdr:row>5</xdr:row>
      <xdr:rowOff>152400</xdr:rowOff>
    </xdr:to>
    <xdr:cxnSp macro="">
      <xdr:nvCxnSpPr>
        <xdr:cNvPr id="10479" name="Straight Arrow Connector 2"/>
        <xdr:cNvCxnSpPr>
          <a:cxnSpLocks noChangeShapeType="1"/>
        </xdr:cNvCxnSpPr>
      </xdr:nvCxnSpPr>
      <xdr:spPr bwMode="auto">
        <a:xfrm flipV="1">
          <a:off x="15411450" y="1162050"/>
          <a:ext cx="2114550" cy="2857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21</xdr:col>
      <xdr:colOff>57150</xdr:colOff>
      <xdr:row>7</xdr:row>
      <xdr:rowOff>9525</xdr:rowOff>
    </xdr:from>
    <xdr:to>
      <xdr:col>21</xdr:col>
      <xdr:colOff>66675</xdr:colOff>
      <xdr:row>12</xdr:row>
      <xdr:rowOff>219075</xdr:rowOff>
    </xdr:to>
    <xdr:cxnSp macro="">
      <xdr:nvCxnSpPr>
        <xdr:cNvPr id="10480" name="Straight Arrow Connector 2"/>
        <xdr:cNvCxnSpPr>
          <a:cxnSpLocks noChangeShapeType="1"/>
        </xdr:cNvCxnSpPr>
      </xdr:nvCxnSpPr>
      <xdr:spPr bwMode="auto">
        <a:xfrm rot="5400000" flipH="1" flipV="1">
          <a:off x="14073188" y="2357437"/>
          <a:ext cx="1543050" cy="9525"/>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twoCellAnchor>
    <xdr:from>
      <xdr:col>28</xdr:col>
      <xdr:colOff>57150</xdr:colOff>
      <xdr:row>6</xdr:row>
      <xdr:rowOff>180975</xdr:rowOff>
    </xdr:from>
    <xdr:to>
      <xdr:col>30</xdr:col>
      <xdr:colOff>276225</xdr:colOff>
      <xdr:row>10</xdr:row>
      <xdr:rowOff>95250</xdr:rowOff>
    </xdr:to>
    <xdr:cxnSp macro="">
      <xdr:nvCxnSpPr>
        <xdr:cNvPr id="10481" name="Straight Arrow Connector 2"/>
        <xdr:cNvCxnSpPr>
          <a:cxnSpLocks noChangeShapeType="1"/>
        </xdr:cNvCxnSpPr>
      </xdr:nvCxnSpPr>
      <xdr:spPr bwMode="auto">
        <a:xfrm>
          <a:off x="18907125" y="1485900"/>
          <a:ext cx="1381125" cy="990600"/>
        </a:xfrm>
        <a:prstGeom prst="straightConnector1">
          <a:avLst/>
        </a:prstGeom>
        <a:noFill/>
        <a:ln w="31750">
          <a:solidFill>
            <a:srgbClr val="FF0000"/>
          </a:solidFill>
          <a:round/>
          <a:headEnd/>
          <a:tailEnd type="arrow" w="med" len="med"/>
        </a:ln>
        <a:effectLst>
          <a:outerShdw dist="20000" dir="5400000" rotWithShape="0">
            <a:srgbClr val="808080">
              <a:alpha val="37999"/>
            </a:srgbClr>
          </a:outerShdw>
        </a:effectLst>
      </xdr:spPr>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U55"/>
  <sheetViews>
    <sheetView topLeftCell="A134" workbookViewId="0">
      <selection activeCell="K50" sqref="K50"/>
    </sheetView>
  </sheetViews>
  <sheetFormatPr baseColWidth="10" defaultRowHeight="15"/>
  <cols>
    <col min="1" max="20" width="6.7109375" customWidth="1"/>
  </cols>
  <sheetData>
    <row r="1" spans="1:21" ht="28.5" customHeight="1">
      <c r="A1" s="117" t="s">
        <v>0</v>
      </c>
      <c r="B1" s="117"/>
      <c r="C1" s="117"/>
      <c r="D1" s="117"/>
      <c r="E1" s="117"/>
      <c r="F1" s="117"/>
      <c r="G1" s="117"/>
      <c r="H1" s="117"/>
      <c r="I1" s="117"/>
      <c r="J1" s="117"/>
      <c r="K1" s="117"/>
      <c r="L1" s="117"/>
      <c r="M1" s="6"/>
      <c r="N1" s="6"/>
      <c r="O1" s="116" t="s">
        <v>130</v>
      </c>
      <c r="P1" s="116"/>
      <c r="Q1" s="116"/>
      <c r="R1" s="116"/>
      <c r="S1" s="6"/>
      <c r="T1" s="6"/>
    </row>
    <row r="2" spans="1:21" ht="28.5" customHeight="1">
      <c r="A2" s="117" t="s">
        <v>2</v>
      </c>
      <c r="B2" s="117"/>
      <c r="C2" s="117"/>
      <c r="D2" s="117"/>
      <c r="E2" s="117"/>
      <c r="F2" s="117"/>
      <c r="G2" s="117"/>
      <c r="H2" s="117"/>
      <c r="I2" s="117"/>
      <c r="J2" s="117"/>
      <c r="K2" s="117"/>
      <c r="L2" s="117"/>
      <c r="M2" s="117"/>
      <c r="N2" s="117"/>
      <c r="O2" s="116" t="s">
        <v>28</v>
      </c>
      <c r="P2" s="116"/>
      <c r="Q2" s="116"/>
      <c r="R2" s="116"/>
      <c r="S2" s="1"/>
      <c r="T2" s="1"/>
    </row>
    <row r="3" spans="1:21" ht="15.75" customHeight="1" thickBot="1">
      <c r="A3" s="1"/>
      <c r="B3" s="1"/>
      <c r="C3" s="1"/>
      <c r="D3" s="1"/>
      <c r="E3" s="1"/>
      <c r="F3" s="1"/>
      <c r="G3" s="1"/>
      <c r="H3" s="1"/>
      <c r="I3" s="1"/>
      <c r="J3" s="1"/>
      <c r="K3" s="1"/>
      <c r="L3" s="1"/>
      <c r="M3" s="1"/>
      <c r="N3" s="1"/>
      <c r="O3" s="1"/>
      <c r="P3" s="1"/>
      <c r="Q3" s="1"/>
      <c r="R3" s="1"/>
      <c r="S3" s="1"/>
      <c r="T3" s="1"/>
      <c r="U3" s="1"/>
    </row>
    <row r="4" spans="1:21" ht="16.5" thickTop="1">
      <c r="A4" s="114" t="s">
        <v>3</v>
      </c>
      <c r="B4" s="115"/>
      <c r="C4" s="114" t="s">
        <v>4</v>
      </c>
      <c r="D4" s="115"/>
      <c r="E4" s="114" t="s">
        <v>5</v>
      </c>
      <c r="F4" s="115"/>
      <c r="G4" s="114" t="s">
        <v>128</v>
      </c>
      <c r="H4" s="115"/>
      <c r="I4" s="32" t="s">
        <v>6</v>
      </c>
      <c r="J4" s="2">
        <v>20</v>
      </c>
      <c r="K4" s="2">
        <v>19</v>
      </c>
      <c r="L4" s="2">
        <v>18</v>
      </c>
      <c r="M4" s="2">
        <v>17</v>
      </c>
      <c r="N4" s="2">
        <v>16</v>
      </c>
      <c r="O4" s="2">
        <v>15</v>
      </c>
      <c r="P4" s="2">
        <v>14</v>
      </c>
      <c r="Q4" s="2">
        <v>13</v>
      </c>
      <c r="R4" s="3" t="s">
        <v>129</v>
      </c>
    </row>
    <row r="5" spans="1:21" ht="16.5" thickBot="1">
      <c r="A5" s="105">
        <v>3</v>
      </c>
      <c r="B5" s="106"/>
      <c r="C5" s="105">
        <v>5</v>
      </c>
      <c r="D5" s="106"/>
      <c r="E5" s="105">
        <v>8</v>
      </c>
      <c r="F5" s="106"/>
      <c r="G5" s="105">
        <v>4</v>
      </c>
      <c r="H5" s="106"/>
      <c r="I5" s="33" t="s">
        <v>7</v>
      </c>
      <c r="J5" s="4">
        <v>10</v>
      </c>
      <c r="K5" s="4">
        <v>9</v>
      </c>
      <c r="L5" s="4">
        <v>8</v>
      </c>
      <c r="M5" s="4">
        <v>8</v>
      </c>
      <c r="N5" s="4">
        <v>7</v>
      </c>
      <c r="O5" s="4">
        <v>7</v>
      </c>
      <c r="P5" s="4">
        <v>6</v>
      </c>
      <c r="Q5" s="4">
        <v>5</v>
      </c>
      <c r="R5" s="5">
        <v>2</v>
      </c>
    </row>
    <row r="6" spans="1:21" ht="15.75" thickTop="1"/>
    <row r="7" spans="1:21" ht="15" customHeight="1">
      <c r="A7" s="107" t="s">
        <v>131</v>
      </c>
      <c r="B7" s="107"/>
      <c r="C7" s="107"/>
      <c r="D7" s="107"/>
      <c r="E7" s="107"/>
      <c r="F7" s="107"/>
      <c r="G7" s="107"/>
      <c r="H7" s="107"/>
      <c r="I7" s="107"/>
      <c r="J7" s="107"/>
      <c r="K7" s="107"/>
      <c r="L7" s="107"/>
      <c r="M7" s="107"/>
      <c r="N7" s="107"/>
      <c r="O7" s="107"/>
      <c r="P7" s="107"/>
      <c r="Q7" s="107"/>
      <c r="R7" s="107"/>
      <c r="S7" s="8"/>
      <c r="T7" s="8"/>
    </row>
    <row r="8" spans="1:21" ht="21" customHeight="1">
      <c r="A8" s="107"/>
      <c r="B8" s="107"/>
      <c r="C8" s="107"/>
      <c r="D8" s="107"/>
      <c r="E8" s="107"/>
      <c r="F8" s="107"/>
      <c r="G8" s="107"/>
      <c r="H8" s="107"/>
      <c r="I8" s="107"/>
      <c r="J8" s="107"/>
      <c r="K8" s="107"/>
      <c r="L8" s="107"/>
      <c r="M8" s="107"/>
      <c r="N8" s="107"/>
      <c r="O8" s="107"/>
      <c r="P8" s="107"/>
      <c r="Q8" s="107"/>
      <c r="R8" s="107"/>
      <c r="S8" s="8"/>
      <c r="T8" s="8"/>
    </row>
    <row r="9" spans="1:21" ht="15" customHeight="1">
      <c r="A9" s="107"/>
      <c r="B9" s="107"/>
      <c r="C9" s="107"/>
      <c r="D9" s="107"/>
      <c r="E9" s="107"/>
      <c r="F9" s="107"/>
      <c r="G9" s="107"/>
      <c r="H9" s="107"/>
      <c r="I9" s="107"/>
      <c r="J9" s="107"/>
      <c r="K9" s="107"/>
      <c r="L9" s="107"/>
      <c r="M9" s="107"/>
      <c r="N9" s="107"/>
      <c r="O9" s="107"/>
      <c r="P9" s="107"/>
      <c r="Q9" s="107"/>
      <c r="R9" s="107"/>
      <c r="S9" s="8"/>
      <c r="T9" s="8"/>
    </row>
    <row r="10" spans="1:21" ht="15.75" customHeight="1">
      <c r="A10" s="84" t="s">
        <v>8</v>
      </c>
      <c r="B10" s="7" t="s">
        <v>10</v>
      </c>
      <c r="C10" s="7"/>
      <c r="D10" s="7"/>
      <c r="E10" s="7"/>
      <c r="F10" s="7"/>
      <c r="G10" s="7"/>
      <c r="H10" s="7"/>
      <c r="I10" s="7"/>
      <c r="J10" s="7"/>
      <c r="K10" s="7"/>
      <c r="L10" s="7"/>
      <c r="M10" s="7"/>
      <c r="N10" s="7"/>
      <c r="O10" s="7"/>
      <c r="P10" s="7"/>
      <c r="Q10" s="7"/>
      <c r="R10" s="7"/>
      <c r="S10" s="9"/>
      <c r="T10" s="9"/>
    </row>
    <row r="11" spans="1:21" ht="17.25" customHeight="1">
      <c r="A11" s="84" t="s">
        <v>9</v>
      </c>
      <c r="B11" s="7" t="s">
        <v>11</v>
      </c>
      <c r="C11" s="7"/>
      <c r="D11" s="7"/>
      <c r="E11" s="7"/>
      <c r="F11" s="7"/>
      <c r="G11" s="7"/>
      <c r="H11" s="7"/>
      <c r="I11" s="7"/>
      <c r="J11" s="7"/>
      <c r="K11" s="7"/>
      <c r="L11" s="7"/>
      <c r="M11" s="7"/>
      <c r="N11" s="7"/>
      <c r="O11" s="7"/>
      <c r="P11" s="7"/>
      <c r="Q11" s="7"/>
      <c r="R11" s="7"/>
      <c r="S11" s="9"/>
      <c r="T11" s="9"/>
    </row>
    <row r="12" spans="1:21" ht="15" customHeight="1">
      <c r="A12" s="7"/>
      <c r="B12" s="7"/>
      <c r="C12" s="7"/>
      <c r="D12" s="7"/>
      <c r="E12" s="7"/>
      <c r="F12" s="7"/>
      <c r="G12" s="7"/>
      <c r="H12" s="7"/>
      <c r="I12" s="7"/>
      <c r="J12" s="7"/>
      <c r="K12" s="7"/>
      <c r="L12" s="7"/>
      <c r="M12" s="7"/>
      <c r="N12" s="7"/>
      <c r="O12" s="7"/>
      <c r="P12" s="7"/>
      <c r="Q12" s="7"/>
      <c r="R12" s="7"/>
      <c r="S12" s="9"/>
      <c r="T12" s="9"/>
    </row>
    <row r="13" spans="1:21" ht="15" customHeight="1">
      <c r="A13" s="107" t="s">
        <v>12</v>
      </c>
      <c r="B13" s="107"/>
      <c r="C13" s="107"/>
      <c r="D13" s="107"/>
      <c r="E13" s="107"/>
      <c r="F13" s="107"/>
      <c r="G13" s="107"/>
      <c r="H13" s="107"/>
      <c r="I13" s="107"/>
      <c r="J13" s="107"/>
      <c r="K13" s="107"/>
      <c r="L13" s="107"/>
      <c r="M13" s="107"/>
      <c r="N13" s="107"/>
      <c r="O13" s="107"/>
      <c r="P13" s="107"/>
      <c r="Q13" s="107"/>
      <c r="R13" s="107"/>
      <c r="S13" s="8"/>
      <c r="T13" s="8"/>
    </row>
    <row r="14" spans="1:21" ht="18.75" customHeight="1">
      <c r="A14" s="107"/>
      <c r="B14" s="107"/>
      <c r="C14" s="107"/>
      <c r="D14" s="107"/>
      <c r="E14" s="107"/>
      <c r="F14" s="107"/>
      <c r="G14" s="107"/>
      <c r="H14" s="107"/>
      <c r="I14" s="107"/>
      <c r="J14" s="107"/>
      <c r="K14" s="107"/>
      <c r="L14" s="107"/>
      <c r="M14" s="107"/>
      <c r="N14" s="107"/>
      <c r="O14" s="107"/>
      <c r="P14" s="107"/>
      <c r="Q14" s="107"/>
      <c r="R14" s="107"/>
      <c r="S14" s="8"/>
      <c r="T14" s="8"/>
    </row>
    <row r="15" spans="1:21" ht="15" customHeight="1">
      <c r="A15" s="107"/>
      <c r="B15" s="107"/>
      <c r="C15" s="107"/>
      <c r="D15" s="107"/>
      <c r="E15" s="107"/>
      <c r="F15" s="107"/>
      <c r="G15" s="107"/>
      <c r="H15" s="107"/>
      <c r="I15" s="107"/>
      <c r="J15" s="107"/>
      <c r="K15" s="107"/>
      <c r="L15" s="107"/>
      <c r="M15" s="107"/>
      <c r="N15" s="107"/>
      <c r="O15" s="107"/>
      <c r="P15" s="107"/>
      <c r="Q15" s="107"/>
      <c r="R15" s="107"/>
      <c r="S15" s="8"/>
      <c r="T15" s="8"/>
    </row>
    <row r="16" spans="1:21" ht="15" customHeight="1">
      <c r="A16" s="107"/>
      <c r="B16" s="107"/>
      <c r="C16" s="107"/>
      <c r="D16" s="107"/>
      <c r="E16" s="107"/>
      <c r="F16" s="107"/>
      <c r="G16" s="107"/>
      <c r="H16" s="107"/>
      <c r="I16" s="107"/>
      <c r="J16" s="107"/>
      <c r="K16" s="107"/>
      <c r="L16" s="107"/>
      <c r="M16" s="107"/>
      <c r="N16" s="107"/>
      <c r="O16" s="107"/>
      <c r="P16" s="107"/>
      <c r="Q16" s="107"/>
      <c r="R16" s="107"/>
      <c r="S16" s="8"/>
      <c r="T16" s="8"/>
    </row>
    <row r="17" spans="1:20" ht="16.5" customHeight="1">
      <c r="A17" s="85" t="s">
        <v>24</v>
      </c>
      <c r="B17" s="7"/>
      <c r="C17" s="7"/>
      <c r="D17" s="7"/>
      <c r="E17" s="7"/>
      <c r="F17" s="7"/>
      <c r="G17" s="7"/>
      <c r="H17" s="7"/>
      <c r="I17" s="7"/>
      <c r="J17" s="7"/>
      <c r="K17" s="7"/>
      <c r="L17" s="7"/>
      <c r="M17" s="7"/>
      <c r="N17" s="7"/>
      <c r="O17" s="7"/>
      <c r="P17" s="7"/>
      <c r="Q17" s="7"/>
      <c r="R17" s="7"/>
      <c r="S17" s="9"/>
      <c r="T17" s="9"/>
    </row>
    <row r="18" spans="1:20" ht="16.5" customHeight="1">
      <c r="A18" s="85" t="s">
        <v>25</v>
      </c>
      <c r="B18" s="7"/>
      <c r="C18" s="7"/>
      <c r="D18" s="7"/>
      <c r="E18" s="7"/>
      <c r="F18" s="7"/>
      <c r="G18" s="7"/>
      <c r="H18" s="7"/>
      <c r="I18" s="7"/>
      <c r="J18" s="7"/>
      <c r="K18" s="7"/>
      <c r="L18" s="7"/>
      <c r="M18" s="7"/>
      <c r="N18" s="7"/>
      <c r="O18" s="7"/>
      <c r="P18" s="7"/>
      <c r="Q18" s="7"/>
      <c r="R18" s="7"/>
      <c r="S18" s="9"/>
      <c r="T18" s="9"/>
    </row>
    <row r="19" spans="1:20" ht="16.5" customHeight="1">
      <c r="A19" s="85" t="s">
        <v>26</v>
      </c>
      <c r="B19" s="7"/>
      <c r="C19" s="7"/>
      <c r="D19" s="7"/>
      <c r="E19" s="7"/>
      <c r="F19" s="7"/>
      <c r="G19" s="7"/>
      <c r="H19" s="7"/>
      <c r="I19" s="7"/>
      <c r="J19" s="7"/>
      <c r="K19" s="7"/>
      <c r="L19" s="7"/>
      <c r="M19" s="7"/>
      <c r="N19" s="7"/>
      <c r="O19" s="7"/>
      <c r="P19" s="7"/>
      <c r="Q19" s="7"/>
      <c r="R19" s="7"/>
      <c r="S19" s="9"/>
      <c r="T19" s="9"/>
    </row>
    <row r="20" spans="1:20" ht="16.5" customHeight="1">
      <c r="A20" s="85" t="s">
        <v>27</v>
      </c>
      <c r="B20" s="7"/>
      <c r="C20" s="7"/>
      <c r="D20" s="7"/>
      <c r="E20" s="7"/>
      <c r="F20" s="7"/>
      <c r="G20" s="7"/>
      <c r="H20" s="7"/>
      <c r="I20" s="7"/>
      <c r="J20" s="7"/>
      <c r="K20" s="7"/>
      <c r="L20" s="7"/>
      <c r="M20" s="7"/>
      <c r="N20" s="7"/>
      <c r="O20" s="7"/>
      <c r="P20" s="7"/>
      <c r="Q20" s="7"/>
      <c r="R20" s="7"/>
      <c r="S20" s="9"/>
      <c r="T20" s="9"/>
    </row>
    <row r="21" spans="1:20" ht="15" customHeight="1">
      <c r="A21" s="7"/>
      <c r="B21" s="7"/>
      <c r="C21" s="7"/>
      <c r="D21" s="7"/>
      <c r="E21" s="7"/>
      <c r="F21" s="7"/>
      <c r="G21" s="7"/>
      <c r="H21" s="7"/>
      <c r="I21" s="7"/>
      <c r="J21" s="7"/>
      <c r="K21" s="7"/>
      <c r="L21" s="7"/>
      <c r="M21" s="7"/>
      <c r="N21" s="7"/>
      <c r="O21" s="7"/>
      <c r="P21" s="7"/>
      <c r="Q21" s="7"/>
      <c r="R21" s="7"/>
      <c r="S21" s="9"/>
      <c r="T21" s="9"/>
    </row>
    <row r="22" spans="1:20" ht="33" customHeight="1">
      <c r="A22" s="107" t="s">
        <v>132</v>
      </c>
      <c r="B22" s="107"/>
      <c r="C22" s="107"/>
      <c r="D22" s="107"/>
      <c r="E22" s="107"/>
      <c r="F22" s="107"/>
      <c r="G22" s="107"/>
      <c r="H22" s="107"/>
      <c r="I22" s="107"/>
      <c r="J22" s="107"/>
      <c r="K22" s="107"/>
      <c r="L22" s="107"/>
      <c r="M22" s="107"/>
      <c r="N22" s="107"/>
      <c r="O22" s="107"/>
      <c r="P22" s="107"/>
      <c r="Q22" s="107"/>
      <c r="R22" s="107"/>
      <c r="S22" s="8"/>
      <c r="T22" s="8"/>
    </row>
    <row r="23" spans="1:20" ht="20.100000000000001" customHeight="1">
      <c r="A23" s="107"/>
      <c r="B23" s="107"/>
      <c r="C23" s="107"/>
      <c r="D23" s="107"/>
      <c r="E23" s="107"/>
      <c r="F23" s="107"/>
      <c r="G23" s="107"/>
      <c r="H23" s="107"/>
      <c r="I23" s="107"/>
      <c r="J23" s="107"/>
      <c r="K23" s="107"/>
      <c r="L23" s="107"/>
      <c r="M23" s="107"/>
      <c r="N23" s="107"/>
      <c r="O23" s="107"/>
      <c r="P23" s="107"/>
      <c r="Q23" s="107"/>
      <c r="R23" s="107"/>
      <c r="S23" s="8"/>
      <c r="T23" s="8"/>
    </row>
    <row r="24" spans="1:20" ht="15" customHeight="1" thickBot="1">
      <c r="A24" s="86"/>
      <c r="B24" s="86"/>
      <c r="C24" s="86"/>
      <c r="D24" s="86"/>
      <c r="E24" s="86"/>
      <c r="F24" s="86"/>
      <c r="G24" s="86"/>
      <c r="H24" s="86"/>
      <c r="I24" s="86"/>
      <c r="J24" s="86"/>
      <c r="K24" s="86"/>
      <c r="L24" s="86"/>
      <c r="M24" s="86"/>
      <c r="N24" s="86"/>
      <c r="O24" s="86"/>
      <c r="P24" s="7"/>
      <c r="Q24" s="86"/>
      <c r="R24" s="7"/>
      <c r="S24" s="9"/>
      <c r="T24" s="11"/>
    </row>
    <row r="25" spans="1:20" ht="21">
      <c r="A25" s="86"/>
      <c r="B25" s="86"/>
      <c r="C25" s="86"/>
      <c r="D25" s="86"/>
      <c r="E25" s="86"/>
      <c r="F25" s="110">
        <v>2</v>
      </c>
      <c r="G25" s="87"/>
      <c r="H25" s="86"/>
      <c r="I25" s="86"/>
      <c r="J25" s="86"/>
      <c r="K25" s="86"/>
      <c r="L25" s="110">
        <v>4</v>
      </c>
      <c r="M25" s="87"/>
      <c r="N25" s="86"/>
      <c r="O25" s="86"/>
      <c r="P25" s="86"/>
      <c r="Q25" s="7"/>
      <c r="R25" s="7"/>
      <c r="S25" s="11"/>
    </row>
    <row r="26" spans="1:20" ht="21.75" thickBot="1">
      <c r="A26" s="86"/>
      <c r="B26" s="86"/>
      <c r="C26" s="86"/>
      <c r="D26" s="86"/>
      <c r="E26" s="86"/>
      <c r="F26" s="111"/>
      <c r="G26" s="88"/>
      <c r="H26" s="86"/>
      <c r="I26" s="89">
        <v>1</v>
      </c>
      <c r="J26" s="90" t="s">
        <v>16</v>
      </c>
      <c r="K26" s="86"/>
      <c r="L26" s="111"/>
      <c r="M26" s="88"/>
      <c r="N26" s="86"/>
      <c r="O26" s="86"/>
      <c r="P26" s="86"/>
      <c r="Q26" s="86"/>
      <c r="R26" s="86"/>
      <c r="S26" s="11"/>
    </row>
    <row r="27" spans="1:20" ht="21">
      <c r="A27" s="86"/>
      <c r="B27" s="86"/>
      <c r="C27" s="86">
        <v>3</v>
      </c>
      <c r="D27" s="86"/>
      <c r="E27" s="86"/>
      <c r="F27" s="86"/>
      <c r="G27" s="86"/>
      <c r="H27" s="86"/>
      <c r="I27" s="86"/>
      <c r="J27" s="86"/>
      <c r="K27" s="86"/>
      <c r="L27" s="86"/>
      <c r="M27" s="86"/>
      <c r="N27" s="86"/>
      <c r="O27" s="86">
        <v>4</v>
      </c>
      <c r="P27" s="86"/>
      <c r="Q27" s="86"/>
      <c r="R27" s="86"/>
      <c r="S27" s="11"/>
    </row>
    <row r="28" spans="1:20" ht="21.75" thickBot="1">
      <c r="A28" s="86"/>
      <c r="B28" s="86"/>
      <c r="C28" s="86"/>
      <c r="D28" s="86"/>
      <c r="E28" s="86"/>
      <c r="F28" s="86"/>
      <c r="G28" s="86"/>
      <c r="H28" s="86"/>
      <c r="I28" s="86"/>
      <c r="J28" s="86"/>
      <c r="K28" s="86"/>
      <c r="L28" s="86"/>
      <c r="M28" s="86"/>
      <c r="N28" s="86"/>
      <c r="O28" s="86"/>
      <c r="P28" s="86"/>
      <c r="Q28" s="86"/>
      <c r="R28" s="86"/>
      <c r="S28" s="11"/>
    </row>
    <row r="29" spans="1:20" ht="21">
      <c r="A29" s="110">
        <v>1</v>
      </c>
      <c r="B29" s="87"/>
      <c r="C29" s="86"/>
      <c r="D29" s="86"/>
      <c r="E29" s="86"/>
      <c r="F29" s="86">
        <v>4</v>
      </c>
      <c r="G29" s="86"/>
      <c r="H29" s="86"/>
      <c r="I29" s="86">
        <v>2</v>
      </c>
      <c r="J29" s="86"/>
      <c r="K29" s="86"/>
      <c r="L29" s="86"/>
      <c r="M29" s="86"/>
      <c r="N29" s="86"/>
      <c r="O29" s="86"/>
      <c r="P29" s="86"/>
      <c r="Q29" s="110">
        <v>6</v>
      </c>
      <c r="R29" s="87"/>
      <c r="S29" s="11"/>
    </row>
    <row r="30" spans="1:20" ht="21.75" thickBot="1">
      <c r="A30" s="111"/>
      <c r="B30" s="88"/>
      <c r="C30" s="86"/>
      <c r="D30" s="86"/>
      <c r="E30" s="86"/>
      <c r="F30" s="86"/>
      <c r="G30" s="86"/>
      <c r="H30" s="86"/>
      <c r="I30" s="86"/>
      <c r="J30" s="86"/>
      <c r="K30" s="86"/>
      <c r="L30" s="86"/>
      <c r="M30" s="86"/>
      <c r="N30" s="86"/>
      <c r="O30" s="86"/>
      <c r="P30" s="86"/>
      <c r="Q30" s="111"/>
      <c r="R30" s="88"/>
      <c r="S30" s="11"/>
    </row>
    <row r="31" spans="1:20" ht="21">
      <c r="A31" s="86"/>
      <c r="B31" s="86"/>
      <c r="C31" s="86"/>
      <c r="D31" s="86"/>
      <c r="E31" s="86"/>
      <c r="F31" s="86"/>
      <c r="G31" s="86"/>
      <c r="H31" s="86"/>
      <c r="I31" s="86"/>
      <c r="J31" s="86"/>
      <c r="K31" s="86"/>
      <c r="L31" s="86"/>
      <c r="M31" s="86"/>
      <c r="N31" s="86"/>
      <c r="O31" s="86">
        <v>2</v>
      </c>
      <c r="P31" s="86"/>
      <c r="Q31" s="86"/>
      <c r="R31" s="86"/>
      <c r="S31" s="11"/>
    </row>
    <row r="32" spans="1:20" ht="21.75" thickBot="1">
      <c r="A32" s="86"/>
      <c r="B32" s="86"/>
      <c r="C32" s="86">
        <v>3</v>
      </c>
      <c r="D32" s="86"/>
      <c r="E32" s="86"/>
      <c r="F32" s="86"/>
      <c r="G32" s="86"/>
      <c r="H32" s="86"/>
      <c r="I32" s="86"/>
      <c r="J32" s="86"/>
      <c r="K32" s="86"/>
      <c r="L32" s="86"/>
      <c r="M32" s="86"/>
      <c r="N32" s="86"/>
      <c r="O32" s="86"/>
      <c r="P32" s="86"/>
      <c r="Q32" s="86"/>
      <c r="R32" s="86"/>
      <c r="S32" s="11"/>
    </row>
    <row r="33" spans="1:19" ht="21">
      <c r="A33" s="86"/>
      <c r="B33" s="86"/>
      <c r="C33" s="86"/>
      <c r="D33" s="86"/>
      <c r="E33" s="86"/>
      <c r="F33" s="110">
        <v>3</v>
      </c>
      <c r="G33" s="87"/>
      <c r="H33" s="86"/>
      <c r="I33" s="86"/>
      <c r="J33" s="86"/>
      <c r="K33" s="86"/>
      <c r="L33" s="110">
        <v>5</v>
      </c>
      <c r="M33" s="87"/>
      <c r="N33" s="86"/>
      <c r="O33" s="86"/>
      <c r="P33" s="86"/>
      <c r="Q33" s="86"/>
      <c r="R33" s="86"/>
      <c r="S33" s="11"/>
    </row>
    <row r="34" spans="1:19" ht="21.75" thickBot="1">
      <c r="A34" s="86"/>
      <c r="B34" s="86"/>
      <c r="C34" s="86"/>
      <c r="D34" s="86"/>
      <c r="E34" s="86"/>
      <c r="F34" s="111"/>
      <c r="G34" s="88"/>
      <c r="H34" s="86"/>
      <c r="I34" s="86"/>
      <c r="J34" s="86">
        <v>3</v>
      </c>
      <c r="K34" s="86"/>
      <c r="L34" s="111"/>
      <c r="M34" s="88"/>
      <c r="N34" s="86"/>
      <c r="O34" s="86"/>
      <c r="P34" s="86"/>
      <c r="Q34" s="86"/>
      <c r="R34" s="86"/>
      <c r="S34" s="11"/>
    </row>
    <row r="35" spans="1:19" ht="21">
      <c r="A35" s="86"/>
      <c r="B35" s="86"/>
      <c r="C35" s="86"/>
      <c r="D35" s="86"/>
      <c r="E35" s="86"/>
      <c r="F35" s="86"/>
      <c r="G35" s="86"/>
      <c r="H35" s="86"/>
      <c r="I35" s="86"/>
      <c r="J35" s="86"/>
      <c r="K35" s="86"/>
      <c r="L35" s="86"/>
      <c r="M35" s="86"/>
      <c r="N35" s="86"/>
      <c r="O35" s="86"/>
      <c r="P35" s="86"/>
      <c r="Q35" s="86"/>
      <c r="R35" s="86"/>
      <c r="S35" s="11"/>
    </row>
    <row r="36" spans="1:19" ht="21">
      <c r="A36" s="112" t="s">
        <v>32</v>
      </c>
      <c r="B36" s="113"/>
      <c r="C36" s="82" t="s">
        <v>30</v>
      </c>
      <c r="D36" s="82" t="s">
        <v>31</v>
      </c>
      <c r="E36" s="82" t="s">
        <v>13</v>
      </c>
      <c r="F36" s="82" t="s">
        <v>17</v>
      </c>
      <c r="G36" s="82" t="s">
        <v>18</v>
      </c>
      <c r="H36" s="108" t="s">
        <v>19</v>
      </c>
      <c r="I36" s="108"/>
      <c r="J36" s="108" t="s">
        <v>20</v>
      </c>
      <c r="K36" s="108"/>
      <c r="L36" s="108" t="s">
        <v>21</v>
      </c>
      <c r="M36" s="108"/>
      <c r="N36" s="108" t="s">
        <v>35</v>
      </c>
      <c r="O36" s="108"/>
      <c r="P36" s="7"/>
      <c r="Q36" s="7"/>
      <c r="R36" s="7"/>
      <c r="S36" s="9"/>
    </row>
    <row r="37" spans="1:19" ht="21">
      <c r="A37" s="54">
        <v>1</v>
      </c>
      <c r="B37" s="55">
        <v>2</v>
      </c>
      <c r="C37" s="81"/>
      <c r="D37" s="81"/>
      <c r="E37" s="81"/>
      <c r="F37" s="81"/>
      <c r="G37" s="57"/>
      <c r="H37" s="109">
        <v>10</v>
      </c>
      <c r="I37" s="109"/>
      <c r="J37" s="109">
        <v>14</v>
      </c>
      <c r="K37" s="109"/>
      <c r="L37" s="104"/>
      <c r="M37" s="104"/>
      <c r="N37" s="104"/>
      <c r="O37" s="104"/>
      <c r="P37" s="7"/>
      <c r="Q37" s="7"/>
      <c r="R37" s="7"/>
      <c r="S37" s="9"/>
    </row>
    <row r="38" spans="1:19" ht="21">
      <c r="A38" s="54">
        <v>1</v>
      </c>
      <c r="B38" s="55">
        <v>3</v>
      </c>
      <c r="C38" s="81"/>
      <c r="D38" s="81"/>
      <c r="E38" s="81"/>
      <c r="F38" s="81"/>
      <c r="G38" s="81"/>
      <c r="H38" s="109">
        <v>16</v>
      </c>
      <c r="I38" s="109"/>
      <c r="J38" s="109">
        <v>11</v>
      </c>
      <c r="K38" s="109"/>
      <c r="L38" s="109"/>
      <c r="M38" s="109"/>
      <c r="N38" s="109"/>
      <c r="O38" s="109"/>
      <c r="P38" s="7"/>
      <c r="Q38" s="7"/>
      <c r="R38" s="7"/>
      <c r="S38" s="9"/>
    </row>
    <row r="39" spans="1:19" ht="21">
      <c r="A39" s="54">
        <v>2</v>
      </c>
      <c r="B39" s="55">
        <v>3</v>
      </c>
      <c r="C39" s="81"/>
      <c r="D39" s="81"/>
      <c r="E39" s="81"/>
      <c r="F39" s="81"/>
      <c r="G39" s="57"/>
      <c r="H39" s="109">
        <v>9</v>
      </c>
      <c r="I39" s="109"/>
      <c r="J39" s="109">
        <v>17</v>
      </c>
      <c r="K39" s="109"/>
      <c r="L39" s="104"/>
      <c r="M39" s="104"/>
      <c r="N39" s="104"/>
      <c r="O39" s="104"/>
      <c r="P39" s="7"/>
      <c r="Q39" s="7"/>
      <c r="R39" s="7"/>
      <c r="S39" s="9"/>
    </row>
    <row r="40" spans="1:19" ht="21">
      <c r="A40" s="54">
        <v>2</v>
      </c>
      <c r="B40" s="55">
        <v>4</v>
      </c>
      <c r="C40" s="81"/>
      <c r="D40" s="81"/>
      <c r="E40" s="81"/>
      <c r="F40" s="81"/>
      <c r="G40" s="81"/>
      <c r="H40" s="109">
        <v>15</v>
      </c>
      <c r="I40" s="109"/>
      <c r="J40" s="109">
        <v>15</v>
      </c>
      <c r="K40" s="109"/>
      <c r="L40" s="109"/>
      <c r="M40" s="109"/>
      <c r="N40" s="109"/>
      <c r="O40" s="109"/>
      <c r="P40" s="7"/>
      <c r="Q40" s="7"/>
      <c r="R40" s="7"/>
      <c r="S40" s="9"/>
    </row>
    <row r="41" spans="1:19" ht="21">
      <c r="A41" s="54">
        <v>3</v>
      </c>
      <c r="B41" s="55">
        <v>4</v>
      </c>
      <c r="C41" s="81"/>
      <c r="D41" s="81"/>
      <c r="E41" s="81"/>
      <c r="F41" s="81"/>
      <c r="G41" s="57"/>
      <c r="H41" s="109">
        <v>12</v>
      </c>
      <c r="I41" s="109"/>
      <c r="J41" s="109">
        <v>12</v>
      </c>
      <c r="K41" s="109"/>
      <c r="L41" s="104"/>
      <c r="M41" s="104"/>
      <c r="N41" s="104"/>
      <c r="O41" s="104"/>
      <c r="P41" s="7"/>
      <c r="Q41" s="7"/>
      <c r="R41" s="7"/>
      <c r="S41" s="9"/>
    </row>
    <row r="42" spans="1:19" ht="21">
      <c r="A42" s="54">
        <v>3</v>
      </c>
      <c r="B42" s="55">
        <v>5</v>
      </c>
      <c r="C42" s="81"/>
      <c r="D42" s="81"/>
      <c r="E42" s="81"/>
      <c r="F42" s="81"/>
      <c r="G42" s="81"/>
      <c r="H42" s="109">
        <v>12</v>
      </c>
      <c r="I42" s="109"/>
      <c r="J42" s="109">
        <v>6</v>
      </c>
      <c r="K42" s="109"/>
      <c r="L42" s="109"/>
      <c r="M42" s="109"/>
      <c r="N42" s="109"/>
      <c r="O42" s="109"/>
      <c r="P42" s="7"/>
      <c r="Q42" s="7"/>
      <c r="R42" s="7"/>
      <c r="S42" s="9"/>
    </row>
    <row r="43" spans="1:19" ht="21">
      <c r="A43" s="54">
        <v>4</v>
      </c>
      <c r="B43" s="55">
        <v>6</v>
      </c>
      <c r="C43" s="81"/>
      <c r="D43" s="81"/>
      <c r="E43" s="81"/>
      <c r="F43" s="81"/>
      <c r="G43" s="57"/>
      <c r="H43" s="109">
        <v>16</v>
      </c>
      <c r="I43" s="109"/>
      <c r="J43" s="109">
        <v>17</v>
      </c>
      <c r="K43" s="109"/>
      <c r="L43" s="104"/>
      <c r="M43" s="104"/>
      <c r="N43" s="104"/>
      <c r="O43" s="104"/>
      <c r="P43" s="7"/>
      <c r="Q43" s="7"/>
      <c r="R43" s="7"/>
      <c r="S43" s="9"/>
    </row>
    <row r="44" spans="1:19" ht="21">
      <c r="A44" s="58">
        <v>5</v>
      </c>
      <c r="B44" s="59">
        <v>6</v>
      </c>
      <c r="C44" s="60"/>
      <c r="D44" s="60"/>
      <c r="E44" s="60"/>
      <c r="F44" s="60"/>
      <c r="G44" s="81"/>
      <c r="H44" s="109">
        <v>6</v>
      </c>
      <c r="I44" s="109"/>
      <c r="J44" s="109">
        <v>12</v>
      </c>
      <c r="K44" s="109"/>
      <c r="L44" s="109"/>
      <c r="M44" s="109"/>
      <c r="N44" s="109"/>
      <c r="O44" s="109"/>
      <c r="P44" s="7"/>
      <c r="Q44" s="7"/>
      <c r="R44" s="7"/>
      <c r="S44" s="9"/>
    </row>
    <row r="45" spans="1:19" ht="21">
      <c r="A45" s="108" t="s">
        <v>14</v>
      </c>
      <c r="B45" s="108"/>
      <c r="C45" s="108"/>
      <c r="D45" s="108"/>
      <c r="E45" s="108"/>
      <c r="F45" s="108"/>
      <c r="G45" s="7"/>
      <c r="H45" s="108" t="s">
        <v>15</v>
      </c>
      <c r="I45" s="108"/>
      <c r="J45" s="108"/>
      <c r="K45" s="108"/>
      <c r="L45" s="108"/>
      <c r="M45" s="108"/>
      <c r="N45" s="108"/>
      <c r="O45" s="108"/>
      <c r="P45" s="7"/>
      <c r="Q45" s="7"/>
      <c r="R45" s="7"/>
      <c r="S45" s="9"/>
    </row>
    <row r="46" spans="1:19" ht="15.75">
      <c r="A46" s="7"/>
      <c r="B46" s="7"/>
      <c r="C46" s="7"/>
      <c r="D46" s="7"/>
      <c r="E46" s="7"/>
      <c r="F46" s="7"/>
      <c r="G46" s="7"/>
      <c r="H46" s="7"/>
      <c r="I46" s="7"/>
      <c r="J46" s="7"/>
      <c r="K46" s="7"/>
      <c r="L46" s="7"/>
      <c r="M46" s="7"/>
      <c r="N46" s="7"/>
      <c r="O46" s="7"/>
      <c r="P46" s="7"/>
      <c r="Q46" s="7"/>
      <c r="R46" s="7"/>
      <c r="S46" s="7"/>
    </row>
    <row r="47" spans="1:19" ht="15.75">
      <c r="A47" s="119" t="s">
        <v>135</v>
      </c>
      <c r="B47" s="119"/>
      <c r="C47" s="119"/>
      <c r="D47" s="119"/>
      <c r="E47" s="119"/>
      <c r="F47" s="119"/>
      <c r="G47" s="119"/>
      <c r="H47" s="119"/>
      <c r="I47" s="119"/>
      <c r="J47" s="119"/>
      <c r="K47" s="119"/>
      <c r="L47" s="119"/>
      <c r="M47" s="119"/>
      <c r="N47" s="119"/>
      <c r="O47" s="119"/>
      <c r="P47" s="119"/>
      <c r="Q47" s="119"/>
      <c r="R47" s="119"/>
    </row>
    <row r="49" spans="1:18">
      <c r="B49" s="91" t="s">
        <v>133</v>
      </c>
      <c r="C49" s="120" t="s">
        <v>134</v>
      </c>
      <c r="D49" s="120"/>
    </row>
    <row r="50" spans="1:18">
      <c r="B50" s="92">
        <v>1</v>
      </c>
      <c r="C50" s="121">
        <v>0.05</v>
      </c>
      <c r="D50" s="122"/>
    </row>
    <row r="51" spans="1:18">
      <c r="B51" s="92">
        <v>3</v>
      </c>
      <c r="C51" s="121">
        <v>0.1</v>
      </c>
      <c r="D51" s="122"/>
    </row>
    <row r="52" spans="1:18">
      <c r="B52" s="92">
        <v>5</v>
      </c>
      <c r="C52" s="121">
        <v>0.5</v>
      </c>
      <c r="D52" s="122"/>
    </row>
    <row r="53" spans="1:18">
      <c r="B53" s="92">
        <v>7</v>
      </c>
      <c r="C53" s="121">
        <v>0.35</v>
      </c>
      <c r="D53" s="122"/>
    </row>
    <row r="55" spans="1:18" ht="63" customHeight="1">
      <c r="A55" s="118" t="s">
        <v>155</v>
      </c>
      <c r="B55" s="118"/>
      <c r="C55" s="118"/>
      <c r="D55" s="118"/>
      <c r="E55" s="118"/>
      <c r="F55" s="118"/>
      <c r="G55" s="118"/>
      <c r="H55" s="118"/>
      <c r="I55" s="118"/>
      <c r="J55" s="118"/>
      <c r="K55" s="118"/>
      <c r="L55" s="118"/>
      <c r="M55" s="118"/>
      <c r="N55" s="118"/>
      <c r="O55" s="118"/>
      <c r="P55" s="118"/>
      <c r="Q55" s="118"/>
      <c r="R55" s="118"/>
    </row>
  </sheetData>
  <mergeCells count="69">
    <mergeCell ref="A55:R55"/>
    <mergeCell ref="A47:R47"/>
    <mergeCell ref="C49:D49"/>
    <mergeCell ref="C50:D50"/>
    <mergeCell ref="C51:D51"/>
    <mergeCell ref="C52:D52"/>
    <mergeCell ref="C53:D53"/>
    <mergeCell ref="A4:B4"/>
    <mergeCell ref="C4:D4"/>
    <mergeCell ref="E4:F4"/>
    <mergeCell ref="O1:R1"/>
    <mergeCell ref="A1:L1"/>
    <mergeCell ref="O2:R2"/>
    <mergeCell ref="A2:N2"/>
    <mergeCell ref="G4:H4"/>
    <mergeCell ref="H44:I44"/>
    <mergeCell ref="H43:I43"/>
    <mergeCell ref="H42:I42"/>
    <mergeCell ref="H41:I41"/>
    <mergeCell ref="A5:B5"/>
    <mergeCell ref="C5:D5"/>
    <mergeCell ref="E5:F5"/>
    <mergeCell ref="A7:R9"/>
    <mergeCell ref="A13:R16"/>
    <mergeCell ref="F25:F26"/>
    <mergeCell ref="F33:F34"/>
    <mergeCell ref="L25:L26"/>
    <mergeCell ref="L33:L34"/>
    <mergeCell ref="Q29:Q30"/>
    <mergeCell ref="A29:A30"/>
    <mergeCell ref="H40:I40"/>
    <mergeCell ref="H39:I39"/>
    <mergeCell ref="H38:I38"/>
    <mergeCell ref="H37:I37"/>
    <mergeCell ref="H36:I36"/>
    <mergeCell ref="A36:B36"/>
    <mergeCell ref="J44:K44"/>
    <mergeCell ref="J43:K43"/>
    <mergeCell ref="J42:K42"/>
    <mergeCell ref="J41:K41"/>
    <mergeCell ref="J40:K40"/>
    <mergeCell ref="N36:O36"/>
    <mergeCell ref="L36:M36"/>
    <mergeCell ref="N41:O41"/>
    <mergeCell ref="L41:M41"/>
    <mergeCell ref="N40:O40"/>
    <mergeCell ref="L40:M40"/>
    <mergeCell ref="N44:O44"/>
    <mergeCell ref="L44:M44"/>
    <mergeCell ref="N43:O43"/>
    <mergeCell ref="L43:M43"/>
    <mergeCell ref="N42:O42"/>
    <mergeCell ref="L42:M42"/>
    <mergeCell ref="N39:O39"/>
    <mergeCell ref="L39:M39"/>
    <mergeCell ref="G5:H5"/>
    <mergeCell ref="A22:R23"/>
    <mergeCell ref="L45:O45"/>
    <mergeCell ref="H45:K45"/>
    <mergeCell ref="A45:C45"/>
    <mergeCell ref="D45:F45"/>
    <mergeCell ref="N38:O38"/>
    <mergeCell ref="L38:M38"/>
    <mergeCell ref="N37:O37"/>
    <mergeCell ref="L37:M37"/>
    <mergeCell ref="J39:K39"/>
    <mergeCell ref="J38:K38"/>
    <mergeCell ref="J37:K37"/>
    <mergeCell ref="J36:K36"/>
  </mergeCells>
  <conditionalFormatting sqref="G37:H44 J37:J44 L37:L44 N37:N44">
    <cfRule type="cellIs" dxfId="3" priority="1" operator="equal">
      <formula>"SI"</formula>
    </cfRule>
  </conditionalFormatting>
  <printOptions horizontalCentered="1" verticalCentered="1"/>
  <pageMargins left="0.39370078740157483" right="0" top="0" bottom="0" header="0.31496062992125984" footer="0.31496062992125984"/>
  <pageSetup paperSize="9" scale="80"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AH99"/>
  <sheetViews>
    <sheetView showGridLines="0" tabSelected="1" topLeftCell="A73" zoomScale="80" zoomScaleNormal="80" workbookViewId="0">
      <selection activeCell="L89" sqref="L89"/>
    </sheetView>
  </sheetViews>
  <sheetFormatPr baseColWidth="10" defaultRowHeight="15"/>
  <cols>
    <col min="2" max="2" width="15.85546875" customWidth="1"/>
    <col min="3" max="3" width="15" customWidth="1"/>
    <col min="5" max="5" width="18.28515625" customWidth="1"/>
    <col min="7" max="7" width="13.140625" bestFit="1" customWidth="1"/>
    <col min="9" max="9" width="19.85546875" customWidth="1"/>
    <col min="17" max="34" width="6.7109375" customWidth="1"/>
  </cols>
  <sheetData>
    <row r="1" spans="1:34" ht="15" customHeight="1">
      <c r="A1" s="134" t="s">
        <v>23</v>
      </c>
      <c r="B1" s="134"/>
      <c r="C1" s="134"/>
      <c r="D1" s="134"/>
      <c r="E1" s="134"/>
      <c r="F1" s="134"/>
      <c r="G1" s="134"/>
      <c r="H1" s="134"/>
      <c r="I1" s="134"/>
      <c r="J1" s="134"/>
      <c r="K1" s="134"/>
      <c r="L1" s="134"/>
      <c r="M1" s="134"/>
      <c r="N1" s="8"/>
      <c r="O1" s="8"/>
      <c r="P1" s="8"/>
      <c r="Q1" s="134" t="s">
        <v>50</v>
      </c>
      <c r="R1" s="134"/>
      <c r="S1" s="134"/>
      <c r="T1" s="134"/>
      <c r="U1" s="134"/>
      <c r="V1" s="134"/>
      <c r="W1" s="134"/>
      <c r="X1" s="134"/>
      <c r="Y1" s="134"/>
      <c r="Z1" s="134"/>
      <c r="AA1" s="134"/>
      <c r="AB1" s="134"/>
      <c r="AC1" s="134"/>
      <c r="AD1" s="134"/>
      <c r="AE1" s="134"/>
      <c r="AF1" s="134"/>
      <c r="AG1" s="134"/>
      <c r="AH1" s="134"/>
    </row>
    <row r="2" spans="1:34" ht="15" customHeight="1">
      <c r="A2" s="134"/>
      <c r="B2" s="134"/>
      <c r="C2" s="134"/>
      <c r="D2" s="134"/>
      <c r="E2" s="134"/>
      <c r="F2" s="134"/>
      <c r="G2" s="134"/>
      <c r="H2" s="134"/>
      <c r="I2" s="134"/>
      <c r="J2" s="134"/>
      <c r="K2" s="134"/>
      <c r="L2" s="134"/>
      <c r="M2" s="134"/>
      <c r="N2" s="8"/>
      <c r="O2" s="8"/>
      <c r="P2" s="8"/>
      <c r="Q2" s="134"/>
      <c r="R2" s="134"/>
      <c r="S2" s="134"/>
      <c r="T2" s="134"/>
      <c r="U2" s="134"/>
      <c r="V2" s="134"/>
      <c r="W2" s="134"/>
      <c r="X2" s="134"/>
      <c r="Y2" s="134"/>
      <c r="Z2" s="134"/>
      <c r="AA2" s="134"/>
      <c r="AB2" s="134"/>
      <c r="AC2" s="134"/>
      <c r="AD2" s="134"/>
      <c r="AE2" s="134"/>
      <c r="AF2" s="134"/>
      <c r="AG2" s="134"/>
      <c r="AH2" s="134"/>
    </row>
    <row r="3" spans="1:34" ht="15" customHeight="1">
      <c r="A3" s="134"/>
      <c r="B3" s="134"/>
      <c r="C3" s="134"/>
      <c r="D3" s="134"/>
      <c r="E3" s="134"/>
      <c r="F3" s="134"/>
      <c r="G3" s="134"/>
      <c r="H3" s="134"/>
      <c r="I3" s="134"/>
      <c r="J3" s="134"/>
      <c r="K3" s="134"/>
      <c r="L3" s="134"/>
      <c r="M3" s="134"/>
      <c r="N3" s="8"/>
      <c r="O3" s="8"/>
      <c r="P3" s="8"/>
      <c r="Q3" s="134"/>
      <c r="R3" s="134"/>
      <c r="S3" s="134"/>
      <c r="T3" s="134"/>
      <c r="U3" s="134"/>
      <c r="V3" s="134"/>
      <c r="W3" s="134"/>
      <c r="X3" s="134"/>
      <c r="Y3" s="134"/>
      <c r="Z3" s="134"/>
      <c r="AA3" s="134"/>
      <c r="AB3" s="134"/>
      <c r="AC3" s="134"/>
      <c r="AD3" s="134"/>
      <c r="AE3" s="134"/>
      <c r="AF3" s="134"/>
      <c r="AG3" s="134"/>
      <c r="AH3" s="134"/>
    </row>
    <row r="4" spans="1:34" ht="15" customHeight="1">
      <c r="A4" s="134"/>
      <c r="B4" s="134"/>
      <c r="C4" s="134"/>
      <c r="D4" s="134"/>
      <c r="E4" s="134"/>
      <c r="F4" s="134"/>
      <c r="G4" s="134"/>
      <c r="H4" s="134"/>
      <c r="I4" s="134"/>
      <c r="J4" s="134"/>
      <c r="K4" s="134"/>
      <c r="L4" s="134"/>
      <c r="M4" s="134"/>
      <c r="N4" s="8"/>
      <c r="O4" s="8"/>
      <c r="P4" s="8"/>
      <c r="Q4" s="134"/>
      <c r="R4" s="134"/>
      <c r="S4" s="134"/>
      <c r="T4" s="134"/>
      <c r="U4" s="134"/>
      <c r="V4" s="134"/>
      <c r="W4" s="134"/>
      <c r="X4" s="134"/>
      <c r="Y4" s="134"/>
      <c r="Z4" s="134"/>
      <c r="AA4" s="134"/>
      <c r="AB4" s="134"/>
      <c r="AC4" s="134"/>
      <c r="AD4" s="134"/>
      <c r="AE4" s="134"/>
      <c r="AF4" s="134"/>
      <c r="AG4" s="134"/>
      <c r="AH4" s="134"/>
    </row>
    <row r="5" spans="1:34" ht="21">
      <c r="A5" s="8"/>
      <c r="B5" s="8"/>
      <c r="C5" s="8"/>
      <c r="D5" s="8"/>
      <c r="E5" s="8"/>
      <c r="F5" s="8"/>
      <c r="G5" s="8"/>
      <c r="H5" s="8"/>
      <c r="I5" s="8"/>
      <c r="J5" s="8"/>
      <c r="K5" s="8"/>
      <c r="L5" s="8"/>
      <c r="M5" s="8"/>
      <c r="N5" s="8"/>
      <c r="O5" s="8"/>
      <c r="P5" s="8"/>
      <c r="Q5" s="134"/>
      <c r="R5" s="134"/>
      <c r="S5" s="134"/>
      <c r="T5" s="134"/>
      <c r="U5" s="134"/>
      <c r="V5" s="134"/>
      <c r="W5" s="134"/>
      <c r="X5" s="134"/>
      <c r="Y5" s="134"/>
      <c r="Z5" s="134"/>
      <c r="AA5" s="134"/>
      <c r="AB5" s="134"/>
      <c r="AC5" s="134"/>
      <c r="AD5" s="134"/>
      <c r="AE5" s="134"/>
      <c r="AF5" s="134"/>
      <c r="AG5" s="134"/>
      <c r="AH5" s="134"/>
    </row>
    <row r="6" spans="1:34" ht="21.75" thickBot="1">
      <c r="A6" s="24" t="s">
        <v>8</v>
      </c>
      <c r="B6" s="9" t="s">
        <v>10</v>
      </c>
      <c r="C6" s="9"/>
      <c r="D6" s="9"/>
      <c r="E6" s="9"/>
      <c r="F6" s="9"/>
      <c r="G6" s="9">
        <v>4300</v>
      </c>
      <c r="H6" s="9"/>
      <c r="I6" s="9"/>
      <c r="J6" s="9"/>
      <c r="K6" s="9"/>
      <c r="L6" s="9"/>
      <c r="M6" s="9"/>
      <c r="N6" s="9"/>
      <c r="O6" s="9"/>
      <c r="P6" s="9"/>
      <c r="Q6" s="44"/>
      <c r="R6" s="44"/>
      <c r="S6" s="44"/>
      <c r="T6" s="44"/>
      <c r="U6" s="44"/>
      <c r="V6" s="44"/>
      <c r="W6" s="44"/>
      <c r="X6" s="44"/>
      <c r="Y6" s="44"/>
      <c r="Z6" s="44"/>
      <c r="AA6" s="44"/>
      <c r="AB6" s="44"/>
      <c r="AC6" s="44"/>
      <c r="AD6" s="44"/>
      <c r="AE6" s="44"/>
      <c r="AF6" s="9"/>
      <c r="AG6" s="44"/>
      <c r="AH6" s="9"/>
    </row>
    <row r="7" spans="1:34" ht="21">
      <c r="A7" s="24" t="s">
        <v>9</v>
      </c>
      <c r="B7" s="9" t="s">
        <v>11</v>
      </c>
      <c r="C7" s="9"/>
      <c r="D7" s="9"/>
      <c r="E7" s="9"/>
      <c r="F7" s="9"/>
      <c r="G7" s="9">
        <v>5290</v>
      </c>
      <c r="H7" s="9"/>
      <c r="I7" s="9"/>
      <c r="J7" s="9"/>
      <c r="K7" s="9"/>
      <c r="L7" s="9"/>
      <c r="M7" s="9"/>
      <c r="N7" s="9"/>
      <c r="O7" s="9"/>
      <c r="P7" s="9"/>
      <c r="Q7" s="44"/>
      <c r="R7" s="44"/>
      <c r="S7" s="44"/>
      <c r="T7" s="44"/>
      <c r="U7" s="44"/>
      <c r="V7" s="135">
        <v>2</v>
      </c>
      <c r="W7" s="12">
        <v>3</v>
      </c>
      <c r="X7" s="44"/>
      <c r="Y7" s="44"/>
      <c r="Z7" s="44"/>
      <c r="AA7" s="44"/>
      <c r="AB7" s="135">
        <v>4</v>
      </c>
      <c r="AC7" s="12">
        <v>9</v>
      </c>
      <c r="AD7" s="44"/>
      <c r="AE7" s="44"/>
      <c r="AF7" s="44"/>
      <c r="AG7" s="9"/>
      <c r="AH7" s="9"/>
    </row>
    <row r="8" spans="1:34" ht="21.75" thickBot="1">
      <c r="Q8" s="44"/>
      <c r="R8" s="44"/>
      <c r="S8" s="44"/>
      <c r="T8" s="44"/>
      <c r="U8" s="44"/>
      <c r="V8" s="136"/>
      <c r="W8" s="13">
        <v>3</v>
      </c>
      <c r="X8" s="44"/>
      <c r="Y8" s="14">
        <v>1</v>
      </c>
      <c r="Z8" s="15" t="s">
        <v>16</v>
      </c>
      <c r="AA8" s="44"/>
      <c r="AB8" s="136"/>
      <c r="AC8" s="13">
        <v>9</v>
      </c>
      <c r="AD8" s="44"/>
      <c r="AE8" s="44"/>
      <c r="AF8" s="44"/>
      <c r="AG8" s="44"/>
      <c r="AH8" s="44"/>
    </row>
    <row r="9" spans="1:34" ht="21" customHeight="1">
      <c r="Q9" s="44"/>
      <c r="R9" s="44"/>
      <c r="S9" s="44">
        <v>3</v>
      </c>
      <c r="T9" s="44"/>
      <c r="U9" s="44"/>
      <c r="V9" s="44"/>
      <c r="W9" s="44"/>
      <c r="X9" s="44"/>
      <c r="Y9" s="44"/>
      <c r="Z9" s="44"/>
      <c r="AA9" s="44"/>
      <c r="AB9" s="44"/>
      <c r="AC9" s="44"/>
      <c r="AD9" s="44"/>
      <c r="AE9" s="44">
        <v>4</v>
      </c>
      <c r="AF9" s="44"/>
      <c r="AG9" s="44"/>
      <c r="AH9" s="44"/>
    </row>
    <row r="10" spans="1:34" ht="21.75" thickBot="1">
      <c r="A10" s="127" t="s">
        <v>8</v>
      </c>
      <c r="B10" s="128">
        <v>1000</v>
      </c>
      <c r="C10" s="129">
        <v>9000</v>
      </c>
      <c r="D10" s="40"/>
      <c r="E10" s="67">
        <v>0.7</v>
      </c>
      <c r="F10" s="69">
        <v>0.3</v>
      </c>
      <c r="H10" s="128">
        <f>+B10*E10+C10*E11</f>
        <v>4300</v>
      </c>
      <c r="I10" s="129">
        <f>+B10*F10+C10*F11</f>
        <v>5700</v>
      </c>
      <c r="Q10" s="44"/>
      <c r="R10" s="44"/>
      <c r="S10" s="44"/>
      <c r="T10" s="44"/>
      <c r="U10" s="44"/>
      <c r="V10" s="44"/>
      <c r="W10" s="44"/>
      <c r="X10" s="44"/>
      <c r="Y10" s="44"/>
      <c r="Z10" s="44"/>
      <c r="AA10" s="44"/>
      <c r="AB10" s="44"/>
      <c r="AC10" s="44"/>
      <c r="AD10" s="44"/>
      <c r="AE10" s="44"/>
      <c r="AF10" s="44"/>
      <c r="AG10" s="44"/>
      <c r="AH10" s="44"/>
    </row>
    <row r="11" spans="1:34" ht="21">
      <c r="A11" s="127"/>
      <c r="B11" s="128"/>
      <c r="C11" s="129"/>
      <c r="D11" s="40"/>
      <c r="E11" s="67">
        <v>0.4</v>
      </c>
      <c r="F11" s="69">
        <v>0.6</v>
      </c>
      <c r="H11" s="128"/>
      <c r="I11" s="129"/>
      <c r="Q11" s="135">
        <v>1</v>
      </c>
      <c r="R11" s="12">
        <v>0</v>
      </c>
      <c r="S11" s="44"/>
      <c r="T11" s="44"/>
      <c r="U11" s="44"/>
      <c r="V11" s="44">
        <v>4</v>
      </c>
      <c r="W11" s="44"/>
      <c r="X11" s="44"/>
      <c r="Y11" s="44">
        <v>2</v>
      </c>
      <c r="Z11" s="44"/>
      <c r="AA11" s="44"/>
      <c r="AB11" s="44"/>
      <c r="AC11" s="44"/>
      <c r="AD11" s="44"/>
      <c r="AE11" s="44"/>
      <c r="AF11" s="44"/>
      <c r="AG11" s="135">
        <v>6</v>
      </c>
      <c r="AH11" s="12">
        <v>13</v>
      </c>
    </row>
    <row r="12" spans="1:34" ht="21.75" thickBot="1">
      <c r="Q12" s="136"/>
      <c r="R12" s="13">
        <v>0</v>
      </c>
      <c r="S12" s="44"/>
      <c r="T12" s="44"/>
      <c r="U12" s="44"/>
      <c r="V12" s="44"/>
      <c r="W12" s="44"/>
      <c r="X12" s="44"/>
      <c r="Y12" s="44"/>
      <c r="Z12" s="44"/>
      <c r="AA12" s="44"/>
      <c r="AB12" s="44"/>
      <c r="AC12" s="44"/>
      <c r="AD12" s="44"/>
      <c r="AE12" s="44"/>
      <c r="AF12" s="44"/>
      <c r="AG12" s="136"/>
      <c r="AH12" s="13">
        <v>13</v>
      </c>
    </row>
    <row r="13" spans="1:34" ht="15" customHeight="1">
      <c r="A13" s="132" t="s">
        <v>9</v>
      </c>
      <c r="B13" s="67">
        <v>0.7</v>
      </c>
      <c r="C13" s="69">
        <v>0.3</v>
      </c>
      <c r="E13" s="67">
        <v>0.7</v>
      </c>
      <c r="F13" s="69">
        <v>0.3</v>
      </c>
      <c r="H13" s="67">
        <f>+B13*E13+C13*E14</f>
        <v>0.60999999999999988</v>
      </c>
      <c r="I13" s="69">
        <f>+B13*F13+C13*F14</f>
        <v>0.39</v>
      </c>
      <c r="Q13" s="44"/>
      <c r="R13" s="44"/>
      <c r="S13" s="44"/>
      <c r="T13" s="44"/>
      <c r="U13" s="44"/>
      <c r="V13" s="44"/>
      <c r="W13" s="44"/>
      <c r="X13" s="44"/>
      <c r="Y13" s="44"/>
      <c r="Z13" s="44"/>
      <c r="AA13" s="44"/>
      <c r="AB13" s="44"/>
      <c r="AC13" s="44"/>
      <c r="AD13" s="44"/>
      <c r="AE13" s="80">
        <v>2</v>
      </c>
      <c r="AF13" s="44"/>
      <c r="AG13" s="44"/>
      <c r="AH13" s="44"/>
    </row>
    <row r="14" spans="1:34" ht="15" customHeight="1" thickBot="1">
      <c r="A14" s="132"/>
      <c r="B14" s="67">
        <v>0.4</v>
      </c>
      <c r="C14" s="69">
        <v>0.6</v>
      </c>
      <c r="E14" s="67">
        <v>0.4</v>
      </c>
      <c r="F14" s="69">
        <v>0.6</v>
      </c>
      <c r="H14" s="67">
        <f>+B14*E13+C14*E14</f>
        <v>0.52</v>
      </c>
      <c r="I14" s="69">
        <f>+B14*F13+C14*F14</f>
        <v>0.48</v>
      </c>
      <c r="Q14" s="44"/>
      <c r="R14" s="44"/>
      <c r="S14" s="44">
        <v>3</v>
      </c>
      <c r="T14" s="44"/>
      <c r="U14" s="44"/>
      <c r="V14" s="44"/>
      <c r="W14" s="44"/>
      <c r="X14" s="44"/>
      <c r="Y14" s="44"/>
      <c r="Z14" s="44"/>
      <c r="AA14" s="44"/>
      <c r="AB14" s="44"/>
      <c r="AC14" s="44"/>
      <c r="AD14" s="44"/>
      <c r="AE14" s="44"/>
      <c r="AF14" s="44"/>
      <c r="AG14" s="44"/>
      <c r="AH14" s="44"/>
    </row>
    <row r="15" spans="1:34" ht="21">
      <c r="Q15" s="44"/>
      <c r="R15" s="44"/>
      <c r="S15" s="44"/>
      <c r="T15" s="44"/>
      <c r="U15" s="44"/>
      <c r="V15" s="135">
        <v>3</v>
      </c>
      <c r="W15" s="12">
        <v>7</v>
      </c>
      <c r="X15" s="44"/>
      <c r="Y15" s="44"/>
      <c r="Z15" s="44"/>
      <c r="AA15" s="44"/>
      <c r="AB15" s="135">
        <v>5</v>
      </c>
      <c r="AC15" s="12">
        <v>11</v>
      </c>
      <c r="AD15" s="44"/>
      <c r="AE15" s="44"/>
      <c r="AF15" s="44"/>
      <c r="AG15" s="44"/>
      <c r="AH15" s="44"/>
    </row>
    <row r="16" spans="1:34" ht="21.75" thickBot="1">
      <c r="B16" s="128">
        <v>1000</v>
      </c>
      <c r="C16" s="129">
        <v>9000</v>
      </c>
      <c r="D16" s="40"/>
      <c r="E16" s="67">
        <v>0.60999999999999988</v>
      </c>
      <c r="F16" s="69">
        <v>0.39</v>
      </c>
      <c r="H16" s="128">
        <f>+B16*E16+C16*E17</f>
        <v>5290</v>
      </c>
      <c r="I16" s="129">
        <f>+B16*F16+C16*F17</f>
        <v>4710</v>
      </c>
      <c r="Q16" s="44"/>
      <c r="R16" s="44"/>
      <c r="S16" s="44"/>
      <c r="T16" s="44"/>
      <c r="U16" s="44"/>
      <c r="V16" s="136"/>
      <c r="W16" s="13">
        <v>7</v>
      </c>
      <c r="X16" s="44"/>
      <c r="Y16" s="44"/>
      <c r="Z16" s="44">
        <v>3</v>
      </c>
      <c r="AA16" s="44"/>
      <c r="AB16" s="136"/>
      <c r="AC16" s="13">
        <v>10</v>
      </c>
      <c r="AD16" s="44"/>
      <c r="AE16" s="44"/>
      <c r="AF16" s="44"/>
      <c r="AG16" s="44"/>
      <c r="AH16" s="44"/>
    </row>
    <row r="17" spans="1:34" ht="21">
      <c r="B17" s="128"/>
      <c r="C17" s="129"/>
      <c r="D17" s="40"/>
      <c r="E17" s="67">
        <v>0.52</v>
      </c>
      <c r="F17" s="69">
        <v>0.48</v>
      </c>
      <c r="H17" s="128"/>
      <c r="I17" s="129"/>
      <c r="Q17" s="44"/>
      <c r="R17" s="44"/>
      <c r="S17" s="44"/>
      <c r="T17" s="44"/>
      <c r="U17" s="44"/>
      <c r="V17" s="44"/>
      <c r="W17" s="44"/>
      <c r="X17" s="44"/>
      <c r="Y17" s="44"/>
      <c r="Z17" s="44"/>
      <c r="AA17" s="44"/>
      <c r="AB17" s="44"/>
      <c r="AC17" s="44"/>
      <c r="AD17" s="44"/>
      <c r="AE17" s="44"/>
      <c r="AF17" s="44"/>
      <c r="AG17" s="44"/>
      <c r="AH17" s="44"/>
    </row>
    <row r="18" spans="1:34" ht="21">
      <c r="Q18" s="112" t="s">
        <v>32</v>
      </c>
      <c r="R18" s="113"/>
      <c r="S18" s="53" t="s">
        <v>30</v>
      </c>
      <c r="T18" s="53" t="s">
        <v>31</v>
      </c>
      <c r="U18" s="53" t="s">
        <v>13</v>
      </c>
      <c r="V18" s="53" t="s">
        <v>17</v>
      </c>
      <c r="W18" s="53" t="s">
        <v>18</v>
      </c>
      <c r="X18" s="108" t="s">
        <v>19</v>
      </c>
      <c r="Y18" s="108"/>
      <c r="Z18" s="108" t="s">
        <v>20</v>
      </c>
      <c r="AA18" s="108"/>
      <c r="AB18" s="108" t="s">
        <v>21</v>
      </c>
      <c r="AC18" s="108"/>
      <c r="AD18" s="108" t="s">
        <v>35</v>
      </c>
      <c r="AE18" s="108"/>
      <c r="AF18" s="9"/>
      <c r="AG18" s="9"/>
      <c r="AH18" s="9"/>
    </row>
    <row r="19" spans="1:34" ht="15" customHeight="1">
      <c r="A19" s="134" t="s">
        <v>12</v>
      </c>
      <c r="B19" s="134"/>
      <c r="C19" s="134"/>
      <c r="D19" s="134"/>
      <c r="E19" s="134"/>
      <c r="F19" s="134"/>
      <c r="G19" s="134"/>
      <c r="H19" s="134"/>
      <c r="I19" s="134"/>
      <c r="J19" s="134"/>
      <c r="K19" s="134"/>
      <c r="L19" s="134"/>
      <c r="M19" s="134"/>
      <c r="N19" s="8"/>
      <c r="O19" s="8"/>
      <c r="P19" s="8"/>
      <c r="Q19" s="54">
        <v>1</v>
      </c>
      <c r="R19" s="55">
        <v>2</v>
      </c>
      <c r="S19" s="56">
        <v>3</v>
      </c>
      <c r="T19" s="56">
        <v>0</v>
      </c>
      <c r="U19" s="56">
        <v>3</v>
      </c>
      <c r="V19" s="56">
        <f>+S19-T19-U19</f>
        <v>0</v>
      </c>
      <c r="W19" s="57" t="s">
        <v>113</v>
      </c>
      <c r="X19" s="109">
        <v>10</v>
      </c>
      <c r="Y19" s="109"/>
      <c r="Z19" s="109">
        <v>14</v>
      </c>
      <c r="AA19" s="109"/>
      <c r="AB19" s="123">
        <f t="shared" ref="AB19:AB26" si="0">+U19*X19</f>
        <v>30</v>
      </c>
      <c r="AC19" s="124"/>
      <c r="AD19" s="123">
        <f t="shared" ref="AD19:AD26" si="1">+U19*Z19</f>
        <v>42</v>
      </c>
      <c r="AE19" s="124"/>
      <c r="AF19" s="9"/>
      <c r="AG19" s="9"/>
      <c r="AH19" s="9"/>
    </row>
    <row r="20" spans="1:34" ht="15" customHeight="1">
      <c r="A20" s="134"/>
      <c r="B20" s="134"/>
      <c r="C20" s="134"/>
      <c r="D20" s="134"/>
      <c r="E20" s="134"/>
      <c r="F20" s="134"/>
      <c r="G20" s="134"/>
      <c r="H20" s="134"/>
      <c r="I20" s="134"/>
      <c r="J20" s="134"/>
      <c r="K20" s="134"/>
      <c r="L20" s="134"/>
      <c r="M20" s="134"/>
      <c r="N20" s="8"/>
      <c r="O20" s="8"/>
      <c r="P20" s="8"/>
      <c r="Q20" s="54">
        <v>1</v>
      </c>
      <c r="R20" s="55">
        <v>3</v>
      </c>
      <c r="S20" s="56">
        <v>7</v>
      </c>
      <c r="T20" s="56">
        <v>0</v>
      </c>
      <c r="U20" s="56">
        <v>3</v>
      </c>
      <c r="V20" s="56">
        <f t="shared" ref="V20:V26" si="2">+S20-T20-U20</f>
        <v>4</v>
      </c>
      <c r="W20" s="56"/>
      <c r="X20" s="109">
        <v>16</v>
      </c>
      <c r="Y20" s="109"/>
      <c r="Z20" s="109">
        <v>11</v>
      </c>
      <c r="AA20" s="109"/>
      <c r="AB20" s="123">
        <f t="shared" si="0"/>
        <v>48</v>
      </c>
      <c r="AC20" s="124"/>
      <c r="AD20" s="123">
        <f t="shared" si="1"/>
        <v>33</v>
      </c>
      <c r="AE20" s="124"/>
      <c r="AF20" s="9"/>
      <c r="AG20" s="9"/>
      <c r="AH20" s="9"/>
    </row>
    <row r="21" spans="1:34" ht="15" customHeight="1">
      <c r="A21" s="134"/>
      <c r="B21" s="134"/>
      <c r="C21" s="134"/>
      <c r="D21" s="134"/>
      <c r="E21" s="134"/>
      <c r="F21" s="134"/>
      <c r="G21" s="134"/>
      <c r="H21" s="134"/>
      <c r="I21" s="134"/>
      <c r="J21" s="134"/>
      <c r="K21" s="134"/>
      <c r="L21" s="134"/>
      <c r="M21" s="134"/>
      <c r="N21" s="8"/>
      <c r="O21" s="8"/>
      <c r="P21" s="8"/>
      <c r="Q21" s="54">
        <v>2</v>
      </c>
      <c r="R21" s="55">
        <v>3</v>
      </c>
      <c r="S21" s="56">
        <v>7</v>
      </c>
      <c r="T21" s="56">
        <v>3</v>
      </c>
      <c r="U21" s="56">
        <v>4</v>
      </c>
      <c r="V21" s="56">
        <f t="shared" si="2"/>
        <v>0</v>
      </c>
      <c r="W21" s="57" t="s">
        <v>113</v>
      </c>
      <c r="X21" s="109">
        <v>9</v>
      </c>
      <c r="Y21" s="109"/>
      <c r="Z21" s="109">
        <v>17</v>
      </c>
      <c r="AA21" s="109"/>
      <c r="AB21" s="123">
        <f t="shared" si="0"/>
        <v>36</v>
      </c>
      <c r="AC21" s="124"/>
      <c r="AD21" s="123">
        <f t="shared" si="1"/>
        <v>68</v>
      </c>
      <c r="AE21" s="124"/>
      <c r="AF21" s="9"/>
      <c r="AG21" s="9"/>
      <c r="AH21" s="9"/>
    </row>
    <row r="22" spans="1:34" ht="15" customHeight="1">
      <c r="A22" s="134"/>
      <c r="B22" s="134"/>
      <c r="C22" s="134"/>
      <c r="D22" s="134"/>
      <c r="E22" s="134"/>
      <c r="F22" s="134"/>
      <c r="G22" s="134"/>
      <c r="H22" s="134"/>
      <c r="I22" s="134"/>
      <c r="J22" s="134"/>
      <c r="K22" s="134"/>
      <c r="L22" s="134"/>
      <c r="M22" s="134"/>
      <c r="N22" s="8"/>
      <c r="O22" s="8"/>
      <c r="P22" s="8"/>
      <c r="Q22" s="54">
        <v>2</v>
      </c>
      <c r="R22" s="55">
        <v>4</v>
      </c>
      <c r="S22" s="56">
        <v>9</v>
      </c>
      <c r="T22" s="56">
        <v>3</v>
      </c>
      <c r="U22" s="56">
        <v>1</v>
      </c>
      <c r="V22" s="56">
        <f t="shared" si="2"/>
        <v>5</v>
      </c>
      <c r="W22" s="56"/>
      <c r="X22" s="109">
        <v>15</v>
      </c>
      <c r="Y22" s="109"/>
      <c r="Z22" s="109">
        <v>15</v>
      </c>
      <c r="AA22" s="109"/>
      <c r="AB22" s="123">
        <f t="shared" si="0"/>
        <v>15</v>
      </c>
      <c r="AC22" s="124"/>
      <c r="AD22" s="123">
        <f t="shared" si="1"/>
        <v>15</v>
      </c>
      <c r="AE22" s="124"/>
      <c r="AF22" s="9"/>
      <c r="AG22" s="9"/>
      <c r="AH22" s="9"/>
    </row>
    <row r="23" spans="1:34" ht="15" customHeight="1">
      <c r="A23" s="134"/>
      <c r="B23" s="134"/>
      <c r="C23" s="134"/>
      <c r="D23" s="134"/>
      <c r="E23" s="134"/>
      <c r="F23" s="134"/>
      <c r="G23" s="134"/>
      <c r="H23" s="134"/>
      <c r="I23" s="134"/>
      <c r="J23" s="134"/>
      <c r="K23" s="134"/>
      <c r="L23" s="134"/>
      <c r="M23" s="134"/>
      <c r="N23" s="8"/>
      <c r="O23" s="8"/>
      <c r="P23" s="8"/>
      <c r="Q23" s="54">
        <v>3</v>
      </c>
      <c r="R23" s="55">
        <v>4</v>
      </c>
      <c r="S23" s="56">
        <v>9</v>
      </c>
      <c r="T23" s="56">
        <v>7</v>
      </c>
      <c r="U23" s="56">
        <v>2</v>
      </c>
      <c r="V23" s="56">
        <f t="shared" si="2"/>
        <v>0</v>
      </c>
      <c r="W23" s="57" t="s">
        <v>113</v>
      </c>
      <c r="X23" s="109">
        <v>12</v>
      </c>
      <c r="Y23" s="109"/>
      <c r="Z23" s="109">
        <v>12</v>
      </c>
      <c r="AA23" s="109"/>
      <c r="AB23" s="123">
        <f t="shared" si="0"/>
        <v>24</v>
      </c>
      <c r="AC23" s="124"/>
      <c r="AD23" s="123">
        <f t="shared" si="1"/>
        <v>24</v>
      </c>
      <c r="AE23" s="124"/>
      <c r="AF23" s="9"/>
      <c r="AG23" s="9"/>
      <c r="AH23" s="9"/>
    </row>
    <row r="24" spans="1:34" ht="15" customHeight="1">
      <c r="A24" s="134"/>
      <c r="B24" s="134"/>
      <c r="C24" s="134"/>
      <c r="D24" s="134"/>
      <c r="E24" s="134"/>
      <c r="F24" s="134"/>
      <c r="G24" s="134"/>
      <c r="H24" s="134"/>
      <c r="I24" s="134"/>
      <c r="J24" s="134"/>
      <c r="K24" s="134"/>
      <c r="L24" s="134"/>
      <c r="M24" s="134"/>
      <c r="N24" s="8"/>
      <c r="O24" s="8"/>
      <c r="P24" s="8"/>
      <c r="Q24" s="54">
        <v>3</v>
      </c>
      <c r="R24" s="55">
        <v>5</v>
      </c>
      <c r="S24" s="56">
        <v>11</v>
      </c>
      <c r="T24" s="56">
        <v>7</v>
      </c>
      <c r="U24" s="56">
        <v>3</v>
      </c>
      <c r="V24" s="56">
        <f t="shared" si="2"/>
        <v>1</v>
      </c>
      <c r="W24" s="56"/>
      <c r="X24" s="109">
        <v>12</v>
      </c>
      <c r="Y24" s="109"/>
      <c r="Z24" s="109">
        <v>6</v>
      </c>
      <c r="AA24" s="109"/>
      <c r="AB24" s="123">
        <f t="shared" si="0"/>
        <v>36</v>
      </c>
      <c r="AC24" s="124"/>
      <c r="AD24" s="123">
        <f t="shared" si="1"/>
        <v>18</v>
      </c>
      <c r="AE24" s="124"/>
      <c r="AF24" s="9"/>
      <c r="AG24" s="9"/>
      <c r="AH24" s="9"/>
    </row>
    <row r="25" spans="1:34" ht="15" customHeight="1">
      <c r="A25" s="8"/>
      <c r="B25" s="8"/>
      <c r="C25" s="8"/>
      <c r="D25" s="8"/>
      <c r="E25" s="8"/>
      <c r="F25" s="8"/>
      <c r="G25" s="8"/>
      <c r="H25" s="8"/>
      <c r="I25" s="8"/>
      <c r="J25" s="8"/>
      <c r="K25" s="8"/>
      <c r="L25" s="8"/>
      <c r="M25" s="8"/>
      <c r="N25" s="8"/>
      <c r="O25" s="8"/>
      <c r="P25" s="8"/>
      <c r="Q25" s="54">
        <v>4</v>
      </c>
      <c r="R25" s="55">
        <v>6</v>
      </c>
      <c r="S25" s="56">
        <v>13</v>
      </c>
      <c r="T25" s="56">
        <v>9</v>
      </c>
      <c r="U25" s="56">
        <v>4</v>
      </c>
      <c r="V25" s="56">
        <f t="shared" si="2"/>
        <v>0</v>
      </c>
      <c r="W25" s="57" t="s">
        <v>113</v>
      </c>
      <c r="X25" s="109">
        <v>16</v>
      </c>
      <c r="Y25" s="109"/>
      <c r="Z25" s="109">
        <v>17</v>
      </c>
      <c r="AA25" s="109"/>
      <c r="AB25" s="123">
        <f t="shared" si="0"/>
        <v>64</v>
      </c>
      <c r="AC25" s="124"/>
      <c r="AD25" s="123">
        <f t="shared" si="1"/>
        <v>68</v>
      </c>
      <c r="AE25" s="124"/>
      <c r="AF25" s="9"/>
      <c r="AG25" s="9"/>
      <c r="AH25" s="9"/>
    </row>
    <row r="26" spans="1:34" ht="21">
      <c r="A26" s="10" t="s">
        <v>24</v>
      </c>
      <c r="B26" s="9"/>
      <c r="C26" s="9"/>
      <c r="D26" s="9"/>
      <c r="E26" s="9"/>
      <c r="F26" s="9"/>
      <c r="G26" s="9"/>
      <c r="H26" s="9"/>
      <c r="I26" s="9"/>
      <c r="J26" s="9"/>
      <c r="K26" s="9"/>
      <c r="L26" s="9"/>
      <c r="M26" s="9"/>
      <c r="N26" s="9"/>
      <c r="O26" s="9"/>
      <c r="P26" s="9"/>
      <c r="Q26" s="58">
        <v>5</v>
      </c>
      <c r="R26" s="59">
        <v>6</v>
      </c>
      <c r="S26" s="60">
        <v>13</v>
      </c>
      <c r="T26" s="60">
        <v>10</v>
      </c>
      <c r="U26" s="60">
        <v>2</v>
      </c>
      <c r="V26" s="56">
        <f t="shared" si="2"/>
        <v>1</v>
      </c>
      <c r="W26" s="56"/>
      <c r="X26" s="109">
        <v>6</v>
      </c>
      <c r="Y26" s="109"/>
      <c r="Z26" s="109">
        <v>12</v>
      </c>
      <c r="AA26" s="109"/>
      <c r="AB26" s="123">
        <f t="shared" si="0"/>
        <v>12</v>
      </c>
      <c r="AC26" s="124"/>
      <c r="AD26" s="123">
        <f t="shared" si="1"/>
        <v>24</v>
      </c>
      <c r="AE26" s="124"/>
      <c r="AF26" s="9"/>
      <c r="AG26" s="9"/>
      <c r="AH26" s="9"/>
    </row>
    <row r="27" spans="1:34" ht="21">
      <c r="A27" s="10" t="s">
        <v>25</v>
      </c>
      <c r="B27" s="9"/>
      <c r="C27" s="9"/>
      <c r="D27" s="9"/>
      <c r="E27" s="9"/>
      <c r="F27" s="9"/>
      <c r="G27" s="9"/>
      <c r="H27" s="9"/>
      <c r="I27" s="9"/>
      <c r="J27" s="9"/>
      <c r="K27" s="9"/>
      <c r="L27" s="9"/>
      <c r="M27" s="9"/>
      <c r="N27" s="9"/>
      <c r="O27" s="9"/>
      <c r="P27" s="9"/>
      <c r="Q27" s="108" t="s">
        <v>14</v>
      </c>
      <c r="R27" s="108"/>
      <c r="S27" s="108"/>
      <c r="T27" s="125">
        <f>+AB27/S26</f>
        <v>42.846153846153847</v>
      </c>
      <c r="U27" s="125"/>
      <c r="V27" s="125"/>
      <c r="W27" s="7"/>
      <c r="X27" s="108" t="s">
        <v>15</v>
      </c>
      <c r="Y27" s="108"/>
      <c r="Z27" s="108"/>
      <c r="AA27" s="108"/>
      <c r="AB27" s="126">
        <f>SUM(AB19:AE26)</f>
        <v>557</v>
      </c>
      <c r="AC27" s="126"/>
      <c r="AD27" s="126"/>
      <c r="AE27" s="126"/>
      <c r="AF27" s="9"/>
      <c r="AG27" s="9"/>
      <c r="AH27" s="9"/>
    </row>
    <row r="28" spans="1:34" ht="21">
      <c r="A28" s="10" t="s">
        <v>26</v>
      </c>
      <c r="B28" s="9"/>
      <c r="C28" s="9"/>
      <c r="D28" s="9"/>
      <c r="E28" s="9"/>
      <c r="F28" s="9"/>
      <c r="G28" s="9"/>
      <c r="H28" s="9"/>
      <c r="I28" s="9"/>
      <c r="J28" s="9"/>
      <c r="K28" s="9"/>
      <c r="L28" s="9"/>
      <c r="M28" s="9"/>
      <c r="N28" s="9"/>
      <c r="O28" s="9"/>
      <c r="P28" s="9"/>
      <c r="Q28" s="7"/>
      <c r="R28" s="7"/>
      <c r="S28" s="7"/>
      <c r="T28" s="7"/>
      <c r="U28" s="7"/>
      <c r="V28" s="7"/>
      <c r="W28" s="7"/>
      <c r="X28" s="7"/>
      <c r="Y28" s="7"/>
      <c r="Z28" s="7"/>
      <c r="AA28" s="7"/>
      <c r="AB28" s="7"/>
      <c r="AC28" s="7"/>
      <c r="AD28" s="7"/>
      <c r="AE28" s="7"/>
      <c r="AF28" s="7"/>
      <c r="AG28" s="7"/>
      <c r="AH28" s="7"/>
    </row>
    <row r="29" spans="1:34" ht="21">
      <c r="A29" s="10" t="s">
        <v>27</v>
      </c>
      <c r="B29" s="9"/>
      <c r="C29" s="9"/>
      <c r="D29" s="9"/>
      <c r="E29" s="9"/>
      <c r="F29" s="9"/>
      <c r="G29" s="9"/>
      <c r="H29" s="9"/>
      <c r="I29" s="9"/>
      <c r="J29" s="9"/>
      <c r="K29" s="9"/>
      <c r="L29" s="9"/>
      <c r="M29" s="9"/>
      <c r="N29" s="9"/>
      <c r="O29" s="9"/>
      <c r="P29" s="9"/>
      <c r="Q29" s="64">
        <v>0</v>
      </c>
      <c r="R29" s="64">
        <v>1</v>
      </c>
      <c r="S29" s="64">
        <v>2</v>
      </c>
      <c r="T29" s="64">
        <v>3</v>
      </c>
      <c r="U29" s="64">
        <v>4</v>
      </c>
      <c r="V29" s="64">
        <v>5</v>
      </c>
      <c r="W29" s="64">
        <v>6</v>
      </c>
      <c r="X29" s="64">
        <v>7</v>
      </c>
      <c r="Y29" s="64">
        <v>8</v>
      </c>
      <c r="Z29" s="64">
        <v>9</v>
      </c>
      <c r="AA29" s="64">
        <v>10</v>
      </c>
      <c r="AB29" s="64">
        <v>11</v>
      </c>
      <c r="AC29" s="64">
        <v>12</v>
      </c>
      <c r="AD29" s="64">
        <v>13</v>
      </c>
    </row>
    <row r="30" spans="1:34" ht="21">
      <c r="Q30" s="61"/>
      <c r="R30" s="62"/>
      <c r="S30" s="63"/>
      <c r="T30" s="63"/>
      <c r="U30" s="63">
        <v>7.5</v>
      </c>
      <c r="V30" s="63">
        <v>7.5</v>
      </c>
      <c r="W30" s="63"/>
      <c r="X30" s="63"/>
      <c r="Y30" s="63"/>
      <c r="Z30" s="63"/>
      <c r="AA30" s="63"/>
      <c r="AB30" s="63"/>
      <c r="AC30" s="63"/>
      <c r="AD30" s="63"/>
      <c r="AE30" s="38"/>
    </row>
    <row r="31" spans="1:34" ht="18">
      <c r="B31" s="42" t="s">
        <v>66</v>
      </c>
      <c r="C31">
        <f>12*2.5</f>
        <v>30</v>
      </c>
      <c r="D31" t="s">
        <v>67</v>
      </c>
      <c r="E31" s="43" t="s">
        <v>69</v>
      </c>
      <c r="F31">
        <v>1.5</v>
      </c>
      <c r="G31" t="s">
        <v>70</v>
      </c>
      <c r="H31" s="42" t="s">
        <v>71</v>
      </c>
      <c r="I31">
        <f>60/1.5</f>
        <v>40</v>
      </c>
      <c r="J31" t="s">
        <v>67</v>
      </c>
      <c r="Q31" s="39"/>
      <c r="R31" s="63"/>
      <c r="S31" s="63"/>
      <c r="T31" s="63"/>
      <c r="U31" s="63">
        <v>15</v>
      </c>
      <c r="V31" s="63"/>
      <c r="W31" s="63"/>
      <c r="X31" s="63"/>
      <c r="Y31" s="63"/>
      <c r="Z31" s="63"/>
      <c r="AA31" s="63"/>
      <c r="AB31" s="63"/>
      <c r="AC31" s="63"/>
      <c r="AD31" s="63"/>
      <c r="AE31" s="38"/>
    </row>
    <row r="32" spans="1:34" ht="18">
      <c r="B32" s="42" t="s">
        <v>66</v>
      </c>
      <c r="C32" s="43" t="s">
        <v>114</v>
      </c>
      <c r="D32" t="s">
        <v>68</v>
      </c>
      <c r="H32" s="42" t="s">
        <v>71</v>
      </c>
      <c r="I32" s="52" t="s">
        <v>102</v>
      </c>
      <c r="J32" t="s">
        <v>68</v>
      </c>
      <c r="Q32" s="39"/>
      <c r="R32" s="63">
        <v>21</v>
      </c>
      <c r="S32" s="63">
        <v>21</v>
      </c>
      <c r="T32" s="63"/>
      <c r="U32" s="63">
        <v>34</v>
      </c>
      <c r="V32" s="63">
        <v>34</v>
      </c>
      <c r="W32" s="63"/>
      <c r="X32" s="63"/>
      <c r="Y32" s="63">
        <v>12</v>
      </c>
      <c r="Z32" s="65">
        <v>12</v>
      </c>
      <c r="AA32" s="63">
        <v>34</v>
      </c>
      <c r="AB32" s="63">
        <v>34</v>
      </c>
      <c r="AC32" s="63"/>
      <c r="AD32" s="63"/>
      <c r="AE32" s="38"/>
    </row>
    <row r="33" spans="1:31">
      <c r="A33" s="127" t="s">
        <v>8</v>
      </c>
      <c r="Q33" s="39"/>
      <c r="R33" s="63"/>
      <c r="S33" s="63"/>
      <c r="T33" s="65">
        <v>30</v>
      </c>
      <c r="U33" s="63"/>
      <c r="V33" s="63"/>
      <c r="W33" s="63"/>
      <c r="X33" s="65">
        <v>36</v>
      </c>
      <c r="Y33" s="63"/>
      <c r="Z33" s="65">
        <v>24</v>
      </c>
      <c r="AA33" s="63"/>
      <c r="AB33" s="63"/>
      <c r="AC33" s="63"/>
      <c r="AD33" s="65">
        <v>64</v>
      </c>
      <c r="AE33" s="38"/>
    </row>
    <row r="34" spans="1:31" ht="18">
      <c r="A34" s="127"/>
      <c r="B34" t="s">
        <v>72</v>
      </c>
      <c r="D34" t="s">
        <v>103</v>
      </c>
      <c r="E34" s="51" t="s">
        <v>104</v>
      </c>
      <c r="F34" s="51" t="s">
        <v>115</v>
      </c>
      <c r="Q34" s="39"/>
      <c r="R34" s="63">
        <v>16.5</v>
      </c>
      <c r="S34" s="63">
        <v>16.5</v>
      </c>
      <c r="T34" s="63"/>
      <c r="U34" s="63"/>
      <c r="V34" s="63"/>
      <c r="W34" s="63"/>
      <c r="X34" s="63"/>
      <c r="Y34" s="63"/>
      <c r="Z34" s="63"/>
      <c r="AA34" s="63"/>
      <c r="AB34" s="63"/>
      <c r="AC34" s="63"/>
      <c r="AD34" s="63"/>
      <c r="AE34" s="38"/>
    </row>
    <row r="35" spans="1:31">
      <c r="Q35" s="39"/>
      <c r="R35" s="63"/>
      <c r="S35" s="63"/>
      <c r="T35" s="63">
        <v>48</v>
      </c>
      <c r="U35" s="63"/>
      <c r="V35" s="63"/>
      <c r="W35" s="63"/>
      <c r="X35" s="63"/>
      <c r="Y35" s="63">
        <v>9</v>
      </c>
      <c r="Z35" s="63">
        <v>9</v>
      </c>
      <c r="AA35" s="63"/>
      <c r="AB35" s="63">
        <v>12</v>
      </c>
      <c r="AC35" s="63">
        <v>12</v>
      </c>
      <c r="AD35" s="63"/>
      <c r="AE35" s="38"/>
    </row>
    <row r="36" spans="1:31">
      <c r="A36" s="127" t="s">
        <v>9</v>
      </c>
      <c r="B36" s="130" t="s">
        <v>123</v>
      </c>
      <c r="C36" s="46">
        <v>1</v>
      </c>
      <c r="D36" s="133" t="s">
        <v>76</v>
      </c>
      <c r="E36" s="46">
        <v>1</v>
      </c>
      <c r="F36" s="133" t="s">
        <v>106</v>
      </c>
      <c r="G36" s="131" t="s">
        <v>107</v>
      </c>
      <c r="I36" s="131" t="s">
        <v>122</v>
      </c>
      <c r="Q36" s="39"/>
      <c r="R36" s="63"/>
      <c r="S36" s="63"/>
      <c r="T36" s="63"/>
      <c r="U36" s="63"/>
      <c r="V36" s="63"/>
      <c r="W36" s="63"/>
      <c r="X36" s="63"/>
      <c r="Y36" s="63"/>
      <c r="Z36" s="63"/>
      <c r="AA36" s="65">
        <v>36</v>
      </c>
      <c r="AB36" s="63"/>
      <c r="AC36" s="63">
        <v>12</v>
      </c>
      <c r="AD36" s="63"/>
      <c r="AE36" s="38"/>
    </row>
    <row r="37" spans="1:31">
      <c r="A37" s="127"/>
      <c r="B37" s="130"/>
      <c r="C37" s="47" t="s">
        <v>74</v>
      </c>
      <c r="D37" s="133"/>
      <c r="E37" s="45" t="s">
        <v>105</v>
      </c>
      <c r="F37" s="133"/>
      <c r="G37" s="131"/>
      <c r="I37" s="131"/>
      <c r="Q37" s="39"/>
      <c r="R37" s="63"/>
      <c r="S37" s="63"/>
      <c r="T37" s="63"/>
      <c r="U37" s="63"/>
      <c r="V37" s="63"/>
      <c r="W37" s="63"/>
      <c r="X37" s="63"/>
      <c r="Y37" s="63"/>
      <c r="Z37" s="63"/>
      <c r="AA37" s="63"/>
      <c r="AB37" s="63"/>
      <c r="AC37" s="63"/>
      <c r="AD37" s="63"/>
      <c r="AE37" s="38"/>
    </row>
    <row r="38" spans="1:31">
      <c r="Q38" s="39"/>
      <c r="R38" s="63">
        <f>SUM(R30:R37)</f>
        <v>37.5</v>
      </c>
      <c r="S38" s="63">
        <f t="shared" ref="S38:AD38" si="3">SUM(S30:S37)</f>
        <v>37.5</v>
      </c>
      <c r="T38" s="63">
        <f t="shared" si="3"/>
        <v>78</v>
      </c>
      <c r="U38" s="63">
        <f t="shared" si="3"/>
        <v>56.5</v>
      </c>
      <c r="V38" s="63">
        <f t="shared" si="3"/>
        <v>41.5</v>
      </c>
      <c r="W38" s="63">
        <f t="shared" si="3"/>
        <v>0</v>
      </c>
      <c r="X38" s="63">
        <f t="shared" si="3"/>
        <v>36</v>
      </c>
      <c r="Y38" s="63">
        <f t="shared" si="3"/>
        <v>21</v>
      </c>
      <c r="Z38" s="63">
        <f t="shared" si="3"/>
        <v>45</v>
      </c>
      <c r="AA38" s="63">
        <f t="shared" si="3"/>
        <v>70</v>
      </c>
      <c r="AB38" s="63">
        <f t="shared" si="3"/>
        <v>46</v>
      </c>
      <c r="AC38" s="63">
        <f t="shared" si="3"/>
        <v>24</v>
      </c>
      <c r="AD38" s="63">
        <f t="shared" si="3"/>
        <v>64</v>
      </c>
      <c r="AE38" s="38"/>
    </row>
    <row r="39" spans="1:31" ht="15.75">
      <c r="A39" s="127" t="s">
        <v>79</v>
      </c>
      <c r="B39" t="s">
        <v>80</v>
      </c>
      <c r="C39" t="s">
        <v>108</v>
      </c>
      <c r="D39" t="s">
        <v>125</v>
      </c>
      <c r="Q39" s="39"/>
      <c r="R39" s="63"/>
      <c r="S39" s="63"/>
      <c r="T39" s="63"/>
      <c r="U39" s="63"/>
      <c r="V39" s="63"/>
      <c r="W39" s="63"/>
      <c r="X39" s="63"/>
      <c r="Y39" s="63"/>
      <c r="Z39" s="63"/>
      <c r="AA39" s="63"/>
      <c r="AB39" s="63"/>
      <c r="AC39" s="63"/>
      <c r="AD39" s="63"/>
      <c r="AE39" s="38"/>
    </row>
    <row r="40" spans="1:31">
      <c r="A40" s="127"/>
      <c r="B40" t="s">
        <v>83</v>
      </c>
      <c r="D40" t="s">
        <v>109</v>
      </c>
      <c r="E40" s="51" t="s">
        <v>110</v>
      </c>
      <c r="Q40" s="39">
        <v>80</v>
      </c>
      <c r="R40" s="63"/>
      <c r="S40" s="63"/>
      <c r="T40" s="63"/>
      <c r="U40" s="63"/>
      <c r="V40" s="63"/>
      <c r="W40" s="63"/>
      <c r="X40" s="63"/>
      <c r="Y40" s="63"/>
      <c r="Z40" s="63"/>
      <c r="AA40" s="63"/>
      <c r="AB40" s="63"/>
      <c r="AC40" s="63"/>
      <c r="AD40" s="63"/>
      <c r="AE40" s="38"/>
    </row>
    <row r="41" spans="1:31">
      <c r="Q41" s="39">
        <v>70</v>
      </c>
      <c r="R41" s="63"/>
      <c r="S41" s="63"/>
      <c r="T41" s="63"/>
      <c r="U41" s="63"/>
      <c r="V41" s="63"/>
      <c r="W41" s="63"/>
      <c r="X41" s="63"/>
      <c r="Y41" s="63"/>
      <c r="Z41" s="63"/>
      <c r="AA41" s="63"/>
      <c r="AB41" s="63"/>
      <c r="AC41" s="63"/>
      <c r="AD41" s="63"/>
      <c r="AE41" s="38"/>
    </row>
    <row r="42" spans="1:31">
      <c r="A42" s="127" t="s">
        <v>86</v>
      </c>
      <c r="B42" s="43" t="s">
        <v>88</v>
      </c>
      <c r="E42" s="49">
        <v>-1</v>
      </c>
      <c r="Q42" s="39">
        <v>60</v>
      </c>
      <c r="R42" s="63"/>
      <c r="S42" s="63"/>
      <c r="T42" s="63"/>
      <c r="U42" s="63"/>
      <c r="V42" s="63"/>
      <c r="W42" s="63"/>
      <c r="X42" s="63"/>
      <c r="Y42" s="63"/>
      <c r="Z42" s="63"/>
      <c r="AA42" s="63"/>
      <c r="AB42" s="63"/>
      <c r="AC42" s="63"/>
      <c r="AD42" s="63"/>
      <c r="AE42" s="38"/>
    </row>
    <row r="43" spans="1:31" ht="17.25">
      <c r="A43" s="127"/>
      <c r="B43" s="48" t="s">
        <v>89</v>
      </c>
      <c r="F43" t="s">
        <v>111</v>
      </c>
      <c r="H43" s="51" t="s">
        <v>112</v>
      </c>
      <c r="Q43" s="39">
        <v>50</v>
      </c>
      <c r="R43" s="63"/>
      <c r="S43" s="63"/>
      <c r="T43" s="63"/>
      <c r="U43" s="63"/>
      <c r="V43" s="63"/>
      <c r="W43" s="63"/>
      <c r="X43" s="63"/>
      <c r="Y43" s="63"/>
      <c r="Z43" s="63"/>
      <c r="AA43" s="63"/>
      <c r="AB43" s="63"/>
      <c r="AC43" s="63"/>
      <c r="AD43" s="63"/>
      <c r="AE43" s="38"/>
    </row>
    <row r="44" spans="1:31">
      <c r="B44" s="43" t="s">
        <v>87</v>
      </c>
      <c r="Q44" s="39">
        <v>40</v>
      </c>
      <c r="R44" s="63"/>
      <c r="S44" s="63"/>
      <c r="T44" s="63"/>
      <c r="U44" s="63"/>
      <c r="V44" s="63"/>
      <c r="W44" s="63"/>
      <c r="X44" s="63"/>
      <c r="Y44" s="63"/>
      <c r="Z44" s="63"/>
      <c r="AA44" s="63"/>
      <c r="AB44" s="63"/>
      <c r="AC44" s="63"/>
      <c r="AD44" s="63"/>
      <c r="AE44" s="68">
        <v>42.85</v>
      </c>
    </row>
    <row r="45" spans="1:31">
      <c r="Q45" s="39">
        <v>30</v>
      </c>
      <c r="R45" s="63"/>
      <c r="S45" s="63"/>
      <c r="T45" s="63"/>
      <c r="U45" s="63"/>
      <c r="V45" s="63"/>
      <c r="W45" s="63"/>
      <c r="X45" s="63"/>
      <c r="Y45" s="63"/>
      <c r="Z45" s="63"/>
      <c r="AA45" s="63"/>
      <c r="AB45" s="63"/>
      <c r="AC45" s="63"/>
      <c r="AD45" s="63"/>
      <c r="AE45" s="38"/>
    </row>
    <row r="46" spans="1:31" ht="17.25">
      <c r="C46" s="43" t="s">
        <v>93</v>
      </c>
      <c r="E46" t="s">
        <v>116</v>
      </c>
      <c r="G46" s="51" t="s">
        <v>117</v>
      </c>
      <c r="H46" t="s">
        <v>124</v>
      </c>
      <c r="I46" s="70">
        <f>27/220</f>
        <v>0.12272727272727273</v>
      </c>
      <c r="Q46" s="39">
        <v>20</v>
      </c>
      <c r="R46" s="63"/>
      <c r="S46" s="63"/>
      <c r="T46" s="63"/>
      <c r="U46" s="63"/>
      <c r="V46" s="63"/>
      <c r="W46" s="63"/>
      <c r="X46" s="63"/>
      <c r="Y46" s="63"/>
      <c r="Z46" s="63"/>
      <c r="AA46" s="63"/>
      <c r="AB46" s="63"/>
      <c r="AC46" s="63"/>
      <c r="AD46" s="63"/>
      <c r="AE46" s="38"/>
    </row>
    <row r="47" spans="1:31" ht="17.25">
      <c r="C47" s="45" t="s">
        <v>92</v>
      </c>
      <c r="Q47" s="39">
        <v>10</v>
      </c>
      <c r="R47" s="63"/>
      <c r="S47" s="63"/>
      <c r="T47" s="63"/>
      <c r="U47" s="63"/>
      <c r="V47" s="63"/>
      <c r="W47" s="63"/>
      <c r="X47" s="63"/>
      <c r="Y47" s="63"/>
      <c r="Z47" s="63"/>
      <c r="AA47" s="63"/>
      <c r="AB47" s="63"/>
      <c r="AC47" s="63"/>
      <c r="AD47" s="63"/>
      <c r="AE47" s="38"/>
    </row>
    <row r="48" spans="1:31">
      <c r="Q48" s="39">
        <v>0</v>
      </c>
      <c r="R48" s="66"/>
      <c r="S48" s="66"/>
      <c r="T48" s="66"/>
      <c r="U48" s="66"/>
      <c r="V48" s="66"/>
      <c r="W48" s="66"/>
      <c r="X48" s="66"/>
      <c r="Y48" s="66"/>
      <c r="Z48" s="66"/>
      <c r="AA48" s="66"/>
      <c r="AB48" s="66"/>
      <c r="AC48" s="66"/>
      <c r="AD48" s="66"/>
      <c r="AE48" s="38"/>
    </row>
    <row r="49" spans="1:31">
      <c r="B49" t="s">
        <v>96</v>
      </c>
      <c r="C49" t="s">
        <v>118</v>
      </c>
      <c r="D49" s="51" t="s">
        <v>119</v>
      </c>
      <c r="E49" t="s">
        <v>124</v>
      </c>
      <c r="F49" s="70">
        <f>27/220+3/4</f>
        <v>0.87272727272727268</v>
      </c>
      <c r="Q49" s="39"/>
      <c r="R49" s="63"/>
      <c r="S49" s="63"/>
      <c r="T49" s="63"/>
      <c r="U49" s="63"/>
      <c r="V49" s="63"/>
      <c r="W49" s="63"/>
      <c r="X49" s="63"/>
      <c r="Y49" s="63"/>
      <c r="Z49" s="63"/>
      <c r="AA49" s="63"/>
      <c r="AB49" s="63"/>
      <c r="AC49" s="63"/>
      <c r="AD49" s="63"/>
      <c r="AE49" s="38"/>
    </row>
    <row r="50" spans="1:31">
      <c r="Q50" s="39"/>
      <c r="R50" s="63"/>
      <c r="S50" s="63"/>
      <c r="T50" s="63"/>
      <c r="U50" s="63"/>
      <c r="V50" s="63"/>
      <c r="W50" s="63"/>
      <c r="X50" s="63"/>
      <c r="Y50" s="63"/>
      <c r="Z50" s="63"/>
      <c r="AA50" s="63"/>
      <c r="AB50" s="63"/>
      <c r="AC50" s="63"/>
      <c r="AD50" s="63"/>
      <c r="AE50" s="38"/>
    </row>
    <row r="51" spans="1:31" ht="18">
      <c r="B51" t="s">
        <v>120</v>
      </c>
      <c r="E51" s="51" t="s">
        <v>121</v>
      </c>
      <c r="F51" s="51"/>
    </row>
    <row r="56" spans="1:31" ht="15.75">
      <c r="A56" s="137" t="s">
        <v>135</v>
      </c>
      <c r="B56" s="137"/>
      <c r="C56" s="137"/>
      <c r="D56" s="137"/>
      <c r="E56" s="137"/>
      <c r="F56" s="137"/>
      <c r="G56" s="137"/>
      <c r="H56" s="137"/>
      <c r="I56" s="137"/>
      <c r="J56" s="93"/>
      <c r="K56" s="93"/>
      <c r="L56" s="93"/>
      <c r="M56" s="93"/>
      <c r="N56" s="93"/>
      <c r="O56" s="93"/>
      <c r="P56" s="93"/>
      <c r="Q56" s="93"/>
      <c r="R56" s="93"/>
    </row>
    <row r="58" spans="1:31">
      <c r="B58" s="91" t="s">
        <v>133</v>
      </c>
      <c r="C58" s="120" t="s">
        <v>134</v>
      </c>
      <c r="D58" s="120"/>
    </row>
    <row r="59" spans="1:31">
      <c r="B59" s="92">
        <v>1</v>
      </c>
      <c r="C59" s="121">
        <v>0.05</v>
      </c>
      <c r="D59" s="122"/>
    </row>
    <row r="60" spans="1:31">
      <c r="B60" s="92">
        <v>3</v>
      </c>
      <c r="C60" s="121">
        <v>0.1</v>
      </c>
      <c r="D60" s="122"/>
    </row>
    <row r="61" spans="1:31">
      <c r="B61" s="92">
        <v>5</v>
      </c>
      <c r="C61" s="121">
        <v>0.5</v>
      </c>
      <c r="D61" s="122"/>
    </row>
    <row r="62" spans="1:31">
      <c r="B62" s="92">
        <v>7</v>
      </c>
      <c r="C62" s="121">
        <v>0.35</v>
      </c>
      <c r="D62" s="122"/>
    </row>
    <row r="64" spans="1:31" ht="74.25" customHeight="1">
      <c r="A64" s="138" t="s">
        <v>150</v>
      </c>
      <c r="B64" s="138"/>
      <c r="C64" s="138"/>
      <c r="D64" s="138"/>
      <c r="E64" s="138"/>
      <c r="F64" s="138"/>
      <c r="G64" s="138"/>
      <c r="H64" s="138"/>
      <c r="I64" s="138"/>
      <c r="J64" s="138"/>
      <c r="K64" s="83"/>
      <c r="L64" s="83"/>
      <c r="M64" s="83"/>
      <c r="N64" s="83"/>
      <c r="O64" s="83"/>
      <c r="P64" s="83"/>
      <c r="Q64" s="83"/>
      <c r="R64" s="83"/>
    </row>
    <row r="66" spans="2:10">
      <c r="B66" s="91" t="s">
        <v>133</v>
      </c>
      <c r="C66" s="120" t="s">
        <v>134</v>
      </c>
      <c r="D66" s="120"/>
      <c r="E66" s="92" t="s">
        <v>136</v>
      </c>
      <c r="F66" s="92" t="s">
        <v>137</v>
      </c>
    </row>
    <row r="67" spans="2:10">
      <c r="B67" s="92">
        <v>1</v>
      </c>
      <c r="C67" s="121">
        <v>0.05</v>
      </c>
      <c r="D67" s="122"/>
      <c r="E67" s="92">
        <f>+C67</f>
        <v>0.05</v>
      </c>
      <c r="F67" s="92" t="s">
        <v>138</v>
      </c>
    </row>
    <row r="68" spans="2:10">
      <c r="B68" s="92">
        <v>3</v>
      </c>
      <c r="C68" s="121">
        <v>0.1</v>
      </c>
      <c r="D68" s="122"/>
      <c r="E68" s="92">
        <f>+E67+C68</f>
        <v>0.15000000000000002</v>
      </c>
      <c r="F68" s="92" t="s">
        <v>139</v>
      </c>
    </row>
    <row r="69" spans="2:10">
      <c r="B69" s="92">
        <v>5</v>
      </c>
      <c r="C69" s="121">
        <v>0.5</v>
      </c>
      <c r="D69" s="122"/>
      <c r="E69" s="92">
        <f>+E68+C69</f>
        <v>0.65</v>
      </c>
      <c r="F69" s="92" t="s">
        <v>140</v>
      </c>
    </row>
    <row r="70" spans="2:10">
      <c r="B70" s="92">
        <v>7</v>
      </c>
      <c r="C70" s="121">
        <v>0.35</v>
      </c>
      <c r="D70" s="122"/>
      <c r="E70" s="92">
        <f>+E69+C70</f>
        <v>1</v>
      </c>
      <c r="F70" s="92" t="s">
        <v>141</v>
      </c>
    </row>
    <row r="72" spans="2:10" ht="45">
      <c r="B72" s="96" t="s">
        <v>142</v>
      </c>
      <c r="C72" s="97" t="s">
        <v>143</v>
      </c>
      <c r="D72" s="98" t="s">
        <v>133</v>
      </c>
      <c r="E72" s="99" t="s">
        <v>144</v>
      </c>
      <c r="F72" s="100" t="s">
        <v>145</v>
      </c>
      <c r="G72" s="97" t="s">
        <v>146</v>
      </c>
      <c r="H72" s="100" t="s">
        <v>149</v>
      </c>
      <c r="I72" s="100" t="s">
        <v>147</v>
      </c>
      <c r="J72" s="101" t="s">
        <v>148</v>
      </c>
    </row>
    <row r="73" spans="2:10">
      <c r="B73" s="94">
        <v>1</v>
      </c>
      <c r="C73" s="92">
        <v>0.03</v>
      </c>
      <c r="D73" s="95">
        <v>1</v>
      </c>
      <c r="E73" s="92">
        <v>5</v>
      </c>
      <c r="F73" s="97">
        <v>1</v>
      </c>
      <c r="G73" s="97">
        <v>0</v>
      </c>
      <c r="H73" s="92">
        <f>+I73-F73</f>
        <v>0</v>
      </c>
      <c r="I73" s="97">
        <v>1</v>
      </c>
      <c r="J73" s="97">
        <f>+I73+5</f>
        <v>6</v>
      </c>
    </row>
    <row r="74" spans="2:10">
      <c r="B74" s="94">
        <v>2</v>
      </c>
      <c r="C74" s="92">
        <v>0.05</v>
      </c>
      <c r="D74" s="95">
        <v>1</v>
      </c>
      <c r="E74" s="92">
        <v>5</v>
      </c>
      <c r="F74" s="97">
        <f>+F73+D74</f>
        <v>2</v>
      </c>
      <c r="G74" s="97">
        <v>1</v>
      </c>
      <c r="H74" s="92">
        <f>+I74-F74</f>
        <v>4</v>
      </c>
      <c r="I74" s="97">
        <v>6</v>
      </c>
      <c r="J74" s="97">
        <f t="shared" ref="J74:J82" si="4">+I74+5</f>
        <v>11</v>
      </c>
    </row>
    <row r="75" spans="2:10">
      <c r="B75" s="94">
        <v>3</v>
      </c>
      <c r="C75" s="92">
        <v>0.12</v>
      </c>
      <c r="D75" s="95">
        <v>3</v>
      </c>
      <c r="E75" s="92">
        <v>5</v>
      </c>
      <c r="F75" s="97">
        <f t="shared" ref="F75:F82" si="5">+F74+D75</f>
        <v>5</v>
      </c>
      <c r="G75" s="97">
        <v>2</v>
      </c>
      <c r="H75" s="92">
        <f t="shared" ref="H74:H82" si="6">+I75-F75</f>
        <v>6</v>
      </c>
      <c r="I75" s="97">
        <v>11</v>
      </c>
      <c r="J75" s="97">
        <f t="shared" si="4"/>
        <v>16</v>
      </c>
    </row>
    <row r="76" spans="2:10">
      <c r="B76" s="94">
        <v>4</v>
      </c>
      <c r="C76" s="92">
        <v>0.91</v>
      </c>
      <c r="D76" s="95">
        <v>7</v>
      </c>
      <c r="E76" s="92">
        <v>5</v>
      </c>
      <c r="F76" s="97">
        <f t="shared" si="5"/>
        <v>12</v>
      </c>
      <c r="G76" s="97">
        <v>1</v>
      </c>
      <c r="H76" s="92">
        <f t="shared" si="6"/>
        <v>4</v>
      </c>
      <c r="I76" s="97">
        <v>16</v>
      </c>
      <c r="J76" s="97">
        <f t="shared" si="4"/>
        <v>21</v>
      </c>
    </row>
    <row r="77" spans="2:10">
      <c r="B77" s="94">
        <v>5</v>
      </c>
      <c r="C77" s="92">
        <v>0.31</v>
      </c>
      <c r="D77" s="95">
        <v>5</v>
      </c>
      <c r="E77" s="92">
        <v>5</v>
      </c>
      <c r="F77" s="97">
        <f t="shared" si="5"/>
        <v>17</v>
      </c>
      <c r="G77" s="97">
        <v>1</v>
      </c>
      <c r="H77" s="92">
        <f t="shared" si="6"/>
        <v>4</v>
      </c>
      <c r="I77" s="97">
        <f t="shared" ref="I77:I82" si="7">+J76</f>
        <v>21</v>
      </c>
      <c r="J77" s="97">
        <f t="shared" si="4"/>
        <v>26</v>
      </c>
    </row>
    <row r="78" spans="2:10">
      <c r="B78" s="94">
        <v>6</v>
      </c>
      <c r="C78" s="92">
        <v>0.3</v>
      </c>
      <c r="D78" s="95">
        <v>5</v>
      </c>
      <c r="E78" s="92">
        <v>5</v>
      </c>
      <c r="F78" s="97">
        <f t="shared" si="5"/>
        <v>22</v>
      </c>
      <c r="G78" s="97">
        <v>1</v>
      </c>
      <c r="H78" s="92">
        <f t="shared" si="6"/>
        <v>4</v>
      </c>
      <c r="I78" s="97">
        <f t="shared" si="7"/>
        <v>26</v>
      </c>
      <c r="J78" s="97">
        <f t="shared" si="4"/>
        <v>31</v>
      </c>
    </row>
    <row r="79" spans="2:10">
      <c r="B79" s="94">
        <v>7</v>
      </c>
      <c r="C79" s="92">
        <v>0.69</v>
      </c>
      <c r="D79" s="95">
        <v>7</v>
      </c>
      <c r="E79" s="92">
        <v>5</v>
      </c>
      <c r="F79" s="97">
        <f t="shared" si="5"/>
        <v>29</v>
      </c>
      <c r="G79" s="97">
        <v>1</v>
      </c>
      <c r="H79" s="92">
        <f t="shared" si="6"/>
        <v>2</v>
      </c>
      <c r="I79" s="97">
        <f t="shared" si="7"/>
        <v>31</v>
      </c>
      <c r="J79" s="97">
        <f t="shared" si="4"/>
        <v>36</v>
      </c>
    </row>
    <row r="80" spans="2:10">
      <c r="B80" s="94">
        <v>8</v>
      </c>
      <c r="C80" s="92">
        <v>0.21</v>
      </c>
      <c r="D80" s="95">
        <v>5</v>
      </c>
      <c r="E80" s="92">
        <v>5</v>
      </c>
      <c r="F80" s="97">
        <f t="shared" si="5"/>
        <v>34</v>
      </c>
      <c r="G80" s="97">
        <v>1</v>
      </c>
      <c r="H80" s="92">
        <f t="shared" si="6"/>
        <v>2</v>
      </c>
      <c r="I80" s="97">
        <f t="shared" si="7"/>
        <v>36</v>
      </c>
      <c r="J80" s="97">
        <f t="shared" si="4"/>
        <v>41</v>
      </c>
    </row>
    <row r="81" spans="2:10">
      <c r="B81" s="94">
        <v>9</v>
      </c>
      <c r="C81" s="92">
        <v>0.06</v>
      </c>
      <c r="D81" s="95">
        <v>3</v>
      </c>
      <c r="E81" s="92">
        <v>5</v>
      </c>
      <c r="F81" s="97">
        <f t="shared" si="5"/>
        <v>37</v>
      </c>
      <c r="G81" s="97">
        <v>1</v>
      </c>
      <c r="H81" s="92">
        <f t="shared" si="6"/>
        <v>4</v>
      </c>
      <c r="I81" s="97">
        <f t="shared" si="7"/>
        <v>41</v>
      </c>
      <c r="J81" s="97">
        <f t="shared" si="4"/>
        <v>46</v>
      </c>
    </row>
    <row r="82" spans="2:10">
      <c r="B82" s="94">
        <v>10</v>
      </c>
      <c r="C82" s="92">
        <v>0.75</v>
      </c>
      <c r="D82" s="95">
        <v>7</v>
      </c>
      <c r="E82" s="92">
        <v>5</v>
      </c>
      <c r="F82" s="97">
        <f t="shared" si="5"/>
        <v>44</v>
      </c>
      <c r="G82" s="97">
        <v>1</v>
      </c>
      <c r="H82" s="92">
        <f t="shared" si="6"/>
        <v>2</v>
      </c>
      <c r="I82" s="97">
        <f t="shared" si="7"/>
        <v>46</v>
      </c>
      <c r="J82" s="97">
        <f t="shared" si="4"/>
        <v>51</v>
      </c>
    </row>
    <row r="84" spans="2:10">
      <c r="G84" t="s">
        <v>151</v>
      </c>
      <c r="H84" s="102">
        <v>3.2</v>
      </c>
      <c r="I84" t="s">
        <v>152</v>
      </c>
    </row>
    <row r="87" spans="2:10" ht="30">
      <c r="B87" s="96" t="s">
        <v>142</v>
      </c>
      <c r="C87" s="97" t="s">
        <v>143</v>
      </c>
      <c r="D87" s="98" t="s">
        <v>133</v>
      </c>
      <c r="E87" s="150" t="s">
        <v>158</v>
      </c>
      <c r="F87" s="100" t="s">
        <v>146</v>
      </c>
      <c r="G87" s="101" t="s">
        <v>149</v>
      </c>
      <c r="H87" s="100" t="s">
        <v>156</v>
      </c>
      <c r="I87" s="100" t="s">
        <v>157</v>
      </c>
      <c r="J87" s="101" t="s">
        <v>148</v>
      </c>
    </row>
    <row r="88" spans="2:10">
      <c r="B88" s="94">
        <v>1</v>
      </c>
      <c r="C88" s="103">
        <v>0.03</v>
      </c>
      <c r="D88" s="95">
        <v>1</v>
      </c>
      <c r="E88" s="103">
        <v>1</v>
      </c>
      <c r="F88" s="97">
        <v>0</v>
      </c>
      <c r="G88" s="97">
        <v>0</v>
      </c>
      <c r="H88" s="103">
        <v>5</v>
      </c>
      <c r="I88" s="97">
        <v>1</v>
      </c>
      <c r="J88" s="97">
        <v>6</v>
      </c>
    </row>
    <row r="89" spans="2:10">
      <c r="B89" s="94">
        <v>2</v>
      </c>
      <c r="C89" s="103">
        <v>0.05</v>
      </c>
      <c r="D89" s="95">
        <v>1</v>
      </c>
      <c r="E89" s="103">
        <v>2</v>
      </c>
      <c r="F89" s="97">
        <v>1</v>
      </c>
      <c r="G89" s="97">
        <f>+I89-E89</f>
        <v>5</v>
      </c>
      <c r="H89" s="103">
        <v>5</v>
      </c>
      <c r="I89" s="97">
        <v>7</v>
      </c>
      <c r="J89" s="97">
        <f>+I89+H89</f>
        <v>12</v>
      </c>
    </row>
    <row r="90" spans="2:10">
      <c r="B90" s="94">
        <v>3</v>
      </c>
      <c r="C90" s="103">
        <v>0.12</v>
      </c>
      <c r="D90" s="95">
        <v>3</v>
      </c>
      <c r="E90" s="103">
        <v>5</v>
      </c>
      <c r="F90" s="97">
        <v>2</v>
      </c>
      <c r="G90" s="97">
        <f t="shared" ref="G90:G97" si="8">+I90-E90</f>
        <v>8</v>
      </c>
      <c r="H90" s="103">
        <v>5</v>
      </c>
      <c r="I90" s="97">
        <f>+J89+1</f>
        <v>13</v>
      </c>
      <c r="J90" s="97">
        <f>+I90+H90</f>
        <v>18</v>
      </c>
    </row>
    <row r="91" spans="2:10">
      <c r="B91" s="94">
        <v>4</v>
      </c>
      <c r="C91" s="103">
        <v>0.91</v>
      </c>
      <c r="D91" s="95">
        <v>7</v>
      </c>
      <c r="E91" s="103">
        <v>12</v>
      </c>
      <c r="F91" s="97">
        <v>3</v>
      </c>
      <c r="G91" s="97">
        <f t="shared" si="8"/>
        <v>7</v>
      </c>
      <c r="H91" s="103">
        <v>5</v>
      </c>
      <c r="I91" s="97">
        <f>+J90+1</f>
        <v>19</v>
      </c>
      <c r="J91" s="97">
        <f t="shared" ref="J91:J97" si="9">+I91+H91</f>
        <v>24</v>
      </c>
    </row>
    <row r="92" spans="2:10">
      <c r="B92" s="94">
        <v>5</v>
      </c>
      <c r="C92" s="103">
        <v>0.31</v>
      </c>
      <c r="D92" s="95">
        <v>5</v>
      </c>
      <c r="E92" s="103">
        <v>17</v>
      </c>
      <c r="F92" s="97">
        <v>2</v>
      </c>
      <c r="G92" s="97">
        <f t="shared" si="8"/>
        <v>8</v>
      </c>
      <c r="H92" s="103">
        <v>5</v>
      </c>
      <c r="I92" s="97">
        <f t="shared" ref="I92:I97" si="10">+J91+1</f>
        <v>25</v>
      </c>
      <c r="J92" s="97">
        <f t="shared" si="9"/>
        <v>30</v>
      </c>
    </row>
    <row r="93" spans="2:10">
      <c r="B93" s="94">
        <v>6</v>
      </c>
      <c r="C93" s="103">
        <v>0.3</v>
      </c>
      <c r="D93" s="95">
        <v>5</v>
      </c>
      <c r="E93" s="103">
        <v>22</v>
      </c>
      <c r="F93" s="97">
        <v>2</v>
      </c>
      <c r="G93" s="97">
        <f t="shared" si="8"/>
        <v>9</v>
      </c>
      <c r="H93" s="103">
        <v>5</v>
      </c>
      <c r="I93" s="97">
        <f t="shared" si="10"/>
        <v>31</v>
      </c>
      <c r="J93" s="97">
        <f t="shared" si="9"/>
        <v>36</v>
      </c>
    </row>
    <row r="94" spans="2:10">
      <c r="B94" s="94">
        <v>7</v>
      </c>
      <c r="C94" s="103">
        <v>0.69</v>
      </c>
      <c r="D94" s="95">
        <v>7</v>
      </c>
      <c r="E94" s="103">
        <v>29</v>
      </c>
      <c r="F94" s="97">
        <v>2</v>
      </c>
      <c r="G94" s="97">
        <f t="shared" si="8"/>
        <v>8</v>
      </c>
      <c r="H94" s="103">
        <v>5</v>
      </c>
      <c r="I94" s="97">
        <f t="shared" si="10"/>
        <v>37</v>
      </c>
      <c r="J94" s="97">
        <f t="shared" si="9"/>
        <v>42</v>
      </c>
    </row>
    <row r="95" spans="2:10">
      <c r="B95" s="94">
        <v>8</v>
      </c>
      <c r="C95" s="103">
        <v>0.21</v>
      </c>
      <c r="D95" s="95">
        <v>5</v>
      </c>
      <c r="E95" s="103">
        <v>34</v>
      </c>
      <c r="F95" s="97">
        <v>2</v>
      </c>
      <c r="G95" s="97">
        <f t="shared" si="8"/>
        <v>9</v>
      </c>
      <c r="H95" s="103">
        <v>5</v>
      </c>
      <c r="I95" s="97">
        <f t="shared" si="10"/>
        <v>43</v>
      </c>
      <c r="J95" s="97">
        <f t="shared" si="9"/>
        <v>48</v>
      </c>
    </row>
    <row r="96" spans="2:10">
      <c r="B96" s="94">
        <v>9</v>
      </c>
      <c r="C96" s="103">
        <v>0.06</v>
      </c>
      <c r="D96" s="95">
        <v>3</v>
      </c>
      <c r="E96" s="103">
        <v>37</v>
      </c>
      <c r="F96" s="97">
        <v>2</v>
      </c>
      <c r="G96" s="97">
        <f t="shared" si="8"/>
        <v>12</v>
      </c>
      <c r="H96" s="103">
        <v>5</v>
      </c>
      <c r="I96" s="97">
        <f t="shared" si="10"/>
        <v>49</v>
      </c>
      <c r="J96" s="97">
        <f t="shared" si="9"/>
        <v>54</v>
      </c>
    </row>
    <row r="97" spans="2:10">
      <c r="B97" s="94">
        <v>10</v>
      </c>
      <c r="C97" s="103">
        <v>0.75</v>
      </c>
      <c r="D97" s="95">
        <v>7</v>
      </c>
      <c r="E97" s="103">
        <v>44</v>
      </c>
      <c r="F97" s="97">
        <v>2</v>
      </c>
      <c r="G97" s="97">
        <f t="shared" si="8"/>
        <v>11</v>
      </c>
      <c r="H97" s="103">
        <v>5</v>
      </c>
      <c r="I97" s="97">
        <f t="shared" si="10"/>
        <v>55</v>
      </c>
      <c r="J97" s="97">
        <f t="shared" si="9"/>
        <v>60</v>
      </c>
    </row>
    <row r="99" spans="2:10">
      <c r="F99" s="102" t="s">
        <v>151</v>
      </c>
      <c r="G99">
        <f>+AVERAGE(G88:G97)</f>
        <v>7.7</v>
      </c>
      <c r="H99" t="s">
        <v>152</v>
      </c>
    </row>
  </sheetData>
  <mergeCells count="81">
    <mergeCell ref="C68:D68"/>
    <mergeCell ref="C69:D69"/>
    <mergeCell ref="C70:D70"/>
    <mergeCell ref="A64:J64"/>
    <mergeCell ref="C62:D62"/>
    <mergeCell ref="A56:I56"/>
    <mergeCell ref="C66:D66"/>
    <mergeCell ref="C67:D67"/>
    <mergeCell ref="C58:D58"/>
    <mergeCell ref="C59:D59"/>
    <mergeCell ref="C60:D60"/>
    <mergeCell ref="C61:D61"/>
    <mergeCell ref="A1:M4"/>
    <mergeCell ref="A19:M24"/>
    <mergeCell ref="Q1:AH5"/>
    <mergeCell ref="H10:H11"/>
    <mergeCell ref="I10:I11"/>
    <mergeCell ref="A10:A11"/>
    <mergeCell ref="AB15:AB16"/>
    <mergeCell ref="Q18:R18"/>
    <mergeCell ref="AB19:AC19"/>
    <mergeCell ref="AD19:AE19"/>
    <mergeCell ref="AB7:AB8"/>
    <mergeCell ref="Q11:Q12"/>
    <mergeCell ref="AG11:AG12"/>
    <mergeCell ref="V15:V16"/>
    <mergeCell ref="V7:V8"/>
    <mergeCell ref="X21:Y21"/>
    <mergeCell ref="I36:I37"/>
    <mergeCell ref="A13:A14"/>
    <mergeCell ref="B16:B17"/>
    <mergeCell ref="D36:D37"/>
    <mergeCell ref="F36:F37"/>
    <mergeCell ref="G36:G37"/>
    <mergeCell ref="H16:H17"/>
    <mergeCell ref="I16:I17"/>
    <mergeCell ref="A39:A40"/>
    <mergeCell ref="B10:B11"/>
    <mergeCell ref="C10:C11"/>
    <mergeCell ref="A42:A43"/>
    <mergeCell ref="A33:A34"/>
    <mergeCell ref="A36:A37"/>
    <mergeCell ref="B36:B37"/>
    <mergeCell ref="C16:C17"/>
    <mergeCell ref="X18:Y18"/>
    <mergeCell ref="Z18:AA18"/>
    <mergeCell ref="AB18:AC18"/>
    <mergeCell ref="AD18:AE18"/>
    <mergeCell ref="X19:Y19"/>
    <mergeCell ref="Z19:AA19"/>
    <mergeCell ref="X20:Y20"/>
    <mergeCell ref="Z20:AA20"/>
    <mergeCell ref="AB20:AC20"/>
    <mergeCell ref="AD20:AE20"/>
    <mergeCell ref="AB24:AC24"/>
    <mergeCell ref="AD24:AE24"/>
    <mergeCell ref="X22:Y22"/>
    <mergeCell ref="Z22:AA22"/>
    <mergeCell ref="AB22:AC22"/>
    <mergeCell ref="AD22:AE22"/>
    <mergeCell ref="X23:Y23"/>
    <mergeCell ref="X24:Y24"/>
    <mergeCell ref="Z21:AA21"/>
    <mergeCell ref="AB21:AC21"/>
    <mergeCell ref="AD21:AE21"/>
    <mergeCell ref="Z23:AA23"/>
    <mergeCell ref="AB23:AC23"/>
    <mergeCell ref="AD23:AE23"/>
    <mergeCell ref="Z24:AA24"/>
    <mergeCell ref="Q27:S27"/>
    <mergeCell ref="T27:V27"/>
    <mergeCell ref="X27:AA27"/>
    <mergeCell ref="AB27:AE27"/>
    <mergeCell ref="X26:Y26"/>
    <mergeCell ref="Z26:AA26"/>
    <mergeCell ref="AB26:AC26"/>
    <mergeCell ref="AD26:AE26"/>
    <mergeCell ref="X25:Y25"/>
    <mergeCell ref="Z25:AA25"/>
    <mergeCell ref="AB25:AC25"/>
    <mergeCell ref="AD25:AE25"/>
  </mergeCells>
  <conditionalFormatting sqref="W19:X26 Z19:Z26 AB19:AB26 AD19:AD26">
    <cfRule type="cellIs" dxfId="0" priority="15" operator="equal">
      <formula>"SI"</formula>
    </cfRule>
  </conditionalFormatting>
  <pageMargins left="0.9055118110236221" right="0.9055118110236221" top="0.19685039370078741" bottom="0" header="0.31496062992125984" footer="0.31496062992125984"/>
  <pageSetup paperSize="9" scale="65" fitToWidth="2" orientation="landscape" r:id="rId1"/>
  <drawing r:id="rId2"/>
</worksheet>
</file>

<file path=xl/worksheets/sheet3.xml><?xml version="1.0" encoding="utf-8"?>
<worksheet xmlns="http://schemas.openxmlformats.org/spreadsheetml/2006/main" xmlns:r="http://schemas.openxmlformats.org/officeDocument/2006/relationships">
  <dimension ref="A1:U56"/>
  <sheetViews>
    <sheetView topLeftCell="A40" workbookViewId="0">
      <selection activeCell="A57" sqref="A57"/>
    </sheetView>
  </sheetViews>
  <sheetFormatPr baseColWidth="10" defaultRowHeight="15"/>
  <cols>
    <col min="1" max="20" width="6.7109375" customWidth="1"/>
  </cols>
  <sheetData>
    <row r="1" spans="1:21" ht="28.5" customHeight="1">
      <c r="A1" s="117" t="s">
        <v>0</v>
      </c>
      <c r="B1" s="117"/>
      <c r="C1" s="117"/>
      <c r="D1" s="117"/>
      <c r="E1" s="117"/>
      <c r="F1" s="117"/>
      <c r="G1" s="117"/>
      <c r="H1" s="117"/>
      <c r="I1" s="117"/>
      <c r="J1" s="117"/>
      <c r="K1" s="117"/>
      <c r="L1" s="117"/>
      <c r="M1" s="6"/>
      <c r="N1" s="6"/>
      <c r="O1" s="116" t="s">
        <v>130</v>
      </c>
      <c r="P1" s="116"/>
      <c r="Q1" s="116"/>
      <c r="R1" s="116"/>
      <c r="T1" s="6"/>
      <c r="U1" s="6"/>
    </row>
    <row r="2" spans="1:21" ht="28.5" customHeight="1">
      <c r="A2" s="117" t="s">
        <v>2</v>
      </c>
      <c r="B2" s="117"/>
      <c r="C2" s="117"/>
      <c r="D2" s="117"/>
      <c r="E2" s="117"/>
      <c r="F2" s="117"/>
      <c r="G2" s="117"/>
      <c r="H2" s="117"/>
      <c r="I2" s="117"/>
      <c r="J2" s="117"/>
      <c r="K2" s="117"/>
      <c r="L2" s="117"/>
      <c r="M2" s="117"/>
      <c r="N2" s="117"/>
      <c r="O2" s="117"/>
      <c r="P2" s="116" t="s">
        <v>29</v>
      </c>
      <c r="Q2" s="116"/>
      <c r="R2" s="116"/>
      <c r="S2" s="6"/>
      <c r="T2" s="1"/>
      <c r="U2" s="1"/>
    </row>
    <row r="3" spans="1:21" ht="15.75" customHeight="1" thickBot="1">
      <c r="A3" s="1"/>
      <c r="B3" s="1"/>
      <c r="C3" s="1"/>
      <c r="D3" s="1"/>
      <c r="E3" s="1"/>
      <c r="F3" s="1"/>
      <c r="G3" s="1"/>
      <c r="H3" s="1"/>
      <c r="I3" s="1"/>
      <c r="J3" s="1"/>
      <c r="K3" s="1"/>
      <c r="L3" s="1"/>
      <c r="M3" s="1"/>
      <c r="N3" s="1"/>
      <c r="O3" s="1"/>
      <c r="P3" s="1"/>
      <c r="Q3" s="1"/>
      <c r="R3" s="1"/>
      <c r="S3" s="1"/>
      <c r="T3" s="1"/>
      <c r="U3" s="1"/>
    </row>
    <row r="4" spans="1:21" ht="16.5" thickTop="1">
      <c r="A4" s="114" t="s">
        <v>3</v>
      </c>
      <c r="B4" s="115"/>
      <c r="C4" s="114" t="s">
        <v>4</v>
      </c>
      <c r="D4" s="115"/>
      <c r="E4" s="114" t="s">
        <v>5</v>
      </c>
      <c r="F4" s="115"/>
      <c r="G4" s="114" t="s">
        <v>128</v>
      </c>
      <c r="H4" s="115"/>
      <c r="I4" s="32" t="s">
        <v>6</v>
      </c>
      <c r="J4" s="2">
        <v>20</v>
      </c>
      <c r="K4" s="2">
        <v>19</v>
      </c>
      <c r="L4" s="2">
        <v>18</v>
      </c>
      <c r="M4" s="2">
        <v>17</v>
      </c>
      <c r="N4" s="2">
        <v>16</v>
      </c>
      <c r="O4" s="2">
        <v>15</v>
      </c>
      <c r="P4" s="2">
        <v>14</v>
      </c>
      <c r="Q4" s="2">
        <v>13</v>
      </c>
      <c r="R4" s="3" t="s">
        <v>129</v>
      </c>
    </row>
    <row r="5" spans="1:21" ht="16.5" thickBot="1">
      <c r="A5" s="105">
        <v>3</v>
      </c>
      <c r="B5" s="106"/>
      <c r="C5" s="105">
        <v>5</v>
      </c>
      <c r="D5" s="106"/>
      <c r="E5" s="105">
        <v>8</v>
      </c>
      <c r="F5" s="106"/>
      <c r="G5" s="105">
        <v>4</v>
      </c>
      <c r="H5" s="106"/>
      <c r="I5" s="33" t="s">
        <v>7</v>
      </c>
      <c r="J5" s="4">
        <v>10</v>
      </c>
      <c r="K5" s="4">
        <v>9</v>
      </c>
      <c r="L5" s="4">
        <v>8</v>
      </c>
      <c r="M5" s="4">
        <v>8</v>
      </c>
      <c r="N5" s="4">
        <v>7</v>
      </c>
      <c r="O5" s="4">
        <v>7</v>
      </c>
      <c r="P5" s="4">
        <v>6</v>
      </c>
      <c r="Q5" s="4">
        <v>5</v>
      </c>
      <c r="R5" s="5">
        <v>2</v>
      </c>
    </row>
    <row r="6" spans="1:21" ht="15.75" thickTop="1"/>
    <row r="7" spans="1:21" s="7" customFormat="1" ht="15" customHeight="1">
      <c r="A7" s="107" t="s">
        <v>153</v>
      </c>
      <c r="B7" s="107"/>
      <c r="C7" s="107"/>
      <c r="D7" s="107"/>
      <c r="E7" s="107"/>
      <c r="F7" s="107"/>
      <c r="G7" s="107"/>
      <c r="H7" s="107"/>
      <c r="I7" s="107"/>
      <c r="J7" s="107"/>
      <c r="K7" s="107"/>
      <c r="L7" s="107"/>
      <c r="M7" s="107"/>
      <c r="N7" s="107"/>
      <c r="O7" s="107"/>
      <c r="P7" s="107"/>
      <c r="Q7" s="107"/>
      <c r="R7" s="107"/>
      <c r="S7" s="83"/>
      <c r="T7" s="83"/>
    </row>
    <row r="8" spans="1:21" s="7" customFormat="1" ht="15" customHeight="1">
      <c r="A8" s="107"/>
      <c r="B8" s="107"/>
      <c r="C8" s="107"/>
      <c r="D8" s="107"/>
      <c r="E8" s="107"/>
      <c r="F8" s="107"/>
      <c r="G8" s="107"/>
      <c r="H8" s="107"/>
      <c r="I8" s="107"/>
      <c r="J8" s="107"/>
      <c r="K8" s="107"/>
      <c r="L8" s="107"/>
      <c r="M8" s="107"/>
      <c r="N8" s="107"/>
      <c r="O8" s="107"/>
      <c r="P8" s="107"/>
      <c r="Q8" s="107"/>
      <c r="R8" s="107"/>
      <c r="S8" s="83"/>
      <c r="T8" s="83"/>
    </row>
    <row r="9" spans="1:21" s="7" customFormat="1" ht="21" customHeight="1">
      <c r="A9" s="107"/>
      <c r="B9" s="107"/>
      <c r="C9" s="107"/>
      <c r="D9" s="107"/>
      <c r="E9" s="107"/>
      <c r="F9" s="107"/>
      <c r="G9" s="107"/>
      <c r="H9" s="107"/>
      <c r="I9" s="107"/>
      <c r="J9" s="107"/>
      <c r="K9" s="107"/>
      <c r="L9" s="107"/>
      <c r="M9" s="107"/>
      <c r="N9" s="107"/>
      <c r="O9" s="107"/>
      <c r="P9" s="107"/>
      <c r="Q9" s="107"/>
      <c r="R9" s="107"/>
      <c r="S9" s="83"/>
      <c r="T9" s="83"/>
    </row>
    <row r="10" spans="1:21" s="7" customFormat="1" ht="15.75">
      <c r="A10" s="84" t="s">
        <v>8</v>
      </c>
      <c r="B10" s="7" t="s">
        <v>10</v>
      </c>
    </row>
    <row r="11" spans="1:21" s="7" customFormat="1" ht="15.75">
      <c r="A11" s="84" t="s">
        <v>9</v>
      </c>
      <c r="B11" s="7" t="s">
        <v>11</v>
      </c>
    </row>
    <row r="12" spans="1:21" s="7" customFormat="1" ht="15" customHeight="1"/>
    <row r="13" spans="1:21" s="7" customFormat="1" ht="15" customHeight="1">
      <c r="A13" s="107" t="s">
        <v>22</v>
      </c>
      <c r="B13" s="107"/>
      <c r="C13" s="107"/>
      <c r="D13" s="107"/>
      <c r="E13" s="107"/>
      <c r="F13" s="107"/>
      <c r="G13" s="107"/>
      <c r="H13" s="107"/>
      <c r="I13" s="107"/>
      <c r="J13" s="107"/>
      <c r="K13" s="107"/>
      <c r="L13" s="107"/>
      <c r="M13" s="107"/>
      <c r="N13" s="107"/>
      <c r="O13" s="107"/>
      <c r="P13" s="107"/>
      <c r="Q13" s="107"/>
      <c r="R13" s="107"/>
      <c r="S13" s="83"/>
      <c r="T13" s="83"/>
    </row>
    <row r="14" spans="1:21" s="7" customFormat="1" ht="15" customHeight="1">
      <c r="A14" s="107"/>
      <c r="B14" s="107"/>
      <c r="C14" s="107"/>
      <c r="D14" s="107"/>
      <c r="E14" s="107"/>
      <c r="F14" s="107"/>
      <c r="G14" s="107"/>
      <c r="H14" s="107"/>
      <c r="I14" s="107"/>
      <c r="J14" s="107"/>
      <c r="K14" s="107"/>
      <c r="L14" s="107"/>
      <c r="M14" s="107"/>
      <c r="N14" s="107"/>
      <c r="O14" s="107"/>
      <c r="P14" s="107"/>
      <c r="Q14" s="107"/>
      <c r="R14" s="107"/>
      <c r="S14" s="83"/>
      <c r="T14" s="83"/>
    </row>
    <row r="15" spans="1:21" s="7" customFormat="1" ht="18.75" customHeight="1">
      <c r="A15" s="107"/>
      <c r="B15" s="107"/>
      <c r="C15" s="107"/>
      <c r="D15" s="107"/>
      <c r="E15" s="107"/>
      <c r="F15" s="107"/>
      <c r="G15" s="107"/>
      <c r="H15" s="107"/>
      <c r="I15" s="107"/>
      <c r="J15" s="107"/>
      <c r="K15" s="107"/>
      <c r="L15" s="107"/>
      <c r="M15" s="107"/>
      <c r="N15" s="107"/>
      <c r="O15" s="107"/>
      <c r="P15" s="107"/>
      <c r="Q15" s="107"/>
      <c r="R15" s="107"/>
      <c r="S15" s="83"/>
      <c r="T15" s="83"/>
    </row>
    <row r="16" spans="1:21" s="7" customFormat="1" ht="15" customHeight="1">
      <c r="A16" s="107"/>
      <c r="B16" s="107"/>
      <c r="C16" s="107"/>
      <c r="D16" s="107"/>
      <c r="E16" s="107"/>
      <c r="F16" s="107"/>
      <c r="G16" s="107"/>
      <c r="H16" s="107"/>
      <c r="I16" s="107"/>
      <c r="J16" s="107"/>
      <c r="K16" s="107"/>
      <c r="L16" s="107"/>
      <c r="M16" s="107"/>
      <c r="N16" s="107"/>
      <c r="O16" s="107"/>
      <c r="P16" s="107"/>
      <c r="Q16" s="107"/>
      <c r="R16" s="107"/>
      <c r="S16" s="83"/>
      <c r="T16" s="83"/>
    </row>
    <row r="17" spans="1:20" s="7" customFormat="1" ht="15.75">
      <c r="A17" s="85" t="s">
        <v>24</v>
      </c>
    </row>
    <row r="18" spans="1:20" s="7" customFormat="1" ht="15.75">
      <c r="A18" s="85" t="s">
        <v>25</v>
      </c>
    </row>
    <row r="19" spans="1:20" s="7" customFormat="1" ht="15.75">
      <c r="A19" s="85" t="s">
        <v>34</v>
      </c>
    </row>
    <row r="20" spans="1:20" s="7" customFormat="1" ht="15.75">
      <c r="A20" s="85" t="s">
        <v>27</v>
      </c>
    </row>
    <row r="21" spans="1:20" s="7" customFormat="1" ht="15" customHeight="1"/>
    <row r="22" spans="1:20" s="7" customFormat="1" ht="15" customHeight="1">
      <c r="A22" s="107" t="s">
        <v>51</v>
      </c>
      <c r="B22" s="107"/>
      <c r="C22" s="107"/>
      <c r="D22" s="107"/>
      <c r="E22" s="107"/>
      <c r="F22" s="107"/>
      <c r="G22" s="107"/>
      <c r="H22" s="107"/>
      <c r="I22" s="107"/>
      <c r="J22" s="107"/>
      <c r="K22" s="107"/>
      <c r="L22" s="107"/>
      <c r="M22" s="107"/>
      <c r="N22" s="107"/>
      <c r="O22" s="107"/>
      <c r="P22" s="107"/>
      <c r="Q22" s="107"/>
      <c r="R22" s="107"/>
      <c r="S22" s="83"/>
      <c r="T22" s="83"/>
    </row>
    <row r="23" spans="1:20" s="7" customFormat="1" ht="15" customHeight="1">
      <c r="A23" s="107"/>
      <c r="B23" s="107"/>
      <c r="C23" s="107"/>
      <c r="D23" s="107"/>
      <c r="E23" s="107"/>
      <c r="F23" s="107"/>
      <c r="G23" s="107"/>
      <c r="H23" s="107"/>
      <c r="I23" s="107"/>
      <c r="J23" s="107"/>
      <c r="K23" s="107"/>
      <c r="L23" s="107"/>
      <c r="M23" s="107"/>
      <c r="N23" s="107"/>
      <c r="O23" s="107"/>
      <c r="P23" s="107"/>
      <c r="Q23" s="107"/>
      <c r="R23" s="107"/>
      <c r="S23" s="83"/>
      <c r="T23" s="83"/>
    </row>
    <row r="24" spans="1:20" s="7" customFormat="1" ht="21" customHeight="1">
      <c r="A24" s="107"/>
      <c r="B24" s="107"/>
      <c r="C24" s="107"/>
      <c r="D24" s="107"/>
      <c r="E24" s="107"/>
      <c r="F24" s="107"/>
      <c r="G24" s="107"/>
      <c r="H24" s="107"/>
      <c r="I24" s="107"/>
      <c r="J24" s="107"/>
      <c r="K24" s="107"/>
      <c r="L24" s="107"/>
      <c r="M24" s="107"/>
      <c r="N24" s="107"/>
      <c r="O24" s="107"/>
      <c r="P24" s="107"/>
      <c r="Q24" s="107"/>
      <c r="R24" s="107"/>
      <c r="S24" s="83"/>
      <c r="T24" s="83"/>
    </row>
    <row r="25" spans="1:20" ht="15" customHeight="1" thickBot="1">
      <c r="A25" s="11"/>
      <c r="B25" s="11"/>
      <c r="C25" s="11"/>
      <c r="D25" s="11"/>
      <c r="E25" s="11"/>
      <c r="F25" s="11"/>
      <c r="G25" s="11"/>
      <c r="H25" s="11"/>
      <c r="I25" s="11"/>
      <c r="J25" s="11"/>
      <c r="K25" s="11"/>
      <c r="L25" s="11"/>
      <c r="M25" s="11"/>
      <c r="N25" s="11"/>
      <c r="O25" s="11"/>
      <c r="P25" s="9"/>
      <c r="Q25" s="11"/>
      <c r="R25" s="9"/>
      <c r="S25" s="9"/>
      <c r="T25" s="11"/>
    </row>
    <row r="26" spans="1:20" ht="21">
      <c r="A26" s="11"/>
      <c r="B26" s="11"/>
      <c r="C26" s="11"/>
      <c r="D26" s="11"/>
      <c r="E26" s="11"/>
      <c r="F26" s="135">
        <v>2</v>
      </c>
      <c r="G26" s="12"/>
      <c r="H26" s="11"/>
      <c r="I26" s="11"/>
      <c r="J26" s="11"/>
      <c r="K26" s="11"/>
      <c r="L26" s="135">
        <v>4</v>
      </c>
      <c r="M26" s="12"/>
      <c r="N26" s="11"/>
      <c r="O26" s="11"/>
      <c r="P26" s="11"/>
      <c r="Q26" s="9"/>
      <c r="R26" s="9"/>
      <c r="S26" s="11"/>
    </row>
    <row r="27" spans="1:20" ht="21.75" thickBot="1">
      <c r="A27" s="11"/>
      <c r="B27" s="11"/>
      <c r="C27" s="11"/>
      <c r="D27" s="11"/>
      <c r="E27" s="11"/>
      <c r="F27" s="136"/>
      <c r="G27" s="13"/>
      <c r="H27" s="11"/>
      <c r="I27" s="14">
        <v>3</v>
      </c>
      <c r="J27" s="15" t="s">
        <v>16</v>
      </c>
      <c r="K27" s="11"/>
      <c r="L27" s="136"/>
      <c r="M27" s="13"/>
      <c r="N27" s="11"/>
      <c r="O27" s="11"/>
      <c r="P27" s="11"/>
      <c r="Q27" s="11"/>
      <c r="R27" s="11"/>
      <c r="S27" s="11"/>
    </row>
    <row r="28" spans="1:20" ht="21">
      <c r="A28" s="11"/>
      <c r="B28" s="11"/>
      <c r="C28" s="11">
        <v>4</v>
      </c>
      <c r="D28" s="11"/>
      <c r="E28" s="11"/>
      <c r="F28" s="11"/>
      <c r="G28" s="11"/>
      <c r="H28" s="11"/>
      <c r="I28" s="11"/>
      <c r="J28" s="11"/>
      <c r="K28" s="11"/>
      <c r="L28" s="11"/>
      <c r="M28" s="11"/>
      <c r="N28" s="11"/>
      <c r="O28" s="11">
        <v>3</v>
      </c>
      <c r="P28" s="11"/>
      <c r="Q28" s="11"/>
      <c r="R28" s="11"/>
      <c r="S28" s="11"/>
    </row>
    <row r="29" spans="1:20" ht="21.75" thickBot="1">
      <c r="A29" s="11"/>
      <c r="B29" s="11"/>
      <c r="C29" s="11"/>
      <c r="D29" s="11"/>
      <c r="E29" s="11"/>
      <c r="F29" s="11"/>
      <c r="G29" s="11"/>
      <c r="H29" s="11"/>
      <c r="I29" s="11"/>
      <c r="J29" s="11"/>
      <c r="K29" s="11"/>
      <c r="L29" s="11"/>
      <c r="M29" s="11"/>
      <c r="N29" s="11"/>
      <c r="O29" s="11"/>
      <c r="P29" s="11"/>
      <c r="Q29" s="11"/>
      <c r="R29" s="11"/>
      <c r="S29" s="11"/>
    </row>
    <row r="30" spans="1:20" ht="21">
      <c r="A30" s="135">
        <v>1</v>
      </c>
      <c r="B30" s="12"/>
      <c r="C30" s="11"/>
      <c r="D30" s="11"/>
      <c r="E30" s="11"/>
      <c r="F30" s="11">
        <v>4</v>
      </c>
      <c r="G30" s="11"/>
      <c r="H30" s="11"/>
      <c r="J30" s="11"/>
      <c r="K30" s="11"/>
      <c r="L30" s="11"/>
      <c r="M30" s="11"/>
      <c r="N30" s="11"/>
      <c r="O30" s="11"/>
      <c r="P30" s="11"/>
      <c r="Q30" s="135">
        <v>6</v>
      </c>
      <c r="R30" s="12"/>
      <c r="S30" s="11"/>
    </row>
    <row r="31" spans="1:20" ht="21.75" thickBot="1">
      <c r="A31" s="136"/>
      <c r="B31" s="13"/>
      <c r="C31" s="11"/>
      <c r="D31" s="11"/>
      <c r="E31" s="11"/>
      <c r="F31" s="11"/>
      <c r="G31" s="11"/>
      <c r="H31" s="11"/>
      <c r="I31" s="11">
        <v>2</v>
      </c>
      <c r="J31" s="11"/>
      <c r="K31" s="11"/>
      <c r="L31" s="11"/>
      <c r="M31" s="11"/>
      <c r="N31" s="11"/>
      <c r="O31" s="11"/>
      <c r="P31" s="11"/>
      <c r="Q31" s="136"/>
      <c r="R31" s="13"/>
      <c r="S31" s="11"/>
    </row>
    <row r="32" spans="1:20" ht="21">
      <c r="A32" s="11"/>
      <c r="B32" s="11"/>
      <c r="C32" s="11"/>
      <c r="D32" s="11"/>
      <c r="E32" s="11"/>
      <c r="F32" s="11"/>
      <c r="G32" s="11"/>
      <c r="H32" s="11"/>
      <c r="I32" s="11"/>
      <c r="J32" s="11"/>
      <c r="K32" s="11"/>
      <c r="L32" s="11"/>
      <c r="M32" s="11"/>
      <c r="N32" s="11"/>
      <c r="O32" s="11">
        <v>3</v>
      </c>
      <c r="P32" s="11"/>
      <c r="Q32" s="11"/>
      <c r="R32" s="11"/>
      <c r="S32" s="11"/>
    </row>
    <row r="33" spans="1:20" ht="21.75" thickBot="1">
      <c r="A33" s="11"/>
      <c r="B33" s="11"/>
      <c r="C33" s="11">
        <v>2</v>
      </c>
      <c r="D33" s="11"/>
      <c r="E33" s="11"/>
      <c r="F33" s="11"/>
      <c r="G33" s="11"/>
      <c r="H33" s="11"/>
      <c r="I33" s="11"/>
      <c r="J33" s="11"/>
      <c r="K33" s="11"/>
      <c r="L33" s="11"/>
      <c r="M33" s="11"/>
      <c r="N33" s="11"/>
      <c r="O33" s="11"/>
      <c r="P33" s="11"/>
      <c r="Q33" s="11"/>
      <c r="R33" s="11"/>
      <c r="S33" s="11"/>
    </row>
    <row r="34" spans="1:20" ht="21">
      <c r="A34" s="11"/>
      <c r="B34" s="11"/>
      <c r="C34" s="11"/>
      <c r="D34" s="11"/>
      <c r="E34" s="11"/>
      <c r="F34" s="135">
        <v>3</v>
      </c>
      <c r="G34" s="12"/>
      <c r="H34" s="11"/>
      <c r="I34" s="11"/>
      <c r="J34" s="11"/>
      <c r="K34" s="11"/>
      <c r="L34" s="135">
        <v>5</v>
      </c>
      <c r="M34" s="12"/>
      <c r="N34" s="11"/>
      <c r="O34" s="11"/>
      <c r="P34" s="11"/>
      <c r="Q34" s="11"/>
      <c r="R34" s="11"/>
      <c r="S34" s="11"/>
    </row>
    <row r="35" spans="1:20" ht="21.75" thickBot="1">
      <c r="A35" s="11"/>
      <c r="B35" s="11"/>
      <c r="C35" s="11"/>
      <c r="D35" s="11"/>
      <c r="E35" s="11"/>
      <c r="F35" s="136"/>
      <c r="G35" s="13"/>
      <c r="H35" s="11"/>
      <c r="I35" s="11"/>
      <c r="J35" s="11">
        <v>1</v>
      </c>
      <c r="K35" s="11"/>
      <c r="L35" s="136"/>
      <c r="M35" s="13"/>
      <c r="N35" s="11"/>
      <c r="O35" s="11"/>
      <c r="P35" s="11"/>
      <c r="Q35" s="11"/>
      <c r="R35" s="11"/>
      <c r="S35" s="11"/>
    </row>
    <row r="36" spans="1:20" ht="21">
      <c r="A36" s="11"/>
      <c r="B36" s="11"/>
      <c r="C36" s="11"/>
      <c r="D36" s="11"/>
      <c r="E36" s="11"/>
      <c r="F36" s="11"/>
      <c r="G36" s="11"/>
      <c r="H36" s="11"/>
      <c r="I36" s="11"/>
      <c r="J36" s="11"/>
      <c r="K36" s="11"/>
      <c r="L36" s="11"/>
      <c r="M36" s="11"/>
      <c r="N36" s="11"/>
      <c r="O36" s="11"/>
      <c r="P36" s="11"/>
      <c r="Q36" s="11"/>
      <c r="R36" s="11"/>
      <c r="S36" s="11"/>
      <c r="T36" s="11"/>
    </row>
    <row r="37" spans="1:20" ht="21">
      <c r="A37" s="9"/>
      <c r="B37" s="141" t="s">
        <v>32</v>
      </c>
      <c r="C37" s="142"/>
      <c r="D37" s="16" t="s">
        <v>30</v>
      </c>
      <c r="E37" s="16" t="s">
        <v>31</v>
      </c>
      <c r="F37" s="16" t="s">
        <v>13</v>
      </c>
      <c r="G37" s="16" t="s">
        <v>17</v>
      </c>
      <c r="H37" s="16" t="s">
        <v>18</v>
      </c>
      <c r="I37" s="143" t="s">
        <v>19</v>
      </c>
      <c r="J37" s="143"/>
      <c r="K37" s="143" t="s">
        <v>20</v>
      </c>
      <c r="L37" s="143"/>
      <c r="M37" s="143" t="s">
        <v>21</v>
      </c>
      <c r="N37" s="143"/>
      <c r="O37" s="143" t="s">
        <v>35</v>
      </c>
      <c r="P37" s="143"/>
      <c r="Q37" s="9"/>
      <c r="R37" s="9"/>
      <c r="S37" s="9"/>
      <c r="T37" s="9"/>
    </row>
    <row r="38" spans="1:20" ht="21">
      <c r="A38" s="9"/>
      <c r="B38" s="17">
        <v>1</v>
      </c>
      <c r="C38" s="18">
        <v>2</v>
      </c>
      <c r="D38" s="20"/>
      <c r="E38" s="20"/>
      <c r="F38" s="20"/>
      <c r="G38" s="20"/>
      <c r="H38" s="19"/>
      <c r="I38" s="139">
        <v>12</v>
      </c>
      <c r="J38" s="139"/>
      <c r="K38" s="139">
        <v>15</v>
      </c>
      <c r="L38" s="139"/>
      <c r="M38" s="140"/>
      <c r="N38" s="140"/>
      <c r="O38" s="140"/>
      <c r="P38" s="140"/>
      <c r="Q38" s="9"/>
      <c r="R38" s="9"/>
      <c r="S38" s="9"/>
      <c r="T38" s="9"/>
    </row>
    <row r="39" spans="1:20" ht="21">
      <c r="A39" s="9"/>
      <c r="B39" s="17">
        <v>1</v>
      </c>
      <c r="C39" s="18">
        <v>3</v>
      </c>
      <c r="D39" s="20"/>
      <c r="E39" s="20"/>
      <c r="F39" s="20"/>
      <c r="G39" s="20"/>
      <c r="H39" s="20"/>
      <c r="I39" s="139">
        <v>5</v>
      </c>
      <c r="J39" s="139"/>
      <c r="K39" s="139">
        <v>7</v>
      </c>
      <c r="L39" s="139"/>
      <c r="M39" s="139"/>
      <c r="N39" s="139"/>
      <c r="O39" s="139"/>
      <c r="P39" s="139"/>
      <c r="Q39" s="9"/>
      <c r="R39" s="9"/>
      <c r="S39" s="9"/>
      <c r="T39" s="9"/>
    </row>
    <row r="40" spans="1:20" ht="21">
      <c r="A40" s="9"/>
      <c r="B40" s="17">
        <v>2</v>
      </c>
      <c r="C40" s="18">
        <v>4</v>
      </c>
      <c r="D40" s="20"/>
      <c r="E40" s="20"/>
      <c r="F40" s="20"/>
      <c r="G40" s="20"/>
      <c r="H40" s="19"/>
      <c r="I40" s="139">
        <v>16</v>
      </c>
      <c r="J40" s="139"/>
      <c r="K40" s="139">
        <v>18</v>
      </c>
      <c r="L40" s="139"/>
      <c r="M40" s="140"/>
      <c r="N40" s="140"/>
      <c r="O40" s="140"/>
      <c r="P40" s="140"/>
      <c r="Q40" s="9"/>
      <c r="R40" s="9"/>
      <c r="S40" s="9"/>
      <c r="T40" s="9"/>
    </row>
    <row r="41" spans="1:20" ht="21">
      <c r="A41" s="9"/>
      <c r="B41" s="17">
        <v>2</v>
      </c>
      <c r="C41" s="18">
        <v>5</v>
      </c>
      <c r="D41" s="20"/>
      <c r="E41" s="20"/>
      <c r="F41" s="20"/>
      <c r="G41" s="20"/>
      <c r="H41" s="20"/>
      <c r="I41" s="139">
        <v>12</v>
      </c>
      <c r="J41" s="139"/>
      <c r="K41" s="139">
        <v>18</v>
      </c>
      <c r="L41" s="139"/>
      <c r="M41" s="139"/>
      <c r="N41" s="139"/>
      <c r="O41" s="139"/>
      <c r="P41" s="139"/>
      <c r="Q41" s="9"/>
      <c r="R41" s="9"/>
      <c r="S41" s="9"/>
      <c r="T41" s="9"/>
    </row>
    <row r="42" spans="1:20" ht="21">
      <c r="A42" s="9"/>
      <c r="B42" s="17">
        <v>3</v>
      </c>
      <c r="C42" s="18">
        <v>2</v>
      </c>
      <c r="D42" s="20"/>
      <c r="E42" s="20"/>
      <c r="F42" s="20"/>
      <c r="G42" s="20"/>
      <c r="H42" s="19"/>
      <c r="I42" s="139">
        <v>19</v>
      </c>
      <c r="J42" s="139"/>
      <c r="K42" s="139">
        <v>16</v>
      </c>
      <c r="L42" s="139"/>
      <c r="M42" s="140"/>
      <c r="N42" s="140"/>
      <c r="O42" s="140"/>
      <c r="P42" s="140"/>
      <c r="Q42" s="9"/>
      <c r="R42" s="9"/>
      <c r="S42" s="9"/>
      <c r="T42" s="9"/>
    </row>
    <row r="43" spans="1:20" ht="21">
      <c r="A43" s="9"/>
      <c r="B43" s="17">
        <v>3</v>
      </c>
      <c r="C43" s="18">
        <v>5</v>
      </c>
      <c r="D43" s="20"/>
      <c r="E43" s="20"/>
      <c r="F43" s="20"/>
      <c r="G43" s="20"/>
      <c r="H43" s="20"/>
      <c r="I43" s="139">
        <v>24</v>
      </c>
      <c r="J43" s="139"/>
      <c r="K43" s="139">
        <v>14</v>
      </c>
      <c r="L43" s="139"/>
      <c r="M43" s="139"/>
      <c r="N43" s="139"/>
      <c r="O43" s="139"/>
      <c r="P43" s="139"/>
      <c r="Q43" s="9"/>
      <c r="R43" s="9"/>
      <c r="S43" s="9"/>
      <c r="T43" s="9"/>
    </row>
    <row r="44" spans="1:20" ht="21">
      <c r="A44" s="9"/>
      <c r="B44" s="17">
        <v>4</v>
      </c>
      <c r="C44" s="18">
        <v>6</v>
      </c>
      <c r="D44" s="20"/>
      <c r="E44" s="20"/>
      <c r="F44" s="20"/>
      <c r="G44" s="20"/>
      <c r="H44" s="19"/>
      <c r="I44" s="139">
        <v>22</v>
      </c>
      <c r="J44" s="139"/>
      <c r="K44" s="139">
        <v>13</v>
      </c>
      <c r="L44" s="139"/>
      <c r="M44" s="140"/>
      <c r="N44" s="140"/>
      <c r="O44" s="140"/>
      <c r="P44" s="140"/>
      <c r="Q44" s="9"/>
      <c r="R44" s="9"/>
      <c r="S44" s="9"/>
      <c r="T44" s="9"/>
    </row>
    <row r="45" spans="1:20" ht="21">
      <c r="A45" s="9"/>
      <c r="B45" s="21">
        <v>5</v>
      </c>
      <c r="C45" s="22">
        <v>6</v>
      </c>
      <c r="D45" s="23"/>
      <c r="E45" s="23"/>
      <c r="F45" s="23"/>
      <c r="G45" s="23"/>
      <c r="H45" s="20"/>
      <c r="I45" s="139">
        <v>14</v>
      </c>
      <c r="J45" s="139"/>
      <c r="K45" s="139">
        <v>11</v>
      </c>
      <c r="L45" s="139"/>
      <c r="M45" s="139"/>
      <c r="N45" s="139"/>
      <c r="O45" s="139"/>
      <c r="P45" s="139"/>
      <c r="Q45" s="9"/>
      <c r="R45" s="9"/>
      <c r="S45" s="9"/>
      <c r="T45" s="9"/>
    </row>
    <row r="46" spans="1:20" ht="21">
      <c r="A46" s="9"/>
      <c r="B46" s="143" t="s">
        <v>14</v>
      </c>
      <c r="C46" s="143"/>
      <c r="D46" s="143"/>
      <c r="E46" s="143"/>
      <c r="F46" s="143"/>
      <c r="G46" s="143"/>
      <c r="H46" s="9"/>
      <c r="I46" s="143" t="s">
        <v>15</v>
      </c>
      <c r="J46" s="143"/>
      <c r="K46" s="143"/>
      <c r="L46" s="143"/>
      <c r="M46" s="143"/>
      <c r="N46" s="143"/>
      <c r="O46" s="143"/>
      <c r="P46" s="143"/>
      <c r="Q46" s="9"/>
      <c r="R46" s="9"/>
      <c r="S46" s="9"/>
      <c r="T46" s="9"/>
    </row>
    <row r="47" spans="1:20" ht="15.75">
      <c r="A47" s="7"/>
      <c r="B47" s="7"/>
      <c r="C47" s="7"/>
      <c r="D47" s="7"/>
      <c r="E47" s="7"/>
      <c r="F47" s="7"/>
      <c r="G47" s="7"/>
      <c r="H47" s="7"/>
      <c r="I47" s="7"/>
      <c r="J47" s="7"/>
      <c r="K47" s="7"/>
      <c r="L47" s="7"/>
      <c r="M47" s="7"/>
      <c r="N47" s="7"/>
      <c r="O47" s="7"/>
      <c r="P47" s="7"/>
      <c r="Q47" s="7"/>
      <c r="R47" s="7"/>
      <c r="S47" s="7"/>
    </row>
    <row r="48" spans="1:20" ht="15.75">
      <c r="A48" s="119" t="s">
        <v>135</v>
      </c>
      <c r="B48" s="119"/>
      <c r="C48" s="119"/>
      <c r="D48" s="119"/>
      <c r="E48" s="119"/>
      <c r="F48" s="119"/>
      <c r="G48" s="119"/>
      <c r="H48" s="119"/>
      <c r="I48" s="119"/>
      <c r="J48" s="119"/>
      <c r="K48" s="119"/>
      <c r="L48" s="119"/>
      <c r="M48" s="119"/>
      <c r="N48" s="119"/>
      <c r="O48" s="119"/>
      <c r="P48" s="119"/>
      <c r="Q48" s="119"/>
      <c r="R48" s="119"/>
    </row>
    <row r="50" spans="1:18">
      <c r="B50" s="91" t="s">
        <v>133</v>
      </c>
      <c r="C50" s="120" t="s">
        <v>134</v>
      </c>
      <c r="D50" s="120"/>
    </row>
    <row r="51" spans="1:18">
      <c r="B51" s="92">
        <v>4</v>
      </c>
      <c r="C51" s="121">
        <v>0.05</v>
      </c>
      <c r="D51" s="122"/>
    </row>
    <row r="52" spans="1:18">
      <c r="B52" s="92">
        <v>6</v>
      </c>
      <c r="C52" s="121">
        <v>0.1</v>
      </c>
      <c r="D52" s="122"/>
    </row>
    <row r="53" spans="1:18">
      <c r="B53" s="92">
        <v>8</v>
      </c>
      <c r="C53" s="121">
        <v>0.5</v>
      </c>
      <c r="D53" s="122"/>
    </row>
    <row r="54" spans="1:18">
      <c r="B54" s="92">
        <v>10</v>
      </c>
      <c r="C54" s="121">
        <v>0.35</v>
      </c>
      <c r="D54" s="122"/>
    </row>
    <row r="56" spans="1:18" ht="63.75" customHeight="1">
      <c r="A56" s="118" t="s">
        <v>150</v>
      </c>
      <c r="B56" s="118"/>
      <c r="C56" s="118"/>
      <c r="D56" s="118"/>
      <c r="E56" s="118"/>
      <c r="F56" s="118"/>
      <c r="G56" s="118"/>
      <c r="H56" s="118"/>
      <c r="I56" s="118"/>
      <c r="J56" s="118"/>
      <c r="K56" s="118"/>
      <c r="L56" s="118"/>
      <c r="M56" s="118"/>
      <c r="N56" s="118"/>
      <c r="O56" s="118"/>
      <c r="P56" s="118"/>
      <c r="Q56" s="118"/>
      <c r="R56" s="118"/>
    </row>
  </sheetData>
  <mergeCells count="69">
    <mergeCell ref="A56:R56"/>
    <mergeCell ref="A48:R48"/>
    <mergeCell ref="C50:D50"/>
    <mergeCell ref="C51:D51"/>
    <mergeCell ref="C52:D52"/>
    <mergeCell ref="C53:D53"/>
    <mergeCell ref="C54:D54"/>
    <mergeCell ref="I45:J45"/>
    <mergeCell ref="K45:L45"/>
    <mergeCell ref="M45:N45"/>
    <mergeCell ref="O45:P45"/>
    <mergeCell ref="B46:D46"/>
    <mergeCell ref="E46:G46"/>
    <mergeCell ref="I46:L46"/>
    <mergeCell ref="M46:P46"/>
    <mergeCell ref="I43:J43"/>
    <mergeCell ref="K43:L43"/>
    <mergeCell ref="M43:N43"/>
    <mergeCell ref="O43:P43"/>
    <mergeCell ref="I44:J44"/>
    <mergeCell ref="K44:L44"/>
    <mergeCell ref="M44:N44"/>
    <mergeCell ref="O44:P44"/>
    <mergeCell ref="I41:J41"/>
    <mergeCell ref="K41:L41"/>
    <mergeCell ref="M41:N41"/>
    <mergeCell ref="O41:P41"/>
    <mergeCell ref="I42:J42"/>
    <mergeCell ref="K42:L42"/>
    <mergeCell ref="M42:N42"/>
    <mergeCell ref="O42:P42"/>
    <mergeCell ref="I39:J39"/>
    <mergeCell ref="K39:L39"/>
    <mergeCell ref="M39:N39"/>
    <mergeCell ref="O39:P39"/>
    <mergeCell ref="I40:J40"/>
    <mergeCell ref="K40:L40"/>
    <mergeCell ref="M40:N40"/>
    <mergeCell ref="O40:P40"/>
    <mergeCell ref="B37:C37"/>
    <mergeCell ref="I37:J37"/>
    <mergeCell ref="K37:L37"/>
    <mergeCell ref="M37:N37"/>
    <mergeCell ref="O37:P37"/>
    <mergeCell ref="I38:J38"/>
    <mergeCell ref="K38:L38"/>
    <mergeCell ref="M38:N38"/>
    <mergeCell ref="O38:P38"/>
    <mergeCell ref="F26:F27"/>
    <mergeCell ref="L26:L27"/>
    <mergeCell ref="F34:F35"/>
    <mergeCell ref="L34:L35"/>
    <mergeCell ref="A1:L1"/>
    <mergeCell ref="A2:O2"/>
    <mergeCell ref="P2:R2"/>
    <mergeCell ref="O1:R1"/>
    <mergeCell ref="A4:B4"/>
    <mergeCell ref="C4:D4"/>
    <mergeCell ref="E4:F4"/>
    <mergeCell ref="G4:H4"/>
    <mergeCell ref="A5:B5"/>
    <mergeCell ref="C5:D5"/>
    <mergeCell ref="E5:F5"/>
    <mergeCell ref="G5:H5"/>
    <mergeCell ref="A22:R24"/>
    <mergeCell ref="A7:R9"/>
    <mergeCell ref="A13:R16"/>
    <mergeCell ref="A30:A31"/>
    <mergeCell ref="Q30:Q31"/>
  </mergeCells>
  <conditionalFormatting sqref="H38:I45 K38:K45 M38:M45 O38:O45">
    <cfRule type="cellIs" dxfId="2" priority="1" operator="equal">
      <formula>"SI"</formula>
    </cfRule>
  </conditionalFormatting>
  <printOptions horizontalCentered="1"/>
  <pageMargins left="0.31496062992125984" right="0" top="0" bottom="0" header="0.31496062992125984" footer="0.31496062992125984"/>
  <pageSetup paperSize="9" scale="80" orientation="portrait" r:id="rId1"/>
  <drawing r:id="rId2"/>
</worksheet>
</file>

<file path=xl/worksheets/sheet4.xml><?xml version="1.0" encoding="utf-8"?>
<worksheet xmlns="http://schemas.openxmlformats.org/spreadsheetml/2006/main" xmlns:r="http://schemas.openxmlformats.org/officeDocument/2006/relationships">
  <dimension ref="A1:AG86"/>
  <sheetViews>
    <sheetView zoomScale="70" zoomScaleNormal="70" workbookViewId="0">
      <selection sqref="A1:N4"/>
    </sheetView>
  </sheetViews>
  <sheetFormatPr baseColWidth="10" defaultRowHeight="15"/>
  <cols>
    <col min="2" max="2" width="15.7109375" customWidth="1"/>
    <col min="3" max="3" width="14.140625" customWidth="1"/>
    <col min="5" max="5" width="18" customWidth="1"/>
    <col min="6" max="6" width="12.28515625" customWidth="1"/>
    <col min="16" max="16" width="6.7109375" customWidth="1"/>
    <col min="17" max="31" width="8.7109375" customWidth="1"/>
    <col min="32" max="33" width="6.7109375" customWidth="1"/>
  </cols>
  <sheetData>
    <row r="1" spans="1:33" ht="15" customHeight="1">
      <c r="A1" s="144" t="s">
        <v>33</v>
      </c>
      <c r="B1" s="144"/>
      <c r="C1" s="144"/>
      <c r="D1" s="144"/>
      <c r="E1" s="144"/>
      <c r="F1" s="144"/>
      <c r="G1" s="144"/>
      <c r="H1" s="144"/>
      <c r="I1" s="144"/>
      <c r="J1" s="144"/>
      <c r="K1" s="144"/>
      <c r="L1" s="144"/>
      <c r="M1" s="144"/>
      <c r="N1" s="144"/>
      <c r="O1" s="8"/>
      <c r="P1" s="134" t="s">
        <v>51</v>
      </c>
      <c r="Q1" s="134"/>
      <c r="R1" s="134"/>
      <c r="S1" s="134"/>
      <c r="T1" s="134"/>
      <c r="U1" s="134"/>
      <c r="V1" s="134"/>
      <c r="W1" s="134"/>
      <c r="X1" s="134"/>
      <c r="Y1" s="134"/>
      <c r="Z1" s="134"/>
      <c r="AA1" s="134"/>
      <c r="AB1" s="134"/>
      <c r="AC1" s="134"/>
      <c r="AD1" s="134"/>
      <c r="AE1" s="134"/>
      <c r="AF1" s="134"/>
      <c r="AG1" s="134"/>
    </row>
    <row r="2" spans="1:33" ht="15" customHeight="1">
      <c r="A2" s="144"/>
      <c r="B2" s="144"/>
      <c r="C2" s="144"/>
      <c r="D2" s="144"/>
      <c r="E2" s="144"/>
      <c r="F2" s="144"/>
      <c r="G2" s="144"/>
      <c r="H2" s="144"/>
      <c r="I2" s="144"/>
      <c r="J2" s="144"/>
      <c r="K2" s="144"/>
      <c r="L2" s="144"/>
      <c r="M2" s="144"/>
      <c r="N2" s="144"/>
      <c r="O2" s="8"/>
      <c r="P2" s="134"/>
      <c r="Q2" s="134"/>
      <c r="R2" s="134"/>
      <c r="S2" s="134"/>
      <c r="T2" s="134"/>
      <c r="U2" s="134"/>
      <c r="V2" s="134"/>
      <c r="W2" s="134"/>
      <c r="X2" s="134"/>
      <c r="Y2" s="134"/>
      <c r="Z2" s="134"/>
      <c r="AA2" s="134"/>
      <c r="AB2" s="134"/>
      <c r="AC2" s="134"/>
      <c r="AD2" s="134"/>
      <c r="AE2" s="134"/>
      <c r="AF2" s="134"/>
      <c r="AG2" s="134"/>
    </row>
    <row r="3" spans="1:33" ht="15" customHeight="1">
      <c r="A3" s="144"/>
      <c r="B3" s="144"/>
      <c r="C3" s="144"/>
      <c r="D3" s="144"/>
      <c r="E3" s="144"/>
      <c r="F3" s="144"/>
      <c r="G3" s="144"/>
      <c r="H3" s="144"/>
      <c r="I3" s="144"/>
      <c r="J3" s="144"/>
      <c r="K3" s="144"/>
      <c r="L3" s="144"/>
      <c r="M3" s="144"/>
      <c r="N3" s="144"/>
      <c r="O3" s="8"/>
      <c r="P3" s="134"/>
      <c r="Q3" s="134"/>
      <c r="R3" s="134"/>
      <c r="S3" s="134"/>
      <c r="T3" s="134"/>
      <c r="U3" s="134"/>
      <c r="V3" s="134"/>
      <c r="W3" s="134"/>
      <c r="X3" s="134"/>
      <c r="Y3" s="134"/>
      <c r="Z3" s="134"/>
      <c r="AA3" s="134"/>
      <c r="AB3" s="134"/>
      <c r="AC3" s="134"/>
      <c r="AD3" s="134"/>
      <c r="AE3" s="134"/>
      <c r="AF3" s="134"/>
      <c r="AG3" s="134"/>
    </row>
    <row r="4" spans="1:33" ht="15" customHeight="1">
      <c r="A4" s="144"/>
      <c r="B4" s="144"/>
      <c r="C4" s="144"/>
      <c r="D4" s="144"/>
      <c r="E4" s="144"/>
      <c r="F4" s="144"/>
      <c r="G4" s="144"/>
      <c r="H4" s="144"/>
      <c r="I4" s="144"/>
      <c r="J4" s="144"/>
      <c r="K4" s="144"/>
      <c r="L4" s="144"/>
      <c r="M4" s="144"/>
      <c r="N4" s="144"/>
      <c r="O4" s="8"/>
      <c r="P4" s="134"/>
      <c r="Q4" s="134"/>
      <c r="R4" s="134"/>
      <c r="S4" s="134"/>
      <c r="T4" s="134"/>
      <c r="U4" s="134"/>
      <c r="V4" s="134"/>
      <c r="W4" s="134"/>
      <c r="X4" s="134"/>
      <c r="Y4" s="134"/>
      <c r="Z4" s="134"/>
      <c r="AA4" s="134"/>
      <c r="AB4" s="134"/>
      <c r="AC4" s="134"/>
      <c r="AD4" s="134"/>
      <c r="AE4" s="134"/>
      <c r="AF4" s="134"/>
      <c r="AG4" s="134"/>
    </row>
    <row r="5" spans="1:33" ht="21.75" thickBot="1">
      <c r="A5" s="8"/>
      <c r="B5" s="8"/>
      <c r="C5" s="8"/>
      <c r="D5" s="8"/>
      <c r="E5" s="8"/>
      <c r="F5" s="8"/>
      <c r="G5" s="8"/>
      <c r="H5" s="8"/>
      <c r="I5" s="8"/>
      <c r="J5" s="8"/>
      <c r="K5" s="8"/>
      <c r="L5" s="8"/>
      <c r="M5" s="8"/>
      <c r="N5" s="8"/>
      <c r="O5" s="8"/>
      <c r="P5" s="71"/>
      <c r="Q5" s="71"/>
      <c r="R5" s="71"/>
      <c r="S5" s="71"/>
      <c r="T5" s="71"/>
      <c r="U5" s="71"/>
      <c r="V5" s="71"/>
      <c r="W5" s="71"/>
      <c r="X5" s="71"/>
      <c r="Y5" s="71"/>
      <c r="Z5" s="71"/>
      <c r="AA5" s="71"/>
      <c r="AB5" s="71"/>
      <c r="AC5" s="71"/>
      <c r="AD5" s="71"/>
      <c r="AE5" s="71"/>
      <c r="AF5" s="71"/>
      <c r="AG5" s="71"/>
    </row>
    <row r="6" spans="1:33" ht="21">
      <c r="A6" s="24" t="s">
        <v>8</v>
      </c>
      <c r="B6" s="9" t="s">
        <v>10</v>
      </c>
      <c r="C6" s="9"/>
      <c r="D6" s="9"/>
      <c r="E6" s="9"/>
      <c r="F6" s="9"/>
      <c r="G6" s="50">
        <v>2700</v>
      </c>
      <c r="H6" s="9"/>
      <c r="I6" s="9"/>
      <c r="J6" s="9"/>
      <c r="K6" s="9"/>
      <c r="L6" s="9"/>
      <c r="M6" s="9"/>
      <c r="N6" s="9"/>
      <c r="O6" s="9"/>
      <c r="P6" s="75"/>
      <c r="Q6" s="75"/>
      <c r="R6" s="75"/>
      <c r="S6" s="75"/>
      <c r="T6" s="75"/>
      <c r="U6" s="135">
        <v>2</v>
      </c>
      <c r="V6" s="12">
        <v>6</v>
      </c>
      <c r="W6" s="75"/>
      <c r="X6" s="75"/>
      <c r="Y6" s="75"/>
      <c r="Z6" s="75"/>
      <c r="AA6" s="135">
        <v>4</v>
      </c>
      <c r="AB6" s="12">
        <v>9</v>
      </c>
      <c r="AC6" s="75"/>
      <c r="AD6" s="75"/>
      <c r="AE6" s="75"/>
      <c r="AF6" s="9"/>
      <c r="AG6" s="9"/>
    </row>
    <row r="7" spans="1:33" ht="21.75" thickBot="1">
      <c r="A7" s="24" t="s">
        <v>9</v>
      </c>
      <c r="B7" s="9" t="s">
        <v>11</v>
      </c>
      <c r="C7" s="9"/>
      <c r="D7" s="9"/>
      <c r="E7" s="9"/>
      <c r="F7" s="9"/>
      <c r="G7" s="50">
        <v>3890</v>
      </c>
      <c r="H7" s="9"/>
      <c r="I7" s="9"/>
      <c r="J7" s="9"/>
      <c r="K7" s="9"/>
      <c r="L7" s="9"/>
      <c r="M7" s="9"/>
      <c r="N7" s="9"/>
      <c r="O7" s="9"/>
      <c r="P7" s="75"/>
      <c r="Q7" s="75"/>
      <c r="R7" s="75"/>
      <c r="S7" s="75"/>
      <c r="T7" s="75"/>
      <c r="U7" s="136"/>
      <c r="V7" s="13">
        <v>6</v>
      </c>
      <c r="W7" s="75"/>
      <c r="X7" s="14">
        <v>3</v>
      </c>
      <c r="Y7" s="15" t="s">
        <v>16</v>
      </c>
      <c r="Z7" s="75"/>
      <c r="AA7" s="136"/>
      <c r="AB7" s="13">
        <v>9</v>
      </c>
      <c r="AC7" s="75"/>
      <c r="AD7" s="75"/>
      <c r="AE7" s="75"/>
      <c r="AF7" s="75"/>
      <c r="AG7" s="75"/>
    </row>
    <row r="8" spans="1:33" ht="21" customHeight="1">
      <c r="P8" s="75"/>
      <c r="Q8" s="75"/>
      <c r="R8" s="75">
        <v>4</v>
      </c>
      <c r="S8" s="75"/>
      <c r="T8" s="75"/>
      <c r="U8" s="75"/>
      <c r="V8" s="75"/>
      <c r="W8" s="75"/>
      <c r="X8" s="75"/>
      <c r="Y8" s="75"/>
      <c r="Z8" s="75"/>
      <c r="AA8" s="75"/>
      <c r="AB8" s="75"/>
      <c r="AC8" s="75"/>
      <c r="AD8" s="75">
        <v>3</v>
      </c>
      <c r="AE8" s="75"/>
      <c r="AF8" s="75"/>
      <c r="AG8" s="75"/>
    </row>
    <row r="9" spans="1:33" ht="21" customHeight="1" thickBot="1">
      <c r="A9" s="127" t="s">
        <v>8</v>
      </c>
      <c r="B9" s="128">
        <v>1000</v>
      </c>
      <c r="C9" s="129">
        <v>9000</v>
      </c>
      <c r="D9" s="41"/>
      <c r="E9" s="38">
        <v>0.9</v>
      </c>
      <c r="F9" s="39">
        <v>0.1</v>
      </c>
      <c r="H9" s="128">
        <f>+B9*E9+C9*E10</f>
        <v>2700</v>
      </c>
      <c r="I9" s="129">
        <f>+B9*F9+C9*F10</f>
        <v>7300</v>
      </c>
      <c r="P9" s="75"/>
      <c r="Q9" s="75"/>
      <c r="R9" s="75"/>
      <c r="S9" s="75"/>
      <c r="T9" s="75"/>
      <c r="U9" s="75"/>
      <c r="V9" s="75"/>
      <c r="W9" s="75"/>
      <c r="X9" s="75"/>
      <c r="Y9" s="75"/>
      <c r="Z9" s="75"/>
      <c r="AA9" s="75"/>
      <c r="AB9" s="75"/>
      <c r="AC9" s="75"/>
      <c r="AD9" s="75"/>
      <c r="AE9" s="75"/>
      <c r="AF9" s="75"/>
      <c r="AG9" s="75"/>
    </row>
    <row r="10" spans="1:33" ht="21" customHeight="1">
      <c r="A10" s="127"/>
      <c r="B10" s="128"/>
      <c r="C10" s="129"/>
      <c r="D10" s="41"/>
      <c r="E10" s="38">
        <v>0.2</v>
      </c>
      <c r="F10" s="39">
        <v>0.8</v>
      </c>
      <c r="H10" s="128"/>
      <c r="I10" s="129"/>
      <c r="P10" s="135">
        <v>1</v>
      </c>
      <c r="Q10" s="12">
        <v>0</v>
      </c>
      <c r="R10" s="75"/>
      <c r="S10" s="75"/>
      <c r="T10" s="75"/>
      <c r="U10" s="75">
        <v>4</v>
      </c>
      <c r="V10" s="75"/>
      <c r="W10" s="75"/>
      <c r="Y10" s="75"/>
      <c r="Z10" s="75"/>
      <c r="AA10" s="75"/>
      <c r="AB10" s="75"/>
      <c r="AC10" s="75"/>
      <c r="AD10" s="75"/>
      <c r="AE10" s="75"/>
      <c r="AF10" s="135">
        <v>6</v>
      </c>
      <c r="AG10" s="12">
        <v>12</v>
      </c>
    </row>
    <row r="11" spans="1:33" ht="21" customHeight="1" thickBot="1">
      <c r="P11" s="136"/>
      <c r="Q11" s="13">
        <v>0</v>
      </c>
      <c r="R11" s="75"/>
      <c r="S11" s="75"/>
      <c r="T11" s="75"/>
      <c r="U11" s="75"/>
      <c r="V11" s="75"/>
      <c r="W11" s="75"/>
      <c r="X11" s="75">
        <v>2</v>
      </c>
      <c r="Y11" s="75"/>
      <c r="Z11" s="75"/>
      <c r="AA11" s="75"/>
      <c r="AB11" s="75"/>
      <c r="AC11" s="75"/>
      <c r="AD11" s="75"/>
      <c r="AE11" s="75"/>
      <c r="AF11" s="136"/>
      <c r="AG11" s="13">
        <v>12</v>
      </c>
    </row>
    <row r="12" spans="1:33" ht="21" customHeight="1">
      <c r="A12" s="127" t="s">
        <v>9</v>
      </c>
      <c r="B12" s="38">
        <v>0.9</v>
      </c>
      <c r="C12" s="39">
        <v>0.1</v>
      </c>
      <c r="E12" s="38">
        <v>0.9</v>
      </c>
      <c r="F12" s="39">
        <v>0.1</v>
      </c>
      <c r="H12" s="38">
        <f>+B12*E12+C12*E13</f>
        <v>0.83000000000000007</v>
      </c>
      <c r="I12" s="39">
        <f>+B12*F12+C12*F13</f>
        <v>0.17000000000000004</v>
      </c>
      <c r="P12" s="75"/>
      <c r="Q12" s="75"/>
      <c r="R12" s="75"/>
      <c r="S12" s="75"/>
      <c r="T12" s="75"/>
      <c r="U12" s="75"/>
      <c r="V12" s="75"/>
      <c r="W12" s="75"/>
      <c r="X12" s="75"/>
      <c r="Y12" s="75"/>
      <c r="Z12" s="75"/>
      <c r="AA12" s="75"/>
      <c r="AB12" s="75"/>
      <c r="AC12" s="75"/>
      <c r="AD12" s="75">
        <v>3</v>
      </c>
      <c r="AE12" s="75"/>
      <c r="AF12" s="75"/>
      <c r="AG12" s="75"/>
    </row>
    <row r="13" spans="1:33" ht="21" customHeight="1" thickBot="1">
      <c r="A13" s="127"/>
      <c r="B13" s="38">
        <v>0.2</v>
      </c>
      <c r="C13" s="39">
        <v>0.8</v>
      </c>
      <c r="E13" s="38">
        <v>0.2</v>
      </c>
      <c r="F13" s="39">
        <v>0.8</v>
      </c>
      <c r="H13" s="38">
        <f>+B13*E12+C13*E13</f>
        <v>0.34000000000000008</v>
      </c>
      <c r="I13" s="39">
        <f>+B13*F12+C13*F13</f>
        <v>0.66000000000000014</v>
      </c>
      <c r="P13" s="75"/>
      <c r="Q13" s="75"/>
      <c r="R13" s="75">
        <v>2</v>
      </c>
      <c r="S13" s="75"/>
      <c r="T13" s="75"/>
      <c r="U13" s="75"/>
      <c r="V13" s="75"/>
      <c r="W13" s="75"/>
      <c r="X13" s="75"/>
      <c r="Y13" s="75"/>
      <c r="Z13" s="75"/>
      <c r="AA13" s="75"/>
      <c r="AB13" s="75"/>
      <c r="AC13" s="75"/>
      <c r="AD13" s="75"/>
      <c r="AE13" s="75"/>
      <c r="AF13" s="75"/>
      <c r="AG13" s="75"/>
    </row>
    <row r="14" spans="1:33" ht="21" customHeight="1">
      <c r="P14" s="75"/>
      <c r="Q14" s="75"/>
      <c r="R14" s="75"/>
      <c r="S14" s="75"/>
      <c r="T14" s="75"/>
      <c r="U14" s="135">
        <v>3</v>
      </c>
      <c r="V14" s="12">
        <v>2</v>
      </c>
      <c r="W14" s="75"/>
      <c r="X14" s="75"/>
      <c r="Y14" s="75"/>
      <c r="Z14" s="75"/>
      <c r="AA14" s="135">
        <v>5</v>
      </c>
      <c r="AB14" s="12">
        <v>9</v>
      </c>
      <c r="AC14" s="75"/>
      <c r="AD14" s="75"/>
      <c r="AE14" s="75"/>
      <c r="AF14" s="75"/>
      <c r="AG14" s="75"/>
    </row>
    <row r="15" spans="1:33" ht="21" customHeight="1" thickBot="1">
      <c r="B15" s="128">
        <v>1000</v>
      </c>
      <c r="C15" s="129">
        <v>9000</v>
      </c>
      <c r="D15" s="41"/>
      <c r="E15" s="38">
        <v>0.83000000000000007</v>
      </c>
      <c r="F15" s="39">
        <v>0.17000000000000004</v>
      </c>
      <c r="H15" s="128">
        <f>+B15*E15+C15*E16</f>
        <v>3890.0000000000009</v>
      </c>
      <c r="I15" s="129">
        <f>+B15*F15+C15*F16</f>
        <v>6110.0000000000009</v>
      </c>
      <c r="P15" s="75"/>
      <c r="Q15" s="75"/>
      <c r="R15" s="75"/>
      <c r="S15" s="75"/>
      <c r="T15" s="75"/>
      <c r="U15" s="136"/>
      <c r="V15" s="13">
        <v>2</v>
      </c>
      <c r="W15" s="75"/>
      <c r="X15" s="75"/>
      <c r="Y15" s="75">
        <v>1</v>
      </c>
      <c r="Z15" s="75"/>
      <c r="AA15" s="136"/>
      <c r="AB15" s="13">
        <v>8</v>
      </c>
      <c r="AC15" s="75"/>
      <c r="AD15" s="75"/>
      <c r="AE15" s="75"/>
      <c r="AF15" s="75"/>
      <c r="AG15" s="75"/>
    </row>
    <row r="16" spans="1:33" ht="21" customHeight="1">
      <c r="B16" s="128"/>
      <c r="C16" s="129"/>
      <c r="D16" s="41"/>
      <c r="E16" s="38">
        <v>0.34000000000000008</v>
      </c>
      <c r="F16" s="39">
        <v>0.66000000000000014</v>
      </c>
      <c r="H16" s="128"/>
      <c r="I16" s="129"/>
      <c r="P16" s="75"/>
      <c r="Q16" s="75"/>
      <c r="R16" s="75"/>
      <c r="S16" s="75"/>
      <c r="T16" s="75"/>
      <c r="U16" s="75"/>
      <c r="V16" s="75"/>
      <c r="W16" s="75"/>
      <c r="X16" s="75"/>
      <c r="Y16" s="75"/>
      <c r="Z16" s="75"/>
      <c r="AA16" s="75"/>
      <c r="AB16" s="75"/>
      <c r="AC16" s="75"/>
      <c r="AD16" s="75"/>
      <c r="AE16" s="75"/>
      <c r="AF16" s="75"/>
      <c r="AG16" s="75"/>
    </row>
    <row r="17" spans="1:33" ht="21" customHeight="1">
      <c r="P17" s="9"/>
      <c r="Q17" s="141" t="s">
        <v>32</v>
      </c>
      <c r="R17" s="142"/>
      <c r="S17" s="73" t="s">
        <v>30</v>
      </c>
      <c r="T17" s="73" t="s">
        <v>31</v>
      </c>
      <c r="U17" s="73" t="s">
        <v>13</v>
      </c>
      <c r="V17" s="73" t="s">
        <v>17</v>
      </c>
      <c r="W17" s="73" t="s">
        <v>18</v>
      </c>
      <c r="X17" s="143" t="s">
        <v>19</v>
      </c>
      <c r="Y17" s="143"/>
      <c r="Z17" s="143" t="s">
        <v>20</v>
      </c>
      <c r="AA17" s="143"/>
      <c r="AB17" s="143" t="s">
        <v>21</v>
      </c>
      <c r="AC17" s="143"/>
      <c r="AD17" s="143" t="s">
        <v>35</v>
      </c>
      <c r="AE17" s="143"/>
      <c r="AF17" s="9"/>
      <c r="AG17" s="9"/>
    </row>
    <row r="18" spans="1:33" ht="21" customHeight="1">
      <c r="A18" s="134" t="s">
        <v>22</v>
      </c>
      <c r="B18" s="134"/>
      <c r="C18" s="134"/>
      <c r="D18" s="134"/>
      <c r="E18" s="134"/>
      <c r="F18" s="134"/>
      <c r="G18" s="134"/>
      <c r="H18" s="134"/>
      <c r="I18" s="134"/>
      <c r="J18" s="134"/>
      <c r="K18" s="134"/>
      <c r="L18" s="134"/>
      <c r="M18" s="134"/>
      <c r="N18" s="134"/>
      <c r="O18" s="8"/>
      <c r="P18" s="9"/>
      <c r="Q18" s="17">
        <v>1</v>
      </c>
      <c r="R18" s="18">
        <v>2</v>
      </c>
      <c r="S18" s="72">
        <v>6</v>
      </c>
      <c r="T18" s="72">
        <v>0</v>
      </c>
      <c r="U18" s="72">
        <v>4</v>
      </c>
      <c r="V18" s="72">
        <f>+S18-T18-U18</f>
        <v>2</v>
      </c>
      <c r="W18" s="74"/>
      <c r="X18" s="139">
        <v>12</v>
      </c>
      <c r="Y18" s="139"/>
      <c r="Z18" s="139">
        <v>15</v>
      </c>
      <c r="AA18" s="139"/>
      <c r="AB18" s="146">
        <f t="shared" ref="AB18:AB25" si="0">+U18*X18</f>
        <v>48</v>
      </c>
      <c r="AC18" s="147"/>
      <c r="AD18" s="146">
        <f t="shared" ref="AD18:AD25" si="1">+U18*Z18</f>
        <v>60</v>
      </c>
      <c r="AE18" s="147"/>
      <c r="AF18" s="9"/>
      <c r="AG18" s="9"/>
    </row>
    <row r="19" spans="1:33" ht="21" customHeight="1">
      <c r="A19" s="134"/>
      <c r="B19" s="134"/>
      <c r="C19" s="134"/>
      <c r="D19" s="134"/>
      <c r="E19" s="134"/>
      <c r="F19" s="134"/>
      <c r="G19" s="134"/>
      <c r="H19" s="134"/>
      <c r="I19" s="134"/>
      <c r="J19" s="134"/>
      <c r="K19" s="134"/>
      <c r="L19" s="134"/>
      <c r="M19" s="134"/>
      <c r="N19" s="134"/>
      <c r="O19" s="8"/>
      <c r="P19" s="9"/>
      <c r="Q19" s="17">
        <v>1</v>
      </c>
      <c r="R19" s="18">
        <v>3</v>
      </c>
      <c r="S19" s="72">
        <v>2</v>
      </c>
      <c r="T19" s="72">
        <v>0</v>
      </c>
      <c r="U19" s="72">
        <v>2</v>
      </c>
      <c r="V19" s="72">
        <f t="shared" ref="V19:V25" si="2">+S19-T19-U19</f>
        <v>0</v>
      </c>
      <c r="W19" s="72" t="s">
        <v>113</v>
      </c>
      <c r="X19" s="139">
        <v>5</v>
      </c>
      <c r="Y19" s="139"/>
      <c r="Z19" s="139">
        <v>7</v>
      </c>
      <c r="AA19" s="139"/>
      <c r="AB19" s="146">
        <f t="shared" si="0"/>
        <v>10</v>
      </c>
      <c r="AC19" s="147"/>
      <c r="AD19" s="146">
        <f t="shared" si="1"/>
        <v>14</v>
      </c>
      <c r="AE19" s="147"/>
      <c r="AF19" s="9"/>
      <c r="AG19" s="9"/>
    </row>
    <row r="20" spans="1:33" ht="21" customHeight="1">
      <c r="A20" s="134"/>
      <c r="B20" s="134"/>
      <c r="C20" s="134"/>
      <c r="D20" s="134"/>
      <c r="E20" s="134"/>
      <c r="F20" s="134"/>
      <c r="G20" s="134"/>
      <c r="H20" s="134"/>
      <c r="I20" s="134"/>
      <c r="J20" s="134"/>
      <c r="K20" s="134"/>
      <c r="L20" s="134"/>
      <c r="M20" s="134"/>
      <c r="N20" s="134"/>
      <c r="O20" s="8"/>
      <c r="P20" s="9"/>
      <c r="Q20" s="17">
        <v>2</v>
      </c>
      <c r="R20" s="18">
        <v>4</v>
      </c>
      <c r="S20" s="72">
        <v>9</v>
      </c>
      <c r="T20" s="72">
        <v>6</v>
      </c>
      <c r="U20" s="72">
        <v>3</v>
      </c>
      <c r="V20" s="72">
        <f t="shared" si="2"/>
        <v>0</v>
      </c>
      <c r="W20" s="74" t="s">
        <v>113</v>
      </c>
      <c r="X20" s="139">
        <v>16</v>
      </c>
      <c r="Y20" s="139"/>
      <c r="Z20" s="139">
        <v>18</v>
      </c>
      <c r="AA20" s="139"/>
      <c r="AB20" s="146">
        <f t="shared" si="0"/>
        <v>48</v>
      </c>
      <c r="AC20" s="147"/>
      <c r="AD20" s="146">
        <f t="shared" si="1"/>
        <v>54</v>
      </c>
      <c r="AE20" s="147"/>
      <c r="AF20" s="9"/>
      <c r="AG20" s="9"/>
    </row>
    <row r="21" spans="1:33" ht="21" customHeight="1">
      <c r="A21" s="134"/>
      <c r="B21" s="134"/>
      <c r="C21" s="134"/>
      <c r="D21" s="134"/>
      <c r="E21" s="134"/>
      <c r="F21" s="134"/>
      <c r="G21" s="134"/>
      <c r="H21" s="134"/>
      <c r="I21" s="134"/>
      <c r="J21" s="134"/>
      <c r="K21" s="134"/>
      <c r="L21" s="134"/>
      <c r="M21" s="134"/>
      <c r="N21" s="134"/>
      <c r="O21" s="8"/>
      <c r="P21" s="9"/>
      <c r="Q21" s="17">
        <v>2</v>
      </c>
      <c r="R21" s="18">
        <v>5</v>
      </c>
      <c r="S21" s="72">
        <v>9</v>
      </c>
      <c r="T21" s="72">
        <v>6</v>
      </c>
      <c r="U21" s="72">
        <v>2</v>
      </c>
      <c r="V21" s="72">
        <f t="shared" si="2"/>
        <v>1</v>
      </c>
      <c r="W21" s="72"/>
      <c r="X21" s="139">
        <v>12</v>
      </c>
      <c r="Y21" s="139"/>
      <c r="Z21" s="139">
        <v>18</v>
      </c>
      <c r="AA21" s="139"/>
      <c r="AB21" s="146">
        <f t="shared" si="0"/>
        <v>24</v>
      </c>
      <c r="AC21" s="147"/>
      <c r="AD21" s="146">
        <f t="shared" si="1"/>
        <v>36</v>
      </c>
      <c r="AE21" s="147"/>
      <c r="AF21" s="9"/>
      <c r="AG21" s="9"/>
    </row>
    <row r="22" spans="1:33" ht="21" customHeight="1">
      <c r="A22" s="134"/>
      <c r="B22" s="134"/>
      <c r="C22" s="134"/>
      <c r="D22" s="134"/>
      <c r="E22" s="134"/>
      <c r="F22" s="134"/>
      <c r="G22" s="134"/>
      <c r="H22" s="134"/>
      <c r="I22" s="134"/>
      <c r="J22" s="134"/>
      <c r="K22" s="134"/>
      <c r="L22" s="134"/>
      <c r="M22" s="134"/>
      <c r="N22" s="134"/>
      <c r="O22" s="8"/>
      <c r="P22" s="9"/>
      <c r="Q22" s="17">
        <v>3</v>
      </c>
      <c r="R22" s="18">
        <v>2</v>
      </c>
      <c r="S22" s="72">
        <v>6</v>
      </c>
      <c r="T22" s="72">
        <v>2</v>
      </c>
      <c r="U22" s="72">
        <v>4</v>
      </c>
      <c r="V22" s="72">
        <f t="shared" si="2"/>
        <v>0</v>
      </c>
      <c r="W22" s="74" t="s">
        <v>113</v>
      </c>
      <c r="X22" s="139">
        <v>19</v>
      </c>
      <c r="Y22" s="139"/>
      <c r="Z22" s="139">
        <v>16</v>
      </c>
      <c r="AA22" s="139"/>
      <c r="AB22" s="146">
        <f t="shared" si="0"/>
        <v>76</v>
      </c>
      <c r="AC22" s="147"/>
      <c r="AD22" s="146">
        <f t="shared" si="1"/>
        <v>64</v>
      </c>
      <c r="AE22" s="147"/>
      <c r="AF22" s="9"/>
      <c r="AG22" s="9"/>
    </row>
    <row r="23" spans="1:33" ht="21" customHeight="1">
      <c r="A23" s="134"/>
      <c r="B23" s="134"/>
      <c r="C23" s="134"/>
      <c r="D23" s="134"/>
      <c r="E23" s="134"/>
      <c r="F23" s="134"/>
      <c r="G23" s="134"/>
      <c r="H23" s="134"/>
      <c r="I23" s="134"/>
      <c r="J23" s="134"/>
      <c r="K23" s="134"/>
      <c r="L23" s="134"/>
      <c r="M23" s="134"/>
      <c r="N23" s="134"/>
      <c r="O23" s="8"/>
      <c r="P23" s="9"/>
      <c r="Q23" s="17">
        <v>3</v>
      </c>
      <c r="R23" s="18">
        <v>5</v>
      </c>
      <c r="S23" s="72">
        <v>9</v>
      </c>
      <c r="T23" s="72">
        <v>2</v>
      </c>
      <c r="U23" s="72">
        <v>1</v>
      </c>
      <c r="V23" s="72">
        <f t="shared" si="2"/>
        <v>6</v>
      </c>
      <c r="W23" s="72"/>
      <c r="X23" s="139">
        <v>24</v>
      </c>
      <c r="Y23" s="139"/>
      <c r="Z23" s="139">
        <v>14</v>
      </c>
      <c r="AA23" s="139"/>
      <c r="AB23" s="146">
        <f t="shared" si="0"/>
        <v>24</v>
      </c>
      <c r="AC23" s="147"/>
      <c r="AD23" s="146">
        <f t="shared" si="1"/>
        <v>14</v>
      </c>
      <c r="AE23" s="147"/>
      <c r="AF23" s="9"/>
      <c r="AG23" s="9"/>
    </row>
    <row r="24" spans="1:33" ht="21" customHeight="1">
      <c r="A24" s="9"/>
      <c r="B24" s="9"/>
      <c r="C24" s="9"/>
      <c r="D24" s="9"/>
      <c r="E24" s="9"/>
      <c r="F24" s="9"/>
      <c r="G24" s="9"/>
      <c r="H24" s="9"/>
      <c r="I24" s="9"/>
      <c r="J24" s="9"/>
      <c r="K24" s="9"/>
      <c r="L24" s="9"/>
      <c r="M24" s="9"/>
      <c r="N24" s="9"/>
      <c r="O24" s="9"/>
      <c r="P24" s="9"/>
      <c r="Q24" s="17">
        <v>4</v>
      </c>
      <c r="R24" s="18">
        <v>6</v>
      </c>
      <c r="S24" s="72">
        <v>12</v>
      </c>
      <c r="T24" s="72">
        <v>9</v>
      </c>
      <c r="U24" s="72">
        <v>3</v>
      </c>
      <c r="V24" s="72">
        <f t="shared" si="2"/>
        <v>0</v>
      </c>
      <c r="W24" s="74" t="s">
        <v>113</v>
      </c>
      <c r="X24" s="139">
        <v>22</v>
      </c>
      <c r="Y24" s="139"/>
      <c r="Z24" s="139">
        <v>13</v>
      </c>
      <c r="AA24" s="139"/>
      <c r="AB24" s="146">
        <f t="shared" si="0"/>
        <v>66</v>
      </c>
      <c r="AC24" s="147"/>
      <c r="AD24" s="146">
        <f t="shared" si="1"/>
        <v>39</v>
      </c>
      <c r="AE24" s="147"/>
      <c r="AF24" s="9"/>
      <c r="AG24" s="9"/>
    </row>
    <row r="25" spans="1:33" ht="21" customHeight="1">
      <c r="A25" s="10" t="s">
        <v>24</v>
      </c>
      <c r="B25" s="9"/>
      <c r="C25" s="9"/>
      <c r="D25" s="9"/>
      <c r="E25" s="9"/>
      <c r="F25" s="9"/>
      <c r="G25" s="9"/>
      <c r="H25" s="9"/>
      <c r="I25" s="9"/>
      <c r="J25" s="9"/>
      <c r="K25" s="9"/>
      <c r="L25" s="9"/>
      <c r="M25" s="9"/>
      <c r="N25" s="9"/>
      <c r="O25" s="9"/>
      <c r="P25" s="9"/>
      <c r="Q25" s="21">
        <v>5</v>
      </c>
      <c r="R25" s="22">
        <v>6</v>
      </c>
      <c r="S25" s="23">
        <v>12</v>
      </c>
      <c r="T25" s="23">
        <v>8</v>
      </c>
      <c r="U25" s="23">
        <v>3</v>
      </c>
      <c r="V25" s="72">
        <f t="shared" si="2"/>
        <v>1</v>
      </c>
      <c r="W25" s="72"/>
      <c r="X25" s="139">
        <v>14</v>
      </c>
      <c r="Y25" s="139"/>
      <c r="Z25" s="139">
        <v>11</v>
      </c>
      <c r="AA25" s="139"/>
      <c r="AB25" s="146">
        <f t="shared" si="0"/>
        <v>42</v>
      </c>
      <c r="AC25" s="147"/>
      <c r="AD25" s="146">
        <f t="shared" si="1"/>
        <v>33</v>
      </c>
      <c r="AE25" s="147"/>
      <c r="AF25" s="9"/>
      <c r="AG25" s="9"/>
    </row>
    <row r="26" spans="1:33" ht="21" customHeight="1">
      <c r="A26" s="10" t="s">
        <v>25</v>
      </c>
      <c r="B26" s="9"/>
      <c r="C26" s="9"/>
      <c r="D26" s="9"/>
      <c r="E26" s="9"/>
      <c r="F26" s="9"/>
      <c r="G26" s="9"/>
      <c r="H26" s="9"/>
      <c r="I26" s="9"/>
      <c r="J26" s="9"/>
      <c r="K26" s="9"/>
      <c r="L26" s="9"/>
      <c r="M26" s="9"/>
      <c r="N26" s="9"/>
      <c r="O26" s="9"/>
      <c r="P26" s="9"/>
      <c r="Q26" s="143" t="s">
        <v>14</v>
      </c>
      <c r="R26" s="143"/>
      <c r="S26" s="143"/>
      <c r="T26" s="145">
        <f>+AB26/S25</f>
        <v>54.333333333333336</v>
      </c>
      <c r="U26" s="145"/>
      <c r="V26" s="145"/>
      <c r="W26" s="9"/>
      <c r="X26" s="143" t="s">
        <v>15</v>
      </c>
      <c r="Y26" s="143"/>
      <c r="Z26" s="143"/>
      <c r="AA26" s="143"/>
      <c r="AB26" s="148">
        <f>SUM(AB18:AE25)</f>
        <v>652</v>
      </c>
      <c r="AC26" s="148"/>
      <c r="AD26" s="148"/>
      <c r="AE26" s="148"/>
      <c r="AF26" s="9"/>
      <c r="AG26" s="9"/>
    </row>
    <row r="27" spans="1:33" ht="21" customHeight="1">
      <c r="A27" s="10" t="s">
        <v>34</v>
      </c>
      <c r="B27" s="9"/>
      <c r="C27" s="9"/>
      <c r="D27" s="9"/>
      <c r="E27" s="9"/>
      <c r="F27" s="9"/>
      <c r="G27" s="9"/>
      <c r="H27" s="9"/>
      <c r="I27" s="9"/>
      <c r="J27" s="9"/>
      <c r="K27" s="9"/>
      <c r="L27" s="9"/>
      <c r="M27" s="9"/>
      <c r="N27" s="9"/>
      <c r="O27" s="9"/>
      <c r="P27" s="7"/>
      <c r="Q27" s="7"/>
      <c r="R27" s="7"/>
      <c r="S27" s="7"/>
      <c r="T27" s="7"/>
      <c r="U27" s="7"/>
      <c r="V27" s="7"/>
      <c r="W27" s="7"/>
      <c r="X27" s="7"/>
      <c r="Y27" s="7"/>
      <c r="Z27" s="7"/>
      <c r="AA27" s="7"/>
      <c r="AB27" s="7"/>
      <c r="AC27" s="7"/>
      <c r="AD27" s="7"/>
      <c r="AE27" s="7"/>
      <c r="AF27" s="7"/>
      <c r="AG27" s="7"/>
    </row>
    <row r="28" spans="1:33" ht="21" customHeight="1">
      <c r="A28" s="10" t="s">
        <v>27</v>
      </c>
      <c r="B28" s="9"/>
      <c r="C28" s="9"/>
      <c r="D28" s="9"/>
      <c r="E28" s="9"/>
      <c r="F28" s="9"/>
      <c r="G28" s="9"/>
      <c r="H28" s="9"/>
      <c r="I28" s="9"/>
      <c r="J28" s="9"/>
      <c r="K28" s="9"/>
      <c r="L28" s="9"/>
      <c r="M28" s="9"/>
      <c r="N28" s="9"/>
      <c r="O28" s="9"/>
      <c r="P28" s="64">
        <v>0</v>
      </c>
      <c r="Q28" s="64">
        <v>1</v>
      </c>
      <c r="R28" s="64">
        <v>2</v>
      </c>
      <c r="S28" s="64">
        <v>3</v>
      </c>
      <c r="T28" s="64">
        <v>4</v>
      </c>
      <c r="U28" s="64">
        <v>5</v>
      </c>
      <c r="V28" s="64">
        <v>6</v>
      </c>
      <c r="W28" s="64">
        <v>7</v>
      </c>
      <c r="X28" s="64">
        <v>8</v>
      </c>
      <c r="Y28" s="64">
        <v>9</v>
      </c>
      <c r="Z28" s="64">
        <v>10</v>
      </c>
      <c r="AA28" s="64">
        <v>11</v>
      </c>
      <c r="AB28" s="64">
        <v>12</v>
      </c>
      <c r="AC28" s="64"/>
    </row>
    <row r="29" spans="1:33" ht="21">
      <c r="P29" s="61"/>
      <c r="Q29" s="62"/>
      <c r="R29" s="63"/>
      <c r="S29" s="63"/>
      <c r="T29" s="63"/>
      <c r="U29" s="63"/>
      <c r="V29" s="63"/>
      <c r="W29" s="63"/>
      <c r="X29" s="63"/>
      <c r="Y29" s="63"/>
      <c r="Z29" s="63"/>
      <c r="AA29" s="63"/>
      <c r="AB29" s="63"/>
      <c r="AC29" s="38"/>
      <c r="AD29" s="76"/>
    </row>
    <row r="30" spans="1:33" ht="18">
      <c r="B30" s="42" t="s">
        <v>66</v>
      </c>
      <c r="C30">
        <v>15</v>
      </c>
      <c r="D30" t="s">
        <v>67</v>
      </c>
      <c r="E30" s="43" t="s">
        <v>69</v>
      </c>
      <c r="F30">
        <v>2</v>
      </c>
      <c r="G30" t="s">
        <v>70</v>
      </c>
      <c r="H30" s="42" t="s">
        <v>71</v>
      </c>
      <c r="I30">
        <v>30</v>
      </c>
      <c r="J30" t="s">
        <v>67</v>
      </c>
      <c r="P30" s="39"/>
      <c r="Q30" s="63"/>
      <c r="R30" s="63"/>
      <c r="S30" s="63"/>
      <c r="T30" s="63"/>
      <c r="U30" s="63"/>
      <c r="V30" s="63"/>
      <c r="W30" s="63"/>
      <c r="X30" s="63"/>
      <c r="Y30" s="63"/>
      <c r="Z30" s="63"/>
      <c r="AA30" s="63"/>
      <c r="AB30" s="63"/>
      <c r="AC30" s="38"/>
      <c r="AD30" s="76"/>
    </row>
    <row r="31" spans="1:33" ht="18">
      <c r="B31" s="42" t="s">
        <v>66</v>
      </c>
      <c r="C31">
        <v>0.25</v>
      </c>
      <c r="D31" t="s">
        <v>68</v>
      </c>
      <c r="H31" s="42" t="s">
        <v>71</v>
      </c>
      <c r="I31">
        <v>0.5</v>
      </c>
      <c r="J31" t="s">
        <v>68</v>
      </c>
      <c r="P31" s="39"/>
      <c r="Q31" s="63">
        <v>14</v>
      </c>
      <c r="R31" s="63"/>
      <c r="S31" s="63">
        <v>64</v>
      </c>
      <c r="T31" s="63"/>
      <c r="U31" s="63"/>
      <c r="V31" s="63"/>
      <c r="W31" s="63">
        <v>54</v>
      </c>
      <c r="X31" s="63"/>
      <c r="Y31" s="65"/>
      <c r="Z31" s="63">
        <v>39</v>
      </c>
      <c r="AA31" s="63"/>
      <c r="AB31" s="63"/>
      <c r="AC31" s="38"/>
      <c r="AD31" s="76"/>
    </row>
    <row r="32" spans="1:33">
      <c r="A32" s="127" t="s">
        <v>8</v>
      </c>
      <c r="P32" s="39"/>
      <c r="Q32" s="63">
        <f>10*0.2</f>
        <v>2</v>
      </c>
      <c r="R32" s="65">
        <f>10*0.8</f>
        <v>8</v>
      </c>
      <c r="S32" s="79">
        <f>0.2*76</f>
        <v>15.200000000000001</v>
      </c>
      <c r="T32" s="63"/>
      <c r="U32" s="63"/>
      <c r="V32" s="65">
        <f>0.8*76</f>
        <v>60.800000000000004</v>
      </c>
      <c r="W32" s="79">
        <f>0.2*48</f>
        <v>9.6000000000000014</v>
      </c>
      <c r="X32" s="63"/>
      <c r="Y32" s="65">
        <f>0.8*48</f>
        <v>38.400000000000006</v>
      </c>
      <c r="Z32" s="63">
        <f>0.2*66</f>
        <v>13.200000000000001</v>
      </c>
      <c r="AA32" s="63"/>
      <c r="AB32" s="65">
        <f>0.8*66</f>
        <v>52.800000000000004</v>
      </c>
      <c r="AC32" s="77"/>
      <c r="AD32" s="76"/>
    </row>
    <row r="33" spans="1:30" ht="18">
      <c r="A33" s="127"/>
      <c r="B33" t="s">
        <v>72</v>
      </c>
      <c r="D33" t="s">
        <v>73</v>
      </c>
      <c r="E33" s="51" t="s">
        <v>126</v>
      </c>
      <c r="P33" s="39"/>
      <c r="Q33" s="63"/>
      <c r="R33" s="63"/>
      <c r="S33" s="63">
        <v>60</v>
      </c>
      <c r="T33" s="63"/>
      <c r="U33" s="63"/>
      <c r="V33" s="63"/>
      <c r="W33" s="63"/>
      <c r="X33" s="63">
        <v>36</v>
      </c>
      <c r="Y33" s="63"/>
      <c r="Z33" s="63"/>
      <c r="AA33" s="63"/>
      <c r="AB33" s="63"/>
      <c r="AC33" s="38"/>
      <c r="AD33" s="76"/>
    </row>
    <row r="34" spans="1:30">
      <c r="P34" s="39"/>
      <c r="Q34" s="63"/>
      <c r="R34" s="63"/>
      <c r="S34" s="63">
        <f>48*0.2</f>
        <v>9.6000000000000014</v>
      </c>
      <c r="T34" s="63"/>
      <c r="U34" s="63"/>
      <c r="V34" s="63">
        <f>48*0.8</f>
        <v>38.400000000000006</v>
      </c>
      <c r="W34" s="63"/>
      <c r="X34" s="63">
        <f>0.2*24</f>
        <v>4.8000000000000007</v>
      </c>
      <c r="Y34" s="65">
        <f>0.8*24</f>
        <v>19.200000000000003</v>
      </c>
      <c r="Z34" s="63">
        <v>33</v>
      </c>
      <c r="AA34" s="63"/>
      <c r="AB34" s="63"/>
      <c r="AC34" s="38"/>
      <c r="AD34" s="76"/>
    </row>
    <row r="35" spans="1:30">
      <c r="A35" s="127" t="s">
        <v>9</v>
      </c>
      <c r="B35" s="130" t="s">
        <v>127</v>
      </c>
      <c r="C35" s="46">
        <v>1</v>
      </c>
      <c r="D35" s="133" t="s">
        <v>76</v>
      </c>
      <c r="E35" s="46">
        <v>1</v>
      </c>
      <c r="F35" s="133" t="s">
        <v>77</v>
      </c>
      <c r="G35" s="131" t="s">
        <v>78</v>
      </c>
      <c r="P35" s="39"/>
      <c r="Q35" s="63"/>
      <c r="R35" s="63"/>
      <c r="S35" s="63"/>
      <c r="T35" s="63"/>
      <c r="U35" s="63"/>
      <c r="V35" s="63"/>
      <c r="W35" s="63"/>
      <c r="X35" s="63"/>
      <c r="Y35" s="65">
        <v>14</v>
      </c>
      <c r="Z35" s="79">
        <f>0.2*42</f>
        <v>8.4</v>
      </c>
      <c r="AA35" s="63"/>
      <c r="AB35" s="63">
        <f>0.8*42</f>
        <v>33.6</v>
      </c>
      <c r="AC35" s="38"/>
      <c r="AD35" s="76"/>
    </row>
    <row r="36" spans="1:30">
      <c r="A36" s="127"/>
      <c r="B36" s="130"/>
      <c r="C36" s="47" t="s">
        <v>74</v>
      </c>
      <c r="D36" s="133"/>
      <c r="E36" s="45" t="s">
        <v>75</v>
      </c>
      <c r="F36" s="133"/>
      <c r="G36" s="131"/>
      <c r="P36" s="39"/>
      <c r="Q36" s="63"/>
      <c r="R36" s="63"/>
      <c r="S36" s="63"/>
      <c r="T36" s="63"/>
      <c r="U36" s="63"/>
      <c r="V36" s="63"/>
      <c r="W36" s="63"/>
      <c r="X36" s="63"/>
      <c r="Y36" s="63">
        <v>24</v>
      </c>
      <c r="Z36" s="63"/>
      <c r="AA36" s="63"/>
      <c r="AB36" s="63"/>
      <c r="AC36" s="38"/>
      <c r="AD36" s="76"/>
    </row>
    <row r="37" spans="1:30">
      <c r="P37" s="39"/>
      <c r="Q37" s="63">
        <f>SUM(Q29:Q36)</f>
        <v>16</v>
      </c>
      <c r="R37" s="63">
        <f t="shared" ref="R37:AB37" si="3">SUM(R29:R36)</f>
        <v>8</v>
      </c>
      <c r="S37" s="63">
        <f t="shared" si="3"/>
        <v>148.79999999999998</v>
      </c>
      <c r="T37" s="63">
        <f t="shared" si="3"/>
        <v>0</v>
      </c>
      <c r="U37" s="63">
        <f t="shared" si="3"/>
        <v>0</v>
      </c>
      <c r="V37" s="63">
        <f t="shared" si="3"/>
        <v>99.200000000000017</v>
      </c>
      <c r="W37" s="63">
        <f t="shared" si="3"/>
        <v>63.6</v>
      </c>
      <c r="X37" s="63">
        <f t="shared" si="3"/>
        <v>40.799999999999997</v>
      </c>
      <c r="Y37" s="63">
        <f t="shared" si="3"/>
        <v>95.600000000000009</v>
      </c>
      <c r="Z37" s="63">
        <f t="shared" si="3"/>
        <v>93.600000000000009</v>
      </c>
      <c r="AA37" s="63">
        <f t="shared" si="3"/>
        <v>0</v>
      </c>
      <c r="AB37" s="63">
        <f t="shared" si="3"/>
        <v>86.4</v>
      </c>
      <c r="AC37" s="38"/>
      <c r="AD37" s="76"/>
    </row>
    <row r="38" spans="1:30" ht="15.75">
      <c r="A38" s="127" t="s">
        <v>79</v>
      </c>
      <c r="B38" t="s">
        <v>80</v>
      </c>
      <c r="C38" t="s">
        <v>81</v>
      </c>
      <c r="D38" t="s">
        <v>82</v>
      </c>
      <c r="P38" s="39"/>
      <c r="Q38" s="63"/>
      <c r="R38" s="63"/>
      <c r="S38" s="63"/>
      <c r="T38" s="63"/>
      <c r="U38" s="63"/>
      <c r="V38" s="63"/>
      <c r="W38" s="63"/>
      <c r="X38" s="63"/>
      <c r="Y38" s="63"/>
      <c r="Z38" s="63"/>
      <c r="AA38" s="63"/>
      <c r="AB38" s="63"/>
      <c r="AC38" s="38"/>
    </row>
    <row r="39" spans="1:30">
      <c r="A39" s="127"/>
      <c r="B39" t="s">
        <v>83</v>
      </c>
      <c r="D39" t="s">
        <v>84</v>
      </c>
      <c r="E39" s="51" t="s">
        <v>85</v>
      </c>
      <c r="P39" s="39">
        <v>150</v>
      </c>
      <c r="Q39" s="63"/>
      <c r="R39" s="63"/>
      <c r="S39" s="63"/>
      <c r="T39" s="63"/>
      <c r="U39" s="63"/>
      <c r="V39" s="63"/>
      <c r="W39" s="63"/>
      <c r="X39" s="63"/>
      <c r="Y39" s="63"/>
      <c r="Z39" s="63"/>
      <c r="AA39" s="63"/>
      <c r="AB39" s="63"/>
      <c r="AC39" s="38"/>
    </row>
    <row r="40" spans="1:30">
      <c r="P40" s="39">
        <v>140</v>
      </c>
      <c r="Q40" s="63"/>
      <c r="R40" s="63"/>
      <c r="S40" s="63"/>
      <c r="T40" s="63"/>
      <c r="U40" s="63"/>
      <c r="V40" s="63"/>
      <c r="W40" s="63"/>
      <c r="X40" s="63"/>
      <c r="Y40" s="63"/>
      <c r="Z40" s="63"/>
      <c r="AA40" s="63"/>
      <c r="AB40" s="63"/>
      <c r="AC40" s="38"/>
    </row>
    <row r="41" spans="1:30" ht="15" customHeight="1">
      <c r="A41" s="127" t="s">
        <v>86</v>
      </c>
      <c r="B41" s="43" t="s">
        <v>88</v>
      </c>
      <c r="E41" s="49">
        <v>-1</v>
      </c>
      <c r="P41" s="39">
        <v>130</v>
      </c>
      <c r="Q41" s="63"/>
      <c r="R41" s="63"/>
      <c r="S41" s="63"/>
      <c r="T41" s="63"/>
      <c r="U41" s="63"/>
      <c r="V41" s="63"/>
      <c r="W41" s="63"/>
      <c r="X41" s="63"/>
      <c r="Y41" s="63"/>
      <c r="Z41" s="63"/>
      <c r="AA41" s="63"/>
      <c r="AB41" s="63"/>
      <c r="AC41" s="38"/>
    </row>
    <row r="42" spans="1:30" ht="17.25">
      <c r="A42" s="127"/>
      <c r="B42" s="48" t="s">
        <v>89</v>
      </c>
      <c r="F42" t="s">
        <v>90</v>
      </c>
      <c r="H42" s="51" t="s">
        <v>91</v>
      </c>
      <c r="P42" s="39">
        <v>120</v>
      </c>
      <c r="Q42" s="63"/>
      <c r="R42" s="63"/>
      <c r="S42" s="63"/>
      <c r="T42" s="63"/>
      <c r="U42" s="63"/>
      <c r="V42" s="63"/>
      <c r="W42" s="63"/>
      <c r="X42" s="63"/>
      <c r="Y42" s="63"/>
      <c r="Z42" s="63"/>
      <c r="AA42" s="63"/>
      <c r="AB42" s="63"/>
      <c r="AC42" s="38"/>
    </row>
    <row r="43" spans="1:30">
      <c r="B43" s="43" t="s">
        <v>87</v>
      </c>
      <c r="P43" s="39">
        <v>110</v>
      </c>
      <c r="Q43" s="63"/>
      <c r="R43" s="63"/>
      <c r="S43" s="63"/>
      <c r="T43" s="63"/>
      <c r="U43" s="63"/>
      <c r="V43" s="63"/>
      <c r="W43" s="63"/>
      <c r="X43" s="63"/>
      <c r="Y43" s="63"/>
      <c r="Z43" s="63"/>
      <c r="AA43" s="63"/>
      <c r="AB43" s="63"/>
      <c r="AC43" s="38"/>
    </row>
    <row r="44" spans="1:30">
      <c r="P44" s="39">
        <v>100</v>
      </c>
      <c r="Q44" s="63"/>
      <c r="R44" s="63"/>
      <c r="S44" s="63"/>
      <c r="T44" s="63"/>
      <c r="U44" s="63"/>
      <c r="V44" s="63"/>
      <c r="W44" s="63"/>
      <c r="X44" s="63"/>
      <c r="Y44" s="63"/>
      <c r="Z44" s="63"/>
      <c r="AA44" s="63"/>
      <c r="AB44" s="63"/>
      <c r="AC44" s="38"/>
    </row>
    <row r="45" spans="1:30" ht="17.25">
      <c r="C45" s="43" t="s">
        <v>93</v>
      </c>
      <c r="E45" t="s">
        <v>94</v>
      </c>
      <c r="G45" s="51" t="s">
        <v>95</v>
      </c>
      <c r="P45" s="39">
        <v>90</v>
      </c>
      <c r="Q45" s="63"/>
      <c r="R45" s="63"/>
      <c r="S45" s="63"/>
      <c r="T45" s="63"/>
      <c r="U45" s="63"/>
      <c r="V45" s="63"/>
      <c r="W45" s="63"/>
      <c r="X45" s="63"/>
      <c r="Y45" s="63"/>
      <c r="Z45" s="63"/>
      <c r="AA45" s="63"/>
      <c r="AB45" s="63"/>
      <c r="AC45" s="38"/>
    </row>
    <row r="46" spans="1:30" ht="17.25">
      <c r="C46" s="45" t="s">
        <v>92</v>
      </c>
      <c r="P46" s="39">
        <v>80</v>
      </c>
      <c r="Q46" s="63"/>
      <c r="R46" s="63"/>
      <c r="S46" s="63"/>
      <c r="T46" s="63"/>
      <c r="U46" s="63"/>
      <c r="V46" s="63"/>
      <c r="W46" s="63"/>
      <c r="X46" s="63"/>
      <c r="Y46" s="63"/>
      <c r="Z46" s="63"/>
      <c r="AA46" s="63"/>
      <c r="AB46" s="63"/>
      <c r="AC46" s="38"/>
    </row>
    <row r="47" spans="1:30">
      <c r="P47" s="39">
        <v>70</v>
      </c>
      <c r="Q47" s="63"/>
      <c r="R47" s="63"/>
      <c r="S47" s="63"/>
      <c r="T47" s="63"/>
      <c r="U47" s="63"/>
      <c r="V47" s="63"/>
      <c r="W47" s="63"/>
      <c r="X47" s="63"/>
      <c r="Y47" s="63"/>
      <c r="Z47" s="63"/>
      <c r="AA47" s="63"/>
      <c r="AB47" s="63"/>
      <c r="AC47" s="38"/>
    </row>
    <row r="48" spans="1:30">
      <c r="B48" t="s">
        <v>96</v>
      </c>
      <c r="C48" t="s">
        <v>97</v>
      </c>
      <c r="D48" s="51" t="s">
        <v>98</v>
      </c>
      <c r="P48" s="39">
        <v>60</v>
      </c>
      <c r="Q48" s="63"/>
      <c r="R48" s="63"/>
      <c r="S48" s="63"/>
      <c r="T48" s="63"/>
      <c r="U48" s="63"/>
      <c r="V48" s="63"/>
      <c r="W48" s="63"/>
      <c r="X48" s="63"/>
      <c r="Y48" s="63"/>
      <c r="Z48" s="63"/>
      <c r="AA48" s="63"/>
      <c r="AB48" s="63"/>
      <c r="AC48" s="38"/>
      <c r="AD48" s="76"/>
    </row>
    <row r="49" spans="1:30">
      <c r="P49" s="39">
        <v>50</v>
      </c>
      <c r="Q49" s="63"/>
      <c r="R49" s="63"/>
      <c r="S49" s="63"/>
      <c r="T49" s="63"/>
      <c r="U49" s="63"/>
      <c r="V49" s="63"/>
      <c r="W49" s="63"/>
      <c r="X49" s="63"/>
      <c r="Y49" s="63"/>
      <c r="Z49" s="63"/>
      <c r="AA49" s="63"/>
      <c r="AB49" s="63"/>
      <c r="AC49" s="78">
        <v>54.3</v>
      </c>
    </row>
    <row r="50" spans="1:30" ht="18">
      <c r="B50" t="s">
        <v>99</v>
      </c>
      <c r="D50" s="51" t="s">
        <v>100</v>
      </c>
      <c r="E50" t="s">
        <v>101</v>
      </c>
      <c r="P50" s="39">
        <v>40</v>
      </c>
      <c r="Q50" s="63"/>
      <c r="R50" s="63"/>
      <c r="S50" s="63"/>
      <c r="T50" s="63"/>
      <c r="U50" s="63"/>
      <c r="V50" s="63"/>
      <c r="W50" s="63"/>
      <c r="X50" s="63"/>
      <c r="Y50" s="63"/>
      <c r="Z50" s="63"/>
      <c r="AA50" s="63"/>
      <c r="AB50" s="63"/>
      <c r="AC50" s="38"/>
      <c r="AD50" s="76"/>
    </row>
    <row r="51" spans="1:30">
      <c r="P51" s="39">
        <v>30</v>
      </c>
      <c r="Q51" s="63"/>
      <c r="R51" s="63"/>
      <c r="S51" s="63"/>
      <c r="T51" s="63"/>
      <c r="U51" s="63"/>
      <c r="V51" s="63"/>
      <c r="W51" s="63"/>
      <c r="X51" s="63"/>
      <c r="Y51" s="63"/>
      <c r="Z51" s="63"/>
      <c r="AA51" s="63"/>
      <c r="AB51" s="63"/>
      <c r="AC51" s="38"/>
    </row>
    <row r="52" spans="1:30">
      <c r="P52" s="39">
        <v>20</v>
      </c>
      <c r="Q52" s="63"/>
      <c r="R52" s="63"/>
      <c r="S52" s="63"/>
      <c r="T52" s="63"/>
      <c r="U52" s="63"/>
      <c r="V52" s="63"/>
      <c r="W52" s="63"/>
      <c r="X52" s="63"/>
      <c r="Y52" s="63"/>
      <c r="Z52" s="63"/>
      <c r="AA52" s="63"/>
      <c r="AB52" s="63"/>
      <c r="AC52" s="38"/>
      <c r="AD52" s="76"/>
    </row>
    <row r="53" spans="1:30">
      <c r="P53" s="39">
        <v>10</v>
      </c>
      <c r="Q53" s="63"/>
      <c r="R53" s="63"/>
      <c r="S53" s="63"/>
      <c r="T53" s="63"/>
      <c r="U53" s="63"/>
      <c r="V53" s="63"/>
      <c r="W53" s="63"/>
      <c r="X53" s="63"/>
      <c r="Y53" s="63"/>
      <c r="Z53" s="63"/>
      <c r="AA53" s="63"/>
      <c r="AB53" s="63"/>
      <c r="AC53" s="38"/>
    </row>
    <row r="54" spans="1:30">
      <c r="P54" s="39">
        <v>0</v>
      </c>
      <c r="Q54" s="66"/>
      <c r="R54" s="66"/>
      <c r="S54" s="66"/>
      <c r="T54" s="66"/>
      <c r="U54" s="66"/>
      <c r="V54" s="66"/>
      <c r="W54" s="66"/>
      <c r="X54" s="66"/>
      <c r="Y54" s="66"/>
      <c r="Z54" s="66"/>
      <c r="AA54" s="66"/>
      <c r="AB54" s="66"/>
      <c r="AC54" s="76"/>
      <c r="AD54" s="76"/>
    </row>
    <row r="55" spans="1:30">
      <c r="P55" s="76"/>
      <c r="Q55" s="31"/>
      <c r="R55" s="31"/>
      <c r="S55" s="31"/>
      <c r="T55" s="31"/>
      <c r="U55" s="31"/>
      <c r="V55" s="31"/>
      <c r="W55" s="31"/>
      <c r="X55" s="31"/>
      <c r="Y55" s="31"/>
      <c r="Z55" s="31"/>
      <c r="AA55" s="31"/>
      <c r="AB55" s="31"/>
      <c r="AC55" s="76"/>
      <c r="AD55" s="76"/>
    </row>
    <row r="56" spans="1:30">
      <c r="P56" s="76"/>
      <c r="Q56" s="76"/>
      <c r="R56" s="76"/>
      <c r="S56" s="76"/>
      <c r="T56" s="76"/>
      <c r="U56" s="76"/>
      <c r="V56" s="76"/>
      <c r="W56" s="76"/>
      <c r="X56" s="76"/>
      <c r="Y56" s="76"/>
      <c r="Z56" s="76"/>
      <c r="AA56" s="76"/>
      <c r="AB56" s="76"/>
      <c r="AC56" s="76"/>
      <c r="AD56" s="76"/>
    </row>
    <row r="57" spans="1:30">
      <c r="P57" s="76"/>
      <c r="Q57" s="76"/>
      <c r="R57" s="76"/>
      <c r="S57" s="76"/>
      <c r="T57" s="76"/>
      <c r="U57" s="76"/>
      <c r="V57" s="76"/>
      <c r="W57" s="76"/>
      <c r="X57" s="76"/>
      <c r="Y57" s="76"/>
      <c r="Z57" s="76"/>
      <c r="AA57" s="76"/>
      <c r="AB57" s="76"/>
      <c r="AC57" s="76"/>
      <c r="AD57" s="76"/>
    </row>
    <row r="58" spans="1:30" ht="15.75">
      <c r="A58" s="137" t="s">
        <v>135</v>
      </c>
      <c r="B58" s="137"/>
      <c r="C58" s="137"/>
      <c r="D58" s="137"/>
      <c r="E58" s="137"/>
      <c r="F58" s="137"/>
      <c r="G58" s="137"/>
      <c r="H58" s="137"/>
      <c r="I58" s="137"/>
      <c r="J58" s="93"/>
      <c r="Q58" s="76"/>
      <c r="R58" s="76"/>
      <c r="S58" s="76"/>
      <c r="T58" s="76"/>
      <c r="U58" s="76"/>
      <c r="V58" s="76"/>
      <c r="W58" s="76"/>
      <c r="X58" s="76"/>
      <c r="Y58" s="76"/>
      <c r="Z58" s="76"/>
      <c r="AA58" s="76"/>
      <c r="AB58" s="76"/>
      <c r="AC58" s="76"/>
      <c r="AD58" s="76"/>
    </row>
    <row r="59" spans="1:30">
      <c r="Q59" s="76"/>
      <c r="R59" s="76"/>
      <c r="S59" s="76"/>
      <c r="T59" s="76"/>
      <c r="U59" s="76"/>
      <c r="V59" s="76"/>
      <c r="W59" s="76"/>
      <c r="X59" s="76"/>
      <c r="Y59" s="76"/>
      <c r="Z59" s="76"/>
      <c r="AA59" s="76"/>
      <c r="AB59" s="76"/>
      <c r="AC59" s="76"/>
      <c r="AD59" s="76"/>
    </row>
    <row r="60" spans="1:30">
      <c r="B60" s="91" t="s">
        <v>133</v>
      </c>
      <c r="C60" s="120" t="s">
        <v>134</v>
      </c>
      <c r="D60" s="120"/>
      <c r="Q60" s="76"/>
      <c r="R60" s="76"/>
      <c r="S60" s="76"/>
      <c r="T60" s="76"/>
      <c r="U60" s="76"/>
      <c r="V60" s="76"/>
      <c r="W60" s="76"/>
      <c r="X60" s="76"/>
      <c r="Y60" s="76"/>
      <c r="Z60" s="76"/>
      <c r="AA60" s="76"/>
      <c r="AB60" s="76"/>
      <c r="AC60" s="76"/>
      <c r="AD60" s="76"/>
    </row>
    <row r="61" spans="1:30">
      <c r="B61" s="92">
        <v>4</v>
      </c>
      <c r="C61" s="121">
        <v>0.05</v>
      </c>
      <c r="D61" s="122"/>
    </row>
    <row r="62" spans="1:30">
      <c r="B62" s="92">
        <v>6</v>
      </c>
      <c r="C62" s="121">
        <v>0.1</v>
      </c>
      <c r="D62" s="122"/>
    </row>
    <row r="63" spans="1:30">
      <c r="B63" s="92">
        <v>8</v>
      </c>
      <c r="C63" s="121">
        <v>0.5</v>
      </c>
      <c r="D63" s="122"/>
    </row>
    <row r="64" spans="1:30">
      <c r="B64" s="92">
        <v>10</v>
      </c>
      <c r="C64" s="121">
        <v>0.35</v>
      </c>
      <c r="D64" s="122"/>
    </row>
    <row r="66" spans="1:10" ht="72.75" customHeight="1">
      <c r="A66" s="138" t="s">
        <v>150</v>
      </c>
      <c r="B66" s="138"/>
      <c r="C66" s="138"/>
      <c r="D66" s="138"/>
      <c r="E66" s="138"/>
      <c r="F66" s="138"/>
      <c r="G66" s="138"/>
      <c r="H66" s="138"/>
      <c r="I66" s="138"/>
      <c r="J66" s="138"/>
    </row>
    <row r="68" spans="1:10">
      <c r="B68" s="91" t="s">
        <v>133</v>
      </c>
      <c r="C68" s="120" t="s">
        <v>134</v>
      </c>
      <c r="D68" s="120"/>
      <c r="E68" s="92" t="s">
        <v>136</v>
      </c>
      <c r="F68" s="92" t="s">
        <v>137</v>
      </c>
    </row>
    <row r="69" spans="1:10">
      <c r="B69" s="92">
        <v>4</v>
      </c>
      <c r="C69" s="121">
        <v>0.05</v>
      </c>
      <c r="D69" s="122"/>
      <c r="E69" s="92">
        <f>+C69</f>
        <v>0.05</v>
      </c>
      <c r="F69" s="92" t="s">
        <v>138</v>
      </c>
    </row>
    <row r="70" spans="1:10">
      <c r="B70" s="92">
        <v>6</v>
      </c>
      <c r="C70" s="121">
        <v>0.1</v>
      </c>
      <c r="D70" s="122"/>
      <c r="E70" s="92">
        <f>+E69+C70</f>
        <v>0.15000000000000002</v>
      </c>
      <c r="F70" s="92" t="s">
        <v>139</v>
      </c>
    </row>
    <row r="71" spans="1:10">
      <c r="B71" s="92">
        <v>8</v>
      </c>
      <c r="C71" s="121">
        <v>0.5</v>
      </c>
      <c r="D71" s="122"/>
      <c r="E71" s="92">
        <f>+E70+C71</f>
        <v>0.65</v>
      </c>
      <c r="F71" s="92" t="s">
        <v>140</v>
      </c>
    </row>
    <row r="72" spans="1:10">
      <c r="B72" s="92">
        <v>10</v>
      </c>
      <c r="C72" s="121">
        <v>0.35</v>
      </c>
      <c r="D72" s="122"/>
      <c r="E72" s="92">
        <f>+E71+C72</f>
        <v>1</v>
      </c>
      <c r="F72" s="92" t="s">
        <v>141</v>
      </c>
    </row>
    <row r="74" spans="1:10" ht="45">
      <c r="B74" s="96" t="s">
        <v>142</v>
      </c>
      <c r="C74" s="97" t="s">
        <v>143</v>
      </c>
      <c r="D74" s="98" t="s">
        <v>133</v>
      </c>
      <c r="E74" s="99" t="s">
        <v>144</v>
      </c>
      <c r="F74" s="100" t="s">
        <v>145</v>
      </c>
      <c r="G74" s="97" t="s">
        <v>146</v>
      </c>
      <c r="H74" s="100" t="s">
        <v>149</v>
      </c>
      <c r="I74" s="100" t="s">
        <v>147</v>
      </c>
      <c r="J74" s="101" t="s">
        <v>148</v>
      </c>
    </row>
    <row r="75" spans="1:10">
      <c r="B75" s="94">
        <v>1</v>
      </c>
      <c r="C75" s="92">
        <v>0.03</v>
      </c>
      <c r="D75" s="95">
        <v>4</v>
      </c>
      <c r="E75" s="92">
        <v>5</v>
      </c>
      <c r="F75" s="97">
        <f>+D75</f>
        <v>4</v>
      </c>
      <c r="G75" s="97">
        <v>0</v>
      </c>
      <c r="H75" s="92">
        <f>+I75-F75</f>
        <v>0</v>
      </c>
      <c r="I75" s="97">
        <v>4</v>
      </c>
      <c r="J75" s="97">
        <f>+I75+E75</f>
        <v>9</v>
      </c>
    </row>
    <row r="76" spans="1:10">
      <c r="B76" s="94">
        <v>2</v>
      </c>
      <c r="C76" s="92">
        <v>0.05</v>
      </c>
      <c r="D76" s="95">
        <v>4</v>
      </c>
      <c r="E76" s="92">
        <v>5</v>
      </c>
      <c r="F76" s="97">
        <f>+F75+D76</f>
        <v>8</v>
      </c>
      <c r="G76" s="97">
        <v>1</v>
      </c>
      <c r="H76" s="92">
        <f t="shared" ref="H76:H84" si="4">+I76-F76</f>
        <v>1</v>
      </c>
      <c r="I76" s="97">
        <f>+J75</f>
        <v>9</v>
      </c>
      <c r="J76" s="97">
        <f t="shared" ref="J76:J84" si="5">+I76+E76</f>
        <v>14</v>
      </c>
    </row>
    <row r="77" spans="1:10">
      <c r="B77" s="94">
        <v>3</v>
      </c>
      <c r="C77" s="92">
        <v>0.12</v>
      </c>
      <c r="D77" s="95">
        <v>6</v>
      </c>
      <c r="E77" s="92">
        <v>5</v>
      </c>
      <c r="F77" s="97">
        <f t="shared" ref="F77:F84" si="6">+F76+D77</f>
        <v>14</v>
      </c>
      <c r="G77" s="97">
        <v>0</v>
      </c>
      <c r="H77" s="92">
        <f t="shared" si="4"/>
        <v>0</v>
      </c>
      <c r="I77" s="97">
        <f>+J76</f>
        <v>14</v>
      </c>
      <c r="J77" s="97">
        <f t="shared" si="5"/>
        <v>19</v>
      </c>
    </row>
    <row r="78" spans="1:10">
      <c r="B78" s="94">
        <v>4</v>
      </c>
      <c r="C78" s="92">
        <v>0.91</v>
      </c>
      <c r="D78" s="95">
        <v>10</v>
      </c>
      <c r="E78" s="92">
        <v>5</v>
      </c>
      <c r="F78" s="97">
        <f t="shared" si="6"/>
        <v>24</v>
      </c>
      <c r="G78" s="97">
        <v>1</v>
      </c>
      <c r="H78" s="92">
        <f t="shared" si="4"/>
        <v>0</v>
      </c>
      <c r="I78" s="97">
        <v>24</v>
      </c>
      <c r="J78" s="97">
        <f t="shared" si="5"/>
        <v>29</v>
      </c>
    </row>
    <row r="79" spans="1:10">
      <c r="B79" s="94">
        <v>5</v>
      </c>
      <c r="C79" s="92">
        <v>0.31</v>
      </c>
      <c r="D79" s="95">
        <v>8</v>
      </c>
      <c r="E79" s="92">
        <v>5</v>
      </c>
      <c r="F79" s="97">
        <f t="shared" si="6"/>
        <v>32</v>
      </c>
      <c r="G79" s="97">
        <v>0</v>
      </c>
      <c r="H79" s="92">
        <f t="shared" si="4"/>
        <v>0</v>
      </c>
      <c r="I79" s="97">
        <v>32</v>
      </c>
      <c r="J79" s="97">
        <f t="shared" si="5"/>
        <v>37</v>
      </c>
    </row>
    <row r="80" spans="1:10">
      <c r="B80" s="94">
        <v>6</v>
      </c>
      <c r="C80" s="92">
        <v>0.3</v>
      </c>
      <c r="D80" s="95">
        <v>8</v>
      </c>
      <c r="E80" s="92">
        <v>5</v>
      </c>
      <c r="F80" s="97">
        <f t="shared" si="6"/>
        <v>40</v>
      </c>
      <c r="G80" s="97">
        <v>0</v>
      </c>
      <c r="H80" s="92">
        <f t="shared" si="4"/>
        <v>0</v>
      </c>
      <c r="I80" s="97">
        <v>40</v>
      </c>
      <c r="J80" s="97">
        <f t="shared" si="5"/>
        <v>45</v>
      </c>
    </row>
    <row r="81" spans="2:10">
      <c r="B81" s="94">
        <v>7</v>
      </c>
      <c r="C81" s="92">
        <v>0.69</v>
      </c>
      <c r="D81" s="95">
        <v>10</v>
      </c>
      <c r="E81" s="92">
        <v>5</v>
      </c>
      <c r="F81" s="97">
        <f t="shared" si="6"/>
        <v>50</v>
      </c>
      <c r="G81" s="97">
        <v>0</v>
      </c>
      <c r="H81" s="92">
        <f t="shared" si="4"/>
        <v>0</v>
      </c>
      <c r="I81" s="97">
        <v>50</v>
      </c>
      <c r="J81" s="97">
        <f t="shared" si="5"/>
        <v>55</v>
      </c>
    </row>
    <row r="82" spans="2:10">
      <c r="B82" s="94">
        <v>8</v>
      </c>
      <c r="C82" s="92">
        <v>0.21</v>
      </c>
      <c r="D82" s="95">
        <v>8</v>
      </c>
      <c r="E82" s="92">
        <v>5</v>
      </c>
      <c r="F82" s="97">
        <f t="shared" si="6"/>
        <v>58</v>
      </c>
      <c r="G82" s="97">
        <v>0</v>
      </c>
      <c r="H82" s="92">
        <f t="shared" si="4"/>
        <v>0</v>
      </c>
      <c r="I82" s="97">
        <v>58</v>
      </c>
      <c r="J82" s="97">
        <f t="shared" si="5"/>
        <v>63</v>
      </c>
    </row>
    <row r="83" spans="2:10">
      <c r="B83" s="94">
        <v>9</v>
      </c>
      <c r="C83" s="92">
        <v>0.06</v>
      </c>
      <c r="D83" s="95">
        <v>6</v>
      </c>
      <c r="E83" s="92">
        <v>5</v>
      </c>
      <c r="F83" s="97">
        <f t="shared" si="6"/>
        <v>64</v>
      </c>
      <c r="G83" s="97">
        <v>0</v>
      </c>
      <c r="H83" s="92">
        <f t="shared" si="4"/>
        <v>0</v>
      </c>
      <c r="I83" s="97">
        <v>64</v>
      </c>
      <c r="J83" s="97">
        <f t="shared" si="5"/>
        <v>69</v>
      </c>
    </row>
    <row r="84" spans="2:10">
      <c r="B84" s="94">
        <v>10</v>
      </c>
      <c r="C84" s="92">
        <v>0.75</v>
      </c>
      <c r="D84" s="95">
        <v>10</v>
      </c>
      <c r="E84" s="92">
        <v>5</v>
      </c>
      <c r="F84" s="97">
        <f t="shared" si="6"/>
        <v>74</v>
      </c>
      <c r="G84" s="97">
        <v>0</v>
      </c>
      <c r="H84" s="92">
        <f t="shared" si="4"/>
        <v>0</v>
      </c>
      <c r="I84" s="97">
        <v>74</v>
      </c>
      <c r="J84" s="97">
        <f t="shared" si="5"/>
        <v>79</v>
      </c>
    </row>
    <row r="86" spans="2:10">
      <c r="G86" t="s">
        <v>151</v>
      </c>
      <c r="H86" s="102">
        <f>+AVERAGE(H75:H84)</f>
        <v>0.1</v>
      </c>
      <c r="I86" t="s">
        <v>154</v>
      </c>
    </row>
  </sheetData>
  <mergeCells count="80">
    <mergeCell ref="C72:D72"/>
    <mergeCell ref="A58:I58"/>
    <mergeCell ref="C60:D60"/>
    <mergeCell ref="C61:D61"/>
    <mergeCell ref="C62:D62"/>
    <mergeCell ref="C63:D63"/>
    <mergeCell ref="C64:D64"/>
    <mergeCell ref="A66:J66"/>
    <mergeCell ref="C68:D68"/>
    <mergeCell ref="C69:D69"/>
    <mergeCell ref="C70:D70"/>
    <mergeCell ref="C71:D71"/>
    <mergeCell ref="AB26:AE26"/>
    <mergeCell ref="AB24:AC24"/>
    <mergeCell ref="AD24:AE24"/>
    <mergeCell ref="X25:Y25"/>
    <mergeCell ref="Z25:AA25"/>
    <mergeCell ref="AB25:AC25"/>
    <mergeCell ref="AD25:AE25"/>
    <mergeCell ref="X26:AA26"/>
    <mergeCell ref="X24:Y24"/>
    <mergeCell ref="Z24:AA24"/>
    <mergeCell ref="AB22:AC22"/>
    <mergeCell ref="AD22:AE22"/>
    <mergeCell ref="X23:Y23"/>
    <mergeCell ref="Z23:AA23"/>
    <mergeCell ref="AB23:AC23"/>
    <mergeCell ref="AD23:AE23"/>
    <mergeCell ref="X22:Y22"/>
    <mergeCell ref="Z22:AA22"/>
    <mergeCell ref="AB20:AC20"/>
    <mergeCell ref="AD20:AE20"/>
    <mergeCell ref="X21:Y21"/>
    <mergeCell ref="Z21:AA21"/>
    <mergeCell ref="AB21:AC21"/>
    <mergeCell ref="AD21:AE21"/>
    <mergeCell ref="X20:Y20"/>
    <mergeCell ref="Z20:AA20"/>
    <mergeCell ref="X19:Y19"/>
    <mergeCell ref="Z19:AA19"/>
    <mergeCell ref="AB19:AC19"/>
    <mergeCell ref="AD19:AE19"/>
    <mergeCell ref="X18:Y18"/>
    <mergeCell ref="Z18:AA18"/>
    <mergeCell ref="X17:Y17"/>
    <mergeCell ref="Z17:AA17"/>
    <mergeCell ref="AB17:AC17"/>
    <mergeCell ref="AD17:AE17"/>
    <mergeCell ref="AB18:AC18"/>
    <mergeCell ref="AD18:AE18"/>
    <mergeCell ref="Q26:S26"/>
    <mergeCell ref="T26:V26"/>
    <mergeCell ref="Q17:R17"/>
    <mergeCell ref="C9:C10"/>
    <mergeCell ref="H9:H10"/>
    <mergeCell ref="I9:I10"/>
    <mergeCell ref="H15:H16"/>
    <mergeCell ref="U14:U15"/>
    <mergeCell ref="A38:A39"/>
    <mergeCell ref="A41:A42"/>
    <mergeCell ref="I15:I16"/>
    <mergeCell ref="A18:N23"/>
    <mergeCell ref="A9:A10"/>
    <mergeCell ref="A32:A33"/>
    <mergeCell ref="A35:A36"/>
    <mergeCell ref="A12:A13"/>
    <mergeCell ref="B9:B10"/>
    <mergeCell ref="B15:B16"/>
    <mergeCell ref="B35:B36"/>
    <mergeCell ref="D35:D36"/>
    <mergeCell ref="F35:F36"/>
    <mergeCell ref="G35:G36"/>
    <mergeCell ref="U6:U7"/>
    <mergeCell ref="AA6:AA7"/>
    <mergeCell ref="P10:P11"/>
    <mergeCell ref="A1:N4"/>
    <mergeCell ref="C15:C16"/>
    <mergeCell ref="P1:AG4"/>
    <mergeCell ref="AF10:AF11"/>
    <mergeCell ref="AA14:AA15"/>
  </mergeCells>
  <conditionalFormatting sqref="Y19:Y26 AA19:AA26 AC19:AC26 W18:X25 Z18:Z25 W19:W26 V26 AB18:AB25 AB20:AC25 AD18:AD25">
    <cfRule type="cellIs" dxfId="1" priority="16" operator="equal">
      <formula>"SI"</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1:B44"/>
  <sheetViews>
    <sheetView workbookViewId="0">
      <selection activeCell="B26" sqref="B26"/>
    </sheetView>
  </sheetViews>
  <sheetFormatPr baseColWidth="10" defaultRowHeight="15"/>
  <cols>
    <col min="1" max="1" width="4.85546875" customWidth="1"/>
    <col min="2" max="2" width="102.7109375" customWidth="1"/>
    <col min="3" max="3" width="1" customWidth="1"/>
  </cols>
  <sheetData>
    <row r="1" spans="1:2" ht="28.5" customHeight="1">
      <c r="A1" s="116" t="s">
        <v>65</v>
      </c>
      <c r="B1" s="116"/>
    </row>
    <row r="2" spans="1:2">
      <c r="A2" s="26"/>
      <c r="B2" s="26"/>
    </row>
    <row r="3" spans="1:2" ht="28.5">
      <c r="A3" s="117" t="s">
        <v>2</v>
      </c>
      <c r="B3" s="117"/>
    </row>
    <row r="5" spans="1:2" ht="28.5" customHeight="1">
      <c r="B5" s="34" t="s">
        <v>53</v>
      </c>
    </row>
    <row r="7" spans="1:2">
      <c r="A7" s="35">
        <v>1</v>
      </c>
      <c r="B7" s="36" t="s">
        <v>54</v>
      </c>
    </row>
    <row r="8" spans="1:2">
      <c r="A8" s="35">
        <f>+A7+1</f>
        <v>2</v>
      </c>
      <c r="B8" s="36" t="s">
        <v>55</v>
      </c>
    </row>
    <row r="9" spans="1:2">
      <c r="A9" s="35">
        <f t="shared" ref="A9:A16" si="0">+A8+1</f>
        <v>3</v>
      </c>
      <c r="B9" s="36" t="s">
        <v>56</v>
      </c>
    </row>
    <row r="10" spans="1:2" ht="24">
      <c r="A10" s="35">
        <f t="shared" si="0"/>
        <v>4</v>
      </c>
      <c r="B10" s="36" t="s">
        <v>57</v>
      </c>
    </row>
    <row r="11" spans="1:2">
      <c r="A11" s="35">
        <f t="shared" si="0"/>
        <v>5</v>
      </c>
      <c r="B11" s="36" t="s">
        <v>58</v>
      </c>
    </row>
    <row r="12" spans="1:2">
      <c r="A12" s="35">
        <f t="shared" si="0"/>
        <v>6</v>
      </c>
      <c r="B12" s="36" t="s">
        <v>59</v>
      </c>
    </row>
    <row r="13" spans="1:2">
      <c r="A13" s="35">
        <f t="shared" si="0"/>
        <v>7</v>
      </c>
      <c r="B13" s="36" t="s">
        <v>60</v>
      </c>
    </row>
    <row r="14" spans="1:2">
      <c r="A14" s="35">
        <f t="shared" si="0"/>
        <v>8</v>
      </c>
      <c r="B14" s="36" t="s">
        <v>61</v>
      </c>
    </row>
    <row r="15" spans="1:2" ht="24">
      <c r="A15" s="35">
        <f t="shared" si="0"/>
        <v>9</v>
      </c>
      <c r="B15" s="36" t="s">
        <v>62</v>
      </c>
    </row>
    <row r="16" spans="1:2" ht="24">
      <c r="A16" s="35">
        <f t="shared" si="0"/>
        <v>10</v>
      </c>
      <c r="B16" s="36" t="s">
        <v>63</v>
      </c>
    </row>
    <row r="18" spans="1:2">
      <c r="B18" s="37" t="s">
        <v>64</v>
      </c>
    </row>
    <row r="19" spans="1:2">
      <c r="B19" s="37"/>
    </row>
    <row r="20" spans="1:2">
      <c r="B20" s="37"/>
    </row>
    <row r="21" spans="1:2">
      <c r="B21" s="37"/>
    </row>
    <row r="22" spans="1:2">
      <c r="B22" s="37"/>
    </row>
    <row r="23" spans="1:2">
      <c r="B23" s="37"/>
    </row>
    <row r="24" spans="1:2">
      <c r="B24" s="37"/>
    </row>
    <row r="27" spans="1:2" ht="28.5" customHeight="1">
      <c r="A27" s="116" t="s">
        <v>65</v>
      </c>
      <c r="B27" s="116"/>
    </row>
    <row r="28" spans="1:2">
      <c r="A28" s="26"/>
      <c r="B28" s="26"/>
    </row>
    <row r="29" spans="1:2" ht="28.5">
      <c r="A29" s="117" t="s">
        <v>2</v>
      </c>
      <c r="B29" s="117"/>
    </row>
    <row r="31" spans="1:2" ht="18.75">
      <c r="B31" s="34" t="s">
        <v>53</v>
      </c>
    </row>
    <row r="33" spans="1:2">
      <c r="A33" s="35">
        <v>1</v>
      </c>
      <c r="B33" s="36" t="s">
        <v>54</v>
      </c>
    </row>
    <row r="34" spans="1:2">
      <c r="A34" s="35">
        <f>+A33+1</f>
        <v>2</v>
      </c>
      <c r="B34" s="36" t="s">
        <v>55</v>
      </c>
    </row>
    <row r="35" spans="1:2">
      <c r="A35" s="35">
        <f t="shared" ref="A35:A42" si="1">+A34+1</f>
        <v>3</v>
      </c>
      <c r="B35" s="36" t="s">
        <v>56</v>
      </c>
    </row>
    <row r="36" spans="1:2" ht="24">
      <c r="A36" s="35">
        <f t="shared" si="1"/>
        <v>4</v>
      </c>
      <c r="B36" s="36" t="s">
        <v>57</v>
      </c>
    </row>
    <row r="37" spans="1:2">
      <c r="A37" s="35">
        <f t="shared" si="1"/>
        <v>5</v>
      </c>
      <c r="B37" s="36" t="s">
        <v>58</v>
      </c>
    </row>
    <row r="38" spans="1:2">
      <c r="A38" s="35">
        <f t="shared" si="1"/>
        <v>6</v>
      </c>
      <c r="B38" s="36" t="s">
        <v>59</v>
      </c>
    </row>
    <row r="39" spans="1:2">
      <c r="A39" s="35">
        <f t="shared" si="1"/>
        <v>7</v>
      </c>
      <c r="B39" s="36" t="s">
        <v>60</v>
      </c>
    </row>
    <row r="40" spans="1:2">
      <c r="A40" s="35">
        <f t="shared" si="1"/>
        <v>8</v>
      </c>
      <c r="B40" s="36" t="s">
        <v>61</v>
      </c>
    </row>
    <row r="41" spans="1:2" ht="24">
      <c r="A41" s="35">
        <f t="shared" si="1"/>
        <v>9</v>
      </c>
      <c r="B41" s="36" t="s">
        <v>62</v>
      </c>
    </row>
    <row r="42" spans="1:2" ht="24">
      <c r="A42" s="35">
        <f t="shared" si="1"/>
        <v>10</v>
      </c>
      <c r="B42" s="36" t="s">
        <v>63</v>
      </c>
    </row>
    <row r="44" spans="1:2">
      <c r="B44" s="37" t="s">
        <v>64</v>
      </c>
    </row>
  </sheetData>
  <mergeCells count="4">
    <mergeCell ref="A3:B3"/>
    <mergeCell ref="A1:B1"/>
    <mergeCell ref="A27:B27"/>
    <mergeCell ref="A29:B29"/>
  </mergeCells>
  <pageMargins left="0.51181102362204722" right="0.51181102362204722"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J38"/>
  <sheetViews>
    <sheetView workbookViewId="0">
      <selection sqref="A1:I3"/>
    </sheetView>
  </sheetViews>
  <sheetFormatPr baseColWidth="10" defaultRowHeight="15"/>
  <sheetData>
    <row r="1" spans="1:10" ht="28.5" customHeight="1">
      <c r="A1" s="117" t="s">
        <v>0</v>
      </c>
      <c r="B1" s="117"/>
      <c r="C1" s="117"/>
      <c r="D1" s="117"/>
      <c r="E1" s="117"/>
      <c r="F1" s="117"/>
      <c r="G1" s="116" t="s">
        <v>52</v>
      </c>
      <c r="H1" s="116"/>
      <c r="I1" s="116"/>
      <c r="J1" s="6"/>
    </row>
    <row r="2" spans="1:10" ht="9.9499999999999993" customHeight="1">
      <c r="A2" s="26"/>
      <c r="B2" s="26"/>
      <c r="C2" s="26"/>
      <c r="D2" s="26"/>
      <c r="E2" s="26"/>
      <c r="F2" s="26"/>
      <c r="G2" s="28"/>
      <c r="H2" s="28"/>
    </row>
    <row r="3" spans="1:10" ht="28.5">
      <c r="A3" s="117" t="s">
        <v>2</v>
      </c>
      <c r="B3" s="117"/>
      <c r="C3" s="117"/>
      <c r="D3" s="117"/>
      <c r="E3" s="117"/>
      <c r="F3" s="117"/>
      <c r="G3" s="6"/>
      <c r="H3" s="6"/>
    </row>
    <row r="4" spans="1:10" ht="9.9499999999999993" customHeight="1">
      <c r="A4" s="26"/>
      <c r="B4" s="26"/>
      <c r="C4" s="26"/>
      <c r="D4" s="26"/>
      <c r="E4" s="26"/>
      <c r="F4" s="26"/>
      <c r="G4" s="27"/>
      <c r="H4" s="27"/>
    </row>
    <row r="5" spans="1:10" ht="28.5">
      <c r="A5" s="25" t="s">
        <v>48</v>
      </c>
      <c r="F5" s="25" t="s">
        <v>49</v>
      </c>
    </row>
    <row r="6" spans="1:10" ht="9.9499999999999993" customHeight="1"/>
    <row r="7" spans="1:10" ht="36" customHeight="1">
      <c r="A7" s="149" t="s">
        <v>36</v>
      </c>
      <c r="B7" s="149"/>
      <c r="C7" s="149"/>
      <c r="D7" s="149"/>
      <c r="E7" s="149"/>
      <c r="F7" s="149"/>
      <c r="G7" s="149"/>
      <c r="H7" s="149"/>
      <c r="I7" s="149"/>
    </row>
    <row r="8" spans="1:10" ht="18" customHeight="1">
      <c r="A8" s="149" t="s">
        <v>37</v>
      </c>
      <c r="B8" s="149"/>
      <c r="C8" s="149"/>
      <c r="D8" s="149"/>
      <c r="E8" s="149"/>
      <c r="F8" s="149"/>
      <c r="G8" s="149"/>
      <c r="H8" s="149"/>
      <c r="I8" s="149"/>
    </row>
    <row r="9" spans="1:10" ht="35.25" customHeight="1">
      <c r="A9" s="149" t="s">
        <v>38</v>
      </c>
      <c r="B9" s="149"/>
      <c r="C9" s="149"/>
      <c r="D9" s="149"/>
      <c r="E9" s="149"/>
      <c r="F9" s="149"/>
      <c r="G9" s="149"/>
      <c r="H9" s="149"/>
      <c r="I9" s="149"/>
    </row>
    <row r="10" spans="1:10" ht="18">
      <c r="A10" s="149" t="s">
        <v>39</v>
      </c>
      <c r="B10" s="149"/>
      <c r="C10" s="149"/>
      <c r="D10" s="149"/>
      <c r="E10" s="149"/>
      <c r="F10" s="149"/>
      <c r="G10" s="149"/>
      <c r="H10" s="149"/>
    </row>
    <row r="11" spans="1:10" ht="18">
      <c r="A11" s="149" t="s">
        <v>40</v>
      </c>
      <c r="B11" s="149"/>
      <c r="C11" s="149"/>
      <c r="D11" s="149"/>
      <c r="E11" s="149"/>
      <c r="F11" s="149"/>
      <c r="G11" s="149"/>
      <c r="H11" s="149"/>
    </row>
    <row r="12" spans="1:10" ht="36" customHeight="1">
      <c r="A12" s="149" t="s">
        <v>41</v>
      </c>
      <c r="B12" s="149"/>
      <c r="C12" s="149"/>
      <c r="D12" s="149"/>
      <c r="E12" s="149"/>
      <c r="F12" s="149"/>
      <c r="G12" s="149"/>
      <c r="H12" s="149"/>
      <c r="I12" s="149"/>
    </row>
    <row r="13" spans="1:10" ht="35.25" customHeight="1">
      <c r="A13" s="149" t="s">
        <v>42</v>
      </c>
      <c r="B13" s="149"/>
      <c r="C13" s="149"/>
      <c r="D13" s="149"/>
      <c r="E13" s="149"/>
      <c r="F13" s="149"/>
      <c r="G13" s="149"/>
      <c r="H13" s="149"/>
      <c r="I13" s="149"/>
    </row>
    <row r="14" spans="1:10" ht="18">
      <c r="A14" s="149" t="s">
        <v>43</v>
      </c>
      <c r="B14" s="149"/>
      <c r="C14" s="149"/>
      <c r="D14" s="149"/>
      <c r="E14" s="149"/>
      <c r="F14" s="149"/>
      <c r="G14" s="149"/>
      <c r="H14" s="149"/>
    </row>
    <row r="15" spans="1:10" ht="35.25" customHeight="1">
      <c r="A15" s="149" t="s">
        <v>44</v>
      </c>
      <c r="B15" s="149"/>
      <c r="C15" s="149"/>
      <c r="D15" s="149"/>
      <c r="E15" s="149"/>
      <c r="F15" s="149"/>
      <c r="G15" s="149"/>
      <c r="H15" s="149"/>
      <c r="I15" s="149"/>
    </row>
    <row r="16" spans="1:10" ht="36.75" customHeight="1">
      <c r="A16" s="149" t="s">
        <v>45</v>
      </c>
      <c r="B16" s="149"/>
      <c r="C16" s="149"/>
      <c r="D16" s="149"/>
      <c r="E16" s="149"/>
      <c r="F16" s="149"/>
      <c r="G16" s="149"/>
      <c r="H16" s="149"/>
    </row>
    <row r="17" spans="1:9" ht="18">
      <c r="A17" s="149" t="s">
        <v>46</v>
      </c>
      <c r="B17" s="149"/>
      <c r="C17" s="149"/>
      <c r="D17" s="149"/>
      <c r="E17" s="149"/>
      <c r="F17" s="149"/>
      <c r="G17" s="149"/>
      <c r="H17" s="149"/>
    </row>
    <row r="18" spans="1:9" ht="18">
      <c r="A18" s="149" t="s">
        <v>47</v>
      </c>
      <c r="B18" s="149"/>
      <c r="C18" s="149"/>
      <c r="D18" s="149"/>
      <c r="E18" s="149"/>
      <c r="F18" s="149"/>
      <c r="G18" s="149"/>
      <c r="H18" s="149"/>
    </row>
    <row r="19" spans="1:9" ht="9.9499999999999993" customHeight="1">
      <c r="A19" s="29"/>
      <c r="B19" s="29"/>
      <c r="C19" s="29"/>
      <c r="D19" s="29"/>
      <c r="E19" s="29"/>
      <c r="F19" s="29"/>
      <c r="G19" s="29"/>
      <c r="H19" s="29"/>
      <c r="I19" s="30"/>
    </row>
    <row r="20" spans="1:9" ht="9.9499999999999993" customHeight="1">
      <c r="A20" s="31"/>
      <c r="B20" s="31"/>
      <c r="C20" s="31"/>
      <c r="D20" s="31"/>
      <c r="E20" s="31"/>
      <c r="F20" s="31"/>
      <c r="G20" s="31"/>
      <c r="H20" s="31"/>
      <c r="I20" s="31"/>
    </row>
    <row r="21" spans="1:9" ht="28.5" customHeight="1">
      <c r="A21" s="117" t="s">
        <v>0</v>
      </c>
      <c r="B21" s="117"/>
      <c r="C21" s="117"/>
      <c r="D21" s="117"/>
      <c r="E21" s="117"/>
      <c r="F21" s="117"/>
      <c r="G21" s="116" t="s">
        <v>1</v>
      </c>
      <c r="H21" s="116"/>
    </row>
    <row r="22" spans="1:9" ht="9.9499999999999993" customHeight="1">
      <c r="A22" s="26"/>
      <c r="B22" s="26"/>
      <c r="C22" s="26"/>
      <c r="D22" s="26"/>
      <c r="E22" s="26"/>
      <c r="F22" s="26"/>
      <c r="G22" s="28"/>
      <c r="H22" s="28"/>
    </row>
    <row r="23" spans="1:9" ht="28.5" customHeight="1">
      <c r="A23" s="117" t="s">
        <v>2</v>
      </c>
      <c r="B23" s="117"/>
      <c r="C23" s="117"/>
      <c r="D23" s="117"/>
      <c r="E23" s="117"/>
      <c r="F23" s="117"/>
      <c r="G23" s="6"/>
      <c r="H23" s="6"/>
    </row>
    <row r="24" spans="1:9" ht="9.9499999999999993" customHeight="1">
      <c r="A24" s="26"/>
      <c r="B24" s="26"/>
      <c r="C24" s="26"/>
      <c r="D24" s="26"/>
      <c r="E24" s="26"/>
      <c r="F24" s="26"/>
      <c r="G24" s="27"/>
      <c r="H24" s="27"/>
    </row>
    <row r="25" spans="1:9" ht="28.5">
      <c r="A25" s="25" t="s">
        <v>48</v>
      </c>
      <c r="F25" s="25" t="s">
        <v>49</v>
      </c>
    </row>
    <row r="26" spans="1:9" ht="9.9499999999999993" customHeight="1"/>
    <row r="27" spans="1:9" ht="35.25" customHeight="1">
      <c r="A27" s="149" t="s">
        <v>36</v>
      </c>
      <c r="B27" s="149"/>
      <c r="C27" s="149"/>
      <c r="D27" s="149"/>
      <c r="E27" s="149"/>
      <c r="F27" s="149"/>
      <c r="G27" s="149"/>
      <c r="H27" s="149"/>
      <c r="I27" s="149"/>
    </row>
    <row r="28" spans="1:9" ht="18" customHeight="1">
      <c r="A28" s="149" t="s">
        <v>37</v>
      </c>
      <c r="B28" s="149"/>
      <c r="C28" s="149"/>
      <c r="D28" s="149"/>
      <c r="E28" s="149"/>
      <c r="F28" s="149"/>
      <c r="G28" s="149"/>
      <c r="H28" s="149"/>
      <c r="I28" s="149"/>
    </row>
    <row r="29" spans="1:9" ht="36.75" customHeight="1">
      <c r="A29" s="149" t="s">
        <v>38</v>
      </c>
      <c r="B29" s="149"/>
      <c r="C29" s="149"/>
      <c r="D29" s="149"/>
      <c r="E29" s="149"/>
      <c r="F29" s="149"/>
      <c r="G29" s="149"/>
      <c r="H29" s="149"/>
      <c r="I29" s="149"/>
    </row>
    <row r="30" spans="1:9" ht="18" customHeight="1">
      <c r="A30" s="149" t="s">
        <v>39</v>
      </c>
      <c r="B30" s="149"/>
      <c r="C30" s="149"/>
      <c r="D30" s="149"/>
      <c r="E30" s="149"/>
      <c r="F30" s="149"/>
      <c r="G30" s="149"/>
      <c r="H30" s="149"/>
    </row>
    <row r="31" spans="1:9" ht="18" customHeight="1">
      <c r="A31" s="149" t="s">
        <v>40</v>
      </c>
      <c r="B31" s="149"/>
      <c r="C31" s="149"/>
      <c r="D31" s="149"/>
      <c r="E31" s="149"/>
      <c r="F31" s="149"/>
      <c r="G31" s="149"/>
      <c r="H31" s="149"/>
    </row>
    <row r="32" spans="1:9" ht="36" customHeight="1">
      <c r="A32" s="149" t="s">
        <v>41</v>
      </c>
      <c r="B32" s="149"/>
      <c r="C32" s="149"/>
      <c r="D32" s="149"/>
      <c r="E32" s="149"/>
      <c r="F32" s="149"/>
      <c r="G32" s="149"/>
      <c r="H32" s="149"/>
      <c r="I32" s="149"/>
    </row>
    <row r="33" spans="1:9" ht="36" customHeight="1">
      <c r="A33" s="149" t="s">
        <v>42</v>
      </c>
      <c r="B33" s="149"/>
      <c r="C33" s="149"/>
      <c r="D33" s="149"/>
      <c r="E33" s="149"/>
      <c r="F33" s="149"/>
      <c r="G33" s="149"/>
      <c r="H33" s="149"/>
      <c r="I33" s="149"/>
    </row>
    <row r="34" spans="1:9" ht="18" customHeight="1">
      <c r="A34" s="149" t="s">
        <v>43</v>
      </c>
      <c r="B34" s="149"/>
      <c r="C34" s="149"/>
      <c r="D34" s="149"/>
      <c r="E34" s="149"/>
      <c r="F34" s="149"/>
      <c r="G34" s="149"/>
      <c r="H34" s="149"/>
    </row>
    <row r="35" spans="1:9" ht="36" customHeight="1">
      <c r="A35" s="149" t="s">
        <v>44</v>
      </c>
      <c r="B35" s="149"/>
      <c r="C35" s="149"/>
      <c r="D35" s="149"/>
      <c r="E35" s="149"/>
      <c r="F35" s="149"/>
      <c r="G35" s="149"/>
      <c r="H35" s="149"/>
      <c r="I35" s="149"/>
    </row>
    <row r="36" spans="1:9" ht="35.25" customHeight="1">
      <c r="A36" s="149" t="s">
        <v>45</v>
      </c>
      <c r="B36" s="149"/>
      <c r="C36" s="149"/>
      <c r="D36" s="149"/>
      <c r="E36" s="149"/>
      <c r="F36" s="149"/>
      <c r="G36" s="149"/>
      <c r="H36" s="149"/>
    </row>
    <row r="37" spans="1:9" ht="18" customHeight="1">
      <c r="A37" s="149" t="s">
        <v>46</v>
      </c>
      <c r="B37" s="149"/>
      <c r="C37" s="149"/>
      <c r="D37" s="149"/>
      <c r="E37" s="149"/>
      <c r="F37" s="149"/>
      <c r="G37" s="149"/>
      <c r="H37" s="149"/>
    </row>
    <row r="38" spans="1:9" ht="18" customHeight="1">
      <c r="A38" s="149" t="s">
        <v>47</v>
      </c>
      <c r="B38" s="149"/>
      <c r="C38" s="149"/>
      <c r="D38" s="149"/>
      <c r="E38" s="149"/>
      <c r="F38" s="149"/>
      <c r="G38" s="149"/>
      <c r="H38" s="149"/>
    </row>
  </sheetData>
  <mergeCells count="30">
    <mergeCell ref="A34:H34"/>
    <mergeCell ref="A36:H36"/>
    <mergeCell ref="A37:H37"/>
    <mergeCell ref="A38:H38"/>
    <mergeCell ref="A33:I33"/>
    <mergeCell ref="A35:I35"/>
    <mergeCell ref="A32:I32"/>
    <mergeCell ref="A16:H16"/>
    <mergeCell ref="A17:H17"/>
    <mergeCell ref="A18:H18"/>
    <mergeCell ref="A21:F21"/>
    <mergeCell ref="G21:H21"/>
    <mergeCell ref="A23:F23"/>
    <mergeCell ref="A30:H30"/>
    <mergeCell ref="A31:H31"/>
    <mergeCell ref="A27:I27"/>
    <mergeCell ref="A28:I28"/>
    <mergeCell ref="A29:I29"/>
    <mergeCell ref="A15:I15"/>
    <mergeCell ref="A1:F1"/>
    <mergeCell ref="A3:F3"/>
    <mergeCell ref="A7:I7"/>
    <mergeCell ref="A8:I8"/>
    <mergeCell ref="A9:I9"/>
    <mergeCell ref="G1:I1"/>
    <mergeCell ref="A10:H10"/>
    <mergeCell ref="A11:H11"/>
    <mergeCell ref="A14:H14"/>
    <mergeCell ref="A12:I12"/>
    <mergeCell ref="A13:I13"/>
  </mergeCells>
  <printOptions horizontalCentered="1" verticalCentered="1"/>
  <pageMargins left="0.19685039370078741" right="0" top="0" bottom="0" header="0.31496062992125984" footer="0.31496062992125984"/>
  <pageSetup paperSize="9" scale="95"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Tema 1</vt:lpstr>
      <vt:lpstr>Sol T1</vt:lpstr>
      <vt:lpstr>Tema 2</vt:lpstr>
      <vt:lpstr>Sol T2</vt:lpstr>
      <vt:lpstr>Teórico 2016</vt:lpstr>
      <vt:lpstr>Teórico 2015</vt:lpstr>
      <vt:lpstr>'Teórico 2016'!Área_de_impresión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Flor</cp:lastModifiedBy>
  <cp:lastPrinted>2017-06-08T22:56:58Z</cp:lastPrinted>
  <dcterms:created xsi:type="dcterms:W3CDTF">2015-06-16T15:46:45Z</dcterms:created>
  <dcterms:modified xsi:type="dcterms:W3CDTF">2021-05-10T02:24:00Z</dcterms:modified>
</cp:coreProperties>
</file>