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150" windowWidth="20730" windowHeight="11760"/>
  </bookViews>
  <sheets>
    <sheet name="Tema 1" sheetId="1" r:id="rId1"/>
    <sheet name="Solución" sheetId="3" r:id="rId2"/>
  </sheets>
  <calcPr calcId="125725"/>
</workbook>
</file>

<file path=xl/calcChain.xml><?xml version="1.0" encoding="utf-8"?>
<calcChain xmlns="http://schemas.openxmlformats.org/spreadsheetml/2006/main">
  <c r="AX21" i="3"/>
  <c r="AZ13"/>
  <c r="AZ12"/>
  <c r="AZ11"/>
  <c r="AZ10"/>
  <c r="AY10"/>
  <c r="AX10" s="1"/>
  <c r="AV13"/>
  <c r="AV14" s="1"/>
  <c r="AV15" s="1"/>
  <c r="AV16" s="1"/>
  <c r="AV17" s="1"/>
  <c r="AV18" s="1"/>
  <c r="AV19" s="1"/>
  <c r="AV12"/>
  <c r="AV11"/>
  <c r="AX11" s="1"/>
  <c r="AY14"/>
  <c r="AZ14" s="1"/>
  <c r="AT5"/>
  <c r="AT6" s="1"/>
  <c r="AT7" s="1"/>
  <c r="AT4"/>
  <c r="AX13" l="1"/>
  <c r="AX12"/>
  <c r="AY15"/>
  <c r="AZ15" s="1"/>
  <c r="AX15" l="1"/>
  <c r="AY16"/>
  <c r="AZ16" s="1"/>
  <c r="AX14"/>
  <c r="AX16" l="1"/>
  <c r="AY17"/>
  <c r="AZ17" s="1"/>
  <c r="AX17" l="1"/>
  <c r="AY18"/>
  <c r="AZ18" s="1"/>
  <c r="AX18" l="1"/>
  <c r="AY19"/>
  <c r="AZ19" s="1"/>
  <c r="AX19" l="1"/>
  <c r="E4" l="1"/>
  <c r="E3"/>
  <c r="E2"/>
  <c r="D4"/>
  <c r="D3"/>
  <c r="L2" s="1"/>
  <c r="D2"/>
  <c r="C4"/>
  <c r="C3"/>
  <c r="C2"/>
  <c r="E9"/>
  <c r="D9"/>
  <c r="L9" s="1"/>
  <c r="C9"/>
  <c r="AM15"/>
  <c r="AM11"/>
  <c r="AL23"/>
  <c r="AK23"/>
  <c r="AJ23"/>
  <c r="AL22"/>
  <c r="AK22"/>
  <c r="AJ22"/>
  <c r="AL21"/>
  <c r="AK21"/>
  <c r="AJ21"/>
  <c r="AL19"/>
  <c r="AK19"/>
  <c r="AJ19"/>
  <c r="AL18"/>
  <c r="AK18"/>
  <c r="AJ18"/>
  <c r="AL17"/>
  <c r="AK17"/>
  <c r="AJ17"/>
  <c r="AL15"/>
  <c r="AK15"/>
  <c r="AJ15"/>
  <c r="AL14"/>
  <c r="AK14"/>
  <c r="AJ14"/>
  <c r="AL13"/>
  <c r="AK13"/>
  <c r="AJ13"/>
  <c r="AL11"/>
  <c r="AK11"/>
  <c r="AJ11"/>
  <c r="AL10"/>
  <c r="AK10"/>
  <c r="AJ10"/>
  <c r="AL9"/>
  <c r="AK9"/>
  <c r="AJ9"/>
  <c r="AL7"/>
  <c r="AK7"/>
  <c r="AJ7"/>
  <c r="AL4"/>
  <c r="AK4"/>
  <c r="AJ4"/>
  <c r="AL3"/>
  <c r="AK3"/>
  <c r="AJ3"/>
  <c r="AJ2"/>
  <c r="AL2"/>
  <c r="AK2"/>
  <c r="Q14"/>
  <c r="L14"/>
  <c r="G14"/>
  <c r="P51"/>
  <c r="P56"/>
  <c r="D56"/>
  <c r="E56"/>
  <c r="F56"/>
  <c r="G56"/>
  <c r="H56"/>
  <c r="I56"/>
  <c r="J56"/>
  <c r="K56"/>
  <c r="L56"/>
  <c r="M56"/>
  <c r="N56"/>
  <c r="O56"/>
  <c r="Q56"/>
  <c r="R56"/>
  <c r="S56"/>
  <c r="T56"/>
  <c r="U56"/>
  <c r="C56"/>
  <c r="N30"/>
  <c r="P30"/>
  <c r="N31"/>
  <c r="P31"/>
  <c r="N42" s="1"/>
  <c r="F42" s="1"/>
  <c r="N32"/>
  <c r="P32"/>
  <c r="N33"/>
  <c r="P33"/>
  <c r="N34"/>
  <c r="P34"/>
  <c r="N35"/>
  <c r="P35"/>
  <c r="N36"/>
  <c r="P36"/>
  <c r="N37"/>
  <c r="P37"/>
  <c r="N38"/>
  <c r="P38"/>
  <c r="N39"/>
  <c r="P39"/>
  <c r="N40"/>
  <c r="P40"/>
  <c r="N41"/>
  <c r="P41"/>
  <c r="P29"/>
  <c r="N29"/>
  <c r="H30"/>
  <c r="H31"/>
  <c r="H32"/>
  <c r="H33"/>
  <c r="H34"/>
  <c r="H35"/>
  <c r="H36"/>
  <c r="H37"/>
  <c r="H38"/>
  <c r="H39"/>
  <c r="H40"/>
  <c r="H41"/>
  <c r="H29"/>
  <c r="H16" i="1"/>
  <c r="N16"/>
  <c r="J16"/>
  <c r="L16"/>
  <c r="N14"/>
  <c r="N15"/>
  <c r="N13"/>
  <c r="F16"/>
  <c r="AL6" i="3"/>
  <c r="AK6"/>
  <c r="AJ6"/>
  <c r="M4"/>
  <c r="K4" l="1"/>
  <c r="P4" s="1"/>
  <c r="T4" s="1"/>
  <c r="M2"/>
  <c r="Q2" s="1"/>
  <c r="U2" s="1"/>
  <c r="K9"/>
  <c r="K2"/>
  <c r="L4"/>
  <c r="L3"/>
  <c r="Q4"/>
  <c r="U4" s="1"/>
  <c r="P2"/>
  <c r="T2" s="1"/>
  <c r="K3"/>
  <c r="M3"/>
  <c r="M9"/>
  <c r="O2" l="1"/>
  <c r="S2" s="1"/>
  <c r="O4"/>
  <c r="S4" s="1"/>
  <c r="O3"/>
  <c r="S3" s="1"/>
  <c r="Q3"/>
  <c r="U3" s="1"/>
  <c r="U5" s="1"/>
  <c r="P3"/>
  <c r="T3" s="1"/>
  <c r="S5"/>
  <c r="T5"/>
</calcChain>
</file>

<file path=xl/sharedStrings.xml><?xml version="1.0" encoding="utf-8"?>
<sst xmlns="http://schemas.openxmlformats.org/spreadsheetml/2006/main" count="194" uniqueCount="107">
  <si>
    <t>Apellido, Nombre</t>
  </si>
  <si>
    <t xml:space="preserve">Ej 1 </t>
  </si>
  <si>
    <t xml:space="preserve">Ej 2 </t>
  </si>
  <si>
    <t xml:space="preserve">Ej 3 </t>
  </si>
  <si>
    <t>Ptos</t>
  </si>
  <si>
    <t>&lt;=10</t>
  </si>
  <si>
    <t>Nota</t>
  </si>
  <si>
    <t>Tt</t>
  </si>
  <si>
    <t>Costo Medio</t>
  </si>
  <si>
    <t>Costo Total</t>
  </si>
  <si>
    <t>MFt</t>
  </si>
  <si>
    <t>T. Cr.</t>
  </si>
  <si>
    <t>$MOUT</t>
  </si>
  <si>
    <t>$MatUT</t>
  </si>
  <si>
    <t>$TMO</t>
  </si>
  <si>
    <t>Tema 1</t>
  </si>
  <si>
    <t>Ftaef</t>
  </si>
  <si>
    <t>Fteei</t>
  </si>
  <si>
    <t>$TMat</t>
  </si>
  <si>
    <t>Compra Actual</t>
  </si>
  <si>
    <t>Marca A</t>
  </si>
  <si>
    <t>Total</t>
  </si>
  <si>
    <t>Marca B</t>
  </si>
  <si>
    <t>Marca C</t>
  </si>
  <si>
    <t>Compras en el mes siguiente</t>
  </si>
  <si>
    <t>Totales</t>
  </si>
  <si>
    <t>A</t>
  </si>
  <si>
    <t>B</t>
  </si>
  <si>
    <t>C</t>
  </si>
  <si>
    <t>1a</t>
  </si>
  <si>
    <t>P2</t>
  </si>
  <si>
    <t>1b</t>
  </si>
  <si>
    <t>a.- Si las compras se hacen mensualmente, ¿Cuál será la distribución de mercado en el mes de Octubre?</t>
  </si>
  <si>
    <t>b.- Qué proporción de clientes se mantuvieron leales en Octubre?</t>
  </si>
  <si>
    <t>Rec.- 1º Parcial Investigación Operativa</t>
  </si>
  <si>
    <t>2.-   Una estación de Servicio solo tiene un surtidor y llegan en promedio 40 clientes por hora; la capacidad de atención promedio es de 50 clientes por hora y se sabe que los clientes esperan un promedio de 4 min en la cola. Determine:</t>
  </si>
  <si>
    <t>a.-  Tiempo promedio que un cliente pasa en el sistema</t>
  </si>
  <si>
    <t>b.-  Número promedio de clientes en la cola.</t>
  </si>
  <si>
    <t>c.-  Número promedio de clientes en el sistema</t>
  </si>
  <si>
    <t>2a.-</t>
  </si>
  <si>
    <t>l =</t>
  </si>
  <si>
    <t>40 Cl/hs</t>
  </si>
  <si>
    <t>m =</t>
  </si>
  <si>
    <t>50 Cl/hs</t>
  </si>
  <si>
    <t>w =</t>
  </si>
  <si>
    <t>4 min</t>
  </si>
  <si>
    <t>Ws =</t>
  </si>
  <si>
    <r>
      <t xml:space="preserve">w + 1/ </t>
    </r>
    <r>
      <rPr>
        <sz val="14"/>
        <color indexed="8"/>
        <rFont val="Symbol"/>
        <family val="1"/>
        <charset val="2"/>
      </rPr>
      <t>m</t>
    </r>
  </si>
  <si>
    <t>min</t>
  </si>
  <si>
    <t>2b.-</t>
  </si>
  <si>
    <t xml:space="preserve">Lq =  </t>
  </si>
  <si>
    <t>Clientes</t>
  </si>
  <si>
    <t>2c.-</t>
  </si>
  <si>
    <t xml:space="preserve">Ls = </t>
  </si>
  <si>
    <t>Tarea</t>
  </si>
  <si>
    <t>3.-</t>
  </si>
  <si>
    <t>Si</t>
  </si>
  <si>
    <t>3.-  Resolver la siguiente red de actividades. Confeccionar el Diagrama de Gantt a Fecha Temprana y su carga Financiera. Los costos por UT ( unidad de Tiempo) se dan en la tabla adjunta. Se arregló el pago de Mat 50 % la 1º UTde cada actividad y 50% en la UT siguiente y para la mano de obra 20 % en la 1º UT y el 80 % restante en la última UT de cada actividad.</t>
  </si>
  <si>
    <t>P3</t>
  </si>
  <si>
    <r>
      <t xml:space="preserve">Lc = </t>
    </r>
    <r>
      <rPr>
        <sz val="14"/>
        <color indexed="8"/>
        <rFont val="Symbol"/>
        <family val="1"/>
        <charset val="2"/>
      </rPr>
      <t>r</t>
    </r>
    <r>
      <rPr>
        <vertAlign val="superscript"/>
        <sz val="14"/>
        <color indexed="8"/>
        <rFont val="Symbol"/>
        <family val="1"/>
        <charset val="2"/>
      </rPr>
      <t>2</t>
    </r>
    <r>
      <rPr>
        <sz val="14"/>
        <color indexed="8"/>
        <rFont val="Symbol"/>
        <family val="1"/>
        <charset val="2"/>
      </rPr>
      <t>/(1-</t>
    </r>
    <r>
      <rPr>
        <sz val="14"/>
        <color indexed="8"/>
        <rFont val="Calibri"/>
        <family val="2"/>
      </rPr>
      <t xml:space="preserve"> </t>
    </r>
    <r>
      <rPr>
        <sz val="14"/>
        <color indexed="8"/>
        <rFont val="Symbol"/>
        <family val="1"/>
        <charset val="2"/>
      </rPr>
      <t>r</t>
    </r>
    <r>
      <rPr>
        <sz val="14"/>
        <color indexed="8"/>
        <rFont val="Calibri"/>
        <family val="2"/>
      </rPr>
      <t>)</t>
    </r>
  </si>
  <si>
    <r>
      <t xml:space="preserve">Ls = </t>
    </r>
    <r>
      <rPr>
        <sz val="14"/>
        <color indexed="8"/>
        <rFont val="Symbol"/>
        <family val="1"/>
        <charset val="2"/>
      </rPr>
      <t>r</t>
    </r>
    <r>
      <rPr>
        <sz val="14"/>
        <color indexed="8"/>
        <rFont val="Symbol"/>
        <family val="1"/>
        <charset val="2"/>
      </rPr>
      <t>/(1-</t>
    </r>
    <r>
      <rPr>
        <sz val="14"/>
        <color indexed="8"/>
        <rFont val="Calibri"/>
        <family val="2"/>
      </rPr>
      <t xml:space="preserve"> </t>
    </r>
    <r>
      <rPr>
        <sz val="14"/>
        <color indexed="8"/>
        <rFont val="Symbol"/>
        <family val="1"/>
        <charset val="2"/>
      </rPr>
      <t>r</t>
    </r>
    <r>
      <rPr>
        <sz val="14"/>
        <color indexed="8"/>
        <rFont val="Calibri"/>
        <family val="2"/>
      </rPr>
      <t>)</t>
    </r>
  </si>
  <si>
    <r>
      <t xml:space="preserve">Ws =1/( </t>
    </r>
    <r>
      <rPr>
        <sz val="12"/>
        <color indexed="8"/>
        <rFont val="Symbol"/>
        <family val="1"/>
        <charset val="2"/>
      </rPr>
      <t>r/(1-</t>
    </r>
    <r>
      <rPr>
        <sz val="12"/>
        <color indexed="8"/>
        <rFont val="Calibri"/>
        <family val="2"/>
      </rPr>
      <t xml:space="preserve"> </t>
    </r>
    <r>
      <rPr>
        <sz val="12"/>
        <color indexed="8"/>
        <rFont val="Symbol"/>
        <family val="1"/>
        <charset val="2"/>
      </rPr>
      <t>r</t>
    </r>
    <r>
      <rPr>
        <sz val="12"/>
        <color indexed="8"/>
        <rFont val="Calibri"/>
        <family val="2"/>
      </rPr>
      <t>))</t>
    </r>
  </si>
  <si>
    <t>x</t>
  </si>
  <si>
    <t>y</t>
  </si>
  <si>
    <t>z</t>
  </si>
  <si>
    <t>Precedentes</t>
  </si>
  <si>
    <t>-----</t>
  </si>
  <si>
    <t>D</t>
  </si>
  <si>
    <t>E</t>
  </si>
  <si>
    <t>F</t>
  </si>
  <si>
    <t>G</t>
  </si>
  <si>
    <t>H</t>
  </si>
  <si>
    <t>I</t>
  </si>
  <si>
    <t>J</t>
  </si>
  <si>
    <t>K</t>
  </si>
  <si>
    <t>L</t>
  </si>
  <si>
    <t>M</t>
  </si>
  <si>
    <t xml:space="preserve">C </t>
  </si>
  <si>
    <t>B, C</t>
  </si>
  <si>
    <t>D, E</t>
  </si>
  <si>
    <t>H, I</t>
  </si>
  <si>
    <t>Los consumidores de chocolate de Cacaolandia usan tres marcas A, B y C. En Julio de este año, se realizó una encuesta en la que se entrevistaron 16900 personas que compran el producto con los siguientes resultados:</t>
  </si>
  <si>
    <t>Ej 4</t>
  </si>
  <si>
    <t>26.06.2016</t>
  </si>
  <si>
    <t>Agosto</t>
  </si>
  <si>
    <t>Septiembre</t>
  </si>
  <si>
    <t>Octubre</t>
  </si>
  <si>
    <t>ƛ (min)</t>
  </si>
  <si>
    <t>Probabilidad</t>
  </si>
  <si>
    <t>4.- En un banco, se estima que las personas llegan según Poisson con la siguiente tasa ƛ = 4. Existe un cajero que normalmente atiende a las personas que llegan según la siguiente tasa:</t>
  </si>
  <si>
    <t>µ (min)</t>
  </si>
  <si>
    <t>El banco se encuentra en proceso de crecimiento por lo que se ha decidido simular los tiempos de servicio para analizar si es necesario agregar un segundo cajero teniendo en cuenta que se desea que el tiempo de espera sea menor a 3 minutos en promedio. Los nros aleatorios obtenidos son: 0,03 - 0,05 - 0,12 - 0,91 - 0,31 - 0,3 - 0,69 - 0,21 - 0,06 - 0,75
Indicar el resultado de dicho análisis.</t>
  </si>
  <si>
    <t>Prob. Acumulada</t>
  </si>
  <si>
    <t>Intervalos</t>
  </si>
  <si>
    <t>0 - 0,05</t>
  </si>
  <si>
    <t>0,06 - 0,15</t>
  </si>
  <si>
    <t>0,16 - 0,65</t>
  </si>
  <si>
    <t>0,66 - 1</t>
  </si>
  <si>
    <t>Nro de llegada</t>
  </si>
  <si>
    <t>Nro Aleatorio</t>
  </si>
  <si>
    <t>Tiempo de arribo</t>
  </si>
  <si>
    <t>Lq</t>
  </si>
  <si>
    <t>Tiempo de Espera</t>
  </si>
  <si>
    <t>Tiempo en que es atendido</t>
  </si>
  <si>
    <t>Tiempo de Salida</t>
  </si>
  <si>
    <t>Promedio</t>
  </si>
  <si>
    <t>Se debe agregar otro cajero</t>
  </si>
</sst>
</file>

<file path=xl/styles.xml><?xml version="1.0" encoding="utf-8"?>
<styleSheet xmlns="http://schemas.openxmlformats.org/spreadsheetml/2006/main">
  <numFmts count="2">
    <numFmt numFmtId="164" formatCode="0.000"/>
    <numFmt numFmtId="165" formatCode="0.0000"/>
  </numFmts>
  <fonts count="28">
    <font>
      <sz val="11"/>
      <color theme="1"/>
      <name val="Calibri"/>
      <family val="2"/>
      <scheme val="minor"/>
    </font>
    <font>
      <b/>
      <sz val="22"/>
      <color indexed="8"/>
      <name val="Calibri"/>
      <family val="2"/>
    </font>
    <font>
      <b/>
      <sz val="12"/>
      <color indexed="8"/>
      <name val="Calibri"/>
      <family val="2"/>
    </font>
    <font>
      <sz val="14"/>
      <color indexed="8"/>
      <name val="Calibri"/>
      <family val="2"/>
    </font>
    <font>
      <sz val="14"/>
      <color indexed="8"/>
      <name val="Symbol"/>
      <family val="1"/>
      <charset val="2"/>
    </font>
    <font>
      <b/>
      <sz val="20"/>
      <color indexed="8"/>
      <name val="Calibri"/>
      <family val="2"/>
    </font>
    <font>
      <b/>
      <sz val="8"/>
      <color indexed="8"/>
      <name val="Calibri"/>
      <family val="2"/>
    </font>
    <font>
      <sz val="12"/>
      <color indexed="8"/>
      <name val="Calibri"/>
      <family val="2"/>
    </font>
    <font>
      <vertAlign val="superscript"/>
      <sz val="14"/>
      <color indexed="8"/>
      <name val="Symbol"/>
      <family val="1"/>
      <charset val="2"/>
    </font>
    <font>
      <sz val="12"/>
      <color indexed="8"/>
      <name val="Symbol"/>
      <family val="1"/>
      <charset val="2"/>
    </font>
    <font>
      <b/>
      <sz val="11"/>
      <color theme="1"/>
      <name val="Calibri"/>
      <family val="2"/>
      <scheme val="minor"/>
    </font>
    <font>
      <sz val="12"/>
      <color theme="1"/>
      <name val="Calibri"/>
      <family val="2"/>
      <scheme val="minor"/>
    </font>
    <font>
      <sz val="16"/>
      <color theme="1"/>
      <name val="Calibri"/>
      <family val="2"/>
      <scheme val="minor"/>
    </font>
    <font>
      <sz val="14"/>
      <color theme="1"/>
      <name val="Calibri"/>
      <family val="2"/>
      <scheme val="minor"/>
    </font>
    <font>
      <b/>
      <sz val="14"/>
      <color theme="1"/>
      <name val="Calibri"/>
      <family val="2"/>
      <scheme val="minor"/>
    </font>
    <font>
      <sz val="14"/>
      <color theme="1"/>
      <name val="Symbol"/>
      <family val="1"/>
      <charset val="2"/>
    </font>
    <font>
      <sz val="16"/>
      <name val="Calibri"/>
      <family val="2"/>
      <scheme val="minor"/>
    </font>
    <font>
      <b/>
      <sz val="16"/>
      <name val="Calibri"/>
      <family val="2"/>
      <scheme val="minor"/>
    </font>
    <font>
      <sz val="8"/>
      <color theme="1"/>
      <name val="Calibri"/>
      <family val="2"/>
      <scheme val="minor"/>
    </font>
    <font>
      <b/>
      <sz val="14"/>
      <color theme="3" tint="0.39997558519241921"/>
      <name val="Calibri"/>
      <family val="2"/>
      <scheme val="minor"/>
    </font>
    <font>
      <b/>
      <sz val="14"/>
      <color rgb="FFFF0000"/>
      <name val="Calibri"/>
      <family val="2"/>
      <scheme val="minor"/>
    </font>
    <font>
      <b/>
      <sz val="16"/>
      <color rgb="FFFF0000"/>
      <name val="Calibri"/>
      <family val="2"/>
      <scheme val="minor"/>
    </font>
    <font>
      <b/>
      <sz val="16"/>
      <color theme="3" tint="0.39997558519241921"/>
      <name val="Calibri"/>
      <family val="2"/>
      <scheme val="minor"/>
    </font>
    <font>
      <b/>
      <sz val="18"/>
      <color theme="1"/>
      <name val="Calibri"/>
      <family val="2"/>
      <scheme val="minor"/>
    </font>
    <font>
      <sz val="16"/>
      <color theme="3" tint="0.39997558519241921"/>
      <name val="Calibri"/>
      <family val="2"/>
      <scheme val="minor"/>
    </font>
    <font>
      <sz val="10"/>
      <color theme="1"/>
      <name val="Calibri"/>
      <family val="2"/>
    </font>
    <font>
      <sz val="11"/>
      <color theme="1"/>
      <name val="Calibri"/>
      <family val="2"/>
    </font>
    <font>
      <b/>
      <sz val="10"/>
      <color theme="1"/>
      <name val="Calibri"/>
      <family val="2"/>
    </font>
  </fonts>
  <fills count="3">
    <fill>
      <patternFill patternType="none"/>
    </fill>
    <fill>
      <patternFill patternType="gray125"/>
    </fill>
    <fill>
      <patternFill patternType="solid">
        <fgColor rgb="FFFFFF00"/>
        <bgColor indexed="64"/>
      </patternFill>
    </fill>
  </fills>
  <borders count="44">
    <border>
      <left/>
      <right/>
      <top/>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double">
        <color indexed="64"/>
      </left>
      <right/>
      <top style="double">
        <color indexed="64"/>
      </top>
      <bottom style="thin">
        <color indexed="64"/>
      </bottom>
      <diagonal/>
    </border>
    <border>
      <left style="double">
        <color indexed="64"/>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style="mediumDashDotDot">
        <color indexed="64"/>
      </right>
      <top/>
      <bottom/>
      <diagonal/>
    </border>
    <border>
      <left style="mediumDashDotDot">
        <color indexed="64"/>
      </left>
      <right/>
      <top/>
      <bottom/>
      <diagonal/>
    </border>
    <border>
      <left/>
      <right/>
      <top/>
      <bottom style="mediumDashDotDot">
        <color indexed="64"/>
      </bottom>
      <diagonal/>
    </border>
    <border>
      <left/>
      <right style="mediumDashDotDot">
        <color indexed="64"/>
      </right>
      <top/>
      <bottom style="mediumDashDotDot">
        <color indexed="64"/>
      </bottom>
      <diagonal/>
    </border>
    <border>
      <left/>
      <right/>
      <top style="mediumDashDotDot">
        <color indexed="64"/>
      </top>
      <bottom/>
      <diagonal/>
    </border>
    <border>
      <left/>
      <right style="mediumDashDotDot">
        <color indexed="64"/>
      </right>
      <top style="mediumDashDotDot">
        <color indexed="64"/>
      </top>
      <bottom/>
      <diagonal/>
    </border>
    <border>
      <left/>
      <right/>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double">
        <color indexed="64"/>
      </left>
      <right/>
      <top style="double">
        <color indexed="64"/>
      </top>
      <bottom/>
      <diagonal/>
    </border>
    <border>
      <left/>
      <right style="double">
        <color indexed="64"/>
      </right>
      <top style="double">
        <color indexed="64"/>
      </top>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top style="thin">
        <color indexed="64"/>
      </top>
      <bottom style="thin">
        <color indexed="64"/>
      </bottom>
      <diagonal/>
    </border>
    <border>
      <left/>
      <right style="double">
        <color indexed="64"/>
      </right>
      <top style="double">
        <color indexed="64"/>
      </top>
      <bottom style="thin">
        <color indexed="64"/>
      </bottom>
      <diagonal/>
    </border>
    <border>
      <left/>
      <right style="double">
        <color indexed="64"/>
      </right>
      <top style="thin">
        <color indexed="64"/>
      </top>
      <bottom style="thin">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double">
        <color indexed="64"/>
      </right>
      <top style="thin">
        <color indexed="64"/>
      </top>
      <bottom style="double">
        <color indexed="64"/>
      </bottom>
      <diagonal/>
    </border>
    <border>
      <left style="double">
        <color indexed="64"/>
      </left>
      <right/>
      <top/>
      <bottom style="double">
        <color indexed="64"/>
      </bottom>
      <diagonal/>
    </border>
    <border>
      <left/>
      <right style="double">
        <color indexed="64"/>
      </right>
      <top/>
      <bottom style="double">
        <color indexed="64"/>
      </bottom>
      <diagonal/>
    </border>
    <border>
      <left/>
      <right/>
      <top style="thin">
        <color indexed="64"/>
      </top>
      <bottom style="double">
        <color indexed="64"/>
      </bottom>
      <diagonal/>
    </border>
  </borders>
  <cellStyleXfs count="1">
    <xf numFmtId="0" fontId="0" fillId="0" borderId="0"/>
  </cellStyleXfs>
  <cellXfs count="165">
    <xf numFmtId="0" fontId="0" fillId="0" borderId="0" xfId="0"/>
    <xf numFmtId="0" fontId="1" fillId="0" borderId="0" xfId="0" applyFont="1" applyAlignment="1">
      <alignment horizontal="left"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1" fillId="0" borderId="0" xfId="0" applyFont="1" applyAlignment="1">
      <alignment wrapText="1"/>
    </xf>
    <xf numFmtId="0" fontId="11" fillId="0" borderId="0" xfId="0" applyFont="1"/>
    <xf numFmtId="0" fontId="12" fillId="0" borderId="0" xfId="0" applyFont="1" applyAlignment="1">
      <alignment wrapText="1"/>
    </xf>
    <xf numFmtId="0" fontId="12" fillId="0" borderId="0" xfId="0" applyFont="1"/>
    <xf numFmtId="0" fontId="12" fillId="0" borderId="0" xfId="0" applyFont="1" applyAlignment="1">
      <alignment horizontal="left" indent="4"/>
    </xf>
    <xf numFmtId="0" fontId="12" fillId="0" borderId="0" xfId="0" applyFont="1" applyAlignment="1">
      <alignment horizontal="center" vertical="center"/>
    </xf>
    <xf numFmtId="0" fontId="12" fillId="0" borderId="5" xfId="0" applyFont="1" applyBorder="1" applyAlignment="1">
      <alignment horizontal="center" vertical="center"/>
    </xf>
    <xf numFmtId="0" fontId="12" fillId="0" borderId="6" xfId="0" applyFont="1" applyBorder="1" applyAlignment="1">
      <alignment horizontal="center" vertical="center"/>
    </xf>
    <xf numFmtId="0" fontId="2" fillId="0" borderId="7" xfId="0" applyFont="1" applyBorder="1" applyAlignment="1">
      <alignment vertical="center" wrapText="1"/>
    </xf>
    <xf numFmtId="0" fontId="2" fillId="0" borderId="8" xfId="0" applyFont="1" applyBorder="1" applyAlignment="1">
      <alignment vertical="center" wrapText="1"/>
    </xf>
    <xf numFmtId="0" fontId="12" fillId="0" borderId="0" xfId="0" applyFont="1" applyAlignment="1">
      <alignment horizontal="left" vertical="top" wrapText="1"/>
    </xf>
    <xf numFmtId="0" fontId="0" fillId="0" borderId="9" xfId="0" applyBorder="1"/>
    <xf numFmtId="0" fontId="12" fillId="0" borderId="10" xfId="0" applyFont="1" applyBorder="1"/>
    <xf numFmtId="0" fontId="0" fillId="0" borderId="1" xfId="0" applyBorder="1"/>
    <xf numFmtId="0" fontId="12" fillId="0" borderId="1" xfId="0" applyFont="1" applyBorder="1"/>
    <xf numFmtId="0" fontId="12" fillId="0" borderId="11" xfId="0" applyFont="1" applyBorder="1"/>
    <xf numFmtId="164" fontId="13" fillId="0" borderId="0" xfId="0" applyNumberFormat="1" applyFont="1" applyAlignment="1">
      <alignment horizontal="left" vertical="top" wrapText="1"/>
    </xf>
    <xf numFmtId="0" fontId="13" fillId="0" borderId="0" xfId="0" applyFont="1"/>
    <xf numFmtId="0" fontId="13" fillId="0" borderId="0" xfId="0" applyFont="1" applyAlignment="1">
      <alignment horizontal="center" vertical="top" wrapText="1"/>
    </xf>
    <xf numFmtId="0" fontId="13" fillId="0" borderId="0" xfId="0" applyFont="1" applyAlignment="1">
      <alignment horizontal="left" vertical="top" wrapText="1"/>
    </xf>
    <xf numFmtId="0" fontId="13" fillId="0" borderId="0" xfId="0" applyFont="1" applyAlignment="1">
      <alignment wrapText="1"/>
    </xf>
    <xf numFmtId="164" fontId="13" fillId="0" borderId="0" xfId="0" applyNumberFormat="1" applyFont="1"/>
    <xf numFmtId="2" fontId="13" fillId="0" borderId="0" xfId="0" applyNumberFormat="1" applyFont="1"/>
    <xf numFmtId="0" fontId="13" fillId="0" borderId="0" xfId="0" applyFont="1" applyAlignment="1">
      <alignment horizontal="center"/>
    </xf>
    <xf numFmtId="0" fontId="14" fillId="0" borderId="0" xfId="0" applyFont="1" applyAlignment="1">
      <alignment horizontal="center" vertical="top" wrapText="1"/>
    </xf>
    <xf numFmtId="0" fontId="14" fillId="2" borderId="0" xfId="0" applyFont="1" applyFill="1"/>
    <xf numFmtId="0" fontId="14" fillId="2" borderId="0" xfId="0" applyFont="1" applyFill="1" applyAlignment="1">
      <alignment horizontal="center" vertical="top" wrapText="1"/>
    </xf>
    <xf numFmtId="0" fontId="13" fillId="0" borderId="0" xfId="0" applyFont="1" applyAlignment="1">
      <alignment horizontal="right"/>
    </xf>
    <xf numFmtId="0" fontId="15" fillId="0" borderId="0" xfId="0" applyFont="1" applyAlignment="1">
      <alignment horizontal="right"/>
    </xf>
    <xf numFmtId="164" fontId="13" fillId="0" borderId="0" xfId="0" applyNumberFormat="1" applyFont="1" applyAlignment="1">
      <alignment horizontal="left"/>
    </xf>
    <xf numFmtId="0" fontId="12" fillId="0" borderId="0" xfId="0" applyFont="1" applyBorder="1" applyAlignment="1">
      <alignment horizontal="center" vertical="center"/>
    </xf>
    <xf numFmtId="0" fontId="16" fillId="0" borderId="9" xfId="0" applyFont="1" applyBorder="1" applyAlignment="1">
      <alignment horizontal="center"/>
    </xf>
    <xf numFmtId="0" fontId="16" fillId="0" borderId="9" xfId="0" applyFont="1" applyBorder="1" applyAlignment="1">
      <alignment horizontal="center"/>
    </xf>
    <xf numFmtId="0" fontId="11" fillId="0" borderId="9" xfId="0" applyFont="1" applyBorder="1"/>
    <xf numFmtId="0" fontId="12" fillId="0" borderId="9" xfId="0" applyFont="1" applyBorder="1" applyAlignment="1">
      <alignment horizontal="center"/>
    </xf>
    <xf numFmtId="0" fontId="17" fillId="0" borderId="9" xfId="0" applyFont="1" applyBorder="1" applyAlignment="1">
      <alignment horizontal="center"/>
    </xf>
    <xf numFmtId="0" fontId="5" fillId="0" borderId="0" xfId="0" applyFont="1" applyAlignment="1">
      <alignment wrapText="1"/>
    </xf>
    <xf numFmtId="0" fontId="6" fillId="0" borderId="0" xfId="0" applyFont="1" applyAlignment="1">
      <alignment horizontal="left" wrapText="1"/>
    </xf>
    <xf numFmtId="0" fontId="18" fillId="0" borderId="0" xfId="0" applyFont="1"/>
    <xf numFmtId="0" fontId="18" fillId="0" borderId="0" xfId="0" applyFont="1" applyAlignment="1">
      <alignment wrapText="1"/>
    </xf>
    <xf numFmtId="0" fontId="18" fillId="0" borderId="0" xfId="0" applyFont="1" applyAlignment="1">
      <alignment horizontal="center" vertical="center"/>
    </xf>
    <xf numFmtId="0" fontId="13" fillId="0" borderId="12" xfId="0" applyFont="1" applyBorder="1"/>
    <xf numFmtId="0" fontId="13" fillId="0" borderId="13" xfId="0" applyFont="1" applyBorder="1"/>
    <xf numFmtId="0" fontId="13" fillId="0" borderId="0" xfId="0" applyFont="1" applyBorder="1"/>
    <xf numFmtId="0" fontId="13" fillId="0" borderId="14" xfId="0" applyFont="1" applyBorder="1"/>
    <xf numFmtId="0" fontId="13" fillId="0" borderId="15" xfId="0" applyFont="1" applyBorder="1"/>
    <xf numFmtId="0" fontId="13" fillId="0" borderId="16" xfId="0" applyFont="1" applyBorder="1"/>
    <xf numFmtId="0" fontId="13" fillId="0" borderId="17" xfId="0" applyFont="1" applyBorder="1"/>
    <xf numFmtId="0" fontId="16" fillId="0" borderId="9" xfId="0" applyFont="1" applyFill="1" applyBorder="1" applyAlignment="1">
      <alignment horizontal="center"/>
    </xf>
    <xf numFmtId="0" fontId="13" fillId="0" borderId="0" xfId="0" applyFont="1" applyBorder="1" applyAlignment="1">
      <alignment horizontal="center"/>
    </xf>
    <xf numFmtId="0" fontId="13" fillId="0" borderId="18" xfId="0" applyFont="1" applyBorder="1"/>
    <xf numFmtId="0" fontId="13" fillId="0" borderId="19" xfId="0" applyFont="1" applyBorder="1"/>
    <xf numFmtId="0" fontId="19" fillId="0" borderId="13" xfId="0" applyFont="1" applyBorder="1" applyAlignment="1">
      <alignment horizontal="center"/>
    </xf>
    <xf numFmtId="0" fontId="19" fillId="0" borderId="0" xfId="0" applyFont="1" applyAlignment="1">
      <alignment horizontal="center"/>
    </xf>
    <xf numFmtId="0" fontId="19" fillId="0" borderId="14" xfId="0" applyFont="1" applyBorder="1" applyAlignment="1">
      <alignment horizontal="center"/>
    </xf>
    <xf numFmtId="0" fontId="19" fillId="0" borderId="0" xfId="0" applyFont="1" applyBorder="1" applyAlignment="1">
      <alignment horizontal="center"/>
    </xf>
    <xf numFmtId="0" fontId="20" fillId="0" borderId="0" xfId="0" applyFont="1" applyAlignment="1">
      <alignment horizontal="center"/>
    </xf>
    <xf numFmtId="0" fontId="20" fillId="0" borderId="0" xfId="0" applyFont="1" applyBorder="1" applyAlignment="1">
      <alignment horizontal="center"/>
    </xf>
    <xf numFmtId="0" fontId="20" fillId="0" borderId="13" xfId="0" applyFont="1" applyBorder="1" applyAlignment="1">
      <alignment horizontal="center"/>
    </xf>
    <xf numFmtId="0" fontId="20" fillId="0" borderId="0" xfId="0" applyFont="1" applyAlignment="1">
      <alignment horizontal="left"/>
    </xf>
    <xf numFmtId="0" fontId="20" fillId="0" borderId="0" xfId="0" applyFont="1"/>
    <xf numFmtId="0" fontId="20" fillId="0" borderId="0" xfId="0" applyFont="1" applyAlignment="1">
      <alignment horizontal="center" vertical="center"/>
    </xf>
    <xf numFmtId="0" fontId="11" fillId="2" borderId="0" xfId="0" applyFont="1" applyFill="1"/>
    <xf numFmtId="0" fontId="13" fillId="2" borderId="0" xfId="0" applyFont="1" applyFill="1"/>
    <xf numFmtId="0" fontId="16" fillId="0" borderId="9" xfId="0" applyFont="1" applyBorder="1" applyAlignment="1">
      <alignment horizontal="center"/>
    </xf>
    <xf numFmtId="0" fontId="12" fillId="0" borderId="9" xfId="0" applyFont="1" applyBorder="1" applyAlignment="1">
      <alignment horizontal="center"/>
    </xf>
    <xf numFmtId="0" fontId="17" fillId="0" borderId="9" xfId="0" applyFont="1" applyBorder="1" applyAlignment="1">
      <alignment horizontal="center"/>
    </xf>
    <xf numFmtId="165" fontId="13" fillId="0" borderId="0" xfId="0" applyNumberFormat="1" applyFont="1"/>
    <xf numFmtId="1" fontId="13" fillId="0" borderId="0" xfId="0" applyNumberFormat="1" applyFont="1"/>
    <xf numFmtId="0" fontId="12" fillId="0" borderId="0" xfId="0" applyFont="1" applyBorder="1" applyAlignment="1">
      <alignment horizontal="center"/>
    </xf>
    <xf numFmtId="0" fontId="12" fillId="0" borderId="0" xfId="0" applyFont="1" applyAlignment="1">
      <alignment horizontal="left" vertical="center"/>
    </xf>
    <xf numFmtId="0" fontId="12" fillId="0" borderId="0" xfId="0" applyFont="1" applyAlignment="1">
      <alignment horizontal="right" vertical="center"/>
    </xf>
    <xf numFmtId="0" fontId="12" fillId="2" borderId="0" xfId="0" applyFont="1" applyFill="1" applyAlignment="1">
      <alignment horizontal="center" vertical="center"/>
    </xf>
    <xf numFmtId="0" fontId="12" fillId="2" borderId="0" xfId="0" applyFont="1" applyFill="1" applyAlignment="1">
      <alignment horizontal="right" vertical="center"/>
    </xf>
    <xf numFmtId="0" fontId="12" fillId="2" borderId="0" xfId="0" applyFont="1" applyFill="1" applyAlignment="1">
      <alignment horizontal="right"/>
    </xf>
    <xf numFmtId="0" fontId="12" fillId="2" borderId="0" xfId="0" applyFont="1" applyFill="1" applyAlignment="1">
      <alignment horizontal="center"/>
    </xf>
    <xf numFmtId="165" fontId="14" fillId="2" borderId="0" xfId="0" applyNumberFormat="1" applyFont="1" applyFill="1" applyAlignment="1">
      <alignment horizontal="center"/>
    </xf>
    <xf numFmtId="0" fontId="0" fillId="0" borderId="9" xfId="0" applyBorder="1" applyAlignment="1">
      <alignment horizontal="center"/>
    </xf>
    <xf numFmtId="0" fontId="13" fillId="0" borderId="0" xfId="0" applyFont="1" applyFill="1"/>
    <xf numFmtId="165" fontId="13" fillId="0" borderId="0" xfId="0" applyNumberFormat="1" applyFont="1" applyFill="1"/>
    <xf numFmtId="0" fontId="14" fillId="0" borderId="0" xfId="0" applyFont="1" applyFill="1" applyAlignment="1">
      <alignment horizontal="center" vertical="top" wrapText="1"/>
    </xf>
    <xf numFmtId="0" fontId="26" fillId="0" borderId="9" xfId="0" applyFont="1" applyBorder="1" applyAlignment="1">
      <alignment horizontal="center" vertical="center"/>
    </xf>
    <xf numFmtId="0" fontId="0" fillId="0" borderId="9" xfId="0" applyFont="1" applyBorder="1" applyAlignment="1">
      <alignment horizontal="center" vertical="center"/>
    </xf>
    <xf numFmtId="0" fontId="0" fillId="0" borderId="9" xfId="0" applyBorder="1" applyAlignment="1">
      <alignment vertical="center"/>
    </xf>
    <xf numFmtId="0" fontId="0" fillId="0" borderId="9" xfId="0" applyBorder="1" applyAlignment="1">
      <alignment horizontal="center" vertical="center"/>
    </xf>
    <xf numFmtId="0" fontId="27" fillId="0" borderId="9" xfId="0" applyFont="1" applyBorder="1" applyAlignment="1">
      <alignment horizontal="center" vertical="center"/>
    </xf>
    <xf numFmtId="0" fontId="0" fillId="0" borderId="9" xfId="0" applyFill="1" applyBorder="1" applyAlignment="1">
      <alignment horizontal="center" vertical="center" wrapText="1"/>
    </xf>
    <xf numFmtId="0" fontId="0" fillId="0" borderId="9" xfId="0" applyBorder="1" applyAlignment="1">
      <alignment horizontal="center" vertical="center" wrapText="1"/>
    </xf>
    <xf numFmtId="0" fontId="0" fillId="0" borderId="9" xfId="0" applyFill="1" applyBorder="1" applyAlignment="1">
      <alignment horizontal="center"/>
    </xf>
    <xf numFmtId="0" fontId="10" fillId="0" borderId="9" xfId="0" applyFont="1" applyBorder="1" applyAlignment="1">
      <alignment horizontal="center"/>
    </xf>
    <xf numFmtId="0" fontId="0" fillId="2" borderId="9" xfId="0" applyFill="1" applyBorder="1" applyAlignment="1">
      <alignment horizontal="center"/>
    </xf>
    <xf numFmtId="0" fontId="25" fillId="0" borderId="9" xfId="0" applyFont="1" applyBorder="1" applyAlignment="1">
      <alignment horizontal="center" vertical="center"/>
    </xf>
    <xf numFmtId="0" fontId="0" fillId="0" borderId="20" xfId="0" applyBorder="1" applyAlignment="1"/>
    <xf numFmtId="0" fontId="11" fillId="0" borderId="0" xfId="0" applyFont="1" applyAlignment="1">
      <alignment wrapText="1"/>
    </xf>
    <xf numFmtId="0" fontId="11" fillId="0" borderId="0" xfId="0" applyFont="1" applyAlignment="1">
      <alignment horizontal="left" wrapText="1"/>
    </xf>
    <xf numFmtId="0" fontId="0" fillId="0" borderId="9" xfId="0" applyFont="1" applyBorder="1" applyAlignment="1">
      <alignment horizontal="center" vertical="center"/>
    </xf>
    <xf numFmtId="0" fontId="0" fillId="0" borderId="20" xfId="0" applyFont="1" applyBorder="1" applyAlignment="1">
      <alignment horizontal="center" vertical="center"/>
    </xf>
    <xf numFmtId="0" fontId="0" fillId="0" borderId="21" xfId="0" applyFont="1" applyBorder="1" applyAlignment="1">
      <alignment horizontal="center" vertical="center"/>
    </xf>
    <xf numFmtId="0" fontId="16" fillId="0" borderId="20" xfId="0" applyFont="1" applyBorder="1" applyAlignment="1">
      <alignment horizontal="center"/>
    </xf>
    <xf numFmtId="0" fontId="16" fillId="0" borderId="21" xfId="0" applyFont="1" applyBorder="1" applyAlignment="1">
      <alignment horizontal="center"/>
    </xf>
    <xf numFmtId="0" fontId="17" fillId="0" borderId="20" xfId="0" applyFont="1" applyBorder="1" applyAlignment="1">
      <alignment horizontal="center"/>
    </xf>
    <xf numFmtId="0" fontId="17" fillId="0" borderId="21" xfId="0" applyFont="1" applyBorder="1" applyAlignment="1">
      <alignment horizontal="center"/>
    </xf>
    <xf numFmtId="0" fontId="12" fillId="0" borderId="20" xfId="0" applyFont="1" applyBorder="1" applyAlignment="1">
      <alignment horizontal="center"/>
    </xf>
    <xf numFmtId="0" fontId="12" fillId="0" borderId="21" xfId="0" applyFont="1" applyBorder="1" applyAlignment="1">
      <alignment horizontal="center"/>
    </xf>
    <xf numFmtId="1" fontId="16" fillId="0" borderId="20" xfId="0" applyNumberFormat="1" applyFont="1" applyBorder="1" applyAlignment="1">
      <alignment horizontal="center"/>
    </xf>
    <xf numFmtId="1" fontId="16" fillId="0" borderId="21" xfId="0" applyNumberFormat="1" applyFont="1" applyBorder="1" applyAlignment="1">
      <alignment horizontal="center"/>
    </xf>
    <xf numFmtId="0" fontId="0" fillId="0" borderId="9" xfId="0" applyBorder="1" applyAlignment="1">
      <alignment horizontal="center"/>
    </xf>
    <xf numFmtId="0" fontId="0" fillId="0" borderId="9" xfId="0" quotePrefix="1" applyBorder="1" applyAlignment="1">
      <alignment horizontal="center"/>
    </xf>
    <xf numFmtId="0" fontId="5" fillId="0" borderId="0" xfId="0" applyFont="1" applyAlignment="1">
      <alignment horizontal="center" wrapText="1"/>
    </xf>
    <xf numFmtId="0" fontId="5" fillId="0" borderId="0" xfId="0" applyFont="1" applyAlignment="1">
      <alignment horizontal="left" wrapText="1"/>
    </xf>
    <xf numFmtId="0" fontId="12" fillId="0" borderId="22" xfId="0" applyFont="1" applyBorder="1" applyAlignment="1">
      <alignment horizontal="center" vertical="center"/>
    </xf>
    <xf numFmtId="0" fontId="12" fillId="0" borderId="23" xfId="0" applyFont="1" applyBorder="1" applyAlignment="1">
      <alignment horizontal="center" vertical="center"/>
    </xf>
    <xf numFmtId="0" fontId="2" fillId="0" borderId="41" xfId="0" applyFont="1" applyBorder="1" applyAlignment="1">
      <alignment horizontal="left" vertical="center"/>
    </xf>
    <xf numFmtId="0" fontId="2" fillId="0" borderId="42" xfId="0" applyFont="1" applyBorder="1" applyAlignment="1">
      <alignment horizontal="left" vertical="center"/>
    </xf>
    <xf numFmtId="0" fontId="2" fillId="0" borderId="24" xfId="0" applyFont="1" applyBorder="1" applyAlignment="1">
      <alignment horizontal="center" vertical="center"/>
    </xf>
    <xf numFmtId="0" fontId="2" fillId="0" borderId="25" xfId="0" applyFont="1" applyBorder="1" applyAlignment="1">
      <alignment horizontal="center" vertical="center"/>
    </xf>
    <xf numFmtId="0" fontId="12" fillId="0" borderId="26" xfId="0" applyFont="1" applyBorder="1" applyAlignment="1">
      <alignment horizontal="left" vertical="top" wrapText="1"/>
    </xf>
    <xf numFmtId="0" fontId="12" fillId="0" borderId="9" xfId="0" applyFont="1" applyBorder="1" applyAlignment="1">
      <alignment horizontal="left" vertical="top" wrapText="1"/>
    </xf>
    <xf numFmtId="0" fontId="12" fillId="0" borderId="27" xfId="0" applyFont="1" applyBorder="1" applyAlignment="1">
      <alignment horizontal="left" vertical="top" wrapText="1"/>
    </xf>
    <xf numFmtId="0" fontId="12" fillId="0" borderId="3" xfId="0" applyFont="1" applyBorder="1" applyAlignment="1">
      <alignment horizontal="left" vertical="top" wrapText="1"/>
    </xf>
    <xf numFmtId="0" fontId="12" fillId="0" borderId="9" xfId="0" applyFont="1" applyBorder="1" applyAlignment="1">
      <alignment horizontal="center"/>
    </xf>
    <xf numFmtId="0" fontId="12" fillId="0" borderId="28" xfId="0" applyFont="1" applyBorder="1" applyAlignment="1">
      <alignment horizontal="center"/>
    </xf>
    <xf numFmtId="0" fontId="12" fillId="0" borderId="29" xfId="0" applyFont="1" applyBorder="1" applyAlignment="1">
      <alignment horizontal="center"/>
    </xf>
    <xf numFmtId="0" fontId="12" fillId="0" borderId="30" xfId="0" applyFont="1" applyBorder="1" applyAlignment="1">
      <alignment horizontal="center"/>
    </xf>
    <xf numFmtId="0" fontId="12" fillId="0" borderId="9" xfId="0" applyFont="1" applyBorder="1" applyAlignment="1">
      <alignment horizontal="center" vertical="top" wrapText="1"/>
    </xf>
    <xf numFmtId="0" fontId="12" fillId="0" borderId="31" xfId="0" applyFont="1" applyBorder="1" applyAlignment="1">
      <alignment horizontal="center" vertical="top" wrapText="1"/>
    </xf>
    <xf numFmtId="0" fontId="12" fillId="0" borderId="3" xfId="0" applyFont="1" applyBorder="1" applyAlignment="1">
      <alignment horizontal="center" vertical="top" wrapText="1"/>
    </xf>
    <xf numFmtId="0" fontId="12" fillId="0" borderId="4" xfId="0" applyFont="1" applyBorder="1" applyAlignment="1">
      <alignment horizontal="center" vertical="top" wrapText="1"/>
    </xf>
    <xf numFmtId="0" fontId="12" fillId="0" borderId="32" xfId="0" applyFont="1" applyBorder="1" applyAlignment="1">
      <alignment horizontal="center" vertical="top" wrapText="1"/>
    </xf>
    <xf numFmtId="0" fontId="12" fillId="0" borderId="33" xfId="0" applyFont="1" applyBorder="1" applyAlignment="1">
      <alignment horizontal="center" vertical="top" wrapText="1"/>
    </xf>
    <xf numFmtId="0" fontId="12" fillId="0" borderId="34" xfId="0" applyFont="1" applyBorder="1" applyAlignment="1">
      <alignment horizontal="center" vertical="top" wrapText="1"/>
    </xf>
    <xf numFmtId="0" fontId="12" fillId="0" borderId="35" xfId="0" applyFont="1" applyBorder="1" applyAlignment="1">
      <alignment horizontal="center" vertical="top" wrapText="1"/>
    </xf>
    <xf numFmtId="0" fontId="12" fillId="0" borderId="21" xfId="0" applyFont="1" applyBorder="1" applyAlignment="1">
      <alignment horizontal="center" vertical="top" wrapText="1"/>
    </xf>
    <xf numFmtId="0" fontId="12" fillId="0" borderId="20" xfId="0" applyFont="1" applyBorder="1" applyAlignment="1">
      <alignment horizontal="center" vertical="top" wrapText="1"/>
    </xf>
    <xf numFmtId="0" fontId="12" fillId="0" borderId="11" xfId="0" applyFont="1" applyBorder="1" applyAlignment="1">
      <alignment horizontal="center" vertical="top" wrapText="1"/>
    </xf>
    <xf numFmtId="0" fontId="12" fillId="0" borderId="36" xfId="0" applyFont="1" applyBorder="1" applyAlignment="1">
      <alignment horizontal="center" vertical="top" wrapText="1"/>
    </xf>
    <xf numFmtId="0" fontId="12" fillId="0" borderId="37" xfId="0" applyFont="1" applyBorder="1" applyAlignment="1">
      <alignment horizontal="center" vertical="top" wrapText="1"/>
    </xf>
    <xf numFmtId="0" fontId="12" fillId="0" borderId="8" xfId="0" applyFont="1" applyBorder="1" applyAlignment="1">
      <alignment horizontal="center" vertical="top" wrapText="1"/>
    </xf>
    <xf numFmtId="0" fontId="12" fillId="0" borderId="38" xfId="0" applyFont="1" applyBorder="1" applyAlignment="1">
      <alignment horizontal="center" vertical="top" wrapText="1"/>
    </xf>
    <xf numFmtId="0" fontId="12" fillId="0" borderId="39" xfId="0" applyFont="1" applyBorder="1" applyAlignment="1">
      <alignment horizontal="center" vertical="top" wrapText="1"/>
    </xf>
    <xf numFmtId="0" fontId="12" fillId="0" borderId="40" xfId="0" applyFont="1" applyBorder="1" applyAlignment="1">
      <alignment horizontal="center" vertical="top" wrapText="1"/>
    </xf>
    <xf numFmtId="0" fontId="12" fillId="0" borderId="0" xfId="0" applyFont="1" applyAlignment="1">
      <alignment horizontal="left" vertical="top" wrapText="1"/>
    </xf>
    <xf numFmtId="0" fontId="12" fillId="0" borderId="0" xfId="0" applyFont="1" applyAlignment="1">
      <alignment horizontal="left" wrapText="1"/>
    </xf>
    <xf numFmtId="0" fontId="2" fillId="0" borderId="39" xfId="0" applyFont="1" applyBorder="1" applyAlignment="1">
      <alignment horizontal="center" vertical="center" wrapText="1"/>
    </xf>
    <xf numFmtId="0" fontId="2" fillId="0" borderId="38" xfId="0" applyFont="1" applyBorder="1" applyAlignment="1">
      <alignment horizontal="center" vertical="center" wrapText="1"/>
    </xf>
    <xf numFmtId="0" fontId="2" fillId="0" borderId="43" xfId="0" applyFont="1" applyBorder="1" applyAlignment="1">
      <alignment horizontal="center" vertical="center" wrapText="1"/>
    </xf>
    <xf numFmtId="0" fontId="12" fillId="0" borderId="10" xfId="0" applyFont="1" applyBorder="1" applyAlignment="1">
      <alignment horizontal="center" vertical="top" wrapText="1"/>
    </xf>
    <xf numFmtId="0" fontId="12" fillId="0" borderId="1" xfId="0" applyFont="1" applyBorder="1" applyAlignment="1">
      <alignment horizontal="center" vertical="top" wrapText="1"/>
    </xf>
    <xf numFmtId="0" fontId="12" fillId="0" borderId="2" xfId="0" applyFont="1" applyBorder="1" applyAlignment="1">
      <alignment horizontal="center" vertical="top" wrapText="1"/>
    </xf>
    <xf numFmtId="1" fontId="23" fillId="0" borderId="28" xfId="0" applyNumberFormat="1" applyFont="1" applyBorder="1" applyAlignment="1">
      <alignment horizontal="center"/>
    </xf>
    <xf numFmtId="0" fontId="23" fillId="0" borderId="28" xfId="0" applyFont="1" applyBorder="1" applyAlignment="1">
      <alignment horizontal="center"/>
    </xf>
    <xf numFmtId="0" fontId="16" fillId="0" borderId="9" xfId="0" applyFont="1" applyBorder="1" applyAlignment="1">
      <alignment horizontal="center"/>
    </xf>
    <xf numFmtId="0" fontId="21" fillId="0" borderId="9" xfId="0" applyFont="1" applyBorder="1" applyAlignment="1">
      <alignment horizontal="center"/>
    </xf>
    <xf numFmtId="0" fontId="22" fillId="0" borderId="9" xfId="0" applyFont="1" applyBorder="1" applyAlignment="1">
      <alignment horizontal="center"/>
    </xf>
    <xf numFmtId="1" fontId="16" fillId="0" borderId="9" xfId="0" applyNumberFormat="1" applyFont="1" applyBorder="1" applyAlignment="1">
      <alignment horizontal="center"/>
    </xf>
    <xf numFmtId="0" fontId="24" fillId="0" borderId="9" xfId="0" applyFont="1" applyBorder="1" applyAlignment="1">
      <alignment horizontal="center"/>
    </xf>
    <xf numFmtId="0" fontId="12" fillId="0" borderId="22" xfId="0" applyFont="1" applyFill="1" applyBorder="1" applyAlignment="1">
      <alignment horizontal="center" vertical="center"/>
    </xf>
    <xf numFmtId="0" fontId="12" fillId="0" borderId="23" xfId="0" applyFont="1" applyFill="1" applyBorder="1" applyAlignment="1">
      <alignment horizontal="center" vertical="center"/>
    </xf>
    <xf numFmtId="0" fontId="13" fillId="0" borderId="0" xfId="0" applyFont="1" applyAlignment="1">
      <alignment horizontal="center" vertical="top" wrapText="1"/>
    </xf>
  </cellXfs>
  <cellStyles count="1">
    <cellStyle name="Normal" xfId="0" builtinId="0"/>
  </cellStyles>
  <dxfs count="3">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438150</xdr:colOff>
      <xdr:row>35</xdr:row>
      <xdr:rowOff>38100</xdr:rowOff>
    </xdr:from>
    <xdr:to>
      <xdr:col>4</xdr:col>
      <xdr:colOff>0</xdr:colOff>
      <xdr:row>39</xdr:row>
      <xdr:rowOff>19050</xdr:rowOff>
    </xdr:to>
    <xdr:cxnSp macro="">
      <xdr:nvCxnSpPr>
        <xdr:cNvPr id="2904" name="Straight Arrow Connector 2"/>
        <xdr:cNvCxnSpPr>
          <a:cxnSpLocks noChangeShapeType="1"/>
        </xdr:cNvCxnSpPr>
      </xdr:nvCxnSpPr>
      <xdr:spPr bwMode="auto">
        <a:xfrm rot="5400000" flipH="1" flipV="1">
          <a:off x="1338263" y="7015162"/>
          <a:ext cx="0" cy="904875"/>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2</xdr:col>
      <xdr:colOff>0</xdr:colOff>
      <xdr:row>39</xdr:row>
      <xdr:rowOff>38100</xdr:rowOff>
    </xdr:from>
    <xdr:to>
      <xdr:col>4</xdr:col>
      <xdr:colOff>0</xdr:colOff>
      <xdr:row>43</xdr:row>
      <xdr:rowOff>38100</xdr:rowOff>
    </xdr:to>
    <xdr:cxnSp macro="">
      <xdr:nvCxnSpPr>
        <xdr:cNvPr id="2905" name="Straight Arrow Connector 4"/>
        <xdr:cNvCxnSpPr>
          <a:cxnSpLocks noChangeShapeType="1"/>
        </xdr:cNvCxnSpPr>
      </xdr:nvCxnSpPr>
      <xdr:spPr bwMode="auto">
        <a:xfrm rot="16200000" flipH="1">
          <a:off x="1343025" y="7019925"/>
          <a:ext cx="0" cy="89535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5</xdr:col>
      <xdr:colOff>0</xdr:colOff>
      <xdr:row>36</xdr:row>
      <xdr:rowOff>9525</xdr:rowOff>
    </xdr:from>
    <xdr:to>
      <xdr:col>5</xdr:col>
      <xdr:colOff>9525</xdr:colOff>
      <xdr:row>42</xdr:row>
      <xdr:rowOff>0</xdr:rowOff>
    </xdr:to>
    <xdr:cxnSp macro="">
      <xdr:nvCxnSpPr>
        <xdr:cNvPr id="2906" name="Straight Arrow Connector 6"/>
        <xdr:cNvCxnSpPr>
          <a:cxnSpLocks noChangeShapeType="1"/>
        </xdr:cNvCxnSpPr>
      </xdr:nvCxnSpPr>
      <xdr:spPr bwMode="auto">
        <a:xfrm rot="5400000">
          <a:off x="2243138" y="7462837"/>
          <a:ext cx="0" cy="9525"/>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5</xdr:col>
      <xdr:colOff>438150</xdr:colOff>
      <xdr:row>43</xdr:row>
      <xdr:rowOff>9525</xdr:rowOff>
    </xdr:from>
    <xdr:to>
      <xdr:col>8</xdr:col>
      <xdr:colOff>0</xdr:colOff>
      <xdr:row>43</xdr:row>
      <xdr:rowOff>9525</xdr:rowOff>
    </xdr:to>
    <xdr:cxnSp macro="">
      <xdr:nvCxnSpPr>
        <xdr:cNvPr id="2907" name="Straight Arrow Connector 12"/>
        <xdr:cNvCxnSpPr>
          <a:cxnSpLocks noChangeShapeType="1"/>
        </xdr:cNvCxnSpPr>
      </xdr:nvCxnSpPr>
      <xdr:spPr bwMode="auto">
        <a:xfrm>
          <a:off x="2676525" y="7467600"/>
          <a:ext cx="904875" cy="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6</xdr:col>
      <xdr:colOff>0</xdr:colOff>
      <xdr:row>35</xdr:row>
      <xdr:rowOff>0</xdr:rowOff>
    </xdr:from>
    <xdr:to>
      <xdr:col>8</xdr:col>
      <xdr:colOff>0</xdr:colOff>
      <xdr:row>35</xdr:row>
      <xdr:rowOff>0</xdr:rowOff>
    </xdr:to>
    <xdr:cxnSp macro="">
      <xdr:nvCxnSpPr>
        <xdr:cNvPr id="2908" name="Straight Arrow Connector 14"/>
        <xdr:cNvCxnSpPr>
          <a:cxnSpLocks noChangeShapeType="1"/>
        </xdr:cNvCxnSpPr>
      </xdr:nvCxnSpPr>
      <xdr:spPr bwMode="auto">
        <a:xfrm>
          <a:off x="2686050" y="7467600"/>
          <a:ext cx="895350" cy="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13</xdr:col>
      <xdr:colOff>419100</xdr:colOff>
      <xdr:row>39</xdr:row>
      <xdr:rowOff>57150</xdr:rowOff>
    </xdr:from>
    <xdr:to>
      <xdr:col>15</xdr:col>
      <xdr:colOff>428625</xdr:colOff>
      <xdr:row>43</xdr:row>
      <xdr:rowOff>0</xdr:rowOff>
    </xdr:to>
    <xdr:cxnSp macro="">
      <xdr:nvCxnSpPr>
        <xdr:cNvPr id="2909" name="Straight Arrow Connector 23"/>
        <xdr:cNvCxnSpPr>
          <a:cxnSpLocks noChangeShapeType="1"/>
        </xdr:cNvCxnSpPr>
      </xdr:nvCxnSpPr>
      <xdr:spPr bwMode="auto">
        <a:xfrm rot="5400000" flipH="1" flipV="1">
          <a:off x="6691313" y="7015162"/>
          <a:ext cx="0" cy="904875"/>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5</xdr:col>
      <xdr:colOff>419100</xdr:colOff>
      <xdr:row>35</xdr:row>
      <xdr:rowOff>95250</xdr:rowOff>
    </xdr:from>
    <xdr:to>
      <xdr:col>7</xdr:col>
      <xdr:colOff>428625</xdr:colOff>
      <xdr:row>43</xdr:row>
      <xdr:rowOff>9525</xdr:rowOff>
    </xdr:to>
    <xdr:cxnSp macro="">
      <xdr:nvCxnSpPr>
        <xdr:cNvPr id="2910" name="Straight Arrow Connector 41"/>
        <xdr:cNvCxnSpPr>
          <a:cxnSpLocks noChangeShapeType="1"/>
        </xdr:cNvCxnSpPr>
      </xdr:nvCxnSpPr>
      <xdr:spPr bwMode="auto">
        <a:xfrm rot="5400000" flipH="1" flipV="1">
          <a:off x="3109913" y="7015162"/>
          <a:ext cx="0" cy="904875"/>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9</xdr:col>
      <xdr:colOff>438150</xdr:colOff>
      <xdr:row>35</xdr:row>
      <xdr:rowOff>9525</xdr:rowOff>
    </xdr:from>
    <xdr:to>
      <xdr:col>11</xdr:col>
      <xdr:colOff>438150</xdr:colOff>
      <xdr:row>35</xdr:row>
      <xdr:rowOff>9525</xdr:rowOff>
    </xdr:to>
    <xdr:cxnSp macro="">
      <xdr:nvCxnSpPr>
        <xdr:cNvPr id="2911" name="Straight Arrow Connector 14"/>
        <xdr:cNvCxnSpPr>
          <a:cxnSpLocks noChangeShapeType="1"/>
        </xdr:cNvCxnSpPr>
      </xdr:nvCxnSpPr>
      <xdr:spPr bwMode="auto">
        <a:xfrm>
          <a:off x="4467225" y="7467600"/>
          <a:ext cx="895350" cy="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10</xdr:col>
      <xdr:colOff>9525</xdr:colOff>
      <xdr:row>35</xdr:row>
      <xdr:rowOff>28575</xdr:rowOff>
    </xdr:from>
    <xdr:to>
      <xdr:col>11</xdr:col>
      <xdr:colOff>409575</xdr:colOff>
      <xdr:row>38</xdr:row>
      <xdr:rowOff>238125</xdr:rowOff>
    </xdr:to>
    <xdr:cxnSp macro="">
      <xdr:nvCxnSpPr>
        <xdr:cNvPr id="2912" name="Straight Arrow Connector 14"/>
        <xdr:cNvCxnSpPr>
          <a:cxnSpLocks noChangeShapeType="1"/>
        </xdr:cNvCxnSpPr>
      </xdr:nvCxnSpPr>
      <xdr:spPr bwMode="auto">
        <a:xfrm rot="16200000" flipH="1">
          <a:off x="4910138" y="7043737"/>
          <a:ext cx="0" cy="847725"/>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10</xdr:col>
      <xdr:colOff>28575</xdr:colOff>
      <xdr:row>43</xdr:row>
      <xdr:rowOff>9525</xdr:rowOff>
    </xdr:from>
    <xdr:to>
      <xdr:col>12</xdr:col>
      <xdr:colOff>28575</xdr:colOff>
      <xdr:row>43</xdr:row>
      <xdr:rowOff>9525</xdr:rowOff>
    </xdr:to>
    <xdr:cxnSp macro="">
      <xdr:nvCxnSpPr>
        <xdr:cNvPr id="2913" name="Straight Arrow Connector 14"/>
        <xdr:cNvCxnSpPr>
          <a:cxnSpLocks noChangeShapeType="1"/>
        </xdr:cNvCxnSpPr>
      </xdr:nvCxnSpPr>
      <xdr:spPr bwMode="auto">
        <a:xfrm>
          <a:off x="4505325" y="7467600"/>
          <a:ext cx="895350" cy="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14</xdr:col>
      <xdr:colOff>0</xdr:colOff>
      <xdr:row>39</xdr:row>
      <xdr:rowOff>0</xdr:rowOff>
    </xdr:from>
    <xdr:to>
      <xdr:col>16</xdr:col>
      <xdr:colOff>0</xdr:colOff>
      <xdr:row>39</xdr:row>
      <xdr:rowOff>0</xdr:rowOff>
    </xdr:to>
    <xdr:cxnSp macro="">
      <xdr:nvCxnSpPr>
        <xdr:cNvPr id="2914" name="Straight Arrow Connector 14"/>
        <xdr:cNvCxnSpPr>
          <a:cxnSpLocks noChangeShapeType="1"/>
        </xdr:cNvCxnSpPr>
      </xdr:nvCxnSpPr>
      <xdr:spPr bwMode="auto">
        <a:xfrm>
          <a:off x="6267450" y="7467600"/>
          <a:ext cx="895350" cy="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10</xdr:col>
      <xdr:colOff>9525</xdr:colOff>
      <xdr:row>39</xdr:row>
      <xdr:rowOff>47625</xdr:rowOff>
    </xdr:from>
    <xdr:to>
      <xdr:col>11</xdr:col>
      <xdr:colOff>419100</xdr:colOff>
      <xdr:row>42</xdr:row>
      <xdr:rowOff>257175</xdr:rowOff>
    </xdr:to>
    <xdr:cxnSp macro="">
      <xdr:nvCxnSpPr>
        <xdr:cNvPr id="2915" name="Straight Arrow Connector 14"/>
        <xdr:cNvCxnSpPr>
          <a:cxnSpLocks noChangeShapeType="1"/>
        </xdr:cNvCxnSpPr>
      </xdr:nvCxnSpPr>
      <xdr:spPr bwMode="auto">
        <a:xfrm rot="5400000" flipH="1" flipV="1">
          <a:off x="4914900" y="7038975"/>
          <a:ext cx="0" cy="85725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13</xdr:col>
      <xdr:colOff>438150</xdr:colOff>
      <xdr:row>35</xdr:row>
      <xdr:rowOff>28575</xdr:rowOff>
    </xdr:from>
    <xdr:to>
      <xdr:col>15</xdr:col>
      <xdr:colOff>438150</xdr:colOff>
      <xdr:row>38</xdr:row>
      <xdr:rowOff>200025</xdr:rowOff>
    </xdr:to>
    <xdr:cxnSp macro="">
      <xdr:nvCxnSpPr>
        <xdr:cNvPr id="2916" name="Straight Arrow Connector 14"/>
        <xdr:cNvCxnSpPr>
          <a:cxnSpLocks noChangeShapeType="1"/>
        </xdr:cNvCxnSpPr>
      </xdr:nvCxnSpPr>
      <xdr:spPr bwMode="auto">
        <a:xfrm rot="16200000" flipH="1">
          <a:off x="6705600" y="7019925"/>
          <a:ext cx="0" cy="89535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9525</xdr:colOff>
      <xdr:row>17</xdr:row>
      <xdr:rowOff>38100</xdr:rowOff>
    </xdr:from>
    <xdr:to>
      <xdr:col>6</xdr:col>
      <xdr:colOff>0</xdr:colOff>
      <xdr:row>20</xdr:row>
      <xdr:rowOff>238125</xdr:rowOff>
    </xdr:to>
    <xdr:cxnSp macro="">
      <xdr:nvCxnSpPr>
        <xdr:cNvPr id="9438" name="Straight Arrow Connector 2"/>
        <xdr:cNvCxnSpPr>
          <a:cxnSpLocks noChangeShapeType="1"/>
        </xdr:cNvCxnSpPr>
      </xdr:nvCxnSpPr>
      <xdr:spPr bwMode="auto">
        <a:xfrm flipV="1">
          <a:off x="1628775" y="4152900"/>
          <a:ext cx="1152525" cy="1019175"/>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4</xdr:col>
      <xdr:colOff>0</xdr:colOff>
      <xdr:row>21</xdr:row>
      <xdr:rowOff>38100</xdr:rowOff>
    </xdr:from>
    <xdr:to>
      <xdr:col>6</xdr:col>
      <xdr:colOff>0</xdr:colOff>
      <xdr:row>25</xdr:row>
      <xdr:rowOff>38100</xdr:rowOff>
    </xdr:to>
    <xdr:cxnSp macro="">
      <xdr:nvCxnSpPr>
        <xdr:cNvPr id="9439" name="Straight Arrow Connector 4"/>
        <xdr:cNvCxnSpPr>
          <a:cxnSpLocks noChangeShapeType="1"/>
        </xdr:cNvCxnSpPr>
      </xdr:nvCxnSpPr>
      <xdr:spPr bwMode="auto">
        <a:xfrm rot="16200000" flipH="1">
          <a:off x="1657350" y="5200650"/>
          <a:ext cx="1085850" cy="116205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7</xdr:col>
      <xdr:colOff>0</xdr:colOff>
      <xdr:row>18</xdr:row>
      <xdr:rowOff>9525</xdr:rowOff>
    </xdr:from>
    <xdr:to>
      <xdr:col>7</xdr:col>
      <xdr:colOff>9525</xdr:colOff>
      <xdr:row>24</xdr:row>
      <xdr:rowOff>0</xdr:rowOff>
    </xdr:to>
    <xdr:cxnSp macro="">
      <xdr:nvCxnSpPr>
        <xdr:cNvPr id="9440" name="Straight Arrow Connector 6"/>
        <xdr:cNvCxnSpPr>
          <a:cxnSpLocks noChangeShapeType="1"/>
        </xdr:cNvCxnSpPr>
      </xdr:nvCxnSpPr>
      <xdr:spPr bwMode="auto">
        <a:xfrm rot="5400000">
          <a:off x="2557463" y="5205412"/>
          <a:ext cx="1619250" cy="9525"/>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8</xdr:col>
      <xdr:colOff>38100</xdr:colOff>
      <xdr:row>25</xdr:row>
      <xdr:rowOff>0</xdr:rowOff>
    </xdr:from>
    <xdr:to>
      <xdr:col>10</xdr:col>
      <xdr:colOff>0</xdr:colOff>
      <xdr:row>25</xdr:row>
      <xdr:rowOff>9525</xdr:rowOff>
    </xdr:to>
    <xdr:cxnSp macro="">
      <xdr:nvCxnSpPr>
        <xdr:cNvPr id="9441" name="Straight Arrow Connector 12"/>
        <xdr:cNvCxnSpPr>
          <a:cxnSpLocks noChangeShapeType="1"/>
        </xdr:cNvCxnSpPr>
      </xdr:nvCxnSpPr>
      <xdr:spPr bwMode="auto">
        <a:xfrm>
          <a:off x="3981450" y="6286500"/>
          <a:ext cx="1123950" cy="9525"/>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8</xdr:col>
      <xdr:colOff>0</xdr:colOff>
      <xdr:row>17</xdr:row>
      <xdr:rowOff>0</xdr:rowOff>
    </xdr:from>
    <xdr:to>
      <xdr:col>10</xdr:col>
      <xdr:colOff>0</xdr:colOff>
      <xdr:row>17</xdr:row>
      <xdr:rowOff>0</xdr:rowOff>
    </xdr:to>
    <xdr:cxnSp macro="">
      <xdr:nvCxnSpPr>
        <xdr:cNvPr id="9442" name="Straight Arrow Connector 14"/>
        <xdr:cNvCxnSpPr>
          <a:cxnSpLocks noChangeShapeType="1"/>
        </xdr:cNvCxnSpPr>
      </xdr:nvCxnSpPr>
      <xdr:spPr bwMode="auto">
        <a:xfrm>
          <a:off x="3943350" y="4114800"/>
          <a:ext cx="1162050" cy="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15</xdr:col>
      <xdr:colOff>419100</xdr:colOff>
      <xdr:row>21</xdr:row>
      <xdr:rowOff>238125</xdr:rowOff>
    </xdr:from>
    <xdr:to>
      <xdr:col>17</xdr:col>
      <xdr:colOff>533400</xdr:colOff>
      <xdr:row>25</xdr:row>
      <xdr:rowOff>0</xdr:rowOff>
    </xdr:to>
    <xdr:cxnSp macro="">
      <xdr:nvCxnSpPr>
        <xdr:cNvPr id="9443" name="Straight Arrow Connector 23"/>
        <xdr:cNvCxnSpPr>
          <a:cxnSpLocks noChangeShapeType="1"/>
        </xdr:cNvCxnSpPr>
      </xdr:nvCxnSpPr>
      <xdr:spPr bwMode="auto">
        <a:xfrm flipV="1">
          <a:off x="8629650" y="5438775"/>
          <a:ext cx="1276350" cy="847725"/>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7</xdr:col>
      <xdr:colOff>581025</xdr:colOff>
      <xdr:row>17</xdr:row>
      <xdr:rowOff>95250</xdr:rowOff>
    </xdr:from>
    <xdr:to>
      <xdr:col>10</xdr:col>
      <xdr:colOff>9525</xdr:colOff>
      <xdr:row>25</xdr:row>
      <xdr:rowOff>9525</xdr:rowOff>
    </xdr:to>
    <xdr:cxnSp macro="">
      <xdr:nvCxnSpPr>
        <xdr:cNvPr id="9444" name="Straight Arrow Connector 41"/>
        <xdr:cNvCxnSpPr>
          <a:cxnSpLocks noChangeShapeType="1"/>
        </xdr:cNvCxnSpPr>
      </xdr:nvCxnSpPr>
      <xdr:spPr bwMode="auto">
        <a:xfrm rot="5400000" flipH="1" flipV="1">
          <a:off x="3486150" y="4667250"/>
          <a:ext cx="2085975" cy="1171575"/>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11</xdr:col>
      <xdr:colOff>561975</xdr:colOff>
      <xdr:row>17</xdr:row>
      <xdr:rowOff>9525</xdr:rowOff>
    </xdr:from>
    <xdr:to>
      <xdr:col>13</xdr:col>
      <xdr:colOff>561975</xdr:colOff>
      <xdr:row>17</xdr:row>
      <xdr:rowOff>9525</xdr:rowOff>
    </xdr:to>
    <xdr:cxnSp macro="">
      <xdr:nvCxnSpPr>
        <xdr:cNvPr id="9445" name="Straight Arrow Connector 14"/>
        <xdr:cNvCxnSpPr>
          <a:cxnSpLocks noChangeShapeType="1"/>
        </xdr:cNvCxnSpPr>
      </xdr:nvCxnSpPr>
      <xdr:spPr bwMode="auto">
        <a:xfrm>
          <a:off x="6315075" y="4124325"/>
          <a:ext cx="1295400" cy="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12</xdr:col>
      <xdr:colOff>9525</xdr:colOff>
      <xdr:row>17</xdr:row>
      <xdr:rowOff>28575</xdr:rowOff>
    </xdr:from>
    <xdr:to>
      <xdr:col>13</xdr:col>
      <xdr:colOff>561975</xdr:colOff>
      <xdr:row>21</xdr:row>
      <xdr:rowOff>0</xdr:rowOff>
    </xdr:to>
    <xdr:cxnSp macro="">
      <xdr:nvCxnSpPr>
        <xdr:cNvPr id="9446" name="Straight Arrow Connector 14"/>
        <xdr:cNvCxnSpPr>
          <a:cxnSpLocks noChangeShapeType="1"/>
        </xdr:cNvCxnSpPr>
      </xdr:nvCxnSpPr>
      <xdr:spPr bwMode="auto">
        <a:xfrm>
          <a:off x="6410325" y="4143375"/>
          <a:ext cx="1200150" cy="1057275"/>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12</xdr:col>
      <xdr:colOff>28575</xdr:colOff>
      <xdr:row>25</xdr:row>
      <xdr:rowOff>9525</xdr:rowOff>
    </xdr:from>
    <xdr:to>
      <xdr:col>14</xdr:col>
      <xdr:colOff>28575</xdr:colOff>
      <xdr:row>25</xdr:row>
      <xdr:rowOff>9525</xdr:rowOff>
    </xdr:to>
    <xdr:cxnSp macro="">
      <xdr:nvCxnSpPr>
        <xdr:cNvPr id="9447" name="Straight Arrow Connector 14"/>
        <xdr:cNvCxnSpPr>
          <a:cxnSpLocks noChangeShapeType="1"/>
        </xdr:cNvCxnSpPr>
      </xdr:nvCxnSpPr>
      <xdr:spPr bwMode="auto">
        <a:xfrm>
          <a:off x="6429375" y="6296025"/>
          <a:ext cx="1228725" cy="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16</xdr:col>
      <xdr:colOff>0</xdr:colOff>
      <xdr:row>21</xdr:row>
      <xdr:rowOff>0</xdr:rowOff>
    </xdr:from>
    <xdr:to>
      <xdr:col>18</xdr:col>
      <xdr:colOff>0</xdr:colOff>
      <xdr:row>21</xdr:row>
      <xdr:rowOff>0</xdr:rowOff>
    </xdr:to>
    <xdr:cxnSp macro="">
      <xdr:nvCxnSpPr>
        <xdr:cNvPr id="9448" name="Straight Arrow Connector 14"/>
        <xdr:cNvCxnSpPr>
          <a:cxnSpLocks noChangeShapeType="1"/>
        </xdr:cNvCxnSpPr>
      </xdr:nvCxnSpPr>
      <xdr:spPr bwMode="auto">
        <a:xfrm>
          <a:off x="8791575" y="5200650"/>
          <a:ext cx="1162050" cy="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12</xdr:col>
      <xdr:colOff>9525</xdr:colOff>
      <xdr:row>21</xdr:row>
      <xdr:rowOff>38100</xdr:rowOff>
    </xdr:from>
    <xdr:to>
      <xdr:col>13</xdr:col>
      <xdr:colOff>561975</xdr:colOff>
      <xdr:row>24</xdr:row>
      <xdr:rowOff>257175</xdr:rowOff>
    </xdr:to>
    <xdr:cxnSp macro="">
      <xdr:nvCxnSpPr>
        <xdr:cNvPr id="9449" name="Straight Arrow Connector 14"/>
        <xdr:cNvCxnSpPr>
          <a:cxnSpLocks noChangeShapeType="1"/>
        </xdr:cNvCxnSpPr>
      </xdr:nvCxnSpPr>
      <xdr:spPr bwMode="auto">
        <a:xfrm flipV="1">
          <a:off x="6410325" y="5238750"/>
          <a:ext cx="1200150" cy="1038225"/>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15</xdr:col>
      <xdr:colOff>438150</xdr:colOff>
      <xdr:row>17</xdr:row>
      <xdr:rowOff>28575</xdr:rowOff>
    </xdr:from>
    <xdr:to>
      <xdr:col>17</xdr:col>
      <xdr:colOff>514350</xdr:colOff>
      <xdr:row>20</xdr:row>
      <xdr:rowOff>47625</xdr:rowOff>
    </xdr:to>
    <xdr:cxnSp macro="">
      <xdr:nvCxnSpPr>
        <xdr:cNvPr id="9450" name="Straight Arrow Connector 14"/>
        <xdr:cNvCxnSpPr>
          <a:cxnSpLocks noChangeShapeType="1"/>
        </xdr:cNvCxnSpPr>
      </xdr:nvCxnSpPr>
      <xdr:spPr bwMode="auto">
        <a:xfrm>
          <a:off x="8648700" y="4143375"/>
          <a:ext cx="1238250" cy="83820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3</xdr:col>
      <xdr:colOff>458701</xdr:colOff>
      <xdr:row>19</xdr:row>
      <xdr:rowOff>45471</xdr:rowOff>
    </xdr:from>
    <xdr:to>
      <xdr:col>6</xdr:col>
      <xdr:colOff>228352</xdr:colOff>
      <xdr:row>19</xdr:row>
      <xdr:rowOff>258322</xdr:rowOff>
    </xdr:to>
    <xdr:sp macro="" textlink="">
      <xdr:nvSpPr>
        <xdr:cNvPr id="15" name="14 Flecha derecha"/>
        <xdr:cNvSpPr/>
      </xdr:nvSpPr>
      <xdr:spPr>
        <a:xfrm rot="19202324">
          <a:off x="1496926" y="5865246"/>
          <a:ext cx="1512726" cy="212851"/>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es-AR"/>
        </a:p>
      </xdr:txBody>
    </xdr:sp>
    <xdr:clientData/>
  </xdr:twoCellAnchor>
  <xdr:twoCellAnchor>
    <xdr:from>
      <xdr:col>7</xdr:col>
      <xdr:colOff>66675</xdr:colOff>
      <xdr:row>18</xdr:row>
      <xdr:rowOff>19051</xdr:rowOff>
    </xdr:from>
    <xdr:to>
      <xdr:col>7</xdr:col>
      <xdr:colOff>314325</xdr:colOff>
      <xdr:row>23</xdr:row>
      <xdr:rowOff>247653</xdr:rowOff>
    </xdr:to>
    <xdr:sp macro="" textlink="">
      <xdr:nvSpPr>
        <xdr:cNvPr id="16" name="15 Flecha derecha"/>
        <xdr:cNvSpPr/>
      </xdr:nvSpPr>
      <xdr:spPr>
        <a:xfrm rot="5400000">
          <a:off x="2362199" y="9096377"/>
          <a:ext cx="1581152" cy="2476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es-AR"/>
        </a:p>
      </xdr:txBody>
    </xdr:sp>
    <xdr:clientData/>
  </xdr:twoCellAnchor>
  <xdr:twoCellAnchor>
    <xdr:from>
      <xdr:col>8</xdr:col>
      <xdr:colOff>559449</xdr:colOff>
      <xdr:row>17</xdr:row>
      <xdr:rowOff>152083</xdr:rowOff>
    </xdr:from>
    <xdr:to>
      <xdr:col>9</xdr:col>
      <xdr:colOff>261991</xdr:colOff>
      <xdr:row>25</xdr:row>
      <xdr:rowOff>126109</xdr:rowOff>
    </xdr:to>
    <xdr:sp macro="" textlink="">
      <xdr:nvSpPr>
        <xdr:cNvPr id="17" name="16 Flecha derecha"/>
        <xdr:cNvSpPr/>
      </xdr:nvSpPr>
      <xdr:spPr>
        <a:xfrm rot="17894419">
          <a:off x="3571720" y="6360012"/>
          <a:ext cx="2145726" cy="283567"/>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es-AR"/>
        </a:p>
      </xdr:txBody>
    </xdr:sp>
    <xdr:clientData/>
  </xdr:twoCellAnchor>
  <xdr:twoCellAnchor>
    <xdr:from>
      <xdr:col>12</xdr:col>
      <xdr:colOff>68176</xdr:colOff>
      <xdr:row>17</xdr:row>
      <xdr:rowOff>16896</xdr:rowOff>
    </xdr:from>
    <xdr:to>
      <xdr:col>13</xdr:col>
      <xdr:colOff>409575</xdr:colOff>
      <xdr:row>18</xdr:row>
      <xdr:rowOff>9525</xdr:rowOff>
    </xdr:to>
    <xdr:sp macro="" textlink="">
      <xdr:nvSpPr>
        <xdr:cNvPr id="18" name="17 Flecha derecha"/>
        <xdr:cNvSpPr/>
      </xdr:nvSpPr>
      <xdr:spPr>
        <a:xfrm>
          <a:off x="5726026" y="8151246"/>
          <a:ext cx="950999" cy="268854"/>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es-AR"/>
        </a:p>
      </xdr:txBody>
    </xdr:sp>
    <xdr:clientData/>
  </xdr:twoCellAnchor>
  <xdr:twoCellAnchor>
    <xdr:from>
      <xdr:col>15</xdr:col>
      <xdr:colOff>365761</xdr:colOff>
      <xdr:row>18</xdr:row>
      <xdr:rowOff>214834</xdr:rowOff>
    </xdr:from>
    <xdr:to>
      <xdr:col>17</xdr:col>
      <xdr:colOff>402383</xdr:colOff>
      <xdr:row>20</xdr:row>
      <xdr:rowOff>36033</xdr:rowOff>
    </xdr:to>
    <xdr:sp macro="" textlink="">
      <xdr:nvSpPr>
        <xdr:cNvPr id="19" name="18 Flecha derecha"/>
        <xdr:cNvSpPr/>
      </xdr:nvSpPr>
      <xdr:spPr>
        <a:xfrm rot="1977058">
          <a:off x="8576311" y="5796484"/>
          <a:ext cx="1198672" cy="364124"/>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es-AR"/>
        </a:p>
      </xdr:txBody>
    </xdr:sp>
    <xdr:clientData/>
  </xdr:twoCellAnchor>
  <xdr:twoCellAnchor>
    <xdr:from>
      <xdr:col>2</xdr:col>
      <xdr:colOff>9524</xdr:colOff>
      <xdr:row>47</xdr:row>
      <xdr:rowOff>228599</xdr:rowOff>
    </xdr:from>
    <xdr:to>
      <xdr:col>5</xdr:col>
      <xdr:colOff>462449</xdr:colOff>
      <xdr:row>47</xdr:row>
      <xdr:rowOff>228599</xdr:rowOff>
    </xdr:to>
    <xdr:cxnSp macro="">
      <xdr:nvCxnSpPr>
        <xdr:cNvPr id="25" name="24 Conector recto de flecha"/>
        <xdr:cNvCxnSpPr/>
      </xdr:nvCxnSpPr>
      <xdr:spPr>
        <a:xfrm flipV="1">
          <a:off x="466724" y="13392149"/>
          <a:ext cx="2196000" cy="0"/>
        </a:xfrm>
        <a:prstGeom prst="straightConnector1">
          <a:avLst/>
        </a:prstGeom>
        <a:ln w="38100">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95249</xdr:colOff>
      <xdr:row>47</xdr:row>
      <xdr:rowOff>238124</xdr:rowOff>
    </xdr:from>
    <xdr:to>
      <xdr:col>9</xdr:col>
      <xdr:colOff>512174</xdr:colOff>
      <xdr:row>47</xdr:row>
      <xdr:rowOff>238124</xdr:rowOff>
    </xdr:to>
    <xdr:cxnSp macro="">
      <xdr:nvCxnSpPr>
        <xdr:cNvPr id="26" name="25 Conector recto de flecha"/>
        <xdr:cNvCxnSpPr/>
      </xdr:nvCxnSpPr>
      <xdr:spPr>
        <a:xfrm flipV="1">
          <a:off x="2876549" y="13401674"/>
          <a:ext cx="2160000" cy="0"/>
        </a:xfrm>
        <a:prstGeom prst="straightConnector1">
          <a:avLst/>
        </a:prstGeom>
        <a:ln w="38100">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95249</xdr:colOff>
      <xdr:row>48</xdr:row>
      <xdr:rowOff>9524</xdr:rowOff>
    </xdr:from>
    <xdr:to>
      <xdr:col>13</xdr:col>
      <xdr:colOff>512174</xdr:colOff>
      <xdr:row>48</xdr:row>
      <xdr:rowOff>9524</xdr:rowOff>
    </xdr:to>
    <xdr:cxnSp macro="">
      <xdr:nvCxnSpPr>
        <xdr:cNvPr id="27" name="26 Conector recto de flecha"/>
        <xdr:cNvCxnSpPr/>
      </xdr:nvCxnSpPr>
      <xdr:spPr>
        <a:xfrm flipV="1">
          <a:off x="5200649" y="13411199"/>
          <a:ext cx="2160000" cy="0"/>
        </a:xfrm>
        <a:prstGeom prst="straightConnector1">
          <a:avLst/>
        </a:prstGeom>
        <a:ln w="38100">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104774</xdr:colOff>
      <xdr:row>48</xdr:row>
      <xdr:rowOff>9524</xdr:rowOff>
    </xdr:from>
    <xdr:to>
      <xdr:col>17</xdr:col>
      <xdr:colOff>485699</xdr:colOff>
      <xdr:row>48</xdr:row>
      <xdr:rowOff>9524</xdr:rowOff>
    </xdr:to>
    <xdr:cxnSp macro="">
      <xdr:nvCxnSpPr>
        <xdr:cNvPr id="28" name="27 Conector recto de flecha"/>
        <xdr:cNvCxnSpPr/>
      </xdr:nvCxnSpPr>
      <xdr:spPr>
        <a:xfrm flipV="1">
          <a:off x="7534274" y="13411199"/>
          <a:ext cx="2124000" cy="0"/>
        </a:xfrm>
        <a:prstGeom prst="straightConnector1">
          <a:avLst/>
        </a:prstGeom>
        <a:ln w="38100">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28574</xdr:colOff>
      <xdr:row>48</xdr:row>
      <xdr:rowOff>9524</xdr:rowOff>
    </xdr:from>
    <xdr:to>
      <xdr:col>21</xdr:col>
      <xdr:colOff>13499</xdr:colOff>
      <xdr:row>48</xdr:row>
      <xdr:rowOff>9524</xdr:rowOff>
    </xdr:to>
    <xdr:cxnSp macro="">
      <xdr:nvCxnSpPr>
        <xdr:cNvPr id="29" name="28 Conector recto de flecha"/>
        <xdr:cNvCxnSpPr/>
      </xdr:nvCxnSpPr>
      <xdr:spPr>
        <a:xfrm flipV="1">
          <a:off x="9782174" y="14116049"/>
          <a:ext cx="1728000" cy="0"/>
        </a:xfrm>
        <a:prstGeom prst="straightConnector1">
          <a:avLst/>
        </a:prstGeom>
        <a:ln w="38100">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9524</xdr:colOff>
      <xdr:row>49</xdr:row>
      <xdr:rowOff>238124</xdr:rowOff>
    </xdr:from>
    <xdr:to>
      <xdr:col>8</xdr:col>
      <xdr:colOff>15374</xdr:colOff>
      <xdr:row>49</xdr:row>
      <xdr:rowOff>238124</xdr:rowOff>
    </xdr:to>
    <xdr:cxnSp macro="">
      <xdr:nvCxnSpPr>
        <xdr:cNvPr id="30" name="29 Conector recto de flecha"/>
        <xdr:cNvCxnSpPr/>
      </xdr:nvCxnSpPr>
      <xdr:spPr>
        <a:xfrm flipV="1">
          <a:off x="466724" y="14582774"/>
          <a:ext cx="3492000" cy="0"/>
        </a:xfrm>
        <a:prstGeom prst="straightConnector1">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9524</xdr:colOff>
      <xdr:row>46</xdr:row>
      <xdr:rowOff>9524</xdr:rowOff>
    </xdr:from>
    <xdr:to>
      <xdr:col>8</xdr:col>
      <xdr:colOff>575474</xdr:colOff>
      <xdr:row>46</xdr:row>
      <xdr:rowOff>9524</xdr:rowOff>
    </xdr:to>
    <xdr:cxnSp macro="">
      <xdr:nvCxnSpPr>
        <xdr:cNvPr id="31" name="30 Conector recto de flecha"/>
        <xdr:cNvCxnSpPr/>
      </xdr:nvCxnSpPr>
      <xdr:spPr>
        <a:xfrm flipV="1">
          <a:off x="2790824" y="13639799"/>
          <a:ext cx="1728000" cy="0"/>
        </a:xfrm>
        <a:prstGeom prst="straightConnector1">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19049</xdr:colOff>
      <xdr:row>49</xdr:row>
      <xdr:rowOff>238124</xdr:rowOff>
    </xdr:from>
    <xdr:to>
      <xdr:col>11</xdr:col>
      <xdr:colOff>482024</xdr:colOff>
      <xdr:row>49</xdr:row>
      <xdr:rowOff>238124</xdr:rowOff>
    </xdr:to>
    <xdr:cxnSp macro="">
      <xdr:nvCxnSpPr>
        <xdr:cNvPr id="32" name="31 Conector recto de flecha"/>
        <xdr:cNvCxnSpPr/>
      </xdr:nvCxnSpPr>
      <xdr:spPr>
        <a:xfrm flipV="1">
          <a:off x="5124449" y="13877924"/>
          <a:ext cx="1044000" cy="0"/>
        </a:xfrm>
        <a:prstGeom prst="straightConnector1">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28574</xdr:colOff>
      <xdr:row>50</xdr:row>
      <xdr:rowOff>9524</xdr:rowOff>
    </xdr:from>
    <xdr:to>
      <xdr:col>14</xdr:col>
      <xdr:colOff>496574</xdr:colOff>
      <xdr:row>50</xdr:row>
      <xdr:rowOff>9524</xdr:rowOff>
    </xdr:to>
    <xdr:cxnSp macro="">
      <xdr:nvCxnSpPr>
        <xdr:cNvPr id="33" name="32 Conector recto de flecha"/>
        <xdr:cNvCxnSpPr/>
      </xdr:nvCxnSpPr>
      <xdr:spPr>
        <a:xfrm flipV="1">
          <a:off x="7458074" y="13896974"/>
          <a:ext cx="468000" cy="0"/>
        </a:xfrm>
        <a:prstGeom prst="straightConnector1">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28574</xdr:colOff>
      <xdr:row>50</xdr:row>
      <xdr:rowOff>228599</xdr:rowOff>
    </xdr:from>
    <xdr:to>
      <xdr:col>13</xdr:col>
      <xdr:colOff>563549</xdr:colOff>
      <xdr:row>50</xdr:row>
      <xdr:rowOff>228599</xdr:rowOff>
    </xdr:to>
    <xdr:cxnSp macro="">
      <xdr:nvCxnSpPr>
        <xdr:cNvPr id="34" name="33 Conector recto de flecha"/>
        <xdr:cNvCxnSpPr/>
      </xdr:nvCxnSpPr>
      <xdr:spPr>
        <a:xfrm flipV="1">
          <a:off x="6296024" y="14116049"/>
          <a:ext cx="1116000" cy="0"/>
        </a:xfrm>
        <a:prstGeom prst="straightConnector1">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9524</xdr:colOff>
      <xdr:row>45</xdr:row>
      <xdr:rowOff>247649</xdr:rowOff>
    </xdr:from>
    <xdr:to>
      <xdr:col>8</xdr:col>
      <xdr:colOff>575474</xdr:colOff>
      <xdr:row>45</xdr:row>
      <xdr:rowOff>247649</xdr:rowOff>
    </xdr:to>
    <xdr:cxnSp macro="">
      <xdr:nvCxnSpPr>
        <xdr:cNvPr id="35" name="34 Conector recto de flecha"/>
        <xdr:cNvCxnSpPr/>
      </xdr:nvCxnSpPr>
      <xdr:spPr>
        <a:xfrm flipV="1">
          <a:off x="2790824" y="13639799"/>
          <a:ext cx="1728000" cy="0"/>
        </a:xfrm>
        <a:prstGeom prst="straightConnector1">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19049</xdr:colOff>
      <xdr:row>52</xdr:row>
      <xdr:rowOff>238124</xdr:rowOff>
    </xdr:from>
    <xdr:to>
      <xdr:col>14</xdr:col>
      <xdr:colOff>512999</xdr:colOff>
      <xdr:row>52</xdr:row>
      <xdr:rowOff>238124</xdr:rowOff>
    </xdr:to>
    <xdr:cxnSp macro="">
      <xdr:nvCxnSpPr>
        <xdr:cNvPr id="36" name="35 Conector recto de flecha"/>
        <xdr:cNvCxnSpPr/>
      </xdr:nvCxnSpPr>
      <xdr:spPr>
        <a:xfrm flipV="1">
          <a:off x="6286499" y="14649449"/>
          <a:ext cx="1656000" cy="0"/>
        </a:xfrm>
        <a:prstGeom prst="straightConnector1">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19049</xdr:colOff>
      <xdr:row>49</xdr:row>
      <xdr:rowOff>247649</xdr:rowOff>
    </xdr:from>
    <xdr:to>
      <xdr:col>19</xdr:col>
      <xdr:colOff>34949</xdr:colOff>
      <xdr:row>49</xdr:row>
      <xdr:rowOff>247649</xdr:rowOff>
    </xdr:to>
    <xdr:cxnSp macro="">
      <xdr:nvCxnSpPr>
        <xdr:cNvPr id="37" name="36 Conector recto de flecha"/>
        <xdr:cNvCxnSpPr/>
      </xdr:nvCxnSpPr>
      <xdr:spPr>
        <a:xfrm flipV="1">
          <a:off x="8029574" y="14601824"/>
          <a:ext cx="2340000" cy="0"/>
        </a:xfrm>
        <a:prstGeom prst="straightConnector1">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133349</xdr:colOff>
      <xdr:row>52</xdr:row>
      <xdr:rowOff>228599</xdr:rowOff>
    </xdr:from>
    <xdr:to>
      <xdr:col>17</xdr:col>
      <xdr:colOff>555299</xdr:colOff>
      <xdr:row>52</xdr:row>
      <xdr:rowOff>228599</xdr:rowOff>
    </xdr:to>
    <xdr:cxnSp macro="">
      <xdr:nvCxnSpPr>
        <xdr:cNvPr id="38" name="37 Conector recto de flecha"/>
        <xdr:cNvCxnSpPr/>
      </xdr:nvCxnSpPr>
      <xdr:spPr>
        <a:xfrm flipV="1">
          <a:off x="8143874" y="14639924"/>
          <a:ext cx="1584000" cy="0"/>
        </a:xfrm>
        <a:prstGeom prst="straightConnector1">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257175</xdr:colOff>
      <xdr:row>46</xdr:row>
      <xdr:rowOff>228600</xdr:rowOff>
    </xdr:from>
    <xdr:to>
      <xdr:col>1</xdr:col>
      <xdr:colOff>180975</xdr:colOff>
      <xdr:row>48</xdr:row>
      <xdr:rowOff>209550</xdr:rowOff>
    </xdr:to>
    <xdr:sp macro="" textlink="">
      <xdr:nvSpPr>
        <xdr:cNvPr id="39" name="38 CuadroTexto"/>
        <xdr:cNvSpPr txBox="1"/>
      </xdr:nvSpPr>
      <xdr:spPr>
        <a:xfrm>
          <a:off x="257175" y="13154025"/>
          <a:ext cx="190500" cy="457200"/>
        </a:xfrm>
        <a:prstGeom prst="rect">
          <a:avLst/>
        </a:prstGeom>
        <a:noFill/>
        <a:ln w="1587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s-AR" sz="2000"/>
            <a:t>1</a:t>
          </a:r>
        </a:p>
      </xdr:txBody>
    </xdr:sp>
    <xdr:clientData/>
  </xdr:twoCellAnchor>
  <xdr:twoCellAnchor>
    <xdr:from>
      <xdr:col>21</xdr:col>
      <xdr:colOff>0</xdr:colOff>
      <xdr:row>47</xdr:row>
      <xdr:rowOff>9525</xdr:rowOff>
    </xdr:from>
    <xdr:to>
      <xdr:col>21</xdr:col>
      <xdr:colOff>190500</xdr:colOff>
      <xdr:row>48</xdr:row>
      <xdr:rowOff>228600</xdr:rowOff>
    </xdr:to>
    <xdr:sp macro="" textlink="">
      <xdr:nvSpPr>
        <xdr:cNvPr id="40" name="39 CuadroTexto"/>
        <xdr:cNvSpPr txBox="1"/>
      </xdr:nvSpPr>
      <xdr:spPr>
        <a:xfrm>
          <a:off x="11496675" y="13173075"/>
          <a:ext cx="190500" cy="457200"/>
        </a:xfrm>
        <a:prstGeom prst="rect">
          <a:avLst/>
        </a:prstGeom>
        <a:noFill/>
        <a:ln w="1587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s-AR" sz="2000"/>
            <a:t>9</a:t>
          </a:r>
        </a:p>
      </xdr:txBody>
    </xdr:sp>
    <xdr:clientData/>
  </xdr:twoCellAnchor>
  <xdr:twoCellAnchor>
    <xdr:from>
      <xdr:col>14</xdr:col>
      <xdr:colOff>495300</xdr:colOff>
      <xdr:row>52</xdr:row>
      <xdr:rowOff>9525</xdr:rowOff>
    </xdr:from>
    <xdr:to>
      <xdr:col>15</xdr:col>
      <xdr:colOff>104775</xdr:colOff>
      <xdr:row>53</xdr:row>
      <xdr:rowOff>219075</xdr:rowOff>
    </xdr:to>
    <xdr:sp macro="" textlink="">
      <xdr:nvSpPr>
        <xdr:cNvPr id="41" name="40 CuadroTexto"/>
        <xdr:cNvSpPr txBox="1"/>
      </xdr:nvSpPr>
      <xdr:spPr>
        <a:xfrm>
          <a:off x="7924800" y="14144625"/>
          <a:ext cx="190500" cy="457200"/>
        </a:xfrm>
        <a:prstGeom prst="rect">
          <a:avLst/>
        </a:prstGeom>
        <a:noFill/>
        <a:ln w="1587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s-AR" sz="2000"/>
            <a:t>8</a:t>
          </a:r>
        </a:p>
      </xdr:txBody>
    </xdr:sp>
    <xdr:clientData/>
  </xdr:twoCellAnchor>
  <xdr:twoCellAnchor>
    <xdr:from>
      <xdr:col>14</xdr:col>
      <xdr:colOff>476250</xdr:colOff>
      <xdr:row>49</xdr:row>
      <xdr:rowOff>19050</xdr:rowOff>
    </xdr:from>
    <xdr:to>
      <xdr:col>15</xdr:col>
      <xdr:colOff>85725</xdr:colOff>
      <xdr:row>50</xdr:row>
      <xdr:rowOff>228600</xdr:rowOff>
    </xdr:to>
    <xdr:sp macro="" textlink="">
      <xdr:nvSpPr>
        <xdr:cNvPr id="42" name="41 CuadroTexto"/>
        <xdr:cNvSpPr txBox="1"/>
      </xdr:nvSpPr>
      <xdr:spPr>
        <a:xfrm>
          <a:off x="7905750" y="13658850"/>
          <a:ext cx="190500" cy="457200"/>
        </a:xfrm>
        <a:prstGeom prst="rect">
          <a:avLst/>
        </a:prstGeom>
        <a:noFill/>
        <a:ln w="1587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s-AR" sz="2000"/>
            <a:t>7</a:t>
          </a:r>
        </a:p>
      </xdr:txBody>
    </xdr:sp>
    <xdr:clientData/>
  </xdr:twoCellAnchor>
  <xdr:twoCellAnchor>
    <xdr:from>
      <xdr:col>17</xdr:col>
      <xdr:colOff>485775</xdr:colOff>
      <xdr:row>47</xdr:row>
      <xdr:rowOff>9525</xdr:rowOff>
    </xdr:from>
    <xdr:to>
      <xdr:col>18</xdr:col>
      <xdr:colOff>95250</xdr:colOff>
      <xdr:row>48</xdr:row>
      <xdr:rowOff>228600</xdr:rowOff>
    </xdr:to>
    <xdr:sp macro="" textlink="">
      <xdr:nvSpPr>
        <xdr:cNvPr id="43" name="42 CuadroTexto"/>
        <xdr:cNvSpPr txBox="1"/>
      </xdr:nvSpPr>
      <xdr:spPr>
        <a:xfrm>
          <a:off x="9658350" y="13173075"/>
          <a:ext cx="190500" cy="457200"/>
        </a:xfrm>
        <a:prstGeom prst="rect">
          <a:avLst/>
        </a:prstGeom>
        <a:noFill/>
        <a:ln w="1587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s-AR" sz="2000"/>
            <a:t>6</a:t>
          </a:r>
        </a:p>
      </xdr:txBody>
    </xdr:sp>
    <xdr:clientData/>
  </xdr:twoCellAnchor>
  <xdr:twoCellAnchor>
    <xdr:from>
      <xdr:col>11</xdr:col>
      <xdr:colOff>485775</xdr:colOff>
      <xdr:row>49</xdr:row>
      <xdr:rowOff>0</xdr:rowOff>
    </xdr:from>
    <xdr:to>
      <xdr:col>12</xdr:col>
      <xdr:colOff>95250</xdr:colOff>
      <xdr:row>50</xdr:row>
      <xdr:rowOff>209550</xdr:rowOff>
    </xdr:to>
    <xdr:sp macro="" textlink="">
      <xdr:nvSpPr>
        <xdr:cNvPr id="44" name="43 CuadroTexto"/>
        <xdr:cNvSpPr txBox="1"/>
      </xdr:nvSpPr>
      <xdr:spPr>
        <a:xfrm>
          <a:off x="6172200" y="13639800"/>
          <a:ext cx="190500" cy="457200"/>
        </a:xfrm>
        <a:prstGeom prst="rect">
          <a:avLst/>
        </a:prstGeom>
        <a:noFill/>
        <a:ln w="1587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s-AR" sz="2000"/>
            <a:t>5</a:t>
          </a:r>
        </a:p>
      </xdr:txBody>
    </xdr:sp>
    <xdr:clientData/>
  </xdr:twoCellAnchor>
  <xdr:twoCellAnchor>
    <xdr:from>
      <xdr:col>13</xdr:col>
      <xdr:colOff>476250</xdr:colOff>
      <xdr:row>47</xdr:row>
      <xdr:rowOff>19050</xdr:rowOff>
    </xdr:from>
    <xdr:to>
      <xdr:col>14</xdr:col>
      <xdr:colOff>85725</xdr:colOff>
      <xdr:row>49</xdr:row>
      <xdr:rowOff>0</xdr:rowOff>
    </xdr:to>
    <xdr:sp macro="" textlink="">
      <xdr:nvSpPr>
        <xdr:cNvPr id="45" name="44 CuadroTexto"/>
        <xdr:cNvSpPr txBox="1"/>
      </xdr:nvSpPr>
      <xdr:spPr>
        <a:xfrm>
          <a:off x="7324725" y="13182600"/>
          <a:ext cx="190500" cy="457200"/>
        </a:xfrm>
        <a:prstGeom prst="rect">
          <a:avLst/>
        </a:prstGeom>
        <a:noFill/>
        <a:ln w="1587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s-AR" sz="2000"/>
            <a:t>4</a:t>
          </a:r>
        </a:p>
      </xdr:txBody>
    </xdr:sp>
    <xdr:clientData/>
  </xdr:twoCellAnchor>
  <xdr:twoCellAnchor>
    <xdr:from>
      <xdr:col>9</xdr:col>
      <xdr:colOff>466725</xdr:colOff>
      <xdr:row>47</xdr:row>
      <xdr:rowOff>9525</xdr:rowOff>
    </xdr:from>
    <xdr:to>
      <xdr:col>10</xdr:col>
      <xdr:colOff>76200</xdr:colOff>
      <xdr:row>48</xdr:row>
      <xdr:rowOff>228600</xdr:rowOff>
    </xdr:to>
    <xdr:sp macro="" textlink="">
      <xdr:nvSpPr>
        <xdr:cNvPr id="46" name="45 CuadroTexto"/>
        <xdr:cNvSpPr txBox="1"/>
      </xdr:nvSpPr>
      <xdr:spPr>
        <a:xfrm>
          <a:off x="4991100" y="13173075"/>
          <a:ext cx="190500" cy="457200"/>
        </a:xfrm>
        <a:prstGeom prst="rect">
          <a:avLst/>
        </a:prstGeom>
        <a:noFill/>
        <a:ln w="1587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s-AR" sz="2000"/>
            <a:t>3</a:t>
          </a:r>
        </a:p>
      </xdr:txBody>
    </xdr:sp>
    <xdr:clientData/>
  </xdr:twoCellAnchor>
  <xdr:twoCellAnchor>
    <xdr:from>
      <xdr:col>5</xdr:col>
      <xdr:colOff>457200</xdr:colOff>
      <xdr:row>47</xdr:row>
      <xdr:rowOff>9525</xdr:rowOff>
    </xdr:from>
    <xdr:to>
      <xdr:col>6</xdr:col>
      <xdr:colOff>66675</xdr:colOff>
      <xdr:row>48</xdr:row>
      <xdr:rowOff>228600</xdr:rowOff>
    </xdr:to>
    <xdr:sp macro="" textlink="">
      <xdr:nvSpPr>
        <xdr:cNvPr id="47" name="46 CuadroTexto"/>
        <xdr:cNvSpPr txBox="1"/>
      </xdr:nvSpPr>
      <xdr:spPr>
        <a:xfrm>
          <a:off x="2657475" y="13173075"/>
          <a:ext cx="190500" cy="457200"/>
        </a:xfrm>
        <a:prstGeom prst="rect">
          <a:avLst/>
        </a:prstGeom>
        <a:noFill/>
        <a:ln w="1587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s-AR" sz="2000"/>
            <a:t>2</a:t>
          </a:r>
        </a:p>
      </xdr:txBody>
    </xdr:sp>
    <xdr:clientData/>
  </xdr:twoCellAnchor>
  <xdr:twoCellAnchor>
    <xdr:from>
      <xdr:col>1</xdr:col>
      <xdr:colOff>189707</xdr:colOff>
      <xdr:row>58</xdr:row>
      <xdr:rowOff>171450</xdr:rowOff>
    </xdr:from>
    <xdr:to>
      <xdr:col>2</xdr:col>
      <xdr:colOff>1</xdr:colOff>
      <xdr:row>67</xdr:row>
      <xdr:rowOff>224144</xdr:rowOff>
    </xdr:to>
    <xdr:cxnSp macro="">
      <xdr:nvCxnSpPr>
        <xdr:cNvPr id="49" name="48 Conector recto"/>
        <xdr:cNvCxnSpPr/>
      </xdr:nvCxnSpPr>
      <xdr:spPr>
        <a:xfrm rot="5400000" flipH="1" flipV="1">
          <a:off x="-641106" y="17585288"/>
          <a:ext cx="2195819" cy="794"/>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152400</xdr:rowOff>
    </xdr:from>
    <xdr:to>
      <xdr:col>3</xdr:col>
      <xdr:colOff>19050</xdr:colOff>
      <xdr:row>58</xdr:row>
      <xdr:rowOff>153988</xdr:rowOff>
    </xdr:to>
    <xdr:cxnSp macro="">
      <xdr:nvCxnSpPr>
        <xdr:cNvPr id="52" name="51 Conector recto"/>
        <xdr:cNvCxnSpPr/>
      </xdr:nvCxnSpPr>
      <xdr:spPr>
        <a:xfrm>
          <a:off x="457200" y="16468725"/>
          <a:ext cx="600075" cy="1588"/>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580231</xdr:colOff>
      <xdr:row>58</xdr:row>
      <xdr:rowOff>153194</xdr:rowOff>
    </xdr:from>
    <xdr:to>
      <xdr:col>3</xdr:col>
      <xdr:colOff>794</xdr:colOff>
      <xdr:row>61</xdr:row>
      <xdr:rowOff>162719</xdr:rowOff>
    </xdr:to>
    <xdr:cxnSp macro="">
      <xdr:nvCxnSpPr>
        <xdr:cNvPr id="53" name="52 Conector recto"/>
        <xdr:cNvCxnSpPr/>
      </xdr:nvCxnSpPr>
      <xdr:spPr>
        <a:xfrm rot="5400000">
          <a:off x="676275" y="16830675"/>
          <a:ext cx="723900" cy="1588"/>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61</xdr:row>
      <xdr:rowOff>133350</xdr:rowOff>
    </xdr:from>
    <xdr:to>
      <xdr:col>4</xdr:col>
      <xdr:colOff>19050</xdr:colOff>
      <xdr:row>61</xdr:row>
      <xdr:rowOff>134938</xdr:rowOff>
    </xdr:to>
    <xdr:cxnSp macro="">
      <xdr:nvCxnSpPr>
        <xdr:cNvPr id="56" name="55 Conector recto"/>
        <xdr:cNvCxnSpPr/>
      </xdr:nvCxnSpPr>
      <xdr:spPr>
        <a:xfrm>
          <a:off x="1038225" y="17164050"/>
          <a:ext cx="600075" cy="1588"/>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794</xdr:colOff>
      <xdr:row>61</xdr:row>
      <xdr:rowOff>115093</xdr:rowOff>
    </xdr:from>
    <xdr:to>
      <xdr:col>4</xdr:col>
      <xdr:colOff>9525</xdr:colOff>
      <xdr:row>68</xdr:row>
      <xdr:rowOff>28574</xdr:rowOff>
    </xdr:to>
    <xdr:cxnSp macro="">
      <xdr:nvCxnSpPr>
        <xdr:cNvPr id="57" name="56 Conector recto"/>
        <xdr:cNvCxnSpPr/>
      </xdr:nvCxnSpPr>
      <xdr:spPr>
        <a:xfrm rot="16200000" flipH="1">
          <a:off x="829469" y="17936368"/>
          <a:ext cx="1589881" cy="8731"/>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794</xdr:colOff>
      <xdr:row>61</xdr:row>
      <xdr:rowOff>76993</xdr:rowOff>
    </xdr:from>
    <xdr:to>
      <xdr:col>5</xdr:col>
      <xdr:colOff>9525</xdr:colOff>
      <xdr:row>67</xdr:row>
      <xdr:rowOff>238124</xdr:rowOff>
    </xdr:to>
    <xdr:cxnSp macro="">
      <xdr:nvCxnSpPr>
        <xdr:cNvPr id="59" name="58 Conector recto"/>
        <xdr:cNvCxnSpPr/>
      </xdr:nvCxnSpPr>
      <xdr:spPr>
        <a:xfrm rot="16200000" flipH="1">
          <a:off x="1410494" y="17898268"/>
          <a:ext cx="1589881" cy="8731"/>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61</xdr:row>
      <xdr:rowOff>95250</xdr:rowOff>
    </xdr:from>
    <xdr:to>
      <xdr:col>6</xdr:col>
      <xdr:colOff>19050</xdr:colOff>
      <xdr:row>61</xdr:row>
      <xdr:rowOff>96838</xdr:rowOff>
    </xdr:to>
    <xdr:cxnSp macro="">
      <xdr:nvCxnSpPr>
        <xdr:cNvPr id="60" name="59 Conector recto"/>
        <xdr:cNvCxnSpPr/>
      </xdr:nvCxnSpPr>
      <xdr:spPr>
        <a:xfrm>
          <a:off x="2200275" y="17125950"/>
          <a:ext cx="600075" cy="1588"/>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572294</xdr:colOff>
      <xdr:row>61</xdr:row>
      <xdr:rowOff>115093</xdr:rowOff>
    </xdr:from>
    <xdr:to>
      <xdr:col>6</xdr:col>
      <xdr:colOff>0</xdr:colOff>
      <xdr:row>62</xdr:row>
      <xdr:rowOff>95249</xdr:rowOff>
    </xdr:to>
    <xdr:cxnSp macro="">
      <xdr:nvCxnSpPr>
        <xdr:cNvPr id="61" name="60 Conector recto"/>
        <xdr:cNvCxnSpPr/>
      </xdr:nvCxnSpPr>
      <xdr:spPr>
        <a:xfrm rot="16200000" flipH="1">
          <a:off x="2667794" y="17250568"/>
          <a:ext cx="218281" cy="8731"/>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571500</xdr:colOff>
      <xdr:row>62</xdr:row>
      <xdr:rowOff>95250</xdr:rowOff>
    </xdr:from>
    <xdr:to>
      <xdr:col>7</xdr:col>
      <xdr:colOff>9525</xdr:colOff>
      <xdr:row>62</xdr:row>
      <xdr:rowOff>96838</xdr:rowOff>
    </xdr:to>
    <xdr:cxnSp macro="">
      <xdr:nvCxnSpPr>
        <xdr:cNvPr id="63" name="62 Conector recto"/>
        <xdr:cNvCxnSpPr/>
      </xdr:nvCxnSpPr>
      <xdr:spPr>
        <a:xfrm>
          <a:off x="2771775" y="17364075"/>
          <a:ext cx="600075" cy="1588"/>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580232</xdr:colOff>
      <xdr:row>58</xdr:row>
      <xdr:rowOff>47624</xdr:rowOff>
    </xdr:from>
    <xdr:to>
      <xdr:col>7</xdr:col>
      <xdr:colOff>1</xdr:colOff>
      <xdr:row>62</xdr:row>
      <xdr:rowOff>76993</xdr:rowOff>
    </xdr:to>
    <xdr:cxnSp macro="">
      <xdr:nvCxnSpPr>
        <xdr:cNvPr id="64" name="63 Conector recto"/>
        <xdr:cNvCxnSpPr/>
      </xdr:nvCxnSpPr>
      <xdr:spPr>
        <a:xfrm rot="5400000">
          <a:off x="2870994" y="16854487"/>
          <a:ext cx="981869" cy="794"/>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58</xdr:row>
      <xdr:rowOff>57150</xdr:rowOff>
    </xdr:from>
    <xdr:to>
      <xdr:col>8</xdr:col>
      <xdr:colOff>19050</xdr:colOff>
      <xdr:row>58</xdr:row>
      <xdr:rowOff>58738</xdr:rowOff>
    </xdr:to>
    <xdr:cxnSp macro="">
      <xdr:nvCxnSpPr>
        <xdr:cNvPr id="66" name="65 Conector recto"/>
        <xdr:cNvCxnSpPr/>
      </xdr:nvCxnSpPr>
      <xdr:spPr>
        <a:xfrm>
          <a:off x="3362325" y="16373475"/>
          <a:ext cx="600075" cy="1588"/>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571501</xdr:colOff>
      <xdr:row>58</xdr:row>
      <xdr:rowOff>66673</xdr:rowOff>
    </xdr:from>
    <xdr:to>
      <xdr:col>8</xdr:col>
      <xdr:colOff>9525</xdr:colOff>
      <xdr:row>66</xdr:row>
      <xdr:rowOff>66674</xdr:rowOff>
    </xdr:to>
    <xdr:cxnSp macro="">
      <xdr:nvCxnSpPr>
        <xdr:cNvPr id="67" name="66 Conector recto"/>
        <xdr:cNvCxnSpPr/>
      </xdr:nvCxnSpPr>
      <xdr:spPr>
        <a:xfrm rot="16200000" flipH="1">
          <a:off x="2990850" y="17325974"/>
          <a:ext cx="1905001" cy="19049"/>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66</xdr:row>
      <xdr:rowOff>76200</xdr:rowOff>
    </xdr:from>
    <xdr:to>
      <xdr:col>9</xdr:col>
      <xdr:colOff>19050</xdr:colOff>
      <xdr:row>66</xdr:row>
      <xdr:rowOff>77788</xdr:rowOff>
    </xdr:to>
    <xdr:cxnSp macro="">
      <xdr:nvCxnSpPr>
        <xdr:cNvPr id="70" name="69 Conector recto"/>
        <xdr:cNvCxnSpPr/>
      </xdr:nvCxnSpPr>
      <xdr:spPr>
        <a:xfrm>
          <a:off x="3943350" y="18297525"/>
          <a:ext cx="600075" cy="1588"/>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571500</xdr:colOff>
      <xdr:row>63</xdr:row>
      <xdr:rowOff>123828</xdr:rowOff>
    </xdr:from>
    <xdr:to>
      <xdr:col>8</xdr:col>
      <xdr:colOff>580232</xdr:colOff>
      <xdr:row>66</xdr:row>
      <xdr:rowOff>76993</xdr:rowOff>
    </xdr:to>
    <xdr:cxnSp macro="">
      <xdr:nvCxnSpPr>
        <xdr:cNvPr id="71" name="70 Conector recto"/>
        <xdr:cNvCxnSpPr/>
      </xdr:nvCxnSpPr>
      <xdr:spPr>
        <a:xfrm rot="16200000" flipH="1">
          <a:off x="4185446" y="17960182"/>
          <a:ext cx="667540" cy="8732"/>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9525</xdr:colOff>
      <xdr:row>63</xdr:row>
      <xdr:rowOff>133350</xdr:rowOff>
    </xdr:from>
    <xdr:to>
      <xdr:col>10</xdr:col>
      <xdr:colOff>28575</xdr:colOff>
      <xdr:row>63</xdr:row>
      <xdr:rowOff>134938</xdr:rowOff>
    </xdr:to>
    <xdr:cxnSp macro="">
      <xdr:nvCxnSpPr>
        <xdr:cNvPr id="73" name="72 Conector recto"/>
        <xdr:cNvCxnSpPr/>
      </xdr:nvCxnSpPr>
      <xdr:spPr>
        <a:xfrm>
          <a:off x="4533900" y="17640300"/>
          <a:ext cx="600075" cy="1588"/>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60</xdr:row>
      <xdr:rowOff>161928</xdr:rowOff>
    </xdr:from>
    <xdr:to>
      <xdr:col>10</xdr:col>
      <xdr:colOff>8732</xdr:colOff>
      <xdr:row>63</xdr:row>
      <xdr:rowOff>115093</xdr:rowOff>
    </xdr:to>
    <xdr:cxnSp macro="">
      <xdr:nvCxnSpPr>
        <xdr:cNvPr id="74" name="73 Conector recto"/>
        <xdr:cNvCxnSpPr/>
      </xdr:nvCxnSpPr>
      <xdr:spPr>
        <a:xfrm rot="16200000" flipH="1">
          <a:off x="4775996" y="17283907"/>
          <a:ext cx="667540" cy="8732"/>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9525</xdr:colOff>
      <xdr:row>60</xdr:row>
      <xdr:rowOff>161925</xdr:rowOff>
    </xdr:from>
    <xdr:to>
      <xdr:col>11</xdr:col>
      <xdr:colOff>28575</xdr:colOff>
      <xdr:row>60</xdr:row>
      <xdr:rowOff>163513</xdr:rowOff>
    </xdr:to>
    <xdr:cxnSp macro="">
      <xdr:nvCxnSpPr>
        <xdr:cNvPr id="75" name="74 Conector recto"/>
        <xdr:cNvCxnSpPr/>
      </xdr:nvCxnSpPr>
      <xdr:spPr>
        <a:xfrm>
          <a:off x="5114925" y="16954500"/>
          <a:ext cx="600075" cy="1588"/>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60</xdr:row>
      <xdr:rowOff>95250</xdr:rowOff>
    </xdr:from>
    <xdr:to>
      <xdr:col>12</xdr:col>
      <xdr:colOff>19050</xdr:colOff>
      <xdr:row>60</xdr:row>
      <xdr:rowOff>96838</xdr:rowOff>
    </xdr:to>
    <xdr:cxnSp macro="">
      <xdr:nvCxnSpPr>
        <xdr:cNvPr id="76" name="75 Conector recto"/>
        <xdr:cNvCxnSpPr/>
      </xdr:nvCxnSpPr>
      <xdr:spPr>
        <a:xfrm>
          <a:off x="5686425" y="16887825"/>
          <a:ext cx="600075" cy="1588"/>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60</xdr:row>
      <xdr:rowOff>114301</xdr:rowOff>
    </xdr:from>
    <xdr:to>
      <xdr:col>12</xdr:col>
      <xdr:colOff>3</xdr:colOff>
      <xdr:row>64</xdr:row>
      <xdr:rowOff>133352</xdr:rowOff>
    </xdr:to>
    <xdr:cxnSp macro="">
      <xdr:nvCxnSpPr>
        <xdr:cNvPr id="77" name="76 Conector recto"/>
        <xdr:cNvCxnSpPr/>
      </xdr:nvCxnSpPr>
      <xdr:spPr>
        <a:xfrm rot="16200000" flipH="1">
          <a:off x="5781676" y="17392650"/>
          <a:ext cx="971551" cy="3"/>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9525</xdr:colOff>
      <xdr:row>64</xdr:row>
      <xdr:rowOff>114300</xdr:rowOff>
    </xdr:from>
    <xdr:to>
      <xdr:col>13</xdr:col>
      <xdr:colOff>28575</xdr:colOff>
      <xdr:row>64</xdr:row>
      <xdr:rowOff>115888</xdr:rowOff>
    </xdr:to>
    <xdr:cxnSp macro="">
      <xdr:nvCxnSpPr>
        <xdr:cNvPr id="81" name="80 Conector recto"/>
        <xdr:cNvCxnSpPr/>
      </xdr:nvCxnSpPr>
      <xdr:spPr>
        <a:xfrm>
          <a:off x="6276975" y="17859375"/>
          <a:ext cx="600075" cy="1588"/>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xdr:colOff>
      <xdr:row>57</xdr:row>
      <xdr:rowOff>104777</xdr:rowOff>
    </xdr:from>
    <xdr:to>
      <xdr:col>13</xdr:col>
      <xdr:colOff>19051</xdr:colOff>
      <xdr:row>64</xdr:row>
      <xdr:rowOff>104775</xdr:rowOff>
    </xdr:to>
    <xdr:cxnSp macro="">
      <xdr:nvCxnSpPr>
        <xdr:cNvPr id="82" name="81 Conector recto"/>
        <xdr:cNvCxnSpPr/>
      </xdr:nvCxnSpPr>
      <xdr:spPr>
        <a:xfrm rot="5400000">
          <a:off x="6024566" y="16768766"/>
          <a:ext cx="1666873" cy="19046"/>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9525</xdr:colOff>
      <xdr:row>57</xdr:row>
      <xdr:rowOff>95250</xdr:rowOff>
    </xdr:from>
    <xdr:to>
      <xdr:col>14</xdr:col>
      <xdr:colOff>28575</xdr:colOff>
      <xdr:row>57</xdr:row>
      <xdr:rowOff>96838</xdr:rowOff>
    </xdr:to>
    <xdr:cxnSp macro="">
      <xdr:nvCxnSpPr>
        <xdr:cNvPr id="84" name="83 Conector recto"/>
        <xdr:cNvCxnSpPr/>
      </xdr:nvCxnSpPr>
      <xdr:spPr>
        <a:xfrm>
          <a:off x="6858000" y="15935325"/>
          <a:ext cx="600075" cy="1588"/>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57</xdr:row>
      <xdr:rowOff>95250</xdr:rowOff>
    </xdr:from>
    <xdr:to>
      <xdr:col>14</xdr:col>
      <xdr:colOff>9527</xdr:colOff>
      <xdr:row>60</xdr:row>
      <xdr:rowOff>114303</xdr:rowOff>
    </xdr:to>
    <xdr:cxnSp macro="">
      <xdr:nvCxnSpPr>
        <xdr:cNvPr id="85" name="84 Conector recto"/>
        <xdr:cNvCxnSpPr/>
      </xdr:nvCxnSpPr>
      <xdr:spPr>
        <a:xfrm rot="16200000" flipH="1">
          <a:off x="7067550" y="16059150"/>
          <a:ext cx="733428" cy="9527"/>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9524</xdr:colOff>
      <xdr:row>60</xdr:row>
      <xdr:rowOff>89927</xdr:rowOff>
    </xdr:from>
    <xdr:to>
      <xdr:col>11</xdr:col>
      <xdr:colOff>9527</xdr:colOff>
      <xdr:row>60</xdr:row>
      <xdr:rowOff>161927</xdr:rowOff>
    </xdr:to>
    <xdr:cxnSp macro="">
      <xdr:nvCxnSpPr>
        <xdr:cNvPr id="86" name="85 Conector recto"/>
        <xdr:cNvCxnSpPr/>
      </xdr:nvCxnSpPr>
      <xdr:spPr>
        <a:xfrm rot="16200000" flipH="1">
          <a:off x="5659951" y="16918500"/>
          <a:ext cx="72000" cy="3"/>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60</xdr:row>
      <xdr:rowOff>123825</xdr:rowOff>
    </xdr:from>
    <xdr:to>
      <xdr:col>15</xdr:col>
      <xdr:colOff>19050</xdr:colOff>
      <xdr:row>60</xdr:row>
      <xdr:rowOff>125413</xdr:rowOff>
    </xdr:to>
    <xdr:cxnSp macro="">
      <xdr:nvCxnSpPr>
        <xdr:cNvPr id="89" name="88 Conector recto"/>
        <xdr:cNvCxnSpPr/>
      </xdr:nvCxnSpPr>
      <xdr:spPr>
        <a:xfrm>
          <a:off x="7429500" y="16440150"/>
          <a:ext cx="600075" cy="1588"/>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xdr:colOff>
      <xdr:row>59</xdr:row>
      <xdr:rowOff>133350</xdr:rowOff>
    </xdr:from>
    <xdr:to>
      <xdr:col>15</xdr:col>
      <xdr:colOff>9526</xdr:colOff>
      <xdr:row>60</xdr:row>
      <xdr:rowOff>142874</xdr:rowOff>
    </xdr:to>
    <xdr:cxnSp macro="">
      <xdr:nvCxnSpPr>
        <xdr:cNvPr id="90" name="89 Conector recto"/>
        <xdr:cNvCxnSpPr/>
      </xdr:nvCxnSpPr>
      <xdr:spPr>
        <a:xfrm rot="5400000">
          <a:off x="7891464" y="16568737"/>
          <a:ext cx="247649" cy="9525"/>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571500</xdr:colOff>
      <xdr:row>59</xdr:row>
      <xdr:rowOff>123825</xdr:rowOff>
    </xdr:from>
    <xdr:to>
      <xdr:col>16</xdr:col>
      <xdr:colOff>9525</xdr:colOff>
      <xdr:row>59</xdr:row>
      <xdr:rowOff>125413</xdr:rowOff>
    </xdr:to>
    <xdr:cxnSp macro="">
      <xdr:nvCxnSpPr>
        <xdr:cNvPr id="92" name="91 Conector recto"/>
        <xdr:cNvCxnSpPr/>
      </xdr:nvCxnSpPr>
      <xdr:spPr>
        <a:xfrm>
          <a:off x="8001000" y="16202025"/>
          <a:ext cx="600075" cy="1588"/>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570707</xdr:colOff>
      <xdr:row>59</xdr:row>
      <xdr:rowOff>114299</xdr:rowOff>
    </xdr:from>
    <xdr:to>
      <xdr:col>15</xdr:col>
      <xdr:colOff>571501</xdr:colOff>
      <xdr:row>64</xdr:row>
      <xdr:rowOff>115093</xdr:rowOff>
    </xdr:to>
    <xdr:cxnSp macro="">
      <xdr:nvCxnSpPr>
        <xdr:cNvPr id="93" name="92 Conector recto"/>
        <xdr:cNvCxnSpPr/>
      </xdr:nvCxnSpPr>
      <xdr:spPr>
        <a:xfrm rot="5400000">
          <a:off x="7985919" y="16787812"/>
          <a:ext cx="1191419" cy="794"/>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0</xdr:colOff>
      <xdr:row>64</xdr:row>
      <xdr:rowOff>104775</xdr:rowOff>
    </xdr:from>
    <xdr:to>
      <xdr:col>17</xdr:col>
      <xdr:colOff>19050</xdr:colOff>
      <xdr:row>64</xdr:row>
      <xdr:rowOff>106363</xdr:rowOff>
    </xdr:to>
    <xdr:cxnSp macro="">
      <xdr:nvCxnSpPr>
        <xdr:cNvPr id="95" name="94 Conector recto"/>
        <xdr:cNvCxnSpPr/>
      </xdr:nvCxnSpPr>
      <xdr:spPr>
        <a:xfrm>
          <a:off x="8591550" y="17849850"/>
          <a:ext cx="600075" cy="1588"/>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571501</xdr:colOff>
      <xdr:row>60</xdr:row>
      <xdr:rowOff>219870</xdr:rowOff>
    </xdr:from>
    <xdr:to>
      <xdr:col>17</xdr:col>
      <xdr:colOff>795</xdr:colOff>
      <xdr:row>64</xdr:row>
      <xdr:rowOff>104775</xdr:rowOff>
    </xdr:to>
    <xdr:cxnSp macro="">
      <xdr:nvCxnSpPr>
        <xdr:cNvPr id="96" name="95 Conector recto"/>
        <xdr:cNvCxnSpPr/>
      </xdr:nvCxnSpPr>
      <xdr:spPr>
        <a:xfrm rot="5400000">
          <a:off x="8749508" y="17425988"/>
          <a:ext cx="837405" cy="10319"/>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60</xdr:row>
      <xdr:rowOff>209550</xdr:rowOff>
    </xdr:from>
    <xdr:to>
      <xdr:col>18</xdr:col>
      <xdr:colOff>19050</xdr:colOff>
      <xdr:row>60</xdr:row>
      <xdr:rowOff>211138</xdr:rowOff>
    </xdr:to>
    <xdr:cxnSp macro="">
      <xdr:nvCxnSpPr>
        <xdr:cNvPr id="98" name="97 Conector recto"/>
        <xdr:cNvCxnSpPr/>
      </xdr:nvCxnSpPr>
      <xdr:spPr>
        <a:xfrm>
          <a:off x="9172575" y="17002125"/>
          <a:ext cx="600075" cy="1588"/>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xdr:colOff>
      <xdr:row>60</xdr:row>
      <xdr:rowOff>238124</xdr:rowOff>
    </xdr:from>
    <xdr:to>
      <xdr:col>18</xdr:col>
      <xdr:colOff>3</xdr:colOff>
      <xdr:row>63</xdr:row>
      <xdr:rowOff>104774</xdr:rowOff>
    </xdr:to>
    <xdr:cxnSp macro="">
      <xdr:nvCxnSpPr>
        <xdr:cNvPr id="99" name="98 Conector recto"/>
        <xdr:cNvCxnSpPr/>
      </xdr:nvCxnSpPr>
      <xdr:spPr>
        <a:xfrm rot="5400000">
          <a:off x="9463089" y="17321211"/>
          <a:ext cx="581025" cy="2"/>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63</xdr:row>
      <xdr:rowOff>95250</xdr:rowOff>
    </xdr:from>
    <xdr:to>
      <xdr:col>19</xdr:col>
      <xdr:colOff>19050</xdr:colOff>
      <xdr:row>63</xdr:row>
      <xdr:rowOff>96838</xdr:rowOff>
    </xdr:to>
    <xdr:cxnSp macro="">
      <xdr:nvCxnSpPr>
        <xdr:cNvPr id="101" name="100 Conector recto"/>
        <xdr:cNvCxnSpPr/>
      </xdr:nvCxnSpPr>
      <xdr:spPr>
        <a:xfrm>
          <a:off x="9753600" y="17602200"/>
          <a:ext cx="600075" cy="1588"/>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xdr:colOff>
      <xdr:row>63</xdr:row>
      <xdr:rowOff>123823</xdr:rowOff>
    </xdr:from>
    <xdr:to>
      <xdr:col>19</xdr:col>
      <xdr:colOff>9526</xdr:colOff>
      <xdr:row>66</xdr:row>
      <xdr:rowOff>142877</xdr:rowOff>
    </xdr:to>
    <xdr:cxnSp macro="">
      <xdr:nvCxnSpPr>
        <xdr:cNvPr id="102" name="101 Conector recto"/>
        <xdr:cNvCxnSpPr/>
      </xdr:nvCxnSpPr>
      <xdr:spPr>
        <a:xfrm rot="16200000" flipH="1">
          <a:off x="9972675" y="17992727"/>
          <a:ext cx="733429" cy="9522"/>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66</xdr:row>
      <xdr:rowOff>114300</xdr:rowOff>
    </xdr:from>
    <xdr:to>
      <xdr:col>20</xdr:col>
      <xdr:colOff>19050</xdr:colOff>
      <xdr:row>66</xdr:row>
      <xdr:rowOff>115888</xdr:rowOff>
    </xdr:to>
    <xdr:cxnSp macro="">
      <xdr:nvCxnSpPr>
        <xdr:cNvPr id="104" name="103 Conector recto"/>
        <xdr:cNvCxnSpPr/>
      </xdr:nvCxnSpPr>
      <xdr:spPr>
        <a:xfrm>
          <a:off x="10334625" y="18335625"/>
          <a:ext cx="600075" cy="1588"/>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571501</xdr:colOff>
      <xdr:row>66</xdr:row>
      <xdr:rowOff>114299</xdr:rowOff>
    </xdr:from>
    <xdr:to>
      <xdr:col>19</xdr:col>
      <xdr:colOff>571503</xdr:colOff>
      <xdr:row>67</xdr:row>
      <xdr:rowOff>66673</xdr:rowOff>
    </xdr:to>
    <xdr:cxnSp macro="">
      <xdr:nvCxnSpPr>
        <xdr:cNvPr id="105" name="104 Conector recto"/>
        <xdr:cNvCxnSpPr/>
      </xdr:nvCxnSpPr>
      <xdr:spPr>
        <a:xfrm rot="16200000" flipH="1">
          <a:off x="10810877" y="18430873"/>
          <a:ext cx="190499" cy="2"/>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571500</xdr:colOff>
      <xdr:row>67</xdr:row>
      <xdr:rowOff>38100</xdr:rowOff>
    </xdr:from>
    <xdr:to>
      <xdr:col>21</xdr:col>
      <xdr:colOff>9525</xdr:colOff>
      <xdr:row>67</xdr:row>
      <xdr:rowOff>39688</xdr:rowOff>
    </xdr:to>
    <xdr:cxnSp macro="">
      <xdr:nvCxnSpPr>
        <xdr:cNvPr id="107" name="106 Conector recto"/>
        <xdr:cNvCxnSpPr/>
      </xdr:nvCxnSpPr>
      <xdr:spPr>
        <a:xfrm>
          <a:off x="10906125" y="18030825"/>
          <a:ext cx="600075" cy="1588"/>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9526</xdr:colOff>
      <xdr:row>67</xdr:row>
      <xdr:rowOff>28574</xdr:rowOff>
    </xdr:from>
    <xdr:to>
      <xdr:col>21</xdr:col>
      <xdr:colOff>9528</xdr:colOff>
      <xdr:row>67</xdr:row>
      <xdr:rowOff>219073</xdr:rowOff>
    </xdr:to>
    <xdr:cxnSp macro="">
      <xdr:nvCxnSpPr>
        <xdr:cNvPr id="108" name="107 Conector recto"/>
        <xdr:cNvCxnSpPr/>
      </xdr:nvCxnSpPr>
      <xdr:spPr>
        <a:xfrm rot="16200000" flipH="1">
          <a:off x="11410952" y="18116548"/>
          <a:ext cx="190499" cy="2"/>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62</xdr:row>
      <xdr:rowOff>133350</xdr:rowOff>
    </xdr:from>
    <xdr:to>
      <xdr:col>21</xdr:col>
      <xdr:colOff>19050</xdr:colOff>
      <xdr:row>62</xdr:row>
      <xdr:rowOff>161925</xdr:rowOff>
    </xdr:to>
    <xdr:cxnSp macro="">
      <xdr:nvCxnSpPr>
        <xdr:cNvPr id="110" name="109 Conector recto"/>
        <xdr:cNvCxnSpPr/>
      </xdr:nvCxnSpPr>
      <xdr:spPr>
        <a:xfrm flipV="1">
          <a:off x="266700" y="16925925"/>
          <a:ext cx="11249025" cy="28575"/>
        </a:xfrm>
        <a:prstGeom prst="line">
          <a:avLst/>
        </a:prstGeom>
        <a:ln w="254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W70"/>
  <sheetViews>
    <sheetView tabSelected="1" topLeftCell="A56" workbookViewId="0">
      <selection activeCell="B64" sqref="B64"/>
    </sheetView>
  </sheetViews>
  <sheetFormatPr baseColWidth="10" defaultRowHeight="15"/>
  <cols>
    <col min="1" max="20" width="6.7109375" customWidth="1"/>
  </cols>
  <sheetData>
    <row r="1" spans="1:23" ht="28.5">
      <c r="A1" s="115" t="s">
        <v>34</v>
      </c>
      <c r="B1" s="115"/>
      <c r="C1" s="115"/>
      <c r="D1" s="115"/>
      <c r="E1" s="115"/>
      <c r="F1" s="115"/>
      <c r="G1" s="115"/>
      <c r="H1" s="115"/>
      <c r="I1" s="115"/>
      <c r="J1" s="115"/>
      <c r="K1" s="115"/>
      <c r="L1" s="115"/>
      <c r="M1" s="42"/>
      <c r="N1" s="42"/>
      <c r="O1" s="114" t="s">
        <v>83</v>
      </c>
      <c r="P1" s="114"/>
      <c r="Q1" s="114"/>
      <c r="R1" s="114"/>
      <c r="S1" s="6"/>
      <c r="T1" s="6"/>
    </row>
    <row r="2" spans="1:23" ht="28.5">
      <c r="A2" s="115" t="s">
        <v>0</v>
      </c>
      <c r="B2" s="115"/>
      <c r="C2" s="115"/>
      <c r="D2" s="115"/>
      <c r="E2" s="115"/>
      <c r="F2" s="115"/>
      <c r="G2" s="115"/>
      <c r="H2" s="115"/>
      <c r="I2" s="115"/>
      <c r="J2" s="115"/>
      <c r="K2" s="115"/>
      <c r="L2" s="115"/>
      <c r="M2" s="115"/>
      <c r="N2" s="115"/>
      <c r="O2" s="114" t="s">
        <v>15</v>
      </c>
      <c r="P2" s="114"/>
      <c r="Q2" s="114"/>
      <c r="R2" s="114"/>
      <c r="S2" s="1"/>
      <c r="T2" s="1"/>
    </row>
    <row r="3" spans="1:23" s="44" customFormat="1" ht="9.9499999999999993" customHeight="1" thickBot="1">
      <c r="A3" s="43"/>
      <c r="B3" s="43"/>
      <c r="C3" s="43"/>
      <c r="D3" s="43"/>
      <c r="E3" s="43"/>
      <c r="F3" s="43"/>
      <c r="G3" s="43"/>
      <c r="H3" s="43"/>
      <c r="I3" s="43"/>
      <c r="J3" s="43"/>
      <c r="K3" s="43"/>
      <c r="L3" s="43"/>
      <c r="M3" s="43"/>
      <c r="N3" s="43"/>
      <c r="O3" s="43"/>
      <c r="P3" s="43"/>
      <c r="Q3" s="43"/>
      <c r="R3" s="43"/>
      <c r="S3" s="43"/>
      <c r="T3" s="43"/>
      <c r="U3" s="43"/>
    </row>
    <row r="4" spans="1:23" ht="16.5" thickTop="1">
      <c r="A4" s="120" t="s">
        <v>1</v>
      </c>
      <c r="B4" s="121"/>
      <c r="C4" s="120" t="s">
        <v>2</v>
      </c>
      <c r="D4" s="121"/>
      <c r="E4" s="120" t="s">
        <v>3</v>
      </c>
      <c r="F4" s="121"/>
      <c r="G4" s="120" t="s">
        <v>82</v>
      </c>
      <c r="H4" s="121"/>
      <c r="I4" s="14" t="s">
        <v>4</v>
      </c>
      <c r="J4" s="2">
        <v>20</v>
      </c>
      <c r="K4" s="2">
        <v>19</v>
      </c>
      <c r="L4" s="2">
        <v>18</v>
      </c>
      <c r="M4" s="2">
        <v>17</v>
      </c>
      <c r="N4" s="2">
        <v>16</v>
      </c>
      <c r="O4" s="2">
        <v>15</v>
      </c>
      <c r="P4" s="2">
        <v>14</v>
      </c>
      <c r="Q4" s="2">
        <v>13</v>
      </c>
      <c r="R4" s="2">
        <v>12</v>
      </c>
      <c r="S4" s="2">
        <v>11</v>
      </c>
      <c r="T4" s="3" t="s">
        <v>5</v>
      </c>
    </row>
    <row r="5" spans="1:23" ht="16.5" thickBot="1">
      <c r="A5" s="118">
        <v>3</v>
      </c>
      <c r="B5" s="119"/>
      <c r="C5" s="118">
        <v>5</v>
      </c>
      <c r="D5" s="119"/>
      <c r="E5" s="118">
        <v>8</v>
      </c>
      <c r="F5" s="119"/>
      <c r="G5" s="118">
        <v>4</v>
      </c>
      <c r="H5" s="119"/>
      <c r="I5" s="15" t="s">
        <v>6</v>
      </c>
      <c r="J5" s="4">
        <v>10</v>
      </c>
      <c r="K5" s="149">
        <v>9</v>
      </c>
      <c r="L5" s="150"/>
      <c r="M5" s="149">
        <v>8</v>
      </c>
      <c r="N5" s="151"/>
      <c r="O5" s="150"/>
      <c r="P5" s="149">
        <v>7</v>
      </c>
      <c r="Q5" s="150"/>
      <c r="R5" s="4">
        <v>6</v>
      </c>
      <c r="S5" s="4">
        <v>5</v>
      </c>
      <c r="T5" s="5">
        <v>2</v>
      </c>
    </row>
    <row r="6" spans="1:23" s="44" customFormat="1" ht="9.9499999999999993" customHeight="1" thickTop="1"/>
    <row r="7" spans="1:23" ht="15" customHeight="1">
      <c r="A7" s="147" t="s">
        <v>81</v>
      </c>
      <c r="B7" s="147"/>
      <c r="C7" s="147"/>
      <c r="D7" s="147"/>
      <c r="E7" s="147"/>
      <c r="F7" s="147"/>
      <c r="G7" s="147"/>
      <c r="H7" s="147"/>
      <c r="I7" s="147"/>
      <c r="J7" s="147"/>
      <c r="K7" s="147"/>
      <c r="L7" s="147"/>
      <c r="M7" s="147"/>
      <c r="N7" s="147"/>
      <c r="O7" s="147"/>
      <c r="P7" s="147"/>
      <c r="Q7" s="147"/>
      <c r="R7" s="147"/>
      <c r="S7" s="147"/>
      <c r="T7" s="147"/>
    </row>
    <row r="8" spans="1:23" ht="15" customHeight="1">
      <c r="A8" s="147"/>
      <c r="B8" s="147"/>
      <c r="C8" s="147"/>
      <c r="D8" s="147"/>
      <c r="E8" s="147"/>
      <c r="F8" s="147"/>
      <c r="G8" s="147"/>
      <c r="H8" s="147"/>
      <c r="I8" s="147"/>
      <c r="J8" s="147"/>
      <c r="K8" s="147"/>
      <c r="L8" s="147"/>
      <c r="M8" s="147"/>
      <c r="N8" s="147"/>
      <c r="O8" s="147"/>
      <c r="P8" s="147"/>
      <c r="Q8" s="147"/>
      <c r="R8" s="147"/>
      <c r="S8" s="147"/>
      <c r="T8" s="147"/>
    </row>
    <row r="9" spans="1:23" ht="15" customHeight="1">
      <c r="A9" s="147"/>
      <c r="B9" s="147"/>
      <c r="C9" s="147"/>
      <c r="D9" s="147"/>
      <c r="E9" s="147"/>
      <c r="F9" s="147"/>
      <c r="G9" s="147"/>
      <c r="H9" s="147"/>
      <c r="I9" s="147"/>
      <c r="J9" s="147"/>
      <c r="K9" s="147"/>
      <c r="L9" s="147"/>
      <c r="M9" s="147"/>
      <c r="N9" s="147"/>
      <c r="O9" s="147"/>
      <c r="P9" s="147"/>
      <c r="Q9" s="147"/>
      <c r="R9" s="147"/>
      <c r="S9" s="147"/>
      <c r="T9" s="147"/>
    </row>
    <row r="10" spans="1:23" ht="15" customHeight="1" thickBot="1">
      <c r="A10" s="147"/>
      <c r="B10" s="147"/>
      <c r="C10" s="147"/>
      <c r="D10" s="147"/>
      <c r="E10" s="147"/>
      <c r="F10" s="147"/>
      <c r="G10" s="147"/>
      <c r="H10" s="147"/>
      <c r="I10" s="147"/>
      <c r="J10" s="147"/>
      <c r="K10" s="147"/>
      <c r="L10" s="147"/>
      <c r="M10" s="147"/>
      <c r="N10" s="147"/>
      <c r="O10" s="147"/>
      <c r="P10" s="147"/>
      <c r="Q10" s="147"/>
      <c r="R10" s="147"/>
      <c r="S10" s="147"/>
      <c r="T10" s="147"/>
    </row>
    <row r="11" spans="1:23" ht="21" customHeight="1" thickTop="1" thickBot="1">
      <c r="E11" s="16"/>
      <c r="F11" s="16"/>
      <c r="G11" s="16"/>
      <c r="H11" s="134" t="s">
        <v>24</v>
      </c>
      <c r="I11" s="135"/>
      <c r="J11" s="135"/>
      <c r="K11" s="135"/>
      <c r="L11" s="135"/>
      <c r="M11" s="136"/>
      <c r="N11" s="16"/>
      <c r="O11" s="16"/>
      <c r="P11" s="16"/>
      <c r="Q11" s="16"/>
      <c r="R11" s="16"/>
      <c r="S11" s="16"/>
      <c r="T11" s="16"/>
      <c r="U11" s="16"/>
      <c r="V11" s="8"/>
      <c r="W11" s="8"/>
    </row>
    <row r="12" spans="1:23" ht="21" customHeight="1" thickTop="1">
      <c r="D12" s="152" t="s">
        <v>19</v>
      </c>
      <c r="E12" s="153"/>
      <c r="F12" s="153"/>
      <c r="G12" s="154"/>
      <c r="H12" s="18" t="s">
        <v>20</v>
      </c>
      <c r="I12" s="19"/>
      <c r="J12" s="20" t="s">
        <v>22</v>
      </c>
      <c r="K12" s="19"/>
      <c r="L12" s="20" t="s">
        <v>23</v>
      </c>
      <c r="M12" s="21"/>
      <c r="N12" s="140" t="s">
        <v>25</v>
      </c>
      <c r="O12" s="141"/>
      <c r="P12" s="16"/>
    </row>
    <row r="13" spans="1:23" ht="21">
      <c r="D13" s="122" t="s">
        <v>20</v>
      </c>
      <c r="E13" s="123"/>
      <c r="F13" s="130">
        <v>3380</v>
      </c>
      <c r="G13" s="131"/>
      <c r="H13" s="137">
        <v>1014</v>
      </c>
      <c r="I13" s="138"/>
      <c r="J13" s="139">
        <v>1690</v>
      </c>
      <c r="K13" s="138"/>
      <c r="L13" s="139">
        <v>676</v>
      </c>
      <c r="M13" s="138"/>
      <c r="N13" s="139">
        <f>SUM(H13:M13)</f>
        <v>3380</v>
      </c>
      <c r="O13" s="142"/>
      <c r="P13" s="16"/>
    </row>
    <row r="14" spans="1:23" ht="21">
      <c r="D14" s="122" t="s">
        <v>22</v>
      </c>
      <c r="E14" s="123"/>
      <c r="F14" s="130">
        <v>6760</v>
      </c>
      <c r="G14" s="131"/>
      <c r="H14" s="137">
        <v>1352</v>
      </c>
      <c r="I14" s="138"/>
      <c r="J14" s="139">
        <v>4056</v>
      </c>
      <c r="K14" s="138"/>
      <c r="L14" s="139">
        <v>1352</v>
      </c>
      <c r="M14" s="138"/>
      <c r="N14" s="139">
        <f>SUM(H14:M14)</f>
        <v>6760</v>
      </c>
      <c r="O14" s="142"/>
      <c r="P14" s="16"/>
    </row>
    <row r="15" spans="1:23" ht="21">
      <c r="D15" s="122" t="s">
        <v>23</v>
      </c>
      <c r="E15" s="123"/>
      <c r="F15" s="130">
        <v>6760</v>
      </c>
      <c r="G15" s="131"/>
      <c r="H15" s="137">
        <v>1690</v>
      </c>
      <c r="I15" s="138"/>
      <c r="J15" s="139">
        <v>1690</v>
      </c>
      <c r="K15" s="138"/>
      <c r="L15" s="139">
        <v>3380</v>
      </c>
      <c r="M15" s="138"/>
      <c r="N15" s="139">
        <f>SUM(H15:M15)</f>
        <v>6760</v>
      </c>
      <c r="O15" s="142"/>
      <c r="P15" s="16"/>
    </row>
    <row r="16" spans="1:23" ht="21.75" thickBot="1">
      <c r="D16" s="124" t="s">
        <v>21</v>
      </c>
      <c r="E16" s="125"/>
      <c r="F16" s="132">
        <f>SUM(F13:G15)</f>
        <v>16900</v>
      </c>
      <c r="G16" s="133"/>
      <c r="H16" s="143">
        <f>SUM(H13:I15)</f>
        <v>4056</v>
      </c>
      <c r="I16" s="144"/>
      <c r="J16" s="145">
        <f>SUM(J13:K15)</f>
        <v>7436</v>
      </c>
      <c r="K16" s="144"/>
      <c r="L16" s="145">
        <f>SUM(L13:M15)</f>
        <v>5408</v>
      </c>
      <c r="M16" s="144"/>
      <c r="N16" s="145">
        <f>SUM(H16:M16)</f>
        <v>16900</v>
      </c>
      <c r="O16" s="146"/>
      <c r="P16" s="16"/>
      <c r="Q16" s="16"/>
      <c r="R16" s="16"/>
      <c r="S16" s="16"/>
      <c r="T16" s="16"/>
      <c r="U16" s="16"/>
      <c r="V16" s="8"/>
      <c r="W16" s="8"/>
    </row>
    <row r="17" spans="1:20" s="44" customFormat="1" ht="9.9499999999999993" customHeight="1" thickTop="1">
      <c r="A17" s="45"/>
      <c r="B17" s="45"/>
      <c r="C17" s="45"/>
      <c r="D17" s="45"/>
      <c r="E17" s="45"/>
      <c r="F17" s="45"/>
      <c r="G17" s="45"/>
      <c r="H17" s="45"/>
      <c r="I17" s="45"/>
      <c r="J17" s="45"/>
      <c r="K17" s="45"/>
      <c r="L17" s="45"/>
      <c r="M17" s="45"/>
      <c r="N17" s="45"/>
      <c r="O17" s="45"/>
      <c r="P17" s="45"/>
      <c r="Q17" s="45"/>
      <c r="R17" s="45"/>
      <c r="S17" s="45"/>
      <c r="T17" s="45"/>
    </row>
    <row r="18" spans="1:20" ht="21">
      <c r="A18" s="9" t="s">
        <v>32</v>
      </c>
      <c r="C18" s="9"/>
      <c r="D18" s="9"/>
      <c r="E18" s="9"/>
      <c r="F18" s="9"/>
      <c r="G18" s="9"/>
      <c r="H18" s="9"/>
      <c r="I18" s="9"/>
      <c r="J18" s="9"/>
      <c r="K18" s="9"/>
      <c r="L18" s="9"/>
      <c r="M18" s="9"/>
      <c r="N18" s="9"/>
      <c r="O18" s="9"/>
      <c r="P18" s="9"/>
      <c r="Q18" s="9"/>
      <c r="R18" s="9"/>
      <c r="S18" s="9"/>
      <c r="T18" s="9"/>
    </row>
    <row r="19" spans="1:20" ht="21">
      <c r="A19" s="9" t="s">
        <v>33</v>
      </c>
      <c r="C19" s="9"/>
      <c r="D19" s="9"/>
      <c r="E19" s="9"/>
      <c r="F19" s="9"/>
      <c r="G19" s="9"/>
      <c r="H19" s="9"/>
      <c r="I19" s="9"/>
      <c r="J19" s="9"/>
      <c r="K19" s="9"/>
      <c r="L19" s="9"/>
      <c r="M19" s="9"/>
      <c r="N19" s="9"/>
      <c r="O19" s="9"/>
      <c r="P19" s="9"/>
      <c r="Q19" s="9"/>
      <c r="R19" s="9"/>
      <c r="S19" s="9"/>
      <c r="T19" s="9"/>
    </row>
    <row r="20" spans="1:20" s="44" customFormat="1" ht="9.9499999999999993" customHeight="1"/>
    <row r="21" spans="1:20" ht="15" customHeight="1">
      <c r="A21" s="147" t="s">
        <v>35</v>
      </c>
      <c r="B21" s="147"/>
      <c r="C21" s="147"/>
      <c r="D21" s="147"/>
      <c r="E21" s="147"/>
      <c r="F21" s="147"/>
      <c r="G21" s="147"/>
      <c r="H21" s="147"/>
      <c r="I21" s="147"/>
      <c r="J21" s="147"/>
      <c r="K21" s="147"/>
      <c r="L21" s="147"/>
      <c r="M21" s="147"/>
      <c r="N21" s="147"/>
      <c r="O21" s="147"/>
      <c r="P21" s="147"/>
      <c r="Q21" s="147"/>
      <c r="R21" s="147"/>
      <c r="S21" s="147"/>
      <c r="T21" s="147"/>
    </row>
    <row r="22" spans="1:20" ht="15" customHeight="1">
      <c r="A22" s="147"/>
      <c r="B22" s="147"/>
      <c r="C22" s="147"/>
      <c r="D22" s="147"/>
      <c r="E22" s="147"/>
      <c r="F22" s="147"/>
      <c r="G22" s="147"/>
      <c r="H22" s="147"/>
      <c r="I22" s="147"/>
      <c r="J22" s="147"/>
      <c r="K22" s="147"/>
      <c r="L22" s="147"/>
      <c r="M22" s="147"/>
      <c r="N22" s="147"/>
      <c r="O22" s="147"/>
      <c r="P22" s="147"/>
      <c r="Q22" s="147"/>
      <c r="R22" s="147"/>
      <c r="S22" s="147"/>
      <c r="T22" s="147"/>
    </row>
    <row r="23" spans="1:20" ht="15" customHeight="1">
      <c r="A23" s="147"/>
      <c r="B23" s="147"/>
      <c r="C23" s="147"/>
      <c r="D23" s="147"/>
      <c r="E23" s="147"/>
      <c r="F23" s="147"/>
      <c r="G23" s="147"/>
      <c r="H23" s="147"/>
      <c r="I23" s="147"/>
      <c r="J23" s="147"/>
      <c r="K23" s="147"/>
      <c r="L23" s="147"/>
      <c r="M23" s="147"/>
      <c r="N23" s="147"/>
      <c r="O23" s="147"/>
      <c r="P23" s="147"/>
      <c r="Q23" s="147"/>
      <c r="R23" s="147"/>
      <c r="S23" s="147"/>
      <c r="T23" s="147"/>
    </row>
    <row r="24" spans="1:20" ht="15" customHeight="1">
      <c r="A24" s="147"/>
      <c r="B24" s="147"/>
      <c r="C24" s="147"/>
      <c r="D24" s="147"/>
      <c r="E24" s="147"/>
      <c r="F24" s="147"/>
      <c r="G24" s="147"/>
      <c r="H24" s="147"/>
      <c r="I24" s="147"/>
      <c r="J24" s="147"/>
      <c r="K24" s="147"/>
      <c r="L24" s="147"/>
      <c r="M24" s="147"/>
      <c r="N24" s="147"/>
      <c r="O24" s="147"/>
      <c r="P24" s="147"/>
      <c r="Q24" s="147"/>
      <c r="R24" s="147"/>
      <c r="S24" s="147"/>
      <c r="T24" s="147"/>
    </row>
    <row r="25" spans="1:20" s="44" customFormat="1" ht="9.9499999999999993" customHeight="1"/>
    <row r="26" spans="1:20" ht="21">
      <c r="A26" s="10" t="s">
        <v>36</v>
      </c>
      <c r="B26" s="9"/>
      <c r="C26" s="9"/>
      <c r="D26" s="9"/>
      <c r="E26" s="9"/>
      <c r="F26" s="9"/>
      <c r="G26" s="9"/>
      <c r="H26" s="9"/>
      <c r="I26" s="9"/>
      <c r="J26" s="9"/>
      <c r="K26" s="9"/>
      <c r="L26" s="9"/>
      <c r="M26" s="9"/>
      <c r="N26" s="9"/>
      <c r="O26" s="9"/>
      <c r="P26" s="9"/>
      <c r="Q26" s="9"/>
      <c r="R26" s="9"/>
      <c r="S26" s="9"/>
      <c r="T26" s="9"/>
    </row>
    <row r="27" spans="1:20" ht="21">
      <c r="A27" s="10" t="s">
        <v>37</v>
      </c>
      <c r="B27" s="9"/>
      <c r="C27" s="9"/>
      <c r="D27" s="9"/>
      <c r="E27" s="9"/>
      <c r="F27" s="9"/>
      <c r="G27" s="9"/>
      <c r="H27" s="9"/>
      <c r="I27" s="9"/>
      <c r="J27" s="9"/>
      <c r="K27" s="9"/>
      <c r="L27" s="9"/>
      <c r="M27" s="9"/>
      <c r="N27" s="9"/>
      <c r="O27" s="9"/>
      <c r="P27" s="9"/>
      <c r="Q27" s="9"/>
      <c r="R27" s="9"/>
      <c r="S27" s="9"/>
      <c r="T27" s="9"/>
    </row>
    <row r="28" spans="1:20" ht="21">
      <c r="A28" s="10" t="s">
        <v>38</v>
      </c>
      <c r="B28" s="9"/>
      <c r="C28" s="9"/>
      <c r="D28" s="9"/>
      <c r="E28" s="9"/>
      <c r="F28" s="9"/>
      <c r="G28" s="9"/>
      <c r="H28" s="9"/>
      <c r="I28" s="9"/>
      <c r="J28" s="9"/>
      <c r="K28" s="9"/>
      <c r="L28" s="9"/>
      <c r="M28" s="9"/>
      <c r="N28" s="9"/>
      <c r="O28" s="9"/>
      <c r="P28" s="9"/>
      <c r="Q28" s="9"/>
      <c r="R28" s="9"/>
      <c r="S28" s="9"/>
      <c r="T28" s="9"/>
    </row>
    <row r="29" spans="1:20" s="44" customFormat="1" ht="9.9499999999999993" customHeight="1"/>
    <row r="30" spans="1:20" ht="20.100000000000001" customHeight="1">
      <c r="A30" s="148" t="s">
        <v>57</v>
      </c>
      <c r="B30" s="148"/>
      <c r="C30" s="148"/>
      <c r="D30" s="148"/>
      <c r="E30" s="148"/>
      <c r="F30" s="148"/>
      <c r="G30" s="148"/>
      <c r="H30" s="148"/>
      <c r="I30" s="148"/>
      <c r="J30" s="148"/>
      <c r="K30" s="148"/>
      <c r="L30" s="148"/>
      <c r="M30" s="148"/>
      <c r="N30" s="148"/>
      <c r="O30" s="148"/>
      <c r="P30" s="148"/>
      <c r="Q30" s="148"/>
      <c r="R30" s="148"/>
      <c r="S30" s="148"/>
      <c r="T30" s="148"/>
    </row>
    <row r="31" spans="1:20" ht="20.100000000000001" customHeight="1">
      <c r="A31" s="148"/>
      <c r="B31" s="148"/>
      <c r="C31" s="148"/>
      <c r="D31" s="148"/>
      <c r="E31" s="148"/>
      <c r="F31" s="148"/>
      <c r="G31" s="148"/>
      <c r="H31" s="148"/>
      <c r="I31" s="148"/>
      <c r="J31" s="148"/>
      <c r="K31" s="148"/>
      <c r="L31" s="148"/>
      <c r="M31" s="148"/>
      <c r="N31" s="148"/>
      <c r="O31" s="148"/>
      <c r="P31" s="148"/>
      <c r="Q31" s="148"/>
      <c r="R31" s="148"/>
      <c r="S31" s="148"/>
      <c r="T31" s="148"/>
    </row>
    <row r="32" spans="1:20" ht="20.100000000000001" customHeight="1">
      <c r="A32" s="148"/>
      <c r="B32" s="148"/>
      <c r="C32" s="148"/>
      <c r="D32" s="148"/>
      <c r="E32" s="148"/>
      <c r="F32" s="148"/>
      <c r="G32" s="148"/>
      <c r="H32" s="148"/>
      <c r="I32" s="148"/>
      <c r="J32" s="148"/>
      <c r="K32" s="148"/>
      <c r="L32" s="148"/>
      <c r="M32" s="148"/>
      <c r="N32" s="148"/>
      <c r="O32" s="148"/>
      <c r="P32" s="148"/>
      <c r="Q32" s="148"/>
      <c r="R32" s="148"/>
      <c r="S32" s="148"/>
      <c r="T32" s="148"/>
    </row>
    <row r="33" spans="1:20" ht="20.100000000000001" customHeight="1">
      <c r="A33" s="148"/>
      <c r="B33" s="148"/>
      <c r="C33" s="148"/>
      <c r="D33" s="148"/>
      <c r="E33" s="148"/>
      <c r="F33" s="148"/>
      <c r="G33" s="148"/>
      <c r="H33" s="148"/>
      <c r="I33" s="148"/>
      <c r="J33" s="148"/>
      <c r="K33" s="148"/>
      <c r="L33" s="148"/>
      <c r="M33" s="148"/>
      <c r="N33" s="148"/>
      <c r="O33" s="148"/>
      <c r="P33" s="148"/>
      <c r="Q33" s="148"/>
      <c r="R33" s="148"/>
      <c r="S33" s="148"/>
      <c r="T33" s="148"/>
    </row>
    <row r="34" spans="1:20" s="44" customFormat="1" ht="9.9499999999999993" customHeight="1">
      <c r="A34" s="46"/>
      <c r="B34" s="46"/>
      <c r="C34" s="46"/>
      <c r="D34" s="46"/>
      <c r="E34" s="46"/>
      <c r="F34" s="46"/>
      <c r="G34" s="46"/>
      <c r="H34" s="46"/>
      <c r="I34" s="46"/>
      <c r="J34" s="46"/>
      <c r="K34" s="46"/>
      <c r="L34" s="46"/>
      <c r="M34" s="46"/>
      <c r="N34" s="46"/>
      <c r="O34" s="46"/>
      <c r="Q34" s="46"/>
      <c r="T34" s="46"/>
    </row>
    <row r="35" spans="1:20" ht="21" hidden="1">
      <c r="A35" s="11"/>
      <c r="B35" s="11"/>
      <c r="C35" s="11"/>
      <c r="D35" s="11"/>
      <c r="E35" s="116">
        <v>2</v>
      </c>
      <c r="F35" s="12"/>
      <c r="G35" s="36">
        <v>4</v>
      </c>
      <c r="H35" s="11"/>
      <c r="I35" s="116">
        <v>4</v>
      </c>
      <c r="J35" s="12"/>
      <c r="K35" s="36">
        <v>7</v>
      </c>
      <c r="M35" s="116">
        <v>6</v>
      </c>
      <c r="N35" s="12"/>
      <c r="O35" s="11"/>
      <c r="P35" s="11"/>
      <c r="Q35" s="9"/>
      <c r="R35" s="9"/>
    </row>
    <row r="36" spans="1:20" ht="21.75" hidden="1" thickBot="1">
      <c r="A36" s="11"/>
      <c r="B36" s="11"/>
      <c r="C36" s="11"/>
      <c r="D36" s="11"/>
      <c r="E36" s="117"/>
      <c r="F36" s="13"/>
      <c r="G36" s="36"/>
      <c r="H36" s="11"/>
      <c r="I36" s="117"/>
      <c r="J36" s="13"/>
      <c r="K36" s="36"/>
      <c r="M36" s="117"/>
      <c r="N36" s="13"/>
      <c r="O36" s="11"/>
      <c r="P36" s="11"/>
      <c r="Q36" s="11"/>
      <c r="R36" s="11"/>
    </row>
    <row r="37" spans="1:20" ht="20.100000000000001" hidden="1" customHeight="1">
      <c r="A37" s="11"/>
      <c r="B37" s="11"/>
      <c r="C37" s="11">
        <v>1</v>
      </c>
      <c r="D37" s="11"/>
      <c r="E37" s="11"/>
      <c r="F37" s="11"/>
      <c r="G37" s="11"/>
      <c r="H37" s="11"/>
      <c r="I37" s="11"/>
      <c r="J37" s="11"/>
      <c r="K37" s="11"/>
      <c r="O37" s="11"/>
      <c r="P37" s="11">
        <v>11</v>
      </c>
      <c r="Q37" s="11"/>
      <c r="R37" s="11"/>
    </row>
    <row r="38" spans="1:20" ht="20.100000000000001" hidden="1" customHeight="1" thickBot="1">
      <c r="A38" s="11"/>
      <c r="B38" s="11"/>
      <c r="C38" s="11"/>
      <c r="D38" s="11"/>
      <c r="E38" s="11"/>
      <c r="F38" s="11"/>
      <c r="G38" s="11"/>
      <c r="H38" s="11"/>
      <c r="I38" s="11"/>
      <c r="J38" s="11"/>
      <c r="K38" s="11">
        <v>8</v>
      </c>
      <c r="O38" s="11"/>
      <c r="P38" s="11"/>
      <c r="Q38" s="11"/>
      <c r="R38" s="11"/>
    </row>
    <row r="39" spans="1:20" ht="21" hidden="1">
      <c r="A39" s="116">
        <v>1</v>
      </c>
      <c r="B39" s="12"/>
      <c r="C39" s="36"/>
      <c r="D39" s="11"/>
      <c r="E39" s="11">
        <v>3</v>
      </c>
      <c r="F39" s="11"/>
      <c r="G39" s="11">
        <v>5</v>
      </c>
      <c r="H39" s="11"/>
      <c r="I39" s="11"/>
      <c r="J39" s="11"/>
      <c r="K39" s="11"/>
      <c r="M39" s="116">
        <v>7</v>
      </c>
      <c r="N39" s="12"/>
      <c r="O39" s="11">
        <v>12</v>
      </c>
      <c r="P39" s="11"/>
      <c r="Q39" s="116">
        <v>9</v>
      </c>
      <c r="R39" s="12"/>
    </row>
    <row r="40" spans="1:20" ht="21.75" hidden="1" thickBot="1">
      <c r="A40" s="117"/>
      <c r="B40" s="13"/>
      <c r="C40" s="36"/>
      <c r="D40" s="11"/>
      <c r="E40" s="11"/>
      <c r="F40" s="11"/>
      <c r="G40" s="11"/>
      <c r="H40" s="11"/>
      <c r="I40" s="11"/>
      <c r="J40" s="11"/>
      <c r="K40" s="11"/>
      <c r="M40" s="117"/>
      <c r="N40" s="13"/>
      <c r="O40" s="11"/>
      <c r="P40" s="11"/>
      <c r="Q40" s="117"/>
      <c r="R40" s="13"/>
    </row>
    <row r="41" spans="1:20" ht="20.100000000000001" hidden="1" customHeight="1">
      <c r="A41" s="11"/>
      <c r="B41" s="11"/>
      <c r="C41" s="11"/>
      <c r="D41" s="11"/>
      <c r="E41" s="11"/>
      <c r="F41" s="11"/>
      <c r="G41" s="11"/>
      <c r="H41" s="11"/>
      <c r="I41" s="11"/>
      <c r="J41" s="11"/>
      <c r="K41" s="11">
        <v>9</v>
      </c>
      <c r="O41" s="11"/>
      <c r="P41" s="11"/>
      <c r="Q41" s="11"/>
      <c r="R41" s="11"/>
    </row>
    <row r="42" spans="1:20" ht="20.100000000000001" hidden="1" customHeight="1" thickBot="1">
      <c r="A42" s="11"/>
      <c r="B42" s="11"/>
      <c r="C42" s="11">
        <v>2</v>
      </c>
      <c r="D42" s="11"/>
      <c r="E42" s="11"/>
      <c r="F42" s="11"/>
      <c r="G42" s="11"/>
      <c r="H42" s="11"/>
      <c r="I42" s="11"/>
      <c r="J42" s="11"/>
      <c r="K42" s="11"/>
      <c r="O42" s="11"/>
      <c r="P42" s="11">
        <v>13</v>
      </c>
      <c r="Q42" s="11"/>
      <c r="R42" s="11"/>
    </row>
    <row r="43" spans="1:20" ht="21" hidden="1">
      <c r="A43" s="11"/>
      <c r="B43" s="11"/>
      <c r="C43" s="11"/>
      <c r="D43" s="11"/>
      <c r="E43" s="116">
        <v>3</v>
      </c>
      <c r="F43" s="12"/>
      <c r="G43" s="36"/>
      <c r="H43" s="11">
        <v>6</v>
      </c>
      <c r="I43" s="116">
        <v>5</v>
      </c>
      <c r="J43" s="12"/>
      <c r="K43" s="36"/>
      <c r="M43" s="116">
        <v>8</v>
      </c>
      <c r="N43" s="12"/>
      <c r="O43" s="11"/>
      <c r="P43" s="11"/>
      <c r="Q43" s="11"/>
      <c r="R43" s="11"/>
    </row>
    <row r="44" spans="1:20" ht="21.75" hidden="1" thickBot="1">
      <c r="A44" s="11"/>
      <c r="B44" s="11"/>
      <c r="C44" s="11"/>
      <c r="D44" s="11"/>
      <c r="E44" s="117"/>
      <c r="F44" s="13"/>
      <c r="G44" s="36"/>
      <c r="H44" s="11"/>
      <c r="I44" s="117"/>
      <c r="J44" s="13"/>
      <c r="K44" s="36">
        <v>10</v>
      </c>
      <c r="M44" s="117"/>
      <c r="N44" s="13"/>
      <c r="O44" s="11"/>
      <c r="P44" s="11"/>
      <c r="Q44" s="11"/>
      <c r="R44" s="11"/>
    </row>
    <row r="45" spans="1:20" s="44" customFormat="1" ht="9.9499999999999993" customHeight="1">
      <c r="A45" s="46"/>
      <c r="B45" s="46"/>
      <c r="C45" s="46"/>
      <c r="D45" s="46"/>
      <c r="E45" s="46"/>
      <c r="F45" s="46"/>
      <c r="G45" s="46"/>
      <c r="H45" s="46"/>
      <c r="I45" s="46"/>
      <c r="J45" s="46"/>
      <c r="K45" s="46"/>
      <c r="L45" s="46"/>
      <c r="M45" s="46"/>
      <c r="N45" s="46"/>
      <c r="O45" s="46"/>
      <c r="P45" s="46"/>
      <c r="Q45" s="46"/>
      <c r="R45" s="46"/>
      <c r="S45" s="46"/>
    </row>
    <row r="46" spans="1:20" ht="21">
      <c r="A46" s="126" t="s">
        <v>54</v>
      </c>
      <c r="B46" s="126"/>
      <c r="C46" s="126" t="s">
        <v>65</v>
      </c>
      <c r="D46" s="126"/>
      <c r="E46" s="126"/>
      <c r="F46" s="40" t="s">
        <v>16</v>
      </c>
      <c r="G46" s="40" t="s">
        <v>17</v>
      </c>
      <c r="H46" s="40" t="s">
        <v>7</v>
      </c>
      <c r="I46" s="71" t="s">
        <v>10</v>
      </c>
      <c r="J46" s="71" t="s">
        <v>11</v>
      </c>
      <c r="K46" s="108" t="s">
        <v>12</v>
      </c>
      <c r="L46" s="109"/>
      <c r="M46" s="108" t="s">
        <v>13</v>
      </c>
      <c r="N46" s="109"/>
      <c r="O46" s="108" t="s">
        <v>14</v>
      </c>
      <c r="P46" s="109"/>
      <c r="Q46" s="108" t="s">
        <v>18</v>
      </c>
      <c r="R46" s="109"/>
      <c r="S46" s="9"/>
    </row>
    <row r="47" spans="1:20" ht="21">
      <c r="A47" s="104" t="s">
        <v>26</v>
      </c>
      <c r="B47" s="105"/>
      <c r="C47" s="113" t="s">
        <v>66</v>
      </c>
      <c r="D47" s="112"/>
      <c r="E47" s="112"/>
      <c r="F47" s="37"/>
      <c r="G47" s="37"/>
      <c r="H47" s="37">
        <v>4</v>
      </c>
      <c r="I47" s="70"/>
      <c r="J47" s="72"/>
      <c r="K47" s="104">
        <v>20</v>
      </c>
      <c r="L47" s="105"/>
      <c r="M47" s="104">
        <v>10</v>
      </c>
      <c r="N47" s="105"/>
      <c r="O47" s="106"/>
      <c r="P47" s="107"/>
      <c r="Q47" s="106"/>
      <c r="R47" s="107"/>
      <c r="S47" s="9"/>
    </row>
    <row r="48" spans="1:20" ht="21">
      <c r="A48" s="104" t="s">
        <v>27</v>
      </c>
      <c r="B48" s="105"/>
      <c r="C48" s="113" t="s">
        <v>66</v>
      </c>
      <c r="D48" s="112"/>
      <c r="E48" s="112"/>
      <c r="F48" s="37"/>
      <c r="G48" s="37"/>
      <c r="H48" s="37">
        <v>6</v>
      </c>
      <c r="I48" s="70"/>
      <c r="J48" s="70"/>
      <c r="K48" s="104">
        <v>12</v>
      </c>
      <c r="L48" s="105"/>
      <c r="M48" s="104">
        <v>14</v>
      </c>
      <c r="N48" s="105"/>
      <c r="O48" s="106"/>
      <c r="P48" s="107"/>
      <c r="Q48" s="106"/>
      <c r="R48" s="107"/>
      <c r="S48" s="9"/>
    </row>
    <row r="49" spans="1:19" ht="21">
      <c r="A49" s="104" t="s">
        <v>77</v>
      </c>
      <c r="B49" s="105"/>
      <c r="C49" s="112" t="s">
        <v>26</v>
      </c>
      <c r="D49" s="112"/>
      <c r="E49" s="112"/>
      <c r="F49" s="37"/>
      <c r="G49" s="37"/>
      <c r="H49" s="37">
        <v>4</v>
      </c>
      <c r="I49" s="70"/>
      <c r="J49" s="72"/>
      <c r="K49" s="104">
        <v>14</v>
      </c>
      <c r="L49" s="105"/>
      <c r="M49" s="104">
        <v>12</v>
      </c>
      <c r="N49" s="105"/>
      <c r="O49" s="106"/>
      <c r="P49" s="107"/>
      <c r="Q49" s="106"/>
      <c r="R49" s="107"/>
      <c r="S49" s="9"/>
    </row>
    <row r="50" spans="1:19" ht="21">
      <c r="A50" s="104" t="s">
        <v>67</v>
      </c>
      <c r="B50" s="105"/>
      <c r="C50" s="112" t="s">
        <v>26</v>
      </c>
      <c r="D50" s="112"/>
      <c r="E50" s="112"/>
      <c r="F50" s="37"/>
      <c r="G50" s="37"/>
      <c r="H50" s="37">
        <v>3</v>
      </c>
      <c r="I50" s="70"/>
      <c r="J50" s="70"/>
      <c r="K50" s="104">
        <v>8</v>
      </c>
      <c r="L50" s="105"/>
      <c r="M50" s="104">
        <v>12</v>
      </c>
      <c r="N50" s="105"/>
      <c r="O50" s="106"/>
      <c r="P50" s="107"/>
      <c r="Q50" s="106"/>
      <c r="R50" s="107"/>
      <c r="S50" s="9"/>
    </row>
    <row r="51" spans="1:19" ht="21">
      <c r="A51" s="104" t="s">
        <v>68</v>
      </c>
      <c r="B51" s="105"/>
      <c r="C51" s="112" t="s">
        <v>78</v>
      </c>
      <c r="D51" s="112"/>
      <c r="E51" s="112"/>
      <c r="F51" s="37"/>
      <c r="G51" s="37"/>
      <c r="H51" s="37">
        <v>4</v>
      </c>
      <c r="I51" s="70"/>
      <c r="J51" s="72"/>
      <c r="K51" s="104">
        <v>16</v>
      </c>
      <c r="L51" s="105"/>
      <c r="M51" s="104">
        <v>18</v>
      </c>
      <c r="N51" s="105"/>
      <c r="O51" s="106"/>
      <c r="P51" s="107"/>
      <c r="Q51" s="106"/>
      <c r="R51" s="107"/>
      <c r="S51" s="9"/>
    </row>
    <row r="52" spans="1:19" ht="21">
      <c r="A52" s="104" t="s">
        <v>69</v>
      </c>
      <c r="B52" s="105"/>
      <c r="C52" s="112" t="s">
        <v>78</v>
      </c>
      <c r="D52" s="112"/>
      <c r="E52" s="112"/>
      <c r="F52" s="37"/>
      <c r="G52" s="37"/>
      <c r="H52" s="37">
        <v>2</v>
      </c>
      <c r="I52" s="70"/>
      <c r="J52" s="70"/>
      <c r="K52" s="104">
        <v>12</v>
      </c>
      <c r="L52" s="105"/>
      <c r="M52" s="104">
        <v>20</v>
      </c>
      <c r="N52" s="105"/>
      <c r="O52" s="106"/>
      <c r="P52" s="107"/>
      <c r="Q52" s="106"/>
      <c r="R52" s="107"/>
      <c r="S52" s="9"/>
    </row>
    <row r="53" spans="1:19" ht="21">
      <c r="A53" s="104" t="s">
        <v>70</v>
      </c>
      <c r="B53" s="105"/>
      <c r="C53" s="112" t="s">
        <v>79</v>
      </c>
      <c r="D53" s="112"/>
      <c r="E53" s="112"/>
      <c r="F53" s="37"/>
      <c r="G53" s="37"/>
      <c r="H53" s="37">
        <v>4</v>
      </c>
      <c r="I53" s="70"/>
      <c r="J53" s="72"/>
      <c r="K53" s="104">
        <v>10</v>
      </c>
      <c r="L53" s="105"/>
      <c r="M53" s="104">
        <v>12</v>
      </c>
      <c r="N53" s="105"/>
      <c r="O53" s="106"/>
      <c r="P53" s="107"/>
      <c r="Q53" s="106"/>
      <c r="R53" s="107"/>
      <c r="S53" s="9"/>
    </row>
    <row r="54" spans="1:19" ht="21">
      <c r="A54" s="104" t="s">
        <v>71</v>
      </c>
      <c r="B54" s="105"/>
      <c r="C54" s="112" t="s">
        <v>79</v>
      </c>
      <c r="D54" s="112"/>
      <c r="E54" s="112"/>
      <c r="F54" s="37"/>
      <c r="G54" s="37"/>
      <c r="H54" s="37">
        <v>1</v>
      </c>
      <c r="I54" s="70"/>
      <c r="J54" s="70"/>
      <c r="K54" s="104">
        <v>16</v>
      </c>
      <c r="L54" s="105"/>
      <c r="M54" s="104">
        <v>14</v>
      </c>
      <c r="N54" s="105"/>
      <c r="O54" s="106"/>
      <c r="P54" s="107"/>
      <c r="Q54" s="106"/>
      <c r="R54" s="107"/>
      <c r="S54" s="9"/>
    </row>
    <row r="55" spans="1:19" ht="21">
      <c r="A55" s="104" t="s">
        <v>72</v>
      </c>
      <c r="B55" s="105"/>
      <c r="C55" s="112" t="s">
        <v>69</v>
      </c>
      <c r="D55" s="112"/>
      <c r="E55" s="112"/>
      <c r="F55" s="17"/>
      <c r="G55" s="17"/>
      <c r="H55" s="70">
        <v>2</v>
      </c>
      <c r="I55" s="17"/>
      <c r="J55" s="17"/>
      <c r="K55" s="104">
        <v>20</v>
      </c>
      <c r="L55" s="105"/>
      <c r="M55" s="110">
        <v>9</v>
      </c>
      <c r="N55" s="111"/>
      <c r="O55" s="106"/>
      <c r="P55" s="107"/>
      <c r="Q55" s="106"/>
      <c r="R55" s="107"/>
      <c r="S55" s="9"/>
    </row>
    <row r="56" spans="1:19" ht="21">
      <c r="A56" s="104" t="s">
        <v>73</v>
      </c>
      <c r="B56" s="105"/>
      <c r="C56" s="112" t="s">
        <v>69</v>
      </c>
      <c r="D56" s="112"/>
      <c r="E56" s="112"/>
      <c r="F56" s="39"/>
      <c r="G56" s="39"/>
      <c r="H56" s="70">
        <v>3</v>
      </c>
      <c r="I56" s="39"/>
      <c r="J56" s="39"/>
      <c r="K56" s="104">
        <v>8</v>
      </c>
      <c r="L56" s="105"/>
      <c r="M56" s="104">
        <v>10</v>
      </c>
      <c r="N56" s="105"/>
      <c r="O56" s="106"/>
      <c r="P56" s="107"/>
      <c r="Q56" s="106"/>
      <c r="R56" s="107"/>
      <c r="S56" s="7"/>
    </row>
    <row r="57" spans="1:19" ht="21">
      <c r="A57" s="104" t="s">
        <v>74</v>
      </c>
      <c r="B57" s="105"/>
      <c r="C57" s="112" t="s">
        <v>70</v>
      </c>
      <c r="D57" s="112"/>
      <c r="E57" s="112"/>
      <c r="F57" s="17"/>
      <c r="G57" s="17"/>
      <c r="H57" s="70">
        <v>3</v>
      </c>
      <c r="I57" s="17"/>
      <c r="J57" s="17"/>
      <c r="K57" s="104">
        <v>4</v>
      </c>
      <c r="L57" s="105"/>
      <c r="M57" s="104">
        <v>10</v>
      </c>
      <c r="N57" s="105"/>
      <c r="O57" s="106"/>
      <c r="P57" s="107"/>
      <c r="Q57" s="106"/>
      <c r="R57" s="107"/>
    </row>
    <row r="58" spans="1:19" ht="21">
      <c r="A58" s="104" t="s">
        <v>75</v>
      </c>
      <c r="B58" s="105"/>
      <c r="C58" s="112" t="s">
        <v>80</v>
      </c>
      <c r="D58" s="112"/>
      <c r="E58" s="112"/>
      <c r="F58" s="17"/>
      <c r="G58" s="17"/>
      <c r="H58" s="70">
        <v>4</v>
      </c>
      <c r="I58" s="17"/>
      <c r="J58" s="17"/>
      <c r="K58" s="104">
        <v>8</v>
      </c>
      <c r="L58" s="105"/>
      <c r="M58" s="104">
        <v>12</v>
      </c>
      <c r="N58" s="105"/>
      <c r="O58" s="106"/>
      <c r="P58" s="107"/>
      <c r="Q58" s="106"/>
      <c r="R58" s="107"/>
    </row>
    <row r="59" spans="1:19" ht="21">
      <c r="A59" s="104" t="s">
        <v>76</v>
      </c>
      <c r="B59" s="105"/>
      <c r="C59" s="112" t="s">
        <v>73</v>
      </c>
      <c r="D59" s="112"/>
      <c r="E59" s="112"/>
      <c r="F59" s="17"/>
      <c r="G59" s="17"/>
      <c r="H59" s="70">
        <v>3</v>
      </c>
      <c r="I59" s="17"/>
      <c r="J59" s="17"/>
      <c r="K59" s="104">
        <v>16</v>
      </c>
      <c r="L59" s="105"/>
      <c r="M59" s="104">
        <v>8</v>
      </c>
      <c r="N59" s="105"/>
      <c r="O59" s="106"/>
      <c r="P59" s="107"/>
      <c r="Q59" s="106"/>
      <c r="R59" s="107"/>
    </row>
    <row r="60" spans="1:19" ht="21">
      <c r="A60" s="108" t="s">
        <v>8</v>
      </c>
      <c r="B60" s="128"/>
      <c r="C60" s="129"/>
      <c r="D60" s="127"/>
      <c r="E60" s="127"/>
      <c r="F60" s="127"/>
      <c r="G60" s="75"/>
      <c r="H60" s="75"/>
      <c r="I60" s="75"/>
      <c r="J60" s="9"/>
      <c r="K60" s="127" t="s">
        <v>9</v>
      </c>
      <c r="L60" s="127"/>
      <c r="M60" s="127"/>
      <c r="N60" s="127"/>
      <c r="O60" s="127"/>
      <c r="P60" s="127"/>
      <c r="Q60" s="127"/>
      <c r="R60" s="127"/>
    </row>
    <row r="62" spans="1:19" ht="37.5" customHeight="1">
      <c r="A62" s="100" t="s">
        <v>89</v>
      </c>
      <c r="B62" s="100"/>
      <c r="C62" s="100"/>
      <c r="D62" s="100"/>
      <c r="E62" s="100"/>
      <c r="F62" s="100"/>
      <c r="G62" s="100"/>
      <c r="H62" s="100"/>
      <c r="I62" s="100"/>
      <c r="J62" s="100"/>
      <c r="K62" s="100"/>
      <c r="L62" s="100"/>
      <c r="M62" s="100"/>
      <c r="N62" s="100"/>
      <c r="O62" s="100"/>
      <c r="P62" s="100"/>
      <c r="Q62" s="100"/>
      <c r="R62" s="100"/>
    </row>
    <row r="64" spans="1:19" ht="18.75" customHeight="1">
      <c r="B64" s="87" t="s">
        <v>90</v>
      </c>
      <c r="C64" s="101" t="s">
        <v>88</v>
      </c>
      <c r="D64" s="101"/>
    </row>
    <row r="65" spans="1:18" ht="18.75" customHeight="1">
      <c r="B65" s="88">
        <v>1</v>
      </c>
      <c r="C65" s="102">
        <v>0.05</v>
      </c>
      <c r="D65" s="103"/>
    </row>
    <row r="66" spans="1:18" ht="18.75" customHeight="1">
      <c r="B66" s="88">
        <v>3</v>
      </c>
      <c r="C66" s="102">
        <v>0.1</v>
      </c>
      <c r="D66" s="103"/>
    </row>
    <row r="67" spans="1:18" ht="18.75" customHeight="1">
      <c r="B67" s="88">
        <v>5</v>
      </c>
      <c r="C67" s="102">
        <v>0.5</v>
      </c>
      <c r="D67" s="103"/>
    </row>
    <row r="68" spans="1:18" ht="18.75" customHeight="1">
      <c r="B68" s="88">
        <v>7</v>
      </c>
      <c r="C68" s="102">
        <v>0.35</v>
      </c>
      <c r="D68" s="103"/>
    </row>
    <row r="70" spans="1:18" ht="63.75" customHeight="1">
      <c r="A70" s="99" t="s">
        <v>91</v>
      </c>
      <c r="B70" s="99"/>
      <c r="C70" s="99"/>
      <c r="D70" s="99"/>
      <c r="E70" s="99"/>
      <c r="F70" s="99"/>
      <c r="G70" s="99"/>
      <c r="H70" s="99"/>
      <c r="I70" s="99"/>
      <c r="J70" s="99"/>
      <c r="K70" s="99"/>
      <c r="L70" s="99"/>
      <c r="M70" s="99"/>
      <c r="N70" s="99"/>
      <c r="O70" s="99"/>
      <c r="P70" s="99"/>
      <c r="Q70" s="99"/>
      <c r="R70" s="99"/>
    </row>
  </sheetData>
  <mergeCells count="149">
    <mergeCell ref="G4:H4"/>
    <mergeCell ref="G5:H5"/>
    <mergeCell ref="K5:L5"/>
    <mergeCell ref="M5:O5"/>
    <mergeCell ref="P5:Q5"/>
    <mergeCell ref="A7:T10"/>
    <mergeCell ref="D12:G12"/>
    <mergeCell ref="F13:G13"/>
    <mergeCell ref="H11:M11"/>
    <mergeCell ref="H15:I15"/>
    <mergeCell ref="J15:K15"/>
    <mergeCell ref="L15:M15"/>
    <mergeCell ref="M39:M40"/>
    <mergeCell ref="M43:M44"/>
    <mergeCell ref="N12:O12"/>
    <mergeCell ref="H13:I13"/>
    <mergeCell ref="J13:K13"/>
    <mergeCell ref="L13:M13"/>
    <mergeCell ref="N13:O13"/>
    <mergeCell ref="H14:I14"/>
    <mergeCell ref="J14:K14"/>
    <mergeCell ref="L14:M14"/>
    <mergeCell ref="M35:M36"/>
    <mergeCell ref="N14:O14"/>
    <mergeCell ref="N15:O15"/>
    <mergeCell ref="H16:I16"/>
    <mergeCell ref="J16:K16"/>
    <mergeCell ref="L16:M16"/>
    <mergeCell ref="N16:O16"/>
    <mergeCell ref="A21:T24"/>
    <mergeCell ref="A30:T33"/>
    <mergeCell ref="D14:E14"/>
    <mergeCell ref="D15:E15"/>
    <mergeCell ref="D16:E16"/>
    <mergeCell ref="A46:B46"/>
    <mergeCell ref="C46:E46"/>
    <mergeCell ref="O46:P46"/>
    <mergeCell ref="K49:L49"/>
    <mergeCell ref="K48:L48"/>
    <mergeCell ref="O60:R60"/>
    <mergeCell ref="K60:N60"/>
    <mergeCell ref="A60:C60"/>
    <mergeCell ref="D60:F60"/>
    <mergeCell ref="C47:E47"/>
    <mergeCell ref="F14:G14"/>
    <mergeCell ref="F15:G15"/>
    <mergeCell ref="F16:G16"/>
    <mergeCell ref="C59:E59"/>
    <mergeCell ref="C48:E48"/>
    <mergeCell ref="C49:E49"/>
    <mergeCell ref="C50:E50"/>
    <mergeCell ref="C51:E51"/>
    <mergeCell ref="C52:E52"/>
    <mergeCell ref="C53:E53"/>
    <mergeCell ref="O1:R1"/>
    <mergeCell ref="A1:L1"/>
    <mergeCell ref="O2:R2"/>
    <mergeCell ref="A2:N2"/>
    <mergeCell ref="Q39:Q40"/>
    <mergeCell ref="A5:B5"/>
    <mergeCell ref="C5:D5"/>
    <mergeCell ref="E5:F5"/>
    <mergeCell ref="A4:B4"/>
    <mergeCell ref="C4:D4"/>
    <mergeCell ref="E4:F4"/>
    <mergeCell ref="A39:A40"/>
    <mergeCell ref="E35:E36"/>
    <mergeCell ref="E43:E44"/>
    <mergeCell ref="I35:I36"/>
    <mergeCell ref="I43:I44"/>
    <mergeCell ref="D13:E13"/>
    <mergeCell ref="A49:B49"/>
    <mergeCell ref="A50:B50"/>
    <mergeCell ref="A51:B51"/>
    <mergeCell ref="A52:B52"/>
    <mergeCell ref="C54:E54"/>
    <mergeCell ref="C55:E55"/>
    <mergeCell ref="C56:E56"/>
    <mergeCell ref="C57:E57"/>
    <mergeCell ref="C58:E58"/>
    <mergeCell ref="Q46:R46"/>
    <mergeCell ref="Q47:R47"/>
    <mergeCell ref="Q48:R48"/>
    <mergeCell ref="Q49:R49"/>
    <mergeCell ref="Q50:R50"/>
    <mergeCell ref="Q51:R51"/>
    <mergeCell ref="A59:B59"/>
    <mergeCell ref="K46:L46"/>
    <mergeCell ref="M46:N46"/>
    <mergeCell ref="M52:N52"/>
    <mergeCell ref="M53:N53"/>
    <mergeCell ref="M54:N54"/>
    <mergeCell ref="M55:N55"/>
    <mergeCell ref="M56:N56"/>
    <mergeCell ref="M57:N57"/>
    <mergeCell ref="M58:N58"/>
    <mergeCell ref="A53:B53"/>
    <mergeCell ref="A54:B54"/>
    <mergeCell ref="A55:B55"/>
    <mergeCell ref="A56:B56"/>
    <mergeCell ref="A57:B57"/>
    <mergeCell ref="A58:B58"/>
    <mergeCell ref="A47:B47"/>
    <mergeCell ref="A48:B48"/>
    <mergeCell ref="M50:N50"/>
    <mergeCell ref="M51:N51"/>
    <mergeCell ref="M59:N59"/>
    <mergeCell ref="Q58:R58"/>
    <mergeCell ref="Q59:R59"/>
    <mergeCell ref="O47:P47"/>
    <mergeCell ref="O48:P48"/>
    <mergeCell ref="O49:P49"/>
    <mergeCell ref="O50:P50"/>
    <mergeCell ref="O51:P51"/>
    <mergeCell ref="O52:P52"/>
    <mergeCell ref="O53:P53"/>
    <mergeCell ref="O56:P56"/>
    <mergeCell ref="O54:P54"/>
    <mergeCell ref="Q52:R52"/>
    <mergeCell ref="Q53:R53"/>
    <mergeCell ref="Q54:R54"/>
    <mergeCell ref="Q55:R55"/>
    <mergeCell ref="Q56:R56"/>
    <mergeCell ref="O55:P55"/>
    <mergeCell ref="Q57:R57"/>
    <mergeCell ref="A70:R70"/>
    <mergeCell ref="A62:R62"/>
    <mergeCell ref="C64:D64"/>
    <mergeCell ref="C65:D65"/>
    <mergeCell ref="C66:D66"/>
    <mergeCell ref="C67:D67"/>
    <mergeCell ref="C68:D68"/>
    <mergeCell ref="K47:L47"/>
    <mergeCell ref="K55:L55"/>
    <mergeCell ref="K54:L54"/>
    <mergeCell ref="K53:L53"/>
    <mergeCell ref="K52:L52"/>
    <mergeCell ref="K51:L51"/>
    <mergeCell ref="K50:L50"/>
    <mergeCell ref="O57:P57"/>
    <mergeCell ref="O58:P58"/>
    <mergeCell ref="K59:L59"/>
    <mergeCell ref="K58:L58"/>
    <mergeCell ref="K57:L57"/>
    <mergeCell ref="K56:L56"/>
    <mergeCell ref="O59:P59"/>
    <mergeCell ref="M47:N47"/>
    <mergeCell ref="M48:N48"/>
    <mergeCell ref="M49:N49"/>
  </mergeCells>
  <conditionalFormatting sqref="J47:K54 K55:K59 M47:M59 Q47:Q59 O47:O59">
    <cfRule type="cellIs" dxfId="2" priority="2" operator="equal">
      <formula>"SI"</formula>
    </cfRule>
  </conditionalFormatting>
  <conditionalFormatting sqref="K47:K59 M47:M59">
    <cfRule type="cellIs" dxfId="1" priority="1" operator="equal">
      <formula>"SI"</formula>
    </cfRule>
  </conditionalFormatting>
  <printOptions horizontalCentered="1" verticalCentered="1"/>
  <pageMargins left="0.39370078740157483" right="0" top="0" bottom="0" header="0.31496062992125984" footer="0.31496062992125984"/>
  <pageSetup paperSize="9" scale="75" orientation="portrait" r:id="rId1"/>
  <drawing r:id="rId2"/>
</worksheet>
</file>

<file path=xl/worksheets/sheet2.xml><?xml version="1.0" encoding="utf-8"?>
<worksheet xmlns="http://schemas.openxmlformats.org/spreadsheetml/2006/main" xmlns:r="http://schemas.openxmlformats.org/officeDocument/2006/relationships">
  <sheetPr>
    <pageSetUpPr fitToPage="1"/>
  </sheetPr>
  <dimension ref="A1:BA69"/>
  <sheetViews>
    <sheetView topLeftCell="V8" workbookViewId="0">
      <selection activeCell="AY22" sqref="AY22"/>
    </sheetView>
  </sheetViews>
  <sheetFormatPr baseColWidth="10" defaultRowHeight="18.75"/>
  <cols>
    <col min="1" max="1" width="4" style="23" bestFit="1" customWidth="1"/>
    <col min="2" max="2" width="2.85546875" style="23" bestFit="1" customWidth="1"/>
    <col min="3" max="10" width="8.7109375" style="23" customWidth="1"/>
    <col min="11" max="13" width="9.7109375" style="23" customWidth="1"/>
    <col min="14" max="21" width="8.7109375" style="23" customWidth="1"/>
    <col min="22" max="22" width="6.7109375" style="23" customWidth="1"/>
    <col min="23" max="24" width="11.42578125" style="23"/>
    <col min="25" max="30" width="0" style="23" hidden="1" customWidth="1"/>
    <col min="31" max="35" width="12" style="23" hidden="1" customWidth="1"/>
    <col min="36" max="40" width="0" style="23" hidden="1" customWidth="1"/>
    <col min="41" max="44" width="11.42578125" style="23"/>
    <col min="45" max="45" width="13" style="23" bestFit="1" customWidth="1"/>
    <col min="46" max="46" width="16.140625" style="23" bestFit="1" customWidth="1"/>
    <col min="47" max="47" width="9.85546875" style="23" bestFit="1" customWidth="1"/>
    <col min="48" max="16384" width="11.42578125" style="23"/>
  </cols>
  <sheetData>
    <row r="1" spans="1:53" ht="62.25" customHeight="1">
      <c r="A1" s="23" t="s">
        <v>29</v>
      </c>
      <c r="C1" s="24" t="s">
        <v>26</v>
      </c>
      <c r="D1" s="24" t="s">
        <v>27</v>
      </c>
      <c r="E1" s="24" t="s">
        <v>28</v>
      </c>
      <c r="F1" s="25"/>
      <c r="G1" s="164" t="s">
        <v>84</v>
      </c>
      <c r="H1" s="164"/>
      <c r="I1" s="26"/>
      <c r="K1" s="23" t="s">
        <v>30</v>
      </c>
      <c r="L1" s="164" t="s">
        <v>85</v>
      </c>
      <c r="M1" s="164"/>
      <c r="O1" s="23" t="s">
        <v>58</v>
      </c>
      <c r="P1" s="164" t="s">
        <v>86</v>
      </c>
      <c r="Q1" s="164"/>
      <c r="S1" s="30" t="s">
        <v>26</v>
      </c>
      <c r="T1" s="30" t="s">
        <v>27</v>
      </c>
      <c r="U1" s="30" t="s">
        <v>28</v>
      </c>
      <c r="AQ1" s="100" t="s">
        <v>91</v>
      </c>
      <c r="AR1" s="100"/>
      <c r="AS1" s="100"/>
      <c r="AT1" s="100"/>
      <c r="AU1" s="100"/>
      <c r="AV1" s="100"/>
      <c r="AW1" s="100"/>
      <c r="AX1" s="100"/>
      <c r="AY1" s="100"/>
      <c r="AZ1" s="100"/>
      <c r="BA1" s="100"/>
    </row>
    <row r="2" spans="1:53">
      <c r="B2" s="23" t="s">
        <v>26</v>
      </c>
      <c r="C2" s="22">
        <f>1014/3380</f>
        <v>0.3</v>
      </c>
      <c r="D2" s="22">
        <f>1690/3380</f>
        <v>0.5</v>
      </c>
      <c r="E2" s="22">
        <f>676/3380</f>
        <v>0.2</v>
      </c>
      <c r="G2" s="22">
        <v>0.3</v>
      </c>
      <c r="H2" s="22">
        <v>0.5</v>
      </c>
      <c r="I2" s="22">
        <v>0.2</v>
      </c>
      <c r="K2" s="27">
        <f>+C2*G2+C3*H2+C4*I2</f>
        <v>0.24</v>
      </c>
      <c r="L2" s="27">
        <f>+D2*G2+D3*H2+D4*I2</f>
        <v>0.49999999999999994</v>
      </c>
      <c r="M2" s="27">
        <f>+E2*G2+E3*H2+E4*I2</f>
        <v>0.26</v>
      </c>
      <c r="O2" s="27">
        <f>+G2*K2+G3*L2+G4*M2</f>
        <v>0.23699999999999999</v>
      </c>
      <c r="P2" s="27">
        <f>+H2*K2+H3*L2+H4*M2</f>
        <v>0.48499999999999993</v>
      </c>
      <c r="Q2" s="27">
        <f>+I2*K2+I3*L2+I4*M2</f>
        <v>0.27800000000000002</v>
      </c>
      <c r="R2" s="23">
        <v>3380</v>
      </c>
      <c r="S2" s="74">
        <f>+O2*R2</f>
        <v>801.06</v>
      </c>
      <c r="T2" s="74">
        <f>+P2*R2</f>
        <v>1639.2999999999997</v>
      </c>
      <c r="U2" s="74">
        <f>+Q2*R2</f>
        <v>939.6400000000001</v>
      </c>
      <c r="AB2" s="23">
        <v>0</v>
      </c>
      <c r="AC2" s="23">
        <v>0.5</v>
      </c>
      <c r="AD2" s="23">
        <v>0.5</v>
      </c>
      <c r="AF2" s="23">
        <v>0</v>
      </c>
      <c r="AG2" s="23">
        <v>0.5</v>
      </c>
      <c r="AH2" s="23">
        <v>0.5</v>
      </c>
      <c r="AJ2" s="23">
        <f>+AB2*AF2+AC2*AF3+AD2*AF4</f>
        <v>0.875</v>
      </c>
      <c r="AK2" s="23">
        <f>+AB2*AG2+AC2*AG3+AD2*AG4</f>
        <v>0</v>
      </c>
      <c r="AL2" s="23">
        <f>+AB2*AH2+AC2*AH3+AD2*AH4</f>
        <v>0.125</v>
      </c>
      <c r="AQ2"/>
      <c r="AR2"/>
      <c r="AS2"/>
      <c r="AT2"/>
      <c r="AU2"/>
      <c r="AV2"/>
      <c r="AW2"/>
      <c r="AX2"/>
      <c r="AY2"/>
      <c r="AZ2"/>
    </row>
    <row r="3" spans="1:53">
      <c r="B3" s="23" t="s">
        <v>27</v>
      </c>
      <c r="C3" s="22">
        <f>1352/6760</f>
        <v>0.2</v>
      </c>
      <c r="D3" s="22">
        <f>4056/6760</f>
        <v>0.6</v>
      </c>
      <c r="E3" s="22">
        <f>1352/6760</f>
        <v>0.2</v>
      </c>
      <c r="G3" s="22">
        <v>0.2</v>
      </c>
      <c r="H3" s="22">
        <v>0.6</v>
      </c>
      <c r="I3" s="22">
        <v>0.2</v>
      </c>
      <c r="K3" s="27">
        <f>+C2*G3+C3*H3+C4*I3</f>
        <v>0.22999999999999998</v>
      </c>
      <c r="L3" s="27">
        <f>+D2*G3+D3*H3+D4*I3</f>
        <v>0.51</v>
      </c>
      <c r="M3" s="27">
        <f>+E2*G3+E3*H3+E4*I3</f>
        <v>0.26</v>
      </c>
      <c r="O3" s="27">
        <f>+G2*K3+G3*L3+G4*M3</f>
        <v>0.23599999999999999</v>
      </c>
      <c r="P3" s="27">
        <f>+H2*K3+H3*L3+H4*M3</f>
        <v>0.48599999999999999</v>
      </c>
      <c r="Q3" s="27">
        <f>+I2*K3+I3*L3+I4*M3</f>
        <v>0.27800000000000002</v>
      </c>
      <c r="R3" s="23">
        <v>6760</v>
      </c>
      <c r="S3" s="74">
        <f>+O3*R3</f>
        <v>1595.36</v>
      </c>
      <c r="T3" s="74">
        <f>+P3*R3</f>
        <v>3285.36</v>
      </c>
      <c r="U3" s="74">
        <f>+Q3*R3</f>
        <v>1879.2800000000002</v>
      </c>
      <c r="Y3" s="23" t="s">
        <v>62</v>
      </c>
      <c r="Z3" s="23" t="s">
        <v>63</v>
      </c>
      <c r="AA3" s="23" t="s">
        <v>64</v>
      </c>
      <c r="AB3" s="23">
        <v>0.75</v>
      </c>
      <c r="AC3" s="23">
        <v>0</v>
      </c>
      <c r="AD3" s="23">
        <v>0.25</v>
      </c>
      <c r="AF3" s="23">
        <v>0.75</v>
      </c>
      <c r="AG3" s="23">
        <v>0</v>
      </c>
      <c r="AH3" s="23">
        <v>0.25</v>
      </c>
      <c r="AJ3" s="23">
        <f>+AB3*AF2+AC3*AF3+AD3*AF4</f>
        <v>0.25</v>
      </c>
      <c r="AK3" s="23">
        <f>+AB3*AG2+AC3*AG3+AD3*AG4</f>
        <v>0.375</v>
      </c>
      <c r="AL3" s="23">
        <f>+AB3*AH2+AC3*AH3+AD3*AH4</f>
        <v>0.375</v>
      </c>
      <c r="AQ3"/>
      <c r="AR3" s="97" t="s">
        <v>90</v>
      </c>
      <c r="AS3" s="98" t="s">
        <v>88</v>
      </c>
      <c r="AT3" s="83" t="s">
        <v>92</v>
      </c>
      <c r="AU3" s="83" t="s">
        <v>93</v>
      </c>
      <c r="AW3"/>
      <c r="AX3"/>
      <c r="AY3"/>
      <c r="AZ3"/>
    </row>
    <row r="4" spans="1:53">
      <c r="B4" s="23" t="s">
        <v>28</v>
      </c>
      <c r="C4" s="22">
        <f>1690/6760</f>
        <v>0.25</v>
      </c>
      <c r="D4" s="22">
        <f>1690/6760</f>
        <v>0.25</v>
      </c>
      <c r="E4" s="22">
        <f>3380/6760</f>
        <v>0.5</v>
      </c>
      <c r="G4" s="22">
        <v>0.25</v>
      </c>
      <c r="H4" s="22">
        <v>0.25</v>
      </c>
      <c r="I4" s="22">
        <v>0.5</v>
      </c>
      <c r="K4" s="27">
        <f>+C2*G4+C3*H4+C4*I4</f>
        <v>0.25</v>
      </c>
      <c r="L4" s="27">
        <f>+D2*G4+D3*H4+D4*I4</f>
        <v>0.4</v>
      </c>
      <c r="M4" s="27">
        <f>+E2*G4+E3*H4+E4*I4</f>
        <v>0.35</v>
      </c>
      <c r="O4" s="27">
        <f>+G2*K4+G3*L4+G4*M4</f>
        <v>0.24250000000000002</v>
      </c>
      <c r="P4" s="27">
        <f>+H2*K4+H3*L4+H4*M4</f>
        <v>0.45250000000000001</v>
      </c>
      <c r="Q4" s="27">
        <f>+I2*K4+I3*L4+I4*M4</f>
        <v>0.30499999999999999</v>
      </c>
      <c r="R4" s="23">
        <v>6760</v>
      </c>
      <c r="S4" s="74">
        <f>+O4*R4</f>
        <v>1639.3000000000002</v>
      </c>
      <c r="T4" s="74">
        <f>+P4*R4</f>
        <v>3058.9</v>
      </c>
      <c r="U4" s="74">
        <f>+Q4*R4</f>
        <v>2061.8000000000002</v>
      </c>
      <c r="AB4" s="23">
        <v>1</v>
      </c>
      <c r="AC4" s="23">
        <v>0</v>
      </c>
      <c r="AD4" s="23">
        <v>0</v>
      </c>
      <c r="AF4" s="23">
        <v>1</v>
      </c>
      <c r="AG4" s="23">
        <v>0</v>
      </c>
      <c r="AH4" s="23">
        <v>0</v>
      </c>
      <c r="AJ4" s="23">
        <f>+AB4*AF2+AC4*AF3+AD4*AF4</f>
        <v>0</v>
      </c>
      <c r="AK4" s="23">
        <f>+AB4*AG2+AC4*AG3+AD4*AG4</f>
        <v>0.5</v>
      </c>
      <c r="AL4" s="23">
        <f>+AB4*AH2+AC4*AH3+AD4*AH4</f>
        <v>0.5</v>
      </c>
      <c r="AM4" s="23">
        <v>2</v>
      </c>
      <c r="AQ4"/>
      <c r="AR4" s="83">
        <v>1</v>
      </c>
      <c r="AS4" s="98">
        <v>0.05</v>
      </c>
      <c r="AT4" s="83">
        <f>+AS4</f>
        <v>0.05</v>
      </c>
      <c r="AU4" s="83" t="s">
        <v>94</v>
      </c>
      <c r="AW4"/>
      <c r="AX4"/>
      <c r="AY4"/>
      <c r="AZ4"/>
    </row>
    <row r="5" spans="1:53">
      <c r="K5" s="24" t="s">
        <v>26</v>
      </c>
      <c r="L5" s="24" t="s">
        <v>27</v>
      </c>
      <c r="M5" s="24" t="s">
        <v>28</v>
      </c>
      <c r="S5" s="31">
        <f>SUM(S2:S4)</f>
        <v>4035.7200000000003</v>
      </c>
      <c r="T5" s="31">
        <f>SUM(T2:T4)</f>
        <v>7983.5599999999995</v>
      </c>
      <c r="U5" s="31">
        <f>SUM(U2:U4)</f>
        <v>4880.72</v>
      </c>
      <c r="AQ5"/>
      <c r="AR5" s="83">
        <v>3</v>
      </c>
      <c r="AS5" s="98">
        <v>0.1</v>
      </c>
      <c r="AT5" s="83">
        <f>+AT4+AS5</f>
        <v>0.15000000000000002</v>
      </c>
      <c r="AU5" s="83" t="s">
        <v>95</v>
      </c>
      <c r="AW5"/>
      <c r="AX5"/>
      <c r="AY5"/>
      <c r="AZ5"/>
    </row>
    <row r="6" spans="1:53">
      <c r="A6" s="84"/>
      <c r="B6" s="84"/>
      <c r="C6" s="84"/>
      <c r="D6" s="84"/>
      <c r="E6" s="84"/>
      <c r="F6" s="84"/>
      <c r="G6" s="84"/>
      <c r="H6" s="84"/>
      <c r="I6" s="84"/>
      <c r="J6" s="84"/>
      <c r="K6" s="85"/>
      <c r="L6" s="85"/>
      <c r="M6" s="85"/>
      <c r="N6" s="84"/>
      <c r="O6" s="86"/>
      <c r="P6" s="86"/>
      <c r="Q6" s="86"/>
      <c r="R6" s="84"/>
      <c r="S6" s="32" t="s">
        <v>26</v>
      </c>
      <c r="T6" s="32" t="s">
        <v>27</v>
      </c>
      <c r="U6" s="32" t="s">
        <v>28</v>
      </c>
      <c r="AB6" s="23">
        <v>0.875</v>
      </c>
      <c r="AC6" s="23">
        <v>0</v>
      </c>
      <c r="AD6" s="23">
        <v>0.125</v>
      </c>
      <c r="AF6" s="23">
        <v>0.875</v>
      </c>
      <c r="AG6" s="23">
        <v>0</v>
      </c>
      <c r="AH6" s="23">
        <v>0.125</v>
      </c>
      <c r="AJ6" s="73" t="e">
        <f>+AB6*AF6+AC6*#REF!+AD6*#REF!</f>
        <v>#REF!</v>
      </c>
      <c r="AK6" s="73" t="e">
        <f>+AB6*AG6+AC6*#REF!+AD6*#REF!</f>
        <v>#REF!</v>
      </c>
      <c r="AL6" s="73" t="e">
        <f>+AB6*AH6+AC6*#REF!+AD6*#REF!</f>
        <v>#REF!</v>
      </c>
      <c r="AQ6"/>
      <c r="AR6" s="83">
        <v>5</v>
      </c>
      <c r="AS6" s="98">
        <v>0.5</v>
      </c>
      <c r="AT6" s="83">
        <f>+AT5+AS6</f>
        <v>0.65</v>
      </c>
      <c r="AU6" s="83" t="s">
        <v>96</v>
      </c>
      <c r="AW6"/>
      <c r="AX6"/>
      <c r="AY6"/>
      <c r="AZ6"/>
    </row>
    <row r="7" spans="1:53">
      <c r="A7" s="23" t="s">
        <v>31</v>
      </c>
      <c r="G7" s="24" t="s">
        <v>26</v>
      </c>
      <c r="H7" s="24" t="s">
        <v>27</v>
      </c>
      <c r="I7" s="24" t="s">
        <v>28</v>
      </c>
      <c r="S7" s="84"/>
      <c r="T7" s="84"/>
      <c r="U7" s="84"/>
      <c r="AB7" s="73">
        <v>0.125</v>
      </c>
      <c r="AC7" s="73">
        <v>0.4375</v>
      </c>
      <c r="AD7" s="73">
        <v>0.4375</v>
      </c>
      <c r="AE7" s="23">
        <v>4</v>
      </c>
      <c r="AF7" s="73">
        <v>0.125</v>
      </c>
      <c r="AG7" s="73">
        <v>0.4375</v>
      </c>
      <c r="AH7" s="73">
        <v>0.4375</v>
      </c>
      <c r="AI7" s="23">
        <v>4</v>
      </c>
      <c r="AJ7" s="73" t="e">
        <f>+AB7*#REF!+AC7*#REF!+AD7*AF7</f>
        <v>#REF!</v>
      </c>
      <c r="AK7" s="73" t="e">
        <f>+AB7*#REF!+AC7*#REF!+AD7*AG7</f>
        <v>#REF!</v>
      </c>
      <c r="AL7" s="73" t="e">
        <f>+AB7*#REF!+AC7*#REF!+AD7*AH7</f>
        <v>#REF!</v>
      </c>
      <c r="AM7" s="23">
        <v>16</v>
      </c>
      <c r="AQ7"/>
      <c r="AR7" s="83">
        <v>7</v>
      </c>
      <c r="AS7" s="98">
        <v>0.35</v>
      </c>
      <c r="AT7" s="83">
        <f>+AT6+AS7</f>
        <v>1</v>
      </c>
      <c r="AU7" s="83" t="s">
        <v>97</v>
      </c>
      <c r="AW7"/>
      <c r="AX7"/>
      <c r="AY7"/>
      <c r="AZ7"/>
    </row>
    <row r="8" spans="1:53">
      <c r="C8" s="24" t="s">
        <v>26</v>
      </c>
      <c r="D8" s="24" t="s">
        <v>27</v>
      </c>
      <c r="E8" s="24" t="s">
        <v>28</v>
      </c>
      <c r="F8" s="23" t="s">
        <v>26</v>
      </c>
      <c r="G8" s="22">
        <v>0.23699999999999999</v>
      </c>
      <c r="H8" s="22">
        <v>0.48499999999999993</v>
      </c>
      <c r="I8" s="22">
        <v>0.27800000000000002</v>
      </c>
      <c r="K8" s="32" t="s">
        <v>26</v>
      </c>
      <c r="L8" s="32" t="s">
        <v>27</v>
      </c>
      <c r="M8" s="32" t="s">
        <v>28</v>
      </c>
      <c r="AQ8"/>
      <c r="AR8"/>
      <c r="AS8"/>
      <c r="AT8"/>
      <c r="AU8"/>
      <c r="AV8"/>
      <c r="AW8"/>
      <c r="AX8"/>
      <c r="AY8"/>
      <c r="AZ8"/>
    </row>
    <row r="9" spans="1:53" ht="45">
      <c r="C9" s="28">
        <f>3380/16900</f>
        <v>0.2</v>
      </c>
      <c r="D9" s="23">
        <f>6760/16900</f>
        <v>0.4</v>
      </c>
      <c r="E9" s="23">
        <f>6760/16900</f>
        <v>0.4</v>
      </c>
      <c r="F9" s="23" t="s">
        <v>27</v>
      </c>
      <c r="G9" s="22">
        <v>0.23599999999999999</v>
      </c>
      <c r="H9" s="22">
        <v>0.48599999999999999</v>
      </c>
      <c r="I9" s="22">
        <v>0.27800000000000002</v>
      </c>
      <c r="K9" s="82">
        <f>+C9*G8+D9*G9+E9*G10</f>
        <v>0.23880000000000001</v>
      </c>
      <c r="L9" s="82">
        <f>+C9*H8+D9*H9+E9*H10</f>
        <v>0.47240000000000004</v>
      </c>
      <c r="M9" s="82">
        <f>+C9*I8+D9*I9+E9*I10</f>
        <v>0.28880000000000006</v>
      </c>
      <c r="AB9" s="73">
        <v>0.627197265625</v>
      </c>
      <c r="AC9" s="73">
        <v>0.1435546875</v>
      </c>
      <c r="AD9" s="73">
        <v>0.229248046875</v>
      </c>
      <c r="AF9" s="73">
        <v>0.627197265625</v>
      </c>
      <c r="AG9" s="73">
        <v>0.1435546875</v>
      </c>
      <c r="AH9" s="73">
        <v>0.229248046875</v>
      </c>
      <c r="AJ9" s="73">
        <f>+AB9*AF9+AC9*AF10+AD9*AF11</f>
        <v>0.51471096277236938</v>
      </c>
      <c r="AK9" s="73">
        <f>+AB9*AG9+AC9*AG10+AD9*AG11</f>
        <v>0.20944762229919434</v>
      </c>
      <c r="AL9" s="73">
        <f>+AB9*AH9+AC9*AH10+AD9*AH11</f>
        <v>0.27584141492843628</v>
      </c>
      <c r="AQ9"/>
      <c r="AR9" s="89" t="s">
        <v>98</v>
      </c>
      <c r="AS9" s="90" t="s">
        <v>99</v>
      </c>
      <c r="AT9" s="97" t="s">
        <v>87</v>
      </c>
      <c r="AU9" s="91" t="s">
        <v>90</v>
      </c>
      <c r="AV9" s="92" t="s">
        <v>100</v>
      </c>
      <c r="AW9" s="90" t="s">
        <v>101</v>
      </c>
      <c r="AX9" s="92" t="s">
        <v>102</v>
      </c>
      <c r="AY9" s="92" t="s">
        <v>103</v>
      </c>
      <c r="AZ9" s="93" t="s">
        <v>104</v>
      </c>
    </row>
    <row r="10" spans="1:53">
      <c r="F10" s="23" t="s">
        <v>28</v>
      </c>
      <c r="G10" s="22">
        <v>0.24250000000000002</v>
      </c>
      <c r="H10" s="22">
        <v>0.45250000000000001</v>
      </c>
      <c r="I10" s="22">
        <v>0.30499999999999999</v>
      </c>
      <c r="K10" s="29"/>
      <c r="L10" s="29"/>
      <c r="M10" s="29"/>
      <c r="AB10" s="73">
        <v>0.38671875</v>
      </c>
      <c r="AC10" s="73">
        <v>0.284423828125</v>
      </c>
      <c r="AD10" s="73">
        <v>0.328857421875</v>
      </c>
      <c r="AF10" s="73">
        <v>0.38671875</v>
      </c>
      <c r="AG10" s="73">
        <v>0.284423828125</v>
      </c>
      <c r="AH10" s="73">
        <v>0.328857421875</v>
      </c>
      <c r="AJ10" s="73">
        <f>+AB10*AF9+AC10*AF10+AD10*AF11</f>
        <v>0.44695901870727539</v>
      </c>
      <c r="AK10" s="73">
        <f>+AB10*AG9+AC10*AG10+AD10*AG11</f>
        <v>0.24913579225540161</v>
      </c>
      <c r="AL10" s="73">
        <f>+AB10*AH9+AC10*AH10+AD10*AH11</f>
        <v>0.303905189037323</v>
      </c>
      <c r="AQ10"/>
      <c r="AR10" s="94">
        <v>1</v>
      </c>
      <c r="AS10" s="83">
        <v>0.03</v>
      </c>
      <c r="AT10" s="83">
        <v>4</v>
      </c>
      <c r="AU10" s="95">
        <v>1</v>
      </c>
      <c r="AV10" s="90">
        <v>4</v>
      </c>
      <c r="AW10" s="90">
        <v>0</v>
      </c>
      <c r="AX10" s="83">
        <f>+AY10-AV10</f>
        <v>0</v>
      </c>
      <c r="AY10" s="90">
        <f>+AV10</f>
        <v>4</v>
      </c>
      <c r="AZ10" s="90">
        <f>+AY10+AU10</f>
        <v>5</v>
      </c>
    </row>
    <row r="11" spans="1:53">
      <c r="AB11" s="73">
        <v>0.287109375</v>
      </c>
      <c r="AC11" s="73">
        <v>0.3427734375</v>
      </c>
      <c r="AD11" s="73">
        <v>0.3701171875</v>
      </c>
      <c r="AE11" s="23">
        <v>16</v>
      </c>
      <c r="AF11" s="73">
        <v>0.287109375</v>
      </c>
      <c r="AG11" s="73">
        <v>0.3427734375</v>
      </c>
      <c r="AH11" s="73">
        <v>0.3701171875</v>
      </c>
      <c r="AI11" s="23">
        <v>16</v>
      </c>
      <c r="AJ11" s="73">
        <f>+AB11*AF9+AC11*AF10+AD11*AF11</f>
        <v>0.41889524459838867</v>
      </c>
      <c r="AK11" s="73">
        <f>+AB11*AG9+AC11*AG10+AD11*AG11</f>
        <v>0.26557517051696777</v>
      </c>
      <c r="AL11" s="73">
        <f>+AB11*AH9+AC11*AH10+AD11*AH11</f>
        <v>0.31552958488464355</v>
      </c>
      <c r="AM11" s="23">
        <f>+AE11*AI11</f>
        <v>256</v>
      </c>
      <c r="AQ11"/>
      <c r="AR11" s="94">
        <v>2</v>
      </c>
      <c r="AS11" s="83">
        <v>0.05</v>
      </c>
      <c r="AT11" s="83">
        <v>4</v>
      </c>
      <c r="AU11" s="95">
        <v>1</v>
      </c>
      <c r="AV11" s="90">
        <f>+AV10+AT11</f>
        <v>8</v>
      </c>
      <c r="AW11" s="90">
        <v>0</v>
      </c>
      <c r="AX11" s="83">
        <f t="shared" ref="AX11:AX19" si="0">+AY11-AV11</f>
        <v>0</v>
      </c>
      <c r="AY11" s="90">
        <v>8</v>
      </c>
      <c r="AZ11" s="90">
        <f t="shared" ref="AZ11:AZ19" si="1">+AY11+AU11</f>
        <v>9</v>
      </c>
    </row>
    <row r="12" spans="1:53">
      <c r="A12" s="23" t="s">
        <v>39</v>
      </c>
      <c r="J12" s="23" t="s">
        <v>49</v>
      </c>
      <c r="O12" s="23" t="s">
        <v>52</v>
      </c>
      <c r="AQ12"/>
      <c r="AR12" s="94">
        <v>3</v>
      </c>
      <c r="AS12" s="83">
        <v>0.12</v>
      </c>
      <c r="AT12" s="83">
        <v>4</v>
      </c>
      <c r="AU12" s="95">
        <v>3</v>
      </c>
      <c r="AV12" s="90">
        <f t="shared" ref="AV12:AV19" si="2">+AV11+AT12</f>
        <v>12</v>
      </c>
      <c r="AW12" s="90">
        <v>0</v>
      </c>
      <c r="AX12" s="83">
        <f t="shared" si="0"/>
        <v>0</v>
      </c>
      <c r="AY12" s="90">
        <v>12</v>
      </c>
      <c r="AZ12" s="90">
        <f t="shared" si="1"/>
        <v>15</v>
      </c>
    </row>
    <row r="13" spans="1:53" ht="21">
      <c r="C13" s="34" t="s">
        <v>40</v>
      </c>
      <c r="D13" s="23" t="s">
        <v>41</v>
      </c>
      <c r="F13" s="23" t="s">
        <v>46</v>
      </c>
      <c r="G13" s="23" t="s">
        <v>47</v>
      </c>
      <c r="K13" s="23" t="s">
        <v>59</v>
      </c>
      <c r="P13" s="23" t="s">
        <v>60</v>
      </c>
      <c r="AB13" s="73">
        <v>0.51471096277236938</v>
      </c>
      <c r="AC13" s="73">
        <v>0.20944762229919434</v>
      </c>
      <c r="AD13" s="73">
        <v>0.27584141492843628</v>
      </c>
      <c r="AE13" s="73"/>
      <c r="AF13" s="73">
        <v>0.51471096277236938</v>
      </c>
      <c r="AG13" s="73">
        <v>0.20944762229919434</v>
      </c>
      <c r="AH13" s="73">
        <v>0.27584141492843628</v>
      </c>
      <c r="AI13" s="73"/>
      <c r="AJ13" s="73">
        <f>+AB13*AF13+AC13*AF14+AD13*AF15</f>
        <v>0.47409053590829231</v>
      </c>
      <c r="AK13" s="73">
        <f>+AB13*AG13+AC13*AG14+AD13*AG15</f>
        <v>0.23324251744678293</v>
      </c>
      <c r="AL13" s="73">
        <f>+AB13*AH13+AC13*AH14+AD13*AH15</f>
        <v>0.29266694664492476</v>
      </c>
      <c r="AQ13"/>
      <c r="AR13" s="94">
        <v>4</v>
      </c>
      <c r="AS13" s="83">
        <v>0.91</v>
      </c>
      <c r="AT13" s="83">
        <v>4</v>
      </c>
      <c r="AU13" s="95">
        <v>7</v>
      </c>
      <c r="AV13" s="90">
        <f t="shared" si="2"/>
        <v>16</v>
      </c>
      <c r="AW13" s="90">
        <v>0</v>
      </c>
      <c r="AX13" s="83">
        <f t="shared" si="0"/>
        <v>0</v>
      </c>
      <c r="AY13" s="90">
        <v>16</v>
      </c>
      <c r="AZ13" s="90">
        <f t="shared" si="1"/>
        <v>23</v>
      </c>
    </row>
    <row r="14" spans="1:53">
      <c r="C14" s="34" t="s">
        <v>42</v>
      </c>
      <c r="D14" s="23" t="s">
        <v>43</v>
      </c>
      <c r="F14" s="23" t="s">
        <v>46</v>
      </c>
      <c r="G14" s="35">
        <f>4+1/(5/6)</f>
        <v>5.2</v>
      </c>
      <c r="H14" s="23" t="s">
        <v>48</v>
      </c>
      <c r="K14" s="33" t="s">
        <v>50</v>
      </c>
      <c r="L14" s="23">
        <f>(4/5*4/5)/(1-4/5)</f>
        <v>3.2000000000000006</v>
      </c>
      <c r="M14" s="23" t="s">
        <v>51</v>
      </c>
      <c r="P14" s="33" t="s">
        <v>53</v>
      </c>
      <c r="Q14" s="27">
        <f>(4/5)/(1-4/5)</f>
        <v>4.0000000000000009</v>
      </c>
      <c r="R14" s="23" t="s">
        <v>51</v>
      </c>
      <c r="AB14" s="73">
        <v>0.44695901870727539</v>
      </c>
      <c r="AC14" s="73">
        <v>0.24913579225540161</v>
      </c>
      <c r="AD14" s="73">
        <v>0.303905189037323</v>
      </c>
      <c r="AE14" s="73"/>
      <c r="AF14" s="73">
        <v>0.44695901870727539</v>
      </c>
      <c r="AG14" s="73">
        <v>0.24913579225540161</v>
      </c>
      <c r="AH14" s="73">
        <v>0.303905189037323</v>
      </c>
      <c r="AI14" s="73"/>
      <c r="AJ14" s="73">
        <f>+AB14*AF13+AC14*AF14+AD14*AF15</f>
        <v>0.46871263456645806</v>
      </c>
      <c r="AK14" s="73">
        <f>+AB14*AG13+AC14*AG14+AD14*AG15</f>
        <v>0.23639281911572496</v>
      </c>
      <c r="AL14" s="73">
        <f>+AB14*AH13+AC14*AH14+AD14*AH15</f>
        <v>0.29489454631781697</v>
      </c>
      <c r="AQ14"/>
      <c r="AR14" s="94">
        <v>5</v>
      </c>
      <c r="AS14" s="83">
        <v>0.31</v>
      </c>
      <c r="AT14" s="83">
        <v>4</v>
      </c>
      <c r="AU14" s="95">
        <v>5</v>
      </c>
      <c r="AV14" s="90">
        <f t="shared" si="2"/>
        <v>20</v>
      </c>
      <c r="AW14" s="90">
        <v>1</v>
      </c>
      <c r="AX14" s="83">
        <f t="shared" si="0"/>
        <v>3</v>
      </c>
      <c r="AY14" s="90">
        <f t="shared" ref="AY14:AY19" si="3">+AZ13</f>
        <v>23</v>
      </c>
      <c r="AZ14" s="90">
        <f t="shared" si="1"/>
        <v>28</v>
      </c>
    </row>
    <row r="15" spans="1:53">
      <c r="C15" s="33" t="s">
        <v>44</v>
      </c>
      <c r="D15" s="23" t="s">
        <v>45</v>
      </c>
      <c r="E15" s="68" t="s">
        <v>61</v>
      </c>
      <c r="F15" s="69"/>
      <c r="G15" s="69">
        <v>6</v>
      </c>
      <c r="H15" s="69" t="s">
        <v>48</v>
      </c>
      <c r="AB15" s="73">
        <v>0.41889524459838867</v>
      </c>
      <c r="AC15" s="73">
        <v>0.26557517051696777</v>
      </c>
      <c r="AD15" s="73">
        <v>0.31552958488464355</v>
      </c>
      <c r="AE15" s="74">
        <v>256</v>
      </c>
      <c r="AF15" s="73">
        <v>0.41889524459838867</v>
      </c>
      <c r="AG15" s="73">
        <v>0.26557517051696777</v>
      </c>
      <c r="AH15" s="73">
        <v>0.31552958488464355</v>
      </c>
      <c r="AI15" s="74">
        <v>256</v>
      </c>
      <c r="AJ15" s="73">
        <f>+AB15*AF13+AC15*AF14+AD15*AF15</f>
        <v>0.46648503489356585</v>
      </c>
      <c r="AK15" s="73">
        <f>+AB15*AG13+AC15*AG14+AD15*AG15</f>
        <v>0.23769771679256735</v>
      </c>
      <c r="AL15" s="73">
        <f>+AB15*AH13+AC15*AH14+AD15*AH15</f>
        <v>0.2958172483138668</v>
      </c>
      <c r="AM15" s="23">
        <f>+AE15*AI15</f>
        <v>65536</v>
      </c>
      <c r="AQ15"/>
      <c r="AR15" s="94">
        <v>6</v>
      </c>
      <c r="AS15" s="83">
        <v>0.3</v>
      </c>
      <c r="AT15" s="83">
        <v>4</v>
      </c>
      <c r="AU15" s="95">
        <v>5</v>
      </c>
      <c r="AV15" s="90">
        <f t="shared" si="2"/>
        <v>24</v>
      </c>
      <c r="AW15" s="90">
        <v>1</v>
      </c>
      <c r="AX15" s="83">
        <f t="shared" si="0"/>
        <v>4</v>
      </c>
      <c r="AY15" s="90">
        <f t="shared" si="3"/>
        <v>28</v>
      </c>
      <c r="AZ15" s="90">
        <f t="shared" si="1"/>
        <v>33</v>
      </c>
    </row>
    <row r="16" spans="1:53" ht="19.5" thickBot="1">
      <c r="A16" s="23" t="s">
        <v>55</v>
      </c>
      <c r="AQ16"/>
      <c r="AR16" s="94">
        <v>7</v>
      </c>
      <c r="AS16" s="83">
        <v>0.69</v>
      </c>
      <c r="AT16" s="83">
        <v>4</v>
      </c>
      <c r="AU16" s="95">
        <v>7</v>
      </c>
      <c r="AV16" s="90">
        <f t="shared" si="2"/>
        <v>28</v>
      </c>
      <c r="AW16" s="90">
        <v>1</v>
      </c>
      <c r="AX16" s="83">
        <f t="shared" si="0"/>
        <v>5</v>
      </c>
      <c r="AY16" s="90">
        <f t="shared" si="3"/>
        <v>33</v>
      </c>
      <c r="AZ16" s="90">
        <f t="shared" si="1"/>
        <v>40</v>
      </c>
    </row>
    <row r="17" spans="2:52" ht="21">
      <c r="C17" s="11"/>
      <c r="D17" s="11"/>
      <c r="E17" s="11"/>
      <c r="F17" s="11"/>
      <c r="G17" s="162">
        <v>2</v>
      </c>
      <c r="H17" s="12">
        <v>4</v>
      </c>
      <c r="I17" s="36">
        <v>3</v>
      </c>
      <c r="J17" s="78" t="s">
        <v>67</v>
      </c>
      <c r="K17" s="162">
        <v>4</v>
      </c>
      <c r="L17" s="12">
        <v>12</v>
      </c>
      <c r="M17" s="36">
        <v>4</v>
      </c>
      <c r="N17" s="80" t="s">
        <v>70</v>
      </c>
      <c r="O17" s="162">
        <v>6</v>
      </c>
      <c r="P17" s="12">
        <v>16</v>
      </c>
      <c r="Q17" s="11"/>
      <c r="R17" s="11"/>
      <c r="S17" s="9"/>
      <c r="T17" s="9"/>
      <c r="AB17" s="73">
        <v>0.47409053590829231</v>
      </c>
      <c r="AC17" s="73">
        <v>0.23324251744678293</v>
      </c>
      <c r="AD17" s="73">
        <v>0.29266694664492476</v>
      </c>
      <c r="AE17" s="73"/>
      <c r="AF17" s="73">
        <v>0.47409053590829231</v>
      </c>
      <c r="AG17" s="73">
        <v>0.23324251744678293</v>
      </c>
      <c r="AH17" s="73">
        <v>0.29266694664492476</v>
      </c>
      <c r="AI17" s="73"/>
      <c r="AJ17" s="73">
        <f>+AB17*AF17+AC17*AF18+AD17*AF19</f>
        <v>0.47061030190105757</v>
      </c>
      <c r="AK17" s="73">
        <f>+AB17*AG17+AC17*AG18+AD17*AG19</f>
        <v>0.23528119132798897</v>
      </c>
      <c r="AL17" s="73">
        <f>+AB17*AH17+AC17*AH18+AD17*AH19</f>
        <v>0.29410850677095346</v>
      </c>
      <c r="AQ17"/>
      <c r="AR17" s="94">
        <v>8</v>
      </c>
      <c r="AS17" s="83">
        <v>0.21</v>
      </c>
      <c r="AT17" s="83">
        <v>4</v>
      </c>
      <c r="AU17" s="95">
        <v>5</v>
      </c>
      <c r="AV17" s="90">
        <f t="shared" si="2"/>
        <v>32</v>
      </c>
      <c r="AW17" s="90">
        <v>2</v>
      </c>
      <c r="AX17" s="83">
        <f t="shared" si="0"/>
        <v>8</v>
      </c>
      <c r="AY17" s="90">
        <f t="shared" si="3"/>
        <v>40</v>
      </c>
      <c r="AZ17" s="90">
        <f t="shared" si="1"/>
        <v>45</v>
      </c>
    </row>
    <row r="18" spans="2:52" ht="21.75" thickBot="1">
      <c r="C18" s="11"/>
      <c r="D18" s="11"/>
      <c r="E18" s="11"/>
      <c r="F18" s="78" t="s">
        <v>26</v>
      </c>
      <c r="G18" s="163"/>
      <c r="H18" s="13">
        <v>4</v>
      </c>
      <c r="I18" s="36"/>
      <c r="J18" s="78" t="s">
        <v>68</v>
      </c>
      <c r="K18" s="163"/>
      <c r="L18" s="13">
        <v>12</v>
      </c>
      <c r="M18" s="36"/>
      <c r="N18"/>
      <c r="O18" s="163"/>
      <c r="P18" s="13">
        <v>16</v>
      </c>
      <c r="Q18" s="11"/>
      <c r="R18" s="11"/>
      <c r="S18" s="11"/>
      <c r="T18" s="11"/>
      <c r="AB18" s="73">
        <v>0.46871263456645806</v>
      </c>
      <c r="AC18" s="73">
        <v>0.23639281911572496</v>
      </c>
      <c r="AD18" s="73">
        <v>0.29489454631781697</v>
      </c>
      <c r="AE18" s="73"/>
      <c r="AF18" s="73">
        <v>0.46871263456645806</v>
      </c>
      <c r="AG18" s="73">
        <v>0.23639281911572496</v>
      </c>
      <c r="AH18" s="73">
        <v>0.29489454631781697</v>
      </c>
      <c r="AI18" s="73"/>
      <c r="AJ18" s="73">
        <f>+AB18*AF17+AC18*AF18+AD18*AF19</f>
        <v>0.47057641787791238</v>
      </c>
      <c r="AK18" s="73">
        <f>+AB18*AG17+AC18*AG18+AD18*AG19</f>
        <v>0.23530104012919961</v>
      </c>
      <c r="AL18" s="73">
        <f>+AB18*AH17+AC18*AH18+AD18*AH19</f>
        <v>0.29412254199288795</v>
      </c>
      <c r="AQ18"/>
      <c r="AR18" s="94">
        <v>9</v>
      </c>
      <c r="AS18" s="83">
        <v>0.06</v>
      </c>
      <c r="AT18" s="83">
        <v>4</v>
      </c>
      <c r="AU18" s="95">
        <v>3</v>
      </c>
      <c r="AV18" s="90">
        <f t="shared" si="2"/>
        <v>36</v>
      </c>
      <c r="AW18" s="90">
        <v>3</v>
      </c>
      <c r="AX18" s="83">
        <f t="shared" si="0"/>
        <v>9</v>
      </c>
      <c r="AY18" s="90">
        <f t="shared" si="3"/>
        <v>45</v>
      </c>
      <c r="AZ18" s="90">
        <f t="shared" si="1"/>
        <v>48</v>
      </c>
    </row>
    <row r="19" spans="2:52" ht="21">
      <c r="C19" s="11"/>
      <c r="D19" s="11"/>
      <c r="E19" s="11">
        <v>4</v>
      </c>
      <c r="F19" s="11"/>
      <c r="G19" s="11"/>
      <c r="H19" s="11"/>
      <c r="I19" s="11"/>
      <c r="J19" s="11"/>
      <c r="K19" s="11"/>
      <c r="L19" s="11"/>
      <c r="M19" s="11"/>
      <c r="N19"/>
      <c r="O19"/>
      <c r="P19"/>
      <c r="Q19" s="11"/>
      <c r="R19" s="11">
        <v>3</v>
      </c>
      <c r="S19" s="11"/>
      <c r="T19" s="11"/>
      <c r="AB19" s="73">
        <v>0.46648503489356585</v>
      </c>
      <c r="AC19" s="73">
        <v>0.23769771679256735</v>
      </c>
      <c r="AD19" s="73">
        <v>0.2958172483138668</v>
      </c>
      <c r="AE19" s="73"/>
      <c r="AF19" s="73">
        <v>0.46648503489356585</v>
      </c>
      <c r="AG19" s="73">
        <v>0.23769771679256735</v>
      </c>
      <c r="AH19" s="73">
        <v>0.2958172483138668</v>
      </c>
      <c r="AI19" s="73"/>
      <c r="AJ19" s="73">
        <f>+AB19*AF17+AC19*AF18+AD19*AF19</f>
        <v>0.47056238265597794</v>
      </c>
      <c r="AK19" s="73">
        <f>+AB19*AG17+AC19*AG18+AD19*AG19</f>
        <v>0.23530926177185796</v>
      </c>
      <c r="AL19" s="73">
        <f>+AB19*AH17+AC19*AH18+AD19*AH19</f>
        <v>0.2941283555721641</v>
      </c>
      <c r="AM19" s="23">
        <v>64</v>
      </c>
      <c r="AQ19"/>
      <c r="AR19" s="94">
        <v>10</v>
      </c>
      <c r="AS19" s="83">
        <v>0.75</v>
      </c>
      <c r="AT19" s="83">
        <v>4</v>
      </c>
      <c r="AU19" s="95">
        <v>7</v>
      </c>
      <c r="AV19" s="90">
        <f t="shared" si="2"/>
        <v>40</v>
      </c>
      <c r="AW19" s="90">
        <v>1</v>
      </c>
      <c r="AX19" s="83">
        <f t="shared" si="0"/>
        <v>8</v>
      </c>
      <c r="AY19" s="90">
        <f t="shared" si="3"/>
        <v>48</v>
      </c>
      <c r="AZ19" s="90">
        <f t="shared" si="1"/>
        <v>55</v>
      </c>
    </row>
    <row r="20" spans="2:52" ht="21.75" thickBot="1">
      <c r="C20" s="11"/>
      <c r="D20" s="11"/>
      <c r="E20" s="11"/>
      <c r="F20" s="77"/>
      <c r="G20" s="11"/>
      <c r="H20" s="77"/>
      <c r="I20" s="11"/>
      <c r="J20" s="11"/>
      <c r="K20" s="11"/>
      <c r="L20" s="11"/>
      <c r="M20" s="11">
        <v>1</v>
      </c>
      <c r="N20"/>
      <c r="O20"/>
      <c r="P20"/>
      <c r="Q20" s="11"/>
      <c r="R20" s="79" t="s">
        <v>74</v>
      </c>
      <c r="S20" s="11"/>
      <c r="T20" s="11"/>
      <c r="AQ20"/>
      <c r="AR20"/>
      <c r="AS20"/>
      <c r="AT20"/>
      <c r="AU20"/>
      <c r="AV20"/>
      <c r="AW20"/>
      <c r="AX20"/>
      <c r="AY20"/>
      <c r="AZ20"/>
    </row>
    <row r="21" spans="2:52" ht="21">
      <c r="C21" s="162">
        <v>1</v>
      </c>
      <c r="D21" s="12">
        <v>0</v>
      </c>
      <c r="E21" s="36"/>
      <c r="F21" s="11"/>
      <c r="G21" s="11">
        <v>4</v>
      </c>
      <c r="H21" s="11"/>
      <c r="I21" s="11">
        <v>4</v>
      </c>
      <c r="J21" s="11"/>
      <c r="K21" s="11"/>
      <c r="L21" s="11"/>
      <c r="M21" s="11"/>
      <c r="N21" s="81" t="s">
        <v>71</v>
      </c>
      <c r="O21" s="162">
        <v>7</v>
      </c>
      <c r="P21" s="12">
        <v>15</v>
      </c>
      <c r="Q21" s="11"/>
      <c r="R21" s="79" t="s">
        <v>75</v>
      </c>
      <c r="S21" s="162">
        <v>9</v>
      </c>
      <c r="T21" s="12">
        <v>19</v>
      </c>
      <c r="AB21" s="73">
        <v>0.47061030190105757</v>
      </c>
      <c r="AC21" s="73">
        <v>0.23528119132798897</v>
      </c>
      <c r="AD21" s="73">
        <v>0.29410850677095346</v>
      </c>
      <c r="AE21" s="73"/>
      <c r="AF21" s="73">
        <v>0.47061030190105757</v>
      </c>
      <c r="AG21" s="73">
        <v>0.23528119132798897</v>
      </c>
      <c r="AH21" s="73">
        <v>0.29410850677095346</v>
      </c>
      <c r="AI21" s="73"/>
      <c r="AJ21" s="73">
        <f>+AB21*AF21+AC21*AF22+AD21*AF23</f>
        <v>0.47058823617010903</v>
      </c>
      <c r="AK21" s="73">
        <f>+AB21*AG21+AC21*AG22+AD21*AG23</f>
        <v>0.23529411713391496</v>
      </c>
      <c r="AL21" s="73">
        <f>+AB21*AH21+AC21*AH22+AD21*AH23</f>
        <v>0.29411764669597601</v>
      </c>
      <c r="AQ21"/>
      <c r="AR21"/>
      <c r="AS21"/>
      <c r="AT21"/>
      <c r="AU21"/>
      <c r="AV21"/>
      <c r="AW21" t="s">
        <v>105</v>
      </c>
      <c r="AX21" s="96">
        <f>+AVERAGE(AX10:AX19)</f>
        <v>3.7</v>
      </c>
      <c r="AY21" t="s">
        <v>106</v>
      </c>
      <c r="AZ21"/>
    </row>
    <row r="22" spans="2:52" ht="21.75" thickBot="1">
      <c r="C22" s="163"/>
      <c r="D22" s="13">
        <v>0</v>
      </c>
      <c r="E22" s="36"/>
      <c r="F22" s="11"/>
      <c r="G22" s="11"/>
      <c r="H22" s="11"/>
      <c r="I22" s="11"/>
      <c r="J22" s="11"/>
      <c r="K22" s="11"/>
      <c r="L22" s="11"/>
      <c r="M22" s="11"/>
      <c r="N22" s="81" t="s">
        <v>72</v>
      </c>
      <c r="O22" s="163"/>
      <c r="P22" s="13">
        <v>13</v>
      </c>
      <c r="Q22" s="11">
        <v>4</v>
      </c>
      <c r="R22" s="79" t="s">
        <v>76</v>
      </c>
      <c r="S22" s="163"/>
      <c r="T22" s="13">
        <v>19</v>
      </c>
      <c r="AB22" s="73">
        <v>0.47057641787791238</v>
      </c>
      <c r="AC22" s="73">
        <v>0.23530104012919961</v>
      </c>
      <c r="AD22" s="73">
        <v>0.29412254199288795</v>
      </c>
      <c r="AE22" s="73"/>
      <c r="AF22" s="73">
        <v>0.47057641787791238</v>
      </c>
      <c r="AG22" s="73">
        <v>0.23530104012919961</v>
      </c>
      <c r="AH22" s="73">
        <v>0.29412254199288795</v>
      </c>
      <c r="AI22" s="73"/>
      <c r="AJ22" s="73">
        <f>+AB22*AF21+AC22*AF22+AD22*AF23</f>
        <v>0.47058823482499451</v>
      </c>
      <c r="AK22" s="73">
        <f>+AB22*AG21+AC22*AG22+AD22*AG23</f>
        <v>0.23529411792186478</v>
      </c>
      <c r="AL22" s="73">
        <f>+AB22*AH21+AC22*AH22+AD22*AH23</f>
        <v>0.29411764725314066</v>
      </c>
    </row>
    <row r="23" spans="2:52" ht="21">
      <c r="C23" s="11"/>
      <c r="D23" s="11"/>
      <c r="E23" s="11"/>
      <c r="F23" s="11"/>
      <c r="G23" s="11"/>
      <c r="H23" s="11"/>
      <c r="I23" s="76"/>
      <c r="J23" s="11"/>
      <c r="K23" s="11"/>
      <c r="L23" s="11"/>
      <c r="M23" s="11">
        <v>2</v>
      </c>
      <c r="N23"/>
      <c r="O23"/>
      <c r="P23"/>
      <c r="Q23" s="11"/>
      <c r="R23" s="11"/>
      <c r="S23" s="11"/>
      <c r="T23" s="11"/>
      <c r="AB23" s="73">
        <v>0.47056238265597794</v>
      </c>
      <c r="AC23" s="73">
        <v>0.23530926177185796</v>
      </c>
      <c r="AD23" s="73">
        <v>0.2941283555721641</v>
      </c>
      <c r="AE23" s="73"/>
      <c r="AF23" s="73">
        <v>0.47056238265597794</v>
      </c>
      <c r="AG23" s="73">
        <v>0.23530926177185796</v>
      </c>
      <c r="AH23" s="73">
        <v>0.2941283555721641</v>
      </c>
      <c r="AI23" s="73"/>
      <c r="AJ23" s="73">
        <f>+AB23*AF21+AC23*AF22+AD23*AF23</f>
        <v>0.47058823426782992</v>
      </c>
      <c r="AK23" s="73">
        <f>+AB23*AG21+AC23*AG22+AD23*AG23</f>
        <v>0.23529411824824428</v>
      </c>
      <c r="AL23" s="73">
        <f>+AB23*AH21+AC23*AH22+AD23*AH23</f>
        <v>0.29411764748392583</v>
      </c>
    </row>
    <row r="24" spans="2:52" ht="21.75" thickBot="1">
      <c r="C24" s="11"/>
      <c r="D24" s="11"/>
      <c r="E24" s="11">
        <v>6</v>
      </c>
      <c r="F24" s="11"/>
      <c r="G24" s="78" t="s">
        <v>28</v>
      </c>
      <c r="H24" s="11"/>
      <c r="I24" s="11"/>
      <c r="J24" s="11"/>
      <c r="K24" s="11"/>
      <c r="L24" s="11"/>
      <c r="M24" s="11"/>
      <c r="N24"/>
      <c r="O24"/>
      <c r="P24"/>
      <c r="Q24" s="11"/>
      <c r="R24" s="11">
        <v>3</v>
      </c>
      <c r="S24" s="11"/>
      <c r="T24" s="11"/>
    </row>
    <row r="25" spans="2:52" ht="21">
      <c r="C25" s="11"/>
      <c r="D25" s="11"/>
      <c r="E25" s="11"/>
      <c r="F25" s="78" t="s">
        <v>27</v>
      </c>
      <c r="G25" s="162">
        <v>3</v>
      </c>
      <c r="H25" s="12">
        <v>8</v>
      </c>
      <c r="I25" s="36"/>
      <c r="J25" s="79" t="s">
        <v>69</v>
      </c>
      <c r="K25" s="162">
        <v>5</v>
      </c>
      <c r="L25" s="12">
        <v>13</v>
      </c>
      <c r="M25" s="36"/>
      <c r="N25" s="80" t="s">
        <v>73</v>
      </c>
      <c r="O25" s="162">
        <v>8</v>
      </c>
      <c r="P25" s="12">
        <v>16</v>
      </c>
      <c r="Q25" s="11"/>
      <c r="R25" s="11"/>
      <c r="S25" s="11"/>
      <c r="T25" s="11"/>
    </row>
    <row r="26" spans="2:52" ht="21.75" thickBot="1">
      <c r="C26" s="11"/>
      <c r="D26" s="11"/>
      <c r="E26" s="11"/>
      <c r="F26" s="11"/>
      <c r="G26" s="163"/>
      <c r="H26" s="13">
        <v>8</v>
      </c>
      <c r="I26" s="36">
        <v>2</v>
      </c>
      <c r="J26" s="11"/>
      <c r="K26" s="163"/>
      <c r="L26" s="13">
        <v>10</v>
      </c>
      <c r="M26" s="36">
        <v>3</v>
      </c>
      <c r="N26"/>
      <c r="O26" s="163"/>
      <c r="P26" s="13">
        <v>13</v>
      </c>
      <c r="Q26" s="11"/>
      <c r="R26" s="11"/>
      <c r="S26" s="11"/>
      <c r="T26" s="11"/>
    </row>
    <row r="27" spans="2:52">
      <c r="C27" s="46"/>
      <c r="D27" s="46"/>
      <c r="E27" s="46"/>
      <c r="F27" s="46"/>
      <c r="G27" s="46"/>
      <c r="H27" s="46"/>
      <c r="I27" s="46"/>
      <c r="J27" s="46"/>
      <c r="K27" s="46"/>
      <c r="L27" s="46"/>
      <c r="M27" s="46"/>
      <c r="N27" s="46"/>
      <c r="O27" s="46"/>
      <c r="P27" s="46"/>
      <c r="Q27" s="46"/>
      <c r="R27" s="46"/>
      <c r="S27" s="46"/>
      <c r="T27" s="46"/>
    </row>
    <row r="28" spans="2:52" ht="21">
      <c r="C28" s="126" t="s">
        <v>54</v>
      </c>
      <c r="D28" s="126"/>
      <c r="E28" s="40" t="s">
        <v>16</v>
      </c>
      <c r="F28" s="40" t="s">
        <v>17</v>
      </c>
      <c r="G28" s="40" t="s">
        <v>7</v>
      </c>
      <c r="H28" s="40" t="s">
        <v>10</v>
      </c>
      <c r="I28" s="40" t="s">
        <v>11</v>
      </c>
      <c r="J28" s="126" t="s">
        <v>12</v>
      </c>
      <c r="K28" s="126"/>
      <c r="L28" s="126" t="s">
        <v>13</v>
      </c>
      <c r="M28" s="126"/>
      <c r="N28" s="158" t="s">
        <v>14</v>
      </c>
      <c r="O28" s="158"/>
      <c r="P28" s="161" t="s">
        <v>18</v>
      </c>
      <c r="Q28" s="161"/>
      <c r="R28" s="9"/>
      <c r="S28" s="9"/>
      <c r="T28" s="9"/>
    </row>
    <row r="29" spans="2:52" ht="21">
      <c r="B29" s="23" t="s">
        <v>26</v>
      </c>
      <c r="C29" s="54">
        <v>1</v>
      </c>
      <c r="D29" s="54">
        <v>2</v>
      </c>
      <c r="E29" s="38">
        <v>4</v>
      </c>
      <c r="F29" s="38">
        <v>0</v>
      </c>
      <c r="G29" s="38">
        <v>4</v>
      </c>
      <c r="H29" s="38">
        <f>+E29-F29-G29</f>
        <v>0</v>
      </c>
      <c r="I29" s="41" t="s">
        <v>56</v>
      </c>
      <c r="J29" s="157">
        <v>20</v>
      </c>
      <c r="K29" s="157"/>
      <c r="L29" s="157">
        <v>10</v>
      </c>
      <c r="M29" s="157"/>
      <c r="N29" s="158">
        <f>+J29*G29</f>
        <v>80</v>
      </c>
      <c r="O29" s="158"/>
      <c r="P29" s="159">
        <f>+L29*G29</f>
        <v>40</v>
      </c>
      <c r="Q29" s="159"/>
      <c r="R29" s="9"/>
      <c r="S29" s="9"/>
      <c r="T29" s="9"/>
    </row>
    <row r="30" spans="2:52" ht="21">
      <c r="B30" s="23" t="s">
        <v>27</v>
      </c>
      <c r="C30" s="54">
        <v>1</v>
      </c>
      <c r="D30" s="54">
        <v>3</v>
      </c>
      <c r="E30" s="38">
        <v>8</v>
      </c>
      <c r="F30" s="38">
        <v>0</v>
      </c>
      <c r="G30" s="38">
        <v>6</v>
      </c>
      <c r="H30" s="38">
        <f t="shared" ref="H30:H41" si="4">+E30-F30-G30</f>
        <v>2</v>
      </c>
      <c r="I30" s="38"/>
      <c r="J30" s="157">
        <v>12</v>
      </c>
      <c r="K30" s="157"/>
      <c r="L30" s="157">
        <v>14</v>
      </c>
      <c r="M30" s="157"/>
      <c r="N30" s="158">
        <f t="shared" ref="N30:N41" si="5">+J30*G30</f>
        <v>72</v>
      </c>
      <c r="O30" s="158"/>
      <c r="P30" s="159">
        <f t="shared" ref="P30:P41" si="6">+L30*G30</f>
        <v>84</v>
      </c>
      <c r="Q30" s="159"/>
      <c r="R30" s="9"/>
      <c r="S30" s="9"/>
      <c r="T30" s="9"/>
    </row>
    <row r="31" spans="2:52" ht="21">
      <c r="B31" s="23" t="s">
        <v>28</v>
      </c>
      <c r="C31" s="54">
        <v>2</v>
      </c>
      <c r="D31" s="54">
        <v>3</v>
      </c>
      <c r="E31" s="38">
        <v>8</v>
      </c>
      <c r="F31" s="38">
        <v>4</v>
      </c>
      <c r="G31" s="38">
        <v>4</v>
      </c>
      <c r="H31" s="38">
        <f t="shared" si="4"/>
        <v>0</v>
      </c>
      <c r="I31" s="41" t="s">
        <v>56</v>
      </c>
      <c r="J31" s="157">
        <v>14</v>
      </c>
      <c r="K31" s="157"/>
      <c r="L31" s="157">
        <v>12</v>
      </c>
      <c r="M31" s="157"/>
      <c r="N31" s="158">
        <f t="shared" si="5"/>
        <v>56</v>
      </c>
      <c r="O31" s="158"/>
      <c r="P31" s="159">
        <f t="shared" si="6"/>
        <v>48</v>
      </c>
      <c r="Q31" s="159"/>
      <c r="R31" s="9"/>
      <c r="S31" s="9"/>
      <c r="T31" s="9"/>
    </row>
    <row r="32" spans="2:52" ht="21">
      <c r="B32" s="23" t="s">
        <v>67</v>
      </c>
      <c r="C32" s="54">
        <v>2</v>
      </c>
      <c r="D32" s="54">
        <v>4</v>
      </c>
      <c r="E32" s="38">
        <v>12</v>
      </c>
      <c r="F32" s="38">
        <v>4</v>
      </c>
      <c r="G32" s="38">
        <v>3</v>
      </c>
      <c r="H32" s="38">
        <f t="shared" si="4"/>
        <v>5</v>
      </c>
      <c r="I32" s="38"/>
      <c r="J32" s="157">
        <v>8</v>
      </c>
      <c r="K32" s="157"/>
      <c r="L32" s="157">
        <v>12</v>
      </c>
      <c r="M32" s="157"/>
      <c r="N32" s="158">
        <f t="shared" si="5"/>
        <v>24</v>
      </c>
      <c r="O32" s="158"/>
      <c r="P32" s="159">
        <f t="shared" si="6"/>
        <v>36</v>
      </c>
      <c r="Q32" s="159"/>
      <c r="R32" s="9"/>
      <c r="S32" s="9"/>
      <c r="T32" s="9"/>
    </row>
    <row r="33" spans="2:21" ht="21">
      <c r="B33" s="23" t="s">
        <v>68</v>
      </c>
      <c r="C33" s="54">
        <v>3</v>
      </c>
      <c r="D33" s="54">
        <v>4</v>
      </c>
      <c r="E33" s="38">
        <v>12</v>
      </c>
      <c r="F33" s="38">
        <v>8</v>
      </c>
      <c r="G33" s="38">
        <v>4</v>
      </c>
      <c r="H33" s="38">
        <f t="shared" si="4"/>
        <v>0</v>
      </c>
      <c r="I33" s="41" t="s">
        <v>56</v>
      </c>
      <c r="J33" s="157">
        <v>16</v>
      </c>
      <c r="K33" s="157"/>
      <c r="L33" s="157">
        <v>18</v>
      </c>
      <c r="M33" s="157"/>
      <c r="N33" s="158">
        <f t="shared" si="5"/>
        <v>64</v>
      </c>
      <c r="O33" s="158"/>
      <c r="P33" s="159">
        <f t="shared" si="6"/>
        <v>72</v>
      </c>
      <c r="Q33" s="159"/>
      <c r="R33" s="9"/>
      <c r="S33" s="9"/>
      <c r="T33" s="9"/>
    </row>
    <row r="34" spans="2:21" ht="21">
      <c r="B34" s="23" t="s">
        <v>69</v>
      </c>
      <c r="C34" s="54">
        <v>3</v>
      </c>
      <c r="D34" s="54">
        <v>5</v>
      </c>
      <c r="E34" s="38">
        <v>13</v>
      </c>
      <c r="F34" s="38">
        <v>8</v>
      </c>
      <c r="G34" s="38">
        <v>2</v>
      </c>
      <c r="H34" s="38">
        <f t="shared" si="4"/>
        <v>3</v>
      </c>
      <c r="I34" s="38"/>
      <c r="J34" s="157">
        <v>12</v>
      </c>
      <c r="K34" s="157"/>
      <c r="L34" s="157">
        <v>20</v>
      </c>
      <c r="M34" s="157"/>
      <c r="N34" s="158">
        <f t="shared" si="5"/>
        <v>24</v>
      </c>
      <c r="O34" s="158"/>
      <c r="P34" s="159">
        <f t="shared" si="6"/>
        <v>40</v>
      </c>
      <c r="Q34" s="159"/>
      <c r="R34" s="9"/>
      <c r="S34" s="9"/>
      <c r="T34" s="9"/>
    </row>
    <row r="35" spans="2:21" ht="21">
      <c r="B35" s="23" t="s">
        <v>70</v>
      </c>
      <c r="C35" s="54">
        <v>4</v>
      </c>
      <c r="D35" s="54">
        <v>6</v>
      </c>
      <c r="E35" s="38">
        <v>16</v>
      </c>
      <c r="F35" s="38">
        <v>12</v>
      </c>
      <c r="G35" s="38">
        <v>4</v>
      </c>
      <c r="H35" s="38">
        <f t="shared" si="4"/>
        <v>0</v>
      </c>
      <c r="I35" s="41" t="s">
        <v>56</v>
      </c>
      <c r="J35" s="157">
        <v>10</v>
      </c>
      <c r="K35" s="157"/>
      <c r="L35" s="157">
        <v>12</v>
      </c>
      <c r="M35" s="157"/>
      <c r="N35" s="158">
        <f t="shared" si="5"/>
        <v>40</v>
      </c>
      <c r="O35" s="158"/>
      <c r="P35" s="159">
        <f t="shared" si="6"/>
        <v>48</v>
      </c>
      <c r="Q35" s="159"/>
      <c r="R35" s="9"/>
      <c r="S35" s="9"/>
      <c r="T35" s="9"/>
    </row>
    <row r="36" spans="2:21" ht="21">
      <c r="B36" s="23" t="s">
        <v>71</v>
      </c>
      <c r="C36" s="54">
        <v>4</v>
      </c>
      <c r="D36" s="54">
        <v>7</v>
      </c>
      <c r="E36" s="38">
        <v>15</v>
      </c>
      <c r="F36" s="38">
        <v>12</v>
      </c>
      <c r="G36" s="38">
        <v>1</v>
      </c>
      <c r="H36" s="38">
        <f t="shared" si="4"/>
        <v>2</v>
      </c>
      <c r="I36" s="38"/>
      <c r="J36" s="157">
        <v>16</v>
      </c>
      <c r="K36" s="157"/>
      <c r="L36" s="157">
        <v>14</v>
      </c>
      <c r="M36" s="157"/>
      <c r="N36" s="158">
        <f t="shared" si="5"/>
        <v>16</v>
      </c>
      <c r="O36" s="158"/>
      <c r="P36" s="159">
        <f t="shared" si="6"/>
        <v>14</v>
      </c>
      <c r="Q36" s="159"/>
      <c r="R36" s="9"/>
      <c r="S36" s="9"/>
      <c r="T36" s="9"/>
    </row>
    <row r="37" spans="2:21" ht="21">
      <c r="B37" s="23" t="s">
        <v>72</v>
      </c>
      <c r="C37" s="54">
        <v>5</v>
      </c>
      <c r="D37" s="54">
        <v>7</v>
      </c>
      <c r="E37" s="38">
        <v>15</v>
      </c>
      <c r="F37" s="38">
        <v>10</v>
      </c>
      <c r="G37" s="38">
        <v>2</v>
      </c>
      <c r="H37" s="38">
        <f t="shared" si="4"/>
        <v>3</v>
      </c>
      <c r="I37" s="17"/>
      <c r="J37" s="157">
        <v>20</v>
      </c>
      <c r="K37" s="157"/>
      <c r="L37" s="160">
        <v>9</v>
      </c>
      <c r="M37" s="160"/>
      <c r="N37" s="158">
        <f t="shared" si="5"/>
        <v>40</v>
      </c>
      <c r="O37" s="158"/>
      <c r="P37" s="159">
        <f t="shared" si="6"/>
        <v>18</v>
      </c>
      <c r="Q37" s="159"/>
      <c r="R37" s="9"/>
      <c r="S37" s="9"/>
      <c r="T37" s="9"/>
    </row>
    <row r="38" spans="2:21" ht="21">
      <c r="B38" s="23" t="s">
        <v>73</v>
      </c>
      <c r="C38" s="54">
        <v>5</v>
      </c>
      <c r="D38" s="54">
        <v>8</v>
      </c>
      <c r="E38" s="38">
        <v>16</v>
      </c>
      <c r="F38" s="38">
        <v>10</v>
      </c>
      <c r="G38" s="38">
        <v>3</v>
      </c>
      <c r="H38" s="38">
        <f t="shared" si="4"/>
        <v>3</v>
      </c>
      <c r="I38" s="39"/>
      <c r="J38" s="157">
        <v>8</v>
      </c>
      <c r="K38" s="157"/>
      <c r="L38" s="157">
        <v>10</v>
      </c>
      <c r="M38" s="157"/>
      <c r="N38" s="158">
        <f t="shared" si="5"/>
        <v>24</v>
      </c>
      <c r="O38" s="158"/>
      <c r="P38" s="159">
        <f t="shared" si="6"/>
        <v>30</v>
      </c>
      <c r="Q38" s="159"/>
      <c r="R38" s="7"/>
      <c r="S38" s="7"/>
      <c r="T38" s="7"/>
    </row>
    <row r="39" spans="2:21" ht="21">
      <c r="B39" s="23" t="s">
        <v>74</v>
      </c>
      <c r="C39" s="54">
        <v>6</v>
      </c>
      <c r="D39" s="54">
        <v>9</v>
      </c>
      <c r="E39" s="38">
        <v>19</v>
      </c>
      <c r="F39" s="38">
        <v>16</v>
      </c>
      <c r="G39" s="38">
        <v>3</v>
      </c>
      <c r="H39" s="38">
        <f t="shared" si="4"/>
        <v>0</v>
      </c>
      <c r="I39" s="41" t="s">
        <v>56</v>
      </c>
      <c r="J39" s="157">
        <v>4</v>
      </c>
      <c r="K39" s="157"/>
      <c r="L39" s="157">
        <v>10</v>
      </c>
      <c r="M39" s="157"/>
      <c r="N39" s="158">
        <f t="shared" si="5"/>
        <v>12</v>
      </c>
      <c r="O39" s="158"/>
      <c r="P39" s="159">
        <f t="shared" si="6"/>
        <v>30</v>
      </c>
      <c r="Q39" s="159"/>
      <c r="R39"/>
      <c r="S39"/>
      <c r="T39"/>
    </row>
    <row r="40" spans="2:21" ht="21">
      <c r="B40" s="23" t="s">
        <v>75</v>
      </c>
      <c r="C40" s="54">
        <v>7</v>
      </c>
      <c r="D40" s="54">
        <v>9</v>
      </c>
      <c r="E40" s="38">
        <v>19</v>
      </c>
      <c r="F40" s="38">
        <v>13</v>
      </c>
      <c r="G40" s="38">
        <v>4</v>
      </c>
      <c r="H40" s="38">
        <f t="shared" si="4"/>
        <v>2</v>
      </c>
      <c r="I40" s="17"/>
      <c r="J40" s="157">
        <v>8</v>
      </c>
      <c r="K40" s="157"/>
      <c r="L40" s="157">
        <v>12</v>
      </c>
      <c r="M40" s="157"/>
      <c r="N40" s="158">
        <f t="shared" si="5"/>
        <v>32</v>
      </c>
      <c r="O40" s="158"/>
      <c r="P40" s="159">
        <f t="shared" si="6"/>
        <v>48</v>
      </c>
      <c r="Q40" s="159"/>
      <c r="R40"/>
      <c r="S40"/>
      <c r="T40"/>
    </row>
    <row r="41" spans="2:21" ht="21">
      <c r="B41" s="23" t="s">
        <v>76</v>
      </c>
      <c r="C41" s="38">
        <v>8</v>
      </c>
      <c r="D41" s="38">
        <v>9</v>
      </c>
      <c r="E41" s="38">
        <v>19</v>
      </c>
      <c r="F41" s="38">
        <v>13</v>
      </c>
      <c r="G41" s="38">
        <v>3</v>
      </c>
      <c r="H41" s="38">
        <f t="shared" si="4"/>
        <v>3</v>
      </c>
      <c r="I41" s="17"/>
      <c r="J41" s="157">
        <v>16</v>
      </c>
      <c r="K41" s="157"/>
      <c r="L41" s="157">
        <v>8</v>
      </c>
      <c r="M41" s="157"/>
      <c r="N41" s="158">
        <f t="shared" si="5"/>
        <v>48</v>
      </c>
      <c r="O41" s="158"/>
      <c r="P41" s="159">
        <f t="shared" si="6"/>
        <v>24</v>
      </c>
      <c r="Q41" s="159"/>
      <c r="R41"/>
      <c r="S41"/>
      <c r="T41"/>
    </row>
    <row r="42" spans="2:21" ht="23.25">
      <c r="C42" s="108" t="s">
        <v>8</v>
      </c>
      <c r="D42" s="128"/>
      <c r="E42" s="109"/>
      <c r="F42" s="155">
        <f>+N42/E41</f>
        <v>56</v>
      </c>
      <c r="G42" s="155"/>
      <c r="H42" s="155"/>
      <c r="I42" s="9"/>
      <c r="J42" s="127" t="s">
        <v>9</v>
      </c>
      <c r="K42" s="127"/>
      <c r="L42" s="127"/>
      <c r="M42" s="127"/>
      <c r="N42" s="156">
        <f>SUM(N29:Q41)</f>
        <v>1064</v>
      </c>
      <c r="O42" s="156"/>
      <c r="P42" s="156"/>
      <c r="Q42" s="156"/>
      <c r="R42"/>
      <c r="S42"/>
      <c r="T42"/>
    </row>
    <row r="43" spans="2:21">
      <c r="C43"/>
      <c r="D43"/>
      <c r="E43"/>
      <c r="F43"/>
      <c r="G43"/>
      <c r="H43"/>
      <c r="I43"/>
      <c r="J43"/>
      <c r="K43"/>
      <c r="L43"/>
      <c r="M43"/>
      <c r="N43"/>
      <c r="O43"/>
      <c r="P43"/>
      <c r="Q43"/>
      <c r="R43"/>
      <c r="S43"/>
      <c r="T43"/>
    </row>
    <row r="44" spans="2:21">
      <c r="B44" s="23">
        <v>0</v>
      </c>
      <c r="C44" s="23">
        <v>1</v>
      </c>
      <c r="D44" s="23">
        <v>2</v>
      </c>
      <c r="E44" s="23">
        <v>3</v>
      </c>
      <c r="F44" s="23">
        <v>4</v>
      </c>
      <c r="G44" s="23">
        <v>5</v>
      </c>
      <c r="H44" s="23">
        <v>6</v>
      </c>
      <c r="I44" s="23">
        <v>7</v>
      </c>
      <c r="J44" s="23">
        <v>8</v>
      </c>
      <c r="K44" s="23">
        <v>9</v>
      </c>
      <c r="L44" s="23">
        <v>10</v>
      </c>
      <c r="M44" s="23">
        <v>11</v>
      </c>
      <c r="N44" s="23">
        <v>12</v>
      </c>
      <c r="O44" s="23">
        <v>13</v>
      </c>
      <c r="P44" s="23">
        <v>14</v>
      </c>
      <c r="Q44" s="23">
        <v>15</v>
      </c>
      <c r="R44" s="23">
        <v>16</v>
      </c>
      <c r="S44" s="23">
        <v>17</v>
      </c>
      <c r="T44" s="23">
        <v>18</v>
      </c>
      <c r="U44" s="23">
        <v>19</v>
      </c>
    </row>
    <row r="46" spans="2:21" ht="19.5" thickBot="1">
      <c r="G46" s="62">
        <v>4.8</v>
      </c>
      <c r="H46" s="62"/>
      <c r="I46" s="62">
        <v>19.2</v>
      </c>
    </row>
    <row r="47" spans="2:21">
      <c r="F47" s="47"/>
      <c r="G47" s="58">
        <v>18</v>
      </c>
      <c r="H47" s="59">
        <v>18</v>
      </c>
      <c r="J47" s="52"/>
      <c r="K47" s="52"/>
      <c r="L47" s="52"/>
      <c r="M47" s="52"/>
      <c r="N47" s="53"/>
    </row>
    <row r="48" spans="2:21">
      <c r="C48" s="62">
        <v>16</v>
      </c>
      <c r="D48" s="62"/>
      <c r="E48" s="62"/>
      <c r="F48" s="63">
        <v>64</v>
      </c>
      <c r="G48" s="63">
        <v>11.2</v>
      </c>
      <c r="H48" s="62"/>
      <c r="I48" s="62"/>
      <c r="J48" s="63">
        <v>44.8</v>
      </c>
      <c r="K48" s="63">
        <v>12.8</v>
      </c>
      <c r="L48" s="63"/>
      <c r="M48" s="63"/>
      <c r="N48" s="63">
        <v>51.2</v>
      </c>
      <c r="O48" s="63">
        <v>8</v>
      </c>
      <c r="P48" s="62"/>
      <c r="Q48" s="62"/>
      <c r="R48" s="65">
        <v>32</v>
      </c>
      <c r="S48" s="62">
        <v>2.4</v>
      </c>
      <c r="T48" s="62"/>
      <c r="U48" s="62">
        <v>9.6</v>
      </c>
    </row>
    <row r="49" spans="2:22">
      <c r="B49" s="47"/>
      <c r="C49" s="58">
        <v>20</v>
      </c>
      <c r="D49" s="59">
        <v>20</v>
      </c>
      <c r="F49" s="29"/>
      <c r="G49" s="59">
        <v>24</v>
      </c>
      <c r="H49" s="59">
        <v>24</v>
      </c>
      <c r="I49" s="49"/>
      <c r="J49" s="55"/>
      <c r="K49" s="61">
        <v>36</v>
      </c>
      <c r="L49" s="59">
        <v>36</v>
      </c>
      <c r="N49" s="49"/>
      <c r="O49" s="61">
        <v>24</v>
      </c>
      <c r="P49" s="59">
        <v>24</v>
      </c>
      <c r="S49" s="59">
        <v>15</v>
      </c>
      <c r="T49" s="61">
        <v>15</v>
      </c>
      <c r="U49" s="47"/>
    </row>
    <row r="50" spans="2:22" ht="19.5" thickBot="1">
      <c r="B50" s="47"/>
      <c r="C50" s="64">
        <v>14.4</v>
      </c>
      <c r="D50" s="62"/>
      <c r="E50" s="62"/>
      <c r="F50" s="62"/>
      <c r="G50" s="62"/>
      <c r="H50" s="62">
        <v>57.6</v>
      </c>
      <c r="I50" s="50"/>
      <c r="J50" s="51"/>
      <c r="K50" s="62">
        <v>4.8</v>
      </c>
      <c r="L50" s="62">
        <v>19.2</v>
      </c>
      <c r="N50" s="47"/>
      <c r="O50" s="64">
        <v>16</v>
      </c>
      <c r="P50" s="62">
        <v>6.4</v>
      </c>
      <c r="Q50" s="66"/>
      <c r="R50" s="66"/>
      <c r="S50" s="65">
        <v>25.6</v>
      </c>
      <c r="T50" s="50"/>
      <c r="U50" s="51"/>
    </row>
    <row r="51" spans="2:22" ht="19.5" thickBot="1">
      <c r="C51" s="59">
        <v>42</v>
      </c>
      <c r="D51" s="59">
        <v>42</v>
      </c>
      <c r="H51" s="29"/>
      <c r="K51" s="59">
        <v>20</v>
      </c>
      <c r="L51" s="61">
        <v>20</v>
      </c>
      <c r="M51" s="63">
        <v>8</v>
      </c>
      <c r="N51" s="62">
        <v>32</v>
      </c>
      <c r="O51" s="60">
        <v>7</v>
      </c>
      <c r="P51" s="59">
        <f>24+7</f>
        <v>31</v>
      </c>
      <c r="Q51" s="59">
        <v>24</v>
      </c>
      <c r="S51" s="49"/>
      <c r="T51" s="49"/>
      <c r="U51" s="47"/>
    </row>
    <row r="52" spans="2:22">
      <c r="L52" s="47"/>
      <c r="M52" s="58">
        <v>9</v>
      </c>
      <c r="N52" s="59">
        <v>9</v>
      </c>
      <c r="U52" s="47"/>
      <c r="V52" s="48"/>
    </row>
    <row r="53" spans="2:22" ht="19.5" thickBot="1">
      <c r="L53" s="47"/>
      <c r="M53" s="64">
        <v>4.8</v>
      </c>
      <c r="N53" s="62"/>
      <c r="O53" s="62">
        <v>19.2</v>
      </c>
      <c r="P53" s="67">
        <v>9.6</v>
      </c>
      <c r="Q53" s="66"/>
      <c r="R53" s="62">
        <v>38.4</v>
      </c>
      <c r="S53" s="50"/>
      <c r="T53" s="50"/>
      <c r="U53" s="51"/>
    </row>
    <row r="54" spans="2:22">
      <c r="M54" s="59">
        <v>15</v>
      </c>
      <c r="N54" s="59">
        <v>15</v>
      </c>
      <c r="P54" s="59">
        <v>12</v>
      </c>
      <c r="Q54" s="59">
        <v>12</v>
      </c>
    </row>
    <row r="55" spans="2:22">
      <c r="M55" s="29"/>
      <c r="N55" s="29"/>
      <c r="P55" s="29"/>
      <c r="Q55" s="29"/>
    </row>
    <row r="56" spans="2:22">
      <c r="C56" s="49">
        <f t="shared" ref="C56:U56" si="7">SUM(C46:C54)</f>
        <v>92.4</v>
      </c>
      <c r="D56" s="49">
        <f t="shared" si="7"/>
        <v>62</v>
      </c>
      <c r="E56" s="49">
        <f t="shared" si="7"/>
        <v>0</v>
      </c>
      <c r="F56" s="49">
        <f t="shared" si="7"/>
        <v>64</v>
      </c>
      <c r="G56" s="49">
        <f t="shared" si="7"/>
        <v>58</v>
      </c>
      <c r="H56" s="49">
        <f t="shared" si="7"/>
        <v>99.6</v>
      </c>
      <c r="I56" s="49">
        <f t="shared" si="7"/>
        <v>19.2</v>
      </c>
      <c r="J56" s="49">
        <f t="shared" si="7"/>
        <v>44.8</v>
      </c>
      <c r="K56" s="49">
        <f t="shared" si="7"/>
        <v>73.599999999999994</v>
      </c>
      <c r="L56" s="49">
        <f t="shared" si="7"/>
        <v>75.2</v>
      </c>
      <c r="M56" s="49">
        <f t="shared" si="7"/>
        <v>36.799999999999997</v>
      </c>
      <c r="N56" s="49">
        <f t="shared" si="7"/>
        <v>107.2</v>
      </c>
      <c r="O56" s="49">
        <f t="shared" si="7"/>
        <v>74.2</v>
      </c>
      <c r="P56" s="49">
        <f t="shared" si="7"/>
        <v>83</v>
      </c>
      <c r="Q56" s="49">
        <f t="shared" si="7"/>
        <v>36</v>
      </c>
      <c r="R56" s="49">
        <f t="shared" si="7"/>
        <v>70.400000000000006</v>
      </c>
      <c r="S56" s="49">
        <f t="shared" si="7"/>
        <v>43</v>
      </c>
      <c r="T56" s="49">
        <f t="shared" si="7"/>
        <v>15</v>
      </c>
      <c r="U56" s="49">
        <f t="shared" si="7"/>
        <v>9.6</v>
      </c>
    </row>
    <row r="57" spans="2:22">
      <c r="C57" s="49"/>
      <c r="D57" s="49"/>
      <c r="E57" s="49"/>
      <c r="F57" s="49"/>
      <c r="G57" s="49"/>
      <c r="H57" s="49"/>
      <c r="I57" s="49"/>
      <c r="J57" s="49"/>
      <c r="K57" s="49"/>
      <c r="L57" s="49"/>
      <c r="M57" s="49"/>
      <c r="N57" s="49"/>
      <c r="O57" s="49"/>
      <c r="P57" s="49"/>
      <c r="Q57" s="49"/>
      <c r="R57" s="49"/>
      <c r="S57" s="49"/>
      <c r="T57" s="49"/>
      <c r="U57" s="49"/>
    </row>
    <row r="68" spans="2:21" ht="19.5" thickBot="1">
      <c r="C68" s="56"/>
      <c r="D68" s="56"/>
      <c r="E68" s="56"/>
      <c r="F68" s="56"/>
      <c r="G68" s="56"/>
      <c r="H68" s="56"/>
      <c r="I68" s="56"/>
      <c r="J68" s="56"/>
      <c r="K68" s="56"/>
      <c r="L68" s="56"/>
      <c r="M68" s="56"/>
      <c r="N68" s="56"/>
      <c r="O68" s="56"/>
      <c r="P68" s="56"/>
      <c r="Q68" s="56"/>
      <c r="R68" s="56"/>
      <c r="S68" s="56"/>
      <c r="T68" s="56"/>
      <c r="U68" s="56"/>
    </row>
    <row r="69" spans="2:21">
      <c r="B69" s="23">
        <v>0</v>
      </c>
      <c r="C69" s="57">
        <v>1</v>
      </c>
      <c r="D69" s="57">
        <v>2</v>
      </c>
      <c r="E69" s="57">
        <v>3</v>
      </c>
      <c r="F69" s="57">
        <v>4</v>
      </c>
      <c r="G69" s="57">
        <v>5</v>
      </c>
      <c r="H69" s="57">
        <v>6</v>
      </c>
      <c r="I69" s="57">
        <v>7</v>
      </c>
      <c r="J69" s="57">
        <v>8</v>
      </c>
      <c r="K69" s="57">
        <v>9</v>
      </c>
      <c r="L69" s="57">
        <v>10</v>
      </c>
      <c r="M69" s="57">
        <v>11</v>
      </c>
      <c r="N69" s="57">
        <v>12</v>
      </c>
      <c r="O69" s="57">
        <v>13</v>
      </c>
      <c r="P69" s="57">
        <v>14</v>
      </c>
      <c r="Q69" s="57">
        <v>15</v>
      </c>
      <c r="R69" s="57">
        <v>16</v>
      </c>
      <c r="S69" s="57">
        <v>17</v>
      </c>
      <c r="T69" s="57">
        <v>18</v>
      </c>
      <c r="U69" s="57">
        <v>19</v>
      </c>
    </row>
  </sheetData>
  <mergeCells count="74">
    <mergeCell ref="S21:S22"/>
    <mergeCell ref="G25:G26"/>
    <mergeCell ref="K25:K26"/>
    <mergeCell ref="O25:O26"/>
    <mergeCell ref="G1:H1"/>
    <mergeCell ref="L1:M1"/>
    <mergeCell ref="P1:Q1"/>
    <mergeCell ref="G17:G18"/>
    <mergeCell ref="K17:K18"/>
    <mergeCell ref="O17:O18"/>
    <mergeCell ref="J29:K29"/>
    <mergeCell ref="L29:M29"/>
    <mergeCell ref="N29:O29"/>
    <mergeCell ref="P29:Q29"/>
    <mergeCell ref="C21:C22"/>
    <mergeCell ref="O21:O22"/>
    <mergeCell ref="C28:D28"/>
    <mergeCell ref="J28:K28"/>
    <mergeCell ref="L28:M28"/>
    <mergeCell ref="N28:O28"/>
    <mergeCell ref="P28:Q28"/>
    <mergeCell ref="J30:K30"/>
    <mergeCell ref="L30:M30"/>
    <mergeCell ref="N30:O30"/>
    <mergeCell ref="P30:Q30"/>
    <mergeCell ref="J31:K31"/>
    <mergeCell ref="L31:M31"/>
    <mergeCell ref="N31:O31"/>
    <mergeCell ref="P31:Q31"/>
    <mergeCell ref="J32:K32"/>
    <mergeCell ref="L32:M32"/>
    <mergeCell ref="N32:O32"/>
    <mergeCell ref="P32:Q32"/>
    <mergeCell ref="J33:K33"/>
    <mergeCell ref="L33:M33"/>
    <mergeCell ref="N33:O33"/>
    <mergeCell ref="P33:Q33"/>
    <mergeCell ref="J34:K34"/>
    <mergeCell ref="L34:M34"/>
    <mergeCell ref="N34:O34"/>
    <mergeCell ref="P34:Q34"/>
    <mergeCell ref="J35:K35"/>
    <mergeCell ref="L35:M35"/>
    <mergeCell ref="N35:O35"/>
    <mergeCell ref="P35:Q35"/>
    <mergeCell ref="J36:K36"/>
    <mergeCell ref="L36:M36"/>
    <mergeCell ref="N36:O36"/>
    <mergeCell ref="P36:Q36"/>
    <mergeCell ref="J37:K37"/>
    <mergeCell ref="L37:M37"/>
    <mergeCell ref="N37:O37"/>
    <mergeCell ref="P37:Q37"/>
    <mergeCell ref="P38:Q38"/>
    <mergeCell ref="J39:K39"/>
    <mergeCell ref="L39:M39"/>
    <mergeCell ref="N39:O39"/>
    <mergeCell ref="P39:Q39"/>
    <mergeCell ref="AQ1:BA1"/>
    <mergeCell ref="C42:E42"/>
    <mergeCell ref="F42:H42"/>
    <mergeCell ref="J42:M42"/>
    <mergeCell ref="N42:Q42"/>
    <mergeCell ref="J40:K40"/>
    <mergeCell ref="L40:M40"/>
    <mergeCell ref="N40:O40"/>
    <mergeCell ref="P40:Q40"/>
    <mergeCell ref="J41:K41"/>
    <mergeCell ref="L41:M41"/>
    <mergeCell ref="N41:O41"/>
    <mergeCell ref="P41:Q41"/>
    <mergeCell ref="J38:K38"/>
    <mergeCell ref="L38:M38"/>
    <mergeCell ref="N38:O38"/>
  </mergeCells>
  <conditionalFormatting sqref="I29:J36 J37:J41 L29:L41 I39 N29:N41 P29:P41">
    <cfRule type="cellIs" dxfId="0" priority="2" operator="equal">
      <formula>"SI"</formula>
    </cfRule>
  </conditionalFormatting>
  <printOptions horizontalCentered="1"/>
  <pageMargins left="0.31496062992125984" right="0" top="0" bottom="0" header="0.31496062992125984" footer="0.31496062992125984"/>
  <pageSetup paperSize="9" scale="78" fitToHeight="2"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Tema 1</vt:lpstr>
      <vt:lpstr>Solución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dc:creator>
  <cp:lastModifiedBy>Flor</cp:lastModifiedBy>
  <cp:lastPrinted>2017-06-24T22:02:11Z</cp:lastPrinted>
  <dcterms:created xsi:type="dcterms:W3CDTF">2015-06-16T15:46:45Z</dcterms:created>
  <dcterms:modified xsi:type="dcterms:W3CDTF">2017-06-24T22:15:19Z</dcterms:modified>
</cp:coreProperties>
</file>