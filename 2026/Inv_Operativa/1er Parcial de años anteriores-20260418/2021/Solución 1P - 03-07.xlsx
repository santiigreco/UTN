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FlorenciaBenevenia\Documents\Trabajo\Investigación Operativa\2021\6.- 1er Parcial 03-07\"/>
    </mc:Choice>
  </mc:AlternateContent>
  <xr:revisionPtr revIDLastSave="0" documentId="13_ncr:1_{9FBF988A-CA18-43A9-AE07-32663D66421C}" xr6:coauthVersionLast="47" xr6:coauthVersionMax="47" xr10:uidLastSave="{00000000-0000-0000-0000-000000000000}"/>
  <bookViews>
    <workbookView xWindow="-120" yWindow="-120" windowWidth="20730" windowHeight="11160" activeTab="3" xr2:uid="{ED7DD3C4-7839-4B22-875B-5A0654C3D469}"/>
  </bookViews>
  <sheets>
    <sheet name="Practica 1" sheetId="2" r:id="rId1"/>
    <sheet name="Práctica 2" sheetId="3" r:id="rId2"/>
    <sheet name="Práctica 3" sheetId="4" r:id="rId3"/>
    <sheet name="Práctica 4" sheetId="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8" i="1" l="1"/>
  <c r="U6" i="1"/>
  <c r="V8" i="1"/>
  <c r="V6" i="1"/>
  <c r="Q6" i="1"/>
  <c r="P5" i="1" s="1"/>
  <c r="Q5" i="1"/>
  <c r="Q4" i="1"/>
  <c r="B18" i="4"/>
  <c r="E9" i="4"/>
  <c r="B6" i="4"/>
  <c r="E6" i="4" s="1"/>
  <c r="E18" i="4" s="1"/>
  <c r="H19" i="3"/>
  <c r="C9" i="3"/>
  <c r="E9" i="3" s="1"/>
  <c r="E8" i="3"/>
  <c r="C17" i="3"/>
  <c r="C16" i="3"/>
  <c r="C15" i="3"/>
  <c r="C14" i="3"/>
  <c r="E14" i="3" s="1"/>
  <c r="C13" i="3"/>
  <c r="E13" i="3" s="1"/>
  <c r="C12" i="3"/>
  <c r="C11" i="3"/>
  <c r="E11" i="3" s="1"/>
  <c r="C10" i="3"/>
  <c r="E10" i="3" s="1"/>
  <c r="C8" i="3"/>
  <c r="E15" i="3"/>
  <c r="E17" i="3"/>
  <c r="E16" i="3"/>
  <c r="E12" i="3"/>
  <c r="C3" i="3"/>
  <c r="C4" i="3" s="1"/>
  <c r="C5" i="3" s="1"/>
  <c r="C2" i="3"/>
  <c r="V7" i="1" l="1"/>
  <c r="V5" i="1"/>
  <c r="V9" i="1"/>
  <c r="P6" i="1"/>
  <c r="U5" i="1"/>
  <c r="F8" i="3"/>
  <c r="I8" i="3" s="1"/>
  <c r="I9" i="3" s="1"/>
  <c r="I10" i="3" s="1"/>
  <c r="I11" i="3" s="1"/>
  <c r="I12" i="3" s="1"/>
  <c r="I13" i="3" s="1"/>
  <c r="I14" i="3" s="1"/>
  <c r="I15" i="3" s="1"/>
  <c r="I16" i="3" s="1"/>
  <c r="I17" i="3" s="1"/>
  <c r="T7" i="1" l="1"/>
  <c r="L14" i="1"/>
  <c r="T9" i="1"/>
  <c r="T5" i="1"/>
  <c r="W5" i="1" s="1"/>
  <c r="L8" i="1"/>
  <c r="F9" i="3"/>
  <c r="H9" i="3" s="1"/>
  <c r="T6" i="1" l="1"/>
  <c r="W6" i="1" s="1"/>
  <c r="K14" i="1"/>
  <c r="L12" i="1" s="1"/>
  <c r="U7" i="1"/>
  <c r="W7" i="1" s="1"/>
  <c r="F10" i="3"/>
  <c r="H10" i="3" s="1"/>
  <c r="T8" i="1" l="1"/>
  <c r="W8" i="1" s="1"/>
  <c r="U9" i="1"/>
  <c r="W9" i="1" s="1"/>
  <c r="F11" i="3"/>
  <c r="F12" i="3" s="1"/>
  <c r="H11" i="3" l="1"/>
  <c r="F13" i="3"/>
  <c r="H12" i="3"/>
  <c r="F14" i="3" l="1"/>
  <c r="H13" i="3"/>
  <c r="F15" i="3" l="1"/>
  <c r="H14" i="3"/>
  <c r="F16" i="3" l="1"/>
  <c r="H15" i="3"/>
  <c r="F17" i="3" l="1"/>
  <c r="H17" i="3" s="1"/>
  <c r="H16" i="3"/>
  <c r="C6" i="2" l="1"/>
  <c r="F8" i="2"/>
  <c r="F7" i="2"/>
</calcChain>
</file>

<file path=xl/sharedStrings.xml><?xml version="1.0" encoding="utf-8"?>
<sst xmlns="http://schemas.openxmlformats.org/spreadsheetml/2006/main" count="68" uniqueCount="54">
  <si>
    <t>Tarea</t>
  </si>
  <si>
    <t>Duración</t>
  </si>
  <si>
    <t>Precedencia</t>
  </si>
  <si>
    <t>A</t>
  </si>
  <si>
    <t>B</t>
  </si>
  <si>
    <t>C</t>
  </si>
  <si>
    <t>D</t>
  </si>
  <si>
    <t>E</t>
  </si>
  <si>
    <t>B - C</t>
  </si>
  <si>
    <t>¿Si hoy la maquina está en funcionamiento normal, y tiene ya 3 días sin descomponerse desde la última reparación, cual es la probabilidad de que se descomponga mañana?</t>
  </si>
  <si>
    <t>X: último dígito de su legajo – si es 0 utilizar el número 1</t>
  </si>
  <si>
    <t>Y: último dígito de su DNI – si es 0 utilizar el número 1</t>
  </si>
  <si>
    <r>
      <t>Un fabricante tiene una máquina que se comporta de tal forma que si su estado al inicio del día es funcionamiento normal tiene una probabilidad de 0,</t>
    </r>
    <r>
      <rPr>
        <b/>
        <sz val="11"/>
        <color theme="1"/>
        <rFont val="Calibri"/>
        <family val="2"/>
        <scheme val="minor"/>
      </rPr>
      <t>X</t>
    </r>
    <r>
      <rPr>
        <sz val="11"/>
        <color theme="1"/>
        <rFont val="Calibri"/>
        <family val="2"/>
        <scheme val="minor"/>
      </rPr>
      <t xml:space="preserve"> de descomponerse y que su estado al día siguiente sea fuera de servicio. Cuando esto ocurre, la probabilidad de que la maquina fuera de servicio entre al siguiente día en reparación es de 0,8
El día que la maquina entra en reparación la probabilidad de que ya esté en funcionamiento normal para el día siguiente es de 0,Y. La máquina fuera de servicio si o si debe pasar por el estado de reparación para poder estar en funcionamiento normal.</t>
    </r>
  </si>
  <si>
    <t>FN</t>
  </si>
  <si>
    <t>FS</t>
  </si>
  <si>
    <t>R</t>
  </si>
  <si>
    <r>
      <t xml:space="preserve">Respuesta </t>
    </r>
    <r>
      <rPr>
        <b/>
        <i/>
        <sz val="11"/>
        <color theme="1"/>
        <rFont val="Calibri"/>
        <family val="2"/>
        <scheme val="minor"/>
      </rPr>
      <t>P(FS | FN)</t>
    </r>
    <r>
      <rPr>
        <i/>
        <sz val="11"/>
        <color theme="1"/>
        <rFont val="Calibri"/>
        <family val="2"/>
        <scheme val="minor"/>
      </rPr>
      <t xml:space="preserve">
El detalle de los 3 dias sin descomponerse es irrelevante dado que las
cadenas de markov tienen memoria = 1</t>
    </r>
  </si>
  <si>
    <t>ƛ (min)</t>
  </si>
  <si>
    <t>Probabilidad</t>
  </si>
  <si>
    <t>Prob. Acumulada</t>
  </si>
  <si>
    <t>Intervalos</t>
  </si>
  <si>
    <t>0 - 0,1</t>
  </si>
  <si>
    <t>0,1 - 0,5</t>
  </si>
  <si>
    <t>0,5 - 0,8</t>
  </si>
  <si>
    <t>0,8 - 1</t>
  </si>
  <si>
    <t>Nro de llegada</t>
  </si>
  <si>
    <t>Nro Aleatorio</t>
  </si>
  <si>
    <r>
      <rPr>
        <sz val="11"/>
        <color theme="1"/>
        <rFont val="Calibri"/>
        <family val="2"/>
      </rPr>
      <t>µ</t>
    </r>
    <r>
      <rPr>
        <sz val="8.8000000000000007"/>
        <color theme="1"/>
        <rFont val="Calibri"/>
        <family val="2"/>
      </rPr>
      <t xml:space="preserve"> (min)</t>
    </r>
  </si>
  <si>
    <t>Tiempo entre llegadas</t>
  </si>
  <si>
    <t>Tiempo de Arribo</t>
  </si>
  <si>
    <t>Lq</t>
  </si>
  <si>
    <t>Wq</t>
  </si>
  <si>
    <t>Tiempo de Salida</t>
  </si>
  <si>
    <t>Si es mayor a 3 minutos conviene agregar una nueva isla</t>
  </si>
  <si>
    <t>X: segundo dígito de su DNI – si es 0 utilizar el número 1</t>
  </si>
  <si>
    <t>λ =</t>
  </si>
  <si>
    <t>minutos</t>
  </si>
  <si>
    <t>trabajos por hora</t>
  </si>
  <si>
    <t>Ws</t>
  </si>
  <si>
    <r>
      <t xml:space="preserve">Una computadora procesa los trabajos que se le asignan sobre la base FIFO. Dichos trabajos   llegan con una distribución Poisson con promedio de tiempo entre llegadas de </t>
    </r>
    <r>
      <rPr>
        <b/>
        <sz val="9"/>
        <color theme="1"/>
        <rFont val="Calibri"/>
        <family val="2"/>
        <scheme val="minor"/>
      </rPr>
      <t>X</t>
    </r>
    <r>
      <rPr>
        <sz val="9"/>
        <color theme="1"/>
        <rFont val="Calibri"/>
        <family val="2"/>
        <scheme val="minor"/>
      </rPr>
      <t xml:space="preserve"> minutos.
El procesamiento de los trabajos consiste en que ningún trabajo pase más de 6 minutos promedio en el sistema.
¿Qué tan rápido debe de trabajar el procesador para cumplir con este objetivo?</t>
    </r>
  </si>
  <si>
    <t>trabajos por minuto</t>
  </si>
  <si>
    <t>a. desarrollar la red del proyecto</t>
  </si>
  <si>
    <t>b. determinar la duración total del proyecto e identificar qué tareas componen el camino crítico</t>
  </si>
  <si>
    <t>c. Realizar el diagrama calendario a fecha tardía</t>
  </si>
  <si>
    <t>0 3</t>
  </si>
  <si>
    <t>0 1</t>
  </si>
  <si>
    <t>1 3</t>
  </si>
  <si>
    <t>0 2</t>
  </si>
  <si>
    <t>2 3</t>
  </si>
  <si>
    <t>MT</t>
  </si>
  <si>
    <t>MI</t>
  </si>
  <si>
    <t>ML</t>
  </si>
  <si>
    <t>Crítica</t>
  </si>
  <si>
    <t>Si el segundo dígito de su DNI es par o 0, considere Y=3
Si el segundo dígito de su DNI es impar, considere Y=6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</si>
</sst>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5" formatCode="0.000"/>
  </numFmts>
  <fonts count="13" x14ac:knownFonts="1">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b/>
      <sz val="10"/>
      <color theme="1"/>
      <name val="Calibri"/>
      <family val="2"/>
    </font>
    <font>
      <sz val="11"/>
      <color theme="1"/>
      <name val="Calibri"/>
      <family val="2"/>
    </font>
    <font>
      <sz val="8.8000000000000007"/>
      <color theme="1"/>
      <name val="Calibri"/>
      <family val="2"/>
    </font>
    <font>
      <sz val="10"/>
      <color rgb="FF000000"/>
      <name val="Arial"/>
      <family val="2"/>
    </font>
    <font>
      <sz val="10"/>
      <color theme="1"/>
      <name val="Calibri"/>
      <family val="2"/>
      <scheme val="minor"/>
    </font>
    <font>
      <sz val="9"/>
      <color theme="1"/>
      <name val="Calibri"/>
      <family val="2"/>
      <scheme val="minor"/>
    </font>
    <font>
      <b/>
      <sz val="9"/>
      <color theme="1"/>
      <name val="Calibri"/>
      <family val="2"/>
      <scheme val="minor"/>
    </font>
    <font>
      <sz val="11"/>
      <color theme="4"/>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45">
    <xf numFmtId="0" fontId="0" fillId="0" borderId="0" xfId="0"/>
    <xf numFmtId="0" fontId="0" fillId="0" borderId="0" xfId="0" applyAlignment="1">
      <alignment horizontal="center"/>
    </xf>
    <xf numFmtId="0" fontId="0" fillId="0" borderId="1" xfId="0" applyBorder="1" applyAlignment="1">
      <alignment horizontal="center"/>
    </xf>
    <xf numFmtId="0" fontId="2" fillId="0" borderId="1" xfId="0" applyFont="1" applyBorder="1" applyAlignment="1">
      <alignment horizontal="center"/>
    </xf>
    <xf numFmtId="0" fontId="0" fillId="0" borderId="0" xfId="0" applyAlignment="1">
      <alignment horizontal="justify" vertical="center"/>
    </xf>
    <xf numFmtId="0" fontId="2" fillId="0" borderId="0" xfId="0" applyFont="1" applyAlignment="1">
      <alignment horizontal="justify" vertical="center"/>
    </xf>
    <xf numFmtId="0" fontId="0" fillId="0" borderId="0" xfId="0" applyAlignment="1">
      <alignment horizontal="justify" vertical="center" wrapText="1"/>
    </xf>
    <xf numFmtId="2" fontId="0" fillId="0" borderId="0" xfId="0" applyNumberFormat="1"/>
    <xf numFmtId="2" fontId="0" fillId="0" borderId="0" xfId="0" applyNumberFormat="1" applyAlignment="1">
      <alignment horizontal="center"/>
    </xf>
    <xf numFmtId="2" fontId="0" fillId="2" borderId="0" xfId="0" applyNumberFormat="1" applyFill="1" applyAlignment="1">
      <alignment horizontal="center"/>
    </xf>
    <xf numFmtId="0" fontId="3" fillId="0" borderId="0" xfId="0" applyFont="1" applyAlignment="1">
      <alignment wrapText="1"/>
    </xf>
    <xf numFmtId="0" fontId="0" fillId="0" borderId="1" xfId="0" applyBorder="1"/>
    <xf numFmtId="0" fontId="0" fillId="0" borderId="1" xfId="0" applyBorder="1" applyAlignment="1">
      <alignment vertical="center"/>
    </xf>
    <xf numFmtId="0" fontId="0" fillId="0" borderId="1" xfId="0"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8" fillId="0" borderId="1" xfId="0" applyFont="1" applyBorder="1" applyAlignment="1">
      <alignment horizontal="center" vertical="center" wrapText="1"/>
    </xf>
    <xf numFmtId="0" fontId="0" fillId="0" borderId="1" xfId="0" applyBorder="1" applyAlignment="1">
      <alignment horizontal="center" vertical="center" wrapText="1"/>
    </xf>
    <xf numFmtId="0" fontId="8" fillId="0" borderId="1" xfId="0" applyFont="1" applyBorder="1" applyAlignment="1">
      <alignment horizontal="center"/>
    </xf>
    <xf numFmtId="0" fontId="0" fillId="2" borderId="1" xfId="0" applyFill="1" applyBorder="1" applyAlignment="1">
      <alignment horizontal="center"/>
    </xf>
    <xf numFmtId="2" fontId="0" fillId="0" borderId="1" xfId="0" applyNumberFormat="1" applyBorder="1" applyAlignment="1">
      <alignment horizontal="center" vertical="center"/>
    </xf>
    <xf numFmtId="2" fontId="0" fillId="0" borderId="1" xfId="0" applyNumberFormat="1" applyBorder="1" applyAlignment="1">
      <alignment horizontal="center"/>
    </xf>
    <xf numFmtId="0" fontId="0" fillId="2" borderId="1" xfId="0" applyFill="1" applyBorder="1" applyAlignment="1">
      <alignment horizontal="center" vertical="center"/>
    </xf>
    <xf numFmtId="2" fontId="0" fillId="2" borderId="1" xfId="0" applyNumberFormat="1" applyFill="1" applyBorder="1" applyAlignment="1">
      <alignment horizontal="center" vertical="center"/>
    </xf>
    <xf numFmtId="2" fontId="2" fillId="0" borderId="0" xfId="0" applyNumberFormat="1" applyFont="1" applyFill="1" applyBorder="1" applyAlignment="1">
      <alignment horizontal="center"/>
    </xf>
    <xf numFmtId="0" fontId="10" fillId="0" borderId="0" xfId="0" applyFont="1" applyAlignment="1">
      <alignment horizontal="justify" vertical="center"/>
    </xf>
    <xf numFmtId="0" fontId="11" fillId="0" borderId="0" xfId="0" applyFont="1" applyAlignment="1">
      <alignment horizontal="justify" vertical="center"/>
    </xf>
    <xf numFmtId="0" fontId="10" fillId="0" borderId="0" xfId="0" applyFont="1" applyAlignment="1">
      <alignment horizontal="justify" vertical="center" wrapText="1"/>
    </xf>
    <xf numFmtId="0" fontId="0" fillId="0" borderId="0" xfId="0" applyAlignment="1">
      <alignment horizontal="right"/>
    </xf>
    <xf numFmtId="0" fontId="9" fillId="0" borderId="0" xfId="0" applyFont="1" applyAlignment="1">
      <alignment horizontal="right"/>
    </xf>
    <xf numFmtId="0" fontId="9" fillId="0" borderId="0" xfId="0" applyFont="1"/>
    <xf numFmtId="0" fontId="9" fillId="0" borderId="0" xfId="0" applyFont="1" applyAlignment="1">
      <alignment horizontal="center"/>
    </xf>
    <xf numFmtId="0" fontId="9" fillId="0" borderId="0" xfId="0" applyFont="1" applyAlignment="1">
      <alignment horizontal="left"/>
    </xf>
    <xf numFmtId="0" fontId="9" fillId="2" borderId="0" xfId="0" applyFont="1" applyFill="1" applyAlignment="1">
      <alignment horizontal="center"/>
    </xf>
    <xf numFmtId="175" fontId="9" fillId="0" borderId="0" xfId="0" applyNumberFormat="1" applyFont="1" applyAlignment="1">
      <alignment horizontal="center"/>
    </xf>
    <xf numFmtId="0" fontId="0" fillId="0" borderId="0" xfId="0" applyAlignment="1">
      <alignment horizontal="center" wrapText="1"/>
    </xf>
    <xf numFmtId="0" fontId="0" fillId="0" borderId="0" xfId="0" applyAlignment="1">
      <alignment horizontal="left" vertical="center"/>
    </xf>
    <xf numFmtId="0" fontId="0" fillId="0" borderId="0" xfId="0" applyAlignment="1">
      <alignment horizontal="left" vertical="center" wrapText="1"/>
    </xf>
    <xf numFmtId="0" fontId="0" fillId="0" borderId="2" xfId="0" applyFill="1" applyBorder="1" applyAlignment="1">
      <alignment horizontal="left"/>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xf numFmtId="0" fontId="2" fillId="2" borderId="1" xfId="0" applyFont="1" applyFill="1" applyBorder="1" applyAlignment="1">
      <alignment horizontal="center"/>
    </xf>
    <xf numFmtId="0" fontId="1" fillId="0" borderId="0" xfId="0" applyFont="1" applyAlignment="1">
      <alignment horizontal="right"/>
    </xf>
    <xf numFmtId="0" fontId="1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5</xdr:row>
      <xdr:rowOff>0</xdr:rowOff>
    </xdr:from>
    <xdr:to>
      <xdr:col>5</xdr:col>
      <xdr:colOff>9525</xdr:colOff>
      <xdr:row>8</xdr:row>
      <xdr:rowOff>28575</xdr:rowOff>
    </xdr:to>
    <xdr:sp macro="" textlink="">
      <xdr:nvSpPr>
        <xdr:cNvPr id="2" name="Corchetes 1">
          <a:extLst>
            <a:ext uri="{FF2B5EF4-FFF2-40B4-BE49-F238E27FC236}">
              <a16:creationId xmlns:a16="http://schemas.microsoft.com/office/drawing/2014/main" id="{925A7EA1-61A2-4409-88DB-779650D54941}"/>
            </a:ext>
          </a:extLst>
        </xdr:cNvPr>
        <xdr:cNvSpPr/>
      </xdr:nvSpPr>
      <xdr:spPr>
        <a:xfrm>
          <a:off x="6076950" y="2286000"/>
          <a:ext cx="923925" cy="600075"/>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s-AR"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1695450</xdr:colOff>
      <xdr:row>4</xdr:row>
      <xdr:rowOff>85725</xdr:rowOff>
    </xdr:from>
    <xdr:to>
      <xdr:col>0</xdr:col>
      <xdr:colOff>4133545</xdr:colOff>
      <xdr:row>7</xdr:row>
      <xdr:rowOff>38035</xdr:rowOff>
    </xdr:to>
    <xdr:pic>
      <xdr:nvPicPr>
        <xdr:cNvPr id="2" name="Imagen 1">
          <a:extLst>
            <a:ext uri="{FF2B5EF4-FFF2-40B4-BE49-F238E27FC236}">
              <a16:creationId xmlns:a16="http://schemas.microsoft.com/office/drawing/2014/main" id="{85C2EA30-8148-488A-8B39-ED8AD878C0B2}"/>
            </a:ext>
          </a:extLst>
        </xdr:cNvPr>
        <xdr:cNvPicPr>
          <a:picLocks noChangeAspect="1"/>
        </xdr:cNvPicPr>
      </xdr:nvPicPr>
      <xdr:blipFill>
        <a:blip xmlns:r="http://schemas.openxmlformats.org/officeDocument/2006/relationships" r:embed="rId1"/>
        <a:stretch>
          <a:fillRect/>
        </a:stretch>
      </xdr:blipFill>
      <xdr:spPr>
        <a:xfrm>
          <a:off x="1695450" y="1914525"/>
          <a:ext cx="2438095" cy="523810"/>
        </a:xfrm>
        <a:prstGeom prst="rect">
          <a:avLst/>
        </a:prstGeom>
      </xdr:spPr>
    </xdr:pic>
    <xdr:clientData/>
  </xdr:twoCellAnchor>
  <xdr:twoCellAnchor editAs="oneCell">
    <xdr:from>
      <xdr:col>0</xdr:col>
      <xdr:colOff>2990850</xdr:colOff>
      <xdr:row>9</xdr:row>
      <xdr:rowOff>171450</xdr:rowOff>
    </xdr:from>
    <xdr:to>
      <xdr:col>0</xdr:col>
      <xdr:colOff>4076564</xdr:colOff>
      <xdr:row>19</xdr:row>
      <xdr:rowOff>171212</xdr:rowOff>
    </xdr:to>
    <xdr:pic>
      <xdr:nvPicPr>
        <xdr:cNvPr id="3" name="Imagen 2">
          <a:extLst>
            <a:ext uri="{FF2B5EF4-FFF2-40B4-BE49-F238E27FC236}">
              <a16:creationId xmlns:a16="http://schemas.microsoft.com/office/drawing/2014/main" id="{C3F6DC79-A5AB-4F0D-82FE-C5503BE052F4}"/>
            </a:ext>
          </a:extLst>
        </xdr:cNvPr>
        <xdr:cNvPicPr>
          <a:picLocks noChangeAspect="1"/>
        </xdr:cNvPicPr>
      </xdr:nvPicPr>
      <xdr:blipFill>
        <a:blip xmlns:r="http://schemas.openxmlformats.org/officeDocument/2006/relationships" r:embed="rId2"/>
        <a:stretch>
          <a:fillRect/>
        </a:stretch>
      </xdr:blipFill>
      <xdr:spPr>
        <a:xfrm>
          <a:off x="2990850" y="2952750"/>
          <a:ext cx="1085714" cy="19047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47625</xdr:colOff>
      <xdr:row>5</xdr:row>
      <xdr:rowOff>9525</xdr:rowOff>
    </xdr:from>
    <xdr:to>
      <xdr:col>9</xdr:col>
      <xdr:colOff>304800</xdr:colOff>
      <xdr:row>7</xdr:row>
      <xdr:rowOff>9525</xdr:rowOff>
    </xdr:to>
    <xdr:cxnSp macro="">
      <xdr:nvCxnSpPr>
        <xdr:cNvPr id="3" name="Conector recto de flecha 2">
          <a:extLst>
            <a:ext uri="{FF2B5EF4-FFF2-40B4-BE49-F238E27FC236}">
              <a16:creationId xmlns:a16="http://schemas.microsoft.com/office/drawing/2014/main" id="{04AB7DB1-CA94-4DC8-8C18-7960325437B6}"/>
            </a:ext>
          </a:extLst>
        </xdr:cNvPr>
        <xdr:cNvCxnSpPr/>
      </xdr:nvCxnSpPr>
      <xdr:spPr>
        <a:xfrm>
          <a:off x="5505450" y="962025"/>
          <a:ext cx="571500" cy="3810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38100</xdr:colOff>
      <xdr:row>4</xdr:row>
      <xdr:rowOff>180975</xdr:rowOff>
    </xdr:from>
    <xdr:to>
      <xdr:col>13</xdr:col>
      <xdr:colOff>304800</xdr:colOff>
      <xdr:row>5</xdr:row>
      <xdr:rowOff>0</xdr:rowOff>
    </xdr:to>
    <xdr:cxnSp macro="">
      <xdr:nvCxnSpPr>
        <xdr:cNvPr id="4" name="Conector recto de flecha 3">
          <a:extLst>
            <a:ext uri="{FF2B5EF4-FFF2-40B4-BE49-F238E27FC236}">
              <a16:creationId xmlns:a16="http://schemas.microsoft.com/office/drawing/2014/main" id="{E3C697BD-CDFA-4F79-8C11-F4B8EA786A3F}"/>
            </a:ext>
          </a:extLst>
        </xdr:cNvPr>
        <xdr:cNvCxnSpPr/>
      </xdr:nvCxnSpPr>
      <xdr:spPr>
        <a:xfrm>
          <a:off x="5495925" y="942975"/>
          <a:ext cx="1838325" cy="95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1</xdr:colOff>
      <xdr:row>5</xdr:row>
      <xdr:rowOff>28575</xdr:rowOff>
    </xdr:from>
    <xdr:to>
      <xdr:col>14</xdr:col>
      <xdr:colOff>9525</xdr:colOff>
      <xdr:row>7</xdr:row>
      <xdr:rowOff>19050</xdr:rowOff>
    </xdr:to>
    <xdr:cxnSp macro="">
      <xdr:nvCxnSpPr>
        <xdr:cNvPr id="7" name="Conector recto de flecha 6">
          <a:extLst>
            <a:ext uri="{FF2B5EF4-FFF2-40B4-BE49-F238E27FC236}">
              <a16:creationId xmlns:a16="http://schemas.microsoft.com/office/drawing/2014/main" id="{3AE28FEA-AD55-45C5-90EB-CC4C3F834EBC}"/>
            </a:ext>
          </a:extLst>
        </xdr:cNvPr>
        <xdr:cNvCxnSpPr/>
      </xdr:nvCxnSpPr>
      <xdr:spPr>
        <a:xfrm flipV="1">
          <a:off x="6715126" y="981075"/>
          <a:ext cx="638174" cy="3714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28575</xdr:colOff>
      <xdr:row>6</xdr:row>
      <xdr:rowOff>0</xdr:rowOff>
    </xdr:from>
    <xdr:to>
      <xdr:col>14</xdr:col>
      <xdr:colOff>276225</xdr:colOff>
      <xdr:row>11</xdr:row>
      <xdr:rowOff>0</xdr:rowOff>
    </xdr:to>
    <xdr:cxnSp macro="">
      <xdr:nvCxnSpPr>
        <xdr:cNvPr id="10" name="Conector recto de flecha 9">
          <a:extLst>
            <a:ext uri="{FF2B5EF4-FFF2-40B4-BE49-F238E27FC236}">
              <a16:creationId xmlns:a16="http://schemas.microsoft.com/office/drawing/2014/main" id="{AC02FD96-36DB-4431-BEDB-0528BC96FAA6}"/>
            </a:ext>
          </a:extLst>
        </xdr:cNvPr>
        <xdr:cNvCxnSpPr/>
      </xdr:nvCxnSpPr>
      <xdr:spPr>
        <a:xfrm flipV="1">
          <a:off x="6743700" y="1143000"/>
          <a:ext cx="876300" cy="9525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9525</xdr:colOff>
      <xdr:row>6</xdr:row>
      <xdr:rowOff>9525</xdr:rowOff>
    </xdr:from>
    <xdr:to>
      <xdr:col>9</xdr:col>
      <xdr:colOff>304800</xdr:colOff>
      <xdr:row>10</xdr:row>
      <xdr:rowOff>171450</xdr:rowOff>
    </xdr:to>
    <xdr:cxnSp macro="">
      <xdr:nvCxnSpPr>
        <xdr:cNvPr id="13" name="Conector recto de flecha 12">
          <a:extLst>
            <a:ext uri="{FF2B5EF4-FFF2-40B4-BE49-F238E27FC236}">
              <a16:creationId xmlns:a16="http://schemas.microsoft.com/office/drawing/2014/main" id="{F5C512FB-6F99-4E39-83B2-B35859FE6FC1}"/>
            </a:ext>
          </a:extLst>
        </xdr:cNvPr>
        <xdr:cNvCxnSpPr/>
      </xdr:nvCxnSpPr>
      <xdr:spPr>
        <a:xfrm>
          <a:off x="5153025" y="1152525"/>
          <a:ext cx="923925" cy="9239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9525</xdr:colOff>
      <xdr:row>8</xdr:row>
      <xdr:rowOff>28575</xdr:rowOff>
    </xdr:from>
    <xdr:to>
      <xdr:col>11</xdr:col>
      <xdr:colOff>9525</xdr:colOff>
      <xdr:row>9</xdr:row>
      <xdr:rowOff>171450</xdr:rowOff>
    </xdr:to>
    <xdr:cxnSp macro="">
      <xdr:nvCxnSpPr>
        <xdr:cNvPr id="16" name="Conector recto de flecha 15">
          <a:extLst>
            <a:ext uri="{FF2B5EF4-FFF2-40B4-BE49-F238E27FC236}">
              <a16:creationId xmlns:a16="http://schemas.microsoft.com/office/drawing/2014/main" id="{BF986AFC-A8A9-40DD-87B2-22EC19A86987}"/>
            </a:ext>
          </a:extLst>
        </xdr:cNvPr>
        <xdr:cNvCxnSpPr/>
      </xdr:nvCxnSpPr>
      <xdr:spPr>
        <a:xfrm flipV="1">
          <a:off x="6410325" y="1552575"/>
          <a:ext cx="0" cy="333375"/>
        </a:xfrm>
        <a:prstGeom prst="straightConnector1">
          <a:avLst/>
        </a:prstGeom>
        <a:ln>
          <a:prstDash val="sysDot"/>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026C6-179A-4A4D-B680-B551B910494C}">
  <dimension ref="A1:F10"/>
  <sheetViews>
    <sheetView showGridLines="0" workbookViewId="0">
      <selection activeCell="A10" sqref="A10"/>
    </sheetView>
  </sheetViews>
  <sheetFormatPr baseColWidth="10" defaultRowHeight="15" x14ac:dyDescent="0.25"/>
  <cols>
    <col min="1" max="1" width="87.7109375" customWidth="1"/>
    <col min="2" max="2" width="3.42578125" bestFit="1" customWidth="1"/>
    <col min="3" max="5" width="4.5703125" bestFit="1" customWidth="1"/>
    <col min="6" max="6" width="11.85546875" bestFit="1" customWidth="1"/>
  </cols>
  <sheetData>
    <row r="1" spans="1:6" ht="105" x14ac:dyDescent="0.25">
      <c r="A1" s="6" t="s">
        <v>12</v>
      </c>
    </row>
    <row r="2" spans="1:6" ht="30" x14ac:dyDescent="0.25">
      <c r="A2" s="4" t="s">
        <v>9</v>
      </c>
    </row>
    <row r="3" spans="1:6" x14ac:dyDescent="0.25">
      <c r="A3" s="5" t="s">
        <v>10</v>
      </c>
    </row>
    <row r="4" spans="1:6" x14ac:dyDescent="0.25">
      <c r="A4" s="5" t="s">
        <v>11</v>
      </c>
    </row>
    <row r="5" spans="1:6" x14ac:dyDescent="0.25">
      <c r="B5" s="1"/>
      <c r="C5" s="1" t="s">
        <v>13</v>
      </c>
      <c r="D5" s="1" t="s">
        <v>14</v>
      </c>
      <c r="E5" s="1" t="s">
        <v>15</v>
      </c>
    </row>
    <row r="6" spans="1:6" x14ac:dyDescent="0.25">
      <c r="B6" s="1" t="s">
        <v>13</v>
      </c>
      <c r="C6" s="8">
        <f>+F6-D6</f>
        <v>1</v>
      </c>
      <c r="D6" s="9"/>
      <c r="E6" s="1">
        <v>0</v>
      </c>
      <c r="F6" s="7">
        <v>1</v>
      </c>
    </row>
    <row r="7" spans="1:6" x14ac:dyDescent="0.25">
      <c r="B7" s="1" t="s">
        <v>14</v>
      </c>
      <c r="C7" s="1">
        <v>0</v>
      </c>
      <c r="D7" s="1">
        <v>0.2</v>
      </c>
      <c r="E7" s="8">
        <v>0.8</v>
      </c>
      <c r="F7" s="7">
        <f>+SUM(C7:E7)</f>
        <v>1</v>
      </c>
    </row>
    <row r="8" spans="1:6" x14ac:dyDescent="0.25">
      <c r="B8" s="1" t="s">
        <v>15</v>
      </c>
      <c r="C8" s="1">
        <v>0.7</v>
      </c>
      <c r="D8" s="1">
        <v>0</v>
      </c>
      <c r="E8" s="1">
        <v>0.3</v>
      </c>
      <c r="F8" s="7">
        <f>+SUM(C8:E8)</f>
        <v>1</v>
      </c>
    </row>
    <row r="10" spans="1:6" ht="45" x14ac:dyDescent="0.25">
      <c r="A10" s="10" t="s">
        <v>16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652E6-1C14-445A-B6A7-70B33CD3B07F}">
  <dimension ref="A1:I19"/>
  <sheetViews>
    <sheetView showGridLines="0" workbookViewId="0">
      <selection activeCell="H19" sqref="H19"/>
    </sheetView>
  </sheetViews>
  <sheetFormatPr baseColWidth="10" defaultRowHeight="15" x14ac:dyDescent="0.25"/>
  <cols>
    <col min="1" max="1" width="13.85546875" bestFit="1" customWidth="1"/>
    <col min="2" max="2" width="13" bestFit="1" customWidth="1"/>
    <col min="3" max="3" width="16.140625" bestFit="1" customWidth="1"/>
    <col min="4" max="4" width="9.85546875" bestFit="1" customWidth="1"/>
    <col min="5" max="5" width="11.7109375" bestFit="1" customWidth="1"/>
    <col min="6" max="6" width="9.5703125" bestFit="1" customWidth="1"/>
    <col min="7" max="7" width="11.85546875" bestFit="1" customWidth="1"/>
    <col min="8" max="9" width="12" bestFit="1" customWidth="1"/>
  </cols>
  <sheetData>
    <row r="1" spans="1:9" x14ac:dyDescent="0.25">
      <c r="A1" s="2" t="s">
        <v>17</v>
      </c>
      <c r="B1" s="2" t="s">
        <v>18</v>
      </c>
      <c r="C1" s="2" t="s">
        <v>19</v>
      </c>
      <c r="D1" s="2" t="s">
        <v>20</v>
      </c>
    </row>
    <row r="2" spans="1:9" x14ac:dyDescent="0.25">
      <c r="A2" s="2">
        <v>2</v>
      </c>
      <c r="B2" s="2">
        <v>0.1</v>
      </c>
      <c r="C2" s="2">
        <f>+B2</f>
        <v>0.1</v>
      </c>
      <c r="D2" s="2" t="s">
        <v>21</v>
      </c>
    </row>
    <row r="3" spans="1:9" x14ac:dyDescent="0.25">
      <c r="A3" s="2">
        <v>4</v>
      </c>
      <c r="B3" s="2">
        <v>0.4</v>
      </c>
      <c r="C3" s="2">
        <f>+C2+B3</f>
        <v>0.5</v>
      </c>
      <c r="D3" s="2" t="s">
        <v>22</v>
      </c>
    </row>
    <row r="4" spans="1:9" x14ac:dyDescent="0.25">
      <c r="A4" s="2">
        <v>6</v>
      </c>
      <c r="B4" s="2">
        <v>0.3</v>
      </c>
      <c r="C4" s="2">
        <f t="shared" ref="C4:C5" si="0">+C3+B4</f>
        <v>0.8</v>
      </c>
      <c r="D4" s="2" t="s">
        <v>23</v>
      </c>
    </row>
    <row r="5" spans="1:9" x14ac:dyDescent="0.25">
      <c r="A5" s="2">
        <v>8</v>
      </c>
      <c r="B5" s="2">
        <v>0.2</v>
      </c>
      <c r="C5" s="2">
        <f t="shared" si="0"/>
        <v>1</v>
      </c>
      <c r="D5" s="2" t="s">
        <v>24</v>
      </c>
    </row>
    <row r="7" spans="1:9" ht="38.25" x14ac:dyDescent="0.25">
      <c r="A7" s="12" t="s">
        <v>25</v>
      </c>
      <c r="B7" s="13" t="s">
        <v>26</v>
      </c>
      <c r="C7" s="14" t="s">
        <v>17</v>
      </c>
      <c r="D7" s="15" t="s">
        <v>27</v>
      </c>
      <c r="E7" s="16" t="s">
        <v>28</v>
      </c>
      <c r="F7" s="16" t="s">
        <v>29</v>
      </c>
      <c r="G7" s="13" t="s">
        <v>30</v>
      </c>
      <c r="H7" s="16" t="s">
        <v>31</v>
      </c>
      <c r="I7" s="17" t="s">
        <v>32</v>
      </c>
    </row>
    <row r="8" spans="1:9" x14ac:dyDescent="0.25">
      <c r="A8" s="2">
        <v>1</v>
      </c>
      <c r="B8" s="19"/>
      <c r="C8" s="3">
        <f>+IF(B8&lt;0.1,2,IF(B8&lt;0.5,4,IF(B8&lt;0.8,6,8)))</f>
        <v>2</v>
      </c>
      <c r="D8" s="18">
        <v>1</v>
      </c>
      <c r="E8" s="20" t="e">
        <f>+(1/C8)*LN(1/B8)</f>
        <v>#DIV/0!</v>
      </c>
      <c r="F8" s="20" t="e">
        <f>+E8</f>
        <v>#DIV/0!</v>
      </c>
      <c r="G8" s="22"/>
      <c r="H8" s="2">
        <v>0</v>
      </c>
      <c r="I8" s="20" t="e">
        <f>+F8+D8</f>
        <v>#DIV/0!</v>
      </c>
    </row>
    <row r="9" spans="1:9" x14ac:dyDescent="0.25">
      <c r="A9" s="2">
        <v>2</v>
      </c>
      <c r="B9" s="19"/>
      <c r="C9" s="3">
        <f>+IF(B9&lt;0.1,2,IF(B9&lt;0.5,4,IF(B9&lt;0.8,6,8)))</f>
        <v>2</v>
      </c>
      <c r="D9" s="18">
        <v>1</v>
      </c>
      <c r="E9" s="20" t="e">
        <f t="shared" ref="E9:E17" si="1">+(1/C9)*LN(1/B9)</f>
        <v>#DIV/0!</v>
      </c>
      <c r="F9" s="20" t="e">
        <f>+E9+F8</f>
        <v>#DIV/0!</v>
      </c>
      <c r="G9" s="23"/>
      <c r="H9" s="21" t="e">
        <f>IF((F9-I8)&gt;0,F9-I8,0)</f>
        <v>#DIV/0!</v>
      </c>
      <c r="I9" s="20" t="e">
        <f>+I8+D9</f>
        <v>#DIV/0!</v>
      </c>
    </row>
    <row r="10" spans="1:9" x14ac:dyDescent="0.25">
      <c r="A10" s="2">
        <v>3</v>
      </c>
      <c r="B10" s="19"/>
      <c r="C10" s="3">
        <f t="shared" ref="C9:C17" si="2">+IF(B10&lt;0.1,2,IF(B10&lt;0.5,4,IF(B10&lt;0.8,6,8)))</f>
        <v>2</v>
      </c>
      <c r="D10" s="18">
        <v>1</v>
      </c>
      <c r="E10" s="20" t="e">
        <f t="shared" si="1"/>
        <v>#DIV/0!</v>
      </c>
      <c r="F10" s="20" t="e">
        <f t="shared" ref="F10:F17" si="3">+E10+F9</f>
        <v>#DIV/0!</v>
      </c>
      <c r="G10" s="23"/>
      <c r="H10" s="21" t="e">
        <f t="shared" ref="H10:H17" si="4">IF((F10-I9)&gt;0,F10-I9,0)</f>
        <v>#DIV/0!</v>
      </c>
      <c r="I10" s="20" t="e">
        <f>+I9+D10</f>
        <v>#DIV/0!</v>
      </c>
    </row>
    <row r="11" spans="1:9" x14ac:dyDescent="0.25">
      <c r="A11" s="2">
        <v>4</v>
      </c>
      <c r="B11" s="19"/>
      <c r="C11" s="3">
        <f t="shared" si="2"/>
        <v>2</v>
      </c>
      <c r="D11" s="18">
        <v>1</v>
      </c>
      <c r="E11" s="20" t="e">
        <f t="shared" si="1"/>
        <v>#DIV/0!</v>
      </c>
      <c r="F11" s="20" t="e">
        <f>+E11+F10</f>
        <v>#DIV/0!</v>
      </c>
      <c r="G11" s="23"/>
      <c r="H11" s="21" t="e">
        <f t="shared" si="4"/>
        <v>#DIV/0!</v>
      </c>
      <c r="I11" s="20" t="e">
        <f>+I10+D11</f>
        <v>#DIV/0!</v>
      </c>
    </row>
    <row r="12" spans="1:9" x14ac:dyDescent="0.25">
      <c r="A12" s="2">
        <v>5</v>
      </c>
      <c r="B12" s="19"/>
      <c r="C12" s="3">
        <f t="shared" si="2"/>
        <v>2</v>
      </c>
      <c r="D12" s="18">
        <v>1</v>
      </c>
      <c r="E12" s="20" t="e">
        <f t="shared" si="1"/>
        <v>#DIV/0!</v>
      </c>
      <c r="F12" s="20" t="e">
        <f t="shared" si="3"/>
        <v>#DIV/0!</v>
      </c>
      <c r="G12" s="23"/>
      <c r="H12" s="21" t="e">
        <f t="shared" si="4"/>
        <v>#DIV/0!</v>
      </c>
      <c r="I12" s="20" t="e">
        <f>+I11+D12</f>
        <v>#DIV/0!</v>
      </c>
    </row>
    <row r="13" spans="1:9" x14ac:dyDescent="0.25">
      <c r="A13" s="2">
        <v>6</v>
      </c>
      <c r="B13" s="19"/>
      <c r="C13" s="3">
        <f t="shared" si="2"/>
        <v>2</v>
      </c>
      <c r="D13" s="18">
        <v>1</v>
      </c>
      <c r="E13" s="20" t="e">
        <f t="shared" si="1"/>
        <v>#DIV/0!</v>
      </c>
      <c r="F13" s="20" t="e">
        <f t="shared" si="3"/>
        <v>#DIV/0!</v>
      </c>
      <c r="G13" s="23"/>
      <c r="H13" s="21" t="e">
        <f t="shared" si="4"/>
        <v>#DIV/0!</v>
      </c>
      <c r="I13" s="20" t="e">
        <f>+I12+D13</f>
        <v>#DIV/0!</v>
      </c>
    </row>
    <row r="14" spans="1:9" x14ac:dyDescent="0.25">
      <c r="A14" s="2">
        <v>7</v>
      </c>
      <c r="B14" s="19"/>
      <c r="C14" s="3">
        <f t="shared" si="2"/>
        <v>2</v>
      </c>
      <c r="D14" s="18">
        <v>1</v>
      </c>
      <c r="E14" s="20" t="e">
        <f t="shared" si="1"/>
        <v>#DIV/0!</v>
      </c>
      <c r="F14" s="20" t="e">
        <f t="shared" si="3"/>
        <v>#DIV/0!</v>
      </c>
      <c r="G14" s="23"/>
      <c r="H14" s="21" t="e">
        <f t="shared" si="4"/>
        <v>#DIV/0!</v>
      </c>
      <c r="I14" s="20" t="e">
        <f>+I13+D14</f>
        <v>#DIV/0!</v>
      </c>
    </row>
    <row r="15" spans="1:9" x14ac:dyDescent="0.25">
      <c r="A15" s="2">
        <v>8</v>
      </c>
      <c r="B15" s="19"/>
      <c r="C15" s="3">
        <f t="shared" si="2"/>
        <v>2</v>
      </c>
      <c r="D15" s="18">
        <v>1</v>
      </c>
      <c r="E15" s="20" t="e">
        <f t="shared" si="1"/>
        <v>#DIV/0!</v>
      </c>
      <c r="F15" s="20" t="e">
        <f t="shared" si="3"/>
        <v>#DIV/0!</v>
      </c>
      <c r="G15" s="23"/>
      <c r="H15" s="21" t="e">
        <f t="shared" si="4"/>
        <v>#DIV/0!</v>
      </c>
      <c r="I15" s="20" t="e">
        <f>+I14+D15</f>
        <v>#DIV/0!</v>
      </c>
    </row>
    <row r="16" spans="1:9" x14ac:dyDescent="0.25">
      <c r="A16" s="2">
        <v>9</v>
      </c>
      <c r="B16" s="19"/>
      <c r="C16" s="3">
        <f t="shared" si="2"/>
        <v>2</v>
      </c>
      <c r="D16" s="18">
        <v>1</v>
      </c>
      <c r="E16" s="20" t="e">
        <f t="shared" si="1"/>
        <v>#DIV/0!</v>
      </c>
      <c r="F16" s="20" t="e">
        <f t="shared" si="3"/>
        <v>#DIV/0!</v>
      </c>
      <c r="G16" s="23"/>
      <c r="H16" s="21" t="e">
        <f t="shared" si="4"/>
        <v>#DIV/0!</v>
      </c>
      <c r="I16" s="20" t="e">
        <f>+I15+D16</f>
        <v>#DIV/0!</v>
      </c>
    </row>
    <row r="17" spans="1:9" x14ac:dyDescent="0.25">
      <c r="A17" s="2">
        <v>10</v>
      </c>
      <c r="B17" s="19"/>
      <c r="C17" s="3">
        <f t="shared" si="2"/>
        <v>2</v>
      </c>
      <c r="D17" s="18">
        <v>1</v>
      </c>
      <c r="E17" s="20" t="e">
        <f t="shared" si="1"/>
        <v>#DIV/0!</v>
      </c>
      <c r="F17" s="20" t="e">
        <f t="shared" si="3"/>
        <v>#DIV/0!</v>
      </c>
      <c r="G17" s="23"/>
      <c r="H17" s="21" t="e">
        <f t="shared" si="4"/>
        <v>#DIV/0!</v>
      </c>
      <c r="I17" s="20" t="e">
        <f>+I16+D17</f>
        <v>#DIV/0!</v>
      </c>
    </row>
    <row r="19" spans="1:9" x14ac:dyDescent="0.25">
      <c r="H19" s="24" t="e">
        <f>+AVERAGE(H8:H17)</f>
        <v>#DIV/0!</v>
      </c>
      <c r="I19" t="s">
        <v>33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37265-ED91-4CF3-994D-7C43645639EA}">
  <dimension ref="A1:F18"/>
  <sheetViews>
    <sheetView showGridLines="0" workbookViewId="0"/>
  </sheetViews>
  <sheetFormatPr baseColWidth="10" defaultRowHeight="15" x14ac:dyDescent="0.25"/>
  <cols>
    <col min="1" max="1" width="62.140625" customWidth="1"/>
    <col min="2" max="2" width="5.42578125" bestFit="1" customWidth="1"/>
    <col min="5" max="5" width="4" bestFit="1" customWidth="1"/>
  </cols>
  <sheetData>
    <row r="1" spans="1:6" ht="84" x14ac:dyDescent="0.25">
      <c r="A1" s="27" t="s">
        <v>39</v>
      </c>
    </row>
    <row r="2" spans="1:6" x14ac:dyDescent="0.25">
      <c r="A2" s="26" t="s">
        <v>34</v>
      </c>
    </row>
    <row r="3" spans="1:6" x14ac:dyDescent="0.25">
      <c r="A3" s="25"/>
    </row>
    <row r="4" spans="1:6" x14ac:dyDescent="0.25">
      <c r="A4" s="29" t="s">
        <v>35</v>
      </c>
      <c r="B4" s="33"/>
      <c r="C4" s="30" t="s">
        <v>36</v>
      </c>
    </row>
    <row r="5" spans="1:6" x14ac:dyDescent="0.25">
      <c r="B5" s="31"/>
      <c r="C5" s="30"/>
    </row>
    <row r="6" spans="1:6" x14ac:dyDescent="0.25">
      <c r="B6" s="31" t="e">
        <f>1/B4</f>
        <v>#DIV/0!</v>
      </c>
      <c r="C6" s="30"/>
      <c r="E6" s="31" t="e">
        <f>+B6*60</f>
        <v>#DIV/0!</v>
      </c>
      <c r="F6" s="30" t="s">
        <v>37</v>
      </c>
    </row>
    <row r="7" spans="1:6" x14ac:dyDescent="0.25">
      <c r="B7" s="31"/>
      <c r="C7" s="30"/>
      <c r="E7" s="31"/>
      <c r="F7" s="30"/>
    </row>
    <row r="8" spans="1:6" x14ac:dyDescent="0.25">
      <c r="B8" s="31"/>
      <c r="C8" s="30"/>
      <c r="E8" s="31"/>
      <c r="F8" s="30"/>
    </row>
    <row r="9" spans="1:6" x14ac:dyDescent="0.25">
      <c r="A9" s="28" t="s">
        <v>38</v>
      </c>
      <c r="B9" s="31">
        <v>6</v>
      </c>
      <c r="C9" s="32" t="s">
        <v>36</v>
      </c>
      <c r="E9" s="31">
        <f>+B9/60</f>
        <v>0.1</v>
      </c>
      <c r="F9" s="30" t="s">
        <v>37</v>
      </c>
    </row>
    <row r="10" spans="1:6" x14ac:dyDescent="0.25">
      <c r="B10" s="31"/>
      <c r="C10" s="30"/>
      <c r="E10" s="31"/>
      <c r="F10" s="30"/>
    </row>
    <row r="11" spans="1:6" x14ac:dyDescent="0.25">
      <c r="B11" s="31"/>
      <c r="C11" s="30"/>
      <c r="E11" s="31"/>
      <c r="F11" s="30"/>
    </row>
    <row r="12" spans="1:6" x14ac:dyDescent="0.25">
      <c r="B12" s="31"/>
      <c r="C12" s="30"/>
      <c r="E12" s="31"/>
      <c r="F12" s="30"/>
    </row>
    <row r="13" spans="1:6" x14ac:dyDescent="0.25">
      <c r="B13" s="31"/>
      <c r="C13" s="30"/>
      <c r="E13" s="31"/>
      <c r="F13" s="30"/>
    </row>
    <row r="14" spans="1:6" x14ac:dyDescent="0.25">
      <c r="B14" s="31"/>
      <c r="C14" s="30"/>
      <c r="E14" s="31"/>
      <c r="F14" s="30"/>
    </row>
    <row r="15" spans="1:6" x14ac:dyDescent="0.25">
      <c r="B15" s="31"/>
      <c r="C15" s="30"/>
      <c r="E15" s="31"/>
      <c r="F15" s="30"/>
    </row>
    <row r="16" spans="1:6" x14ac:dyDescent="0.25">
      <c r="B16" s="31"/>
      <c r="C16" s="30"/>
      <c r="E16" s="31"/>
      <c r="F16" s="30"/>
    </row>
    <row r="17" spans="2:6" x14ac:dyDescent="0.25">
      <c r="B17" s="31"/>
      <c r="C17" s="30"/>
      <c r="E17" s="31"/>
      <c r="F17" s="30"/>
    </row>
    <row r="18" spans="2:6" x14ac:dyDescent="0.25">
      <c r="B18" s="34">
        <f>+(1/B9)+B4</f>
        <v>0.16666666666666666</v>
      </c>
      <c r="C18" s="30" t="s">
        <v>40</v>
      </c>
      <c r="E18" s="31" t="e">
        <f>+(1/E9)+E6</f>
        <v>#DIV/0!</v>
      </c>
      <c r="F18" s="30" t="s">
        <v>37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F690E-56A6-4364-B381-9DB7EAF93C50}">
  <dimension ref="A1:W14"/>
  <sheetViews>
    <sheetView tabSelected="1" workbookViewId="0">
      <selection activeCell="B6" sqref="B6"/>
    </sheetView>
  </sheetViews>
  <sheetFormatPr baseColWidth="10" defaultRowHeight="15" x14ac:dyDescent="0.25"/>
  <cols>
    <col min="4" max="4" width="15.28515625" customWidth="1"/>
    <col min="7" max="16" width="4.7109375" customWidth="1"/>
    <col min="19" max="19" width="5.85546875" bestFit="1" customWidth="1"/>
    <col min="20" max="20" width="3.7109375" style="1" bestFit="1" customWidth="1"/>
    <col min="21" max="21" width="3.28515625" style="1" bestFit="1" customWidth="1"/>
    <col min="22" max="22" width="3.5703125" style="1" bestFit="1" customWidth="1"/>
  </cols>
  <sheetData>
    <row r="1" spans="1:23" x14ac:dyDescent="0.25">
      <c r="A1" s="2" t="s">
        <v>0</v>
      </c>
      <c r="B1" s="2" t="s">
        <v>1</v>
      </c>
      <c r="C1" s="2" t="s">
        <v>2</v>
      </c>
      <c r="E1" s="38"/>
    </row>
    <row r="2" spans="1:23" x14ac:dyDescent="0.25">
      <c r="A2" s="2" t="s">
        <v>3</v>
      </c>
      <c r="B2" s="2">
        <v>2</v>
      </c>
      <c r="C2" s="2"/>
    </row>
    <row r="3" spans="1:23" x14ac:dyDescent="0.25">
      <c r="A3" s="2" t="s">
        <v>4</v>
      </c>
      <c r="B3" s="2">
        <v>4</v>
      </c>
      <c r="C3" s="2"/>
    </row>
    <row r="4" spans="1:23" x14ac:dyDescent="0.25">
      <c r="A4" s="2" t="s">
        <v>5</v>
      </c>
      <c r="B4" s="2">
        <v>5</v>
      </c>
      <c r="C4" s="2"/>
      <c r="Q4" s="43">
        <f>+H5+B2</f>
        <v>2</v>
      </c>
      <c r="S4" t="s">
        <v>0</v>
      </c>
      <c r="T4" s="1" t="s">
        <v>49</v>
      </c>
      <c r="U4" s="1" t="s">
        <v>50</v>
      </c>
      <c r="V4" s="1" t="s">
        <v>51</v>
      </c>
      <c r="W4" s="1" t="s">
        <v>52</v>
      </c>
    </row>
    <row r="5" spans="1:23" x14ac:dyDescent="0.25">
      <c r="A5" s="2" t="s">
        <v>6</v>
      </c>
      <c r="B5" s="2">
        <v>5</v>
      </c>
      <c r="C5" s="2" t="s">
        <v>8</v>
      </c>
      <c r="G5" s="39">
        <v>0</v>
      </c>
      <c r="H5" s="2">
        <v>0</v>
      </c>
      <c r="K5" s="28" t="s">
        <v>3</v>
      </c>
      <c r="L5" s="41"/>
      <c r="O5" s="39">
        <v>3</v>
      </c>
      <c r="P5" s="11">
        <f>+MAX(Q4:Q6)</f>
        <v>10</v>
      </c>
      <c r="Q5" s="43">
        <f>+L7+B5</f>
        <v>10</v>
      </c>
      <c r="S5" t="s">
        <v>44</v>
      </c>
      <c r="T5" s="1">
        <f>+P6-H5-B2</f>
        <v>8</v>
      </c>
      <c r="U5" s="1">
        <f>+P5-H6-B2</f>
        <v>8</v>
      </c>
      <c r="V5" s="1">
        <f>+P5-H5-B2</f>
        <v>8</v>
      </c>
      <c r="W5" s="1" t="str">
        <f>+IF(AND(T5=0,U5=0,V5=0),"Sí","No")</f>
        <v>No</v>
      </c>
    </row>
    <row r="6" spans="1:23" x14ac:dyDescent="0.25">
      <c r="A6" s="2" t="s">
        <v>7</v>
      </c>
      <c r="B6" s="42"/>
      <c r="C6" s="2" t="s">
        <v>5</v>
      </c>
      <c r="G6" s="40"/>
      <c r="H6" s="2">
        <v>0</v>
      </c>
      <c r="O6" s="40"/>
      <c r="P6" s="11">
        <f>+P5</f>
        <v>10</v>
      </c>
      <c r="Q6" s="43">
        <f>+L11+B6</f>
        <v>5</v>
      </c>
      <c r="S6" t="s">
        <v>45</v>
      </c>
      <c r="T6" s="1">
        <f>+L8-H5-B3</f>
        <v>1</v>
      </c>
      <c r="U6" s="1">
        <f>+L7-H6-B3</f>
        <v>1</v>
      </c>
      <c r="V6" s="1">
        <f>+L7-H5-B3</f>
        <v>1</v>
      </c>
      <c r="W6" s="1" t="str">
        <f t="shared" ref="W6:W9" si="0">+IF(AND(T6=0,U6=0,V6=0),"Sí","No")</f>
        <v>No</v>
      </c>
    </row>
    <row r="7" spans="1:23" x14ac:dyDescent="0.25">
      <c r="I7" s="28" t="s">
        <v>4</v>
      </c>
      <c r="K7" s="39">
        <v>1</v>
      </c>
      <c r="L7" s="2">
        <v>5</v>
      </c>
      <c r="N7" t="s">
        <v>6</v>
      </c>
      <c r="S7" t="s">
        <v>46</v>
      </c>
      <c r="T7" s="1">
        <f>+P6-L7-B5</f>
        <v>0</v>
      </c>
      <c r="U7" s="1">
        <f>+P5-L8-B5</f>
        <v>0</v>
      </c>
      <c r="V7" s="1">
        <f>+P5-L7-B5</f>
        <v>0</v>
      </c>
      <c r="W7" s="1" t="str">
        <f t="shared" si="0"/>
        <v>Sí</v>
      </c>
    </row>
    <row r="8" spans="1:23" x14ac:dyDescent="0.25">
      <c r="A8" s="35" t="s">
        <v>53</v>
      </c>
      <c r="B8" s="35"/>
      <c r="C8" s="35"/>
      <c r="D8" s="35"/>
      <c r="K8" s="40"/>
      <c r="L8" s="2">
        <f>+P6-B5</f>
        <v>5</v>
      </c>
      <c r="S8" t="s">
        <v>47</v>
      </c>
      <c r="T8" s="1">
        <f>+L12-H5-B4</f>
        <v>0</v>
      </c>
      <c r="U8" s="1">
        <f>+L11-H6-B4</f>
        <v>0</v>
      </c>
      <c r="V8" s="1">
        <f>+L11-H5-B4</f>
        <v>0</v>
      </c>
      <c r="W8" s="1" t="str">
        <f t="shared" si="0"/>
        <v>Sí</v>
      </c>
    </row>
    <row r="9" spans="1:23" x14ac:dyDescent="0.25">
      <c r="A9" s="35"/>
      <c r="B9" s="35"/>
      <c r="C9" s="35"/>
      <c r="D9" s="35"/>
      <c r="S9" t="s">
        <v>48</v>
      </c>
      <c r="T9" s="1">
        <f>+P6-L11-B6</f>
        <v>5</v>
      </c>
      <c r="U9" s="1">
        <f>+P5-L12-B6</f>
        <v>5</v>
      </c>
      <c r="V9" s="1">
        <f>+P5-L11-B6</f>
        <v>5</v>
      </c>
      <c r="W9" s="1" t="str">
        <f t="shared" si="0"/>
        <v>No</v>
      </c>
    </row>
    <row r="10" spans="1:23" x14ac:dyDescent="0.25">
      <c r="A10" s="36" t="s">
        <v>41</v>
      </c>
      <c r="B10" s="36"/>
      <c r="C10" s="36"/>
      <c r="D10" s="36"/>
      <c r="I10" s="28" t="s">
        <v>5</v>
      </c>
      <c r="N10" t="s">
        <v>7</v>
      </c>
    </row>
    <row r="11" spans="1:23" x14ac:dyDescent="0.25">
      <c r="A11" s="37" t="s">
        <v>42</v>
      </c>
      <c r="B11" s="37"/>
      <c r="C11" s="37"/>
      <c r="D11" s="37"/>
      <c r="K11" s="39">
        <v>2</v>
      </c>
      <c r="L11" s="2">
        <v>5</v>
      </c>
    </row>
    <row r="12" spans="1:23" x14ac:dyDescent="0.25">
      <c r="A12" s="37"/>
      <c r="B12" s="37"/>
      <c r="C12" s="37"/>
      <c r="D12" s="37"/>
      <c r="K12" s="40"/>
      <c r="L12" s="2">
        <f>+MIN(K14:L14)</f>
        <v>5</v>
      </c>
    </row>
    <row r="13" spans="1:23" x14ac:dyDescent="0.25">
      <c r="A13" s="36" t="s">
        <v>43</v>
      </c>
      <c r="B13" s="36"/>
      <c r="C13" s="36"/>
      <c r="D13" s="36"/>
    </row>
    <row r="14" spans="1:23" x14ac:dyDescent="0.25">
      <c r="K14" s="44">
        <f>+L8</f>
        <v>5</v>
      </c>
      <c r="L14" s="44">
        <f>+P6-B6</f>
        <v>10</v>
      </c>
    </row>
  </sheetData>
  <mergeCells count="8">
    <mergeCell ref="K7:K8"/>
    <mergeCell ref="K11:K12"/>
    <mergeCell ref="O5:O6"/>
    <mergeCell ref="A8:D9"/>
    <mergeCell ref="A11:D12"/>
    <mergeCell ref="A10:D10"/>
    <mergeCell ref="A13:D13"/>
    <mergeCell ref="G5:G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Practica 1</vt:lpstr>
      <vt:lpstr>Práctica 2</vt:lpstr>
      <vt:lpstr>Práctica 3</vt:lpstr>
      <vt:lpstr>Práctica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Florencia Benevenia</dc:creator>
  <cp:lastModifiedBy>Florencia Benevenia</cp:lastModifiedBy>
  <dcterms:created xsi:type="dcterms:W3CDTF">2021-06-27T19:04:33Z</dcterms:created>
  <dcterms:modified xsi:type="dcterms:W3CDTF">2021-06-27T20:31:21Z</dcterms:modified>
</cp:coreProperties>
</file>