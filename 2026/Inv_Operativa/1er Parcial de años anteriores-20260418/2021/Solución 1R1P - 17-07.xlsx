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Solución" sheetId="2" r:id="rId5"/>
  </sheets>
  <definedNames/>
  <calcPr/>
</workbook>
</file>

<file path=xl/sharedStrings.xml><?xml version="1.0" encoding="utf-8"?>
<sst xmlns="http://schemas.openxmlformats.org/spreadsheetml/2006/main" count="109" uniqueCount="68">
  <si>
    <t>Ej 1</t>
  </si>
  <si>
    <t>En un nuevo planeta ubicado a varios millones de kilómetros, investigadores descubrieron que el clima durante un día depende exclusivamente del estado del clima el día anterior.
Para expresar esto, realizaron el siguiente gráfico donde se explicitan las probabilidades de pasar de un estado al siguiente:</t>
  </si>
  <si>
    <t>Si el día de hoy es lunes y hay tormenta solar. ¿Qué probabilidad habrá de que el miércoles haya tormenta de arena?</t>
  </si>
  <si>
    <t>Qué se obtiene luego de elevar la matriz de tansición a un número suficientemente elevado? Qué finalidad tiene esa matríz?</t>
  </si>
  <si>
    <t>Siempre se va a conseguir encontrar esa matríz? En qué casos no se consigue?</t>
  </si>
  <si>
    <t>Ej 2</t>
  </si>
  <si>
    <t>Para la primera estación de carga eléctrica de la Ciudad de Bs As, el equipo técnico del Gobernador de la Ciudad desea saber si es conveniente poner una o dos estaciones de carga. Para ello, sabe que llegan en promedio 10 autos por hora y estos se cargan en un promedio de 5 minutos cada uno.</t>
  </si>
  <si>
    <t>Para esto, parte de la base de que la probabilidad de que no haya nadie en cualquier momento, no puede ser menor que 30%.
Y además, el largo de la fila no puede superar los 4 clientes.</t>
  </si>
  <si>
    <t>Qué supuestos debemos considerar para utilizar el modelo de filas de espera?</t>
  </si>
  <si>
    <t>Ej 3</t>
  </si>
  <si>
    <t>Llegan clientes a una verdulería en un promedio de 6 clientes/hora la cual tiene una capacidad de despacho de 5 clientes/hora. Simule por 10 corridas la evolución del sistema e indique la mayor cantidad de clientes que estarán en espera.</t>
  </si>
  <si>
    <t>Para generar los números aleatorios de las llegadas, utilice su los dígitos de su DNI en orden (si alguno es 0, usar 0,01). Para los últimos dígitos, puede usar los últimos de su legajo</t>
  </si>
  <si>
    <t>Para generar los números aleatorios de las salidas, utilice los dígitos de su legajo en orden (si alguno es 0, usar 0,01). Para los últimos dígitos, puede usar los últimos de su DNI</t>
  </si>
  <si>
    <t>Ejemplo: si mi DNI es 30729026 y mi legajo es 1405056, los números aleatorios van a ser:</t>
  </si>
  <si>
    <t>Anteúltimo nro de mi legajo</t>
  </si>
  <si>
    <t>Último número de mi legajo</t>
  </si>
  <si>
    <t>Qué modelo utilizaría para estudiar un problema una empresa en el que se debe?:
Comprar una máquina del exterior (siendo que la empresa nunca hizo una importación)
Ensamblarla (siendo que la empresa no tiene el know how para hacerlo)
Realizar las pruebas de funcionamiento
Enviarla al cliente final
Justificar la respuesta</t>
  </si>
  <si>
    <t>Ej 4</t>
  </si>
  <si>
    <t>Dada la siguiente tabla de precendencias, dibujar la red del proyecto</t>
  </si>
  <si>
    <t>Tarea</t>
  </si>
  <si>
    <t>Precedente</t>
  </si>
  <si>
    <t>A</t>
  </si>
  <si>
    <t>-</t>
  </si>
  <si>
    <t>B</t>
  </si>
  <si>
    <t>C</t>
  </si>
  <si>
    <t>D</t>
  </si>
  <si>
    <t>E</t>
  </si>
  <si>
    <t>A, B</t>
  </si>
  <si>
    <t>F</t>
  </si>
  <si>
    <t>G</t>
  </si>
  <si>
    <t>H</t>
  </si>
  <si>
    <t>Pregunta teórica</t>
  </si>
  <si>
    <t>Qué ventajas tiene utilizar un calendario a fecha tardía por sobre utilizar un calendario a fecha temprana? Por qué es importante estudiar ambos? Se podría ejecutar un proyecto que no sea ni a fecha temprana ni a fecha tardía?</t>
  </si>
  <si>
    <t>TE</t>
  </si>
  <si>
    <t>TS</t>
  </si>
  <si>
    <t>TA</t>
  </si>
  <si>
    <t>Lambda</t>
  </si>
  <si>
    <t>Clientes/hora</t>
  </si>
  <si>
    <t>Mu</t>
  </si>
  <si>
    <t>Ro</t>
  </si>
  <si>
    <t>N iteración</t>
  </si>
  <si>
    <t>N aleatorios</t>
  </si>
  <si>
    <t>T entre llegadas</t>
  </si>
  <si>
    <t>T llegada</t>
  </si>
  <si>
    <t>Estado del servidor</t>
  </si>
  <si>
    <t>W</t>
  </si>
  <si>
    <t>L</t>
  </si>
  <si>
    <t>Wq</t>
  </si>
  <si>
    <t>Lq</t>
  </si>
  <si>
    <t>T servicio</t>
  </si>
  <si>
    <t>T salida</t>
  </si>
  <si>
    <t>Po</t>
  </si>
  <si>
    <t>Clientes</t>
  </si>
  <si>
    <t>Horas</t>
  </si>
  <si>
    <t>Minutos</t>
  </si>
  <si>
    <t>Pw</t>
  </si>
  <si>
    <t>(1/lambda)*ln(1/aleat)</t>
  </si>
  <si>
    <t>si</t>
  </si>
  <si>
    <t>ts1-tll1</t>
  </si>
  <si>
    <t>L=Lq+cliente en servicio</t>
  </si>
  <si>
    <t>1/mu*ln(1/aleat)</t>
  </si>
  <si>
    <t>tll+wq+tserv</t>
  </si>
  <si>
    <t>tll2&gt;ts1 0</t>
  </si>
  <si>
    <t>vacio 0</t>
  </si>
  <si>
    <t>al momento</t>
  </si>
  <si>
    <t>tll2&lt;ts1 1</t>
  </si>
  <si>
    <t>ocupado ts1-tll2</t>
  </si>
  <si>
    <t>llegadas-salidas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</si>
</sst>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color theme="1"/>
      <name val="Arial"/>
    </font>
  </fonts>
  <fills count="5">
    <fill>
      <patternFill patternType="none"/>
    </fill>
    <fill>
      <patternFill patternType="lightGray"/>
    </fill>
    <fill>
      <patternFill patternType="solid">
        <fgColor rgb="FFA4C2F4"/>
        <bgColor rgb="FFA4C2F4"/>
      </patternFill>
    </fill>
    <fill>
      <patternFill patternType="solid">
        <fgColor rgb="FFFFFF00"/>
        <bgColor rgb="FFFFFF00"/>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bottom" wrapText="1"/>
    </xf>
    <xf borderId="0" fillId="0" fontId="1" numFmtId="0" xfId="0" applyAlignment="1" applyFont="1">
      <alignment vertical="bottom"/>
    </xf>
    <xf borderId="1" fillId="0" fontId="1" numFmtId="0" xfId="0" applyAlignment="1" applyBorder="1" applyFont="1">
      <alignment readingOrder="0"/>
    </xf>
    <xf borderId="0" fillId="0" fontId="1" numFmtId="0" xfId="0" applyAlignment="1" applyFont="1">
      <alignment horizontal="right" vertical="bottom"/>
    </xf>
    <xf borderId="0" fillId="0" fontId="1" numFmtId="2" xfId="0" applyAlignment="1" applyFont="1" applyNumberFormat="1">
      <alignment horizontal="right" vertical="bottom"/>
    </xf>
    <xf borderId="1" fillId="0" fontId="1" numFmtId="0" xfId="0" applyAlignment="1" applyBorder="1" applyFont="1">
      <alignment vertical="bottom"/>
    </xf>
    <xf borderId="1" fillId="2" fontId="1" numFmtId="0" xfId="0" applyAlignment="1" applyBorder="1" applyFill="1" applyFont="1">
      <alignment vertical="bottom"/>
    </xf>
    <xf borderId="1" fillId="0" fontId="1" numFmtId="0" xfId="0" applyAlignment="1" applyBorder="1" applyFont="1">
      <alignment horizontal="right" vertical="bottom"/>
    </xf>
    <xf borderId="1" fillId="3" fontId="1" numFmtId="0" xfId="0" applyAlignment="1" applyBorder="1" applyFill="1" applyFont="1">
      <alignment horizontal="right" vertical="bottom"/>
    </xf>
    <xf borderId="1" fillId="0" fontId="1" numFmtId="0" xfId="0" applyBorder="1" applyFont="1"/>
    <xf borderId="1" fillId="4" fontId="1" numFmtId="0" xfId="0" applyAlignment="1" applyBorder="1" applyFill="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xdr:row>
      <xdr:rowOff>28575</xdr:rowOff>
    </xdr:from>
    <xdr:ext cx="6086475" cy="3762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23</xdr:row>
      <xdr:rowOff>0</xdr:rowOff>
    </xdr:from>
    <xdr:ext cx="5962650" cy="44100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row>
    <row r="2">
      <c r="A2" s="1" t="s">
        <v>1</v>
      </c>
    </row>
    <row r="22">
      <c r="A22" s="1" t="s">
        <v>2</v>
      </c>
    </row>
    <row r="24">
      <c r="A24" s="1" t="s">
        <v>3</v>
      </c>
    </row>
    <row r="25">
      <c r="A25" s="1" t="s">
        <v>4</v>
      </c>
    </row>
    <row r="28">
      <c r="A28" s="1" t="s">
        <v>5</v>
      </c>
    </row>
    <row r="29">
      <c r="A29" s="2" t="s">
        <v>6</v>
      </c>
      <c r="E29" s="3"/>
    </row>
    <row r="30">
      <c r="A30" s="1" t="s">
        <v>7</v>
      </c>
    </row>
    <row r="32">
      <c r="A32" s="1" t="s">
        <v>8</v>
      </c>
    </row>
    <row r="34">
      <c r="A34" s="1" t="s">
        <v>9</v>
      </c>
    </row>
    <row r="35">
      <c r="A35" s="2" t="s">
        <v>10</v>
      </c>
    </row>
    <row r="36">
      <c r="A36" s="1" t="s">
        <v>11</v>
      </c>
    </row>
    <row r="37">
      <c r="A37" s="1" t="s">
        <v>12</v>
      </c>
    </row>
    <row r="38">
      <c r="A38" s="1" t="s">
        <v>13</v>
      </c>
    </row>
    <row r="39">
      <c r="A39" s="1">
        <v>0.3</v>
      </c>
    </row>
    <row r="40">
      <c r="A40" s="1">
        <v>0.01</v>
      </c>
    </row>
    <row r="41">
      <c r="A41" s="1">
        <v>0.7</v>
      </c>
    </row>
    <row r="42">
      <c r="A42" s="1">
        <v>0.2</v>
      </c>
    </row>
    <row r="43">
      <c r="A43" s="1">
        <v>0.9</v>
      </c>
    </row>
    <row r="44">
      <c r="A44" s="1">
        <v>0.02</v>
      </c>
    </row>
    <row r="45">
      <c r="A45" s="1">
        <v>0.2</v>
      </c>
    </row>
    <row r="46">
      <c r="A46" s="1">
        <v>0.6</v>
      </c>
    </row>
    <row r="47">
      <c r="A47" s="1">
        <v>0.5</v>
      </c>
      <c r="B47" s="1" t="s">
        <v>14</v>
      </c>
    </row>
    <row r="48">
      <c r="A48" s="1">
        <v>0.6</v>
      </c>
      <c r="B48" s="1" t="s">
        <v>15</v>
      </c>
    </row>
    <row r="50">
      <c r="A50" s="1" t="s">
        <v>16</v>
      </c>
    </row>
    <row r="52">
      <c r="A52" s="1" t="s">
        <v>17</v>
      </c>
    </row>
    <row r="53">
      <c r="A53" s="1" t="s">
        <v>18</v>
      </c>
    </row>
    <row r="54">
      <c r="A54" s="4" t="s">
        <v>19</v>
      </c>
      <c r="B54" s="4" t="s">
        <v>20</v>
      </c>
    </row>
    <row r="55">
      <c r="A55" s="4" t="s">
        <v>21</v>
      </c>
      <c r="B55" s="4" t="s">
        <v>22</v>
      </c>
    </row>
    <row r="56">
      <c r="A56" s="4" t="s">
        <v>23</v>
      </c>
      <c r="B56" s="4" t="s">
        <v>22</v>
      </c>
    </row>
    <row r="57">
      <c r="A57" s="4" t="s">
        <v>24</v>
      </c>
      <c r="B57" s="4" t="s">
        <v>22</v>
      </c>
    </row>
    <row r="58">
      <c r="A58" s="4" t="s">
        <v>25</v>
      </c>
      <c r="B58" s="4" t="s">
        <v>22</v>
      </c>
    </row>
    <row r="59">
      <c r="A59" s="4" t="s">
        <v>26</v>
      </c>
      <c r="B59" s="4" t="s">
        <v>27</v>
      </c>
    </row>
    <row r="60">
      <c r="A60" s="4" t="s">
        <v>28</v>
      </c>
      <c r="B60" s="4" t="s">
        <v>23</v>
      </c>
    </row>
    <row r="61">
      <c r="A61" s="4" t="s">
        <v>29</v>
      </c>
      <c r="B61" s="4" t="s">
        <v>24</v>
      </c>
    </row>
    <row r="62">
      <c r="A62" s="4" t="s">
        <v>30</v>
      </c>
      <c r="B62" s="4" t="s">
        <v>25</v>
      </c>
    </row>
    <row r="64">
      <c r="A64" s="1" t="s">
        <v>31</v>
      </c>
    </row>
    <row r="65">
      <c r="A65" s="1" t="s">
        <v>32</v>
      </c>
    </row>
  </sheetData>
  <mergeCells count="2">
    <mergeCell ref="A29:D29"/>
    <mergeCell ref="A35:F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71"/>
    <col customWidth="1" min="2" max="4" width="7.0"/>
  </cols>
  <sheetData>
    <row r="1">
      <c r="A1" s="1" t="s">
        <v>0</v>
      </c>
      <c r="B1" s="1" t="s">
        <v>33</v>
      </c>
      <c r="C1" s="1" t="s">
        <v>34</v>
      </c>
      <c r="D1" s="1" t="s">
        <v>35</v>
      </c>
      <c r="F1" s="1" t="s">
        <v>5</v>
      </c>
      <c r="G1" s="5" t="s">
        <v>36</v>
      </c>
      <c r="H1" s="6">
        <v>10.0</v>
      </c>
      <c r="I1" s="3" t="s">
        <v>37</v>
      </c>
      <c r="J1" s="3"/>
      <c r="K1" s="3"/>
      <c r="L1" s="1" t="s">
        <v>9</v>
      </c>
      <c r="S1" s="3"/>
      <c r="T1" s="3"/>
      <c r="U1" s="3"/>
      <c r="V1" s="3"/>
      <c r="W1" s="3"/>
      <c r="X1" s="3"/>
      <c r="Y1" s="3"/>
      <c r="Z1" s="3"/>
    </row>
    <row r="2">
      <c r="A2" s="1" t="s">
        <v>33</v>
      </c>
      <c r="B2" s="4">
        <v>0.0</v>
      </c>
      <c r="C2" s="4">
        <v>0.5</v>
      </c>
      <c r="D2" s="4">
        <v>0.5</v>
      </c>
      <c r="G2" s="5" t="s">
        <v>38</v>
      </c>
      <c r="H2" s="6">
        <f>12</f>
        <v>12</v>
      </c>
      <c r="I2" s="3" t="s">
        <v>37</v>
      </c>
      <c r="J2" s="3"/>
      <c r="K2" s="3"/>
      <c r="M2" s="7"/>
      <c r="N2" s="7"/>
      <c r="O2" s="7"/>
      <c r="P2" s="7"/>
      <c r="Q2" s="7"/>
      <c r="R2" s="7"/>
      <c r="S2" s="7"/>
      <c r="T2" s="7"/>
      <c r="U2" s="7"/>
      <c r="V2" s="7"/>
      <c r="W2" s="7"/>
      <c r="X2" s="7"/>
      <c r="Y2" s="7"/>
      <c r="Z2" s="7"/>
    </row>
    <row r="3">
      <c r="A3" s="1" t="s">
        <v>34</v>
      </c>
      <c r="B3" s="4">
        <v>0.1</v>
      </c>
      <c r="C3" s="4">
        <v>0.8</v>
      </c>
      <c r="D3" s="4">
        <v>0.1</v>
      </c>
      <c r="G3" s="5" t="s">
        <v>39</v>
      </c>
      <c r="H3" s="6">
        <f>H1/H2</f>
        <v>0.8333333333</v>
      </c>
      <c r="I3" s="3"/>
      <c r="J3" s="3"/>
      <c r="K3" s="3"/>
      <c r="M3" s="8" t="s">
        <v>40</v>
      </c>
      <c r="N3" s="8" t="s">
        <v>41</v>
      </c>
      <c r="O3" s="8" t="s">
        <v>36</v>
      </c>
      <c r="P3" s="8" t="s">
        <v>42</v>
      </c>
      <c r="Q3" s="8" t="s">
        <v>43</v>
      </c>
      <c r="R3" s="8" t="s">
        <v>44</v>
      </c>
      <c r="S3" s="8" t="s">
        <v>45</v>
      </c>
      <c r="T3" s="8" t="s">
        <v>46</v>
      </c>
      <c r="U3" s="8" t="s">
        <v>47</v>
      </c>
      <c r="V3" s="8" t="s">
        <v>48</v>
      </c>
      <c r="W3" s="8" t="s">
        <v>41</v>
      </c>
      <c r="X3" s="8" t="s">
        <v>38</v>
      </c>
      <c r="Y3" s="8" t="s">
        <v>49</v>
      </c>
      <c r="Z3" s="8" t="s">
        <v>50</v>
      </c>
    </row>
    <row r="4">
      <c r="A4" s="1" t="s">
        <v>35</v>
      </c>
      <c r="B4" s="4">
        <v>0.3</v>
      </c>
      <c r="C4" s="4">
        <v>0.6</v>
      </c>
      <c r="D4" s="4">
        <v>0.1</v>
      </c>
      <c r="G4" s="5" t="s">
        <v>51</v>
      </c>
      <c r="H4" s="6">
        <f>1-H3</f>
        <v>0.1666666667</v>
      </c>
      <c r="I4" s="3"/>
      <c r="J4" s="3"/>
      <c r="K4" s="3"/>
      <c r="M4" s="9">
        <v>1.0</v>
      </c>
      <c r="N4" s="10">
        <f t="shared" ref="N4:N13" si="1">RAND()</f>
        <v>0.3977951688</v>
      </c>
      <c r="O4" s="9">
        <v>6.0</v>
      </c>
      <c r="P4" s="9">
        <f t="shared" ref="P4:P13" si="2">1/O4*LN(1/N4)*60</f>
        <v>9.218180574</v>
      </c>
      <c r="Q4" s="9">
        <f>P4</f>
        <v>9.218180574</v>
      </c>
      <c r="R4" s="9">
        <v>0.0</v>
      </c>
      <c r="S4" s="9">
        <f t="shared" ref="S4:S13" si="3">Z4-Q4</f>
        <v>9.033226517</v>
      </c>
      <c r="T4" s="9">
        <v>1.0</v>
      </c>
      <c r="U4" s="9">
        <v>0.0</v>
      </c>
      <c r="V4" s="9">
        <v>0.0</v>
      </c>
      <c r="W4" s="10">
        <f t="shared" ref="W4:W13" si="4">RAND()</f>
        <v>0.4710604372</v>
      </c>
      <c r="X4" s="9">
        <v>5.0</v>
      </c>
      <c r="Y4" s="9">
        <f t="shared" ref="Y4:Y13" si="5">1/X4*LN(1/W4)*60</f>
        <v>9.033226517</v>
      </c>
      <c r="Z4" s="9">
        <f>Q4+Y4</f>
        <v>18.25140709</v>
      </c>
    </row>
    <row r="5">
      <c r="G5" s="5" t="s">
        <v>48</v>
      </c>
      <c r="H5" s="6">
        <f>H1*H1/(H2*(H2-H1))</f>
        <v>4.166666667</v>
      </c>
      <c r="I5" s="3" t="s">
        <v>52</v>
      </c>
      <c r="J5" s="3"/>
      <c r="K5" s="3"/>
      <c r="M5" s="9">
        <v>2.0</v>
      </c>
      <c r="N5" s="10">
        <f t="shared" si="1"/>
        <v>0.868671519</v>
      </c>
      <c r="O5" s="9">
        <v>6.0</v>
      </c>
      <c r="P5" s="9">
        <f t="shared" si="2"/>
        <v>1.40790224</v>
      </c>
      <c r="Q5" s="9">
        <f t="shared" ref="Q5:Q13" si="6">Q4+P5</f>
        <v>10.62608281</v>
      </c>
      <c r="R5" s="9">
        <f t="shared" ref="R5:R13" si="7">IF(Q5&lt;Z4 ,1,0)</f>
        <v>1</v>
      </c>
      <c r="S5" s="9">
        <f t="shared" si="3"/>
        <v>10.01261785</v>
      </c>
      <c r="T5" s="9">
        <f t="shared" ref="T5:T13" si="8">V5+R5</f>
        <v>2</v>
      </c>
      <c r="U5" s="9">
        <f t="shared" ref="U5:U13" si="9">IF(R5=0,0,Z4-Q5)</f>
        <v>7.625324277</v>
      </c>
      <c r="V5" s="9">
        <f t="shared" ref="V5:V13" si="10">COUNTIF($Q$4:$Q$13,"&lt;"&amp;Q5)-COUNTIF($Z$4:$Z$13,"&lt;"&amp;Q5)</f>
        <v>1</v>
      </c>
      <c r="W5" s="10">
        <f t="shared" si="4"/>
        <v>0.819598141</v>
      </c>
      <c r="X5" s="9">
        <v>5.0</v>
      </c>
      <c r="Y5" s="9">
        <f t="shared" si="5"/>
        <v>2.38729357</v>
      </c>
      <c r="Z5" s="9">
        <f t="shared" ref="Z5:Z13" si="11">Q5+U5+Y5</f>
        <v>20.63870066</v>
      </c>
    </row>
    <row r="6">
      <c r="G6" s="5" t="s">
        <v>46</v>
      </c>
      <c r="H6" s="6">
        <f>H1/(H2-H1)</f>
        <v>5</v>
      </c>
      <c r="I6" s="3" t="s">
        <v>52</v>
      </c>
      <c r="J6" s="3"/>
      <c r="K6" s="3"/>
      <c r="M6" s="9">
        <v>3.0</v>
      </c>
      <c r="N6" s="10">
        <f t="shared" si="1"/>
        <v>0.7206129964</v>
      </c>
      <c r="O6" s="9">
        <v>6.0</v>
      </c>
      <c r="P6" s="9">
        <f t="shared" si="2"/>
        <v>3.276530453</v>
      </c>
      <c r="Q6" s="9">
        <f t="shared" si="6"/>
        <v>13.90261327</v>
      </c>
      <c r="R6" s="9">
        <f t="shared" si="7"/>
        <v>1</v>
      </c>
      <c r="S6" s="9">
        <f t="shared" si="3"/>
        <v>8.855080044</v>
      </c>
      <c r="T6" s="9">
        <f t="shared" si="8"/>
        <v>3</v>
      </c>
      <c r="U6" s="9">
        <f t="shared" si="9"/>
        <v>6.736087394</v>
      </c>
      <c r="V6" s="9">
        <f t="shared" si="10"/>
        <v>2</v>
      </c>
      <c r="W6" s="10">
        <f t="shared" si="4"/>
        <v>0.8381294456</v>
      </c>
      <c r="X6" s="9">
        <v>5.0</v>
      </c>
      <c r="Y6" s="9">
        <f t="shared" si="5"/>
        <v>2.118992649</v>
      </c>
      <c r="Z6" s="9">
        <f t="shared" si="11"/>
        <v>22.75769331</v>
      </c>
    </row>
    <row r="7">
      <c r="B7" s="11">
        <f t="array" ref="B7:D9">MMULT(B2:D4,B2:D4)</f>
        <v>0.2</v>
      </c>
      <c r="C7" s="11">
        <v>0.7</v>
      </c>
      <c r="D7" s="11">
        <v>0.1</v>
      </c>
      <c r="G7" s="5" t="s">
        <v>47</v>
      </c>
      <c r="H7" s="6">
        <f>H3/(H2*(1-H3))</f>
        <v>0.4166666667</v>
      </c>
      <c r="I7" s="3" t="s">
        <v>53</v>
      </c>
      <c r="J7" s="5">
        <f t="shared" ref="J7:J8" si="12">H7*60</f>
        <v>25</v>
      </c>
      <c r="K7" s="3" t="s">
        <v>54</v>
      </c>
      <c r="M7" s="9">
        <v>4.0</v>
      </c>
      <c r="N7" s="10">
        <f t="shared" si="1"/>
        <v>0.1149818212</v>
      </c>
      <c r="O7" s="9">
        <v>6.0</v>
      </c>
      <c r="P7" s="9">
        <f t="shared" si="2"/>
        <v>21.62981239</v>
      </c>
      <c r="Q7" s="9">
        <f t="shared" si="6"/>
        <v>35.53242566</v>
      </c>
      <c r="R7" s="9">
        <f t="shared" si="7"/>
        <v>0</v>
      </c>
      <c r="S7" s="9">
        <f t="shared" si="3"/>
        <v>20.26802407</v>
      </c>
      <c r="T7" s="9">
        <f t="shared" si="8"/>
        <v>0</v>
      </c>
      <c r="U7" s="9">
        <f t="shared" si="9"/>
        <v>0</v>
      </c>
      <c r="V7" s="9">
        <f t="shared" si="10"/>
        <v>0</v>
      </c>
      <c r="W7" s="10">
        <f t="shared" si="4"/>
        <v>0.1847037653</v>
      </c>
      <c r="X7" s="9">
        <v>5.0</v>
      </c>
      <c r="Y7" s="9">
        <f t="shared" si="5"/>
        <v>20.26802407</v>
      </c>
      <c r="Z7" s="9">
        <f t="shared" si="11"/>
        <v>55.80044973</v>
      </c>
    </row>
    <row r="8">
      <c r="B8" s="11">
        <v>0.11000000000000001</v>
      </c>
      <c r="C8" s="11">
        <v>0.7500000000000002</v>
      </c>
      <c r="D8" s="11">
        <v>0.14</v>
      </c>
      <c r="G8" s="5" t="s">
        <v>45</v>
      </c>
      <c r="H8" s="6">
        <f>1/(H2*(1-H3))</f>
        <v>0.5</v>
      </c>
      <c r="I8" s="3" t="s">
        <v>53</v>
      </c>
      <c r="J8" s="5">
        <f t="shared" si="12"/>
        <v>30</v>
      </c>
      <c r="K8" s="3" t="s">
        <v>54</v>
      </c>
      <c r="M8" s="9">
        <v>5.0</v>
      </c>
      <c r="N8" s="10">
        <f t="shared" si="1"/>
        <v>0.5169538218</v>
      </c>
      <c r="O8" s="9">
        <v>6.0</v>
      </c>
      <c r="P8" s="9">
        <f t="shared" si="2"/>
        <v>6.598017281</v>
      </c>
      <c r="Q8" s="9">
        <f t="shared" si="6"/>
        <v>42.13044294</v>
      </c>
      <c r="R8" s="9">
        <f t="shared" si="7"/>
        <v>1</v>
      </c>
      <c r="S8" s="9">
        <f t="shared" si="3"/>
        <v>70.85555336</v>
      </c>
      <c r="T8" s="9">
        <f t="shared" si="8"/>
        <v>2</v>
      </c>
      <c r="U8" s="9">
        <f t="shared" si="9"/>
        <v>13.67000679</v>
      </c>
      <c r="V8" s="9">
        <f t="shared" si="10"/>
        <v>1</v>
      </c>
      <c r="W8" s="10">
        <f t="shared" si="4"/>
        <v>0.008518949754</v>
      </c>
      <c r="X8" s="9">
        <v>5.0</v>
      </c>
      <c r="Y8" s="9">
        <f t="shared" si="5"/>
        <v>57.18554657</v>
      </c>
      <c r="Z8" s="9">
        <f t="shared" si="11"/>
        <v>112.9859963</v>
      </c>
    </row>
    <row r="9">
      <c r="B9" s="11">
        <v>0.09</v>
      </c>
      <c r="C9" s="11">
        <v>0.69</v>
      </c>
      <c r="D9" s="11">
        <v>0.22</v>
      </c>
      <c r="G9" s="5" t="s">
        <v>55</v>
      </c>
      <c r="H9" s="6">
        <f>H1/H2</f>
        <v>0.8333333333</v>
      </c>
      <c r="I9" s="3"/>
      <c r="J9" s="3"/>
      <c r="K9" s="3"/>
      <c r="M9" s="9">
        <v>6.0</v>
      </c>
      <c r="N9" s="10">
        <f t="shared" si="1"/>
        <v>0.6318505434</v>
      </c>
      <c r="O9" s="9">
        <v>6.0</v>
      </c>
      <c r="P9" s="9">
        <f t="shared" si="2"/>
        <v>4.591023947</v>
      </c>
      <c r="Q9" s="9">
        <f t="shared" si="6"/>
        <v>46.72146689</v>
      </c>
      <c r="R9" s="9">
        <f t="shared" si="7"/>
        <v>1</v>
      </c>
      <c r="S9" s="9">
        <f t="shared" si="3"/>
        <v>77.24075621</v>
      </c>
      <c r="T9" s="9">
        <f t="shared" si="8"/>
        <v>3</v>
      </c>
      <c r="U9" s="9">
        <f t="shared" si="9"/>
        <v>66.26452941</v>
      </c>
      <c r="V9" s="9">
        <f t="shared" si="10"/>
        <v>2</v>
      </c>
      <c r="W9" s="10">
        <f t="shared" si="4"/>
        <v>0.4006425817</v>
      </c>
      <c r="X9" s="9">
        <v>5.0</v>
      </c>
      <c r="Y9" s="9">
        <f t="shared" si="5"/>
        <v>10.9762268</v>
      </c>
      <c r="Z9" s="9">
        <f t="shared" si="11"/>
        <v>123.9622231</v>
      </c>
    </row>
    <row r="10">
      <c r="G10" s="3"/>
      <c r="H10" s="3"/>
      <c r="I10" s="3"/>
      <c r="J10" s="3"/>
      <c r="K10" s="3"/>
      <c r="M10" s="9">
        <v>7.0</v>
      </c>
      <c r="N10" s="10">
        <f t="shared" si="1"/>
        <v>0.5831304643</v>
      </c>
      <c r="O10" s="9">
        <v>6.0</v>
      </c>
      <c r="P10" s="9">
        <f t="shared" si="2"/>
        <v>5.393443367</v>
      </c>
      <c r="Q10" s="9">
        <f t="shared" si="6"/>
        <v>52.11491026</v>
      </c>
      <c r="R10" s="9">
        <f t="shared" si="7"/>
        <v>1</v>
      </c>
      <c r="S10" s="9">
        <f t="shared" si="3"/>
        <v>97.16887699</v>
      </c>
      <c r="T10" s="9">
        <f t="shared" si="8"/>
        <v>4</v>
      </c>
      <c r="U10" s="9">
        <f t="shared" si="9"/>
        <v>71.84731284</v>
      </c>
      <c r="V10" s="9">
        <f t="shared" si="10"/>
        <v>3</v>
      </c>
      <c r="W10" s="10">
        <f t="shared" si="4"/>
        <v>0.1212221647</v>
      </c>
      <c r="X10" s="9">
        <v>5.0</v>
      </c>
      <c r="Y10" s="9">
        <f t="shared" si="5"/>
        <v>25.32156414</v>
      </c>
      <c r="Z10" s="9">
        <f t="shared" si="11"/>
        <v>149.2837872</v>
      </c>
    </row>
    <row r="11">
      <c r="G11" s="3"/>
      <c r="H11" s="3"/>
      <c r="I11" s="3"/>
      <c r="J11" s="3"/>
      <c r="K11" s="3"/>
      <c r="M11" s="9">
        <v>8.0</v>
      </c>
      <c r="N11" s="10">
        <f t="shared" si="1"/>
        <v>0.7631721002</v>
      </c>
      <c r="O11" s="9">
        <v>6.0</v>
      </c>
      <c r="P11" s="9">
        <f t="shared" si="2"/>
        <v>2.702717159</v>
      </c>
      <c r="Q11" s="9">
        <f t="shared" si="6"/>
        <v>54.81762742</v>
      </c>
      <c r="R11" s="9">
        <f t="shared" si="7"/>
        <v>1</v>
      </c>
      <c r="S11" s="9">
        <f t="shared" si="3"/>
        <v>107.2430901</v>
      </c>
      <c r="T11" s="9">
        <f t="shared" si="8"/>
        <v>5</v>
      </c>
      <c r="U11" s="9">
        <f t="shared" si="9"/>
        <v>94.46615983</v>
      </c>
      <c r="V11" s="9">
        <f t="shared" si="10"/>
        <v>4</v>
      </c>
      <c r="W11" s="10">
        <f t="shared" si="4"/>
        <v>0.3448160515</v>
      </c>
      <c r="X11" s="9">
        <v>5.0</v>
      </c>
      <c r="Y11" s="9">
        <f t="shared" si="5"/>
        <v>12.77693026</v>
      </c>
      <c r="Z11" s="9">
        <f t="shared" si="11"/>
        <v>162.0607175</v>
      </c>
    </row>
    <row r="12">
      <c r="B12" s="11">
        <f t="array" ref="B12:D14">MMULT(B2:D4,B7:D9)</f>
        <v>0.1</v>
      </c>
      <c r="C12" s="11">
        <v>0.7200000000000001</v>
      </c>
      <c r="D12" s="11">
        <v>0.18</v>
      </c>
      <c r="G12" s="5" t="s">
        <v>36</v>
      </c>
      <c r="H12" s="6">
        <v>10.0</v>
      </c>
      <c r="I12" s="3" t="s">
        <v>37</v>
      </c>
      <c r="J12" s="3"/>
      <c r="K12" s="3"/>
      <c r="M12" s="9">
        <v>9.0</v>
      </c>
      <c r="N12" s="10">
        <f t="shared" si="1"/>
        <v>0.8699486666</v>
      </c>
      <c r="O12" s="9">
        <v>6.0</v>
      </c>
      <c r="P12" s="9">
        <f t="shared" si="2"/>
        <v>1.39321073</v>
      </c>
      <c r="Q12" s="9">
        <f t="shared" si="6"/>
        <v>56.21083815</v>
      </c>
      <c r="R12" s="9">
        <f t="shared" si="7"/>
        <v>1</v>
      </c>
      <c r="S12" s="9">
        <f t="shared" si="3"/>
        <v>107.7538868</v>
      </c>
      <c r="T12" s="9">
        <f t="shared" si="8"/>
        <v>5</v>
      </c>
      <c r="U12" s="9">
        <f t="shared" si="9"/>
        <v>105.8498794</v>
      </c>
      <c r="V12" s="9">
        <f t="shared" si="10"/>
        <v>4</v>
      </c>
      <c r="W12" s="10">
        <f t="shared" si="4"/>
        <v>0.8532802095</v>
      </c>
      <c r="X12" s="9">
        <v>5.0</v>
      </c>
      <c r="Y12" s="9">
        <f t="shared" si="5"/>
        <v>1.90400744</v>
      </c>
      <c r="Z12" s="9">
        <f t="shared" si="11"/>
        <v>163.9647249</v>
      </c>
    </row>
    <row r="13">
      <c r="B13" s="11">
        <v>0.11700000000000002</v>
      </c>
      <c r="C13" s="11">
        <v>0.7390000000000001</v>
      </c>
      <c r="D13" s="11">
        <v>0.14400000000000002</v>
      </c>
      <c r="G13" s="5" t="s">
        <v>38</v>
      </c>
      <c r="H13" s="6">
        <f>12</f>
        <v>12</v>
      </c>
      <c r="I13" s="3" t="s">
        <v>37</v>
      </c>
      <c r="J13" s="3"/>
      <c r="K13" s="3"/>
      <c r="M13" s="9">
        <v>10.0</v>
      </c>
      <c r="N13" s="10">
        <f t="shared" si="1"/>
        <v>0.550827515</v>
      </c>
      <c r="O13" s="9">
        <v>6.0</v>
      </c>
      <c r="P13" s="9">
        <f t="shared" si="2"/>
        <v>5.963335588</v>
      </c>
      <c r="Q13" s="9">
        <f t="shared" si="6"/>
        <v>62.17417373</v>
      </c>
      <c r="R13" s="9">
        <f t="shared" si="7"/>
        <v>1</v>
      </c>
      <c r="S13" s="9">
        <f t="shared" si="3"/>
        <v>133.7585476</v>
      </c>
      <c r="T13" s="9">
        <f t="shared" si="8"/>
        <v>6</v>
      </c>
      <c r="U13" s="9">
        <f t="shared" si="9"/>
        <v>101.7905512</v>
      </c>
      <c r="V13" s="9">
        <f t="shared" si="10"/>
        <v>5</v>
      </c>
      <c r="W13" s="10">
        <f t="shared" si="4"/>
        <v>0.06966900838</v>
      </c>
      <c r="X13" s="9">
        <v>5.0</v>
      </c>
      <c r="Y13" s="9">
        <f t="shared" si="5"/>
        <v>31.96799644</v>
      </c>
      <c r="Z13" s="9">
        <f t="shared" si="11"/>
        <v>195.9327214</v>
      </c>
    </row>
    <row r="14">
      <c r="B14" s="11">
        <v>0.135</v>
      </c>
      <c r="C14" s="11">
        <v>0.7290000000000001</v>
      </c>
      <c r="D14" s="11">
        <v>0.136</v>
      </c>
      <c r="G14" s="5" t="s">
        <v>39</v>
      </c>
      <c r="H14" s="6">
        <f>H12/(2*H13)</f>
        <v>0.4166666667</v>
      </c>
      <c r="I14" s="3"/>
      <c r="J14" s="3"/>
      <c r="K14" s="3"/>
      <c r="M14" s="3"/>
      <c r="N14" s="3"/>
      <c r="O14" s="3"/>
      <c r="P14" s="3" t="s">
        <v>56</v>
      </c>
      <c r="Q14" s="3"/>
      <c r="R14" s="3" t="s">
        <v>57</v>
      </c>
      <c r="S14" s="3" t="s">
        <v>58</v>
      </c>
      <c r="T14" s="3" t="s">
        <v>59</v>
      </c>
      <c r="U14" s="7" t="s">
        <v>57</v>
      </c>
      <c r="V14" s="12">
        <f>MAX(V4:V13)</f>
        <v>5</v>
      </c>
      <c r="W14" s="3"/>
      <c r="X14" s="3"/>
      <c r="Y14" s="3" t="s">
        <v>60</v>
      </c>
      <c r="Z14" s="3" t="s">
        <v>61</v>
      </c>
    </row>
    <row r="15">
      <c r="G15" s="5" t="s">
        <v>51</v>
      </c>
      <c r="H15" s="6">
        <f>1/(1+(H12/H13)+((H12/H13)^2)/2*(2*H13/(2*H13-H12)))</f>
        <v>0.4117647059</v>
      </c>
      <c r="I15" s="3"/>
      <c r="J15" s="3"/>
      <c r="K15" s="3"/>
      <c r="M15" s="3"/>
      <c r="N15" s="3"/>
      <c r="O15" s="3"/>
      <c r="P15" s="3"/>
      <c r="Q15" s="3"/>
      <c r="R15" s="3" t="s">
        <v>62</v>
      </c>
      <c r="S15" s="3"/>
      <c r="T15" s="3"/>
      <c r="U15" s="3" t="s">
        <v>63</v>
      </c>
      <c r="V15" s="3" t="s">
        <v>64</v>
      </c>
      <c r="W15" s="3"/>
      <c r="X15" s="3"/>
      <c r="Y15" s="3"/>
      <c r="Z15" s="3"/>
    </row>
    <row r="16">
      <c r="G16" s="5" t="s">
        <v>48</v>
      </c>
      <c r="H16" s="6">
        <f>(((H12/H13)^2*H12*H13)/(2*H13-H12)^2)*H15</f>
        <v>0.175070028</v>
      </c>
      <c r="I16" s="3" t="s">
        <v>52</v>
      </c>
      <c r="J16" s="3"/>
      <c r="K16" s="3"/>
      <c r="M16" s="3"/>
      <c r="N16" s="3"/>
      <c r="O16" s="3"/>
      <c r="P16" s="3"/>
      <c r="Q16" s="3"/>
      <c r="R16" s="3" t="s">
        <v>65</v>
      </c>
      <c r="S16" s="3"/>
      <c r="T16" s="3"/>
      <c r="U16" s="3" t="s">
        <v>66</v>
      </c>
      <c r="V16" s="3" t="s">
        <v>67</v>
      </c>
      <c r="W16" s="3"/>
      <c r="X16" s="3"/>
      <c r="Y16" s="3"/>
      <c r="Z16" s="3"/>
    </row>
    <row r="17">
      <c r="G17" s="5" t="s">
        <v>46</v>
      </c>
      <c r="H17" s="6">
        <f>H16+H14</f>
        <v>0.5917366947</v>
      </c>
      <c r="I17" s="3" t="s">
        <v>52</v>
      </c>
      <c r="J17" s="3"/>
      <c r="K17" s="3"/>
    </row>
    <row r="18">
      <c r="G18" s="5" t="s">
        <v>47</v>
      </c>
      <c r="H18" s="6">
        <f>H16/H12</f>
        <v>0.0175070028</v>
      </c>
      <c r="I18" s="3" t="s">
        <v>53</v>
      </c>
      <c r="J18" s="6">
        <f t="shared" ref="J18:J19" si="13">H18*60</f>
        <v>1.050420168</v>
      </c>
      <c r="K18" s="3" t="s">
        <v>54</v>
      </c>
    </row>
    <row r="19">
      <c r="G19" s="5" t="s">
        <v>45</v>
      </c>
      <c r="H19" s="6">
        <f>H18+1/H13</f>
        <v>0.1008403361</v>
      </c>
      <c r="I19" s="3" t="s">
        <v>53</v>
      </c>
      <c r="J19" s="6">
        <f t="shared" si="13"/>
        <v>6.050420168</v>
      </c>
      <c r="K19" s="3" t="s">
        <v>54</v>
      </c>
    </row>
    <row r="20">
      <c r="G20" s="5" t="s">
        <v>55</v>
      </c>
      <c r="H20" s="6">
        <f>1/2*(H12/H13)^2*((2*H13)/(2*H13-H12))*H15</f>
        <v>0.2450980392</v>
      </c>
      <c r="I20" s="3"/>
      <c r="J20" s="3"/>
      <c r="K20" s="3"/>
    </row>
  </sheetData>
  <drawing r:id="rId1"/>
</worksheet>
</file>