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enciaBenevenia\Documents\Trabajo\Investigación Operativa\2025\3.- 1er Recuperatorio 1er Parcial 12-07\"/>
    </mc:Choice>
  </mc:AlternateContent>
  <xr:revisionPtr revIDLastSave="0" documentId="13_ncr:1_{2178F7D5-B16E-4670-BBE2-8ED34F05909C}" xr6:coauthVersionLast="47" xr6:coauthVersionMax="47" xr10:uidLastSave="{00000000-0000-0000-0000-000000000000}"/>
  <bookViews>
    <workbookView xWindow="-120" yWindow="-120" windowWidth="20730" windowHeight="11160" activeTab="2" xr2:uid="{4ADB821B-B583-4874-A8A0-023CD25A7C51}"/>
  </bookViews>
  <sheets>
    <sheet name="Hoja1" sheetId="1" r:id="rId1"/>
    <sheet name="Punto 1" sheetId="2" r:id="rId2"/>
    <sheet name="Punto 2" sheetId="3" r:id="rId3"/>
    <sheet name="Punto 3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2" l="1"/>
  <c r="R57" i="2"/>
  <c r="U52" i="2"/>
  <c r="G31" i="4"/>
  <c r="G29" i="4"/>
  <c r="F70" i="2"/>
  <c r="F69" i="2"/>
  <c r="F68" i="2"/>
  <c r="F67" i="2"/>
  <c r="F66" i="2"/>
  <c r="E66" i="2"/>
  <c r="F65" i="2"/>
  <c r="F64" i="2"/>
  <c r="E63" i="2"/>
  <c r="G63" i="2" s="1"/>
  <c r="X52" i="2"/>
  <c r="X53" i="2" s="1"/>
  <c r="U53" i="2" s="1"/>
  <c r="R50" i="2"/>
  <c r="L56" i="2"/>
  <c r="E41" i="2"/>
  <c r="D14" i="3"/>
  <c r="D18" i="3" s="1"/>
  <c r="D22" i="3" s="1"/>
  <c r="D25" i="3" s="1"/>
  <c r="D27" i="3" s="1"/>
  <c r="D30" i="3" s="1"/>
  <c r="G21" i="4"/>
  <c r="I15" i="4"/>
  <c r="G15" i="4"/>
  <c r="F15" i="4"/>
  <c r="D15" i="4"/>
  <c r="I19" i="4"/>
  <c r="G19" i="4"/>
  <c r="F19" i="4"/>
  <c r="D19" i="4"/>
  <c r="O57" i="2" l="1"/>
  <c r="L57" i="2" s="1"/>
  <c r="I57" i="2" s="1"/>
  <c r="E62" i="2" s="1"/>
  <c r="G62" i="2" s="1"/>
  <c r="E67" i="2"/>
  <c r="G67" i="2" s="1"/>
  <c r="H67" i="2" s="1"/>
  <c r="E69" i="2"/>
  <c r="G69" i="2" s="1"/>
  <c r="H69" i="2" s="1"/>
  <c r="E64" i="2"/>
  <c r="G64" i="2" s="1"/>
  <c r="H64" i="2" s="1"/>
  <c r="E68" i="2"/>
  <c r="G68" i="2" s="1"/>
  <c r="H68" i="2" s="1"/>
  <c r="E70" i="2"/>
  <c r="G26" i="4"/>
  <c r="G27" i="4" s="1"/>
  <c r="G28" i="4" s="1"/>
  <c r="G70" i="2"/>
  <c r="H70" i="2" s="1"/>
  <c r="G66" i="2"/>
  <c r="D16" i="3"/>
  <c r="H66" i="2"/>
  <c r="H63" i="2"/>
  <c r="H62" i="2"/>
  <c r="N48" i="3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O460" i="3" s="1"/>
  <c r="M459" i="3"/>
  <c r="M458" i="3"/>
  <c r="M457" i="3"/>
  <c r="M456" i="3"/>
  <c r="O456" i="3" s="1"/>
  <c r="M455" i="3"/>
  <c r="M454" i="3"/>
  <c r="M453" i="3"/>
  <c r="M452" i="3"/>
  <c r="O452" i="3" s="1"/>
  <c r="M451" i="3"/>
  <c r="M450" i="3"/>
  <c r="M449" i="3"/>
  <c r="M448" i="3"/>
  <c r="O448" i="3" s="1"/>
  <c r="M447" i="3"/>
  <c r="M446" i="3"/>
  <c r="M445" i="3"/>
  <c r="M444" i="3"/>
  <c r="O444" i="3" s="1"/>
  <c r="M443" i="3"/>
  <c r="M442" i="3"/>
  <c r="M441" i="3"/>
  <c r="M440" i="3"/>
  <c r="O440" i="3" s="1"/>
  <c r="M439" i="3"/>
  <c r="M438" i="3"/>
  <c r="M437" i="3"/>
  <c r="M436" i="3"/>
  <c r="O436" i="3" s="1"/>
  <c r="M435" i="3"/>
  <c r="M434" i="3"/>
  <c r="M433" i="3"/>
  <c r="M432" i="3"/>
  <c r="O432" i="3" s="1"/>
  <c r="M431" i="3"/>
  <c r="M430" i="3"/>
  <c r="M429" i="3"/>
  <c r="M428" i="3"/>
  <c r="O428" i="3" s="1"/>
  <c r="M427" i="3"/>
  <c r="M426" i="3"/>
  <c r="M425" i="3"/>
  <c r="M424" i="3"/>
  <c r="O424" i="3" s="1"/>
  <c r="M423" i="3"/>
  <c r="M422" i="3"/>
  <c r="M421" i="3"/>
  <c r="M420" i="3"/>
  <c r="O420" i="3" s="1"/>
  <c r="M419" i="3"/>
  <c r="M418" i="3"/>
  <c r="M417" i="3"/>
  <c r="M416" i="3"/>
  <c r="O416" i="3" s="1"/>
  <c r="M415" i="3"/>
  <c r="M414" i="3"/>
  <c r="M413" i="3"/>
  <c r="M412" i="3"/>
  <c r="O412" i="3" s="1"/>
  <c r="M411" i="3"/>
  <c r="M410" i="3"/>
  <c r="M409" i="3"/>
  <c r="M408" i="3"/>
  <c r="O408" i="3" s="1"/>
  <c r="M407" i="3"/>
  <c r="M406" i="3"/>
  <c r="M405" i="3"/>
  <c r="M404" i="3"/>
  <c r="O404" i="3" s="1"/>
  <c r="M403" i="3"/>
  <c r="M402" i="3"/>
  <c r="M401" i="3"/>
  <c r="M400" i="3"/>
  <c r="O400" i="3" s="1"/>
  <c r="M399" i="3"/>
  <c r="M398" i="3"/>
  <c r="M397" i="3"/>
  <c r="M396" i="3"/>
  <c r="O396" i="3" s="1"/>
  <c r="M395" i="3"/>
  <c r="M394" i="3"/>
  <c r="M393" i="3"/>
  <c r="M392" i="3"/>
  <c r="O392" i="3" s="1"/>
  <c r="M391" i="3"/>
  <c r="M390" i="3"/>
  <c r="M389" i="3"/>
  <c r="M388" i="3"/>
  <c r="O388" i="3" s="1"/>
  <c r="M387" i="3"/>
  <c r="M386" i="3"/>
  <c r="M385" i="3"/>
  <c r="M384" i="3"/>
  <c r="O384" i="3" s="1"/>
  <c r="M383" i="3"/>
  <c r="M382" i="3"/>
  <c r="M381" i="3"/>
  <c r="M380" i="3"/>
  <c r="O380" i="3" s="1"/>
  <c r="M379" i="3"/>
  <c r="M378" i="3"/>
  <c r="M377" i="3"/>
  <c r="M376" i="3"/>
  <c r="O376" i="3" s="1"/>
  <c r="M375" i="3"/>
  <c r="M374" i="3"/>
  <c r="M373" i="3"/>
  <c r="M372" i="3"/>
  <c r="O372" i="3" s="1"/>
  <c r="M371" i="3"/>
  <c r="M370" i="3"/>
  <c r="M369" i="3"/>
  <c r="M368" i="3"/>
  <c r="O368" i="3" s="1"/>
  <c r="M367" i="3"/>
  <c r="M366" i="3"/>
  <c r="M365" i="3"/>
  <c r="M364" i="3"/>
  <c r="O364" i="3" s="1"/>
  <c r="M363" i="3"/>
  <c r="M362" i="3"/>
  <c r="M361" i="3"/>
  <c r="M360" i="3"/>
  <c r="O360" i="3" s="1"/>
  <c r="M359" i="3"/>
  <c r="M358" i="3"/>
  <c r="M357" i="3"/>
  <c r="M356" i="3"/>
  <c r="O356" i="3" s="1"/>
  <c r="M355" i="3"/>
  <c r="M354" i="3"/>
  <c r="M353" i="3"/>
  <c r="M352" i="3"/>
  <c r="O352" i="3" s="1"/>
  <c r="M351" i="3"/>
  <c r="M350" i="3"/>
  <c r="M349" i="3"/>
  <c r="M348" i="3"/>
  <c r="O348" i="3" s="1"/>
  <c r="M347" i="3"/>
  <c r="M346" i="3"/>
  <c r="M345" i="3"/>
  <c r="M344" i="3"/>
  <c r="O344" i="3" s="1"/>
  <c r="M343" i="3"/>
  <c r="M342" i="3"/>
  <c r="M341" i="3"/>
  <c r="M340" i="3"/>
  <c r="O340" i="3" s="1"/>
  <c r="M339" i="3"/>
  <c r="M338" i="3"/>
  <c r="M337" i="3"/>
  <c r="M336" i="3"/>
  <c r="O336" i="3" s="1"/>
  <c r="M335" i="3"/>
  <c r="M334" i="3"/>
  <c r="M333" i="3"/>
  <c r="M332" i="3"/>
  <c r="O332" i="3" s="1"/>
  <c r="M331" i="3"/>
  <c r="M330" i="3"/>
  <c r="M329" i="3"/>
  <c r="M328" i="3"/>
  <c r="O328" i="3" s="1"/>
  <c r="M327" i="3"/>
  <c r="M326" i="3"/>
  <c r="M325" i="3"/>
  <c r="M324" i="3"/>
  <c r="O324" i="3" s="1"/>
  <c r="M323" i="3"/>
  <c r="M322" i="3"/>
  <c r="M321" i="3"/>
  <c r="M320" i="3"/>
  <c r="O320" i="3" s="1"/>
  <c r="M319" i="3"/>
  <c r="M318" i="3"/>
  <c r="M317" i="3"/>
  <c r="M316" i="3"/>
  <c r="O316" i="3" s="1"/>
  <c r="M315" i="3"/>
  <c r="M314" i="3"/>
  <c r="M313" i="3"/>
  <c r="M312" i="3"/>
  <c r="O312" i="3" s="1"/>
  <c r="M311" i="3"/>
  <c r="M310" i="3"/>
  <c r="M309" i="3"/>
  <c r="M308" i="3"/>
  <c r="O308" i="3" s="1"/>
  <c r="M307" i="3"/>
  <c r="M306" i="3"/>
  <c r="M305" i="3"/>
  <c r="M304" i="3"/>
  <c r="O304" i="3" s="1"/>
  <c r="M303" i="3"/>
  <c r="M302" i="3"/>
  <c r="M301" i="3"/>
  <c r="M300" i="3"/>
  <c r="O300" i="3" s="1"/>
  <c r="M299" i="3"/>
  <c r="M298" i="3"/>
  <c r="M297" i="3"/>
  <c r="M296" i="3"/>
  <c r="O296" i="3" s="1"/>
  <c r="M295" i="3"/>
  <c r="M294" i="3"/>
  <c r="M293" i="3"/>
  <c r="M292" i="3"/>
  <c r="O292" i="3" s="1"/>
  <c r="M291" i="3"/>
  <c r="M290" i="3"/>
  <c r="M289" i="3"/>
  <c r="M288" i="3"/>
  <c r="O288" i="3" s="1"/>
  <c r="M287" i="3"/>
  <c r="M286" i="3"/>
  <c r="M285" i="3"/>
  <c r="M284" i="3"/>
  <c r="O284" i="3" s="1"/>
  <c r="M283" i="3"/>
  <c r="M282" i="3"/>
  <c r="M281" i="3"/>
  <c r="M280" i="3"/>
  <c r="O280" i="3" s="1"/>
  <c r="M279" i="3"/>
  <c r="M278" i="3"/>
  <c r="M277" i="3"/>
  <c r="M276" i="3"/>
  <c r="O276" i="3" s="1"/>
  <c r="M275" i="3"/>
  <c r="M274" i="3"/>
  <c r="M273" i="3"/>
  <c r="M272" i="3"/>
  <c r="O272" i="3" s="1"/>
  <c r="M271" i="3"/>
  <c r="M270" i="3"/>
  <c r="M269" i="3"/>
  <c r="M268" i="3"/>
  <c r="O268" i="3" s="1"/>
  <c r="M267" i="3"/>
  <c r="M266" i="3"/>
  <c r="M265" i="3"/>
  <c r="M264" i="3"/>
  <c r="O264" i="3" s="1"/>
  <c r="M263" i="3"/>
  <c r="M262" i="3"/>
  <c r="M261" i="3"/>
  <c r="M260" i="3"/>
  <c r="O260" i="3" s="1"/>
  <c r="M259" i="3"/>
  <c r="M258" i="3"/>
  <c r="M257" i="3"/>
  <c r="M256" i="3"/>
  <c r="O256" i="3" s="1"/>
  <c r="M255" i="3"/>
  <c r="M254" i="3"/>
  <c r="M253" i="3"/>
  <c r="M252" i="3"/>
  <c r="O252" i="3" s="1"/>
  <c r="M251" i="3"/>
  <c r="M250" i="3"/>
  <c r="M249" i="3"/>
  <c r="M248" i="3"/>
  <c r="O248" i="3" s="1"/>
  <c r="M247" i="3"/>
  <c r="M246" i="3"/>
  <c r="M245" i="3"/>
  <c r="M244" i="3"/>
  <c r="O244" i="3" s="1"/>
  <c r="M243" i="3"/>
  <c r="M242" i="3"/>
  <c r="M241" i="3"/>
  <c r="M240" i="3"/>
  <c r="O240" i="3" s="1"/>
  <c r="M239" i="3"/>
  <c r="M238" i="3"/>
  <c r="M237" i="3"/>
  <c r="M236" i="3"/>
  <c r="O236" i="3" s="1"/>
  <c r="M235" i="3"/>
  <c r="M234" i="3"/>
  <c r="M233" i="3"/>
  <c r="M232" i="3"/>
  <c r="O232" i="3" s="1"/>
  <c r="M231" i="3"/>
  <c r="M230" i="3"/>
  <c r="M229" i="3"/>
  <c r="M228" i="3"/>
  <c r="O228" i="3" s="1"/>
  <c r="M227" i="3"/>
  <c r="M226" i="3"/>
  <c r="M225" i="3"/>
  <c r="M224" i="3"/>
  <c r="O224" i="3" s="1"/>
  <c r="M223" i="3"/>
  <c r="M222" i="3"/>
  <c r="M221" i="3"/>
  <c r="M220" i="3"/>
  <c r="O220" i="3" s="1"/>
  <c r="M219" i="3"/>
  <c r="M218" i="3"/>
  <c r="M217" i="3"/>
  <c r="M216" i="3"/>
  <c r="O216" i="3" s="1"/>
  <c r="M215" i="3"/>
  <c r="M214" i="3"/>
  <c r="M213" i="3"/>
  <c r="M212" i="3"/>
  <c r="O212" i="3" s="1"/>
  <c r="M211" i="3"/>
  <c r="M210" i="3"/>
  <c r="O210" i="3" s="1"/>
  <c r="M209" i="3"/>
  <c r="M208" i="3"/>
  <c r="O208" i="3" s="1"/>
  <c r="M207" i="3"/>
  <c r="M206" i="3"/>
  <c r="O206" i="3" s="1"/>
  <c r="M205" i="3"/>
  <c r="M204" i="3"/>
  <c r="O204" i="3" s="1"/>
  <c r="M203" i="3"/>
  <c r="M202" i="3"/>
  <c r="O202" i="3" s="1"/>
  <c r="M201" i="3"/>
  <c r="M200" i="3"/>
  <c r="O200" i="3" s="1"/>
  <c r="M199" i="3"/>
  <c r="M198" i="3"/>
  <c r="O198" i="3" s="1"/>
  <c r="M197" i="3"/>
  <c r="M196" i="3"/>
  <c r="O196" i="3" s="1"/>
  <c r="M195" i="3"/>
  <c r="M194" i="3"/>
  <c r="O194" i="3" s="1"/>
  <c r="M193" i="3"/>
  <c r="M192" i="3"/>
  <c r="O192" i="3" s="1"/>
  <c r="M191" i="3"/>
  <c r="M190" i="3"/>
  <c r="O190" i="3" s="1"/>
  <c r="M189" i="3"/>
  <c r="M188" i="3"/>
  <c r="O188" i="3" s="1"/>
  <c r="M187" i="3"/>
  <c r="M186" i="3"/>
  <c r="O186" i="3" s="1"/>
  <c r="M185" i="3"/>
  <c r="M184" i="3"/>
  <c r="O184" i="3" s="1"/>
  <c r="M183" i="3"/>
  <c r="M182" i="3"/>
  <c r="O182" i="3" s="1"/>
  <c r="M181" i="3"/>
  <c r="M180" i="3"/>
  <c r="O180" i="3" s="1"/>
  <c r="M179" i="3"/>
  <c r="M178" i="3"/>
  <c r="O178" i="3" s="1"/>
  <c r="M177" i="3"/>
  <c r="M176" i="3"/>
  <c r="O176" i="3" s="1"/>
  <c r="M175" i="3"/>
  <c r="M174" i="3"/>
  <c r="O174" i="3" s="1"/>
  <c r="M173" i="3"/>
  <c r="M172" i="3"/>
  <c r="O172" i="3" s="1"/>
  <c r="M171" i="3"/>
  <c r="M170" i="3"/>
  <c r="O170" i="3" s="1"/>
  <c r="M169" i="3"/>
  <c r="M168" i="3"/>
  <c r="O168" i="3" s="1"/>
  <c r="M167" i="3"/>
  <c r="M166" i="3"/>
  <c r="O166" i="3" s="1"/>
  <c r="M165" i="3"/>
  <c r="M164" i="3"/>
  <c r="O164" i="3" s="1"/>
  <c r="M163" i="3"/>
  <c r="M162" i="3"/>
  <c r="O162" i="3" s="1"/>
  <c r="M161" i="3"/>
  <c r="M160" i="3"/>
  <c r="O160" i="3" s="1"/>
  <c r="M159" i="3"/>
  <c r="M158" i="3"/>
  <c r="O158" i="3" s="1"/>
  <c r="M157" i="3"/>
  <c r="M156" i="3"/>
  <c r="O156" i="3" s="1"/>
  <c r="M155" i="3"/>
  <c r="O155" i="3" s="1"/>
  <c r="M154" i="3"/>
  <c r="O154" i="3" s="1"/>
  <c r="M153" i="3"/>
  <c r="M152" i="3"/>
  <c r="O152" i="3" s="1"/>
  <c r="M151" i="3"/>
  <c r="O151" i="3" s="1"/>
  <c r="M150" i="3"/>
  <c r="O150" i="3" s="1"/>
  <c r="M149" i="3"/>
  <c r="M148" i="3"/>
  <c r="O148" i="3" s="1"/>
  <c r="M147" i="3"/>
  <c r="O147" i="3" s="1"/>
  <c r="M146" i="3"/>
  <c r="O146" i="3" s="1"/>
  <c r="M145" i="3"/>
  <c r="M144" i="3"/>
  <c r="O144" i="3" s="1"/>
  <c r="M143" i="3"/>
  <c r="O143" i="3" s="1"/>
  <c r="M142" i="3"/>
  <c r="O142" i="3" s="1"/>
  <c r="M141" i="3"/>
  <c r="M140" i="3"/>
  <c r="O140" i="3" s="1"/>
  <c r="M139" i="3"/>
  <c r="O139" i="3" s="1"/>
  <c r="M138" i="3"/>
  <c r="O138" i="3" s="1"/>
  <c r="M137" i="3"/>
  <c r="M136" i="3"/>
  <c r="O136" i="3" s="1"/>
  <c r="M135" i="3"/>
  <c r="O135" i="3" s="1"/>
  <c r="M134" i="3"/>
  <c r="O134" i="3" s="1"/>
  <c r="M133" i="3"/>
  <c r="M132" i="3"/>
  <c r="O132" i="3" s="1"/>
  <c r="M131" i="3"/>
  <c r="O131" i="3" s="1"/>
  <c r="M130" i="3"/>
  <c r="O130" i="3" s="1"/>
  <c r="M129" i="3"/>
  <c r="M128" i="3"/>
  <c r="O128" i="3" s="1"/>
  <c r="M127" i="3"/>
  <c r="O127" i="3" s="1"/>
  <c r="M126" i="3"/>
  <c r="O126" i="3" s="1"/>
  <c r="M125" i="3"/>
  <c r="M124" i="3"/>
  <c r="O124" i="3" s="1"/>
  <c r="M123" i="3"/>
  <c r="O123" i="3" s="1"/>
  <c r="M122" i="3"/>
  <c r="O122" i="3" s="1"/>
  <c r="M121" i="3"/>
  <c r="M120" i="3"/>
  <c r="O120" i="3" s="1"/>
  <c r="M119" i="3"/>
  <c r="O119" i="3" s="1"/>
  <c r="M118" i="3"/>
  <c r="O118" i="3" s="1"/>
  <c r="M117" i="3"/>
  <c r="M116" i="3"/>
  <c r="O116" i="3" s="1"/>
  <c r="M115" i="3"/>
  <c r="O115" i="3" s="1"/>
  <c r="M114" i="3"/>
  <c r="O114" i="3" s="1"/>
  <c r="M113" i="3"/>
  <c r="M112" i="3"/>
  <c r="O112" i="3" s="1"/>
  <c r="M111" i="3"/>
  <c r="O111" i="3" s="1"/>
  <c r="M110" i="3"/>
  <c r="O110" i="3" s="1"/>
  <c r="M109" i="3"/>
  <c r="M108" i="3"/>
  <c r="O108" i="3" s="1"/>
  <c r="M107" i="3"/>
  <c r="O107" i="3" s="1"/>
  <c r="M106" i="3"/>
  <c r="O106" i="3" s="1"/>
  <c r="M105" i="3"/>
  <c r="M104" i="3"/>
  <c r="O104" i="3" s="1"/>
  <c r="M103" i="3"/>
  <c r="O103" i="3" s="1"/>
  <c r="M102" i="3"/>
  <c r="O102" i="3" s="1"/>
  <c r="M101" i="3"/>
  <c r="M100" i="3"/>
  <c r="O100" i="3" s="1"/>
  <c r="M99" i="3"/>
  <c r="O99" i="3" s="1"/>
  <c r="M98" i="3"/>
  <c r="O98" i="3" s="1"/>
  <c r="M97" i="3"/>
  <c r="M96" i="3"/>
  <c r="O96" i="3" s="1"/>
  <c r="M95" i="3"/>
  <c r="O95" i="3" s="1"/>
  <c r="M94" i="3"/>
  <c r="O94" i="3" s="1"/>
  <c r="M93" i="3"/>
  <c r="M92" i="3"/>
  <c r="O92" i="3" s="1"/>
  <c r="M91" i="3"/>
  <c r="O91" i="3" s="1"/>
  <c r="M90" i="3"/>
  <c r="O90" i="3" s="1"/>
  <c r="M89" i="3"/>
  <c r="M88" i="3"/>
  <c r="O88" i="3" s="1"/>
  <c r="M87" i="3"/>
  <c r="O87" i="3" s="1"/>
  <c r="M86" i="3"/>
  <c r="O86" i="3" s="1"/>
  <c r="M85" i="3"/>
  <c r="M84" i="3"/>
  <c r="O84" i="3" s="1"/>
  <c r="M83" i="3"/>
  <c r="O83" i="3" s="1"/>
  <c r="M82" i="3"/>
  <c r="O82" i="3" s="1"/>
  <c r="M81" i="3"/>
  <c r="M80" i="3"/>
  <c r="O80" i="3" s="1"/>
  <c r="M79" i="3"/>
  <c r="O79" i="3" s="1"/>
  <c r="M78" i="3"/>
  <c r="O78" i="3" s="1"/>
  <c r="M77" i="3"/>
  <c r="M76" i="3"/>
  <c r="O76" i="3" s="1"/>
  <c r="M75" i="3"/>
  <c r="O75" i="3" s="1"/>
  <c r="M74" i="3"/>
  <c r="O74" i="3" s="1"/>
  <c r="M73" i="3"/>
  <c r="M72" i="3"/>
  <c r="O72" i="3" s="1"/>
  <c r="M71" i="3"/>
  <c r="O71" i="3" s="1"/>
  <c r="M70" i="3"/>
  <c r="O70" i="3" s="1"/>
  <c r="M69" i="3"/>
  <c r="M68" i="3"/>
  <c r="O68" i="3" s="1"/>
  <c r="M67" i="3"/>
  <c r="O67" i="3" s="1"/>
  <c r="M66" i="3"/>
  <c r="O66" i="3" s="1"/>
  <c r="M65" i="3"/>
  <c r="M64" i="3"/>
  <c r="O64" i="3" s="1"/>
  <c r="M63" i="3"/>
  <c r="O63" i="3" s="1"/>
  <c r="M62" i="3"/>
  <c r="O62" i="3" s="1"/>
  <c r="M61" i="3"/>
  <c r="M60" i="3"/>
  <c r="O60" i="3" s="1"/>
  <c r="M59" i="3"/>
  <c r="O59" i="3" s="1"/>
  <c r="M58" i="3"/>
  <c r="O58" i="3" s="1"/>
  <c r="M57" i="3"/>
  <c r="M56" i="3"/>
  <c r="O56" i="3" s="1"/>
  <c r="M55" i="3"/>
  <c r="O55" i="3" s="1"/>
  <c r="M54" i="3"/>
  <c r="O54" i="3" s="1"/>
  <c r="M53" i="3"/>
  <c r="M52" i="3"/>
  <c r="O52" i="3" s="1"/>
  <c r="M51" i="3"/>
  <c r="O51" i="3" s="1"/>
  <c r="M50" i="3"/>
  <c r="O50" i="3" s="1"/>
  <c r="M49" i="3"/>
  <c r="M48" i="3"/>
  <c r="O48" i="3" s="1"/>
  <c r="J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E65" i="2" l="1"/>
  <c r="G65" i="2" s="1"/>
  <c r="H65" i="2" s="1"/>
  <c r="G33" i="4"/>
  <c r="E45" i="2" s="1"/>
  <c r="O464" i="3"/>
  <c r="O468" i="3"/>
  <c r="O472" i="3"/>
  <c r="O476" i="3"/>
  <c r="O480" i="3"/>
  <c r="O484" i="3"/>
  <c r="O488" i="3"/>
  <c r="O492" i="3"/>
  <c r="O496" i="3"/>
  <c r="O500" i="3"/>
  <c r="O504" i="3"/>
  <c r="O508" i="3"/>
  <c r="O512" i="3"/>
  <c r="O516" i="3"/>
  <c r="O520" i="3"/>
  <c r="O524" i="3"/>
  <c r="O528" i="3"/>
  <c r="O532" i="3"/>
  <c r="O536" i="3"/>
  <c r="O540" i="3"/>
  <c r="O544" i="3"/>
  <c r="O49" i="3"/>
  <c r="O53" i="3"/>
  <c r="O57" i="3"/>
  <c r="O61" i="3"/>
  <c r="O65" i="3"/>
  <c r="O69" i="3"/>
  <c r="O73" i="3"/>
  <c r="O77" i="3"/>
  <c r="O81" i="3"/>
  <c r="O85" i="3"/>
  <c r="O89" i="3"/>
  <c r="O93" i="3"/>
  <c r="O97" i="3"/>
  <c r="O101" i="3"/>
  <c r="O105" i="3"/>
  <c r="O109" i="3"/>
  <c r="O113" i="3"/>
  <c r="O117" i="3"/>
  <c r="O121" i="3"/>
  <c r="O125" i="3"/>
  <c r="O129" i="3"/>
  <c r="O133" i="3"/>
  <c r="O137" i="3"/>
  <c r="O141" i="3"/>
  <c r="O145" i="3"/>
  <c r="O149" i="3"/>
  <c r="O153" i="3"/>
  <c r="O157" i="3"/>
  <c r="O161" i="3"/>
  <c r="O165" i="3"/>
  <c r="O169" i="3"/>
  <c r="O173" i="3"/>
  <c r="O177" i="3"/>
  <c r="O181" i="3"/>
  <c r="O185" i="3"/>
  <c r="O189" i="3"/>
  <c r="O193" i="3"/>
  <c r="O197" i="3"/>
  <c r="O201" i="3"/>
  <c r="O205" i="3"/>
  <c r="O209" i="3"/>
  <c r="O213" i="3"/>
  <c r="O217" i="3"/>
  <c r="O221" i="3"/>
  <c r="O225" i="3"/>
  <c r="O229" i="3"/>
  <c r="O233" i="3"/>
  <c r="O237" i="3"/>
  <c r="O241" i="3"/>
  <c r="O245" i="3"/>
  <c r="O249" i="3"/>
  <c r="O253" i="3"/>
  <c r="O257" i="3"/>
  <c r="O261" i="3"/>
  <c r="O265" i="3"/>
  <c r="O269" i="3"/>
  <c r="O273" i="3"/>
  <c r="O277" i="3"/>
  <c r="O281" i="3"/>
  <c r="O285" i="3"/>
  <c r="O289" i="3"/>
  <c r="O293" i="3"/>
  <c r="O297" i="3"/>
  <c r="O301" i="3"/>
  <c r="O305" i="3"/>
  <c r="O309" i="3"/>
  <c r="O313" i="3"/>
  <c r="O159" i="3"/>
  <c r="O163" i="3"/>
  <c r="O167" i="3"/>
  <c r="O171" i="3"/>
  <c r="O175" i="3"/>
  <c r="O179" i="3"/>
  <c r="O183" i="3"/>
  <c r="O187" i="3"/>
  <c r="O191" i="3"/>
  <c r="O195" i="3"/>
  <c r="O199" i="3"/>
  <c r="O203" i="3"/>
  <c r="O207" i="3"/>
  <c r="O211" i="3"/>
  <c r="O317" i="3"/>
  <c r="O321" i="3"/>
  <c r="O325" i="3"/>
  <c r="O329" i="3"/>
  <c r="O333" i="3"/>
  <c r="O337" i="3"/>
  <c r="O341" i="3"/>
  <c r="O345" i="3"/>
  <c r="O349" i="3"/>
  <c r="O353" i="3"/>
  <c r="O357" i="3"/>
  <c r="O361" i="3"/>
  <c r="O365" i="3"/>
  <c r="O369" i="3"/>
  <c r="O373" i="3"/>
  <c r="O377" i="3"/>
  <c r="O381" i="3"/>
  <c r="O385" i="3"/>
  <c r="O389" i="3"/>
  <c r="O393" i="3"/>
  <c r="O397" i="3"/>
  <c r="O401" i="3"/>
  <c r="O405" i="3"/>
  <c r="O409" i="3"/>
  <c r="O413" i="3"/>
  <c r="O417" i="3"/>
  <c r="O421" i="3"/>
  <c r="O425" i="3"/>
  <c r="O429" i="3"/>
  <c r="O433" i="3"/>
  <c r="O437" i="3"/>
  <c r="O441" i="3"/>
  <c r="O445" i="3"/>
  <c r="O449" i="3"/>
  <c r="O453" i="3"/>
  <c r="O457" i="3"/>
  <c r="O461" i="3"/>
  <c r="O465" i="3"/>
  <c r="O469" i="3"/>
  <c r="O473" i="3"/>
  <c r="O477" i="3"/>
  <c r="O481" i="3"/>
  <c r="O485" i="3"/>
  <c r="O489" i="3"/>
  <c r="O493" i="3"/>
  <c r="O497" i="3"/>
  <c r="O501" i="3"/>
  <c r="O505" i="3"/>
  <c r="O509" i="3"/>
  <c r="O513" i="3"/>
  <c r="O517" i="3"/>
  <c r="O521" i="3"/>
  <c r="O525" i="3"/>
  <c r="O529" i="3"/>
  <c r="O533" i="3"/>
  <c r="O537" i="3"/>
  <c r="O541" i="3"/>
  <c r="O545" i="3"/>
  <c r="O214" i="3"/>
  <c r="O218" i="3"/>
  <c r="O222" i="3"/>
  <c r="O226" i="3"/>
  <c r="O230" i="3"/>
  <c r="O234" i="3"/>
  <c r="O238" i="3"/>
  <c r="O242" i="3"/>
  <c r="O246" i="3"/>
  <c r="O250" i="3"/>
  <c r="O254" i="3"/>
  <c r="O258" i="3"/>
  <c r="O262" i="3"/>
  <c r="O266" i="3"/>
  <c r="O270" i="3"/>
  <c r="O274" i="3"/>
  <c r="O278" i="3"/>
  <c r="O282" i="3"/>
  <c r="O286" i="3"/>
  <c r="O290" i="3"/>
  <c r="O294" i="3"/>
  <c r="O298" i="3"/>
  <c r="O302" i="3"/>
  <c r="O306" i="3"/>
  <c r="O310" i="3"/>
  <c r="O314" i="3"/>
  <c r="O318" i="3"/>
  <c r="O322" i="3"/>
  <c r="O326" i="3"/>
  <c r="O330" i="3"/>
  <c r="O334" i="3"/>
  <c r="O338" i="3"/>
  <c r="O342" i="3"/>
  <c r="O346" i="3"/>
  <c r="O350" i="3"/>
  <c r="O354" i="3"/>
  <c r="O358" i="3"/>
  <c r="O362" i="3"/>
  <c r="O366" i="3"/>
  <c r="O370" i="3"/>
  <c r="O374" i="3"/>
  <c r="O378" i="3"/>
  <c r="O382" i="3"/>
  <c r="O386" i="3"/>
  <c r="O390" i="3"/>
  <c r="O394" i="3"/>
  <c r="O398" i="3"/>
  <c r="O402" i="3"/>
  <c r="O406" i="3"/>
  <c r="O410" i="3"/>
  <c r="O414" i="3"/>
  <c r="O418" i="3"/>
  <c r="O422" i="3"/>
  <c r="O426" i="3"/>
  <c r="O430" i="3"/>
  <c r="O434" i="3"/>
  <c r="O438" i="3"/>
  <c r="O442" i="3"/>
  <c r="O446" i="3"/>
  <c r="O450" i="3"/>
  <c r="O454" i="3"/>
  <c r="O458" i="3"/>
  <c r="O462" i="3"/>
  <c r="O466" i="3"/>
  <c r="O470" i="3"/>
  <c r="O474" i="3"/>
  <c r="O478" i="3"/>
  <c r="O482" i="3"/>
  <c r="O486" i="3"/>
  <c r="O490" i="3"/>
  <c r="O494" i="3"/>
  <c r="O498" i="3"/>
  <c r="O502" i="3"/>
  <c r="O506" i="3"/>
  <c r="O510" i="3"/>
  <c r="O514" i="3"/>
  <c r="O518" i="3"/>
  <c r="O522" i="3"/>
  <c r="O526" i="3"/>
  <c r="O530" i="3"/>
  <c r="O534" i="3"/>
  <c r="O538" i="3"/>
  <c r="O542" i="3"/>
  <c r="O546" i="3"/>
  <c r="O215" i="3"/>
  <c r="O219" i="3"/>
  <c r="O223" i="3"/>
  <c r="O227" i="3"/>
  <c r="O231" i="3"/>
  <c r="O235" i="3"/>
  <c r="O239" i="3"/>
  <c r="O243" i="3"/>
  <c r="O247" i="3"/>
  <c r="O251" i="3"/>
  <c r="O255" i="3"/>
  <c r="O259" i="3"/>
  <c r="O263" i="3"/>
  <c r="O267" i="3"/>
  <c r="O271" i="3"/>
  <c r="O275" i="3"/>
  <c r="O279" i="3"/>
  <c r="O283" i="3"/>
  <c r="O287" i="3"/>
  <c r="O291" i="3"/>
  <c r="O295" i="3"/>
  <c r="O299" i="3"/>
  <c r="O303" i="3"/>
  <c r="O307" i="3"/>
  <c r="O311" i="3"/>
  <c r="O315" i="3"/>
  <c r="O319" i="3"/>
  <c r="O323" i="3"/>
  <c r="O327" i="3"/>
  <c r="O331" i="3"/>
  <c r="O335" i="3"/>
  <c r="O339" i="3"/>
  <c r="O343" i="3"/>
  <c r="O347" i="3"/>
  <c r="O351" i="3"/>
  <c r="O355" i="3"/>
  <c r="O359" i="3"/>
  <c r="O363" i="3"/>
  <c r="O367" i="3"/>
  <c r="O371" i="3"/>
  <c r="O375" i="3"/>
  <c r="O379" i="3"/>
  <c r="O383" i="3"/>
  <c r="O387" i="3"/>
  <c r="O391" i="3"/>
  <c r="O395" i="3"/>
  <c r="O399" i="3"/>
  <c r="O403" i="3"/>
  <c r="O407" i="3"/>
  <c r="O411" i="3"/>
  <c r="O415" i="3"/>
  <c r="O419" i="3"/>
  <c r="O423" i="3"/>
  <c r="O427" i="3"/>
  <c r="O431" i="3"/>
  <c r="O435" i="3"/>
  <c r="O439" i="3"/>
  <c r="O443" i="3"/>
  <c r="O447" i="3"/>
  <c r="O451" i="3"/>
  <c r="O455" i="3"/>
  <c r="O459" i="3"/>
  <c r="O463" i="3"/>
  <c r="O467" i="3"/>
  <c r="O471" i="3"/>
  <c r="O475" i="3"/>
  <c r="O479" i="3"/>
  <c r="O483" i="3"/>
  <c r="O487" i="3"/>
  <c r="O491" i="3"/>
  <c r="O495" i="3"/>
  <c r="O499" i="3"/>
  <c r="O503" i="3"/>
  <c r="O507" i="3"/>
  <c r="O511" i="3"/>
  <c r="O515" i="3"/>
  <c r="O519" i="3"/>
  <c r="O523" i="3"/>
  <c r="O527" i="3"/>
  <c r="O531" i="3"/>
  <c r="O535" i="3"/>
  <c r="O539" i="3"/>
  <c r="O543" i="3"/>
  <c r="O547" i="3"/>
  <c r="C48" i="3" l="1"/>
  <c r="D48" i="3" s="1"/>
  <c r="E48" i="3" s="1"/>
  <c r="L48" i="3" s="1"/>
  <c r="K48" i="3" s="1"/>
  <c r="P48" i="3" l="1"/>
  <c r="Q48" i="3" s="1"/>
  <c r="C49" i="3"/>
  <c r="C50" i="3" l="1"/>
  <c r="D49" i="3"/>
  <c r="E49" i="3" s="1"/>
  <c r="I49" i="3" s="1"/>
  <c r="L49" i="3" s="1"/>
  <c r="P49" i="3" s="1"/>
  <c r="Q49" i="3" s="1"/>
  <c r="K49" i="3" l="1"/>
  <c r="C51" i="3"/>
  <c r="D50" i="3"/>
  <c r="E50" i="3" s="1"/>
  <c r="I50" i="3" s="1"/>
  <c r="L50" i="3" l="1"/>
  <c r="P50" i="3" s="1"/>
  <c r="Q50" i="3" s="1"/>
  <c r="C52" i="3"/>
  <c r="D51" i="3"/>
  <c r="E51" i="3" s="1"/>
  <c r="I51" i="3" l="1"/>
  <c r="L51" i="3" s="1"/>
  <c r="K50" i="3"/>
  <c r="C53" i="3"/>
  <c r="D52" i="3"/>
  <c r="E52" i="3" s="1"/>
  <c r="C54" i="3" l="1"/>
  <c r="D53" i="3"/>
  <c r="E53" i="3" s="1"/>
  <c r="K51" i="3"/>
  <c r="P51" i="3"/>
  <c r="Q51" i="3" s="1"/>
  <c r="C55" i="3" l="1"/>
  <c r="D54" i="3"/>
  <c r="E54" i="3" s="1"/>
  <c r="I52" i="3"/>
  <c r="L52" i="3" s="1"/>
  <c r="C56" i="3" l="1"/>
  <c r="D55" i="3"/>
  <c r="E55" i="3" s="1"/>
  <c r="C57" i="3" l="1"/>
  <c r="D56" i="3"/>
  <c r="E56" i="3" s="1"/>
  <c r="K52" i="3"/>
  <c r="P52" i="3"/>
  <c r="Q52" i="3" s="1"/>
  <c r="C58" i="3" l="1"/>
  <c r="D57" i="3"/>
  <c r="E57" i="3" s="1"/>
  <c r="I53" i="3"/>
  <c r="L53" i="3" s="1"/>
  <c r="C59" i="3" l="1"/>
  <c r="D58" i="3"/>
  <c r="E58" i="3" s="1"/>
  <c r="C60" i="3" l="1"/>
  <c r="D59" i="3"/>
  <c r="E59" i="3" s="1"/>
  <c r="K53" i="3"/>
  <c r="P53" i="3"/>
  <c r="Q53" i="3" s="1"/>
  <c r="C61" i="3" l="1"/>
  <c r="D60" i="3"/>
  <c r="E60" i="3" s="1"/>
  <c r="I54" i="3"/>
  <c r="L54" i="3" s="1"/>
  <c r="C62" i="3" l="1"/>
  <c r="D61" i="3"/>
  <c r="E61" i="3" s="1"/>
  <c r="C63" i="3" l="1"/>
  <c r="D62" i="3"/>
  <c r="E62" i="3" s="1"/>
  <c r="K54" i="3"/>
  <c r="P54" i="3"/>
  <c r="Q54" i="3" s="1"/>
  <c r="C64" i="3" l="1"/>
  <c r="D63" i="3"/>
  <c r="E63" i="3" s="1"/>
  <c r="I55" i="3"/>
  <c r="L55" i="3" s="1"/>
  <c r="C65" i="3" l="1"/>
  <c r="D64" i="3"/>
  <c r="E64" i="3" s="1"/>
  <c r="C66" i="3" l="1"/>
  <c r="D65" i="3"/>
  <c r="E65" i="3" s="1"/>
  <c r="K55" i="3"/>
  <c r="P55" i="3"/>
  <c r="Q55" i="3" s="1"/>
  <c r="C67" i="3" l="1"/>
  <c r="D66" i="3"/>
  <c r="E66" i="3" s="1"/>
  <c r="I56" i="3"/>
  <c r="L56" i="3" s="1"/>
  <c r="C68" i="3" l="1"/>
  <c r="D67" i="3"/>
  <c r="E67" i="3" s="1"/>
  <c r="C69" i="3" l="1"/>
  <c r="D68" i="3"/>
  <c r="E68" i="3" s="1"/>
  <c r="K56" i="3"/>
  <c r="P56" i="3"/>
  <c r="Q56" i="3" s="1"/>
  <c r="C70" i="3" l="1"/>
  <c r="D69" i="3"/>
  <c r="E69" i="3" s="1"/>
  <c r="I57" i="3"/>
  <c r="L57" i="3" s="1"/>
  <c r="C71" i="3" l="1"/>
  <c r="D70" i="3"/>
  <c r="E70" i="3" s="1"/>
  <c r="C72" i="3" l="1"/>
  <c r="D71" i="3"/>
  <c r="E71" i="3" s="1"/>
  <c r="K57" i="3"/>
  <c r="P57" i="3"/>
  <c r="Q57" i="3" s="1"/>
  <c r="C73" i="3" l="1"/>
  <c r="D72" i="3"/>
  <c r="E72" i="3" s="1"/>
  <c r="I58" i="3"/>
  <c r="L58" i="3" s="1"/>
  <c r="C74" i="3" l="1"/>
  <c r="D73" i="3"/>
  <c r="E73" i="3" s="1"/>
  <c r="K58" i="3"/>
  <c r="C75" i="3" l="1"/>
  <c r="D74" i="3"/>
  <c r="E74" i="3" s="1"/>
  <c r="P58" i="3"/>
  <c r="Q58" i="3" s="1"/>
  <c r="C76" i="3" l="1"/>
  <c r="D75" i="3"/>
  <c r="E75" i="3" s="1"/>
  <c r="I59" i="3"/>
  <c r="L59" i="3" s="1"/>
  <c r="C77" i="3" l="1"/>
  <c r="D76" i="3"/>
  <c r="E76" i="3" s="1"/>
  <c r="C78" i="3" l="1"/>
  <c r="D77" i="3"/>
  <c r="E77" i="3" s="1"/>
  <c r="K59" i="3"/>
  <c r="P59" i="3"/>
  <c r="Q59" i="3" s="1"/>
  <c r="C79" i="3" l="1"/>
  <c r="D78" i="3"/>
  <c r="E78" i="3" s="1"/>
  <c r="I60" i="3"/>
  <c r="L60" i="3" s="1"/>
  <c r="G49" i="3"/>
  <c r="F49" i="3" s="1"/>
  <c r="C80" i="3" l="1"/>
  <c r="D79" i="3"/>
  <c r="E79" i="3" s="1"/>
  <c r="H49" i="3"/>
  <c r="C81" i="3" l="1"/>
  <c r="D80" i="3"/>
  <c r="E80" i="3" s="1"/>
  <c r="K60" i="3"/>
  <c r="P60" i="3"/>
  <c r="Q60" i="3" s="1"/>
  <c r="J49" i="3"/>
  <c r="C82" i="3" l="1"/>
  <c r="D81" i="3"/>
  <c r="E81" i="3" s="1"/>
  <c r="I61" i="3"/>
  <c r="L61" i="3" s="1"/>
  <c r="G50" i="3"/>
  <c r="C83" i="3" l="1"/>
  <c r="D82" i="3"/>
  <c r="E82" i="3" s="1"/>
  <c r="H50" i="3"/>
  <c r="F50" i="3"/>
  <c r="J50" i="3" s="1"/>
  <c r="C84" i="3" l="1"/>
  <c r="D83" i="3"/>
  <c r="E83" i="3" s="1"/>
  <c r="K61" i="3"/>
  <c r="P61" i="3"/>
  <c r="Q61" i="3" s="1"/>
  <c r="C85" i="3" l="1"/>
  <c r="D84" i="3"/>
  <c r="E84" i="3" s="1"/>
  <c r="I62" i="3"/>
  <c r="L62" i="3" s="1"/>
  <c r="G51" i="3"/>
  <c r="C86" i="3" l="1"/>
  <c r="D85" i="3"/>
  <c r="E85" i="3" s="1"/>
  <c r="H51" i="3"/>
  <c r="F51" i="3"/>
  <c r="C87" i="3" l="1"/>
  <c r="D86" i="3"/>
  <c r="E86" i="3" s="1"/>
  <c r="K62" i="3"/>
  <c r="P62" i="3"/>
  <c r="Q62" i="3" s="1"/>
  <c r="J51" i="3"/>
  <c r="C88" i="3" l="1"/>
  <c r="D87" i="3"/>
  <c r="E87" i="3" s="1"/>
  <c r="I63" i="3"/>
  <c r="L63" i="3" s="1"/>
  <c r="G52" i="3"/>
  <c r="C89" i="3" l="1"/>
  <c r="D88" i="3"/>
  <c r="E88" i="3" s="1"/>
  <c r="H52" i="3"/>
  <c r="F52" i="3"/>
  <c r="C90" i="3" l="1"/>
  <c r="D89" i="3"/>
  <c r="E89" i="3" s="1"/>
  <c r="J52" i="3"/>
  <c r="K63" i="3"/>
  <c r="P63" i="3"/>
  <c r="Q63" i="3" s="1"/>
  <c r="C91" i="3" l="1"/>
  <c r="D90" i="3"/>
  <c r="E90" i="3" s="1"/>
  <c r="I64" i="3"/>
  <c r="L64" i="3" s="1"/>
  <c r="G53" i="3"/>
  <c r="C92" i="3" l="1"/>
  <c r="D91" i="3"/>
  <c r="E91" i="3" s="1"/>
  <c r="H53" i="3"/>
  <c r="F53" i="3"/>
  <c r="C93" i="3" l="1"/>
  <c r="D92" i="3"/>
  <c r="E92" i="3" s="1"/>
  <c r="K64" i="3"/>
  <c r="P64" i="3"/>
  <c r="Q64" i="3" s="1"/>
  <c r="J53" i="3"/>
  <c r="C94" i="3" l="1"/>
  <c r="D93" i="3"/>
  <c r="E93" i="3" s="1"/>
  <c r="I65" i="3"/>
  <c r="L65" i="3" s="1"/>
  <c r="G54" i="3"/>
  <c r="C95" i="3" l="1"/>
  <c r="D94" i="3"/>
  <c r="E94" i="3" s="1"/>
  <c r="H54" i="3"/>
  <c r="F54" i="3"/>
  <c r="C96" i="3" l="1"/>
  <c r="D95" i="3"/>
  <c r="E95" i="3" s="1"/>
  <c r="K65" i="3"/>
  <c r="P65" i="3"/>
  <c r="Q65" i="3" s="1"/>
  <c r="J54" i="3"/>
  <c r="C97" i="3" l="1"/>
  <c r="D96" i="3"/>
  <c r="E96" i="3" s="1"/>
  <c r="I66" i="3"/>
  <c r="L66" i="3" s="1"/>
  <c r="G55" i="3"/>
  <c r="C98" i="3" l="1"/>
  <c r="D97" i="3"/>
  <c r="E97" i="3" s="1"/>
  <c r="H55" i="3"/>
  <c r="F55" i="3"/>
  <c r="C99" i="3" l="1"/>
  <c r="D98" i="3"/>
  <c r="E98" i="3" s="1"/>
  <c r="J55" i="3"/>
  <c r="K66" i="3"/>
  <c r="P66" i="3"/>
  <c r="Q66" i="3" s="1"/>
  <c r="C100" i="3" l="1"/>
  <c r="D99" i="3"/>
  <c r="E99" i="3" s="1"/>
  <c r="I67" i="3"/>
  <c r="L67" i="3" s="1"/>
  <c r="G56" i="3"/>
  <c r="C101" i="3" l="1"/>
  <c r="D100" i="3"/>
  <c r="E100" i="3" s="1"/>
  <c r="H56" i="3"/>
  <c r="F56" i="3"/>
  <c r="C102" i="3" l="1"/>
  <c r="D101" i="3"/>
  <c r="E101" i="3" s="1"/>
  <c r="K67" i="3"/>
  <c r="P67" i="3"/>
  <c r="Q67" i="3" s="1"/>
  <c r="J56" i="3"/>
  <c r="C103" i="3" l="1"/>
  <c r="D102" i="3"/>
  <c r="E102" i="3" s="1"/>
  <c r="I68" i="3"/>
  <c r="L68" i="3" s="1"/>
  <c r="G57" i="3"/>
  <c r="C104" i="3" l="1"/>
  <c r="D103" i="3"/>
  <c r="E103" i="3" s="1"/>
  <c r="H57" i="3"/>
  <c r="F57" i="3"/>
  <c r="C105" i="3" l="1"/>
  <c r="D104" i="3"/>
  <c r="E104" i="3" s="1"/>
  <c r="K68" i="3"/>
  <c r="P68" i="3"/>
  <c r="Q68" i="3" s="1"/>
  <c r="J57" i="3"/>
  <c r="C106" i="3" l="1"/>
  <c r="D105" i="3"/>
  <c r="E105" i="3" s="1"/>
  <c r="I69" i="3"/>
  <c r="L69" i="3" s="1"/>
  <c r="G58" i="3"/>
  <c r="C107" i="3" l="1"/>
  <c r="D106" i="3"/>
  <c r="E106" i="3" s="1"/>
  <c r="H58" i="3"/>
  <c r="F58" i="3"/>
  <c r="C108" i="3" l="1"/>
  <c r="D107" i="3"/>
  <c r="E107" i="3" s="1"/>
  <c r="J58" i="3"/>
  <c r="K69" i="3"/>
  <c r="P69" i="3"/>
  <c r="Q69" i="3" s="1"/>
  <c r="C109" i="3" l="1"/>
  <c r="D108" i="3"/>
  <c r="E108" i="3" s="1"/>
  <c r="I70" i="3"/>
  <c r="L70" i="3" s="1"/>
  <c r="G59" i="3"/>
  <c r="C110" i="3" l="1"/>
  <c r="D109" i="3"/>
  <c r="E109" i="3" s="1"/>
  <c r="H59" i="3"/>
  <c r="F59" i="3"/>
  <c r="C111" i="3" l="1"/>
  <c r="D110" i="3"/>
  <c r="E110" i="3" s="1"/>
  <c r="J59" i="3"/>
  <c r="K70" i="3"/>
  <c r="P70" i="3"/>
  <c r="Q70" i="3" s="1"/>
  <c r="C112" i="3" l="1"/>
  <c r="D111" i="3"/>
  <c r="E111" i="3" s="1"/>
  <c r="I71" i="3"/>
  <c r="L71" i="3" s="1"/>
  <c r="G60" i="3"/>
  <c r="C113" i="3" l="1"/>
  <c r="D112" i="3"/>
  <c r="E112" i="3" s="1"/>
  <c r="H60" i="3"/>
  <c r="F60" i="3"/>
  <c r="C114" i="3" l="1"/>
  <c r="D113" i="3"/>
  <c r="E113" i="3" s="1"/>
  <c r="J60" i="3"/>
  <c r="K71" i="3"/>
  <c r="P71" i="3"/>
  <c r="Q71" i="3" s="1"/>
  <c r="C115" i="3" l="1"/>
  <c r="D114" i="3"/>
  <c r="E114" i="3" s="1"/>
  <c r="I72" i="3"/>
  <c r="L72" i="3" s="1"/>
  <c r="G61" i="3"/>
  <c r="C116" i="3" l="1"/>
  <c r="D115" i="3"/>
  <c r="E115" i="3" s="1"/>
  <c r="H61" i="3"/>
  <c r="F61" i="3"/>
  <c r="C117" i="3" l="1"/>
  <c r="D116" i="3"/>
  <c r="E116" i="3" s="1"/>
  <c r="J61" i="3"/>
  <c r="K72" i="3"/>
  <c r="P72" i="3"/>
  <c r="Q72" i="3" s="1"/>
  <c r="C118" i="3" l="1"/>
  <c r="D117" i="3"/>
  <c r="E117" i="3" s="1"/>
  <c r="I73" i="3"/>
  <c r="L73" i="3" s="1"/>
  <c r="G62" i="3"/>
  <c r="C119" i="3" l="1"/>
  <c r="D118" i="3"/>
  <c r="E118" i="3" s="1"/>
  <c r="H62" i="3"/>
  <c r="F62" i="3"/>
  <c r="C120" i="3" l="1"/>
  <c r="D119" i="3"/>
  <c r="E119" i="3" s="1"/>
  <c r="J62" i="3"/>
  <c r="K73" i="3"/>
  <c r="P73" i="3"/>
  <c r="Q73" i="3" s="1"/>
  <c r="C121" i="3" l="1"/>
  <c r="D120" i="3"/>
  <c r="E120" i="3" s="1"/>
  <c r="I74" i="3"/>
  <c r="L74" i="3" s="1"/>
  <c r="G63" i="3"/>
  <c r="C122" i="3" l="1"/>
  <c r="D121" i="3"/>
  <c r="E121" i="3" s="1"/>
  <c r="H63" i="3"/>
  <c r="F63" i="3"/>
  <c r="C123" i="3" l="1"/>
  <c r="D122" i="3"/>
  <c r="E122" i="3" s="1"/>
  <c r="K74" i="3"/>
  <c r="P74" i="3"/>
  <c r="Q74" i="3" s="1"/>
  <c r="J63" i="3"/>
  <c r="C124" i="3" l="1"/>
  <c r="D123" i="3"/>
  <c r="E123" i="3" s="1"/>
  <c r="I75" i="3"/>
  <c r="L75" i="3" s="1"/>
  <c r="G64" i="3"/>
  <c r="C125" i="3" l="1"/>
  <c r="D124" i="3"/>
  <c r="E124" i="3" s="1"/>
  <c r="H64" i="3"/>
  <c r="F64" i="3"/>
  <c r="C126" i="3" l="1"/>
  <c r="D125" i="3"/>
  <c r="E125" i="3" s="1"/>
  <c r="J64" i="3"/>
  <c r="K75" i="3"/>
  <c r="P75" i="3"/>
  <c r="Q75" i="3" s="1"/>
  <c r="C127" i="3" l="1"/>
  <c r="D126" i="3"/>
  <c r="E126" i="3" s="1"/>
  <c r="I76" i="3"/>
  <c r="L76" i="3" s="1"/>
  <c r="G65" i="3"/>
  <c r="C128" i="3" l="1"/>
  <c r="D127" i="3"/>
  <c r="E127" i="3" s="1"/>
  <c r="H65" i="3"/>
  <c r="F65" i="3"/>
  <c r="C129" i="3" l="1"/>
  <c r="D128" i="3"/>
  <c r="E128" i="3" s="1"/>
  <c r="K76" i="3"/>
  <c r="P76" i="3"/>
  <c r="Q76" i="3" s="1"/>
  <c r="J65" i="3"/>
  <c r="C130" i="3" l="1"/>
  <c r="D129" i="3"/>
  <c r="E129" i="3" s="1"/>
  <c r="I77" i="3"/>
  <c r="L77" i="3" s="1"/>
  <c r="G66" i="3"/>
  <c r="C131" i="3" l="1"/>
  <c r="D130" i="3"/>
  <c r="E130" i="3" s="1"/>
  <c r="H66" i="3"/>
  <c r="F66" i="3"/>
  <c r="C132" i="3" l="1"/>
  <c r="D131" i="3"/>
  <c r="E131" i="3" s="1"/>
  <c r="J66" i="3"/>
  <c r="K77" i="3"/>
  <c r="P77" i="3"/>
  <c r="Q77" i="3" s="1"/>
  <c r="C133" i="3" l="1"/>
  <c r="D132" i="3"/>
  <c r="E132" i="3" s="1"/>
  <c r="I78" i="3"/>
  <c r="L78" i="3" s="1"/>
  <c r="G67" i="3"/>
  <c r="C134" i="3" l="1"/>
  <c r="D133" i="3"/>
  <c r="E133" i="3" s="1"/>
  <c r="H67" i="3"/>
  <c r="F67" i="3"/>
  <c r="C135" i="3" l="1"/>
  <c r="D134" i="3"/>
  <c r="E134" i="3" s="1"/>
  <c r="J67" i="3"/>
  <c r="K78" i="3"/>
  <c r="P78" i="3"/>
  <c r="Q78" i="3" s="1"/>
  <c r="C136" i="3" l="1"/>
  <c r="D135" i="3"/>
  <c r="E135" i="3" s="1"/>
  <c r="I79" i="3"/>
  <c r="L79" i="3" s="1"/>
  <c r="G68" i="3"/>
  <c r="C137" i="3" l="1"/>
  <c r="D136" i="3"/>
  <c r="E136" i="3" s="1"/>
  <c r="H68" i="3"/>
  <c r="F68" i="3"/>
  <c r="C138" i="3" l="1"/>
  <c r="D137" i="3"/>
  <c r="E137" i="3" s="1"/>
  <c r="J68" i="3"/>
  <c r="K79" i="3"/>
  <c r="P79" i="3"/>
  <c r="Q79" i="3" s="1"/>
  <c r="C139" i="3" l="1"/>
  <c r="D138" i="3"/>
  <c r="E138" i="3" s="1"/>
  <c r="I80" i="3"/>
  <c r="L80" i="3" s="1"/>
  <c r="G69" i="3"/>
  <c r="C140" i="3" l="1"/>
  <c r="D139" i="3"/>
  <c r="E139" i="3" s="1"/>
  <c r="H69" i="3"/>
  <c r="F69" i="3"/>
  <c r="C141" i="3" l="1"/>
  <c r="D140" i="3"/>
  <c r="E140" i="3" s="1"/>
  <c r="K80" i="3"/>
  <c r="P80" i="3"/>
  <c r="Q80" i="3" s="1"/>
  <c r="J69" i="3"/>
  <c r="C142" i="3" l="1"/>
  <c r="D141" i="3"/>
  <c r="E141" i="3" s="1"/>
  <c r="I81" i="3"/>
  <c r="L81" i="3" s="1"/>
  <c r="G70" i="3"/>
  <c r="C143" i="3" l="1"/>
  <c r="D142" i="3"/>
  <c r="E142" i="3" s="1"/>
  <c r="H70" i="3"/>
  <c r="F70" i="3"/>
  <c r="C144" i="3" l="1"/>
  <c r="D143" i="3"/>
  <c r="E143" i="3" s="1"/>
  <c r="K81" i="3"/>
  <c r="P81" i="3"/>
  <c r="Q81" i="3" s="1"/>
  <c r="J70" i="3"/>
  <c r="C145" i="3" l="1"/>
  <c r="D144" i="3"/>
  <c r="E144" i="3" s="1"/>
  <c r="I82" i="3"/>
  <c r="L82" i="3" s="1"/>
  <c r="G71" i="3"/>
  <c r="C146" i="3" l="1"/>
  <c r="D145" i="3"/>
  <c r="E145" i="3" s="1"/>
  <c r="H71" i="3"/>
  <c r="F71" i="3"/>
  <c r="C147" i="3" l="1"/>
  <c r="D146" i="3"/>
  <c r="E146" i="3" s="1"/>
  <c r="J71" i="3"/>
  <c r="K82" i="3"/>
  <c r="P82" i="3"/>
  <c r="Q82" i="3" s="1"/>
  <c r="C148" i="3" l="1"/>
  <c r="D147" i="3"/>
  <c r="E147" i="3" s="1"/>
  <c r="I83" i="3"/>
  <c r="L83" i="3" s="1"/>
  <c r="G72" i="3"/>
  <c r="C149" i="3" l="1"/>
  <c r="D148" i="3"/>
  <c r="E148" i="3" s="1"/>
  <c r="H72" i="3"/>
  <c r="F72" i="3"/>
  <c r="C150" i="3" l="1"/>
  <c r="D149" i="3"/>
  <c r="E149" i="3" s="1"/>
  <c r="J72" i="3"/>
  <c r="K83" i="3"/>
  <c r="P83" i="3"/>
  <c r="Q83" i="3" s="1"/>
  <c r="C151" i="3" l="1"/>
  <c r="D150" i="3"/>
  <c r="E150" i="3" s="1"/>
  <c r="I84" i="3"/>
  <c r="L84" i="3" s="1"/>
  <c r="G73" i="3"/>
  <c r="C152" i="3" l="1"/>
  <c r="D151" i="3"/>
  <c r="E151" i="3" s="1"/>
  <c r="H73" i="3"/>
  <c r="F73" i="3"/>
  <c r="C153" i="3" l="1"/>
  <c r="D152" i="3"/>
  <c r="E152" i="3" s="1"/>
  <c r="J73" i="3"/>
  <c r="K84" i="3"/>
  <c r="P84" i="3"/>
  <c r="Q84" i="3" s="1"/>
  <c r="C154" i="3" l="1"/>
  <c r="D153" i="3"/>
  <c r="E153" i="3" s="1"/>
  <c r="I85" i="3"/>
  <c r="L85" i="3" s="1"/>
  <c r="G74" i="3"/>
  <c r="C155" i="3" l="1"/>
  <c r="D154" i="3"/>
  <c r="E154" i="3" s="1"/>
  <c r="H74" i="3"/>
  <c r="F74" i="3"/>
  <c r="C156" i="3" l="1"/>
  <c r="D155" i="3"/>
  <c r="E155" i="3" s="1"/>
  <c r="J74" i="3"/>
  <c r="K85" i="3"/>
  <c r="P85" i="3"/>
  <c r="Q85" i="3" s="1"/>
  <c r="C157" i="3" l="1"/>
  <c r="D156" i="3"/>
  <c r="E156" i="3" s="1"/>
  <c r="I86" i="3"/>
  <c r="L86" i="3" s="1"/>
  <c r="G75" i="3"/>
  <c r="C158" i="3" l="1"/>
  <c r="D157" i="3"/>
  <c r="E157" i="3" s="1"/>
  <c r="H75" i="3"/>
  <c r="F75" i="3"/>
  <c r="C159" i="3" l="1"/>
  <c r="D158" i="3"/>
  <c r="E158" i="3" s="1"/>
  <c r="J75" i="3"/>
  <c r="K86" i="3"/>
  <c r="P86" i="3"/>
  <c r="Q86" i="3" s="1"/>
  <c r="C160" i="3" l="1"/>
  <c r="D159" i="3"/>
  <c r="E159" i="3" s="1"/>
  <c r="I87" i="3"/>
  <c r="L87" i="3" s="1"/>
  <c r="G76" i="3"/>
  <c r="C161" i="3" l="1"/>
  <c r="D160" i="3"/>
  <c r="E160" i="3" s="1"/>
  <c r="H76" i="3"/>
  <c r="F76" i="3"/>
  <c r="C162" i="3" l="1"/>
  <c r="D161" i="3"/>
  <c r="E161" i="3" s="1"/>
  <c r="K87" i="3"/>
  <c r="P87" i="3"/>
  <c r="Q87" i="3" s="1"/>
  <c r="J76" i="3"/>
  <c r="C163" i="3" l="1"/>
  <c r="D162" i="3"/>
  <c r="E162" i="3" s="1"/>
  <c r="I88" i="3"/>
  <c r="L88" i="3" s="1"/>
  <c r="G77" i="3"/>
  <c r="C164" i="3" l="1"/>
  <c r="D163" i="3"/>
  <c r="E163" i="3" s="1"/>
  <c r="H77" i="3"/>
  <c r="F77" i="3"/>
  <c r="C165" i="3" l="1"/>
  <c r="D164" i="3"/>
  <c r="E164" i="3" s="1"/>
  <c r="K88" i="3"/>
  <c r="P88" i="3"/>
  <c r="Q88" i="3" s="1"/>
  <c r="J77" i="3"/>
  <c r="C166" i="3" l="1"/>
  <c r="D165" i="3"/>
  <c r="E165" i="3" s="1"/>
  <c r="I89" i="3"/>
  <c r="L89" i="3" s="1"/>
  <c r="G78" i="3"/>
  <c r="C167" i="3" l="1"/>
  <c r="D166" i="3"/>
  <c r="E166" i="3" s="1"/>
  <c r="H78" i="3"/>
  <c r="F78" i="3"/>
  <c r="C168" i="3" l="1"/>
  <c r="D167" i="3"/>
  <c r="E167" i="3" s="1"/>
  <c r="K89" i="3"/>
  <c r="P89" i="3"/>
  <c r="Q89" i="3" s="1"/>
  <c r="J78" i="3"/>
  <c r="C169" i="3" l="1"/>
  <c r="D168" i="3"/>
  <c r="E168" i="3" s="1"/>
  <c r="I90" i="3"/>
  <c r="L90" i="3" s="1"/>
  <c r="G79" i="3"/>
  <c r="C170" i="3" l="1"/>
  <c r="D169" i="3"/>
  <c r="E169" i="3" s="1"/>
  <c r="H79" i="3"/>
  <c r="F79" i="3"/>
  <c r="C171" i="3" l="1"/>
  <c r="D170" i="3"/>
  <c r="E170" i="3" s="1"/>
  <c r="J79" i="3"/>
  <c r="K90" i="3"/>
  <c r="P90" i="3"/>
  <c r="Q90" i="3" s="1"/>
  <c r="C172" i="3" l="1"/>
  <c r="D171" i="3"/>
  <c r="E171" i="3" s="1"/>
  <c r="I91" i="3"/>
  <c r="L91" i="3" s="1"/>
  <c r="G80" i="3"/>
  <c r="C173" i="3" l="1"/>
  <c r="D172" i="3"/>
  <c r="E172" i="3" s="1"/>
  <c r="H80" i="3"/>
  <c r="F80" i="3"/>
  <c r="C174" i="3" l="1"/>
  <c r="D173" i="3"/>
  <c r="E173" i="3" s="1"/>
  <c r="J80" i="3"/>
  <c r="K91" i="3"/>
  <c r="P91" i="3"/>
  <c r="Q91" i="3" s="1"/>
  <c r="C175" i="3" l="1"/>
  <c r="D174" i="3"/>
  <c r="E174" i="3" s="1"/>
  <c r="I92" i="3"/>
  <c r="L92" i="3" s="1"/>
  <c r="G81" i="3"/>
  <c r="C176" i="3" l="1"/>
  <c r="D175" i="3"/>
  <c r="E175" i="3" s="1"/>
  <c r="H81" i="3"/>
  <c r="F81" i="3"/>
  <c r="C177" i="3" l="1"/>
  <c r="D176" i="3"/>
  <c r="E176" i="3" s="1"/>
  <c r="J81" i="3"/>
  <c r="K92" i="3"/>
  <c r="P92" i="3"/>
  <c r="Q92" i="3" s="1"/>
  <c r="C178" i="3" l="1"/>
  <c r="D177" i="3"/>
  <c r="E177" i="3" s="1"/>
  <c r="I93" i="3"/>
  <c r="L93" i="3" s="1"/>
  <c r="G82" i="3"/>
  <c r="C179" i="3" l="1"/>
  <c r="D178" i="3"/>
  <c r="E178" i="3" s="1"/>
  <c r="H82" i="3"/>
  <c r="F82" i="3"/>
  <c r="C180" i="3" l="1"/>
  <c r="D179" i="3"/>
  <c r="E179" i="3" s="1"/>
  <c r="J82" i="3"/>
  <c r="K93" i="3"/>
  <c r="P93" i="3"/>
  <c r="Q93" i="3" s="1"/>
  <c r="C181" i="3" l="1"/>
  <c r="D180" i="3"/>
  <c r="E180" i="3" s="1"/>
  <c r="I94" i="3"/>
  <c r="L94" i="3" s="1"/>
  <c r="G83" i="3"/>
  <c r="C182" i="3" l="1"/>
  <c r="D181" i="3"/>
  <c r="E181" i="3" s="1"/>
  <c r="H83" i="3"/>
  <c r="F83" i="3"/>
  <c r="C183" i="3" l="1"/>
  <c r="D182" i="3"/>
  <c r="E182" i="3" s="1"/>
  <c r="J83" i="3"/>
  <c r="K94" i="3"/>
  <c r="P94" i="3"/>
  <c r="Q94" i="3" s="1"/>
  <c r="C184" i="3" l="1"/>
  <c r="D183" i="3"/>
  <c r="E183" i="3" s="1"/>
  <c r="I95" i="3"/>
  <c r="L95" i="3" s="1"/>
  <c r="G84" i="3"/>
  <c r="C185" i="3" l="1"/>
  <c r="D184" i="3"/>
  <c r="E184" i="3" s="1"/>
  <c r="H84" i="3"/>
  <c r="F84" i="3"/>
  <c r="C186" i="3" l="1"/>
  <c r="D185" i="3"/>
  <c r="E185" i="3" s="1"/>
  <c r="J84" i="3"/>
  <c r="K95" i="3"/>
  <c r="P95" i="3"/>
  <c r="Q95" i="3" s="1"/>
  <c r="C187" i="3" l="1"/>
  <c r="D186" i="3"/>
  <c r="E186" i="3" s="1"/>
  <c r="I96" i="3"/>
  <c r="L96" i="3" s="1"/>
  <c r="G85" i="3"/>
  <c r="C188" i="3" l="1"/>
  <c r="D187" i="3"/>
  <c r="E187" i="3" s="1"/>
  <c r="H85" i="3"/>
  <c r="F85" i="3"/>
  <c r="C189" i="3" l="1"/>
  <c r="D188" i="3"/>
  <c r="E188" i="3" s="1"/>
  <c r="J85" i="3"/>
  <c r="K96" i="3"/>
  <c r="P96" i="3"/>
  <c r="Q96" i="3" s="1"/>
  <c r="C190" i="3" l="1"/>
  <c r="D189" i="3"/>
  <c r="E189" i="3" s="1"/>
  <c r="I97" i="3"/>
  <c r="L97" i="3" s="1"/>
  <c r="G86" i="3"/>
  <c r="C191" i="3" l="1"/>
  <c r="D190" i="3"/>
  <c r="E190" i="3" s="1"/>
  <c r="H86" i="3"/>
  <c r="F86" i="3"/>
  <c r="C192" i="3" l="1"/>
  <c r="D191" i="3"/>
  <c r="E191" i="3" s="1"/>
  <c r="K97" i="3"/>
  <c r="P97" i="3"/>
  <c r="Q97" i="3" s="1"/>
  <c r="J86" i="3"/>
  <c r="C193" i="3" l="1"/>
  <c r="D192" i="3"/>
  <c r="E192" i="3" s="1"/>
  <c r="I98" i="3"/>
  <c r="L98" i="3" s="1"/>
  <c r="G87" i="3"/>
  <c r="C194" i="3" l="1"/>
  <c r="D193" i="3"/>
  <c r="E193" i="3" s="1"/>
  <c r="H87" i="3"/>
  <c r="F87" i="3"/>
  <c r="C195" i="3" l="1"/>
  <c r="D194" i="3"/>
  <c r="E194" i="3" s="1"/>
  <c r="K98" i="3"/>
  <c r="P98" i="3"/>
  <c r="Q98" i="3" s="1"/>
  <c r="J87" i="3"/>
  <c r="C196" i="3" l="1"/>
  <c r="D195" i="3"/>
  <c r="E195" i="3" s="1"/>
  <c r="I99" i="3"/>
  <c r="L99" i="3" s="1"/>
  <c r="G88" i="3"/>
  <c r="C197" i="3" l="1"/>
  <c r="D196" i="3"/>
  <c r="E196" i="3" s="1"/>
  <c r="H88" i="3"/>
  <c r="F88" i="3"/>
  <c r="C198" i="3" l="1"/>
  <c r="D197" i="3"/>
  <c r="E197" i="3" s="1"/>
  <c r="K99" i="3"/>
  <c r="P99" i="3"/>
  <c r="Q99" i="3" s="1"/>
  <c r="J88" i="3"/>
  <c r="C199" i="3" l="1"/>
  <c r="D198" i="3"/>
  <c r="E198" i="3" s="1"/>
  <c r="I100" i="3"/>
  <c r="L100" i="3" s="1"/>
  <c r="G89" i="3"/>
  <c r="C200" i="3" l="1"/>
  <c r="D199" i="3"/>
  <c r="E199" i="3" s="1"/>
  <c r="H89" i="3"/>
  <c r="F89" i="3"/>
  <c r="C201" i="3" l="1"/>
  <c r="D200" i="3"/>
  <c r="E200" i="3" s="1"/>
  <c r="J89" i="3"/>
  <c r="K100" i="3"/>
  <c r="P100" i="3"/>
  <c r="Q100" i="3" s="1"/>
  <c r="C202" i="3" l="1"/>
  <c r="D201" i="3"/>
  <c r="E201" i="3" s="1"/>
  <c r="I101" i="3"/>
  <c r="L101" i="3" s="1"/>
  <c r="G90" i="3"/>
  <c r="C203" i="3" l="1"/>
  <c r="D202" i="3"/>
  <c r="E202" i="3" s="1"/>
  <c r="H90" i="3"/>
  <c r="F90" i="3"/>
  <c r="C204" i="3" l="1"/>
  <c r="D203" i="3"/>
  <c r="E203" i="3" s="1"/>
  <c r="J90" i="3"/>
  <c r="K101" i="3"/>
  <c r="P101" i="3"/>
  <c r="Q101" i="3" s="1"/>
  <c r="C205" i="3" l="1"/>
  <c r="D204" i="3"/>
  <c r="E204" i="3" s="1"/>
  <c r="I102" i="3"/>
  <c r="L102" i="3" s="1"/>
  <c r="G91" i="3"/>
  <c r="C206" i="3" l="1"/>
  <c r="D205" i="3"/>
  <c r="E205" i="3" s="1"/>
  <c r="H91" i="3"/>
  <c r="F91" i="3"/>
  <c r="C207" i="3" l="1"/>
  <c r="D206" i="3"/>
  <c r="E206" i="3" s="1"/>
  <c r="K102" i="3"/>
  <c r="P102" i="3"/>
  <c r="Q102" i="3" s="1"/>
  <c r="J91" i="3"/>
  <c r="C208" i="3" l="1"/>
  <c r="D207" i="3"/>
  <c r="E207" i="3" s="1"/>
  <c r="I103" i="3"/>
  <c r="L103" i="3" s="1"/>
  <c r="G92" i="3"/>
  <c r="C209" i="3" l="1"/>
  <c r="D208" i="3"/>
  <c r="E208" i="3" s="1"/>
  <c r="H92" i="3"/>
  <c r="F92" i="3"/>
  <c r="C210" i="3" l="1"/>
  <c r="D209" i="3"/>
  <c r="E209" i="3" s="1"/>
  <c r="K103" i="3"/>
  <c r="P103" i="3"/>
  <c r="Q103" i="3" s="1"/>
  <c r="J92" i="3"/>
  <c r="C211" i="3" l="1"/>
  <c r="D210" i="3"/>
  <c r="E210" i="3" s="1"/>
  <c r="I104" i="3"/>
  <c r="L104" i="3" s="1"/>
  <c r="G93" i="3"/>
  <c r="C212" i="3" l="1"/>
  <c r="D211" i="3"/>
  <c r="E211" i="3" s="1"/>
  <c r="H93" i="3"/>
  <c r="F93" i="3"/>
  <c r="C213" i="3" l="1"/>
  <c r="D212" i="3"/>
  <c r="E212" i="3" s="1"/>
  <c r="K104" i="3"/>
  <c r="P104" i="3"/>
  <c r="Q104" i="3" s="1"/>
  <c r="J93" i="3"/>
  <c r="C214" i="3" l="1"/>
  <c r="D213" i="3"/>
  <c r="E213" i="3" s="1"/>
  <c r="I105" i="3"/>
  <c r="L105" i="3" s="1"/>
  <c r="G94" i="3"/>
  <c r="C215" i="3" l="1"/>
  <c r="D214" i="3"/>
  <c r="E214" i="3" s="1"/>
  <c r="H94" i="3"/>
  <c r="F94" i="3"/>
  <c r="C216" i="3" l="1"/>
  <c r="D215" i="3"/>
  <c r="E215" i="3" s="1"/>
  <c r="K105" i="3"/>
  <c r="P105" i="3"/>
  <c r="Q105" i="3" s="1"/>
  <c r="J94" i="3"/>
  <c r="C217" i="3" l="1"/>
  <c r="D216" i="3"/>
  <c r="E216" i="3" s="1"/>
  <c r="I106" i="3"/>
  <c r="L106" i="3" s="1"/>
  <c r="G95" i="3"/>
  <c r="C218" i="3" l="1"/>
  <c r="D217" i="3"/>
  <c r="E217" i="3" s="1"/>
  <c r="H95" i="3"/>
  <c r="F95" i="3"/>
  <c r="C219" i="3" l="1"/>
  <c r="D218" i="3"/>
  <c r="E218" i="3" s="1"/>
  <c r="K106" i="3"/>
  <c r="P106" i="3"/>
  <c r="Q106" i="3" s="1"/>
  <c r="J95" i="3"/>
  <c r="C220" i="3" l="1"/>
  <c r="D219" i="3"/>
  <c r="E219" i="3" s="1"/>
  <c r="I107" i="3"/>
  <c r="L107" i="3" s="1"/>
  <c r="G96" i="3"/>
  <c r="C221" i="3" l="1"/>
  <c r="D220" i="3"/>
  <c r="E220" i="3" s="1"/>
  <c r="H96" i="3"/>
  <c r="F96" i="3"/>
  <c r="C222" i="3" l="1"/>
  <c r="D221" i="3"/>
  <c r="E221" i="3" s="1"/>
  <c r="K107" i="3"/>
  <c r="P107" i="3"/>
  <c r="Q107" i="3" s="1"/>
  <c r="J96" i="3"/>
  <c r="C223" i="3" l="1"/>
  <c r="D222" i="3"/>
  <c r="E222" i="3" s="1"/>
  <c r="I108" i="3"/>
  <c r="L108" i="3" s="1"/>
  <c r="G97" i="3"/>
  <c r="C224" i="3" l="1"/>
  <c r="D223" i="3"/>
  <c r="E223" i="3" s="1"/>
  <c r="H97" i="3"/>
  <c r="F97" i="3"/>
  <c r="C225" i="3" l="1"/>
  <c r="D224" i="3"/>
  <c r="E224" i="3" s="1"/>
  <c r="K108" i="3"/>
  <c r="P108" i="3"/>
  <c r="Q108" i="3" s="1"/>
  <c r="J97" i="3"/>
  <c r="C226" i="3" l="1"/>
  <c r="D225" i="3"/>
  <c r="E225" i="3" s="1"/>
  <c r="I109" i="3"/>
  <c r="L109" i="3" s="1"/>
  <c r="G98" i="3"/>
  <c r="C227" i="3" l="1"/>
  <c r="D226" i="3"/>
  <c r="E226" i="3" s="1"/>
  <c r="H98" i="3"/>
  <c r="F98" i="3"/>
  <c r="C228" i="3" l="1"/>
  <c r="D227" i="3"/>
  <c r="E227" i="3" s="1"/>
  <c r="J98" i="3"/>
  <c r="K109" i="3"/>
  <c r="P109" i="3"/>
  <c r="Q109" i="3" s="1"/>
  <c r="C229" i="3" l="1"/>
  <c r="D228" i="3"/>
  <c r="E228" i="3" s="1"/>
  <c r="I110" i="3"/>
  <c r="L110" i="3" s="1"/>
  <c r="G99" i="3"/>
  <c r="C230" i="3" l="1"/>
  <c r="D229" i="3"/>
  <c r="E229" i="3" s="1"/>
  <c r="H99" i="3"/>
  <c r="F99" i="3"/>
  <c r="C231" i="3" l="1"/>
  <c r="D230" i="3"/>
  <c r="E230" i="3" s="1"/>
  <c r="J99" i="3"/>
  <c r="K110" i="3"/>
  <c r="P110" i="3"/>
  <c r="Q110" i="3" s="1"/>
  <c r="C232" i="3" l="1"/>
  <c r="D231" i="3"/>
  <c r="E231" i="3" s="1"/>
  <c r="I111" i="3"/>
  <c r="L111" i="3" s="1"/>
  <c r="G100" i="3"/>
  <c r="C233" i="3" l="1"/>
  <c r="D232" i="3"/>
  <c r="E232" i="3" s="1"/>
  <c r="H100" i="3"/>
  <c r="F100" i="3"/>
  <c r="C234" i="3" l="1"/>
  <c r="D233" i="3"/>
  <c r="E233" i="3" s="1"/>
  <c r="J100" i="3"/>
  <c r="K111" i="3"/>
  <c r="P111" i="3"/>
  <c r="Q111" i="3" s="1"/>
  <c r="C235" i="3" l="1"/>
  <c r="D234" i="3"/>
  <c r="E234" i="3" s="1"/>
  <c r="I112" i="3"/>
  <c r="L112" i="3" s="1"/>
  <c r="G101" i="3"/>
  <c r="C236" i="3" l="1"/>
  <c r="D235" i="3"/>
  <c r="E235" i="3" s="1"/>
  <c r="H101" i="3"/>
  <c r="F101" i="3"/>
  <c r="C237" i="3" l="1"/>
  <c r="D236" i="3"/>
  <c r="E236" i="3" s="1"/>
  <c r="K112" i="3"/>
  <c r="P112" i="3"/>
  <c r="Q112" i="3" s="1"/>
  <c r="J101" i="3"/>
  <c r="C238" i="3" l="1"/>
  <c r="D237" i="3"/>
  <c r="E237" i="3" s="1"/>
  <c r="I113" i="3"/>
  <c r="L113" i="3" s="1"/>
  <c r="G102" i="3"/>
  <c r="C239" i="3" l="1"/>
  <c r="D238" i="3"/>
  <c r="E238" i="3" s="1"/>
  <c r="H102" i="3"/>
  <c r="F102" i="3"/>
  <c r="C240" i="3" l="1"/>
  <c r="D239" i="3"/>
  <c r="E239" i="3" s="1"/>
  <c r="K113" i="3"/>
  <c r="P113" i="3"/>
  <c r="Q113" i="3" s="1"/>
  <c r="J102" i="3"/>
  <c r="C241" i="3" l="1"/>
  <c r="D240" i="3"/>
  <c r="E240" i="3" s="1"/>
  <c r="I114" i="3"/>
  <c r="L114" i="3" s="1"/>
  <c r="G103" i="3"/>
  <c r="C242" i="3" l="1"/>
  <c r="D241" i="3"/>
  <c r="E241" i="3" s="1"/>
  <c r="H103" i="3"/>
  <c r="F103" i="3"/>
  <c r="C243" i="3" l="1"/>
  <c r="D242" i="3"/>
  <c r="E242" i="3" s="1"/>
  <c r="K114" i="3"/>
  <c r="P114" i="3"/>
  <c r="Q114" i="3" s="1"/>
  <c r="J103" i="3"/>
  <c r="C244" i="3" l="1"/>
  <c r="D243" i="3"/>
  <c r="E243" i="3" s="1"/>
  <c r="I115" i="3"/>
  <c r="L115" i="3" s="1"/>
  <c r="G104" i="3"/>
  <c r="C245" i="3" l="1"/>
  <c r="D244" i="3"/>
  <c r="E244" i="3" s="1"/>
  <c r="H104" i="3"/>
  <c r="F104" i="3"/>
  <c r="C246" i="3" l="1"/>
  <c r="D245" i="3"/>
  <c r="E245" i="3" s="1"/>
  <c r="J104" i="3"/>
  <c r="K115" i="3"/>
  <c r="P115" i="3"/>
  <c r="Q115" i="3" s="1"/>
  <c r="C247" i="3" l="1"/>
  <c r="D246" i="3"/>
  <c r="E246" i="3" s="1"/>
  <c r="I116" i="3"/>
  <c r="L116" i="3" s="1"/>
  <c r="G105" i="3"/>
  <c r="C248" i="3" l="1"/>
  <c r="D247" i="3"/>
  <c r="E247" i="3" s="1"/>
  <c r="H105" i="3"/>
  <c r="F105" i="3"/>
  <c r="C249" i="3" l="1"/>
  <c r="D248" i="3"/>
  <c r="E248" i="3" s="1"/>
  <c r="J105" i="3"/>
  <c r="K116" i="3"/>
  <c r="P116" i="3"/>
  <c r="Q116" i="3" s="1"/>
  <c r="C250" i="3" l="1"/>
  <c r="D249" i="3"/>
  <c r="E249" i="3" s="1"/>
  <c r="I117" i="3"/>
  <c r="L117" i="3" s="1"/>
  <c r="G106" i="3"/>
  <c r="C251" i="3" l="1"/>
  <c r="D250" i="3"/>
  <c r="E250" i="3" s="1"/>
  <c r="H106" i="3"/>
  <c r="F106" i="3"/>
  <c r="C252" i="3" l="1"/>
  <c r="D251" i="3"/>
  <c r="E251" i="3" s="1"/>
  <c r="J106" i="3"/>
  <c r="K117" i="3"/>
  <c r="P117" i="3"/>
  <c r="Q117" i="3" s="1"/>
  <c r="C253" i="3" l="1"/>
  <c r="D252" i="3"/>
  <c r="E252" i="3" s="1"/>
  <c r="I118" i="3"/>
  <c r="L118" i="3" s="1"/>
  <c r="G107" i="3"/>
  <c r="C254" i="3" l="1"/>
  <c r="D253" i="3"/>
  <c r="E253" i="3" s="1"/>
  <c r="H107" i="3"/>
  <c r="F107" i="3"/>
  <c r="C255" i="3" l="1"/>
  <c r="D254" i="3"/>
  <c r="E254" i="3" s="1"/>
  <c r="J107" i="3"/>
  <c r="K118" i="3"/>
  <c r="P118" i="3"/>
  <c r="Q118" i="3" s="1"/>
  <c r="C256" i="3" l="1"/>
  <c r="D255" i="3"/>
  <c r="E255" i="3" s="1"/>
  <c r="I119" i="3"/>
  <c r="L119" i="3" s="1"/>
  <c r="G108" i="3"/>
  <c r="C257" i="3" l="1"/>
  <c r="D256" i="3"/>
  <c r="E256" i="3" s="1"/>
  <c r="H108" i="3"/>
  <c r="F108" i="3"/>
  <c r="C258" i="3" l="1"/>
  <c r="D257" i="3"/>
  <c r="E257" i="3" s="1"/>
  <c r="J108" i="3"/>
  <c r="K119" i="3"/>
  <c r="P119" i="3"/>
  <c r="Q119" i="3" s="1"/>
  <c r="C259" i="3" l="1"/>
  <c r="D258" i="3"/>
  <c r="E258" i="3" s="1"/>
  <c r="I120" i="3"/>
  <c r="L120" i="3" s="1"/>
  <c r="G109" i="3"/>
  <c r="C260" i="3" l="1"/>
  <c r="D259" i="3"/>
  <c r="E259" i="3" s="1"/>
  <c r="H109" i="3"/>
  <c r="F109" i="3"/>
  <c r="C261" i="3" l="1"/>
  <c r="D260" i="3"/>
  <c r="E260" i="3" s="1"/>
  <c r="J109" i="3"/>
  <c r="K120" i="3"/>
  <c r="P120" i="3"/>
  <c r="Q120" i="3" s="1"/>
  <c r="C262" i="3" l="1"/>
  <c r="D261" i="3"/>
  <c r="E261" i="3" s="1"/>
  <c r="I121" i="3"/>
  <c r="L121" i="3" s="1"/>
  <c r="G110" i="3"/>
  <c r="C263" i="3" l="1"/>
  <c r="D262" i="3"/>
  <c r="E262" i="3" s="1"/>
  <c r="H110" i="3"/>
  <c r="F110" i="3"/>
  <c r="C264" i="3" l="1"/>
  <c r="D263" i="3"/>
  <c r="E263" i="3" s="1"/>
  <c r="J110" i="3"/>
  <c r="K121" i="3"/>
  <c r="P121" i="3"/>
  <c r="Q121" i="3" s="1"/>
  <c r="C265" i="3" l="1"/>
  <c r="D264" i="3"/>
  <c r="E264" i="3" s="1"/>
  <c r="I122" i="3"/>
  <c r="L122" i="3" s="1"/>
  <c r="G111" i="3"/>
  <c r="C266" i="3" l="1"/>
  <c r="D265" i="3"/>
  <c r="E265" i="3" s="1"/>
  <c r="H111" i="3"/>
  <c r="F111" i="3"/>
  <c r="C267" i="3" l="1"/>
  <c r="D266" i="3"/>
  <c r="E266" i="3" s="1"/>
  <c r="J111" i="3"/>
  <c r="K122" i="3"/>
  <c r="P122" i="3"/>
  <c r="Q122" i="3" s="1"/>
  <c r="C268" i="3" l="1"/>
  <c r="D267" i="3"/>
  <c r="E267" i="3" s="1"/>
  <c r="I123" i="3"/>
  <c r="L123" i="3" s="1"/>
  <c r="G112" i="3"/>
  <c r="C269" i="3" l="1"/>
  <c r="D268" i="3"/>
  <c r="E268" i="3" s="1"/>
  <c r="H112" i="3"/>
  <c r="F112" i="3"/>
  <c r="C270" i="3" l="1"/>
  <c r="D269" i="3"/>
  <c r="E269" i="3" s="1"/>
  <c r="J112" i="3"/>
  <c r="K123" i="3"/>
  <c r="P123" i="3"/>
  <c r="Q123" i="3" s="1"/>
  <c r="C271" i="3" l="1"/>
  <c r="D270" i="3"/>
  <c r="E270" i="3" s="1"/>
  <c r="I124" i="3"/>
  <c r="L124" i="3" s="1"/>
  <c r="G113" i="3"/>
  <c r="C272" i="3" l="1"/>
  <c r="D271" i="3"/>
  <c r="E271" i="3" s="1"/>
  <c r="H113" i="3"/>
  <c r="F113" i="3"/>
  <c r="C273" i="3" l="1"/>
  <c r="D272" i="3"/>
  <c r="E272" i="3" s="1"/>
  <c r="J113" i="3"/>
  <c r="K124" i="3"/>
  <c r="P124" i="3"/>
  <c r="Q124" i="3" s="1"/>
  <c r="C274" i="3" l="1"/>
  <c r="D273" i="3"/>
  <c r="E273" i="3" s="1"/>
  <c r="I125" i="3"/>
  <c r="L125" i="3" s="1"/>
  <c r="G114" i="3"/>
  <c r="C275" i="3" l="1"/>
  <c r="D274" i="3"/>
  <c r="E274" i="3" s="1"/>
  <c r="H114" i="3"/>
  <c r="F114" i="3"/>
  <c r="C276" i="3" l="1"/>
  <c r="D275" i="3"/>
  <c r="E275" i="3" s="1"/>
  <c r="J114" i="3"/>
  <c r="K125" i="3"/>
  <c r="P125" i="3"/>
  <c r="Q125" i="3" s="1"/>
  <c r="C277" i="3" l="1"/>
  <c r="D276" i="3"/>
  <c r="E276" i="3" s="1"/>
  <c r="I126" i="3"/>
  <c r="L126" i="3" s="1"/>
  <c r="G115" i="3"/>
  <c r="C278" i="3" l="1"/>
  <c r="D277" i="3"/>
  <c r="E277" i="3" s="1"/>
  <c r="H115" i="3"/>
  <c r="F115" i="3"/>
  <c r="C279" i="3" l="1"/>
  <c r="D278" i="3"/>
  <c r="E278" i="3" s="1"/>
  <c r="J115" i="3"/>
  <c r="K126" i="3"/>
  <c r="P126" i="3"/>
  <c r="Q126" i="3" s="1"/>
  <c r="C280" i="3" l="1"/>
  <c r="D279" i="3"/>
  <c r="E279" i="3" s="1"/>
  <c r="I127" i="3"/>
  <c r="L127" i="3" s="1"/>
  <c r="G116" i="3"/>
  <c r="C281" i="3" l="1"/>
  <c r="D280" i="3"/>
  <c r="E280" i="3" s="1"/>
  <c r="H116" i="3"/>
  <c r="F116" i="3"/>
  <c r="C282" i="3" l="1"/>
  <c r="D281" i="3"/>
  <c r="E281" i="3" s="1"/>
  <c r="J116" i="3"/>
  <c r="K127" i="3"/>
  <c r="P127" i="3"/>
  <c r="Q127" i="3" s="1"/>
  <c r="C283" i="3" l="1"/>
  <c r="D282" i="3"/>
  <c r="E282" i="3" s="1"/>
  <c r="I128" i="3"/>
  <c r="L128" i="3" s="1"/>
  <c r="G117" i="3"/>
  <c r="C284" i="3" l="1"/>
  <c r="D283" i="3"/>
  <c r="E283" i="3" s="1"/>
  <c r="H117" i="3"/>
  <c r="F117" i="3"/>
  <c r="C285" i="3" l="1"/>
  <c r="D284" i="3"/>
  <c r="E284" i="3" s="1"/>
  <c r="J117" i="3"/>
  <c r="K128" i="3"/>
  <c r="P128" i="3"/>
  <c r="Q128" i="3" s="1"/>
  <c r="C286" i="3" l="1"/>
  <c r="D285" i="3"/>
  <c r="E285" i="3" s="1"/>
  <c r="I129" i="3"/>
  <c r="L129" i="3" s="1"/>
  <c r="G118" i="3"/>
  <c r="C287" i="3" l="1"/>
  <c r="D286" i="3"/>
  <c r="E286" i="3" s="1"/>
  <c r="H118" i="3"/>
  <c r="F118" i="3"/>
  <c r="C288" i="3" l="1"/>
  <c r="D287" i="3"/>
  <c r="E287" i="3" s="1"/>
  <c r="J118" i="3"/>
  <c r="K129" i="3"/>
  <c r="P129" i="3"/>
  <c r="Q129" i="3" s="1"/>
  <c r="C289" i="3" l="1"/>
  <c r="D288" i="3"/>
  <c r="E288" i="3" s="1"/>
  <c r="I130" i="3"/>
  <c r="L130" i="3" s="1"/>
  <c r="G119" i="3"/>
  <c r="C290" i="3" l="1"/>
  <c r="D289" i="3"/>
  <c r="E289" i="3" s="1"/>
  <c r="H119" i="3"/>
  <c r="F119" i="3"/>
  <c r="C291" i="3" l="1"/>
  <c r="D290" i="3"/>
  <c r="E290" i="3" s="1"/>
  <c r="J119" i="3"/>
  <c r="K130" i="3"/>
  <c r="P130" i="3"/>
  <c r="Q130" i="3" s="1"/>
  <c r="C292" i="3" l="1"/>
  <c r="D291" i="3"/>
  <c r="E291" i="3" s="1"/>
  <c r="I131" i="3"/>
  <c r="L131" i="3" s="1"/>
  <c r="G120" i="3"/>
  <c r="C293" i="3" l="1"/>
  <c r="D292" i="3"/>
  <c r="E292" i="3" s="1"/>
  <c r="H120" i="3"/>
  <c r="F120" i="3"/>
  <c r="C294" i="3" l="1"/>
  <c r="D293" i="3"/>
  <c r="E293" i="3" s="1"/>
  <c r="J120" i="3"/>
  <c r="K131" i="3"/>
  <c r="P131" i="3"/>
  <c r="Q131" i="3" s="1"/>
  <c r="C295" i="3" l="1"/>
  <c r="D294" i="3"/>
  <c r="E294" i="3" s="1"/>
  <c r="I132" i="3"/>
  <c r="L132" i="3" s="1"/>
  <c r="G121" i="3"/>
  <c r="C296" i="3" l="1"/>
  <c r="D295" i="3"/>
  <c r="E295" i="3" s="1"/>
  <c r="H121" i="3"/>
  <c r="F121" i="3"/>
  <c r="C297" i="3" l="1"/>
  <c r="D296" i="3"/>
  <c r="E296" i="3" s="1"/>
  <c r="J121" i="3"/>
  <c r="K132" i="3"/>
  <c r="P132" i="3"/>
  <c r="Q132" i="3" s="1"/>
  <c r="C298" i="3" l="1"/>
  <c r="D297" i="3"/>
  <c r="E297" i="3" s="1"/>
  <c r="I133" i="3"/>
  <c r="L133" i="3" s="1"/>
  <c r="G122" i="3"/>
  <c r="C299" i="3" l="1"/>
  <c r="D298" i="3"/>
  <c r="E298" i="3" s="1"/>
  <c r="H122" i="3"/>
  <c r="F122" i="3"/>
  <c r="C300" i="3" l="1"/>
  <c r="D299" i="3"/>
  <c r="E299" i="3" s="1"/>
  <c r="J122" i="3"/>
  <c r="K133" i="3"/>
  <c r="P133" i="3"/>
  <c r="Q133" i="3" s="1"/>
  <c r="C301" i="3" l="1"/>
  <c r="D300" i="3"/>
  <c r="E300" i="3" s="1"/>
  <c r="I134" i="3"/>
  <c r="L134" i="3" s="1"/>
  <c r="G123" i="3"/>
  <c r="C302" i="3" l="1"/>
  <c r="D301" i="3"/>
  <c r="E301" i="3" s="1"/>
  <c r="H123" i="3"/>
  <c r="F123" i="3"/>
  <c r="C303" i="3" l="1"/>
  <c r="D302" i="3"/>
  <c r="E302" i="3" s="1"/>
  <c r="J123" i="3"/>
  <c r="K134" i="3"/>
  <c r="P134" i="3"/>
  <c r="Q134" i="3" s="1"/>
  <c r="C304" i="3" l="1"/>
  <c r="D303" i="3"/>
  <c r="E303" i="3" s="1"/>
  <c r="I135" i="3"/>
  <c r="L135" i="3" s="1"/>
  <c r="G124" i="3"/>
  <c r="C305" i="3" l="1"/>
  <c r="D304" i="3"/>
  <c r="E304" i="3" s="1"/>
  <c r="H124" i="3"/>
  <c r="F124" i="3"/>
  <c r="C306" i="3" l="1"/>
  <c r="D305" i="3"/>
  <c r="E305" i="3" s="1"/>
  <c r="J124" i="3"/>
  <c r="K135" i="3"/>
  <c r="P135" i="3"/>
  <c r="Q135" i="3" s="1"/>
  <c r="C307" i="3" l="1"/>
  <c r="D306" i="3"/>
  <c r="E306" i="3" s="1"/>
  <c r="I136" i="3"/>
  <c r="L136" i="3" s="1"/>
  <c r="G125" i="3"/>
  <c r="C308" i="3" l="1"/>
  <c r="D307" i="3"/>
  <c r="E307" i="3" s="1"/>
  <c r="H125" i="3"/>
  <c r="F125" i="3"/>
  <c r="C309" i="3" l="1"/>
  <c r="D308" i="3"/>
  <c r="E308" i="3" s="1"/>
  <c r="J125" i="3"/>
  <c r="K136" i="3"/>
  <c r="P136" i="3"/>
  <c r="Q136" i="3" s="1"/>
  <c r="C310" i="3" l="1"/>
  <c r="D309" i="3"/>
  <c r="E309" i="3" s="1"/>
  <c r="I137" i="3"/>
  <c r="L137" i="3" s="1"/>
  <c r="G126" i="3"/>
  <c r="C311" i="3" l="1"/>
  <c r="D310" i="3"/>
  <c r="E310" i="3" s="1"/>
  <c r="H126" i="3"/>
  <c r="F126" i="3"/>
  <c r="C312" i="3" l="1"/>
  <c r="D311" i="3"/>
  <c r="E311" i="3" s="1"/>
  <c r="J126" i="3"/>
  <c r="K137" i="3"/>
  <c r="P137" i="3"/>
  <c r="Q137" i="3" s="1"/>
  <c r="C313" i="3" l="1"/>
  <c r="D312" i="3"/>
  <c r="E312" i="3" s="1"/>
  <c r="I138" i="3"/>
  <c r="L138" i="3" s="1"/>
  <c r="G127" i="3"/>
  <c r="C314" i="3" l="1"/>
  <c r="D313" i="3"/>
  <c r="E313" i="3" s="1"/>
  <c r="H127" i="3"/>
  <c r="F127" i="3"/>
  <c r="C315" i="3" l="1"/>
  <c r="D314" i="3"/>
  <c r="E314" i="3" s="1"/>
  <c r="J127" i="3"/>
  <c r="K138" i="3"/>
  <c r="P138" i="3"/>
  <c r="Q138" i="3" s="1"/>
  <c r="C316" i="3" l="1"/>
  <c r="D315" i="3"/>
  <c r="E315" i="3" s="1"/>
  <c r="I139" i="3"/>
  <c r="L139" i="3" s="1"/>
  <c r="G128" i="3"/>
  <c r="C317" i="3" l="1"/>
  <c r="D316" i="3"/>
  <c r="E316" i="3" s="1"/>
  <c r="H128" i="3"/>
  <c r="F128" i="3"/>
  <c r="C318" i="3" l="1"/>
  <c r="D317" i="3"/>
  <c r="E317" i="3" s="1"/>
  <c r="J128" i="3"/>
  <c r="K139" i="3"/>
  <c r="P139" i="3"/>
  <c r="Q139" i="3" s="1"/>
  <c r="C319" i="3" l="1"/>
  <c r="D318" i="3"/>
  <c r="E318" i="3" s="1"/>
  <c r="I140" i="3"/>
  <c r="L140" i="3" s="1"/>
  <c r="G129" i="3"/>
  <c r="C320" i="3" l="1"/>
  <c r="D319" i="3"/>
  <c r="E319" i="3" s="1"/>
  <c r="H129" i="3"/>
  <c r="F129" i="3"/>
  <c r="C321" i="3" l="1"/>
  <c r="D320" i="3"/>
  <c r="E320" i="3" s="1"/>
  <c r="J129" i="3"/>
  <c r="K140" i="3"/>
  <c r="P140" i="3"/>
  <c r="Q140" i="3" s="1"/>
  <c r="C322" i="3" l="1"/>
  <c r="D321" i="3"/>
  <c r="E321" i="3" s="1"/>
  <c r="I141" i="3"/>
  <c r="L141" i="3" s="1"/>
  <c r="G130" i="3"/>
  <c r="C323" i="3" l="1"/>
  <c r="D322" i="3"/>
  <c r="E322" i="3" s="1"/>
  <c r="H130" i="3"/>
  <c r="F130" i="3"/>
  <c r="C324" i="3" l="1"/>
  <c r="D323" i="3"/>
  <c r="E323" i="3" s="1"/>
  <c r="J130" i="3"/>
  <c r="K141" i="3"/>
  <c r="P141" i="3"/>
  <c r="Q141" i="3" s="1"/>
  <c r="C325" i="3" l="1"/>
  <c r="D324" i="3"/>
  <c r="E324" i="3" s="1"/>
  <c r="I142" i="3"/>
  <c r="L142" i="3" s="1"/>
  <c r="G131" i="3"/>
  <c r="C326" i="3" l="1"/>
  <c r="D325" i="3"/>
  <c r="E325" i="3" s="1"/>
  <c r="H131" i="3"/>
  <c r="F131" i="3"/>
  <c r="C327" i="3" l="1"/>
  <c r="D326" i="3"/>
  <c r="E326" i="3" s="1"/>
  <c r="J131" i="3"/>
  <c r="K142" i="3"/>
  <c r="P142" i="3"/>
  <c r="Q142" i="3" s="1"/>
  <c r="C328" i="3" l="1"/>
  <c r="D327" i="3"/>
  <c r="E327" i="3" s="1"/>
  <c r="I143" i="3"/>
  <c r="L143" i="3" s="1"/>
  <c r="G132" i="3"/>
  <c r="C329" i="3" l="1"/>
  <c r="D328" i="3"/>
  <c r="E328" i="3" s="1"/>
  <c r="H132" i="3"/>
  <c r="F132" i="3"/>
  <c r="C330" i="3" l="1"/>
  <c r="D329" i="3"/>
  <c r="E329" i="3" s="1"/>
  <c r="J132" i="3"/>
  <c r="K143" i="3"/>
  <c r="P143" i="3"/>
  <c r="Q143" i="3" s="1"/>
  <c r="C331" i="3" l="1"/>
  <c r="D330" i="3"/>
  <c r="E330" i="3" s="1"/>
  <c r="I144" i="3"/>
  <c r="L144" i="3" s="1"/>
  <c r="G133" i="3"/>
  <c r="C332" i="3" l="1"/>
  <c r="D331" i="3"/>
  <c r="E331" i="3" s="1"/>
  <c r="H133" i="3"/>
  <c r="F133" i="3"/>
  <c r="C333" i="3" l="1"/>
  <c r="D332" i="3"/>
  <c r="E332" i="3" s="1"/>
  <c r="J133" i="3"/>
  <c r="K144" i="3"/>
  <c r="P144" i="3"/>
  <c r="Q144" i="3" s="1"/>
  <c r="C334" i="3" l="1"/>
  <c r="D333" i="3"/>
  <c r="E333" i="3" s="1"/>
  <c r="I145" i="3"/>
  <c r="L145" i="3" s="1"/>
  <c r="G134" i="3"/>
  <c r="C335" i="3" l="1"/>
  <c r="D334" i="3"/>
  <c r="E334" i="3" s="1"/>
  <c r="H134" i="3"/>
  <c r="F134" i="3"/>
  <c r="C336" i="3" l="1"/>
  <c r="D335" i="3"/>
  <c r="E335" i="3" s="1"/>
  <c r="J134" i="3"/>
  <c r="K145" i="3"/>
  <c r="P145" i="3"/>
  <c r="Q145" i="3" s="1"/>
  <c r="C337" i="3" l="1"/>
  <c r="D336" i="3"/>
  <c r="E336" i="3" s="1"/>
  <c r="I146" i="3"/>
  <c r="L146" i="3" s="1"/>
  <c r="G135" i="3"/>
  <c r="C338" i="3" l="1"/>
  <c r="D337" i="3"/>
  <c r="E337" i="3" s="1"/>
  <c r="H135" i="3"/>
  <c r="F135" i="3"/>
  <c r="C339" i="3" l="1"/>
  <c r="D338" i="3"/>
  <c r="E338" i="3" s="1"/>
  <c r="J135" i="3"/>
  <c r="K146" i="3"/>
  <c r="P146" i="3"/>
  <c r="Q146" i="3" s="1"/>
  <c r="C340" i="3" l="1"/>
  <c r="D339" i="3"/>
  <c r="E339" i="3" s="1"/>
  <c r="I147" i="3"/>
  <c r="L147" i="3" s="1"/>
  <c r="G136" i="3"/>
  <c r="C341" i="3" l="1"/>
  <c r="D340" i="3"/>
  <c r="E340" i="3" s="1"/>
  <c r="H136" i="3"/>
  <c r="F136" i="3"/>
  <c r="C342" i="3" l="1"/>
  <c r="D341" i="3"/>
  <c r="E341" i="3" s="1"/>
  <c r="J136" i="3"/>
  <c r="K147" i="3"/>
  <c r="P147" i="3"/>
  <c r="Q147" i="3" s="1"/>
  <c r="C343" i="3" l="1"/>
  <c r="D342" i="3"/>
  <c r="E342" i="3" s="1"/>
  <c r="I148" i="3"/>
  <c r="L148" i="3" s="1"/>
  <c r="G137" i="3"/>
  <c r="C344" i="3" l="1"/>
  <c r="D343" i="3"/>
  <c r="E343" i="3" s="1"/>
  <c r="H137" i="3"/>
  <c r="F137" i="3"/>
  <c r="C345" i="3" l="1"/>
  <c r="D344" i="3"/>
  <c r="E344" i="3" s="1"/>
  <c r="J137" i="3"/>
  <c r="K148" i="3"/>
  <c r="P148" i="3"/>
  <c r="Q148" i="3" s="1"/>
  <c r="C346" i="3" l="1"/>
  <c r="D345" i="3"/>
  <c r="E345" i="3" s="1"/>
  <c r="I149" i="3"/>
  <c r="L149" i="3" s="1"/>
  <c r="G138" i="3"/>
  <c r="C347" i="3" l="1"/>
  <c r="D346" i="3"/>
  <c r="E346" i="3" s="1"/>
  <c r="H138" i="3"/>
  <c r="F138" i="3"/>
  <c r="C348" i="3" l="1"/>
  <c r="D347" i="3"/>
  <c r="E347" i="3" s="1"/>
  <c r="J138" i="3"/>
  <c r="K149" i="3"/>
  <c r="P149" i="3"/>
  <c r="Q149" i="3" s="1"/>
  <c r="C349" i="3" l="1"/>
  <c r="D348" i="3"/>
  <c r="E348" i="3" s="1"/>
  <c r="I150" i="3"/>
  <c r="L150" i="3" s="1"/>
  <c r="G139" i="3"/>
  <c r="C350" i="3" l="1"/>
  <c r="D349" i="3"/>
  <c r="E349" i="3" s="1"/>
  <c r="H139" i="3"/>
  <c r="F139" i="3"/>
  <c r="C351" i="3" l="1"/>
  <c r="D350" i="3"/>
  <c r="E350" i="3" s="1"/>
  <c r="J139" i="3"/>
  <c r="K150" i="3"/>
  <c r="P150" i="3"/>
  <c r="Q150" i="3" s="1"/>
  <c r="C352" i="3" l="1"/>
  <c r="D351" i="3"/>
  <c r="E351" i="3" s="1"/>
  <c r="I151" i="3"/>
  <c r="L151" i="3" s="1"/>
  <c r="G140" i="3"/>
  <c r="C353" i="3" l="1"/>
  <c r="D352" i="3"/>
  <c r="E352" i="3" s="1"/>
  <c r="H140" i="3"/>
  <c r="F140" i="3"/>
  <c r="C354" i="3" l="1"/>
  <c r="D353" i="3"/>
  <c r="E353" i="3" s="1"/>
  <c r="J140" i="3"/>
  <c r="K151" i="3"/>
  <c r="P151" i="3"/>
  <c r="Q151" i="3" s="1"/>
  <c r="C355" i="3" l="1"/>
  <c r="D354" i="3"/>
  <c r="E354" i="3" s="1"/>
  <c r="I152" i="3"/>
  <c r="L152" i="3" s="1"/>
  <c r="G141" i="3"/>
  <c r="C356" i="3" l="1"/>
  <c r="D355" i="3"/>
  <c r="E355" i="3" s="1"/>
  <c r="H141" i="3"/>
  <c r="F141" i="3"/>
  <c r="C357" i="3" l="1"/>
  <c r="D356" i="3"/>
  <c r="E356" i="3" s="1"/>
  <c r="J141" i="3"/>
  <c r="K152" i="3"/>
  <c r="P152" i="3"/>
  <c r="Q152" i="3" s="1"/>
  <c r="C358" i="3" l="1"/>
  <c r="D357" i="3"/>
  <c r="E357" i="3" s="1"/>
  <c r="I153" i="3"/>
  <c r="L153" i="3" s="1"/>
  <c r="G142" i="3"/>
  <c r="C359" i="3" l="1"/>
  <c r="D358" i="3"/>
  <c r="E358" i="3" s="1"/>
  <c r="H142" i="3"/>
  <c r="F142" i="3"/>
  <c r="C360" i="3" l="1"/>
  <c r="D359" i="3"/>
  <c r="E359" i="3" s="1"/>
  <c r="J142" i="3"/>
  <c r="K153" i="3"/>
  <c r="P153" i="3"/>
  <c r="Q153" i="3" s="1"/>
  <c r="C361" i="3" l="1"/>
  <c r="D360" i="3"/>
  <c r="E360" i="3" s="1"/>
  <c r="I154" i="3"/>
  <c r="L154" i="3" s="1"/>
  <c r="G143" i="3"/>
  <c r="C362" i="3" l="1"/>
  <c r="D361" i="3"/>
  <c r="E361" i="3" s="1"/>
  <c r="H143" i="3"/>
  <c r="F143" i="3"/>
  <c r="C363" i="3" l="1"/>
  <c r="D362" i="3"/>
  <c r="E362" i="3" s="1"/>
  <c r="J143" i="3"/>
  <c r="K154" i="3"/>
  <c r="P154" i="3"/>
  <c r="Q154" i="3" s="1"/>
  <c r="C364" i="3" l="1"/>
  <c r="D363" i="3"/>
  <c r="E363" i="3" s="1"/>
  <c r="I155" i="3"/>
  <c r="L155" i="3" s="1"/>
  <c r="G144" i="3"/>
  <c r="C365" i="3" l="1"/>
  <c r="D364" i="3"/>
  <c r="E364" i="3" s="1"/>
  <c r="H144" i="3"/>
  <c r="F144" i="3"/>
  <c r="C366" i="3" l="1"/>
  <c r="D365" i="3"/>
  <c r="E365" i="3" s="1"/>
  <c r="J144" i="3"/>
  <c r="K155" i="3"/>
  <c r="P155" i="3"/>
  <c r="Q155" i="3" s="1"/>
  <c r="C367" i="3" l="1"/>
  <c r="D366" i="3"/>
  <c r="E366" i="3" s="1"/>
  <c r="I156" i="3"/>
  <c r="L156" i="3" s="1"/>
  <c r="G145" i="3"/>
  <c r="C368" i="3" l="1"/>
  <c r="D367" i="3"/>
  <c r="E367" i="3" s="1"/>
  <c r="H145" i="3"/>
  <c r="F145" i="3"/>
  <c r="C369" i="3" l="1"/>
  <c r="D368" i="3"/>
  <c r="E368" i="3" s="1"/>
  <c r="J145" i="3"/>
  <c r="K156" i="3"/>
  <c r="P156" i="3"/>
  <c r="Q156" i="3" s="1"/>
  <c r="C370" i="3" l="1"/>
  <c r="D369" i="3"/>
  <c r="E369" i="3" s="1"/>
  <c r="I157" i="3"/>
  <c r="L157" i="3" s="1"/>
  <c r="G146" i="3"/>
  <c r="C371" i="3" l="1"/>
  <c r="D370" i="3"/>
  <c r="E370" i="3" s="1"/>
  <c r="H146" i="3"/>
  <c r="F146" i="3"/>
  <c r="C372" i="3" l="1"/>
  <c r="D371" i="3"/>
  <c r="E371" i="3" s="1"/>
  <c r="J146" i="3"/>
  <c r="K157" i="3"/>
  <c r="P157" i="3"/>
  <c r="Q157" i="3" s="1"/>
  <c r="C373" i="3" l="1"/>
  <c r="D372" i="3"/>
  <c r="E372" i="3" s="1"/>
  <c r="I158" i="3"/>
  <c r="L158" i="3" s="1"/>
  <c r="G147" i="3"/>
  <c r="C374" i="3" l="1"/>
  <c r="D373" i="3"/>
  <c r="E373" i="3" s="1"/>
  <c r="H147" i="3"/>
  <c r="F147" i="3"/>
  <c r="C375" i="3" l="1"/>
  <c r="D374" i="3"/>
  <c r="E374" i="3" s="1"/>
  <c r="J147" i="3"/>
  <c r="K158" i="3"/>
  <c r="P158" i="3"/>
  <c r="Q158" i="3" s="1"/>
  <c r="C376" i="3" l="1"/>
  <c r="D375" i="3"/>
  <c r="E375" i="3" s="1"/>
  <c r="I159" i="3"/>
  <c r="L159" i="3" s="1"/>
  <c r="G148" i="3"/>
  <c r="C377" i="3" l="1"/>
  <c r="D376" i="3"/>
  <c r="E376" i="3" s="1"/>
  <c r="H148" i="3"/>
  <c r="F148" i="3"/>
  <c r="C378" i="3" l="1"/>
  <c r="D377" i="3"/>
  <c r="E377" i="3" s="1"/>
  <c r="J148" i="3"/>
  <c r="K159" i="3"/>
  <c r="P159" i="3"/>
  <c r="Q159" i="3" s="1"/>
  <c r="C379" i="3" l="1"/>
  <c r="D378" i="3"/>
  <c r="E378" i="3" s="1"/>
  <c r="I160" i="3"/>
  <c r="L160" i="3" s="1"/>
  <c r="G149" i="3"/>
  <c r="C380" i="3" l="1"/>
  <c r="D379" i="3"/>
  <c r="E379" i="3" s="1"/>
  <c r="H149" i="3"/>
  <c r="F149" i="3"/>
  <c r="C381" i="3" l="1"/>
  <c r="D380" i="3"/>
  <c r="E380" i="3" s="1"/>
  <c r="J149" i="3"/>
  <c r="K160" i="3"/>
  <c r="P160" i="3"/>
  <c r="Q160" i="3" s="1"/>
  <c r="C382" i="3" l="1"/>
  <c r="D381" i="3"/>
  <c r="E381" i="3" s="1"/>
  <c r="I161" i="3"/>
  <c r="L161" i="3" s="1"/>
  <c r="G150" i="3"/>
  <c r="C383" i="3" l="1"/>
  <c r="D382" i="3"/>
  <c r="E382" i="3" s="1"/>
  <c r="H150" i="3"/>
  <c r="F150" i="3"/>
  <c r="C384" i="3" l="1"/>
  <c r="D383" i="3"/>
  <c r="E383" i="3" s="1"/>
  <c r="J150" i="3"/>
  <c r="K161" i="3"/>
  <c r="P161" i="3"/>
  <c r="Q161" i="3" s="1"/>
  <c r="C385" i="3" l="1"/>
  <c r="D384" i="3"/>
  <c r="E384" i="3" s="1"/>
  <c r="G151" i="3"/>
  <c r="I162" i="3"/>
  <c r="L162" i="3" s="1"/>
  <c r="C386" i="3" l="1"/>
  <c r="D385" i="3"/>
  <c r="E385" i="3" s="1"/>
  <c r="H151" i="3"/>
  <c r="F151" i="3"/>
  <c r="C387" i="3" l="1"/>
  <c r="D386" i="3"/>
  <c r="E386" i="3" s="1"/>
  <c r="J151" i="3"/>
  <c r="K162" i="3"/>
  <c r="P162" i="3"/>
  <c r="Q162" i="3" s="1"/>
  <c r="C388" i="3" l="1"/>
  <c r="D387" i="3"/>
  <c r="E387" i="3" s="1"/>
  <c r="I163" i="3"/>
  <c r="L163" i="3" s="1"/>
  <c r="G152" i="3"/>
  <c r="C389" i="3" l="1"/>
  <c r="D388" i="3"/>
  <c r="E388" i="3" s="1"/>
  <c r="H152" i="3"/>
  <c r="F152" i="3"/>
  <c r="C390" i="3" l="1"/>
  <c r="D389" i="3"/>
  <c r="E389" i="3" s="1"/>
  <c r="J152" i="3"/>
  <c r="K163" i="3"/>
  <c r="P163" i="3"/>
  <c r="Q163" i="3" s="1"/>
  <c r="C391" i="3" l="1"/>
  <c r="D390" i="3"/>
  <c r="E390" i="3" s="1"/>
  <c r="I164" i="3"/>
  <c r="L164" i="3" s="1"/>
  <c r="G153" i="3"/>
  <c r="C392" i="3" l="1"/>
  <c r="D391" i="3"/>
  <c r="E391" i="3" s="1"/>
  <c r="H153" i="3"/>
  <c r="F153" i="3"/>
  <c r="C393" i="3" l="1"/>
  <c r="D392" i="3"/>
  <c r="E392" i="3" s="1"/>
  <c r="J153" i="3"/>
  <c r="K164" i="3"/>
  <c r="P164" i="3"/>
  <c r="Q164" i="3" s="1"/>
  <c r="C394" i="3" l="1"/>
  <c r="D393" i="3"/>
  <c r="E393" i="3" s="1"/>
  <c r="I165" i="3"/>
  <c r="L165" i="3" s="1"/>
  <c r="G154" i="3"/>
  <c r="C395" i="3" l="1"/>
  <c r="D394" i="3"/>
  <c r="E394" i="3" s="1"/>
  <c r="H154" i="3"/>
  <c r="F154" i="3"/>
  <c r="C396" i="3" l="1"/>
  <c r="D395" i="3"/>
  <c r="E395" i="3" s="1"/>
  <c r="J154" i="3"/>
  <c r="K165" i="3"/>
  <c r="P165" i="3"/>
  <c r="Q165" i="3" s="1"/>
  <c r="C397" i="3" l="1"/>
  <c r="D396" i="3"/>
  <c r="E396" i="3" s="1"/>
  <c r="I166" i="3"/>
  <c r="L166" i="3" s="1"/>
  <c r="G155" i="3"/>
  <c r="C398" i="3" l="1"/>
  <c r="D397" i="3"/>
  <c r="E397" i="3" s="1"/>
  <c r="H155" i="3"/>
  <c r="F155" i="3"/>
  <c r="C399" i="3" l="1"/>
  <c r="D398" i="3"/>
  <c r="E398" i="3" s="1"/>
  <c r="J155" i="3"/>
  <c r="K166" i="3"/>
  <c r="P166" i="3"/>
  <c r="Q166" i="3" s="1"/>
  <c r="C400" i="3" l="1"/>
  <c r="D399" i="3"/>
  <c r="E399" i="3" s="1"/>
  <c r="I167" i="3"/>
  <c r="L167" i="3" s="1"/>
  <c r="G156" i="3"/>
  <c r="C401" i="3" l="1"/>
  <c r="D400" i="3"/>
  <c r="E400" i="3" s="1"/>
  <c r="H156" i="3"/>
  <c r="F156" i="3"/>
  <c r="C402" i="3" l="1"/>
  <c r="D401" i="3"/>
  <c r="E401" i="3" s="1"/>
  <c r="J156" i="3"/>
  <c r="K167" i="3"/>
  <c r="P167" i="3"/>
  <c r="Q167" i="3" s="1"/>
  <c r="C403" i="3" l="1"/>
  <c r="D402" i="3"/>
  <c r="E402" i="3" s="1"/>
  <c r="I168" i="3"/>
  <c r="L168" i="3" s="1"/>
  <c r="G157" i="3"/>
  <c r="C404" i="3" l="1"/>
  <c r="D403" i="3"/>
  <c r="E403" i="3" s="1"/>
  <c r="H157" i="3"/>
  <c r="F157" i="3"/>
  <c r="C405" i="3" l="1"/>
  <c r="D404" i="3"/>
  <c r="E404" i="3" s="1"/>
  <c r="J157" i="3"/>
  <c r="K168" i="3"/>
  <c r="P168" i="3"/>
  <c r="Q168" i="3" s="1"/>
  <c r="C406" i="3" l="1"/>
  <c r="D405" i="3"/>
  <c r="E405" i="3" s="1"/>
  <c r="I169" i="3"/>
  <c r="L169" i="3" s="1"/>
  <c r="G158" i="3"/>
  <c r="C407" i="3" l="1"/>
  <c r="D406" i="3"/>
  <c r="E406" i="3" s="1"/>
  <c r="H158" i="3"/>
  <c r="F158" i="3"/>
  <c r="C408" i="3" l="1"/>
  <c r="D407" i="3"/>
  <c r="E407" i="3" s="1"/>
  <c r="J158" i="3"/>
  <c r="K169" i="3"/>
  <c r="P169" i="3"/>
  <c r="Q169" i="3" s="1"/>
  <c r="C409" i="3" l="1"/>
  <c r="D408" i="3"/>
  <c r="E408" i="3" s="1"/>
  <c r="I170" i="3"/>
  <c r="L170" i="3" s="1"/>
  <c r="G159" i="3"/>
  <c r="C410" i="3" l="1"/>
  <c r="D409" i="3"/>
  <c r="E409" i="3" s="1"/>
  <c r="H159" i="3"/>
  <c r="F159" i="3"/>
  <c r="C411" i="3" l="1"/>
  <c r="D410" i="3"/>
  <c r="E410" i="3" s="1"/>
  <c r="J159" i="3"/>
  <c r="K170" i="3"/>
  <c r="P170" i="3"/>
  <c r="Q170" i="3" s="1"/>
  <c r="C412" i="3" l="1"/>
  <c r="D411" i="3"/>
  <c r="E411" i="3" s="1"/>
  <c r="I171" i="3"/>
  <c r="L171" i="3" s="1"/>
  <c r="G160" i="3"/>
  <c r="C413" i="3" l="1"/>
  <c r="D412" i="3"/>
  <c r="E412" i="3" s="1"/>
  <c r="H160" i="3"/>
  <c r="F160" i="3"/>
  <c r="C414" i="3" l="1"/>
  <c r="D413" i="3"/>
  <c r="E413" i="3" s="1"/>
  <c r="J160" i="3"/>
  <c r="K171" i="3"/>
  <c r="P171" i="3"/>
  <c r="Q171" i="3" s="1"/>
  <c r="C415" i="3" l="1"/>
  <c r="D414" i="3"/>
  <c r="E414" i="3" s="1"/>
  <c r="I172" i="3"/>
  <c r="L172" i="3" s="1"/>
  <c r="G161" i="3"/>
  <c r="C416" i="3" l="1"/>
  <c r="D415" i="3"/>
  <c r="E415" i="3" s="1"/>
  <c r="H161" i="3"/>
  <c r="F161" i="3"/>
  <c r="C417" i="3" l="1"/>
  <c r="D416" i="3"/>
  <c r="E416" i="3" s="1"/>
  <c r="J161" i="3"/>
  <c r="K172" i="3"/>
  <c r="P172" i="3"/>
  <c r="Q172" i="3" s="1"/>
  <c r="C418" i="3" l="1"/>
  <c r="D417" i="3"/>
  <c r="E417" i="3" s="1"/>
  <c r="I173" i="3"/>
  <c r="L173" i="3" s="1"/>
  <c r="G162" i="3"/>
  <c r="C419" i="3" l="1"/>
  <c r="D418" i="3"/>
  <c r="E418" i="3" s="1"/>
  <c r="H162" i="3"/>
  <c r="F162" i="3"/>
  <c r="C420" i="3" l="1"/>
  <c r="D419" i="3"/>
  <c r="E419" i="3" s="1"/>
  <c r="J162" i="3"/>
  <c r="K173" i="3"/>
  <c r="P173" i="3"/>
  <c r="Q173" i="3" s="1"/>
  <c r="C421" i="3" l="1"/>
  <c r="D420" i="3"/>
  <c r="E420" i="3" s="1"/>
  <c r="I174" i="3"/>
  <c r="L174" i="3" s="1"/>
  <c r="G163" i="3"/>
  <c r="C422" i="3" l="1"/>
  <c r="D421" i="3"/>
  <c r="E421" i="3" s="1"/>
  <c r="H163" i="3"/>
  <c r="F163" i="3"/>
  <c r="C423" i="3" l="1"/>
  <c r="D422" i="3"/>
  <c r="E422" i="3" s="1"/>
  <c r="J163" i="3"/>
  <c r="K174" i="3"/>
  <c r="P174" i="3"/>
  <c r="Q174" i="3" s="1"/>
  <c r="C424" i="3" l="1"/>
  <c r="D423" i="3"/>
  <c r="E423" i="3" s="1"/>
  <c r="I175" i="3"/>
  <c r="L175" i="3" s="1"/>
  <c r="G164" i="3"/>
  <c r="C425" i="3" l="1"/>
  <c r="D424" i="3"/>
  <c r="E424" i="3" s="1"/>
  <c r="H164" i="3"/>
  <c r="F164" i="3"/>
  <c r="C426" i="3" l="1"/>
  <c r="D425" i="3"/>
  <c r="E425" i="3" s="1"/>
  <c r="J164" i="3"/>
  <c r="K175" i="3"/>
  <c r="P175" i="3"/>
  <c r="Q175" i="3" s="1"/>
  <c r="C427" i="3" l="1"/>
  <c r="D426" i="3"/>
  <c r="E426" i="3" s="1"/>
  <c r="I176" i="3"/>
  <c r="L176" i="3" s="1"/>
  <c r="G165" i="3"/>
  <c r="C428" i="3" l="1"/>
  <c r="D427" i="3"/>
  <c r="E427" i="3" s="1"/>
  <c r="H165" i="3"/>
  <c r="F165" i="3"/>
  <c r="C429" i="3" l="1"/>
  <c r="D428" i="3"/>
  <c r="E428" i="3" s="1"/>
  <c r="J165" i="3"/>
  <c r="K176" i="3"/>
  <c r="P176" i="3"/>
  <c r="Q176" i="3" s="1"/>
  <c r="C430" i="3" l="1"/>
  <c r="D429" i="3"/>
  <c r="E429" i="3" s="1"/>
  <c r="I177" i="3"/>
  <c r="L177" i="3" s="1"/>
  <c r="G166" i="3"/>
  <c r="C431" i="3" l="1"/>
  <c r="D430" i="3"/>
  <c r="E430" i="3" s="1"/>
  <c r="H166" i="3"/>
  <c r="F166" i="3"/>
  <c r="C432" i="3" l="1"/>
  <c r="D431" i="3"/>
  <c r="E431" i="3" s="1"/>
  <c r="J166" i="3"/>
  <c r="K177" i="3"/>
  <c r="P177" i="3"/>
  <c r="Q177" i="3" s="1"/>
  <c r="C433" i="3" l="1"/>
  <c r="D432" i="3"/>
  <c r="E432" i="3" s="1"/>
  <c r="I178" i="3"/>
  <c r="L178" i="3" s="1"/>
  <c r="G167" i="3"/>
  <c r="C434" i="3" l="1"/>
  <c r="D433" i="3"/>
  <c r="E433" i="3" s="1"/>
  <c r="H167" i="3"/>
  <c r="F167" i="3"/>
  <c r="C435" i="3" l="1"/>
  <c r="D434" i="3"/>
  <c r="E434" i="3" s="1"/>
  <c r="J167" i="3"/>
  <c r="K178" i="3"/>
  <c r="P178" i="3"/>
  <c r="Q178" i="3" s="1"/>
  <c r="C436" i="3" l="1"/>
  <c r="D435" i="3"/>
  <c r="E435" i="3" s="1"/>
  <c r="I179" i="3"/>
  <c r="L179" i="3" s="1"/>
  <c r="G168" i="3"/>
  <c r="C437" i="3" l="1"/>
  <c r="D436" i="3"/>
  <c r="E436" i="3" s="1"/>
  <c r="H168" i="3"/>
  <c r="F168" i="3"/>
  <c r="C438" i="3" l="1"/>
  <c r="D437" i="3"/>
  <c r="E437" i="3" s="1"/>
  <c r="J168" i="3"/>
  <c r="K179" i="3"/>
  <c r="P179" i="3"/>
  <c r="Q179" i="3" s="1"/>
  <c r="C439" i="3" l="1"/>
  <c r="D438" i="3"/>
  <c r="E438" i="3" s="1"/>
  <c r="I180" i="3"/>
  <c r="L180" i="3" s="1"/>
  <c r="G169" i="3"/>
  <c r="C440" i="3" l="1"/>
  <c r="D439" i="3"/>
  <c r="E439" i="3" s="1"/>
  <c r="H169" i="3"/>
  <c r="F169" i="3"/>
  <c r="C441" i="3" l="1"/>
  <c r="D440" i="3"/>
  <c r="E440" i="3" s="1"/>
  <c r="J169" i="3"/>
  <c r="K180" i="3"/>
  <c r="P180" i="3"/>
  <c r="Q180" i="3" s="1"/>
  <c r="C442" i="3" l="1"/>
  <c r="D441" i="3"/>
  <c r="E441" i="3" s="1"/>
  <c r="I181" i="3"/>
  <c r="L181" i="3" s="1"/>
  <c r="G170" i="3"/>
  <c r="C443" i="3" l="1"/>
  <c r="D442" i="3"/>
  <c r="E442" i="3" s="1"/>
  <c r="H170" i="3"/>
  <c r="F170" i="3"/>
  <c r="C444" i="3" l="1"/>
  <c r="D443" i="3"/>
  <c r="E443" i="3" s="1"/>
  <c r="J170" i="3"/>
  <c r="K181" i="3"/>
  <c r="P181" i="3"/>
  <c r="Q181" i="3" s="1"/>
  <c r="C445" i="3" l="1"/>
  <c r="D444" i="3"/>
  <c r="E444" i="3" s="1"/>
  <c r="I182" i="3"/>
  <c r="L182" i="3" s="1"/>
  <c r="G171" i="3"/>
  <c r="C446" i="3" l="1"/>
  <c r="D445" i="3"/>
  <c r="E445" i="3" s="1"/>
  <c r="H171" i="3"/>
  <c r="F171" i="3"/>
  <c r="C447" i="3" l="1"/>
  <c r="D446" i="3"/>
  <c r="E446" i="3" s="1"/>
  <c r="J171" i="3"/>
  <c r="K182" i="3"/>
  <c r="P182" i="3"/>
  <c r="Q182" i="3" s="1"/>
  <c r="C448" i="3" l="1"/>
  <c r="D447" i="3"/>
  <c r="E447" i="3" s="1"/>
  <c r="I183" i="3"/>
  <c r="L183" i="3" s="1"/>
  <c r="G172" i="3"/>
  <c r="C449" i="3" l="1"/>
  <c r="D448" i="3"/>
  <c r="E448" i="3" s="1"/>
  <c r="H172" i="3"/>
  <c r="F172" i="3"/>
  <c r="C450" i="3" l="1"/>
  <c r="D449" i="3"/>
  <c r="E449" i="3" s="1"/>
  <c r="J172" i="3"/>
  <c r="K183" i="3"/>
  <c r="P183" i="3"/>
  <c r="Q183" i="3" s="1"/>
  <c r="C451" i="3" l="1"/>
  <c r="D450" i="3"/>
  <c r="E450" i="3" s="1"/>
  <c r="I184" i="3"/>
  <c r="L184" i="3" s="1"/>
  <c r="G173" i="3"/>
  <c r="C452" i="3" l="1"/>
  <c r="D451" i="3"/>
  <c r="E451" i="3" s="1"/>
  <c r="H173" i="3"/>
  <c r="F173" i="3"/>
  <c r="C453" i="3" l="1"/>
  <c r="D452" i="3"/>
  <c r="E452" i="3" s="1"/>
  <c r="J173" i="3"/>
  <c r="K184" i="3"/>
  <c r="P184" i="3"/>
  <c r="Q184" i="3" s="1"/>
  <c r="C454" i="3" l="1"/>
  <c r="D453" i="3"/>
  <c r="E453" i="3" s="1"/>
  <c r="I185" i="3"/>
  <c r="L185" i="3" s="1"/>
  <c r="G174" i="3"/>
  <c r="C455" i="3" l="1"/>
  <c r="D454" i="3"/>
  <c r="E454" i="3" s="1"/>
  <c r="H174" i="3"/>
  <c r="F174" i="3"/>
  <c r="C456" i="3" l="1"/>
  <c r="D455" i="3"/>
  <c r="E455" i="3" s="1"/>
  <c r="J174" i="3"/>
  <c r="K185" i="3"/>
  <c r="P185" i="3"/>
  <c r="Q185" i="3" s="1"/>
  <c r="C457" i="3" l="1"/>
  <c r="D456" i="3"/>
  <c r="E456" i="3" s="1"/>
  <c r="I186" i="3"/>
  <c r="L186" i="3" s="1"/>
  <c r="G175" i="3"/>
  <c r="C458" i="3" l="1"/>
  <c r="D457" i="3"/>
  <c r="E457" i="3" s="1"/>
  <c r="H175" i="3"/>
  <c r="F175" i="3"/>
  <c r="C459" i="3" l="1"/>
  <c r="D458" i="3"/>
  <c r="E458" i="3" s="1"/>
  <c r="J175" i="3"/>
  <c r="K186" i="3"/>
  <c r="P186" i="3"/>
  <c r="Q186" i="3" s="1"/>
  <c r="C460" i="3" l="1"/>
  <c r="D459" i="3"/>
  <c r="E459" i="3" s="1"/>
  <c r="I187" i="3"/>
  <c r="L187" i="3" s="1"/>
  <c r="G176" i="3"/>
  <c r="C461" i="3" l="1"/>
  <c r="D460" i="3"/>
  <c r="E460" i="3" s="1"/>
  <c r="H176" i="3"/>
  <c r="F176" i="3"/>
  <c r="C462" i="3" l="1"/>
  <c r="D461" i="3"/>
  <c r="E461" i="3" s="1"/>
  <c r="J176" i="3"/>
  <c r="K187" i="3"/>
  <c r="P187" i="3"/>
  <c r="Q187" i="3" s="1"/>
  <c r="C463" i="3" l="1"/>
  <c r="D462" i="3"/>
  <c r="E462" i="3" s="1"/>
  <c r="I188" i="3"/>
  <c r="L188" i="3" s="1"/>
  <c r="G177" i="3"/>
  <c r="C464" i="3" l="1"/>
  <c r="D463" i="3"/>
  <c r="E463" i="3" s="1"/>
  <c r="H177" i="3"/>
  <c r="F177" i="3"/>
  <c r="C465" i="3" l="1"/>
  <c r="D464" i="3"/>
  <c r="E464" i="3" s="1"/>
  <c r="J177" i="3"/>
  <c r="K188" i="3"/>
  <c r="P188" i="3"/>
  <c r="Q188" i="3" s="1"/>
  <c r="C466" i="3" l="1"/>
  <c r="D465" i="3"/>
  <c r="E465" i="3" s="1"/>
  <c r="I189" i="3"/>
  <c r="L189" i="3" s="1"/>
  <c r="G178" i="3"/>
  <c r="C467" i="3" l="1"/>
  <c r="D466" i="3"/>
  <c r="E466" i="3" s="1"/>
  <c r="H178" i="3"/>
  <c r="F178" i="3"/>
  <c r="C468" i="3" l="1"/>
  <c r="D467" i="3"/>
  <c r="E467" i="3" s="1"/>
  <c r="J178" i="3"/>
  <c r="K189" i="3"/>
  <c r="P189" i="3"/>
  <c r="Q189" i="3" s="1"/>
  <c r="C469" i="3" l="1"/>
  <c r="D468" i="3"/>
  <c r="E468" i="3" s="1"/>
  <c r="I190" i="3"/>
  <c r="L190" i="3" s="1"/>
  <c r="G179" i="3"/>
  <c r="C470" i="3" l="1"/>
  <c r="D469" i="3"/>
  <c r="E469" i="3" s="1"/>
  <c r="H179" i="3"/>
  <c r="F179" i="3"/>
  <c r="C471" i="3" l="1"/>
  <c r="D470" i="3"/>
  <c r="E470" i="3" s="1"/>
  <c r="J179" i="3"/>
  <c r="K190" i="3"/>
  <c r="P190" i="3"/>
  <c r="Q190" i="3" s="1"/>
  <c r="C472" i="3" l="1"/>
  <c r="D471" i="3"/>
  <c r="E471" i="3" s="1"/>
  <c r="I191" i="3"/>
  <c r="L191" i="3" s="1"/>
  <c r="G180" i="3"/>
  <c r="C473" i="3" l="1"/>
  <c r="D472" i="3"/>
  <c r="E472" i="3" s="1"/>
  <c r="H180" i="3"/>
  <c r="F180" i="3"/>
  <c r="C474" i="3" l="1"/>
  <c r="D473" i="3"/>
  <c r="E473" i="3" s="1"/>
  <c r="J180" i="3"/>
  <c r="K191" i="3"/>
  <c r="P191" i="3"/>
  <c r="Q191" i="3" s="1"/>
  <c r="C475" i="3" l="1"/>
  <c r="D474" i="3"/>
  <c r="E474" i="3" s="1"/>
  <c r="I192" i="3"/>
  <c r="L192" i="3" s="1"/>
  <c r="G181" i="3"/>
  <c r="C476" i="3" l="1"/>
  <c r="D475" i="3"/>
  <c r="E475" i="3" s="1"/>
  <c r="H181" i="3"/>
  <c r="F181" i="3"/>
  <c r="C477" i="3" l="1"/>
  <c r="D476" i="3"/>
  <c r="E476" i="3" s="1"/>
  <c r="J181" i="3"/>
  <c r="K192" i="3"/>
  <c r="P192" i="3"/>
  <c r="Q192" i="3" s="1"/>
  <c r="C478" i="3" l="1"/>
  <c r="D477" i="3"/>
  <c r="E477" i="3" s="1"/>
  <c r="I193" i="3"/>
  <c r="L193" i="3" s="1"/>
  <c r="G182" i="3"/>
  <c r="C479" i="3" l="1"/>
  <c r="D478" i="3"/>
  <c r="E478" i="3" s="1"/>
  <c r="H182" i="3"/>
  <c r="F182" i="3"/>
  <c r="C480" i="3" l="1"/>
  <c r="D479" i="3"/>
  <c r="E479" i="3" s="1"/>
  <c r="J182" i="3"/>
  <c r="K193" i="3"/>
  <c r="P193" i="3"/>
  <c r="Q193" i="3" s="1"/>
  <c r="C481" i="3" l="1"/>
  <c r="D480" i="3"/>
  <c r="E480" i="3" s="1"/>
  <c r="I194" i="3"/>
  <c r="L194" i="3" s="1"/>
  <c r="G183" i="3"/>
  <c r="C482" i="3" l="1"/>
  <c r="D481" i="3"/>
  <c r="E481" i="3" s="1"/>
  <c r="H183" i="3"/>
  <c r="F183" i="3"/>
  <c r="C483" i="3" l="1"/>
  <c r="D482" i="3"/>
  <c r="E482" i="3" s="1"/>
  <c r="J183" i="3"/>
  <c r="K194" i="3"/>
  <c r="P194" i="3"/>
  <c r="Q194" i="3" s="1"/>
  <c r="C484" i="3" l="1"/>
  <c r="D483" i="3"/>
  <c r="E483" i="3" s="1"/>
  <c r="I195" i="3"/>
  <c r="L195" i="3" s="1"/>
  <c r="G184" i="3"/>
  <c r="C485" i="3" l="1"/>
  <c r="D484" i="3"/>
  <c r="E484" i="3" s="1"/>
  <c r="H184" i="3"/>
  <c r="F184" i="3"/>
  <c r="C486" i="3" l="1"/>
  <c r="D485" i="3"/>
  <c r="E485" i="3" s="1"/>
  <c r="J184" i="3"/>
  <c r="K195" i="3"/>
  <c r="P195" i="3"/>
  <c r="Q195" i="3" s="1"/>
  <c r="C487" i="3" l="1"/>
  <c r="D486" i="3"/>
  <c r="E486" i="3" s="1"/>
  <c r="I196" i="3"/>
  <c r="L196" i="3" s="1"/>
  <c r="G185" i="3"/>
  <c r="C488" i="3" l="1"/>
  <c r="D487" i="3"/>
  <c r="E487" i="3" s="1"/>
  <c r="H185" i="3"/>
  <c r="F185" i="3"/>
  <c r="C489" i="3" l="1"/>
  <c r="D488" i="3"/>
  <c r="E488" i="3" s="1"/>
  <c r="J185" i="3"/>
  <c r="K196" i="3"/>
  <c r="P196" i="3"/>
  <c r="Q196" i="3" s="1"/>
  <c r="C490" i="3" l="1"/>
  <c r="D489" i="3"/>
  <c r="E489" i="3" s="1"/>
  <c r="I197" i="3"/>
  <c r="L197" i="3" s="1"/>
  <c r="G186" i="3"/>
  <c r="C491" i="3" l="1"/>
  <c r="D490" i="3"/>
  <c r="E490" i="3" s="1"/>
  <c r="H186" i="3"/>
  <c r="F186" i="3"/>
  <c r="C492" i="3" l="1"/>
  <c r="D491" i="3"/>
  <c r="E491" i="3" s="1"/>
  <c r="J186" i="3"/>
  <c r="K197" i="3"/>
  <c r="P197" i="3"/>
  <c r="Q197" i="3" s="1"/>
  <c r="C493" i="3" l="1"/>
  <c r="D492" i="3"/>
  <c r="E492" i="3" s="1"/>
  <c r="I198" i="3"/>
  <c r="L198" i="3" s="1"/>
  <c r="G187" i="3"/>
  <c r="C494" i="3" l="1"/>
  <c r="D493" i="3"/>
  <c r="E493" i="3" s="1"/>
  <c r="H187" i="3"/>
  <c r="F187" i="3"/>
  <c r="C495" i="3" l="1"/>
  <c r="D494" i="3"/>
  <c r="E494" i="3" s="1"/>
  <c r="J187" i="3"/>
  <c r="K198" i="3"/>
  <c r="P198" i="3"/>
  <c r="Q198" i="3" s="1"/>
  <c r="C496" i="3" l="1"/>
  <c r="D495" i="3"/>
  <c r="E495" i="3" s="1"/>
  <c r="I199" i="3"/>
  <c r="L199" i="3" s="1"/>
  <c r="G188" i="3"/>
  <c r="C497" i="3" l="1"/>
  <c r="D496" i="3"/>
  <c r="E496" i="3" s="1"/>
  <c r="H188" i="3"/>
  <c r="F188" i="3"/>
  <c r="C498" i="3" l="1"/>
  <c r="D497" i="3"/>
  <c r="E497" i="3" s="1"/>
  <c r="J188" i="3"/>
  <c r="K199" i="3"/>
  <c r="P199" i="3"/>
  <c r="Q199" i="3" s="1"/>
  <c r="C499" i="3" l="1"/>
  <c r="D498" i="3"/>
  <c r="E498" i="3" s="1"/>
  <c r="I200" i="3"/>
  <c r="L200" i="3" s="1"/>
  <c r="G189" i="3"/>
  <c r="C500" i="3" l="1"/>
  <c r="D499" i="3"/>
  <c r="E499" i="3" s="1"/>
  <c r="H189" i="3"/>
  <c r="F189" i="3"/>
  <c r="C501" i="3" l="1"/>
  <c r="D500" i="3"/>
  <c r="E500" i="3" s="1"/>
  <c r="J189" i="3"/>
  <c r="K200" i="3"/>
  <c r="P200" i="3"/>
  <c r="Q200" i="3" s="1"/>
  <c r="C502" i="3" l="1"/>
  <c r="D501" i="3"/>
  <c r="E501" i="3" s="1"/>
  <c r="I201" i="3"/>
  <c r="L201" i="3" s="1"/>
  <c r="G190" i="3"/>
  <c r="C503" i="3" l="1"/>
  <c r="D502" i="3"/>
  <c r="E502" i="3" s="1"/>
  <c r="H190" i="3"/>
  <c r="F190" i="3"/>
  <c r="C504" i="3" l="1"/>
  <c r="D503" i="3"/>
  <c r="E503" i="3" s="1"/>
  <c r="J190" i="3"/>
  <c r="K201" i="3"/>
  <c r="P201" i="3"/>
  <c r="Q201" i="3" s="1"/>
  <c r="C505" i="3" l="1"/>
  <c r="D504" i="3"/>
  <c r="E504" i="3" s="1"/>
  <c r="I202" i="3"/>
  <c r="L202" i="3" s="1"/>
  <c r="G191" i="3"/>
  <c r="C506" i="3" l="1"/>
  <c r="D505" i="3"/>
  <c r="E505" i="3" s="1"/>
  <c r="H191" i="3"/>
  <c r="F191" i="3"/>
  <c r="C507" i="3" l="1"/>
  <c r="D506" i="3"/>
  <c r="E506" i="3" s="1"/>
  <c r="J191" i="3"/>
  <c r="K202" i="3"/>
  <c r="P202" i="3"/>
  <c r="Q202" i="3" s="1"/>
  <c r="C508" i="3" l="1"/>
  <c r="D507" i="3"/>
  <c r="E507" i="3" s="1"/>
  <c r="I203" i="3"/>
  <c r="L203" i="3" s="1"/>
  <c r="G192" i="3"/>
  <c r="C509" i="3" l="1"/>
  <c r="D508" i="3"/>
  <c r="E508" i="3" s="1"/>
  <c r="H192" i="3"/>
  <c r="F192" i="3"/>
  <c r="C510" i="3" l="1"/>
  <c r="D509" i="3"/>
  <c r="E509" i="3" s="1"/>
  <c r="J192" i="3"/>
  <c r="K203" i="3"/>
  <c r="P203" i="3"/>
  <c r="Q203" i="3" s="1"/>
  <c r="C511" i="3" l="1"/>
  <c r="D510" i="3"/>
  <c r="E510" i="3" s="1"/>
  <c r="I204" i="3"/>
  <c r="L204" i="3" s="1"/>
  <c r="G193" i="3"/>
  <c r="C512" i="3" l="1"/>
  <c r="D511" i="3"/>
  <c r="E511" i="3" s="1"/>
  <c r="H193" i="3"/>
  <c r="F193" i="3"/>
  <c r="C513" i="3" l="1"/>
  <c r="D512" i="3"/>
  <c r="E512" i="3" s="1"/>
  <c r="J193" i="3"/>
  <c r="K204" i="3"/>
  <c r="P204" i="3"/>
  <c r="Q204" i="3" s="1"/>
  <c r="C514" i="3" l="1"/>
  <c r="D513" i="3"/>
  <c r="E513" i="3" s="1"/>
  <c r="I205" i="3"/>
  <c r="L205" i="3" s="1"/>
  <c r="G194" i="3"/>
  <c r="C515" i="3" l="1"/>
  <c r="D514" i="3"/>
  <c r="E514" i="3" s="1"/>
  <c r="H194" i="3"/>
  <c r="F194" i="3"/>
  <c r="C516" i="3" l="1"/>
  <c r="D515" i="3"/>
  <c r="E515" i="3" s="1"/>
  <c r="J194" i="3"/>
  <c r="K205" i="3"/>
  <c r="P205" i="3"/>
  <c r="Q205" i="3" s="1"/>
  <c r="C517" i="3" l="1"/>
  <c r="D516" i="3"/>
  <c r="E516" i="3" s="1"/>
  <c r="I206" i="3"/>
  <c r="L206" i="3" s="1"/>
  <c r="G195" i="3"/>
  <c r="C518" i="3" l="1"/>
  <c r="D517" i="3"/>
  <c r="E517" i="3" s="1"/>
  <c r="H195" i="3"/>
  <c r="F195" i="3"/>
  <c r="C519" i="3" l="1"/>
  <c r="D518" i="3"/>
  <c r="E518" i="3" s="1"/>
  <c r="J195" i="3"/>
  <c r="K206" i="3"/>
  <c r="P206" i="3"/>
  <c r="Q206" i="3" s="1"/>
  <c r="C520" i="3" l="1"/>
  <c r="D519" i="3"/>
  <c r="E519" i="3" s="1"/>
  <c r="I207" i="3"/>
  <c r="L207" i="3" s="1"/>
  <c r="G196" i="3"/>
  <c r="C521" i="3" l="1"/>
  <c r="D520" i="3"/>
  <c r="E520" i="3" s="1"/>
  <c r="H196" i="3"/>
  <c r="F196" i="3"/>
  <c r="C522" i="3" l="1"/>
  <c r="D521" i="3"/>
  <c r="E521" i="3" s="1"/>
  <c r="J196" i="3"/>
  <c r="K207" i="3"/>
  <c r="P207" i="3"/>
  <c r="Q207" i="3" s="1"/>
  <c r="C523" i="3" l="1"/>
  <c r="D522" i="3"/>
  <c r="E522" i="3" s="1"/>
  <c r="I208" i="3"/>
  <c r="L208" i="3" s="1"/>
  <c r="G197" i="3"/>
  <c r="C524" i="3" l="1"/>
  <c r="D523" i="3"/>
  <c r="E523" i="3" s="1"/>
  <c r="H197" i="3"/>
  <c r="F197" i="3"/>
  <c r="C525" i="3" l="1"/>
  <c r="D524" i="3"/>
  <c r="E524" i="3" s="1"/>
  <c r="J197" i="3"/>
  <c r="K208" i="3"/>
  <c r="P208" i="3"/>
  <c r="Q208" i="3" s="1"/>
  <c r="C526" i="3" l="1"/>
  <c r="D525" i="3"/>
  <c r="E525" i="3" s="1"/>
  <c r="I209" i="3"/>
  <c r="L209" i="3" s="1"/>
  <c r="G198" i="3"/>
  <c r="C527" i="3" l="1"/>
  <c r="D526" i="3"/>
  <c r="E526" i="3" s="1"/>
  <c r="H198" i="3"/>
  <c r="F198" i="3"/>
  <c r="C528" i="3" l="1"/>
  <c r="D527" i="3"/>
  <c r="E527" i="3" s="1"/>
  <c r="J198" i="3"/>
  <c r="K209" i="3"/>
  <c r="P209" i="3"/>
  <c r="Q209" i="3" s="1"/>
  <c r="C529" i="3" l="1"/>
  <c r="D528" i="3"/>
  <c r="E528" i="3" s="1"/>
  <c r="I210" i="3"/>
  <c r="L210" i="3" s="1"/>
  <c r="G199" i="3"/>
  <c r="C530" i="3" l="1"/>
  <c r="D529" i="3"/>
  <c r="E529" i="3" s="1"/>
  <c r="H199" i="3"/>
  <c r="F199" i="3"/>
  <c r="C531" i="3" l="1"/>
  <c r="D530" i="3"/>
  <c r="E530" i="3" s="1"/>
  <c r="J199" i="3"/>
  <c r="K210" i="3"/>
  <c r="P210" i="3"/>
  <c r="Q210" i="3" s="1"/>
  <c r="C532" i="3" l="1"/>
  <c r="D531" i="3"/>
  <c r="E531" i="3" s="1"/>
  <c r="I211" i="3"/>
  <c r="L211" i="3" s="1"/>
  <c r="G200" i="3"/>
  <c r="C533" i="3" l="1"/>
  <c r="D532" i="3"/>
  <c r="E532" i="3" s="1"/>
  <c r="H200" i="3"/>
  <c r="F200" i="3"/>
  <c r="C534" i="3" l="1"/>
  <c r="D533" i="3"/>
  <c r="E533" i="3" s="1"/>
  <c r="J200" i="3"/>
  <c r="K211" i="3"/>
  <c r="P211" i="3"/>
  <c r="Q211" i="3" s="1"/>
  <c r="C535" i="3" l="1"/>
  <c r="D534" i="3"/>
  <c r="E534" i="3" s="1"/>
  <c r="I212" i="3"/>
  <c r="L212" i="3" s="1"/>
  <c r="G201" i="3"/>
  <c r="C536" i="3" l="1"/>
  <c r="D535" i="3"/>
  <c r="E535" i="3" s="1"/>
  <c r="H201" i="3"/>
  <c r="F201" i="3"/>
  <c r="C537" i="3" l="1"/>
  <c r="D536" i="3"/>
  <c r="E536" i="3" s="1"/>
  <c r="J201" i="3"/>
  <c r="K212" i="3"/>
  <c r="P212" i="3"/>
  <c r="Q212" i="3" s="1"/>
  <c r="C538" i="3" l="1"/>
  <c r="D537" i="3"/>
  <c r="E537" i="3" s="1"/>
  <c r="I213" i="3"/>
  <c r="L213" i="3" s="1"/>
  <c r="G202" i="3"/>
  <c r="C539" i="3" l="1"/>
  <c r="D538" i="3"/>
  <c r="E538" i="3" s="1"/>
  <c r="H202" i="3"/>
  <c r="F202" i="3"/>
  <c r="C540" i="3" l="1"/>
  <c r="D539" i="3"/>
  <c r="E539" i="3" s="1"/>
  <c r="J202" i="3"/>
  <c r="K213" i="3"/>
  <c r="P213" i="3"/>
  <c r="Q213" i="3" s="1"/>
  <c r="C541" i="3" l="1"/>
  <c r="D540" i="3"/>
  <c r="E540" i="3" s="1"/>
  <c r="I214" i="3"/>
  <c r="L214" i="3" s="1"/>
  <c r="G203" i="3"/>
  <c r="C542" i="3" l="1"/>
  <c r="D541" i="3"/>
  <c r="E541" i="3" s="1"/>
  <c r="H203" i="3"/>
  <c r="F203" i="3"/>
  <c r="C543" i="3" l="1"/>
  <c r="D542" i="3"/>
  <c r="E542" i="3" s="1"/>
  <c r="J203" i="3"/>
  <c r="K214" i="3"/>
  <c r="P214" i="3"/>
  <c r="Q214" i="3" s="1"/>
  <c r="C544" i="3" l="1"/>
  <c r="D543" i="3"/>
  <c r="E543" i="3" s="1"/>
  <c r="I215" i="3"/>
  <c r="L215" i="3" s="1"/>
  <c r="G204" i="3"/>
  <c r="C545" i="3" l="1"/>
  <c r="D544" i="3"/>
  <c r="E544" i="3" s="1"/>
  <c r="H204" i="3"/>
  <c r="F204" i="3"/>
  <c r="C546" i="3" l="1"/>
  <c r="D545" i="3"/>
  <c r="E545" i="3" s="1"/>
  <c r="J204" i="3"/>
  <c r="K215" i="3"/>
  <c r="P215" i="3"/>
  <c r="Q215" i="3" s="1"/>
  <c r="C547" i="3" l="1"/>
  <c r="D547" i="3" s="1"/>
  <c r="D546" i="3"/>
  <c r="E546" i="3" s="1"/>
  <c r="I216" i="3"/>
  <c r="L216" i="3" s="1"/>
  <c r="G205" i="3"/>
  <c r="E547" i="3" l="1"/>
  <c r="H205" i="3"/>
  <c r="F205" i="3"/>
  <c r="J205" i="3" l="1"/>
  <c r="K216" i="3"/>
  <c r="P216" i="3"/>
  <c r="Q216" i="3" l="1"/>
  <c r="I217" i="3"/>
  <c r="L217" i="3" s="1"/>
  <c r="G206" i="3"/>
  <c r="H206" i="3" l="1"/>
  <c r="F206" i="3"/>
  <c r="J206" i="3" l="1"/>
  <c r="K217" i="3"/>
  <c r="P217" i="3"/>
  <c r="Q217" i="3" l="1"/>
  <c r="I218" i="3"/>
  <c r="L218" i="3" s="1"/>
  <c r="G207" i="3"/>
  <c r="H207" i="3" l="1"/>
  <c r="F207" i="3"/>
  <c r="J207" i="3" l="1"/>
  <c r="K218" i="3"/>
  <c r="P218" i="3"/>
  <c r="Q218" i="3" l="1"/>
  <c r="I219" i="3"/>
  <c r="L219" i="3" s="1"/>
  <c r="G208" i="3"/>
  <c r="H208" i="3" l="1"/>
  <c r="F208" i="3"/>
  <c r="J208" i="3" l="1"/>
  <c r="K219" i="3"/>
  <c r="P219" i="3"/>
  <c r="Q219" i="3" s="1"/>
  <c r="I220" i="3" l="1"/>
  <c r="L220" i="3" s="1"/>
  <c r="G209" i="3"/>
  <c r="H209" i="3" l="1"/>
  <c r="F209" i="3"/>
  <c r="J209" i="3" l="1"/>
  <c r="K220" i="3"/>
  <c r="P220" i="3"/>
  <c r="Q220" i="3" s="1"/>
  <c r="I221" i="3" l="1"/>
  <c r="L221" i="3" s="1"/>
  <c r="G210" i="3"/>
  <c r="H210" i="3" l="1"/>
  <c r="F210" i="3"/>
  <c r="J210" i="3" l="1"/>
  <c r="K221" i="3"/>
  <c r="P221" i="3"/>
  <c r="Q221" i="3" s="1"/>
  <c r="I222" i="3" l="1"/>
  <c r="L222" i="3" s="1"/>
  <c r="G211" i="3"/>
  <c r="H211" i="3" l="1"/>
  <c r="F211" i="3"/>
  <c r="J211" i="3" l="1"/>
  <c r="K222" i="3"/>
  <c r="P222" i="3"/>
  <c r="Q222" i="3" s="1"/>
  <c r="I223" i="3" l="1"/>
  <c r="L223" i="3" s="1"/>
  <c r="G212" i="3"/>
  <c r="H212" i="3" l="1"/>
  <c r="F212" i="3"/>
  <c r="J212" i="3" l="1"/>
  <c r="K223" i="3"/>
  <c r="P223" i="3"/>
  <c r="Q223" i="3" s="1"/>
  <c r="I224" i="3" l="1"/>
  <c r="L224" i="3" s="1"/>
  <c r="G213" i="3"/>
  <c r="H213" i="3" l="1"/>
  <c r="F213" i="3"/>
  <c r="J213" i="3" l="1"/>
  <c r="K224" i="3"/>
  <c r="P224" i="3"/>
  <c r="Q224" i="3" s="1"/>
  <c r="I225" i="3" l="1"/>
  <c r="L225" i="3" s="1"/>
  <c r="G214" i="3"/>
  <c r="H214" i="3" l="1"/>
  <c r="F214" i="3"/>
  <c r="J214" i="3" l="1"/>
  <c r="K225" i="3"/>
  <c r="P225" i="3"/>
  <c r="Q225" i="3" s="1"/>
  <c r="I226" i="3" l="1"/>
  <c r="L226" i="3" s="1"/>
  <c r="G215" i="3"/>
  <c r="H215" i="3" l="1"/>
  <c r="F215" i="3"/>
  <c r="J215" i="3" l="1"/>
  <c r="K226" i="3"/>
  <c r="P226" i="3"/>
  <c r="Q226" i="3" s="1"/>
  <c r="I227" i="3" l="1"/>
  <c r="L227" i="3" s="1"/>
  <c r="G216" i="3"/>
  <c r="H216" i="3" l="1"/>
  <c r="F216" i="3"/>
  <c r="J216" i="3" l="1"/>
  <c r="K227" i="3"/>
  <c r="P227" i="3"/>
  <c r="Q227" i="3" s="1"/>
  <c r="I228" i="3" l="1"/>
  <c r="L228" i="3" s="1"/>
  <c r="G217" i="3"/>
  <c r="H217" i="3" l="1"/>
  <c r="F217" i="3"/>
  <c r="J217" i="3" l="1"/>
  <c r="K228" i="3"/>
  <c r="P228" i="3"/>
  <c r="Q228" i="3" s="1"/>
  <c r="I229" i="3" l="1"/>
  <c r="L229" i="3" s="1"/>
  <c r="G218" i="3"/>
  <c r="H218" i="3" l="1"/>
  <c r="F218" i="3"/>
  <c r="J218" i="3" l="1"/>
  <c r="K229" i="3"/>
  <c r="P229" i="3"/>
  <c r="Q229" i="3" s="1"/>
  <c r="I230" i="3" l="1"/>
  <c r="L230" i="3" s="1"/>
  <c r="G219" i="3"/>
  <c r="H219" i="3" l="1"/>
  <c r="F219" i="3"/>
  <c r="J219" i="3" l="1"/>
  <c r="K230" i="3"/>
  <c r="P230" i="3"/>
  <c r="Q230" i="3" s="1"/>
  <c r="I231" i="3" l="1"/>
  <c r="L231" i="3" s="1"/>
  <c r="G220" i="3"/>
  <c r="H220" i="3" l="1"/>
  <c r="F220" i="3"/>
  <c r="J220" i="3" l="1"/>
  <c r="K231" i="3"/>
  <c r="P231" i="3"/>
  <c r="Q231" i="3" s="1"/>
  <c r="I232" i="3" l="1"/>
  <c r="L232" i="3" s="1"/>
  <c r="G221" i="3"/>
  <c r="H221" i="3" l="1"/>
  <c r="F221" i="3"/>
  <c r="J221" i="3" l="1"/>
  <c r="K232" i="3"/>
  <c r="P232" i="3"/>
  <c r="Q232" i="3" s="1"/>
  <c r="I233" i="3" l="1"/>
  <c r="L233" i="3" s="1"/>
  <c r="G222" i="3"/>
  <c r="H222" i="3" l="1"/>
  <c r="F222" i="3"/>
  <c r="J222" i="3" l="1"/>
  <c r="K233" i="3"/>
  <c r="P233" i="3"/>
  <c r="Q233" i="3" s="1"/>
  <c r="I234" i="3" l="1"/>
  <c r="L234" i="3" s="1"/>
  <c r="G223" i="3"/>
  <c r="H223" i="3" l="1"/>
  <c r="F223" i="3"/>
  <c r="J223" i="3" l="1"/>
  <c r="K234" i="3"/>
  <c r="P234" i="3"/>
  <c r="Q234" i="3" s="1"/>
  <c r="I235" i="3" l="1"/>
  <c r="L235" i="3" s="1"/>
  <c r="G224" i="3"/>
  <c r="H224" i="3" l="1"/>
  <c r="F224" i="3"/>
  <c r="J224" i="3" l="1"/>
  <c r="K235" i="3"/>
  <c r="P235" i="3"/>
  <c r="Q235" i="3" s="1"/>
  <c r="I236" i="3" l="1"/>
  <c r="L236" i="3" s="1"/>
  <c r="G225" i="3"/>
  <c r="H225" i="3" l="1"/>
  <c r="F225" i="3"/>
  <c r="J225" i="3" l="1"/>
  <c r="K236" i="3"/>
  <c r="P236" i="3"/>
  <c r="Q236" i="3" s="1"/>
  <c r="I237" i="3" l="1"/>
  <c r="L237" i="3" s="1"/>
  <c r="G226" i="3"/>
  <c r="H226" i="3" l="1"/>
  <c r="F226" i="3"/>
  <c r="J226" i="3" l="1"/>
  <c r="K237" i="3"/>
  <c r="P237" i="3"/>
  <c r="Q237" i="3" s="1"/>
  <c r="I238" i="3" l="1"/>
  <c r="L238" i="3" s="1"/>
  <c r="G227" i="3"/>
  <c r="H227" i="3" l="1"/>
  <c r="F227" i="3"/>
  <c r="J227" i="3" l="1"/>
  <c r="K238" i="3"/>
  <c r="P238" i="3"/>
  <c r="Q238" i="3" s="1"/>
  <c r="I239" i="3" l="1"/>
  <c r="L239" i="3" s="1"/>
  <c r="G228" i="3"/>
  <c r="H228" i="3" l="1"/>
  <c r="F228" i="3"/>
  <c r="J228" i="3" l="1"/>
  <c r="K239" i="3"/>
  <c r="P239" i="3"/>
  <c r="Q239" i="3" s="1"/>
  <c r="I240" i="3" l="1"/>
  <c r="L240" i="3" s="1"/>
  <c r="G229" i="3"/>
  <c r="H229" i="3" l="1"/>
  <c r="F229" i="3"/>
  <c r="J229" i="3" l="1"/>
  <c r="K240" i="3"/>
  <c r="P240" i="3"/>
  <c r="Q240" i="3" s="1"/>
  <c r="I241" i="3" l="1"/>
  <c r="L241" i="3" s="1"/>
  <c r="G230" i="3"/>
  <c r="H230" i="3" l="1"/>
  <c r="F230" i="3"/>
  <c r="J230" i="3" l="1"/>
  <c r="K241" i="3"/>
  <c r="P241" i="3"/>
  <c r="Q241" i="3" s="1"/>
  <c r="I242" i="3" l="1"/>
  <c r="L242" i="3" s="1"/>
  <c r="G231" i="3"/>
  <c r="H231" i="3" l="1"/>
  <c r="F231" i="3"/>
  <c r="J231" i="3" l="1"/>
  <c r="K242" i="3"/>
  <c r="P242" i="3"/>
  <c r="Q242" i="3" s="1"/>
  <c r="I243" i="3" l="1"/>
  <c r="L243" i="3" s="1"/>
  <c r="G232" i="3"/>
  <c r="H232" i="3" l="1"/>
  <c r="F232" i="3"/>
  <c r="J232" i="3" l="1"/>
  <c r="K243" i="3"/>
  <c r="P243" i="3"/>
  <c r="Q243" i="3" s="1"/>
  <c r="I244" i="3" l="1"/>
  <c r="L244" i="3" s="1"/>
  <c r="G233" i="3"/>
  <c r="H233" i="3" l="1"/>
  <c r="F233" i="3"/>
  <c r="J233" i="3" l="1"/>
  <c r="K244" i="3"/>
  <c r="P244" i="3"/>
  <c r="Q244" i="3" s="1"/>
  <c r="I245" i="3" l="1"/>
  <c r="L245" i="3" s="1"/>
  <c r="G234" i="3"/>
  <c r="H234" i="3" l="1"/>
  <c r="F234" i="3"/>
  <c r="J234" i="3" l="1"/>
  <c r="K245" i="3"/>
  <c r="P245" i="3"/>
  <c r="Q245" i="3" s="1"/>
  <c r="I246" i="3" l="1"/>
  <c r="L246" i="3" s="1"/>
  <c r="G235" i="3"/>
  <c r="H235" i="3" l="1"/>
  <c r="F235" i="3"/>
  <c r="J235" i="3" l="1"/>
  <c r="K246" i="3"/>
  <c r="P246" i="3"/>
  <c r="Q246" i="3" s="1"/>
  <c r="I247" i="3" l="1"/>
  <c r="L247" i="3" s="1"/>
  <c r="G236" i="3"/>
  <c r="H236" i="3" l="1"/>
  <c r="F236" i="3"/>
  <c r="J236" i="3" l="1"/>
  <c r="K247" i="3"/>
  <c r="P247" i="3"/>
  <c r="Q247" i="3" s="1"/>
  <c r="I248" i="3" l="1"/>
  <c r="L248" i="3" s="1"/>
  <c r="G237" i="3"/>
  <c r="H237" i="3" l="1"/>
  <c r="F237" i="3"/>
  <c r="J237" i="3" l="1"/>
  <c r="K248" i="3"/>
  <c r="P248" i="3"/>
  <c r="Q248" i="3" s="1"/>
  <c r="I249" i="3" l="1"/>
  <c r="L249" i="3" s="1"/>
  <c r="G238" i="3"/>
  <c r="H238" i="3" l="1"/>
  <c r="F238" i="3"/>
  <c r="J238" i="3" l="1"/>
  <c r="K249" i="3"/>
  <c r="P249" i="3"/>
  <c r="Q249" i="3" s="1"/>
  <c r="I250" i="3" l="1"/>
  <c r="L250" i="3" s="1"/>
  <c r="G239" i="3"/>
  <c r="H239" i="3" l="1"/>
  <c r="F239" i="3"/>
  <c r="J239" i="3" l="1"/>
  <c r="K250" i="3"/>
  <c r="P250" i="3"/>
  <c r="Q250" i="3" s="1"/>
  <c r="I251" i="3" l="1"/>
  <c r="L251" i="3" s="1"/>
  <c r="G240" i="3"/>
  <c r="H240" i="3" l="1"/>
  <c r="F240" i="3"/>
  <c r="J240" i="3" l="1"/>
  <c r="K251" i="3"/>
  <c r="P251" i="3"/>
  <c r="Q251" i="3" s="1"/>
  <c r="I252" i="3" l="1"/>
  <c r="L252" i="3" s="1"/>
  <c r="G241" i="3"/>
  <c r="H241" i="3" l="1"/>
  <c r="F241" i="3"/>
  <c r="J241" i="3" l="1"/>
  <c r="K252" i="3"/>
  <c r="P252" i="3"/>
  <c r="Q252" i="3" s="1"/>
  <c r="I253" i="3" l="1"/>
  <c r="L253" i="3" s="1"/>
  <c r="G242" i="3"/>
  <c r="H242" i="3" l="1"/>
  <c r="F242" i="3"/>
  <c r="J242" i="3" l="1"/>
  <c r="K253" i="3"/>
  <c r="P253" i="3"/>
  <c r="Q253" i="3" s="1"/>
  <c r="I254" i="3" l="1"/>
  <c r="L254" i="3" s="1"/>
  <c r="G243" i="3"/>
  <c r="H243" i="3" l="1"/>
  <c r="F243" i="3"/>
  <c r="J243" i="3" l="1"/>
  <c r="K254" i="3"/>
  <c r="P254" i="3"/>
  <c r="Q254" i="3" s="1"/>
  <c r="I255" i="3" l="1"/>
  <c r="L255" i="3" s="1"/>
  <c r="G244" i="3"/>
  <c r="H244" i="3" l="1"/>
  <c r="F244" i="3"/>
  <c r="J244" i="3" l="1"/>
  <c r="K255" i="3"/>
  <c r="P255" i="3"/>
  <c r="Q255" i="3" s="1"/>
  <c r="I256" i="3" l="1"/>
  <c r="L256" i="3" s="1"/>
  <c r="G245" i="3"/>
  <c r="H245" i="3" l="1"/>
  <c r="F245" i="3"/>
  <c r="J245" i="3" l="1"/>
  <c r="K256" i="3"/>
  <c r="P256" i="3"/>
  <c r="Q256" i="3" s="1"/>
  <c r="I257" i="3" l="1"/>
  <c r="L257" i="3" s="1"/>
  <c r="G246" i="3"/>
  <c r="H246" i="3" l="1"/>
  <c r="F246" i="3"/>
  <c r="J246" i="3" l="1"/>
  <c r="K257" i="3"/>
  <c r="P257" i="3"/>
  <c r="Q257" i="3" s="1"/>
  <c r="I258" i="3" l="1"/>
  <c r="L258" i="3" s="1"/>
  <c r="G247" i="3"/>
  <c r="H247" i="3" l="1"/>
  <c r="F247" i="3"/>
  <c r="J247" i="3" l="1"/>
  <c r="K258" i="3"/>
  <c r="P258" i="3"/>
  <c r="Q258" i="3" s="1"/>
  <c r="I259" i="3" l="1"/>
  <c r="L259" i="3" s="1"/>
  <c r="G248" i="3"/>
  <c r="H248" i="3" l="1"/>
  <c r="F248" i="3"/>
  <c r="J248" i="3" l="1"/>
  <c r="K259" i="3"/>
  <c r="P259" i="3"/>
  <c r="Q259" i="3" s="1"/>
  <c r="I260" i="3" l="1"/>
  <c r="L260" i="3" s="1"/>
  <c r="G249" i="3"/>
  <c r="H249" i="3" l="1"/>
  <c r="F249" i="3"/>
  <c r="J249" i="3" l="1"/>
  <c r="K260" i="3"/>
  <c r="P260" i="3"/>
  <c r="Q260" i="3" s="1"/>
  <c r="I261" i="3" l="1"/>
  <c r="L261" i="3" s="1"/>
  <c r="G250" i="3"/>
  <c r="H250" i="3" l="1"/>
  <c r="F250" i="3"/>
  <c r="J250" i="3" l="1"/>
  <c r="K261" i="3"/>
  <c r="P261" i="3"/>
  <c r="Q261" i="3" s="1"/>
  <c r="I262" i="3" l="1"/>
  <c r="L262" i="3" s="1"/>
  <c r="G251" i="3"/>
  <c r="H251" i="3" l="1"/>
  <c r="F251" i="3"/>
  <c r="J251" i="3" l="1"/>
  <c r="K262" i="3"/>
  <c r="P262" i="3"/>
  <c r="Q262" i="3" s="1"/>
  <c r="I263" i="3" l="1"/>
  <c r="L263" i="3" s="1"/>
  <c r="G252" i="3"/>
  <c r="H252" i="3" l="1"/>
  <c r="F252" i="3"/>
  <c r="J252" i="3" l="1"/>
  <c r="K263" i="3"/>
  <c r="P263" i="3"/>
  <c r="Q263" i="3" s="1"/>
  <c r="I264" i="3" l="1"/>
  <c r="L264" i="3" s="1"/>
  <c r="G253" i="3"/>
  <c r="H253" i="3" l="1"/>
  <c r="F253" i="3"/>
  <c r="J253" i="3" l="1"/>
  <c r="K264" i="3"/>
  <c r="P264" i="3"/>
  <c r="Q264" i="3" s="1"/>
  <c r="I265" i="3" l="1"/>
  <c r="L265" i="3" s="1"/>
  <c r="G254" i="3"/>
  <c r="H254" i="3" l="1"/>
  <c r="F254" i="3"/>
  <c r="J254" i="3" l="1"/>
  <c r="K265" i="3"/>
  <c r="P265" i="3"/>
  <c r="Q265" i="3" s="1"/>
  <c r="I266" i="3" l="1"/>
  <c r="L266" i="3" s="1"/>
  <c r="G255" i="3"/>
  <c r="H255" i="3" l="1"/>
  <c r="F255" i="3"/>
  <c r="J255" i="3" l="1"/>
  <c r="K266" i="3"/>
  <c r="P266" i="3"/>
  <c r="Q266" i="3" s="1"/>
  <c r="I267" i="3" l="1"/>
  <c r="L267" i="3" s="1"/>
  <c r="G256" i="3"/>
  <c r="H256" i="3" l="1"/>
  <c r="F256" i="3"/>
  <c r="J256" i="3" l="1"/>
  <c r="K267" i="3"/>
  <c r="P267" i="3"/>
  <c r="Q267" i="3" s="1"/>
  <c r="I268" i="3" l="1"/>
  <c r="L268" i="3" s="1"/>
  <c r="G257" i="3"/>
  <c r="H257" i="3" l="1"/>
  <c r="F257" i="3"/>
  <c r="J257" i="3" l="1"/>
  <c r="K268" i="3"/>
  <c r="P268" i="3"/>
  <c r="Q268" i="3" s="1"/>
  <c r="I269" i="3" l="1"/>
  <c r="L269" i="3" s="1"/>
  <c r="G258" i="3"/>
  <c r="H258" i="3" l="1"/>
  <c r="F258" i="3"/>
  <c r="J258" i="3" l="1"/>
  <c r="K269" i="3"/>
  <c r="P269" i="3"/>
  <c r="Q269" i="3" s="1"/>
  <c r="I270" i="3" l="1"/>
  <c r="L270" i="3" s="1"/>
  <c r="G259" i="3"/>
  <c r="H259" i="3" l="1"/>
  <c r="F259" i="3"/>
  <c r="J259" i="3" l="1"/>
  <c r="K270" i="3"/>
  <c r="P270" i="3"/>
  <c r="Q270" i="3" s="1"/>
  <c r="I271" i="3" l="1"/>
  <c r="L271" i="3" s="1"/>
  <c r="G260" i="3"/>
  <c r="H260" i="3" l="1"/>
  <c r="F260" i="3"/>
  <c r="J260" i="3" l="1"/>
  <c r="K271" i="3"/>
  <c r="P271" i="3"/>
  <c r="Q271" i="3" s="1"/>
  <c r="I272" i="3" l="1"/>
  <c r="L272" i="3" s="1"/>
  <c r="G261" i="3"/>
  <c r="H261" i="3" l="1"/>
  <c r="F261" i="3"/>
  <c r="J261" i="3" l="1"/>
  <c r="K272" i="3"/>
  <c r="P272" i="3"/>
  <c r="Q272" i="3" s="1"/>
  <c r="I273" i="3" l="1"/>
  <c r="L273" i="3" s="1"/>
  <c r="G262" i="3"/>
  <c r="H262" i="3" l="1"/>
  <c r="F262" i="3"/>
  <c r="J262" i="3" l="1"/>
  <c r="K273" i="3"/>
  <c r="P273" i="3"/>
  <c r="Q273" i="3" s="1"/>
  <c r="I274" i="3" l="1"/>
  <c r="L274" i="3" s="1"/>
  <c r="G263" i="3"/>
  <c r="H263" i="3" l="1"/>
  <c r="F263" i="3"/>
  <c r="J263" i="3" l="1"/>
  <c r="K274" i="3"/>
  <c r="P274" i="3"/>
  <c r="Q274" i="3" s="1"/>
  <c r="I275" i="3" l="1"/>
  <c r="L275" i="3" s="1"/>
  <c r="G264" i="3"/>
  <c r="H264" i="3" l="1"/>
  <c r="F264" i="3"/>
  <c r="J264" i="3" l="1"/>
  <c r="K275" i="3"/>
  <c r="P275" i="3"/>
  <c r="Q275" i="3" s="1"/>
  <c r="I276" i="3" l="1"/>
  <c r="L276" i="3" s="1"/>
  <c r="G265" i="3"/>
  <c r="H265" i="3" l="1"/>
  <c r="F265" i="3"/>
  <c r="J265" i="3" l="1"/>
  <c r="K276" i="3"/>
  <c r="P276" i="3"/>
  <c r="Q276" i="3" s="1"/>
  <c r="I277" i="3" l="1"/>
  <c r="L277" i="3" s="1"/>
  <c r="G266" i="3"/>
  <c r="H266" i="3" l="1"/>
  <c r="F266" i="3"/>
  <c r="J266" i="3" l="1"/>
  <c r="K277" i="3"/>
  <c r="P277" i="3"/>
  <c r="Q277" i="3" s="1"/>
  <c r="I278" i="3" l="1"/>
  <c r="L278" i="3" s="1"/>
  <c r="G267" i="3"/>
  <c r="H267" i="3" l="1"/>
  <c r="F267" i="3"/>
  <c r="J267" i="3" l="1"/>
  <c r="K278" i="3"/>
  <c r="P278" i="3"/>
  <c r="Q278" i="3" s="1"/>
  <c r="I279" i="3" l="1"/>
  <c r="L279" i="3" s="1"/>
  <c r="G268" i="3"/>
  <c r="H268" i="3" l="1"/>
  <c r="F268" i="3"/>
  <c r="J268" i="3" l="1"/>
  <c r="K279" i="3"/>
  <c r="P279" i="3"/>
  <c r="Q279" i="3" s="1"/>
  <c r="I280" i="3" l="1"/>
  <c r="L280" i="3" s="1"/>
  <c r="G269" i="3"/>
  <c r="H269" i="3" l="1"/>
  <c r="F269" i="3"/>
  <c r="J269" i="3" l="1"/>
  <c r="K280" i="3"/>
  <c r="P280" i="3"/>
  <c r="Q280" i="3" s="1"/>
  <c r="I281" i="3" l="1"/>
  <c r="L281" i="3" s="1"/>
  <c r="G270" i="3"/>
  <c r="H270" i="3" l="1"/>
  <c r="F270" i="3"/>
  <c r="J270" i="3" l="1"/>
  <c r="K281" i="3"/>
  <c r="P281" i="3"/>
  <c r="Q281" i="3" s="1"/>
  <c r="I282" i="3" l="1"/>
  <c r="L282" i="3" s="1"/>
  <c r="G271" i="3"/>
  <c r="H271" i="3" l="1"/>
  <c r="F271" i="3"/>
  <c r="J271" i="3" l="1"/>
  <c r="K282" i="3"/>
  <c r="P282" i="3"/>
  <c r="Q282" i="3" s="1"/>
  <c r="I283" i="3" l="1"/>
  <c r="L283" i="3" s="1"/>
  <c r="G272" i="3"/>
  <c r="H272" i="3" l="1"/>
  <c r="F272" i="3"/>
  <c r="J272" i="3" l="1"/>
  <c r="K283" i="3"/>
  <c r="P283" i="3"/>
  <c r="Q283" i="3" s="1"/>
  <c r="I284" i="3" l="1"/>
  <c r="L284" i="3" s="1"/>
  <c r="G273" i="3"/>
  <c r="H273" i="3" l="1"/>
  <c r="F273" i="3"/>
  <c r="J273" i="3" l="1"/>
  <c r="K284" i="3"/>
  <c r="P284" i="3"/>
  <c r="Q284" i="3" s="1"/>
  <c r="I285" i="3" l="1"/>
  <c r="L285" i="3" s="1"/>
  <c r="G274" i="3"/>
  <c r="H274" i="3" l="1"/>
  <c r="F274" i="3"/>
  <c r="J274" i="3" l="1"/>
  <c r="K285" i="3"/>
  <c r="P285" i="3"/>
  <c r="Q285" i="3" s="1"/>
  <c r="I286" i="3" l="1"/>
  <c r="L286" i="3" s="1"/>
  <c r="G275" i="3"/>
  <c r="H275" i="3" l="1"/>
  <c r="F275" i="3"/>
  <c r="J275" i="3" l="1"/>
  <c r="K286" i="3"/>
  <c r="P286" i="3"/>
  <c r="Q286" i="3" s="1"/>
  <c r="I287" i="3" l="1"/>
  <c r="L287" i="3" s="1"/>
  <c r="G276" i="3"/>
  <c r="H276" i="3" l="1"/>
  <c r="F276" i="3"/>
  <c r="J276" i="3" l="1"/>
  <c r="K287" i="3"/>
  <c r="P287" i="3"/>
  <c r="Q287" i="3" s="1"/>
  <c r="I288" i="3" l="1"/>
  <c r="L288" i="3" s="1"/>
  <c r="G277" i="3"/>
  <c r="H277" i="3" l="1"/>
  <c r="F277" i="3"/>
  <c r="J277" i="3" l="1"/>
  <c r="K288" i="3"/>
  <c r="P288" i="3"/>
  <c r="Q288" i="3" s="1"/>
  <c r="I289" i="3" l="1"/>
  <c r="L289" i="3" s="1"/>
  <c r="G278" i="3"/>
  <c r="H278" i="3" l="1"/>
  <c r="F278" i="3"/>
  <c r="J278" i="3" l="1"/>
  <c r="K289" i="3"/>
  <c r="P289" i="3"/>
  <c r="Q289" i="3" s="1"/>
  <c r="I290" i="3" l="1"/>
  <c r="L290" i="3" s="1"/>
  <c r="G279" i="3"/>
  <c r="H279" i="3" l="1"/>
  <c r="F279" i="3"/>
  <c r="J279" i="3" l="1"/>
  <c r="K290" i="3"/>
  <c r="P290" i="3"/>
  <c r="Q290" i="3" s="1"/>
  <c r="I291" i="3" l="1"/>
  <c r="L291" i="3" s="1"/>
  <c r="G280" i="3"/>
  <c r="H280" i="3" l="1"/>
  <c r="F280" i="3"/>
  <c r="J280" i="3" l="1"/>
  <c r="K291" i="3"/>
  <c r="P291" i="3"/>
  <c r="Q291" i="3" s="1"/>
  <c r="I292" i="3" l="1"/>
  <c r="L292" i="3" s="1"/>
  <c r="G281" i="3"/>
  <c r="H281" i="3" l="1"/>
  <c r="F281" i="3"/>
  <c r="J281" i="3" l="1"/>
  <c r="K292" i="3"/>
  <c r="P292" i="3"/>
  <c r="Q292" i="3" s="1"/>
  <c r="I293" i="3" l="1"/>
  <c r="L293" i="3" s="1"/>
  <c r="G282" i="3"/>
  <c r="H282" i="3" l="1"/>
  <c r="F282" i="3"/>
  <c r="J282" i="3" l="1"/>
  <c r="K293" i="3"/>
  <c r="P293" i="3"/>
  <c r="Q293" i="3" s="1"/>
  <c r="I294" i="3" l="1"/>
  <c r="L294" i="3" s="1"/>
  <c r="G283" i="3"/>
  <c r="H283" i="3" l="1"/>
  <c r="F283" i="3"/>
  <c r="J283" i="3" l="1"/>
  <c r="K294" i="3"/>
  <c r="P294" i="3"/>
  <c r="Q294" i="3" s="1"/>
  <c r="I295" i="3" l="1"/>
  <c r="L295" i="3" s="1"/>
  <c r="G284" i="3"/>
  <c r="H284" i="3" l="1"/>
  <c r="F284" i="3"/>
  <c r="J284" i="3" l="1"/>
  <c r="K295" i="3"/>
  <c r="P295" i="3"/>
  <c r="Q295" i="3" s="1"/>
  <c r="I296" i="3" l="1"/>
  <c r="L296" i="3" s="1"/>
  <c r="G285" i="3"/>
  <c r="H285" i="3" l="1"/>
  <c r="F285" i="3"/>
  <c r="J285" i="3" l="1"/>
  <c r="K296" i="3"/>
  <c r="P296" i="3"/>
  <c r="Q296" i="3" s="1"/>
  <c r="I297" i="3" l="1"/>
  <c r="L297" i="3" s="1"/>
  <c r="G286" i="3"/>
  <c r="H286" i="3" l="1"/>
  <c r="F286" i="3"/>
  <c r="J286" i="3" l="1"/>
  <c r="K297" i="3"/>
  <c r="P297" i="3"/>
  <c r="Q297" i="3" s="1"/>
  <c r="I298" i="3" l="1"/>
  <c r="L298" i="3" s="1"/>
  <c r="G287" i="3"/>
  <c r="H287" i="3" l="1"/>
  <c r="F287" i="3"/>
  <c r="J287" i="3" l="1"/>
  <c r="K298" i="3"/>
  <c r="P298" i="3"/>
  <c r="Q298" i="3" s="1"/>
  <c r="I299" i="3" l="1"/>
  <c r="L299" i="3" s="1"/>
  <c r="G288" i="3"/>
  <c r="H288" i="3" l="1"/>
  <c r="F288" i="3"/>
  <c r="J288" i="3" l="1"/>
  <c r="K299" i="3"/>
  <c r="P299" i="3"/>
  <c r="Q299" i="3" s="1"/>
  <c r="I300" i="3" l="1"/>
  <c r="L300" i="3" s="1"/>
  <c r="G289" i="3"/>
  <c r="H289" i="3" l="1"/>
  <c r="F289" i="3"/>
  <c r="J289" i="3" l="1"/>
  <c r="K300" i="3"/>
  <c r="P300" i="3"/>
  <c r="Q300" i="3" s="1"/>
  <c r="I301" i="3" l="1"/>
  <c r="L301" i="3" s="1"/>
  <c r="G290" i="3"/>
  <c r="H290" i="3" l="1"/>
  <c r="F290" i="3"/>
  <c r="J290" i="3" l="1"/>
  <c r="K301" i="3"/>
  <c r="P301" i="3"/>
  <c r="Q301" i="3" s="1"/>
  <c r="I302" i="3" l="1"/>
  <c r="L302" i="3" s="1"/>
  <c r="G291" i="3"/>
  <c r="H291" i="3" l="1"/>
  <c r="F291" i="3"/>
  <c r="J291" i="3" l="1"/>
  <c r="K302" i="3"/>
  <c r="P302" i="3"/>
  <c r="Q302" i="3" s="1"/>
  <c r="I303" i="3" l="1"/>
  <c r="L303" i="3" s="1"/>
  <c r="G292" i="3"/>
  <c r="H292" i="3" l="1"/>
  <c r="F292" i="3"/>
  <c r="J292" i="3" l="1"/>
  <c r="K303" i="3"/>
  <c r="P303" i="3"/>
  <c r="Q303" i="3" s="1"/>
  <c r="I304" i="3" l="1"/>
  <c r="L304" i="3" s="1"/>
  <c r="G293" i="3"/>
  <c r="H293" i="3" l="1"/>
  <c r="F293" i="3"/>
  <c r="J293" i="3" l="1"/>
  <c r="K304" i="3"/>
  <c r="P304" i="3"/>
  <c r="Q304" i="3" s="1"/>
  <c r="I305" i="3" l="1"/>
  <c r="L305" i="3" s="1"/>
  <c r="G294" i="3"/>
  <c r="H294" i="3" l="1"/>
  <c r="F294" i="3"/>
  <c r="J294" i="3" l="1"/>
  <c r="K305" i="3"/>
  <c r="P305" i="3"/>
  <c r="Q305" i="3" s="1"/>
  <c r="I306" i="3" l="1"/>
  <c r="L306" i="3" s="1"/>
  <c r="G295" i="3"/>
  <c r="H295" i="3" l="1"/>
  <c r="F295" i="3"/>
  <c r="J295" i="3" l="1"/>
  <c r="K306" i="3"/>
  <c r="P306" i="3"/>
  <c r="Q306" i="3" s="1"/>
  <c r="I307" i="3" l="1"/>
  <c r="L307" i="3" s="1"/>
  <c r="G296" i="3"/>
  <c r="H296" i="3" l="1"/>
  <c r="F296" i="3"/>
  <c r="J296" i="3" l="1"/>
  <c r="K307" i="3"/>
  <c r="P307" i="3"/>
  <c r="Q307" i="3" s="1"/>
  <c r="I308" i="3" l="1"/>
  <c r="L308" i="3" s="1"/>
  <c r="G297" i="3"/>
  <c r="H297" i="3" l="1"/>
  <c r="F297" i="3"/>
  <c r="J297" i="3" l="1"/>
  <c r="K308" i="3"/>
  <c r="P308" i="3"/>
  <c r="Q308" i="3" s="1"/>
  <c r="I309" i="3" l="1"/>
  <c r="L309" i="3" s="1"/>
  <c r="G298" i="3"/>
  <c r="H298" i="3" l="1"/>
  <c r="F298" i="3"/>
  <c r="J298" i="3" l="1"/>
  <c r="K309" i="3"/>
  <c r="P309" i="3"/>
  <c r="Q309" i="3" s="1"/>
  <c r="I310" i="3" l="1"/>
  <c r="L310" i="3" s="1"/>
  <c r="G299" i="3"/>
  <c r="H299" i="3" l="1"/>
  <c r="F299" i="3"/>
  <c r="J299" i="3" l="1"/>
  <c r="K310" i="3"/>
  <c r="P310" i="3"/>
  <c r="Q310" i="3" s="1"/>
  <c r="I311" i="3" l="1"/>
  <c r="L311" i="3" s="1"/>
  <c r="G300" i="3"/>
  <c r="H300" i="3" l="1"/>
  <c r="F300" i="3"/>
  <c r="J300" i="3" l="1"/>
  <c r="K311" i="3"/>
  <c r="P311" i="3"/>
  <c r="Q311" i="3" s="1"/>
  <c r="I312" i="3" l="1"/>
  <c r="L312" i="3" s="1"/>
  <c r="G301" i="3"/>
  <c r="H301" i="3" l="1"/>
  <c r="F301" i="3"/>
  <c r="J301" i="3" l="1"/>
  <c r="K312" i="3"/>
  <c r="P312" i="3"/>
  <c r="Q312" i="3" s="1"/>
  <c r="I313" i="3" l="1"/>
  <c r="L313" i="3" s="1"/>
  <c r="G302" i="3"/>
  <c r="H302" i="3" l="1"/>
  <c r="F302" i="3"/>
  <c r="J302" i="3" l="1"/>
  <c r="K313" i="3"/>
  <c r="P313" i="3"/>
  <c r="Q313" i="3" s="1"/>
  <c r="I314" i="3" l="1"/>
  <c r="L314" i="3" s="1"/>
  <c r="G303" i="3"/>
  <c r="H303" i="3" l="1"/>
  <c r="F303" i="3"/>
  <c r="J303" i="3" l="1"/>
  <c r="K314" i="3"/>
  <c r="P314" i="3"/>
  <c r="Q314" i="3" s="1"/>
  <c r="I315" i="3" l="1"/>
  <c r="L315" i="3" s="1"/>
  <c r="G304" i="3"/>
  <c r="H304" i="3" l="1"/>
  <c r="F304" i="3"/>
  <c r="J304" i="3" l="1"/>
  <c r="K315" i="3"/>
  <c r="P315" i="3"/>
  <c r="Q315" i="3" s="1"/>
  <c r="I316" i="3" l="1"/>
  <c r="L316" i="3" s="1"/>
  <c r="G305" i="3"/>
  <c r="H305" i="3" l="1"/>
  <c r="F305" i="3"/>
  <c r="J305" i="3" l="1"/>
  <c r="K316" i="3"/>
  <c r="P316" i="3"/>
  <c r="Q316" i="3" s="1"/>
  <c r="I317" i="3" l="1"/>
  <c r="L317" i="3" s="1"/>
  <c r="G306" i="3"/>
  <c r="H306" i="3" l="1"/>
  <c r="F306" i="3"/>
  <c r="J306" i="3" l="1"/>
  <c r="K317" i="3"/>
  <c r="P317" i="3"/>
  <c r="Q317" i="3" s="1"/>
  <c r="I318" i="3" l="1"/>
  <c r="L318" i="3" s="1"/>
  <c r="G307" i="3"/>
  <c r="H307" i="3" l="1"/>
  <c r="F307" i="3"/>
  <c r="J307" i="3" l="1"/>
  <c r="K318" i="3"/>
  <c r="P318" i="3"/>
  <c r="Q318" i="3" s="1"/>
  <c r="I319" i="3" l="1"/>
  <c r="L319" i="3" s="1"/>
  <c r="G308" i="3"/>
  <c r="H308" i="3" l="1"/>
  <c r="F308" i="3"/>
  <c r="J308" i="3" l="1"/>
  <c r="K319" i="3"/>
  <c r="P319" i="3"/>
  <c r="Q319" i="3" s="1"/>
  <c r="I320" i="3" l="1"/>
  <c r="L320" i="3" s="1"/>
  <c r="G309" i="3"/>
  <c r="H309" i="3" l="1"/>
  <c r="F309" i="3"/>
  <c r="J309" i="3" l="1"/>
  <c r="K320" i="3"/>
  <c r="P320" i="3"/>
  <c r="Q320" i="3" s="1"/>
  <c r="I321" i="3" l="1"/>
  <c r="L321" i="3" s="1"/>
  <c r="G310" i="3"/>
  <c r="H310" i="3" l="1"/>
  <c r="F310" i="3"/>
  <c r="J310" i="3" l="1"/>
  <c r="K321" i="3"/>
  <c r="P321" i="3"/>
  <c r="Q321" i="3" s="1"/>
  <c r="I322" i="3" l="1"/>
  <c r="L322" i="3" s="1"/>
  <c r="G311" i="3"/>
  <c r="H311" i="3" l="1"/>
  <c r="F311" i="3"/>
  <c r="J311" i="3" l="1"/>
  <c r="K322" i="3"/>
  <c r="P322" i="3"/>
  <c r="Q322" i="3" s="1"/>
  <c r="I323" i="3" l="1"/>
  <c r="L323" i="3" s="1"/>
  <c r="G312" i="3"/>
  <c r="H312" i="3" l="1"/>
  <c r="F312" i="3"/>
  <c r="J312" i="3" l="1"/>
  <c r="K323" i="3"/>
  <c r="P323" i="3"/>
  <c r="Q323" i="3" s="1"/>
  <c r="I324" i="3" l="1"/>
  <c r="L324" i="3" s="1"/>
  <c r="G313" i="3"/>
  <c r="H313" i="3" l="1"/>
  <c r="F313" i="3"/>
  <c r="J313" i="3" l="1"/>
  <c r="K324" i="3"/>
  <c r="P324" i="3"/>
  <c r="Q324" i="3" s="1"/>
  <c r="I325" i="3" l="1"/>
  <c r="L325" i="3" s="1"/>
  <c r="G314" i="3"/>
  <c r="H314" i="3" l="1"/>
  <c r="F314" i="3"/>
  <c r="J314" i="3" l="1"/>
  <c r="K325" i="3"/>
  <c r="P325" i="3"/>
  <c r="Q325" i="3" s="1"/>
  <c r="I326" i="3" l="1"/>
  <c r="L326" i="3" s="1"/>
  <c r="G315" i="3"/>
  <c r="H315" i="3" l="1"/>
  <c r="F315" i="3"/>
  <c r="J315" i="3" l="1"/>
  <c r="K326" i="3"/>
  <c r="P326" i="3"/>
  <c r="Q326" i="3" s="1"/>
  <c r="I327" i="3" l="1"/>
  <c r="L327" i="3" s="1"/>
  <c r="G316" i="3"/>
  <c r="H316" i="3" l="1"/>
  <c r="F316" i="3"/>
  <c r="J316" i="3" l="1"/>
  <c r="K327" i="3"/>
  <c r="P327" i="3"/>
  <c r="Q327" i="3" s="1"/>
  <c r="I328" i="3" l="1"/>
  <c r="L328" i="3" s="1"/>
  <c r="G317" i="3"/>
  <c r="H317" i="3" l="1"/>
  <c r="F317" i="3"/>
  <c r="J317" i="3" l="1"/>
  <c r="K328" i="3"/>
  <c r="P328" i="3"/>
  <c r="Q328" i="3" s="1"/>
  <c r="I329" i="3" l="1"/>
  <c r="L329" i="3" s="1"/>
  <c r="G318" i="3"/>
  <c r="H318" i="3" l="1"/>
  <c r="F318" i="3"/>
  <c r="J318" i="3" l="1"/>
  <c r="K329" i="3"/>
  <c r="P329" i="3"/>
  <c r="Q329" i="3" s="1"/>
  <c r="I330" i="3" l="1"/>
  <c r="L330" i="3" s="1"/>
  <c r="G319" i="3"/>
  <c r="H319" i="3" l="1"/>
  <c r="F319" i="3"/>
  <c r="J319" i="3" l="1"/>
  <c r="K330" i="3"/>
  <c r="P330" i="3"/>
  <c r="Q330" i="3" s="1"/>
  <c r="I331" i="3" l="1"/>
  <c r="L331" i="3" s="1"/>
  <c r="G320" i="3"/>
  <c r="H320" i="3" l="1"/>
  <c r="F320" i="3"/>
  <c r="J320" i="3" l="1"/>
  <c r="K331" i="3"/>
  <c r="P331" i="3"/>
  <c r="Q331" i="3" s="1"/>
  <c r="I332" i="3" l="1"/>
  <c r="L332" i="3" s="1"/>
  <c r="G321" i="3"/>
  <c r="H321" i="3" l="1"/>
  <c r="F321" i="3"/>
  <c r="J321" i="3" l="1"/>
  <c r="K332" i="3"/>
  <c r="P332" i="3"/>
  <c r="Q332" i="3" s="1"/>
  <c r="I333" i="3" l="1"/>
  <c r="L333" i="3" s="1"/>
  <c r="G322" i="3"/>
  <c r="H322" i="3" l="1"/>
  <c r="F322" i="3"/>
  <c r="J322" i="3" l="1"/>
  <c r="K333" i="3"/>
  <c r="P333" i="3"/>
  <c r="Q333" i="3" s="1"/>
  <c r="I334" i="3" l="1"/>
  <c r="L334" i="3" s="1"/>
  <c r="G323" i="3"/>
  <c r="H323" i="3" l="1"/>
  <c r="F323" i="3"/>
  <c r="J323" i="3" l="1"/>
  <c r="K334" i="3"/>
  <c r="P334" i="3"/>
  <c r="Q334" i="3" s="1"/>
  <c r="I335" i="3" l="1"/>
  <c r="L335" i="3" s="1"/>
  <c r="G324" i="3"/>
  <c r="H324" i="3" l="1"/>
  <c r="F324" i="3"/>
  <c r="J324" i="3" l="1"/>
  <c r="K335" i="3"/>
  <c r="P335" i="3"/>
  <c r="Q335" i="3" s="1"/>
  <c r="I336" i="3" l="1"/>
  <c r="L336" i="3" s="1"/>
  <c r="G325" i="3"/>
  <c r="H325" i="3" l="1"/>
  <c r="F325" i="3"/>
  <c r="J325" i="3" l="1"/>
  <c r="K336" i="3"/>
  <c r="P336" i="3"/>
  <c r="Q336" i="3" s="1"/>
  <c r="I337" i="3" l="1"/>
  <c r="L337" i="3" s="1"/>
  <c r="G326" i="3"/>
  <c r="H326" i="3" l="1"/>
  <c r="F326" i="3"/>
  <c r="J326" i="3" l="1"/>
  <c r="K337" i="3"/>
  <c r="P337" i="3"/>
  <c r="Q337" i="3" s="1"/>
  <c r="I338" i="3" l="1"/>
  <c r="L338" i="3" s="1"/>
  <c r="G327" i="3"/>
  <c r="H327" i="3" l="1"/>
  <c r="F327" i="3"/>
  <c r="J327" i="3" l="1"/>
  <c r="K338" i="3"/>
  <c r="P338" i="3"/>
  <c r="Q338" i="3" s="1"/>
  <c r="I339" i="3" l="1"/>
  <c r="L339" i="3" s="1"/>
  <c r="G328" i="3"/>
  <c r="H328" i="3" l="1"/>
  <c r="F328" i="3"/>
  <c r="J328" i="3" l="1"/>
  <c r="K339" i="3"/>
  <c r="P339" i="3"/>
  <c r="Q339" i="3" s="1"/>
  <c r="I340" i="3" l="1"/>
  <c r="L340" i="3" s="1"/>
  <c r="G329" i="3"/>
  <c r="H329" i="3" l="1"/>
  <c r="F329" i="3"/>
  <c r="J329" i="3" l="1"/>
  <c r="K340" i="3"/>
  <c r="P340" i="3"/>
  <c r="Q340" i="3" s="1"/>
  <c r="I341" i="3" l="1"/>
  <c r="L341" i="3" s="1"/>
  <c r="G330" i="3"/>
  <c r="H330" i="3" l="1"/>
  <c r="F330" i="3"/>
  <c r="J330" i="3" l="1"/>
  <c r="K341" i="3"/>
  <c r="P341" i="3"/>
  <c r="Q341" i="3" s="1"/>
  <c r="I342" i="3" l="1"/>
  <c r="L342" i="3" s="1"/>
  <c r="G331" i="3"/>
  <c r="H331" i="3" l="1"/>
  <c r="F331" i="3"/>
  <c r="J331" i="3" l="1"/>
  <c r="K342" i="3"/>
  <c r="P342" i="3"/>
  <c r="Q342" i="3" s="1"/>
  <c r="I343" i="3" l="1"/>
  <c r="L343" i="3" s="1"/>
  <c r="G332" i="3"/>
  <c r="H332" i="3" l="1"/>
  <c r="F332" i="3"/>
  <c r="J332" i="3" l="1"/>
  <c r="K343" i="3"/>
  <c r="P343" i="3"/>
  <c r="Q343" i="3" s="1"/>
  <c r="I344" i="3" l="1"/>
  <c r="L344" i="3" s="1"/>
  <c r="G333" i="3"/>
  <c r="H333" i="3" l="1"/>
  <c r="F333" i="3"/>
  <c r="J333" i="3" l="1"/>
  <c r="K344" i="3"/>
  <c r="P344" i="3"/>
  <c r="Q344" i="3" s="1"/>
  <c r="I345" i="3" l="1"/>
  <c r="L345" i="3" s="1"/>
  <c r="G334" i="3"/>
  <c r="H334" i="3" l="1"/>
  <c r="F334" i="3"/>
  <c r="J334" i="3" l="1"/>
  <c r="K345" i="3"/>
  <c r="P345" i="3"/>
  <c r="Q345" i="3" s="1"/>
  <c r="I346" i="3" l="1"/>
  <c r="L346" i="3" s="1"/>
  <c r="G335" i="3"/>
  <c r="H335" i="3" l="1"/>
  <c r="F335" i="3"/>
  <c r="J335" i="3" l="1"/>
  <c r="K346" i="3"/>
  <c r="P346" i="3"/>
  <c r="Q346" i="3" s="1"/>
  <c r="I347" i="3" l="1"/>
  <c r="L347" i="3" s="1"/>
  <c r="G336" i="3"/>
  <c r="H336" i="3" l="1"/>
  <c r="F336" i="3"/>
  <c r="J336" i="3" l="1"/>
  <c r="K347" i="3"/>
  <c r="P347" i="3"/>
  <c r="Q347" i="3" s="1"/>
  <c r="I348" i="3" l="1"/>
  <c r="L348" i="3" s="1"/>
  <c r="G337" i="3"/>
  <c r="H337" i="3" l="1"/>
  <c r="F337" i="3"/>
  <c r="J337" i="3" l="1"/>
  <c r="K348" i="3"/>
  <c r="P348" i="3"/>
  <c r="Q348" i="3" s="1"/>
  <c r="I349" i="3" l="1"/>
  <c r="L349" i="3" s="1"/>
  <c r="G338" i="3"/>
  <c r="H338" i="3" l="1"/>
  <c r="F338" i="3"/>
  <c r="J338" i="3" l="1"/>
  <c r="K349" i="3"/>
  <c r="P349" i="3"/>
  <c r="Q349" i="3" s="1"/>
  <c r="I350" i="3" l="1"/>
  <c r="L350" i="3" s="1"/>
  <c r="G339" i="3"/>
  <c r="H339" i="3" l="1"/>
  <c r="F339" i="3"/>
  <c r="J339" i="3" l="1"/>
  <c r="K350" i="3"/>
  <c r="P350" i="3"/>
  <c r="Q350" i="3" s="1"/>
  <c r="I351" i="3" l="1"/>
  <c r="L351" i="3" s="1"/>
  <c r="G340" i="3"/>
  <c r="H340" i="3" l="1"/>
  <c r="F340" i="3"/>
  <c r="J340" i="3" l="1"/>
  <c r="K351" i="3"/>
  <c r="P351" i="3"/>
  <c r="Q351" i="3" s="1"/>
  <c r="I352" i="3" l="1"/>
  <c r="L352" i="3" s="1"/>
  <c r="G341" i="3"/>
  <c r="H341" i="3" l="1"/>
  <c r="F341" i="3"/>
  <c r="J341" i="3" l="1"/>
  <c r="K352" i="3"/>
  <c r="P352" i="3"/>
  <c r="Q352" i="3" s="1"/>
  <c r="I353" i="3" l="1"/>
  <c r="L353" i="3" s="1"/>
  <c r="G342" i="3"/>
  <c r="H342" i="3" l="1"/>
  <c r="F342" i="3"/>
  <c r="J342" i="3" l="1"/>
  <c r="K353" i="3"/>
  <c r="P353" i="3"/>
  <c r="Q353" i="3" s="1"/>
  <c r="I354" i="3" l="1"/>
  <c r="L354" i="3" s="1"/>
  <c r="G343" i="3"/>
  <c r="H343" i="3" l="1"/>
  <c r="F343" i="3"/>
  <c r="J343" i="3" l="1"/>
  <c r="K354" i="3"/>
  <c r="P354" i="3"/>
  <c r="Q354" i="3" s="1"/>
  <c r="I355" i="3" l="1"/>
  <c r="L355" i="3" s="1"/>
  <c r="G344" i="3"/>
  <c r="H344" i="3" l="1"/>
  <c r="F344" i="3"/>
  <c r="J344" i="3" l="1"/>
  <c r="K355" i="3"/>
  <c r="P355" i="3"/>
  <c r="Q355" i="3" s="1"/>
  <c r="I356" i="3" l="1"/>
  <c r="L356" i="3" s="1"/>
  <c r="G345" i="3"/>
  <c r="H345" i="3" l="1"/>
  <c r="F345" i="3"/>
  <c r="J345" i="3" l="1"/>
  <c r="K356" i="3"/>
  <c r="P356" i="3"/>
  <c r="Q356" i="3" s="1"/>
  <c r="I357" i="3" l="1"/>
  <c r="L357" i="3" s="1"/>
  <c r="G346" i="3"/>
  <c r="H346" i="3" l="1"/>
  <c r="F346" i="3"/>
  <c r="J346" i="3" l="1"/>
  <c r="K357" i="3"/>
  <c r="P357" i="3"/>
  <c r="Q357" i="3" s="1"/>
  <c r="I358" i="3" l="1"/>
  <c r="L358" i="3" s="1"/>
  <c r="G347" i="3"/>
  <c r="H347" i="3" l="1"/>
  <c r="F347" i="3"/>
  <c r="J347" i="3" l="1"/>
  <c r="K358" i="3"/>
  <c r="P358" i="3"/>
  <c r="Q358" i="3" s="1"/>
  <c r="I359" i="3" l="1"/>
  <c r="L359" i="3" s="1"/>
  <c r="G348" i="3"/>
  <c r="H348" i="3" l="1"/>
  <c r="F348" i="3"/>
  <c r="J348" i="3" l="1"/>
  <c r="K359" i="3"/>
  <c r="P359" i="3"/>
  <c r="Q359" i="3" s="1"/>
  <c r="I360" i="3" l="1"/>
  <c r="L360" i="3" s="1"/>
  <c r="G349" i="3"/>
  <c r="H349" i="3" l="1"/>
  <c r="F349" i="3"/>
  <c r="J349" i="3" l="1"/>
  <c r="K360" i="3"/>
  <c r="P360" i="3"/>
  <c r="Q360" i="3" s="1"/>
  <c r="I361" i="3" l="1"/>
  <c r="L361" i="3" s="1"/>
  <c r="G350" i="3"/>
  <c r="H350" i="3" l="1"/>
  <c r="F350" i="3"/>
  <c r="J350" i="3" l="1"/>
  <c r="K361" i="3"/>
  <c r="P361" i="3"/>
  <c r="Q361" i="3" s="1"/>
  <c r="I362" i="3" l="1"/>
  <c r="L362" i="3" s="1"/>
  <c r="G351" i="3"/>
  <c r="H351" i="3" l="1"/>
  <c r="F351" i="3"/>
  <c r="J351" i="3" l="1"/>
  <c r="K362" i="3"/>
  <c r="P362" i="3"/>
  <c r="Q362" i="3" s="1"/>
  <c r="I363" i="3" l="1"/>
  <c r="L363" i="3" s="1"/>
  <c r="G352" i="3"/>
  <c r="H352" i="3" l="1"/>
  <c r="F352" i="3"/>
  <c r="J352" i="3" l="1"/>
  <c r="K363" i="3"/>
  <c r="P363" i="3"/>
  <c r="Q363" i="3" s="1"/>
  <c r="I364" i="3" l="1"/>
  <c r="L364" i="3" s="1"/>
  <c r="G353" i="3"/>
  <c r="H353" i="3" l="1"/>
  <c r="F353" i="3"/>
  <c r="J353" i="3" l="1"/>
  <c r="K364" i="3"/>
  <c r="P364" i="3"/>
  <c r="Q364" i="3" s="1"/>
  <c r="I365" i="3" l="1"/>
  <c r="L365" i="3" s="1"/>
  <c r="G354" i="3"/>
  <c r="H354" i="3" l="1"/>
  <c r="F354" i="3"/>
  <c r="J354" i="3" l="1"/>
  <c r="K365" i="3"/>
  <c r="P365" i="3"/>
  <c r="Q365" i="3" s="1"/>
  <c r="I366" i="3" l="1"/>
  <c r="L366" i="3" s="1"/>
  <c r="G355" i="3"/>
  <c r="H355" i="3" l="1"/>
  <c r="F355" i="3"/>
  <c r="J355" i="3" l="1"/>
  <c r="K366" i="3"/>
  <c r="P366" i="3"/>
  <c r="Q366" i="3" s="1"/>
  <c r="I367" i="3" l="1"/>
  <c r="L367" i="3" s="1"/>
  <c r="G356" i="3"/>
  <c r="H356" i="3" l="1"/>
  <c r="F356" i="3"/>
  <c r="J356" i="3" l="1"/>
  <c r="K367" i="3"/>
  <c r="P367" i="3"/>
  <c r="Q367" i="3" s="1"/>
  <c r="I368" i="3" l="1"/>
  <c r="L368" i="3" s="1"/>
  <c r="G357" i="3"/>
  <c r="H357" i="3" l="1"/>
  <c r="F357" i="3"/>
  <c r="J357" i="3" l="1"/>
  <c r="K368" i="3"/>
  <c r="P368" i="3"/>
  <c r="Q368" i="3" s="1"/>
  <c r="I369" i="3" l="1"/>
  <c r="L369" i="3" s="1"/>
  <c r="G358" i="3"/>
  <c r="H358" i="3" l="1"/>
  <c r="F358" i="3"/>
  <c r="J358" i="3" l="1"/>
  <c r="K369" i="3"/>
  <c r="P369" i="3"/>
  <c r="Q369" i="3" s="1"/>
  <c r="I370" i="3" l="1"/>
  <c r="L370" i="3" s="1"/>
  <c r="G359" i="3"/>
  <c r="H359" i="3" l="1"/>
  <c r="F359" i="3"/>
  <c r="J359" i="3" l="1"/>
  <c r="K370" i="3"/>
  <c r="P370" i="3"/>
  <c r="Q370" i="3" s="1"/>
  <c r="I371" i="3" l="1"/>
  <c r="L371" i="3" s="1"/>
  <c r="G360" i="3"/>
  <c r="H360" i="3" l="1"/>
  <c r="F360" i="3"/>
  <c r="J360" i="3" l="1"/>
  <c r="K371" i="3"/>
  <c r="P371" i="3"/>
  <c r="Q371" i="3" s="1"/>
  <c r="I372" i="3" l="1"/>
  <c r="L372" i="3" s="1"/>
  <c r="G361" i="3"/>
  <c r="H361" i="3" l="1"/>
  <c r="F361" i="3"/>
  <c r="J361" i="3" l="1"/>
  <c r="K372" i="3"/>
  <c r="P372" i="3"/>
  <c r="Q372" i="3" s="1"/>
  <c r="I373" i="3" l="1"/>
  <c r="L373" i="3" s="1"/>
  <c r="G362" i="3"/>
  <c r="H362" i="3" l="1"/>
  <c r="F362" i="3"/>
  <c r="J362" i="3" l="1"/>
  <c r="K373" i="3"/>
  <c r="P373" i="3"/>
  <c r="Q373" i="3" s="1"/>
  <c r="I374" i="3" l="1"/>
  <c r="L374" i="3" s="1"/>
  <c r="G363" i="3"/>
  <c r="H363" i="3" l="1"/>
  <c r="F363" i="3"/>
  <c r="J363" i="3" l="1"/>
  <c r="K374" i="3"/>
  <c r="P374" i="3"/>
  <c r="Q374" i="3" s="1"/>
  <c r="I375" i="3" l="1"/>
  <c r="L375" i="3" s="1"/>
  <c r="G364" i="3"/>
  <c r="H364" i="3" l="1"/>
  <c r="F364" i="3"/>
  <c r="J364" i="3" l="1"/>
  <c r="K375" i="3"/>
  <c r="P375" i="3"/>
  <c r="Q375" i="3" s="1"/>
  <c r="I376" i="3" l="1"/>
  <c r="L376" i="3" s="1"/>
  <c r="G365" i="3"/>
  <c r="H365" i="3" l="1"/>
  <c r="F365" i="3"/>
  <c r="J365" i="3" l="1"/>
  <c r="K376" i="3"/>
  <c r="P376" i="3"/>
  <c r="Q376" i="3" s="1"/>
  <c r="I377" i="3" l="1"/>
  <c r="L377" i="3" s="1"/>
  <c r="G366" i="3"/>
  <c r="H366" i="3" l="1"/>
  <c r="F366" i="3"/>
  <c r="J366" i="3" l="1"/>
  <c r="K377" i="3"/>
  <c r="P377" i="3"/>
  <c r="Q377" i="3" s="1"/>
  <c r="I378" i="3" l="1"/>
  <c r="L378" i="3" s="1"/>
  <c r="G367" i="3"/>
  <c r="H367" i="3" l="1"/>
  <c r="F367" i="3"/>
  <c r="J367" i="3" l="1"/>
  <c r="K378" i="3"/>
  <c r="P378" i="3"/>
  <c r="Q378" i="3" s="1"/>
  <c r="I379" i="3" l="1"/>
  <c r="L379" i="3" s="1"/>
  <c r="G368" i="3"/>
  <c r="H368" i="3" l="1"/>
  <c r="F368" i="3"/>
  <c r="J368" i="3" l="1"/>
  <c r="K379" i="3"/>
  <c r="P379" i="3"/>
  <c r="Q379" i="3" s="1"/>
  <c r="I380" i="3" l="1"/>
  <c r="L380" i="3" s="1"/>
  <c r="G369" i="3"/>
  <c r="H369" i="3" l="1"/>
  <c r="F369" i="3"/>
  <c r="J369" i="3" l="1"/>
  <c r="K380" i="3"/>
  <c r="P380" i="3"/>
  <c r="Q380" i="3" s="1"/>
  <c r="I381" i="3" l="1"/>
  <c r="L381" i="3" s="1"/>
  <c r="G370" i="3"/>
  <c r="H370" i="3" l="1"/>
  <c r="F370" i="3"/>
  <c r="J370" i="3" l="1"/>
  <c r="K381" i="3"/>
  <c r="P381" i="3"/>
  <c r="Q381" i="3" s="1"/>
  <c r="I382" i="3" l="1"/>
  <c r="L382" i="3" s="1"/>
  <c r="G371" i="3"/>
  <c r="H371" i="3" l="1"/>
  <c r="F371" i="3"/>
  <c r="J371" i="3" l="1"/>
  <c r="K382" i="3"/>
  <c r="P382" i="3"/>
  <c r="Q382" i="3" s="1"/>
  <c r="I383" i="3" l="1"/>
  <c r="L383" i="3" s="1"/>
  <c r="G372" i="3"/>
  <c r="H372" i="3" l="1"/>
  <c r="F372" i="3"/>
  <c r="J372" i="3" l="1"/>
  <c r="K383" i="3"/>
  <c r="P383" i="3"/>
  <c r="Q383" i="3" s="1"/>
  <c r="I384" i="3" l="1"/>
  <c r="L384" i="3" s="1"/>
  <c r="G373" i="3"/>
  <c r="H373" i="3" l="1"/>
  <c r="F373" i="3"/>
  <c r="J373" i="3" l="1"/>
  <c r="K384" i="3"/>
  <c r="P384" i="3"/>
  <c r="Q384" i="3" s="1"/>
  <c r="I385" i="3" l="1"/>
  <c r="L385" i="3" s="1"/>
  <c r="G374" i="3"/>
  <c r="H374" i="3" l="1"/>
  <c r="F374" i="3"/>
  <c r="J374" i="3" l="1"/>
  <c r="K385" i="3"/>
  <c r="P385" i="3"/>
  <c r="Q385" i="3" s="1"/>
  <c r="I386" i="3" l="1"/>
  <c r="L386" i="3" s="1"/>
  <c r="G375" i="3"/>
  <c r="H375" i="3" l="1"/>
  <c r="F375" i="3"/>
  <c r="J375" i="3" l="1"/>
  <c r="K386" i="3"/>
  <c r="P386" i="3"/>
  <c r="Q386" i="3" s="1"/>
  <c r="I387" i="3" l="1"/>
  <c r="L387" i="3" s="1"/>
  <c r="G376" i="3"/>
  <c r="H376" i="3" l="1"/>
  <c r="F376" i="3"/>
  <c r="J376" i="3" l="1"/>
  <c r="K387" i="3"/>
  <c r="P387" i="3"/>
  <c r="Q387" i="3" s="1"/>
  <c r="I388" i="3" l="1"/>
  <c r="L388" i="3" s="1"/>
  <c r="G377" i="3"/>
  <c r="H377" i="3" l="1"/>
  <c r="F377" i="3"/>
  <c r="J377" i="3" l="1"/>
  <c r="K388" i="3"/>
  <c r="P388" i="3"/>
  <c r="Q388" i="3" s="1"/>
  <c r="I389" i="3" l="1"/>
  <c r="L389" i="3" s="1"/>
  <c r="G378" i="3"/>
  <c r="H378" i="3" l="1"/>
  <c r="F378" i="3"/>
  <c r="J378" i="3" l="1"/>
  <c r="K389" i="3"/>
  <c r="P389" i="3"/>
  <c r="Q389" i="3" s="1"/>
  <c r="I390" i="3" l="1"/>
  <c r="L390" i="3" s="1"/>
  <c r="G379" i="3"/>
  <c r="H379" i="3" l="1"/>
  <c r="F379" i="3"/>
  <c r="J379" i="3" l="1"/>
  <c r="K390" i="3"/>
  <c r="P390" i="3"/>
  <c r="Q390" i="3" s="1"/>
  <c r="I391" i="3" l="1"/>
  <c r="L391" i="3" s="1"/>
  <c r="G380" i="3"/>
  <c r="H380" i="3" l="1"/>
  <c r="F380" i="3"/>
  <c r="J380" i="3" l="1"/>
  <c r="K391" i="3"/>
  <c r="P391" i="3"/>
  <c r="Q391" i="3" s="1"/>
  <c r="I392" i="3" l="1"/>
  <c r="L392" i="3" s="1"/>
  <c r="G381" i="3"/>
  <c r="H381" i="3" l="1"/>
  <c r="F381" i="3"/>
  <c r="J381" i="3" l="1"/>
  <c r="K392" i="3"/>
  <c r="P392" i="3"/>
  <c r="Q392" i="3" s="1"/>
  <c r="I393" i="3" l="1"/>
  <c r="L393" i="3" s="1"/>
  <c r="G382" i="3"/>
  <c r="H382" i="3" l="1"/>
  <c r="F382" i="3"/>
  <c r="J382" i="3" l="1"/>
  <c r="K393" i="3"/>
  <c r="P393" i="3"/>
  <c r="Q393" i="3" s="1"/>
  <c r="I394" i="3" l="1"/>
  <c r="L394" i="3" s="1"/>
  <c r="G383" i="3"/>
  <c r="H383" i="3" l="1"/>
  <c r="F383" i="3"/>
  <c r="J383" i="3" l="1"/>
  <c r="K394" i="3"/>
  <c r="P394" i="3"/>
  <c r="Q394" i="3" s="1"/>
  <c r="I395" i="3" l="1"/>
  <c r="L395" i="3" s="1"/>
  <c r="G384" i="3"/>
  <c r="H384" i="3" l="1"/>
  <c r="F384" i="3"/>
  <c r="J384" i="3" l="1"/>
  <c r="K395" i="3"/>
  <c r="P395" i="3"/>
  <c r="Q395" i="3" s="1"/>
  <c r="I396" i="3" l="1"/>
  <c r="L396" i="3" s="1"/>
  <c r="G385" i="3"/>
  <c r="H385" i="3" l="1"/>
  <c r="F385" i="3"/>
  <c r="J385" i="3" l="1"/>
  <c r="K396" i="3"/>
  <c r="P396" i="3"/>
  <c r="Q396" i="3" s="1"/>
  <c r="I397" i="3" l="1"/>
  <c r="L397" i="3" s="1"/>
  <c r="G386" i="3"/>
  <c r="H386" i="3" l="1"/>
  <c r="F386" i="3"/>
  <c r="J386" i="3" l="1"/>
  <c r="K397" i="3"/>
  <c r="P397" i="3"/>
  <c r="Q397" i="3" s="1"/>
  <c r="I398" i="3" l="1"/>
  <c r="L398" i="3" s="1"/>
  <c r="G387" i="3"/>
  <c r="H387" i="3" l="1"/>
  <c r="F387" i="3"/>
  <c r="J387" i="3" l="1"/>
  <c r="K398" i="3"/>
  <c r="P398" i="3"/>
  <c r="Q398" i="3" s="1"/>
  <c r="I399" i="3" l="1"/>
  <c r="L399" i="3" s="1"/>
  <c r="G388" i="3"/>
  <c r="H388" i="3" l="1"/>
  <c r="F388" i="3"/>
  <c r="J388" i="3" l="1"/>
  <c r="K399" i="3"/>
  <c r="P399" i="3"/>
  <c r="Q399" i="3" s="1"/>
  <c r="I400" i="3" l="1"/>
  <c r="L400" i="3" s="1"/>
  <c r="G389" i="3"/>
  <c r="H389" i="3" l="1"/>
  <c r="F389" i="3"/>
  <c r="J389" i="3" l="1"/>
  <c r="K400" i="3"/>
  <c r="P400" i="3"/>
  <c r="Q400" i="3" s="1"/>
  <c r="I401" i="3" l="1"/>
  <c r="L401" i="3" s="1"/>
  <c r="G390" i="3"/>
  <c r="H390" i="3" l="1"/>
  <c r="F390" i="3"/>
  <c r="J390" i="3" l="1"/>
  <c r="K401" i="3"/>
  <c r="P401" i="3"/>
  <c r="Q401" i="3" s="1"/>
  <c r="I402" i="3" l="1"/>
  <c r="L402" i="3" s="1"/>
  <c r="G391" i="3"/>
  <c r="H391" i="3" l="1"/>
  <c r="F391" i="3"/>
  <c r="J391" i="3" l="1"/>
  <c r="K402" i="3"/>
  <c r="P402" i="3"/>
  <c r="Q402" i="3" s="1"/>
  <c r="I403" i="3" l="1"/>
  <c r="L403" i="3" s="1"/>
  <c r="G392" i="3"/>
  <c r="H392" i="3" l="1"/>
  <c r="F392" i="3"/>
  <c r="J392" i="3" l="1"/>
  <c r="K403" i="3"/>
  <c r="P403" i="3"/>
  <c r="Q403" i="3" s="1"/>
  <c r="I404" i="3" l="1"/>
  <c r="L404" i="3" s="1"/>
  <c r="G393" i="3"/>
  <c r="H393" i="3" l="1"/>
  <c r="F393" i="3"/>
  <c r="J393" i="3" l="1"/>
  <c r="K404" i="3"/>
  <c r="P404" i="3"/>
  <c r="Q404" i="3" s="1"/>
  <c r="I405" i="3" l="1"/>
  <c r="L405" i="3" s="1"/>
  <c r="G394" i="3"/>
  <c r="H394" i="3" l="1"/>
  <c r="F394" i="3"/>
  <c r="J394" i="3" l="1"/>
  <c r="K405" i="3"/>
  <c r="P405" i="3"/>
  <c r="Q405" i="3" s="1"/>
  <c r="I406" i="3" l="1"/>
  <c r="L406" i="3" s="1"/>
  <c r="G395" i="3"/>
  <c r="H395" i="3" l="1"/>
  <c r="F395" i="3"/>
  <c r="J395" i="3" l="1"/>
  <c r="K406" i="3"/>
  <c r="P406" i="3"/>
  <c r="Q406" i="3" s="1"/>
  <c r="I407" i="3" l="1"/>
  <c r="L407" i="3" s="1"/>
  <c r="G396" i="3"/>
  <c r="H396" i="3" l="1"/>
  <c r="F396" i="3"/>
  <c r="J396" i="3" l="1"/>
  <c r="K407" i="3"/>
  <c r="P407" i="3"/>
  <c r="Q407" i="3" s="1"/>
  <c r="I408" i="3" l="1"/>
  <c r="L408" i="3" s="1"/>
  <c r="G397" i="3"/>
  <c r="H397" i="3" l="1"/>
  <c r="F397" i="3"/>
  <c r="J397" i="3" l="1"/>
  <c r="K408" i="3"/>
  <c r="P408" i="3"/>
  <c r="Q408" i="3" s="1"/>
  <c r="I409" i="3" l="1"/>
  <c r="L409" i="3" s="1"/>
  <c r="G398" i="3"/>
  <c r="H398" i="3" l="1"/>
  <c r="F398" i="3"/>
  <c r="J398" i="3" l="1"/>
  <c r="K409" i="3"/>
  <c r="P409" i="3"/>
  <c r="Q409" i="3" s="1"/>
  <c r="I410" i="3" l="1"/>
  <c r="L410" i="3" s="1"/>
  <c r="G399" i="3"/>
  <c r="H399" i="3" l="1"/>
  <c r="F399" i="3"/>
  <c r="J399" i="3" l="1"/>
  <c r="K410" i="3"/>
  <c r="P410" i="3"/>
  <c r="Q410" i="3" s="1"/>
  <c r="I411" i="3" l="1"/>
  <c r="L411" i="3" s="1"/>
  <c r="G400" i="3"/>
  <c r="H400" i="3" l="1"/>
  <c r="F400" i="3"/>
  <c r="J400" i="3" l="1"/>
  <c r="K411" i="3"/>
  <c r="P411" i="3"/>
  <c r="Q411" i="3" s="1"/>
  <c r="I412" i="3" l="1"/>
  <c r="L412" i="3" s="1"/>
  <c r="G401" i="3"/>
  <c r="H401" i="3" l="1"/>
  <c r="F401" i="3"/>
  <c r="J401" i="3" l="1"/>
  <c r="K412" i="3"/>
  <c r="P412" i="3"/>
  <c r="Q412" i="3" s="1"/>
  <c r="I413" i="3" l="1"/>
  <c r="L413" i="3" s="1"/>
  <c r="G402" i="3"/>
  <c r="H402" i="3" l="1"/>
  <c r="F402" i="3"/>
  <c r="J402" i="3" l="1"/>
  <c r="K413" i="3"/>
  <c r="P413" i="3"/>
  <c r="Q413" i="3" s="1"/>
  <c r="I414" i="3" l="1"/>
  <c r="L414" i="3" s="1"/>
  <c r="G403" i="3"/>
  <c r="H403" i="3" l="1"/>
  <c r="F403" i="3"/>
  <c r="J403" i="3" l="1"/>
  <c r="K414" i="3"/>
  <c r="P414" i="3"/>
  <c r="Q414" i="3" s="1"/>
  <c r="I415" i="3" l="1"/>
  <c r="L415" i="3" s="1"/>
  <c r="G404" i="3"/>
  <c r="H404" i="3" l="1"/>
  <c r="F404" i="3"/>
  <c r="J404" i="3" l="1"/>
  <c r="K415" i="3"/>
  <c r="P415" i="3"/>
  <c r="Q415" i="3" s="1"/>
  <c r="I416" i="3" l="1"/>
  <c r="L416" i="3" s="1"/>
  <c r="G405" i="3"/>
  <c r="H405" i="3" l="1"/>
  <c r="F405" i="3"/>
  <c r="J405" i="3" l="1"/>
  <c r="K416" i="3"/>
  <c r="P416" i="3"/>
  <c r="Q416" i="3" s="1"/>
  <c r="I417" i="3" l="1"/>
  <c r="L417" i="3" s="1"/>
  <c r="G406" i="3"/>
  <c r="H406" i="3" l="1"/>
  <c r="F406" i="3"/>
  <c r="J406" i="3" l="1"/>
  <c r="K417" i="3"/>
  <c r="P417" i="3"/>
  <c r="Q417" i="3" s="1"/>
  <c r="I418" i="3" l="1"/>
  <c r="L418" i="3" s="1"/>
  <c r="G407" i="3"/>
  <c r="H407" i="3" l="1"/>
  <c r="F407" i="3"/>
  <c r="J407" i="3" l="1"/>
  <c r="K418" i="3"/>
  <c r="P418" i="3"/>
  <c r="Q418" i="3" s="1"/>
  <c r="I419" i="3" l="1"/>
  <c r="L419" i="3" s="1"/>
  <c r="G408" i="3"/>
  <c r="H408" i="3" l="1"/>
  <c r="F408" i="3"/>
  <c r="J408" i="3" l="1"/>
  <c r="K419" i="3"/>
  <c r="P419" i="3"/>
  <c r="Q419" i="3" s="1"/>
  <c r="I420" i="3" l="1"/>
  <c r="L420" i="3" s="1"/>
  <c r="G409" i="3"/>
  <c r="H409" i="3" l="1"/>
  <c r="F409" i="3"/>
  <c r="J409" i="3" l="1"/>
  <c r="K420" i="3"/>
  <c r="P420" i="3"/>
  <c r="Q420" i="3" s="1"/>
  <c r="I421" i="3" l="1"/>
  <c r="L421" i="3" s="1"/>
  <c r="G410" i="3"/>
  <c r="H410" i="3" l="1"/>
  <c r="F410" i="3"/>
  <c r="J410" i="3" l="1"/>
  <c r="K421" i="3"/>
  <c r="P421" i="3"/>
  <c r="Q421" i="3" s="1"/>
  <c r="I422" i="3" l="1"/>
  <c r="L422" i="3" s="1"/>
  <c r="G411" i="3"/>
  <c r="H411" i="3" l="1"/>
  <c r="F411" i="3"/>
  <c r="J411" i="3" l="1"/>
  <c r="K422" i="3"/>
  <c r="P422" i="3"/>
  <c r="Q422" i="3" s="1"/>
  <c r="I423" i="3" l="1"/>
  <c r="L423" i="3" s="1"/>
  <c r="G412" i="3"/>
  <c r="H412" i="3" l="1"/>
  <c r="F412" i="3"/>
  <c r="J412" i="3" l="1"/>
  <c r="K423" i="3"/>
  <c r="P423" i="3"/>
  <c r="Q423" i="3" s="1"/>
  <c r="I424" i="3" l="1"/>
  <c r="L424" i="3" s="1"/>
  <c r="G413" i="3"/>
  <c r="H413" i="3" l="1"/>
  <c r="F413" i="3"/>
  <c r="J413" i="3" l="1"/>
  <c r="K424" i="3"/>
  <c r="P424" i="3"/>
  <c r="Q424" i="3" s="1"/>
  <c r="I425" i="3" l="1"/>
  <c r="L425" i="3" s="1"/>
  <c r="G414" i="3"/>
  <c r="H414" i="3" l="1"/>
  <c r="F414" i="3"/>
  <c r="J414" i="3" l="1"/>
  <c r="K425" i="3"/>
  <c r="P425" i="3"/>
  <c r="Q425" i="3" s="1"/>
  <c r="I426" i="3" l="1"/>
  <c r="L426" i="3" s="1"/>
  <c r="G415" i="3"/>
  <c r="H415" i="3" l="1"/>
  <c r="F415" i="3"/>
  <c r="J415" i="3" l="1"/>
  <c r="K426" i="3"/>
  <c r="P426" i="3"/>
  <c r="Q426" i="3" s="1"/>
  <c r="I427" i="3" l="1"/>
  <c r="L427" i="3" s="1"/>
  <c r="G416" i="3"/>
  <c r="H416" i="3" l="1"/>
  <c r="F416" i="3"/>
  <c r="J416" i="3" l="1"/>
  <c r="K427" i="3"/>
  <c r="P427" i="3"/>
  <c r="Q427" i="3" s="1"/>
  <c r="I428" i="3" l="1"/>
  <c r="L428" i="3" s="1"/>
  <c r="G417" i="3"/>
  <c r="H417" i="3" l="1"/>
  <c r="F417" i="3"/>
  <c r="J417" i="3" l="1"/>
  <c r="K428" i="3"/>
  <c r="P428" i="3"/>
  <c r="Q428" i="3" s="1"/>
  <c r="I429" i="3" l="1"/>
  <c r="L429" i="3" s="1"/>
  <c r="G418" i="3"/>
  <c r="H418" i="3" l="1"/>
  <c r="F418" i="3"/>
  <c r="J418" i="3" l="1"/>
  <c r="K429" i="3"/>
  <c r="P429" i="3"/>
  <c r="Q429" i="3" s="1"/>
  <c r="I430" i="3" l="1"/>
  <c r="L430" i="3" s="1"/>
  <c r="G419" i="3"/>
  <c r="H419" i="3" l="1"/>
  <c r="F419" i="3"/>
  <c r="J419" i="3" l="1"/>
  <c r="K430" i="3"/>
  <c r="P430" i="3"/>
  <c r="Q430" i="3" s="1"/>
  <c r="I431" i="3" l="1"/>
  <c r="L431" i="3" s="1"/>
  <c r="G420" i="3"/>
  <c r="H420" i="3" l="1"/>
  <c r="F420" i="3"/>
  <c r="J420" i="3" l="1"/>
  <c r="K431" i="3"/>
  <c r="P431" i="3"/>
  <c r="Q431" i="3" s="1"/>
  <c r="I432" i="3" l="1"/>
  <c r="L432" i="3" s="1"/>
  <c r="G421" i="3"/>
  <c r="H421" i="3" l="1"/>
  <c r="F421" i="3"/>
  <c r="J421" i="3" l="1"/>
  <c r="K432" i="3"/>
  <c r="P432" i="3"/>
  <c r="Q432" i="3" s="1"/>
  <c r="I433" i="3" l="1"/>
  <c r="L433" i="3" s="1"/>
  <c r="G422" i="3"/>
  <c r="H422" i="3" l="1"/>
  <c r="F422" i="3"/>
  <c r="J422" i="3" l="1"/>
  <c r="K433" i="3"/>
  <c r="P433" i="3"/>
  <c r="Q433" i="3" s="1"/>
  <c r="I434" i="3" l="1"/>
  <c r="L434" i="3" s="1"/>
  <c r="G423" i="3"/>
  <c r="H423" i="3" l="1"/>
  <c r="F423" i="3"/>
  <c r="J423" i="3" l="1"/>
  <c r="K434" i="3"/>
  <c r="P434" i="3"/>
  <c r="Q434" i="3" s="1"/>
  <c r="I435" i="3" l="1"/>
  <c r="L435" i="3" s="1"/>
  <c r="G424" i="3"/>
  <c r="H424" i="3" l="1"/>
  <c r="F424" i="3"/>
  <c r="J424" i="3" l="1"/>
  <c r="K435" i="3"/>
  <c r="P435" i="3"/>
  <c r="Q435" i="3" s="1"/>
  <c r="I436" i="3" l="1"/>
  <c r="L436" i="3" s="1"/>
  <c r="G425" i="3"/>
  <c r="H425" i="3" l="1"/>
  <c r="F425" i="3"/>
  <c r="J425" i="3" l="1"/>
  <c r="K436" i="3"/>
  <c r="P436" i="3"/>
  <c r="Q436" i="3" s="1"/>
  <c r="I437" i="3" l="1"/>
  <c r="L437" i="3" s="1"/>
  <c r="G426" i="3"/>
  <c r="H426" i="3" l="1"/>
  <c r="F426" i="3"/>
  <c r="J426" i="3" l="1"/>
  <c r="K437" i="3"/>
  <c r="P437" i="3"/>
  <c r="Q437" i="3" s="1"/>
  <c r="I438" i="3" l="1"/>
  <c r="L438" i="3" s="1"/>
  <c r="G427" i="3"/>
  <c r="H427" i="3" l="1"/>
  <c r="F427" i="3"/>
  <c r="J427" i="3" l="1"/>
  <c r="K438" i="3"/>
  <c r="P438" i="3"/>
  <c r="Q438" i="3" s="1"/>
  <c r="I439" i="3" l="1"/>
  <c r="L439" i="3" s="1"/>
  <c r="G428" i="3"/>
  <c r="H428" i="3" l="1"/>
  <c r="F428" i="3"/>
  <c r="J428" i="3" l="1"/>
  <c r="K439" i="3"/>
  <c r="P439" i="3"/>
  <c r="Q439" i="3" s="1"/>
  <c r="I440" i="3" l="1"/>
  <c r="L440" i="3" s="1"/>
  <c r="G429" i="3"/>
  <c r="H429" i="3" l="1"/>
  <c r="F429" i="3"/>
  <c r="J429" i="3" l="1"/>
  <c r="K440" i="3"/>
  <c r="P440" i="3"/>
  <c r="Q440" i="3" s="1"/>
  <c r="I441" i="3" l="1"/>
  <c r="L441" i="3" s="1"/>
  <c r="G430" i="3"/>
  <c r="H430" i="3" l="1"/>
  <c r="F430" i="3"/>
  <c r="J430" i="3" l="1"/>
  <c r="K441" i="3"/>
  <c r="P441" i="3"/>
  <c r="Q441" i="3" s="1"/>
  <c r="I442" i="3" l="1"/>
  <c r="L442" i="3" s="1"/>
  <c r="G431" i="3"/>
  <c r="H431" i="3" l="1"/>
  <c r="F431" i="3"/>
  <c r="J431" i="3" l="1"/>
  <c r="K442" i="3"/>
  <c r="P442" i="3"/>
  <c r="Q442" i="3" s="1"/>
  <c r="I443" i="3" l="1"/>
  <c r="L443" i="3" s="1"/>
  <c r="G432" i="3"/>
  <c r="H432" i="3" l="1"/>
  <c r="F432" i="3"/>
  <c r="J432" i="3" l="1"/>
  <c r="K443" i="3"/>
  <c r="P443" i="3"/>
  <c r="Q443" i="3" s="1"/>
  <c r="I444" i="3" l="1"/>
  <c r="L444" i="3" s="1"/>
  <c r="G433" i="3"/>
  <c r="H433" i="3" l="1"/>
  <c r="F433" i="3"/>
  <c r="J433" i="3" l="1"/>
  <c r="K444" i="3"/>
  <c r="P444" i="3"/>
  <c r="Q444" i="3" s="1"/>
  <c r="I445" i="3" l="1"/>
  <c r="L445" i="3" s="1"/>
  <c r="G434" i="3"/>
  <c r="H434" i="3" l="1"/>
  <c r="F434" i="3"/>
  <c r="J434" i="3" l="1"/>
  <c r="K445" i="3"/>
  <c r="P445" i="3"/>
  <c r="Q445" i="3" s="1"/>
  <c r="I446" i="3" l="1"/>
  <c r="L446" i="3" s="1"/>
  <c r="G435" i="3"/>
  <c r="H435" i="3" l="1"/>
  <c r="F435" i="3"/>
  <c r="J435" i="3" l="1"/>
  <c r="K446" i="3"/>
  <c r="P446" i="3"/>
  <c r="Q446" i="3" s="1"/>
  <c r="I447" i="3" l="1"/>
  <c r="L447" i="3" s="1"/>
  <c r="G436" i="3"/>
  <c r="H436" i="3" l="1"/>
  <c r="F436" i="3"/>
  <c r="J436" i="3" l="1"/>
  <c r="K447" i="3"/>
  <c r="P447" i="3"/>
  <c r="Q447" i="3" s="1"/>
  <c r="I448" i="3" l="1"/>
  <c r="L448" i="3" s="1"/>
  <c r="G437" i="3"/>
  <c r="H437" i="3" l="1"/>
  <c r="F437" i="3"/>
  <c r="J437" i="3" l="1"/>
  <c r="K448" i="3"/>
  <c r="P448" i="3"/>
  <c r="Q448" i="3" s="1"/>
  <c r="I449" i="3" l="1"/>
  <c r="L449" i="3" s="1"/>
  <c r="G438" i="3"/>
  <c r="H438" i="3" l="1"/>
  <c r="F438" i="3"/>
  <c r="J438" i="3" l="1"/>
  <c r="K449" i="3"/>
  <c r="P449" i="3"/>
  <c r="Q449" i="3" s="1"/>
  <c r="I450" i="3" l="1"/>
  <c r="L450" i="3" s="1"/>
  <c r="G439" i="3"/>
  <c r="H439" i="3" l="1"/>
  <c r="F439" i="3"/>
  <c r="J439" i="3" l="1"/>
  <c r="K450" i="3"/>
  <c r="P450" i="3"/>
  <c r="Q450" i="3" s="1"/>
  <c r="I451" i="3" l="1"/>
  <c r="L451" i="3" s="1"/>
  <c r="G440" i="3"/>
  <c r="H440" i="3" l="1"/>
  <c r="F440" i="3"/>
  <c r="J440" i="3" l="1"/>
  <c r="K451" i="3"/>
  <c r="P451" i="3"/>
  <c r="Q451" i="3" s="1"/>
  <c r="I452" i="3" l="1"/>
  <c r="L452" i="3" s="1"/>
  <c r="G441" i="3"/>
  <c r="H441" i="3" l="1"/>
  <c r="F441" i="3"/>
  <c r="J441" i="3" l="1"/>
  <c r="K452" i="3"/>
  <c r="P452" i="3"/>
  <c r="Q452" i="3" s="1"/>
  <c r="I453" i="3" l="1"/>
  <c r="L453" i="3" s="1"/>
  <c r="G442" i="3"/>
  <c r="H442" i="3" l="1"/>
  <c r="F442" i="3"/>
  <c r="J442" i="3" l="1"/>
  <c r="K453" i="3"/>
  <c r="P453" i="3"/>
  <c r="Q453" i="3" s="1"/>
  <c r="I454" i="3" l="1"/>
  <c r="L454" i="3" s="1"/>
  <c r="G443" i="3"/>
  <c r="H443" i="3" l="1"/>
  <c r="F443" i="3"/>
  <c r="J443" i="3" l="1"/>
  <c r="K454" i="3"/>
  <c r="P454" i="3"/>
  <c r="Q454" i="3" s="1"/>
  <c r="I455" i="3" l="1"/>
  <c r="L455" i="3" s="1"/>
  <c r="G444" i="3"/>
  <c r="H444" i="3" l="1"/>
  <c r="F444" i="3"/>
  <c r="J444" i="3" l="1"/>
  <c r="K455" i="3"/>
  <c r="P455" i="3"/>
  <c r="Q455" i="3" s="1"/>
  <c r="I456" i="3" l="1"/>
  <c r="L456" i="3" s="1"/>
  <c r="G445" i="3"/>
  <c r="H445" i="3" l="1"/>
  <c r="F445" i="3"/>
  <c r="J445" i="3" l="1"/>
  <c r="K456" i="3"/>
  <c r="P456" i="3"/>
  <c r="Q456" i="3" s="1"/>
  <c r="I457" i="3" l="1"/>
  <c r="L457" i="3" s="1"/>
  <c r="G446" i="3"/>
  <c r="H446" i="3" l="1"/>
  <c r="F446" i="3"/>
  <c r="J446" i="3" l="1"/>
  <c r="K457" i="3"/>
  <c r="P457" i="3"/>
  <c r="Q457" i="3" s="1"/>
  <c r="I458" i="3" l="1"/>
  <c r="L458" i="3" s="1"/>
  <c r="G447" i="3"/>
  <c r="H447" i="3" l="1"/>
  <c r="F447" i="3"/>
  <c r="J447" i="3" l="1"/>
  <c r="K458" i="3"/>
  <c r="P458" i="3"/>
  <c r="Q458" i="3" s="1"/>
  <c r="I459" i="3" l="1"/>
  <c r="L459" i="3" s="1"/>
  <c r="G448" i="3"/>
  <c r="H448" i="3" l="1"/>
  <c r="F448" i="3"/>
  <c r="J448" i="3" l="1"/>
  <c r="K459" i="3"/>
  <c r="P459" i="3"/>
  <c r="Q459" i="3" s="1"/>
  <c r="I460" i="3" l="1"/>
  <c r="L460" i="3" s="1"/>
  <c r="G449" i="3"/>
  <c r="H449" i="3" l="1"/>
  <c r="F449" i="3"/>
  <c r="J449" i="3" l="1"/>
  <c r="K460" i="3"/>
  <c r="P460" i="3"/>
  <c r="Q460" i="3" s="1"/>
  <c r="I461" i="3" l="1"/>
  <c r="L461" i="3" s="1"/>
  <c r="G450" i="3"/>
  <c r="H450" i="3" l="1"/>
  <c r="F450" i="3"/>
  <c r="J450" i="3" l="1"/>
  <c r="K461" i="3"/>
  <c r="P461" i="3"/>
  <c r="Q461" i="3" s="1"/>
  <c r="I462" i="3" l="1"/>
  <c r="L462" i="3" s="1"/>
  <c r="G451" i="3"/>
  <c r="H451" i="3" l="1"/>
  <c r="F451" i="3"/>
  <c r="J451" i="3" l="1"/>
  <c r="K462" i="3"/>
  <c r="P462" i="3"/>
  <c r="Q462" i="3" s="1"/>
  <c r="I463" i="3" l="1"/>
  <c r="L463" i="3" s="1"/>
  <c r="G452" i="3"/>
  <c r="H452" i="3" l="1"/>
  <c r="F452" i="3"/>
  <c r="J452" i="3" l="1"/>
  <c r="K463" i="3"/>
  <c r="P463" i="3"/>
  <c r="Q463" i="3" s="1"/>
  <c r="I464" i="3" l="1"/>
  <c r="L464" i="3" s="1"/>
  <c r="G453" i="3"/>
  <c r="H453" i="3" l="1"/>
  <c r="F453" i="3"/>
  <c r="J453" i="3" l="1"/>
  <c r="K464" i="3"/>
  <c r="P464" i="3"/>
  <c r="Q464" i="3" s="1"/>
  <c r="I465" i="3" l="1"/>
  <c r="L465" i="3" s="1"/>
  <c r="G454" i="3"/>
  <c r="H454" i="3" l="1"/>
  <c r="F454" i="3"/>
  <c r="J454" i="3" l="1"/>
  <c r="K465" i="3"/>
  <c r="P465" i="3"/>
  <c r="Q465" i="3" s="1"/>
  <c r="I466" i="3" l="1"/>
  <c r="L466" i="3" s="1"/>
  <c r="G455" i="3"/>
  <c r="H455" i="3" l="1"/>
  <c r="F455" i="3"/>
  <c r="J455" i="3" l="1"/>
  <c r="K466" i="3"/>
  <c r="P466" i="3"/>
  <c r="Q466" i="3" s="1"/>
  <c r="I467" i="3" l="1"/>
  <c r="L467" i="3" s="1"/>
  <c r="G456" i="3"/>
  <c r="H456" i="3" l="1"/>
  <c r="F456" i="3"/>
  <c r="J456" i="3" l="1"/>
  <c r="K467" i="3"/>
  <c r="P467" i="3"/>
  <c r="Q467" i="3" s="1"/>
  <c r="I468" i="3" l="1"/>
  <c r="L468" i="3" s="1"/>
  <c r="G457" i="3"/>
  <c r="H457" i="3" l="1"/>
  <c r="F457" i="3"/>
  <c r="J457" i="3" l="1"/>
  <c r="K468" i="3"/>
  <c r="P468" i="3"/>
  <c r="Q468" i="3" s="1"/>
  <c r="I469" i="3" l="1"/>
  <c r="L469" i="3" s="1"/>
  <c r="G458" i="3"/>
  <c r="H458" i="3" l="1"/>
  <c r="F458" i="3"/>
  <c r="J458" i="3" l="1"/>
  <c r="K469" i="3"/>
  <c r="P469" i="3"/>
  <c r="Q469" i="3" s="1"/>
  <c r="I470" i="3" l="1"/>
  <c r="L470" i="3" s="1"/>
  <c r="G459" i="3"/>
  <c r="H459" i="3" l="1"/>
  <c r="F459" i="3"/>
  <c r="J459" i="3" l="1"/>
  <c r="K470" i="3"/>
  <c r="P470" i="3"/>
  <c r="Q470" i="3" s="1"/>
  <c r="I471" i="3" l="1"/>
  <c r="L471" i="3" s="1"/>
  <c r="G460" i="3"/>
  <c r="H460" i="3" l="1"/>
  <c r="F460" i="3"/>
  <c r="J460" i="3" l="1"/>
  <c r="K471" i="3"/>
  <c r="P471" i="3"/>
  <c r="Q471" i="3" s="1"/>
  <c r="I472" i="3" l="1"/>
  <c r="L472" i="3" s="1"/>
  <c r="G461" i="3"/>
  <c r="H461" i="3" l="1"/>
  <c r="F461" i="3"/>
  <c r="J461" i="3" l="1"/>
  <c r="K472" i="3"/>
  <c r="P472" i="3"/>
  <c r="Q472" i="3" s="1"/>
  <c r="I473" i="3" l="1"/>
  <c r="L473" i="3" s="1"/>
  <c r="G462" i="3"/>
  <c r="H462" i="3" l="1"/>
  <c r="F462" i="3"/>
  <c r="J462" i="3" l="1"/>
  <c r="K473" i="3"/>
  <c r="P473" i="3"/>
  <c r="Q473" i="3" s="1"/>
  <c r="I474" i="3" l="1"/>
  <c r="L474" i="3" s="1"/>
  <c r="G463" i="3"/>
  <c r="H463" i="3" l="1"/>
  <c r="F463" i="3"/>
  <c r="J463" i="3" l="1"/>
  <c r="K474" i="3"/>
  <c r="P474" i="3"/>
  <c r="Q474" i="3" s="1"/>
  <c r="I475" i="3" l="1"/>
  <c r="L475" i="3" s="1"/>
  <c r="G464" i="3"/>
  <c r="H464" i="3" l="1"/>
  <c r="F464" i="3"/>
  <c r="J464" i="3" l="1"/>
  <c r="K475" i="3"/>
  <c r="P475" i="3"/>
  <c r="Q475" i="3" s="1"/>
  <c r="I476" i="3" l="1"/>
  <c r="L476" i="3" s="1"/>
  <c r="G465" i="3"/>
  <c r="H465" i="3" l="1"/>
  <c r="F465" i="3"/>
  <c r="J465" i="3" l="1"/>
  <c r="K476" i="3"/>
  <c r="P476" i="3"/>
  <c r="Q476" i="3" s="1"/>
  <c r="I477" i="3" l="1"/>
  <c r="L477" i="3" s="1"/>
  <c r="G466" i="3"/>
  <c r="H466" i="3" l="1"/>
  <c r="F466" i="3"/>
  <c r="J466" i="3" l="1"/>
  <c r="K477" i="3"/>
  <c r="P477" i="3"/>
  <c r="Q477" i="3" s="1"/>
  <c r="I478" i="3" l="1"/>
  <c r="L478" i="3" s="1"/>
  <c r="G467" i="3"/>
  <c r="H467" i="3" l="1"/>
  <c r="F467" i="3"/>
  <c r="J467" i="3" l="1"/>
  <c r="K478" i="3"/>
  <c r="P478" i="3"/>
  <c r="Q478" i="3" s="1"/>
  <c r="I479" i="3" l="1"/>
  <c r="L479" i="3" s="1"/>
  <c r="G468" i="3"/>
  <c r="H468" i="3" l="1"/>
  <c r="F468" i="3"/>
  <c r="J468" i="3" l="1"/>
  <c r="K479" i="3"/>
  <c r="P479" i="3"/>
  <c r="Q479" i="3" s="1"/>
  <c r="I480" i="3" l="1"/>
  <c r="L480" i="3" s="1"/>
  <c r="G469" i="3"/>
  <c r="H469" i="3" l="1"/>
  <c r="F469" i="3"/>
  <c r="J469" i="3" l="1"/>
  <c r="K480" i="3"/>
  <c r="P480" i="3"/>
  <c r="Q480" i="3" s="1"/>
  <c r="I481" i="3" l="1"/>
  <c r="L481" i="3" s="1"/>
  <c r="G470" i="3"/>
  <c r="H470" i="3" l="1"/>
  <c r="F470" i="3"/>
  <c r="J470" i="3" l="1"/>
  <c r="K481" i="3"/>
  <c r="P481" i="3"/>
  <c r="Q481" i="3" s="1"/>
  <c r="I482" i="3" l="1"/>
  <c r="L482" i="3" s="1"/>
  <c r="G471" i="3"/>
  <c r="H471" i="3" l="1"/>
  <c r="F471" i="3"/>
  <c r="J471" i="3" l="1"/>
  <c r="K482" i="3"/>
  <c r="P482" i="3"/>
  <c r="Q482" i="3" s="1"/>
  <c r="I483" i="3" l="1"/>
  <c r="L483" i="3" s="1"/>
  <c r="G472" i="3"/>
  <c r="H472" i="3" l="1"/>
  <c r="F472" i="3"/>
  <c r="J472" i="3" l="1"/>
  <c r="K483" i="3"/>
  <c r="P483" i="3"/>
  <c r="Q483" i="3" s="1"/>
  <c r="I484" i="3" l="1"/>
  <c r="L484" i="3" s="1"/>
  <c r="G473" i="3"/>
  <c r="H473" i="3" l="1"/>
  <c r="F473" i="3"/>
  <c r="J473" i="3" l="1"/>
  <c r="K484" i="3"/>
  <c r="P484" i="3"/>
  <c r="Q484" i="3" s="1"/>
  <c r="I485" i="3" l="1"/>
  <c r="L485" i="3" s="1"/>
  <c r="G474" i="3"/>
  <c r="H474" i="3" l="1"/>
  <c r="F474" i="3"/>
  <c r="J474" i="3" l="1"/>
  <c r="K485" i="3"/>
  <c r="P485" i="3"/>
  <c r="Q485" i="3" s="1"/>
  <c r="I486" i="3" l="1"/>
  <c r="L486" i="3" s="1"/>
  <c r="G475" i="3"/>
  <c r="H475" i="3" l="1"/>
  <c r="F475" i="3"/>
  <c r="J475" i="3" l="1"/>
  <c r="K486" i="3"/>
  <c r="P486" i="3"/>
  <c r="Q486" i="3" s="1"/>
  <c r="I487" i="3" l="1"/>
  <c r="L487" i="3" s="1"/>
  <c r="G476" i="3"/>
  <c r="H476" i="3" l="1"/>
  <c r="F476" i="3"/>
  <c r="J476" i="3" l="1"/>
  <c r="K487" i="3"/>
  <c r="P487" i="3"/>
  <c r="Q487" i="3" s="1"/>
  <c r="I488" i="3" l="1"/>
  <c r="L488" i="3" s="1"/>
  <c r="G477" i="3"/>
  <c r="H477" i="3" l="1"/>
  <c r="F477" i="3"/>
  <c r="J477" i="3" l="1"/>
  <c r="K488" i="3"/>
  <c r="P488" i="3"/>
  <c r="Q488" i="3" s="1"/>
  <c r="I489" i="3" l="1"/>
  <c r="L489" i="3" s="1"/>
  <c r="G478" i="3"/>
  <c r="H478" i="3" l="1"/>
  <c r="F478" i="3"/>
  <c r="J478" i="3" l="1"/>
  <c r="K489" i="3"/>
  <c r="P489" i="3"/>
  <c r="Q489" i="3" s="1"/>
  <c r="I490" i="3" l="1"/>
  <c r="L490" i="3" s="1"/>
  <c r="G479" i="3"/>
  <c r="H479" i="3" l="1"/>
  <c r="F479" i="3"/>
  <c r="J479" i="3" l="1"/>
  <c r="K490" i="3"/>
  <c r="P490" i="3"/>
  <c r="Q490" i="3" s="1"/>
  <c r="I491" i="3" l="1"/>
  <c r="L491" i="3" s="1"/>
  <c r="G480" i="3"/>
  <c r="H480" i="3" l="1"/>
  <c r="F480" i="3"/>
  <c r="J480" i="3" l="1"/>
  <c r="K491" i="3"/>
  <c r="P491" i="3"/>
  <c r="Q491" i="3" s="1"/>
  <c r="I492" i="3" l="1"/>
  <c r="L492" i="3" s="1"/>
  <c r="G481" i="3"/>
  <c r="H481" i="3" l="1"/>
  <c r="F481" i="3"/>
  <c r="J481" i="3" l="1"/>
  <c r="K492" i="3"/>
  <c r="P492" i="3"/>
  <c r="Q492" i="3" s="1"/>
  <c r="I493" i="3" l="1"/>
  <c r="L493" i="3" s="1"/>
  <c r="G482" i="3"/>
  <c r="H482" i="3" l="1"/>
  <c r="F482" i="3"/>
  <c r="J482" i="3" l="1"/>
  <c r="K493" i="3"/>
  <c r="P493" i="3"/>
  <c r="Q493" i="3" s="1"/>
  <c r="I494" i="3" l="1"/>
  <c r="L494" i="3" s="1"/>
  <c r="G483" i="3"/>
  <c r="H483" i="3" l="1"/>
  <c r="F483" i="3"/>
  <c r="J483" i="3" l="1"/>
  <c r="K494" i="3"/>
  <c r="P494" i="3"/>
  <c r="Q494" i="3" s="1"/>
  <c r="I495" i="3" l="1"/>
  <c r="L495" i="3" s="1"/>
  <c r="G484" i="3"/>
  <c r="H484" i="3" l="1"/>
  <c r="F484" i="3"/>
  <c r="J484" i="3" l="1"/>
  <c r="K495" i="3"/>
  <c r="P495" i="3"/>
  <c r="Q495" i="3" s="1"/>
  <c r="I496" i="3" l="1"/>
  <c r="L496" i="3" s="1"/>
  <c r="G485" i="3"/>
  <c r="H485" i="3" l="1"/>
  <c r="F485" i="3"/>
  <c r="J485" i="3" l="1"/>
  <c r="K496" i="3"/>
  <c r="P496" i="3"/>
  <c r="Q496" i="3" s="1"/>
  <c r="I497" i="3" l="1"/>
  <c r="L497" i="3" s="1"/>
  <c r="G486" i="3"/>
  <c r="H486" i="3" l="1"/>
  <c r="F486" i="3"/>
  <c r="J486" i="3" l="1"/>
  <c r="K497" i="3"/>
  <c r="P497" i="3"/>
  <c r="Q497" i="3" s="1"/>
  <c r="I498" i="3" l="1"/>
  <c r="L498" i="3" s="1"/>
  <c r="G487" i="3"/>
  <c r="H487" i="3" l="1"/>
  <c r="F487" i="3"/>
  <c r="J487" i="3" l="1"/>
  <c r="K498" i="3"/>
  <c r="P498" i="3"/>
  <c r="Q498" i="3" s="1"/>
  <c r="I499" i="3" l="1"/>
  <c r="L499" i="3" s="1"/>
  <c r="G488" i="3"/>
  <c r="H488" i="3" l="1"/>
  <c r="F488" i="3"/>
  <c r="J488" i="3" l="1"/>
  <c r="K499" i="3"/>
  <c r="P499" i="3"/>
  <c r="Q499" i="3" s="1"/>
  <c r="I500" i="3" l="1"/>
  <c r="L500" i="3" s="1"/>
  <c r="G489" i="3"/>
  <c r="H489" i="3" l="1"/>
  <c r="F489" i="3"/>
  <c r="J489" i="3" l="1"/>
  <c r="K500" i="3"/>
  <c r="P500" i="3"/>
  <c r="Q500" i="3" s="1"/>
  <c r="I501" i="3" l="1"/>
  <c r="L501" i="3" s="1"/>
  <c r="G490" i="3"/>
  <c r="H490" i="3" l="1"/>
  <c r="F490" i="3"/>
  <c r="J490" i="3" l="1"/>
  <c r="K501" i="3"/>
  <c r="P501" i="3"/>
  <c r="Q501" i="3" s="1"/>
  <c r="I502" i="3" l="1"/>
  <c r="L502" i="3" s="1"/>
  <c r="G491" i="3"/>
  <c r="H491" i="3" l="1"/>
  <c r="F491" i="3"/>
  <c r="J491" i="3" l="1"/>
  <c r="K502" i="3"/>
  <c r="P502" i="3"/>
  <c r="Q502" i="3" s="1"/>
  <c r="I503" i="3" l="1"/>
  <c r="L503" i="3" s="1"/>
  <c r="G492" i="3"/>
  <c r="H492" i="3" l="1"/>
  <c r="F492" i="3"/>
  <c r="J492" i="3" l="1"/>
  <c r="K503" i="3"/>
  <c r="P503" i="3"/>
  <c r="Q503" i="3" s="1"/>
  <c r="I504" i="3" l="1"/>
  <c r="L504" i="3" s="1"/>
  <c r="G493" i="3"/>
  <c r="H493" i="3" l="1"/>
  <c r="F493" i="3"/>
  <c r="J493" i="3" l="1"/>
  <c r="K504" i="3"/>
  <c r="P504" i="3"/>
  <c r="Q504" i="3" s="1"/>
  <c r="I505" i="3" l="1"/>
  <c r="L505" i="3" s="1"/>
  <c r="G494" i="3"/>
  <c r="H494" i="3" l="1"/>
  <c r="F494" i="3"/>
  <c r="J494" i="3" l="1"/>
  <c r="K505" i="3"/>
  <c r="P505" i="3"/>
  <c r="Q505" i="3" s="1"/>
  <c r="I506" i="3" l="1"/>
  <c r="L506" i="3" s="1"/>
  <c r="G495" i="3"/>
  <c r="H495" i="3" l="1"/>
  <c r="F495" i="3"/>
  <c r="J495" i="3" l="1"/>
  <c r="K506" i="3"/>
  <c r="P506" i="3"/>
  <c r="Q506" i="3" s="1"/>
  <c r="I507" i="3" l="1"/>
  <c r="L507" i="3" s="1"/>
  <c r="G496" i="3"/>
  <c r="H496" i="3" l="1"/>
  <c r="F496" i="3"/>
  <c r="J496" i="3" l="1"/>
  <c r="K507" i="3"/>
  <c r="P507" i="3"/>
  <c r="Q507" i="3" s="1"/>
  <c r="I508" i="3" l="1"/>
  <c r="L508" i="3" s="1"/>
  <c r="G497" i="3"/>
  <c r="H497" i="3" l="1"/>
  <c r="F497" i="3"/>
  <c r="J497" i="3" l="1"/>
  <c r="K508" i="3"/>
  <c r="P508" i="3"/>
  <c r="Q508" i="3" s="1"/>
  <c r="I509" i="3" l="1"/>
  <c r="L509" i="3" s="1"/>
  <c r="G498" i="3"/>
  <c r="H498" i="3" l="1"/>
  <c r="F498" i="3"/>
  <c r="J498" i="3" l="1"/>
  <c r="K509" i="3"/>
  <c r="P509" i="3"/>
  <c r="Q509" i="3" s="1"/>
  <c r="I510" i="3" l="1"/>
  <c r="L510" i="3" s="1"/>
  <c r="G499" i="3"/>
  <c r="H499" i="3" l="1"/>
  <c r="F499" i="3"/>
  <c r="J499" i="3" l="1"/>
  <c r="K510" i="3"/>
  <c r="P510" i="3"/>
  <c r="Q510" i="3" s="1"/>
  <c r="I511" i="3" l="1"/>
  <c r="L511" i="3" s="1"/>
  <c r="G500" i="3"/>
  <c r="H500" i="3" l="1"/>
  <c r="F500" i="3"/>
  <c r="J500" i="3" l="1"/>
  <c r="K511" i="3"/>
  <c r="P511" i="3"/>
  <c r="Q511" i="3" s="1"/>
  <c r="I512" i="3" l="1"/>
  <c r="L512" i="3" s="1"/>
  <c r="G501" i="3"/>
  <c r="H501" i="3" l="1"/>
  <c r="F501" i="3"/>
  <c r="J501" i="3" l="1"/>
  <c r="K512" i="3"/>
  <c r="P512" i="3"/>
  <c r="Q512" i="3" s="1"/>
  <c r="I513" i="3" l="1"/>
  <c r="L513" i="3" s="1"/>
  <c r="G502" i="3"/>
  <c r="H502" i="3" l="1"/>
  <c r="F502" i="3"/>
  <c r="J502" i="3" l="1"/>
  <c r="K513" i="3"/>
  <c r="P513" i="3"/>
  <c r="Q513" i="3" s="1"/>
  <c r="I514" i="3" l="1"/>
  <c r="L514" i="3" s="1"/>
  <c r="G503" i="3"/>
  <c r="H503" i="3" l="1"/>
  <c r="F503" i="3"/>
  <c r="J503" i="3" l="1"/>
  <c r="K514" i="3"/>
  <c r="P514" i="3"/>
  <c r="Q514" i="3" s="1"/>
  <c r="I515" i="3" l="1"/>
  <c r="L515" i="3" s="1"/>
  <c r="G504" i="3"/>
  <c r="H504" i="3" l="1"/>
  <c r="F504" i="3"/>
  <c r="J504" i="3" l="1"/>
  <c r="K515" i="3"/>
  <c r="P515" i="3"/>
  <c r="Q515" i="3" s="1"/>
  <c r="I516" i="3" l="1"/>
  <c r="L516" i="3" s="1"/>
  <c r="G505" i="3"/>
  <c r="H505" i="3" l="1"/>
  <c r="F505" i="3"/>
  <c r="J505" i="3" l="1"/>
  <c r="K516" i="3"/>
  <c r="P516" i="3"/>
  <c r="Q516" i="3" s="1"/>
  <c r="I517" i="3" l="1"/>
  <c r="L517" i="3" s="1"/>
  <c r="G506" i="3"/>
  <c r="H506" i="3" l="1"/>
  <c r="F506" i="3"/>
  <c r="J506" i="3" l="1"/>
  <c r="K517" i="3"/>
  <c r="P517" i="3"/>
  <c r="Q517" i="3" s="1"/>
  <c r="I518" i="3" l="1"/>
  <c r="L518" i="3" s="1"/>
  <c r="G507" i="3"/>
  <c r="H507" i="3" l="1"/>
  <c r="F507" i="3"/>
  <c r="J507" i="3" l="1"/>
  <c r="K518" i="3"/>
  <c r="P518" i="3"/>
  <c r="Q518" i="3" s="1"/>
  <c r="I519" i="3" l="1"/>
  <c r="L519" i="3" s="1"/>
  <c r="G508" i="3"/>
  <c r="H508" i="3" l="1"/>
  <c r="F508" i="3"/>
  <c r="J508" i="3" l="1"/>
  <c r="K519" i="3"/>
  <c r="P519" i="3"/>
  <c r="Q519" i="3" s="1"/>
  <c r="I520" i="3" l="1"/>
  <c r="L520" i="3" s="1"/>
  <c r="G509" i="3"/>
  <c r="H509" i="3" l="1"/>
  <c r="F509" i="3"/>
  <c r="J509" i="3" l="1"/>
  <c r="K520" i="3"/>
  <c r="P520" i="3"/>
  <c r="Q520" i="3" s="1"/>
  <c r="I521" i="3" l="1"/>
  <c r="L521" i="3" s="1"/>
  <c r="G510" i="3"/>
  <c r="H510" i="3" l="1"/>
  <c r="F510" i="3"/>
  <c r="J510" i="3" l="1"/>
  <c r="K521" i="3"/>
  <c r="P521" i="3"/>
  <c r="Q521" i="3" s="1"/>
  <c r="I522" i="3" l="1"/>
  <c r="L522" i="3" s="1"/>
  <c r="G511" i="3"/>
  <c r="H511" i="3" l="1"/>
  <c r="F511" i="3"/>
  <c r="J511" i="3" l="1"/>
  <c r="K522" i="3"/>
  <c r="P522" i="3"/>
  <c r="Q522" i="3" s="1"/>
  <c r="I523" i="3" l="1"/>
  <c r="L523" i="3" s="1"/>
  <c r="G512" i="3"/>
  <c r="H512" i="3" l="1"/>
  <c r="F512" i="3"/>
  <c r="J512" i="3" l="1"/>
  <c r="K523" i="3"/>
  <c r="P523" i="3"/>
  <c r="Q523" i="3" s="1"/>
  <c r="I524" i="3" l="1"/>
  <c r="L524" i="3" s="1"/>
  <c r="G513" i="3"/>
  <c r="H513" i="3" l="1"/>
  <c r="F513" i="3"/>
  <c r="J513" i="3" l="1"/>
  <c r="K524" i="3"/>
  <c r="P524" i="3"/>
  <c r="Q524" i="3" s="1"/>
  <c r="I525" i="3" l="1"/>
  <c r="L525" i="3" s="1"/>
  <c r="G514" i="3"/>
  <c r="H514" i="3" l="1"/>
  <c r="F514" i="3"/>
  <c r="J514" i="3" l="1"/>
  <c r="K525" i="3"/>
  <c r="P525" i="3"/>
  <c r="Q525" i="3" s="1"/>
  <c r="I526" i="3" l="1"/>
  <c r="L526" i="3" s="1"/>
  <c r="G515" i="3"/>
  <c r="H515" i="3" l="1"/>
  <c r="F515" i="3"/>
  <c r="J515" i="3" l="1"/>
  <c r="K526" i="3"/>
  <c r="P526" i="3"/>
  <c r="Q526" i="3" s="1"/>
  <c r="I527" i="3" l="1"/>
  <c r="L527" i="3" s="1"/>
  <c r="G516" i="3"/>
  <c r="H516" i="3" l="1"/>
  <c r="F516" i="3"/>
  <c r="J516" i="3" l="1"/>
  <c r="K527" i="3"/>
  <c r="P527" i="3"/>
  <c r="Q527" i="3" s="1"/>
  <c r="I528" i="3" l="1"/>
  <c r="L528" i="3" s="1"/>
  <c r="G517" i="3"/>
  <c r="H517" i="3" l="1"/>
  <c r="F517" i="3"/>
  <c r="J517" i="3" l="1"/>
  <c r="K528" i="3"/>
  <c r="P528" i="3"/>
  <c r="Q528" i="3" s="1"/>
  <c r="I529" i="3" l="1"/>
  <c r="L529" i="3" s="1"/>
  <c r="G518" i="3"/>
  <c r="H518" i="3" l="1"/>
  <c r="F518" i="3"/>
  <c r="J518" i="3" l="1"/>
  <c r="K529" i="3"/>
  <c r="P529" i="3"/>
  <c r="Q529" i="3" s="1"/>
  <c r="I530" i="3" l="1"/>
  <c r="L530" i="3" s="1"/>
  <c r="G519" i="3"/>
  <c r="H519" i="3" l="1"/>
  <c r="F519" i="3"/>
  <c r="J519" i="3" l="1"/>
  <c r="K530" i="3"/>
  <c r="P530" i="3"/>
  <c r="Q530" i="3" s="1"/>
  <c r="I531" i="3" l="1"/>
  <c r="L531" i="3" s="1"/>
  <c r="G520" i="3"/>
  <c r="H520" i="3" l="1"/>
  <c r="F520" i="3"/>
  <c r="J520" i="3" l="1"/>
  <c r="K531" i="3"/>
  <c r="P531" i="3"/>
  <c r="Q531" i="3" s="1"/>
  <c r="I532" i="3" l="1"/>
  <c r="L532" i="3" s="1"/>
  <c r="G521" i="3"/>
  <c r="H521" i="3" l="1"/>
  <c r="F521" i="3"/>
  <c r="J521" i="3" l="1"/>
  <c r="K532" i="3"/>
  <c r="P532" i="3"/>
  <c r="Q532" i="3" s="1"/>
  <c r="I533" i="3" l="1"/>
  <c r="L533" i="3" s="1"/>
  <c r="G522" i="3"/>
  <c r="H522" i="3" l="1"/>
  <c r="F522" i="3"/>
  <c r="J522" i="3" l="1"/>
  <c r="K533" i="3"/>
  <c r="P533" i="3"/>
  <c r="Q533" i="3" s="1"/>
  <c r="I534" i="3" l="1"/>
  <c r="L534" i="3" s="1"/>
  <c r="G523" i="3"/>
  <c r="H523" i="3" l="1"/>
  <c r="F523" i="3"/>
  <c r="J523" i="3" l="1"/>
  <c r="K534" i="3"/>
  <c r="P534" i="3"/>
  <c r="Q534" i="3" s="1"/>
  <c r="I535" i="3" l="1"/>
  <c r="L535" i="3" s="1"/>
  <c r="G524" i="3"/>
  <c r="H524" i="3" l="1"/>
  <c r="F524" i="3"/>
  <c r="J524" i="3" l="1"/>
  <c r="K535" i="3"/>
  <c r="P535" i="3"/>
  <c r="Q535" i="3" s="1"/>
  <c r="I536" i="3" l="1"/>
  <c r="L536" i="3" s="1"/>
  <c r="G525" i="3"/>
  <c r="H525" i="3" l="1"/>
  <c r="F525" i="3"/>
  <c r="J525" i="3" l="1"/>
  <c r="K536" i="3"/>
  <c r="P536" i="3"/>
  <c r="Q536" i="3" s="1"/>
  <c r="I537" i="3" l="1"/>
  <c r="L537" i="3" s="1"/>
  <c r="G526" i="3"/>
  <c r="H526" i="3" l="1"/>
  <c r="F526" i="3"/>
  <c r="J526" i="3" l="1"/>
  <c r="K537" i="3"/>
  <c r="P537" i="3"/>
  <c r="Q537" i="3" s="1"/>
  <c r="I538" i="3" l="1"/>
  <c r="L538" i="3" s="1"/>
  <c r="G527" i="3"/>
  <c r="H527" i="3" l="1"/>
  <c r="F527" i="3"/>
  <c r="J527" i="3" l="1"/>
  <c r="K538" i="3"/>
  <c r="P538" i="3"/>
  <c r="Q538" i="3" s="1"/>
  <c r="I539" i="3" l="1"/>
  <c r="L539" i="3" s="1"/>
  <c r="G528" i="3"/>
  <c r="H528" i="3" l="1"/>
  <c r="F528" i="3"/>
  <c r="J528" i="3" l="1"/>
  <c r="K539" i="3"/>
  <c r="P539" i="3"/>
  <c r="Q539" i="3" s="1"/>
  <c r="I540" i="3" l="1"/>
  <c r="L540" i="3" s="1"/>
  <c r="G529" i="3"/>
  <c r="H529" i="3" l="1"/>
  <c r="F529" i="3"/>
  <c r="J529" i="3" l="1"/>
  <c r="K540" i="3"/>
  <c r="P540" i="3"/>
  <c r="Q540" i="3" s="1"/>
  <c r="I541" i="3" l="1"/>
  <c r="L541" i="3" s="1"/>
  <c r="G530" i="3"/>
  <c r="H530" i="3" l="1"/>
  <c r="F530" i="3"/>
  <c r="J530" i="3" l="1"/>
  <c r="K541" i="3"/>
  <c r="P541" i="3"/>
  <c r="Q541" i="3" s="1"/>
  <c r="I542" i="3" l="1"/>
  <c r="L542" i="3" s="1"/>
  <c r="G531" i="3"/>
  <c r="H531" i="3" l="1"/>
  <c r="F531" i="3"/>
  <c r="J531" i="3" l="1"/>
  <c r="K542" i="3"/>
  <c r="P542" i="3"/>
  <c r="Q542" i="3" s="1"/>
  <c r="I543" i="3" l="1"/>
  <c r="L543" i="3" s="1"/>
  <c r="G532" i="3"/>
  <c r="H532" i="3" l="1"/>
  <c r="F532" i="3"/>
  <c r="J532" i="3" l="1"/>
  <c r="K543" i="3"/>
  <c r="P543" i="3"/>
  <c r="Q543" i="3" s="1"/>
  <c r="I544" i="3" l="1"/>
  <c r="L544" i="3" s="1"/>
  <c r="G533" i="3"/>
  <c r="H533" i="3" l="1"/>
  <c r="F533" i="3"/>
  <c r="J533" i="3" l="1"/>
  <c r="K544" i="3"/>
  <c r="P544" i="3"/>
  <c r="Q544" i="3" s="1"/>
  <c r="I545" i="3" l="1"/>
  <c r="L545" i="3" s="1"/>
  <c r="G534" i="3"/>
  <c r="H534" i="3" l="1"/>
  <c r="F534" i="3"/>
  <c r="J534" i="3" l="1"/>
  <c r="K545" i="3"/>
  <c r="P545" i="3"/>
  <c r="Q545" i="3" s="1"/>
  <c r="I546" i="3" l="1"/>
  <c r="L546" i="3" s="1"/>
  <c r="G535" i="3"/>
  <c r="H535" i="3" l="1"/>
  <c r="F535" i="3"/>
  <c r="J535" i="3" l="1"/>
  <c r="K546" i="3"/>
  <c r="P546" i="3"/>
  <c r="Q546" i="3" s="1"/>
  <c r="I547" i="3" l="1"/>
  <c r="L547" i="3" s="1"/>
  <c r="G536" i="3"/>
  <c r="H536" i="3" l="1"/>
  <c r="F536" i="3"/>
  <c r="J536" i="3" l="1"/>
  <c r="K547" i="3"/>
  <c r="H25" i="3" s="1"/>
  <c r="P547" i="3"/>
  <c r="Q547" i="3" l="1"/>
  <c r="H27" i="3" s="1"/>
  <c r="G546" i="3"/>
  <c r="G537" i="3"/>
  <c r="G538" i="3"/>
  <c r="G540" i="3"/>
  <c r="G539" i="3"/>
  <c r="G541" i="3"/>
  <c r="G543" i="3"/>
  <c r="G542" i="3"/>
  <c r="G545" i="3"/>
  <c r="G544" i="3"/>
  <c r="G547" i="3"/>
  <c r="H544" i="3" l="1"/>
  <c r="H541" i="3"/>
  <c r="H542" i="3"/>
  <c r="H539" i="3"/>
  <c r="H547" i="3"/>
  <c r="H546" i="3"/>
  <c r="H540" i="3"/>
  <c r="H543" i="3"/>
  <c r="H545" i="3"/>
  <c r="H538" i="3"/>
  <c r="H537" i="3"/>
  <c r="F537" i="3"/>
  <c r="F538" i="3" l="1"/>
  <c r="J537" i="3"/>
  <c r="F539" i="3" l="1"/>
  <c r="J538" i="3"/>
  <c r="F540" i="3" l="1"/>
  <c r="J539" i="3"/>
  <c r="F541" i="3" l="1"/>
  <c r="J540" i="3"/>
  <c r="F542" i="3" l="1"/>
  <c r="J541" i="3"/>
  <c r="J542" i="3" l="1"/>
  <c r="F543" i="3"/>
  <c r="F544" i="3" l="1"/>
  <c r="J543" i="3"/>
  <c r="J544" i="3" l="1"/>
  <c r="F545" i="3"/>
  <c r="J545" i="3" l="1"/>
  <c r="F546" i="3"/>
  <c r="J546" i="3" l="1"/>
  <c r="F547" i="3"/>
  <c r="H22" i="3" s="1"/>
  <c r="J547" i="3" l="1"/>
  <c r="H30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<sst xmlns="http://schemas.openxmlformats.org/spreadsheetml/2006/main" count="232" uniqueCount="103">
  <si>
    <t>filas de espera</t>
  </si>
  <si>
    <t>simulacion</t>
  </si>
  <si>
    <t>cpm</t>
  </si>
  <si>
    <t>ejercicio grande</t>
  </si>
  <si>
    <t>chiquito</t>
  </si>
  <si>
    <t>de comparación</t>
  </si>
  <si>
    <t>nac y muerte</t>
  </si>
  <si>
    <t>ID</t>
  </si>
  <si>
    <t>Actividad</t>
  </si>
  <si>
    <t>Predecesoras</t>
  </si>
  <si>
    <t>Duración (horas)</t>
  </si>
  <si>
    <t>A</t>
  </si>
  <si>
    <t>—</t>
  </si>
  <si>
    <t>B</t>
  </si>
  <si>
    <t>C</t>
  </si>
  <si>
    <t>D</t>
  </si>
  <si>
    <t>E</t>
  </si>
  <si>
    <t>F</t>
  </si>
  <si>
    <t>G</t>
  </si>
  <si>
    <t>H</t>
  </si>
  <si>
    <t>I</t>
  </si>
  <si>
    <t>Instrucciones:</t>
  </si>
  <si>
    <t>2.-</t>
  </si>
  <si>
    <t>1 punto</t>
  </si>
  <si>
    <t>2 puntos</t>
  </si>
  <si>
    <t>2,5 puntos</t>
  </si>
  <si>
    <t>Margen Total</t>
  </si>
  <si>
    <t xml:space="preserve">ID </t>
  </si>
  <si>
    <t xml:space="preserve">TAREA </t>
  </si>
  <si>
    <t xml:space="preserve">Te </t>
  </si>
  <si>
    <t>FTj</t>
  </si>
  <si>
    <t>Fti</t>
  </si>
  <si>
    <t>MT</t>
  </si>
  <si>
    <t>Tarea crítica?</t>
  </si>
  <si>
    <t>Solución</t>
  </si>
  <si>
    <t>1.-</t>
  </si>
  <si>
    <t>0,5 puntos</t>
  </si>
  <si>
    <t>practica</t>
  </si>
  <si>
    <t>teoria</t>
  </si>
  <si>
    <t>𝜆 =</t>
  </si>
  <si>
    <t>µ =</t>
  </si>
  <si>
    <t>solicitudes en el sistema</t>
  </si>
  <si>
    <t>Wq</t>
  </si>
  <si>
    <t>Tiempo de espera en la cola</t>
  </si>
  <si>
    <t>Tiempo de espera en el sistema</t>
  </si>
  <si>
    <t>N° Azar</t>
  </si>
  <si>
    <t>Lq</t>
  </si>
  <si>
    <t>𝜆</t>
  </si>
  <si>
    <t>Tiempo entre arribos</t>
  </si>
  <si>
    <t>Llegada al sistema</t>
  </si>
  <si>
    <t>Nro despachos acumulado</t>
  </si>
  <si>
    <t>Despachos en el último periodo</t>
  </si>
  <si>
    <t>Estado Servidor</t>
  </si>
  <si>
    <t>Llegada al servidor</t>
  </si>
  <si>
    <t>µ</t>
  </si>
  <si>
    <t>Tiempo entre despachos</t>
  </si>
  <si>
    <t>Tiempo salida sistema</t>
  </si>
  <si>
    <t>Des</t>
  </si>
  <si>
    <t>Simulación</t>
  </si>
  <si>
    <t>L</t>
  </si>
  <si>
    <t>W</t>
  </si>
  <si>
    <t>p(1)</t>
  </si>
  <si>
    <t>p(2)</t>
  </si>
  <si>
    <t>p(3)</t>
  </si>
  <si>
    <t>L=</t>
  </si>
  <si>
    <t>2.- Calcule la cantidad de servidores activos en régimen peremanente, considere la tasa de reparación como 𝜆.</t>
  </si>
  <si>
    <t>horas</t>
  </si>
  <si>
    <t>2.- Dibuje el grafo del proyecto (diagrama de red con nodos y flechas) e indintifique el camino crítico del proyecto mediante el cálculo del margen total de holgura. Utilice la siguiente tabla como guía.</t>
  </si>
  <si>
    <t>Ejercicio 3: Duración de la actividad H</t>
  </si>
  <si>
    <t>La actividad H, consiste en validar la estabilidad del sistema de respaldo, conformado por 4 servidores, que pueden fallar y ser reparados. El área de soporte técnico ha estimado que en promedio ocurre 1 fallo cada 4 horas y cada reparación toma, en promedio, 3 horas. Solo es posible contar con 4 servidores activos, como máximo.</t>
  </si>
  <si>
    <t>1.- Indique si la siguiente afirmación en V o F y justifique en caso de ser F. "Se puede simular con Montecarlo la evolución de una Matriz de Transición"</t>
  </si>
  <si>
    <t>Usando Ley de Little calcule el W (horas) del sistema. Ese valor es el que debe utilizar en el punto 1 como duración de la tarea H. Considere 1 día = 8 horas</t>
  </si>
  <si>
    <t>Ejercicio 2: Duración de la actividad D</t>
  </si>
  <si>
    <t>a.- Para conectar los compresores, los técnicos deben esperar que esté disponible uno de los 2 especialistas en refrigeración. Las llegadas de las tareas al taller siguen una distribución de Poisson con media 6 tareas por hora, y los especialistas tienen un tiempo de servicio exponencial con media de 15 minutos.</t>
  </si>
  <si>
    <t>1.- Explique qué interpretación tiene el parámetro ro y qué implicancias tiene su valor respeco al comportamiento del sistema.</t>
  </si>
  <si>
    <r>
      <t xml:space="preserve">2.- Describa el modelo con los indicadores principales y calcule para este caso. Use el valor de </t>
    </r>
    <r>
      <rPr>
        <b/>
        <sz val="11"/>
        <color theme="1"/>
        <rFont val="Calibri"/>
        <family val="2"/>
      </rPr>
      <t>W (en horas)</t>
    </r>
    <r>
      <rPr>
        <sz val="11"/>
        <color theme="1"/>
        <rFont val="Calibri"/>
        <family val="2"/>
      </rPr>
      <t xml:space="preserve"> como duración de la actividad D en el ejercicio del punto 1.</t>
    </r>
  </si>
  <si>
    <t>ro es el factor de tránsito, muestra si el sistema está o no saturado</t>
  </si>
  <si>
    <t>M/M/2</t>
  </si>
  <si>
    <t>tareas por hora</t>
  </si>
  <si>
    <t>solicitudes en la cola</t>
  </si>
  <si>
    <t>1.- Durante un proceso de simulación, ¿qué rol cumplen los números aleatorios y por qué depende de ellos el éxito o no del proceso?</t>
  </si>
  <si>
    <t>son aquellos que aseguran que el proceso sea probabilístico lo cual asegura que se acerque lo más posible a lo que puede suceder en la realidad</t>
  </si>
  <si>
    <t>b.- Teniendo en cuenta que los tiempos de llegada y atención de las solicitudes son estimados, simule el sistema para uno de los especialistas y compare los resultados con el punto a</t>
  </si>
  <si>
    <t>2.- Realice 500 corridas y justifique si tener 1 especilista es factible con el nivel de operación indicado.</t>
  </si>
  <si>
    <r>
      <rPr>
        <b/>
        <sz val="11"/>
        <color theme="1"/>
        <rFont val="Calibri"/>
        <family val="2"/>
      </rPr>
      <t>Contexto general: Desarrollo de una nueva línea de procesamiento</t>
    </r>
    <r>
      <rPr>
        <sz val="11"/>
        <color theme="1"/>
        <rFont val="Calibri"/>
        <family val="2"/>
      </rPr>
      <t xml:space="preserve">
Para la implementación de una nueva línea de producción se requiere coordinar múltiples tareas. Se detallan las actividades relacionadas al proyecto, sus precedencias y duración estimada en horas:</t>
    </r>
  </si>
  <si>
    <t>Instalación eléctrica general</t>
  </si>
  <si>
    <t>Adquisición de equipos</t>
  </si>
  <si>
    <t>Armado de sala de compresores</t>
  </si>
  <si>
    <t>Conexión de compresores</t>
  </si>
  <si>
    <t>En caso de no llegar con el tiempo use W=1</t>
  </si>
  <si>
    <t>Montaje de línea de llenado</t>
  </si>
  <si>
    <t>Configuración del software de control</t>
  </si>
  <si>
    <t>D,E</t>
  </si>
  <si>
    <t>Pruebas Hidráulicas</t>
  </si>
  <si>
    <t>Validación de servidores de respaldo</t>
  </si>
  <si>
    <t>Punto 3</t>
  </si>
  <si>
    <t>Punto 2a</t>
  </si>
  <si>
    <t>En caso de no llegar con el tiempo use W=4</t>
  </si>
  <si>
    <t>Validación sanitaria final</t>
  </si>
  <si>
    <t>G,H</t>
  </si>
  <si>
    <t>1.- ¿Por qué en PERT se realiza el cálculo del desvío estándar?</t>
  </si>
  <si>
    <t>Porque en PERT trabajo con tiempos probabilísticos y necesito conocer el margen de error de cada una de las tareas</t>
  </si>
  <si>
    <t>p(4)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</si>
</sst>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8"/>
      <name val="Calibri"/>
      <family val="2"/>
    </font>
    <font>
      <b/>
      <sz val="13.5"/>
      <color theme="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uble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double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86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left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left" vertical="center" indent="1"/>
    </xf>
    <xf numFmtId="0" fontId="6" fillId="0" borderId="4" xfId="0" applyFont="1" applyBorder="1" applyAlignment="1">
      <alignment horizontal="center" wrapText="1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2" fontId="10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0" fontId="11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 readingOrder="1"/>
    </xf>
    <xf numFmtId="1" fontId="2" fillId="0" borderId="5" xfId="0" applyNumberFormat="1" applyFont="1" applyBorder="1" applyAlignment="1">
      <alignment horizontal="center" wrapText="1" readingOrder="1"/>
    </xf>
    <xf numFmtId="2" fontId="0" fillId="0" borderId="0" xfId="0" applyNumberFormat="1"/>
    <xf numFmtId="164" fontId="4" fillId="4" borderId="0" xfId="0" applyNumberFormat="1" applyFont="1" applyFill="1" applyAlignment="1">
      <alignment horizontal="center"/>
    </xf>
    <xf numFmtId="2" fontId="0" fillId="4" borderId="0" xfId="0" applyNumberFormat="1" applyFill="1"/>
    <xf numFmtId="0" fontId="4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6" fillId="0" borderId="6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2" fillId="3" borderId="11" xfId="0" applyFont="1" applyFill="1" applyBorder="1" applyAlignment="1">
      <alignment horizontal="center" vertical="center" wrapText="1" readingOrder="1"/>
    </xf>
    <xf numFmtId="0" fontId="2" fillId="3" borderId="12" xfId="0" applyFont="1" applyFill="1" applyBorder="1" applyAlignment="1">
      <alignment horizontal="center" vertical="center" wrapText="1" readingOrder="1"/>
    </xf>
    <xf numFmtId="0" fontId="2" fillId="3" borderId="13" xfId="0" applyFont="1" applyFill="1" applyBorder="1" applyAlignment="1">
      <alignment horizontal="center" vertical="center" wrapText="1" readingOrder="1"/>
    </xf>
    <xf numFmtId="16" fontId="2" fillId="0" borderId="14" xfId="0" applyNumberFormat="1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16" fontId="2" fillId="0" borderId="16" xfId="0" applyNumberFormat="1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1"/>
    </xf>
    <xf numFmtId="16" fontId="2" fillId="0" borderId="18" xfId="0" applyNumberFormat="1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left" vertical="center" wrapText="1" readingOrder="1"/>
    </xf>
    <xf numFmtId="0" fontId="2" fillId="0" borderId="19" xfId="0" applyFont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left" wrapText="1" readingOrder="1"/>
    </xf>
    <xf numFmtId="0" fontId="2" fillId="0" borderId="20" xfId="0" applyFont="1" applyBorder="1" applyAlignment="1">
      <alignment horizontal="center" vertical="center" wrapText="1" readingOrder="1"/>
    </xf>
    <xf numFmtId="2" fontId="5" fillId="2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 wrapText="1" readingOrder="1"/>
    </xf>
    <xf numFmtId="2" fontId="2" fillId="0" borderId="5" xfId="0" applyNumberFormat="1" applyFont="1" applyBorder="1" applyAlignment="1">
      <alignment horizontal="center" vertical="center" wrapText="1" readingOrder="1"/>
    </xf>
    <xf numFmtId="2" fontId="11" fillId="0" borderId="4" xfId="0" applyNumberFormat="1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 readingOrder="1"/>
    </xf>
    <xf numFmtId="2" fontId="2" fillId="0" borderId="19" xfId="0" applyNumberFormat="1" applyFont="1" applyBorder="1" applyAlignment="1">
      <alignment horizontal="center" wrapText="1" readingOrder="1"/>
    </xf>
    <xf numFmtId="0" fontId="4" fillId="0" borderId="0" xfId="0" applyFont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2" fillId="3" borderId="7" xfId="0" applyFont="1" applyFill="1" applyBorder="1" applyAlignment="1">
      <alignment horizontal="center" wrapText="1" readingOrder="1"/>
    </xf>
    <xf numFmtId="0" fontId="2" fillId="3" borderId="8" xfId="0" applyFont="1" applyFill="1" applyBorder="1" applyAlignment="1">
      <alignment horizontal="center" wrapText="1" readingOrder="1"/>
    </xf>
    <xf numFmtId="0" fontId="2" fillId="3" borderId="9" xfId="0" applyFont="1" applyFill="1" applyBorder="1" applyAlignment="1">
      <alignment horizontal="center" wrapText="1" readingOrder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</cellXfs>
  <cellStyles count="2">
    <cellStyle name="Normal" xfId="0" builtinId="0"/>
    <cellStyle name="Normal 2" xfId="1" xr:uid="{8EC5218A-A21C-4BE8-9DB2-FFC9FE19F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49</xdr:row>
      <xdr:rowOff>180975</xdr:rowOff>
    </xdr:from>
    <xdr:to>
      <xdr:col>19</xdr:col>
      <xdr:colOff>28575</xdr:colOff>
      <xdr:row>52</xdr:row>
      <xdr:rowOff>38100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D36B2E1F-8C3D-3C7F-57D7-B4DF3A8F2532}"/>
            </a:ext>
          </a:extLst>
        </xdr:cNvPr>
        <xdr:cNvCxnSpPr/>
      </xdr:nvCxnSpPr>
      <xdr:spPr>
        <a:xfrm>
          <a:off x="11325225" y="10925175"/>
          <a:ext cx="790575" cy="4286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52</xdr:row>
      <xdr:rowOff>38100</xdr:rowOff>
    </xdr:from>
    <xdr:to>
      <xdr:col>18</xdr:col>
      <xdr:colOff>752475</xdr:colOff>
      <xdr:row>55</xdr:row>
      <xdr:rowOff>180975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A3F713C9-464C-4666-BE64-7D60E037C647}"/>
            </a:ext>
          </a:extLst>
        </xdr:cNvPr>
        <xdr:cNvCxnSpPr/>
      </xdr:nvCxnSpPr>
      <xdr:spPr>
        <a:xfrm flipV="1">
          <a:off x="11344275" y="11353800"/>
          <a:ext cx="733425" cy="714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52</xdr:row>
      <xdr:rowOff>0</xdr:rowOff>
    </xdr:from>
    <xdr:to>
      <xdr:col>21</xdr:col>
      <xdr:colOff>752475</xdr:colOff>
      <xdr:row>52</xdr:row>
      <xdr:rowOff>9525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53CD2D65-8C40-4F5C-BE09-9093FEA8657D}"/>
            </a:ext>
          </a:extLst>
        </xdr:cNvPr>
        <xdr:cNvCxnSpPr/>
      </xdr:nvCxnSpPr>
      <xdr:spPr>
        <a:xfrm>
          <a:off x="12573000" y="11315700"/>
          <a:ext cx="7524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552450</xdr:colOff>
      <xdr:row>51</xdr:row>
      <xdr:rowOff>19050</xdr:rowOff>
    </xdr:from>
    <xdr:to>
      <xdr:col>17</xdr:col>
      <xdr:colOff>19050</xdr:colOff>
      <xdr:row>55</xdr:row>
      <xdr:rowOff>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41BBE014-F5BA-454E-9D1F-6435AE848354}"/>
            </a:ext>
          </a:extLst>
        </xdr:cNvPr>
        <xdr:cNvCxnSpPr/>
      </xdr:nvCxnSpPr>
      <xdr:spPr>
        <a:xfrm flipH="1">
          <a:off x="9782175" y="11144250"/>
          <a:ext cx="1295400" cy="742950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56</xdr:row>
      <xdr:rowOff>0</xdr:rowOff>
    </xdr:from>
    <xdr:to>
      <xdr:col>13</xdr:col>
      <xdr:colOff>9525</xdr:colOff>
      <xdr:row>56</xdr:row>
      <xdr:rowOff>9525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89998CD6-8B60-4B89-930A-37A8CF013E8A}"/>
            </a:ext>
          </a:extLst>
        </xdr:cNvPr>
        <xdr:cNvCxnSpPr/>
      </xdr:nvCxnSpPr>
      <xdr:spPr>
        <a:xfrm flipV="1">
          <a:off x="8496300" y="12077700"/>
          <a:ext cx="7429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56</xdr:row>
      <xdr:rowOff>0</xdr:rowOff>
    </xdr:from>
    <xdr:to>
      <xdr:col>10</xdr:col>
      <xdr:colOff>9525</xdr:colOff>
      <xdr:row>56</xdr:row>
      <xdr:rowOff>9525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97ED591C-6A23-48AF-966F-BC9981084E84}"/>
            </a:ext>
          </a:extLst>
        </xdr:cNvPr>
        <xdr:cNvCxnSpPr/>
      </xdr:nvCxnSpPr>
      <xdr:spPr>
        <a:xfrm flipV="1">
          <a:off x="8496300" y="12077700"/>
          <a:ext cx="7429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50</xdr:row>
      <xdr:rowOff>19050</xdr:rowOff>
    </xdr:from>
    <xdr:to>
      <xdr:col>13</xdr:col>
      <xdr:colOff>0</xdr:colOff>
      <xdr:row>51</xdr:row>
      <xdr:rowOff>180975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CCFB9059-C945-42CC-8AC6-94B667AF5CF5}"/>
            </a:ext>
          </a:extLst>
        </xdr:cNvPr>
        <xdr:cNvCxnSpPr/>
      </xdr:nvCxnSpPr>
      <xdr:spPr>
        <a:xfrm flipV="1">
          <a:off x="5476875" y="10953750"/>
          <a:ext cx="375285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52</xdr:row>
      <xdr:rowOff>0</xdr:rowOff>
    </xdr:from>
    <xdr:to>
      <xdr:col>7</xdr:col>
      <xdr:colOff>9525</xdr:colOff>
      <xdr:row>56</xdr:row>
      <xdr:rowOff>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CCAF79FF-5D29-4078-BCCB-10289C858A36}"/>
            </a:ext>
          </a:extLst>
        </xdr:cNvPr>
        <xdr:cNvCxnSpPr/>
      </xdr:nvCxnSpPr>
      <xdr:spPr>
        <a:xfrm>
          <a:off x="5495925" y="11315700"/>
          <a:ext cx="762000" cy="762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50</xdr:row>
      <xdr:rowOff>9525</xdr:rowOff>
    </xdr:from>
    <xdr:to>
      <xdr:col>16</xdr:col>
      <xdr:colOff>0</xdr:colOff>
      <xdr:row>50</xdr:row>
      <xdr:rowOff>19050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DBEC142C-7E9E-43E9-8E03-721D0AF2B1B9}"/>
            </a:ext>
          </a:extLst>
        </xdr:cNvPr>
        <xdr:cNvCxnSpPr/>
      </xdr:nvCxnSpPr>
      <xdr:spPr>
        <a:xfrm flipV="1">
          <a:off x="10306050" y="10944225"/>
          <a:ext cx="7429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56</xdr:row>
      <xdr:rowOff>9525</xdr:rowOff>
    </xdr:from>
    <xdr:to>
      <xdr:col>16</xdr:col>
      <xdr:colOff>9525</xdr:colOff>
      <xdr:row>56</xdr:row>
      <xdr:rowOff>19050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B966BB3F-6871-480C-80F6-7819EA2EDC3D}"/>
            </a:ext>
          </a:extLst>
        </xdr:cNvPr>
        <xdr:cNvCxnSpPr/>
      </xdr:nvCxnSpPr>
      <xdr:spPr>
        <a:xfrm flipV="1">
          <a:off x="10315575" y="12087225"/>
          <a:ext cx="7429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28</xdr:row>
      <xdr:rowOff>142875</xdr:rowOff>
    </xdr:from>
    <xdr:to>
      <xdr:col>2</xdr:col>
      <xdr:colOff>495301</xdr:colOff>
      <xdr:row>30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392ECB7-34A7-B251-04F8-7D6CB2F974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r="70282" b="-10271"/>
        <a:stretch>
          <a:fillRect/>
        </a:stretch>
      </xdr:blipFill>
      <xdr:spPr>
        <a:xfrm>
          <a:off x="1524001" y="5953125"/>
          <a:ext cx="495300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742950</xdr:colOff>
      <xdr:row>23</xdr:row>
      <xdr:rowOff>19050</xdr:rowOff>
    </xdr:from>
    <xdr:to>
      <xdr:col>2</xdr:col>
      <xdr:colOff>542925</xdr:colOff>
      <xdr:row>25</xdr:row>
      <xdr:rowOff>104775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8E6608-1466-2088-7368-01778BB48D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6291" b="-4269"/>
        <a:stretch>
          <a:fillRect/>
        </a:stretch>
      </xdr:blipFill>
      <xdr:spPr>
        <a:xfrm>
          <a:off x="1504950" y="4876800"/>
          <a:ext cx="561975" cy="466725"/>
        </a:xfrm>
        <a:prstGeom prst="rect">
          <a:avLst/>
        </a:prstGeom>
      </xdr:spPr>
    </xdr:pic>
    <xdr:clientData/>
  </xdr:twoCellAnchor>
  <xdr:twoCellAnchor editAs="oneCell">
    <xdr:from>
      <xdr:col>0</xdr:col>
      <xdr:colOff>723900</xdr:colOff>
      <xdr:row>25</xdr:row>
      <xdr:rowOff>190499</xdr:rowOff>
    </xdr:from>
    <xdr:to>
      <xdr:col>2</xdr:col>
      <xdr:colOff>638175</xdr:colOff>
      <xdr:row>28</xdr:row>
      <xdr:rowOff>47624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1B2DB22-2209-5A54-95D3-2F497B4208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34339" b="-4664"/>
        <a:stretch>
          <a:fillRect/>
        </a:stretch>
      </xdr:blipFill>
      <xdr:spPr>
        <a:xfrm>
          <a:off x="723900" y="5429249"/>
          <a:ext cx="1438275" cy="4286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17</xdr:row>
      <xdr:rowOff>0</xdr:rowOff>
    </xdr:from>
    <xdr:to>
      <xdr:col>2</xdr:col>
      <xdr:colOff>657225</xdr:colOff>
      <xdr:row>19</xdr:row>
      <xdr:rowOff>68519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ADB8B2F-DE6B-4890-0AAA-AC11997C3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1" y="3714750"/>
          <a:ext cx="1990724" cy="44951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20</xdr:row>
      <xdr:rowOff>57150</xdr:rowOff>
    </xdr:from>
    <xdr:to>
      <xdr:col>2</xdr:col>
      <xdr:colOff>685800</xdr:colOff>
      <xdr:row>22</xdr:row>
      <xdr:rowOff>131836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0272B09-42F3-4F9E-2686-8780F55F9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" y="4343400"/>
          <a:ext cx="1638300" cy="4556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295274</xdr:colOff>
      <xdr:row>15</xdr:row>
      <xdr:rowOff>19050</xdr:rowOff>
    </xdr:from>
    <xdr:to>
      <xdr:col>3</xdr:col>
      <xdr:colOff>171449</xdr:colOff>
      <xdr:row>17</xdr:row>
      <xdr:rowOff>142875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6767C2F4-C4BE-1DE5-1CF4-B8995D34FA82}"/>
            </a:ext>
          </a:extLst>
        </xdr:cNvPr>
        <xdr:cNvSpPr/>
      </xdr:nvSpPr>
      <xdr:spPr>
        <a:xfrm>
          <a:off x="1819274" y="3209925"/>
          <a:ext cx="638175" cy="504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900">
              <a:latin typeface="Calibri" panose="020F0502020204030204" pitchFamily="34" charset="0"/>
              <a:cs typeface="Calibri" panose="020F0502020204030204" pitchFamily="34" charset="0"/>
            </a:rPr>
            <a:t>0 </a:t>
          </a:r>
          <a:r>
            <a:rPr lang="es-AR" sz="800">
              <a:latin typeface="Calibri" panose="020F0502020204030204" pitchFamily="34" charset="0"/>
              <a:cs typeface="Calibri" panose="020F0502020204030204" pitchFamily="34" charset="0"/>
            </a:rPr>
            <a:t>Act</a:t>
          </a:r>
          <a:endParaRPr lang="es-AR" sz="12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676274</xdr:colOff>
      <xdr:row>15</xdr:row>
      <xdr:rowOff>19050</xdr:rowOff>
    </xdr:from>
    <xdr:to>
      <xdr:col>4</xdr:col>
      <xdr:colOff>552449</xdr:colOff>
      <xdr:row>17</xdr:row>
      <xdr:rowOff>142875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141398B1-3B45-4F27-99ED-44710ED9C282}"/>
            </a:ext>
          </a:extLst>
        </xdr:cNvPr>
        <xdr:cNvSpPr/>
      </xdr:nvSpPr>
      <xdr:spPr>
        <a:xfrm>
          <a:off x="2962274" y="3209925"/>
          <a:ext cx="638175" cy="504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900"/>
            <a:t>1 Act</a:t>
          </a:r>
        </a:p>
      </xdr:txBody>
    </xdr:sp>
    <xdr:clientData/>
  </xdr:twoCellAnchor>
  <xdr:twoCellAnchor>
    <xdr:from>
      <xdr:col>5</xdr:col>
      <xdr:colOff>247649</xdr:colOff>
      <xdr:row>15</xdr:row>
      <xdr:rowOff>9525</xdr:rowOff>
    </xdr:from>
    <xdr:to>
      <xdr:col>6</xdr:col>
      <xdr:colOff>123824</xdr:colOff>
      <xdr:row>17</xdr:row>
      <xdr:rowOff>133350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C19369EB-5A72-4FFC-877D-BAD31845F7BB}"/>
            </a:ext>
          </a:extLst>
        </xdr:cNvPr>
        <xdr:cNvSpPr/>
      </xdr:nvSpPr>
      <xdr:spPr>
        <a:xfrm>
          <a:off x="4057649" y="3200400"/>
          <a:ext cx="638175" cy="504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000">
              <a:solidFill>
                <a:schemeClr val="lt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 Act</a:t>
          </a:r>
          <a:endParaRPr lang="es-AR" sz="700"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590549</xdr:colOff>
      <xdr:row>14</xdr:row>
      <xdr:rowOff>180975</xdr:rowOff>
    </xdr:from>
    <xdr:to>
      <xdr:col>7</xdr:col>
      <xdr:colOff>466724</xdr:colOff>
      <xdr:row>17</xdr:row>
      <xdr:rowOff>114300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F41E6BDC-8AA5-4E12-8073-989DBFBB3C25}"/>
            </a:ext>
          </a:extLst>
        </xdr:cNvPr>
        <xdr:cNvSpPr/>
      </xdr:nvSpPr>
      <xdr:spPr>
        <a:xfrm>
          <a:off x="5162549" y="3181350"/>
          <a:ext cx="638175" cy="504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000">
              <a:solidFill>
                <a:schemeClr val="lt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3 Act</a:t>
          </a:r>
          <a:endParaRPr lang="es-AR" sz="700"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614362</xdr:colOff>
      <xdr:row>15</xdr:row>
      <xdr:rowOff>19050</xdr:rowOff>
    </xdr:from>
    <xdr:to>
      <xdr:col>4</xdr:col>
      <xdr:colOff>233362</xdr:colOff>
      <xdr:row>15</xdr:row>
      <xdr:rowOff>19050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828DE38D-5967-DDE7-6D72-D218CFC4C553}"/>
            </a:ext>
          </a:extLst>
        </xdr:cNvPr>
        <xdr:cNvCxnSpPr>
          <a:stCxn id="2" idx="0"/>
          <a:endCxn id="3" idx="0"/>
        </xdr:cNvCxnSpPr>
      </xdr:nvCxnSpPr>
      <xdr:spPr>
        <a:xfrm>
          <a:off x="2138362" y="3209925"/>
          <a:ext cx="1143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233362</xdr:colOff>
      <xdr:row>15</xdr:row>
      <xdr:rowOff>9525</xdr:rowOff>
    </xdr:from>
    <xdr:to>
      <xdr:col>5</xdr:col>
      <xdr:colOff>566737</xdr:colOff>
      <xdr:row>15</xdr:row>
      <xdr:rowOff>19050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A9FE92C6-601A-4298-B5D9-44B7F4AA6BA2}"/>
            </a:ext>
          </a:extLst>
        </xdr:cNvPr>
        <xdr:cNvCxnSpPr>
          <a:stCxn id="3" idx="0"/>
          <a:endCxn id="4" idx="0"/>
        </xdr:cNvCxnSpPr>
      </xdr:nvCxnSpPr>
      <xdr:spPr>
        <a:xfrm flipV="1">
          <a:off x="3281362" y="3200400"/>
          <a:ext cx="10953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566737</xdr:colOff>
      <xdr:row>14</xdr:row>
      <xdr:rowOff>180975</xdr:rowOff>
    </xdr:from>
    <xdr:to>
      <xdr:col>7</xdr:col>
      <xdr:colOff>147637</xdr:colOff>
      <xdr:row>15</xdr:row>
      <xdr:rowOff>9525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7961A20C-F405-4389-914C-427A45D7EF7C}"/>
            </a:ext>
          </a:extLst>
        </xdr:cNvPr>
        <xdr:cNvCxnSpPr>
          <a:stCxn id="4" idx="0"/>
          <a:endCxn id="5" idx="0"/>
        </xdr:cNvCxnSpPr>
      </xdr:nvCxnSpPr>
      <xdr:spPr>
        <a:xfrm flipV="1">
          <a:off x="4376737" y="3181350"/>
          <a:ext cx="11049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566737</xdr:colOff>
      <xdr:row>17</xdr:row>
      <xdr:rowOff>114300</xdr:rowOff>
    </xdr:from>
    <xdr:to>
      <xdr:col>7</xdr:col>
      <xdr:colOff>147637</xdr:colOff>
      <xdr:row>17</xdr:row>
      <xdr:rowOff>133350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3E7D36BC-5271-4795-A30C-F11A2D235125}"/>
            </a:ext>
          </a:extLst>
        </xdr:cNvPr>
        <xdr:cNvCxnSpPr>
          <a:stCxn id="5" idx="4"/>
          <a:endCxn id="4" idx="4"/>
        </xdr:cNvCxnSpPr>
      </xdr:nvCxnSpPr>
      <xdr:spPr>
        <a:xfrm flipH="1">
          <a:off x="4376737" y="3686175"/>
          <a:ext cx="11049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233362</xdr:colOff>
      <xdr:row>17</xdr:row>
      <xdr:rowOff>133350</xdr:rowOff>
    </xdr:from>
    <xdr:to>
      <xdr:col>5</xdr:col>
      <xdr:colOff>566737</xdr:colOff>
      <xdr:row>17</xdr:row>
      <xdr:rowOff>142875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7C97AFFC-5749-42B2-91A7-8B9726756467}"/>
            </a:ext>
          </a:extLst>
        </xdr:cNvPr>
        <xdr:cNvCxnSpPr>
          <a:stCxn id="4" idx="4"/>
          <a:endCxn id="3" idx="4"/>
        </xdr:cNvCxnSpPr>
      </xdr:nvCxnSpPr>
      <xdr:spPr>
        <a:xfrm flipH="1">
          <a:off x="3281362" y="3705225"/>
          <a:ext cx="10953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614362</xdr:colOff>
      <xdr:row>17</xdr:row>
      <xdr:rowOff>142875</xdr:rowOff>
    </xdr:from>
    <xdr:to>
      <xdr:col>4</xdr:col>
      <xdr:colOff>233362</xdr:colOff>
      <xdr:row>17</xdr:row>
      <xdr:rowOff>142875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A5B250D6-1569-4062-8D48-EAE6A1A650E9}"/>
            </a:ext>
          </a:extLst>
        </xdr:cNvPr>
        <xdr:cNvCxnSpPr>
          <a:stCxn id="3" idx="4"/>
          <a:endCxn id="2" idx="4"/>
        </xdr:cNvCxnSpPr>
      </xdr:nvCxnSpPr>
      <xdr:spPr>
        <a:xfrm flipH="1">
          <a:off x="2138362" y="3714750"/>
          <a:ext cx="1143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476250</xdr:colOff>
      <xdr:row>19</xdr:row>
      <xdr:rowOff>114300</xdr:rowOff>
    </xdr:from>
    <xdr:to>
      <xdr:col>5</xdr:col>
      <xdr:colOff>676275</xdr:colOff>
      <xdr:row>24</xdr:row>
      <xdr:rowOff>0</xdr:rowOff>
    </xdr:to>
    <xdr:pic>
      <xdr:nvPicPr>
        <xdr:cNvPr id="32" name="Picture 3">
          <a:extLst>
            <a:ext uri="{FF2B5EF4-FFF2-40B4-BE49-F238E27FC236}">
              <a16:creationId xmlns:a16="http://schemas.microsoft.com/office/drawing/2014/main" id="{8EC9941F-685C-47A7-7BEE-23ECBA1F2D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r="15686"/>
        <a:stretch>
          <a:fillRect/>
        </a:stretch>
      </xdr:blipFill>
      <xdr:spPr bwMode="auto">
        <a:xfrm>
          <a:off x="1238250" y="4067175"/>
          <a:ext cx="32766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561975</xdr:colOff>
      <xdr:row>32</xdr:row>
      <xdr:rowOff>28575</xdr:rowOff>
    </xdr:from>
    <xdr:to>
      <xdr:col>5</xdr:col>
      <xdr:colOff>466725</xdr:colOff>
      <xdr:row>33</xdr:row>
      <xdr:rowOff>28575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276C2132-77B7-80F5-D15F-21513401B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609975" y="6457950"/>
          <a:ext cx="666750" cy="190500"/>
        </a:xfrm>
        <a:prstGeom prst="rect">
          <a:avLst/>
        </a:prstGeom>
        <a:noFill/>
      </xdr:spPr>
    </xdr:pic>
    <xdr:clientData/>
  </xdr:twoCellAnchor>
  <xdr:twoCellAnchor>
    <xdr:from>
      <xdr:col>8</xdr:col>
      <xdr:colOff>276224</xdr:colOff>
      <xdr:row>14</xdr:row>
      <xdr:rowOff>161925</xdr:rowOff>
    </xdr:from>
    <xdr:to>
      <xdr:col>9</xdr:col>
      <xdr:colOff>152399</xdr:colOff>
      <xdr:row>17</xdr:row>
      <xdr:rowOff>95250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C254530D-5396-46BC-932F-217C1829265B}"/>
            </a:ext>
          </a:extLst>
        </xdr:cNvPr>
        <xdr:cNvSpPr/>
      </xdr:nvSpPr>
      <xdr:spPr>
        <a:xfrm>
          <a:off x="6400799" y="3524250"/>
          <a:ext cx="638175" cy="5048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000">
              <a:solidFill>
                <a:schemeClr val="lt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4 Act</a:t>
          </a:r>
          <a:endParaRPr lang="es-AR" sz="700"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252412</xdr:colOff>
      <xdr:row>14</xdr:row>
      <xdr:rowOff>161925</xdr:rowOff>
    </xdr:from>
    <xdr:to>
      <xdr:col>8</xdr:col>
      <xdr:colOff>595312</xdr:colOff>
      <xdr:row>14</xdr:row>
      <xdr:rowOff>180975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81DC0FF5-031D-4EEB-98BA-A3F62F51A5EA}"/>
            </a:ext>
          </a:extLst>
        </xdr:cNvPr>
        <xdr:cNvCxnSpPr>
          <a:endCxn id="6" idx="0"/>
        </xdr:cNvCxnSpPr>
      </xdr:nvCxnSpPr>
      <xdr:spPr>
        <a:xfrm flipV="1">
          <a:off x="5614987" y="3524250"/>
          <a:ext cx="11049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252412</xdr:colOff>
      <xdr:row>17</xdr:row>
      <xdr:rowOff>95250</xdr:rowOff>
    </xdr:from>
    <xdr:to>
      <xdr:col>8</xdr:col>
      <xdr:colOff>595312</xdr:colOff>
      <xdr:row>17</xdr:row>
      <xdr:rowOff>114300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74E70E26-7E8D-413F-B30F-A4CC481788DB}"/>
            </a:ext>
          </a:extLst>
        </xdr:cNvPr>
        <xdr:cNvCxnSpPr>
          <a:stCxn id="6" idx="4"/>
        </xdr:cNvCxnSpPr>
      </xdr:nvCxnSpPr>
      <xdr:spPr>
        <a:xfrm flipH="1">
          <a:off x="5614987" y="4029075"/>
          <a:ext cx="11049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61E1-9DA5-44DA-A5B0-7D9A2C0D0887}">
  <dimension ref="B4:E8"/>
  <sheetViews>
    <sheetView workbookViewId="0">
      <selection activeCell="D5" sqref="D5:E8"/>
    </sheetView>
  </sheetViews>
  <sheetFormatPr baseColWidth="10" defaultRowHeight="15" x14ac:dyDescent="0.25"/>
  <sheetData>
    <row r="4" spans="2:5" x14ac:dyDescent="0.25">
      <c r="D4" t="s">
        <v>37</v>
      </c>
      <c r="E4" t="s">
        <v>38</v>
      </c>
    </row>
    <row r="5" spans="2:5" x14ac:dyDescent="0.25">
      <c r="B5" t="s">
        <v>2</v>
      </c>
      <c r="C5" t="s">
        <v>3</v>
      </c>
      <c r="D5">
        <v>2.5</v>
      </c>
      <c r="E5">
        <v>0.5</v>
      </c>
    </row>
    <row r="6" spans="2:5" x14ac:dyDescent="0.25">
      <c r="B6" t="s">
        <v>6</v>
      </c>
      <c r="C6" t="s">
        <v>4</v>
      </c>
      <c r="D6">
        <v>2</v>
      </c>
      <c r="E6">
        <v>0.5</v>
      </c>
    </row>
    <row r="7" spans="2:5" x14ac:dyDescent="0.25">
      <c r="B7" t="s">
        <v>1</v>
      </c>
      <c r="C7" t="s">
        <v>5</v>
      </c>
      <c r="D7">
        <v>2.5</v>
      </c>
      <c r="E7">
        <v>0.5</v>
      </c>
    </row>
    <row r="8" spans="2:5" x14ac:dyDescent="0.25">
      <c r="B8" t="s">
        <v>0</v>
      </c>
      <c r="C8" t="s">
        <v>4</v>
      </c>
      <c r="D8">
        <v>1</v>
      </c>
      <c r="E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24B4-5510-47B6-A13E-FC346EEB80FE}">
  <dimension ref="A2:X70"/>
  <sheetViews>
    <sheetView topLeftCell="F41" workbookViewId="0">
      <selection activeCell="M51" sqref="M51"/>
    </sheetView>
  </sheetViews>
  <sheetFormatPr baseColWidth="10" defaultRowHeight="15" x14ac:dyDescent="0.25"/>
  <cols>
    <col min="1" max="1" width="11.42578125" style="11"/>
    <col min="2" max="2" width="7.42578125" style="11" customWidth="1"/>
    <col min="3" max="3" width="36.85546875" style="11" customWidth="1"/>
    <col min="4" max="4" width="13.28515625" style="11" bestFit="1" customWidth="1"/>
    <col min="5" max="5" width="9.28515625" style="11" bestFit="1" customWidth="1"/>
    <col min="6" max="6" width="5.42578125" style="11" bestFit="1" customWidth="1"/>
    <col min="7" max="7" width="11.42578125" style="11"/>
    <col min="8" max="8" width="11.85546875" style="11" customWidth="1"/>
    <col min="9" max="9" width="4.5703125" style="11" bestFit="1" customWidth="1"/>
    <col min="10" max="10" width="11.42578125" style="11"/>
    <col min="11" max="11" width="3" style="11" bestFit="1" customWidth="1"/>
    <col min="12" max="12" width="5.5703125" style="11" bestFit="1" customWidth="1"/>
    <col min="13" max="13" width="11.42578125" style="11"/>
    <col min="14" max="14" width="8.7109375" style="11" customWidth="1"/>
    <col min="15" max="15" width="4" style="11" bestFit="1" customWidth="1"/>
    <col min="16" max="16" width="11.42578125" style="11"/>
    <col min="17" max="17" width="3.28515625" style="11" customWidth="1"/>
    <col min="18" max="18" width="5.5703125" style="11" bestFit="1" customWidth="1"/>
    <col min="19" max="19" width="11.42578125" style="11"/>
    <col min="20" max="20" width="3.28515625" style="11" customWidth="1"/>
    <col min="21" max="21" width="6.5703125" style="11" bestFit="1" customWidth="1"/>
    <col min="22" max="22" width="11.42578125" style="11"/>
    <col min="23" max="23" width="3.28515625" style="11" customWidth="1"/>
    <col min="24" max="24" width="5.5703125" style="11" bestFit="1" customWidth="1"/>
    <col min="25" max="25" width="11.42578125" style="11"/>
    <col min="26" max="26" width="4.140625" style="11" customWidth="1"/>
    <col min="27" max="27" width="4" style="11" bestFit="1" customWidth="1"/>
    <col min="28" max="16384" width="11.42578125" style="11"/>
  </cols>
  <sheetData>
    <row r="2" spans="2:10" s="10" customFormat="1" ht="60.75" customHeight="1" x14ac:dyDescent="0.25">
      <c r="B2" s="79" t="s">
        <v>84</v>
      </c>
      <c r="C2" s="79"/>
      <c r="D2" s="79"/>
      <c r="E2" s="79"/>
      <c r="F2" s="79"/>
      <c r="G2" s="79"/>
      <c r="H2" s="79"/>
      <c r="I2" s="79"/>
      <c r="J2" s="79"/>
    </row>
    <row r="4" spans="2:10" ht="5.0999999999999996" customHeight="1" x14ac:dyDescent="0.25"/>
    <row r="5" spans="2:10" ht="30" x14ac:dyDescent="0.25">
      <c r="B5" s="12" t="s">
        <v>7</v>
      </c>
      <c r="C5" s="12" t="s">
        <v>8</v>
      </c>
      <c r="D5" s="12" t="s">
        <v>9</v>
      </c>
      <c r="E5" s="12" t="s">
        <v>10</v>
      </c>
    </row>
    <row r="6" spans="2:10" x14ac:dyDescent="0.25">
      <c r="B6" s="12" t="s">
        <v>11</v>
      </c>
      <c r="C6" s="13" t="s">
        <v>85</v>
      </c>
      <c r="D6" s="14" t="s">
        <v>12</v>
      </c>
      <c r="E6" s="14">
        <v>6</v>
      </c>
    </row>
    <row r="7" spans="2:10" x14ac:dyDescent="0.25">
      <c r="B7" s="12" t="s">
        <v>13</v>
      </c>
      <c r="C7" s="13" t="s">
        <v>86</v>
      </c>
      <c r="D7" s="14" t="s">
        <v>12</v>
      </c>
      <c r="E7" s="14">
        <v>8</v>
      </c>
    </row>
    <row r="8" spans="2:10" x14ac:dyDescent="0.25">
      <c r="B8" s="12" t="s">
        <v>14</v>
      </c>
      <c r="C8" s="13" t="s">
        <v>87</v>
      </c>
      <c r="D8" s="14" t="s">
        <v>11</v>
      </c>
      <c r="E8" s="14">
        <v>5</v>
      </c>
    </row>
    <row r="9" spans="2:10" x14ac:dyDescent="0.25">
      <c r="B9" s="15" t="s">
        <v>15</v>
      </c>
      <c r="C9" s="16" t="s">
        <v>88</v>
      </c>
      <c r="D9" s="17" t="s">
        <v>14</v>
      </c>
      <c r="E9" s="15" t="s">
        <v>96</v>
      </c>
      <c r="F9" s="11" t="s">
        <v>89</v>
      </c>
    </row>
    <row r="10" spans="2:10" x14ac:dyDescent="0.25">
      <c r="B10" s="12" t="s">
        <v>16</v>
      </c>
      <c r="C10" s="13" t="s">
        <v>90</v>
      </c>
      <c r="D10" s="14" t="s">
        <v>13</v>
      </c>
      <c r="E10" s="14">
        <v>4</v>
      </c>
    </row>
    <row r="11" spans="2:10" x14ac:dyDescent="0.25">
      <c r="B11" s="12" t="s">
        <v>17</v>
      </c>
      <c r="C11" s="13" t="s">
        <v>91</v>
      </c>
      <c r="D11" s="14" t="s">
        <v>92</v>
      </c>
      <c r="E11" s="14">
        <v>3</v>
      </c>
    </row>
    <row r="12" spans="2:10" x14ac:dyDescent="0.25">
      <c r="B12" s="12" t="s">
        <v>18</v>
      </c>
      <c r="C12" s="13" t="s">
        <v>93</v>
      </c>
      <c r="D12" s="14" t="s">
        <v>16</v>
      </c>
      <c r="E12" s="14">
        <v>5</v>
      </c>
    </row>
    <row r="13" spans="2:10" x14ac:dyDescent="0.25">
      <c r="B13" s="15" t="s">
        <v>19</v>
      </c>
      <c r="C13" s="16" t="s">
        <v>94</v>
      </c>
      <c r="D13" s="17" t="s">
        <v>17</v>
      </c>
      <c r="E13" s="15" t="s">
        <v>95</v>
      </c>
      <c r="F13" s="11" t="s">
        <v>97</v>
      </c>
    </row>
    <row r="14" spans="2:10" x14ac:dyDescent="0.25">
      <c r="B14" s="12" t="s">
        <v>20</v>
      </c>
      <c r="C14" s="13" t="s">
        <v>98</v>
      </c>
      <c r="D14" s="14" t="s">
        <v>99</v>
      </c>
      <c r="E14" s="14">
        <v>2</v>
      </c>
    </row>
    <row r="15" spans="2:10" ht="5.0999999999999996" customHeight="1" x14ac:dyDescent="0.25">
      <c r="B15" s="18"/>
      <c r="C15" s="19"/>
      <c r="D15" s="20"/>
      <c r="E15" s="20"/>
    </row>
    <row r="16" spans="2:10" ht="15.75" thickBot="1" x14ac:dyDescent="0.3">
      <c r="B16" s="27" t="s">
        <v>21</v>
      </c>
    </row>
    <row r="17" spans="1:8" ht="15.75" thickBot="1" x14ac:dyDescent="0.3">
      <c r="A17" s="3" t="s">
        <v>36</v>
      </c>
      <c r="B17" s="11" t="s">
        <v>100</v>
      </c>
    </row>
    <row r="18" spans="1:8" ht="49.5" customHeight="1" thickBot="1" x14ac:dyDescent="0.3">
      <c r="A18" s="26" t="s">
        <v>25</v>
      </c>
      <c r="B18" s="80" t="s">
        <v>67</v>
      </c>
      <c r="C18" s="79"/>
      <c r="D18" s="79"/>
      <c r="E18" s="79"/>
      <c r="F18" s="79"/>
    </row>
    <row r="19" spans="1:8" ht="15.75" thickBot="1" x14ac:dyDescent="0.3">
      <c r="B19" s="22"/>
    </row>
    <row r="20" spans="1:8" ht="24" thickBot="1" x14ac:dyDescent="0.4">
      <c r="B20" s="56"/>
      <c r="C20" s="56"/>
      <c r="D20" s="57"/>
      <c r="E20" s="81" t="s">
        <v>26</v>
      </c>
      <c r="F20" s="82"/>
      <c r="G20" s="83"/>
      <c r="H20" s="58"/>
    </row>
    <row r="21" spans="1:8" ht="15.75" thickBot="1" x14ac:dyDescent="0.3">
      <c r="B21" s="59" t="s">
        <v>27</v>
      </c>
      <c r="C21" s="60" t="s">
        <v>28</v>
      </c>
      <c r="D21" s="60" t="s">
        <v>29</v>
      </c>
      <c r="E21" s="60" t="s">
        <v>30</v>
      </c>
      <c r="F21" s="60" t="s">
        <v>31</v>
      </c>
      <c r="G21" s="60" t="s">
        <v>32</v>
      </c>
      <c r="H21" s="61" t="s">
        <v>33</v>
      </c>
    </row>
    <row r="22" spans="1:8" ht="24" thickTop="1" x14ac:dyDescent="0.35">
      <c r="B22" s="62" t="s">
        <v>11</v>
      </c>
      <c r="C22" s="7" t="s">
        <v>85</v>
      </c>
      <c r="D22" s="4">
        <v>6</v>
      </c>
      <c r="E22" s="23"/>
      <c r="F22" s="23"/>
      <c r="G22" s="23"/>
      <c r="H22" s="63"/>
    </row>
    <row r="23" spans="1:8" x14ac:dyDescent="0.25">
      <c r="B23" s="64" t="s">
        <v>13</v>
      </c>
      <c r="C23" s="8" t="s">
        <v>86</v>
      </c>
      <c r="D23" s="5">
        <v>8</v>
      </c>
      <c r="E23" s="6"/>
      <c r="F23" s="6"/>
      <c r="G23" s="6"/>
      <c r="H23" s="65"/>
    </row>
    <row r="24" spans="1:8" x14ac:dyDescent="0.25">
      <c r="B24" s="64" t="s">
        <v>14</v>
      </c>
      <c r="C24" s="8" t="s">
        <v>87</v>
      </c>
      <c r="D24" s="5">
        <v>5</v>
      </c>
      <c r="E24" s="6"/>
      <c r="F24" s="6"/>
      <c r="G24" s="6"/>
      <c r="H24" s="65"/>
    </row>
    <row r="25" spans="1:8" x14ac:dyDescent="0.25">
      <c r="B25" s="64" t="s">
        <v>15</v>
      </c>
      <c r="C25" s="8" t="s">
        <v>88</v>
      </c>
      <c r="D25" s="5" t="s">
        <v>96</v>
      </c>
      <c r="E25" s="6"/>
      <c r="F25" s="6"/>
      <c r="G25" s="6"/>
      <c r="H25" s="65"/>
    </row>
    <row r="26" spans="1:8" x14ac:dyDescent="0.25">
      <c r="B26" s="64" t="s">
        <v>16</v>
      </c>
      <c r="C26" s="8" t="s">
        <v>90</v>
      </c>
      <c r="D26" s="5">
        <v>4</v>
      </c>
      <c r="E26" s="6"/>
      <c r="F26" s="6"/>
      <c r="G26" s="6"/>
      <c r="H26" s="65"/>
    </row>
    <row r="27" spans="1:8" x14ac:dyDescent="0.25">
      <c r="B27" s="64" t="s">
        <v>17</v>
      </c>
      <c r="C27" s="8" t="s">
        <v>91</v>
      </c>
      <c r="D27" s="5">
        <v>3</v>
      </c>
      <c r="E27" s="6"/>
      <c r="F27" s="6"/>
      <c r="G27" s="6"/>
      <c r="H27" s="65"/>
    </row>
    <row r="28" spans="1:8" x14ac:dyDescent="0.25">
      <c r="B28" s="64" t="s">
        <v>18</v>
      </c>
      <c r="C28" s="8" t="s">
        <v>93</v>
      </c>
      <c r="D28" s="5">
        <v>5</v>
      </c>
      <c r="E28" s="6"/>
      <c r="F28" s="6"/>
      <c r="G28" s="6"/>
      <c r="H28" s="65"/>
    </row>
    <row r="29" spans="1:8" x14ac:dyDescent="0.25">
      <c r="B29" s="64" t="s">
        <v>19</v>
      </c>
      <c r="C29" s="8" t="s">
        <v>94</v>
      </c>
      <c r="D29" s="5" t="s">
        <v>95</v>
      </c>
      <c r="E29" s="6"/>
      <c r="F29" s="6"/>
      <c r="G29" s="6"/>
      <c r="H29" s="65"/>
    </row>
    <row r="30" spans="1:8" ht="15.75" thickBot="1" x14ac:dyDescent="0.3">
      <c r="B30" s="66" t="s">
        <v>20</v>
      </c>
      <c r="C30" s="67" t="s">
        <v>98</v>
      </c>
      <c r="D30" s="68">
        <v>2</v>
      </c>
      <c r="E30" s="69"/>
      <c r="F30" s="69"/>
      <c r="G30" s="69"/>
      <c r="H30" s="70"/>
    </row>
    <row r="33" spans="2:5" x14ac:dyDescent="0.25">
      <c r="B33" s="24" t="s">
        <v>34</v>
      </c>
    </row>
    <row r="34" spans="2:5" x14ac:dyDescent="0.25">
      <c r="B34" s="11" t="s">
        <v>35</v>
      </c>
      <c r="C34" s="11" t="s">
        <v>101</v>
      </c>
    </row>
    <row r="35" spans="2:5" x14ac:dyDescent="0.25">
      <c r="B35" s="11" t="s">
        <v>22</v>
      </c>
    </row>
    <row r="37" spans="2:5" ht="30" x14ac:dyDescent="0.25">
      <c r="B37" s="12" t="s">
        <v>7</v>
      </c>
      <c r="C37" s="12" t="s">
        <v>8</v>
      </c>
      <c r="D37" s="12" t="s">
        <v>9</v>
      </c>
      <c r="E37" s="12" t="s">
        <v>10</v>
      </c>
    </row>
    <row r="38" spans="2:5" x14ac:dyDescent="0.25">
      <c r="B38" s="12" t="s">
        <v>11</v>
      </c>
      <c r="C38" s="13" t="s">
        <v>85</v>
      </c>
      <c r="D38" s="14" t="s">
        <v>12</v>
      </c>
      <c r="E38" s="14">
        <v>6</v>
      </c>
    </row>
    <row r="39" spans="2:5" x14ac:dyDescent="0.25">
      <c r="B39" s="12" t="s">
        <v>13</v>
      </c>
      <c r="C39" s="13" t="s">
        <v>86</v>
      </c>
      <c r="D39" s="14" t="s">
        <v>12</v>
      </c>
      <c r="E39" s="14">
        <v>8</v>
      </c>
    </row>
    <row r="40" spans="2:5" x14ac:dyDescent="0.25">
      <c r="B40" s="12" t="s">
        <v>14</v>
      </c>
      <c r="C40" s="13" t="s">
        <v>87</v>
      </c>
      <c r="D40" s="14" t="s">
        <v>11</v>
      </c>
      <c r="E40" s="14">
        <v>5</v>
      </c>
    </row>
    <row r="41" spans="2:5" x14ac:dyDescent="0.25">
      <c r="B41" s="15" t="s">
        <v>15</v>
      </c>
      <c r="C41" s="16" t="s">
        <v>88</v>
      </c>
      <c r="D41" s="17" t="s">
        <v>14</v>
      </c>
      <c r="E41" s="71">
        <f>+'Punto 2'!D27</f>
        <v>0.5714285714285714</v>
      </c>
    </row>
    <row r="42" spans="2:5" x14ac:dyDescent="0.25">
      <c r="B42" s="12" t="s">
        <v>16</v>
      </c>
      <c r="C42" s="13" t="s">
        <v>90</v>
      </c>
      <c r="D42" s="14" t="s">
        <v>13</v>
      </c>
      <c r="E42" s="14">
        <v>4</v>
      </c>
    </row>
    <row r="43" spans="2:5" x14ac:dyDescent="0.25">
      <c r="B43" s="12" t="s">
        <v>17</v>
      </c>
      <c r="C43" s="13" t="s">
        <v>91</v>
      </c>
      <c r="D43" s="14" t="s">
        <v>92</v>
      </c>
      <c r="E43" s="14">
        <v>3</v>
      </c>
    </row>
    <row r="44" spans="2:5" x14ac:dyDescent="0.25">
      <c r="B44" s="12" t="s">
        <v>18</v>
      </c>
      <c r="C44" s="13" t="s">
        <v>93</v>
      </c>
      <c r="D44" s="14" t="s">
        <v>16</v>
      </c>
      <c r="E44" s="14">
        <v>5</v>
      </c>
    </row>
    <row r="45" spans="2:5" x14ac:dyDescent="0.25">
      <c r="B45" s="15" t="s">
        <v>19</v>
      </c>
      <c r="C45" s="16" t="s">
        <v>94</v>
      </c>
      <c r="D45" s="17" t="s">
        <v>17</v>
      </c>
      <c r="E45" s="71">
        <f>+'Punto 3'!G33</f>
        <v>7.6894853238200582</v>
      </c>
    </row>
    <row r="46" spans="2:5" x14ac:dyDescent="0.25">
      <c r="B46" s="12" t="s">
        <v>20</v>
      </c>
      <c r="C46" s="13" t="s">
        <v>98</v>
      </c>
      <c r="D46" s="14" t="s">
        <v>99</v>
      </c>
      <c r="E46" s="14">
        <v>2</v>
      </c>
    </row>
    <row r="50" spans="2:24" x14ac:dyDescent="0.25">
      <c r="M50" s="25"/>
      <c r="N50" s="84">
        <v>3</v>
      </c>
      <c r="O50" s="36">
        <v>8</v>
      </c>
      <c r="P50" s="25" t="s">
        <v>16</v>
      </c>
      <c r="Q50" s="84">
        <v>5</v>
      </c>
      <c r="R50" s="36">
        <f>+O50+4</f>
        <v>12</v>
      </c>
    </row>
    <row r="51" spans="2:24" x14ac:dyDescent="0.25">
      <c r="I51" s="11" t="s">
        <v>13</v>
      </c>
      <c r="N51" s="85"/>
      <c r="O51" s="36">
        <v>8</v>
      </c>
      <c r="Q51" s="85"/>
      <c r="R51" s="73">
        <v>12</v>
      </c>
      <c r="S51" s="25" t="s">
        <v>18</v>
      </c>
    </row>
    <row r="52" spans="2:24" x14ac:dyDescent="0.25">
      <c r="E52" s="84">
        <v>0</v>
      </c>
      <c r="F52" s="36">
        <v>0</v>
      </c>
      <c r="R52" s="25"/>
      <c r="S52" s="25"/>
      <c r="T52" s="84">
        <v>7</v>
      </c>
      <c r="U52" s="72">
        <f>+R56+E45</f>
        <v>22.689485323820058</v>
      </c>
      <c r="V52" s="25" t="s">
        <v>20</v>
      </c>
      <c r="W52" s="84">
        <v>8</v>
      </c>
      <c r="X52" s="72">
        <f>+U52+2</f>
        <v>24.689485323820058</v>
      </c>
    </row>
    <row r="53" spans="2:24" x14ac:dyDescent="0.25">
      <c r="E53" s="85"/>
      <c r="F53" s="36">
        <v>0</v>
      </c>
      <c r="R53" s="25"/>
      <c r="S53" s="25"/>
      <c r="T53" s="85"/>
      <c r="U53" s="72">
        <f>+X53-2</f>
        <v>22.689485323820058</v>
      </c>
      <c r="W53" s="85"/>
      <c r="X53" s="72">
        <f>+X52</f>
        <v>24.689485323820058</v>
      </c>
    </row>
    <row r="54" spans="2:24" x14ac:dyDescent="0.25">
      <c r="G54" s="25" t="s">
        <v>11</v>
      </c>
      <c r="R54" s="25"/>
      <c r="S54" s="25"/>
    </row>
    <row r="55" spans="2:24" x14ac:dyDescent="0.25">
      <c r="R55" s="25"/>
      <c r="S55" s="25" t="s">
        <v>19</v>
      </c>
    </row>
    <row r="56" spans="2:24" x14ac:dyDescent="0.25">
      <c r="G56" s="25"/>
      <c r="H56" s="84">
        <v>1</v>
      </c>
      <c r="I56" s="36">
        <v>6</v>
      </c>
      <c r="J56" s="25" t="s">
        <v>14</v>
      </c>
      <c r="K56" s="84">
        <v>2</v>
      </c>
      <c r="L56" s="36">
        <f>+I56+5</f>
        <v>11</v>
      </c>
      <c r="M56" s="25" t="s">
        <v>15</v>
      </c>
      <c r="N56" s="84">
        <v>4</v>
      </c>
      <c r="O56" s="36">
        <v>12</v>
      </c>
      <c r="P56" s="25" t="s">
        <v>17</v>
      </c>
      <c r="Q56" s="84">
        <v>6</v>
      </c>
      <c r="R56" s="36">
        <v>15</v>
      </c>
    </row>
    <row r="57" spans="2:24" x14ac:dyDescent="0.25">
      <c r="H57" s="85"/>
      <c r="I57" s="72">
        <f>+L57-5</f>
        <v>6.43</v>
      </c>
      <c r="K57" s="85"/>
      <c r="L57" s="72">
        <f>+O57-0.57</f>
        <v>11.43</v>
      </c>
      <c r="N57" s="85"/>
      <c r="O57" s="73">
        <f>+R57-3</f>
        <v>12</v>
      </c>
      <c r="Q57" s="85"/>
      <c r="R57" s="73">
        <f>+U53-E45</f>
        <v>15</v>
      </c>
    </row>
    <row r="59" spans="2:24" ht="15.75" thickBot="1" x14ac:dyDescent="0.3"/>
    <row r="60" spans="2:24" ht="24" thickBot="1" x14ac:dyDescent="0.4">
      <c r="B60" s="56"/>
      <c r="C60" s="56"/>
      <c r="D60" s="57"/>
      <c r="E60" s="81" t="s">
        <v>26</v>
      </c>
      <c r="F60" s="82"/>
      <c r="G60" s="83"/>
      <c r="H60" s="58"/>
    </row>
    <row r="61" spans="2:24" ht="15.75" thickBot="1" x14ac:dyDescent="0.3">
      <c r="B61" s="59" t="s">
        <v>27</v>
      </c>
      <c r="C61" s="60" t="s">
        <v>28</v>
      </c>
      <c r="D61" s="60" t="s">
        <v>29</v>
      </c>
      <c r="E61" s="60" t="s">
        <v>30</v>
      </c>
      <c r="F61" s="60" t="s">
        <v>31</v>
      </c>
      <c r="G61" s="60" t="s">
        <v>32</v>
      </c>
      <c r="H61" s="61" t="s">
        <v>33</v>
      </c>
    </row>
    <row r="62" spans="2:24" ht="15.75" thickTop="1" x14ac:dyDescent="0.25">
      <c r="B62" s="62" t="s">
        <v>11</v>
      </c>
      <c r="C62" s="7" t="s">
        <v>85</v>
      </c>
      <c r="D62" s="4">
        <v>6</v>
      </c>
      <c r="E62" s="76">
        <f>+I57</f>
        <v>6.43</v>
      </c>
      <c r="F62" s="48">
        <v>0</v>
      </c>
      <c r="G62" s="48">
        <f>+E62-F62-D62</f>
        <v>0.42999999999999972</v>
      </c>
      <c r="H62" s="63" t="str">
        <f>+IF(G62=0,"Sí","No")</f>
        <v>No</v>
      </c>
    </row>
    <row r="63" spans="2:24" x14ac:dyDescent="0.25">
      <c r="B63" s="64" t="s">
        <v>13</v>
      </c>
      <c r="C63" s="8" t="s">
        <v>86</v>
      </c>
      <c r="D63" s="5">
        <v>8</v>
      </c>
      <c r="E63" s="49">
        <f>+O51</f>
        <v>8</v>
      </c>
      <c r="F63" s="49">
        <v>0</v>
      </c>
      <c r="G63" s="49">
        <f>+E63-F63-D63</f>
        <v>0</v>
      </c>
      <c r="H63" s="65" t="str">
        <f>+IF(G63=0,"Sí","No")</f>
        <v>Sí</v>
      </c>
    </row>
    <row r="64" spans="2:24" x14ac:dyDescent="0.25">
      <c r="B64" s="64" t="s">
        <v>14</v>
      </c>
      <c r="C64" s="8" t="s">
        <v>87</v>
      </c>
      <c r="D64" s="5">
        <v>5</v>
      </c>
      <c r="E64" s="77">
        <f>+L57</f>
        <v>11.43</v>
      </c>
      <c r="F64" s="49">
        <f>+I56</f>
        <v>6</v>
      </c>
      <c r="G64" s="49">
        <f t="shared" ref="G64:G68" si="0">+E64-F64-D64</f>
        <v>0.42999999999999972</v>
      </c>
      <c r="H64" s="65" t="str">
        <f t="shared" ref="H64:H69" si="1">+IF(G64=0,"Sí","No")</f>
        <v>No</v>
      </c>
    </row>
    <row r="65" spans="2:8" x14ac:dyDescent="0.25">
      <c r="B65" s="64" t="s">
        <v>15</v>
      </c>
      <c r="C65" s="8" t="s">
        <v>88</v>
      </c>
      <c r="D65" s="75">
        <v>0.56999999999999995</v>
      </c>
      <c r="E65" s="50">
        <f>+O57</f>
        <v>12</v>
      </c>
      <c r="F65" s="49">
        <f>+L56</f>
        <v>11</v>
      </c>
      <c r="G65" s="49">
        <f t="shared" si="0"/>
        <v>0.43000000000000005</v>
      </c>
      <c r="H65" s="65" t="str">
        <f>+IF(G65=0,"Sí","No")</f>
        <v>No</v>
      </c>
    </row>
    <row r="66" spans="2:8" x14ac:dyDescent="0.25">
      <c r="B66" s="64" t="s">
        <v>16</v>
      </c>
      <c r="C66" s="8" t="s">
        <v>90</v>
      </c>
      <c r="D66" s="5">
        <v>4</v>
      </c>
      <c r="E66" s="50">
        <f>+R51</f>
        <v>12</v>
      </c>
      <c r="F66" s="49">
        <f>+O50</f>
        <v>8</v>
      </c>
      <c r="G66" s="49">
        <f t="shared" si="0"/>
        <v>0</v>
      </c>
      <c r="H66" s="65" t="str">
        <f t="shared" si="1"/>
        <v>Sí</v>
      </c>
    </row>
    <row r="67" spans="2:8" x14ac:dyDescent="0.25">
      <c r="B67" s="64" t="s">
        <v>17</v>
      </c>
      <c r="C67" s="8" t="s">
        <v>91</v>
      </c>
      <c r="D67" s="5">
        <v>3</v>
      </c>
      <c r="E67" s="50">
        <f>+R57</f>
        <v>15</v>
      </c>
      <c r="F67" s="50">
        <f>+O56</f>
        <v>12</v>
      </c>
      <c r="G67" s="49">
        <f t="shared" si="0"/>
        <v>0</v>
      </c>
      <c r="H67" s="65" t="str">
        <f t="shared" si="1"/>
        <v>Sí</v>
      </c>
    </row>
    <row r="68" spans="2:8" x14ac:dyDescent="0.25">
      <c r="B68" s="64" t="s">
        <v>18</v>
      </c>
      <c r="C68" s="8" t="s">
        <v>93</v>
      </c>
      <c r="D68" s="5">
        <v>5</v>
      </c>
      <c r="E68" s="77">
        <f>+U53</f>
        <v>22.689485323820058</v>
      </c>
      <c r="F68" s="49">
        <f>+R50</f>
        <v>12</v>
      </c>
      <c r="G68" s="49">
        <f t="shared" si="0"/>
        <v>5.6894853238200582</v>
      </c>
      <c r="H68" s="65" t="str">
        <f t="shared" si="1"/>
        <v>No</v>
      </c>
    </row>
    <row r="69" spans="2:8" x14ac:dyDescent="0.25">
      <c r="B69" s="64" t="s">
        <v>19</v>
      </c>
      <c r="C69" s="8" t="s">
        <v>94</v>
      </c>
      <c r="D69" s="75">
        <f>+E45</f>
        <v>7.6894853238200582</v>
      </c>
      <c r="E69" s="77">
        <f>+U53</f>
        <v>22.689485323820058</v>
      </c>
      <c r="F69" s="49">
        <f>+R56</f>
        <v>15</v>
      </c>
      <c r="G69" s="49">
        <f>+E69-F69-D69</f>
        <v>0</v>
      </c>
      <c r="H69" s="65" t="str">
        <f t="shared" si="1"/>
        <v>Sí</v>
      </c>
    </row>
    <row r="70" spans="2:8" ht="15.75" thickBot="1" x14ac:dyDescent="0.3">
      <c r="B70" s="66" t="s">
        <v>20</v>
      </c>
      <c r="C70" s="67" t="s">
        <v>98</v>
      </c>
      <c r="D70" s="68">
        <v>2</v>
      </c>
      <c r="E70" s="78">
        <f>+X53</f>
        <v>24.689485323820058</v>
      </c>
      <c r="F70" s="78">
        <f>+U52</f>
        <v>22.689485323820058</v>
      </c>
      <c r="G70" s="74">
        <f>+E70-F70-D70</f>
        <v>0</v>
      </c>
      <c r="H70" s="70" t="str">
        <f>+IF(G70=0,"Sí","No")</f>
        <v>Sí</v>
      </c>
    </row>
  </sheetData>
  <mergeCells count="13">
    <mergeCell ref="T52:T53"/>
    <mergeCell ref="W52:W53"/>
    <mergeCell ref="K56:K57"/>
    <mergeCell ref="N50:N51"/>
    <mergeCell ref="N56:N57"/>
    <mergeCell ref="Q50:Q51"/>
    <mergeCell ref="Q56:Q57"/>
    <mergeCell ref="B2:J2"/>
    <mergeCell ref="B18:F18"/>
    <mergeCell ref="E20:G20"/>
    <mergeCell ref="E60:G60"/>
    <mergeCell ref="E52:E53"/>
    <mergeCell ref="H56:H5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BDD2-8ACA-4D31-80BF-E37023B3E2FF}">
  <dimension ref="A2:Q547"/>
  <sheetViews>
    <sheetView tabSelected="1" topLeftCell="A9" workbookViewId="0">
      <selection activeCell="D22" sqref="D22"/>
    </sheetView>
  </sheetViews>
  <sheetFormatPr baseColWidth="10" defaultRowHeight="15" x14ac:dyDescent="0.25"/>
  <cols>
    <col min="1" max="2" width="11.42578125" style="11"/>
    <col min="3" max="3" width="10.5703125" style="11" customWidth="1"/>
    <col min="4" max="4" width="13.7109375" style="11" customWidth="1"/>
    <col min="5" max="5" width="11.42578125" style="11"/>
    <col min="6" max="6" width="14.42578125" style="11" bestFit="1" customWidth="1"/>
    <col min="7" max="7" width="17" style="11" customWidth="1"/>
    <col min="8" max="8" width="16.7109375" style="11" customWidth="1"/>
    <col min="9" max="13" width="11.42578125" style="11"/>
    <col min="14" max="14" width="16.28515625" style="11" customWidth="1"/>
    <col min="15" max="15" width="17.140625" style="11" customWidth="1"/>
    <col min="16" max="16" width="15.140625" style="11" customWidth="1"/>
    <col min="17" max="16384" width="11.42578125" style="11"/>
  </cols>
  <sheetData>
    <row r="2" spans="1:10" ht="18" x14ac:dyDescent="0.25">
      <c r="B2" s="31" t="s">
        <v>72</v>
      </c>
    </row>
    <row r="4" spans="1:10" ht="47.25" customHeight="1" x14ac:dyDescent="0.25">
      <c r="B4" s="79" t="s">
        <v>73</v>
      </c>
      <c r="C4" s="79"/>
      <c r="D4" s="79"/>
      <c r="E4" s="79"/>
      <c r="F4" s="79"/>
      <c r="G4" s="79"/>
      <c r="H4" s="79"/>
      <c r="I4" s="79"/>
      <c r="J4" s="79"/>
    </row>
    <row r="5" spans="1:10" x14ac:dyDescent="0.25">
      <c r="B5" s="22"/>
    </row>
    <row r="6" spans="1:10" ht="15.75" thickBot="1" x14ac:dyDescent="0.3">
      <c r="B6" s="27" t="s">
        <v>21</v>
      </c>
    </row>
    <row r="7" spans="1:10" ht="15.75" thickBot="1" x14ac:dyDescent="0.3">
      <c r="A7" s="21" t="s">
        <v>36</v>
      </c>
      <c r="B7" s="11" t="s">
        <v>74</v>
      </c>
    </row>
    <row r="8" spans="1:10" ht="15.75" customHeight="1" thickBot="1" x14ac:dyDescent="0.3">
      <c r="A8" s="21" t="s">
        <v>23</v>
      </c>
      <c r="B8" s="28" t="s">
        <v>75</v>
      </c>
      <c r="C8" s="9"/>
      <c r="D8" s="9"/>
      <c r="E8" s="9"/>
      <c r="F8" s="9"/>
      <c r="G8" s="9"/>
      <c r="H8" s="9"/>
      <c r="I8" s="9"/>
    </row>
    <row r="9" spans="1:10" x14ac:dyDescent="0.25">
      <c r="B9" s="22"/>
    </row>
    <row r="10" spans="1:10" x14ac:dyDescent="0.25">
      <c r="B10" s="24" t="s">
        <v>34</v>
      </c>
    </row>
    <row r="11" spans="1:10" x14ac:dyDescent="0.25">
      <c r="B11" s="11" t="s">
        <v>35</v>
      </c>
      <c r="C11" s="11" t="s">
        <v>76</v>
      </c>
    </row>
    <row r="12" spans="1:10" x14ac:dyDescent="0.25">
      <c r="B12" s="11" t="s">
        <v>22</v>
      </c>
      <c r="C12" s="11" t="s">
        <v>77</v>
      </c>
      <c r="H12" s="45" t="s">
        <v>58</v>
      </c>
    </row>
    <row r="13" spans="1:10" x14ac:dyDescent="0.25">
      <c r="B13" s="32"/>
      <c r="C13" s="29" t="s">
        <v>39</v>
      </c>
      <c r="D13" s="25">
        <v>6</v>
      </c>
      <c r="E13" s="11" t="s">
        <v>78</v>
      </c>
    </row>
    <row r="14" spans="1:10" x14ac:dyDescent="0.25">
      <c r="B14" s="32"/>
      <c r="C14" s="29" t="s">
        <v>40</v>
      </c>
      <c r="D14" s="25">
        <f>60/15</f>
        <v>4</v>
      </c>
      <c r="E14" s="11" t="s">
        <v>78</v>
      </c>
    </row>
    <row r="16" spans="1:10" x14ac:dyDescent="0.25">
      <c r="B16" s="32"/>
      <c r="C16" s="32" t="e" vm="1">
        <v>#VALUE!</v>
      </c>
      <c r="D16" s="33">
        <f>+D13/(D14*2)</f>
        <v>0.75</v>
      </c>
    </row>
    <row r="18" spans="2:10" x14ac:dyDescent="0.25">
      <c r="D18" s="11">
        <f>1/(1+((D13/D14)/FACT(1))+(POWER((D13/D14),2)*((2*D14)/((2*D14)-D13))/FACT(2)))</f>
        <v>0.14285714285714285</v>
      </c>
    </row>
    <row r="22" spans="2:10" x14ac:dyDescent="0.25">
      <c r="D22" s="11">
        <f>+D18*(POWER((D13/D14),2)*D13*D14/(FACT(1)*POWER(((D14*2)-D13),2)))</f>
        <v>1.9285714285714284</v>
      </c>
      <c r="E22" s="11" t="s">
        <v>79</v>
      </c>
      <c r="H22" s="44">
        <f ca="1">+AVERAGE(F48:F547)</f>
        <v>72.22</v>
      </c>
    </row>
    <row r="25" spans="2:10" x14ac:dyDescent="0.25">
      <c r="D25" s="11">
        <f>+D22/D13</f>
        <v>0.3214285714285714</v>
      </c>
      <c r="E25" s="11" t="s">
        <v>43</v>
      </c>
      <c r="H25" s="46">
        <f ca="1">+AVERAGE(K48:K547)</f>
        <v>17.679707506337568</v>
      </c>
    </row>
    <row r="26" spans="2:10" x14ac:dyDescent="0.25">
      <c r="D26" s="34"/>
    </row>
    <row r="27" spans="2:10" x14ac:dyDescent="0.25">
      <c r="D27" s="52">
        <f>+D25+(1/D14)</f>
        <v>0.5714285714285714</v>
      </c>
      <c r="E27" s="11" t="s">
        <v>44</v>
      </c>
      <c r="H27" s="46">
        <f ca="1">+AVERAGE(Q48:Q547)</f>
        <v>17.92541260298011</v>
      </c>
    </row>
    <row r="28" spans="2:10" x14ac:dyDescent="0.25">
      <c r="D28" s="34"/>
    </row>
    <row r="29" spans="2:10" x14ac:dyDescent="0.25">
      <c r="D29" s="34"/>
    </row>
    <row r="30" spans="2:10" x14ac:dyDescent="0.25">
      <c r="D30" s="34">
        <f>+D27*D13</f>
        <v>3.4285714285714284</v>
      </c>
      <c r="E30" s="11" t="s">
        <v>41</v>
      </c>
      <c r="H30" s="44">
        <f ca="1">+AVERAGE(J48:J547)</f>
        <v>73.22</v>
      </c>
    </row>
    <row r="31" spans="2:10" x14ac:dyDescent="0.25">
      <c r="D31" s="34"/>
    </row>
    <row r="32" spans="2:10" ht="47.25" customHeight="1" x14ac:dyDescent="0.25">
      <c r="B32" s="79" t="s">
        <v>82</v>
      </c>
      <c r="C32" s="79"/>
      <c r="D32" s="79"/>
      <c r="E32" s="79"/>
      <c r="F32" s="79"/>
      <c r="G32" s="79"/>
      <c r="H32" s="79"/>
      <c r="I32" s="79"/>
      <c r="J32" s="79"/>
    </row>
    <row r="33" spans="1:17" x14ac:dyDescent="0.25">
      <c r="B33" s="22"/>
    </row>
    <row r="34" spans="1:17" ht="15.75" thickBot="1" x14ac:dyDescent="0.3">
      <c r="B34" s="27" t="s">
        <v>21</v>
      </c>
    </row>
    <row r="35" spans="1:17" ht="15.75" thickBot="1" x14ac:dyDescent="0.3">
      <c r="A35" s="21" t="s">
        <v>36</v>
      </c>
      <c r="B35" s="11" t="s">
        <v>80</v>
      </c>
    </row>
    <row r="36" spans="1:17" ht="15.75" customHeight="1" thickBot="1" x14ac:dyDescent="0.3">
      <c r="A36" s="21" t="s">
        <v>25</v>
      </c>
      <c r="B36" s="28" t="s">
        <v>83</v>
      </c>
      <c r="C36" s="9"/>
      <c r="D36" s="9"/>
      <c r="E36" s="9"/>
      <c r="F36" s="9"/>
      <c r="G36" s="9"/>
      <c r="H36" s="9"/>
      <c r="I36" s="9"/>
    </row>
    <row r="37" spans="1:17" x14ac:dyDescent="0.25">
      <c r="B37" s="22"/>
    </row>
    <row r="38" spans="1:17" s="38" customFormat="1" ht="30" x14ac:dyDescent="0.25">
      <c r="A38" s="37" t="s">
        <v>7</v>
      </c>
      <c r="B38" s="37" t="s">
        <v>45</v>
      </c>
      <c r="C38" s="37" t="s">
        <v>47</v>
      </c>
      <c r="D38" s="14" t="s">
        <v>48</v>
      </c>
      <c r="E38" s="14" t="s">
        <v>49</v>
      </c>
      <c r="F38" s="37" t="s">
        <v>46</v>
      </c>
      <c r="G38" s="14" t="s">
        <v>50</v>
      </c>
      <c r="H38" s="14" t="s">
        <v>51</v>
      </c>
      <c r="I38" s="14" t="s">
        <v>52</v>
      </c>
      <c r="J38" s="37" t="s">
        <v>59</v>
      </c>
      <c r="K38" s="37" t="s">
        <v>42</v>
      </c>
      <c r="L38" s="14" t="s">
        <v>53</v>
      </c>
      <c r="M38" s="37" t="s">
        <v>45</v>
      </c>
      <c r="N38" s="37" t="s">
        <v>54</v>
      </c>
      <c r="O38" s="14" t="s">
        <v>55</v>
      </c>
      <c r="P38" s="14" t="s">
        <v>56</v>
      </c>
      <c r="Q38" s="37" t="s">
        <v>60</v>
      </c>
    </row>
    <row r="39" spans="1:17" x14ac:dyDescent="0.25">
      <c r="A39" s="35"/>
      <c r="B39" s="36"/>
      <c r="C39" s="37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</row>
    <row r="40" spans="1:17" x14ac:dyDescent="0.25">
      <c r="B40" s="22"/>
    </row>
    <row r="41" spans="1:17" x14ac:dyDescent="0.25">
      <c r="B41" s="22"/>
    </row>
    <row r="42" spans="1:17" x14ac:dyDescent="0.25">
      <c r="B42" s="22"/>
    </row>
    <row r="43" spans="1:17" x14ac:dyDescent="0.25">
      <c r="B43" s="24" t="s">
        <v>34</v>
      </c>
    </row>
    <row r="44" spans="1:17" x14ac:dyDescent="0.25">
      <c r="B44" s="11" t="s">
        <v>35</v>
      </c>
      <c r="C44" s="11" t="s">
        <v>81</v>
      </c>
    </row>
    <row r="45" spans="1:17" x14ac:dyDescent="0.25">
      <c r="B45" s="11" t="s">
        <v>22</v>
      </c>
    </row>
    <row r="47" spans="1:17" ht="30" x14ac:dyDescent="0.25">
      <c r="A47" s="37" t="s">
        <v>7</v>
      </c>
      <c r="B47" s="37" t="s">
        <v>45</v>
      </c>
      <c r="C47" s="37" t="s">
        <v>47</v>
      </c>
      <c r="D47" s="14" t="s">
        <v>48</v>
      </c>
      <c r="E47" s="14" t="s">
        <v>49</v>
      </c>
      <c r="F47" s="37" t="s">
        <v>46</v>
      </c>
      <c r="G47" s="14" t="s">
        <v>50</v>
      </c>
      <c r="H47" s="14" t="s">
        <v>51</v>
      </c>
      <c r="I47" s="14" t="s">
        <v>52</v>
      </c>
      <c r="J47" s="37" t="s">
        <v>59</v>
      </c>
      <c r="K47" s="37" t="s">
        <v>42</v>
      </c>
      <c r="L47" s="14" t="s">
        <v>53</v>
      </c>
      <c r="M47" s="37" t="s">
        <v>45</v>
      </c>
      <c r="N47" s="37" t="s">
        <v>54</v>
      </c>
      <c r="O47" s="14" t="s">
        <v>55</v>
      </c>
      <c r="P47" s="14" t="s">
        <v>56</v>
      </c>
      <c r="Q47" s="37" t="s">
        <v>60</v>
      </c>
    </row>
    <row r="48" spans="1:17" x14ac:dyDescent="0.25">
      <c r="A48" s="36">
        <v>1</v>
      </c>
      <c r="B48" s="36">
        <f ca="1">RANDBETWEEN(1,1000)/1000</f>
        <v>0.64200000000000002</v>
      </c>
      <c r="C48" s="37">
        <f>+D13</f>
        <v>6</v>
      </c>
      <c r="D48" s="39">
        <f ca="1">(1/C48)*(LN(1/B48))</f>
        <v>7.3861162548695972E-2</v>
      </c>
      <c r="E48" s="39">
        <f ca="1">+D48</f>
        <v>7.3861162548695972E-2</v>
      </c>
      <c r="F48" s="36">
        <v>0</v>
      </c>
      <c r="G48" s="36">
        <v>0</v>
      </c>
      <c r="H48" s="36">
        <v>0</v>
      </c>
      <c r="I48" s="36" t="s">
        <v>57</v>
      </c>
      <c r="J48" s="40">
        <f>IF(I48="Des",1,IF(I48="Ocu",1+F48))</f>
        <v>1</v>
      </c>
      <c r="K48" s="41">
        <f ca="1">L48-E48</f>
        <v>0</v>
      </c>
      <c r="L48" s="39">
        <f ca="1">+E48</f>
        <v>7.3861162548695972E-2</v>
      </c>
      <c r="M48" s="36">
        <f ca="1">RANDBETWEEN(1,1000)/1000</f>
        <v>0.65700000000000003</v>
      </c>
      <c r="N48" s="36">
        <f>+D14</f>
        <v>4</v>
      </c>
      <c r="O48" s="39">
        <f ca="1">(1/N48)*(LN(1/M48))</f>
        <v>0.10501781512438162</v>
      </c>
      <c r="P48" s="39">
        <f ca="1">+L48+O48</f>
        <v>0.17887897767307759</v>
      </c>
      <c r="Q48" s="43">
        <f t="shared" ref="Q48:Q49" ca="1" si="0">P48-E48</f>
        <v>0.10501781512438162</v>
      </c>
    </row>
    <row r="49" spans="1:17" x14ac:dyDescent="0.25">
      <c r="A49" s="36">
        <v>2</v>
      </c>
      <c r="B49" s="36">
        <f t="shared" ref="B49:B112" ca="1" si="1">RANDBETWEEN(1,1000)/1000</f>
        <v>0.85599999999999998</v>
      </c>
      <c r="C49" s="37">
        <f>+C48</f>
        <v>6</v>
      </c>
      <c r="D49" s="39">
        <f t="shared" ref="D49:D112" ca="1" si="2">(1/C49)*(LN(1/B49))</f>
        <v>2.5914150473399157E-2</v>
      </c>
      <c r="E49" s="39">
        <f ca="1">+D49+E48</f>
        <v>9.9775313022095136E-2</v>
      </c>
      <c r="F49" s="36">
        <f ca="1">+F48+1-(G49-G48)</f>
        <v>1</v>
      </c>
      <c r="G49" s="36">
        <f ca="1">COUNTIF($P$48:P59,"&lt;"&amp;E49)</f>
        <v>0</v>
      </c>
      <c r="H49" s="36">
        <f ca="1">+G49-G48</f>
        <v>0</v>
      </c>
      <c r="I49" s="36" t="str">
        <f ca="1">IF(E49&lt;P48,"Ocu","Des")</f>
        <v>Ocu</v>
      </c>
      <c r="J49" s="40">
        <f t="shared" ref="J49:J112" ca="1" si="3">IF(I49="Des",1,IF(I49="Ocu",1+F49))</f>
        <v>2</v>
      </c>
      <c r="K49" s="41">
        <f t="shared" ref="K49:K111" ca="1" si="4">L49-E49</f>
        <v>7.9103664650982453E-2</v>
      </c>
      <c r="L49" s="42">
        <f ca="1">IF(I49="Des",E49,P48)</f>
        <v>0.17887897767307759</v>
      </c>
      <c r="M49" s="36">
        <f t="shared" ref="M49:M112" ca="1" si="5">RANDBETWEEN(1,1000)/1000</f>
        <v>0.57999999999999996</v>
      </c>
      <c r="N49" s="36">
        <f>+N48</f>
        <v>4</v>
      </c>
      <c r="O49" s="39">
        <f t="shared" ref="O49:O112" ca="1" si="6">(1/N49)*(LN(1/M49))</f>
        <v>0.13618179386041804</v>
      </c>
      <c r="P49" s="39">
        <f t="shared" ref="P49:P112" ca="1" si="7">+L49+O49</f>
        <v>0.31506077153349565</v>
      </c>
      <c r="Q49" s="43">
        <f t="shared" ca="1" si="0"/>
        <v>0.21528545851140052</v>
      </c>
    </row>
    <row r="50" spans="1:17" x14ac:dyDescent="0.25">
      <c r="A50" s="36">
        <v>3</v>
      </c>
      <c r="B50" s="36">
        <f t="shared" ca="1" si="1"/>
        <v>0.60699999999999998</v>
      </c>
      <c r="C50" s="37">
        <f t="shared" ref="C50:C113" si="8">+C49</f>
        <v>6</v>
      </c>
      <c r="D50" s="39">
        <f ca="1">(1/C50)*(LN(1/B50))</f>
        <v>8.3204414653773123E-2</v>
      </c>
      <c r="E50" s="39">
        <f t="shared" ref="E50:E113" ca="1" si="9">+D50+E49</f>
        <v>0.18297972767586826</v>
      </c>
      <c r="F50" s="36">
        <f t="shared" ref="F50:F113" ca="1" si="10">+F49+1-(G50-G49)</f>
        <v>1</v>
      </c>
      <c r="G50" s="36">
        <f ca="1">COUNTIF($P$48:P60,"&lt;"&amp;E50)</f>
        <v>1</v>
      </c>
      <c r="H50" s="36">
        <f t="shared" ref="H50:H113" ca="1" si="11">+G50-G49</f>
        <v>1</v>
      </c>
      <c r="I50" s="36" t="str">
        <f t="shared" ref="I50:I113" ca="1" si="12">IF(E50&lt;P49,"Ocu","Des")</f>
        <v>Ocu</v>
      </c>
      <c r="J50" s="40">
        <f ca="1">IF(I50="Des",1,IF(I50="Ocu",1+F50))</f>
        <v>2</v>
      </c>
      <c r="K50" s="41">
        <f t="shared" ca="1" si="4"/>
        <v>0.13208104385762739</v>
      </c>
      <c r="L50" s="42">
        <f t="shared" ref="L50:L113" ca="1" si="13">IF(I50="Des",E50,P49)</f>
        <v>0.31506077153349565</v>
      </c>
      <c r="M50" s="36">
        <f t="shared" ca="1" si="5"/>
        <v>0.54100000000000004</v>
      </c>
      <c r="N50" s="36">
        <f t="shared" ref="N50:N113" si="14">+N49</f>
        <v>4</v>
      </c>
      <c r="O50" s="39">
        <f t="shared" ca="1" si="6"/>
        <v>0.15358400003391387</v>
      </c>
      <c r="P50" s="39">
        <f t="shared" ca="1" si="7"/>
        <v>0.46864477156740952</v>
      </c>
      <c r="Q50" s="43">
        <f ca="1">P50-E50</f>
        <v>0.28566504389154124</v>
      </c>
    </row>
    <row r="51" spans="1:17" x14ac:dyDescent="0.25">
      <c r="A51" s="36">
        <v>4</v>
      </c>
      <c r="B51" s="36">
        <f t="shared" ca="1" si="1"/>
        <v>0.52600000000000002</v>
      </c>
      <c r="C51" s="37">
        <f t="shared" si="8"/>
        <v>6</v>
      </c>
      <c r="D51" s="39">
        <f t="shared" ca="1" si="2"/>
        <v>0.10707567770740452</v>
      </c>
      <c r="E51" s="39">
        <f t="shared" ca="1" si="9"/>
        <v>0.29005540538327279</v>
      </c>
      <c r="F51" s="36">
        <f t="shared" ca="1" si="10"/>
        <v>2</v>
      </c>
      <c r="G51" s="36">
        <f ca="1">COUNTIF($P$48:P61,"&lt;"&amp;E51)</f>
        <v>1</v>
      </c>
      <c r="H51" s="36">
        <f t="shared" ca="1" si="11"/>
        <v>0</v>
      </c>
      <c r="I51" s="36" t="str">
        <f t="shared" ca="1" si="12"/>
        <v>Ocu</v>
      </c>
      <c r="J51" s="40">
        <f t="shared" ca="1" si="3"/>
        <v>3</v>
      </c>
      <c r="K51" s="41">
        <f t="shared" ca="1" si="4"/>
        <v>0.17858936618413673</v>
      </c>
      <c r="L51" s="42">
        <f t="shared" ca="1" si="13"/>
        <v>0.46864477156740952</v>
      </c>
      <c r="M51" s="36">
        <f t="shared" ca="1" si="5"/>
        <v>0.20499999999999999</v>
      </c>
      <c r="N51" s="36">
        <f t="shared" si="14"/>
        <v>4</v>
      </c>
      <c r="O51" s="39">
        <f t="shared" ca="1" si="6"/>
        <v>0.3961863249609322</v>
      </c>
      <c r="P51" s="39">
        <f t="shared" ca="1" si="7"/>
        <v>0.86483109652834167</v>
      </c>
      <c r="Q51" s="43">
        <f t="shared" ref="Q51:Q114" ca="1" si="15">P51-E51</f>
        <v>0.57477569114506888</v>
      </c>
    </row>
    <row r="52" spans="1:17" x14ac:dyDescent="0.25">
      <c r="A52" s="36">
        <v>5</v>
      </c>
      <c r="B52" s="36">
        <f t="shared" ca="1" si="1"/>
        <v>0.51100000000000001</v>
      </c>
      <c r="C52" s="37">
        <f t="shared" si="8"/>
        <v>6</v>
      </c>
      <c r="D52" s="39">
        <f t="shared" ca="1" si="2"/>
        <v>0.11189761479640542</v>
      </c>
      <c r="E52" s="39">
        <f t="shared" ca="1" si="9"/>
        <v>0.40195302017967821</v>
      </c>
      <c r="F52" s="36">
        <f t="shared" ca="1" si="10"/>
        <v>2</v>
      </c>
      <c r="G52" s="36">
        <f ca="1">COUNTIF($P$48:P62,"&lt;"&amp;E52)</f>
        <v>2</v>
      </c>
      <c r="H52" s="36">
        <f t="shared" ca="1" si="11"/>
        <v>1</v>
      </c>
      <c r="I52" s="36" t="str">
        <f t="shared" ca="1" si="12"/>
        <v>Ocu</v>
      </c>
      <c r="J52" s="40">
        <f t="shared" ca="1" si="3"/>
        <v>3</v>
      </c>
      <c r="K52" s="41">
        <f t="shared" ca="1" si="4"/>
        <v>0.46287807634866346</v>
      </c>
      <c r="L52" s="42">
        <f t="shared" ca="1" si="13"/>
        <v>0.86483109652834167</v>
      </c>
      <c r="M52" s="36">
        <f t="shared" ca="1" si="5"/>
        <v>0.55400000000000005</v>
      </c>
      <c r="N52" s="36">
        <f t="shared" si="14"/>
        <v>4</v>
      </c>
      <c r="O52" s="39">
        <f t="shared" ca="1" si="6"/>
        <v>0.1476476480587133</v>
      </c>
      <c r="P52" s="39">
        <f t="shared" ca="1" si="7"/>
        <v>1.0124787445870549</v>
      </c>
      <c r="Q52" s="43">
        <f t="shared" ca="1" si="15"/>
        <v>0.61052572440737674</v>
      </c>
    </row>
    <row r="53" spans="1:17" x14ac:dyDescent="0.25">
      <c r="A53" s="36">
        <v>6</v>
      </c>
      <c r="B53" s="36">
        <f t="shared" ca="1" si="1"/>
        <v>0.76200000000000001</v>
      </c>
      <c r="C53" s="37">
        <f t="shared" si="8"/>
        <v>6</v>
      </c>
      <c r="D53" s="39">
        <f t="shared" ca="1" si="2"/>
        <v>4.5301453882581805E-2</v>
      </c>
      <c r="E53" s="39">
        <f t="shared" ca="1" si="9"/>
        <v>0.44725447406226004</v>
      </c>
      <c r="F53" s="36">
        <f t="shared" ca="1" si="10"/>
        <v>3</v>
      </c>
      <c r="G53" s="36">
        <f ca="1">COUNTIF($P$48:P63,"&lt;"&amp;E53)</f>
        <v>2</v>
      </c>
      <c r="H53" s="36">
        <f t="shared" ca="1" si="11"/>
        <v>0</v>
      </c>
      <c r="I53" s="36" t="str">
        <f t="shared" ca="1" si="12"/>
        <v>Ocu</v>
      </c>
      <c r="J53" s="40">
        <f t="shared" ca="1" si="3"/>
        <v>4</v>
      </c>
      <c r="K53" s="41">
        <f t="shared" ca="1" si="4"/>
        <v>0.56522427052479485</v>
      </c>
      <c r="L53" s="42">
        <f t="shared" ca="1" si="13"/>
        <v>1.0124787445870549</v>
      </c>
      <c r="M53" s="36">
        <f t="shared" ca="1" si="5"/>
        <v>0.36599999999999999</v>
      </c>
      <c r="N53" s="36">
        <f t="shared" si="14"/>
        <v>4</v>
      </c>
      <c r="O53" s="39">
        <f t="shared" ca="1" si="6"/>
        <v>0.25128048639519268</v>
      </c>
      <c r="P53" s="39">
        <f t="shared" ca="1" si="7"/>
        <v>1.2637592309822476</v>
      </c>
      <c r="Q53" s="43">
        <f t="shared" ca="1" si="15"/>
        <v>0.81650475691998758</v>
      </c>
    </row>
    <row r="54" spans="1:17" x14ac:dyDescent="0.25">
      <c r="A54" s="36">
        <v>7</v>
      </c>
      <c r="B54" s="36">
        <f t="shared" ca="1" si="1"/>
        <v>0.97899999999999998</v>
      </c>
      <c r="C54" s="37">
        <f t="shared" si="8"/>
        <v>6</v>
      </c>
      <c r="D54" s="39">
        <f t="shared" ca="1" si="2"/>
        <v>3.537272741937764E-3</v>
      </c>
      <c r="E54" s="39">
        <f t="shared" ca="1" si="9"/>
        <v>0.45079174680419781</v>
      </c>
      <c r="F54" s="36">
        <f t="shared" ca="1" si="10"/>
        <v>4</v>
      </c>
      <c r="G54" s="36">
        <f ca="1">COUNTIF($P$48:P64,"&lt;"&amp;E54)</f>
        <v>2</v>
      </c>
      <c r="H54" s="36">
        <f t="shared" ca="1" si="11"/>
        <v>0</v>
      </c>
      <c r="I54" s="36" t="str">
        <f t="shared" ca="1" si="12"/>
        <v>Ocu</v>
      </c>
      <c r="J54" s="40">
        <f t="shared" ca="1" si="3"/>
        <v>5</v>
      </c>
      <c r="K54" s="41">
        <f t="shared" ca="1" si="4"/>
        <v>0.81296748417804987</v>
      </c>
      <c r="L54" s="42">
        <f t="shared" ca="1" si="13"/>
        <v>1.2637592309822476</v>
      </c>
      <c r="M54" s="36">
        <f t="shared" ca="1" si="5"/>
        <v>0.55600000000000005</v>
      </c>
      <c r="N54" s="36">
        <f t="shared" si="14"/>
        <v>4</v>
      </c>
      <c r="O54" s="39">
        <f t="shared" ca="1" si="6"/>
        <v>0.14674674618288866</v>
      </c>
      <c r="P54" s="39">
        <f t="shared" ca="1" si="7"/>
        <v>1.4105059771651363</v>
      </c>
      <c r="Q54" s="43">
        <f t="shared" ca="1" si="15"/>
        <v>0.9597142303609385</v>
      </c>
    </row>
    <row r="55" spans="1:17" x14ac:dyDescent="0.25">
      <c r="A55" s="36">
        <v>8</v>
      </c>
      <c r="B55" s="36">
        <f t="shared" ca="1" si="1"/>
        <v>0.54200000000000004</v>
      </c>
      <c r="C55" s="37">
        <f t="shared" si="8"/>
        <v>6</v>
      </c>
      <c r="D55" s="39">
        <f t="shared" ca="1" si="2"/>
        <v>0.1020815462570818</v>
      </c>
      <c r="E55" s="39">
        <f t="shared" ca="1" si="9"/>
        <v>0.55287329306127964</v>
      </c>
      <c r="F55" s="36">
        <f t="shared" ca="1" si="10"/>
        <v>4</v>
      </c>
      <c r="G55" s="36">
        <f ca="1">COUNTIF($P$48:P65,"&lt;"&amp;E55)</f>
        <v>3</v>
      </c>
      <c r="H55" s="36">
        <f t="shared" ca="1" si="11"/>
        <v>1</v>
      </c>
      <c r="I55" s="36" t="str">
        <f t="shared" ca="1" si="12"/>
        <v>Ocu</v>
      </c>
      <c r="J55" s="40">
        <f t="shared" ca="1" si="3"/>
        <v>5</v>
      </c>
      <c r="K55" s="41">
        <f t="shared" ca="1" si="4"/>
        <v>0.85763268410385662</v>
      </c>
      <c r="L55" s="42">
        <f t="shared" ca="1" si="13"/>
        <v>1.4105059771651363</v>
      </c>
      <c r="M55" s="36">
        <f t="shared" ca="1" si="5"/>
        <v>0.59099999999999997</v>
      </c>
      <c r="N55" s="36">
        <f t="shared" si="14"/>
        <v>4</v>
      </c>
      <c r="O55" s="39">
        <f t="shared" ca="1" si="6"/>
        <v>0.13148481539400972</v>
      </c>
      <c r="P55" s="39">
        <f t="shared" ca="1" si="7"/>
        <v>1.5419907925591461</v>
      </c>
      <c r="Q55" s="43">
        <f t="shared" ca="1" si="15"/>
        <v>0.98911749949786643</v>
      </c>
    </row>
    <row r="56" spans="1:17" x14ac:dyDescent="0.25">
      <c r="A56" s="36">
        <v>9</v>
      </c>
      <c r="B56" s="36">
        <f t="shared" ca="1" si="1"/>
        <v>0.59</v>
      </c>
      <c r="C56" s="37">
        <f t="shared" si="8"/>
        <v>6</v>
      </c>
      <c r="D56" s="39">
        <f t="shared" ca="1" si="2"/>
        <v>8.7938790347061993E-2</v>
      </c>
      <c r="E56" s="39">
        <f t="shared" ca="1" si="9"/>
        <v>0.64081208340834162</v>
      </c>
      <c r="F56" s="36">
        <f t="shared" ca="1" si="10"/>
        <v>5</v>
      </c>
      <c r="G56" s="36">
        <f ca="1">COUNTIF($P$48:P66,"&lt;"&amp;E56)</f>
        <v>3</v>
      </c>
      <c r="H56" s="36">
        <f t="shared" ca="1" si="11"/>
        <v>0</v>
      </c>
      <c r="I56" s="36" t="str">
        <f t="shared" ca="1" si="12"/>
        <v>Ocu</v>
      </c>
      <c r="J56" s="40">
        <f t="shared" ca="1" si="3"/>
        <v>6</v>
      </c>
      <c r="K56" s="41">
        <f t="shared" ca="1" si="4"/>
        <v>0.90117870915080445</v>
      </c>
      <c r="L56" s="42">
        <f t="shared" ca="1" si="13"/>
        <v>1.5419907925591461</v>
      </c>
      <c r="M56" s="36">
        <f t="shared" ca="1" si="5"/>
        <v>0.35799999999999998</v>
      </c>
      <c r="N56" s="36">
        <f t="shared" si="14"/>
        <v>4</v>
      </c>
      <c r="O56" s="39">
        <f t="shared" ca="1" si="6"/>
        <v>0.25680557314535918</v>
      </c>
      <c r="P56" s="39">
        <f t="shared" ca="1" si="7"/>
        <v>1.7987963657045052</v>
      </c>
      <c r="Q56" s="43">
        <f t="shared" ca="1" si="15"/>
        <v>1.1579842822961637</v>
      </c>
    </row>
    <row r="57" spans="1:17" x14ac:dyDescent="0.25">
      <c r="A57" s="36">
        <v>10</v>
      </c>
      <c r="B57" s="36">
        <f t="shared" ca="1" si="1"/>
        <v>0.97399999999999998</v>
      </c>
      <c r="C57" s="37">
        <f t="shared" si="8"/>
        <v>6</v>
      </c>
      <c r="D57" s="39">
        <f t="shared" ca="1" si="2"/>
        <v>4.390662556600344E-3</v>
      </c>
      <c r="E57" s="39">
        <f t="shared" ca="1" si="9"/>
        <v>0.64520274596494198</v>
      </c>
      <c r="F57" s="36">
        <f t="shared" ca="1" si="10"/>
        <v>6</v>
      </c>
      <c r="G57" s="36">
        <f ca="1">COUNTIF($P$48:P67,"&lt;"&amp;E57)</f>
        <v>3</v>
      </c>
      <c r="H57" s="36">
        <f t="shared" ca="1" si="11"/>
        <v>0</v>
      </c>
      <c r="I57" s="36" t="str">
        <f t="shared" ca="1" si="12"/>
        <v>Ocu</v>
      </c>
      <c r="J57" s="40">
        <f t="shared" ca="1" si="3"/>
        <v>7</v>
      </c>
      <c r="K57" s="41">
        <f t="shared" ca="1" si="4"/>
        <v>1.1535936197395631</v>
      </c>
      <c r="L57" s="42">
        <f t="shared" ca="1" si="13"/>
        <v>1.7987963657045052</v>
      </c>
      <c r="M57" s="36">
        <f t="shared" ca="1" si="5"/>
        <v>0.51200000000000001</v>
      </c>
      <c r="N57" s="36">
        <f t="shared" si="14"/>
        <v>4</v>
      </c>
      <c r="O57" s="39">
        <f t="shared" ca="1" si="6"/>
        <v>0.16735766348565731</v>
      </c>
      <c r="P57" s="39">
        <f t="shared" ca="1" si="7"/>
        <v>1.9661540291901625</v>
      </c>
      <c r="Q57" s="43">
        <f t="shared" ca="1" si="15"/>
        <v>1.3209512832252206</v>
      </c>
    </row>
    <row r="58" spans="1:17" x14ac:dyDescent="0.25">
      <c r="A58" s="36">
        <v>11</v>
      </c>
      <c r="B58" s="36">
        <f t="shared" ca="1" si="1"/>
        <v>0.70499999999999996</v>
      </c>
      <c r="C58" s="37">
        <f t="shared" si="8"/>
        <v>6</v>
      </c>
      <c r="D58" s="39">
        <f t="shared" ca="1" si="2"/>
        <v>5.8259579361644734E-2</v>
      </c>
      <c r="E58" s="39">
        <f t="shared" ca="1" si="9"/>
        <v>0.7034623253265867</v>
      </c>
      <c r="F58" s="36">
        <f t="shared" ca="1" si="10"/>
        <v>7</v>
      </c>
      <c r="G58" s="36">
        <f ca="1">COUNTIF($P$48:P68,"&lt;"&amp;E58)</f>
        <v>3</v>
      </c>
      <c r="H58" s="36">
        <f t="shared" ca="1" si="11"/>
        <v>0</v>
      </c>
      <c r="I58" s="36" t="str">
        <f t="shared" ca="1" si="12"/>
        <v>Ocu</v>
      </c>
      <c r="J58" s="40">
        <f t="shared" ca="1" si="3"/>
        <v>8</v>
      </c>
      <c r="K58" s="41">
        <f ca="1">L58-E58</f>
        <v>1.2626917038635757</v>
      </c>
      <c r="L58" s="42">
        <f t="shared" ca="1" si="13"/>
        <v>1.9661540291901625</v>
      </c>
      <c r="M58" s="36">
        <f t="shared" ca="1" si="5"/>
        <v>0.17599999999999999</v>
      </c>
      <c r="N58" s="36">
        <f t="shared" si="14"/>
        <v>4</v>
      </c>
      <c r="O58" s="39">
        <f t="shared" ca="1" si="6"/>
        <v>0.43431782098599636</v>
      </c>
      <c r="P58" s="39">
        <f t="shared" ca="1" si="7"/>
        <v>2.4004718501761588</v>
      </c>
      <c r="Q58" s="43">
        <f t="shared" ca="1" si="15"/>
        <v>1.6970095248495722</v>
      </c>
    </row>
    <row r="59" spans="1:17" x14ac:dyDescent="0.25">
      <c r="A59" s="36">
        <v>12</v>
      </c>
      <c r="B59" s="36">
        <f t="shared" ca="1" si="1"/>
        <v>0.42099999999999999</v>
      </c>
      <c r="C59" s="37">
        <f t="shared" si="8"/>
        <v>6</v>
      </c>
      <c r="D59" s="39">
        <f t="shared" ca="1" si="2"/>
        <v>0.14418707421662591</v>
      </c>
      <c r="E59" s="39">
        <f t="shared" ca="1" si="9"/>
        <v>0.84764939954321261</v>
      </c>
      <c r="F59" s="36">
        <f t="shared" ca="1" si="10"/>
        <v>8</v>
      </c>
      <c r="G59" s="36">
        <f ca="1">COUNTIF($P$48:P69,"&lt;"&amp;E59)</f>
        <v>3</v>
      </c>
      <c r="H59" s="36">
        <f t="shared" ca="1" si="11"/>
        <v>0</v>
      </c>
      <c r="I59" s="36" t="str">
        <f t="shared" ca="1" si="12"/>
        <v>Ocu</v>
      </c>
      <c r="J59" s="40">
        <f t="shared" ca="1" si="3"/>
        <v>9</v>
      </c>
      <c r="K59" s="41">
        <f t="shared" ca="1" si="4"/>
        <v>1.5528224506329462</v>
      </c>
      <c r="L59" s="42">
        <f t="shared" ca="1" si="13"/>
        <v>2.4004718501761588</v>
      </c>
      <c r="M59" s="36">
        <f t="shared" ca="1" si="5"/>
        <v>6.5000000000000002E-2</v>
      </c>
      <c r="N59" s="36">
        <f t="shared" si="14"/>
        <v>4</v>
      </c>
      <c r="O59" s="39">
        <f t="shared" ca="1" si="6"/>
        <v>0.683342002271625</v>
      </c>
      <c r="P59" s="39">
        <f t="shared" ca="1" si="7"/>
        <v>3.0838138524477836</v>
      </c>
      <c r="Q59" s="43">
        <f t="shared" ca="1" si="15"/>
        <v>2.2361644529045712</v>
      </c>
    </row>
    <row r="60" spans="1:17" x14ac:dyDescent="0.25">
      <c r="A60" s="36">
        <v>13</v>
      </c>
      <c r="B60" s="36">
        <f t="shared" ca="1" si="1"/>
        <v>0.84699999999999998</v>
      </c>
      <c r="C60" s="37">
        <f t="shared" si="8"/>
        <v>6</v>
      </c>
      <c r="D60" s="39">
        <f t="shared" ca="1" si="2"/>
        <v>2.767576405501377E-2</v>
      </c>
      <c r="E60" s="39">
        <f t="shared" ca="1" si="9"/>
        <v>0.87532516359822643</v>
      </c>
      <c r="F60" s="36">
        <f t="shared" ca="1" si="10"/>
        <v>8</v>
      </c>
      <c r="G60" s="36">
        <f ca="1">COUNTIF($P$48:P70,"&lt;"&amp;E60)</f>
        <v>4</v>
      </c>
      <c r="H60" s="36">
        <f t="shared" ca="1" si="11"/>
        <v>1</v>
      </c>
      <c r="I60" s="36" t="str">
        <f t="shared" ca="1" si="12"/>
        <v>Ocu</v>
      </c>
      <c r="J60" s="40">
        <f t="shared" ca="1" si="3"/>
        <v>9</v>
      </c>
      <c r="K60" s="41">
        <f t="shared" ca="1" si="4"/>
        <v>2.208488688849557</v>
      </c>
      <c r="L60" s="42">
        <f t="shared" ca="1" si="13"/>
        <v>3.0838138524477836</v>
      </c>
      <c r="M60" s="36">
        <f t="shared" ca="1" si="5"/>
        <v>0.63200000000000001</v>
      </c>
      <c r="N60" s="36">
        <f t="shared" si="14"/>
        <v>4</v>
      </c>
      <c r="O60" s="39">
        <f t="shared" ca="1" si="6"/>
        <v>0.11471647120881991</v>
      </c>
      <c r="P60" s="39">
        <f t="shared" ca="1" si="7"/>
        <v>3.1985303236566036</v>
      </c>
      <c r="Q60" s="43">
        <f t="shared" ca="1" si="15"/>
        <v>2.323205160058377</v>
      </c>
    </row>
    <row r="61" spans="1:17" x14ac:dyDescent="0.25">
      <c r="A61" s="36">
        <v>14</v>
      </c>
      <c r="B61" s="36">
        <f t="shared" ca="1" si="1"/>
        <v>0.02</v>
      </c>
      <c r="C61" s="37">
        <f t="shared" si="8"/>
        <v>6</v>
      </c>
      <c r="D61" s="39">
        <f t="shared" ca="1" si="2"/>
        <v>0.65200383423802433</v>
      </c>
      <c r="E61" s="39">
        <f t="shared" ca="1" si="9"/>
        <v>1.5273289978362508</v>
      </c>
      <c r="F61" s="36">
        <f t="shared" ca="1" si="10"/>
        <v>6</v>
      </c>
      <c r="G61" s="36">
        <f ca="1">COUNTIF($P$48:P71,"&lt;"&amp;E61)</f>
        <v>7</v>
      </c>
      <c r="H61" s="36">
        <f t="shared" ca="1" si="11"/>
        <v>3</v>
      </c>
      <c r="I61" s="36" t="str">
        <f t="shared" ca="1" si="12"/>
        <v>Ocu</v>
      </c>
      <c r="J61" s="40">
        <f t="shared" ca="1" si="3"/>
        <v>7</v>
      </c>
      <c r="K61" s="41">
        <f t="shared" ca="1" si="4"/>
        <v>1.6712013258203529</v>
      </c>
      <c r="L61" s="42">
        <f t="shared" ca="1" si="13"/>
        <v>3.1985303236566036</v>
      </c>
      <c r="M61" s="36">
        <f t="shared" ca="1" si="5"/>
        <v>0.91300000000000003</v>
      </c>
      <c r="N61" s="36">
        <f t="shared" si="14"/>
        <v>4</v>
      </c>
      <c r="O61" s="39">
        <f t="shared" ca="1" si="6"/>
        <v>2.2754849596792158E-2</v>
      </c>
      <c r="P61" s="39">
        <f t="shared" ca="1" si="7"/>
        <v>3.2212851732533956</v>
      </c>
      <c r="Q61" s="43">
        <f t="shared" ca="1" si="15"/>
        <v>1.6939561754171448</v>
      </c>
    </row>
    <row r="62" spans="1:17" x14ac:dyDescent="0.25">
      <c r="A62" s="36">
        <v>15</v>
      </c>
      <c r="B62" s="36">
        <f t="shared" ca="1" si="1"/>
        <v>3.1E-2</v>
      </c>
      <c r="C62" s="37">
        <f t="shared" si="8"/>
        <v>6</v>
      </c>
      <c r="D62" s="39">
        <f t="shared" ca="1" si="2"/>
        <v>0.57896134574949842</v>
      </c>
      <c r="E62" s="39">
        <f t="shared" ca="1" si="9"/>
        <v>2.1062903435857492</v>
      </c>
      <c r="F62" s="36">
        <f t="shared" ca="1" si="10"/>
        <v>4</v>
      </c>
      <c r="G62" s="36">
        <f ca="1">COUNTIF($P$48:P72,"&lt;"&amp;E62)</f>
        <v>10</v>
      </c>
      <c r="H62" s="36">
        <f t="shared" ca="1" si="11"/>
        <v>3</v>
      </c>
      <c r="I62" s="36" t="str">
        <f t="shared" ca="1" si="12"/>
        <v>Ocu</v>
      </c>
      <c r="J62" s="40">
        <f t="shared" ca="1" si="3"/>
        <v>5</v>
      </c>
      <c r="K62" s="41">
        <f t="shared" ca="1" si="4"/>
        <v>1.1149948296676464</v>
      </c>
      <c r="L62" s="42">
        <f t="shared" ca="1" si="13"/>
        <v>3.2212851732533956</v>
      </c>
      <c r="M62" s="36">
        <f t="shared" ca="1" si="5"/>
        <v>0.58299999999999996</v>
      </c>
      <c r="N62" s="36">
        <f t="shared" si="14"/>
        <v>4</v>
      </c>
      <c r="O62" s="39">
        <f t="shared" ca="1" si="6"/>
        <v>0.13489202315791118</v>
      </c>
      <c r="P62" s="39">
        <f t="shared" ca="1" si="7"/>
        <v>3.356177196411307</v>
      </c>
      <c r="Q62" s="43">
        <f t="shared" ca="1" si="15"/>
        <v>1.2498868528255578</v>
      </c>
    </row>
    <row r="63" spans="1:17" x14ac:dyDescent="0.25">
      <c r="A63" s="36">
        <v>16</v>
      </c>
      <c r="B63" s="36">
        <f t="shared" ca="1" si="1"/>
        <v>2.5000000000000001E-2</v>
      </c>
      <c r="C63" s="37">
        <f t="shared" si="8"/>
        <v>6</v>
      </c>
      <c r="D63" s="39">
        <f t="shared" ca="1" si="2"/>
        <v>0.61481324235232271</v>
      </c>
      <c r="E63" s="39">
        <f t="shared" ca="1" si="9"/>
        <v>2.7211035859380717</v>
      </c>
      <c r="F63" s="36">
        <f t="shared" ca="1" si="10"/>
        <v>4</v>
      </c>
      <c r="G63" s="36">
        <f ca="1">COUNTIF($P$48:P73,"&lt;"&amp;E63)</f>
        <v>11</v>
      </c>
      <c r="H63" s="36">
        <f t="shared" ca="1" si="11"/>
        <v>1</v>
      </c>
      <c r="I63" s="36" t="str">
        <f t="shared" ca="1" si="12"/>
        <v>Ocu</v>
      </c>
      <c r="J63" s="40">
        <f t="shared" ca="1" si="3"/>
        <v>5</v>
      </c>
      <c r="K63" s="41">
        <f t="shared" ca="1" si="4"/>
        <v>0.63507361047323529</v>
      </c>
      <c r="L63" s="42">
        <f t="shared" ca="1" si="13"/>
        <v>3.356177196411307</v>
      </c>
      <c r="M63" s="36">
        <f t="shared" ca="1" si="5"/>
        <v>0.34300000000000003</v>
      </c>
      <c r="N63" s="36">
        <f t="shared" si="14"/>
        <v>4</v>
      </c>
      <c r="O63" s="39">
        <f t="shared" ca="1" si="6"/>
        <v>0.26750620795404928</v>
      </c>
      <c r="P63" s="39">
        <f t="shared" ca="1" si="7"/>
        <v>3.6236834043653561</v>
      </c>
      <c r="Q63" s="43">
        <f t="shared" ca="1" si="15"/>
        <v>0.90257981842728441</v>
      </c>
    </row>
    <row r="64" spans="1:17" x14ac:dyDescent="0.25">
      <c r="A64" s="36">
        <v>17</v>
      </c>
      <c r="B64" s="36">
        <f t="shared" ca="1" si="1"/>
        <v>0.253</v>
      </c>
      <c r="C64" s="37">
        <f t="shared" si="8"/>
        <v>6</v>
      </c>
      <c r="D64" s="39">
        <f t="shared" ca="1" si="2"/>
        <v>0.22906096504243612</v>
      </c>
      <c r="E64" s="39">
        <f t="shared" ca="1" si="9"/>
        <v>2.9501645509805079</v>
      </c>
      <c r="F64" s="36">
        <f t="shared" ca="1" si="10"/>
        <v>5</v>
      </c>
      <c r="G64" s="36">
        <f ca="1">COUNTIF($P$48:P74,"&lt;"&amp;E64)</f>
        <v>11</v>
      </c>
      <c r="H64" s="36">
        <f t="shared" ca="1" si="11"/>
        <v>0</v>
      </c>
      <c r="I64" s="36" t="str">
        <f t="shared" ca="1" si="12"/>
        <v>Ocu</v>
      </c>
      <c r="J64" s="40">
        <f t="shared" ca="1" si="3"/>
        <v>6</v>
      </c>
      <c r="K64" s="41">
        <f t="shared" ca="1" si="4"/>
        <v>0.67351885338484818</v>
      </c>
      <c r="L64" s="42">
        <f t="shared" ca="1" si="13"/>
        <v>3.6236834043653561</v>
      </c>
      <c r="M64" s="36">
        <f t="shared" ca="1" si="5"/>
        <v>0.13600000000000001</v>
      </c>
      <c r="N64" s="36">
        <f t="shared" si="14"/>
        <v>4</v>
      </c>
      <c r="O64" s="39">
        <f t="shared" ca="1" si="6"/>
        <v>0.49877509831152123</v>
      </c>
      <c r="P64" s="39">
        <f t="shared" ca="1" si="7"/>
        <v>4.122458502676877</v>
      </c>
      <c r="Q64" s="43">
        <f t="shared" ca="1" si="15"/>
        <v>1.1722939516963691</v>
      </c>
    </row>
    <row r="65" spans="1:17" x14ac:dyDescent="0.25">
      <c r="A65" s="36">
        <v>18</v>
      </c>
      <c r="B65" s="36">
        <f t="shared" ca="1" si="1"/>
        <v>9.4E-2</v>
      </c>
      <c r="C65" s="37">
        <f t="shared" si="8"/>
        <v>6</v>
      </c>
      <c r="D65" s="39">
        <f t="shared" ca="1" si="2"/>
        <v>0.39407674945202215</v>
      </c>
      <c r="E65" s="39">
        <f t="shared" ca="1" si="9"/>
        <v>3.3442413004325302</v>
      </c>
      <c r="F65" s="36">
        <f t="shared" ca="1" si="10"/>
        <v>3</v>
      </c>
      <c r="G65" s="36">
        <f ca="1">COUNTIF($P$48:P75,"&lt;"&amp;E65)</f>
        <v>14</v>
      </c>
      <c r="H65" s="36">
        <f t="shared" ca="1" si="11"/>
        <v>3</v>
      </c>
      <c r="I65" s="36" t="str">
        <f t="shared" ca="1" si="12"/>
        <v>Ocu</v>
      </c>
      <c r="J65" s="40">
        <f t="shared" ca="1" si="3"/>
        <v>4</v>
      </c>
      <c r="K65" s="41">
        <f t="shared" ca="1" si="4"/>
        <v>0.77821720224434676</v>
      </c>
      <c r="L65" s="42">
        <f t="shared" ca="1" si="13"/>
        <v>4.122458502676877</v>
      </c>
      <c r="M65" s="36">
        <f t="shared" ca="1" si="5"/>
        <v>0.436</v>
      </c>
      <c r="N65" s="36">
        <f t="shared" si="14"/>
        <v>4</v>
      </c>
      <c r="O65" s="39">
        <f t="shared" ca="1" si="6"/>
        <v>0.2075282589082757</v>
      </c>
      <c r="P65" s="39">
        <f t="shared" ca="1" si="7"/>
        <v>4.3299867615851531</v>
      </c>
      <c r="Q65" s="43">
        <f t="shared" ca="1" si="15"/>
        <v>0.98574546115262285</v>
      </c>
    </row>
    <row r="66" spans="1:17" x14ac:dyDescent="0.25">
      <c r="A66" s="36">
        <v>19</v>
      </c>
      <c r="B66" s="36">
        <f t="shared" ca="1" si="1"/>
        <v>0.72199999999999998</v>
      </c>
      <c r="C66" s="37">
        <f t="shared" si="8"/>
        <v>6</v>
      </c>
      <c r="D66" s="39">
        <f t="shared" ca="1" si="2"/>
        <v>5.4288356681551811E-2</v>
      </c>
      <c r="E66" s="39">
        <f t="shared" ca="1" si="9"/>
        <v>3.3985296571140822</v>
      </c>
      <c r="F66" s="36">
        <f t="shared" ca="1" si="10"/>
        <v>3</v>
      </c>
      <c r="G66" s="36">
        <f ca="1">COUNTIF($P$48:P76,"&lt;"&amp;E66)</f>
        <v>15</v>
      </c>
      <c r="H66" s="36">
        <f t="shared" ca="1" si="11"/>
        <v>1</v>
      </c>
      <c r="I66" s="36" t="str">
        <f t="shared" ca="1" si="12"/>
        <v>Ocu</v>
      </c>
      <c r="J66" s="40">
        <f t="shared" ca="1" si="3"/>
        <v>4</v>
      </c>
      <c r="K66" s="41">
        <f t="shared" ca="1" si="4"/>
        <v>0.93145710447107088</v>
      </c>
      <c r="L66" s="42">
        <f t="shared" ca="1" si="13"/>
        <v>4.3299867615851531</v>
      </c>
      <c r="M66" s="36">
        <f t="shared" ca="1" si="5"/>
        <v>0.40200000000000002</v>
      </c>
      <c r="N66" s="36">
        <f t="shared" si="14"/>
        <v>4</v>
      </c>
      <c r="O66" s="39">
        <f t="shared" ca="1" si="6"/>
        <v>0.22782579759077898</v>
      </c>
      <c r="P66" s="39">
        <f t="shared" ca="1" si="7"/>
        <v>4.5578125591759324</v>
      </c>
      <c r="Q66" s="43">
        <f t="shared" ca="1" si="15"/>
        <v>1.1592829020618503</v>
      </c>
    </row>
    <row r="67" spans="1:17" x14ac:dyDescent="0.25">
      <c r="A67" s="36">
        <v>20</v>
      </c>
      <c r="B67" s="36">
        <f t="shared" ca="1" si="1"/>
        <v>0.14299999999999999</v>
      </c>
      <c r="C67" s="37">
        <f t="shared" si="8"/>
        <v>6</v>
      </c>
      <c r="D67" s="39">
        <f t="shared" ca="1" si="2"/>
        <v>0.32415177478703827</v>
      </c>
      <c r="E67" s="39">
        <f t="shared" ca="1" si="9"/>
        <v>3.7226814319011203</v>
      </c>
      <c r="F67" s="36">
        <f t="shared" ca="1" si="10"/>
        <v>3</v>
      </c>
      <c r="G67" s="36">
        <f ca="1">COUNTIF($P$48:P77,"&lt;"&amp;E67)</f>
        <v>16</v>
      </c>
      <c r="H67" s="36">
        <f t="shared" ca="1" si="11"/>
        <v>1</v>
      </c>
      <c r="I67" s="36" t="str">
        <f t="shared" ca="1" si="12"/>
        <v>Ocu</v>
      </c>
      <c r="J67" s="40">
        <f t="shared" ca="1" si="3"/>
        <v>4</v>
      </c>
      <c r="K67" s="41">
        <f t="shared" ca="1" si="4"/>
        <v>0.83513112727481209</v>
      </c>
      <c r="L67" s="42">
        <f t="shared" ca="1" si="13"/>
        <v>4.5578125591759324</v>
      </c>
      <c r="M67" s="36">
        <f t="shared" ca="1" si="5"/>
        <v>0.03</v>
      </c>
      <c r="N67" s="36">
        <f t="shared" si="14"/>
        <v>4</v>
      </c>
      <c r="O67" s="39">
        <f t="shared" ca="1" si="6"/>
        <v>0.87663947432999545</v>
      </c>
      <c r="P67" s="39">
        <f t="shared" ca="1" si="7"/>
        <v>5.4344520335059281</v>
      </c>
      <c r="Q67" s="43">
        <f t="shared" ca="1" si="15"/>
        <v>1.7117706016048078</v>
      </c>
    </row>
    <row r="68" spans="1:17" x14ac:dyDescent="0.25">
      <c r="A68" s="36">
        <v>21</v>
      </c>
      <c r="B68" s="36">
        <f t="shared" ca="1" si="1"/>
        <v>0.40400000000000003</v>
      </c>
      <c r="C68" s="37">
        <f t="shared" si="8"/>
        <v>6</v>
      </c>
      <c r="D68" s="39">
        <f t="shared" ca="1" si="2"/>
        <v>0.15105673350349783</v>
      </c>
      <c r="E68" s="39">
        <f t="shared" ca="1" si="9"/>
        <v>3.8737381654046183</v>
      </c>
      <c r="F68" s="36">
        <f t="shared" ca="1" si="10"/>
        <v>4</v>
      </c>
      <c r="G68" s="36">
        <f ca="1">COUNTIF($P$48:P78,"&lt;"&amp;E68)</f>
        <v>16</v>
      </c>
      <c r="H68" s="36">
        <f t="shared" ca="1" si="11"/>
        <v>0</v>
      </c>
      <c r="I68" s="36" t="str">
        <f t="shared" ca="1" si="12"/>
        <v>Ocu</v>
      </c>
      <c r="J68" s="40">
        <f t="shared" ca="1" si="3"/>
        <v>5</v>
      </c>
      <c r="K68" s="41">
        <f t="shared" ca="1" si="4"/>
        <v>1.5607138681013097</v>
      </c>
      <c r="L68" s="42">
        <f t="shared" ca="1" si="13"/>
        <v>5.4344520335059281</v>
      </c>
      <c r="M68" s="36">
        <f t="shared" ca="1" si="5"/>
        <v>0.89100000000000001</v>
      </c>
      <c r="N68" s="36">
        <f t="shared" si="14"/>
        <v>4</v>
      </c>
      <c r="O68" s="39">
        <f t="shared" ca="1" si="6"/>
        <v>2.8852712877831935E-2</v>
      </c>
      <c r="P68" s="39">
        <f t="shared" ca="1" si="7"/>
        <v>5.4633047463837601</v>
      </c>
      <c r="Q68" s="43">
        <f t="shared" ca="1" si="15"/>
        <v>1.5895665809791417</v>
      </c>
    </row>
    <row r="69" spans="1:17" x14ac:dyDescent="0.25">
      <c r="A69" s="36">
        <v>22</v>
      </c>
      <c r="B69" s="36">
        <f t="shared" ca="1" si="1"/>
        <v>0.63300000000000001</v>
      </c>
      <c r="C69" s="37">
        <f t="shared" si="8"/>
        <v>6</v>
      </c>
      <c r="D69" s="39">
        <f t="shared" ca="1" si="2"/>
        <v>7.6214142806326809E-2</v>
      </c>
      <c r="E69" s="39">
        <f t="shared" ca="1" si="9"/>
        <v>3.9499523082109453</v>
      </c>
      <c r="F69" s="36">
        <f t="shared" ca="1" si="10"/>
        <v>5</v>
      </c>
      <c r="G69" s="36">
        <f ca="1">COUNTIF($P$48:P79,"&lt;"&amp;E69)</f>
        <v>16</v>
      </c>
      <c r="H69" s="36">
        <f t="shared" ca="1" si="11"/>
        <v>0</v>
      </c>
      <c r="I69" s="36" t="str">
        <f t="shared" ca="1" si="12"/>
        <v>Ocu</v>
      </c>
      <c r="J69" s="40">
        <f t="shared" ca="1" si="3"/>
        <v>6</v>
      </c>
      <c r="K69" s="41">
        <f t="shared" ca="1" si="4"/>
        <v>1.5133524381728147</v>
      </c>
      <c r="L69" s="42">
        <f t="shared" ca="1" si="13"/>
        <v>5.4633047463837601</v>
      </c>
      <c r="M69" s="36">
        <f t="shared" ca="1" si="5"/>
        <v>0.54700000000000004</v>
      </c>
      <c r="N69" s="36">
        <f t="shared" si="14"/>
        <v>4</v>
      </c>
      <c r="O69" s="39">
        <f t="shared" ca="1" si="6"/>
        <v>0.15082661914003895</v>
      </c>
      <c r="P69" s="39">
        <f t="shared" ca="1" si="7"/>
        <v>5.6141313655237992</v>
      </c>
      <c r="Q69" s="43">
        <f t="shared" ca="1" si="15"/>
        <v>1.6641790573128539</v>
      </c>
    </row>
    <row r="70" spans="1:17" x14ac:dyDescent="0.25">
      <c r="A70" s="36">
        <v>23</v>
      </c>
      <c r="B70" s="36">
        <f t="shared" ca="1" si="1"/>
        <v>0.249</v>
      </c>
      <c r="C70" s="37">
        <f t="shared" si="8"/>
        <v>6</v>
      </c>
      <c r="D70" s="39">
        <f t="shared" ca="1" si="2"/>
        <v>0.23171706375290491</v>
      </c>
      <c r="E70" s="39">
        <f t="shared" ca="1" si="9"/>
        <v>4.1816693719638502</v>
      </c>
      <c r="F70" s="36">
        <f t="shared" ca="1" si="10"/>
        <v>5</v>
      </c>
      <c r="G70" s="36">
        <f ca="1">COUNTIF($P$48:P80,"&lt;"&amp;E70)</f>
        <v>17</v>
      </c>
      <c r="H70" s="36">
        <f t="shared" ca="1" si="11"/>
        <v>1</v>
      </c>
      <c r="I70" s="36" t="str">
        <f t="shared" ca="1" si="12"/>
        <v>Ocu</v>
      </c>
      <c r="J70" s="40">
        <f t="shared" ca="1" si="3"/>
        <v>6</v>
      </c>
      <c r="K70" s="41">
        <f t="shared" ca="1" si="4"/>
        <v>1.432461993559949</v>
      </c>
      <c r="L70" s="42">
        <f t="shared" ca="1" si="13"/>
        <v>5.6141313655237992</v>
      </c>
      <c r="M70" s="36">
        <f t="shared" ca="1" si="5"/>
        <v>0.38400000000000001</v>
      </c>
      <c r="N70" s="36">
        <f t="shared" si="14"/>
        <v>4</v>
      </c>
      <c r="O70" s="39">
        <f t="shared" ca="1" si="6"/>
        <v>0.23927818159860254</v>
      </c>
      <c r="P70" s="39">
        <f t="shared" ca="1" si="7"/>
        <v>5.8534095471224017</v>
      </c>
      <c r="Q70" s="43">
        <f t="shared" ca="1" si="15"/>
        <v>1.6717401751585514</v>
      </c>
    </row>
    <row r="71" spans="1:17" x14ac:dyDescent="0.25">
      <c r="A71" s="36">
        <v>24</v>
      </c>
      <c r="B71" s="36">
        <f t="shared" ca="1" si="1"/>
        <v>0.80300000000000005</v>
      </c>
      <c r="C71" s="37">
        <f t="shared" si="8"/>
        <v>6</v>
      </c>
      <c r="D71" s="39">
        <f t="shared" ca="1" si="2"/>
        <v>3.6566760839229211E-2</v>
      </c>
      <c r="E71" s="39">
        <f t="shared" ca="1" si="9"/>
        <v>4.2182361328030797</v>
      </c>
      <c r="F71" s="36">
        <f t="shared" ca="1" si="10"/>
        <v>6</v>
      </c>
      <c r="G71" s="36">
        <f ca="1">COUNTIF($P$48:P81,"&lt;"&amp;E71)</f>
        <v>17</v>
      </c>
      <c r="H71" s="36">
        <f t="shared" ca="1" si="11"/>
        <v>0</v>
      </c>
      <c r="I71" s="36" t="str">
        <f t="shared" ca="1" si="12"/>
        <v>Ocu</v>
      </c>
      <c r="J71" s="40">
        <f t="shared" ca="1" si="3"/>
        <v>7</v>
      </c>
      <c r="K71" s="41">
        <f t="shared" ca="1" si="4"/>
        <v>1.6351734143193219</v>
      </c>
      <c r="L71" s="42">
        <f t="shared" ca="1" si="13"/>
        <v>5.8534095471224017</v>
      </c>
      <c r="M71" s="36">
        <f t="shared" ca="1" si="5"/>
        <v>0.22500000000000001</v>
      </c>
      <c r="N71" s="36">
        <f t="shared" si="14"/>
        <v>4</v>
      </c>
      <c r="O71" s="39">
        <f t="shared" ca="1" si="6"/>
        <v>0.37291371919442923</v>
      </c>
      <c r="P71" s="39">
        <f t="shared" ca="1" si="7"/>
        <v>6.2263232663168306</v>
      </c>
      <c r="Q71" s="43">
        <f t="shared" ca="1" si="15"/>
        <v>2.0080871335137509</v>
      </c>
    </row>
    <row r="72" spans="1:17" x14ac:dyDescent="0.25">
      <c r="A72" s="36">
        <v>25</v>
      </c>
      <c r="B72" s="36">
        <f t="shared" ca="1" si="1"/>
        <v>0.38800000000000001</v>
      </c>
      <c r="C72" s="37">
        <f t="shared" si="8"/>
        <v>6</v>
      </c>
      <c r="D72" s="39">
        <f t="shared" ca="1" si="2"/>
        <v>0.15779165655981059</v>
      </c>
      <c r="E72" s="39">
        <f t="shared" ca="1" si="9"/>
        <v>4.3760277893628903</v>
      </c>
      <c r="F72" s="36">
        <f t="shared" ca="1" si="10"/>
        <v>6</v>
      </c>
      <c r="G72" s="36">
        <f ca="1">COUNTIF($P$48:P82,"&lt;"&amp;E72)</f>
        <v>18</v>
      </c>
      <c r="H72" s="36">
        <f t="shared" ca="1" si="11"/>
        <v>1</v>
      </c>
      <c r="I72" s="36" t="str">
        <f t="shared" ca="1" si="12"/>
        <v>Ocu</v>
      </c>
      <c r="J72" s="40">
        <f t="shared" ca="1" si="3"/>
        <v>7</v>
      </c>
      <c r="K72" s="41">
        <f t="shared" ca="1" si="4"/>
        <v>1.8502954769539404</v>
      </c>
      <c r="L72" s="42">
        <f t="shared" ca="1" si="13"/>
        <v>6.2263232663168306</v>
      </c>
      <c r="M72" s="36">
        <f t="shared" ca="1" si="5"/>
        <v>0.64</v>
      </c>
      <c r="N72" s="36">
        <f t="shared" si="14"/>
        <v>4</v>
      </c>
      <c r="O72" s="39">
        <f t="shared" ca="1" si="6"/>
        <v>0.11157177565710488</v>
      </c>
      <c r="P72" s="39">
        <f t="shared" ca="1" si="7"/>
        <v>6.3378950419739359</v>
      </c>
      <c r="Q72" s="43">
        <f t="shared" ca="1" si="15"/>
        <v>1.9618672526110457</v>
      </c>
    </row>
    <row r="73" spans="1:17" x14ac:dyDescent="0.25">
      <c r="A73" s="36">
        <v>26</v>
      </c>
      <c r="B73" s="36">
        <f t="shared" ca="1" si="1"/>
        <v>5.0000000000000001E-3</v>
      </c>
      <c r="C73" s="37">
        <f t="shared" si="8"/>
        <v>6</v>
      </c>
      <c r="D73" s="39">
        <f t="shared" ca="1" si="2"/>
        <v>0.88305289442467272</v>
      </c>
      <c r="E73" s="39">
        <f t="shared" ca="1" si="9"/>
        <v>5.2590806837875625</v>
      </c>
      <c r="F73" s="36">
        <f t="shared" ca="1" si="10"/>
        <v>6</v>
      </c>
      <c r="G73" s="36">
        <f ca="1">COUNTIF($P$48:P83,"&lt;"&amp;E73)</f>
        <v>19</v>
      </c>
      <c r="H73" s="36">
        <f t="shared" ca="1" si="11"/>
        <v>1</v>
      </c>
      <c r="I73" s="36" t="str">
        <f t="shared" ca="1" si="12"/>
        <v>Ocu</v>
      </c>
      <c r="J73" s="40">
        <f t="shared" ca="1" si="3"/>
        <v>7</v>
      </c>
      <c r="K73" s="41">
        <f t="shared" ca="1" si="4"/>
        <v>1.0788143581863734</v>
      </c>
      <c r="L73" s="42">
        <f t="shared" ca="1" si="13"/>
        <v>6.3378950419739359</v>
      </c>
      <c r="M73" s="36">
        <f t="shared" ca="1" si="5"/>
        <v>0.52300000000000002</v>
      </c>
      <c r="N73" s="36">
        <f t="shared" si="14"/>
        <v>4</v>
      </c>
      <c r="O73" s="39">
        <f t="shared" ca="1" si="6"/>
        <v>0.16204345372930351</v>
      </c>
      <c r="P73" s="39">
        <f t="shared" ca="1" si="7"/>
        <v>6.4999384957032396</v>
      </c>
      <c r="Q73" s="43">
        <f t="shared" ca="1" si="15"/>
        <v>1.240857811915677</v>
      </c>
    </row>
    <row r="74" spans="1:17" x14ac:dyDescent="0.25">
      <c r="A74" s="36">
        <v>27</v>
      </c>
      <c r="B74" s="36">
        <f t="shared" ca="1" si="1"/>
        <v>8.9999999999999993E-3</v>
      </c>
      <c r="C74" s="37">
        <f t="shared" si="8"/>
        <v>6</v>
      </c>
      <c r="D74" s="39">
        <f t="shared" ca="1" si="2"/>
        <v>0.78508845027431962</v>
      </c>
      <c r="E74" s="39">
        <f t="shared" ca="1" si="9"/>
        <v>6.0441691340618817</v>
      </c>
      <c r="F74" s="36">
        <f t="shared" ca="1" si="10"/>
        <v>3</v>
      </c>
      <c r="G74" s="36">
        <f ca="1">COUNTIF($P$48:P84,"&lt;"&amp;E74)</f>
        <v>23</v>
      </c>
      <c r="H74" s="36">
        <f t="shared" ca="1" si="11"/>
        <v>4</v>
      </c>
      <c r="I74" s="36" t="str">
        <f t="shared" ca="1" si="12"/>
        <v>Ocu</v>
      </c>
      <c r="J74" s="40">
        <f t="shared" ca="1" si="3"/>
        <v>4</v>
      </c>
      <c r="K74" s="41">
        <f t="shared" ca="1" si="4"/>
        <v>0.45576936164135784</v>
      </c>
      <c r="L74" s="42">
        <f t="shared" ca="1" si="13"/>
        <v>6.4999384957032396</v>
      </c>
      <c r="M74" s="36">
        <f t="shared" ca="1" si="5"/>
        <v>0.122</v>
      </c>
      <c r="N74" s="36">
        <f t="shared" si="14"/>
        <v>4</v>
      </c>
      <c r="O74" s="39">
        <f t="shared" ca="1" si="6"/>
        <v>0.52593355856222013</v>
      </c>
      <c r="P74" s="39">
        <f t="shared" ca="1" si="7"/>
        <v>7.0258720542654594</v>
      </c>
      <c r="Q74" s="43">
        <f t="shared" ca="1" si="15"/>
        <v>0.98170292020357763</v>
      </c>
    </row>
    <row r="75" spans="1:17" x14ac:dyDescent="0.25">
      <c r="A75" s="36">
        <v>28</v>
      </c>
      <c r="B75" s="36">
        <f t="shared" ca="1" si="1"/>
        <v>0.16700000000000001</v>
      </c>
      <c r="C75" s="37">
        <f t="shared" si="8"/>
        <v>6</v>
      </c>
      <c r="D75" s="39">
        <f t="shared" ca="1" si="2"/>
        <v>0.29829357776089693</v>
      </c>
      <c r="E75" s="39">
        <f t="shared" ca="1" si="9"/>
        <v>6.3424627118227788</v>
      </c>
      <c r="F75" s="36">
        <f t="shared" ca="1" si="10"/>
        <v>2</v>
      </c>
      <c r="G75" s="36">
        <f ca="1">COUNTIF($P$48:P85,"&lt;"&amp;E75)</f>
        <v>25</v>
      </c>
      <c r="H75" s="36">
        <f t="shared" ca="1" si="11"/>
        <v>2</v>
      </c>
      <c r="I75" s="36" t="str">
        <f t="shared" ca="1" si="12"/>
        <v>Ocu</v>
      </c>
      <c r="J75" s="40">
        <f t="shared" ca="1" si="3"/>
        <v>3</v>
      </c>
      <c r="K75" s="41">
        <f t="shared" ca="1" si="4"/>
        <v>0.68340934244268059</v>
      </c>
      <c r="L75" s="42">
        <f t="shared" ca="1" si="13"/>
        <v>7.0258720542654594</v>
      </c>
      <c r="M75" s="36">
        <f t="shared" ca="1" si="5"/>
        <v>0.57099999999999995</v>
      </c>
      <c r="N75" s="36">
        <f t="shared" si="14"/>
        <v>4</v>
      </c>
      <c r="O75" s="39">
        <f t="shared" ca="1" si="6"/>
        <v>0.14009151733153172</v>
      </c>
      <c r="P75" s="39">
        <f t="shared" ca="1" si="7"/>
        <v>7.1659635715969907</v>
      </c>
      <c r="Q75" s="43">
        <f t="shared" ca="1" si="15"/>
        <v>0.82350085977421195</v>
      </c>
    </row>
    <row r="76" spans="1:17" x14ac:dyDescent="0.25">
      <c r="A76" s="36">
        <v>29</v>
      </c>
      <c r="B76" s="36">
        <f t="shared" ca="1" si="1"/>
        <v>0.96399999999999997</v>
      </c>
      <c r="C76" s="37">
        <f t="shared" si="8"/>
        <v>6</v>
      </c>
      <c r="D76" s="39">
        <f t="shared" ca="1" si="2"/>
        <v>6.1106640619319206E-3</v>
      </c>
      <c r="E76" s="39">
        <f t="shared" ca="1" si="9"/>
        <v>6.3485733758847109</v>
      </c>
      <c r="F76" s="36">
        <f t="shared" ca="1" si="10"/>
        <v>3</v>
      </c>
      <c r="G76" s="36">
        <f ca="1">COUNTIF($P$48:P86,"&lt;"&amp;E76)</f>
        <v>25</v>
      </c>
      <c r="H76" s="36">
        <f t="shared" ca="1" si="11"/>
        <v>0</v>
      </c>
      <c r="I76" s="36" t="str">
        <f t="shared" ca="1" si="12"/>
        <v>Ocu</v>
      </c>
      <c r="J76" s="40">
        <f t="shared" ca="1" si="3"/>
        <v>4</v>
      </c>
      <c r="K76" s="41">
        <f t="shared" ca="1" si="4"/>
        <v>0.81739019571227978</v>
      </c>
      <c r="L76" s="42">
        <f t="shared" ca="1" si="13"/>
        <v>7.1659635715969907</v>
      </c>
      <c r="M76" s="36">
        <f t="shared" ca="1" si="5"/>
        <v>0.245</v>
      </c>
      <c r="N76" s="36">
        <f t="shared" si="14"/>
        <v>4</v>
      </c>
      <c r="O76" s="39">
        <f t="shared" ca="1" si="6"/>
        <v>0.35162426710935252</v>
      </c>
      <c r="P76" s="39">
        <f t="shared" ca="1" si="7"/>
        <v>7.5175878387063433</v>
      </c>
      <c r="Q76" s="43">
        <f t="shared" ca="1" si="15"/>
        <v>1.1690144628216323</v>
      </c>
    </row>
    <row r="77" spans="1:17" x14ac:dyDescent="0.25">
      <c r="A77" s="36">
        <v>30</v>
      </c>
      <c r="B77" s="36">
        <f t="shared" ca="1" si="1"/>
        <v>0.42699999999999999</v>
      </c>
      <c r="C77" s="37">
        <f t="shared" si="8"/>
        <v>6</v>
      </c>
      <c r="D77" s="39">
        <f t="shared" ca="1" si="2"/>
        <v>0.14182854429225206</v>
      </c>
      <c r="E77" s="39">
        <f t="shared" ca="1" si="9"/>
        <v>6.4904019201769634</v>
      </c>
      <c r="F77" s="36">
        <f t="shared" ca="1" si="10"/>
        <v>4</v>
      </c>
      <c r="G77" s="36">
        <f ca="1">COUNTIF($P$48:P87,"&lt;"&amp;E77)</f>
        <v>25</v>
      </c>
      <c r="H77" s="36">
        <f t="shared" ca="1" si="11"/>
        <v>0</v>
      </c>
      <c r="I77" s="36" t="str">
        <f t="shared" ca="1" si="12"/>
        <v>Ocu</v>
      </c>
      <c r="J77" s="40">
        <f t="shared" ca="1" si="3"/>
        <v>5</v>
      </c>
      <c r="K77" s="41">
        <f t="shared" ca="1" si="4"/>
        <v>1.0271859185293799</v>
      </c>
      <c r="L77" s="42">
        <f t="shared" ca="1" si="13"/>
        <v>7.5175878387063433</v>
      </c>
      <c r="M77" s="36">
        <f t="shared" ca="1" si="5"/>
        <v>0.53300000000000003</v>
      </c>
      <c r="N77" s="36">
        <f t="shared" si="14"/>
        <v>4</v>
      </c>
      <c r="O77" s="39">
        <f t="shared" ca="1" si="6"/>
        <v>0.15730846370407311</v>
      </c>
      <c r="P77" s="39">
        <f t="shared" ca="1" si="7"/>
        <v>7.6748963024104162</v>
      </c>
      <c r="Q77" s="43">
        <f t="shared" ca="1" si="15"/>
        <v>1.1844943822334528</v>
      </c>
    </row>
    <row r="78" spans="1:17" x14ac:dyDescent="0.25">
      <c r="A78" s="36">
        <v>31</v>
      </c>
      <c r="B78" s="36">
        <f t="shared" ca="1" si="1"/>
        <v>0.36299999999999999</v>
      </c>
      <c r="C78" s="37">
        <f t="shared" si="8"/>
        <v>6</v>
      </c>
      <c r="D78" s="39">
        <f t="shared" ca="1" si="2"/>
        <v>0.16889207411954771</v>
      </c>
      <c r="E78" s="39">
        <f t="shared" ca="1" si="9"/>
        <v>6.6592939942965108</v>
      </c>
      <c r="F78" s="36">
        <f t="shared" ca="1" si="10"/>
        <v>4</v>
      </c>
      <c r="G78" s="36">
        <f ca="1">COUNTIF($P$48:P88,"&lt;"&amp;E78)</f>
        <v>26</v>
      </c>
      <c r="H78" s="36">
        <f t="shared" ca="1" si="11"/>
        <v>1</v>
      </c>
      <c r="I78" s="36" t="str">
        <f t="shared" ca="1" si="12"/>
        <v>Ocu</v>
      </c>
      <c r="J78" s="40">
        <f t="shared" ca="1" si="3"/>
        <v>5</v>
      </c>
      <c r="K78" s="41">
        <f t="shared" ca="1" si="4"/>
        <v>1.0156023081139054</v>
      </c>
      <c r="L78" s="42">
        <f t="shared" ca="1" si="13"/>
        <v>7.6748963024104162</v>
      </c>
      <c r="M78" s="36">
        <f t="shared" ca="1" si="5"/>
        <v>0.71699999999999997</v>
      </c>
      <c r="N78" s="36">
        <f t="shared" si="14"/>
        <v>4</v>
      </c>
      <c r="O78" s="39">
        <f t="shared" ca="1" si="6"/>
        <v>8.3169859595629184E-2</v>
      </c>
      <c r="P78" s="39">
        <f t="shared" ca="1" si="7"/>
        <v>7.7580661620060454</v>
      </c>
      <c r="Q78" s="43">
        <f t="shared" ca="1" si="15"/>
        <v>1.0987721677095346</v>
      </c>
    </row>
    <row r="79" spans="1:17" x14ac:dyDescent="0.25">
      <c r="A79" s="36">
        <v>32</v>
      </c>
      <c r="B79" s="36">
        <f t="shared" ca="1" si="1"/>
        <v>0.188</v>
      </c>
      <c r="C79" s="37">
        <f t="shared" si="8"/>
        <v>6</v>
      </c>
      <c r="D79" s="39">
        <f t="shared" ca="1" si="2"/>
        <v>0.27855221935869795</v>
      </c>
      <c r="E79" s="39">
        <f t="shared" ca="1" si="9"/>
        <v>6.9378462136552086</v>
      </c>
      <c r="F79" s="36">
        <f t="shared" ca="1" si="10"/>
        <v>5</v>
      </c>
      <c r="G79" s="36">
        <f ca="1">COUNTIF($P$48:P89,"&lt;"&amp;E79)</f>
        <v>26</v>
      </c>
      <c r="H79" s="36">
        <f t="shared" ca="1" si="11"/>
        <v>0</v>
      </c>
      <c r="I79" s="36" t="str">
        <f t="shared" ca="1" si="12"/>
        <v>Ocu</v>
      </c>
      <c r="J79" s="40">
        <f t="shared" ca="1" si="3"/>
        <v>6</v>
      </c>
      <c r="K79" s="41">
        <f t="shared" ca="1" si="4"/>
        <v>0.82021994835083678</v>
      </c>
      <c r="L79" s="42">
        <f t="shared" ca="1" si="13"/>
        <v>7.7580661620060454</v>
      </c>
      <c r="M79" s="36">
        <f t="shared" ca="1" si="5"/>
        <v>0.192</v>
      </c>
      <c r="N79" s="36">
        <f t="shared" si="14"/>
        <v>4</v>
      </c>
      <c r="O79" s="39">
        <f t="shared" ca="1" si="6"/>
        <v>0.41256497673858888</v>
      </c>
      <c r="P79" s="39">
        <f t="shared" ca="1" si="7"/>
        <v>8.1706311387446338</v>
      </c>
      <c r="Q79" s="43">
        <f t="shared" ca="1" si="15"/>
        <v>1.2327849250894252</v>
      </c>
    </row>
    <row r="80" spans="1:17" x14ac:dyDescent="0.25">
      <c r="A80" s="36">
        <v>33</v>
      </c>
      <c r="B80" s="36">
        <f t="shared" ca="1" si="1"/>
        <v>0.22500000000000001</v>
      </c>
      <c r="C80" s="37">
        <f t="shared" si="8"/>
        <v>6</v>
      </c>
      <c r="D80" s="39">
        <f t="shared" ca="1" si="2"/>
        <v>0.24860914612961948</v>
      </c>
      <c r="E80" s="39">
        <f t="shared" ca="1" si="9"/>
        <v>7.1864553597848282</v>
      </c>
      <c r="F80" s="36">
        <f t="shared" ca="1" si="10"/>
        <v>4</v>
      </c>
      <c r="G80" s="36">
        <f ca="1">COUNTIF($P$48:P90,"&lt;"&amp;E80)</f>
        <v>28</v>
      </c>
      <c r="H80" s="36">
        <f t="shared" ca="1" si="11"/>
        <v>2</v>
      </c>
      <c r="I80" s="36" t="str">
        <f t="shared" ca="1" si="12"/>
        <v>Ocu</v>
      </c>
      <c r="J80" s="40">
        <f t="shared" ca="1" si="3"/>
        <v>5</v>
      </c>
      <c r="K80" s="41">
        <f t="shared" ca="1" si="4"/>
        <v>0.98417577895980557</v>
      </c>
      <c r="L80" s="42">
        <f t="shared" ca="1" si="13"/>
        <v>8.1706311387446338</v>
      </c>
      <c r="M80" s="36">
        <f t="shared" ca="1" si="5"/>
        <v>8.9999999999999993E-3</v>
      </c>
      <c r="N80" s="36">
        <f t="shared" si="14"/>
        <v>4</v>
      </c>
      <c r="O80" s="39">
        <f t="shared" ca="1" si="6"/>
        <v>1.1776326754114794</v>
      </c>
      <c r="P80" s="39">
        <f t="shared" ca="1" si="7"/>
        <v>9.3482638141561125</v>
      </c>
      <c r="Q80" s="43">
        <f t="shared" ca="1" si="15"/>
        <v>2.1618084543712843</v>
      </c>
    </row>
    <row r="81" spans="1:17" x14ac:dyDescent="0.25">
      <c r="A81" s="36">
        <v>34</v>
      </c>
      <c r="B81" s="36">
        <f t="shared" ca="1" si="1"/>
        <v>0.26100000000000001</v>
      </c>
      <c r="C81" s="37">
        <f t="shared" si="8"/>
        <v>6</v>
      </c>
      <c r="D81" s="39">
        <f t="shared" ca="1" si="2"/>
        <v>0.22387247860990725</v>
      </c>
      <c r="E81" s="39">
        <f t="shared" ca="1" si="9"/>
        <v>7.4103278383947355</v>
      </c>
      <c r="F81" s="36">
        <f t="shared" ca="1" si="10"/>
        <v>5</v>
      </c>
      <c r="G81" s="36">
        <f ca="1">COUNTIF($P$48:P91,"&lt;"&amp;E81)</f>
        <v>28</v>
      </c>
      <c r="H81" s="36">
        <f t="shared" ca="1" si="11"/>
        <v>0</v>
      </c>
      <c r="I81" s="36" t="str">
        <f t="shared" ca="1" si="12"/>
        <v>Ocu</v>
      </c>
      <c r="J81" s="40">
        <f t="shared" ca="1" si="3"/>
        <v>6</v>
      </c>
      <c r="K81" s="41">
        <f t="shared" ca="1" si="4"/>
        <v>1.937935975761377</v>
      </c>
      <c r="L81" s="42">
        <f t="shared" ca="1" si="13"/>
        <v>9.3482638141561125</v>
      </c>
      <c r="M81" s="36">
        <f t="shared" ca="1" si="5"/>
        <v>0.621</v>
      </c>
      <c r="N81" s="36">
        <f t="shared" si="14"/>
        <v>4</v>
      </c>
      <c r="O81" s="39">
        <f t="shared" ca="1" si="6"/>
        <v>0.11910604926216457</v>
      </c>
      <c r="P81" s="39">
        <f t="shared" ca="1" si="7"/>
        <v>9.467369863418277</v>
      </c>
      <c r="Q81" s="43">
        <f t="shared" ca="1" si="15"/>
        <v>2.0570420250235415</v>
      </c>
    </row>
    <row r="82" spans="1:17" x14ac:dyDescent="0.25">
      <c r="A82" s="36">
        <v>35</v>
      </c>
      <c r="B82" s="36">
        <f t="shared" ca="1" si="1"/>
        <v>0.35199999999999998</v>
      </c>
      <c r="C82" s="37">
        <f t="shared" si="8"/>
        <v>6</v>
      </c>
      <c r="D82" s="39">
        <f t="shared" ca="1" si="2"/>
        <v>0.17402068389733999</v>
      </c>
      <c r="E82" s="39">
        <f t="shared" ca="1" si="9"/>
        <v>7.5843485222920757</v>
      </c>
      <c r="F82" s="36">
        <f t="shared" ca="1" si="10"/>
        <v>5</v>
      </c>
      <c r="G82" s="36">
        <f ca="1">COUNTIF($P$48:P92,"&lt;"&amp;E82)</f>
        <v>29</v>
      </c>
      <c r="H82" s="36">
        <f t="shared" ca="1" si="11"/>
        <v>1</v>
      </c>
      <c r="I82" s="36" t="str">
        <f t="shared" ca="1" si="12"/>
        <v>Ocu</v>
      </c>
      <c r="J82" s="40">
        <f t="shared" ca="1" si="3"/>
        <v>6</v>
      </c>
      <c r="K82" s="41">
        <f t="shared" ca="1" si="4"/>
        <v>1.8830213411262013</v>
      </c>
      <c r="L82" s="42">
        <f t="shared" ca="1" si="13"/>
        <v>9.467369863418277</v>
      </c>
      <c r="M82" s="36">
        <f t="shared" ca="1" si="5"/>
        <v>0.11899999999999999</v>
      </c>
      <c r="N82" s="36">
        <f t="shared" si="14"/>
        <v>4</v>
      </c>
      <c r="O82" s="39">
        <f t="shared" ca="1" si="6"/>
        <v>0.53215794646765191</v>
      </c>
      <c r="P82" s="39">
        <f t="shared" ca="1" si="7"/>
        <v>9.9995278098859295</v>
      </c>
      <c r="Q82" s="43">
        <f t="shared" ca="1" si="15"/>
        <v>2.4151792875938538</v>
      </c>
    </row>
    <row r="83" spans="1:17" x14ac:dyDescent="0.25">
      <c r="A83" s="36">
        <v>36</v>
      </c>
      <c r="B83" s="36">
        <f t="shared" ca="1" si="1"/>
        <v>0.92900000000000005</v>
      </c>
      <c r="C83" s="37">
        <f t="shared" si="8"/>
        <v>6</v>
      </c>
      <c r="D83" s="39">
        <f t="shared" ca="1" si="2"/>
        <v>1.2274423361383084E-2</v>
      </c>
      <c r="E83" s="39">
        <f t="shared" ca="1" si="9"/>
        <v>7.5966229456534586</v>
      </c>
      <c r="F83" s="36">
        <f t="shared" ca="1" si="10"/>
        <v>6</v>
      </c>
      <c r="G83" s="36">
        <f ca="1">COUNTIF($P$48:P93,"&lt;"&amp;E83)</f>
        <v>29</v>
      </c>
      <c r="H83" s="36">
        <f t="shared" ca="1" si="11"/>
        <v>0</v>
      </c>
      <c r="I83" s="36" t="str">
        <f t="shared" ca="1" si="12"/>
        <v>Ocu</v>
      </c>
      <c r="J83" s="40">
        <f t="shared" ca="1" si="3"/>
        <v>7</v>
      </c>
      <c r="K83" s="41">
        <f t="shared" ca="1" si="4"/>
        <v>2.4029048642324708</v>
      </c>
      <c r="L83" s="42">
        <f t="shared" ca="1" si="13"/>
        <v>9.9995278098859295</v>
      </c>
      <c r="M83" s="36">
        <f t="shared" ca="1" si="5"/>
        <v>0.42799999999999999</v>
      </c>
      <c r="N83" s="36">
        <f t="shared" si="14"/>
        <v>4</v>
      </c>
      <c r="O83" s="39">
        <f t="shared" ca="1" si="6"/>
        <v>0.21215802085008506</v>
      </c>
      <c r="P83" s="39">
        <f t="shared" ca="1" si="7"/>
        <v>10.211685830736014</v>
      </c>
      <c r="Q83" s="43">
        <f t="shared" ca="1" si="15"/>
        <v>2.6150628850825557</v>
      </c>
    </row>
    <row r="84" spans="1:17" x14ac:dyDescent="0.25">
      <c r="A84" s="36">
        <v>37</v>
      </c>
      <c r="B84" s="36">
        <f t="shared" ca="1" si="1"/>
        <v>0.91700000000000004</v>
      </c>
      <c r="C84" s="37">
        <f t="shared" si="8"/>
        <v>6</v>
      </c>
      <c r="D84" s="39">
        <f t="shared" ca="1" si="2"/>
        <v>1.4441301120945358E-2</v>
      </c>
      <c r="E84" s="39">
        <f t="shared" ca="1" si="9"/>
        <v>7.6110642467744043</v>
      </c>
      <c r="F84" s="36">
        <f t="shared" ca="1" si="10"/>
        <v>7</v>
      </c>
      <c r="G84" s="36">
        <f ca="1">COUNTIF($P$48:P94,"&lt;"&amp;E84)</f>
        <v>29</v>
      </c>
      <c r="H84" s="36">
        <f t="shared" ca="1" si="11"/>
        <v>0</v>
      </c>
      <c r="I84" s="36" t="str">
        <f t="shared" ca="1" si="12"/>
        <v>Ocu</v>
      </c>
      <c r="J84" s="40">
        <f t="shared" ca="1" si="3"/>
        <v>8</v>
      </c>
      <c r="K84" s="41">
        <f t="shared" ca="1" si="4"/>
        <v>2.60062158396161</v>
      </c>
      <c r="L84" s="42">
        <f t="shared" ca="1" si="13"/>
        <v>10.211685830736014</v>
      </c>
      <c r="M84" s="36">
        <f t="shared" ca="1" si="5"/>
        <v>0.13700000000000001</v>
      </c>
      <c r="N84" s="36">
        <f t="shared" si="14"/>
        <v>4</v>
      </c>
      <c r="O84" s="39">
        <f t="shared" ca="1" si="6"/>
        <v>0.49694358828850299</v>
      </c>
      <c r="P84" s="39">
        <f t="shared" ca="1" si="7"/>
        <v>10.708629419024517</v>
      </c>
      <c r="Q84" s="43">
        <f t="shared" ca="1" si="15"/>
        <v>3.0975651722501123</v>
      </c>
    </row>
    <row r="85" spans="1:17" x14ac:dyDescent="0.25">
      <c r="A85" s="36">
        <v>38</v>
      </c>
      <c r="B85" s="36">
        <f t="shared" ca="1" si="1"/>
        <v>0.85899999999999999</v>
      </c>
      <c r="C85" s="37">
        <f t="shared" si="8"/>
        <v>6</v>
      </c>
      <c r="D85" s="39">
        <f t="shared" ca="1" si="2"/>
        <v>2.5331059499646959E-2</v>
      </c>
      <c r="E85" s="39">
        <f t="shared" ca="1" si="9"/>
        <v>7.6363953062740508</v>
      </c>
      <c r="F85" s="36">
        <f t="shared" ca="1" si="10"/>
        <v>8</v>
      </c>
      <c r="G85" s="36">
        <f ca="1">COUNTIF($P$48:P95,"&lt;"&amp;E85)</f>
        <v>29</v>
      </c>
      <c r="H85" s="36">
        <f t="shared" ca="1" si="11"/>
        <v>0</v>
      </c>
      <c r="I85" s="36" t="str">
        <f t="shared" ca="1" si="12"/>
        <v>Ocu</v>
      </c>
      <c r="J85" s="40">
        <f t="shared" ca="1" si="3"/>
        <v>9</v>
      </c>
      <c r="K85" s="41">
        <f t="shared" ca="1" si="4"/>
        <v>3.0722341127504658</v>
      </c>
      <c r="L85" s="42">
        <f t="shared" ca="1" si="13"/>
        <v>10.708629419024517</v>
      </c>
      <c r="M85" s="36">
        <f t="shared" ca="1" si="5"/>
        <v>0.51400000000000001</v>
      </c>
      <c r="N85" s="36">
        <f t="shared" si="14"/>
        <v>4</v>
      </c>
      <c r="O85" s="39">
        <f t="shared" ca="1" si="6"/>
        <v>0.16638300338174297</v>
      </c>
      <c r="P85" s="39">
        <f t="shared" ca="1" si="7"/>
        <v>10.875012422406259</v>
      </c>
      <c r="Q85" s="43">
        <f t="shared" ca="1" si="15"/>
        <v>3.2386171161322084</v>
      </c>
    </row>
    <row r="86" spans="1:17" x14ac:dyDescent="0.25">
      <c r="A86" s="36">
        <v>39</v>
      </c>
      <c r="B86" s="36">
        <f t="shared" ca="1" si="1"/>
        <v>0.54600000000000004</v>
      </c>
      <c r="C86" s="37">
        <f t="shared" si="8"/>
        <v>6</v>
      </c>
      <c r="D86" s="39">
        <f t="shared" ca="1" si="2"/>
        <v>0.10085605053953867</v>
      </c>
      <c r="E86" s="39">
        <f t="shared" ca="1" si="9"/>
        <v>7.7372513568135899</v>
      </c>
      <c r="F86" s="36">
        <f t="shared" ca="1" si="10"/>
        <v>8</v>
      </c>
      <c r="G86" s="36">
        <f ca="1">COUNTIF($P$48:P96,"&lt;"&amp;E86)</f>
        <v>30</v>
      </c>
      <c r="H86" s="36">
        <f t="shared" ca="1" si="11"/>
        <v>1</v>
      </c>
      <c r="I86" s="36" t="str">
        <f t="shared" ca="1" si="12"/>
        <v>Ocu</v>
      </c>
      <c r="J86" s="40">
        <f t="shared" ca="1" si="3"/>
        <v>9</v>
      </c>
      <c r="K86" s="41">
        <f t="shared" ca="1" si="4"/>
        <v>3.1377610655926693</v>
      </c>
      <c r="L86" s="42">
        <f t="shared" ca="1" si="13"/>
        <v>10.875012422406259</v>
      </c>
      <c r="M86" s="36">
        <f t="shared" ca="1" si="5"/>
        <v>0.64400000000000002</v>
      </c>
      <c r="N86" s="36">
        <f t="shared" si="14"/>
        <v>4</v>
      </c>
      <c r="O86" s="39">
        <f t="shared" ca="1" si="6"/>
        <v>0.11001413821944586</v>
      </c>
      <c r="P86" s="39">
        <f t="shared" ca="1" si="7"/>
        <v>10.985026560625705</v>
      </c>
      <c r="Q86" s="43">
        <f t="shared" ca="1" si="15"/>
        <v>3.2477752038121155</v>
      </c>
    </row>
    <row r="87" spans="1:17" x14ac:dyDescent="0.25">
      <c r="A87" s="36">
        <v>40</v>
      </c>
      <c r="B87" s="36">
        <f t="shared" ca="1" si="1"/>
        <v>7.1999999999999995E-2</v>
      </c>
      <c r="C87" s="37">
        <f t="shared" si="8"/>
        <v>6</v>
      </c>
      <c r="D87" s="39">
        <f t="shared" ca="1" si="2"/>
        <v>0.43851485999434697</v>
      </c>
      <c r="E87" s="39">
        <f t="shared" ca="1" si="9"/>
        <v>8.1757662168079364</v>
      </c>
      <c r="F87" s="36">
        <f t="shared" ca="1" si="10"/>
        <v>7</v>
      </c>
      <c r="G87" s="36">
        <f ca="1">COUNTIF($P$48:P97,"&lt;"&amp;E87)</f>
        <v>32</v>
      </c>
      <c r="H87" s="36">
        <f t="shared" ca="1" si="11"/>
        <v>2</v>
      </c>
      <c r="I87" s="36" t="str">
        <f t="shared" ca="1" si="12"/>
        <v>Ocu</v>
      </c>
      <c r="J87" s="40">
        <f t="shared" ca="1" si="3"/>
        <v>8</v>
      </c>
      <c r="K87" s="41">
        <f t="shared" ca="1" si="4"/>
        <v>2.809260343817769</v>
      </c>
      <c r="L87" s="42">
        <f t="shared" ca="1" si="13"/>
        <v>10.985026560625705</v>
      </c>
      <c r="M87" s="36">
        <f t="shared" ca="1" si="5"/>
        <v>0.89500000000000002</v>
      </c>
      <c r="N87" s="36">
        <f t="shared" si="14"/>
        <v>4</v>
      </c>
      <c r="O87" s="39">
        <f t="shared" ca="1" si="6"/>
        <v>2.7732890176820405E-2</v>
      </c>
      <c r="P87" s="39">
        <f t="shared" ca="1" si="7"/>
        <v>11.012759450802525</v>
      </c>
      <c r="Q87" s="43">
        <f t="shared" ca="1" si="15"/>
        <v>2.8369932339945887</v>
      </c>
    </row>
    <row r="88" spans="1:17" x14ac:dyDescent="0.25">
      <c r="A88" s="36">
        <v>41</v>
      </c>
      <c r="B88" s="36">
        <f t="shared" ca="1" si="1"/>
        <v>5.5E-2</v>
      </c>
      <c r="C88" s="37">
        <f t="shared" si="8"/>
        <v>6</v>
      </c>
      <c r="D88" s="39">
        <f t="shared" ca="1" si="2"/>
        <v>0.48340368229161101</v>
      </c>
      <c r="E88" s="39">
        <f t="shared" ca="1" si="9"/>
        <v>8.6591698990995472</v>
      </c>
      <c r="F88" s="36">
        <f t="shared" ca="1" si="10"/>
        <v>8</v>
      </c>
      <c r="G88" s="36">
        <f ca="1">COUNTIF($P$48:P98,"&lt;"&amp;E88)</f>
        <v>32</v>
      </c>
      <c r="H88" s="36">
        <f t="shared" ca="1" si="11"/>
        <v>0</v>
      </c>
      <c r="I88" s="36" t="str">
        <f t="shared" ca="1" si="12"/>
        <v>Ocu</v>
      </c>
      <c r="J88" s="40">
        <f t="shared" ca="1" si="3"/>
        <v>9</v>
      </c>
      <c r="K88" s="41">
        <f t="shared" ca="1" si="4"/>
        <v>2.3535895517029779</v>
      </c>
      <c r="L88" s="42">
        <f t="shared" ca="1" si="13"/>
        <v>11.012759450802525</v>
      </c>
      <c r="M88" s="36">
        <f t="shared" ca="1" si="5"/>
        <v>0.61699999999999999</v>
      </c>
      <c r="N88" s="36">
        <f t="shared" si="14"/>
        <v>4</v>
      </c>
      <c r="O88" s="39">
        <f t="shared" ca="1" si="6"/>
        <v>0.1207215637691873</v>
      </c>
      <c r="P88" s="39">
        <f t="shared" ca="1" si="7"/>
        <v>11.133481014571712</v>
      </c>
      <c r="Q88" s="43">
        <f t="shared" ca="1" si="15"/>
        <v>2.4743111154721653</v>
      </c>
    </row>
    <row r="89" spans="1:17" x14ac:dyDescent="0.25">
      <c r="A89" s="36">
        <v>42</v>
      </c>
      <c r="B89" s="36">
        <f t="shared" ca="1" si="1"/>
        <v>0.754</v>
      </c>
      <c r="C89" s="37">
        <f t="shared" si="8"/>
        <v>6</v>
      </c>
      <c r="D89" s="39">
        <f t="shared" ca="1" si="2"/>
        <v>4.7060485162363497E-2</v>
      </c>
      <c r="E89" s="39">
        <f t="shared" ca="1" si="9"/>
        <v>8.7062303842619109</v>
      </c>
      <c r="F89" s="36">
        <f t="shared" ca="1" si="10"/>
        <v>9</v>
      </c>
      <c r="G89" s="36">
        <f ca="1">COUNTIF($P$48:P99,"&lt;"&amp;E89)</f>
        <v>32</v>
      </c>
      <c r="H89" s="36">
        <f t="shared" ca="1" si="11"/>
        <v>0</v>
      </c>
      <c r="I89" s="36" t="str">
        <f t="shared" ca="1" si="12"/>
        <v>Ocu</v>
      </c>
      <c r="J89" s="40">
        <f t="shared" ca="1" si="3"/>
        <v>10</v>
      </c>
      <c r="K89" s="41">
        <f t="shared" ca="1" si="4"/>
        <v>2.4272506303098016</v>
      </c>
      <c r="L89" s="42">
        <f t="shared" ca="1" si="13"/>
        <v>11.133481014571712</v>
      </c>
      <c r="M89" s="36">
        <f t="shared" ca="1" si="5"/>
        <v>0.54100000000000004</v>
      </c>
      <c r="N89" s="36">
        <f t="shared" si="14"/>
        <v>4</v>
      </c>
      <c r="O89" s="39">
        <f t="shared" ca="1" si="6"/>
        <v>0.15358400003391387</v>
      </c>
      <c r="P89" s="39">
        <f t="shared" ca="1" si="7"/>
        <v>11.287065014605627</v>
      </c>
      <c r="Q89" s="43">
        <f t="shared" ca="1" si="15"/>
        <v>2.5808346303437162</v>
      </c>
    </row>
    <row r="90" spans="1:17" x14ac:dyDescent="0.25">
      <c r="A90" s="36">
        <v>43</v>
      </c>
      <c r="B90" s="36">
        <f t="shared" ca="1" si="1"/>
        <v>0.40300000000000002</v>
      </c>
      <c r="C90" s="37">
        <f t="shared" si="8"/>
        <v>6</v>
      </c>
      <c r="D90" s="39">
        <f t="shared" ca="1" si="2"/>
        <v>0.15146978617257567</v>
      </c>
      <c r="E90" s="39">
        <f t="shared" ca="1" si="9"/>
        <v>8.8577001704344873</v>
      </c>
      <c r="F90" s="36">
        <f t="shared" ca="1" si="10"/>
        <v>10</v>
      </c>
      <c r="G90" s="36">
        <f ca="1">COUNTIF($P$48:P100,"&lt;"&amp;E90)</f>
        <v>32</v>
      </c>
      <c r="H90" s="36">
        <f t="shared" ca="1" si="11"/>
        <v>0</v>
      </c>
      <c r="I90" s="36" t="str">
        <f t="shared" ca="1" si="12"/>
        <v>Ocu</v>
      </c>
      <c r="J90" s="40">
        <f t="shared" ca="1" si="3"/>
        <v>11</v>
      </c>
      <c r="K90" s="41">
        <f t="shared" ca="1" si="4"/>
        <v>2.4293648441711397</v>
      </c>
      <c r="L90" s="42">
        <f t="shared" ca="1" si="13"/>
        <v>11.287065014605627</v>
      </c>
      <c r="M90" s="36">
        <f t="shared" ca="1" si="5"/>
        <v>0.311</v>
      </c>
      <c r="N90" s="36">
        <f t="shared" si="14"/>
        <v>4</v>
      </c>
      <c r="O90" s="39">
        <f t="shared" ca="1" si="6"/>
        <v>0.29199059170072572</v>
      </c>
      <c r="P90" s="39">
        <f t="shared" ca="1" si="7"/>
        <v>11.579055606306353</v>
      </c>
      <c r="Q90" s="43">
        <f t="shared" ca="1" si="15"/>
        <v>2.7213554358718657</v>
      </c>
    </row>
    <row r="91" spans="1:17" x14ac:dyDescent="0.25">
      <c r="A91" s="36">
        <v>44</v>
      </c>
      <c r="B91" s="36">
        <f t="shared" ca="1" si="1"/>
        <v>0.88700000000000001</v>
      </c>
      <c r="C91" s="37">
        <f t="shared" si="8"/>
        <v>6</v>
      </c>
      <c r="D91" s="39">
        <f t="shared" ca="1" si="2"/>
        <v>1.9985049445426249E-2</v>
      </c>
      <c r="E91" s="39">
        <f t="shared" ca="1" si="9"/>
        <v>8.877685219879913</v>
      </c>
      <c r="F91" s="36">
        <f t="shared" ca="1" si="10"/>
        <v>11</v>
      </c>
      <c r="G91" s="36">
        <f ca="1">COUNTIF($P$48:P101,"&lt;"&amp;E91)</f>
        <v>32</v>
      </c>
      <c r="H91" s="36">
        <f t="shared" ca="1" si="11"/>
        <v>0</v>
      </c>
      <c r="I91" s="36" t="str">
        <f t="shared" ca="1" si="12"/>
        <v>Ocu</v>
      </c>
      <c r="J91" s="40">
        <f t="shared" ca="1" si="3"/>
        <v>12</v>
      </c>
      <c r="K91" s="41">
        <f t="shared" ca="1" si="4"/>
        <v>2.70137038642644</v>
      </c>
      <c r="L91" s="42">
        <f t="shared" ca="1" si="13"/>
        <v>11.579055606306353</v>
      </c>
      <c r="M91" s="36">
        <f t="shared" ca="1" si="5"/>
        <v>0.91600000000000004</v>
      </c>
      <c r="N91" s="36">
        <f t="shared" si="14"/>
        <v>4</v>
      </c>
      <c r="O91" s="39">
        <f t="shared" ca="1" si="6"/>
        <v>2.1934728577001669E-2</v>
      </c>
      <c r="P91" s="39">
        <f t="shared" ca="1" si="7"/>
        <v>11.600990334883354</v>
      </c>
      <c r="Q91" s="43">
        <f t="shared" ca="1" si="15"/>
        <v>2.7233051150034413</v>
      </c>
    </row>
    <row r="92" spans="1:17" x14ac:dyDescent="0.25">
      <c r="A92" s="36">
        <v>45</v>
      </c>
      <c r="B92" s="36">
        <f t="shared" ca="1" si="1"/>
        <v>0.34</v>
      </c>
      <c r="C92" s="37">
        <f t="shared" si="8"/>
        <v>6</v>
      </c>
      <c r="D92" s="39">
        <f t="shared" ca="1" si="2"/>
        <v>0.17980161022865496</v>
      </c>
      <c r="E92" s="39">
        <f t="shared" ca="1" si="9"/>
        <v>9.0574868301085676</v>
      </c>
      <c r="F92" s="36">
        <f t="shared" ca="1" si="10"/>
        <v>12</v>
      </c>
      <c r="G92" s="36">
        <f ca="1">COUNTIF($P$48:P102,"&lt;"&amp;E92)</f>
        <v>32</v>
      </c>
      <c r="H92" s="36">
        <f t="shared" ca="1" si="11"/>
        <v>0</v>
      </c>
      <c r="I92" s="36" t="str">
        <f t="shared" ca="1" si="12"/>
        <v>Ocu</v>
      </c>
      <c r="J92" s="40">
        <f t="shared" ca="1" si="3"/>
        <v>13</v>
      </c>
      <c r="K92" s="41">
        <f t="shared" ca="1" si="4"/>
        <v>2.5435035047747867</v>
      </c>
      <c r="L92" s="42">
        <f t="shared" ca="1" si="13"/>
        <v>11.600990334883354</v>
      </c>
      <c r="M92" s="36">
        <f t="shared" ca="1" si="5"/>
        <v>0.59499999999999997</v>
      </c>
      <c r="N92" s="36">
        <f t="shared" si="14"/>
        <v>4</v>
      </c>
      <c r="O92" s="39">
        <f t="shared" ca="1" si="6"/>
        <v>0.12979846835912684</v>
      </c>
      <c r="P92" s="39">
        <f t="shared" ca="1" si="7"/>
        <v>11.730788803242481</v>
      </c>
      <c r="Q92" s="43">
        <f t="shared" ca="1" si="15"/>
        <v>2.6733019731339134</v>
      </c>
    </row>
    <row r="93" spans="1:17" x14ac:dyDescent="0.25">
      <c r="A93" s="36">
        <v>46</v>
      </c>
      <c r="B93" s="36">
        <f t="shared" ca="1" si="1"/>
        <v>0.94099999999999995</v>
      </c>
      <c r="C93" s="37">
        <f t="shared" si="8"/>
        <v>6</v>
      </c>
      <c r="D93" s="39">
        <f t="shared" ca="1" si="2"/>
        <v>1.0135356566126255E-2</v>
      </c>
      <c r="E93" s="39">
        <f t="shared" ca="1" si="9"/>
        <v>9.0676221866746936</v>
      </c>
      <c r="F93" s="36">
        <f t="shared" ca="1" si="10"/>
        <v>13</v>
      </c>
      <c r="G93" s="36">
        <f ca="1">COUNTIF($P$48:P103,"&lt;"&amp;E93)</f>
        <v>32</v>
      </c>
      <c r="H93" s="36">
        <f t="shared" ca="1" si="11"/>
        <v>0</v>
      </c>
      <c r="I93" s="36" t="str">
        <f t="shared" ca="1" si="12"/>
        <v>Ocu</v>
      </c>
      <c r="J93" s="40">
        <f t="shared" ca="1" si="3"/>
        <v>14</v>
      </c>
      <c r="K93" s="41">
        <f t="shared" ca="1" si="4"/>
        <v>2.6631666165677874</v>
      </c>
      <c r="L93" s="42">
        <f t="shared" ca="1" si="13"/>
        <v>11.730788803242481</v>
      </c>
      <c r="M93" s="36">
        <f t="shared" ca="1" si="5"/>
        <v>0.97199999999999998</v>
      </c>
      <c r="N93" s="36">
        <f t="shared" si="14"/>
        <v>4</v>
      </c>
      <c r="O93" s="39">
        <f t="shared" ca="1" si="6"/>
        <v>7.0998686304244892E-3</v>
      </c>
      <c r="P93" s="39">
        <f t="shared" ca="1" si="7"/>
        <v>11.737888671872906</v>
      </c>
      <c r="Q93" s="43">
        <f t="shared" ca="1" si="15"/>
        <v>2.6702664851982121</v>
      </c>
    </row>
    <row r="94" spans="1:17" x14ac:dyDescent="0.25">
      <c r="A94" s="36">
        <v>47</v>
      </c>
      <c r="B94" s="36">
        <f t="shared" ca="1" si="1"/>
        <v>0.02</v>
      </c>
      <c r="C94" s="37">
        <f t="shared" si="8"/>
        <v>6</v>
      </c>
      <c r="D94" s="39">
        <f t="shared" ca="1" si="2"/>
        <v>0.65200383423802433</v>
      </c>
      <c r="E94" s="39">
        <f t="shared" ca="1" si="9"/>
        <v>9.7196260209127185</v>
      </c>
      <c r="F94" s="36">
        <f t="shared" ca="1" si="10"/>
        <v>12</v>
      </c>
      <c r="G94" s="36">
        <f ca="1">COUNTIF($P$48:P104,"&lt;"&amp;E94)</f>
        <v>34</v>
      </c>
      <c r="H94" s="36">
        <f t="shared" ca="1" si="11"/>
        <v>2</v>
      </c>
      <c r="I94" s="36" t="str">
        <f t="shared" ca="1" si="12"/>
        <v>Ocu</v>
      </c>
      <c r="J94" s="40">
        <f t="shared" ca="1" si="3"/>
        <v>13</v>
      </c>
      <c r="K94" s="41">
        <f t="shared" ca="1" si="4"/>
        <v>2.0182626509601871</v>
      </c>
      <c r="L94" s="42">
        <f t="shared" ca="1" si="13"/>
        <v>11.737888671872906</v>
      </c>
      <c r="M94" s="36">
        <f t="shared" ca="1" si="5"/>
        <v>8.0000000000000002E-3</v>
      </c>
      <c r="N94" s="36">
        <f t="shared" si="14"/>
        <v>4</v>
      </c>
      <c r="O94" s="39">
        <f t="shared" ca="1" si="6"/>
        <v>1.2070784343255754</v>
      </c>
      <c r="P94" s="39">
        <f t="shared" ca="1" si="7"/>
        <v>12.944967106198481</v>
      </c>
      <c r="Q94" s="43">
        <f t="shared" ca="1" si="15"/>
        <v>3.2253410852857627</v>
      </c>
    </row>
    <row r="95" spans="1:17" x14ac:dyDescent="0.25">
      <c r="A95" s="36">
        <v>48</v>
      </c>
      <c r="B95" s="36">
        <f t="shared" ca="1" si="1"/>
        <v>0.309</v>
      </c>
      <c r="C95" s="37">
        <f t="shared" si="8"/>
        <v>6</v>
      </c>
      <c r="D95" s="39">
        <f t="shared" ca="1" si="2"/>
        <v>0.19573566701406525</v>
      </c>
      <c r="E95" s="39">
        <f t="shared" ca="1" si="9"/>
        <v>9.915361687926783</v>
      </c>
      <c r="F95" s="36">
        <f t="shared" ca="1" si="10"/>
        <v>13</v>
      </c>
      <c r="G95" s="36">
        <f ca="1">COUNTIF($P$48:P105,"&lt;"&amp;E95)</f>
        <v>34</v>
      </c>
      <c r="H95" s="36">
        <f t="shared" ca="1" si="11"/>
        <v>0</v>
      </c>
      <c r="I95" s="36" t="str">
        <f t="shared" ca="1" si="12"/>
        <v>Ocu</v>
      </c>
      <c r="J95" s="40">
        <f t="shared" ca="1" si="3"/>
        <v>14</v>
      </c>
      <c r="K95" s="41">
        <f t="shared" ca="1" si="4"/>
        <v>3.0296054182716983</v>
      </c>
      <c r="L95" s="42">
        <f t="shared" ca="1" si="13"/>
        <v>12.944967106198481</v>
      </c>
      <c r="M95" s="36">
        <f t="shared" ca="1" si="5"/>
        <v>0.61399999999999999</v>
      </c>
      <c r="N95" s="36">
        <f t="shared" si="14"/>
        <v>4</v>
      </c>
      <c r="O95" s="39">
        <f t="shared" ca="1" si="6"/>
        <v>0.12194008770874866</v>
      </c>
      <c r="P95" s="39">
        <f t="shared" ca="1" si="7"/>
        <v>13.06690719390723</v>
      </c>
      <c r="Q95" s="43">
        <f t="shared" ca="1" si="15"/>
        <v>3.1515455059804474</v>
      </c>
    </row>
    <row r="96" spans="1:17" x14ac:dyDescent="0.25">
      <c r="A96" s="36">
        <v>49</v>
      </c>
      <c r="B96" s="36">
        <f t="shared" ca="1" si="1"/>
        <v>0.78600000000000003</v>
      </c>
      <c r="C96" s="37">
        <f t="shared" si="8"/>
        <v>6</v>
      </c>
      <c r="D96" s="39">
        <f t="shared" ca="1" si="2"/>
        <v>4.013308109215509E-2</v>
      </c>
      <c r="E96" s="39">
        <f t="shared" ca="1" si="9"/>
        <v>9.9554947690189373</v>
      </c>
      <c r="F96" s="36">
        <f t="shared" ca="1" si="10"/>
        <v>14</v>
      </c>
      <c r="G96" s="36">
        <f ca="1">COUNTIF($P$48:P106,"&lt;"&amp;E96)</f>
        <v>34</v>
      </c>
      <c r="H96" s="36">
        <f t="shared" ca="1" si="11"/>
        <v>0</v>
      </c>
      <c r="I96" s="36" t="str">
        <f t="shared" ca="1" si="12"/>
        <v>Ocu</v>
      </c>
      <c r="J96" s="40">
        <f t="shared" ca="1" si="3"/>
        <v>15</v>
      </c>
      <c r="K96" s="41">
        <f t="shared" ca="1" si="4"/>
        <v>3.1114124248882931</v>
      </c>
      <c r="L96" s="42">
        <f t="shared" ca="1" si="13"/>
        <v>13.06690719390723</v>
      </c>
      <c r="M96" s="36">
        <f t="shared" ca="1" si="5"/>
        <v>0.96899999999999997</v>
      </c>
      <c r="N96" s="36">
        <f t="shared" si="14"/>
        <v>4</v>
      </c>
      <c r="O96" s="39">
        <f t="shared" ca="1" si="6"/>
        <v>7.8726667728427225E-3</v>
      </c>
      <c r="P96" s="39">
        <f t="shared" ca="1" si="7"/>
        <v>13.074779860680072</v>
      </c>
      <c r="Q96" s="43">
        <f t="shared" ca="1" si="15"/>
        <v>3.1192850916611352</v>
      </c>
    </row>
    <row r="97" spans="1:17" x14ac:dyDescent="0.25">
      <c r="A97" s="36">
        <v>50</v>
      </c>
      <c r="B97" s="36">
        <f t="shared" ca="1" si="1"/>
        <v>6.6000000000000003E-2</v>
      </c>
      <c r="C97" s="37">
        <f t="shared" si="8"/>
        <v>6</v>
      </c>
      <c r="D97" s="39">
        <f t="shared" ca="1" si="2"/>
        <v>0.45301675615928527</v>
      </c>
      <c r="E97" s="39">
        <f t="shared" ca="1" si="9"/>
        <v>10.408511525178223</v>
      </c>
      <c r="F97" s="36">
        <f t="shared" ca="1" si="10"/>
        <v>13</v>
      </c>
      <c r="G97" s="36">
        <f ca="1">COUNTIF($P$48:P107,"&lt;"&amp;E97)</f>
        <v>36</v>
      </c>
      <c r="H97" s="36">
        <f t="shared" ca="1" si="11"/>
        <v>2</v>
      </c>
      <c r="I97" s="36" t="str">
        <f t="shared" ca="1" si="12"/>
        <v>Ocu</v>
      </c>
      <c r="J97" s="40">
        <f t="shared" ca="1" si="3"/>
        <v>14</v>
      </c>
      <c r="K97" s="41">
        <f t="shared" ca="1" si="4"/>
        <v>2.6662683355018491</v>
      </c>
      <c r="L97" s="42">
        <f t="shared" ca="1" si="13"/>
        <v>13.074779860680072</v>
      </c>
      <c r="M97" s="36">
        <f t="shared" ca="1" si="5"/>
        <v>0.73</v>
      </c>
      <c r="N97" s="36">
        <f t="shared" si="14"/>
        <v>4</v>
      </c>
      <c r="O97" s="39">
        <f t="shared" ca="1" si="6"/>
        <v>7.8677686209925046E-2</v>
      </c>
      <c r="P97" s="39">
        <f t="shared" ca="1" si="7"/>
        <v>13.153457546889998</v>
      </c>
      <c r="Q97" s="43">
        <f t="shared" ca="1" si="15"/>
        <v>2.7449460217117743</v>
      </c>
    </row>
    <row r="98" spans="1:17" x14ac:dyDescent="0.25">
      <c r="A98" s="36">
        <v>51</v>
      </c>
      <c r="B98" s="36">
        <f t="shared" ca="1" si="1"/>
        <v>0.64100000000000001</v>
      </c>
      <c r="C98" s="37">
        <f t="shared" si="8"/>
        <v>6</v>
      </c>
      <c r="D98" s="39">
        <f t="shared" ca="1" si="2"/>
        <v>7.4120970343577827E-2</v>
      </c>
      <c r="E98" s="39">
        <f t="shared" ca="1" si="9"/>
        <v>10.482632495521802</v>
      </c>
      <c r="F98" s="36">
        <f t="shared" ca="1" si="10"/>
        <v>14</v>
      </c>
      <c r="G98" s="36">
        <f ca="1">COUNTIF($P$48:P108,"&lt;"&amp;E98)</f>
        <v>36</v>
      </c>
      <c r="H98" s="36">
        <f t="shared" ca="1" si="11"/>
        <v>0</v>
      </c>
      <c r="I98" s="36" t="str">
        <f t="shared" ca="1" si="12"/>
        <v>Ocu</v>
      </c>
      <c r="J98" s="40">
        <f t="shared" ca="1" si="3"/>
        <v>15</v>
      </c>
      <c r="K98" s="41">
        <f t="shared" ca="1" si="4"/>
        <v>2.6708250513681957</v>
      </c>
      <c r="L98" s="42">
        <f t="shared" ca="1" si="13"/>
        <v>13.153457546889998</v>
      </c>
      <c r="M98" s="36">
        <f t="shared" ca="1" si="5"/>
        <v>0.11700000000000001</v>
      </c>
      <c r="N98" s="36">
        <f t="shared" si="14"/>
        <v>4</v>
      </c>
      <c r="O98" s="39">
        <f t="shared" ca="1" si="6"/>
        <v>0.53639533604609524</v>
      </c>
      <c r="P98" s="39">
        <f t="shared" ca="1" si="7"/>
        <v>13.689852882936092</v>
      </c>
      <c r="Q98" s="43">
        <f t="shared" ca="1" si="15"/>
        <v>3.2072203874142904</v>
      </c>
    </row>
    <row r="99" spans="1:17" x14ac:dyDescent="0.25">
      <c r="A99" s="36">
        <v>52</v>
      </c>
      <c r="B99" s="36">
        <f t="shared" ca="1" si="1"/>
        <v>0.33200000000000002</v>
      </c>
      <c r="C99" s="37">
        <f t="shared" si="8"/>
        <v>6</v>
      </c>
      <c r="D99" s="39">
        <f t="shared" ca="1" si="2"/>
        <v>0.18377005167760807</v>
      </c>
      <c r="E99" s="39">
        <f t="shared" ca="1" si="9"/>
        <v>10.666402547199411</v>
      </c>
      <c r="F99" s="36">
        <f t="shared" ca="1" si="10"/>
        <v>15</v>
      </c>
      <c r="G99" s="36">
        <f ca="1">COUNTIF($P$48:P109,"&lt;"&amp;E99)</f>
        <v>36</v>
      </c>
      <c r="H99" s="36">
        <f t="shared" ca="1" si="11"/>
        <v>0</v>
      </c>
      <c r="I99" s="36" t="str">
        <f t="shared" ca="1" si="12"/>
        <v>Ocu</v>
      </c>
      <c r="J99" s="40">
        <f t="shared" ca="1" si="3"/>
        <v>16</v>
      </c>
      <c r="K99" s="41">
        <f t="shared" ca="1" si="4"/>
        <v>3.0234503357366815</v>
      </c>
      <c r="L99" s="42">
        <f t="shared" ca="1" si="13"/>
        <v>13.689852882936092</v>
      </c>
      <c r="M99" s="36">
        <f t="shared" ca="1" si="5"/>
        <v>4.3999999999999997E-2</v>
      </c>
      <c r="N99" s="36">
        <f t="shared" si="14"/>
        <v>4</v>
      </c>
      <c r="O99" s="39">
        <f t="shared" ca="1" si="6"/>
        <v>0.78089141126596895</v>
      </c>
      <c r="P99" s="39">
        <f t="shared" ca="1" si="7"/>
        <v>14.470744294202062</v>
      </c>
      <c r="Q99" s="43">
        <f t="shared" ca="1" si="15"/>
        <v>3.8043417470026508</v>
      </c>
    </row>
    <row r="100" spans="1:17" x14ac:dyDescent="0.25">
      <c r="A100" s="36">
        <v>53</v>
      </c>
      <c r="B100" s="36">
        <f t="shared" ca="1" si="1"/>
        <v>0.66400000000000003</v>
      </c>
      <c r="C100" s="37">
        <f t="shared" si="8"/>
        <v>6</v>
      </c>
      <c r="D100" s="39">
        <f t="shared" ca="1" si="2"/>
        <v>6.8245521584283847E-2</v>
      </c>
      <c r="E100" s="39">
        <f t="shared" ca="1" si="9"/>
        <v>10.734648068783695</v>
      </c>
      <c r="F100" s="36">
        <f t="shared" ca="1" si="10"/>
        <v>15</v>
      </c>
      <c r="G100" s="36">
        <f ca="1">COUNTIF($P$48:P110,"&lt;"&amp;E100)</f>
        <v>37</v>
      </c>
      <c r="H100" s="36">
        <f t="shared" ca="1" si="11"/>
        <v>1</v>
      </c>
      <c r="I100" s="36" t="str">
        <f t="shared" ca="1" si="12"/>
        <v>Ocu</v>
      </c>
      <c r="J100" s="40">
        <f t="shared" ca="1" si="3"/>
        <v>16</v>
      </c>
      <c r="K100" s="41">
        <f t="shared" ca="1" si="4"/>
        <v>3.7360962254183665</v>
      </c>
      <c r="L100" s="42">
        <f t="shared" ca="1" si="13"/>
        <v>14.470744294202062</v>
      </c>
      <c r="M100" s="36">
        <f t="shared" ca="1" si="5"/>
        <v>0.47099999999999997</v>
      </c>
      <c r="N100" s="36">
        <f t="shared" si="14"/>
        <v>4</v>
      </c>
      <c r="O100" s="39">
        <f t="shared" ca="1" si="6"/>
        <v>0.18822429624142983</v>
      </c>
      <c r="P100" s="39">
        <f t="shared" ca="1" si="7"/>
        <v>14.658968590443491</v>
      </c>
      <c r="Q100" s="43">
        <f t="shared" ca="1" si="15"/>
        <v>3.9243205216597961</v>
      </c>
    </row>
    <row r="101" spans="1:17" x14ac:dyDescent="0.25">
      <c r="A101" s="36">
        <v>54</v>
      </c>
      <c r="B101" s="36">
        <f t="shared" ca="1" si="1"/>
        <v>3.3000000000000002E-2</v>
      </c>
      <c r="C101" s="37">
        <f t="shared" si="8"/>
        <v>6</v>
      </c>
      <c r="D101" s="39">
        <f t="shared" ca="1" si="2"/>
        <v>0.56854128625260936</v>
      </c>
      <c r="E101" s="39">
        <f t="shared" ca="1" si="9"/>
        <v>11.303189355036304</v>
      </c>
      <c r="F101" s="36">
        <f t="shared" ca="1" si="10"/>
        <v>11</v>
      </c>
      <c r="G101" s="36">
        <f ca="1">COUNTIF($P$48:P111,"&lt;"&amp;E101)</f>
        <v>42</v>
      </c>
      <c r="H101" s="36">
        <f t="shared" ca="1" si="11"/>
        <v>5</v>
      </c>
      <c r="I101" s="36" t="str">
        <f t="shared" ca="1" si="12"/>
        <v>Ocu</v>
      </c>
      <c r="J101" s="40">
        <f t="shared" ca="1" si="3"/>
        <v>12</v>
      </c>
      <c r="K101" s="41">
        <f t="shared" ca="1" si="4"/>
        <v>3.3557792354071871</v>
      </c>
      <c r="L101" s="42">
        <f t="shared" ca="1" si="13"/>
        <v>14.658968590443491</v>
      </c>
      <c r="M101" s="36">
        <f t="shared" ca="1" si="5"/>
        <v>0.70099999999999996</v>
      </c>
      <c r="N101" s="36">
        <f t="shared" si="14"/>
        <v>4</v>
      </c>
      <c r="O101" s="39">
        <f t="shared" ca="1" si="6"/>
        <v>8.8811847986886738E-2</v>
      </c>
      <c r="P101" s="39">
        <f t="shared" ca="1" si="7"/>
        <v>14.747780438430379</v>
      </c>
      <c r="Q101" s="43">
        <f t="shared" ca="1" si="15"/>
        <v>3.4445910833940747</v>
      </c>
    </row>
    <row r="102" spans="1:17" x14ac:dyDescent="0.25">
      <c r="A102" s="36">
        <v>55</v>
      </c>
      <c r="B102" s="36">
        <f t="shared" ca="1" si="1"/>
        <v>0.35199999999999998</v>
      </c>
      <c r="C102" s="37">
        <f t="shared" si="8"/>
        <v>6</v>
      </c>
      <c r="D102" s="39">
        <f t="shared" ca="1" si="2"/>
        <v>0.17402068389733999</v>
      </c>
      <c r="E102" s="39">
        <f t="shared" ca="1" si="9"/>
        <v>11.477210038933643</v>
      </c>
      <c r="F102" s="36">
        <f t="shared" ca="1" si="10"/>
        <v>12</v>
      </c>
      <c r="G102" s="36">
        <f ca="1">COUNTIF($P$48:P112,"&lt;"&amp;E102)</f>
        <v>42</v>
      </c>
      <c r="H102" s="36">
        <f t="shared" ca="1" si="11"/>
        <v>0</v>
      </c>
      <c r="I102" s="36" t="str">
        <f t="shared" ca="1" si="12"/>
        <v>Ocu</v>
      </c>
      <c r="J102" s="40">
        <f t="shared" ca="1" si="3"/>
        <v>13</v>
      </c>
      <c r="K102" s="41">
        <f t="shared" ca="1" si="4"/>
        <v>3.2705703994967354</v>
      </c>
      <c r="L102" s="42">
        <f t="shared" ca="1" si="13"/>
        <v>14.747780438430379</v>
      </c>
      <c r="M102" s="36">
        <f t="shared" ca="1" si="5"/>
        <v>0.81200000000000006</v>
      </c>
      <c r="N102" s="36">
        <f t="shared" si="14"/>
        <v>4</v>
      </c>
      <c r="O102" s="39">
        <f t="shared" ca="1" si="6"/>
        <v>5.2063734705114738E-2</v>
      </c>
      <c r="P102" s="39">
        <f t="shared" ca="1" si="7"/>
        <v>14.799844173135494</v>
      </c>
      <c r="Q102" s="43">
        <f t="shared" ca="1" si="15"/>
        <v>3.3226341342018504</v>
      </c>
    </row>
    <row r="103" spans="1:17" x14ac:dyDescent="0.25">
      <c r="A103" s="36">
        <v>56</v>
      </c>
      <c r="B103" s="36">
        <f t="shared" ca="1" si="1"/>
        <v>0.72299999999999998</v>
      </c>
      <c r="C103" s="37">
        <f t="shared" si="8"/>
        <v>6</v>
      </c>
      <c r="D103" s="39">
        <f t="shared" ca="1" si="2"/>
        <v>5.4057676137228727E-2</v>
      </c>
      <c r="E103" s="39">
        <f t="shared" ca="1" si="9"/>
        <v>11.531267715070872</v>
      </c>
      <c r="F103" s="36">
        <f t="shared" ca="1" si="10"/>
        <v>13</v>
      </c>
      <c r="G103" s="36">
        <f ca="1">COUNTIF($P$48:P113,"&lt;"&amp;E103)</f>
        <v>42</v>
      </c>
      <c r="H103" s="36">
        <f t="shared" ca="1" si="11"/>
        <v>0</v>
      </c>
      <c r="I103" s="36" t="str">
        <f t="shared" ca="1" si="12"/>
        <v>Ocu</v>
      </c>
      <c r="J103" s="40">
        <f t="shared" ca="1" si="3"/>
        <v>14</v>
      </c>
      <c r="K103" s="41">
        <f t="shared" ca="1" si="4"/>
        <v>3.2685764580646222</v>
      </c>
      <c r="L103" s="42">
        <f t="shared" ca="1" si="13"/>
        <v>14.799844173135494</v>
      </c>
      <c r="M103" s="36">
        <f t="shared" ca="1" si="5"/>
        <v>0.14799999999999999</v>
      </c>
      <c r="N103" s="36">
        <f t="shared" si="14"/>
        <v>4</v>
      </c>
      <c r="O103" s="39">
        <f t="shared" ca="1" si="6"/>
        <v>0.47763575130450553</v>
      </c>
      <c r="P103" s="39">
        <f t="shared" ca="1" si="7"/>
        <v>15.27747992444</v>
      </c>
      <c r="Q103" s="43">
        <f t="shared" ca="1" si="15"/>
        <v>3.7462122093691281</v>
      </c>
    </row>
    <row r="104" spans="1:17" x14ac:dyDescent="0.25">
      <c r="A104" s="36">
        <v>57</v>
      </c>
      <c r="B104" s="36">
        <f t="shared" ca="1" si="1"/>
        <v>0.8</v>
      </c>
      <c r="C104" s="37">
        <f t="shared" si="8"/>
        <v>6</v>
      </c>
      <c r="D104" s="39">
        <f t="shared" ca="1" si="2"/>
        <v>3.7190591885701625E-2</v>
      </c>
      <c r="E104" s="39">
        <f t="shared" ca="1" si="9"/>
        <v>11.568458306956574</v>
      </c>
      <c r="F104" s="36">
        <f t="shared" ca="1" si="10"/>
        <v>14</v>
      </c>
      <c r="G104" s="36">
        <f ca="1">COUNTIF($P$48:P114,"&lt;"&amp;E104)</f>
        <v>42</v>
      </c>
      <c r="H104" s="36">
        <f t="shared" ca="1" si="11"/>
        <v>0</v>
      </c>
      <c r="I104" s="36" t="str">
        <f t="shared" ca="1" si="12"/>
        <v>Ocu</v>
      </c>
      <c r="J104" s="40">
        <f t="shared" ca="1" si="3"/>
        <v>15</v>
      </c>
      <c r="K104" s="41">
        <f t="shared" ca="1" si="4"/>
        <v>3.7090216174834261</v>
      </c>
      <c r="L104" s="42">
        <f t="shared" ca="1" si="13"/>
        <v>15.27747992444</v>
      </c>
      <c r="M104" s="36">
        <f t="shared" ca="1" si="5"/>
        <v>0.97499999999999998</v>
      </c>
      <c r="N104" s="36">
        <f t="shared" si="14"/>
        <v>4</v>
      </c>
      <c r="O104" s="39">
        <f t="shared" ca="1" si="6"/>
        <v>6.3294519960725003E-3</v>
      </c>
      <c r="P104" s="39">
        <f t="shared" ca="1" si="7"/>
        <v>15.283809376436071</v>
      </c>
      <c r="Q104" s="43">
        <f t="shared" ca="1" si="15"/>
        <v>3.7153510694794978</v>
      </c>
    </row>
    <row r="105" spans="1:17" x14ac:dyDescent="0.25">
      <c r="A105" s="36">
        <v>58</v>
      </c>
      <c r="B105" s="36">
        <f t="shared" ca="1" si="1"/>
        <v>0.13800000000000001</v>
      </c>
      <c r="C105" s="37">
        <f t="shared" si="8"/>
        <v>6</v>
      </c>
      <c r="D105" s="39">
        <f t="shared" ca="1" si="2"/>
        <v>0.33008359897082201</v>
      </c>
      <c r="E105" s="39">
        <f t="shared" ca="1" si="9"/>
        <v>11.898541905927395</v>
      </c>
      <c r="F105" s="36">
        <f t="shared" ca="1" si="10"/>
        <v>11</v>
      </c>
      <c r="G105" s="36">
        <f ca="1">COUNTIF($P$48:P115,"&lt;"&amp;E105)</f>
        <v>46</v>
      </c>
      <c r="H105" s="36">
        <f t="shared" ca="1" si="11"/>
        <v>4</v>
      </c>
      <c r="I105" s="36" t="str">
        <f t="shared" ca="1" si="12"/>
        <v>Ocu</v>
      </c>
      <c r="J105" s="40">
        <f t="shared" ca="1" si="3"/>
        <v>12</v>
      </c>
      <c r="K105" s="41">
        <f t="shared" ca="1" si="4"/>
        <v>3.3852674705086763</v>
      </c>
      <c r="L105" s="42">
        <f t="shared" ca="1" si="13"/>
        <v>15.283809376436071</v>
      </c>
      <c r="M105" s="36">
        <f t="shared" ca="1" si="5"/>
        <v>0.91700000000000004</v>
      </c>
      <c r="N105" s="36">
        <f t="shared" si="14"/>
        <v>4</v>
      </c>
      <c r="O105" s="39">
        <f t="shared" ca="1" si="6"/>
        <v>2.1661951681418039E-2</v>
      </c>
      <c r="P105" s="39">
        <f t="shared" ca="1" si="7"/>
        <v>15.305471328117489</v>
      </c>
      <c r="Q105" s="43">
        <f t="shared" ca="1" si="15"/>
        <v>3.4069294221900943</v>
      </c>
    </row>
    <row r="106" spans="1:17" x14ac:dyDescent="0.25">
      <c r="A106" s="36">
        <v>59</v>
      </c>
      <c r="B106" s="36">
        <f t="shared" ca="1" si="1"/>
        <v>0.79800000000000004</v>
      </c>
      <c r="C106" s="37">
        <f t="shared" si="8"/>
        <v>6</v>
      </c>
      <c r="D106" s="39">
        <f t="shared" ca="1" si="2"/>
        <v>3.7607780255388037E-2</v>
      </c>
      <c r="E106" s="39">
        <f t="shared" ca="1" si="9"/>
        <v>11.936149686182784</v>
      </c>
      <c r="F106" s="36">
        <f t="shared" ca="1" si="10"/>
        <v>12</v>
      </c>
      <c r="G106" s="36">
        <f ca="1">COUNTIF($P$48:P116,"&lt;"&amp;E106)</f>
        <v>46</v>
      </c>
      <c r="H106" s="36">
        <f t="shared" ca="1" si="11"/>
        <v>0</v>
      </c>
      <c r="I106" s="36" t="str">
        <f t="shared" ca="1" si="12"/>
        <v>Ocu</v>
      </c>
      <c r="J106" s="40">
        <f t="shared" ca="1" si="3"/>
        <v>13</v>
      </c>
      <c r="K106" s="41">
        <f t="shared" ca="1" si="4"/>
        <v>3.3693216419347056</v>
      </c>
      <c r="L106" s="42">
        <f t="shared" ca="1" si="13"/>
        <v>15.305471328117489</v>
      </c>
      <c r="M106" s="36">
        <f t="shared" ca="1" si="5"/>
        <v>0.42599999999999999</v>
      </c>
      <c r="N106" s="36">
        <f t="shared" si="14"/>
        <v>4</v>
      </c>
      <c r="O106" s="39">
        <f t="shared" ca="1" si="6"/>
        <v>0.21332898317819168</v>
      </c>
      <c r="P106" s="39">
        <f t="shared" ca="1" si="7"/>
        <v>15.518800311295681</v>
      </c>
      <c r="Q106" s="43">
        <f t="shared" ca="1" si="15"/>
        <v>3.5826506251128976</v>
      </c>
    </row>
    <row r="107" spans="1:17" x14ac:dyDescent="0.25">
      <c r="A107" s="36">
        <v>60</v>
      </c>
      <c r="B107" s="36">
        <f t="shared" ca="1" si="1"/>
        <v>0.436</v>
      </c>
      <c r="C107" s="37">
        <f t="shared" si="8"/>
        <v>6</v>
      </c>
      <c r="D107" s="39">
        <f t="shared" ca="1" si="2"/>
        <v>0.13835217260551713</v>
      </c>
      <c r="E107" s="39">
        <f t="shared" ca="1" si="9"/>
        <v>12.074501858788301</v>
      </c>
      <c r="F107" s="36">
        <f t="shared" ca="1" si="10"/>
        <v>13</v>
      </c>
      <c r="G107" s="36">
        <f ca="1">COUNTIF($P$48:P117,"&lt;"&amp;E107)</f>
        <v>46</v>
      </c>
      <c r="H107" s="36">
        <f t="shared" ca="1" si="11"/>
        <v>0</v>
      </c>
      <c r="I107" s="36" t="str">
        <f t="shared" ca="1" si="12"/>
        <v>Ocu</v>
      </c>
      <c r="J107" s="40">
        <f t="shared" ca="1" si="3"/>
        <v>14</v>
      </c>
      <c r="K107" s="41">
        <f t="shared" ca="1" si="4"/>
        <v>3.4442984525073808</v>
      </c>
      <c r="L107" s="42">
        <f t="shared" ca="1" si="13"/>
        <v>15.518800311295681</v>
      </c>
      <c r="M107" s="36">
        <f t="shared" ca="1" si="5"/>
        <v>4.2000000000000003E-2</v>
      </c>
      <c r="N107" s="36">
        <f t="shared" si="14"/>
        <v>4</v>
      </c>
      <c r="O107" s="39">
        <f t="shared" ca="1" si="6"/>
        <v>0.7925214151746921</v>
      </c>
      <c r="P107" s="39">
        <f t="shared" ca="1" si="7"/>
        <v>16.311321726470375</v>
      </c>
      <c r="Q107" s="43">
        <f t="shared" ca="1" si="15"/>
        <v>4.2368198676820743</v>
      </c>
    </row>
    <row r="108" spans="1:17" x14ac:dyDescent="0.25">
      <c r="A108" s="36">
        <v>61</v>
      </c>
      <c r="B108" s="36">
        <f t="shared" ca="1" si="1"/>
        <v>0.47199999999999998</v>
      </c>
      <c r="C108" s="37">
        <f t="shared" si="8"/>
        <v>6</v>
      </c>
      <c r="D108" s="39">
        <f t="shared" ca="1" si="2"/>
        <v>0.1251293822327636</v>
      </c>
      <c r="E108" s="39">
        <f t="shared" ca="1" si="9"/>
        <v>12.199631241021065</v>
      </c>
      <c r="F108" s="36">
        <f t="shared" ca="1" si="10"/>
        <v>14</v>
      </c>
      <c r="G108" s="36">
        <f ca="1">COUNTIF($P$48:P118,"&lt;"&amp;E108)</f>
        <v>46</v>
      </c>
      <c r="H108" s="36">
        <f t="shared" ca="1" si="11"/>
        <v>0</v>
      </c>
      <c r="I108" s="36" t="str">
        <f t="shared" ca="1" si="12"/>
        <v>Ocu</v>
      </c>
      <c r="J108" s="40">
        <f t="shared" ca="1" si="3"/>
        <v>15</v>
      </c>
      <c r="K108" s="41">
        <f t="shared" ca="1" si="4"/>
        <v>4.1116904854493104</v>
      </c>
      <c r="L108" s="42">
        <f t="shared" ca="1" si="13"/>
        <v>16.311321726470375</v>
      </c>
      <c r="M108" s="36">
        <f t="shared" ca="1" si="5"/>
        <v>5.0999999999999997E-2</v>
      </c>
      <c r="N108" s="36">
        <f t="shared" si="14"/>
        <v>4</v>
      </c>
      <c r="O108" s="39">
        <f t="shared" ca="1" si="6"/>
        <v>0.74398241156445288</v>
      </c>
      <c r="P108" s="39">
        <f t="shared" ca="1" si="7"/>
        <v>17.055304138034828</v>
      </c>
      <c r="Q108" s="43">
        <f t="shared" ca="1" si="15"/>
        <v>4.855672897013763</v>
      </c>
    </row>
    <row r="109" spans="1:17" x14ac:dyDescent="0.25">
      <c r="A109" s="36">
        <v>62</v>
      </c>
      <c r="B109" s="36">
        <f t="shared" ca="1" si="1"/>
        <v>0.754</v>
      </c>
      <c r="C109" s="37">
        <f t="shared" si="8"/>
        <v>6</v>
      </c>
      <c r="D109" s="39">
        <f t="shared" ca="1" si="2"/>
        <v>4.7060485162363497E-2</v>
      </c>
      <c r="E109" s="39">
        <f t="shared" ca="1" si="9"/>
        <v>12.246691726183428</v>
      </c>
      <c r="F109" s="36">
        <f t="shared" ca="1" si="10"/>
        <v>15</v>
      </c>
      <c r="G109" s="36">
        <f ca="1">COUNTIF($P$48:P119,"&lt;"&amp;E109)</f>
        <v>46</v>
      </c>
      <c r="H109" s="36">
        <f t="shared" ca="1" si="11"/>
        <v>0</v>
      </c>
      <c r="I109" s="36" t="str">
        <f t="shared" ca="1" si="12"/>
        <v>Ocu</v>
      </c>
      <c r="J109" s="40">
        <f t="shared" ca="1" si="3"/>
        <v>16</v>
      </c>
      <c r="K109" s="41">
        <f t="shared" ca="1" si="4"/>
        <v>4.8086124118513993</v>
      </c>
      <c r="L109" s="42">
        <f t="shared" ca="1" si="13"/>
        <v>17.055304138034828</v>
      </c>
      <c r="M109" s="36">
        <f t="shared" ca="1" si="5"/>
        <v>0.224</v>
      </c>
      <c r="N109" s="36">
        <f t="shared" si="14"/>
        <v>4</v>
      </c>
      <c r="O109" s="39">
        <f t="shared" ca="1" si="6"/>
        <v>0.37402730678177432</v>
      </c>
      <c r="P109" s="39">
        <f t="shared" ca="1" si="7"/>
        <v>17.429331444816601</v>
      </c>
      <c r="Q109" s="43">
        <f t="shared" ca="1" si="15"/>
        <v>5.1826397186331725</v>
      </c>
    </row>
    <row r="110" spans="1:17" x14ac:dyDescent="0.25">
      <c r="A110" s="36">
        <v>63</v>
      </c>
      <c r="B110" s="36">
        <f t="shared" ca="1" si="1"/>
        <v>0.69699999999999995</v>
      </c>
      <c r="C110" s="37">
        <f t="shared" si="8"/>
        <v>6</v>
      </c>
      <c r="D110" s="39">
        <f t="shared" ca="1" si="2"/>
        <v>6.0161644703602205E-2</v>
      </c>
      <c r="E110" s="39">
        <f t="shared" ca="1" si="9"/>
        <v>12.30685337088703</v>
      </c>
      <c r="F110" s="36">
        <f t="shared" ca="1" si="10"/>
        <v>16</v>
      </c>
      <c r="G110" s="36">
        <f ca="1">COUNTIF($P$48:P120,"&lt;"&amp;E110)</f>
        <v>46</v>
      </c>
      <c r="H110" s="36">
        <f t="shared" ca="1" si="11"/>
        <v>0</v>
      </c>
      <c r="I110" s="36" t="str">
        <f t="shared" ca="1" si="12"/>
        <v>Ocu</v>
      </c>
      <c r="J110" s="40">
        <f t="shared" ca="1" si="3"/>
        <v>17</v>
      </c>
      <c r="K110" s="41">
        <f t="shared" ca="1" si="4"/>
        <v>5.122478073929571</v>
      </c>
      <c r="L110" s="42">
        <f t="shared" ca="1" si="13"/>
        <v>17.429331444816601</v>
      </c>
      <c r="M110" s="36">
        <f t="shared" ca="1" si="5"/>
        <v>0.14199999999999999</v>
      </c>
      <c r="N110" s="36">
        <f t="shared" si="14"/>
        <v>4</v>
      </c>
      <c r="O110" s="39">
        <f t="shared" ca="1" si="6"/>
        <v>0.4879820553452191</v>
      </c>
      <c r="P110" s="39">
        <f t="shared" ca="1" si="7"/>
        <v>17.917313500161821</v>
      </c>
      <c r="Q110" s="43">
        <f t="shared" ca="1" si="15"/>
        <v>5.6104601292747915</v>
      </c>
    </row>
    <row r="111" spans="1:17" x14ac:dyDescent="0.25">
      <c r="A111" s="36">
        <v>64</v>
      </c>
      <c r="B111" s="36">
        <f t="shared" ca="1" si="1"/>
        <v>0.307</v>
      </c>
      <c r="C111" s="37">
        <f t="shared" si="8"/>
        <v>6</v>
      </c>
      <c r="D111" s="39">
        <f t="shared" ca="1" si="2"/>
        <v>0.19681792189915664</v>
      </c>
      <c r="E111" s="39">
        <f t="shared" ca="1" si="9"/>
        <v>12.503671292786187</v>
      </c>
      <c r="F111" s="36">
        <f t="shared" ca="1" si="10"/>
        <v>17</v>
      </c>
      <c r="G111" s="36">
        <f ca="1">COUNTIF($P$48:P121,"&lt;"&amp;E111)</f>
        <v>46</v>
      </c>
      <c r="H111" s="36">
        <f t="shared" ca="1" si="11"/>
        <v>0</v>
      </c>
      <c r="I111" s="36" t="str">
        <f t="shared" ca="1" si="12"/>
        <v>Ocu</v>
      </c>
      <c r="J111" s="40">
        <f t="shared" ca="1" si="3"/>
        <v>18</v>
      </c>
      <c r="K111" s="41">
        <f t="shared" ca="1" si="4"/>
        <v>5.4136422073756343</v>
      </c>
      <c r="L111" s="42">
        <f t="shared" ca="1" si="13"/>
        <v>17.917313500161821</v>
      </c>
      <c r="M111" s="36">
        <f t="shared" ca="1" si="5"/>
        <v>0.59799999999999998</v>
      </c>
      <c r="N111" s="36">
        <f t="shared" si="14"/>
        <v>4</v>
      </c>
      <c r="O111" s="39">
        <f t="shared" ca="1" si="6"/>
        <v>0.12854113125787633</v>
      </c>
      <c r="P111" s="39">
        <f t="shared" ca="1" si="7"/>
        <v>18.045854631419697</v>
      </c>
      <c r="Q111" s="43">
        <f t="shared" ca="1" si="15"/>
        <v>5.5421833386335102</v>
      </c>
    </row>
    <row r="112" spans="1:17" x14ac:dyDescent="0.25">
      <c r="A112" s="36">
        <v>65</v>
      </c>
      <c r="B112" s="36">
        <f t="shared" ca="1" si="1"/>
        <v>0.67800000000000005</v>
      </c>
      <c r="C112" s="37">
        <f t="shared" si="8"/>
        <v>6</v>
      </c>
      <c r="D112" s="39">
        <f t="shared" ca="1" si="2"/>
        <v>6.47679985069569E-2</v>
      </c>
      <c r="E112" s="39">
        <f t="shared" ca="1" si="9"/>
        <v>12.568439291293144</v>
      </c>
      <c r="F112" s="36">
        <f t="shared" ca="1" si="10"/>
        <v>18</v>
      </c>
      <c r="G112" s="36">
        <f ca="1">COUNTIF($P$48:P122,"&lt;"&amp;E112)</f>
        <v>46</v>
      </c>
      <c r="H112" s="36">
        <f t="shared" ca="1" si="11"/>
        <v>0</v>
      </c>
      <c r="I112" s="36" t="str">
        <f t="shared" ca="1" si="12"/>
        <v>Ocu</v>
      </c>
      <c r="J112" s="40">
        <f t="shared" ca="1" si="3"/>
        <v>19</v>
      </c>
      <c r="K112" s="41">
        <f t="shared" ref="K112:K175" ca="1" si="16">L112-E112</f>
        <v>5.4774153401265533</v>
      </c>
      <c r="L112" s="42">
        <f t="shared" ca="1" si="13"/>
        <v>18.045854631419697</v>
      </c>
      <c r="M112" s="36">
        <f t="shared" ca="1" si="5"/>
        <v>0.32100000000000001</v>
      </c>
      <c r="N112" s="36">
        <f t="shared" si="14"/>
        <v>4</v>
      </c>
      <c r="O112" s="39">
        <f t="shared" ca="1" si="6"/>
        <v>0.28407853896303031</v>
      </c>
      <c r="P112" s="39">
        <f t="shared" ca="1" si="7"/>
        <v>18.329933170382727</v>
      </c>
      <c r="Q112" s="43">
        <f t="shared" ca="1" si="15"/>
        <v>5.7614938790895831</v>
      </c>
    </row>
    <row r="113" spans="1:17" x14ac:dyDescent="0.25">
      <c r="A113" s="36">
        <v>66</v>
      </c>
      <c r="B113" s="36">
        <f t="shared" ref="B113:B176" ca="1" si="17">RANDBETWEEN(1,1000)/1000</f>
        <v>0.63</v>
      </c>
      <c r="C113" s="37">
        <f t="shared" si="8"/>
        <v>6</v>
      </c>
      <c r="D113" s="39">
        <f t="shared" ref="D113:D176" ca="1" si="18">(1/C113)*(LN(1/B113))</f>
        <v>7.700590993275977E-2</v>
      </c>
      <c r="E113" s="39">
        <f t="shared" ca="1" si="9"/>
        <v>12.645445201225904</v>
      </c>
      <c r="F113" s="36">
        <f t="shared" ca="1" si="10"/>
        <v>19</v>
      </c>
      <c r="G113" s="36">
        <f ca="1">COUNTIF($P$48:P123,"&lt;"&amp;E113)</f>
        <v>46</v>
      </c>
      <c r="H113" s="36">
        <f t="shared" ca="1" si="11"/>
        <v>0</v>
      </c>
      <c r="I113" s="36" t="str">
        <f t="shared" ca="1" si="12"/>
        <v>Ocu</v>
      </c>
      <c r="J113" s="40">
        <f t="shared" ref="J113:J176" ca="1" si="19">IF(I113="Des",1,IF(I113="Ocu",1+F113))</f>
        <v>20</v>
      </c>
      <c r="K113" s="41">
        <f t="shared" ca="1" si="16"/>
        <v>5.6844879691568231</v>
      </c>
      <c r="L113" s="42">
        <f t="shared" ca="1" si="13"/>
        <v>18.329933170382727</v>
      </c>
      <c r="M113" s="36">
        <f t="shared" ref="M113:M176" ca="1" si="20">RANDBETWEEN(1,1000)/1000</f>
        <v>0.99399999999999999</v>
      </c>
      <c r="N113" s="36">
        <f t="shared" si="14"/>
        <v>4</v>
      </c>
      <c r="O113" s="39">
        <f t="shared" ref="O113:O176" ca="1" si="21">(1/N113)*(LN(1/M113))</f>
        <v>1.5045180813907362E-3</v>
      </c>
      <c r="P113" s="39">
        <f t="shared" ref="P113:P176" ca="1" si="22">+L113+O113</f>
        <v>18.331437688464117</v>
      </c>
      <c r="Q113" s="43">
        <f t="shared" ca="1" si="15"/>
        <v>5.685992487238213</v>
      </c>
    </row>
    <row r="114" spans="1:17" x14ac:dyDescent="0.25">
      <c r="A114" s="36">
        <v>67</v>
      </c>
      <c r="B114" s="36">
        <f t="shared" ca="1" si="17"/>
        <v>0.77600000000000002</v>
      </c>
      <c r="C114" s="37">
        <f t="shared" ref="C114:C177" si="23">+C113</f>
        <v>6</v>
      </c>
      <c r="D114" s="39">
        <f t="shared" ca="1" si="18"/>
        <v>4.2267126466486366E-2</v>
      </c>
      <c r="E114" s="39">
        <f t="shared" ref="E114:E177" ca="1" si="24">+D114+E113</f>
        <v>12.68771232769239</v>
      </c>
      <c r="F114" s="36">
        <f t="shared" ref="F114:F177" ca="1" si="25">+F113+1-(G114-G113)</f>
        <v>20</v>
      </c>
      <c r="G114" s="36">
        <f ca="1">COUNTIF($P$48:P124,"&lt;"&amp;E114)</f>
        <v>46</v>
      </c>
      <c r="H114" s="36">
        <f t="shared" ref="H114:H177" ca="1" si="26">+G114-G113</f>
        <v>0</v>
      </c>
      <c r="I114" s="36" t="str">
        <f t="shared" ref="I114:I177" ca="1" si="27">IF(E114&lt;P113,"Ocu","Des")</f>
        <v>Ocu</v>
      </c>
      <c r="J114" s="40">
        <f t="shared" ca="1" si="19"/>
        <v>21</v>
      </c>
      <c r="K114" s="41">
        <f t="shared" ca="1" si="16"/>
        <v>5.643725360771727</v>
      </c>
      <c r="L114" s="42">
        <f t="shared" ref="L114:L177" ca="1" si="28">IF(I114="Des",E114,P113)</f>
        <v>18.331437688464117</v>
      </c>
      <c r="M114" s="36">
        <f t="shared" ca="1" si="20"/>
        <v>0.73</v>
      </c>
      <c r="N114" s="36">
        <f t="shared" ref="N114:N177" si="29">+N113</f>
        <v>4</v>
      </c>
      <c r="O114" s="39">
        <f t="shared" ca="1" si="21"/>
        <v>7.8677686209925046E-2</v>
      </c>
      <c r="P114" s="39">
        <f t="shared" ca="1" si="22"/>
        <v>18.410115374674042</v>
      </c>
      <c r="Q114" s="43">
        <f t="shared" ca="1" si="15"/>
        <v>5.7224030469816523</v>
      </c>
    </row>
    <row r="115" spans="1:17" x14ac:dyDescent="0.25">
      <c r="A115" s="36">
        <v>68</v>
      </c>
      <c r="B115" s="36">
        <f t="shared" ca="1" si="17"/>
        <v>7.1999999999999995E-2</v>
      </c>
      <c r="C115" s="37">
        <f t="shared" si="23"/>
        <v>6</v>
      </c>
      <c r="D115" s="39">
        <f t="shared" ca="1" si="18"/>
        <v>0.43851485999434697</v>
      </c>
      <c r="E115" s="39">
        <f t="shared" ca="1" si="24"/>
        <v>13.126227187686737</v>
      </c>
      <c r="F115" s="36">
        <f t="shared" ca="1" si="25"/>
        <v>18</v>
      </c>
      <c r="G115" s="36">
        <f ca="1">COUNTIF($P$48:P125,"&lt;"&amp;E115)</f>
        <v>49</v>
      </c>
      <c r="H115" s="36">
        <f t="shared" ca="1" si="26"/>
        <v>3</v>
      </c>
      <c r="I115" s="36" t="str">
        <f t="shared" ca="1" si="27"/>
        <v>Ocu</v>
      </c>
      <c r="J115" s="40">
        <f t="shared" ca="1" si="19"/>
        <v>19</v>
      </c>
      <c r="K115" s="41">
        <f t="shared" ca="1" si="16"/>
        <v>5.2838881869873049</v>
      </c>
      <c r="L115" s="42">
        <f t="shared" ca="1" si="28"/>
        <v>18.410115374674042</v>
      </c>
      <c r="M115" s="36">
        <f t="shared" ca="1" si="20"/>
        <v>0.98099999999999998</v>
      </c>
      <c r="N115" s="36">
        <f t="shared" si="29"/>
        <v>4</v>
      </c>
      <c r="O115" s="39">
        <f t="shared" ca="1" si="21"/>
        <v>4.795704854193476E-3</v>
      </c>
      <c r="P115" s="39">
        <f t="shared" ca="1" si="22"/>
        <v>18.414911079528235</v>
      </c>
      <c r="Q115" s="43">
        <f t="shared" ref="Q115:Q178" ca="1" si="30">P115-E115</f>
        <v>5.2886838918414973</v>
      </c>
    </row>
    <row r="116" spans="1:17" x14ac:dyDescent="0.25">
      <c r="A116" s="36">
        <v>69</v>
      </c>
      <c r="B116" s="36">
        <f t="shared" ca="1" si="17"/>
        <v>0.60899999999999999</v>
      </c>
      <c r="C116" s="37">
        <f t="shared" si="23"/>
        <v>6</v>
      </c>
      <c r="D116" s="39">
        <f t="shared" ca="1" si="18"/>
        <v>8.2656168545373332E-2</v>
      </c>
      <c r="E116" s="39">
        <f t="shared" ca="1" si="24"/>
        <v>13.208883356232111</v>
      </c>
      <c r="F116" s="36">
        <f t="shared" ca="1" si="25"/>
        <v>18</v>
      </c>
      <c r="G116" s="36">
        <f ca="1">COUNTIF($P$48:P126,"&lt;"&amp;E116)</f>
        <v>50</v>
      </c>
      <c r="H116" s="36">
        <f t="shared" ca="1" si="26"/>
        <v>1</v>
      </c>
      <c r="I116" s="36" t="str">
        <f t="shared" ca="1" si="27"/>
        <v>Ocu</v>
      </c>
      <c r="J116" s="40">
        <f t="shared" ca="1" si="19"/>
        <v>19</v>
      </c>
      <c r="K116" s="41">
        <f t="shared" ca="1" si="16"/>
        <v>5.2060277232961241</v>
      </c>
      <c r="L116" s="42">
        <f t="shared" ca="1" si="28"/>
        <v>18.414911079528235</v>
      </c>
      <c r="M116" s="36">
        <f t="shared" ca="1" si="20"/>
        <v>0.30099999999999999</v>
      </c>
      <c r="N116" s="36">
        <f t="shared" si="29"/>
        <v>4</v>
      </c>
      <c r="O116" s="39">
        <f t="shared" ca="1" si="21"/>
        <v>0.30016125355831536</v>
      </c>
      <c r="P116" s="39">
        <f t="shared" ca="1" si="22"/>
        <v>18.71507233308655</v>
      </c>
      <c r="Q116" s="43">
        <f t="shared" ca="1" si="30"/>
        <v>5.506188976854439</v>
      </c>
    </row>
    <row r="117" spans="1:17" x14ac:dyDescent="0.25">
      <c r="A117" s="36">
        <v>70</v>
      </c>
      <c r="B117" s="36">
        <f t="shared" ca="1" si="17"/>
        <v>0.61299999999999999</v>
      </c>
      <c r="C117" s="37">
        <f t="shared" si="23"/>
        <v>6</v>
      </c>
      <c r="D117" s="39">
        <f t="shared" ca="1" si="18"/>
        <v>8.1565057174320943E-2</v>
      </c>
      <c r="E117" s="39">
        <f t="shared" ca="1" si="24"/>
        <v>13.290448413406432</v>
      </c>
      <c r="F117" s="36">
        <f t="shared" ca="1" si="25"/>
        <v>19</v>
      </c>
      <c r="G117" s="36">
        <f ca="1">COUNTIF($P$48:P127,"&lt;"&amp;E117)</f>
        <v>50</v>
      </c>
      <c r="H117" s="36">
        <f t="shared" ca="1" si="26"/>
        <v>0</v>
      </c>
      <c r="I117" s="36" t="str">
        <f t="shared" ca="1" si="27"/>
        <v>Ocu</v>
      </c>
      <c r="J117" s="40">
        <f t="shared" ca="1" si="19"/>
        <v>20</v>
      </c>
      <c r="K117" s="41">
        <f t="shared" ca="1" si="16"/>
        <v>5.4246239196801174</v>
      </c>
      <c r="L117" s="42">
        <f t="shared" ca="1" si="28"/>
        <v>18.71507233308655</v>
      </c>
      <c r="M117" s="36">
        <f t="shared" ca="1" si="20"/>
        <v>0.79100000000000004</v>
      </c>
      <c r="N117" s="36">
        <f t="shared" si="29"/>
        <v>4</v>
      </c>
      <c r="O117" s="39">
        <f t="shared" ca="1" si="21"/>
        <v>5.8614327803620803E-2</v>
      </c>
      <c r="P117" s="39">
        <f t="shared" ca="1" si="22"/>
        <v>18.773686660890171</v>
      </c>
      <c r="Q117" s="43">
        <f t="shared" ca="1" si="30"/>
        <v>5.4832382474837384</v>
      </c>
    </row>
    <row r="118" spans="1:17" x14ac:dyDescent="0.25">
      <c r="A118" s="36">
        <v>71</v>
      </c>
      <c r="B118" s="36">
        <f t="shared" ca="1" si="17"/>
        <v>0.70899999999999996</v>
      </c>
      <c r="C118" s="37">
        <f t="shared" si="23"/>
        <v>6</v>
      </c>
      <c r="D118" s="39">
        <f t="shared" ca="1" si="18"/>
        <v>5.7316625408334931E-2</v>
      </c>
      <c r="E118" s="39">
        <f t="shared" ca="1" si="24"/>
        <v>13.347765038814767</v>
      </c>
      <c r="F118" s="36">
        <f t="shared" ca="1" si="25"/>
        <v>20</v>
      </c>
      <c r="G118" s="36">
        <f ca="1">COUNTIF($P$48:P128,"&lt;"&amp;E118)</f>
        <v>50</v>
      </c>
      <c r="H118" s="36">
        <f t="shared" ca="1" si="26"/>
        <v>0</v>
      </c>
      <c r="I118" s="36" t="str">
        <f t="shared" ca="1" si="27"/>
        <v>Ocu</v>
      </c>
      <c r="J118" s="40">
        <f t="shared" ca="1" si="19"/>
        <v>21</v>
      </c>
      <c r="K118" s="41">
        <f t="shared" ca="1" si="16"/>
        <v>5.4259216220754034</v>
      </c>
      <c r="L118" s="42">
        <f t="shared" ca="1" si="28"/>
        <v>18.773686660890171</v>
      </c>
      <c r="M118" s="36">
        <f t="shared" ca="1" si="20"/>
        <v>0.124</v>
      </c>
      <c r="N118" s="36">
        <f t="shared" si="29"/>
        <v>4</v>
      </c>
      <c r="O118" s="39">
        <f t="shared" ca="1" si="21"/>
        <v>0.52186842834427505</v>
      </c>
      <c r="P118" s="39">
        <f t="shared" ca="1" si="22"/>
        <v>19.295555089234444</v>
      </c>
      <c r="Q118" s="43">
        <f t="shared" ca="1" si="30"/>
        <v>5.9477900504196768</v>
      </c>
    </row>
    <row r="119" spans="1:17" x14ac:dyDescent="0.25">
      <c r="A119" s="36">
        <v>72</v>
      </c>
      <c r="B119" s="36">
        <f t="shared" ca="1" si="17"/>
        <v>0.99399999999999999</v>
      </c>
      <c r="C119" s="37">
        <f t="shared" si="23"/>
        <v>6</v>
      </c>
      <c r="D119" s="39">
        <f t="shared" ca="1" si="18"/>
        <v>1.0030120542604908E-3</v>
      </c>
      <c r="E119" s="39">
        <f t="shared" ca="1" si="24"/>
        <v>13.348768050869028</v>
      </c>
      <c r="F119" s="36">
        <f t="shared" ca="1" si="25"/>
        <v>21</v>
      </c>
      <c r="G119" s="36">
        <f ca="1">COUNTIF($P$48:P129,"&lt;"&amp;E119)</f>
        <v>50</v>
      </c>
      <c r="H119" s="36">
        <f t="shared" ca="1" si="26"/>
        <v>0</v>
      </c>
      <c r="I119" s="36" t="str">
        <f t="shared" ca="1" si="27"/>
        <v>Ocu</v>
      </c>
      <c r="J119" s="40">
        <f t="shared" ca="1" si="19"/>
        <v>22</v>
      </c>
      <c r="K119" s="41">
        <f t="shared" ca="1" si="16"/>
        <v>5.9467870383654162</v>
      </c>
      <c r="L119" s="42">
        <f t="shared" ca="1" si="28"/>
        <v>19.295555089234444</v>
      </c>
      <c r="M119" s="36">
        <f t="shared" ca="1" si="20"/>
        <v>0.60399999999999998</v>
      </c>
      <c r="N119" s="36">
        <f t="shared" si="29"/>
        <v>4</v>
      </c>
      <c r="O119" s="39">
        <f t="shared" ca="1" si="21"/>
        <v>0.12604527026183052</v>
      </c>
      <c r="P119" s="39">
        <f t="shared" ca="1" si="22"/>
        <v>19.421600359496274</v>
      </c>
      <c r="Q119" s="43">
        <f t="shared" ca="1" si="30"/>
        <v>6.0728323086272464</v>
      </c>
    </row>
    <row r="120" spans="1:17" x14ac:dyDescent="0.25">
      <c r="A120" s="36">
        <v>73</v>
      </c>
      <c r="B120" s="36">
        <f t="shared" ca="1" si="17"/>
        <v>0.76800000000000002</v>
      </c>
      <c r="C120" s="37">
        <f t="shared" si="23"/>
        <v>6</v>
      </c>
      <c r="D120" s="39">
        <f t="shared" ca="1" si="18"/>
        <v>4.3994257639077473E-2</v>
      </c>
      <c r="E120" s="39">
        <f t="shared" ca="1" si="24"/>
        <v>13.392762308508106</v>
      </c>
      <c r="F120" s="36">
        <f t="shared" ca="1" si="25"/>
        <v>22</v>
      </c>
      <c r="G120" s="36">
        <f ca="1">COUNTIF($P$48:P130,"&lt;"&amp;E120)</f>
        <v>50</v>
      </c>
      <c r="H120" s="36">
        <f t="shared" ca="1" si="26"/>
        <v>0</v>
      </c>
      <c r="I120" s="36" t="str">
        <f t="shared" ca="1" si="27"/>
        <v>Ocu</v>
      </c>
      <c r="J120" s="40">
        <f t="shared" ca="1" si="19"/>
        <v>23</v>
      </c>
      <c r="K120" s="41">
        <f t="shared" ca="1" si="16"/>
        <v>6.0288380509881687</v>
      </c>
      <c r="L120" s="42">
        <f t="shared" ca="1" si="28"/>
        <v>19.421600359496274</v>
      </c>
      <c r="M120" s="36">
        <f t="shared" ca="1" si="20"/>
        <v>0.95899999999999996</v>
      </c>
      <c r="N120" s="36">
        <f t="shared" si="29"/>
        <v>4</v>
      </c>
      <c r="O120" s="39">
        <f t="shared" ca="1" si="21"/>
        <v>1.0466051024674723E-2</v>
      </c>
      <c r="P120" s="39">
        <f t="shared" ca="1" si="22"/>
        <v>19.43206641052095</v>
      </c>
      <c r="Q120" s="43">
        <f t="shared" ca="1" si="30"/>
        <v>6.039304102012844</v>
      </c>
    </row>
    <row r="121" spans="1:17" x14ac:dyDescent="0.25">
      <c r="A121" s="36">
        <v>74</v>
      </c>
      <c r="B121" s="36">
        <f t="shared" ca="1" si="17"/>
        <v>0.46600000000000003</v>
      </c>
      <c r="C121" s="37">
        <f t="shared" si="23"/>
        <v>6</v>
      </c>
      <c r="D121" s="39">
        <f t="shared" ca="1" si="18"/>
        <v>0.12726160747608184</v>
      </c>
      <c r="E121" s="39">
        <f t="shared" ca="1" si="24"/>
        <v>13.520023915984188</v>
      </c>
      <c r="F121" s="36">
        <f t="shared" ca="1" si="25"/>
        <v>23</v>
      </c>
      <c r="G121" s="36">
        <f ca="1">COUNTIF($P$48:P131,"&lt;"&amp;E121)</f>
        <v>50</v>
      </c>
      <c r="H121" s="36">
        <f t="shared" ca="1" si="26"/>
        <v>0</v>
      </c>
      <c r="I121" s="36" t="str">
        <f t="shared" ca="1" si="27"/>
        <v>Ocu</v>
      </c>
      <c r="J121" s="40">
        <f t="shared" ca="1" si="19"/>
        <v>24</v>
      </c>
      <c r="K121" s="41">
        <f t="shared" ca="1" si="16"/>
        <v>5.9120424945367613</v>
      </c>
      <c r="L121" s="42">
        <f t="shared" ca="1" si="28"/>
        <v>19.43206641052095</v>
      </c>
      <c r="M121" s="36">
        <f t="shared" ca="1" si="20"/>
        <v>0.46300000000000002</v>
      </c>
      <c r="N121" s="36">
        <f t="shared" si="29"/>
        <v>4</v>
      </c>
      <c r="O121" s="39">
        <f t="shared" ca="1" si="21"/>
        <v>0.19250705622397574</v>
      </c>
      <c r="P121" s="39">
        <f t="shared" ca="1" si="22"/>
        <v>19.624573466744927</v>
      </c>
      <c r="Q121" s="43">
        <f t="shared" ca="1" si="30"/>
        <v>6.1045495507607388</v>
      </c>
    </row>
    <row r="122" spans="1:17" x14ac:dyDescent="0.25">
      <c r="A122" s="36">
        <v>75</v>
      </c>
      <c r="B122" s="36">
        <f t="shared" ca="1" si="17"/>
        <v>0.57799999999999996</v>
      </c>
      <c r="C122" s="37">
        <f t="shared" si="23"/>
        <v>6</v>
      </c>
      <c r="D122" s="39">
        <f t="shared" ca="1" si="18"/>
        <v>9.1363568384959931E-2</v>
      </c>
      <c r="E122" s="39">
        <f t="shared" ca="1" si="24"/>
        <v>13.611387484369148</v>
      </c>
      <c r="F122" s="36">
        <f t="shared" ca="1" si="25"/>
        <v>24</v>
      </c>
      <c r="G122" s="36">
        <f ca="1">COUNTIF($P$48:P132,"&lt;"&amp;E122)</f>
        <v>50</v>
      </c>
      <c r="H122" s="36">
        <f t="shared" ca="1" si="26"/>
        <v>0</v>
      </c>
      <c r="I122" s="36" t="str">
        <f t="shared" ca="1" si="27"/>
        <v>Ocu</v>
      </c>
      <c r="J122" s="40">
        <f t="shared" ca="1" si="19"/>
        <v>25</v>
      </c>
      <c r="K122" s="41">
        <f t="shared" ca="1" si="16"/>
        <v>6.0131859823757789</v>
      </c>
      <c r="L122" s="42">
        <f t="shared" ca="1" si="28"/>
        <v>19.624573466744927</v>
      </c>
      <c r="M122" s="36">
        <f t="shared" ca="1" si="20"/>
        <v>0.56399999999999995</v>
      </c>
      <c r="N122" s="36">
        <f t="shared" si="29"/>
        <v>4</v>
      </c>
      <c r="O122" s="39">
        <f t="shared" ca="1" si="21"/>
        <v>0.14317525687101956</v>
      </c>
      <c r="P122" s="39">
        <f t="shared" ca="1" si="22"/>
        <v>19.767748723615945</v>
      </c>
      <c r="Q122" s="43">
        <f t="shared" ca="1" si="30"/>
        <v>6.156361239246797</v>
      </c>
    </row>
    <row r="123" spans="1:17" x14ac:dyDescent="0.25">
      <c r="A123" s="36">
        <v>76</v>
      </c>
      <c r="B123" s="36">
        <f t="shared" ca="1" si="17"/>
        <v>0.98</v>
      </c>
      <c r="C123" s="37">
        <f t="shared" si="23"/>
        <v>6</v>
      </c>
      <c r="D123" s="39">
        <f t="shared" ca="1" si="18"/>
        <v>3.3671178862532446E-3</v>
      </c>
      <c r="E123" s="39">
        <f t="shared" ca="1" si="24"/>
        <v>13.614754602255401</v>
      </c>
      <c r="F123" s="36">
        <f t="shared" ca="1" si="25"/>
        <v>25</v>
      </c>
      <c r="G123" s="36">
        <f ca="1">COUNTIF($P$48:P133,"&lt;"&amp;E123)</f>
        <v>50</v>
      </c>
      <c r="H123" s="36">
        <f t="shared" ca="1" si="26"/>
        <v>0</v>
      </c>
      <c r="I123" s="36" t="str">
        <f t="shared" ca="1" si="27"/>
        <v>Ocu</v>
      </c>
      <c r="J123" s="40">
        <f t="shared" ca="1" si="19"/>
        <v>26</v>
      </c>
      <c r="K123" s="41">
        <f t="shared" ca="1" si="16"/>
        <v>6.1529941213605444</v>
      </c>
      <c r="L123" s="42">
        <f t="shared" ca="1" si="28"/>
        <v>19.767748723615945</v>
      </c>
      <c r="M123" s="36">
        <f t="shared" ca="1" si="20"/>
        <v>0.254</v>
      </c>
      <c r="N123" s="36">
        <f t="shared" si="29"/>
        <v>4</v>
      </c>
      <c r="O123" s="39">
        <f t="shared" ca="1" si="21"/>
        <v>0.34260525299090011</v>
      </c>
      <c r="P123" s="39">
        <f t="shared" ca="1" si="22"/>
        <v>20.110353976606845</v>
      </c>
      <c r="Q123" s="43">
        <f t="shared" ca="1" si="30"/>
        <v>6.4955993743514444</v>
      </c>
    </row>
    <row r="124" spans="1:17" x14ac:dyDescent="0.25">
      <c r="A124" s="36">
        <v>77</v>
      </c>
      <c r="B124" s="36">
        <f t="shared" ca="1" si="17"/>
        <v>0.39400000000000002</v>
      </c>
      <c r="C124" s="37">
        <f t="shared" si="23"/>
        <v>6</v>
      </c>
      <c r="D124" s="39">
        <f t="shared" ca="1" si="18"/>
        <v>0.15523406161403386</v>
      </c>
      <c r="E124" s="39">
        <f t="shared" ca="1" si="24"/>
        <v>13.769988663869434</v>
      </c>
      <c r="F124" s="36">
        <f t="shared" ca="1" si="25"/>
        <v>25</v>
      </c>
      <c r="G124" s="36">
        <f ca="1">COUNTIF($P$48:P134,"&lt;"&amp;E124)</f>
        <v>51</v>
      </c>
      <c r="H124" s="36">
        <f t="shared" ca="1" si="26"/>
        <v>1</v>
      </c>
      <c r="I124" s="36" t="str">
        <f t="shared" ca="1" si="27"/>
        <v>Ocu</v>
      </c>
      <c r="J124" s="40">
        <f t="shared" ca="1" si="19"/>
        <v>26</v>
      </c>
      <c r="K124" s="41">
        <f t="shared" ca="1" si="16"/>
        <v>6.3403653127374113</v>
      </c>
      <c r="L124" s="42">
        <f t="shared" ca="1" si="28"/>
        <v>20.110353976606845</v>
      </c>
      <c r="M124" s="36">
        <f t="shared" ca="1" si="20"/>
        <v>0.32200000000000001</v>
      </c>
      <c r="N124" s="36">
        <f t="shared" si="29"/>
        <v>4</v>
      </c>
      <c r="O124" s="39">
        <f t="shared" ca="1" si="21"/>
        <v>0.28330093335943218</v>
      </c>
      <c r="P124" s="39">
        <f t="shared" ca="1" si="22"/>
        <v>20.393654909966276</v>
      </c>
      <c r="Q124" s="43">
        <f t="shared" ca="1" si="30"/>
        <v>6.6236662460968425</v>
      </c>
    </row>
    <row r="125" spans="1:17" x14ac:dyDescent="0.25">
      <c r="A125" s="36">
        <v>78</v>
      </c>
      <c r="B125" s="36">
        <f t="shared" ca="1" si="17"/>
        <v>0.434</v>
      </c>
      <c r="C125" s="37">
        <f t="shared" si="23"/>
        <v>6</v>
      </c>
      <c r="D125" s="39">
        <f t="shared" ca="1" si="18"/>
        <v>0.1391184574802887</v>
      </c>
      <c r="E125" s="39">
        <f t="shared" ca="1" si="24"/>
        <v>13.909107121349722</v>
      </c>
      <c r="F125" s="36">
        <f t="shared" ca="1" si="25"/>
        <v>26</v>
      </c>
      <c r="G125" s="36">
        <f ca="1">COUNTIF($P$48:P135,"&lt;"&amp;E125)</f>
        <v>51</v>
      </c>
      <c r="H125" s="36">
        <f t="shared" ca="1" si="26"/>
        <v>0</v>
      </c>
      <c r="I125" s="36" t="str">
        <f t="shared" ca="1" si="27"/>
        <v>Ocu</v>
      </c>
      <c r="J125" s="40">
        <f t="shared" ca="1" si="19"/>
        <v>27</v>
      </c>
      <c r="K125" s="41">
        <f t="shared" ca="1" si="16"/>
        <v>6.4845477886165543</v>
      </c>
      <c r="L125" s="42">
        <f t="shared" ca="1" si="28"/>
        <v>20.393654909966276</v>
      </c>
      <c r="M125" s="36">
        <f t="shared" ca="1" si="20"/>
        <v>0.86699999999999999</v>
      </c>
      <c r="N125" s="36">
        <f t="shared" si="29"/>
        <v>4</v>
      </c>
      <c r="O125" s="39">
        <f t="shared" ca="1" si="21"/>
        <v>3.5679075550398814E-2</v>
      </c>
      <c r="P125" s="39">
        <f t="shared" ca="1" si="22"/>
        <v>20.429333985516674</v>
      </c>
      <c r="Q125" s="43">
        <f t="shared" ca="1" si="30"/>
        <v>6.5202268641669523</v>
      </c>
    </row>
    <row r="126" spans="1:17" x14ac:dyDescent="0.25">
      <c r="A126" s="36">
        <v>79</v>
      </c>
      <c r="B126" s="36">
        <f t="shared" ca="1" si="17"/>
        <v>0.54900000000000004</v>
      </c>
      <c r="C126" s="37">
        <f t="shared" si="23"/>
        <v>6</v>
      </c>
      <c r="D126" s="39">
        <f t="shared" ca="1" si="18"/>
        <v>9.994280624543439E-2</v>
      </c>
      <c r="E126" s="39">
        <f t="shared" ca="1" si="24"/>
        <v>14.009049927595157</v>
      </c>
      <c r="F126" s="36">
        <f t="shared" ca="1" si="25"/>
        <v>27</v>
      </c>
      <c r="G126" s="36">
        <f ca="1">COUNTIF($P$48:P136,"&lt;"&amp;E126)</f>
        <v>51</v>
      </c>
      <c r="H126" s="36">
        <f t="shared" ca="1" si="26"/>
        <v>0</v>
      </c>
      <c r="I126" s="36" t="str">
        <f t="shared" ca="1" si="27"/>
        <v>Ocu</v>
      </c>
      <c r="J126" s="40">
        <f t="shared" ca="1" si="19"/>
        <v>28</v>
      </c>
      <c r="K126" s="41">
        <f t="shared" ca="1" si="16"/>
        <v>6.420284057921517</v>
      </c>
      <c r="L126" s="42">
        <f t="shared" ca="1" si="28"/>
        <v>20.429333985516674</v>
      </c>
      <c r="M126" s="36">
        <f t="shared" ca="1" si="20"/>
        <v>0.245</v>
      </c>
      <c r="N126" s="36">
        <f t="shared" si="29"/>
        <v>4</v>
      </c>
      <c r="O126" s="39">
        <f t="shared" ca="1" si="21"/>
        <v>0.35162426710935252</v>
      </c>
      <c r="P126" s="39">
        <f t="shared" ca="1" si="22"/>
        <v>20.780958252626025</v>
      </c>
      <c r="Q126" s="43">
        <f t="shared" ca="1" si="30"/>
        <v>6.7719083250308678</v>
      </c>
    </row>
    <row r="127" spans="1:17" x14ac:dyDescent="0.25">
      <c r="A127" s="36">
        <v>80</v>
      </c>
      <c r="B127" s="36">
        <f t="shared" ca="1" si="17"/>
        <v>0.66</v>
      </c>
      <c r="C127" s="37">
        <f t="shared" si="23"/>
        <v>6</v>
      </c>
      <c r="D127" s="39">
        <f t="shared" ca="1" si="18"/>
        <v>6.9252573993610955E-2</v>
      </c>
      <c r="E127" s="39">
        <f t="shared" ca="1" si="24"/>
        <v>14.078302501588768</v>
      </c>
      <c r="F127" s="36">
        <f t="shared" ca="1" si="25"/>
        <v>28</v>
      </c>
      <c r="G127" s="36">
        <f ca="1">COUNTIF($P$48:P137,"&lt;"&amp;E127)</f>
        <v>51</v>
      </c>
      <c r="H127" s="36">
        <f t="shared" ca="1" si="26"/>
        <v>0</v>
      </c>
      <c r="I127" s="36" t="str">
        <f t="shared" ca="1" si="27"/>
        <v>Ocu</v>
      </c>
      <c r="J127" s="40">
        <f t="shared" ca="1" si="19"/>
        <v>29</v>
      </c>
      <c r="K127" s="41">
        <f t="shared" ca="1" si="16"/>
        <v>6.7026557510372573</v>
      </c>
      <c r="L127" s="42">
        <f t="shared" ca="1" si="28"/>
        <v>20.780958252626025</v>
      </c>
      <c r="M127" s="36">
        <f t="shared" ca="1" si="20"/>
        <v>0.81100000000000005</v>
      </c>
      <c r="N127" s="36">
        <f t="shared" si="29"/>
        <v>4</v>
      </c>
      <c r="O127" s="39">
        <f t="shared" ca="1" si="21"/>
        <v>5.2371806216680999E-2</v>
      </c>
      <c r="P127" s="39">
        <f t="shared" ca="1" si="22"/>
        <v>20.833330058842705</v>
      </c>
      <c r="Q127" s="43">
        <f t="shared" ca="1" si="30"/>
        <v>6.7550275572539373</v>
      </c>
    </row>
    <row r="128" spans="1:17" x14ac:dyDescent="0.25">
      <c r="A128" s="36">
        <v>81</v>
      </c>
      <c r="B128" s="36">
        <f t="shared" ca="1" si="17"/>
        <v>0.93300000000000005</v>
      </c>
      <c r="C128" s="37">
        <f t="shared" si="23"/>
        <v>6</v>
      </c>
      <c r="D128" s="39">
        <f t="shared" ca="1" si="18"/>
        <v>1.1558346355798874E-2</v>
      </c>
      <c r="E128" s="39">
        <f t="shared" ca="1" si="24"/>
        <v>14.089860847944566</v>
      </c>
      <c r="F128" s="36">
        <f t="shared" ca="1" si="25"/>
        <v>29</v>
      </c>
      <c r="G128" s="36">
        <f ca="1">COUNTIF($P$48:P138,"&lt;"&amp;E128)</f>
        <v>51</v>
      </c>
      <c r="H128" s="36">
        <f t="shared" ca="1" si="26"/>
        <v>0</v>
      </c>
      <c r="I128" s="36" t="str">
        <f t="shared" ca="1" si="27"/>
        <v>Ocu</v>
      </c>
      <c r="J128" s="40">
        <f t="shared" ca="1" si="19"/>
        <v>30</v>
      </c>
      <c r="K128" s="41">
        <f t="shared" ca="1" si="16"/>
        <v>6.7434692108981391</v>
      </c>
      <c r="L128" s="42">
        <f t="shared" ca="1" si="28"/>
        <v>20.833330058842705</v>
      </c>
      <c r="M128" s="36">
        <f t="shared" ca="1" si="20"/>
        <v>0.498</v>
      </c>
      <c r="N128" s="36">
        <f t="shared" si="29"/>
        <v>4</v>
      </c>
      <c r="O128" s="39">
        <f t="shared" ca="1" si="21"/>
        <v>0.17428880048937104</v>
      </c>
      <c r="P128" s="39">
        <f t="shared" ca="1" si="22"/>
        <v>21.007618859332077</v>
      </c>
      <c r="Q128" s="43">
        <f t="shared" ca="1" si="30"/>
        <v>6.9177580113875106</v>
      </c>
    </row>
    <row r="129" spans="1:17" x14ac:dyDescent="0.25">
      <c r="A129" s="36">
        <v>82</v>
      </c>
      <c r="B129" s="36">
        <f t="shared" ca="1" si="17"/>
        <v>9.9000000000000005E-2</v>
      </c>
      <c r="C129" s="37">
        <f t="shared" si="23"/>
        <v>6</v>
      </c>
      <c r="D129" s="39">
        <f t="shared" ca="1" si="18"/>
        <v>0.3854392381412578</v>
      </c>
      <c r="E129" s="39">
        <f t="shared" ca="1" si="24"/>
        <v>14.475300086085824</v>
      </c>
      <c r="F129" s="36">
        <f t="shared" ca="1" si="25"/>
        <v>29</v>
      </c>
      <c r="G129" s="36">
        <f ca="1">COUNTIF($P$48:P139,"&lt;"&amp;E129)</f>
        <v>52</v>
      </c>
      <c r="H129" s="36">
        <f t="shared" ca="1" si="26"/>
        <v>1</v>
      </c>
      <c r="I129" s="36" t="str">
        <f t="shared" ca="1" si="27"/>
        <v>Ocu</v>
      </c>
      <c r="J129" s="40">
        <f t="shared" ca="1" si="19"/>
        <v>30</v>
      </c>
      <c r="K129" s="41">
        <f t="shared" ca="1" si="16"/>
        <v>6.5323187732462529</v>
      </c>
      <c r="L129" s="42">
        <f t="shared" ca="1" si="28"/>
        <v>21.007618859332077</v>
      </c>
      <c r="M129" s="36">
        <f t="shared" ca="1" si="20"/>
        <v>0.85899999999999999</v>
      </c>
      <c r="N129" s="36">
        <f t="shared" si="29"/>
        <v>4</v>
      </c>
      <c r="O129" s="39">
        <f t="shared" ca="1" si="21"/>
        <v>3.7996589249470442E-2</v>
      </c>
      <c r="P129" s="39">
        <f t="shared" ca="1" si="22"/>
        <v>21.045615448581547</v>
      </c>
      <c r="Q129" s="43">
        <f t="shared" ca="1" si="30"/>
        <v>6.5703153624957231</v>
      </c>
    </row>
    <row r="130" spans="1:17" x14ac:dyDescent="0.25">
      <c r="A130" s="36">
        <v>83</v>
      </c>
      <c r="B130" s="36">
        <f t="shared" ca="1" si="17"/>
        <v>0.23499999999999999</v>
      </c>
      <c r="C130" s="37">
        <f t="shared" si="23"/>
        <v>6</v>
      </c>
      <c r="D130" s="39">
        <f t="shared" ca="1" si="18"/>
        <v>0.24136162747299633</v>
      </c>
      <c r="E130" s="39">
        <f t="shared" ca="1" si="24"/>
        <v>14.716661713558819</v>
      </c>
      <c r="F130" s="36">
        <f t="shared" ca="1" si="25"/>
        <v>29</v>
      </c>
      <c r="G130" s="36">
        <f ca="1">COUNTIF($P$48:P140,"&lt;"&amp;E130)</f>
        <v>53</v>
      </c>
      <c r="H130" s="36">
        <f t="shared" ca="1" si="26"/>
        <v>1</v>
      </c>
      <c r="I130" s="36" t="str">
        <f t="shared" ca="1" si="27"/>
        <v>Ocu</v>
      </c>
      <c r="J130" s="40">
        <f t="shared" ca="1" si="19"/>
        <v>30</v>
      </c>
      <c r="K130" s="41">
        <f t="shared" ca="1" si="16"/>
        <v>6.3289537350227274</v>
      </c>
      <c r="L130" s="42">
        <f t="shared" ca="1" si="28"/>
        <v>21.045615448581547</v>
      </c>
      <c r="M130" s="36">
        <f t="shared" ca="1" si="20"/>
        <v>0.63100000000000001</v>
      </c>
      <c r="N130" s="36">
        <f t="shared" si="29"/>
        <v>4</v>
      </c>
      <c r="O130" s="39">
        <f t="shared" ca="1" si="21"/>
        <v>0.11511235411023098</v>
      </c>
      <c r="P130" s="39">
        <f t="shared" ca="1" si="22"/>
        <v>21.160727802691778</v>
      </c>
      <c r="Q130" s="43">
        <f t="shared" ca="1" si="30"/>
        <v>6.4440660891329582</v>
      </c>
    </row>
    <row r="131" spans="1:17" x14ac:dyDescent="0.25">
      <c r="A131" s="36">
        <v>84</v>
      </c>
      <c r="B131" s="36">
        <f t="shared" ca="1" si="17"/>
        <v>0.11899999999999999</v>
      </c>
      <c r="C131" s="37">
        <f t="shared" si="23"/>
        <v>6</v>
      </c>
      <c r="D131" s="39">
        <f t="shared" ca="1" si="18"/>
        <v>0.35477196431176794</v>
      </c>
      <c r="E131" s="39">
        <f t="shared" ca="1" si="24"/>
        <v>15.071433677870587</v>
      </c>
      <c r="F131" s="36">
        <f t="shared" ca="1" si="25"/>
        <v>28</v>
      </c>
      <c r="G131" s="36">
        <f ca="1">COUNTIF($P$48:P141,"&lt;"&amp;E131)</f>
        <v>55</v>
      </c>
      <c r="H131" s="36">
        <f t="shared" ca="1" si="26"/>
        <v>2</v>
      </c>
      <c r="I131" s="36" t="str">
        <f t="shared" ca="1" si="27"/>
        <v>Ocu</v>
      </c>
      <c r="J131" s="40">
        <f t="shared" ca="1" si="19"/>
        <v>29</v>
      </c>
      <c r="K131" s="41">
        <f t="shared" ca="1" si="16"/>
        <v>6.0892941248211905</v>
      </c>
      <c r="L131" s="42">
        <f t="shared" ca="1" si="28"/>
        <v>21.160727802691778</v>
      </c>
      <c r="M131" s="36">
        <f t="shared" ca="1" si="20"/>
        <v>0.66300000000000003</v>
      </c>
      <c r="N131" s="36">
        <f t="shared" si="29"/>
        <v>4</v>
      </c>
      <c r="O131" s="39">
        <f t="shared" ca="1" si="21"/>
        <v>0.10274507219906863</v>
      </c>
      <c r="P131" s="39">
        <f t="shared" ca="1" si="22"/>
        <v>21.263472874890848</v>
      </c>
      <c r="Q131" s="43">
        <f t="shared" ca="1" si="30"/>
        <v>6.1920391970202608</v>
      </c>
    </row>
    <row r="132" spans="1:17" x14ac:dyDescent="0.25">
      <c r="A132" s="36">
        <v>85</v>
      </c>
      <c r="B132" s="36">
        <f t="shared" ca="1" si="17"/>
        <v>0.59099999999999997</v>
      </c>
      <c r="C132" s="37">
        <f t="shared" si="23"/>
        <v>6</v>
      </c>
      <c r="D132" s="39">
        <f t="shared" ca="1" si="18"/>
        <v>8.765654359600647E-2</v>
      </c>
      <c r="E132" s="39">
        <f t="shared" ca="1" si="24"/>
        <v>15.159090221466593</v>
      </c>
      <c r="F132" s="36">
        <f t="shared" ca="1" si="25"/>
        <v>29</v>
      </c>
      <c r="G132" s="36">
        <f ca="1">COUNTIF($P$48:P142,"&lt;"&amp;E132)</f>
        <v>55</v>
      </c>
      <c r="H132" s="36">
        <f t="shared" ca="1" si="26"/>
        <v>0</v>
      </c>
      <c r="I132" s="36" t="str">
        <f t="shared" ca="1" si="27"/>
        <v>Ocu</v>
      </c>
      <c r="J132" s="40">
        <f t="shared" ca="1" si="19"/>
        <v>30</v>
      </c>
      <c r="K132" s="41">
        <f t="shared" ca="1" si="16"/>
        <v>6.1043826534242545</v>
      </c>
      <c r="L132" s="42">
        <f t="shared" ca="1" si="28"/>
        <v>21.263472874890848</v>
      </c>
      <c r="M132" s="36">
        <f t="shared" ca="1" si="20"/>
        <v>0.32</v>
      </c>
      <c r="N132" s="36">
        <f t="shared" si="29"/>
        <v>4</v>
      </c>
      <c r="O132" s="39">
        <f t="shared" ca="1" si="21"/>
        <v>0.2848585707970912</v>
      </c>
      <c r="P132" s="39">
        <f t="shared" ca="1" si="22"/>
        <v>21.548331445687939</v>
      </c>
      <c r="Q132" s="43">
        <f t="shared" ca="1" si="30"/>
        <v>6.3892412242213457</v>
      </c>
    </row>
    <row r="133" spans="1:17" x14ac:dyDescent="0.25">
      <c r="A133" s="36">
        <v>86</v>
      </c>
      <c r="B133" s="36">
        <f t="shared" ca="1" si="17"/>
        <v>0.46100000000000002</v>
      </c>
      <c r="C133" s="37">
        <f t="shared" si="23"/>
        <v>6</v>
      </c>
      <c r="D133" s="39">
        <f t="shared" ca="1" si="18"/>
        <v>0.12905953933091474</v>
      </c>
      <c r="E133" s="39">
        <f t="shared" ca="1" si="24"/>
        <v>15.288149760797507</v>
      </c>
      <c r="F133" s="36">
        <f t="shared" ca="1" si="25"/>
        <v>28</v>
      </c>
      <c r="G133" s="36">
        <f ca="1">COUNTIF($P$48:P143,"&lt;"&amp;E133)</f>
        <v>57</v>
      </c>
      <c r="H133" s="36">
        <f t="shared" ca="1" si="26"/>
        <v>2</v>
      </c>
      <c r="I133" s="36" t="str">
        <f t="shared" ca="1" si="27"/>
        <v>Ocu</v>
      </c>
      <c r="J133" s="40">
        <f t="shared" ca="1" si="19"/>
        <v>29</v>
      </c>
      <c r="K133" s="41">
        <f t="shared" ca="1" si="16"/>
        <v>6.2601816848904317</v>
      </c>
      <c r="L133" s="42">
        <f t="shared" ca="1" si="28"/>
        <v>21.548331445687939</v>
      </c>
      <c r="M133" s="36">
        <f t="shared" ca="1" si="20"/>
        <v>0.34300000000000003</v>
      </c>
      <c r="N133" s="36">
        <f t="shared" si="29"/>
        <v>4</v>
      </c>
      <c r="O133" s="39">
        <f t="shared" ca="1" si="21"/>
        <v>0.26750620795404928</v>
      </c>
      <c r="P133" s="39">
        <f t="shared" ca="1" si="22"/>
        <v>21.815837653641989</v>
      </c>
      <c r="Q133" s="43">
        <f t="shared" ca="1" si="30"/>
        <v>6.5276878928444813</v>
      </c>
    </row>
    <row r="134" spans="1:17" x14ac:dyDescent="0.25">
      <c r="A134" s="36">
        <v>87</v>
      </c>
      <c r="B134" s="36">
        <f t="shared" ca="1" si="17"/>
        <v>0.68799999999999994</v>
      </c>
      <c r="C134" s="37">
        <f t="shared" si="23"/>
        <v>6</v>
      </c>
      <c r="D134" s="39">
        <f t="shared" ca="1" si="18"/>
        <v>6.2327740174798918E-2</v>
      </c>
      <c r="E134" s="39">
        <f t="shared" ca="1" si="24"/>
        <v>15.350477500972307</v>
      </c>
      <c r="F134" s="36">
        <f t="shared" ca="1" si="25"/>
        <v>28</v>
      </c>
      <c r="G134" s="36">
        <f ca="1">COUNTIF($P$48:P144,"&lt;"&amp;E134)</f>
        <v>58</v>
      </c>
      <c r="H134" s="36">
        <f t="shared" ca="1" si="26"/>
        <v>1</v>
      </c>
      <c r="I134" s="36" t="str">
        <f t="shared" ca="1" si="27"/>
        <v>Ocu</v>
      </c>
      <c r="J134" s="40">
        <f t="shared" ca="1" si="19"/>
        <v>29</v>
      </c>
      <c r="K134" s="41">
        <f t="shared" ca="1" si="16"/>
        <v>6.4653601526696818</v>
      </c>
      <c r="L134" s="42">
        <f t="shared" ca="1" si="28"/>
        <v>21.815837653641989</v>
      </c>
      <c r="M134" s="36">
        <f t="shared" ca="1" si="20"/>
        <v>4.0000000000000001E-3</v>
      </c>
      <c r="N134" s="36">
        <f t="shared" si="29"/>
        <v>4</v>
      </c>
      <c r="O134" s="39">
        <f t="shared" ca="1" si="21"/>
        <v>1.3803652294655615</v>
      </c>
      <c r="P134" s="39">
        <f t="shared" ca="1" si="22"/>
        <v>23.196202883107549</v>
      </c>
      <c r="Q134" s="43">
        <f t="shared" ca="1" si="30"/>
        <v>7.8457253821352424</v>
      </c>
    </row>
    <row r="135" spans="1:17" x14ac:dyDescent="0.25">
      <c r="A135" s="36">
        <v>88</v>
      </c>
      <c r="B135" s="36">
        <f t="shared" ca="1" si="17"/>
        <v>0.56499999999999995</v>
      </c>
      <c r="C135" s="37">
        <f t="shared" si="23"/>
        <v>6</v>
      </c>
      <c r="D135" s="39">
        <f t="shared" ca="1" si="18"/>
        <v>9.5154924639282684E-2</v>
      </c>
      <c r="E135" s="39">
        <f t="shared" ca="1" si="24"/>
        <v>15.44563242561159</v>
      </c>
      <c r="F135" s="36">
        <f t="shared" ca="1" si="25"/>
        <v>29</v>
      </c>
      <c r="G135" s="36">
        <f ca="1">COUNTIF($P$48:P145,"&lt;"&amp;E135)</f>
        <v>58</v>
      </c>
      <c r="H135" s="36">
        <f t="shared" ca="1" si="26"/>
        <v>0</v>
      </c>
      <c r="I135" s="36" t="str">
        <f t="shared" ca="1" si="27"/>
        <v>Ocu</v>
      </c>
      <c r="J135" s="40">
        <f t="shared" ca="1" si="19"/>
        <v>30</v>
      </c>
      <c r="K135" s="41">
        <f t="shared" ca="1" si="16"/>
        <v>7.7505704574959591</v>
      </c>
      <c r="L135" s="42">
        <f t="shared" ca="1" si="28"/>
        <v>23.196202883107549</v>
      </c>
      <c r="M135" s="36">
        <f t="shared" ca="1" si="20"/>
        <v>0.55600000000000005</v>
      </c>
      <c r="N135" s="36">
        <f t="shared" si="29"/>
        <v>4</v>
      </c>
      <c r="O135" s="39">
        <f t="shared" ca="1" si="21"/>
        <v>0.14674674618288866</v>
      </c>
      <c r="P135" s="39">
        <f t="shared" ca="1" si="22"/>
        <v>23.342949629290437</v>
      </c>
      <c r="Q135" s="43">
        <f t="shared" ca="1" si="30"/>
        <v>7.8973172036788473</v>
      </c>
    </row>
    <row r="136" spans="1:17" x14ac:dyDescent="0.25">
      <c r="A136" s="36">
        <v>89</v>
      </c>
      <c r="B136" s="36">
        <f t="shared" ca="1" si="17"/>
        <v>0.42599999999999999</v>
      </c>
      <c r="C136" s="37">
        <f t="shared" si="23"/>
        <v>6</v>
      </c>
      <c r="D136" s="39">
        <f t="shared" ca="1" si="18"/>
        <v>0.14221932211879446</v>
      </c>
      <c r="E136" s="39">
        <f t="shared" ca="1" si="24"/>
        <v>15.587851747730385</v>
      </c>
      <c r="F136" s="36">
        <f t="shared" ca="1" si="25"/>
        <v>29</v>
      </c>
      <c r="G136" s="36">
        <f ca="1">COUNTIF($P$48:P146,"&lt;"&amp;E136)</f>
        <v>59</v>
      </c>
      <c r="H136" s="36">
        <f t="shared" ca="1" si="26"/>
        <v>1</v>
      </c>
      <c r="I136" s="36" t="str">
        <f t="shared" ca="1" si="27"/>
        <v>Ocu</v>
      </c>
      <c r="J136" s="40">
        <f t="shared" ca="1" si="19"/>
        <v>30</v>
      </c>
      <c r="K136" s="41">
        <f t="shared" ca="1" si="16"/>
        <v>7.7550978815600526</v>
      </c>
      <c r="L136" s="42">
        <f t="shared" ca="1" si="28"/>
        <v>23.342949629290437</v>
      </c>
      <c r="M136" s="36">
        <f t="shared" ca="1" si="20"/>
        <v>0.86099999999999999</v>
      </c>
      <c r="N136" s="36">
        <f t="shared" si="29"/>
        <v>4</v>
      </c>
      <c r="O136" s="39">
        <f t="shared" ca="1" si="21"/>
        <v>3.7415193638601567E-2</v>
      </c>
      <c r="P136" s="39">
        <f t="shared" ca="1" si="22"/>
        <v>23.380364822929039</v>
      </c>
      <c r="Q136" s="43">
        <f t="shared" ca="1" si="30"/>
        <v>7.792513075198654</v>
      </c>
    </row>
    <row r="137" spans="1:17" x14ac:dyDescent="0.25">
      <c r="A137" s="36">
        <v>90</v>
      </c>
      <c r="B137" s="36">
        <f t="shared" ca="1" si="17"/>
        <v>0.19400000000000001</v>
      </c>
      <c r="C137" s="37">
        <f t="shared" si="23"/>
        <v>6</v>
      </c>
      <c r="D137" s="39">
        <f t="shared" ca="1" si="18"/>
        <v>0.27331618665313479</v>
      </c>
      <c r="E137" s="39">
        <f t="shared" ca="1" si="24"/>
        <v>15.86116793438352</v>
      </c>
      <c r="F137" s="36">
        <f t="shared" ca="1" si="25"/>
        <v>30</v>
      </c>
      <c r="G137" s="36">
        <f ca="1">COUNTIF($P$48:P147,"&lt;"&amp;E137)</f>
        <v>59</v>
      </c>
      <c r="H137" s="36">
        <f t="shared" ca="1" si="26"/>
        <v>0</v>
      </c>
      <c r="I137" s="36" t="str">
        <f t="shared" ca="1" si="27"/>
        <v>Ocu</v>
      </c>
      <c r="J137" s="40">
        <f t="shared" ca="1" si="19"/>
        <v>31</v>
      </c>
      <c r="K137" s="41">
        <f t="shared" ca="1" si="16"/>
        <v>7.5191968885455189</v>
      </c>
      <c r="L137" s="42">
        <f t="shared" ca="1" si="28"/>
        <v>23.380364822929039</v>
      </c>
      <c r="M137" s="36">
        <f t="shared" ca="1" si="20"/>
        <v>0.50800000000000001</v>
      </c>
      <c r="N137" s="36">
        <f t="shared" si="29"/>
        <v>4</v>
      </c>
      <c r="O137" s="39">
        <f t="shared" ca="1" si="21"/>
        <v>0.16931845785091379</v>
      </c>
      <c r="P137" s="39">
        <f t="shared" ca="1" si="22"/>
        <v>23.549683280779952</v>
      </c>
      <c r="Q137" s="43">
        <f t="shared" ca="1" si="30"/>
        <v>7.6885153463964322</v>
      </c>
    </row>
    <row r="138" spans="1:17" x14ac:dyDescent="0.25">
      <c r="A138" s="36">
        <v>91</v>
      </c>
      <c r="B138" s="36">
        <f t="shared" ca="1" si="17"/>
        <v>0.77500000000000002</v>
      </c>
      <c r="C138" s="37">
        <f t="shared" si="23"/>
        <v>6</v>
      </c>
      <c r="D138" s="39">
        <f t="shared" ca="1" si="18"/>
        <v>4.2482041604798335E-2</v>
      </c>
      <c r="E138" s="39">
        <f t="shared" ca="1" si="24"/>
        <v>15.903649975988317</v>
      </c>
      <c r="F138" s="36">
        <f t="shared" ca="1" si="25"/>
        <v>31</v>
      </c>
      <c r="G138" s="36">
        <f ca="1">COUNTIF($P$48:P148,"&lt;"&amp;E138)</f>
        <v>59</v>
      </c>
      <c r="H138" s="36">
        <f t="shared" ca="1" si="26"/>
        <v>0</v>
      </c>
      <c r="I138" s="36" t="str">
        <f t="shared" ca="1" si="27"/>
        <v>Ocu</v>
      </c>
      <c r="J138" s="40">
        <f t="shared" ca="1" si="19"/>
        <v>32</v>
      </c>
      <c r="K138" s="41">
        <f t="shared" ca="1" si="16"/>
        <v>7.6460333047916347</v>
      </c>
      <c r="L138" s="42">
        <f t="shared" ca="1" si="28"/>
        <v>23.549683280779952</v>
      </c>
      <c r="M138" s="36">
        <f t="shared" ca="1" si="20"/>
        <v>0.249</v>
      </c>
      <c r="N138" s="36">
        <f t="shared" si="29"/>
        <v>4</v>
      </c>
      <c r="O138" s="39">
        <f t="shared" ca="1" si="21"/>
        <v>0.34757559562935736</v>
      </c>
      <c r="P138" s="39">
        <f t="shared" ca="1" si="22"/>
        <v>23.89725887640931</v>
      </c>
      <c r="Q138" s="43">
        <f t="shared" ca="1" si="30"/>
        <v>7.9936089004209929</v>
      </c>
    </row>
    <row r="139" spans="1:17" x14ac:dyDescent="0.25">
      <c r="A139" s="36">
        <v>92</v>
      </c>
      <c r="B139" s="36">
        <f t="shared" ca="1" si="17"/>
        <v>0.91900000000000004</v>
      </c>
      <c r="C139" s="37">
        <f t="shared" si="23"/>
        <v>6</v>
      </c>
      <c r="D139" s="39">
        <f t="shared" ca="1" si="18"/>
        <v>1.4078192771074994E-2</v>
      </c>
      <c r="E139" s="39">
        <f t="shared" ca="1" si="24"/>
        <v>15.917728168759393</v>
      </c>
      <c r="F139" s="36">
        <f t="shared" ca="1" si="25"/>
        <v>32</v>
      </c>
      <c r="G139" s="36">
        <f ca="1">COUNTIF($P$48:P149,"&lt;"&amp;E139)</f>
        <v>59</v>
      </c>
      <c r="H139" s="36">
        <f t="shared" ca="1" si="26"/>
        <v>0</v>
      </c>
      <c r="I139" s="36" t="str">
        <f t="shared" ca="1" si="27"/>
        <v>Ocu</v>
      </c>
      <c r="J139" s="40">
        <f t="shared" ca="1" si="19"/>
        <v>33</v>
      </c>
      <c r="K139" s="41">
        <f t="shared" ca="1" si="16"/>
        <v>7.9795307076499178</v>
      </c>
      <c r="L139" s="42">
        <f t="shared" ca="1" si="28"/>
        <v>23.89725887640931</v>
      </c>
      <c r="M139" s="36">
        <f t="shared" ca="1" si="20"/>
        <v>0.79900000000000004</v>
      </c>
      <c r="N139" s="36">
        <f t="shared" si="29"/>
        <v>4</v>
      </c>
      <c r="O139" s="39">
        <f t="shared" ca="1" si="21"/>
        <v>5.6098583303965596E-2</v>
      </c>
      <c r="P139" s="39">
        <f t="shared" ca="1" si="22"/>
        <v>23.953357459713278</v>
      </c>
      <c r="Q139" s="43">
        <f t="shared" ca="1" si="30"/>
        <v>8.0356292909538851</v>
      </c>
    </row>
    <row r="140" spans="1:17" x14ac:dyDescent="0.25">
      <c r="A140" s="36">
        <v>93</v>
      </c>
      <c r="B140" s="36">
        <f t="shared" ca="1" si="17"/>
        <v>0.81799999999999995</v>
      </c>
      <c r="C140" s="37">
        <f t="shared" si="23"/>
        <v>6</v>
      </c>
      <c r="D140" s="39">
        <f t="shared" ca="1" si="18"/>
        <v>3.3482157063231675E-2</v>
      </c>
      <c r="E140" s="39">
        <f t="shared" ca="1" si="24"/>
        <v>15.951210325822624</v>
      </c>
      <c r="F140" s="36">
        <f t="shared" ca="1" si="25"/>
        <v>33</v>
      </c>
      <c r="G140" s="36">
        <f ca="1">COUNTIF($P$48:P150,"&lt;"&amp;E140)</f>
        <v>59</v>
      </c>
      <c r="H140" s="36">
        <f t="shared" ca="1" si="26"/>
        <v>0</v>
      </c>
      <c r="I140" s="36" t="str">
        <f t="shared" ca="1" si="27"/>
        <v>Ocu</v>
      </c>
      <c r="J140" s="40">
        <f t="shared" ca="1" si="19"/>
        <v>34</v>
      </c>
      <c r="K140" s="41">
        <f t="shared" ca="1" si="16"/>
        <v>8.002147133890654</v>
      </c>
      <c r="L140" s="42">
        <f t="shared" ca="1" si="28"/>
        <v>23.953357459713278</v>
      </c>
      <c r="M140" s="36">
        <f t="shared" ca="1" si="20"/>
        <v>0.49099999999999999</v>
      </c>
      <c r="N140" s="36">
        <f t="shared" si="29"/>
        <v>4</v>
      </c>
      <c r="O140" s="39">
        <f t="shared" ca="1" si="21"/>
        <v>0.17782778779690411</v>
      </c>
      <c r="P140" s="39">
        <f t="shared" ca="1" si="22"/>
        <v>24.131185247510182</v>
      </c>
      <c r="Q140" s="43">
        <f t="shared" ca="1" si="30"/>
        <v>8.1799749216875579</v>
      </c>
    </row>
    <row r="141" spans="1:17" x14ac:dyDescent="0.25">
      <c r="A141" s="36">
        <v>94</v>
      </c>
      <c r="B141" s="36">
        <f t="shared" ca="1" si="17"/>
        <v>0.82699999999999996</v>
      </c>
      <c r="C141" s="37">
        <f t="shared" si="23"/>
        <v>6</v>
      </c>
      <c r="D141" s="39">
        <f t="shared" ca="1" si="18"/>
        <v>3.1658430659740958E-2</v>
      </c>
      <c r="E141" s="39">
        <f t="shared" ca="1" si="24"/>
        <v>15.982868756482365</v>
      </c>
      <c r="F141" s="36">
        <f t="shared" ca="1" si="25"/>
        <v>34</v>
      </c>
      <c r="G141" s="36">
        <f ca="1">COUNTIF($P$48:P151,"&lt;"&amp;E141)</f>
        <v>59</v>
      </c>
      <c r="H141" s="36">
        <f t="shared" ca="1" si="26"/>
        <v>0</v>
      </c>
      <c r="I141" s="36" t="str">
        <f t="shared" ca="1" si="27"/>
        <v>Ocu</v>
      </c>
      <c r="J141" s="40">
        <f t="shared" ca="1" si="19"/>
        <v>35</v>
      </c>
      <c r="K141" s="41">
        <f t="shared" ca="1" si="16"/>
        <v>8.148316491027817</v>
      </c>
      <c r="L141" s="42">
        <f t="shared" ca="1" si="28"/>
        <v>24.131185247510182</v>
      </c>
      <c r="M141" s="36">
        <f t="shared" ca="1" si="20"/>
        <v>0.4</v>
      </c>
      <c r="N141" s="36">
        <f t="shared" si="29"/>
        <v>4</v>
      </c>
      <c r="O141" s="39">
        <f t="shared" ca="1" si="21"/>
        <v>0.22907268296853878</v>
      </c>
      <c r="P141" s="39">
        <f t="shared" ca="1" si="22"/>
        <v>24.360257930478721</v>
      </c>
      <c r="Q141" s="43">
        <f t="shared" ca="1" si="30"/>
        <v>8.377389173996356</v>
      </c>
    </row>
    <row r="142" spans="1:17" x14ac:dyDescent="0.25">
      <c r="A142" s="36">
        <v>95</v>
      </c>
      <c r="B142" s="36">
        <f t="shared" ca="1" si="17"/>
        <v>0.23</v>
      </c>
      <c r="C142" s="37">
        <f t="shared" si="23"/>
        <v>6</v>
      </c>
      <c r="D142" s="39">
        <f t="shared" ca="1" si="18"/>
        <v>0.24494599500982361</v>
      </c>
      <c r="E142" s="39">
        <f t="shared" ca="1" si="24"/>
        <v>16.22781475149219</v>
      </c>
      <c r="F142" s="36">
        <f t="shared" ca="1" si="25"/>
        <v>35</v>
      </c>
      <c r="G142" s="36">
        <f ca="1">COUNTIF($P$48:P152,"&lt;"&amp;E142)</f>
        <v>59</v>
      </c>
      <c r="H142" s="36">
        <f t="shared" ca="1" si="26"/>
        <v>0</v>
      </c>
      <c r="I142" s="36" t="str">
        <f t="shared" ca="1" si="27"/>
        <v>Ocu</v>
      </c>
      <c r="J142" s="40">
        <f t="shared" ca="1" si="19"/>
        <v>36</v>
      </c>
      <c r="K142" s="41">
        <f t="shared" ca="1" si="16"/>
        <v>8.1324431789865308</v>
      </c>
      <c r="L142" s="42">
        <f t="shared" ca="1" si="28"/>
        <v>24.360257930478721</v>
      </c>
      <c r="M142" s="36">
        <f t="shared" ca="1" si="20"/>
        <v>0.59799999999999998</v>
      </c>
      <c r="N142" s="36">
        <f t="shared" si="29"/>
        <v>4</v>
      </c>
      <c r="O142" s="39">
        <f t="shared" ca="1" si="21"/>
        <v>0.12854113125787633</v>
      </c>
      <c r="P142" s="39">
        <f t="shared" ca="1" si="22"/>
        <v>24.488799061736596</v>
      </c>
      <c r="Q142" s="43">
        <f t="shared" ca="1" si="30"/>
        <v>8.2609843102444067</v>
      </c>
    </row>
    <row r="143" spans="1:17" x14ac:dyDescent="0.25">
      <c r="A143" s="36">
        <v>96</v>
      </c>
      <c r="B143" s="36">
        <f t="shared" ca="1" si="17"/>
        <v>0.41699999999999998</v>
      </c>
      <c r="C143" s="37">
        <f t="shared" si="23"/>
        <v>6</v>
      </c>
      <c r="D143" s="39">
        <f t="shared" ca="1" si="18"/>
        <v>0.14577817619722261</v>
      </c>
      <c r="E143" s="39">
        <f t="shared" ca="1" si="24"/>
        <v>16.373592927689412</v>
      </c>
      <c r="F143" s="36">
        <f t="shared" ca="1" si="25"/>
        <v>35</v>
      </c>
      <c r="G143" s="36">
        <f ca="1">COUNTIF($P$48:P153,"&lt;"&amp;E143)</f>
        <v>60</v>
      </c>
      <c r="H143" s="36">
        <f t="shared" ca="1" si="26"/>
        <v>1</v>
      </c>
      <c r="I143" s="36" t="str">
        <f t="shared" ca="1" si="27"/>
        <v>Ocu</v>
      </c>
      <c r="J143" s="40">
        <f t="shared" ca="1" si="19"/>
        <v>36</v>
      </c>
      <c r="K143" s="41">
        <f t="shared" ca="1" si="16"/>
        <v>8.1152061340471846</v>
      </c>
      <c r="L143" s="42">
        <f t="shared" ca="1" si="28"/>
        <v>24.488799061736596</v>
      </c>
      <c r="M143" s="36">
        <f t="shared" ca="1" si="20"/>
        <v>0.33500000000000002</v>
      </c>
      <c r="N143" s="36">
        <f t="shared" si="29"/>
        <v>4</v>
      </c>
      <c r="O143" s="39">
        <f t="shared" ca="1" si="21"/>
        <v>0.27340618678926765</v>
      </c>
      <c r="P143" s="39">
        <f t="shared" ca="1" si="22"/>
        <v>24.762205248525863</v>
      </c>
      <c r="Q143" s="43">
        <f t="shared" ca="1" si="30"/>
        <v>8.3886123208364509</v>
      </c>
    </row>
    <row r="144" spans="1:17" x14ac:dyDescent="0.25">
      <c r="A144" s="36">
        <v>97</v>
      </c>
      <c r="B144" s="36">
        <f t="shared" ca="1" si="17"/>
        <v>0.67400000000000004</v>
      </c>
      <c r="C144" s="37">
        <f t="shared" si="23"/>
        <v>6</v>
      </c>
      <c r="D144" s="39">
        <f t="shared" ca="1" si="18"/>
        <v>6.5754194678304984E-2</v>
      </c>
      <c r="E144" s="39">
        <f t="shared" ca="1" si="24"/>
        <v>16.439347122367717</v>
      </c>
      <c r="F144" s="36">
        <f t="shared" ca="1" si="25"/>
        <v>36</v>
      </c>
      <c r="G144" s="36">
        <f ca="1">COUNTIF($P$48:P154,"&lt;"&amp;E144)</f>
        <v>60</v>
      </c>
      <c r="H144" s="36">
        <f t="shared" ca="1" si="26"/>
        <v>0</v>
      </c>
      <c r="I144" s="36" t="str">
        <f t="shared" ca="1" si="27"/>
        <v>Ocu</v>
      </c>
      <c r="J144" s="40">
        <f t="shared" ca="1" si="19"/>
        <v>37</v>
      </c>
      <c r="K144" s="41">
        <f t="shared" ca="1" si="16"/>
        <v>8.3228581261581454</v>
      </c>
      <c r="L144" s="42">
        <f t="shared" ca="1" si="28"/>
        <v>24.762205248525863</v>
      </c>
      <c r="M144" s="36">
        <f t="shared" ca="1" si="20"/>
        <v>0.45</v>
      </c>
      <c r="N144" s="36">
        <f t="shared" si="29"/>
        <v>4</v>
      </c>
      <c r="O144" s="39">
        <f t="shared" ca="1" si="21"/>
        <v>0.19962692405444291</v>
      </c>
      <c r="P144" s="39">
        <f t="shared" ca="1" si="22"/>
        <v>24.961832172580305</v>
      </c>
      <c r="Q144" s="43">
        <f t="shared" ca="1" si="30"/>
        <v>8.5224850502125875</v>
      </c>
    </row>
    <row r="145" spans="1:17" x14ac:dyDescent="0.25">
      <c r="A145" s="36">
        <v>98</v>
      </c>
      <c r="B145" s="36">
        <f t="shared" ca="1" si="17"/>
        <v>0.83499999999999996</v>
      </c>
      <c r="C145" s="37">
        <f t="shared" si="23"/>
        <v>6</v>
      </c>
      <c r="D145" s="39">
        <f t="shared" ca="1" si="18"/>
        <v>3.0053925688546944E-2</v>
      </c>
      <c r="E145" s="39">
        <f t="shared" ca="1" si="24"/>
        <v>16.469401048056266</v>
      </c>
      <c r="F145" s="36">
        <f t="shared" ca="1" si="25"/>
        <v>37</v>
      </c>
      <c r="G145" s="36">
        <f ca="1">COUNTIF($P$48:P155,"&lt;"&amp;E145)</f>
        <v>60</v>
      </c>
      <c r="H145" s="36">
        <f t="shared" ca="1" si="26"/>
        <v>0</v>
      </c>
      <c r="I145" s="36" t="str">
        <f t="shared" ca="1" si="27"/>
        <v>Ocu</v>
      </c>
      <c r="J145" s="40">
        <f t="shared" ca="1" si="19"/>
        <v>38</v>
      </c>
      <c r="K145" s="41">
        <f t="shared" ca="1" si="16"/>
        <v>8.4924311245240389</v>
      </c>
      <c r="L145" s="42">
        <f t="shared" ca="1" si="28"/>
        <v>24.961832172580305</v>
      </c>
      <c r="M145" s="36">
        <f t="shared" ca="1" si="20"/>
        <v>0.28699999999999998</v>
      </c>
      <c r="N145" s="36">
        <f t="shared" si="29"/>
        <v>4</v>
      </c>
      <c r="O145" s="39">
        <f t="shared" ca="1" si="21"/>
        <v>0.31206826580562902</v>
      </c>
      <c r="P145" s="39">
        <f t="shared" ca="1" si="22"/>
        <v>25.273900438385933</v>
      </c>
      <c r="Q145" s="43">
        <f t="shared" ca="1" si="30"/>
        <v>8.8044993903296671</v>
      </c>
    </row>
    <row r="146" spans="1:17" x14ac:dyDescent="0.25">
      <c r="A146" s="36">
        <v>99</v>
      </c>
      <c r="B146" s="36">
        <f t="shared" ca="1" si="17"/>
        <v>0.115</v>
      </c>
      <c r="C146" s="37">
        <f t="shared" si="23"/>
        <v>6</v>
      </c>
      <c r="D146" s="39">
        <f t="shared" ca="1" si="18"/>
        <v>0.36047052510314781</v>
      </c>
      <c r="E146" s="39">
        <f t="shared" ca="1" si="24"/>
        <v>16.829871573159412</v>
      </c>
      <c r="F146" s="36">
        <f t="shared" ca="1" si="25"/>
        <v>38</v>
      </c>
      <c r="G146" s="36">
        <f ca="1">COUNTIF($P$48:P156,"&lt;"&amp;E146)</f>
        <v>60</v>
      </c>
      <c r="H146" s="36">
        <f t="shared" ca="1" si="26"/>
        <v>0</v>
      </c>
      <c r="I146" s="36" t="str">
        <f t="shared" ca="1" si="27"/>
        <v>Ocu</v>
      </c>
      <c r="J146" s="40">
        <f t="shared" ca="1" si="19"/>
        <v>39</v>
      </c>
      <c r="K146" s="41">
        <f t="shared" ca="1" si="16"/>
        <v>8.444028865226521</v>
      </c>
      <c r="L146" s="42">
        <f t="shared" ca="1" si="28"/>
        <v>25.273900438385933</v>
      </c>
      <c r="M146" s="36">
        <f t="shared" ca="1" si="20"/>
        <v>0.16800000000000001</v>
      </c>
      <c r="N146" s="36">
        <f t="shared" si="29"/>
        <v>4</v>
      </c>
      <c r="O146" s="39">
        <f t="shared" ca="1" si="21"/>
        <v>0.44594782489471951</v>
      </c>
      <c r="P146" s="39">
        <f t="shared" ca="1" si="22"/>
        <v>25.719848263280653</v>
      </c>
      <c r="Q146" s="43">
        <f t="shared" ca="1" si="30"/>
        <v>8.8899766901212409</v>
      </c>
    </row>
    <row r="147" spans="1:17" x14ac:dyDescent="0.25">
      <c r="A147" s="36">
        <v>100</v>
      </c>
      <c r="B147" s="36">
        <f t="shared" ca="1" si="17"/>
        <v>3.0000000000000001E-3</v>
      </c>
      <c r="C147" s="37">
        <f t="shared" si="23"/>
        <v>6</v>
      </c>
      <c r="D147" s="39">
        <f t="shared" ca="1" si="18"/>
        <v>0.96819049838567128</v>
      </c>
      <c r="E147" s="39">
        <f t="shared" ca="1" si="24"/>
        <v>17.798062071545083</v>
      </c>
      <c r="F147" s="36">
        <f t="shared" ca="1" si="25"/>
        <v>37</v>
      </c>
      <c r="G147" s="36">
        <f ca="1">COUNTIF($P$48:P157,"&lt;"&amp;E147)</f>
        <v>62</v>
      </c>
      <c r="H147" s="36">
        <f t="shared" ca="1" si="26"/>
        <v>2</v>
      </c>
      <c r="I147" s="36" t="str">
        <f t="shared" ca="1" si="27"/>
        <v>Ocu</v>
      </c>
      <c r="J147" s="40">
        <f t="shared" ca="1" si="19"/>
        <v>38</v>
      </c>
      <c r="K147" s="41">
        <f t="shared" ca="1" si="16"/>
        <v>7.9217861917355705</v>
      </c>
      <c r="L147" s="42">
        <f t="shared" ca="1" si="28"/>
        <v>25.719848263280653</v>
      </c>
      <c r="M147" s="36">
        <f t="shared" ca="1" si="20"/>
        <v>0.53700000000000003</v>
      </c>
      <c r="N147" s="36">
        <f t="shared" si="29"/>
        <v>4</v>
      </c>
      <c r="O147" s="39">
        <f t="shared" ca="1" si="21"/>
        <v>0.15543929611831805</v>
      </c>
      <c r="P147" s="39">
        <f t="shared" ca="1" si="22"/>
        <v>25.87528755939897</v>
      </c>
      <c r="Q147" s="43">
        <f t="shared" ca="1" si="30"/>
        <v>8.0772254878538874</v>
      </c>
    </row>
    <row r="148" spans="1:17" x14ac:dyDescent="0.25">
      <c r="A148" s="36">
        <v>101</v>
      </c>
      <c r="B148" s="36">
        <f t="shared" ca="1" si="17"/>
        <v>0.54900000000000004</v>
      </c>
      <c r="C148" s="37">
        <f t="shared" si="23"/>
        <v>6</v>
      </c>
      <c r="D148" s="39">
        <f t="shared" ca="1" si="18"/>
        <v>9.994280624543439E-2</v>
      </c>
      <c r="E148" s="39">
        <f t="shared" ca="1" si="24"/>
        <v>17.898004877790516</v>
      </c>
      <c r="F148" s="36">
        <f t="shared" ca="1" si="25"/>
        <v>38</v>
      </c>
      <c r="G148" s="36">
        <f ca="1">COUNTIF($P$48:P158,"&lt;"&amp;E148)</f>
        <v>62</v>
      </c>
      <c r="H148" s="36">
        <f t="shared" ca="1" si="26"/>
        <v>0</v>
      </c>
      <c r="I148" s="36" t="str">
        <f t="shared" ca="1" si="27"/>
        <v>Ocu</v>
      </c>
      <c r="J148" s="40">
        <f t="shared" ca="1" si="19"/>
        <v>39</v>
      </c>
      <c r="K148" s="41">
        <f t="shared" ca="1" si="16"/>
        <v>7.9772826816084539</v>
      </c>
      <c r="L148" s="42">
        <f t="shared" ca="1" si="28"/>
        <v>25.87528755939897</v>
      </c>
      <c r="M148" s="36">
        <f t="shared" ca="1" si="20"/>
        <v>0.23699999999999999</v>
      </c>
      <c r="N148" s="36">
        <f t="shared" si="29"/>
        <v>4</v>
      </c>
      <c r="O148" s="39">
        <f t="shared" ca="1" si="21"/>
        <v>0.35992378446175144</v>
      </c>
      <c r="P148" s="39">
        <f t="shared" ca="1" si="22"/>
        <v>26.235211343860723</v>
      </c>
      <c r="Q148" s="43">
        <f t="shared" ca="1" si="30"/>
        <v>8.3372064660702065</v>
      </c>
    </row>
    <row r="149" spans="1:17" x14ac:dyDescent="0.25">
      <c r="A149" s="36">
        <v>102</v>
      </c>
      <c r="B149" s="36">
        <f t="shared" ca="1" si="17"/>
        <v>0.68500000000000005</v>
      </c>
      <c r="C149" s="37">
        <f t="shared" si="23"/>
        <v>6</v>
      </c>
      <c r="D149" s="39">
        <f t="shared" ca="1" si="18"/>
        <v>6.3056073453318623E-2</v>
      </c>
      <c r="E149" s="39">
        <f t="shared" ca="1" si="24"/>
        <v>17.961060951243834</v>
      </c>
      <c r="F149" s="36">
        <f t="shared" ca="1" si="25"/>
        <v>38</v>
      </c>
      <c r="G149" s="36">
        <f ca="1">COUNTIF($P$48:P159,"&lt;"&amp;E149)</f>
        <v>63</v>
      </c>
      <c r="H149" s="36">
        <f t="shared" ca="1" si="26"/>
        <v>1</v>
      </c>
      <c r="I149" s="36" t="str">
        <f t="shared" ca="1" si="27"/>
        <v>Ocu</v>
      </c>
      <c r="J149" s="40">
        <f t="shared" ca="1" si="19"/>
        <v>39</v>
      </c>
      <c r="K149" s="41">
        <f t="shared" ca="1" si="16"/>
        <v>8.2741503926168889</v>
      </c>
      <c r="L149" s="42">
        <f t="shared" ca="1" si="28"/>
        <v>26.235211343860723</v>
      </c>
      <c r="M149" s="36">
        <f t="shared" ca="1" si="20"/>
        <v>0.61099999999999999</v>
      </c>
      <c r="N149" s="36">
        <f t="shared" si="29"/>
        <v>4</v>
      </c>
      <c r="O149" s="39">
        <f t="shared" ca="1" si="21"/>
        <v>0.12316457995263543</v>
      </c>
      <c r="P149" s="39">
        <f t="shared" ca="1" si="22"/>
        <v>26.358375923813359</v>
      </c>
      <c r="Q149" s="43">
        <f t="shared" ca="1" si="30"/>
        <v>8.3973149725695251</v>
      </c>
    </row>
    <row r="150" spans="1:17" x14ac:dyDescent="0.25">
      <c r="A150" s="36">
        <v>103</v>
      </c>
      <c r="B150" s="36">
        <f t="shared" ca="1" si="17"/>
        <v>0.156</v>
      </c>
      <c r="C150" s="37">
        <f t="shared" si="23"/>
        <v>6</v>
      </c>
      <c r="D150" s="39">
        <f t="shared" ca="1" si="18"/>
        <v>0.30964987862210003</v>
      </c>
      <c r="E150" s="39">
        <f t="shared" ca="1" si="24"/>
        <v>18.270710829865934</v>
      </c>
      <c r="F150" s="36">
        <f t="shared" ca="1" si="25"/>
        <v>38</v>
      </c>
      <c r="G150" s="36">
        <f ca="1">COUNTIF($P$48:P160,"&lt;"&amp;E150)</f>
        <v>64</v>
      </c>
      <c r="H150" s="36">
        <f t="shared" ca="1" si="26"/>
        <v>1</v>
      </c>
      <c r="I150" s="36" t="str">
        <f t="shared" ca="1" si="27"/>
        <v>Ocu</v>
      </c>
      <c r="J150" s="40">
        <f t="shared" ca="1" si="19"/>
        <v>39</v>
      </c>
      <c r="K150" s="41">
        <f t="shared" ca="1" si="16"/>
        <v>8.0876650939474253</v>
      </c>
      <c r="L150" s="42">
        <f t="shared" ca="1" si="28"/>
        <v>26.358375923813359</v>
      </c>
      <c r="M150" s="36">
        <f t="shared" ca="1" si="20"/>
        <v>9.2999999999999999E-2</v>
      </c>
      <c r="N150" s="36">
        <f t="shared" si="29"/>
        <v>4</v>
      </c>
      <c r="O150" s="39">
        <f t="shared" ca="1" si="21"/>
        <v>0.59378894645722025</v>
      </c>
      <c r="P150" s="39">
        <f t="shared" ca="1" si="22"/>
        <v>26.952164870270579</v>
      </c>
      <c r="Q150" s="43">
        <f t="shared" ca="1" si="30"/>
        <v>8.6814540404046454</v>
      </c>
    </row>
    <row r="151" spans="1:17" x14ac:dyDescent="0.25">
      <c r="A151" s="36">
        <v>104</v>
      </c>
      <c r="B151" s="36">
        <f t="shared" ca="1" si="17"/>
        <v>0.58599999999999997</v>
      </c>
      <c r="C151" s="37">
        <f t="shared" si="23"/>
        <v>6</v>
      </c>
      <c r="D151" s="39">
        <f t="shared" ca="1" si="18"/>
        <v>8.9072581567520751E-2</v>
      </c>
      <c r="E151" s="39">
        <f t="shared" ca="1" si="24"/>
        <v>18.359783411433455</v>
      </c>
      <c r="F151" s="36">
        <f t="shared" ca="1" si="25"/>
        <v>37</v>
      </c>
      <c r="G151" s="36">
        <f ca="1">COUNTIF($P$48:P161,"&lt;"&amp;E151)</f>
        <v>66</v>
      </c>
      <c r="H151" s="36">
        <f t="shared" ca="1" si="26"/>
        <v>2</v>
      </c>
      <c r="I151" s="36" t="str">
        <f t="shared" ca="1" si="27"/>
        <v>Ocu</v>
      </c>
      <c r="J151" s="40">
        <f t="shared" ca="1" si="19"/>
        <v>38</v>
      </c>
      <c r="K151" s="41">
        <f t="shared" ca="1" si="16"/>
        <v>8.5923814588371243</v>
      </c>
      <c r="L151" s="42">
        <f t="shared" ca="1" si="28"/>
        <v>26.952164870270579</v>
      </c>
      <c r="M151" s="36">
        <f t="shared" ca="1" si="20"/>
        <v>0.77400000000000002</v>
      </c>
      <c r="N151" s="36">
        <f t="shared" si="29"/>
        <v>4</v>
      </c>
      <c r="O151" s="39">
        <f t="shared" ca="1" si="21"/>
        <v>6.4045851348102478E-2</v>
      </c>
      <c r="P151" s="39">
        <f t="shared" ca="1" si="22"/>
        <v>27.01621072161868</v>
      </c>
      <c r="Q151" s="43">
        <f t="shared" ca="1" si="30"/>
        <v>8.6564273101852258</v>
      </c>
    </row>
    <row r="152" spans="1:17" x14ac:dyDescent="0.25">
      <c r="A152" s="36">
        <v>105</v>
      </c>
      <c r="B152" s="36">
        <f t="shared" ca="1" si="17"/>
        <v>0.40699999999999997</v>
      </c>
      <c r="C152" s="37">
        <f t="shared" si="23"/>
        <v>6</v>
      </c>
      <c r="D152" s="39">
        <f t="shared" ca="1" si="18"/>
        <v>0.14982368225659037</v>
      </c>
      <c r="E152" s="39">
        <f t="shared" ca="1" si="24"/>
        <v>18.509607093690043</v>
      </c>
      <c r="F152" s="36">
        <f t="shared" ca="1" si="25"/>
        <v>36</v>
      </c>
      <c r="G152" s="36">
        <f ca="1">COUNTIF($P$48:P162,"&lt;"&amp;E152)</f>
        <v>68</v>
      </c>
      <c r="H152" s="36">
        <f t="shared" ca="1" si="26"/>
        <v>2</v>
      </c>
      <c r="I152" s="36" t="str">
        <f t="shared" ca="1" si="27"/>
        <v>Ocu</v>
      </c>
      <c r="J152" s="40">
        <f t="shared" ca="1" si="19"/>
        <v>37</v>
      </c>
      <c r="K152" s="41">
        <f t="shared" ca="1" si="16"/>
        <v>8.5066036279286372</v>
      </c>
      <c r="L152" s="42">
        <f t="shared" ca="1" si="28"/>
        <v>27.01621072161868</v>
      </c>
      <c r="M152" s="36">
        <f t="shared" ca="1" si="20"/>
        <v>0.753</v>
      </c>
      <c r="N152" s="36">
        <f t="shared" si="29"/>
        <v>4</v>
      </c>
      <c r="O152" s="39">
        <f t="shared" ca="1" si="21"/>
        <v>7.092251279556086E-2</v>
      </c>
      <c r="P152" s="39">
        <f t="shared" ca="1" si="22"/>
        <v>27.087133234414242</v>
      </c>
      <c r="Q152" s="43">
        <f t="shared" ca="1" si="30"/>
        <v>8.5775261407241992</v>
      </c>
    </row>
    <row r="153" spans="1:17" x14ac:dyDescent="0.25">
      <c r="A153" s="36">
        <v>106</v>
      </c>
      <c r="B153" s="36">
        <f t="shared" ca="1" si="17"/>
        <v>0.624</v>
      </c>
      <c r="C153" s="37">
        <f t="shared" si="23"/>
        <v>6</v>
      </c>
      <c r="D153" s="39">
        <f t="shared" ca="1" si="18"/>
        <v>7.8600818435451567E-2</v>
      </c>
      <c r="E153" s="39">
        <f t="shared" ca="1" si="24"/>
        <v>18.588207912125494</v>
      </c>
      <c r="F153" s="36">
        <f t="shared" ca="1" si="25"/>
        <v>37</v>
      </c>
      <c r="G153" s="36">
        <f ca="1">COUNTIF($P$48:P163,"&lt;"&amp;E153)</f>
        <v>68</v>
      </c>
      <c r="H153" s="36">
        <f t="shared" ca="1" si="26"/>
        <v>0</v>
      </c>
      <c r="I153" s="36" t="str">
        <f t="shared" ca="1" si="27"/>
        <v>Ocu</v>
      </c>
      <c r="J153" s="40">
        <f t="shared" ca="1" si="19"/>
        <v>38</v>
      </c>
      <c r="K153" s="41">
        <f t="shared" ca="1" si="16"/>
        <v>8.4989253222887484</v>
      </c>
      <c r="L153" s="42">
        <f t="shared" ca="1" si="28"/>
        <v>27.087133234414242</v>
      </c>
      <c r="M153" s="36">
        <f t="shared" ca="1" si="20"/>
        <v>0.48799999999999999</v>
      </c>
      <c r="N153" s="36">
        <f t="shared" si="29"/>
        <v>4</v>
      </c>
      <c r="O153" s="39">
        <f t="shared" ca="1" si="21"/>
        <v>0.17935996828224746</v>
      </c>
      <c r="P153" s="39">
        <f t="shared" ca="1" si="22"/>
        <v>27.266493202696491</v>
      </c>
      <c r="Q153" s="43">
        <f t="shared" ca="1" si="30"/>
        <v>8.6782852905709973</v>
      </c>
    </row>
    <row r="154" spans="1:17" x14ac:dyDescent="0.25">
      <c r="A154" s="36">
        <v>107</v>
      </c>
      <c r="B154" s="36">
        <f t="shared" ca="1" si="17"/>
        <v>0.85799999999999998</v>
      </c>
      <c r="C154" s="37">
        <f t="shared" si="23"/>
        <v>6</v>
      </c>
      <c r="D154" s="39">
        <f t="shared" ca="1" si="18"/>
        <v>2.5525196582362467E-2</v>
      </c>
      <c r="E154" s="39">
        <f t="shared" ca="1" si="24"/>
        <v>18.613733108707855</v>
      </c>
      <c r="F154" s="36">
        <f t="shared" ca="1" si="25"/>
        <v>38</v>
      </c>
      <c r="G154" s="36">
        <f ca="1">COUNTIF($P$48:P164,"&lt;"&amp;E154)</f>
        <v>68</v>
      </c>
      <c r="H154" s="36">
        <f t="shared" ca="1" si="26"/>
        <v>0</v>
      </c>
      <c r="I154" s="36" t="str">
        <f t="shared" ca="1" si="27"/>
        <v>Ocu</v>
      </c>
      <c r="J154" s="40">
        <f t="shared" ca="1" si="19"/>
        <v>39</v>
      </c>
      <c r="K154" s="41">
        <f t="shared" ca="1" si="16"/>
        <v>8.6527600939886362</v>
      </c>
      <c r="L154" s="42">
        <f t="shared" ca="1" si="28"/>
        <v>27.266493202696491</v>
      </c>
      <c r="M154" s="36">
        <f t="shared" ca="1" si="20"/>
        <v>0.188</v>
      </c>
      <c r="N154" s="36">
        <f t="shared" si="29"/>
        <v>4</v>
      </c>
      <c r="O154" s="39">
        <f t="shared" ca="1" si="21"/>
        <v>0.41782832903804695</v>
      </c>
      <c r="P154" s="39">
        <f t="shared" ca="1" si="22"/>
        <v>27.68432153173454</v>
      </c>
      <c r="Q154" s="43">
        <f t="shared" ca="1" si="30"/>
        <v>9.0705884230266847</v>
      </c>
    </row>
    <row r="155" spans="1:17" x14ac:dyDescent="0.25">
      <c r="A155" s="36">
        <v>108</v>
      </c>
      <c r="B155" s="36">
        <f t="shared" ca="1" si="17"/>
        <v>0.84799999999999998</v>
      </c>
      <c r="C155" s="37">
        <f t="shared" si="23"/>
        <v>6</v>
      </c>
      <c r="D155" s="39">
        <f t="shared" ca="1" si="18"/>
        <v>2.7479107198372339E-2</v>
      </c>
      <c r="E155" s="39">
        <f t="shared" ca="1" si="24"/>
        <v>18.641212215906226</v>
      </c>
      <c r="F155" s="36">
        <f t="shared" ca="1" si="25"/>
        <v>39</v>
      </c>
      <c r="G155" s="36">
        <f ca="1">COUNTIF($P$48:P165,"&lt;"&amp;E155)</f>
        <v>68</v>
      </c>
      <c r="H155" s="36">
        <f t="shared" ca="1" si="26"/>
        <v>0</v>
      </c>
      <c r="I155" s="36" t="str">
        <f t="shared" ca="1" si="27"/>
        <v>Ocu</v>
      </c>
      <c r="J155" s="40">
        <f t="shared" ca="1" si="19"/>
        <v>40</v>
      </c>
      <c r="K155" s="41">
        <f t="shared" ca="1" si="16"/>
        <v>9.043109315828314</v>
      </c>
      <c r="L155" s="42">
        <f t="shared" ca="1" si="28"/>
        <v>27.68432153173454</v>
      </c>
      <c r="M155" s="36">
        <f t="shared" ca="1" si="20"/>
        <v>0.73</v>
      </c>
      <c r="N155" s="36">
        <f t="shared" si="29"/>
        <v>4</v>
      </c>
      <c r="O155" s="39">
        <f t="shared" ca="1" si="21"/>
        <v>7.8677686209925046E-2</v>
      </c>
      <c r="P155" s="39">
        <f t="shared" ca="1" si="22"/>
        <v>27.762999217944465</v>
      </c>
      <c r="Q155" s="43">
        <f t="shared" ca="1" si="30"/>
        <v>9.1217870020382392</v>
      </c>
    </row>
    <row r="156" spans="1:17" x14ac:dyDescent="0.25">
      <c r="A156" s="36">
        <v>109</v>
      </c>
      <c r="B156" s="36">
        <f t="shared" ca="1" si="17"/>
        <v>3.5000000000000003E-2</v>
      </c>
      <c r="C156" s="37">
        <f t="shared" si="23"/>
        <v>6</v>
      </c>
      <c r="D156" s="39">
        <f t="shared" ca="1" si="18"/>
        <v>0.55873453624878722</v>
      </c>
      <c r="E156" s="39">
        <f t="shared" ca="1" si="24"/>
        <v>19.199946752155014</v>
      </c>
      <c r="F156" s="36">
        <f t="shared" ca="1" si="25"/>
        <v>38</v>
      </c>
      <c r="G156" s="36">
        <f ca="1">COUNTIF($P$48:P166,"&lt;"&amp;E156)</f>
        <v>70</v>
      </c>
      <c r="H156" s="36">
        <f t="shared" ca="1" si="26"/>
        <v>2</v>
      </c>
      <c r="I156" s="36" t="str">
        <f t="shared" ca="1" si="27"/>
        <v>Ocu</v>
      </c>
      <c r="J156" s="40">
        <f t="shared" ca="1" si="19"/>
        <v>39</v>
      </c>
      <c r="K156" s="41">
        <f t="shared" ca="1" si="16"/>
        <v>8.5630524657894505</v>
      </c>
      <c r="L156" s="42">
        <f t="shared" ca="1" si="28"/>
        <v>27.762999217944465</v>
      </c>
      <c r="M156" s="36">
        <f t="shared" ca="1" si="20"/>
        <v>0.45500000000000002</v>
      </c>
      <c r="N156" s="36">
        <f t="shared" si="29"/>
        <v>4</v>
      </c>
      <c r="O156" s="39">
        <f t="shared" ca="1" si="21"/>
        <v>0.19686446500779664</v>
      </c>
      <c r="P156" s="39">
        <f t="shared" ca="1" si="22"/>
        <v>27.95986368295226</v>
      </c>
      <c r="Q156" s="43">
        <f t="shared" ca="1" si="30"/>
        <v>8.759916930797246</v>
      </c>
    </row>
    <row r="157" spans="1:17" x14ac:dyDescent="0.25">
      <c r="A157" s="36">
        <v>110</v>
      </c>
      <c r="B157" s="36">
        <f t="shared" ca="1" si="17"/>
        <v>0.33400000000000002</v>
      </c>
      <c r="C157" s="37">
        <f t="shared" si="23"/>
        <v>6</v>
      </c>
      <c r="D157" s="39">
        <f t="shared" ca="1" si="18"/>
        <v>0.18276904766757274</v>
      </c>
      <c r="E157" s="39">
        <f t="shared" ca="1" si="24"/>
        <v>19.382715799822588</v>
      </c>
      <c r="F157" s="36">
        <f t="shared" ca="1" si="25"/>
        <v>38</v>
      </c>
      <c r="G157" s="36">
        <f ca="1">COUNTIF($P$48:P167,"&lt;"&amp;E157)</f>
        <v>71</v>
      </c>
      <c r="H157" s="36">
        <f t="shared" ca="1" si="26"/>
        <v>1</v>
      </c>
      <c r="I157" s="36" t="str">
        <f t="shared" ca="1" si="27"/>
        <v>Ocu</v>
      </c>
      <c r="J157" s="40">
        <f t="shared" ca="1" si="19"/>
        <v>39</v>
      </c>
      <c r="K157" s="41">
        <f t="shared" ca="1" si="16"/>
        <v>8.5771478831296726</v>
      </c>
      <c r="L157" s="42">
        <f t="shared" ca="1" si="28"/>
        <v>27.95986368295226</v>
      </c>
      <c r="M157" s="36">
        <f t="shared" ca="1" si="20"/>
        <v>0.3</v>
      </c>
      <c r="N157" s="36">
        <f t="shared" si="29"/>
        <v>4</v>
      </c>
      <c r="O157" s="39">
        <f t="shared" ca="1" si="21"/>
        <v>0.30099320108148403</v>
      </c>
      <c r="P157" s="39">
        <f t="shared" ca="1" si="22"/>
        <v>28.260856884033746</v>
      </c>
      <c r="Q157" s="43">
        <f t="shared" ca="1" si="30"/>
        <v>8.8781410842111583</v>
      </c>
    </row>
    <row r="158" spans="1:17" x14ac:dyDescent="0.25">
      <c r="A158" s="36">
        <v>111</v>
      </c>
      <c r="B158" s="36">
        <f t="shared" ca="1" si="17"/>
        <v>0.98399999999999999</v>
      </c>
      <c r="C158" s="37">
        <f t="shared" si="23"/>
        <v>6</v>
      </c>
      <c r="D158" s="39">
        <f t="shared" ca="1" si="18"/>
        <v>2.6882303216472858E-3</v>
      </c>
      <c r="E158" s="39">
        <f t="shared" ca="1" si="24"/>
        <v>19.385404030144237</v>
      </c>
      <c r="F158" s="36">
        <f t="shared" ca="1" si="25"/>
        <v>39</v>
      </c>
      <c r="G158" s="36">
        <f ca="1">COUNTIF($P$48:P168,"&lt;"&amp;E158)</f>
        <v>71</v>
      </c>
      <c r="H158" s="36">
        <f t="shared" ca="1" si="26"/>
        <v>0</v>
      </c>
      <c r="I158" s="36" t="str">
        <f t="shared" ca="1" si="27"/>
        <v>Ocu</v>
      </c>
      <c r="J158" s="40">
        <f t="shared" ca="1" si="19"/>
        <v>40</v>
      </c>
      <c r="K158" s="41">
        <f t="shared" ca="1" si="16"/>
        <v>8.8754528538895094</v>
      </c>
      <c r="L158" s="42">
        <f t="shared" ca="1" si="28"/>
        <v>28.260856884033746</v>
      </c>
      <c r="M158" s="36">
        <f t="shared" ca="1" si="20"/>
        <v>0.48199999999999998</v>
      </c>
      <c r="N158" s="36">
        <f t="shared" si="29"/>
        <v>4</v>
      </c>
      <c r="O158" s="39">
        <f t="shared" ca="1" si="21"/>
        <v>0.18245279123288421</v>
      </c>
      <c r="P158" s="39">
        <f t="shared" ca="1" si="22"/>
        <v>28.443309675266629</v>
      </c>
      <c r="Q158" s="43">
        <f t="shared" ca="1" si="30"/>
        <v>9.0579056451223927</v>
      </c>
    </row>
    <row r="159" spans="1:17" x14ac:dyDescent="0.25">
      <c r="A159" s="36">
        <v>112</v>
      </c>
      <c r="B159" s="36">
        <f t="shared" ca="1" si="17"/>
        <v>0.46700000000000003</v>
      </c>
      <c r="C159" s="37">
        <f t="shared" si="23"/>
        <v>6</v>
      </c>
      <c r="D159" s="39">
        <f t="shared" ca="1" si="18"/>
        <v>0.12690433688553993</v>
      </c>
      <c r="E159" s="39">
        <f t="shared" ca="1" si="24"/>
        <v>19.512308367029778</v>
      </c>
      <c r="F159" s="36">
        <f t="shared" ca="1" si="25"/>
        <v>38</v>
      </c>
      <c r="G159" s="36">
        <f ca="1">COUNTIF($P$48:P169,"&lt;"&amp;E159)</f>
        <v>73</v>
      </c>
      <c r="H159" s="36">
        <f t="shared" ca="1" si="26"/>
        <v>2</v>
      </c>
      <c r="I159" s="36" t="str">
        <f t="shared" ca="1" si="27"/>
        <v>Ocu</v>
      </c>
      <c r="J159" s="40">
        <f t="shared" ca="1" si="19"/>
        <v>39</v>
      </c>
      <c r="K159" s="41">
        <f t="shared" ca="1" si="16"/>
        <v>8.9310013082368513</v>
      </c>
      <c r="L159" s="42">
        <f t="shared" ca="1" si="28"/>
        <v>28.443309675266629</v>
      </c>
      <c r="M159" s="36">
        <f t="shared" ca="1" si="20"/>
        <v>0.11799999999999999</v>
      </c>
      <c r="N159" s="36">
        <f t="shared" si="29"/>
        <v>4</v>
      </c>
      <c r="O159" s="39">
        <f t="shared" ca="1" si="21"/>
        <v>0.53426766362911804</v>
      </c>
      <c r="P159" s="39">
        <f t="shared" ca="1" si="22"/>
        <v>28.977577338895749</v>
      </c>
      <c r="Q159" s="43">
        <f t="shared" ca="1" si="30"/>
        <v>9.4652689718659708</v>
      </c>
    </row>
    <row r="160" spans="1:17" x14ac:dyDescent="0.25">
      <c r="A160" s="36">
        <v>113</v>
      </c>
      <c r="B160" s="36">
        <f t="shared" ca="1" si="17"/>
        <v>0.83899999999999997</v>
      </c>
      <c r="C160" s="37">
        <f t="shared" si="23"/>
        <v>6</v>
      </c>
      <c r="D160" s="39">
        <f t="shared" ca="1" si="18"/>
        <v>2.9257428752488469E-2</v>
      </c>
      <c r="E160" s="39">
        <f t="shared" ca="1" si="24"/>
        <v>19.541565795782265</v>
      </c>
      <c r="F160" s="36">
        <f t="shared" ca="1" si="25"/>
        <v>39</v>
      </c>
      <c r="G160" s="36">
        <f ca="1">COUNTIF($P$48:P170,"&lt;"&amp;E160)</f>
        <v>73</v>
      </c>
      <c r="H160" s="36">
        <f t="shared" ca="1" si="26"/>
        <v>0</v>
      </c>
      <c r="I160" s="36" t="str">
        <f t="shared" ca="1" si="27"/>
        <v>Ocu</v>
      </c>
      <c r="J160" s="40">
        <f t="shared" ca="1" si="19"/>
        <v>40</v>
      </c>
      <c r="K160" s="41">
        <f t="shared" ca="1" si="16"/>
        <v>9.4360115431134837</v>
      </c>
      <c r="L160" s="42">
        <f t="shared" ca="1" si="28"/>
        <v>28.977577338895749</v>
      </c>
      <c r="M160" s="36">
        <f t="shared" ca="1" si="20"/>
        <v>0.91600000000000004</v>
      </c>
      <c r="N160" s="36">
        <f t="shared" si="29"/>
        <v>4</v>
      </c>
      <c r="O160" s="39">
        <f t="shared" ca="1" si="21"/>
        <v>2.1934728577001669E-2</v>
      </c>
      <c r="P160" s="39">
        <f t="shared" ca="1" si="22"/>
        <v>28.99951206747275</v>
      </c>
      <c r="Q160" s="43">
        <f t="shared" ca="1" si="30"/>
        <v>9.457946271690485</v>
      </c>
    </row>
    <row r="161" spans="1:17" x14ac:dyDescent="0.25">
      <c r="A161" s="36">
        <v>114</v>
      </c>
      <c r="B161" s="36">
        <f t="shared" ca="1" si="17"/>
        <v>0.60799999999999998</v>
      </c>
      <c r="C161" s="37">
        <f t="shared" si="23"/>
        <v>6</v>
      </c>
      <c r="D161" s="39">
        <f t="shared" ca="1" si="18"/>
        <v>8.2930066169328354E-2</v>
      </c>
      <c r="E161" s="39">
        <f t="shared" ca="1" si="24"/>
        <v>19.624495861951594</v>
      </c>
      <c r="F161" s="36">
        <f t="shared" ca="1" si="25"/>
        <v>40</v>
      </c>
      <c r="G161" s="36">
        <f ca="1">COUNTIF($P$48:P171,"&lt;"&amp;E161)</f>
        <v>73</v>
      </c>
      <c r="H161" s="36">
        <f t="shared" ca="1" si="26"/>
        <v>0</v>
      </c>
      <c r="I161" s="36" t="str">
        <f t="shared" ca="1" si="27"/>
        <v>Ocu</v>
      </c>
      <c r="J161" s="40">
        <f t="shared" ca="1" si="19"/>
        <v>41</v>
      </c>
      <c r="K161" s="41">
        <f t="shared" ca="1" si="16"/>
        <v>9.3750162055211561</v>
      </c>
      <c r="L161" s="42">
        <f t="shared" ca="1" si="28"/>
        <v>28.99951206747275</v>
      </c>
      <c r="M161" s="36">
        <f t="shared" ca="1" si="20"/>
        <v>0.82699999999999996</v>
      </c>
      <c r="N161" s="36">
        <f t="shared" si="29"/>
        <v>4</v>
      </c>
      <c r="O161" s="39">
        <f t="shared" ca="1" si="21"/>
        <v>4.7487645989611443E-2</v>
      </c>
      <c r="P161" s="39">
        <f t="shared" ca="1" si="22"/>
        <v>29.046999713462363</v>
      </c>
      <c r="Q161" s="43">
        <f t="shared" ca="1" si="30"/>
        <v>9.4225038515107684</v>
      </c>
    </row>
    <row r="162" spans="1:17" x14ac:dyDescent="0.25">
      <c r="A162" s="36">
        <v>115</v>
      </c>
      <c r="B162" s="36">
        <f t="shared" ca="1" si="17"/>
        <v>0.68200000000000005</v>
      </c>
      <c r="C162" s="37">
        <f t="shared" si="23"/>
        <v>6</v>
      </c>
      <c r="D162" s="39">
        <f t="shared" ca="1" si="18"/>
        <v>6.3787603523112468E-2</v>
      </c>
      <c r="E162" s="39">
        <f t="shared" ca="1" si="24"/>
        <v>19.688283465474708</v>
      </c>
      <c r="F162" s="36">
        <f t="shared" ca="1" si="25"/>
        <v>40</v>
      </c>
      <c r="G162" s="36">
        <f ca="1">COUNTIF($P$48:P172,"&lt;"&amp;E162)</f>
        <v>74</v>
      </c>
      <c r="H162" s="36">
        <f t="shared" ca="1" si="26"/>
        <v>1</v>
      </c>
      <c r="I162" s="36" t="str">
        <f t="shared" ca="1" si="27"/>
        <v>Ocu</v>
      </c>
      <c r="J162" s="40">
        <f t="shared" ca="1" si="19"/>
        <v>41</v>
      </c>
      <c r="K162" s="41">
        <f t="shared" ca="1" si="16"/>
        <v>9.3587162479876547</v>
      </c>
      <c r="L162" s="42">
        <f t="shared" ca="1" si="28"/>
        <v>29.046999713462363</v>
      </c>
      <c r="M162" s="36">
        <f t="shared" ca="1" si="20"/>
        <v>0.58899999999999997</v>
      </c>
      <c r="N162" s="36">
        <f t="shared" si="29"/>
        <v>4</v>
      </c>
      <c r="O162" s="39">
        <f t="shared" ca="1" si="21"/>
        <v>0.1323322738326376</v>
      </c>
      <c r="P162" s="39">
        <f t="shared" ca="1" si="22"/>
        <v>29.179331987295001</v>
      </c>
      <c r="Q162" s="43">
        <f t="shared" ca="1" si="30"/>
        <v>9.4910485218202929</v>
      </c>
    </row>
    <row r="163" spans="1:17" x14ac:dyDescent="0.25">
      <c r="A163" s="36">
        <v>116</v>
      </c>
      <c r="B163" s="36">
        <f t="shared" ca="1" si="17"/>
        <v>0.14399999999999999</v>
      </c>
      <c r="C163" s="37">
        <f t="shared" si="23"/>
        <v>6</v>
      </c>
      <c r="D163" s="39">
        <f t="shared" ca="1" si="18"/>
        <v>0.32299032990102272</v>
      </c>
      <c r="E163" s="39">
        <f t="shared" ca="1" si="24"/>
        <v>20.011273795375729</v>
      </c>
      <c r="F163" s="36">
        <f t="shared" ca="1" si="25"/>
        <v>40</v>
      </c>
      <c r="G163" s="36">
        <f ca="1">COUNTIF($P$48:P173,"&lt;"&amp;E163)</f>
        <v>75</v>
      </c>
      <c r="H163" s="36">
        <f t="shared" ca="1" si="26"/>
        <v>1</v>
      </c>
      <c r="I163" s="36" t="str">
        <f t="shared" ca="1" si="27"/>
        <v>Ocu</v>
      </c>
      <c r="J163" s="40">
        <f t="shared" ca="1" si="19"/>
        <v>41</v>
      </c>
      <c r="K163" s="41">
        <f t="shared" ca="1" si="16"/>
        <v>9.1680581919192718</v>
      </c>
      <c r="L163" s="42">
        <f t="shared" ca="1" si="28"/>
        <v>29.179331987295001</v>
      </c>
      <c r="M163" s="36">
        <f t="shared" ca="1" si="20"/>
        <v>0.73899999999999999</v>
      </c>
      <c r="N163" s="36">
        <f t="shared" si="29"/>
        <v>4</v>
      </c>
      <c r="O163" s="39">
        <f t="shared" ca="1" si="21"/>
        <v>7.5614339508483799E-2</v>
      </c>
      <c r="P163" s="39">
        <f t="shared" ca="1" si="22"/>
        <v>29.254946326803484</v>
      </c>
      <c r="Q163" s="43">
        <f t="shared" ca="1" si="30"/>
        <v>9.2436725314277552</v>
      </c>
    </row>
    <row r="164" spans="1:17" x14ac:dyDescent="0.25">
      <c r="A164" s="36">
        <v>117</v>
      </c>
      <c r="B164" s="36">
        <f t="shared" ca="1" si="17"/>
        <v>0.03</v>
      </c>
      <c r="C164" s="37">
        <f t="shared" si="23"/>
        <v>6</v>
      </c>
      <c r="D164" s="39">
        <f t="shared" ca="1" si="18"/>
        <v>0.58442631621999697</v>
      </c>
      <c r="E164" s="39">
        <f t="shared" ca="1" si="24"/>
        <v>20.595700111595725</v>
      </c>
      <c r="F164" s="36">
        <f t="shared" ca="1" si="25"/>
        <v>38</v>
      </c>
      <c r="G164" s="36">
        <f ca="1">COUNTIF($P$48:P174,"&lt;"&amp;E164)</f>
        <v>78</v>
      </c>
      <c r="H164" s="36">
        <f t="shared" ca="1" si="26"/>
        <v>3</v>
      </c>
      <c r="I164" s="36" t="str">
        <f t="shared" ca="1" si="27"/>
        <v>Ocu</v>
      </c>
      <c r="J164" s="40">
        <f t="shared" ca="1" si="19"/>
        <v>39</v>
      </c>
      <c r="K164" s="41">
        <f t="shared" ca="1" si="16"/>
        <v>8.6592462152077587</v>
      </c>
      <c r="L164" s="42">
        <f t="shared" ca="1" si="28"/>
        <v>29.254946326803484</v>
      </c>
      <c r="M164" s="36">
        <f t="shared" ca="1" si="20"/>
        <v>0.96099999999999997</v>
      </c>
      <c r="N164" s="36">
        <f t="shared" si="29"/>
        <v>4</v>
      </c>
      <c r="O164" s="39">
        <f t="shared" ca="1" si="21"/>
        <v>9.9452175029611668E-3</v>
      </c>
      <c r="P164" s="39">
        <f t="shared" ca="1" si="22"/>
        <v>29.264891544306444</v>
      </c>
      <c r="Q164" s="43">
        <f t="shared" ca="1" si="30"/>
        <v>8.6691914327107185</v>
      </c>
    </row>
    <row r="165" spans="1:17" x14ac:dyDescent="0.25">
      <c r="A165" s="36">
        <v>118</v>
      </c>
      <c r="B165" s="36">
        <f t="shared" ca="1" si="17"/>
        <v>0.65700000000000003</v>
      </c>
      <c r="C165" s="37">
        <f t="shared" si="23"/>
        <v>6</v>
      </c>
      <c r="D165" s="39">
        <f t="shared" ca="1" si="18"/>
        <v>7.001187674958774E-2</v>
      </c>
      <c r="E165" s="39">
        <f t="shared" ca="1" si="24"/>
        <v>20.665711988345315</v>
      </c>
      <c r="F165" s="36">
        <f t="shared" ca="1" si="25"/>
        <v>39</v>
      </c>
      <c r="G165" s="36">
        <f ca="1">COUNTIF($P$48:P175,"&lt;"&amp;E165)</f>
        <v>78</v>
      </c>
      <c r="H165" s="36">
        <f t="shared" ca="1" si="26"/>
        <v>0</v>
      </c>
      <c r="I165" s="36" t="str">
        <f t="shared" ca="1" si="27"/>
        <v>Ocu</v>
      </c>
      <c r="J165" s="40">
        <f t="shared" ca="1" si="19"/>
        <v>40</v>
      </c>
      <c r="K165" s="41">
        <f t="shared" ca="1" si="16"/>
        <v>8.599179555961129</v>
      </c>
      <c r="L165" s="42">
        <f t="shared" ca="1" si="28"/>
        <v>29.264891544306444</v>
      </c>
      <c r="M165" s="36">
        <f t="shared" ca="1" si="20"/>
        <v>0.30499999999999999</v>
      </c>
      <c r="N165" s="36">
        <f t="shared" si="29"/>
        <v>4</v>
      </c>
      <c r="O165" s="39">
        <f t="shared" ca="1" si="21"/>
        <v>0.29686087559368135</v>
      </c>
      <c r="P165" s="39">
        <f t="shared" ca="1" si="22"/>
        <v>29.561752419900124</v>
      </c>
      <c r="Q165" s="43">
        <f t="shared" ca="1" si="30"/>
        <v>8.8960404315548089</v>
      </c>
    </row>
    <row r="166" spans="1:17" x14ac:dyDescent="0.25">
      <c r="A166" s="36">
        <v>119</v>
      </c>
      <c r="B166" s="36">
        <f t="shared" ca="1" si="17"/>
        <v>0.21099999999999999</v>
      </c>
      <c r="C166" s="37">
        <f t="shared" si="23"/>
        <v>6</v>
      </c>
      <c r="D166" s="39">
        <f t="shared" ca="1" si="18"/>
        <v>0.25931619091767844</v>
      </c>
      <c r="E166" s="39">
        <f t="shared" ca="1" si="24"/>
        <v>20.925028179262995</v>
      </c>
      <c r="F166" s="36">
        <f t="shared" ca="1" si="25"/>
        <v>38</v>
      </c>
      <c r="G166" s="36">
        <f ca="1">COUNTIF($P$48:P176,"&lt;"&amp;E166)</f>
        <v>80</v>
      </c>
      <c r="H166" s="36">
        <f t="shared" ca="1" si="26"/>
        <v>2</v>
      </c>
      <c r="I166" s="36" t="str">
        <f t="shared" ca="1" si="27"/>
        <v>Ocu</v>
      </c>
      <c r="J166" s="40">
        <f t="shared" ca="1" si="19"/>
        <v>39</v>
      </c>
      <c r="K166" s="41">
        <f t="shared" ca="1" si="16"/>
        <v>8.636724240637129</v>
      </c>
      <c r="L166" s="42">
        <f t="shared" ca="1" si="28"/>
        <v>29.561752419900124</v>
      </c>
      <c r="M166" s="36">
        <f t="shared" ca="1" si="20"/>
        <v>0.96399999999999997</v>
      </c>
      <c r="N166" s="36">
        <f t="shared" si="29"/>
        <v>4</v>
      </c>
      <c r="O166" s="39">
        <f t="shared" ca="1" si="21"/>
        <v>9.1659960928978813E-3</v>
      </c>
      <c r="P166" s="39">
        <f t="shared" ca="1" si="22"/>
        <v>29.57091841599302</v>
      </c>
      <c r="Q166" s="43">
        <f t="shared" ca="1" si="30"/>
        <v>8.6458902367300254</v>
      </c>
    </row>
    <row r="167" spans="1:17" x14ac:dyDescent="0.25">
      <c r="A167" s="36">
        <v>120</v>
      </c>
      <c r="B167" s="36">
        <f t="shared" ca="1" si="17"/>
        <v>0.215</v>
      </c>
      <c r="C167" s="37">
        <f t="shared" si="23"/>
        <v>6</v>
      </c>
      <c r="D167" s="39">
        <f t="shared" ca="1" si="18"/>
        <v>0.25618620847574569</v>
      </c>
      <c r="E167" s="39">
        <f t="shared" ca="1" si="24"/>
        <v>21.181214387738741</v>
      </c>
      <c r="F167" s="36">
        <f t="shared" ca="1" si="25"/>
        <v>36</v>
      </c>
      <c r="G167" s="36">
        <f ca="1">COUNTIF($P$48:P177,"&lt;"&amp;E167)</f>
        <v>83</v>
      </c>
      <c r="H167" s="36">
        <f t="shared" ca="1" si="26"/>
        <v>3</v>
      </c>
      <c r="I167" s="36" t="str">
        <f t="shared" ca="1" si="27"/>
        <v>Ocu</v>
      </c>
      <c r="J167" s="40">
        <f t="shared" ca="1" si="19"/>
        <v>37</v>
      </c>
      <c r="K167" s="41">
        <f t="shared" ca="1" si="16"/>
        <v>8.389704028254279</v>
      </c>
      <c r="L167" s="42">
        <f t="shared" ca="1" si="28"/>
        <v>29.57091841599302</v>
      </c>
      <c r="M167" s="36">
        <f t="shared" ca="1" si="20"/>
        <v>0.28299999999999997</v>
      </c>
      <c r="N167" s="36">
        <f t="shared" si="29"/>
        <v>4</v>
      </c>
      <c r="O167" s="39">
        <f t="shared" ca="1" si="21"/>
        <v>0.31557709533472489</v>
      </c>
      <c r="P167" s="39">
        <f t="shared" ca="1" si="22"/>
        <v>29.886495511327745</v>
      </c>
      <c r="Q167" s="43">
        <f t="shared" ca="1" si="30"/>
        <v>8.7052811235890033</v>
      </c>
    </row>
    <row r="168" spans="1:17" x14ac:dyDescent="0.25">
      <c r="A168" s="36">
        <v>121</v>
      </c>
      <c r="B168" s="36">
        <f t="shared" ca="1" si="17"/>
        <v>0.46100000000000002</v>
      </c>
      <c r="C168" s="37">
        <f t="shared" si="23"/>
        <v>6</v>
      </c>
      <c r="D168" s="39">
        <f t="shared" ca="1" si="18"/>
        <v>0.12905953933091474</v>
      </c>
      <c r="E168" s="39">
        <f t="shared" ca="1" si="24"/>
        <v>21.310273927069655</v>
      </c>
      <c r="F168" s="36">
        <f t="shared" ca="1" si="25"/>
        <v>36</v>
      </c>
      <c r="G168" s="36">
        <f ca="1">COUNTIF($P$48:P178,"&lt;"&amp;E168)</f>
        <v>84</v>
      </c>
      <c r="H168" s="36">
        <f t="shared" ca="1" si="26"/>
        <v>1</v>
      </c>
      <c r="I168" s="36" t="str">
        <f t="shared" ca="1" si="27"/>
        <v>Ocu</v>
      </c>
      <c r="J168" s="40">
        <f t="shared" ca="1" si="19"/>
        <v>37</v>
      </c>
      <c r="K168" s="41">
        <f t="shared" ca="1" si="16"/>
        <v>8.5762215842580893</v>
      </c>
      <c r="L168" s="42">
        <f t="shared" ca="1" si="28"/>
        <v>29.886495511327745</v>
      </c>
      <c r="M168" s="36">
        <f t="shared" ca="1" si="20"/>
        <v>3.2000000000000001E-2</v>
      </c>
      <c r="N168" s="36">
        <f t="shared" si="29"/>
        <v>4</v>
      </c>
      <c r="O168" s="39">
        <f t="shared" ca="1" si="21"/>
        <v>0.86050484404560268</v>
      </c>
      <c r="P168" s="39">
        <f t="shared" ca="1" si="22"/>
        <v>30.747000355373348</v>
      </c>
      <c r="Q168" s="43">
        <f t="shared" ca="1" si="30"/>
        <v>9.4367264283036931</v>
      </c>
    </row>
    <row r="169" spans="1:17" x14ac:dyDescent="0.25">
      <c r="A169" s="36">
        <v>122</v>
      </c>
      <c r="B169" s="36">
        <f t="shared" ca="1" si="17"/>
        <v>0.98499999999999999</v>
      </c>
      <c r="C169" s="37">
        <f t="shared" si="23"/>
        <v>6</v>
      </c>
      <c r="D169" s="39">
        <f t="shared" ca="1" si="18"/>
        <v>2.5189396350080175E-3</v>
      </c>
      <c r="E169" s="39">
        <f t="shared" ca="1" si="24"/>
        <v>21.312792866704662</v>
      </c>
      <c r="F169" s="36">
        <f t="shared" ca="1" si="25"/>
        <v>37</v>
      </c>
      <c r="G169" s="36">
        <f ca="1">COUNTIF($P$48:P179,"&lt;"&amp;E169)</f>
        <v>84</v>
      </c>
      <c r="H169" s="36">
        <f t="shared" ca="1" si="26"/>
        <v>0</v>
      </c>
      <c r="I169" s="36" t="str">
        <f t="shared" ca="1" si="27"/>
        <v>Ocu</v>
      </c>
      <c r="J169" s="40">
        <f t="shared" ca="1" si="19"/>
        <v>38</v>
      </c>
      <c r="K169" s="41">
        <f t="shared" ca="1" si="16"/>
        <v>9.4342074886686866</v>
      </c>
      <c r="L169" s="42">
        <f t="shared" ca="1" si="28"/>
        <v>30.747000355373348</v>
      </c>
      <c r="M169" s="36">
        <f t="shared" ca="1" si="20"/>
        <v>0.99099999999999999</v>
      </c>
      <c r="N169" s="36">
        <f t="shared" si="29"/>
        <v>4</v>
      </c>
      <c r="O169" s="39">
        <f t="shared" ca="1" si="21"/>
        <v>2.260186163037256E-3</v>
      </c>
      <c r="P169" s="39">
        <f t="shared" ca="1" si="22"/>
        <v>30.749260541536387</v>
      </c>
      <c r="Q169" s="43">
        <f t="shared" ca="1" si="30"/>
        <v>9.4364676748317251</v>
      </c>
    </row>
    <row r="170" spans="1:17" x14ac:dyDescent="0.25">
      <c r="A170" s="36">
        <v>123</v>
      </c>
      <c r="B170" s="36">
        <f t="shared" ca="1" si="17"/>
        <v>0.309</v>
      </c>
      <c r="C170" s="37">
        <f t="shared" si="23"/>
        <v>6</v>
      </c>
      <c r="D170" s="39">
        <f t="shared" ca="1" si="18"/>
        <v>0.19573566701406525</v>
      </c>
      <c r="E170" s="39">
        <f t="shared" ca="1" si="24"/>
        <v>21.508528533718728</v>
      </c>
      <c r="F170" s="36">
        <f t="shared" ca="1" si="25"/>
        <v>38</v>
      </c>
      <c r="G170" s="36">
        <f ca="1">COUNTIF($P$48:P180,"&lt;"&amp;E170)</f>
        <v>84</v>
      </c>
      <c r="H170" s="36">
        <f t="shared" ca="1" si="26"/>
        <v>0</v>
      </c>
      <c r="I170" s="36" t="str">
        <f t="shared" ca="1" si="27"/>
        <v>Ocu</v>
      </c>
      <c r="J170" s="40">
        <f t="shared" ca="1" si="19"/>
        <v>39</v>
      </c>
      <c r="K170" s="41">
        <f t="shared" ca="1" si="16"/>
        <v>9.2407320078176589</v>
      </c>
      <c r="L170" s="42">
        <f t="shared" ca="1" si="28"/>
        <v>30.749260541536387</v>
      </c>
      <c r="M170" s="36">
        <f t="shared" ca="1" si="20"/>
        <v>0.875</v>
      </c>
      <c r="N170" s="36">
        <f t="shared" si="29"/>
        <v>4</v>
      </c>
      <c r="O170" s="39">
        <f t="shared" ca="1" si="21"/>
        <v>3.3382848156130643E-2</v>
      </c>
      <c r="P170" s="39">
        <f t="shared" ca="1" si="22"/>
        <v>30.782643389692517</v>
      </c>
      <c r="Q170" s="43">
        <f t="shared" ca="1" si="30"/>
        <v>9.2741148559737887</v>
      </c>
    </row>
    <row r="171" spans="1:17" x14ac:dyDescent="0.25">
      <c r="A171" s="36">
        <v>124</v>
      </c>
      <c r="B171" s="36">
        <f t="shared" ca="1" si="17"/>
        <v>1E-3</v>
      </c>
      <c r="C171" s="37">
        <f t="shared" si="23"/>
        <v>6</v>
      </c>
      <c r="D171" s="39">
        <f t="shared" ca="1" si="18"/>
        <v>1.1512925464970227</v>
      </c>
      <c r="E171" s="39">
        <f t="shared" ca="1" si="24"/>
        <v>22.65982108021575</v>
      </c>
      <c r="F171" s="36">
        <f t="shared" ca="1" si="25"/>
        <v>37</v>
      </c>
      <c r="G171" s="36">
        <f ca="1">COUNTIF($P$48:P181,"&lt;"&amp;E171)</f>
        <v>86</v>
      </c>
      <c r="H171" s="36">
        <f t="shared" ca="1" si="26"/>
        <v>2</v>
      </c>
      <c r="I171" s="36" t="str">
        <f t="shared" ca="1" si="27"/>
        <v>Ocu</v>
      </c>
      <c r="J171" s="40">
        <f t="shared" ca="1" si="19"/>
        <v>38</v>
      </c>
      <c r="K171" s="41">
        <f t="shared" ca="1" si="16"/>
        <v>8.1228223094767671</v>
      </c>
      <c r="L171" s="42">
        <f t="shared" ca="1" si="28"/>
        <v>30.782643389692517</v>
      </c>
      <c r="M171" s="36">
        <f t="shared" ca="1" si="20"/>
        <v>0.31</v>
      </c>
      <c r="N171" s="36">
        <f t="shared" si="29"/>
        <v>4</v>
      </c>
      <c r="O171" s="39">
        <f t="shared" ca="1" si="21"/>
        <v>0.29279574537573633</v>
      </c>
      <c r="P171" s="39">
        <f t="shared" ca="1" si="22"/>
        <v>31.075439135068255</v>
      </c>
      <c r="Q171" s="43">
        <f t="shared" ca="1" si="30"/>
        <v>8.415618054852505</v>
      </c>
    </row>
    <row r="172" spans="1:17" x14ac:dyDescent="0.25">
      <c r="A172" s="36">
        <v>125</v>
      </c>
      <c r="B172" s="36">
        <f t="shared" ca="1" si="17"/>
        <v>0.48199999999999998</v>
      </c>
      <c r="C172" s="37">
        <f t="shared" si="23"/>
        <v>6</v>
      </c>
      <c r="D172" s="39">
        <f t="shared" ca="1" si="18"/>
        <v>0.12163519415525614</v>
      </c>
      <c r="E172" s="39">
        <f t="shared" ca="1" si="24"/>
        <v>22.781456274371006</v>
      </c>
      <c r="F172" s="36">
        <f t="shared" ca="1" si="25"/>
        <v>38</v>
      </c>
      <c r="G172" s="36">
        <f ca="1">COUNTIF($P$48:P182,"&lt;"&amp;E172)</f>
        <v>86</v>
      </c>
      <c r="H172" s="36">
        <f t="shared" ca="1" si="26"/>
        <v>0</v>
      </c>
      <c r="I172" s="36" t="str">
        <f t="shared" ca="1" si="27"/>
        <v>Ocu</v>
      </c>
      <c r="J172" s="40">
        <f t="shared" ca="1" si="19"/>
        <v>39</v>
      </c>
      <c r="K172" s="41">
        <f t="shared" ca="1" si="16"/>
        <v>8.2939828606972483</v>
      </c>
      <c r="L172" s="42">
        <f t="shared" ca="1" si="28"/>
        <v>31.075439135068255</v>
      </c>
      <c r="M172" s="36">
        <f t="shared" ca="1" si="20"/>
        <v>0.96099999999999997</v>
      </c>
      <c r="N172" s="36">
        <f t="shared" si="29"/>
        <v>4</v>
      </c>
      <c r="O172" s="39">
        <f t="shared" ca="1" si="21"/>
        <v>9.9452175029611668E-3</v>
      </c>
      <c r="P172" s="39">
        <f t="shared" ca="1" si="22"/>
        <v>31.085384352571214</v>
      </c>
      <c r="Q172" s="43">
        <f t="shared" ca="1" si="30"/>
        <v>8.3039280782002081</v>
      </c>
    </row>
    <row r="173" spans="1:17" x14ac:dyDescent="0.25">
      <c r="A173" s="36">
        <v>126</v>
      </c>
      <c r="B173" s="36">
        <f t="shared" ca="1" si="17"/>
        <v>0.73799999999999999</v>
      </c>
      <c r="C173" s="37">
        <f t="shared" si="23"/>
        <v>6</v>
      </c>
      <c r="D173" s="39">
        <f t="shared" ca="1" si="18"/>
        <v>5.0635242396944093E-2</v>
      </c>
      <c r="E173" s="39">
        <f t="shared" ca="1" si="24"/>
        <v>22.832091516767949</v>
      </c>
      <c r="F173" s="36">
        <f t="shared" ca="1" si="25"/>
        <v>39</v>
      </c>
      <c r="G173" s="36">
        <f ca="1">COUNTIF($P$48:P183,"&lt;"&amp;E173)</f>
        <v>86</v>
      </c>
      <c r="H173" s="36">
        <f t="shared" ca="1" si="26"/>
        <v>0</v>
      </c>
      <c r="I173" s="36" t="str">
        <f t="shared" ca="1" si="27"/>
        <v>Ocu</v>
      </c>
      <c r="J173" s="40">
        <f t="shared" ca="1" si="19"/>
        <v>40</v>
      </c>
      <c r="K173" s="41">
        <f t="shared" ca="1" si="16"/>
        <v>8.2532928358032649</v>
      </c>
      <c r="L173" s="42">
        <f t="shared" ca="1" si="28"/>
        <v>31.085384352571214</v>
      </c>
      <c r="M173" s="36">
        <f t="shared" ca="1" si="20"/>
        <v>0.20599999999999999</v>
      </c>
      <c r="N173" s="36">
        <f t="shared" si="29"/>
        <v>4</v>
      </c>
      <c r="O173" s="39">
        <f t="shared" ca="1" si="21"/>
        <v>0.394969777548139</v>
      </c>
      <c r="P173" s="39">
        <f t="shared" ca="1" si="22"/>
        <v>31.480354130119352</v>
      </c>
      <c r="Q173" s="43">
        <f t="shared" ca="1" si="30"/>
        <v>8.6482626133514025</v>
      </c>
    </row>
    <row r="174" spans="1:17" x14ac:dyDescent="0.25">
      <c r="A174" s="36">
        <v>127</v>
      </c>
      <c r="B174" s="36">
        <f t="shared" ca="1" si="17"/>
        <v>0.56100000000000005</v>
      </c>
      <c r="C174" s="37">
        <f t="shared" si="23"/>
        <v>6</v>
      </c>
      <c r="D174" s="39">
        <f t="shared" ca="1" si="18"/>
        <v>9.6339062243240084E-2</v>
      </c>
      <c r="E174" s="39">
        <f t="shared" ca="1" si="24"/>
        <v>22.928430579011188</v>
      </c>
      <c r="F174" s="36">
        <f t="shared" ca="1" si="25"/>
        <v>40</v>
      </c>
      <c r="G174" s="36">
        <f ca="1">COUNTIF($P$48:P184,"&lt;"&amp;E174)</f>
        <v>86</v>
      </c>
      <c r="H174" s="36">
        <f t="shared" ca="1" si="26"/>
        <v>0</v>
      </c>
      <c r="I174" s="36" t="str">
        <f t="shared" ca="1" si="27"/>
        <v>Ocu</v>
      </c>
      <c r="J174" s="40">
        <f t="shared" ca="1" si="19"/>
        <v>41</v>
      </c>
      <c r="K174" s="41">
        <f t="shared" ca="1" si="16"/>
        <v>8.5519235511081639</v>
      </c>
      <c r="L174" s="42">
        <f t="shared" ca="1" si="28"/>
        <v>31.480354130119352</v>
      </c>
      <c r="M174" s="36">
        <f t="shared" ca="1" si="20"/>
        <v>0.93899999999999995</v>
      </c>
      <c r="N174" s="36">
        <f t="shared" si="29"/>
        <v>4</v>
      </c>
      <c r="O174" s="39">
        <f t="shared" ca="1" si="21"/>
        <v>1.5734949943468534E-2</v>
      </c>
      <c r="P174" s="39">
        <f t="shared" ca="1" si="22"/>
        <v>31.49608908006282</v>
      </c>
      <c r="Q174" s="43">
        <f t="shared" ca="1" si="30"/>
        <v>8.567658501051632</v>
      </c>
    </row>
    <row r="175" spans="1:17" x14ac:dyDescent="0.25">
      <c r="A175" s="36">
        <v>128</v>
      </c>
      <c r="B175" s="36">
        <f t="shared" ca="1" si="17"/>
        <v>0.30199999999999999</v>
      </c>
      <c r="C175" s="37">
        <f t="shared" si="23"/>
        <v>6</v>
      </c>
      <c r="D175" s="39">
        <f t="shared" ca="1" si="18"/>
        <v>0.19955471026787788</v>
      </c>
      <c r="E175" s="39">
        <f t="shared" ca="1" si="24"/>
        <v>23.127985289279067</v>
      </c>
      <c r="F175" s="36">
        <f t="shared" ca="1" si="25"/>
        <v>41</v>
      </c>
      <c r="G175" s="36">
        <f ca="1">COUNTIF($P$48:P185,"&lt;"&amp;E175)</f>
        <v>86</v>
      </c>
      <c r="H175" s="36">
        <f t="shared" ca="1" si="26"/>
        <v>0</v>
      </c>
      <c r="I175" s="36" t="str">
        <f t="shared" ca="1" si="27"/>
        <v>Ocu</v>
      </c>
      <c r="J175" s="40">
        <f t="shared" ca="1" si="19"/>
        <v>42</v>
      </c>
      <c r="K175" s="41">
        <f t="shared" ca="1" si="16"/>
        <v>8.3681037907837528</v>
      </c>
      <c r="L175" s="42">
        <f t="shared" ca="1" si="28"/>
        <v>31.49608908006282</v>
      </c>
      <c r="M175" s="36">
        <f t="shared" ca="1" si="20"/>
        <v>0.28399999999999997</v>
      </c>
      <c r="N175" s="36">
        <f t="shared" si="29"/>
        <v>4</v>
      </c>
      <c r="O175" s="39">
        <f t="shared" ca="1" si="21"/>
        <v>0.31469526020523275</v>
      </c>
      <c r="P175" s="39">
        <f t="shared" ca="1" si="22"/>
        <v>31.810784340268054</v>
      </c>
      <c r="Q175" s="43">
        <f t="shared" ca="1" si="30"/>
        <v>8.6827990509889865</v>
      </c>
    </row>
    <row r="176" spans="1:17" x14ac:dyDescent="0.25">
      <c r="A176" s="36">
        <v>129</v>
      </c>
      <c r="B176" s="36">
        <f t="shared" ca="1" si="17"/>
        <v>0.58199999999999996</v>
      </c>
      <c r="C176" s="37">
        <f t="shared" si="23"/>
        <v>6</v>
      </c>
      <c r="D176" s="39">
        <f t="shared" ca="1" si="18"/>
        <v>9.0214138541783201E-2</v>
      </c>
      <c r="E176" s="39">
        <f t="shared" ca="1" si="24"/>
        <v>23.218199427820849</v>
      </c>
      <c r="F176" s="36">
        <f t="shared" ca="1" si="25"/>
        <v>41</v>
      </c>
      <c r="G176" s="36">
        <f ca="1">COUNTIF($P$48:P186,"&lt;"&amp;E176)</f>
        <v>87</v>
      </c>
      <c r="H176" s="36">
        <f t="shared" ca="1" si="26"/>
        <v>1</v>
      </c>
      <c r="I176" s="36" t="str">
        <f t="shared" ca="1" si="27"/>
        <v>Ocu</v>
      </c>
      <c r="J176" s="40">
        <f t="shared" ca="1" si="19"/>
        <v>42</v>
      </c>
      <c r="K176" s="41">
        <f t="shared" ref="K176:K239" ca="1" si="31">L176-E176</f>
        <v>8.5925849124472045</v>
      </c>
      <c r="L176" s="42">
        <f t="shared" ca="1" si="28"/>
        <v>31.810784340268054</v>
      </c>
      <c r="M176" s="36">
        <f t="shared" ca="1" si="20"/>
        <v>0.71099999999999997</v>
      </c>
      <c r="N176" s="36">
        <f t="shared" si="29"/>
        <v>4</v>
      </c>
      <c r="O176" s="39">
        <f t="shared" ca="1" si="21"/>
        <v>8.5270712294724049E-2</v>
      </c>
      <c r="P176" s="39">
        <f t="shared" ca="1" si="22"/>
        <v>31.89605505256278</v>
      </c>
      <c r="Q176" s="43">
        <f t="shared" ca="1" si="30"/>
        <v>8.6778556247419303</v>
      </c>
    </row>
    <row r="177" spans="1:17" x14ac:dyDescent="0.25">
      <c r="A177" s="36">
        <v>130</v>
      </c>
      <c r="B177" s="36">
        <f t="shared" ref="B177:B240" ca="1" si="32">RANDBETWEEN(1,1000)/1000</f>
        <v>0.3</v>
      </c>
      <c r="C177" s="37">
        <f t="shared" si="23"/>
        <v>6</v>
      </c>
      <c r="D177" s="39">
        <f t="shared" ref="D177:D240" ca="1" si="33">(1/C177)*(LN(1/B177))</f>
        <v>0.20066213405432268</v>
      </c>
      <c r="E177" s="39">
        <f t="shared" ca="1" si="24"/>
        <v>23.418861561875172</v>
      </c>
      <c r="F177" s="36">
        <f t="shared" ca="1" si="25"/>
        <v>40</v>
      </c>
      <c r="G177" s="36">
        <f ca="1">COUNTIF($P$48:P187,"&lt;"&amp;E177)</f>
        <v>89</v>
      </c>
      <c r="H177" s="36">
        <f t="shared" ca="1" si="26"/>
        <v>2</v>
      </c>
      <c r="I177" s="36" t="str">
        <f t="shared" ca="1" si="27"/>
        <v>Ocu</v>
      </c>
      <c r="J177" s="40">
        <f t="shared" ref="J177:J240" ca="1" si="34">IF(I177="Des",1,IF(I177="Ocu",1+F177))</f>
        <v>41</v>
      </c>
      <c r="K177" s="41">
        <f t="shared" ca="1" si="31"/>
        <v>8.4771934906876076</v>
      </c>
      <c r="L177" s="42">
        <f t="shared" ca="1" si="28"/>
        <v>31.89605505256278</v>
      </c>
      <c r="M177" s="36">
        <f t="shared" ref="M177:M240" ca="1" si="35">RANDBETWEEN(1,1000)/1000</f>
        <v>0.98399999999999999</v>
      </c>
      <c r="N177" s="36">
        <f t="shared" si="29"/>
        <v>4</v>
      </c>
      <c r="O177" s="39">
        <f t="shared" ref="O177:O240" ca="1" si="36">(1/N177)*(LN(1/M177))</f>
        <v>4.0323454824709292E-3</v>
      </c>
      <c r="P177" s="39">
        <f t="shared" ref="P177:P240" ca="1" si="37">+L177+O177</f>
        <v>31.900087398045251</v>
      </c>
      <c r="Q177" s="43">
        <f t="shared" ca="1" si="30"/>
        <v>8.4812258361700792</v>
      </c>
    </row>
    <row r="178" spans="1:17" x14ac:dyDescent="0.25">
      <c r="A178" s="36">
        <v>131</v>
      </c>
      <c r="B178" s="36">
        <f t="shared" ca="1" si="32"/>
        <v>0.83799999999999997</v>
      </c>
      <c r="C178" s="37">
        <f t="shared" ref="C178:C241" si="38">+C177</f>
        <v>6</v>
      </c>
      <c r="D178" s="39">
        <f t="shared" ca="1" si="33"/>
        <v>2.9456196416675687E-2</v>
      </c>
      <c r="E178" s="39">
        <f t="shared" ref="E178:E241" ca="1" si="39">+D178+E177</f>
        <v>23.448317758291847</v>
      </c>
      <c r="F178" s="36">
        <f t="shared" ref="F178:F241" ca="1" si="40">+F177+1-(G178-G177)</f>
        <v>41</v>
      </c>
      <c r="G178" s="36">
        <f ca="1">COUNTIF($P$48:P188,"&lt;"&amp;E178)</f>
        <v>89</v>
      </c>
      <c r="H178" s="36">
        <f t="shared" ref="H178:H241" ca="1" si="41">+G178-G177</f>
        <v>0</v>
      </c>
      <c r="I178" s="36" t="str">
        <f t="shared" ref="I178:I241" ca="1" si="42">IF(E178&lt;P177,"Ocu","Des")</f>
        <v>Ocu</v>
      </c>
      <c r="J178" s="40">
        <f t="shared" ca="1" si="34"/>
        <v>42</v>
      </c>
      <c r="K178" s="41">
        <f t="shared" ca="1" si="31"/>
        <v>8.4517696397534046</v>
      </c>
      <c r="L178" s="42">
        <f t="shared" ref="L178:L241" ca="1" si="43">IF(I178="Des",E178,P177)</f>
        <v>31.900087398045251</v>
      </c>
      <c r="M178" s="36">
        <f t="shared" ca="1" si="35"/>
        <v>0.81200000000000006</v>
      </c>
      <c r="N178" s="36">
        <f t="shared" ref="N178:N241" si="44">+N177</f>
        <v>4</v>
      </c>
      <c r="O178" s="39">
        <f t="shared" ca="1" si="36"/>
        <v>5.2063734705114738E-2</v>
      </c>
      <c r="P178" s="39">
        <f t="shared" ca="1" si="37"/>
        <v>31.952151132750366</v>
      </c>
      <c r="Q178" s="43">
        <f t="shared" ca="1" si="30"/>
        <v>8.5038333744585195</v>
      </c>
    </row>
    <row r="179" spans="1:17" x14ac:dyDescent="0.25">
      <c r="A179" s="36">
        <v>132</v>
      </c>
      <c r="B179" s="36">
        <f t="shared" ca="1" si="32"/>
        <v>0.23300000000000001</v>
      </c>
      <c r="C179" s="37">
        <f t="shared" si="38"/>
        <v>6</v>
      </c>
      <c r="D179" s="39">
        <f t="shared" ca="1" si="33"/>
        <v>0.24278613756940606</v>
      </c>
      <c r="E179" s="39">
        <f t="shared" ca="1" si="39"/>
        <v>23.691103895861254</v>
      </c>
      <c r="F179" s="36">
        <f t="shared" ca="1" si="40"/>
        <v>41</v>
      </c>
      <c r="G179" s="36">
        <f ca="1">COUNTIF($P$48:P189,"&lt;"&amp;E179)</f>
        <v>90</v>
      </c>
      <c r="H179" s="36">
        <f t="shared" ca="1" si="41"/>
        <v>1</v>
      </c>
      <c r="I179" s="36" t="str">
        <f t="shared" ca="1" si="42"/>
        <v>Ocu</v>
      </c>
      <c r="J179" s="40">
        <f t="shared" ca="1" si="34"/>
        <v>42</v>
      </c>
      <c r="K179" s="41">
        <f t="shared" ca="1" si="31"/>
        <v>8.2610472368891124</v>
      </c>
      <c r="L179" s="42">
        <f t="shared" ca="1" si="43"/>
        <v>31.952151132750366</v>
      </c>
      <c r="M179" s="36">
        <f t="shared" ca="1" si="35"/>
        <v>0.75700000000000001</v>
      </c>
      <c r="N179" s="36">
        <f t="shared" si="44"/>
        <v>4</v>
      </c>
      <c r="O179" s="39">
        <f t="shared" ca="1" si="36"/>
        <v>6.959800638617207E-2</v>
      </c>
      <c r="P179" s="39">
        <f t="shared" ca="1" si="37"/>
        <v>32.021749139136539</v>
      </c>
      <c r="Q179" s="43">
        <f t="shared" ref="Q179:Q242" ca="1" si="45">P179-E179</f>
        <v>8.3306452432752849</v>
      </c>
    </row>
    <row r="180" spans="1:17" x14ac:dyDescent="0.25">
      <c r="A180" s="36">
        <v>133</v>
      </c>
      <c r="B180" s="36">
        <f t="shared" ca="1" si="32"/>
        <v>0.85099999999999998</v>
      </c>
      <c r="C180" s="37">
        <f t="shared" si="38"/>
        <v>6</v>
      </c>
      <c r="D180" s="39">
        <f t="shared" ca="1" si="33"/>
        <v>2.6890525068127145E-2</v>
      </c>
      <c r="E180" s="39">
        <f t="shared" ca="1" si="39"/>
        <v>23.717994420929379</v>
      </c>
      <c r="F180" s="36">
        <f t="shared" ca="1" si="40"/>
        <v>42</v>
      </c>
      <c r="G180" s="36">
        <f ca="1">COUNTIF($P$48:P190,"&lt;"&amp;E180)</f>
        <v>90</v>
      </c>
      <c r="H180" s="36">
        <f t="shared" ca="1" si="41"/>
        <v>0</v>
      </c>
      <c r="I180" s="36" t="str">
        <f t="shared" ca="1" si="42"/>
        <v>Ocu</v>
      </c>
      <c r="J180" s="40">
        <f t="shared" ca="1" si="34"/>
        <v>43</v>
      </c>
      <c r="K180" s="41">
        <f t="shared" ca="1" si="31"/>
        <v>8.3037547182071592</v>
      </c>
      <c r="L180" s="42">
        <f t="shared" ca="1" si="43"/>
        <v>32.021749139136539</v>
      </c>
      <c r="M180" s="36">
        <f t="shared" ca="1" si="35"/>
        <v>0.53500000000000003</v>
      </c>
      <c r="N180" s="36">
        <f t="shared" si="44"/>
        <v>4</v>
      </c>
      <c r="O180" s="39">
        <f t="shared" ca="1" si="36"/>
        <v>0.15637213302153263</v>
      </c>
      <c r="P180" s="39">
        <f t="shared" ca="1" si="37"/>
        <v>32.178121272158073</v>
      </c>
      <c r="Q180" s="43">
        <f t="shared" ca="1" si="45"/>
        <v>8.4601268512286936</v>
      </c>
    </row>
    <row r="181" spans="1:17" x14ac:dyDescent="0.25">
      <c r="A181" s="36">
        <v>134</v>
      </c>
      <c r="B181" s="36">
        <f t="shared" ca="1" si="32"/>
        <v>0.70899999999999996</v>
      </c>
      <c r="C181" s="37">
        <f t="shared" si="38"/>
        <v>6</v>
      </c>
      <c r="D181" s="39">
        <f t="shared" ca="1" si="33"/>
        <v>5.7316625408334931E-2</v>
      </c>
      <c r="E181" s="39">
        <f t="shared" ca="1" si="39"/>
        <v>23.775311046337713</v>
      </c>
      <c r="F181" s="36">
        <f t="shared" ca="1" si="40"/>
        <v>43</v>
      </c>
      <c r="G181" s="36">
        <f ca="1">COUNTIF($P$48:P191,"&lt;"&amp;E181)</f>
        <v>90</v>
      </c>
      <c r="H181" s="36">
        <f t="shared" ca="1" si="41"/>
        <v>0</v>
      </c>
      <c r="I181" s="36" t="str">
        <f t="shared" ca="1" si="42"/>
        <v>Ocu</v>
      </c>
      <c r="J181" s="40">
        <f t="shared" ca="1" si="34"/>
        <v>44</v>
      </c>
      <c r="K181" s="41">
        <f t="shared" ca="1" si="31"/>
        <v>8.4028102258203603</v>
      </c>
      <c r="L181" s="42">
        <f t="shared" ca="1" si="43"/>
        <v>32.178121272158073</v>
      </c>
      <c r="M181" s="36">
        <f t="shared" ca="1" si="35"/>
        <v>0.60499999999999998</v>
      </c>
      <c r="N181" s="36">
        <f t="shared" si="44"/>
        <v>4</v>
      </c>
      <c r="O181" s="39">
        <f t="shared" ca="1" si="36"/>
        <v>0.12563170523782391</v>
      </c>
      <c r="P181" s="39">
        <f t="shared" ca="1" si="37"/>
        <v>32.303752977395895</v>
      </c>
      <c r="Q181" s="43">
        <f t="shared" ca="1" si="45"/>
        <v>8.5284419310581825</v>
      </c>
    </row>
    <row r="182" spans="1:17" x14ac:dyDescent="0.25">
      <c r="A182" s="36">
        <v>135</v>
      </c>
      <c r="B182" s="36">
        <f t="shared" ca="1" si="32"/>
        <v>0.32700000000000001</v>
      </c>
      <c r="C182" s="37">
        <f t="shared" si="38"/>
        <v>6</v>
      </c>
      <c r="D182" s="39">
        <f t="shared" ca="1" si="33"/>
        <v>0.18629918468081391</v>
      </c>
      <c r="E182" s="39">
        <f t="shared" ca="1" si="39"/>
        <v>23.961610231018525</v>
      </c>
      <c r="F182" s="36">
        <f t="shared" ca="1" si="40"/>
        <v>42</v>
      </c>
      <c r="G182" s="36">
        <f ca="1">COUNTIF($P$48:P192,"&lt;"&amp;E182)</f>
        <v>92</v>
      </c>
      <c r="H182" s="36">
        <f t="shared" ca="1" si="41"/>
        <v>2</v>
      </c>
      <c r="I182" s="36" t="str">
        <f t="shared" ca="1" si="42"/>
        <v>Ocu</v>
      </c>
      <c r="J182" s="40">
        <f t="shared" ca="1" si="34"/>
        <v>43</v>
      </c>
      <c r="K182" s="41">
        <f t="shared" ca="1" si="31"/>
        <v>8.3421427463773696</v>
      </c>
      <c r="L182" s="42">
        <f t="shared" ca="1" si="43"/>
        <v>32.303752977395895</v>
      </c>
      <c r="M182" s="36">
        <f t="shared" ca="1" si="35"/>
        <v>5.8000000000000003E-2</v>
      </c>
      <c r="N182" s="36">
        <f t="shared" si="44"/>
        <v>4</v>
      </c>
      <c r="O182" s="39">
        <f t="shared" ca="1" si="36"/>
        <v>0.71182806710892943</v>
      </c>
      <c r="P182" s="39">
        <f t="shared" ca="1" si="37"/>
        <v>33.015581044504827</v>
      </c>
      <c r="Q182" s="43">
        <f t="shared" ca="1" si="45"/>
        <v>9.0539708134863019</v>
      </c>
    </row>
    <row r="183" spans="1:17" x14ac:dyDescent="0.25">
      <c r="A183" s="36">
        <v>136</v>
      </c>
      <c r="B183" s="36">
        <f t="shared" ca="1" si="32"/>
        <v>0.51400000000000001</v>
      </c>
      <c r="C183" s="37">
        <f t="shared" si="38"/>
        <v>6</v>
      </c>
      <c r="D183" s="39">
        <f t="shared" ca="1" si="33"/>
        <v>0.11092200225449531</v>
      </c>
      <c r="E183" s="39">
        <f t="shared" ca="1" si="39"/>
        <v>24.072532233273019</v>
      </c>
      <c r="F183" s="36">
        <f t="shared" ca="1" si="40"/>
        <v>43</v>
      </c>
      <c r="G183" s="36">
        <f ca="1">COUNTIF($P$48:P193,"&lt;"&amp;E183)</f>
        <v>92</v>
      </c>
      <c r="H183" s="36">
        <f t="shared" ca="1" si="41"/>
        <v>0</v>
      </c>
      <c r="I183" s="36" t="str">
        <f t="shared" ca="1" si="42"/>
        <v>Ocu</v>
      </c>
      <c r="J183" s="40">
        <f t="shared" ca="1" si="34"/>
        <v>44</v>
      </c>
      <c r="K183" s="41">
        <f t="shared" ca="1" si="31"/>
        <v>8.9430488112318081</v>
      </c>
      <c r="L183" s="42">
        <f t="shared" ca="1" si="43"/>
        <v>33.015581044504827</v>
      </c>
      <c r="M183" s="36">
        <f t="shared" ca="1" si="35"/>
        <v>0.47899999999999998</v>
      </c>
      <c r="N183" s="36">
        <f t="shared" si="44"/>
        <v>4</v>
      </c>
      <c r="O183" s="39">
        <f t="shared" ca="1" si="36"/>
        <v>0.18401367039280547</v>
      </c>
      <c r="P183" s="39">
        <f t="shared" ca="1" si="37"/>
        <v>33.199594714897636</v>
      </c>
      <c r="Q183" s="43">
        <f t="shared" ca="1" si="45"/>
        <v>9.1270624816246162</v>
      </c>
    </row>
    <row r="184" spans="1:17" x14ac:dyDescent="0.25">
      <c r="A184" s="36">
        <v>137</v>
      </c>
      <c r="B184" s="36">
        <f t="shared" ca="1" si="32"/>
        <v>0.308</v>
      </c>
      <c r="C184" s="37">
        <f t="shared" si="38"/>
        <v>6</v>
      </c>
      <c r="D184" s="39">
        <f t="shared" ca="1" si="33"/>
        <v>0.19627591600142708</v>
      </c>
      <c r="E184" s="39">
        <f t="shared" ca="1" si="39"/>
        <v>24.268808149274445</v>
      </c>
      <c r="F184" s="36">
        <f t="shared" ca="1" si="40"/>
        <v>43</v>
      </c>
      <c r="G184" s="36">
        <f ca="1">COUNTIF($P$48:P194,"&lt;"&amp;E184)</f>
        <v>93</v>
      </c>
      <c r="H184" s="36">
        <f t="shared" ca="1" si="41"/>
        <v>1</v>
      </c>
      <c r="I184" s="36" t="str">
        <f t="shared" ca="1" si="42"/>
        <v>Ocu</v>
      </c>
      <c r="J184" s="40">
        <f t="shared" ca="1" si="34"/>
        <v>44</v>
      </c>
      <c r="K184" s="41">
        <f t="shared" ca="1" si="31"/>
        <v>8.9307865656231904</v>
      </c>
      <c r="L184" s="42">
        <f t="shared" ca="1" si="43"/>
        <v>33.199594714897636</v>
      </c>
      <c r="M184" s="36">
        <f t="shared" ca="1" si="35"/>
        <v>0.64900000000000002</v>
      </c>
      <c r="N184" s="36">
        <f t="shared" si="44"/>
        <v>4</v>
      </c>
      <c r="O184" s="39">
        <f t="shared" ca="1" si="36"/>
        <v>0.10808064056951174</v>
      </c>
      <c r="P184" s="39">
        <f t="shared" ca="1" si="37"/>
        <v>33.307675355467147</v>
      </c>
      <c r="Q184" s="43">
        <f t="shared" ca="1" si="45"/>
        <v>9.0388672061927018</v>
      </c>
    </row>
    <row r="185" spans="1:17" x14ac:dyDescent="0.25">
      <c r="A185" s="36">
        <v>138</v>
      </c>
      <c r="B185" s="36">
        <f t="shared" ca="1" si="32"/>
        <v>0.63</v>
      </c>
      <c r="C185" s="37">
        <f t="shared" si="38"/>
        <v>6</v>
      </c>
      <c r="D185" s="39">
        <f t="shared" ca="1" si="33"/>
        <v>7.700590993275977E-2</v>
      </c>
      <c r="E185" s="39">
        <f t="shared" ca="1" si="39"/>
        <v>24.345814059207203</v>
      </c>
      <c r="F185" s="36">
        <f t="shared" ca="1" si="40"/>
        <v>44</v>
      </c>
      <c r="G185" s="36">
        <f ca="1">COUNTIF($P$48:P195,"&lt;"&amp;E185)</f>
        <v>93</v>
      </c>
      <c r="H185" s="36">
        <f t="shared" ca="1" si="41"/>
        <v>0</v>
      </c>
      <c r="I185" s="36" t="str">
        <f t="shared" ca="1" si="42"/>
        <v>Ocu</v>
      </c>
      <c r="J185" s="40">
        <f t="shared" ca="1" si="34"/>
        <v>45</v>
      </c>
      <c r="K185" s="41">
        <f t="shared" ca="1" si="31"/>
        <v>8.9618612962599435</v>
      </c>
      <c r="L185" s="42">
        <f t="shared" ca="1" si="43"/>
        <v>33.307675355467147</v>
      </c>
      <c r="M185" s="36">
        <f t="shared" ca="1" si="35"/>
        <v>0.308</v>
      </c>
      <c r="N185" s="36">
        <f t="shared" si="44"/>
        <v>4</v>
      </c>
      <c r="O185" s="39">
        <f t="shared" ca="1" si="36"/>
        <v>0.29441387400214064</v>
      </c>
      <c r="P185" s="39">
        <f t="shared" ca="1" si="37"/>
        <v>33.602089229469286</v>
      </c>
      <c r="Q185" s="43">
        <f t="shared" ca="1" si="45"/>
        <v>9.2562751702620822</v>
      </c>
    </row>
    <row r="186" spans="1:17" x14ac:dyDescent="0.25">
      <c r="A186" s="36">
        <v>139</v>
      </c>
      <c r="B186" s="36">
        <f t="shared" ca="1" si="32"/>
        <v>0.38600000000000001</v>
      </c>
      <c r="C186" s="37">
        <f t="shared" si="38"/>
        <v>6</v>
      </c>
      <c r="D186" s="39">
        <f t="shared" ca="1" si="33"/>
        <v>0.15865298491955102</v>
      </c>
      <c r="E186" s="39">
        <f t="shared" ca="1" si="39"/>
        <v>24.504467044126756</v>
      </c>
      <c r="F186" s="36">
        <f t="shared" ca="1" si="40"/>
        <v>43</v>
      </c>
      <c r="G186" s="36">
        <f ca="1">COUNTIF($P$48:P196,"&lt;"&amp;E186)</f>
        <v>95</v>
      </c>
      <c r="H186" s="36">
        <f t="shared" ca="1" si="41"/>
        <v>2</v>
      </c>
      <c r="I186" s="36" t="str">
        <f t="shared" ca="1" si="42"/>
        <v>Ocu</v>
      </c>
      <c r="J186" s="40">
        <f t="shared" ca="1" si="34"/>
        <v>44</v>
      </c>
      <c r="K186" s="41">
        <f t="shared" ca="1" si="31"/>
        <v>9.0976221853425301</v>
      </c>
      <c r="L186" s="42">
        <f t="shared" ca="1" si="43"/>
        <v>33.602089229469286</v>
      </c>
      <c r="M186" s="36">
        <f t="shared" ca="1" si="35"/>
        <v>0.68</v>
      </c>
      <c r="N186" s="36">
        <f t="shared" si="44"/>
        <v>4</v>
      </c>
      <c r="O186" s="39">
        <f t="shared" ca="1" si="36"/>
        <v>9.6415620202996141E-2</v>
      </c>
      <c r="P186" s="39">
        <f t="shared" ca="1" si="37"/>
        <v>33.698504849672283</v>
      </c>
      <c r="Q186" s="43">
        <f t="shared" ca="1" si="45"/>
        <v>9.194037805545527</v>
      </c>
    </row>
    <row r="187" spans="1:17" x14ac:dyDescent="0.25">
      <c r="A187" s="36">
        <v>140</v>
      </c>
      <c r="B187" s="36">
        <f t="shared" ca="1" si="32"/>
        <v>0.877</v>
      </c>
      <c r="C187" s="37">
        <f t="shared" si="38"/>
        <v>6</v>
      </c>
      <c r="D187" s="39">
        <f t="shared" ca="1" si="33"/>
        <v>2.1874714434992337E-2</v>
      </c>
      <c r="E187" s="39">
        <f t="shared" ca="1" si="39"/>
        <v>24.526341758561749</v>
      </c>
      <c r="F187" s="36">
        <f t="shared" ca="1" si="40"/>
        <v>44</v>
      </c>
      <c r="G187" s="36">
        <f ca="1">COUNTIF($P$48:P197,"&lt;"&amp;E187)</f>
        <v>95</v>
      </c>
      <c r="H187" s="36">
        <f t="shared" ca="1" si="41"/>
        <v>0</v>
      </c>
      <c r="I187" s="36" t="str">
        <f t="shared" ca="1" si="42"/>
        <v>Ocu</v>
      </c>
      <c r="J187" s="40">
        <f t="shared" ca="1" si="34"/>
        <v>45</v>
      </c>
      <c r="K187" s="41">
        <f t="shared" ca="1" si="31"/>
        <v>9.1721630911105336</v>
      </c>
      <c r="L187" s="42">
        <f t="shared" ca="1" si="43"/>
        <v>33.698504849672283</v>
      </c>
      <c r="M187" s="36">
        <f t="shared" ca="1" si="35"/>
        <v>0.64300000000000002</v>
      </c>
      <c r="N187" s="36">
        <f t="shared" si="44"/>
        <v>4</v>
      </c>
      <c r="O187" s="39">
        <f t="shared" ca="1" si="36"/>
        <v>0.11040263868612941</v>
      </c>
      <c r="P187" s="39">
        <f t="shared" ca="1" si="37"/>
        <v>33.808907488358415</v>
      </c>
      <c r="Q187" s="43">
        <f t="shared" ca="1" si="45"/>
        <v>9.2825657297966657</v>
      </c>
    </row>
    <row r="188" spans="1:17" x14ac:dyDescent="0.25">
      <c r="A188" s="36">
        <v>141</v>
      </c>
      <c r="B188" s="36">
        <f t="shared" ca="1" si="32"/>
        <v>0.55200000000000005</v>
      </c>
      <c r="C188" s="37">
        <f t="shared" si="38"/>
        <v>6</v>
      </c>
      <c r="D188" s="39">
        <f t="shared" ca="1" si="33"/>
        <v>9.9034538784173592E-2</v>
      </c>
      <c r="E188" s="39">
        <f t="shared" ca="1" si="39"/>
        <v>24.625376297345923</v>
      </c>
      <c r="F188" s="36">
        <f t="shared" ca="1" si="40"/>
        <v>45</v>
      </c>
      <c r="G188" s="36">
        <f ca="1">COUNTIF($P$48:P198,"&lt;"&amp;E188)</f>
        <v>95</v>
      </c>
      <c r="H188" s="36">
        <f t="shared" ca="1" si="41"/>
        <v>0</v>
      </c>
      <c r="I188" s="36" t="str">
        <f t="shared" ca="1" si="42"/>
        <v>Ocu</v>
      </c>
      <c r="J188" s="40">
        <f t="shared" ca="1" si="34"/>
        <v>46</v>
      </c>
      <c r="K188" s="41">
        <f t="shared" ca="1" si="31"/>
        <v>9.1835311910124915</v>
      </c>
      <c r="L188" s="42">
        <f t="shared" ca="1" si="43"/>
        <v>33.808907488358415</v>
      </c>
      <c r="M188" s="36">
        <f t="shared" ca="1" si="35"/>
        <v>0.90700000000000003</v>
      </c>
      <c r="N188" s="36">
        <f t="shared" si="44"/>
        <v>4</v>
      </c>
      <c r="O188" s="39">
        <f t="shared" ca="1" si="36"/>
        <v>2.4403207216750079E-2</v>
      </c>
      <c r="P188" s="39">
        <f t="shared" ca="1" si="37"/>
        <v>33.833310695575165</v>
      </c>
      <c r="Q188" s="43">
        <f t="shared" ca="1" si="45"/>
        <v>9.2079343982292414</v>
      </c>
    </row>
    <row r="189" spans="1:17" x14ac:dyDescent="0.25">
      <c r="A189" s="36">
        <v>142</v>
      </c>
      <c r="B189" s="36">
        <f t="shared" ca="1" si="32"/>
        <v>0.65400000000000003</v>
      </c>
      <c r="C189" s="37">
        <f t="shared" si="38"/>
        <v>6</v>
      </c>
      <c r="D189" s="39">
        <f t="shared" ca="1" si="33"/>
        <v>7.0774654587489716E-2</v>
      </c>
      <c r="E189" s="39">
        <f t="shared" ca="1" si="39"/>
        <v>24.696150951933411</v>
      </c>
      <c r="F189" s="36">
        <f t="shared" ca="1" si="40"/>
        <v>46</v>
      </c>
      <c r="G189" s="36">
        <f ca="1">COUNTIF($P$48:P199,"&lt;"&amp;E189)</f>
        <v>95</v>
      </c>
      <c r="H189" s="36">
        <f t="shared" ca="1" si="41"/>
        <v>0</v>
      </c>
      <c r="I189" s="36" t="str">
        <f t="shared" ca="1" si="42"/>
        <v>Ocu</v>
      </c>
      <c r="J189" s="40">
        <f t="shared" ca="1" si="34"/>
        <v>47</v>
      </c>
      <c r="K189" s="41">
        <f t="shared" ca="1" si="31"/>
        <v>9.1371597436417531</v>
      </c>
      <c r="L189" s="42">
        <f t="shared" ca="1" si="43"/>
        <v>33.833310695575165</v>
      </c>
      <c r="M189" s="36">
        <f t="shared" ca="1" si="35"/>
        <v>0.80600000000000005</v>
      </c>
      <c r="N189" s="36">
        <f t="shared" si="44"/>
        <v>4</v>
      </c>
      <c r="O189" s="39">
        <f t="shared" ca="1" si="36"/>
        <v>5.3917884118877178E-2</v>
      </c>
      <c r="P189" s="39">
        <f t="shared" ca="1" si="37"/>
        <v>33.887228579694039</v>
      </c>
      <c r="Q189" s="43">
        <f t="shared" ca="1" si="45"/>
        <v>9.1910776277606274</v>
      </c>
    </row>
    <row r="190" spans="1:17" x14ac:dyDescent="0.25">
      <c r="A190" s="36">
        <v>143</v>
      </c>
      <c r="B190" s="36">
        <f t="shared" ca="1" si="32"/>
        <v>0.91900000000000004</v>
      </c>
      <c r="C190" s="37">
        <f t="shared" si="38"/>
        <v>6</v>
      </c>
      <c r="D190" s="39">
        <f t="shared" ca="1" si="33"/>
        <v>1.4078192771074994E-2</v>
      </c>
      <c r="E190" s="39">
        <f t="shared" ca="1" si="39"/>
        <v>24.710229144704485</v>
      </c>
      <c r="F190" s="36">
        <f t="shared" ca="1" si="40"/>
        <v>47</v>
      </c>
      <c r="G190" s="36">
        <f ca="1">COUNTIF($P$48:P200,"&lt;"&amp;E190)</f>
        <v>95</v>
      </c>
      <c r="H190" s="36">
        <f t="shared" ca="1" si="41"/>
        <v>0</v>
      </c>
      <c r="I190" s="36" t="str">
        <f t="shared" ca="1" si="42"/>
        <v>Ocu</v>
      </c>
      <c r="J190" s="40">
        <f t="shared" ca="1" si="34"/>
        <v>48</v>
      </c>
      <c r="K190" s="41">
        <f t="shared" ca="1" si="31"/>
        <v>9.1769994349895541</v>
      </c>
      <c r="L190" s="42">
        <f t="shared" ca="1" si="43"/>
        <v>33.887228579694039</v>
      </c>
      <c r="M190" s="36">
        <f t="shared" ca="1" si="35"/>
        <v>0.255</v>
      </c>
      <c r="N190" s="36">
        <f t="shared" si="44"/>
        <v>4</v>
      </c>
      <c r="O190" s="39">
        <f t="shared" ca="1" si="36"/>
        <v>0.3416229334559277</v>
      </c>
      <c r="P190" s="39">
        <f t="shared" ca="1" si="37"/>
        <v>34.228851513149969</v>
      </c>
      <c r="Q190" s="43">
        <f t="shared" ca="1" si="45"/>
        <v>9.5186223684454845</v>
      </c>
    </row>
    <row r="191" spans="1:17" x14ac:dyDescent="0.25">
      <c r="A191" s="36">
        <v>144</v>
      </c>
      <c r="B191" s="36">
        <f t="shared" ca="1" si="32"/>
        <v>0.622</v>
      </c>
      <c r="C191" s="37">
        <f t="shared" si="38"/>
        <v>6</v>
      </c>
      <c r="D191" s="39">
        <f t="shared" ca="1" si="33"/>
        <v>7.9135864373826248E-2</v>
      </c>
      <c r="E191" s="39">
        <f t="shared" ca="1" si="39"/>
        <v>24.78936500907831</v>
      </c>
      <c r="F191" s="36">
        <f t="shared" ca="1" si="40"/>
        <v>47</v>
      </c>
      <c r="G191" s="36">
        <f ca="1">COUNTIF($P$48:P201,"&lt;"&amp;E191)</f>
        <v>96</v>
      </c>
      <c r="H191" s="36">
        <f t="shared" ca="1" si="41"/>
        <v>1</v>
      </c>
      <c r="I191" s="36" t="str">
        <f t="shared" ca="1" si="42"/>
        <v>Ocu</v>
      </c>
      <c r="J191" s="40">
        <f t="shared" ca="1" si="34"/>
        <v>48</v>
      </c>
      <c r="K191" s="41">
        <f t="shared" ca="1" si="31"/>
        <v>9.4394865040716596</v>
      </c>
      <c r="L191" s="42">
        <f t="shared" ca="1" si="43"/>
        <v>34.228851513149969</v>
      </c>
      <c r="M191" s="36">
        <f t="shared" ca="1" si="35"/>
        <v>9.2999999999999999E-2</v>
      </c>
      <c r="N191" s="36">
        <f t="shared" si="44"/>
        <v>4</v>
      </c>
      <c r="O191" s="39">
        <f t="shared" ca="1" si="36"/>
        <v>0.59378894645722025</v>
      </c>
      <c r="P191" s="39">
        <f t="shared" ca="1" si="37"/>
        <v>34.822640459607193</v>
      </c>
      <c r="Q191" s="43">
        <f t="shared" ca="1" si="45"/>
        <v>10.033275450528883</v>
      </c>
    </row>
    <row r="192" spans="1:17" x14ac:dyDescent="0.25">
      <c r="A192" s="36">
        <v>145</v>
      </c>
      <c r="B192" s="36">
        <f t="shared" ca="1" si="32"/>
        <v>0.66800000000000004</v>
      </c>
      <c r="C192" s="37">
        <f t="shared" si="38"/>
        <v>6</v>
      </c>
      <c r="D192" s="39">
        <f t="shared" ca="1" si="33"/>
        <v>6.7244517574248527E-2</v>
      </c>
      <c r="E192" s="39">
        <f t="shared" ca="1" si="39"/>
        <v>24.856609526652559</v>
      </c>
      <c r="F192" s="36">
        <f t="shared" ca="1" si="40"/>
        <v>48</v>
      </c>
      <c r="G192" s="36">
        <f ca="1">COUNTIF($P$48:P202,"&lt;"&amp;E192)</f>
        <v>96</v>
      </c>
      <c r="H192" s="36">
        <f t="shared" ca="1" si="41"/>
        <v>0</v>
      </c>
      <c r="I192" s="36" t="str">
        <f t="shared" ca="1" si="42"/>
        <v>Ocu</v>
      </c>
      <c r="J192" s="40">
        <f t="shared" ca="1" si="34"/>
        <v>49</v>
      </c>
      <c r="K192" s="41">
        <f t="shared" ca="1" si="31"/>
        <v>9.9660309329546344</v>
      </c>
      <c r="L192" s="42">
        <f t="shared" ca="1" si="43"/>
        <v>34.822640459607193</v>
      </c>
      <c r="M192" s="36">
        <f t="shared" ca="1" si="35"/>
        <v>0.21199999999999999</v>
      </c>
      <c r="N192" s="36">
        <f t="shared" si="44"/>
        <v>4</v>
      </c>
      <c r="O192" s="39">
        <f t="shared" ca="1" si="36"/>
        <v>0.38779225107753118</v>
      </c>
      <c r="P192" s="39">
        <f t="shared" ca="1" si="37"/>
        <v>35.210432710684721</v>
      </c>
      <c r="Q192" s="43">
        <f t="shared" ca="1" si="45"/>
        <v>10.353823184032162</v>
      </c>
    </row>
    <row r="193" spans="1:17" x14ac:dyDescent="0.25">
      <c r="A193" s="36">
        <v>146</v>
      </c>
      <c r="B193" s="36">
        <f t="shared" ca="1" si="32"/>
        <v>0.318</v>
      </c>
      <c r="C193" s="37">
        <f t="shared" si="38"/>
        <v>6</v>
      </c>
      <c r="D193" s="39">
        <f t="shared" ca="1" si="33"/>
        <v>0.19095064936699335</v>
      </c>
      <c r="E193" s="39">
        <f t="shared" ca="1" si="39"/>
        <v>25.047560176019552</v>
      </c>
      <c r="F193" s="36">
        <f t="shared" ca="1" si="40"/>
        <v>48</v>
      </c>
      <c r="G193" s="36">
        <f ca="1">COUNTIF($P$48:P203,"&lt;"&amp;E193)</f>
        <v>97</v>
      </c>
      <c r="H193" s="36">
        <f t="shared" ca="1" si="41"/>
        <v>1</v>
      </c>
      <c r="I193" s="36" t="str">
        <f t="shared" ca="1" si="42"/>
        <v>Ocu</v>
      </c>
      <c r="J193" s="40">
        <f t="shared" ca="1" si="34"/>
        <v>49</v>
      </c>
      <c r="K193" s="41">
        <f t="shared" ca="1" si="31"/>
        <v>10.162872534665169</v>
      </c>
      <c r="L193" s="42">
        <f t="shared" ca="1" si="43"/>
        <v>35.210432710684721</v>
      </c>
      <c r="M193" s="36">
        <f t="shared" ca="1" si="35"/>
        <v>0.23699999999999999</v>
      </c>
      <c r="N193" s="36">
        <f t="shared" si="44"/>
        <v>4</v>
      </c>
      <c r="O193" s="39">
        <f t="shared" ca="1" si="36"/>
        <v>0.35992378446175144</v>
      </c>
      <c r="P193" s="39">
        <f t="shared" ca="1" si="37"/>
        <v>35.57035649514647</v>
      </c>
      <c r="Q193" s="43">
        <f t="shared" ca="1" si="45"/>
        <v>10.522796319126918</v>
      </c>
    </row>
    <row r="194" spans="1:17" x14ac:dyDescent="0.25">
      <c r="A194" s="36">
        <v>147</v>
      </c>
      <c r="B194" s="36">
        <f t="shared" ca="1" si="32"/>
        <v>0.13700000000000001</v>
      </c>
      <c r="C194" s="37">
        <f t="shared" si="38"/>
        <v>6</v>
      </c>
      <c r="D194" s="39">
        <f t="shared" ca="1" si="33"/>
        <v>0.33129572552566866</v>
      </c>
      <c r="E194" s="39">
        <f t="shared" ca="1" si="39"/>
        <v>25.378855901545219</v>
      </c>
      <c r="F194" s="36">
        <f t="shared" ca="1" si="40"/>
        <v>48</v>
      </c>
      <c r="G194" s="36">
        <f ca="1">COUNTIF($P$48:P204,"&lt;"&amp;E194)</f>
        <v>98</v>
      </c>
      <c r="H194" s="36">
        <f t="shared" ca="1" si="41"/>
        <v>1</v>
      </c>
      <c r="I194" s="36" t="str">
        <f t="shared" ca="1" si="42"/>
        <v>Ocu</v>
      </c>
      <c r="J194" s="40">
        <f t="shared" ca="1" si="34"/>
        <v>49</v>
      </c>
      <c r="K194" s="41">
        <f t="shared" ca="1" si="31"/>
        <v>10.191500593601251</v>
      </c>
      <c r="L194" s="42">
        <f t="shared" ca="1" si="43"/>
        <v>35.57035649514647</v>
      </c>
      <c r="M194" s="36">
        <f t="shared" ca="1" si="35"/>
        <v>6.2E-2</v>
      </c>
      <c r="N194" s="36">
        <f t="shared" si="44"/>
        <v>4</v>
      </c>
      <c r="O194" s="39">
        <f t="shared" ca="1" si="36"/>
        <v>0.6951552234842614</v>
      </c>
      <c r="P194" s="39">
        <f t="shared" ca="1" si="37"/>
        <v>36.265511718630734</v>
      </c>
      <c r="Q194" s="43">
        <f t="shared" ca="1" si="45"/>
        <v>10.886655817085515</v>
      </c>
    </row>
    <row r="195" spans="1:17" x14ac:dyDescent="0.25">
      <c r="A195" s="36">
        <v>148</v>
      </c>
      <c r="B195" s="36">
        <f t="shared" ca="1" si="32"/>
        <v>0.307</v>
      </c>
      <c r="C195" s="37">
        <f t="shared" si="38"/>
        <v>6</v>
      </c>
      <c r="D195" s="39">
        <f t="shared" ca="1" si="33"/>
        <v>0.19681792189915664</v>
      </c>
      <c r="E195" s="39">
        <f t="shared" ca="1" si="39"/>
        <v>25.575673823444376</v>
      </c>
      <c r="F195" s="36">
        <f t="shared" ca="1" si="40"/>
        <v>49</v>
      </c>
      <c r="G195" s="36">
        <f ca="1">COUNTIF($P$48:P205,"&lt;"&amp;E195)</f>
        <v>98</v>
      </c>
      <c r="H195" s="36">
        <f t="shared" ca="1" si="41"/>
        <v>0</v>
      </c>
      <c r="I195" s="36" t="str">
        <f t="shared" ca="1" si="42"/>
        <v>Ocu</v>
      </c>
      <c r="J195" s="40">
        <f t="shared" ca="1" si="34"/>
        <v>50</v>
      </c>
      <c r="K195" s="41">
        <f t="shared" ca="1" si="31"/>
        <v>10.689837895186358</v>
      </c>
      <c r="L195" s="42">
        <f t="shared" ca="1" si="43"/>
        <v>36.265511718630734</v>
      </c>
      <c r="M195" s="36">
        <f t="shared" ca="1" si="35"/>
        <v>0.69399999999999995</v>
      </c>
      <c r="N195" s="36">
        <f t="shared" si="44"/>
        <v>4</v>
      </c>
      <c r="O195" s="39">
        <f t="shared" ca="1" si="36"/>
        <v>9.1320829618833171E-2</v>
      </c>
      <c r="P195" s="39">
        <f t="shared" ca="1" si="37"/>
        <v>36.356832548249564</v>
      </c>
      <c r="Q195" s="43">
        <f t="shared" ca="1" si="45"/>
        <v>10.781158724805188</v>
      </c>
    </row>
    <row r="196" spans="1:17" x14ac:dyDescent="0.25">
      <c r="A196" s="36">
        <v>149</v>
      </c>
      <c r="B196" s="36">
        <f t="shared" ca="1" si="32"/>
        <v>0.94799999999999995</v>
      </c>
      <c r="C196" s="37">
        <f t="shared" si="38"/>
        <v>6</v>
      </c>
      <c r="D196" s="39">
        <f t="shared" ca="1" si="33"/>
        <v>8.9001294545192067E-3</v>
      </c>
      <c r="E196" s="39">
        <f t="shared" ca="1" si="39"/>
        <v>25.584573952898896</v>
      </c>
      <c r="F196" s="36">
        <f t="shared" ca="1" si="40"/>
        <v>50</v>
      </c>
      <c r="G196" s="36">
        <f ca="1">COUNTIF($P$48:P206,"&lt;"&amp;E196)</f>
        <v>98</v>
      </c>
      <c r="H196" s="36">
        <f t="shared" ca="1" si="41"/>
        <v>0</v>
      </c>
      <c r="I196" s="36" t="str">
        <f t="shared" ca="1" si="42"/>
        <v>Ocu</v>
      </c>
      <c r="J196" s="40">
        <f t="shared" ca="1" si="34"/>
        <v>51</v>
      </c>
      <c r="K196" s="41">
        <f t="shared" ca="1" si="31"/>
        <v>10.772258595350667</v>
      </c>
      <c r="L196" s="42">
        <f t="shared" ca="1" si="43"/>
        <v>36.356832548249564</v>
      </c>
      <c r="M196" s="36">
        <f t="shared" ca="1" si="35"/>
        <v>0.96799999999999997</v>
      </c>
      <c r="N196" s="36">
        <f t="shared" si="44"/>
        <v>4</v>
      </c>
      <c r="O196" s="39">
        <f t="shared" ca="1" si="36"/>
        <v>8.1307979263900362E-3</v>
      </c>
      <c r="P196" s="39">
        <f t="shared" ca="1" si="37"/>
        <v>36.364963346175955</v>
      </c>
      <c r="Q196" s="43">
        <f t="shared" ca="1" si="45"/>
        <v>10.780389393277058</v>
      </c>
    </row>
    <row r="197" spans="1:17" x14ac:dyDescent="0.25">
      <c r="A197" s="36">
        <v>150</v>
      </c>
      <c r="B197" s="36">
        <f t="shared" ca="1" si="32"/>
        <v>0.73599999999999999</v>
      </c>
      <c r="C197" s="37">
        <f t="shared" si="38"/>
        <v>6</v>
      </c>
      <c r="D197" s="39">
        <f t="shared" ca="1" si="33"/>
        <v>5.1087526708876799E-2</v>
      </c>
      <c r="E197" s="39">
        <f t="shared" ca="1" si="39"/>
        <v>25.635661479607773</v>
      </c>
      <c r="F197" s="36">
        <f t="shared" ca="1" si="40"/>
        <v>51</v>
      </c>
      <c r="G197" s="36">
        <f ca="1">COUNTIF($P$48:P207,"&lt;"&amp;E197)</f>
        <v>98</v>
      </c>
      <c r="H197" s="36">
        <f t="shared" ca="1" si="41"/>
        <v>0</v>
      </c>
      <c r="I197" s="36" t="str">
        <f t="shared" ca="1" si="42"/>
        <v>Ocu</v>
      </c>
      <c r="J197" s="40">
        <f t="shared" ca="1" si="34"/>
        <v>52</v>
      </c>
      <c r="K197" s="41">
        <f t="shared" ca="1" si="31"/>
        <v>10.729301866568182</v>
      </c>
      <c r="L197" s="42">
        <f t="shared" ca="1" si="43"/>
        <v>36.364963346175955</v>
      </c>
      <c r="M197" s="36">
        <f t="shared" ca="1" si="35"/>
        <v>3.5000000000000003E-2</v>
      </c>
      <c r="N197" s="36">
        <f t="shared" si="44"/>
        <v>4</v>
      </c>
      <c r="O197" s="39">
        <f t="shared" ca="1" si="36"/>
        <v>0.83810180437318083</v>
      </c>
      <c r="P197" s="39">
        <f t="shared" ca="1" si="37"/>
        <v>37.203065150549136</v>
      </c>
      <c r="Q197" s="43">
        <f t="shared" ca="1" si="45"/>
        <v>11.567403670941363</v>
      </c>
    </row>
    <row r="198" spans="1:17" x14ac:dyDescent="0.25">
      <c r="A198" s="36">
        <v>151</v>
      </c>
      <c r="B198" s="36">
        <f t="shared" ca="1" si="32"/>
        <v>0.248</v>
      </c>
      <c r="C198" s="37">
        <f t="shared" si="38"/>
        <v>6</v>
      </c>
      <c r="D198" s="39">
        <f t="shared" ca="1" si="33"/>
        <v>0.23238775546952578</v>
      </c>
      <c r="E198" s="39">
        <f t="shared" ca="1" si="39"/>
        <v>25.868049235077297</v>
      </c>
      <c r="F198" s="36">
        <f t="shared" ca="1" si="40"/>
        <v>51</v>
      </c>
      <c r="G198" s="36">
        <f ca="1">COUNTIF($P$48:P208,"&lt;"&amp;E198)</f>
        <v>99</v>
      </c>
      <c r="H198" s="36">
        <f t="shared" ca="1" si="41"/>
        <v>1</v>
      </c>
      <c r="I198" s="36" t="str">
        <f t="shared" ca="1" si="42"/>
        <v>Ocu</v>
      </c>
      <c r="J198" s="40">
        <f t="shared" ca="1" si="34"/>
        <v>52</v>
      </c>
      <c r="K198" s="41">
        <f t="shared" ca="1" si="31"/>
        <v>11.335015915471839</v>
      </c>
      <c r="L198" s="42">
        <f t="shared" ca="1" si="43"/>
        <v>37.203065150549136</v>
      </c>
      <c r="M198" s="36">
        <f t="shared" ca="1" si="35"/>
        <v>0.95699999999999996</v>
      </c>
      <c r="N198" s="36">
        <f t="shared" si="44"/>
        <v>4</v>
      </c>
      <c r="O198" s="39">
        <f t="shared" ca="1" si="36"/>
        <v>1.0987971882295692E-2</v>
      </c>
      <c r="P198" s="39">
        <f t="shared" ca="1" si="37"/>
        <v>37.21405312243143</v>
      </c>
      <c r="Q198" s="43">
        <f t="shared" ca="1" si="45"/>
        <v>11.346003887354133</v>
      </c>
    </row>
    <row r="199" spans="1:17" x14ac:dyDescent="0.25">
      <c r="A199" s="36">
        <v>152</v>
      </c>
      <c r="B199" s="36">
        <f t="shared" ca="1" si="32"/>
        <v>0.156</v>
      </c>
      <c r="C199" s="37">
        <f t="shared" si="38"/>
        <v>6</v>
      </c>
      <c r="D199" s="39">
        <f t="shared" ca="1" si="33"/>
        <v>0.30964987862210003</v>
      </c>
      <c r="E199" s="39">
        <f t="shared" ca="1" si="39"/>
        <v>26.177699113699397</v>
      </c>
      <c r="F199" s="36">
        <f t="shared" ca="1" si="40"/>
        <v>51</v>
      </c>
      <c r="G199" s="36">
        <f ca="1">COUNTIF($P$48:P209,"&lt;"&amp;E199)</f>
        <v>100</v>
      </c>
      <c r="H199" s="36">
        <f t="shared" ca="1" si="41"/>
        <v>1</v>
      </c>
      <c r="I199" s="36" t="str">
        <f t="shared" ca="1" si="42"/>
        <v>Ocu</v>
      </c>
      <c r="J199" s="40">
        <f t="shared" ca="1" si="34"/>
        <v>52</v>
      </c>
      <c r="K199" s="41">
        <f t="shared" ca="1" si="31"/>
        <v>11.036354008732033</v>
      </c>
      <c r="L199" s="42">
        <f t="shared" ca="1" si="43"/>
        <v>37.21405312243143</v>
      </c>
      <c r="M199" s="36">
        <f t="shared" ca="1" si="35"/>
        <v>0.56200000000000006</v>
      </c>
      <c r="N199" s="36">
        <f t="shared" si="44"/>
        <v>4</v>
      </c>
      <c r="O199" s="39">
        <f t="shared" ca="1" si="36"/>
        <v>0.14406335727211148</v>
      </c>
      <c r="P199" s="39">
        <f t="shared" ca="1" si="37"/>
        <v>37.35811647970354</v>
      </c>
      <c r="Q199" s="43">
        <f t="shared" ca="1" si="45"/>
        <v>11.180417366004143</v>
      </c>
    </row>
    <row r="200" spans="1:17" x14ac:dyDescent="0.25">
      <c r="A200" s="36">
        <v>153</v>
      </c>
      <c r="B200" s="36">
        <f t="shared" ca="1" si="32"/>
        <v>9.7000000000000003E-2</v>
      </c>
      <c r="C200" s="37">
        <f t="shared" si="38"/>
        <v>6</v>
      </c>
      <c r="D200" s="39">
        <f t="shared" ca="1" si="33"/>
        <v>0.38884071674645898</v>
      </c>
      <c r="E200" s="39">
        <f t="shared" ca="1" si="39"/>
        <v>26.566539830445855</v>
      </c>
      <c r="F200" s="36">
        <f t="shared" ca="1" si="40"/>
        <v>50</v>
      </c>
      <c r="G200" s="36">
        <f ca="1">COUNTIF($P$48:P210,"&lt;"&amp;E200)</f>
        <v>102</v>
      </c>
      <c r="H200" s="36">
        <f t="shared" ca="1" si="41"/>
        <v>2</v>
      </c>
      <c r="I200" s="36" t="str">
        <f t="shared" ca="1" si="42"/>
        <v>Ocu</v>
      </c>
      <c r="J200" s="40">
        <f t="shared" ca="1" si="34"/>
        <v>51</v>
      </c>
      <c r="K200" s="41">
        <f t="shared" ca="1" si="31"/>
        <v>10.791576649257685</v>
      </c>
      <c r="L200" s="42">
        <f t="shared" ca="1" si="43"/>
        <v>37.35811647970354</v>
      </c>
      <c r="M200" s="36">
        <f t="shared" ca="1" si="35"/>
        <v>0.307</v>
      </c>
      <c r="N200" s="36">
        <f t="shared" si="44"/>
        <v>4</v>
      </c>
      <c r="O200" s="39">
        <f t="shared" ca="1" si="36"/>
        <v>0.29522688284873499</v>
      </c>
      <c r="P200" s="39">
        <f t="shared" ca="1" si="37"/>
        <v>37.653343362552278</v>
      </c>
      <c r="Q200" s="43">
        <f t="shared" ca="1" si="45"/>
        <v>11.086803532106423</v>
      </c>
    </row>
    <row r="201" spans="1:17" x14ac:dyDescent="0.25">
      <c r="A201" s="36">
        <v>154</v>
      </c>
      <c r="B201" s="36">
        <f t="shared" ca="1" si="32"/>
        <v>0.39</v>
      </c>
      <c r="C201" s="37">
        <f t="shared" si="38"/>
        <v>6</v>
      </c>
      <c r="D201" s="39">
        <f t="shared" ca="1" si="33"/>
        <v>0.15693475664307413</v>
      </c>
      <c r="E201" s="39">
        <f t="shared" ca="1" si="39"/>
        <v>26.72347458708893</v>
      </c>
      <c r="F201" s="36">
        <f t="shared" ca="1" si="40"/>
        <v>51</v>
      </c>
      <c r="G201" s="36">
        <f ca="1">COUNTIF($P$48:P211,"&lt;"&amp;E201)</f>
        <v>102</v>
      </c>
      <c r="H201" s="36">
        <f t="shared" ca="1" si="41"/>
        <v>0</v>
      </c>
      <c r="I201" s="36" t="str">
        <f t="shared" ca="1" si="42"/>
        <v>Ocu</v>
      </c>
      <c r="J201" s="40">
        <f t="shared" ca="1" si="34"/>
        <v>52</v>
      </c>
      <c r="K201" s="41">
        <f t="shared" ca="1" si="31"/>
        <v>10.929868775463348</v>
      </c>
      <c r="L201" s="42">
        <f t="shared" ca="1" si="43"/>
        <v>37.653343362552278</v>
      </c>
      <c r="M201" s="36">
        <f t="shared" ca="1" si="35"/>
        <v>0.27300000000000002</v>
      </c>
      <c r="N201" s="36">
        <f t="shared" si="44"/>
        <v>4</v>
      </c>
      <c r="O201" s="39">
        <f t="shared" ca="1" si="36"/>
        <v>0.32457087094929432</v>
      </c>
      <c r="P201" s="39">
        <f t="shared" ca="1" si="37"/>
        <v>37.977914233501572</v>
      </c>
      <c r="Q201" s="43">
        <f t="shared" ca="1" si="45"/>
        <v>11.254439646412642</v>
      </c>
    </row>
    <row r="202" spans="1:17" x14ac:dyDescent="0.25">
      <c r="A202" s="36">
        <v>155</v>
      </c>
      <c r="B202" s="36">
        <f t="shared" ca="1" si="32"/>
        <v>0.39</v>
      </c>
      <c r="C202" s="37">
        <f t="shared" si="38"/>
        <v>6</v>
      </c>
      <c r="D202" s="39">
        <f t="shared" ca="1" si="33"/>
        <v>0.15693475664307413</v>
      </c>
      <c r="E202" s="39">
        <f t="shared" ca="1" si="39"/>
        <v>26.880409343732005</v>
      </c>
      <c r="F202" s="36">
        <f t="shared" ca="1" si="40"/>
        <v>52</v>
      </c>
      <c r="G202" s="36">
        <f ca="1">COUNTIF($P$48:P212,"&lt;"&amp;E202)</f>
        <v>102</v>
      </c>
      <c r="H202" s="36">
        <f t="shared" ca="1" si="41"/>
        <v>0</v>
      </c>
      <c r="I202" s="36" t="str">
        <f t="shared" ca="1" si="42"/>
        <v>Ocu</v>
      </c>
      <c r="J202" s="40">
        <f t="shared" ca="1" si="34"/>
        <v>53</v>
      </c>
      <c r="K202" s="41">
        <f t="shared" ca="1" si="31"/>
        <v>11.097504889769567</v>
      </c>
      <c r="L202" s="42">
        <f t="shared" ca="1" si="43"/>
        <v>37.977914233501572</v>
      </c>
      <c r="M202" s="36">
        <f t="shared" ca="1" si="35"/>
        <v>0.747</v>
      </c>
      <c r="N202" s="36">
        <f t="shared" si="44"/>
        <v>4</v>
      </c>
      <c r="O202" s="39">
        <f t="shared" ca="1" si="36"/>
        <v>7.2922523462329941E-2</v>
      </c>
      <c r="P202" s="39">
        <f t="shared" ca="1" si="37"/>
        <v>38.050836756963903</v>
      </c>
      <c r="Q202" s="43">
        <f t="shared" ca="1" si="45"/>
        <v>11.170427413231899</v>
      </c>
    </row>
    <row r="203" spans="1:17" x14ac:dyDescent="0.25">
      <c r="A203" s="36">
        <v>156</v>
      </c>
      <c r="B203" s="36">
        <f t="shared" ca="1" si="32"/>
        <v>9.6000000000000002E-2</v>
      </c>
      <c r="C203" s="37">
        <f t="shared" si="38"/>
        <v>6</v>
      </c>
      <c r="D203" s="39">
        <f t="shared" ca="1" si="33"/>
        <v>0.39056784791905008</v>
      </c>
      <c r="E203" s="39">
        <f t="shared" ca="1" si="39"/>
        <v>27.270977191651056</v>
      </c>
      <c r="F203" s="36">
        <f t="shared" ca="1" si="40"/>
        <v>49</v>
      </c>
      <c r="G203" s="36">
        <f ca="1">COUNTIF($P$48:P213,"&lt;"&amp;E203)</f>
        <v>106</v>
      </c>
      <c r="H203" s="36">
        <f t="shared" ca="1" si="41"/>
        <v>4</v>
      </c>
      <c r="I203" s="36" t="str">
        <f t="shared" ca="1" si="42"/>
        <v>Ocu</v>
      </c>
      <c r="J203" s="40">
        <f t="shared" ca="1" si="34"/>
        <v>50</v>
      </c>
      <c r="K203" s="41">
        <f t="shared" ca="1" si="31"/>
        <v>10.779859565312847</v>
      </c>
      <c r="L203" s="42">
        <f t="shared" ca="1" si="43"/>
        <v>38.050836756963903</v>
      </c>
      <c r="M203" s="36">
        <f t="shared" ca="1" si="35"/>
        <v>0.76300000000000001</v>
      </c>
      <c r="N203" s="36">
        <f t="shared" si="44"/>
        <v>4</v>
      </c>
      <c r="O203" s="39">
        <f t="shared" ca="1" si="36"/>
        <v>6.7624311924419991E-2</v>
      </c>
      <c r="P203" s="39">
        <f t="shared" ca="1" si="37"/>
        <v>38.118461068888323</v>
      </c>
      <c r="Q203" s="43">
        <f t="shared" ca="1" si="45"/>
        <v>10.847483877237266</v>
      </c>
    </row>
    <row r="204" spans="1:17" x14ac:dyDescent="0.25">
      <c r="A204" s="36">
        <v>157</v>
      </c>
      <c r="B204" s="36">
        <f t="shared" ca="1" si="32"/>
        <v>0.39400000000000002</v>
      </c>
      <c r="C204" s="37">
        <f t="shared" si="38"/>
        <v>6</v>
      </c>
      <c r="D204" s="39">
        <f t="shared" ca="1" si="33"/>
        <v>0.15523406161403386</v>
      </c>
      <c r="E204" s="39">
        <f t="shared" ca="1" si="39"/>
        <v>27.426211253265091</v>
      </c>
      <c r="F204" s="36">
        <f t="shared" ca="1" si="40"/>
        <v>50</v>
      </c>
      <c r="G204" s="36">
        <f ca="1">COUNTIF($P$48:P214,"&lt;"&amp;E204)</f>
        <v>106</v>
      </c>
      <c r="H204" s="36">
        <f t="shared" ca="1" si="41"/>
        <v>0</v>
      </c>
      <c r="I204" s="36" t="str">
        <f t="shared" ca="1" si="42"/>
        <v>Ocu</v>
      </c>
      <c r="J204" s="40">
        <f t="shared" ca="1" si="34"/>
        <v>51</v>
      </c>
      <c r="K204" s="41">
        <f t="shared" ca="1" si="31"/>
        <v>10.692249815623232</v>
      </c>
      <c r="L204" s="42">
        <f t="shared" ca="1" si="43"/>
        <v>38.118461068888323</v>
      </c>
      <c r="M204" s="36">
        <f t="shared" ca="1" si="35"/>
        <v>0.16</v>
      </c>
      <c r="N204" s="36">
        <f t="shared" si="44"/>
        <v>4</v>
      </c>
      <c r="O204" s="39">
        <f t="shared" ca="1" si="36"/>
        <v>0.45814536593707755</v>
      </c>
      <c r="P204" s="39">
        <f t="shared" ca="1" si="37"/>
        <v>38.576606434825401</v>
      </c>
      <c r="Q204" s="43">
        <f t="shared" ca="1" si="45"/>
        <v>11.15039518156031</v>
      </c>
    </row>
    <row r="205" spans="1:17" x14ac:dyDescent="0.25">
      <c r="A205" s="36">
        <v>158</v>
      </c>
      <c r="B205" s="36">
        <f t="shared" ca="1" si="32"/>
        <v>0.88400000000000001</v>
      </c>
      <c r="C205" s="37">
        <f t="shared" si="38"/>
        <v>6</v>
      </c>
      <c r="D205" s="39">
        <f t="shared" ca="1" si="33"/>
        <v>2.0549702724082266E-2</v>
      </c>
      <c r="E205" s="39">
        <f t="shared" ca="1" si="39"/>
        <v>27.446760955989173</v>
      </c>
      <c r="F205" s="36">
        <f t="shared" ca="1" si="40"/>
        <v>51</v>
      </c>
      <c r="G205" s="36">
        <f ca="1">COUNTIF($P$48:P215,"&lt;"&amp;E205)</f>
        <v>106</v>
      </c>
      <c r="H205" s="36">
        <f t="shared" ca="1" si="41"/>
        <v>0</v>
      </c>
      <c r="I205" s="36" t="str">
        <f t="shared" ca="1" si="42"/>
        <v>Ocu</v>
      </c>
      <c r="J205" s="40">
        <f t="shared" ca="1" si="34"/>
        <v>52</v>
      </c>
      <c r="K205" s="41">
        <f t="shared" ca="1" si="31"/>
        <v>11.129845478836227</v>
      </c>
      <c r="L205" s="42">
        <f t="shared" ca="1" si="43"/>
        <v>38.576606434825401</v>
      </c>
      <c r="M205" s="36">
        <f t="shared" ca="1" si="35"/>
        <v>0.374</v>
      </c>
      <c r="N205" s="36">
        <f t="shared" si="44"/>
        <v>4</v>
      </c>
      <c r="O205" s="39">
        <f t="shared" ca="1" si="36"/>
        <v>0.24587487039190128</v>
      </c>
      <c r="P205" s="39">
        <f t="shared" ca="1" si="37"/>
        <v>38.822481305217302</v>
      </c>
      <c r="Q205" s="43">
        <f t="shared" ca="1" si="45"/>
        <v>11.375720349228128</v>
      </c>
    </row>
    <row r="206" spans="1:17" x14ac:dyDescent="0.25">
      <c r="A206" s="36">
        <v>159</v>
      </c>
      <c r="B206" s="36">
        <f t="shared" ca="1" si="32"/>
        <v>0.63800000000000001</v>
      </c>
      <c r="C206" s="37">
        <f t="shared" si="38"/>
        <v>6</v>
      </c>
      <c r="D206" s="39">
        <f t="shared" ca="1" si="33"/>
        <v>7.4902832606224518E-2</v>
      </c>
      <c r="E206" s="39">
        <f t="shared" ca="1" si="39"/>
        <v>27.521663788595397</v>
      </c>
      <c r="F206" s="36">
        <f t="shared" ca="1" si="40"/>
        <v>52</v>
      </c>
      <c r="G206" s="36">
        <f ca="1">COUNTIF($P$48:P216,"&lt;"&amp;E206)</f>
        <v>106</v>
      </c>
      <c r="H206" s="36">
        <f t="shared" ca="1" si="41"/>
        <v>0</v>
      </c>
      <c r="I206" s="36" t="str">
        <f t="shared" ca="1" si="42"/>
        <v>Ocu</v>
      </c>
      <c r="J206" s="40">
        <f t="shared" ca="1" si="34"/>
        <v>53</v>
      </c>
      <c r="K206" s="41">
        <f t="shared" ca="1" si="31"/>
        <v>11.300817516621905</v>
      </c>
      <c r="L206" s="42">
        <f t="shared" ca="1" si="43"/>
        <v>38.822481305217302</v>
      </c>
      <c r="M206" s="36">
        <f t="shared" ca="1" si="35"/>
        <v>0.434</v>
      </c>
      <c r="N206" s="36">
        <f t="shared" si="44"/>
        <v>4</v>
      </c>
      <c r="O206" s="39">
        <f t="shared" ca="1" si="36"/>
        <v>0.20867768622043306</v>
      </c>
      <c r="P206" s="39">
        <f t="shared" ca="1" si="37"/>
        <v>39.031158991437735</v>
      </c>
      <c r="Q206" s="43">
        <f t="shared" ca="1" si="45"/>
        <v>11.509495202842338</v>
      </c>
    </row>
    <row r="207" spans="1:17" x14ac:dyDescent="0.25">
      <c r="A207" s="36">
        <v>160</v>
      </c>
      <c r="B207" s="36">
        <f t="shared" ca="1" si="32"/>
        <v>0.68100000000000005</v>
      </c>
      <c r="C207" s="37">
        <f t="shared" si="38"/>
        <v>6</v>
      </c>
      <c r="D207" s="39">
        <f t="shared" ca="1" si="33"/>
        <v>6.4032162138770762E-2</v>
      </c>
      <c r="E207" s="39">
        <f t="shared" ca="1" si="39"/>
        <v>27.585695950734166</v>
      </c>
      <c r="F207" s="36">
        <f t="shared" ca="1" si="40"/>
        <v>53</v>
      </c>
      <c r="G207" s="36">
        <f ca="1">COUNTIF($P$48:P217,"&lt;"&amp;E207)</f>
        <v>106</v>
      </c>
      <c r="H207" s="36">
        <f t="shared" ca="1" si="41"/>
        <v>0</v>
      </c>
      <c r="I207" s="36" t="str">
        <f t="shared" ca="1" si="42"/>
        <v>Ocu</v>
      </c>
      <c r="J207" s="40">
        <f t="shared" ca="1" si="34"/>
        <v>54</v>
      </c>
      <c r="K207" s="41">
        <f t="shared" ca="1" si="31"/>
        <v>11.445463040703569</v>
      </c>
      <c r="L207" s="42">
        <f t="shared" ca="1" si="43"/>
        <v>39.031158991437735</v>
      </c>
      <c r="M207" s="36">
        <f t="shared" ca="1" si="35"/>
        <v>0.41499999999999998</v>
      </c>
      <c r="N207" s="36">
        <f t="shared" si="44"/>
        <v>4</v>
      </c>
      <c r="O207" s="39">
        <f t="shared" ca="1" si="36"/>
        <v>0.21986918968785971</v>
      </c>
      <c r="P207" s="39">
        <f t="shared" ca="1" si="37"/>
        <v>39.251028181125598</v>
      </c>
      <c r="Q207" s="43">
        <f t="shared" ca="1" si="45"/>
        <v>11.665332230391432</v>
      </c>
    </row>
    <row r="208" spans="1:17" x14ac:dyDescent="0.25">
      <c r="A208" s="36">
        <v>161</v>
      </c>
      <c r="B208" s="36">
        <f t="shared" ca="1" si="32"/>
        <v>0.875</v>
      </c>
      <c r="C208" s="37">
        <f t="shared" si="38"/>
        <v>6</v>
      </c>
      <c r="D208" s="39">
        <f t="shared" ca="1" si="33"/>
        <v>2.2255232104087093E-2</v>
      </c>
      <c r="E208" s="39">
        <f t="shared" ca="1" si="39"/>
        <v>27.607951182838253</v>
      </c>
      <c r="F208" s="36">
        <f t="shared" ca="1" si="40"/>
        <v>54</v>
      </c>
      <c r="G208" s="36">
        <f ca="1">COUNTIF($P$48:P218,"&lt;"&amp;E208)</f>
        <v>106</v>
      </c>
      <c r="H208" s="36">
        <f t="shared" ca="1" si="41"/>
        <v>0</v>
      </c>
      <c r="I208" s="36" t="str">
        <f t="shared" ca="1" si="42"/>
        <v>Ocu</v>
      </c>
      <c r="J208" s="40">
        <f t="shared" ca="1" si="34"/>
        <v>55</v>
      </c>
      <c r="K208" s="41">
        <f t="shared" ca="1" si="31"/>
        <v>11.643076998287345</v>
      </c>
      <c r="L208" s="42">
        <f t="shared" ca="1" si="43"/>
        <v>39.251028181125598</v>
      </c>
      <c r="M208" s="36">
        <f t="shared" ca="1" si="35"/>
        <v>0.317</v>
      </c>
      <c r="N208" s="36">
        <f t="shared" si="44"/>
        <v>4</v>
      </c>
      <c r="O208" s="39">
        <f t="shared" ca="1" si="36"/>
        <v>0.28721337627621413</v>
      </c>
      <c r="P208" s="39">
        <f t="shared" ca="1" si="37"/>
        <v>39.538241557401811</v>
      </c>
      <c r="Q208" s="43">
        <f t="shared" ca="1" si="45"/>
        <v>11.930290374563558</v>
      </c>
    </row>
    <row r="209" spans="1:17" x14ac:dyDescent="0.25">
      <c r="A209" s="36">
        <v>162</v>
      </c>
      <c r="B209" s="36">
        <f t="shared" ca="1" si="32"/>
        <v>0.53100000000000003</v>
      </c>
      <c r="C209" s="37">
        <f t="shared" si="38"/>
        <v>6</v>
      </c>
      <c r="D209" s="39">
        <f t="shared" ca="1" si="33"/>
        <v>0.10549887629003303</v>
      </c>
      <c r="E209" s="39">
        <f t="shared" ca="1" si="39"/>
        <v>27.713450059128284</v>
      </c>
      <c r="F209" s="36">
        <f t="shared" ca="1" si="40"/>
        <v>54</v>
      </c>
      <c r="G209" s="36">
        <f ca="1">COUNTIF($P$48:P219,"&lt;"&amp;E209)</f>
        <v>107</v>
      </c>
      <c r="H209" s="36">
        <f t="shared" ca="1" si="41"/>
        <v>1</v>
      </c>
      <c r="I209" s="36" t="str">
        <f t="shared" ca="1" si="42"/>
        <v>Ocu</v>
      </c>
      <c r="J209" s="40">
        <f t="shared" ca="1" si="34"/>
        <v>55</v>
      </c>
      <c r="K209" s="41">
        <f t="shared" ca="1" si="31"/>
        <v>11.824791498273527</v>
      </c>
      <c r="L209" s="42">
        <f t="shared" ca="1" si="43"/>
        <v>39.538241557401811</v>
      </c>
      <c r="M209" s="36">
        <f t="shared" ca="1" si="35"/>
        <v>0.93100000000000005</v>
      </c>
      <c r="N209" s="36">
        <f t="shared" si="44"/>
        <v>4</v>
      </c>
      <c r="O209" s="39">
        <f t="shared" ca="1" si="36"/>
        <v>1.7874000426267505E-2</v>
      </c>
      <c r="P209" s="39">
        <f t="shared" ca="1" si="37"/>
        <v>39.556115557828079</v>
      </c>
      <c r="Q209" s="43">
        <f t="shared" ca="1" si="45"/>
        <v>11.842665498699795</v>
      </c>
    </row>
    <row r="210" spans="1:17" x14ac:dyDescent="0.25">
      <c r="A210" s="36">
        <v>163</v>
      </c>
      <c r="B210" s="36">
        <f t="shared" ca="1" si="32"/>
        <v>0.16700000000000001</v>
      </c>
      <c r="C210" s="37">
        <f t="shared" si="38"/>
        <v>6</v>
      </c>
      <c r="D210" s="39">
        <f t="shared" ca="1" si="33"/>
        <v>0.29829357776089693</v>
      </c>
      <c r="E210" s="39">
        <f t="shared" ca="1" si="39"/>
        <v>28.011743636889182</v>
      </c>
      <c r="F210" s="36">
        <f t="shared" ca="1" si="40"/>
        <v>53</v>
      </c>
      <c r="G210" s="36">
        <f ca="1">COUNTIF($P$48:P220,"&lt;"&amp;E210)</f>
        <v>109</v>
      </c>
      <c r="H210" s="36">
        <f t="shared" ca="1" si="41"/>
        <v>2</v>
      </c>
      <c r="I210" s="36" t="str">
        <f t="shared" ca="1" si="42"/>
        <v>Ocu</v>
      </c>
      <c r="J210" s="40">
        <f t="shared" ca="1" si="34"/>
        <v>54</v>
      </c>
      <c r="K210" s="41">
        <f t="shared" ca="1" si="31"/>
        <v>11.544371920938897</v>
      </c>
      <c r="L210" s="42">
        <f t="shared" ca="1" si="43"/>
        <v>39.556115557828079</v>
      </c>
      <c r="M210" s="36">
        <f t="shared" ca="1" si="35"/>
        <v>6.6000000000000003E-2</v>
      </c>
      <c r="N210" s="36">
        <f t="shared" si="44"/>
        <v>4</v>
      </c>
      <c r="O210" s="39">
        <f t="shared" ca="1" si="36"/>
        <v>0.67952513423892791</v>
      </c>
      <c r="P210" s="39">
        <f t="shared" ca="1" si="37"/>
        <v>40.235640692067008</v>
      </c>
      <c r="Q210" s="43">
        <f t="shared" ca="1" si="45"/>
        <v>12.223897055177826</v>
      </c>
    </row>
    <row r="211" spans="1:17" x14ac:dyDescent="0.25">
      <c r="A211" s="36">
        <v>164</v>
      </c>
      <c r="B211" s="36">
        <f t="shared" ca="1" si="32"/>
        <v>0.55000000000000004</v>
      </c>
      <c r="C211" s="37">
        <f t="shared" si="38"/>
        <v>6</v>
      </c>
      <c r="D211" s="39">
        <f t="shared" ca="1" si="33"/>
        <v>9.9639500125936725E-2</v>
      </c>
      <c r="E211" s="39">
        <f t="shared" ca="1" si="39"/>
        <v>28.111383137015117</v>
      </c>
      <c r="F211" s="36">
        <f t="shared" ca="1" si="40"/>
        <v>54</v>
      </c>
      <c r="G211" s="36">
        <f ca="1">COUNTIF($P$48:P221,"&lt;"&amp;E211)</f>
        <v>109</v>
      </c>
      <c r="H211" s="36">
        <f t="shared" ca="1" si="41"/>
        <v>0</v>
      </c>
      <c r="I211" s="36" t="str">
        <f t="shared" ca="1" si="42"/>
        <v>Ocu</v>
      </c>
      <c r="J211" s="40">
        <f t="shared" ca="1" si="34"/>
        <v>55</v>
      </c>
      <c r="K211" s="41">
        <f t="shared" ca="1" si="31"/>
        <v>12.124257555051891</v>
      </c>
      <c r="L211" s="42">
        <f t="shared" ca="1" si="43"/>
        <v>40.235640692067008</v>
      </c>
      <c r="M211" s="36">
        <f t="shared" ca="1" si="35"/>
        <v>0.49099999999999999</v>
      </c>
      <c r="N211" s="36">
        <f t="shared" si="44"/>
        <v>4</v>
      </c>
      <c r="O211" s="39">
        <f t="shared" ca="1" si="36"/>
        <v>0.17782778779690411</v>
      </c>
      <c r="P211" s="39">
        <f t="shared" ca="1" si="37"/>
        <v>40.413468479863916</v>
      </c>
      <c r="Q211" s="43">
        <f t="shared" ca="1" si="45"/>
        <v>12.302085342848798</v>
      </c>
    </row>
    <row r="212" spans="1:17" x14ac:dyDescent="0.25">
      <c r="A212" s="36">
        <v>165</v>
      </c>
      <c r="B212" s="36">
        <f t="shared" ca="1" si="32"/>
        <v>0.76300000000000001</v>
      </c>
      <c r="C212" s="37">
        <f t="shared" si="38"/>
        <v>6</v>
      </c>
      <c r="D212" s="39">
        <f t="shared" ca="1" si="33"/>
        <v>4.5082874616279994E-2</v>
      </c>
      <c r="E212" s="39">
        <f t="shared" ca="1" si="39"/>
        <v>28.156466011631398</v>
      </c>
      <c r="F212" s="36">
        <f t="shared" ca="1" si="40"/>
        <v>55</v>
      </c>
      <c r="G212" s="36">
        <f ca="1">COUNTIF($P$48:P222,"&lt;"&amp;E212)</f>
        <v>109</v>
      </c>
      <c r="H212" s="36">
        <f t="shared" ca="1" si="41"/>
        <v>0</v>
      </c>
      <c r="I212" s="36" t="str">
        <f t="shared" ca="1" si="42"/>
        <v>Ocu</v>
      </c>
      <c r="J212" s="40">
        <f t="shared" ca="1" si="34"/>
        <v>56</v>
      </c>
      <c r="K212" s="41">
        <f t="shared" ca="1" si="31"/>
        <v>12.257002468232518</v>
      </c>
      <c r="L212" s="42">
        <f t="shared" ca="1" si="43"/>
        <v>40.413468479863916</v>
      </c>
      <c r="M212" s="36">
        <f t="shared" ca="1" si="35"/>
        <v>0.442</v>
      </c>
      <c r="N212" s="36">
        <f t="shared" si="44"/>
        <v>4</v>
      </c>
      <c r="O212" s="39">
        <f t="shared" ca="1" si="36"/>
        <v>0.20411134922610974</v>
      </c>
      <c r="P212" s="39">
        <f t="shared" ca="1" si="37"/>
        <v>40.617579829090026</v>
      </c>
      <c r="Q212" s="43">
        <f t="shared" ca="1" si="45"/>
        <v>12.461113817458628</v>
      </c>
    </row>
    <row r="213" spans="1:17" x14ac:dyDescent="0.25">
      <c r="A213" s="36">
        <v>166</v>
      </c>
      <c r="B213" s="36">
        <f t="shared" ca="1" si="32"/>
        <v>0.40100000000000002</v>
      </c>
      <c r="C213" s="37">
        <f t="shared" si="38"/>
        <v>6</v>
      </c>
      <c r="D213" s="39">
        <f t="shared" ca="1" si="33"/>
        <v>0.15229897527926128</v>
      </c>
      <c r="E213" s="39">
        <f t="shared" ca="1" si="39"/>
        <v>28.30876498691066</v>
      </c>
      <c r="F213" s="36">
        <f t="shared" ca="1" si="40"/>
        <v>55</v>
      </c>
      <c r="G213" s="36">
        <f ca="1">COUNTIF($P$48:P223,"&lt;"&amp;E213)</f>
        <v>110</v>
      </c>
      <c r="H213" s="36">
        <f t="shared" ca="1" si="41"/>
        <v>1</v>
      </c>
      <c r="I213" s="36" t="str">
        <f t="shared" ca="1" si="42"/>
        <v>Ocu</v>
      </c>
      <c r="J213" s="40">
        <f t="shared" ca="1" si="34"/>
        <v>56</v>
      </c>
      <c r="K213" s="41">
        <f t="shared" ca="1" si="31"/>
        <v>12.308814842179366</v>
      </c>
      <c r="L213" s="42">
        <f t="shared" ca="1" si="43"/>
        <v>40.617579829090026</v>
      </c>
      <c r="M213" s="36">
        <f t="shared" ca="1" si="35"/>
        <v>0.28899999999999998</v>
      </c>
      <c r="N213" s="36">
        <f t="shared" si="44"/>
        <v>4</v>
      </c>
      <c r="O213" s="39">
        <f t="shared" ca="1" si="36"/>
        <v>0.31033214771742623</v>
      </c>
      <c r="P213" s="39">
        <f t="shared" ca="1" si="37"/>
        <v>40.927911976807451</v>
      </c>
      <c r="Q213" s="43">
        <f t="shared" ca="1" si="45"/>
        <v>12.619146989896791</v>
      </c>
    </row>
    <row r="214" spans="1:17" x14ac:dyDescent="0.25">
      <c r="A214" s="36">
        <v>167</v>
      </c>
      <c r="B214" s="36">
        <f t="shared" ca="1" si="32"/>
        <v>3.1E-2</v>
      </c>
      <c r="C214" s="37">
        <f t="shared" si="38"/>
        <v>6</v>
      </c>
      <c r="D214" s="39">
        <f t="shared" ca="1" si="33"/>
        <v>0.57896134574949842</v>
      </c>
      <c r="E214" s="39">
        <f t="shared" ca="1" si="39"/>
        <v>28.887726332660158</v>
      </c>
      <c r="F214" s="36">
        <f t="shared" ca="1" si="40"/>
        <v>55</v>
      </c>
      <c r="G214" s="36">
        <f ca="1">COUNTIF($P$48:P224,"&lt;"&amp;E214)</f>
        <v>111</v>
      </c>
      <c r="H214" s="36">
        <f t="shared" ca="1" si="41"/>
        <v>1</v>
      </c>
      <c r="I214" s="36" t="str">
        <f t="shared" ca="1" si="42"/>
        <v>Ocu</v>
      </c>
      <c r="J214" s="40">
        <f t="shared" ca="1" si="34"/>
        <v>56</v>
      </c>
      <c r="K214" s="41">
        <f t="shared" ca="1" si="31"/>
        <v>12.040185644147293</v>
      </c>
      <c r="L214" s="42">
        <f t="shared" ca="1" si="43"/>
        <v>40.927911976807451</v>
      </c>
      <c r="M214" s="36">
        <f t="shared" ca="1" si="35"/>
        <v>0.94099999999999995</v>
      </c>
      <c r="N214" s="36">
        <f t="shared" si="44"/>
        <v>4</v>
      </c>
      <c r="O214" s="39">
        <f t="shared" ca="1" si="36"/>
        <v>1.5203034849189384E-2</v>
      </c>
      <c r="P214" s="39">
        <f t="shared" ca="1" si="37"/>
        <v>40.943115011656637</v>
      </c>
      <c r="Q214" s="43">
        <f t="shared" ca="1" si="45"/>
        <v>12.055388678996479</v>
      </c>
    </row>
    <row r="215" spans="1:17" x14ac:dyDescent="0.25">
      <c r="A215" s="36">
        <v>168</v>
      </c>
      <c r="B215" s="36">
        <f t="shared" ca="1" si="32"/>
        <v>0.54300000000000004</v>
      </c>
      <c r="C215" s="37">
        <f t="shared" si="38"/>
        <v>6</v>
      </c>
      <c r="D215" s="39">
        <f t="shared" ca="1" si="33"/>
        <v>0.1017743265080336</v>
      </c>
      <c r="E215" s="39">
        <f t="shared" ca="1" si="39"/>
        <v>28.98950065916819</v>
      </c>
      <c r="F215" s="36">
        <f t="shared" ca="1" si="40"/>
        <v>55</v>
      </c>
      <c r="G215" s="36">
        <f ca="1">COUNTIF($P$48:P225,"&lt;"&amp;E215)</f>
        <v>112</v>
      </c>
      <c r="H215" s="36">
        <f t="shared" ca="1" si="41"/>
        <v>1</v>
      </c>
      <c r="I215" s="36" t="str">
        <f t="shared" ca="1" si="42"/>
        <v>Ocu</v>
      </c>
      <c r="J215" s="40">
        <f t="shared" ca="1" si="34"/>
        <v>56</v>
      </c>
      <c r="K215" s="41">
        <f t="shared" ca="1" si="31"/>
        <v>11.953614352488447</v>
      </c>
      <c r="L215" s="42">
        <f t="shared" ca="1" si="43"/>
        <v>40.943115011656637</v>
      </c>
      <c r="M215" s="36">
        <f t="shared" ca="1" si="35"/>
        <v>0.95699999999999996</v>
      </c>
      <c r="N215" s="36">
        <f t="shared" si="44"/>
        <v>4</v>
      </c>
      <c r="O215" s="39">
        <f t="shared" ca="1" si="36"/>
        <v>1.0987971882295692E-2</v>
      </c>
      <c r="P215" s="39">
        <f t="shared" ca="1" si="37"/>
        <v>40.954102983538931</v>
      </c>
      <c r="Q215" s="43">
        <f t="shared" ca="1" si="45"/>
        <v>11.964602324370741</v>
      </c>
    </row>
    <row r="216" spans="1:17" x14ac:dyDescent="0.25">
      <c r="A216" s="36">
        <v>169</v>
      </c>
      <c r="B216" s="36">
        <f t="shared" ca="1" si="32"/>
        <v>0.80600000000000005</v>
      </c>
      <c r="C216" s="37">
        <f t="shared" si="38"/>
        <v>6</v>
      </c>
      <c r="D216" s="39">
        <f t="shared" ca="1" si="33"/>
        <v>3.5945256079251448E-2</v>
      </c>
      <c r="E216" s="39">
        <f t="shared" ca="1" si="39"/>
        <v>29.025445915247442</v>
      </c>
      <c r="F216" s="36">
        <f t="shared" ca="1" si="40"/>
        <v>55</v>
      </c>
      <c r="G216" s="36">
        <f ca="1">COUNTIF($P$48:P226,"&lt;"&amp;E216)</f>
        <v>113</v>
      </c>
      <c r="H216" s="36">
        <f t="shared" ca="1" si="41"/>
        <v>1</v>
      </c>
      <c r="I216" s="36" t="str">
        <f t="shared" ca="1" si="42"/>
        <v>Ocu</v>
      </c>
      <c r="J216" s="40">
        <f t="shared" ca="1" si="34"/>
        <v>56</v>
      </c>
      <c r="K216" s="41">
        <f t="shared" ca="1" si="31"/>
        <v>11.928657068291489</v>
      </c>
      <c r="L216" s="42">
        <f t="shared" ca="1" si="43"/>
        <v>40.954102983538931</v>
      </c>
      <c r="M216" s="36">
        <f t="shared" ca="1" si="35"/>
        <v>0.20599999999999999</v>
      </c>
      <c r="N216" s="36">
        <f t="shared" si="44"/>
        <v>4</v>
      </c>
      <c r="O216" s="39">
        <f t="shared" ca="1" si="36"/>
        <v>0.394969777548139</v>
      </c>
      <c r="P216" s="39">
        <f t="shared" ca="1" si="37"/>
        <v>41.349072761087072</v>
      </c>
      <c r="Q216" s="43">
        <f t="shared" ca="1" si="45"/>
        <v>12.32362684583963</v>
      </c>
    </row>
    <row r="217" spans="1:17" x14ac:dyDescent="0.25">
      <c r="A217" s="36">
        <v>170</v>
      </c>
      <c r="B217" s="36">
        <f t="shared" ca="1" si="32"/>
        <v>0.107</v>
      </c>
      <c r="C217" s="37">
        <f t="shared" si="38"/>
        <v>6</v>
      </c>
      <c r="D217" s="39">
        <f t="shared" ca="1" si="33"/>
        <v>0.37248774075337182</v>
      </c>
      <c r="E217" s="39">
        <f t="shared" ca="1" si="39"/>
        <v>29.397933656000813</v>
      </c>
      <c r="F217" s="36">
        <f t="shared" ca="1" si="40"/>
        <v>52</v>
      </c>
      <c r="G217" s="36">
        <f ca="1">COUNTIF($P$48:P227,"&lt;"&amp;E217)</f>
        <v>117</v>
      </c>
      <c r="H217" s="36">
        <f t="shared" ca="1" si="41"/>
        <v>4</v>
      </c>
      <c r="I217" s="36" t="str">
        <f t="shared" ca="1" si="42"/>
        <v>Ocu</v>
      </c>
      <c r="J217" s="40">
        <f t="shared" ca="1" si="34"/>
        <v>53</v>
      </c>
      <c r="K217" s="41">
        <f t="shared" ca="1" si="31"/>
        <v>11.951139105086259</v>
      </c>
      <c r="L217" s="42">
        <f t="shared" ca="1" si="43"/>
        <v>41.349072761087072</v>
      </c>
      <c r="M217" s="36">
        <f t="shared" ca="1" si="35"/>
        <v>0.28599999999999998</v>
      </c>
      <c r="N217" s="36">
        <f t="shared" si="44"/>
        <v>4</v>
      </c>
      <c r="O217" s="39">
        <f t="shared" ca="1" si="36"/>
        <v>0.31294086704057111</v>
      </c>
      <c r="P217" s="39">
        <f t="shared" ca="1" si="37"/>
        <v>41.662013628127646</v>
      </c>
      <c r="Q217" s="43">
        <f t="shared" ca="1" si="45"/>
        <v>12.264079972126833</v>
      </c>
    </row>
    <row r="218" spans="1:17" x14ac:dyDescent="0.25">
      <c r="A218" s="36">
        <v>171</v>
      </c>
      <c r="B218" s="36">
        <f t="shared" ca="1" si="32"/>
        <v>0.69299999999999995</v>
      </c>
      <c r="C218" s="37">
        <f t="shared" si="38"/>
        <v>6</v>
      </c>
      <c r="D218" s="39">
        <f t="shared" ca="1" si="33"/>
        <v>6.1120879965372306E-2</v>
      </c>
      <c r="E218" s="39">
        <f t="shared" ca="1" si="39"/>
        <v>29.459054535966185</v>
      </c>
      <c r="F218" s="36">
        <f t="shared" ca="1" si="40"/>
        <v>53</v>
      </c>
      <c r="G218" s="36">
        <f ca="1">COUNTIF($P$48:P228,"&lt;"&amp;E218)</f>
        <v>117</v>
      </c>
      <c r="H218" s="36">
        <f t="shared" ca="1" si="41"/>
        <v>0</v>
      </c>
      <c r="I218" s="36" t="str">
        <f t="shared" ca="1" si="42"/>
        <v>Ocu</v>
      </c>
      <c r="J218" s="40">
        <f t="shared" ca="1" si="34"/>
        <v>54</v>
      </c>
      <c r="K218" s="41">
        <f t="shared" ca="1" si="31"/>
        <v>12.202959092161461</v>
      </c>
      <c r="L218" s="42">
        <f t="shared" ca="1" si="43"/>
        <v>41.662013628127646</v>
      </c>
      <c r="M218" s="36">
        <f t="shared" ca="1" si="35"/>
        <v>0.71899999999999997</v>
      </c>
      <c r="N218" s="36">
        <f t="shared" si="44"/>
        <v>4</v>
      </c>
      <c r="O218" s="39">
        <f t="shared" ca="1" si="36"/>
        <v>8.2473480315272615E-2</v>
      </c>
      <c r="P218" s="39">
        <f t="shared" ca="1" si="37"/>
        <v>41.744487108442918</v>
      </c>
      <c r="Q218" s="43">
        <f t="shared" ca="1" si="45"/>
        <v>12.285432572476733</v>
      </c>
    </row>
    <row r="219" spans="1:17" x14ac:dyDescent="0.25">
      <c r="A219" s="36">
        <v>172</v>
      </c>
      <c r="B219" s="36">
        <f t="shared" ca="1" si="32"/>
        <v>0.93799999999999994</v>
      </c>
      <c r="C219" s="37">
        <f t="shared" si="38"/>
        <v>6</v>
      </c>
      <c r="D219" s="39">
        <f t="shared" ca="1" si="33"/>
        <v>1.0667554995985396E-2</v>
      </c>
      <c r="E219" s="39">
        <f t="shared" ca="1" si="39"/>
        <v>29.469722090962172</v>
      </c>
      <c r="F219" s="36">
        <f t="shared" ca="1" si="40"/>
        <v>54</v>
      </c>
      <c r="G219" s="36">
        <f ca="1">COUNTIF($P$48:P229,"&lt;"&amp;E219)</f>
        <v>117</v>
      </c>
      <c r="H219" s="36">
        <f t="shared" ca="1" si="41"/>
        <v>0</v>
      </c>
      <c r="I219" s="36" t="str">
        <f t="shared" ca="1" si="42"/>
        <v>Ocu</v>
      </c>
      <c r="J219" s="40">
        <f t="shared" ca="1" si="34"/>
        <v>55</v>
      </c>
      <c r="K219" s="41">
        <f t="shared" ca="1" si="31"/>
        <v>12.274765017480746</v>
      </c>
      <c r="L219" s="42">
        <f t="shared" ca="1" si="43"/>
        <v>41.744487108442918</v>
      </c>
      <c r="M219" s="36">
        <f t="shared" ca="1" si="35"/>
        <v>0.245</v>
      </c>
      <c r="N219" s="36">
        <f t="shared" si="44"/>
        <v>4</v>
      </c>
      <c r="O219" s="39">
        <f t="shared" ca="1" si="36"/>
        <v>0.35162426710935252</v>
      </c>
      <c r="P219" s="39">
        <f t="shared" ca="1" si="37"/>
        <v>42.096111375552269</v>
      </c>
      <c r="Q219" s="43">
        <f t="shared" ca="1" si="45"/>
        <v>12.626389284590097</v>
      </c>
    </row>
    <row r="220" spans="1:17" x14ac:dyDescent="0.25">
      <c r="A220" s="36">
        <v>173</v>
      </c>
      <c r="B220" s="36">
        <f t="shared" ca="1" si="32"/>
        <v>0.104</v>
      </c>
      <c r="C220" s="37">
        <f t="shared" si="38"/>
        <v>6</v>
      </c>
      <c r="D220" s="39">
        <f t="shared" ca="1" si="33"/>
        <v>0.37722739664012739</v>
      </c>
      <c r="E220" s="39">
        <f t="shared" ca="1" si="39"/>
        <v>29.846949487602298</v>
      </c>
      <c r="F220" s="36">
        <f t="shared" ca="1" si="40"/>
        <v>53</v>
      </c>
      <c r="G220" s="36">
        <f ca="1">COUNTIF($P$48:P230,"&lt;"&amp;E220)</f>
        <v>119</v>
      </c>
      <c r="H220" s="36">
        <f t="shared" ca="1" si="41"/>
        <v>2</v>
      </c>
      <c r="I220" s="36" t="str">
        <f t="shared" ca="1" si="42"/>
        <v>Ocu</v>
      </c>
      <c r="J220" s="40">
        <f t="shared" ca="1" si="34"/>
        <v>54</v>
      </c>
      <c r="K220" s="41">
        <f t="shared" ca="1" si="31"/>
        <v>12.24916188794997</v>
      </c>
      <c r="L220" s="42">
        <f t="shared" ca="1" si="43"/>
        <v>42.096111375552269</v>
      </c>
      <c r="M220" s="36">
        <f t="shared" ca="1" si="35"/>
        <v>0.64500000000000002</v>
      </c>
      <c r="N220" s="36">
        <f t="shared" si="44"/>
        <v>4</v>
      </c>
      <c r="O220" s="39">
        <f t="shared" ca="1" si="36"/>
        <v>0.10962624054659112</v>
      </c>
      <c r="P220" s="39">
        <f t="shared" ca="1" si="37"/>
        <v>42.205737616098858</v>
      </c>
      <c r="Q220" s="43">
        <f t="shared" ca="1" si="45"/>
        <v>12.35878812849656</v>
      </c>
    </row>
    <row r="221" spans="1:17" x14ac:dyDescent="0.25">
      <c r="A221" s="36">
        <v>174</v>
      </c>
      <c r="B221" s="36">
        <f t="shared" ca="1" si="32"/>
        <v>0.55300000000000005</v>
      </c>
      <c r="C221" s="37">
        <f t="shared" si="38"/>
        <v>6</v>
      </c>
      <c r="D221" s="39">
        <f t="shared" ca="1" si="33"/>
        <v>9.8732879576633695E-2</v>
      </c>
      <c r="E221" s="39">
        <f t="shared" ca="1" si="39"/>
        <v>29.945682367178932</v>
      </c>
      <c r="F221" s="36">
        <f t="shared" ca="1" si="40"/>
        <v>53</v>
      </c>
      <c r="G221" s="36">
        <f ca="1">COUNTIF($P$48:P231,"&lt;"&amp;E221)</f>
        <v>120</v>
      </c>
      <c r="H221" s="36">
        <f t="shared" ca="1" si="41"/>
        <v>1</v>
      </c>
      <c r="I221" s="36" t="str">
        <f t="shared" ca="1" si="42"/>
        <v>Ocu</v>
      </c>
      <c r="J221" s="40">
        <f t="shared" ca="1" si="34"/>
        <v>54</v>
      </c>
      <c r="K221" s="41">
        <f t="shared" ca="1" si="31"/>
        <v>12.260055248919926</v>
      </c>
      <c r="L221" s="42">
        <f t="shared" ca="1" si="43"/>
        <v>42.205737616098858</v>
      </c>
      <c r="M221" s="36">
        <f t="shared" ca="1" si="35"/>
        <v>2.1999999999999999E-2</v>
      </c>
      <c r="N221" s="36">
        <f t="shared" si="44"/>
        <v>4</v>
      </c>
      <c r="O221" s="39">
        <f t="shared" ca="1" si="36"/>
        <v>0.9541782064059553</v>
      </c>
      <c r="P221" s="39">
        <f t="shared" ca="1" si="37"/>
        <v>43.159915822504814</v>
      </c>
      <c r="Q221" s="43">
        <f t="shared" ca="1" si="45"/>
        <v>13.214233455325882</v>
      </c>
    </row>
    <row r="222" spans="1:17" x14ac:dyDescent="0.25">
      <c r="A222" s="36">
        <v>175</v>
      </c>
      <c r="B222" s="36">
        <f t="shared" ca="1" si="32"/>
        <v>0.23599999999999999</v>
      </c>
      <c r="C222" s="37">
        <f t="shared" si="38"/>
        <v>6</v>
      </c>
      <c r="D222" s="39">
        <f t="shared" ca="1" si="33"/>
        <v>0.24065391232608782</v>
      </c>
      <c r="E222" s="39">
        <f t="shared" ca="1" si="39"/>
        <v>30.186336279505021</v>
      </c>
      <c r="F222" s="36">
        <f t="shared" ca="1" si="40"/>
        <v>54</v>
      </c>
      <c r="G222" s="36">
        <f ca="1">COUNTIF($P$48:P232,"&lt;"&amp;E222)</f>
        <v>120</v>
      </c>
      <c r="H222" s="36">
        <f t="shared" ca="1" si="41"/>
        <v>0</v>
      </c>
      <c r="I222" s="36" t="str">
        <f t="shared" ca="1" si="42"/>
        <v>Ocu</v>
      </c>
      <c r="J222" s="40">
        <f t="shared" ca="1" si="34"/>
        <v>55</v>
      </c>
      <c r="K222" s="41">
        <f t="shared" ca="1" si="31"/>
        <v>12.973579542999794</v>
      </c>
      <c r="L222" s="42">
        <f t="shared" ca="1" si="43"/>
        <v>43.159915822504814</v>
      </c>
      <c r="M222" s="36">
        <f t="shared" ca="1" si="35"/>
        <v>0.52500000000000002</v>
      </c>
      <c r="N222" s="36">
        <f t="shared" si="44"/>
        <v>4</v>
      </c>
      <c r="O222" s="39">
        <f t="shared" ca="1" si="36"/>
        <v>0.16108925409762831</v>
      </c>
      <c r="P222" s="39">
        <f t="shared" ca="1" si="37"/>
        <v>43.321005076602439</v>
      </c>
      <c r="Q222" s="43">
        <f t="shared" ca="1" si="45"/>
        <v>13.134668797097419</v>
      </c>
    </row>
    <row r="223" spans="1:17" x14ac:dyDescent="0.25">
      <c r="A223" s="36">
        <v>176</v>
      </c>
      <c r="B223" s="36">
        <f t="shared" ca="1" si="32"/>
        <v>0.51700000000000002</v>
      </c>
      <c r="C223" s="37">
        <f t="shared" si="38"/>
        <v>6</v>
      </c>
      <c r="D223" s="39">
        <f t="shared" ca="1" si="33"/>
        <v>0.10995206741228464</v>
      </c>
      <c r="E223" s="39">
        <f t="shared" ca="1" si="39"/>
        <v>30.296288346917304</v>
      </c>
      <c r="F223" s="36">
        <f t="shared" ca="1" si="40"/>
        <v>55</v>
      </c>
      <c r="G223" s="36">
        <f ca="1">COUNTIF($P$48:P233,"&lt;"&amp;E223)</f>
        <v>120</v>
      </c>
      <c r="H223" s="36">
        <f t="shared" ca="1" si="41"/>
        <v>0</v>
      </c>
      <c r="I223" s="36" t="str">
        <f t="shared" ca="1" si="42"/>
        <v>Ocu</v>
      </c>
      <c r="J223" s="40">
        <f t="shared" ca="1" si="34"/>
        <v>56</v>
      </c>
      <c r="K223" s="41">
        <f t="shared" ca="1" si="31"/>
        <v>13.024716729685135</v>
      </c>
      <c r="L223" s="42">
        <f t="shared" ca="1" si="43"/>
        <v>43.321005076602439</v>
      </c>
      <c r="M223" s="36">
        <f t="shared" ca="1" si="35"/>
        <v>0.311</v>
      </c>
      <c r="N223" s="36">
        <f t="shared" si="44"/>
        <v>4</v>
      </c>
      <c r="O223" s="39">
        <f t="shared" ca="1" si="36"/>
        <v>0.29199059170072572</v>
      </c>
      <c r="P223" s="39">
        <f t="shared" ca="1" si="37"/>
        <v>43.612995668303164</v>
      </c>
      <c r="Q223" s="43">
        <f t="shared" ca="1" si="45"/>
        <v>13.316707321385859</v>
      </c>
    </row>
    <row r="224" spans="1:17" x14ac:dyDescent="0.25">
      <c r="A224" s="36">
        <v>177</v>
      </c>
      <c r="B224" s="36">
        <f t="shared" ca="1" si="32"/>
        <v>0.57199999999999995</v>
      </c>
      <c r="C224" s="37">
        <f t="shared" si="38"/>
        <v>6</v>
      </c>
      <c r="D224" s="39">
        <f t="shared" ca="1" si="33"/>
        <v>9.3102714600389852E-2</v>
      </c>
      <c r="E224" s="39">
        <f t="shared" ca="1" si="39"/>
        <v>30.389391061517696</v>
      </c>
      <c r="F224" s="36">
        <f t="shared" ca="1" si="40"/>
        <v>56</v>
      </c>
      <c r="G224" s="36">
        <f ca="1">COUNTIF($P$48:P234,"&lt;"&amp;E224)</f>
        <v>120</v>
      </c>
      <c r="H224" s="36">
        <f t="shared" ca="1" si="41"/>
        <v>0</v>
      </c>
      <c r="I224" s="36" t="str">
        <f t="shared" ca="1" si="42"/>
        <v>Ocu</v>
      </c>
      <c r="J224" s="40">
        <f t="shared" ca="1" si="34"/>
        <v>57</v>
      </c>
      <c r="K224" s="41">
        <f t="shared" ca="1" si="31"/>
        <v>13.223604606785468</v>
      </c>
      <c r="L224" s="42">
        <f t="shared" ca="1" si="43"/>
        <v>43.612995668303164</v>
      </c>
      <c r="M224" s="36">
        <f t="shared" ca="1" si="35"/>
        <v>0.98499999999999999</v>
      </c>
      <c r="N224" s="36">
        <f t="shared" si="44"/>
        <v>4</v>
      </c>
      <c r="O224" s="39">
        <f t="shared" ca="1" si="36"/>
        <v>3.7784094525120265E-3</v>
      </c>
      <c r="P224" s="39">
        <f t="shared" ca="1" si="37"/>
        <v>43.616774077755679</v>
      </c>
      <c r="Q224" s="43">
        <f t="shared" ca="1" si="45"/>
        <v>13.227383016237983</v>
      </c>
    </row>
    <row r="225" spans="1:17" x14ac:dyDescent="0.25">
      <c r="A225" s="36">
        <v>178</v>
      </c>
      <c r="B225" s="36">
        <f t="shared" ca="1" si="32"/>
        <v>0.68100000000000005</v>
      </c>
      <c r="C225" s="37">
        <f t="shared" si="38"/>
        <v>6</v>
      </c>
      <c r="D225" s="39">
        <f t="shared" ca="1" si="33"/>
        <v>6.4032162138770762E-2</v>
      </c>
      <c r="E225" s="39">
        <f t="shared" ca="1" si="39"/>
        <v>30.453423223656465</v>
      </c>
      <c r="F225" s="36">
        <f t="shared" ca="1" si="40"/>
        <v>57</v>
      </c>
      <c r="G225" s="36">
        <f ca="1">COUNTIF($P$48:P235,"&lt;"&amp;E225)</f>
        <v>120</v>
      </c>
      <c r="H225" s="36">
        <f t="shared" ca="1" si="41"/>
        <v>0</v>
      </c>
      <c r="I225" s="36" t="str">
        <f t="shared" ca="1" si="42"/>
        <v>Ocu</v>
      </c>
      <c r="J225" s="40">
        <f t="shared" ca="1" si="34"/>
        <v>58</v>
      </c>
      <c r="K225" s="41">
        <f t="shared" ca="1" si="31"/>
        <v>13.163350854099214</v>
      </c>
      <c r="L225" s="42">
        <f t="shared" ca="1" si="43"/>
        <v>43.616774077755679</v>
      </c>
      <c r="M225" s="36">
        <f t="shared" ca="1" si="35"/>
        <v>0.28000000000000003</v>
      </c>
      <c r="N225" s="36">
        <f t="shared" si="44"/>
        <v>4</v>
      </c>
      <c r="O225" s="39">
        <f t="shared" ca="1" si="36"/>
        <v>0.31824141895322183</v>
      </c>
      <c r="P225" s="39">
        <f t="shared" ca="1" si="37"/>
        <v>43.9350154967089</v>
      </c>
      <c r="Q225" s="43">
        <f t="shared" ca="1" si="45"/>
        <v>13.481592273052435</v>
      </c>
    </row>
    <row r="226" spans="1:17" x14ac:dyDescent="0.25">
      <c r="A226" s="36">
        <v>179</v>
      </c>
      <c r="B226" s="36">
        <f t="shared" ca="1" si="32"/>
        <v>0.74199999999999999</v>
      </c>
      <c r="C226" s="37">
        <f t="shared" si="38"/>
        <v>6</v>
      </c>
      <c r="D226" s="39">
        <f t="shared" ca="1" si="33"/>
        <v>4.9734339302459421E-2</v>
      </c>
      <c r="E226" s="39">
        <f t="shared" ca="1" si="39"/>
        <v>30.503157562958926</v>
      </c>
      <c r="F226" s="36">
        <f t="shared" ca="1" si="40"/>
        <v>58</v>
      </c>
      <c r="G226" s="36">
        <f ca="1">COUNTIF($P$48:P236,"&lt;"&amp;E226)</f>
        <v>120</v>
      </c>
      <c r="H226" s="36">
        <f t="shared" ca="1" si="41"/>
        <v>0</v>
      </c>
      <c r="I226" s="36" t="str">
        <f t="shared" ca="1" si="42"/>
        <v>Ocu</v>
      </c>
      <c r="J226" s="40">
        <f t="shared" ca="1" si="34"/>
        <v>59</v>
      </c>
      <c r="K226" s="41">
        <f t="shared" ca="1" si="31"/>
        <v>13.431857933749974</v>
      </c>
      <c r="L226" s="42">
        <f t="shared" ca="1" si="43"/>
        <v>43.9350154967089</v>
      </c>
      <c r="M226" s="36">
        <f t="shared" ca="1" si="35"/>
        <v>0.72599999999999998</v>
      </c>
      <c r="N226" s="36">
        <f t="shared" si="44"/>
        <v>4</v>
      </c>
      <c r="O226" s="39">
        <f t="shared" ca="1" si="36"/>
        <v>8.0051316039335269E-2</v>
      </c>
      <c r="P226" s="39">
        <f t="shared" ca="1" si="37"/>
        <v>44.015066812748238</v>
      </c>
      <c r="Q226" s="43">
        <f t="shared" ca="1" si="45"/>
        <v>13.511909249789312</v>
      </c>
    </row>
    <row r="227" spans="1:17" x14ac:dyDescent="0.25">
      <c r="A227" s="36">
        <v>180</v>
      </c>
      <c r="B227" s="36">
        <f t="shared" ca="1" si="32"/>
        <v>0.65700000000000003</v>
      </c>
      <c r="C227" s="37">
        <f t="shared" si="38"/>
        <v>6</v>
      </c>
      <c r="D227" s="39">
        <f t="shared" ca="1" si="33"/>
        <v>7.001187674958774E-2</v>
      </c>
      <c r="E227" s="39">
        <f t="shared" ca="1" si="39"/>
        <v>30.573169439708515</v>
      </c>
      <c r="F227" s="36">
        <f t="shared" ca="1" si="40"/>
        <v>59</v>
      </c>
      <c r="G227" s="36">
        <f ca="1">COUNTIF($P$48:P237,"&lt;"&amp;E227)</f>
        <v>120</v>
      </c>
      <c r="H227" s="36">
        <f t="shared" ca="1" si="41"/>
        <v>0</v>
      </c>
      <c r="I227" s="36" t="str">
        <f t="shared" ca="1" si="42"/>
        <v>Ocu</v>
      </c>
      <c r="J227" s="40">
        <f t="shared" ca="1" si="34"/>
        <v>60</v>
      </c>
      <c r="K227" s="41">
        <f t="shared" ca="1" si="31"/>
        <v>13.441897373039723</v>
      </c>
      <c r="L227" s="42">
        <f t="shared" ca="1" si="43"/>
        <v>44.015066812748238</v>
      </c>
      <c r="M227" s="36">
        <f t="shared" ca="1" si="35"/>
        <v>0.24199999999999999</v>
      </c>
      <c r="N227" s="36">
        <f t="shared" si="44"/>
        <v>4</v>
      </c>
      <c r="O227" s="39">
        <f t="shared" ca="1" si="36"/>
        <v>0.35470438820636269</v>
      </c>
      <c r="P227" s="39">
        <f t="shared" ca="1" si="37"/>
        <v>44.369771200954602</v>
      </c>
      <c r="Q227" s="43">
        <f t="shared" ca="1" si="45"/>
        <v>13.796601761246087</v>
      </c>
    </row>
    <row r="228" spans="1:17" x14ac:dyDescent="0.25">
      <c r="A228" s="36">
        <v>181</v>
      </c>
      <c r="B228" s="36">
        <f t="shared" ca="1" si="32"/>
        <v>0.1</v>
      </c>
      <c r="C228" s="37">
        <f t="shared" si="38"/>
        <v>6</v>
      </c>
      <c r="D228" s="39">
        <f t="shared" ca="1" si="33"/>
        <v>0.38376418216567432</v>
      </c>
      <c r="E228" s="39">
        <f t="shared" ca="1" si="39"/>
        <v>30.956933621874189</v>
      </c>
      <c r="F228" s="36">
        <f t="shared" ca="1" si="40"/>
        <v>57</v>
      </c>
      <c r="G228" s="36">
        <f ca="1">COUNTIF($P$48:P238,"&lt;"&amp;E228)</f>
        <v>123</v>
      </c>
      <c r="H228" s="36">
        <f t="shared" ca="1" si="41"/>
        <v>3</v>
      </c>
      <c r="I228" s="36" t="str">
        <f t="shared" ca="1" si="42"/>
        <v>Ocu</v>
      </c>
      <c r="J228" s="40">
        <f t="shared" ca="1" si="34"/>
        <v>58</v>
      </c>
      <c r="K228" s="41">
        <f t="shared" ca="1" si="31"/>
        <v>13.412837579080414</v>
      </c>
      <c r="L228" s="42">
        <f t="shared" ca="1" si="43"/>
        <v>44.369771200954602</v>
      </c>
      <c r="M228" s="36">
        <f t="shared" ca="1" si="35"/>
        <v>0.79300000000000004</v>
      </c>
      <c r="N228" s="36">
        <f t="shared" si="44"/>
        <v>4</v>
      </c>
      <c r="O228" s="39">
        <f t="shared" ca="1" si="36"/>
        <v>5.7983014336822271E-2</v>
      </c>
      <c r="P228" s="39">
        <f t="shared" ca="1" si="37"/>
        <v>44.427754215291422</v>
      </c>
      <c r="Q228" s="43">
        <f t="shared" ca="1" si="45"/>
        <v>13.470820593417233</v>
      </c>
    </row>
    <row r="229" spans="1:17" x14ac:dyDescent="0.25">
      <c r="A229" s="36">
        <v>182</v>
      </c>
      <c r="B229" s="36">
        <f t="shared" ca="1" si="32"/>
        <v>0.16900000000000001</v>
      </c>
      <c r="C229" s="37">
        <f t="shared" si="38"/>
        <v>6</v>
      </c>
      <c r="D229" s="39">
        <f t="shared" ca="1" si="33"/>
        <v>0.29630942734317722</v>
      </c>
      <c r="E229" s="39">
        <f t="shared" ca="1" si="39"/>
        <v>31.253243049217367</v>
      </c>
      <c r="F229" s="36">
        <f t="shared" ca="1" si="40"/>
        <v>56</v>
      </c>
      <c r="G229" s="36">
        <f ca="1">COUNTIF($P$48:P239,"&lt;"&amp;E229)</f>
        <v>125</v>
      </c>
      <c r="H229" s="36">
        <f t="shared" ca="1" si="41"/>
        <v>2</v>
      </c>
      <c r="I229" s="36" t="str">
        <f t="shared" ca="1" si="42"/>
        <v>Ocu</v>
      </c>
      <c r="J229" s="40">
        <f t="shared" ca="1" si="34"/>
        <v>57</v>
      </c>
      <c r="K229" s="41">
        <f t="shared" ca="1" si="31"/>
        <v>13.174511166074055</v>
      </c>
      <c r="L229" s="42">
        <f t="shared" ca="1" si="43"/>
        <v>44.427754215291422</v>
      </c>
      <c r="M229" s="36">
        <f t="shared" ca="1" si="35"/>
        <v>0.77300000000000002</v>
      </c>
      <c r="N229" s="36">
        <f t="shared" si="44"/>
        <v>4</v>
      </c>
      <c r="O229" s="39">
        <f t="shared" ca="1" si="36"/>
        <v>6.4369057598678753E-2</v>
      </c>
      <c r="P229" s="39">
        <f t="shared" ca="1" si="37"/>
        <v>44.492123272890097</v>
      </c>
      <c r="Q229" s="43">
        <f t="shared" ca="1" si="45"/>
        <v>13.23888022367273</v>
      </c>
    </row>
    <row r="230" spans="1:17" x14ac:dyDescent="0.25">
      <c r="A230" s="36">
        <v>183</v>
      </c>
      <c r="B230" s="36">
        <f t="shared" ca="1" si="32"/>
        <v>0.84199999999999997</v>
      </c>
      <c r="C230" s="37">
        <f t="shared" si="38"/>
        <v>6</v>
      </c>
      <c r="D230" s="39">
        <f t="shared" ca="1" si="33"/>
        <v>2.8662544123301714E-2</v>
      </c>
      <c r="E230" s="39">
        <f t="shared" ca="1" si="39"/>
        <v>31.281905593340667</v>
      </c>
      <c r="F230" s="36">
        <f t="shared" ca="1" si="40"/>
        <v>57</v>
      </c>
      <c r="G230" s="36">
        <f ca="1">COUNTIF($P$48:P240,"&lt;"&amp;E230)</f>
        <v>125</v>
      </c>
      <c r="H230" s="36">
        <f t="shared" ca="1" si="41"/>
        <v>0</v>
      </c>
      <c r="I230" s="36" t="str">
        <f t="shared" ca="1" si="42"/>
        <v>Ocu</v>
      </c>
      <c r="J230" s="40">
        <f t="shared" ca="1" si="34"/>
        <v>58</v>
      </c>
      <c r="K230" s="41">
        <f t="shared" ca="1" si="31"/>
        <v>13.21021767954943</v>
      </c>
      <c r="L230" s="42">
        <f t="shared" ca="1" si="43"/>
        <v>44.492123272890097</v>
      </c>
      <c r="M230" s="36">
        <f t="shared" ca="1" si="35"/>
        <v>0.51400000000000001</v>
      </c>
      <c r="N230" s="36">
        <f t="shared" si="44"/>
        <v>4</v>
      </c>
      <c r="O230" s="39">
        <f t="shared" ca="1" si="36"/>
        <v>0.16638300338174297</v>
      </c>
      <c r="P230" s="39">
        <f t="shared" ca="1" si="37"/>
        <v>44.658506276271844</v>
      </c>
      <c r="Q230" s="43">
        <f t="shared" ca="1" si="45"/>
        <v>13.376600682931176</v>
      </c>
    </row>
    <row r="231" spans="1:17" x14ac:dyDescent="0.25">
      <c r="A231" s="36">
        <v>184</v>
      </c>
      <c r="B231" s="36">
        <f t="shared" ca="1" si="32"/>
        <v>0.94899999999999995</v>
      </c>
      <c r="C231" s="37">
        <f t="shared" si="38"/>
        <v>6</v>
      </c>
      <c r="D231" s="39">
        <f t="shared" ca="1" si="33"/>
        <v>8.7244133953681986E-3</v>
      </c>
      <c r="E231" s="39">
        <f t="shared" ca="1" si="39"/>
        <v>31.290630006736034</v>
      </c>
      <c r="F231" s="36">
        <f t="shared" ca="1" si="40"/>
        <v>58</v>
      </c>
      <c r="G231" s="36">
        <f ca="1">COUNTIF($P$48:P241,"&lt;"&amp;E231)</f>
        <v>125</v>
      </c>
      <c r="H231" s="36">
        <f t="shared" ca="1" si="41"/>
        <v>0</v>
      </c>
      <c r="I231" s="36" t="str">
        <f t="shared" ca="1" si="42"/>
        <v>Ocu</v>
      </c>
      <c r="J231" s="40">
        <f t="shared" ca="1" si="34"/>
        <v>59</v>
      </c>
      <c r="K231" s="41">
        <f t="shared" ca="1" si="31"/>
        <v>13.36787626953581</v>
      </c>
      <c r="L231" s="42">
        <f t="shared" ca="1" si="43"/>
        <v>44.658506276271844</v>
      </c>
      <c r="M231" s="36">
        <f t="shared" ca="1" si="35"/>
        <v>0.93400000000000005</v>
      </c>
      <c r="N231" s="36">
        <f t="shared" si="44"/>
        <v>4</v>
      </c>
      <c r="O231" s="39">
        <f t="shared" ca="1" si="36"/>
        <v>1.7069710188323577E-2</v>
      </c>
      <c r="P231" s="39">
        <f t="shared" ca="1" si="37"/>
        <v>44.675575986460167</v>
      </c>
      <c r="Q231" s="43">
        <f t="shared" ca="1" si="45"/>
        <v>13.384945979724133</v>
      </c>
    </row>
    <row r="232" spans="1:17" x14ac:dyDescent="0.25">
      <c r="A232" s="36">
        <v>185</v>
      </c>
      <c r="B232" s="36">
        <f t="shared" ca="1" si="32"/>
        <v>0.95499999999999996</v>
      </c>
      <c r="C232" s="37">
        <f t="shared" si="38"/>
        <v>6</v>
      </c>
      <c r="D232" s="39">
        <f t="shared" ca="1" si="33"/>
        <v>7.6739897502344657E-3</v>
      </c>
      <c r="E232" s="39">
        <f t="shared" ca="1" si="39"/>
        <v>31.298303996486268</v>
      </c>
      <c r="F232" s="36">
        <f t="shared" ca="1" si="40"/>
        <v>59</v>
      </c>
      <c r="G232" s="36">
        <f ca="1">COUNTIF($P$48:P242,"&lt;"&amp;E232)</f>
        <v>125</v>
      </c>
      <c r="H232" s="36">
        <f t="shared" ca="1" si="41"/>
        <v>0</v>
      </c>
      <c r="I232" s="36" t="str">
        <f t="shared" ca="1" si="42"/>
        <v>Ocu</v>
      </c>
      <c r="J232" s="40">
        <f t="shared" ca="1" si="34"/>
        <v>60</v>
      </c>
      <c r="K232" s="41">
        <f t="shared" ca="1" si="31"/>
        <v>13.377271989973899</v>
      </c>
      <c r="L232" s="42">
        <f t="shared" ca="1" si="43"/>
        <v>44.675575986460167</v>
      </c>
      <c r="M232" s="36">
        <f t="shared" ca="1" si="35"/>
        <v>0.51400000000000001</v>
      </c>
      <c r="N232" s="36">
        <f t="shared" si="44"/>
        <v>4</v>
      </c>
      <c r="O232" s="39">
        <f t="shared" ca="1" si="36"/>
        <v>0.16638300338174297</v>
      </c>
      <c r="P232" s="39">
        <f t="shared" ca="1" si="37"/>
        <v>44.841958989841913</v>
      </c>
      <c r="Q232" s="43">
        <f t="shared" ca="1" si="45"/>
        <v>13.543654993355645</v>
      </c>
    </row>
    <row r="233" spans="1:17" x14ac:dyDescent="0.25">
      <c r="A233" s="36">
        <v>186</v>
      </c>
      <c r="B233" s="36">
        <f t="shared" ca="1" si="32"/>
        <v>0.88500000000000001</v>
      </c>
      <c r="C233" s="37">
        <f t="shared" si="38"/>
        <v>6</v>
      </c>
      <c r="D233" s="39">
        <f t="shared" ca="1" si="33"/>
        <v>2.0361272329034591E-2</v>
      </c>
      <c r="E233" s="39">
        <f t="shared" ca="1" si="39"/>
        <v>31.318665268815302</v>
      </c>
      <c r="F233" s="36">
        <f t="shared" ca="1" si="40"/>
        <v>60</v>
      </c>
      <c r="G233" s="36">
        <f ca="1">COUNTIF($P$48:P243,"&lt;"&amp;E233)</f>
        <v>125</v>
      </c>
      <c r="H233" s="36">
        <f t="shared" ca="1" si="41"/>
        <v>0</v>
      </c>
      <c r="I233" s="36" t="str">
        <f t="shared" ca="1" si="42"/>
        <v>Ocu</v>
      </c>
      <c r="J233" s="40">
        <f t="shared" ca="1" si="34"/>
        <v>61</v>
      </c>
      <c r="K233" s="41">
        <f t="shared" ca="1" si="31"/>
        <v>13.523293721026612</v>
      </c>
      <c r="L233" s="42">
        <f t="shared" ca="1" si="43"/>
        <v>44.841958989841913</v>
      </c>
      <c r="M233" s="36">
        <f t="shared" ca="1" si="35"/>
        <v>0.748</v>
      </c>
      <c r="N233" s="36">
        <f t="shared" si="44"/>
        <v>4</v>
      </c>
      <c r="O233" s="39">
        <f t="shared" ca="1" si="36"/>
        <v>7.2588075251914949E-2</v>
      </c>
      <c r="P233" s="39">
        <f t="shared" ca="1" si="37"/>
        <v>44.914547065093828</v>
      </c>
      <c r="Q233" s="43">
        <f t="shared" ca="1" si="45"/>
        <v>13.595881796278526</v>
      </c>
    </row>
    <row r="234" spans="1:17" x14ac:dyDescent="0.25">
      <c r="A234" s="36">
        <v>187</v>
      </c>
      <c r="B234" s="36">
        <f t="shared" ca="1" si="32"/>
        <v>2.1999999999999999E-2</v>
      </c>
      <c r="C234" s="37">
        <f t="shared" si="38"/>
        <v>6</v>
      </c>
      <c r="D234" s="39">
        <f t="shared" ca="1" si="33"/>
        <v>0.63611880427063683</v>
      </c>
      <c r="E234" s="39">
        <f t="shared" ca="1" si="39"/>
        <v>31.954784073085939</v>
      </c>
      <c r="F234" s="36">
        <f t="shared" ca="1" si="40"/>
        <v>55</v>
      </c>
      <c r="G234" s="36">
        <f ca="1">COUNTIF($P$48:P244,"&lt;"&amp;E234)</f>
        <v>131</v>
      </c>
      <c r="H234" s="36">
        <f t="shared" ca="1" si="41"/>
        <v>6</v>
      </c>
      <c r="I234" s="36" t="str">
        <f t="shared" ca="1" si="42"/>
        <v>Ocu</v>
      </c>
      <c r="J234" s="40">
        <f t="shared" ca="1" si="34"/>
        <v>56</v>
      </c>
      <c r="K234" s="41">
        <f t="shared" ca="1" si="31"/>
        <v>12.959762992007889</v>
      </c>
      <c r="L234" s="42">
        <f t="shared" ca="1" si="43"/>
        <v>44.914547065093828</v>
      </c>
      <c r="M234" s="36">
        <f t="shared" ca="1" si="35"/>
        <v>0.96199999999999997</v>
      </c>
      <c r="N234" s="36">
        <f t="shared" si="44"/>
        <v>4</v>
      </c>
      <c r="O234" s="39">
        <f t="shared" ca="1" si="36"/>
        <v>9.685207079107654E-3</v>
      </c>
      <c r="P234" s="39">
        <f t="shared" ca="1" si="37"/>
        <v>44.924232272172937</v>
      </c>
      <c r="Q234" s="43">
        <f t="shared" ca="1" si="45"/>
        <v>12.969448199086997</v>
      </c>
    </row>
    <row r="235" spans="1:17" x14ac:dyDescent="0.25">
      <c r="A235" s="36">
        <v>188</v>
      </c>
      <c r="B235" s="36">
        <f t="shared" ca="1" si="32"/>
        <v>0.89700000000000002</v>
      </c>
      <c r="C235" s="37">
        <f t="shared" si="38"/>
        <v>6</v>
      </c>
      <c r="D235" s="39">
        <f t="shared" ca="1" si="33"/>
        <v>1.8116569487223486E-2</v>
      </c>
      <c r="E235" s="39">
        <f t="shared" ca="1" si="39"/>
        <v>31.972900642573162</v>
      </c>
      <c r="F235" s="36">
        <f t="shared" ca="1" si="40"/>
        <v>56</v>
      </c>
      <c r="G235" s="36">
        <f ca="1">COUNTIF($P$48:P245,"&lt;"&amp;E235)</f>
        <v>131</v>
      </c>
      <c r="H235" s="36">
        <f t="shared" ca="1" si="41"/>
        <v>0</v>
      </c>
      <c r="I235" s="36" t="str">
        <f t="shared" ca="1" si="42"/>
        <v>Ocu</v>
      </c>
      <c r="J235" s="40">
        <f t="shared" ca="1" si="34"/>
        <v>57</v>
      </c>
      <c r="K235" s="41">
        <f t="shared" ca="1" si="31"/>
        <v>12.951331629599775</v>
      </c>
      <c r="L235" s="42">
        <f t="shared" ca="1" si="43"/>
        <v>44.924232272172937</v>
      </c>
      <c r="M235" s="36">
        <f t="shared" ca="1" si="35"/>
        <v>0.435</v>
      </c>
      <c r="N235" s="36">
        <f t="shared" si="44"/>
        <v>4</v>
      </c>
      <c r="O235" s="39">
        <f t="shared" ca="1" si="36"/>
        <v>0.20810231197336324</v>
      </c>
      <c r="P235" s="39">
        <f t="shared" ca="1" si="37"/>
        <v>45.1323345841463</v>
      </c>
      <c r="Q235" s="43">
        <f t="shared" ca="1" si="45"/>
        <v>13.159433941573138</v>
      </c>
    </row>
    <row r="236" spans="1:17" x14ac:dyDescent="0.25">
      <c r="A236" s="36">
        <v>189</v>
      </c>
      <c r="B236" s="36">
        <f t="shared" ca="1" si="32"/>
        <v>0.96599999999999997</v>
      </c>
      <c r="C236" s="37">
        <f t="shared" si="38"/>
        <v>6</v>
      </c>
      <c r="D236" s="39">
        <f t="shared" ca="1" si="33"/>
        <v>5.7652407949365138E-3</v>
      </c>
      <c r="E236" s="39">
        <f t="shared" ca="1" si="39"/>
        <v>31.978665883368098</v>
      </c>
      <c r="F236" s="36">
        <f t="shared" ca="1" si="40"/>
        <v>57</v>
      </c>
      <c r="G236" s="36">
        <f ca="1">COUNTIF($P$48:P246,"&lt;"&amp;E236)</f>
        <v>131</v>
      </c>
      <c r="H236" s="36">
        <f t="shared" ca="1" si="41"/>
        <v>0</v>
      </c>
      <c r="I236" s="36" t="str">
        <f t="shared" ca="1" si="42"/>
        <v>Ocu</v>
      </c>
      <c r="J236" s="40">
        <f t="shared" ca="1" si="34"/>
        <v>58</v>
      </c>
      <c r="K236" s="41">
        <f t="shared" ca="1" si="31"/>
        <v>13.153668700778201</v>
      </c>
      <c r="L236" s="42">
        <f t="shared" ca="1" si="43"/>
        <v>45.1323345841463</v>
      </c>
      <c r="M236" s="36">
        <f t="shared" ca="1" si="35"/>
        <v>0.77300000000000002</v>
      </c>
      <c r="N236" s="36">
        <f t="shared" si="44"/>
        <v>4</v>
      </c>
      <c r="O236" s="39">
        <f t="shared" ca="1" si="36"/>
        <v>6.4369057598678753E-2</v>
      </c>
      <c r="P236" s="39">
        <f t="shared" ca="1" si="37"/>
        <v>45.196703641744975</v>
      </c>
      <c r="Q236" s="43">
        <f t="shared" ca="1" si="45"/>
        <v>13.218037758376877</v>
      </c>
    </row>
    <row r="237" spans="1:17" x14ac:dyDescent="0.25">
      <c r="A237" s="36">
        <v>190</v>
      </c>
      <c r="B237" s="36">
        <f t="shared" ca="1" si="32"/>
        <v>0.82199999999999995</v>
      </c>
      <c r="C237" s="37">
        <f t="shared" si="38"/>
        <v>6</v>
      </c>
      <c r="D237" s="39">
        <f t="shared" ca="1" si="33"/>
        <v>3.2669147320992867E-2</v>
      </c>
      <c r="E237" s="39">
        <f t="shared" ca="1" si="39"/>
        <v>32.011335030689089</v>
      </c>
      <c r="F237" s="36">
        <f t="shared" ca="1" si="40"/>
        <v>58</v>
      </c>
      <c r="G237" s="36">
        <f ca="1">COUNTIF($P$48:P247,"&lt;"&amp;E237)</f>
        <v>131</v>
      </c>
      <c r="H237" s="36">
        <f t="shared" ca="1" si="41"/>
        <v>0</v>
      </c>
      <c r="I237" s="36" t="str">
        <f t="shared" ca="1" si="42"/>
        <v>Ocu</v>
      </c>
      <c r="J237" s="40">
        <f t="shared" ca="1" si="34"/>
        <v>59</v>
      </c>
      <c r="K237" s="41">
        <f t="shared" ca="1" si="31"/>
        <v>13.185368611055885</v>
      </c>
      <c r="L237" s="42">
        <f t="shared" ca="1" si="43"/>
        <v>45.196703641744975</v>
      </c>
      <c r="M237" s="36">
        <f t="shared" ca="1" si="35"/>
        <v>0.23499999999999999</v>
      </c>
      <c r="N237" s="36">
        <f t="shared" si="44"/>
        <v>4</v>
      </c>
      <c r="O237" s="39">
        <f t="shared" ca="1" si="36"/>
        <v>0.36204244120949453</v>
      </c>
      <c r="P237" s="39">
        <f t="shared" ca="1" si="37"/>
        <v>45.558746082954471</v>
      </c>
      <c r="Q237" s="43">
        <f t="shared" ca="1" si="45"/>
        <v>13.547411052265382</v>
      </c>
    </row>
    <row r="238" spans="1:17" x14ac:dyDescent="0.25">
      <c r="A238" s="36">
        <v>191</v>
      </c>
      <c r="B238" s="36">
        <f t="shared" ca="1" si="32"/>
        <v>0.19600000000000001</v>
      </c>
      <c r="C238" s="37">
        <f t="shared" si="38"/>
        <v>6</v>
      </c>
      <c r="D238" s="39">
        <f t="shared" ca="1" si="33"/>
        <v>0.27160676995860328</v>
      </c>
      <c r="E238" s="39">
        <f t="shared" ca="1" si="39"/>
        <v>32.282941800647691</v>
      </c>
      <c r="F238" s="36">
        <f t="shared" ca="1" si="40"/>
        <v>57</v>
      </c>
      <c r="G238" s="36">
        <f ca="1">COUNTIF($P$48:P248,"&lt;"&amp;E238)</f>
        <v>133</v>
      </c>
      <c r="H238" s="36">
        <f t="shared" ca="1" si="41"/>
        <v>2</v>
      </c>
      <c r="I238" s="36" t="str">
        <f t="shared" ca="1" si="42"/>
        <v>Ocu</v>
      </c>
      <c r="J238" s="40">
        <f t="shared" ca="1" si="34"/>
        <v>58</v>
      </c>
      <c r="K238" s="41">
        <f t="shared" ca="1" si="31"/>
        <v>13.27580428230678</v>
      </c>
      <c r="L238" s="42">
        <f t="shared" ca="1" si="43"/>
        <v>45.558746082954471</v>
      </c>
      <c r="M238" s="36">
        <f t="shared" ca="1" si="35"/>
        <v>9.8000000000000004E-2</v>
      </c>
      <c r="N238" s="36">
        <f t="shared" si="44"/>
        <v>4</v>
      </c>
      <c r="O238" s="39">
        <f t="shared" ca="1" si="36"/>
        <v>0.58069695007789124</v>
      </c>
      <c r="P238" s="39">
        <f t="shared" ca="1" si="37"/>
        <v>46.139443033032364</v>
      </c>
      <c r="Q238" s="43">
        <f t="shared" ca="1" si="45"/>
        <v>13.856501232384673</v>
      </c>
    </row>
    <row r="239" spans="1:17" x14ac:dyDescent="0.25">
      <c r="A239" s="36">
        <v>192</v>
      </c>
      <c r="B239" s="36">
        <f t="shared" ca="1" si="32"/>
        <v>0.65100000000000002</v>
      </c>
      <c r="C239" s="37">
        <f t="shared" si="38"/>
        <v>6</v>
      </c>
      <c r="D239" s="39">
        <f t="shared" ca="1" si="33"/>
        <v>7.1540939462261283E-2</v>
      </c>
      <c r="E239" s="39">
        <f t="shared" ca="1" si="39"/>
        <v>32.354482740109951</v>
      </c>
      <c r="F239" s="36">
        <f t="shared" ca="1" si="40"/>
        <v>57</v>
      </c>
      <c r="G239" s="36">
        <f ca="1">COUNTIF($P$48:P249,"&lt;"&amp;E239)</f>
        <v>134</v>
      </c>
      <c r="H239" s="36">
        <f t="shared" ca="1" si="41"/>
        <v>1</v>
      </c>
      <c r="I239" s="36" t="str">
        <f t="shared" ca="1" si="42"/>
        <v>Ocu</v>
      </c>
      <c r="J239" s="40">
        <f t="shared" ca="1" si="34"/>
        <v>58</v>
      </c>
      <c r="K239" s="41">
        <f t="shared" ca="1" si="31"/>
        <v>13.784960292922413</v>
      </c>
      <c r="L239" s="42">
        <f t="shared" ca="1" si="43"/>
        <v>46.139443033032364</v>
      </c>
      <c r="M239" s="36">
        <f t="shared" ca="1" si="35"/>
        <v>0.66600000000000004</v>
      </c>
      <c r="N239" s="36">
        <f t="shared" si="44"/>
        <v>4</v>
      </c>
      <c r="O239" s="39">
        <f t="shared" ca="1" si="36"/>
        <v>0.10161640211043696</v>
      </c>
      <c r="P239" s="39">
        <f t="shared" ca="1" si="37"/>
        <v>46.241059435142802</v>
      </c>
      <c r="Q239" s="43">
        <f t="shared" ca="1" si="45"/>
        <v>13.886576695032851</v>
      </c>
    </row>
    <row r="240" spans="1:17" x14ac:dyDescent="0.25">
      <c r="A240" s="36">
        <v>193</v>
      </c>
      <c r="B240" s="36">
        <f t="shared" ca="1" si="32"/>
        <v>0.99</v>
      </c>
      <c r="C240" s="37">
        <f t="shared" si="38"/>
        <v>6</v>
      </c>
      <c r="D240" s="39">
        <f t="shared" ca="1" si="33"/>
        <v>1.6750559755835844E-3</v>
      </c>
      <c r="E240" s="39">
        <f t="shared" ca="1" si="39"/>
        <v>32.356157796085533</v>
      </c>
      <c r="F240" s="36">
        <f t="shared" ca="1" si="40"/>
        <v>58</v>
      </c>
      <c r="G240" s="36">
        <f ca="1">COUNTIF($P$48:P250,"&lt;"&amp;E240)</f>
        <v>134</v>
      </c>
      <c r="H240" s="36">
        <f t="shared" ca="1" si="41"/>
        <v>0</v>
      </c>
      <c r="I240" s="36" t="str">
        <f t="shared" ca="1" si="42"/>
        <v>Ocu</v>
      </c>
      <c r="J240" s="40">
        <f t="shared" ca="1" si="34"/>
        <v>59</v>
      </c>
      <c r="K240" s="41">
        <f t="shared" ref="K240:K303" ca="1" si="46">L240-E240</f>
        <v>13.884901639057269</v>
      </c>
      <c r="L240" s="42">
        <f t="shared" ca="1" si="43"/>
        <v>46.241059435142802</v>
      </c>
      <c r="M240" s="36">
        <f t="shared" ca="1" si="35"/>
        <v>0.33700000000000002</v>
      </c>
      <c r="N240" s="36">
        <f t="shared" si="44"/>
        <v>4</v>
      </c>
      <c r="O240" s="39">
        <f t="shared" ca="1" si="36"/>
        <v>0.27191808715744381</v>
      </c>
      <c r="P240" s="39">
        <f t="shared" ca="1" si="37"/>
        <v>46.512977522300247</v>
      </c>
      <c r="Q240" s="43">
        <f t="shared" ca="1" si="45"/>
        <v>14.156819726214714</v>
      </c>
    </row>
    <row r="241" spans="1:17" x14ac:dyDescent="0.25">
      <c r="A241" s="36">
        <v>194</v>
      </c>
      <c r="B241" s="36">
        <f t="shared" ref="B241:B304" ca="1" si="47">RANDBETWEEN(1,1000)/1000</f>
        <v>0.20200000000000001</v>
      </c>
      <c r="C241" s="37">
        <f t="shared" si="38"/>
        <v>6</v>
      </c>
      <c r="D241" s="39">
        <f t="shared" ref="D241:D304" ca="1" si="48">(1/C241)*(LN(1/B241))</f>
        <v>0.26658126359682199</v>
      </c>
      <c r="E241" s="39">
        <f t="shared" ca="1" si="39"/>
        <v>32.622739059682353</v>
      </c>
      <c r="F241" s="36">
        <f t="shared" ca="1" si="40"/>
        <v>59</v>
      </c>
      <c r="G241" s="36">
        <f ca="1">COUNTIF($P$48:P251,"&lt;"&amp;E241)</f>
        <v>134</v>
      </c>
      <c r="H241" s="36">
        <f t="shared" ca="1" si="41"/>
        <v>0</v>
      </c>
      <c r="I241" s="36" t="str">
        <f t="shared" ca="1" si="42"/>
        <v>Ocu</v>
      </c>
      <c r="J241" s="40">
        <f t="shared" ref="J241:J304" ca="1" si="49">IF(I241="Des",1,IF(I241="Ocu",1+F241))</f>
        <v>60</v>
      </c>
      <c r="K241" s="41">
        <f t="shared" ca="1" si="46"/>
        <v>13.890238462617894</v>
      </c>
      <c r="L241" s="42">
        <f t="shared" ca="1" si="43"/>
        <v>46.512977522300247</v>
      </c>
      <c r="M241" s="36">
        <f t="shared" ref="M241:M304" ca="1" si="50">RANDBETWEEN(1,1000)/1000</f>
        <v>0.58299999999999996</v>
      </c>
      <c r="N241" s="36">
        <f t="shared" si="44"/>
        <v>4</v>
      </c>
      <c r="O241" s="39">
        <f t="shared" ref="O241:O304" ca="1" si="51">(1/N241)*(LN(1/M241))</f>
        <v>0.13489202315791118</v>
      </c>
      <c r="P241" s="39">
        <f t="shared" ref="P241:P304" ca="1" si="52">+L241+O241</f>
        <v>46.647869545458157</v>
      </c>
      <c r="Q241" s="43">
        <f t="shared" ca="1" si="45"/>
        <v>14.025130485775804</v>
      </c>
    </row>
    <row r="242" spans="1:17" x14ac:dyDescent="0.25">
      <c r="A242" s="36">
        <v>195</v>
      </c>
      <c r="B242" s="36">
        <f t="shared" ca="1" si="47"/>
        <v>5.8999999999999997E-2</v>
      </c>
      <c r="C242" s="37">
        <f t="shared" ref="C242:C305" si="53">+C241</f>
        <v>6</v>
      </c>
      <c r="D242" s="39">
        <f t="shared" ca="1" si="48"/>
        <v>0.47170297251273624</v>
      </c>
      <c r="E242" s="39">
        <f t="shared" ref="E242:E305" ca="1" si="54">+D242+E241</f>
        <v>33.09444203219509</v>
      </c>
      <c r="F242" s="36">
        <f t="shared" ref="F242:F305" ca="1" si="55">+F241+1-(G242-G241)</f>
        <v>59</v>
      </c>
      <c r="G242" s="36">
        <f ca="1">COUNTIF($P$48:P252,"&lt;"&amp;E242)</f>
        <v>135</v>
      </c>
      <c r="H242" s="36">
        <f t="shared" ref="H242:H305" ca="1" si="56">+G242-G241</f>
        <v>1</v>
      </c>
      <c r="I242" s="36" t="str">
        <f t="shared" ref="I242:I305" ca="1" si="57">IF(E242&lt;P241,"Ocu","Des")</f>
        <v>Ocu</v>
      </c>
      <c r="J242" s="40">
        <f t="shared" ca="1" si="49"/>
        <v>60</v>
      </c>
      <c r="K242" s="41">
        <f t="shared" ca="1" si="46"/>
        <v>13.553427513263067</v>
      </c>
      <c r="L242" s="42">
        <f t="shared" ref="L242:L305" ca="1" si="58">IF(I242="Des",E242,P241)</f>
        <v>46.647869545458157</v>
      </c>
      <c r="M242" s="36">
        <f t="shared" ca="1" si="50"/>
        <v>0.73599999999999999</v>
      </c>
      <c r="N242" s="36">
        <f t="shared" ref="N242:N305" si="59">+N241</f>
        <v>4</v>
      </c>
      <c r="O242" s="39">
        <f t="shared" ca="1" si="51"/>
        <v>7.6631290063315205E-2</v>
      </c>
      <c r="P242" s="39">
        <f t="shared" ca="1" si="52"/>
        <v>46.724500835521475</v>
      </c>
      <c r="Q242" s="43">
        <f t="shared" ca="1" si="45"/>
        <v>13.630058803326385</v>
      </c>
    </row>
    <row r="243" spans="1:17" x14ac:dyDescent="0.25">
      <c r="A243" s="36">
        <v>196</v>
      </c>
      <c r="B243" s="36">
        <f t="shared" ca="1" si="47"/>
        <v>0.17799999999999999</v>
      </c>
      <c r="C243" s="37">
        <f t="shared" si="53"/>
        <v>6</v>
      </c>
      <c r="D243" s="39">
        <f t="shared" ca="1" si="48"/>
        <v>0.28766195478167533</v>
      </c>
      <c r="E243" s="39">
        <f t="shared" ca="1" si="54"/>
        <v>33.382103986976766</v>
      </c>
      <c r="F243" s="36">
        <f t="shared" ca="1" si="55"/>
        <v>58</v>
      </c>
      <c r="G243" s="36">
        <f ca="1">COUNTIF($P$48:P253,"&lt;"&amp;E243)</f>
        <v>137</v>
      </c>
      <c r="H243" s="36">
        <f t="shared" ca="1" si="56"/>
        <v>2</v>
      </c>
      <c r="I243" s="36" t="str">
        <f t="shared" ca="1" si="57"/>
        <v>Ocu</v>
      </c>
      <c r="J243" s="40">
        <f t="shared" ca="1" si="49"/>
        <v>59</v>
      </c>
      <c r="K243" s="41">
        <f t="shared" ca="1" si="46"/>
        <v>13.342396848544709</v>
      </c>
      <c r="L243" s="42">
        <f t="shared" ca="1" si="58"/>
        <v>46.724500835521475</v>
      </c>
      <c r="M243" s="36">
        <f t="shared" ca="1" si="50"/>
        <v>0.13200000000000001</v>
      </c>
      <c r="N243" s="36">
        <f t="shared" si="59"/>
        <v>4</v>
      </c>
      <c r="O243" s="39">
        <f t="shared" ca="1" si="51"/>
        <v>0.50623833909894156</v>
      </c>
      <c r="P243" s="39">
        <f t="shared" ca="1" si="52"/>
        <v>47.230739174620417</v>
      </c>
      <c r="Q243" s="43">
        <f t="shared" ref="Q243:Q306" ca="1" si="60">P243-E243</f>
        <v>13.848635187643652</v>
      </c>
    </row>
    <row r="244" spans="1:17" x14ac:dyDescent="0.25">
      <c r="A244" s="36">
        <v>197</v>
      </c>
      <c r="B244" s="36">
        <f t="shared" ca="1" si="47"/>
        <v>0.55900000000000005</v>
      </c>
      <c r="C244" s="37">
        <f t="shared" si="53"/>
        <v>6</v>
      </c>
      <c r="D244" s="39">
        <f t="shared" ca="1" si="48"/>
        <v>9.6934300971172949E-2</v>
      </c>
      <c r="E244" s="39">
        <f t="shared" ca="1" si="54"/>
        <v>33.479038287947937</v>
      </c>
      <c r="F244" s="36">
        <f t="shared" ca="1" si="55"/>
        <v>59</v>
      </c>
      <c r="G244" s="36">
        <f ca="1">COUNTIF($P$48:P254,"&lt;"&amp;E244)</f>
        <v>137</v>
      </c>
      <c r="H244" s="36">
        <f t="shared" ca="1" si="56"/>
        <v>0</v>
      </c>
      <c r="I244" s="36" t="str">
        <f t="shared" ca="1" si="57"/>
        <v>Ocu</v>
      </c>
      <c r="J244" s="40">
        <f t="shared" ca="1" si="49"/>
        <v>60</v>
      </c>
      <c r="K244" s="41">
        <f t="shared" ca="1" si="46"/>
        <v>13.751700886672481</v>
      </c>
      <c r="L244" s="42">
        <f t="shared" ca="1" si="58"/>
        <v>47.230739174620417</v>
      </c>
      <c r="M244" s="36">
        <f t="shared" ca="1" si="50"/>
        <v>0.35</v>
      </c>
      <c r="N244" s="36">
        <f t="shared" si="59"/>
        <v>4</v>
      </c>
      <c r="O244" s="39">
        <f t="shared" ca="1" si="51"/>
        <v>0.26245553112466941</v>
      </c>
      <c r="P244" s="39">
        <f t="shared" ca="1" si="52"/>
        <v>47.49319470574509</v>
      </c>
      <c r="Q244" s="43">
        <f t="shared" ca="1" si="60"/>
        <v>14.014156417797153</v>
      </c>
    </row>
    <row r="245" spans="1:17" x14ac:dyDescent="0.25">
      <c r="A245" s="36">
        <v>198</v>
      </c>
      <c r="B245" s="36">
        <f t="shared" ca="1" si="47"/>
        <v>0.27700000000000002</v>
      </c>
      <c r="C245" s="37">
        <f t="shared" si="53"/>
        <v>6</v>
      </c>
      <c r="D245" s="39">
        <f t="shared" ca="1" si="48"/>
        <v>0.21395629546579975</v>
      </c>
      <c r="E245" s="39">
        <f t="shared" ca="1" si="54"/>
        <v>33.692994583413736</v>
      </c>
      <c r="F245" s="36">
        <f t="shared" ca="1" si="55"/>
        <v>59</v>
      </c>
      <c r="G245" s="36">
        <f ca="1">COUNTIF($P$48:P255,"&lt;"&amp;E245)</f>
        <v>138</v>
      </c>
      <c r="H245" s="36">
        <f t="shared" ca="1" si="56"/>
        <v>1</v>
      </c>
      <c r="I245" s="36" t="str">
        <f t="shared" ca="1" si="57"/>
        <v>Ocu</v>
      </c>
      <c r="J245" s="40">
        <f t="shared" ca="1" si="49"/>
        <v>60</v>
      </c>
      <c r="K245" s="41">
        <f t="shared" ca="1" si="46"/>
        <v>13.800200122331354</v>
      </c>
      <c r="L245" s="42">
        <f t="shared" ca="1" si="58"/>
        <v>47.49319470574509</v>
      </c>
      <c r="M245" s="36">
        <f t="shared" ca="1" si="50"/>
        <v>0.90500000000000003</v>
      </c>
      <c r="N245" s="36">
        <f t="shared" si="59"/>
        <v>4</v>
      </c>
      <c r="O245" s="39">
        <f t="shared" ca="1" si="51"/>
        <v>2.4955083820552747E-2</v>
      </c>
      <c r="P245" s="39">
        <f t="shared" ca="1" si="52"/>
        <v>47.518149789565641</v>
      </c>
      <c r="Q245" s="43">
        <f t="shared" ca="1" si="60"/>
        <v>13.825155206151905</v>
      </c>
    </row>
    <row r="246" spans="1:17" x14ac:dyDescent="0.25">
      <c r="A246" s="36">
        <v>199</v>
      </c>
      <c r="B246" s="36">
        <f t="shared" ca="1" si="47"/>
        <v>0.36399999999999999</v>
      </c>
      <c r="C246" s="37">
        <f t="shared" si="53"/>
        <v>6</v>
      </c>
      <c r="D246" s="39">
        <f t="shared" ca="1" si="48"/>
        <v>0.16843356855756608</v>
      </c>
      <c r="E246" s="39">
        <f t="shared" ca="1" si="54"/>
        <v>33.861428151971303</v>
      </c>
      <c r="F246" s="36">
        <f t="shared" ca="1" si="55"/>
        <v>57</v>
      </c>
      <c r="G246" s="36">
        <f ca="1">COUNTIF($P$48:P256,"&lt;"&amp;E246)</f>
        <v>141</v>
      </c>
      <c r="H246" s="36">
        <f t="shared" ca="1" si="56"/>
        <v>3</v>
      </c>
      <c r="I246" s="36" t="str">
        <f t="shared" ca="1" si="57"/>
        <v>Ocu</v>
      </c>
      <c r="J246" s="40">
        <f t="shared" ca="1" si="49"/>
        <v>58</v>
      </c>
      <c r="K246" s="41">
        <f t="shared" ca="1" si="46"/>
        <v>13.656721637594337</v>
      </c>
      <c r="L246" s="42">
        <f t="shared" ca="1" si="58"/>
        <v>47.518149789565641</v>
      </c>
      <c r="M246" s="36">
        <f t="shared" ca="1" si="50"/>
        <v>0.68700000000000006</v>
      </c>
      <c r="N246" s="36">
        <f t="shared" si="59"/>
        <v>4</v>
      </c>
      <c r="O246" s="39">
        <f t="shared" ca="1" si="51"/>
        <v>9.3855246689946922E-2</v>
      </c>
      <c r="P246" s="39">
        <f t="shared" ca="1" si="52"/>
        <v>47.612005036255589</v>
      </c>
      <c r="Q246" s="43">
        <f t="shared" ca="1" si="60"/>
        <v>13.750576884284285</v>
      </c>
    </row>
    <row r="247" spans="1:17" x14ac:dyDescent="0.25">
      <c r="A247" s="36">
        <v>200</v>
      </c>
      <c r="B247" s="36">
        <f t="shared" ca="1" si="47"/>
        <v>0.33100000000000002</v>
      </c>
      <c r="C247" s="37">
        <f t="shared" si="53"/>
        <v>6</v>
      </c>
      <c r="D247" s="39">
        <f t="shared" ca="1" si="48"/>
        <v>0.18427281726751235</v>
      </c>
      <c r="E247" s="39">
        <f t="shared" ca="1" si="54"/>
        <v>34.045700969238816</v>
      </c>
      <c r="F247" s="36">
        <f t="shared" ca="1" si="55"/>
        <v>57</v>
      </c>
      <c r="G247" s="36">
        <f ca="1">COUNTIF($P$48:P257,"&lt;"&amp;E247)</f>
        <v>142</v>
      </c>
      <c r="H247" s="36">
        <f t="shared" ca="1" si="56"/>
        <v>1</v>
      </c>
      <c r="I247" s="36" t="str">
        <f t="shared" ca="1" si="57"/>
        <v>Ocu</v>
      </c>
      <c r="J247" s="40">
        <f t="shared" ca="1" si="49"/>
        <v>58</v>
      </c>
      <c r="K247" s="41">
        <f t="shared" ca="1" si="46"/>
        <v>13.566304067016773</v>
      </c>
      <c r="L247" s="42">
        <f t="shared" ca="1" si="58"/>
        <v>47.612005036255589</v>
      </c>
      <c r="M247" s="36">
        <f t="shared" ca="1" si="50"/>
        <v>0.76100000000000001</v>
      </c>
      <c r="N247" s="36">
        <f t="shared" si="59"/>
        <v>4</v>
      </c>
      <c r="O247" s="39">
        <f t="shared" ca="1" si="51"/>
        <v>6.8280480280112799E-2</v>
      </c>
      <c r="P247" s="39">
        <f t="shared" ca="1" si="52"/>
        <v>47.680285516535704</v>
      </c>
      <c r="Q247" s="43">
        <f t="shared" ca="1" si="60"/>
        <v>13.634584547296889</v>
      </c>
    </row>
    <row r="248" spans="1:17" x14ac:dyDescent="0.25">
      <c r="A248" s="36">
        <v>201</v>
      </c>
      <c r="B248" s="36">
        <f t="shared" ca="1" si="47"/>
        <v>0.19700000000000001</v>
      </c>
      <c r="C248" s="37">
        <f t="shared" si="53"/>
        <v>6</v>
      </c>
      <c r="D248" s="39">
        <f t="shared" ca="1" si="48"/>
        <v>0.27075859170735805</v>
      </c>
      <c r="E248" s="39">
        <f t="shared" ca="1" si="54"/>
        <v>34.316459560946171</v>
      </c>
      <c r="F248" s="36">
        <f t="shared" ca="1" si="55"/>
        <v>57</v>
      </c>
      <c r="G248" s="36">
        <f ca="1">COUNTIF($P$48:P258,"&lt;"&amp;E248)</f>
        <v>143</v>
      </c>
      <c r="H248" s="36">
        <f t="shared" ca="1" si="56"/>
        <v>1</v>
      </c>
      <c r="I248" s="36" t="str">
        <f t="shared" ca="1" si="57"/>
        <v>Ocu</v>
      </c>
      <c r="J248" s="40">
        <f t="shared" ca="1" si="49"/>
        <v>58</v>
      </c>
      <c r="K248" s="41">
        <f t="shared" ca="1" si="46"/>
        <v>13.363825955589533</v>
      </c>
      <c r="L248" s="42">
        <f t="shared" ca="1" si="58"/>
        <v>47.680285516535704</v>
      </c>
      <c r="M248" s="36">
        <f t="shared" ca="1" si="50"/>
        <v>0.28699999999999998</v>
      </c>
      <c r="N248" s="36">
        <f t="shared" si="59"/>
        <v>4</v>
      </c>
      <c r="O248" s="39">
        <f t="shared" ca="1" si="51"/>
        <v>0.31206826580562902</v>
      </c>
      <c r="P248" s="39">
        <f t="shared" ca="1" si="52"/>
        <v>47.992353782341333</v>
      </c>
      <c r="Q248" s="43">
        <f t="shared" ca="1" si="60"/>
        <v>13.675894221395161</v>
      </c>
    </row>
    <row r="249" spans="1:17" x14ac:dyDescent="0.25">
      <c r="A249" s="36">
        <v>202</v>
      </c>
      <c r="B249" s="36">
        <f t="shared" ca="1" si="47"/>
        <v>0.42599999999999999</v>
      </c>
      <c r="C249" s="37">
        <f t="shared" si="53"/>
        <v>6</v>
      </c>
      <c r="D249" s="39">
        <f t="shared" ca="1" si="48"/>
        <v>0.14221932211879446</v>
      </c>
      <c r="E249" s="39">
        <f t="shared" ca="1" si="54"/>
        <v>34.458678883064962</v>
      </c>
      <c r="F249" s="36">
        <f t="shared" ca="1" si="55"/>
        <v>58</v>
      </c>
      <c r="G249" s="36">
        <f ca="1">COUNTIF($P$48:P259,"&lt;"&amp;E249)</f>
        <v>143</v>
      </c>
      <c r="H249" s="36">
        <f t="shared" ca="1" si="56"/>
        <v>0</v>
      </c>
      <c r="I249" s="36" t="str">
        <f t="shared" ca="1" si="57"/>
        <v>Ocu</v>
      </c>
      <c r="J249" s="40">
        <f t="shared" ca="1" si="49"/>
        <v>59</v>
      </c>
      <c r="K249" s="41">
        <f t="shared" ca="1" si="46"/>
        <v>13.53367489927637</v>
      </c>
      <c r="L249" s="42">
        <f t="shared" ca="1" si="58"/>
        <v>47.992353782341333</v>
      </c>
      <c r="M249" s="36">
        <f t="shared" ca="1" si="50"/>
        <v>6.4000000000000001E-2</v>
      </c>
      <c r="N249" s="36">
        <f t="shared" si="59"/>
        <v>4</v>
      </c>
      <c r="O249" s="39">
        <f t="shared" ca="1" si="51"/>
        <v>0.68721804890561633</v>
      </c>
      <c r="P249" s="39">
        <f t="shared" ca="1" si="52"/>
        <v>48.679571831246946</v>
      </c>
      <c r="Q249" s="43">
        <f t="shared" ca="1" si="60"/>
        <v>14.220892948181984</v>
      </c>
    </row>
    <row r="250" spans="1:17" x14ac:dyDescent="0.25">
      <c r="A250" s="36">
        <v>203</v>
      </c>
      <c r="B250" s="36">
        <f t="shared" ca="1" si="47"/>
        <v>0.622</v>
      </c>
      <c r="C250" s="37">
        <f t="shared" si="53"/>
        <v>6</v>
      </c>
      <c r="D250" s="39">
        <f t="shared" ca="1" si="48"/>
        <v>7.9135864373826248E-2</v>
      </c>
      <c r="E250" s="39">
        <f t="shared" ca="1" si="54"/>
        <v>34.537814747438787</v>
      </c>
      <c r="F250" s="36">
        <f t="shared" ca="1" si="55"/>
        <v>59</v>
      </c>
      <c r="G250" s="36">
        <f ca="1">COUNTIF($P$48:P260,"&lt;"&amp;E250)</f>
        <v>143</v>
      </c>
      <c r="H250" s="36">
        <f t="shared" ca="1" si="56"/>
        <v>0</v>
      </c>
      <c r="I250" s="36" t="str">
        <f t="shared" ca="1" si="57"/>
        <v>Ocu</v>
      </c>
      <c r="J250" s="40">
        <f t="shared" ca="1" si="49"/>
        <v>60</v>
      </c>
      <c r="K250" s="41">
        <f t="shared" ca="1" si="46"/>
        <v>14.141757083808159</v>
      </c>
      <c r="L250" s="42">
        <f t="shared" ca="1" si="58"/>
        <v>48.679571831246946</v>
      </c>
      <c r="M250" s="36">
        <f t="shared" ca="1" si="50"/>
        <v>0.35299999999999998</v>
      </c>
      <c r="N250" s="36">
        <f t="shared" si="59"/>
        <v>4</v>
      </c>
      <c r="O250" s="39">
        <f t="shared" ca="1" si="51"/>
        <v>0.26032180551221007</v>
      </c>
      <c r="P250" s="39">
        <f t="shared" ca="1" si="52"/>
        <v>48.939893636759159</v>
      </c>
      <c r="Q250" s="43">
        <f t="shared" ca="1" si="60"/>
        <v>14.402078889320372</v>
      </c>
    </row>
    <row r="251" spans="1:17" x14ac:dyDescent="0.25">
      <c r="A251" s="36">
        <v>204</v>
      </c>
      <c r="B251" s="36">
        <f t="shared" ca="1" si="47"/>
        <v>0.88700000000000001</v>
      </c>
      <c r="C251" s="37">
        <f t="shared" si="53"/>
        <v>6</v>
      </c>
      <c r="D251" s="39">
        <f t="shared" ca="1" si="48"/>
        <v>1.9985049445426249E-2</v>
      </c>
      <c r="E251" s="39">
        <f t="shared" ca="1" si="54"/>
        <v>34.557799796884211</v>
      </c>
      <c r="F251" s="36">
        <f t="shared" ca="1" si="55"/>
        <v>60</v>
      </c>
      <c r="G251" s="36">
        <f ca="1">COUNTIF($P$48:P261,"&lt;"&amp;E251)</f>
        <v>143</v>
      </c>
      <c r="H251" s="36">
        <f t="shared" ca="1" si="56"/>
        <v>0</v>
      </c>
      <c r="I251" s="36" t="str">
        <f t="shared" ca="1" si="57"/>
        <v>Ocu</v>
      </c>
      <c r="J251" s="40">
        <f t="shared" ca="1" si="49"/>
        <v>61</v>
      </c>
      <c r="K251" s="41">
        <f t="shared" ca="1" si="46"/>
        <v>14.382093839874948</v>
      </c>
      <c r="L251" s="42">
        <f t="shared" ca="1" si="58"/>
        <v>48.939893636759159</v>
      </c>
      <c r="M251" s="36">
        <f t="shared" ca="1" si="50"/>
        <v>0.7</v>
      </c>
      <c r="N251" s="36">
        <f t="shared" si="59"/>
        <v>4</v>
      </c>
      <c r="O251" s="39">
        <f t="shared" ca="1" si="51"/>
        <v>8.9168735984683098E-2</v>
      </c>
      <c r="P251" s="39">
        <f t="shared" ca="1" si="52"/>
        <v>49.029062372743844</v>
      </c>
      <c r="Q251" s="43">
        <f t="shared" ca="1" si="60"/>
        <v>14.471262575859633</v>
      </c>
    </row>
    <row r="252" spans="1:17" x14ac:dyDescent="0.25">
      <c r="A252" s="36">
        <v>205</v>
      </c>
      <c r="B252" s="36">
        <f t="shared" ca="1" si="47"/>
        <v>0.46600000000000003</v>
      </c>
      <c r="C252" s="37">
        <f t="shared" si="53"/>
        <v>6</v>
      </c>
      <c r="D252" s="39">
        <f t="shared" ca="1" si="48"/>
        <v>0.12726160747608184</v>
      </c>
      <c r="E252" s="39">
        <f t="shared" ca="1" si="54"/>
        <v>34.68506140436029</v>
      </c>
      <c r="F252" s="36">
        <f t="shared" ca="1" si="55"/>
        <v>61</v>
      </c>
      <c r="G252" s="36">
        <f ca="1">COUNTIF($P$48:P262,"&lt;"&amp;E252)</f>
        <v>143</v>
      </c>
      <c r="H252" s="36">
        <f t="shared" ca="1" si="56"/>
        <v>0</v>
      </c>
      <c r="I252" s="36" t="str">
        <f t="shared" ca="1" si="57"/>
        <v>Ocu</v>
      </c>
      <c r="J252" s="40">
        <f t="shared" ca="1" si="49"/>
        <v>62</v>
      </c>
      <c r="K252" s="41">
        <f t="shared" ca="1" si="46"/>
        <v>14.344000968383554</v>
      </c>
      <c r="L252" s="42">
        <f t="shared" ca="1" si="58"/>
        <v>49.029062372743844</v>
      </c>
      <c r="M252" s="36">
        <f t="shared" ca="1" si="50"/>
        <v>2.8000000000000001E-2</v>
      </c>
      <c r="N252" s="36">
        <f t="shared" si="59"/>
        <v>4</v>
      </c>
      <c r="O252" s="39">
        <f t="shared" ca="1" si="51"/>
        <v>0.89388769220173325</v>
      </c>
      <c r="P252" s="39">
        <f t="shared" ca="1" si="52"/>
        <v>49.922950064945574</v>
      </c>
      <c r="Q252" s="43">
        <f t="shared" ca="1" si="60"/>
        <v>15.237888660585284</v>
      </c>
    </row>
    <row r="253" spans="1:17" x14ac:dyDescent="0.25">
      <c r="A253" s="36">
        <v>206</v>
      </c>
      <c r="B253" s="36">
        <f t="shared" ca="1" si="47"/>
        <v>0.14299999999999999</v>
      </c>
      <c r="C253" s="37">
        <f t="shared" si="53"/>
        <v>6</v>
      </c>
      <c r="D253" s="39">
        <f t="shared" ca="1" si="48"/>
        <v>0.32415177478703827</v>
      </c>
      <c r="E253" s="39">
        <f t="shared" ca="1" si="54"/>
        <v>35.009213179147331</v>
      </c>
      <c r="F253" s="36">
        <f t="shared" ca="1" si="55"/>
        <v>61</v>
      </c>
      <c r="G253" s="36">
        <f ca="1">COUNTIF($P$48:P263,"&lt;"&amp;E253)</f>
        <v>144</v>
      </c>
      <c r="H253" s="36">
        <f t="shared" ca="1" si="56"/>
        <v>1</v>
      </c>
      <c r="I253" s="36" t="str">
        <f t="shared" ca="1" si="57"/>
        <v>Ocu</v>
      </c>
      <c r="J253" s="40">
        <f t="shared" ca="1" si="49"/>
        <v>62</v>
      </c>
      <c r="K253" s="41">
        <f t="shared" ca="1" si="46"/>
        <v>14.913736885798244</v>
      </c>
      <c r="L253" s="42">
        <f t="shared" ca="1" si="58"/>
        <v>49.922950064945574</v>
      </c>
      <c r="M253" s="36">
        <f t="shared" ca="1" si="50"/>
        <v>0.68500000000000005</v>
      </c>
      <c r="N253" s="36">
        <f t="shared" si="59"/>
        <v>4</v>
      </c>
      <c r="O253" s="39">
        <f t="shared" ca="1" si="51"/>
        <v>9.4584110179977934E-2</v>
      </c>
      <c r="P253" s="39">
        <f t="shared" ca="1" si="52"/>
        <v>50.017534175125554</v>
      </c>
      <c r="Q253" s="43">
        <f t="shared" ca="1" si="60"/>
        <v>15.008320995978224</v>
      </c>
    </row>
    <row r="254" spans="1:17" x14ac:dyDescent="0.25">
      <c r="A254" s="36">
        <v>207</v>
      </c>
      <c r="B254" s="36">
        <f t="shared" ca="1" si="47"/>
        <v>0.71199999999999997</v>
      </c>
      <c r="C254" s="37">
        <f t="shared" si="53"/>
        <v>6</v>
      </c>
      <c r="D254" s="39">
        <f t="shared" ca="1" si="48"/>
        <v>5.6612894595026893E-2</v>
      </c>
      <c r="E254" s="39">
        <f t="shared" ca="1" si="54"/>
        <v>35.065826073742357</v>
      </c>
      <c r="F254" s="36">
        <f t="shared" ca="1" si="55"/>
        <v>62</v>
      </c>
      <c r="G254" s="36">
        <f ca="1">COUNTIF($P$48:P264,"&lt;"&amp;E254)</f>
        <v>144</v>
      </c>
      <c r="H254" s="36">
        <f t="shared" ca="1" si="56"/>
        <v>0</v>
      </c>
      <c r="I254" s="36" t="str">
        <f t="shared" ca="1" si="57"/>
        <v>Ocu</v>
      </c>
      <c r="J254" s="40">
        <f t="shared" ca="1" si="49"/>
        <v>63</v>
      </c>
      <c r="K254" s="41">
        <f t="shared" ca="1" si="46"/>
        <v>14.951708101383197</v>
      </c>
      <c r="L254" s="42">
        <f t="shared" ca="1" si="58"/>
        <v>50.017534175125554</v>
      </c>
      <c r="M254" s="36">
        <f t="shared" ca="1" si="50"/>
        <v>0.78500000000000003</v>
      </c>
      <c r="N254" s="36">
        <f t="shared" si="59"/>
        <v>4</v>
      </c>
      <c r="O254" s="39">
        <f t="shared" ca="1" si="51"/>
        <v>6.0517890299932146E-2</v>
      </c>
      <c r="P254" s="39">
        <f t="shared" ca="1" si="52"/>
        <v>50.078052065425489</v>
      </c>
      <c r="Q254" s="43">
        <f t="shared" ca="1" si="60"/>
        <v>15.012225991683131</v>
      </c>
    </row>
    <row r="255" spans="1:17" x14ac:dyDescent="0.25">
      <c r="A255" s="36">
        <v>208</v>
      </c>
      <c r="B255" s="36">
        <f t="shared" ca="1" si="47"/>
        <v>0.91900000000000004</v>
      </c>
      <c r="C255" s="37">
        <f t="shared" si="53"/>
        <v>6</v>
      </c>
      <c r="D255" s="39">
        <f t="shared" ca="1" si="48"/>
        <v>1.4078192771074994E-2</v>
      </c>
      <c r="E255" s="39">
        <f t="shared" ca="1" si="54"/>
        <v>35.079904266513431</v>
      </c>
      <c r="F255" s="36">
        <f t="shared" ca="1" si="55"/>
        <v>63</v>
      </c>
      <c r="G255" s="36">
        <f ca="1">COUNTIF($P$48:P265,"&lt;"&amp;E255)</f>
        <v>144</v>
      </c>
      <c r="H255" s="36">
        <f t="shared" ca="1" si="56"/>
        <v>0</v>
      </c>
      <c r="I255" s="36" t="str">
        <f t="shared" ca="1" si="57"/>
        <v>Ocu</v>
      </c>
      <c r="J255" s="40">
        <f t="shared" ca="1" si="49"/>
        <v>64</v>
      </c>
      <c r="K255" s="41">
        <f t="shared" ca="1" si="46"/>
        <v>14.998147798912058</v>
      </c>
      <c r="L255" s="42">
        <f t="shared" ca="1" si="58"/>
        <v>50.078052065425489</v>
      </c>
      <c r="M255" s="36">
        <f t="shared" ca="1" si="50"/>
        <v>0.12</v>
      </c>
      <c r="N255" s="36">
        <f t="shared" si="59"/>
        <v>4</v>
      </c>
      <c r="O255" s="39">
        <f t="shared" ca="1" si="51"/>
        <v>0.53006588405002275</v>
      </c>
      <c r="P255" s="39">
        <f t="shared" ca="1" si="52"/>
        <v>50.608117949475513</v>
      </c>
      <c r="Q255" s="43">
        <f t="shared" ca="1" si="60"/>
        <v>15.528213682962082</v>
      </c>
    </row>
    <row r="256" spans="1:17" x14ac:dyDescent="0.25">
      <c r="A256" s="36">
        <v>209</v>
      </c>
      <c r="B256" s="36">
        <f t="shared" ca="1" si="47"/>
        <v>0.98599999999999999</v>
      </c>
      <c r="C256" s="37">
        <f t="shared" si="53"/>
        <v>6</v>
      </c>
      <c r="D256" s="39">
        <f t="shared" ca="1" si="48"/>
        <v>2.3498207299169458E-3</v>
      </c>
      <c r="E256" s="39">
        <f t="shared" ca="1" si="54"/>
        <v>35.082254087243349</v>
      </c>
      <c r="F256" s="36">
        <f t="shared" ca="1" si="55"/>
        <v>64</v>
      </c>
      <c r="G256" s="36">
        <f ca="1">COUNTIF($P$48:P266,"&lt;"&amp;E256)</f>
        <v>144</v>
      </c>
      <c r="H256" s="36">
        <f t="shared" ca="1" si="56"/>
        <v>0</v>
      </c>
      <c r="I256" s="36" t="str">
        <f t="shared" ca="1" si="57"/>
        <v>Ocu</v>
      </c>
      <c r="J256" s="40">
        <f t="shared" ca="1" si="49"/>
        <v>65</v>
      </c>
      <c r="K256" s="41">
        <f t="shared" ca="1" si="46"/>
        <v>15.525863862232164</v>
      </c>
      <c r="L256" s="42">
        <f t="shared" ca="1" si="58"/>
        <v>50.608117949475513</v>
      </c>
      <c r="M256" s="36">
        <f t="shared" ca="1" si="50"/>
        <v>0.52200000000000002</v>
      </c>
      <c r="N256" s="36">
        <f t="shared" si="59"/>
        <v>4</v>
      </c>
      <c r="O256" s="39">
        <f t="shared" ca="1" si="51"/>
        <v>0.16252192277487457</v>
      </c>
      <c r="P256" s="39">
        <f t="shared" ca="1" si="52"/>
        <v>50.770639872250385</v>
      </c>
      <c r="Q256" s="43">
        <f t="shared" ca="1" si="60"/>
        <v>15.688385785007036</v>
      </c>
    </row>
    <row r="257" spans="1:17" x14ac:dyDescent="0.25">
      <c r="A257" s="36">
        <v>210</v>
      </c>
      <c r="B257" s="36">
        <f t="shared" ca="1" si="47"/>
        <v>0.255</v>
      </c>
      <c r="C257" s="37">
        <f t="shared" si="53"/>
        <v>6</v>
      </c>
      <c r="D257" s="39">
        <f t="shared" ca="1" si="48"/>
        <v>0.22774862230395179</v>
      </c>
      <c r="E257" s="39">
        <f t="shared" ca="1" si="54"/>
        <v>35.310002709547298</v>
      </c>
      <c r="F257" s="36">
        <f t="shared" ca="1" si="55"/>
        <v>64</v>
      </c>
      <c r="G257" s="36">
        <f ca="1">COUNTIF($P$48:P267,"&lt;"&amp;E257)</f>
        <v>145</v>
      </c>
      <c r="H257" s="36">
        <f t="shared" ca="1" si="56"/>
        <v>1</v>
      </c>
      <c r="I257" s="36" t="str">
        <f t="shared" ca="1" si="57"/>
        <v>Ocu</v>
      </c>
      <c r="J257" s="40">
        <f t="shared" ca="1" si="49"/>
        <v>65</v>
      </c>
      <c r="K257" s="41">
        <f t="shared" ca="1" si="46"/>
        <v>15.460637162703087</v>
      </c>
      <c r="L257" s="42">
        <f t="shared" ca="1" si="58"/>
        <v>50.770639872250385</v>
      </c>
      <c r="M257" s="36">
        <f t="shared" ca="1" si="50"/>
        <v>0.879</v>
      </c>
      <c r="N257" s="36">
        <f t="shared" si="59"/>
        <v>4</v>
      </c>
      <c r="O257" s="39">
        <f t="shared" ca="1" si="51"/>
        <v>3.2242595324240009E-2</v>
      </c>
      <c r="P257" s="39">
        <f t="shared" ca="1" si="52"/>
        <v>50.802882467574626</v>
      </c>
      <c r="Q257" s="43">
        <f t="shared" ca="1" si="60"/>
        <v>15.492879758027328</v>
      </c>
    </row>
    <row r="258" spans="1:17" x14ac:dyDescent="0.25">
      <c r="A258" s="36">
        <v>211</v>
      </c>
      <c r="B258" s="36">
        <f t="shared" ca="1" si="47"/>
        <v>0.20499999999999999</v>
      </c>
      <c r="C258" s="37">
        <f t="shared" si="53"/>
        <v>6</v>
      </c>
      <c r="D258" s="39">
        <f t="shared" ca="1" si="48"/>
        <v>0.26412421664062147</v>
      </c>
      <c r="E258" s="39">
        <f t="shared" ca="1" si="54"/>
        <v>35.574126926187922</v>
      </c>
      <c r="F258" s="36">
        <f t="shared" ca="1" si="55"/>
        <v>64</v>
      </c>
      <c r="G258" s="36">
        <f ca="1">COUNTIF($P$48:P268,"&lt;"&amp;E258)</f>
        <v>146</v>
      </c>
      <c r="H258" s="36">
        <f t="shared" ca="1" si="56"/>
        <v>1</v>
      </c>
      <c r="I258" s="36" t="str">
        <f t="shared" ca="1" si="57"/>
        <v>Ocu</v>
      </c>
      <c r="J258" s="40">
        <f t="shared" ca="1" si="49"/>
        <v>65</v>
      </c>
      <c r="K258" s="41">
        <f t="shared" ca="1" si="46"/>
        <v>15.228755541386704</v>
      </c>
      <c r="L258" s="42">
        <f t="shared" ca="1" si="58"/>
        <v>50.802882467574626</v>
      </c>
      <c r="M258" s="36">
        <f t="shared" ca="1" si="50"/>
        <v>0.41</v>
      </c>
      <c r="N258" s="36">
        <f t="shared" si="59"/>
        <v>4</v>
      </c>
      <c r="O258" s="39">
        <f t="shared" ca="1" si="51"/>
        <v>0.22289952982094588</v>
      </c>
      <c r="P258" s="39">
        <f t="shared" ca="1" si="52"/>
        <v>51.025781997395569</v>
      </c>
      <c r="Q258" s="43">
        <f t="shared" ca="1" si="60"/>
        <v>15.451655071207647</v>
      </c>
    </row>
    <row r="259" spans="1:17" x14ac:dyDescent="0.25">
      <c r="A259" s="36">
        <v>212</v>
      </c>
      <c r="B259" s="36">
        <f t="shared" ca="1" si="47"/>
        <v>0.14599999999999999</v>
      </c>
      <c r="C259" s="37">
        <f t="shared" si="53"/>
        <v>6</v>
      </c>
      <c r="D259" s="39">
        <f t="shared" ca="1" si="48"/>
        <v>0.32069144287896678</v>
      </c>
      <c r="E259" s="39">
        <f t="shared" ca="1" si="54"/>
        <v>35.89481836906689</v>
      </c>
      <c r="F259" s="36">
        <f t="shared" ca="1" si="55"/>
        <v>65</v>
      </c>
      <c r="G259" s="36">
        <f ca="1">COUNTIF($P$48:P269,"&lt;"&amp;E259)</f>
        <v>146</v>
      </c>
      <c r="H259" s="36">
        <f t="shared" ca="1" si="56"/>
        <v>0</v>
      </c>
      <c r="I259" s="36" t="str">
        <f t="shared" ca="1" si="57"/>
        <v>Ocu</v>
      </c>
      <c r="J259" s="40">
        <f t="shared" ca="1" si="49"/>
        <v>66</v>
      </c>
      <c r="K259" s="41">
        <f t="shared" ca="1" si="46"/>
        <v>15.130963628328679</v>
      </c>
      <c r="L259" s="42">
        <f t="shared" ca="1" si="58"/>
        <v>51.025781997395569</v>
      </c>
      <c r="M259" s="36">
        <f t="shared" ca="1" si="50"/>
        <v>0.63700000000000001</v>
      </c>
      <c r="N259" s="36">
        <f t="shared" si="59"/>
        <v>4</v>
      </c>
      <c r="O259" s="39">
        <f t="shared" ca="1" si="51"/>
        <v>0.11274640585249343</v>
      </c>
      <c r="P259" s="39">
        <f t="shared" ca="1" si="52"/>
        <v>51.13852840324806</v>
      </c>
      <c r="Q259" s="43">
        <f t="shared" ca="1" si="60"/>
        <v>15.24371003418117</v>
      </c>
    </row>
    <row r="260" spans="1:17" x14ac:dyDescent="0.25">
      <c r="A260" s="36">
        <v>213</v>
      </c>
      <c r="B260" s="36">
        <f t="shared" ca="1" si="47"/>
        <v>0.51900000000000002</v>
      </c>
      <c r="C260" s="37">
        <f t="shared" si="53"/>
        <v>6</v>
      </c>
      <c r="D260" s="39">
        <f t="shared" ca="1" si="48"/>
        <v>0.10930856596937473</v>
      </c>
      <c r="E260" s="39">
        <f t="shared" ca="1" si="54"/>
        <v>36.004126935036261</v>
      </c>
      <c r="F260" s="36">
        <f t="shared" ca="1" si="55"/>
        <v>66</v>
      </c>
      <c r="G260" s="36">
        <f ca="1">COUNTIF($P$48:P270,"&lt;"&amp;E260)</f>
        <v>146</v>
      </c>
      <c r="H260" s="36">
        <f t="shared" ca="1" si="56"/>
        <v>0</v>
      </c>
      <c r="I260" s="36" t="str">
        <f t="shared" ca="1" si="57"/>
        <v>Ocu</v>
      </c>
      <c r="J260" s="40">
        <f t="shared" ca="1" si="49"/>
        <v>67</v>
      </c>
      <c r="K260" s="41">
        <f t="shared" ca="1" si="46"/>
        <v>15.134401468211799</v>
      </c>
      <c r="L260" s="42">
        <f t="shared" ca="1" si="58"/>
        <v>51.13852840324806</v>
      </c>
      <c r="M260" s="36">
        <f t="shared" ca="1" si="50"/>
        <v>0.64700000000000002</v>
      </c>
      <c r="N260" s="36">
        <f t="shared" si="59"/>
        <v>4</v>
      </c>
      <c r="O260" s="39">
        <f t="shared" ca="1" si="51"/>
        <v>0.1088522461203091</v>
      </c>
      <c r="P260" s="39">
        <f t="shared" ca="1" si="52"/>
        <v>51.247380649368367</v>
      </c>
      <c r="Q260" s="43">
        <f t="shared" ca="1" si="60"/>
        <v>15.243253714332106</v>
      </c>
    </row>
    <row r="261" spans="1:17" x14ac:dyDescent="0.25">
      <c r="A261" s="36">
        <v>214</v>
      </c>
      <c r="B261" s="36">
        <f t="shared" ca="1" si="47"/>
        <v>0.96099999999999997</v>
      </c>
      <c r="C261" s="37">
        <f t="shared" si="53"/>
        <v>6</v>
      </c>
      <c r="D261" s="39">
        <f t="shared" ca="1" si="48"/>
        <v>6.6301450019741106E-3</v>
      </c>
      <c r="E261" s="39">
        <f t="shared" ca="1" si="54"/>
        <v>36.010757080038232</v>
      </c>
      <c r="F261" s="36">
        <f t="shared" ca="1" si="55"/>
        <v>67</v>
      </c>
      <c r="G261" s="36">
        <f ca="1">COUNTIF($P$48:P271,"&lt;"&amp;E261)</f>
        <v>146</v>
      </c>
      <c r="H261" s="36">
        <f t="shared" ca="1" si="56"/>
        <v>0</v>
      </c>
      <c r="I261" s="36" t="str">
        <f t="shared" ca="1" si="57"/>
        <v>Ocu</v>
      </c>
      <c r="J261" s="40">
        <f t="shared" ca="1" si="49"/>
        <v>68</v>
      </c>
      <c r="K261" s="41">
        <f t="shared" ca="1" si="46"/>
        <v>15.236623569330135</v>
      </c>
      <c r="L261" s="42">
        <f t="shared" ca="1" si="58"/>
        <v>51.247380649368367</v>
      </c>
      <c r="M261" s="36">
        <f t="shared" ca="1" si="50"/>
        <v>8.8999999999999996E-2</v>
      </c>
      <c r="N261" s="36">
        <f t="shared" si="59"/>
        <v>4</v>
      </c>
      <c r="O261" s="39">
        <f t="shared" ca="1" si="51"/>
        <v>0.60477972731249929</v>
      </c>
      <c r="P261" s="39">
        <f t="shared" ca="1" si="52"/>
        <v>51.852160376680864</v>
      </c>
      <c r="Q261" s="43">
        <f t="shared" ca="1" si="60"/>
        <v>15.841403296642632</v>
      </c>
    </row>
    <row r="262" spans="1:17" x14ac:dyDescent="0.25">
      <c r="A262" s="36">
        <v>215</v>
      </c>
      <c r="B262" s="36">
        <f t="shared" ca="1" si="47"/>
        <v>0.10199999999999999</v>
      </c>
      <c r="C262" s="37">
        <f t="shared" si="53"/>
        <v>6</v>
      </c>
      <c r="D262" s="39">
        <f t="shared" ca="1" si="48"/>
        <v>0.38046374428297769</v>
      </c>
      <c r="E262" s="39">
        <f t="shared" ca="1" si="54"/>
        <v>36.391220824321209</v>
      </c>
      <c r="F262" s="36">
        <f t="shared" ca="1" si="55"/>
        <v>65</v>
      </c>
      <c r="G262" s="36">
        <f ca="1">COUNTIF($P$48:P272,"&lt;"&amp;E262)</f>
        <v>149</v>
      </c>
      <c r="H262" s="36">
        <f t="shared" ca="1" si="56"/>
        <v>3</v>
      </c>
      <c r="I262" s="36" t="str">
        <f t="shared" ca="1" si="57"/>
        <v>Ocu</v>
      </c>
      <c r="J262" s="40">
        <f t="shared" ca="1" si="49"/>
        <v>66</v>
      </c>
      <c r="K262" s="41">
        <f t="shared" ca="1" si="46"/>
        <v>15.460939552359655</v>
      </c>
      <c r="L262" s="42">
        <f t="shared" ca="1" si="58"/>
        <v>51.852160376680864</v>
      </c>
      <c r="M262" s="36">
        <f t="shared" ca="1" si="50"/>
        <v>0.93</v>
      </c>
      <c r="N262" s="36">
        <f t="shared" si="59"/>
        <v>4</v>
      </c>
      <c r="O262" s="39">
        <f t="shared" ca="1" si="51"/>
        <v>1.8142673208708843E-2</v>
      </c>
      <c r="P262" s="39">
        <f t="shared" ca="1" si="52"/>
        <v>51.870303049889571</v>
      </c>
      <c r="Q262" s="43">
        <f t="shared" ca="1" si="60"/>
        <v>15.479082225568362</v>
      </c>
    </row>
    <row r="263" spans="1:17" x14ac:dyDescent="0.25">
      <c r="A263" s="36">
        <v>216</v>
      </c>
      <c r="B263" s="36">
        <f t="shared" ca="1" si="47"/>
        <v>0.248</v>
      </c>
      <c r="C263" s="37">
        <f t="shared" si="53"/>
        <v>6</v>
      </c>
      <c r="D263" s="39">
        <f t="shared" ca="1" si="48"/>
        <v>0.23238775546952578</v>
      </c>
      <c r="E263" s="39">
        <f t="shared" ca="1" si="54"/>
        <v>36.623608579790734</v>
      </c>
      <c r="F263" s="36">
        <f t="shared" ca="1" si="55"/>
        <v>66</v>
      </c>
      <c r="G263" s="36">
        <f ca="1">COUNTIF($P$48:P273,"&lt;"&amp;E263)</f>
        <v>149</v>
      </c>
      <c r="H263" s="36">
        <f t="shared" ca="1" si="56"/>
        <v>0</v>
      </c>
      <c r="I263" s="36" t="str">
        <f t="shared" ca="1" si="57"/>
        <v>Ocu</v>
      </c>
      <c r="J263" s="40">
        <f t="shared" ca="1" si="49"/>
        <v>67</v>
      </c>
      <c r="K263" s="41">
        <f t="shared" ca="1" si="46"/>
        <v>15.246694470098838</v>
      </c>
      <c r="L263" s="42">
        <f t="shared" ca="1" si="58"/>
        <v>51.870303049889571</v>
      </c>
      <c r="M263" s="36">
        <f t="shared" ca="1" si="50"/>
        <v>0.45100000000000001</v>
      </c>
      <c r="N263" s="36">
        <f t="shared" si="59"/>
        <v>4</v>
      </c>
      <c r="O263" s="39">
        <f t="shared" ca="1" si="51"/>
        <v>0.19907198486986469</v>
      </c>
      <c r="P263" s="39">
        <f t="shared" ca="1" si="52"/>
        <v>52.069375034759439</v>
      </c>
      <c r="Q263" s="43">
        <f t="shared" ca="1" si="60"/>
        <v>15.445766454968705</v>
      </c>
    </row>
    <row r="264" spans="1:17" x14ac:dyDescent="0.25">
      <c r="A264" s="36">
        <v>217</v>
      </c>
      <c r="B264" s="36">
        <f t="shared" ca="1" si="47"/>
        <v>0.47499999999999998</v>
      </c>
      <c r="C264" s="37">
        <f t="shared" si="53"/>
        <v>6</v>
      </c>
      <c r="D264" s="39">
        <f t="shared" ca="1" si="48"/>
        <v>0.12407341249124929</v>
      </c>
      <c r="E264" s="39">
        <f t="shared" ca="1" si="54"/>
        <v>36.747681992281983</v>
      </c>
      <c r="F264" s="36">
        <f t="shared" ca="1" si="55"/>
        <v>67</v>
      </c>
      <c r="G264" s="36">
        <f ca="1">COUNTIF($P$48:P274,"&lt;"&amp;E264)</f>
        <v>149</v>
      </c>
      <c r="H264" s="36">
        <f t="shared" ca="1" si="56"/>
        <v>0</v>
      </c>
      <c r="I264" s="36" t="str">
        <f t="shared" ca="1" si="57"/>
        <v>Ocu</v>
      </c>
      <c r="J264" s="40">
        <f t="shared" ca="1" si="49"/>
        <v>68</v>
      </c>
      <c r="K264" s="41">
        <f t="shared" ca="1" si="46"/>
        <v>15.321693042477456</v>
      </c>
      <c r="L264" s="42">
        <f t="shared" ca="1" si="58"/>
        <v>52.069375034759439</v>
      </c>
      <c r="M264" s="36">
        <f t="shared" ca="1" si="50"/>
        <v>0.56999999999999995</v>
      </c>
      <c r="N264" s="36">
        <f t="shared" si="59"/>
        <v>4</v>
      </c>
      <c r="O264" s="39">
        <f t="shared" ca="1" si="51"/>
        <v>0.14052972953838533</v>
      </c>
      <c r="P264" s="39">
        <f t="shared" ca="1" si="52"/>
        <v>52.209904764297825</v>
      </c>
      <c r="Q264" s="43">
        <f t="shared" ca="1" si="60"/>
        <v>15.462222772015842</v>
      </c>
    </row>
    <row r="265" spans="1:17" x14ac:dyDescent="0.25">
      <c r="A265" s="36">
        <v>218</v>
      </c>
      <c r="B265" s="36">
        <f t="shared" ca="1" si="47"/>
        <v>0.96499999999999997</v>
      </c>
      <c r="C265" s="37">
        <f t="shared" si="53"/>
        <v>6</v>
      </c>
      <c r="D265" s="39">
        <f t="shared" ca="1" si="48"/>
        <v>5.9378629405252084E-3</v>
      </c>
      <c r="E265" s="39">
        <f t="shared" ca="1" si="54"/>
        <v>36.75361985522251</v>
      </c>
      <c r="F265" s="36">
        <f t="shared" ca="1" si="55"/>
        <v>68</v>
      </c>
      <c r="G265" s="36">
        <f ca="1">COUNTIF($P$48:P275,"&lt;"&amp;E265)</f>
        <v>149</v>
      </c>
      <c r="H265" s="36">
        <f t="shared" ca="1" si="56"/>
        <v>0</v>
      </c>
      <c r="I265" s="36" t="str">
        <f t="shared" ca="1" si="57"/>
        <v>Ocu</v>
      </c>
      <c r="J265" s="40">
        <f t="shared" ca="1" si="49"/>
        <v>69</v>
      </c>
      <c r="K265" s="41">
        <f t="shared" ca="1" si="46"/>
        <v>15.456284909075315</v>
      </c>
      <c r="L265" s="42">
        <f t="shared" ca="1" si="58"/>
        <v>52.209904764297825</v>
      </c>
      <c r="M265" s="36">
        <f t="shared" ca="1" si="50"/>
        <v>0.91600000000000004</v>
      </c>
      <c r="N265" s="36">
        <f t="shared" si="59"/>
        <v>4</v>
      </c>
      <c r="O265" s="39">
        <f t="shared" ca="1" si="51"/>
        <v>2.1934728577001669E-2</v>
      </c>
      <c r="P265" s="39">
        <f t="shared" ca="1" si="52"/>
        <v>52.231839492874826</v>
      </c>
      <c r="Q265" s="43">
        <f t="shared" ca="1" si="60"/>
        <v>15.478219637652316</v>
      </c>
    </row>
    <row r="266" spans="1:17" x14ac:dyDescent="0.25">
      <c r="A266" s="36">
        <v>219</v>
      </c>
      <c r="B266" s="36">
        <f t="shared" ca="1" si="47"/>
        <v>0.29799999999999999</v>
      </c>
      <c r="C266" s="37">
        <f t="shared" si="53"/>
        <v>6</v>
      </c>
      <c r="D266" s="39">
        <f t="shared" ca="1" si="48"/>
        <v>0.20177696541278878</v>
      </c>
      <c r="E266" s="39">
        <f t="shared" ca="1" si="54"/>
        <v>36.955396820635301</v>
      </c>
      <c r="F266" s="36">
        <f t="shared" ca="1" si="55"/>
        <v>69</v>
      </c>
      <c r="G266" s="36">
        <f ca="1">COUNTIF($P$48:P276,"&lt;"&amp;E266)</f>
        <v>149</v>
      </c>
      <c r="H266" s="36">
        <f t="shared" ca="1" si="56"/>
        <v>0</v>
      </c>
      <c r="I266" s="36" t="str">
        <f t="shared" ca="1" si="57"/>
        <v>Ocu</v>
      </c>
      <c r="J266" s="40">
        <f t="shared" ca="1" si="49"/>
        <v>70</v>
      </c>
      <c r="K266" s="41">
        <f t="shared" ca="1" si="46"/>
        <v>15.276442672239526</v>
      </c>
      <c r="L266" s="42">
        <f t="shared" ca="1" si="58"/>
        <v>52.231839492874826</v>
      </c>
      <c r="M266" s="36">
        <f t="shared" ca="1" si="50"/>
        <v>0.81499999999999995</v>
      </c>
      <c r="N266" s="36">
        <f t="shared" si="59"/>
        <v>4</v>
      </c>
      <c r="O266" s="39">
        <f t="shared" ca="1" si="51"/>
        <v>5.1141791435318593E-2</v>
      </c>
      <c r="P266" s="39">
        <f t="shared" ca="1" si="52"/>
        <v>52.282981284310146</v>
      </c>
      <c r="Q266" s="43">
        <f t="shared" ca="1" si="60"/>
        <v>15.327584463674846</v>
      </c>
    </row>
    <row r="267" spans="1:17" x14ac:dyDescent="0.25">
      <c r="A267" s="36">
        <v>220</v>
      </c>
      <c r="B267" s="36">
        <f t="shared" ca="1" si="47"/>
        <v>0.94699999999999995</v>
      </c>
      <c r="C267" s="37">
        <f t="shared" si="53"/>
        <v>6</v>
      </c>
      <c r="D267" s="39">
        <f t="shared" ca="1" si="48"/>
        <v>9.0760309660098265E-3</v>
      </c>
      <c r="E267" s="39">
        <f t="shared" ca="1" si="54"/>
        <v>36.964472851601307</v>
      </c>
      <c r="F267" s="36">
        <f t="shared" ca="1" si="55"/>
        <v>70</v>
      </c>
      <c r="G267" s="36">
        <f ca="1">COUNTIF($P$48:P277,"&lt;"&amp;E267)</f>
        <v>149</v>
      </c>
      <c r="H267" s="36">
        <f t="shared" ca="1" si="56"/>
        <v>0</v>
      </c>
      <c r="I267" s="36" t="str">
        <f t="shared" ca="1" si="57"/>
        <v>Ocu</v>
      </c>
      <c r="J267" s="40">
        <f t="shared" ca="1" si="49"/>
        <v>71</v>
      </c>
      <c r="K267" s="41">
        <f t="shared" ca="1" si="46"/>
        <v>15.318508432708839</v>
      </c>
      <c r="L267" s="42">
        <f t="shared" ca="1" si="58"/>
        <v>52.282981284310146</v>
      </c>
      <c r="M267" s="36">
        <f t="shared" ca="1" si="50"/>
        <v>0.63600000000000001</v>
      </c>
      <c r="N267" s="36">
        <f t="shared" si="59"/>
        <v>4</v>
      </c>
      <c r="O267" s="39">
        <f t="shared" ca="1" si="51"/>
        <v>0.11313917891050371</v>
      </c>
      <c r="P267" s="39">
        <f t="shared" ca="1" si="52"/>
        <v>52.396120463220647</v>
      </c>
      <c r="Q267" s="43">
        <f t="shared" ca="1" si="60"/>
        <v>15.43164761161934</v>
      </c>
    </row>
    <row r="268" spans="1:17" x14ac:dyDescent="0.25">
      <c r="A268" s="36">
        <v>221</v>
      </c>
      <c r="B268" s="36">
        <f t="shared" ca="1" si="47"/>
        <v>0.90900000000000003</v>
      </c>
      <c r="C268" s="37">
        <f t="shared" si="53"/>
        <v>6</v>
      </c>
      <c r="D268" s="39">
        <f t="shared" ca="1" si="48"/>
        <v>1.5901697467443045E-2</v>
      </c>
      <c r="E268" s="39">
        <f t="shared" ca="1" si="54"/>
        <v>36.980374549068749</v>
      </c>
      <c r="F268" s="36">
        <f t="shared" ca="1" si="55"/>
        <v>71</v>
      </c>
      <c r="G268" s="36">
        <f ca="1">COUNTIF($P$48:P278,"&lt;"&amp;E268)</f>
        <v>149</v>
      </c>
      <c r="H268" s="36">
        <f t="shared" ca="1" si="56"/>
        <v>0</v>
      </c>
      <c r="I268" s="36" t="str">
        <f t="shared" ca="1" si="57"/>
        <v>Ocu</v>
      </c>
      <c r="J268" s="40">
        <f t="shared" ca="1" si="49"/>
        <v>72</v>
      </c>
      <c r="K268" s="41">
        <f t="shared" ca="1" si="46"/>
        <v>15.415745914151898</v>
      </c>
      <c r="L268" s="42">
        <f t="shared" ca="1" si="58"/>
        <v>52.396120463220647</v>
      </c>
      <c r="M268" s="36">
        <f t="shared" ca="1" si="50"/>
        <v>0.45700000000000002</v>
      </c>
      <c r="N268" s="36">
        <f t="shared" si="59"/>
        <v>4</v>
      </c>
      <c r="O268" s="39">
        <f t="shared" ca="1" si="51"/>
        <v>0.19576797202198307</v>
      </c>
      <c r="P268" s="39">
        <f t="shared" ca="1" si="52"/>
        <v>52.59188843524263</v>
      </c>
      <c r="Q268" s="43">
        <f t="shared" ca="1" si="60"/>
        <v>15.611513886173881</v>
      </c>
    </row>
    <row r="269" spans="1:17" x14ac:dyDescent="0.25">
      <c r="A269" s="36">
        <v>222</v>
      </c>
      <c r="B269" s="36">
        <f t="shared" ca="1" si="47"/>
        <v>0.45800000000000002</v>
      </c>
      <c r="C269" s="37">
        <f t="shared" si="53"/>
        <v>6</v>
      </c>
      <c r="D269" s="39">
        <f t="shared" ca="1" si="48"/>
        <v>0.13014768247799199</v>
      </c>
      <c r="E269" s="39">
        <f t="shared" ca="1" si="54"/>
        <v>37.110522231546739</v>
      </c>
      <c r="F269" s="36">
        <f t="shared" ca="1" si="55"/>
        <v>72</v>
      </c>
      <c r="G269" s="36">
        <f ca="1">COUNTIF($P$48:P279,"&lt;"&amp;E269)</f>
        <v>149</v>
      </c>
      <c r="H269" s="36">
        <f t="shared" ca="1" si="56"/>
        <v>0</v>
      </c>
      <c r="I269" s="36" t="str">
        <f t="shared" ca="1" si="57"/>
        <v>Ocu</v>
      </c>
      <c r="J269" s="40">
        <f t="shared" ca="1" si="49"/>
        <v>73</v>
      </c>
      <c r="K269" s="41">
        <f t="shared" ca="1" si="46"/>
        <v>15.481366203695892</v>
      </c>
      <c r="L269" s="42">
        <f t="shared" ca="1" si="58"/>
        <v>52.59188843524263</v>
      </c>
      <c r="M269" s="36">
        <f t="shared" ca="1" si="50"/>
        <v>5.1999999999999998E-2</v>
      </c>
      <c r="N269" s="36">
        <f t="shared" si="59"/>
        <v>4</v>
      </c>
      <c r="O269" s="39">
        <f t="shared" ca="1" si="51"/>
        <v>0.73912789010017743</v>
      </c>
      <c r="P269" s="39">
        <f t="shared" ca="1" si="52"/>
        <v>53.331016325342809</v>
      </c>
      <c r="Q269" s="43">
        <f t="shared" ca="1" si="60"/>
        <v>16.22049409379607</v>
      </c>
    </row>
    <row r="270" spans="1:17" x14ac:dyDescent="0.25">
      <c r="A270" s="36">
        <v>223</v>
      </c>
      <c r="B270" s="36">
        <f t="shared" ca="1" si="47"/>
        <v>0.68100000000000005</v>
      </c>
      <c r="C270" s="37">
        <f t="shared" si="53"/>
        <v>6</v>
      </c>
      <c r="D270" s="39">
        <f t="shared" ca="1" si="48"/>
        <v>6.4032162138770762E-2</v>
      </c>
      <c r="E270" s="39">
        <f t="shared" ca="1" si="54"/>
        <v>37.174554393685511</v>
      </c>
      <c r="F270" s="36">
        <f t="shared" ca="1" si="55"/>
        <v>73</v>
      </c>
      <c r="G270" s="36">
        <f ca="1">COUNTIF($P$48:P280,"&lt;"&amp;E270)</f>
        <v>149</v>
      </c>
      <c r="H270" s="36">
        <f t="shared" ca="1" si="56"/>
        <v>0</v>
      </c>
      <c r="I270" s="36" t="str">
        <f t="shared" ca="1" si="57"/>
        <v>Ocu</v>
      </c>
      <c r="J270" s="40">
        <f t="shared" ca="1" si="49"/>
        <v>74</v>
      </c>
      <c r="K270" s="41">
        <f t="shared" ca="1" si="46"/>
        <v>16.156461931657297</v>
      </c>
      <c r="L270" s="42">
        <f t="shared" ca="1" si="58"/>
        <v>53.331016325342809</v>
      </c>
      <c r="M270" s="36">
        <f t="shared" ca="1" si="50"/>
        <v>0.92600000000000005</v>
      </c>
      <c r="N270" s="36">
        <f t="shared" si="59"/>
        <v>4</v>
      </c>
      <c r="O270" s="39">
        <f t="shared" ca="1" si="51"/>
        <v>1.9220261083989398E-2</v>
      </c>
      <c r="P270" s="39">
        <f t="shared" ca="1" si="52"/>
        <v>53.350236586426796</v>
      </c>
      <c r="Q270" s="43">
        <f t="shared" ca="1" si="60"/>
        <v>16.175682192741284</v>
      </c>
    </row>
    <row r="271" spans="1:17" x14ac:dyDescent="0.25">
      <c r="A271" s="36">
        <v>224</v>
      </c>
      <c r="B271" s="36">
        <f t="shared" ca="1" si="47"/>
        <v>0.09</v>
      </c>
      <c r="C271" s="37">
        <f t="shared" si="53"/>
        <v>6</v>
      </c>
      <c r="D271" s="39">
        <f t="shared" ca="1" si="48"/>
        <v>0.4013242681086453</v>
      </c>
      <c r="E271" s="39">
        <f t="shared" ca="1" si="54"/>
        <v>37.575878661794157</v>
      </c>
      <c r="F271" s="36">
        <f t="shared" ca="1" si="55"/>
        <v>71</v>
      </c>
      <c r="G271" s="36">
        <f ca="1">COUNTIF($P$48:P281,"&lt;"&amp;E271)</f>
        <v>152</v>
      </c>
      <c r="H271" s="36">
        <f t="shared" ca="1" si="56"/>
        <v>3</v>
      </c>
      <c r="I271" s="36" t="str">
        <f t="shared" ca="1" si="57"/>
        <v>Ocu</v>
      </c>
      <c r="J271" s="40">
        <f t="shared" ca="1" si="49"/>
        <v>72</v>
      </c>
      <c r="K271" s="41">
        <f t="shared" ca="1" si="46"/>
        <v>15.774357924632639</v>
      </c>
      <c r="L271" s="42">
        <f t="shared" ca="1" si="58"/>
        <v>53.350236586426796</v>
      </c>
      <c r="M271" s="36">
        <f t="shared" ca="1" si="50"/>
        <v>0.5</v>
      </c>
      <c r="N271" s="36">
        <f t="shared" si="59"/>
        <v>4</v>
      </c>
      <c r="O271" s="39">
        <f t="shared" ca="1" si="51"/>
        <v>0.17328679513998632</v>
      </c>
      <c r="P271" s="39">
        <f t="shared" ca="1" si="52"/>
        <v>53.523523381566783</v>
      </c>
      <c r="Q271" s="43">
        <f t="shared" ca="1" si="60"/>
        <v>15.947644719772626</v>
      </c>
    </row>
    <row r="272" spans="1:17" x14ac:dyDescent="0.25">
      <c r="A272" s="36">
        <v>225</v>
      </c>
      <c r="B272" s="36">
        <f t="shared" ca="1" si="47"/>
        <v>0.84299999999999997</v>
      </c>
      <c r="C272" s="37">
        <f t="shared" si="53"/>
        <v>6</v>
      </c>
      <c r="D272" s="39">
        <f t="shared" ca="1" si="48"/>
        <v>2.846472016338026E-2</v>
      </c>
      <c r="E272" s="39">
        <f t="shared" ca="1" si="54"/>
        <v>37.604343381957534</v>
      </c>
      <c r="F272" s="36">
        <f t="shared" ca="1" si="55"/>
        <v>72</v>
      </c>
      <c r="G272" s="36">
        <f ca="1">COUNTIF($P$48:P282,"&lt;"&amp;E272)</f>
        <v>152</v>
      </c>
      <c r="H272" s="36">
        <f t="shared" ca="1" si="56"/>
        <v>0</v>
      </c>
      <c r="I272" s="36" t="str">
        <f t="shared" ca="1" si="57"/>
        <v>Ocu</v>
      </c>
      <c r="J272" s="40">
        <f t="shared" ca="1" si="49"/>
        <v>73</v>
      </c>
      <c r="K272" s="41">
        <f t="shared" ca="1" si="46"/>
        <v>15.919179999609248</v>
      </c>
      <c r="L272" s="42">
        <f t="shared" ca="1" si="58"/>
        <v>53.523523381566783</v>
      </c>
      <c r="M272" s="36">
        <f t="shared" ca="1" si="50"/>
        <v>0.67900000000000005</v>
      </c>
      <c r="N272" s="36">
        <f t="shared" si="59"/>
        <v>4</v>
      </c>
      <c r="O272" s="39">
        <f t="shared" ca="1" si="51"/>
        <v>9.6783537855860205E-2</v>
      </c>
      <c r="P272" s="39">
        <f t="shared" ca="1" si="52"/>
        <v>53.620306919422646</v>
      </c>
      <c r="Q272" s="43">
        <f t="shared" ca="1" si="60"/>
        <v>16.015963537465112</v>
      </c>
    </row>
    <row r="273" spans="1:17" x14ac:dyDescent="0.25">
      <c r="A273" s="36">
        <v>226</v>
      </c>
      <c r="B273" s="36">
        <f t="shared" ca="1" si="47"/>
        <v>0.40899999999999997</v>
      </c>
      <c r="C273" s="37">
        <f t="shared" si="53"/>
        <v>6</v>
      </c>
      <c r="D273" s="39">
        <f t="shared" ca="1" si="48"/>
        <v>0.14900668715655588</v>
      </c>
      <c r="E273" s="39">
        <f t="shared" ca="1" si="54"/>
        <v>37.753350069114092</v>
      </c>
      <c r="F273" s="36">
        <f t="shared" ca="1" si="55"/>
        <v>72</v>
      </c>
      <c r="G273" s="36">
        <f ca="1">COUNTIF($P$48:P283,"&lt;"&amp;E273)</f>
        <v>153</v>
      </c>
      <c r="H273" s="36">
        <f t="shared" ca="1" si="56"/>
        <v>1</v>
      </c>
      <c r="I273" s="36" t="str">
        <f t="shared" ca="1" si="57"/>
        <v>Ocu</v>
      </c>
      <c r="J273" s="40">
        <f t="shared" ca="1" si="49"/>
        <v>73</v>
      </c>
      <c r="K273" s="41">
        <f t="shared" ca="1" si="46"/>
        <v>15.866956850308554</v>
      </c>
      <c r="L273" s="42">
        <f t="shared" ca="1" si="58"/>
        <v>53.620306919422646</v>
      </c>
      <c r="M273" s="36">
        <f t="shared" ca="1" si="50"/>
        <v>0.13100000000000001</v>
      </c>
      <c r="N273" s="36">
        <f t="shared" si="59"/>
        <v>4</v>
      </c>
      <c r="O273" s="39">
        <f t="shared" ca="1" si="51"/>
        <v>0.50813948894524641</v>
      </c>
      <c r="P273" s="39">
        <f t="shared" ca="1" si="52"/>
        <v>54.128446408367893</v>
      </c>
      <c r="Q273" s="43">
        <f t="shared" ca="1" si="60"/>
        <v>16.375096339253801</v>
      </c>
    </row>
    <row r="274" spans="1:17" x14ac:dyDescent="0.25">
      <c r="A274" s="36">
        <v>227</v>
      </c>
      <c r="B274" s="36">
        <f t="shared" ca="1" si="47"/>
        <v>0.58599999999999997</v>
      </c>
      <c r="C274" s="37">
        <f t="shared" si="53"/>
        <v>6</v>
      </c>
      <c r="D274" s="39">
        <f t="shared" ca="1" si="48"/>
        <v>8.9072581567520751E-2</v>
      </c>
      <c r="E274" s="39">
        <f t="shared" ca="1" si="54"/>
        <v>37.842422650681613</v>
      </c>
      <c r="F274" s="36">
        <f t="shared" ca="1" si="55"/>
        <v>73</v>
      </c>
      <c r="G274" s="36">
        <f ca="1">COUNTIF($P$48:P284,"&lt;"&amp;E274)</f>
        <v>153</v>
      </c>
      <c r="H274" s="36">
        <f t="shared" ca="1" si="56"/>
        <v>0</v>
      </c>
      <c r="I274" s="36" t="str">
        <f t="shared" ca="1" si="57"/>
        <v>Ocu</v>
      </c>
      <c r="J274" s="40">
        <f t="shared" ca="1" si="49"/>
        <v>74</v>
      </c>
      <c r="K274" s="41">
        <f t="shared" ca="1" si="46"/>
        <v>16.28602375768628</v>
      </c>
      <c r="L274" s="42">
        <f t="shared" ca="1" si="58"/>
        <v>54.128446408367893</v>
      </c>
      <c r="M274" s="36">
        <f t="shared" ca="1" si="50"/>
        <v>0.41799999999999998</v>
      </c>
      <c r="N274" s="36">
        <f t="shared" si="59"/>
        <v>4</v>
      </c>
      <c r="O274" s="39">
        <f t="shared" ca="1" si="51"/>
        <v>0.21806846161434518</v>
      </c>
      <c r="P274" s="39">
        <f t="shared" ca="1" si="52"/>
        <v>54.346514869982236</v>
      </c>
      <c r="Q274" s="43">
        <f t="shared" ca="1" si="60"/>
        <v>16.504092219300624</v>
      </c>
    </row>
    <row r="275" spans="1:17" x14ac:dyDescent="0.25">
      <c r="A275" s="36">
        <v>228</v>
      </c>
      <c r="B275" s="36">
        <f t="shared" ca="1" si="47"/>
        <v>0.501</v>
      </c>
      <c r="C275" s="37">
        <f t="shared" si="53"/>
        <v>6</v>
      </c>
      <c r="D275" s="39">
        <f t="shared" ca="1" si="48"/>
        <v>0.11519152964954535</v>
      </c>
      <c r="E275" s="39">
        <f t="shared" ca="1" si="54"/>
        <v>37.957614180331156</v>
      </c>
      <c r="F275" s="36">
        <f t="shared" ca="1" si="55"/>
        <v>74</v>
      </c>
      <c r="G275" s="36">
        <f ca="1">COUNTIF($P$48:P285,"&lt;"&amp;E275)</f>
        <v>153</v>
      </c>
      <c r="H275" s="36">
        <f t="shared" ca="1" si="56"/>
        <v>0</v>
      </c>
      <c r="I275" s="36" t="str">
        <f t="shared" ca="1" si="57"/>
        <v>Ocu</v>
      </c>
      <c r="J275" s="40">
        <f t="shared" ca="1" si="49"/>
        <v>75</v>
      </c>
      <c r="K275" s="41">
        <f t="shared" ca="1" si="46"/>
        <v>16.388900689651081</v>
      </c>
      <c r="L275" s="42">
        <f t="shared" ca="1" si="58"/>
        <v>54.346514869982236</v>
      </c>
      <c r="M275" s="36">
        <f t="shared" ca="1" si="50"/>
        <v>0.49199999999999999</v>
      </c>
      <c r="N275" s="36">
        <f t="shared" si="59"/>
        <v>4</v>
      </c>
      <c r="O275" s="39">
        <f t="shared" ca="1" si="51"/>
        <v>0.17731914062245727</v>
      </c>
      <c r="P275" s="39">
        <f t="shared" ca="1" si="52"/>
        <v>54.523834010604695</v>
      </c>
      <c r="Q275" s="43">
        <f t="shared" ca="1" si="60"/>
        <v>16.566219830273539</v>
      </c>
    </row>
    <row r="276" spans="1:17" x14ac:dyDescent="0.25">
      <c r="A276" s="36">
        <v>229</v>
      </c>
      <c r="B276" s="36">
        <f t="shared" ca="1" si="47"/>
        <v>0.60499999999999998</v>
      </c>
      <c r="C276" s="37">
        <f t="shared" si="53"/>
        <v>6</v>
      </c>
      <c r="D276" s="39">
        <f t="shared" ca="1" si="48"/>
        <v>8.3754470158549268E-2</v>
      </c>
      <c r="E276" s="39">
        <f t="shared" ca="1" si="54"/>
        <v>38.041368650489702</v>
      </c>
      <c r="F276" s="36">
        <f t="shared" ca="1" si="55"/>
        <v>74</v>
      </c>
      <c r="G276" s="36">
        <f ca="1">COUNTIF($P$48:P286,"&lt;"&amp;E276)</f>
        <v>154</v>
      </c>
      <c r="H276" s="36">
        <f t="shared" ca="1" si="56"/>
        <v>1</v>
      </c>
      <c r="I276" s="36" t="str">
        <f t="shared" ca="1" si="57"/>
        <v>Ocu</v>
      </c>
      <c r="J276" s="40">
        <f t="shared" ca="1" si="49"/>
        <v>75</v>
      </c>
      <c r="K276" s="41">
        <f t="shared" ca="1" si="46"/>
        <v>16.482465360114993</v>
      </c>
      <c r="L276" s="42">
        <f t="shared" ca="1" si="58"/>
        <v>54.523834010604695</v>
      </c>
      <c r="M276" s="36">
        <f t="shared" ca="1" si="50"/>
        <v>1.0999999999999999E-2</v>
      </c>
      <c r="N276" s="36">
        <f t="shared" si="59"/>
        <v>4</v>
      </c>
      <c r="O276" s="39">
        <f t="shared" ca="1" si="51"/>
        <v>1.1274650015459418</v>
      </c>
      <c r="P276" s="39">
        <f t="shared" ca="1" si="52"/>
        <v>55.651299012150638</v>
      </c>
      <c r="Q276" s="43">
        <f t="shared" ca="1" si="60"/>
        <v>17.609930361660936</v>
      </c>
    </row>
    <row r="277" spans="1:17" x14ac:dyDescent="0.25">
      <c r="A277" s="36">
        <v>230</v>
      </c>
      <c r="B277" s="36">
        <f t="shared" ca="1" si="47"/>
        <v>0.39500000000000002</v>
      </c>
      <c r="C277" s="37">
        <f t="shared" si="53"/>
        <v>6</v>
      </c>
      <c r="D277" s="39">
        <f t="shared" ca="1" si="48"/>
        <v>0.15481158568016917</v>
      </c>
      <c r="E277" s="39">
        <f t="shared" ca="1" si="54"/>
        <v>38.196180236169873</v>
      </c>
      <c r="F277" s="36">
        <f t="shared" ca="1" si="55"/>
        <v>73</v>
      </c>
      <c r="G277" s="36">
        <f ca="1">COUNTIF($P$48:P287,"&lt;"&amp;E277)</f>
        <v>156</v>
      </c>
      <c r="H277" s="36">
        <f t="shared" ca="1" si="56"/>
        <v>2</v>
      </c>
      <c r="I277" s="36" t="str">
        <f t="shared" ca="1" si="57"/>
        <v>Ocu</v>
      </c>
      <c r="J277" s="40">
        <f t="shared" ca="1" si="49"/>
        <v>74</v>
      </c>
      <c r="K277" s="41">
        <f t="shared" ca="1" si="46"/>
        <v>17.455118775980765</v>
      </c>
      <c r="L277" s="42">
        <f t="shared" ca="1" si="58"/>
        <v>55.651299012150638</v>
      </c>
      <c r="M277" s="36">
        <f t="shared" ca="1" si="50"/>
        <v>0.70199999999999996</v>
      </c>
      <c r="N277" s="36">
        <f t="shared" si="59"/>
        <v>4</v>
      </c>
      <c r="O277" s="39">
        <f t="shared" ca="1" si="51"/>
        <v>8.8455468739081514E-2</v>
      </c>
      <c r="P277" s="39">
        <f t="shared" ca="1" si="52"/>
        <v>55.739754480889722</v>
      </c>
      <c r="Q277" s="43">
        <f t="shared" ca="1" si="60"/>
        <v>17.543574244719849</v>
      </c>
    </row>
    <row r="278" spans="1:17" x14ac:dyDescent="0.25">
      <c r="A278" s="36">
        <v>231</v>
      </c>
      <c r="B278" s="36">
        <f t="shared" ca="1" si="47"/>
        <v>0.91600000000000004</v>
      </c>
      <c r="C278" s="37">
        <f t="shared" si="53"/>
        <v>6</v>
      </c>
      <c r="D278" s="39">
        <f t="shared" ca="1" si="48"/>
        <v>1.4623152384667779E-2</v>
      </c>
      <c r="E278" s="39">
        <f t="shared" ca="1" si="54"/>
        <v>38.210803388554538</v>
      </c>
      <c r="F278" s="36">
        <f t="shared" ca="1" si="55"/>
        <v>74</v>
      </c>
      <c r="G278" s="36">
        <f ca="1">COUNTIF($P$48:P288,"&lt;"&amp;E278)</f>
        <v>156</v>
      </c>
      <c r="H278" s="36">
        <f t="shared" ca="1" si="56"/>
        <v>0</v>
      </c>
      <c r="I278" s="36" t="str">
        <f t="shared" ca="1" si="57"/>
        <v>Ocu</v>
      </c>
      <c r="J278" s="40">
        <f t="shared" ca="1" si="49"/>
        <v>75</v>
      </c>
      <c r="K278" s="41">
        <f t="shared" ca="1" si="46"/>
        <v>17.528951092335184</v>
      </c>
      <c r="L278" s="42">
        <f t="shared" ca="1" si="58"/>
        <v>55.739754480889722</v>
      </c>
      <c r="M278" s="36">
        <f t="shared" ca="1" si="50"/>
        <v>0.73599999999999999</v>
      </c>
      <c r="N278" s="36">
        <f t="shared" si="59"/>
        <v>4</v>
      </c>
      <c r="O278" s="39">
        <f t="shared" ca="1" si="51"/>
        <v>7.6631290063315205E-2</v>
      </c>
      <c r="P278" s="39">
        <f t="shared" ca="1" si="52"/>
        <v>55.81638577095304</v>
      </c>
      <c r="Q278" s="43">
        <f t="shared" ca="1" si="60"/>
        <v>17.605582382398502</v>
      </c>
    </row>
    <row r="279" spans="1:17" x14ac:dyDescent="0.25">
      <c r="A279" s="36">
        <v>232</v>
      </c>
      <c r="B279" s="36">
        <f t="shared" ca="1" si="47"/>
        <v>0.109</v>
      </c>
      <c r="C279" s="37">
        <f t="shared" si="53"/>
        <v>6</v>
      </c>
      <c r="D279" s="39">
        <f t="shared" ca="1" si="48"/>
        <v>0.36940123279216552</v>
      </c>
      <c r="E279" s="39">
        <f t="shared" ca="1" si="54"/>
        <v>38.580204621346702</v>
      </c>
      <c r="F279" s="36">
        <f t="shared" ca="1" si="55"/>
        <v>74</v>
      </c>
      <c r="G279" s="36">
        <f ca="1">COUNTIF($P$48:P289,"&lt;"&amp;E279)</f>
        <v>157</v>
      </c>
      <c r="H279" s="36">
        <f t="shared" ca="1" si="56"/>
        <v>1</v>
      </c>
      <c r="I279" s="36" t="str">
        <f t="shared" ca="1" si="57"/>
        <v>Ocu</v>
      </c>
      <c r="J279" s="40">
        <f t="shared" ca="1" si="49"/>
        <v>75</v>
      </c>
      <c r="K279" s="41">
        <f t="shared" ca="1" si="46"/>
        <v>17.236181149606338</v>
      </c>
      <c r="L279" s="42">
        <f t="shared" ca="1" si="58"/>
        <v>55.81638577095304</v>
      </c>
      <c r="M279" s="36">
        <f t="shared" ca="1" si="50"/>
        <v>0.56999999999999995</v>
      </c>
      <c r="N279" s="36">
        <f t="shared" si="59"/>
        <v>4</v>
      </c>
      <c r="O279" s="39">
        <f t="shared" ca="1" si="51"/>
        <v>0.14052972953838533</v>
      </c>
      <c r="P279" s="39">
        <f t="shared" ca="1" si="52"/>
        <v>55.956915500491426</v>
      </c>
      <c r="Q279" s="43">
        <f t="shared" ca="1" si="60"/>
        <v>17.376710879144724</v>
      </c>
    </row>
    <row r="280" spans="1:17" x14ac:dyDescent="0.25">
      <c r="A280" s="36">
        <v>233</v>
      </c>
      <c r="B280" s="36">
        <f t="shared" ca="1" si="47"/>
        <v>4.7E-2</v>
      </c>
      <c r="C280" s="37">
        <f t="shared" si="53"/>
        <v>6</v>
      </c>
      <c r="D280" s="39">
        <f t="shared" ca="1" si="48"/>
        <v>0.5096012795453464</v>
      </c>
      <c r="E280" s="39">
        <f t="shared" ca="1" si="54"/>
        <v>39.089805900892046</v>
      </c>
      <c r="F280" s="36">
        <f t="shared" ca="1" si="55"/>
        <v>73</v>
      </c>
      <c r="G280" s="36">
        <f ca="1">COUNTIF($P$48:P290,"&lt;"&amp;E280)</f>
        <v>159</v>
      </c>
      <c r="H280" s="36">
        <f t="shared" ca="1" si="56"/>
        <v>2</v>
      </c>
      <c r="I280" s="36" t="str">
        <f t="shared" ca="1" si="57"/>
        <v>Ocu</v>
      </c>
      <c r="J280" s="40">
        <f t="shared" ca="1" si="49"/>
        <v>74</v>
      </c>
      <c r="K280" s="41">
        <f t="shared" ca="1" si="46"/>
        <v>16.867109599599381</v>
      </c>
      <c r="L280" s="42">
        <f t="shared" ca="1" si="58"/>
        <v>55.956915500491426</v>
      </c>
      <c r="M280" s="36">
        <f t="shared" ca="1" si="50"/>
        <v>0.24199999999999999</v>
      </c>
      <c r="N280" s="36">
        <f t="shared" si="59"/>
        <v>4</v>
      </c>
      <c r="O280" s="39">
        <f t="shared" ca="1" si="51"/>
        <v>0.35470438820636269</v>
      </c>
      <c r="P280" s="39">
        <f t="shared" ca="1" si="52"/>
        <v>56.311619888697791</v>
      </c>
      <c r="Q280" s="43">
        <f t="shared" ca="1" si="60"/>
        <v>17.221813987805746</v>
      </c>
    </row>
    <row r="281" spans="1:17" x14ac:dyDescent="0.25">
      <c r="A281" s="36">
        <v>234</v>
      </c>
      <c r="B281" s="36">
        <f t="shared" ca="1" si="47"/>
        <v>0.76400000000000001</v>
      </c>
      <c r="C281" s="37">
        <f t="shared" si="53"/>
        <v>6</v>
      </c>
      <c r="D281" s="39">
        <f t="shared" ca="1" si="48"/>
        <v>4.4864581635936082E-2</v>
      </c>
      <c r="E281" s="39">
        <f t="shared" ca="1" si="54"/>
        <v>39.13467048252798</v>
      </c>
      <c r="F281" s="36">
        <f t="shared" ca="1" si="55"/>
        <v>74</v>
      </c>
      <c r="G281" s="36">
        <f ca="1">COUNTIF($P$48:P291,"&lt;"&amp;E281)</f>
        <v>159</v>
      </c>
      <c r="H281" s="36">
        <f t="shared" ca="1" si="56"/>
        <v>0</v>
      </c>
      <c r="I281" s="36" t="str">
        <f t="shared" ca="1" si="57"/>
        <v>Ocu</v>
      </c>
      <c r="J281" s="40">
        <f t="shared" ca="1" si="49"/>
        <v>75</v>
      </c>
      <c r="K281" s="41">
        <f t="shared" ca="1" si="46"/>
        <v>17.176949406169811</v>
      </c>
      <c r="L281" s="42">
        <f t="shared" ca="1" si="58"/>
        <v>56.311619888697791</v>
      </c>
      <c r="M281" s="36">
        <f t="shared" ca="1" si="50"/>
        <v>0.36899999999999999</v>
      </c>
      <c r="N281" s="36">
        <f t="shared" si="59"/>
        <v>4</v>
      </c>
      <c r="O281" s="39">
        <f t="shared" ca="1" si="51"/>
        <v>0.24923965873540246</v>
      </c>
      <c r="P281" s="39">
        <f t="shared" ca="1" si="52"/>
        <v>56.560859547433196</v>
      </c>
      <c r="Q281" s="43">
        <f t="shared" ca="1" si="60"/>
        <v>17.426189064905216</v>
      </c>
    </row>
    <row r="282" spans="1:17" x14ac:dyDescent="0.25">
      <c r="A282" s="36">
        <v>235</v>
      </c>
      <c r="B282" s="36">
        <f t="shared" ca="1" si="47"/>
        <v>0.315</v>
      </c>
      <c r="C282" s="37">
        <f t="shared" si="53"/>
        <v>6</v>
      </c>
      <c r="D282" s="39">
        <f t="shared" ca="1" si="48"/>
        <v>0.19253044002608399</v>
      </c>
      <c r="E282" s="39">
        <f t="shared" ca="1" si="54"/>
        <v>39.327200922554063</v>
      </c>
      <c r="F282" s="36">
        <f t="shared" ca="1" si="55"/>
        <v>74</v>
      </c>
      <c r="G282" s="36">
        <f ca="1">COUNTIF($P$48:P292,"&lt;"&amp;E282)</f>
        <v>160</v>
      </c>
      <c r="H282" s="36">
        <f t="shared" ca="1" si="56"/>
        <v>1</v>
      </c>
      <c r="I282" s="36" t="str">
        <f t="shared" ca="1" si="57"/>
        <v>Ocu</v>
      </c>
      <c r="J282" s="40">
        <f t="shared" ca="1" si="49"/>
        <v>75</v>
      </c>
      <c r="K282" s="41">
        <f t="shared" ca="1" si="46"/>
        <v>17.233658624879133</v>
      </c>
      <c r="L282" s="42">
        <f t="shared" ca="1" si="58"/>
        <v>56.560859547433196</v>
      </c>
      <c r="M282" s="36">
        <f t="shared" ca="1" si="50"/>
        <v>0.23200000000000001</v>
      </c>
      <c r="N282" s="36">
        <f t="shared" si="59"/>
        <v>4</v>
      </c>
      <c r="O282" s="39">
        <f t="shared" ca="1" si="51"/>
        <v>0.36525447682895673</v>
      </c>
      <c r="P282" s="39">
        <f t="shared" ca="1" si="52"/>
        <v>56.926114024262155</v>
      </c>
      <c r="Q282" s="43">
        <f t="shared" ca="1" si="60"/>
        <v>17.598913101708092</v>
      </c>
    </row>
    <row r="283" spans="1:17" x14ac:dyDescent="0.25">
      <c r="A283" s="36">
        <v>236</v>
      </c>
      <c r="B283" s="36">
        <f t="shared" ca="1" si="47"/>
        <v>0.69799999999999995</v>
      </c>
      <c r="C283" s="37">
        <f t="shared" si="53"/>
        <v>6</v>
      </c>
      <c r="D283" s="39">
        <f t="shared" ca="1" si="48"/>
        <v>5.9922696036627428E-2</v>
      </c>
      <c r="E283" s="39">
        <f t="shared" ca="1" si="54"/>
        <v>39.387123618590692</v>
      </c>
      <c r="F283" s="36">
        <f t="shared" ca="1" si="55"/>
        <v>75</v>
      </c>
      <c r="G283" s="36">
        <f ca="1">COUNTIF($P$48:P293,"&lt;"&amp;E283)</f>
        <v>160</v>
      </c>
      <c r="H283" s="36">
        <f t="shared" ca="1" si="56"/>
        <v>0</v>
      </c>
      <c r="I283" s="36" t="str">
        <f t="shared" ca="1" si="57"/>
        <v>Ocu</v>
      </c>
      <c r="J283" s="40">
        <f t="shared" ca="1" si="49"/>
        <v>76</v>
      </c>
      <c r="K283" s="41">
        <f t="shared" ca="1" si="46"/>
        <v>17.538990405671463</v>
      </c>
      <c r="L283" s="42">
        <f t="shared" ca="1" si="58"/>
        <v>56.926114024262155</v>
      </c>
      <c r="M283" s="36">
        <f t="shared" ca="1" si="50"/>
        <v>0.193</v>
      </c>
      <c r="N283" s="36">
        <f t="shared" si="59"/>
        <v>4</v>
      </c>
      <c r="O283" s="39">
        <f t="shared" ca="1" si="51"/>
        <v>0.41126627251931286</v>
      </c>
      <c r="P283" s="39">
        <f t="shared" ca="1" si="52"/>
        <v>57.337380296781468</v>
      </c>
      <c r="Q283" s="43">
        <f t="shared" ca="1" si="60"/>
        <v>17.950256678190776</v>
      </c>
    </row>
    <row r="284" spans="1:17" x14ac:dyDescent="0.25">
      <c r="A284" s="36">
        <v>237</v>
      </c>
      <c r="B284" s="36">
        <f t="shared" ca="1" si="47"/>
        <v>0.81899999999999995</v>
      </c>
      <c r="C284" s="37">
        <f t="shared" si="53"/>
        <v>6</v>
      </c>
      <c r="D284" s="39">
        <f t="shared" ca="1" si="48"/>
        <v>3.3278532521511285E-2</v>
      </c>
      <c r="E284" s="39">
        <f t="shared" ca="1" si="54"/>
        <v>39.420402151112206</v>
      </c>
      <c r="F284" s="36">
        <f t="shared" ca="1" si="55"/>
        <v>76</v>
      </c>
      <c r="G284" s="36">
        <f ca="1">COUNTIF($P$48:P294,"&lt;"&amp;E284)</f>
        <v>160</v>
      </c>
      <c r="H284" s="36">
        <f t="shared" ca="1" si="56"/>
        <v>0</v>
      </c>
      <c r="I284" s="36" t="str">
        <f t="shared" ca="1" si="57"/>
        <v>Ocu</v>
      </c>
      <c r="J284" s="40">
        <f t="shared" ca="1" si="49"/>
        <v>77</v>
      </c>
      <c r="K284" s="41">
        <f t="shared" ca="1" si="46"/>
        <v>17.916978145669262</v>
      </c>
      <c r="L284" s="42">
        <f t="shared" ca="1" si="58"/>
        <v>57.337380296781468</v>
      </c>
      <c r="M284" s="36">
        <f t="shared" ca="1" si="50"/>
        <v>0.39100000000000001</v>
      </c>
      <c r="N284" s="36">
        <f t="shared" si="59"/>
        <v>4</v>
      </c>
      <c r="O284" s="39">
        <f t="shared" ca="1" si="51"/>
        <v>0.23476192974919283</v>
      </c>
      <c r="P284" s="39">
        <f t="shared" ca="1" si="52"/>
        <v>57.572142226530659</v>
      </c>
      <c r="Q284" s="43">
        <f t="shared" ca="1" si="60"/>
        <v>18.151740075418452</v>
      </c>
    </row>
    <row r="285" spans="1:17" x14ac:dyDescent="0.25">
      <c r="A285" s="36">
        <v>238</v>
      </c>
      <c r="B285" s="36">
        <f t="shared" ca="1" si="47"/>
        <v>0.219</v>
      </c>
      <c r="C285" s="37">
        <f t="shared" si="53"/>
        <v>6</v>
      </c>
      <c r="D285" s="39">
        <f t="shared" ca="1" si="48"/>
        <v>0.25311392486093937</v>
      </c>
      <c r="E285" s="39">
        <f t="shared" ca="1" si="54"/>
        <v>39.673516075973147</v>
      </c>
      <c r="F285" s="36">
        <f t="shared" ca="1" si="55"/>
        <v>75</v>
      </c>
      <c r="G285" s="36">
        <f ca="1">COUNTIF($P$48:P295,"&lt;"&amp;E285)</f>
        <v>162</v>
      </c>
      <c r="H285" s="36">
        <f t="shared" ca="1" si="56"/>
        <v>2</v>
      </c>
      <c r="I285" s="36" t="str">
        <f t="shared" ca="1" si="57"/>
        <v>Ocu</v>
      </c>
      <c r="J285" s="40">
        <f t="shared" ca="1" si="49"/>
        <v>76</v>
      </c>
      <c r="K285" s="41">
        <f t="shared" ca="1" si="46"/>
        <v>17.898626150557511</v>
      </c>
      <c r="L285" s="42">
        <f t="shared" ca="1" si="58"/>
        <v>57.572142226530659</v>
      </c>
      <c r="M285" s="36">
        <f t="shared" ca="1" si="50"/>
        <v>0.46800000000000003</v>
      </c>
      <c r="N285" s="36">
        <f t="shared" si="59"/>
        <v>4</v>
      </c>
      <c r="O285" s="39">
        <f t="shared" ca="1" si="51"/>
        <v>0.18982174576612257</v>
      </c>
      <c r="P285" s="39">
        <f t="shared" ca="1" si="52"/>
        <v>57.761963972296783</v>
      </c>
      <c r="Q285" s="43">
        <f t="shared" ca="1" si="60"/>
        <v>18.088447896323636</v>
      </c>
    </row>
    <row r="286" spans="1:17" x14ac:dyDescent="0.25">
      <c r="A286" s="36">
        <v>239</v>
      </c>
      <c r="B286" s="36">
        <f t="shared" ca="1" si="47"/>
        <v>0.53600000000000003</v>
      </c>
      <c r="C286" s="37">
        <f t="shared" si="53"/>
        <v>6</v>
      </c>
      <c r="D286" s="39">
        <f t="shared" ca="1" si="48"/>
        <v>0.1039368529852225</v>
      </c>
      <c r="E286" s="39">
        <f t="shared" ca="1" si="54"/>
        <v>39.777452928958368</v>
      </c>
      <c r="F286" s="36">
        <f t="shared" ca="1" si="55"/>
        <v>76</v>
      </c>
      <c r="G286" s="36">
        <f ca="1">COUNTIF($P$48:P296,"&lt;"&amp;E286)</f>
        <v>162</v>
      </c>
      <c r="H286" s="36">
        <f t="shared" ca="1" si="56"/>
        <v>0</v>
      </c>
      <c r="I286" s="36" t="str">
        <f t="shared" ca="1" si="57"/>
        <v>Ocu</v>
      </c>
      <c r="J286" s="40">
        <f t="shared" ca="1" si="49"/>
        <v>77</v>
      </c>
      <c r="K286" s="41">
        <f t="shared" ca="1" si="46"/>
        <v>17.984511043338415</v>
      </c>
      <c r="L286" s="42">
        <f t="shared" ca="1" si="58"/>
        <v>57.761963972296783</v>
      </c>
      <c r="M286" s="36">
        <f t="shared" ca="1" si="50"/>
        <v>0.47399999999999998</v>
      </c>
      <c r="N286" s="36">
        <f t="shared" si="59"/>
        <v>4</v>
      </c>
      <c r="O286" s="39">
        <f t="shared" ca="1" si="51"/>
        <v>0.18663698932176515</v>
      </c>
      <c r="P286" s="39">
        <f t="shared" ca="1" si="52"/>
        <v>57.948600961618546</v>
      </c>
      <c r="Q286" s="43">
        <f t="shared" ca="1" si="60"/>
        <v>18.171148032660177</v>
      </c>
    </row>
    <row r="287" spans="1:17" x14ac:dyDescent="0.25">
      <c r="A287" s="36">
        <v>240</v>
      </c>
      <c r="B287" s="36">
        <f t="shared" ca="1" si="47"/>
        <v>1.0999999999999999E-2</v>
      </c>
      <c r="C287" s="37">
        <f t="shared" si="53"/>
        <v>6</v>
      </c>
      <c r="D287" s="39">
        <f t="shared" ca="1" si="48"/>
        <v>0.75164333436396114</v>
      </c>
      <c r="E287" s="39">
        <f t="shared" ca="1" si="54"/>
        <v>40.52909626332233</v>
      </c>
      <c r="F287" s="36">
        <f t="shared" ca="1" si="55"/>
        <v>75</v>
      </c>
      <c r="G287" s="36">
        <f ca="1">COUNTIF($P$48:P297,"&lt;"&amp;E287)</f>
        <v>164</v>
      </c>
      <c r="H287" s="36">
        <f t="shared" ca="1" si="56"/>
        <v>2</v>
      </c>
      <c r="I287" s="36" t="str">
        <f t="shared" ca="1" si="57"/>
        <v>Ocu</v>
      </c>
      <c r="J287" s="40">
        <f t="shared" ca="1" si="49"/>
        <v>76</v>
      </c>
      <c r="K287" s="41">
        <f t="shared" ca="1" si="46"/>
        <v>17.419504698296215</v>
      </c>
      <c r="L287" s="42">
        <f t="shared" ca="1" si="58"/>
        <v>57.948600961618546</v>
      </c>
      <c r="M287" s="36">
        <f t="shared" ca="1" si="50"/>
        <v>0.35099999999999998</v>
      </c>
      <c r="N287" s="36">
        <f t="shared" si="59"/>
        <v>4</v>
      </c>
      <c r="O287" s="39">
        <f t="shared" ca="1" si="51"/>
        <v>0.26174226387906785</v>
      </c>
      <c r="P287" s="39">
        <f t="shared" ca="1" si="52"/>
        <v>58.21034322549761</v>
      </c>
      <c r="Q287" s="43">
        <f t="shared" ca="1" si="60"/>
        <v>17.68124696217528</v>
      </c>
    </row>
    <row r="288" spans="1:17" x14ac:dyDescent="0.25">
      <c r="A288" s="36">
        <v>241</v>
      </c>
      <c r="B288" s="36">
        <f t="shared" ca="1" si="47"/>
        <v>0.53500000000000003</v>
      </c>
      <c r="C288" s="37">
        <f t="shared" si="53"/>
        <v>6</v>
      </c>
      <c r="D288" s="39">
        <f t="shared" ca="1" si="48"/>
        <v>0.10424808868102176</v>
      </c>
      <c r="E288" s="39">
        <f t="shared" ca="1" si="54"/>
        <v>40.633344352003348</v>
      </c>
      <c r="F288" s="36">
        <f t="shared" ca="1" si="55"/>
        <v>75</v>
      </c>
      <c r="G288" s="36">
        <f ca="1">COUNTIF($P$48:P298,"&lt;"&amp;E288)</f>
        <v>165</v>
      </c>
      <c r="H288" s="36">
        <f t="shared" ca="1" si="56"/>
        <v>1</v>
      </c>
      <c r="I288" s="36" t="str">
        <f t="shared" ca="1" si="57"/>
        <v>Ocu</v>
      </c>
      <c r="J288" s="40">
        <f t="shared" ca="1" si="49"/>
        <v>76</v>
      </c>
      <c r="K288" s="41">
        <f t="shared" ca="1" si="46"/>
        <v>17.576998873494261</v>
      </c>
      <c r="L288" s="42">
        <f t="shared" ca="1" si="58"/>
        <v>58.21034322549761</v>
      </c>
      <c r="M288" s="36">
        <f t="shared" ca="1" si="50"/>
        <v>0.98499999999999999</v>
      </c>
      <c r="N288" s="36">
        <f t="shared" si="59"/>
        <v>4</v>
      </c>
      <c r="O288" s="39">
        <f t="shared" ca="1" si="51"/>
        <v>3.7784094525120265E-3</v>
      </c>
      <c r="P288" s="39">
        <f t="shared" ca="1" si="52"/>
        <v>58.214121634950125</v>
      </c>
      <c r="Q288" s="43">
        <f t="shared" ca="1" si="60"/>
        <v>17.580777282946777</v>
      </c>
    </row>
    <row r="289" spans="1:17" x14ac:dyDescent="0.25">
      <c r="A289" s="36">
        <v>242</v>
      </c>
      <c r="B289" s="36">
        <f t="shared" ca="1" si="47"/>
        <v>0.96799999999999997</v>
      </c>
      <c r="C289" s="37">
        <f t="shared" si="53"/>
        <v>6</v>
      </c>
      <c r="D289" s="39">
        <f t="shared" ca="1" si="48"/>
        <v>5.4205319509266908E-3</v>
      </c>
      <c r="E289" s="39">
        <f t="shared" ca="1" si="54"/>
        <v>40.638764883954273</v>
      </c>
      <c r="F289" s="36">
        <f t="shared" ca="1" si="55"/>
        <v>76</v>
      </c>
      <c r="G289" s="36">
        <f ca="1">COUNTIF($P$48:P299,"&lt;"&amp;E289)</f>
        <v>165</v>
      </c>
      <c r="H289" s="36">
        <f t="shared" ca="1" si="56"/>
        <v>0</v>
      </c>
      <c r="I289" s="36" t="str">
        <f t="shared" ca="1" si="57"/>
        <v>Ocu</v>
      </c>
      <c r="J289" s="40">
        <f t="shared" ca="1" si="49"/>
        <v>77</v>
      </c>
      <c r="K289" s="41">
        <f t="shared" ca="1" si="46"/>
        <v>17.575356750995851</v>
      </c>
      <c r="L289" s="42">
        <f t="shared" ca="1" si="58"/>
        <v>58.214121634950125</v>
      </c>
      <c r="M289" s="36">
        <f t="shared" ca="1" si="50"/>
        <v>0.70399999999999996</v>
      </c>
      <c r="N289" s="36">
        <f t="shared" si="59"/>
        <v>4</v>
      </c>
      <c r="O289" s="39">
        <f t="shared" ca="1" si="51"/>
        <v>8.774423070602369E-2</v>
      </c>
      <c r="P289" s="39">
        <f t="shared" ca="1" si="52"/>
        <v>58.301865865656147</v>
      </c>
      <c r="Q289" s="43">
        <f t="shared" ca="1" si="60"/>
        <v>17.663100981701874</v>
      </c>
    </row>
    <row r="290" spans="1:17" x14ac:dyDescent="0.25">
      <c r="A290" s="36">
        <v>243</v>
      </c>
      <c r="B290" s="36">
        <f t="shared" ca="1" si="47"/>
        <v>0.33500000000000002</v>
      </c>
      <c r="C290" s="37">
        <f t="shared" si="53"/>
        <v>6</v>
      </c>
      <c r="D290" s="39">
        <f t="shared" ca="1" si="48"/>
        <v>0.18227079119284509</v>
      </c>
      <c r="E290" s="39">
        <f t="shared" ca="1" si="54"/>
        <v>40.821035675147115</v>
      </c>
      <c r="F290" s="36">
        <f t="shared" ca="1" si="55"/>
        <v>77</v>
      </c>
      <c r="G290" s="36">
        <f ca="1">COUNTIF($P$48:P300,"&lt;"&amp;E290)</f>
        <v>165</v>
      </c>
      <c r="H290" s="36">
        <f t="shared" ca="1" si="56"/>
        <v>0</v>
      </c>
      <c r="I290" s="36" t="str">
        <f t="shared" ca="1" si="57"/>
        <v>Ocu</v>
      </c>
      <c r="J290" s="40">
        <f t="shared" ca="1" si="49"/>
        <v>78</v>
      </c>
      <c r="K290" s="41">
        <f t="shared" ca="1" si="46"/>
        <v>17.480830190509032</v>
      </c>
      <c r="L290" s="42">
        <f t="shared" ca="1" si="58"/>
        <v>58.301865865656147</v>
      </c>
      <c r="M290" s="36">
        <f t="shared" ca="1" si="50"/>
        <v>0.52300000000000002</v>
      </c>
      <c r="N290" s="36">
        <f t="shared" si="59"/>
        <v>4</v>
      </c>
      <c r="O290" s="39">
        <f t="shared" ca="1" si="51"/>
        <v>0.16204345372930351</v>
      </c>
      <c r="P290" s="39">
        <f t="shared" ca="1" si="52"/>
        <v>58.463909319385451</v>
      </c>
      <c r="Q290" s="43">
        <f t="shared" ca="1" si="60"/>
        <v>17.642873644238335</v>
      </c>
    </row>
    <row r="291" spans="1:17" x14ac:dyDescent="0.25">
      <c r="A291" s="36">
        <v>244</v>
      </c>
      <c r="B291" s="36">
        <f t="shared" ca="1" si="47"/>
        <v>0.20300000000000001</v>
      </c>
      <c r="C291" s="37">
        <f t="shared" si="53"/>
        <v>6</v>
      </c>
      <c r="D291" s="39">
        <f t="shared" ca="1" si="48"/>
        <v>0.26575821665672494</v>
      </c>
      <c r="E291" s="39">
        <f t="shared" ca="1" si="54"/>
        <v>41.086793891803843</v>
      </c>
      <c r="F291" s="36">
        <f t="shared" ca="1" si="55"/>
        <v>75</v>
      </c>
      <c r="G291" s="36">
        <f ca="1">COUNTIF($P$48:P301,"&lt;"&amp;E291)</f>
        <v>168</v>
      </c>
      <c r="H291" s="36">
        <f t="shared" ca="1" si="56"/>
        <v>3</v>
      </c>
      <c r="I291" s="36" t="str">
        <f t="shared" ca="1" si="57"/>
        <v>Ocu</v>
      </c>
      <c r="J291" s="40">
        <f t="shared" ca="1" si="49"/>
        <v>76</v>
      </c>
      <c r="K291" s="41">
        <f t="shared" ca="1" si="46"/>
        <v>17.377115427581607</v>
      </c>
      <c r="L291" s="42">
        <f t="shared" ca="1" si="58"/>
        <v>58.463909319385451</v>
      </c>
      <c r="M291" s="36">
        <f t="shared" ca="1" si="50"/>
        <v>0.47899999999999998</v>
      </c>
      <c r="N291" s="36">
        <f t="shared" si="59"/>
        <v>4</v>
      </c>
      <c r="O291" s="39">
        <f t="shared" ca="1" si="51"/>
        <v>0.18401367039280547</v>
      </c>
      <c r="P291" s="39">
        <f t="shared" ca="1" si="52"/>
        <v>58.647922989778259</v>
      </c>
      <c r="Q291" s="43">
        <f t="shared" ca="1" si="60"/>
        <v>17.561129097974415</v>
      </c>
    </row>
    <row r="292" spans="1:17" x14ac:dyDescent="0.25">
      <c r="A292" s="36">
        <v>245</v>
      </c>
      <c r="B292" s="36">
        <f t="shared" ca="1" si="47"/>
        <v>0.111</v>
      </c>
      <c r="C292" s="37">
        <f t="shared" si="53"/>
        <v>6</v>
      </c>
      <c r="D292" s="39">
        <f t="shared" ca="1" si="48"/>
        <v>0.36637084627830047</v>
      </c>
      <c r="E292" s="39">
        <f t="shared" ca="1" si="54"/>
        <v>41.453164738082144</v>
      </c>
      <c r="F292" s="36">
        <f t="shared" ca="1" si="55"/>
        <v>75</v>
      </c>
      <c r="G292" s="36">
        <f ca="1">COUNTIF($P$48:P302,"&lt;"&amp;E292)</f>
        <v>169</v>
      </c>
      <c r="H292" s="36">
        <f t="shared" ca="1" si="56"/>
        <v>1</v>
      </c>
      <c r="I292" s="36" t="str">
        <f t="shared" ca="1" si="57"/>
        <v>Ocu</v>
      </c>
      <c r="J292" s="40">
        <f t="shared" ca="1" si="49"/>
        <v>76</v>
      </c>
      <c r="K292" s="41">
        <f t="shared" ca="1" si="46"/>
        <v>17.194758251696115</v>
      </c>
      <c r="L292" s="42">
        <f t="shared" ca="1" si="58"/>
        <v>58.647922989778259</v>
      </c>
      <c r="M292" s="36">
        <f t="shared" ca="1" si="50"/>
        <v>0.85899999999999999</v>
      </c>
      <c r="N292" s="36">
        <f t="shared" si="59"/>
        <v>4</v>
      </c>
      <c r="O292" s="39">
        <f t="shared" ca="1" si="51"/>
        <v>3.7996589249470442E-2</v>
      </c>
      <c r="P292" s="39">
        <f t="shared" ca="1" si="52"/>
        <v>58.685919579027733</v>
      </c>
      <c r="Q292" s="43">
        <f t="shared" ca="1" si="60"/>
        <v>17.232754840945589</v>
      </c>
    </row>
    <row r="293" spans="1:17" x14ac:dyDescent="0.25">
      <c r="A293" s="36">
        <v>246</v>
      </c>
      <c r="B293" s="36">
        <f t="shared" ca="1" si="47"/>
        <v>0.61199999999999999</v>
      </c>
      <c r="C293" s="37">
        <f t="shared" si="53"/>
        <v>6</v>
      </c>
      <c r="D293" s="39">
        <f t="shared" ca="1" si="48"/>
        <v>8.1837166078301826E-2</v>
      </c>
      <c r="E293" s="39">
        <f t="shared" ca="1" si="54"/>
        <v>41.535001904160445</v>
      </c>
      <c r="F293" s="36">
        <f t="shared" ca="1" si="55"/>
        <v>76</v>
      </c>
      <c r="G293" s="36">
        <f ca="1">COUNTIF($P$48:P303,"&lt;"&amp;E293)</f>
        <v>169</v>
      </c>
      <c r="H293" s="36">
        <f t="shared" ca="1" si="56"/>
        <v>0</v>
      </c>
      <c r="I293" s="36" t="str">
        <f t="shared" ca="1" si="57"/>
        <v>Ocu</v>
      </c>
      <c r="J293" s="40">
        <f t="shared" ca="1" si="49"/>
        <v>77</v>
      </c>
      <c r="K293" s="41">
        <f t="shared" ca="1" si="46"/>
        <v>17.150917674867287</v>
      </c>
      <c r="L293" s="42">
        <f t="shared" ca="1" si="58"/>
        <v>58.685919579027733</v>
      </c>
      <c r="M293" s="36">
        <f t="shared" ca="1" si="50"/>
        <v>0.499</v>
      </c>
      <c r="N293" s="36">
        <f t="shared" si="59"/>
        <v>4</v>
      </c>
      <c r="O293" s="39">
        <f t="shared" ca="1" si="51"/>
        <v>0.17378729580765456</v>
      </c>
      <c r="P293" s="39">
        <f t="shared" ca="1" si="52"/>
        <v>58.859706874835389</v>
      </c>
      <c r="Q293" s="43">
        <f t="shared" ca="1" si="60"/>
        <v>17.324704970674944</v>
      </c>
    </row>
    <row r="294" spans="1:17" x14ac:dyDescent="0.25">
      <c r="A294" s="36">
        <v>247</v>
      </c>
      <c r="B294" s="36">
        <f t="shared" ca="1" si="47"/>
        <v>0.78200000000000003</v>
      </c>
      <c r="C294" s="37">
        <f t="shared" si="53"/>
        <v>6</v>
      </c>
      <c r="D294" s="39">
        <f t="shared" ca="1" si="48"/>
        <v>4.098342307280433E-2</v>
      </c>
      <c r="E294" s="39">
        <f t="shared" ca="1" si="54"/>
        <v>41.575985327233248</v>
      </c>
      <c r="F294" s="36">
        <f t="shared" ca="1" si="55"/>
        <v>77</v>
      </c>
      <c r="G294" s="36">
        <f ca="1">COUNTIF($P$48:P304,"&lt;"&amp;E294)</f>
        <v>169</v>
      </c>
      <c r="H294" s="36">
        <f t="shared" ca="1" si="56"/>
        <v>0</v>
      </c>
      <c r="I294" s="36" t="str">
        <f t="shared" ca="1" si="57"/>
        <v>Ocu</v>
      </c>
      <c r="J294" s="40">
        <f t="shared" ca="1" si="49"/>
        <v>78</v>
      </c>
      <c r="K294" s="41">
        <f t="shared" ca="1" si="46"/>
        <v>17.283721547602141</v>
      </c>
      <c r="L294" s="42">
        <f t="shared" ca="1" si="58"/>
        <v>58.859706874835389</v>
      </c>
      <c r="M294" s="36">
        <f t="shared" ca="1" si="50"/>
        <v>0.188</v>
      </c>
      <c r="N294" s="36">
        <f t="shared" si="59"/>
        <v>4</v>
      </c>
      <c r="O294" s="39">
        <f t="shared" ca="1" si="51"/>
        <v>0.41782832903804695</v>
      </c>
      <c r="P294" s="39">
        <f t="shared" ca="1" si="52"/>
        <v>59.277535203873434</v>
      </c>
      <c r="Q294" s="43">
        <f t="shared" ca="1" si="60"/>
        <v>17.701549876640186</v>
      </c>
    </row>
    <row r="295" spans="1:17" x14ac:dyDescent="0.25">
      <c r="A295" s="36">
        <v>248</v>
      </c>
      <c r="B295" s="36">
        <f t="shared" ca="1" si="47"/>
        <v>0.46300000000000002</v>
      </c>
      <c r="C295" s="37">
        <f t="shared" si="53"/>
        <v>6</v>
      </c>
      <c r="D295" s="39">
        <f t="shared" ca="1" si="48"/>
        <v>0.12833803748265049</v>
      </c>
      <c r="E295" s="39">
        <f t="shared" ca="1" si="54"/>
        <v>41.704323364715897</v>
      </c>
      <c r="F295" s="36">
        <f t="shared" ca="1" si="55"/>
        <v>77</v>
      </c>
      <c r="G295" s="36">
        <f ca="1">COUNTIF($P$48:P305,"&lt;"&amp;E295)</f>
        <v>170</v>
      </c>
      <c r="H295" s="36">
        <f t="shared" ca="1" si="56"/>
        <v>1</v>
      </c>
      <c r="I295" s="36" t="str">
        <f t="shared" ca="1" si="57"/>
        <v>Ocu</v>
      </c>
      <c r="J295" s="40">
        <f t="shared" ca="1" si="49"/>
        <v>78</v>
      </c>
      <c r="K295" s="41">
        <f t="shared" ca="1" si="46"/>
        <v>17.573211839157537</v>
      </c>
      <c r="L295" s="42">
        <f t="shared" ca="1" si="58"/>
        <v>59.277535203873434</v>
      </c>
      <c r="M295" s="36">
        <f t="shared" ca="1" si="50"/>
        <v>0.81100000000000005</v>
      </c>
      <c r="N295" s="36">
        <f t="shared" si="59"/>
        <v>4</v>
      </c>
      <c r="O295" s="39">
        <f t="shared" ca="1" si="51"/>
        <v>5.2371806216680999E-2</v>
      </c>
      <c r="P295" s="39">
        <f t="shared" ca="1" si="52"/>
        <v>59.329907010090118</v>
      </c>
      <c r="Q295" s="43">
        <f t="shared" ca="1" si="60"/>
        <v>17.625583645374221</v>
      </c>
    </row>
    <row r="296" spans="1:17" x14ac:dyDescent="0.25">
      <c r="A296" s="36">
        <v>249</v>
      </c>
      <c r="B296" s="36">
        <f t="shared" ca="1" si="47"/>
        <v>0.41699999999999998</v>
      </c>
      <c r="C296" s="37">
        <f t="shared" si="53"/>
        <v>6</v>
      </c>
      <c r="D296" s="39">
        <f t="shared" ca="1" si="48"/>
        <v>0.14577817619722261</v>
      </c>
      <c r="E296" s="39">
        <f t="shared" ca="1" si="54"/>
        <v>41.850101540913123</v>
      </c>
      <c r="F296" s="36">
        <f t="shared" ca="1" si="55"/>
        <v>77</v>
      </c>
      <c r="G296" s="36">
        <f ca="1">COUNTIF($P$48:P306,"&lt;"&amp;E296)</f>
        <v>171</v>
      </c>
      <c r="H296" s="36">
        <f t="shared" ca="1" si="56"/>
        <v>1</v>
      </c>
      <c r="I296" s="36" t="str">
        <f t="shared" ca="1" si="57"/>
        <v>Ocu</v>
      </c>
      <c r="J296" s="40">
        <f t="shared" ca="1" si="49"/>
        <v>78</v>
      </c>
      <c r="K296" s="41">
        <f t="shared" ca="1" si="46"/>
        <v>17.479805469176995</v>
      </c>
      <c r="L296" s="42">
        <f t="shared" ca="1" si="58"/>
        <v>59.329907010090118</v>
      </c>
      <c r="M296" s="36">
        <f t="shared" ca="1" si="50"/>
        <v>0.59899999999999998</v>
      </c>
      <c r="N296" s="36">
        <f t="shared" si="59"/>
        <v>4</v>
      </c>
      <c r="O296" s="39">
        <f t="shared" ca="1" si="51"/>
        <v>0.12812342021667192</v>
      </c>
      <c r="P296" s="39">
        <f t="shared" ca="1" si="52"/>
        <v>59.458030430306792</v>
      </c>
      <c r="Q296" s="43">
        <f t="shared" ca="1" si="60"/>
        <v>17.607928889393669</v>
      </c>
    </row>
    <row r="297" spans="1:17" x14ac:dyDescent="0.25">
      <c r="A297" s="36">
        <v>250</v>
      </c>
      <c r="B297" s="36">
        <f t="shared" ca="1" si="47"/>
        <v>0.122</v>
      </c>
      <c r="C297" s="37">
        <f t="shared" si="53"/>
        <v>6</v>
      </c>
      <c r="D297" s="39">
        <f t="shared" ca="1" si="48"/>
        <v>0.35062237237481342</v>
      </c>
      <c r="E297" s="39">
        <f t="shared" ca="1" si="54"/>
        <v>42.200723913287938</v>
      </c>
      <c r="F297" s="36">
        <f t="shared" ca="1" si="55"/>
        <v>77</v>
      </c>
      <c r="G297" s="36">
        <f ca="1">COUNTIF($P$48:P307,"&lt;"&amp;E297)</f>
        <v>172</v>
      </c>
      <c r="H297" s="36">
        <f t="shared" ca="1" si="56"/>
        <v>1</v>
      </c>
      <c r="I297" s="36" t="str">
        <f t="shared" ca="1" si="57"/>
        <v>Ocu</v>
      </c>
      <c r="J297" s="40">
        <f t="shared" ca="1" si="49"/>
        <v>78</v>
      </c>
      <c r="K297" s="41">
        <f t="shared" ca="1" si="46"/>
        <v>17.257306517018854</v>
      </c>
      <c r="L297" s="42">
        <f t="shared" ca="1" si="58"/>
        <v>59.458030430306792</v>
      </c>
      <c r="M297" s="36">
        <f t="shared" ca="1" si="50"/>
        <v>0.22</v>
      </c>
      <c r="N297" s="36">
        <f t="shared" si="59"/>
        <v>4</v>
      </c>
      <c r="O297" s="39">
        <f t="shared" ca="1" si="51"/>
        <v>0.37853193315744388</v>
      </c>
      <c r="P297" s="39">
        <f t="shared" ca="1" si="52"/>
        <v>59.836562363464239</v>
      </c>
      <c r="Q297" s="43">
        <f t="shared" ca="1" si="60"/>
        <v>17.635838450176301</v>
      </c>
    </row>
    <row r="298" spans="1:17" x14ac:dyDescent="0.25">
      <c r="A298" s="36">
        <v>251</v>
      </c>
      <c r="B298" s="36">
        <f t="shared" ca="1" si="47"/>
        <v>0.46700000000000003</v>
      </c>
      <c r="C298" s="37">
        <f t="shared" si="53"/>
        <v>6</v>
      </c>
      <c r="D298" s="39">
        <f t="shared" ca="1" si="48"/>
        <v>0.12690433688553993</v>
      </c>
      <c r="E298" s="39">
        <f t="shared" ca="1" si="54"/>
        <v>42.327628250173476</v>
      </c>
      <c r="F298" s="36">
        <f t="shared" ca="1" si="55"/>
        <v>77</v>
      </c>
      <c r="G298" s="36">
        <f ca="1">COUNTIF($P$48:P308,"&lt;"&amp;E298)</f>
        <v>173</v>
      </c>
      <c r="H298" s="36">
        <f t="shared" ca="1" si="56"/>
        <v>1</v>
      </c>
      <c r="I298" s="36" t="str">
        <f t="shared" ca="1" si="57"/>
        <v>Ocu</v>
      </c>
      <c r="J298" s="40">
        <f t="shared" ca="1" si="49"/>
        <v>78</v>
      </c>
      <c r="K298" s="41">
        <f t="shared" ca="1" si="46"/>
        <v>17.508934113290763</v>
      </c>
      <c r="L298" s="42">
        <f t="shared" ca="1" si="58"/>
        <v>59.836562363464239</v>
      </c>
      <c r="M298" s="36">
        <f t="shared" ca="1" si="50"/>
        <v>0.48599999999999999</v>
      </c>
      <c r="N298" s="36">
        <f t="shared" si="59"/>
        <v>4</v>
      </c>
      <c r="O298" s="39">
        <f t="shared" ca="1" si="51"/>
        <v>0.18038666377041082</v>
      </c>
      <c r="P298" s="39">
        <f t="shared" ca="1" si="52"/>
        <v>60.016949027234652</v>
      </c>
      <c r="Q298" s="43">
        <f t="shared" ca="1" si="60"/>
        <v>17.689320777061177</v>
      </c>
    </row>
    <row r="299" spans="1:17" x14ac:dyDescent="0.25">
      <c r="A299" s="36">
        <v>252</v>
      </c>
      <c r="B299" s="36">
        <f t="shared" ca="1" si="47"/>
        <v>0.79500000000000004</v>
      </c>
      <c r="C299" s="37">
        <f t="shared" si="53"/>
        <v>6</v>
      </c>
      <c r="D299" s="39">
        <f t="shared" ca="1" si="48"/>
        <v>3.8235527387967518E-2</v>
      </c>
      <c r="E299" s="39">
        <f t="shared" ca="1" si="54"/>
        <v>42.365863777561444</v>
      </c>
      <c r="F299" s="36">
        <f t="shared" ca="1" si="55"/>
        <v>78</v>
      </c>
      <c r="G299" s="36">
        <f ca="1">COUNTIF($P$48:P309,"&lt;"&amp;E299)</f>
        <v>173</v>
      </c>
      <c r="H299" s="36">
        <f t="shared" ca="1" si="56"/>
        <v>0</v>
      </c>
      <c r="I299" s="36" t="str">
        <f t="shared" ca="1" si="57"/>
        <v>Ocu</v>
      </c>
      <c r="J299" s="40">
        <f t="shared" ca="1" si="49"/>
        <v>79</v>
      </c>
      <c r="K299" s="41">
        <f t="shared" ca="1" si="46"/>
        <v>17.651085249673208</v>
      </c>
      <c r="L299" s="42">
        <f t="shared" ca="1" si="58"/>
        <v>60.016949027234652</v>
      </c>
      <c r="M299" s="36">
        <f t="shared" ca="1" si="50"/>
        <v>0.74099999999999999</v>
      </c>
      <c r="N299" s="36">
        <f t="shared" si="59"/>
        <v>4</v>
      </c>
      <c r="O299" s="39">
        <f t="shared" ca="1" si="51"/>
        <v>7.493866342151255E-2</v>
      </c>
      <c r="P299" s="39">
        <f t="shared" ca="1" si="52"/>
        <v>60.091887690656165</v>
      </c>
      <c r="Q299" s="43">
        <f t="shared" ca="1" si="60"/>
        <v>17.726023913094721</v>
      </c>
    </row>
    <row r="300" spans="1:17" x14ac:dyDescent="0.25">
      <c r="A300" s="36">
        <v>253</v>
      </c>
      <c r="B300" s="36">
        <f t="shared" ca="1" si="47"/>
        <v>0.66100000000000003</v>
      </c>
      <c r="C300" s="37">
        <f t="shared" si="53"/>
        <v>6</v>
      </c>
      <c r="D300" s="39">
        <f t="shared" ca="1" si="48"/>
        <v>6.9000239855075113E-2</v>
      </c>
      <c r="E300" s="39">
        <f t="shared" ca="1" si="54"/>
        <v>42.434864017416515</v>
      </c>
      <c r="F300" s="36">
        <f t="shared" ca="1" si="55"/>
        <v>79</v>
      </c>
      <c r="G300" s="36">
        <f ca="1">COUNTIF($P$48:P310,"&lt;"&amp;E300)</f>
        <v>173</v>
      </c>
      <c r="H300" s="36">
        <f t="shared" ca="1" si="56"/>
        <v>0</v>
      </c>
      <c r="I300" s="36" t="str">
        <f t="shared" ca="1" si="57"/>
        <v>Ocu</v>
      </c>
      <c r="J300" s="40">
        <f t="shared" ca="1" si="49"/>
        <v>80</v>
      </c>
      <c r="K300" s="41">
        <f t="shared" ca="1" si="46"/>
        <v>17.657023673239649</v>
      </c>
      <c r="L300" s="42">
        <f t="shared" ca="1" si="58"/>
        <v>60.091887690656165</v>
      </c>
      <c r="M300" s="36">
        <f t="shared" ca="1" si="50"/>
        <v>0.95199999999999996</v>
      </c>
      <c r="N300" s="36">
        <f t="shared" si="59"/>
        <v>4</v>
      </c>
      <c r="O300" s="39">
        <f t="shared" ca="1" si="51"/>
        <v>1.2297561047692945E-2</v>
      </c>
      <c r="P300" s="39">
        <f t="shared" ca="1" si="52"/>
        <v>60.104185251703861</v>
      </c>
      <c r="Q300" s="43">
        <f t="shared" ca="1" si="60"/>
        <v>17.669321234287345</v>
      </c>
    </row>
    <row r="301" spans="1:17" x14ac:dyDescent="0.25">
      <c r="A301" s="36">
        <v>254</v>
      </c>
      <c r="B301" s="36">
        <f t="shared" ca="1" si="47"/>
        <v>6.8000000000000005E-2</v>
      </c>
      <c r="C301" s="37">
        <f t="shared" si="53"/>
        <v>6</v>
      </c>
      <c r="D301" s="39">
        <f t="shared" ca="1" si="48"/>
        <v>0.44804126230100505</v>
      </c>
      <c r="E301" s="39">
        <f t="shared" ca="1" si="54"/>
        <v>42.882905279717519</v>
      </c>
      <c r="F301" s="36">
        <f t="shared" ca="1" si="55"/>
        <v>80</v>
      </c>
      <c r="G301" s="36">
        <f ca="1">COUNTIF($P$48:P311,"&lt;"&amp;E301)</f>
        <v>173</v>
      </c>
      <c r="H301" s="36">
        <f t="shared" ca="1" si="56"/>
        <v>0</v>
      </c>
      <c r="I301" s="36" t="str">
        <f t="shared" ca="1" si="57"/>
        <v>Ocu</v>
      </c>
      <c r="J301" s="40">
        <f t="shared" ca="1" si="49"/>
        <v>81</v>
      </c>
      <c r="K301" s="41">
        <f t="shared" ca="1" si="46"/>
        <v>17.221279971986341</v>
      </c>
      <c r="L301" s="42">
        <f t="shared" ca="1" si="58"/>
        <v>60.104185251703861</v>
      </c>
      <c r="M301" s="36">
        <f t="shared" ca="1" si="50"/>
        <v>0.58699999999999997</v>
      </c>
      <c r="N301" s="36">
        <f t="shared" si="59"/>
        <v>4</v>
      </c>
      <c r="O301" s="39">
        <f t="shared" ca="1" si="51"/>
        <v>0.13318261478851015</v>
      </c>
      <c r="P301" s="39">
        <f t="shared" ca="1" si="52"/>
        <v>60.23736786649237</v>
      </c>
      <c r="Q301" s="43">
        <f t="shared" ca="1" si="60"/>
        <v>17.354462586774851</v>
      </c>
    </row>
    <row r="302" spans="1:17" x14ac:dyDescent="0.25">
      <c r="A302" s="36">
        <v>255</v>
      </c>
      <c r="B302" s="36">
        <f t="shared" ca="1" si="47"/>
        <v>0.41699999999999998</v>
      </c>
      <c r="C302" s="37">
        <f t="shared" si="53"/>
        <v>6</v>
      </c>
      <c r="D302" s="39">
        <f t="shared" ca="1" si="48"/>
        <v>0.14577817619722261</v>
      </c>
      <c r="E302" s="39">
        <f t="shared" ca="1" si="54"/>
        <v>43.028683455914745</v>
      </c>
      <c r="F302" s="36">
        <f t="shared" ca="1" si="55"/>
        <v>81</v>
      </c>
      <c r="G302" s="36">
        <f ca="1">COUNTIF($P$48:P312,"&lt;"&amp;E302)</f>
        <v>173</v>
      </c>
      <c r="H302" s="36">
        <f t="shared" ca="1" si="56"/>
        <v>0</v>
      </c>
      <c r="I302" s="36" t="str">
        <f t="shared" ca="1" si="57"/>
        <v>Ocu</v>
      </c>
      <c r="J302" s="40">
        <f t="shared" ca="1" si="49"/>
        <v>82</v>
      </c>
      <c r="K302" s="41">
        <f t="shared" ca="1" si="46"/>
        <v>17.208684410577625</v>
      </c>
      <c r="L302" s="42">
        <f t="shared" ca="1" si="58"/>
        <v>60.23736786649237</v>
      </c>
      <c r="M302" s="36">
        <f t="shared" ca="1" si="50"/>
        <v>0.77400000000000002</v>
      </c>
      <c r="N302" s="36">
        <f t="shared" si="59"/>
        <v>4</v>
      </c>
      <c r="O302" s="39">
        <f t="shared" ca="1" si="51"/>
        <v>6.4045851348102478E-2</v>
      </c>
      <c r="P302" s="39">
        <f t="shared" ca="1" si="52"/>
        <v>60.301413717840475</v>
      </c>
      <c r="Q302" s="43">
        <f t="shared" ca="1" si="60"/>
        <v>17.27273026192573</v>
      </c>
    </row>
    <row r="303" spans="1:17" x14ac:dyDescent="0.25">
      <c r="A303" s="36">
        <v>256</v>
      </c>
      <c r="B303" s="36">
        <f t="shared" ca="1" si="47"/>
        <v>0.4</v>
      </c>
      <c r="C303" s="37">
        <f t="shared" si="53"/>
        <v>6</v>
      </c>
      <c r="D303" s="39">
        <f t="shared" ca="1" si="48"/>
        <v>0.15271512197902584</v>
      </c>
      <c r="E303" s="39">
        <f t="shared" ca="1" si="54"/>
        <v>43.181398577893773</v>
      </c>
      <c r="F303" s="36">
        <f t="shared" ca="1" si="55"/>
        <v>81</v>
      </c>
      <c r="G303" s="36">
        <f ca="1">COUNTIF($P$48:P313,"&lt;"&amp;E303)</f>
        <v>174</v>
      </c>
      <c r="H303" s="36">
        <f t="shared" ca="1" si="56"/>
        <v>1</v>
      </c>
      <c r="I303" s="36" t="str">
        <f t="shared" ca="1" si="57"/>
        <v>Ocu</v>
      </c>
      <c r="J303" s="40">
        <f t="shared" ca="1" si="49"/>
        <v>82</v>
      </c>
      <c r="K303" s="41">
        <f t="shared" ca="1" si="46"/>
        <v>17.120015139946702</v>
      </c>
      <c r="L303" s="42">
        <f t="shared" ca="1" si="58"/>
        <v>60.301413717840475</v>
      </c>
      <c r="M303" s="36">
        <f t="shared" ca="1" si="50"/>
        <v>0.56499999999999995</v>
      </c>
      <c r="N303" s="36">
        <f t="shared" si="59"/>
        <v>4</v>
      </c>
      <c r="O303" s="39">
        <f t="shared" ca="1" si="51"/>
        <v>0.14273238695892404</v>
      </c>
      <c r="P303" s="39">
        <f t="shared" ca="1" si="52"/>
        <v>60.444146104799401</v>
      </c>
      <c r="Q303" s="43">
        <f t="shared" ca="1" si="60"/>
        <v>17.262747526905628</v>
      </c>
    </row>
    <row r="304" spans="1:17" x14ac:dyDescent="0.25">
      <c r="A304" s="36">
        <v>257</v>
      </c>
      <c r="B304" s="36">
        <f t="shared" ca="1" si="47"/>
        <v>0.60499999999999998</v>
      </c>
      <c r="C304" s="37">
        <f t="shared" si="53"/>
        <v>6</v>
      </c>
      <c r="D304" s="39">
        <f t="shared" ca="1" si="48"/>
        <v>8.3754470158549268E-2</v>
      </c>
      <c r="E304" s="39">
        <f t="shared" ca="1" si="54"/>
        <v>43.265153048052319</v>
      </c>
      <c r="F304" s="36">
        <f t="shared" ca="1" si="55"/>
        <v>82</v>
      </c>
      <c r="G304" s="36">
        <f ca="1">COUNTIF($P$48:P314,"&lt;"&amp;E304)</f>
        <v>174</v>
      </c>
      <c r="H304" s="36">
        <f t="shared" ca="1" si="56"/>
        <v>0</v>
      </c>
      <c r="I304" s="36" t="str">
        <f t="shared" ca="1" si="57"/>
        <v>Ocu</v>
      </c>
      <c r="J304" s="40">
        <f t="shared" ca="1" si="49"/>
        <v>83</v>
      </c>
      <c r="K304" s="41">
        <f t="shared" ref="K304:K367" ca="1" si="61">L304-E304</f>
        <v>17.178993056747082</v>
      </c>
      <c r="L304" s="42">
        <f t="shared" ca="1" si="58"/>
        <v>60.444146104799401</v>
      </c>
      <c r="M304" s="36">
        <f t="shared" ca="1" si="50"/>
        <v>0.99</v>
      </c>
      <c r="N304" s="36">
        <f t="shared" si="59"/>
        <v>4</v>
      </c>
      <c r="O304" s="39">
        <f t="shared" ca="1" si="51"/>
        <v>2.5125839633753765E-3</v>
      </c>
      <c r="P304" s="39">
        <f t="shared" ca="1" si="52"/>
        <v>60.446658688762774</v>
      </c>
      <c r="Q304" s="43">
        <f t="shared" ca="1" si="60"/>
        <v>17.181505640710455</v>
      </c>
    </row>
    <row r="305" spans="1:17" x14ac:dyDescent="0.25">
      <c r="A305" s="36">
        <v>258</v>
      </c>
      <c r="B305" s="36">
        <f t="shared" ref="B305:B368" ca="1" si="62">RANDBETWEEN(1,1000)/1000</f>
        <v>0.47299999999999998</v>
      </c>
      <c r="C305" s="37">
        <f t="shared" si="53"/>
        <v>6</v>
      </c>
      <c r="D305" s="39">
        <f t="shared" ref="D305:D368" ca="1" si="63">(1/C305)*(LN(1/B305))</f>
        <v>0.12477664841503401</v>
      </c>
      <c r="E305" s="39">
        <f t="shared" ca="1" si="54"/>
        <v>43.389929696467355</v>
      </c>
      <c r="F305" s="36">
        <f t="shared" ca="1" si="55"/>
        <v>82</v>
      </c>
      <c r="G305" s="36">
        <f ca="1">COUNTIF($P$48:P315,"&lt;"&amp;E305)</f>
        <v>175</v>
      </c>
      <c r="H305" s="36">
        <f t="shared" ca="1" si="56"/>
        <v>1</v>
      </c>
      <c r="I305" s="36" t="str">
        <f t="shared" ca="1" si="57"/>
        <v>Ocu</v>
      </c>
      <c r="J305" s="40">
        <f t="shared" ref="J305:J368" ca="1" si="64">IF(I305="Des",1,IF(I305="Ocu",1+F305))</f>
        <v>83</v>
      </c>
      <c r="K305" s="41">
        <f t="shared" ca="1" si="61"/>
        <v>17.056728992295419</v>
      </c>
      <c r="L305" s="42">
        <f t="shared" ca="1" si="58"/>
        <v>60.446658688762774</v>
      </c>
      <c r="M305" s="36">
        <f t="shared" ref="M305:M368" ca="1" si="65">RANDBETWEEN(1,1000)/1000</f>
        <v>0.84499999999999997</v>
      </c>
      <c r="N305" s="36">
        <f t="shared" si="59"/>
        <v>4</v>
      </c>
      <c r="O305" s="39">
        <f t="shared" ref="O305:O368" ca="1" si="66">(1/N305)*(LN(1/M305))</f>
        <v>4.2104662906240813E-2</v>
      </c>
      <c r="P305" s="39">
        <f t="shared" ref="P305:P368" ca="1" si="67">+L305+O305</f>
        <v>60.488763351669014</v>
      </c>
      <c r="Q305" s="43">
        <f t="shared" ca="1" si="60"/>
        <v>17.098833655201659</v>
      </c>
    </row>
    <row r="306" spans="1:17" x14ac:dyDescent="0.25">
      <c r="A306" s="36">
        <v>259</v>
      </c>
      <c r="B306" s="36">
        <f t="shared" ca="1" si="62"/>
        <v>0.66600000000000004</v>
      </c>
      <c r="C306" s="37">
        <f t="shared" ref="C306:C369" si="68">+C305</f>
        <v>6</v>
      </c>
      <c r="D306" s="39">
        <f t="shared" ca="1" si="63"/>
        <v>6.7744268073624631E-2</v>
      </c>
      <c r="E306" s="39">
        <f t="shared" ref="E306:E369" ca="1" si="69">+D306+E305</f>
        <v>43.45767396454098</v>
      </c>
      <c r="F306" s="36">
        <f t="shared" ref="F306:F369" ca="1" si="70">+F305+1-(G306-G305)</f>
        <v>83</v>
      </c>
      <c r="G306" s="36">
        <f ca="1">COUNTIF($P$48:P316,"&lt;"&amp;E306)</f>
        <v>175</v>
      </c>
      <c r="H306" s="36">
        <f t="shared" ref="H306:H369" ca="1" si="71">+G306-G305</f>
        <v>0</v>
      </c>
      <c r="I306" s="36" t="str">
        <f t="shared" ref="I306:I369" ca="1" si="72">IF(E306&lt;P305,"Ocu","Des")</f>
        <v>Ocu</v>
      </c>
      <c r="J306" s="40">
        <f t="shared" ca="1" si="64"/>
        <v>84</v>
      </c>
      <c r="K306" s="41">
        <f t="shared" ca="1" si="61"/>
        <v>17.031089387128034</v>
      </c>
      <c r="L306" s="42">
        <f t="shared" ref="L306:L369" ca="1" si="73">IF(I306="Des",E306,P305)</f>
        <v>60.488763351669014</v>
      </c>
      <c r="M306" s="36">
        <f t="shared" ca="1" si="65"/>
        <v>0.65</v>
      </c>
      <c r="N306" s="36">
        <f t="shared" ref="N306:N369" si="74">+N305</f>
        <v>4</v>
      </c>
      <c r="O306" s="39">
        <f t="shared" ca="1" si="66"/>
        <v>0.10769572902311354</v>
      </c>
      <c r="P306" s="39">
        <f t="shared" ca="1" si="67"/>
        <v>60.596459080692128</v>
      </c>
      <c r="Q306" s="43">
        <f t="shared" ca="1" si="60"/>
        <v>17.138785116151148</v>
      </c>
    </row>
    <row r="307" spans="1:17" x14ac:dyDescent="0.25">
      <c r="A307" s="36">
        <v>260</v>
      </c>
      <c r="B307" s="36">
        <f t="shared" ca="1" si="62"/>
        <v>0.27500000000000002</v>
      </c>
      <c r="C307" s="37">
        <f t="shared" si="68"/>
        <v>6</v>
      </c>
      <c r="D307" s="39">
        <f t="shared" ca="1" si="63"/>
        <v>0.21516403021926095</v>
      </c>
      <c r="E307" s="39">
        <f t="shared" ca="1" si="69"/>
        <v>43.672837994760243</v>
      </c>
      <c r="F307" s="36">
        <f t="shared" ca="1" si="70"/>
        <v>82</v>
      </c>
      <c r="G307" s="36">
        <f ca="1">COUNTIF($P$48:P317,"&lt;"&amp;E307)</f>
        <v>177</v>
      </c>
      <c r="H307" s="36">
        <f t="shared" ca="1" si="71"/>
        <v>2</v>
      </c>
      <c r="I307" s="36" t="str">
        <f t="shared" ca="1" si="72"/>
        <v>Ocu</v>
      </c>
      <c r="J307" s="40">
        <f t="shared" ca="1" si="64"/>
        <v>83</v>
      </c>
      <c r="K307" s="41">
        <f t="shared" ca="1" si="61"/>
        <v>16.923621085931885</v>
      </c>
      <c r="L307" s="42">
        <f t="shared" ca="1" si="73"/>
        <v>60.596459080692128</v>
      </c>
      <c r="M307" s="36">
        <f t="shared" ca="1" si="65"/>
        <v>0.46300000000000002</v>
      </c>
      <c r="N307" s="36">
        <f t="shared" si="74"/>
        <v>4</v>
      </c>
      <c r="O307" s="39">
        <f t="shared" ca="1" si="66"/>
        <v>0.19250705622397574</v>
      </c>
      <c r="P307" s="39">
        <f t="shared" ca="1" si="67"/>
        <v>60.788966136916102</v>
      </c>
      <c r="Q307" s="43">
        <f t="shared" ref="Q307:Q370" ca="1" si="75">P307-E307</f>
        <v>17.116128142155858</v>
      </c>
    </row>
    <row r="308" spans="1:17" x14ac:dyDescent="0.25">
      <c r="A308" s="36">
        <v>261</v>
      </c>
      <c r="B308" s="36">
        <f t="shared" ca="1" si="62"/>
        <v>0.39500000000000002</v>
      </c>
      <c r="C308" s="37">
        <f t="shared" si="68"/>
        <v>6</v>
      </c>
      <c r="D308" s="39">
        <f t="shared" ca="1" si="63"/>
        <v>0.15481158568016917</v>
      </c>
      <c r="E308" s="39">
        <f t="shared" ca="1" si="69"/>
        <v>43.827649580440415</v>
      </c>
      <c r="F308" s="36">
        <f t="shared" ca="1" si="70"/>
        <v>83</v>
      </c>
      <c r="G308" s="36">
        <f ca="1">COUNTIF($P$48:P318,"&lt;"&amp;E308)</f>
        <v>177</v>
      </c>
      <c r="H308" s="36">
        <f t="shared" ca="1" si="71"/>
        <v>0</v>
      </c>
      <c r="I308" s="36" t="str">
        <f t="shared" ca="1" si="72"/>
        <v>Ocu</v>
      </c>
      <c r="J308" s="40">
        <f t="shared" ca="1" si="64"/>
        <v>84</v>
      </c>
      <c r="K308" s="41">
        <f t="shared" ca="1" si="61"/>
        <v>16.961316556475687</v>
      </c>
      <c r="L308" s="42">
        <f t="shared" ca="1" si="73"/>
        <v>60.788966136916102</v>
      </c>
      <c r="M308" s="36">
        <f t="shared" ca="1" si="65"/>
        <v>4.0000000000000001E-3</v>
      </c>
      <c r="N308" s="36">
        <f t="shared" si="74"/>
        <v>4</v>
      </c>
      <c r="O308" s="39">
        <f t="shared" ca="1" si="66"/>
        <v>1.3803652294655615</v>
      </c>
      <c r="P308" s="39">
        <f t="shared" ca="1" si="67"/>
        <v>62.169331366381662</v>
      </c>
      <c r="Q308" s="43">
        <f t="shared" ca="1" si="75"/>
        <v>18.341681785941248</v>
      </c>
    </row>
    <row r="309" spans="1:17" x14ac:dyDescent="0.25">
      <c r="A309" s="36">
        <v>262</v>
      </c>
      <c r="B309" s="36">
        <f t="shared" ca="1" si="62"/>
        <v>0.14699999999999999</v>
      </c>
      <c r="C309" s="37">
        <f t="shared" si="68"/>
        <v>6</v>
      </c>
      <c r="D309" s="39">
        <f t="shared" ca="1" si="63"/>
        <v>0.31955378203390011</v>
      </c>
      <c r="E309" s="39">
        <f t="shared" ca="1" si="69"/>
        <v>44.147203362474315</v>
      </c>
      <c r="F309" s="36">
        <f t="shared" ca="1" si="70"/>
        <v>82</v>
      </c>
      <c r="G309" s="36">
        <f ca="1">COUNTIF($P$48:P319,"&lt;"&amp;E309)</f>
        <v>179</v>
      </c>
      <c r="H309" s="36">
        <f t="shared" ca="1" si="71"/>
        <v>2</v>
      </c>
      <c r="I309" s="36" t="str">
        <f t="shared" ca="1" si="72"/>
        <v>Ocu</v>
      </c>
      <c r="J309" s="40">
        <f t="shared" ca="1" si="64"/>
        <v>83</v>
      </c>
      <c r="K309" s="41">
        <f t="shared" ca="1" si="61"/>
        <v>18.022128003907348</v>
      </c>
      <c r="L309" s="42">
        <f t="shared" ca="1" si="73"/>
        <v>62.169331366381662</v>
      </c>
      <c r="M309" s="36">
        <f t="shared" ca="1" si="65"/>
        <v>0.878</v>
      </c>
      <c r="N309" s="36">
        <f t="shared" si="74"/>
        <v>4</v>
      </c>
      <c r="O309" s="39">
        <f t="shared" ca="1" si="66"/>
        <v>3.252717133675509E-2</v>
      </c>
      <c r="P309" s="39">
        <f t="shared" ca="1" si="67"/>
        <v>62.201858537718415</v>
      </c>
      <c r="Q309" s="43">
        <f t="shared" ca="1" si="75"/>
        <v>18.0546551752441</v>
      </c>
    </row>
    <row r="310" spans="1:17" x14ac:dyDescent="0.25">
      <c r="A310" s="36">
        <v>263</v>
      </c>
      <c r="B310" s="36">
        <f t="shared" ca="1" si="62"/>
        <v>0.56499999999999995</v>
      </c>
      <c r="C310" s="37">
        <f t="shared" si="68"/>
        <v>6</v>
      </c>
      <c r="D310" s="39">
        <f t="shared" ca="1" si="63"/>
        <v>9.5154924639282684E-2</v>
      </c>
      <c r="E310" s="39">
        <f t="shared" ca="1" si="69"/>
        <v>44.242358287113596</v>
      </c>
      <c r="F310" s="36">
        <f t="shared" ca="1" si="70"/>
        <v>83</v>
      </c>
      <c r="G310" s="36">
        <f ca="1">COUNTIF($P$48:P320,"&lt;"&amp;E310)</f>
        <v>179</v>
      </c>
      <c r="H310" s="36">
        <f t="shared" ca="1" si="71"/>
        <v>0</v>
      </c>
      <c r="I310" s="36" t="str">
        <f t="shared" ca="1" si="72"/>
        <v>Ocu</v>
      </c>
      <c r="J310" s="40">
        <f t="shared" ca="1" si="64"/>
        <v>84</v>
      </c>
      <c r="K310" s="41">
        <f t="shared" ca="1" si="61"/>
        <v>17.959500250604819</v>
      </c>
      <c r="L310" s="42">
        <f t="shared" ca="1" si="73"/>
        <v>62.201858537718415</v>
      </c>
      <c r="M310" s="36">
        <f t="shared" ca="1" si="65"/>
        <v>0.88800000000000001</v>
      </c>
      <c r="N310" s="36">
        <f t="shared" si="74"/>
        <v>4</v>
      </c>
      <c r="O310" s="39">
        <f t="shared" ca="1" si="66"/>
        <v>2.9695883997491755E-2</v>
      </c>
      <c r="P310" s="39">
        <f t="shared" ca="1" si="67"/>
        <v>62.231554421715906</v>
      </c>
      <c r="Q310" s="43">
        <f t="shared" ca="1" si="75"/>
        <v>17.989196134602309</v>
      </c>
    </row>
    <row r="311" spans="1:17" x14ac:dyDescent="0.25">
      <c r="A311" s="36">
        <v>264</v>
      </c>
      <c r="B311" s="36">
        <f t="shared" ca="1" si="62"/>
        <v>0.56299999999999994</v>
      </c>
      <c r="C311" s="37">
        <f t="shared" si="68"/>
        <v>6</v>
      </c>
      <c r="D311" s="39">
        <f t="shared" ca="1" si="63"/>
        <v>9.5745941807074464E-2</v>
      </c>
      <c r="E311" s="39">
        <f t="shared" ca="1" si="69"/>
        <v>44.33810422892067</v>
      </c>
      <c r="F311" s="36">
        <f t="shared" ca="1" si="70"/>
        <v>84</v>
      </c>
      <c r="G311" s="36">
        <f ca="1">COUNTIF($P$48:P321,"&lt;"&amp;E311)</f>
        <v>179</v>
      </c>
      <c r="H311" s="36">
        <f t="shared" ca="1" si="71"/>
        <v>0</v>
      </c>
      <c r="I311" s="36" t="str">
        <f t="shared" ca="1" si="72"/>
        <v>Ocu</v>
      </c>
      <c r="J311" s="40">
        <f t="shared" ca="1" si="64"/>
        <v>85</v>
      </c>
      <c r="K311" s="41">
        <f t="shared" ca="1" si="61"/>
        <v>17.893450192795235</v>
      </c>
      <c r="L311" s="42">
        <f t="shared" ca="1" si="73"/>
        <v>62.231554421715906</v>
      </c>
      <c r="M311" s="36">
        <f t="shared" ca="1" si="65"/>
        <v>0.33400000000000002</v>
      </c>
      <c r="N311" s="36">
        <f t="shared" si="74"/>
        <v>4</v>
      </c>
      <c r="O311" s="39">
        <f t="shared" ca="1" si="66"/>
        <v>0.27415357150135911</v>
      </c>
      <c r="P311" s="39">
        <f t="shared" ca="1" si="67"/>
        <v>62.505707993217264</v>
      </c>
      <c r="Q311" s="43">
        <f t="shared" ca="1" si="75"/>
        <v>18.167603764296594</v>
      </c>
    </row>
    <row r="312" spans="1:17" x14ac:dyDescent="0.25">
      <c r="A312" s="36">
        <v>265</v>
      </c>
      <c r="B312" s="36">
        <f t="shared" ca="1" si="62"/>
        <v>0.188</v>
      </c>
      <c r="C312" s="37">
        <f t="shared" si="68"/>
        <v>6</v>
      </c>
      <c r="D312" s="39">
        <f t="shared" ca="1" si="63"/>
        <v>0.27855221935869795</v>
      </c>
      <c r="E312" s="39">
        <f t="shared" ca="1" si="69"/>
        <v>44.616656448279372</v>
      </c>
      <c r="F312" s="36">
        <f t="shared" ca="1" si="70"/>
        <v>82</v>
      </c>
      <c r="G312" s="36">
        <f ca="1">COUNTIF($P$48:P322,"&lt;"&amp;E312)</f>
        <v>182</v>
      </c>
      <c r="H312" s="36">
        <f t="shared" ca="1" si="71"/>
        <v>3</v>
      </c>
      <c r="I312" s="36" t="str">
        <f t="shared" ca="1" si="72"/>
        <v>Ocu</v>
      </c>
      <c r="J312" s="40">
        <f t="shared" ca="1" si="64"/>
        <v>83</v>
      </c>
      <c r="K312" s="41">
        <f t="shared" ca="1" si="61"/>
        <v>17.889051544937892</v>
      </c>
      <c r="L312" s="42">
        <f t="shared" ca="1" si="73"/>
        <v>62.505707993217264</v>
      </c>
      <c r="M312" s="36">
        <f t="shared" ca="1" si="65"/>
        <v>0.25600000000000001</v>
      </c>
      <c r="N312" s="36">
        <f t="shared" si="74"/>
        <v>4</v>
      </c>
      <c r="O312" s="39">
        <f t="shared" ca="1" si="66"/>
        <v>0.34064445862564363</v>
      </c>
      <c r="P312" s="39">
        <f t="shared" ca="1" si="67"/>
        <v>62.846352451842911</v>
      </c>
      <c r="Q312" s="43">
        <f t="shared" ca="1" si="75"/>
        <v>18.229696003563539</v>
      </c>
    </row>
    <row r="313" spans="1:17" x14ac:dyDescent="0.25">
      <c r="A313" s="36">
        <v>266</v>
      </c>
      <c r="B313" s="36">
        <f t="shared" ca="1" si="62"/>
        <v>2.5999999999999999E-2</v>
      </c>
      <c r="C313" s="37">
        <f t="shared" si="68"/>
        <v>6</v>
      </c>
      <c r="D313" s="39">
        <f t="shared" ca="1" si="63"/>
        <v>0.60827645682677578</v>
      </c>
      <c r="E313" s="39">
        <f t="shared" ca="1" si="69"/>
        <v>45.224932905106151</v>
      </c>
      <c r="F313" s="36">
        <f t="shared" ca="1" si="70"/>
        <v>76</v>
      </c>
      <c r="G313" s="36">
        <f ca="1">COUNTIF($P$48:P323,"&lt;"&amp;E313)</f>
        <v>189</v>
      </c>
      <c r="H313" s="36">
        <f t="shared" ca="1" si="71"/>
        <v>7</v>
      </c>
      <c r="I313" s="36" t="str">
        <f t="shared" ca="1" si="72"/>
        <v>Ocu</v>
      </c>
      <c r="J313" s="40">
        <f t="shared" ca="1" si="64"/>
        <v>77</v>
      </c>
      <c r="K313" s="41">
        <f t="shared" ca="1" si="61"/>
        <v>17.62141954673676</v>
      </c>
      <c r="L313" s="42">
        <f t="shared" ca="1" si="73"/>
        <v>62.846352451842911</v>
      </c>
      <c r="M313" s="36">
        <f t="shared" ca="1" si="65"/>
        <v>8.2000000000000003E-2</v>
      </c>
      <c r="N313" s="36">
        <f t="shared" si="74"/>
        <v>4</v>
      </c>
      <c r="O313" s="39">
        <f t="shared" ca="1" si="66"/>
        <v>0.62525900792947098</v>
      </c>
      <c r="P313" s="39">
        <f t="shared" ca="1" si="67"/>
        <v>63.471611459772383</v>
      </c>
      <c r="Q313" s="43">
        <f t="shared" ca="1" si="75"/>
        <v>18.246678554666232</v>
      </c>
    </row>
    <row r="314" spans="1:17" x14ac:dyDescent="0.25">
      <c r="A314" s="36">
        <v>267</v>
      </c>
      <c r="B314" s="36">
        <f t="shared" ca="1" si="62"/>
        <v>0.62</v>
      </c>
      <c r="C314" s="37">
        <f t="shared" si="68"/>
        <v>6</v>
      </c>
      <c r="D314" s="39">
        <f t="shared" ca="1" si="63"/>
        <v>7.9672633490499981E-2</v>
      </c>
      <c r="E314" s="39">
        <f t="shared" ca="1" si="69"/>
        <v>45.304605538596654</v>
      </c>
      <c r="F314" s="36">
        <f t="shared" ca="1" si="70"/>
        <v>77</v>
      </c>
      <c r="G314" s="36">
        <f ca="1">COUNTIF($P$48:P324,"&lt;"&amp;E314)</f>
        <v>189</v>
      </c>
      <c r="H314" s="36">
        <f t="shared" ca="1" si="71"/>
        <v>0</v>
      </c>
      <c r="I314" s="36" t="str">
        <f t="shared" ca="1" si="72"/>
        <v>Ocu</v>
      </c>
      <c r="J314" s="40">
        <f t="shared" ca="1" si="64"/>
        <v>78</v>
      </c>
      <c r="K314" s="41">
        <f t="shared" ca="1" si="61"/>
        <v>18.167005921175729</v>
      </c>
      <c r="L314" s="42">
        <f t="shared" ca="1" si="73"/>
        <v>63.471611459772383</v>
      </c>
      <c r="M314" s="36">
        <f t="shared" ca="1" si="65"/>
        <v>0.438</v>
      </c>
      <c r="N314" s="36">
        <f t="shared" si="74"/>
        <v>4</v>
      </c>
      <c r="O314" s="39">
        <f t="shared" ca="1" si="66"/>
        <v>0.20638409215142275</v>
      </c>
      <c r="P314" s="39">
        <f t="shared" ca="1" si="67"/>
        <v>63.677995551923807</v>
      </c>
      <c r="Q314" s="43">
        <f t="shared" ca="1" si="75"/>
        <v>18.373390013327153</v>
      </c>
    </row>
    <row r="315" spans="1:17" x14ac:dyDescent="0.25">
      <c r="A315" s="36">
        <v>268</v>
      </c>
      <c r="B315" s="36">
        <f t="shared" ca="1" si="62"/>
        <v>0.61299999999999999</v>
      </c>
      <c r="C315" s="37">
        <f t="shared" si="68"/>
        <v>6</v>
      </c>
      <c r="D315" s="39">
        <f t="shared" ca="1" si="63"/>
        <v>8.1565057174320943E-2</v>
      </c>
      <c r="E315" s="39">
        <f t="shared" ca="1" si="69"/>
        <v>45.386170595770977</v>
      </c>
      <c r="F315" s="36">
        <f t="shared" ca="1" si="70"/>
        <v>78</v>
      </c>
      <c r="G315" s="36">
        <f ca="1">COUNTIF($P$48:P325,"&lt;"&amp;E315)</f>
        <v>189</v>
      </c>
      <c r="H315" s="36">
        <f t="shared" ca="1" si="71"/>
        <v>0</v>
      </c>
      <c r="I315" s="36" t="str">
        <f t="shared" ca="1" si="72"/>
        <v>Ocu</v>
      </c>
      <c r="J315" s="40">
        <f t="shared" ca="1" si="64"/>
        <v>79</v>
      </c>
      <c r="K315" s="41">
        <f t="shared" ca="1" si="61"/>
        <v>18.29182495615283</v>
      </c>
      <c r="L315" s="42">
        <f t="shared" ca="1" si="73"/>
        <v>63.677995551923807</v>
      </c>
      <c r="M315" s="36">
        <f t="shared" ca="1" si="65"/>
        <v>0.42699999999999999</v>
      </c>
      <c r="N315" s="36">
        <f t="shared" si="74"/>
        <v>4</v>
      </c>
      <c r="O315" s="39">
        <f t="shared" ca="1" si="66"/>
        <v>0.21274281643837811</v>
      </c>
      <c r="P315" s="39">
        <f t="shared" ca="1" si="67"/>
        <v>63.890738368362186</v>
      </c>
      <c r="Q315" s="43">
        <f t="shared" ca="1" si="75"/>
        <v>18.504567772591209</v>
      </c>
    </row>
    <row r="316" spans="1:17" x14ac:dyDescent="0.25">
      <c r="A316" s="36">
        <v>269</v>
      </c>
      <c r="B316" s="36">
        <f t="shared" ca="1" si="62"/>
        <v>0.30099999999999999</v>
      </c>
      <c r="C316" s="37">
        <f t="shared" si="68"/>
        <v>6</v>
      </c>
      <c r="D316" s="39">
        <f t="shared" ca="1" si="63"/>
        <v>0.20010750237221023</v>
      </c>
      <c r="E316" s="39">
        <f t="shared" ca="1" si="69"/>
        <v>45.58627809814319</v>
      </c>
      <c r="F316" s="36">
        <f t="shared" ca="1" si="70"/>
        <v>78</v>
      </c>
      <c r="G316" s="36">
        <f ca="1">COUNTIF($P$48:P326,"&lt;"&amp;E316)</f>
        <v>190</v>
      </c>
      <c r="H316" s="36">
        <f t="shared" ca="1" si="71"/>
        <v>1</v>
      </c>
      <c r="I316" s="36" t="str">
        <f t="shared" ca="1" si="72"/>
        <v>Ocu</v>
      </c>
      <c r="J316" s="40">
        <f t="shared" ca="1" si="64"/>
        <v>79</v>
      </c>
      <c r="K316" s="41">
        <f t="shared" ca="1" si="61"/>
        <v>18.304460270218996</v>
      </c>
      <c r="L316" s="42">
        <f t="shared" ca="1" si="73"/>
        <v>63.890738368362186</v>
      </c>
      <c r="M316" s="36">
        <f t="shared" ca="1" si="65"/>
        <v>0.747</v>
      </c>
      <c r="N316" s="36">
        <f t="shared" si="74"/>
        <v>4</v>
      </c>
      <c r="O316" s="39">
        <f t="shared" ca="1" si="66"/>
        <v>7.2922523462329941E-2</v>
      </c>
      <c r="P316" s="39">
        <f t="shared" ca="1" si="67"/>
        <v>63.963660891824517</v>
      </c>
      <c r="Q316" s="43">
        <f t="shared" ca="1" si="75"/>
        <v>18.377382793681328</v>
      </c>
    </row>
    <row r="317" spans="1:17" x14ac:dyDescent="0.25">
      <c r="A317" s="36">
        <v>270</v>
      </c>
      <c r="B317" s="36">
        <f t="shared" ca="1" si="62"/>
        <v>0.81799999999999995</v>
      </c>
      <c r="C317" s="37">
        <f t="shared" si="68"/>
        <v>6</v>
      </c>
      <c r="D317" s="39">
        <f t="shared" ca="1" si="63"/>
        <v>3.3482157063231675E-2</v>
      </c>
      <c r="E317" s="39">
        <f t="shared" ca="1" si="69"/>
        <v>45.619760255206423</v>
      </c>
      <c r="F317" s="36">
        <f t="shared" ca="1" si="70"/>
        <v>79</v>
      </c>
      <c r="G317" s="36">
        <f ca="1">COUNTIF($P$48:P327,"&lt;"&amp;E317)</f>
        <v>190</v>
      </c>
      <c r="H317" s="36">
        <f t="shared" ca="1" si="71"/>
        <v>0</v>
      </c>
      <c r="I317" s="36" t="str">
        <f t="shared" ca="1" si="72"/>
        <v>Ocu</v>
      </c>
      <c r="J317" s="40">
        <f t="shared" ca="1" si="64"/>
        <v>80</v>
      </c>
      <c r="K317" s="41">
        <f t="shared" ca="1" si="61"/>
        <v>18.343900636618095</v>
      </c>
      <c r="L317" s="42">
        <f t="shared" ca="1" si="73"/>
        <v>63.963660891824517</v>
      </c>
      <c r="M317" s="36">
        <f t="shared" ca="1" si="65"/>
        <v>8.4000000000000005E-2</v>
      </c>
      <c r="N317" s="36">
        <f t="shared" si="74"/>
        <v>4</v>
      </c>
      <c r="O317" s="39">
        <f t="shared" ca="1" si="66"/>
        <v>0.61923462003470586</v>
      </c>
      <c r="P317" s="39">
        <f t="shared" ca="1" si="67"/>
        <v>64.582895511859221</v>
      </c>
      <c r="Q317" s="43">
        <f t="shared" ca="1" si="75"/>
        <v>18.963135256652798</v>
      </c>
    </row>
    <row r="318" spans="1:17" x14ac:dyDescent="0.25">
      <c r="A318" s="36">
        <v>271</v>
      </c>
      <c r="B318" s="36">
        <f t="shared" ca="1" si="62"/>
        <v>0.495</v>
      </c>
      <c r="C318" s="37">
        <f t="shared" si="68"/>
        <v>6</v>
      </c>
      <c r="D318" s="39">
        <f t="shared" ca="1" si="63"/>
        <v>0.1171995860689078</v>
      </c>
      <c r="E318" s="39">
        <f t="shared" ca="1" si="69"/>
        <v>45.736959841275329</v>
      </c>
      <c r="F318" s="36">
        <f t="shared" ca="1" si="70"/>
        <v>80</v>
      </c>
      <c r="G318" s="36">
        <f ca="1">COUNTIF($P$48:P328,"&lt;"&amp;E318)</f>
        <v>190</v>
      </c>
      <c r="H318" s="36">
        <f t="shared" ca="1" si="71"/>
        <v>0</v>
      </c>
      <c r="I318" s="36" t="str">
        <f t="shared" ca="1" si="72"/>
        <v>Ocu</v>
      </c>
      <c r="J318" s="40">
        <f t="shared" ca="1" si="64"/>
        <v>81</v>
      </c>
      <c r="K318" s="41">
        <f t="shared" ca="1" si="61"/>
        <v>18.845935670583891</v>
      </c>
      <c r="L318" s="42">
        <f t="shared" ca="1" si="73"/>
        <v>64.582895511859221</v>
      </c>
      <c r="M318" s="36">
        <f t="shared" ca="1" si="65"/>
        <v>0.01</v>
      </c>
      <c r="N318" s="36">
        <f t="shared" si="74"/>
        <v>4</v>
      </c>
      <c r="O318" s="39">
        <f t="shared" ca="1" si="66"/>
        <v>1.151292546497023</v>
      </c>
      <c r="P318" s="39">
        <f t="shared" ca="1" si="67"/>
        <v>65.734188058356239</v>
      </c>
      <c r="Q318" s="43">
        <f t="shared" ca="1" si="75"/>
        <v>19.997228217080909</v>
      </c>
    </row>
    <row r="319" spans="1:17" x14ac:dyDescent="0.25">
      <c r="A319" s="36">
        <v>272</v>
      </c>
      <c r="B319" s="36">
        <f t="shared" ca="1" si="62"/>
        <v>0.59499999999999997</v>
      </c>
      <c r="C319" s="37">
        <f t="shared" si="68"/>
        <v>6</v>
      </c>
      <c r="D319" s="39">
        <f t="shared" ca="1" si="63"/>
        <v>8.6532312239417888E-2</v>
      </c>
      <c r="E319" s="39">
        <f t="shared" ca="1" si="69"/>
        <v>45.823492153514749</v>
      </c>
      <c r="F319" s="36">
        <f t="shared" ca="1" si="70"/>
        <v>81</v>
      </c>
      <c r="G319" s="36">
        <f ca="1">COUNTIF($P$48:P329,"&lt;"&amp;E319)</f>
        <v>190</v>
      </c>
      <c r="H319" s="36">
        <f t="shared" ca="1" si="71"/>
        <v>0</v>
      </c>
      <c r="I319" s="36" t="str">
        <f t="shared" ca="1" si="72"/>
        <v>Ocu</v>
      </c>
      <c r="J319" s="40">
        <f t="shared" ca="1" si="64"/>
        <v>82</v>
      </c>
      <c r="K319" s="41">
        <f t="shared" ca="1" si="61"/>
        <v>19.910695904841489</v>
      </c>
      <c r="L319" s="42">
        <f t="shared" ca="1" si="73"/>
        <v>65.734188058356239</v>
      </c>
      <c r="M319" s="36">
        <f t="shared" ca="1" si="65"/>
        <v>0.76100000000000001</v>
      </c>
      <c r="N319" s="36">
        <f t="shared" si="74"/>
        <v>4</v>
      </c>
      <c r="O319" s="39">
        <f t="shared" ca="1" si="66"/>
        <v>6.8280480280112799E-2</v>
      </c>
      <c r="P319" s="39">
        <f t="shared" ca="1" si="67"/>
        <v>65.802468538636347</v>
      </c>
      <c r="Q319" s="43">
        <f t="shared" ca="1" si="75"/>
        <v>19.978976385121598</v>
      </c>
    </row>
    <row r="320" spans="1:17" x14ac:dyDescent="0.25">
      <c r="A320" s="36">
        <v>273</v>
      </c>
      <c r="B320" s="36">
        <f t="shared" ca="1" si="62"/>
        <v>0.79500000000000004</v>
      </c>
      <c r="C320" s="37">
        <f t="shared" si="68"/>
        <v>6</v>
      </c>
      <c r="D320" s="39">
        <f t="shared" ca="1" si="63"/>
        <v>3.8235527387967518E-2</v>
      </c>
      <c r="E320" s="39">
        <f t="shared" ca="1" si="69"/>
        <v>45.861727680902717</v>
      </c>
      <c r="F320" s="36">
        <f t="shared" ca="1" si="70"/>
        <v>82</v>
      </c>
      <c r="G320" s="36">
        <f ca="1">COUNTIF($P$48:P330,"&lt;"&amp;E320)</f>
        <v>190</v>
      </c>
      <c r="H320" s="36">
        <f t="shared" ca="1" si="71"/>
        <v>0</v>
      </c>
      <c r="I320" s="36" t="str">
        <f t="shared" ca="1" si="72"/>
        <v>Ocu</v>
      </c>
      <c r="J320" s="40">
        <f t="shared" ca="1" si="64"/>
        <v>83</v>
      </c>
      <c r="K320" s="41">
        <f t="shared" ca="1" si="61"/>
        <v>19.94074085773363</v>
      </c>
      <c r="L320" s="42">
        <f t="shared" ca="1" si="73"/>
        <v>65.802468538636347</v>
      </c>
      <c r="M320" s="36">
        <f t="shared" ca="1" si="65"/>
        <v>0.83499999999999996</v>
      </c>
      <c r="N320" s="36">
        <f t="shared" si="74"/>
        <v>4</v>
      </c>
      <c r="O320" s="39">
        <f t="shared" ca="1" si="66"/>
        <v>4.5080888532820419E-2</v>
      </c>
      <c r="P320" s="39">
        <f t="shared" ca="1" si="67"/>
        <v>65.84754942716917</v>
      </c>
      <c r="Q320" s="43">
        <f t="shared" ca="1" si="75"/>
        <v>19.985821746266453</v>
      </c>
    </row>
    <row r="321" spans="1:17" x14ac:dyDescent="0.25">
      <c r="A321" s="36">
        <v>274</v>
      </c>
      <c r="B321" s="36">
        <f t="shared" ca="1" si="62"/>
        <v>8.2000000000000003E-2</v>
      </c>
      <c r="C321" s="37">
        <f t="shared" si="68"/>
        <v>6</v>
      </c>
      <c r="D321" s="39">
        <f t="shared" ca="1" si="63"/>
        <v>0.41683933861964728</v>
      </c>
      <c r="E321" s="39">
        <f t="shared" ca="1" si="69"/>
        <v>46.278567019522363</v>
      </c>
      <c r="F321" s="36">
        <f t="shared" ca="1" si="70"/>
        <v>81</v>
      </c>
      <c r="G321" s="36">
        <f ca="1">COUNTIF($P$48:P331,"&lt;"&amp;E321)</f>
        <v>192</v>
      </c>
      <c r="H321" s="36">
        <f t="shared" ca="1" si="71"/>
        <v>2</v>
      </c>
      <c r="I321" s="36" t="str">
        <f t="shared" ca="1" si="72"/>
        <v>Ocu</v>
      </c>
      <c r="J321" s="40">
        <f t="shared" ca="1" si="64"/>
        <v>82</v>
      </c>
      <c r="K321" s="41">
        <f t="shared" ca="1" si="61"/>
        <v>19.568982407646807</v>
      </c>
      <c r="L321" s="42">
        <f t="shared" ca="1" si="73"/>
        <v>65.84754942716917</v>
      </c>
      <c r="M321" s="36">
        <f t="shared" ca="1" si="65"/>
        <v>0.67300000000000004</v>
      </c>
      <c r="N321" s="36">
        <f t="shared" si="74"/>
        <v>4</v>
      </c>
      <c r="O321" s="39">
        <f t="shared" ca="1" si="66"/>
        <v>9.9002487334352282E-2</v>
      </c>
      <c r="P321" s="39">
        <f t="shared" ca="1" si="67"/>
        <v>65.946551914503516</v>
      </c>
      <c r="Q321" s="43">
        <f t="shared" ca="1" si="75"/>
        <v>19.667984894981153</v>
      </c>
    </row>
    <row r="322" spans="1:17" x14ac:dyDescent="0.25">
      <c r="A322" s="36">
        <v>275</v>
      </c>
      <c r="B322" s="36">
        <f t="shared" ca="1" si="62"/>
        <v>4.4999999999999998E-2</v>
      </c>
      <c r="C322" s="37">
        <f t="shared" si="68"/>
        <v>6</v>
      </c>
      <c r="D322" s="39">
        <f t="shared" ca="1" si="63"/>
        <v>0.51684879820196949</v>
      </c>
      <c r="E322" s="39">
        <f t="shared" ca="1" si="69"/>
        <v>46.795415817724333</v>
      </c>
      <c r="F322" s="36">
        <f t="shared" ca="1" si="70"/>
        <v>79</v>
      </c>
      <c r="G322" s="36">
        <f ca="1">COUNTIF($P$48:P332,"&lt;"&amp;E322)</f>
        <v>195</v>
      </c>
      <c r="H322" s="36">
        <f t="shared" ca="1" si="71"/>
        <v>3</v>
      </c>
      <c r="I322" s="36" t="str">
        <f t="shared" ca="1" si="72"/>
        <v>Ocu</v>
      </c>
      <c r="J322" s="40">
        <f t="shared" ca="1" si="64"/>
        <v>80</v>
      </c>
      <c r="K322" s="41">
        <f t="shared" ca="1" si="61"/>
        <v>19.151136096779183</v>
      </c>
      <c r="L322" s="42">
        <f t="shared" ca="1" si="73"/>
        <v>65.946551914503516</v>
      </c>
      <c r="M322" s="36">
        <f t="shared" ca="1" si="65"/>
        <v>0.151</v>
      </c>
      <c r="N322" s="36">
        <f t="shared" si="74"/>
        <v>4</v>
      </c>
      <c r="O322" s="39">
        <f t="shared" ca="1" si="66"/>
        <v>0.47261886054180319</v>
      </c>
      <c r="P322" s="39">
        <f t="shared" ca="1" si="67"/>
        <v>66.419170775045316</v>
      </c>
      <c r="Q322" s="43">
        <f t="shared" ca="1" si="75"/>
        <v>19.623754957320983</v>
      </c>
    </row>
    <row r="323" spans="1:17" x14ac:dyDescent="0.25">
      <c r="A323" s="36">
        <v>276</v>
      </c>
      <c r="B323" s="36">
        <f t="shared" ca="1" si="62"/>
        <v>0.68100000000000005</v>
      </c>
      <c r="C323" s="37">
        <f t="shared" si="68"/>
        <v>6</v>
      </c>
      <c r="D323" s="39">
        <f t="shared" ca="1" si="63"/>
        <v>6.4032162138770762E-2</v>
      </c>
      <c r="E323" s="39">
        <f t="shared" ca="1" si="69"/>
        <v>46.859447979863106</v>
      </c>
      <c r="F323" s="36">
        <f t="shared" ca="1" si="70"/>
        <v>80</v>
      </c>
      <c r="G323" s="36">
        <f ca="1">COUNTIF($P$48:P333,"&lt;"&amp;E323)</f>
        <v>195</v>
      </c>
      <c r="H323" s="36">
        <f t="shared" ca="1" si="71"/>
        <v>0</v>
      </c>
      <c r="I323" s="36" t="str">
        <f t="shared" ca="1" si="72"/>
        <v>Ocu</v>
      </c>
      <c r="J323" s="40">
        <f t="shared" ca="1" si="64"/>
        <v>81</v>
      </c>
      <c r="K323" s="41">
        <f t="shared" ca="1" si="61"/>
        <v>19.559722795182211</v>
      </c>
      <c r="L323" s="42">
        <f t="shared" ca="1" si="73"/>
        <v>66.419170775045316</v>
      </c>
      <c r="M323" s="36">
        <f t="shared" ca="1" si="65"/>
        <v>9.5000000000000001E-2</v>
      </c>
      <c r="N323" s="36">
        <f t="shared" si="74"/>
        <v>4</v>
      </c>
      <c r="O323" s="39">
        <f t="shared" ca="1" si="66"/>
        <v>0.58846959684539912</v>
      </c>
      <c r="P323" s="39">
        <f t="shared" ca="1" si="67"/>
        <v>67.007640371890716</v>
      </c>
      <c r="Q323" s="43">
        <f t="shared" ca="1" si="75"/>
        <v>20.14819239202761</v>
      </c>
    </row>
    <row r="324" spans="1:17" x14ac:dyDescent="0.25">
      <c r="A324" s="36">
        <v>277</v>
      </c>
      <c r="B324" s="36">
        <f t="shared" ca="1" si="62"/>
        <v>0.96599999999999997</v>
      </c>
      <c r="C324" s="37">
        <f t="shared" si="68"/>
        <v>6</v>
      </c>
      <c r="D324" s="39">
        <f t="shared" ca="1" si="63"/>
        <v>5.7652407949365138E-3</v>
      </c>
      <c r="E324" s="39">
        <f t="shared" ca="1" si="69"/>
        <v>46.865213220658042</v>
      </c>
      <c r="F324" s="36">
        <f t="shared" ca="1" si="70"/>
        <v>81</v>
      </c>
      <c r="G324" s="36">
        <f ca="1">COUNTIF($P$48:P334,"&lt;"&amp;E324)</f>
        <v>195</v>
      </c>
      <c r="H324" s="36">
        <f t="shared" ca="1" si="71"/>
        <v>0</v>
      </c>
      <c r="I324" s="36" t="str">
        <f t="shared" ca="1" si="72"/>
        <v>Ocu</v>
      </c>
      <c r="J324" s="40">
        <f t="shared" ca="1" si="64"/>
        <v>82</v>
      </c>
      <c r="K324" s="41">
        <f t="shared" ca="1" si="61"/>
        <v>20.142427151232674</v>
      </c>
      <c r="L324" s="42">
        <f t="shared" ca="1" si="73"/>
        <v>67.007640371890716</v>
      </c>
      <c r="M324" s="36">
        <f t="shared" ca="1" si="65"/>
        <v>0.65400000000000003</v>
      </c>
      <c r="N324" s="36">
        <f t="shared" si="74"/>
        <v>4</v>
      </c>
      <c r="O324" s="39">
        <f t="shared" ca="1" si="66"/>
        <v>0.10616198188123459</v>
      </c>
      <c r="P324" s="39">
        <f t="shared" ca="1" si="67"/>
        <v>67.113802353771945</v>
      </c>
      <c r="Q324" s="43">
        <f t="shared" ca="1" si="75"/>
        <v>20.248589133113903</v>
      </c>
    </row>
    <row r="325" spans="1:17" x14ac:dyDescent="0.25">
      <c r="A325" s="36">
        <v>278</v>
      </c>
      <c r="B325" s="36">
        <f t="shared" ca="1" si="62"/>
        <v>0.17499999999999999</v>
      </c>
      <c r="C325" s="37">
        <f t="shared" si="68"/>
        <v>6</v>
      </c>
      <c r="D325" s="39">
        <f t="shared" ca="1" si="63"/>
        <v>0.29049488417643715</v>
      </c>
      <c r="E325" s="39">
        <f t="shared" ca="1" si="69"/>
        <v>47.155708104834481</v>
      </c>
      <c r="F325" s="36">
        <f t="shared" ca="1" si="70"/>
        <v>82</v>
      </c>
      <c r="G325" s="36">
        <f ca="1">COUNTIF($P$48:P335,"&lt;"&amp;E325)</f>
        <v>195</v>
      </c>
      <c r="H325" s="36">
        <f t="shared" ca="1" si="71"/>
        <v>0</v>
      </c>
      <c r="I325" s="36" t="str">
        <f t="shared" ca="1" si="72"/>
        <v>Ocu</v>
      </c>
      <c r="J325" s="40">
        <f t="shared" ca="1" si="64"/>
        <v>83</v>
      </c>
      <c r="K325" s="41">
        <f t="shared" ca="1" si="61"/>
        <v>19.958094248937464</v>
      </c>
      <c r="L325" s="42">
        <f t="shared" ca="1" si="73"/>
        <v>67.113802353771945</v>
      </c>
      <c r="M325" s="36">
        <f t="shared" ca="1" si="65"/>
        <v>0.41499999999999998</v>
      </c>
      <c r="N325" s="36">
        <f t="shared" si="74"/>
        <v>4</v>
      </c>
      <c r="O325" s="39">
        <f t="shared" ca="1" si="66"/>
        <v>0.21986918968785971</v>
      </c>
      <c r="P325" s="39">
        <f t="shared" ca="1" si="67"/>
        <v>67.333671543459801</v>
      </c>
      <c r="Q325" s="43">
        <f t="shared" ca="1" si="75"/>
        <v>20.177963438625319</v>
      </c>
    </row>
    <row r="326" spans="1:17" x14ac:dyDescent="0.25">
      <c r="A326" s="36">
        <v>279</v>
      </c>
      <c r="B326" s="36">
        <f t="shared" ca="1" si="62"/>
        <v>0.84299999999999997</v>
      </c>
      <c r="C326" s="37">
        <f t="shared" si="68"/>
        <v>6</v>
      </c>
      <c r="D326" s="39">
        <f t="shared" ca="1" si="63"/>
        <v>2.846472016338026E-2</v>
      </c>
      <c r="E326" s="39">
        <f t="shared" ca="1" si="69"/>
        <v>47.184172824997859</v>
      </c>
      <c r="F326" s="36">
        <f t="shared" ca="1" si="70"/>
        <v>83</v>
      </c>
      <c r="G326" s="36">
        <f ca="1">COUNTIF($P$48:P336,"&lt;"&amp;E326)</f>
        <v>195</v>
      </c>
      <c r="H326" s="36">
        <f t="shared" ca="1" si="71"/>
        <v>0</v>
      </c>
      <c r="I326" s="36" t="str">
        <f t="shared" ca="1" si="72"/>
        <v>Ocu</v>
      </c>
      <c r="J326" s="40">
        <f t="shared" ca="1" si="64"/>
        <v>84</v>
      </c>
      <c r="K326" s="41">
        <f t="shared" ca="1" si="61"/>
        <v>20.149498718461942</v>
      </c>
      <c r="L326" s="42">
        <f t="shared" ca="1" si="73"/>
        <v>67.333671543459801</v>
      </c>
      <c r="M326" s="36">
        <f t="shared" ca="1" si="65"/>
        <v>0.70399999999999996</v>
      </c>
      <c r="N326" s="36">
        <f t="shared" si="74"/>
        <v>4</v>
      </c>
      <c r="O326" s="39">
        <f t="shared" ca="1" si="66"/>
        <v>8.774423070602369E-2</v>
      </c>
      <c r="P326" s="39">
        <f t="shared" ca="1" si="67"/>
        <v>67.421415774165823</v>
      </c>
      <c r="Q326" s="43">
        <f t="shared" ca="1" si="75"/>
        <v>20.237242949167964</v>
      </c>
    </row>
    <row r="327" spans="1:17" x14ac:dyDescent="0.25">
      <c r="A327" s="36">
        <v>280</v>
      </c>
      <c r="B327" s="36">
        <f t="shared" ca="1" si="62"/>
        <v>0.70299999999999996</v>
      </c>
      <c r="C327" s="37">
        <f t="shared" si="68"/>
        <v>6</v>
      </c>
      <c r="D327" s="39">
        <f t="shared" ca="1" si="63"/>
        <v>5.873306452857871E-2</v>
      </c>
      <c r="E327" s="39">
        <f t="shared" ca="1" si="69"/>
        <v>47.24290588952644</v>
      </c>
      <c r="F327" s="36">
        <f t="shared" ca="1" si="70"/>
        <v>83</v>
      </c>
      <c r="G327" s="36">
        <f ca="1">COUNTIF($P$48:P337,"&lt;"&amp;E327)</f>
        <v>196</v>
      </c>
      <c r="H327" s="36">
        <f t="shared" ca="1" si="71"/>
        <v>1</v>
      </c>
      <c r="I327" s="36" t="str">
        <f t="shared" ca="1" si="72"/>
        <v>Ocu</v>
      </c>
      <c r="J327" s="40">
        <f t="shared" ca="1" si="64"/>
        <v>84</v>
      </c>
      <c r="K327" s="41">
        <f t="shared" ca="1" si="61"/>
        <v>20.178509884639382</v>
      </c>
      <c r="L327" s="42">
        <f t="shared" ca="1" si="73"/>
        <v>67.421415774165823</v>
      </c>
      <c r="M327" s="36">
        <f t="shared" ca="1" si="65"/>
        <v>0.53200000000000003</v>
      </c>
      <c r="N327" s="36">
        <f t="shared" si="74"/>
        <v>4</v>
      </c>
      <c r="O327" s="39">
        <f t="shared" ca="1" si="66"/>
        <v>0.15777794741012316</v>
      </c>
      <c r="P327" s="39">
        <f t="shared" ca="1" si="67"/>
        <v>67.579193721575948</v>
      </c>
      <c r="Q327" s="43">
        <f t="shared" ca="1" si="75"/>
        <v>20.336287832049507</v>
      </c>
    </row>
    <row r="328" spans="1:17" x14ac:dyDescent="0.25">
      <c r="A328" s="36">
        <v>281</v>
      </c>
      <c r="B328" s="36">
        <f t="shared" ca="1" si="62"/>
        <v>0.61099999999999999</v>
      </c>
      <c r="C328" s="37">
        <f t="shared" si="68"/>
        <v>6</v>
      </c>
      <c r="D328" s="39">
        <f t="shared" ca="1" si="63"/>
        <v>8.2109719968423617E-2</v>
      </c>
      <c r="E328" s="39">
        <f t="shared" ca="1" si="69"/>
        <v>47.325015609494862</v>
      </c>
      <c r="F328" s="36">
        <f t="shared" ca="1" si="70"/>
        <v>84</v>
      </c>
      <c r="G328" s="36">
        <f ca="1">COUNTIF($P$48:P338,"&lt;"&amp;E328)</f>
        <v>196</v>
      </c>
      <c r="H328" s="36">
        <f t="shared" ca="1" si="71"/>
        <v>0</v>
      </c>
      <c r="I328" s="36" t="str">
        <f t="shared" ca="1" si="72"/>
        <v>Ocu</v>
      </c>
      <c r="J328" s="40">
        <f t="shared" ca="1" si="64"/>
        <v>85</v>
      </c>
      <c r="K328" s="41">
        <f t="shared" ca="1" si="61"/>
        <v>20.254178112081085</v>
      </c>
      <c r="L328" s="42">
        <f t="shared" ca="1" si="73"/>
        <v>67.579193721575948</v>
      </c>
      <c r="M328" s="36">
        <f t="shared" ca="1" si="65"/>
        <v>0.16300000000000001</v>
      </c>
      <c r="N328" s="36">
        <f t="shared" si="74"/>
        <v>4</v>
      </c>
      <c r="O328" s="39">
        <f t="shared" ca="1" si="66"/>
        <v>0.45350126954384368</v>
      </c>
      <c r="P328" s="39">
        <f t="shared" ca="1" si="67"/>
        <v>68.032694991119797</v>
      </c>
      <c r="Q328" s="43">
        <f t="shared" ca="1" si="75"/>
        <v>20.707679381624935</v>
      </c>
    </row>
    <row r="329" spans="1:17" x14ac:dyDescent="0.25">
      <c r="A329" s="36">
        <v>282</v>
      </c>
      <c r="B329" s="36">
        <f t="shared" ca="1" si="62"/>
        <v>0.72299999999999998</v>
      </c>
      <c r="C329" s="37">
        <f t="shared" si="68"/>
        <v>6</v>
      </c>
      <c r="D329" s="39">
        <f t="shared" ca="1" si="63"/>
        <v>5.4057676137228727E-2</v>
      </c>
      <c r="E329" s="39">
        <f t="shared" ca="1" si="69"/>
        <v>47.379073285632089</v>
      </c>
      <c r="F329" s="36">
        <f t="shared" ca="1" si="70"/>
        <v>85</v>
      </c>
      <c r="G329" s="36">
        <f ca="1">COUNTIF($P$48:P339,"&lt;"&amp;E329)</f>
        <v>196</v>
      </c>
      <c r="H329" s="36">
        <f t="shared" ca="1" si="71"/>
        <v>0</v>
      </c>
      <c r="I329" s="36" t="str">
        <f t="shared" ca="1" si="72"/>
        <v>Ocu</v>
      </c>
      <c r="J329" s="40">
        <f t="shared" ca="1" si="64"/>
        <v>86</v>
      </c>
      <c r="K329" s="41">
        <f t="shared" ca="1" si="61"/>
        <v>20.653621705487708</v>
      </c>
      <c r="L329" s="42">
        <f t="shared" ca="1" si="73"/>
        <v>68.032694991119797</v>
      </c>
      <c r="M329" s="36">
        <f t="shared" ca="1" si="65"/>
        <v>0.39</v>
      </c>
      <c r="N329" s="36">
        <f t="shared" si="74"/>
        <v>4</v>
      </c>
      <c r="O329" s="39">
        <f t="shared" ca="1" si="66"/>
        <v>0.23540213496461121</v>
      </c>
      <c r="P329" s="39">
        <f t="shared" ca="1" si="67"/>
        <v>68.268097126084413</v>
      </c>
      <c r="Q329" s="43">
        <f t="shared" ca="1" si="75"/>
        <v>20.889023840452325</v>
      </c>
    </row>
    <row r="330" spans="1:17" x14ac:dyDescent="0.25">
      <c r="A330" s="36">
        <v>283</v>
      </c>
      <c r="B330" s="36">
        <f t="shared" ca="1" si="62"/>
        <v>0.19400000000000001</v>
      </c>
      <c r="C330" s="37">
        <f t="shared" si="68"/>
        <v>6</v>
      </c>
      <c r="D330" s="39">
        <f t="shared" ca="1" si="63"/>
        <v>0.27331618665313479</v>
      </c>
      <c r="E330" s="39">
        <f t="shared" ca="1" si="69"/>
        <v>47.652389472285222</v>
      </c>
      <c r="F330" s="36">
        <f t="shared" ca="1" si="70"/>
        <v>83</v>
      </c>
      <c r="G330" s="36">
        <f ca="1">COUNTIF($P$48:P340,"&lt;"&amp;E330)</f>
        <v>199</v>
      </c>
      <c r="H330" s="36">
        <f t="shared" ca="1" si="71"/>
        <v>3</v>
      </c>
      <c r="I330" s="36" t="str">
        <f t="shared" ca="1" si="72"/>
        <v>Ocu</v>
      </c>
      <c r="J330" s="40">
        <f t="shared" ca="1" si="64"/>
        <v>84</v>
      </c>
      <c r="K330" s="41">
        <f t="shared" ca="1" si="61"/>
        <v>20.615707653799191</v>
      </c>
      <c r="L330" s="42">
        <f t="shared" ca="1" si="73"/>
        <v>68.268097126084413</v>
      </c>
      <c r="M330" s="36">
        <f t="shared" ca="1" si="65"/>
        <v>0.47499999999999998</v>
      </c>
      <c r="N330" s="36">
        <f t="shared" si="74"/>
        <v>4</v>
      </c>
      <c r="O330" s="39">
        <f t="shared" ca="1" si="66"/>
        <v>0.18611011873687394</v>
      </c>
      <c r="P330" s="39">
        <f t="shared" ca="1" si="67"/>
        <v>68.454207244821291</v>
      </c>
      <c r="Q330" s="43">
        <f t="shared" ca="1" si="75"/>
        <v>20.801817772536069</v>
      </c>
    </row>
    <row r="331" spans="1:17" x14ac:dyDescent="0.25">
      <c r="A331" s="36">
        <v>284</v>
      </c>
      <c r="B331" s="36">
        <f t="shared" ca="1" si="62"/>
        <v>0.436</v>
      </c>
      <c r="C331" s="37">
        <f t="shared" si="68"/>
        <v>6</v>
      </c>
      <c r="D331" s="39">
        <f t="shared" ca="1" si="63"/>
        <v>0.13835217260551713</v>
      </c>
      <c r="E331" s="39">
        <f t="shared" ca="1" si="69"/>
        <v>47.790741644890737</v>
      </c>
      <c r="F331" s="36">
        <f t="shared" ca="1" si="70"/>
        <v>83</v>
      </c>
      <c r="G331" s="36">
        <f ca="1">COUNTIF($P$48:P341,"&lt;"&amp;E331)</f>
        <v>200</v>
      </c>
      <c r="H331" s="36">
        <f t="shared" ca="1" si="71"/>
        <v>1</v>
      </c>
      <c r="I331" s="36" t="str">
        <f t="shared" ca="1" si="72"/>
        <v>Ocu</v>
      </c>
      <c r="J331" s="40">
        <f t="shared" ca="1" si="64"/>
        <v>84</v>
      </c>
      <c r="K331" s="41">
        <f t="shared" ca="1" si="61"/>
        <v>20.663465599930554</v>
      </c>
      <c r="L331" s="42">
        <f t="shared" ca="1" si="73"/>
        <v>68.454207244821291</v>
      </c>
      <c r="M331" s="36">
        <f t="shared" ca="1" si="65"/>
        <v>0.73599999999999999</v>
      </c>
      <c r="N331" s="36">
        <f t="shared" si="74"/>
        <v>4</v>
      </c>
      <c r="O331" s="39">
        <f t="shared" ca="1" si="66"/>
        <v>7.6631290063315205E-2</v>
      </c>
      <c r="P331" s="39">
        <f t="shared" ca="1" si="67"/>
        <v>68.530838534884609</v>
      </c>
      <c r="Q331" s="43">
        <f t="shared" ca="1" si="75"/>
        <v>20.740096889993872</v>
      </c>
    </row>
    <row r="332" spans="1:17" x14ac:dyDescent="0.25">
      <c r="A332" s="36">
        <v>285</v>
      </c>
      <c r="B332" s="36">
        <f t="shared" ca="1" si="62"/>
        <v>3.7999999999999999E-2</v>
      </c>
      <c r="C332" s="37">
        <f t="shared" si="68"/>
        <v>6</v>
      </c>
      <c r="D332" s="39">
        <f t="shared" ca="1" si="63"/>
        <v>0.54502818654262519</v>
      </c>
      <c r="E332" s="39">
        <f t="shared" ca="1" si="69"/>
        <v>48.33576983143336</v>
      </c>
      <c r="F332" s="36">
        <f t="shared" ca="1" si="70"/>
        <v>83</v>
      </c>
      <c r="G332" s="36">
        <f ca="1">COUNTIF($P$48:P342,"&lt;"&amp;E332)</f>
        <v>201</v>
      </c>
      <c r="H332" s="36">
        <f t="shared" ca="1" si="71"/>
        <v>1</v>
      </c>
      <c r="I332" s="36" t="str">
        <f t="shared" ca="1" si="72"/>
        <v>Ocu</v>
      </c>
      <c r="J332" s="40">
        <f t="shared" ca="1" si="64"/>
        <v>84</v>
      </c>
      <c r="K332" s="41">
        <f t="shared" ca="1" si="61"/>
        <v>20.195068703451248</v>
      </c>
      <c r="L332" s="42">
        <f t="shared" ca="1" si="73"/>
        <v>68.530838534884609</v>
      </c>
      <c r="M332" s="36">
        <f t="shared" ca="1" si="65"/>
        <v>0.76700000000000002</v>
      </c>
      <c r="N332" s="36">
        <f t="shared" si="74"/>
        <v>4</v>
      </c>
      <c r="O332" s="39">
        <f t="shared" ca="1" si="66"/>
        <v>6.6317119403720218E-2</v>
      </c>
      <c r="P332" s="39">
        <f t="shared" ca="1" si="67"/>
        <v>68.597155654288329</v>
      </c>
      <c r="Q332" s="43">
        <f t="shared" ca="1" si="75"/>
        <v>20.261385822854969</v>
      </c>
    </row>
    <row r="333" spans="1:17" x14ac:dyDescent="0.25">
      <c r="A333" s="36">
        <v>286</v>
      </c>
      <c r="B333" s="36">
        <f t="shared" ca="1" si="62"/>
        <v>0.57799999999999996</v>
      </c>
      <c r="C333" s="37">
        <f t="shared" si="68"/>
        <v>6</v>
      </c>
      <c r="D333" s="39">
        <f t="shared" ca="1" si="63"/>
        <v>9.1363568384959931E-2</v>
      </c>
      <c r="E333" s="39">
        <f t="shared" ca="1" si="69"/>
        <v>48.427133399818324</v>
      </c>
      <c r="F333" s="36">
        <f t="shared" ca="1" si="70"/>
        <v>84</v>
      </c>
      <c r="G333" s="36">
        <f ca="1">COUNTIF($P$48:P343,"&lt;"&amp;E333)</f>
        <v>201</v>
      </c>
      <c r="H333" s="36">
        <f t="shared" ca="1" si="71"/>
        <v>0</v>
      </c>
      <c r="I333" s="36" t="str">
        <f t="shared" ca="1" si="72"/>
        <v>Ocu</v>
      </c>
      <c r="J333" s="40">
        <f t="shared" ca="1" si="64"/>
        <v>85</v>
      </c>
      <c r="K333" s="41">
        <f t="shared" ca="1" si="61"/>
        <v>20.170022254470005</v>
      </c>
      <c r="L333" s="42">
        <f t="shared" ca="1" si="73"/>
        <v>68.597155654288329</v>
      </c>
      <c r="M333" s="36">
        <f t="shared" ca="1" si="65"/>
        <v>0.121</v>
      </c>
      <c r="N333" s="36">
        <f t="shared" si="74"/>
        <v>4</v>
      </c>
      <c r="O333" s="39">
        <f t="shared" ca="1" si="66"/>
        <v>0.52799118334634898</v>
      </c>
      <c r="P333" s="39">
        <f t="shared" ca="1" si="67"/>
        <v>69.125146837634674</v>
      </c>
      <c r="Q333" s="43">
        <f t="shared" ca="1" si="75"/>
        <v>20.69801343781635</v>
      </c>
    </row>
    <row r="334" spans="1:17" x14ac:dyDescent="0.25">
      <c r="A334" s="36">
        <v>287</v>
      </c>
      <c r="B334" s="36">
        <f t="shared" ca="1" si="62"/>
        <v>0.97399999999999998</v>
      </c>
      <c r="C334" s="37">
        <f t="shared" si="68"/>
        <v>6</v>
      </c>
      <c r="D334" s="39">
        <f t="shared" ca="1" si="63"/>
        <v>4.390662556600344E-3</v>
      </c>
      <c r="E334" s="39">
        <f t="shared" ca="1" si="69"/>
        <v>48.431524062374926</v>
      </c>
      <c r="F334" s="36">
        <f t="shared" ca="1" si="70"/>
        <v>85</v>
      </c>
      <c r="G334" s="36">
        <f ca="1">COUNTIF($P$48:P344,"&lt;"&amp;E334)</f>
        <v>201</v>
      </c>
      <c r="H334" s="36">
        <f t="shared" ca="1" si="71"/>
        <v>0</v>
      </c>
      <c r="I334" s="36" t="str">
        <f t="shared" ca="1" si="72"/>
        <v>Ocu</v>
      </c>
      <c r="J334" s="40">
        <f t="shared" ca="1" si="64"/>
        <v>86</v>
      </c>
      <c r="K334" s="41">
        <f t="shared" ca="1" si="61"/>
        <v>20.693622775259747</v>
      </c>
      <c r="L334" s="42">
        <f t="shared" ca="1" si="73"/>
        <v>69.125146837634674</v>
      </c>
      <c r="M334" s="36">
        <f t="shared" ca="1" si="65"/>
        <v>0.61</v>
      </c>
      <c r="N334" s="36">
        <f t="shared" si="74"/>
        <v>4</v>
      </c>
      <c r="O334" s="39">
        <f t="shared" ca="1" si="66"/>
        <v>0.12357408045369504</v>
      </c>
      <c r="P334" s="39">
        <f t="shared" ca="1" si="67"/>
        <v>69.248720918088367</v>
      </c>
      <c r="Q334" s="43">
        <f t="shared" ca="1" si="75"/>
        <v>20.817196855713441</v>
      </c>
    </row>
    <row r="335" spans="1:17" x14ac:dyDescent="0.25">
      <c r="A335" s="36">
        <v>288</v>
      </c>
      <c r="B335" s="36">
        <f t="shared" ca="1" si="62"/>
        <v>0.48</v>
      </c>
      <c r="C335" s="37">
        <f t="shared" si="68"/>
        <v>6</v>
      </c>
      <c r="D335" s="39">
        <f t="shared" ca="1" si="63"/>
        <v>0.12232819584670009</v>
      </c>
      <c r="E335" s="39">
        <f t="shared" ca="1" si="69"/>
        <v>48.553852258221625</v>
      </c>
      <c r="F335" s="36">
        <f t="shared" ca="1" si="70"/>
        <v>86</v>
      </c>
      <c r="G335" s="36">
        <f ca="1">COUNTIF($P$48:P345,"&lt;"&amp;E335)</f>
        <v>201</v>
      </c>
      <c r="H335" s="36">
        <f t="shared" ca="1" si="71"/>
        <v>0</v>
      </c>
      <c r="I335" s="36" t="str">
        <f t="shared" ca="1" si="72"/>
        <v>Ocu</v>
      </c>
      <c r="J335" s="40">
        <f t="shared" ca="1" si="64"/>
        <v>87</v>
      </c>
      <c r="K335" s="41">
        <f t="shared" ca="1" si="61"/>
        <v>20.694868659866742</v>
      </c>
      <c r="L335" s="42">
        <f t="shared" ca="1" si="73"/>
        <v>69.248720918088367</v>
      </c>
      <c r="M335" s="36">
        <f t="shared" ca="1" si="65"/>
        <v>0.86199999999999999</v>
      </c>
      <c r="N335" s="36">
        <f t="shared" si="74"/>
        <v>4</v>
      </c>
      <c r="O335" s="39">
        <f t="shared" ca="1" si="66"/>
        <v>3.7125002079610989E-2</v>
      </c>
      <c r="P335" s="39">
        <f t="shared" ca="1" si="67"/>
        <v>69.285845920167972</v>
      </c>
      <c r="Q335" s="43">
        <f t="shared" ca="1" si="75"/>
        <v>20.731993661946348</v>
      </c>
    </row>
    <row r="336" spans="1:17" x14ac:dyDescent="0.25">
      <c r="A336" s="36">
        <v>289</v>
      </c>
      <c r="B336" s="36">
        <f t="shared" ca="1" si="62"/>
        <v>0.04</v>
      </c>
      <c r="C336" s="37">
        <f t="shared" si="68"/>
        <v>6</v>
      </c>
      <c r="D336" s="39">
        <f t="shared" ca="1" si="63"/>
        <v>0.53647930414470002</v>
      </c>
      <c r="E336" s="39">
        <f t="shared" ca="1" si="69"/>
        <v>49.090331562366323</v>
      </c>
      <c r="F336" s="36">
        <f t="shared" ca="1" si="70"/>
        <v>84</v>
      </c>
      <c r="G336" s="36">
        <f ca="1">COUNTIF($P$48:P346,"&lt;"&amp;E336)</f>
        <v>204</v>
      </c>
      <c r="H336" s="36">
        <f t="shared" ca="1" si="71"/>
        <v>3</v>
      </c>
      <c r="I336" s="36" t="str">
        <f t="shared" ca="1" si="72"/>
        <v>Ocu</v>
      </c>
      <c r="J336" s="40">
        <f t="shared" ca="1" si="64"/>
        <v>85</v>
      </c>
      <c r="K336" s="41">
        <f t="shared" ca="1" si="61"/>
        <v>20.195514357801649</v>
      </c>
      <c r="L336" s="42">
        <f t="shared" ca="1" si="73"/>
        <v>69.285845920167972</v>
      </c>
      <c r="M336" s="36">
        <f t="shared" ca="1" si="65"/>
        <v>0.98899999999999999</v>
      </c>
      <c r="N336" s="36">
        <f t="shared" si="74"/>
        <v>4</v>
      </c>
      <c r="O336" s="39">
        <f t="shared" ca="1" si="66"/>
        <v>2.7652368398562439E-3</v>
      </c>
      <c r="P336" s="39">
        <f t="shared" ca="1" si="67"/>
        <v>69.288611157007821</v>
      </c>
      <c r="Q336" s="43">
        <f t="shared" ca="1" si="75"/>
        <v>20.198279594641498</v>
      </c>
    </row>
    <row r="337" spans="1:17" x14ac:dyDescent="0.25">
      <c r="A337" s="36">
        <v>290</v>
      </c>
      <c r="B337" s="36">
        <f t="shared" ca="1" si="62"/>
        <v>0.60399999999999998</v>
      </c>
      <c r="C337" s="37">
        <f t="shared" si="68"/>
        <v>6</v>
      </c>
      <c r="D337" s="39">
        <f t="shared" ca="1" si="63"/>
        <v>8.4030180174553673E-2</v>
      </c>
      <c r="E337" s="39">
        <f t="shared" ca="1" si="69"/>
        <v>49.174361742540874</v>
      </c>
      <c r="F337" s="36">
        <f t="shared" ca="1" si="70"/>
        <v>85</v>
      </c>
      <c r="G337" s="36">
        <f ca="1">COUNTIF($P$48:P347,"&lt;"&amp;E337)</f>
        <v>204</v>
      </c>
      <c r="H337" s="36">
        <f t="shared" ca="1" si="71"/>
        <v>0</v>
      </c>
      <c r="I337" s="36" t="str">
        <f t="shared" ca="1" si="72"/>
        <v>Ocu</v>
      </c>
      <c r="J337" s="40">
        <f t="shared" ca="1" si="64"/>
        <v>86</v>
      </c>
      <c r="K337" s="41">
        <f t="shared" ca="1" si="61"/>
        <v>20.114249414466947</v>
      </c>
      <c r="L337" s="42">
        <f t="shared" ca="1" si="73"/>
        <v>69.288611157007821</v>
      </c>
      <c r="M337" s="36">
        <f t="shared" ca="1" si="65"/>
        <v>0.66300000000000003</v>
      </c>
      <c r="N337" s="36">
        <f t="shared" si="74"/>
        <v>4</v>
      </c>
      <c r="O337" s="39">
        <f t="shared" ca="1" si="66"/>
        <v>0.10274507219906863</v>
      </c>
      <c r="P337" s="39">
        <f t="shared" ca="1" si="67"/>
        <v>69.391356229206892</v>
      </c>
      <c r="Q337" s="43">
        <f t="shared" ca="1" si="75"/>
        <v>20.216994486666017</v>
      </c>
    </row>
    <row r="338" spans="1:17" x14ac:dyDescent="0.25">
      <c r="A338" s="36">
        <v>291</v>
      </c>
      <c r="B338" s="36">
        <f t="shared" ca="1" si="62"/>
        <v>0.78600000000000003</v>
      </c>
      <c r="C338" s="37">
        <f t="shared" si="68"/>
        <v>6</v>
      </c>
      <c r="D338" s="39">
        <f t="shared" ca="1" si="63"/>
        <v>4.013308109215509E-2</v>
      </c>
      <c r="E338" s="39">
        <f t="shared" ca="1" si="69"/>
        <v>49.214494823633032</v>
      </c>
      <c r="F338" s="36">
        <f t="shared" ca="1" si="70"/>
        <v>86</v>
      </c>
      <c r="G338" s="36">
        <f ca="1">COUNTIF($P$48:P348,"&lt;"&amp;E338)</f>
        <v>204</v>
      </c>
      <c r="H338" s="36">
        <f t="shared" ca="1" si="71"/>
        <v>0</v>
      </c>
      <c r="I338" s="36" t="str">
        <f t="shared" ca="1" si="72"/>
        <v>Ocu</v>
      </c>
      <c r="J338" s="40">
        <f t="shared" ca="1" si="64"/>
        <v>87</v>
      </c>
      <c r="K338" s="41">
        <f t="shared" ca="1" si="61"/>
        <v>20.17686140557386</v>
      </c>
      <c r="L338" s="42">
        <f t="shared" ca="1" si="73"/>
        <v>69.391356229206892</v>
      </c>
      <c r="M338" s="36">
        <f t="shared" ca="1" si="65"/>
        <v>8.3000000000000004E-2</v>
      </c>
      <c r="N338" s="36">
        <f t="shared" si="74"/>
        <v>4</v>
      </c>
      <c r="O338" s="39">
        <f t="shared" ca="1" si="66"/>
        <v>0.62222866779638475</v>
      </c>
      <c r="P338" s="39">
        <f t="shared" ca="1" si="67"/>
        <v>70.01358489700327</v>
      </c>
      <c r="Q338" s="43">
        <f t="shared" ca="1" si="75"/>
        <v>20.799090073370238</v>
      </c>
    </row>
    <row r="339" spans="1:17" x14ac:dyDescent="0.25">
      <c r="A339" s="36">
        <v>292</v>
      </c>
      <c r="B339" s="36">
        <f t="shared" ca="1" si="62"/>
        <v>0.23300000000000001</v>
      </c>
      <c r="C339" s="37">
        <f t="shared" si="68"/>
        <v>6</v>
      </c>
      <c r="D339" s="39">
        <f t="shared" ca="1" si="63"/>
        <v>0.24278613756940606</v>
      </c>
      <c r="E339" s="39">
        <f t="shared" ca="1" si="69"/>
        <v>49.457280961202436</v>
      </c>
      <c r="F339" s="36">
        <f t="shared" ca="1" si="70"/>
        <v>87</v>
      </c>
      <c r="G339" s="36">
        <f ca="1">COUNTIF($P$48:P349,"&lt;"&amp;E339)</f>
        <v>204</v>
      </c>
      <c r="H339" s="36">
        <f t="shared" ca="1" si="71"/>
        <v>0</v>
      </c>
      <c r="I339" s="36" t="str">
        <f t="shared" ca="1" si="72"/>
        <v>Ocu</v>
      </c>
      <c r="J339" s="40">
        <f t="shared" ca="1" si="64"/>
        <v>88</v>
      </c>
      <c r="K339" s="41">
        <f t="shared" ca="1" si="61"/>
        <v>20.556303935800834</v>
      </c>
      <c r="L339" s="42">
        <f t="shared" ca="1" si="73"/>
        <v>70.01358489700327</v>
      </c>
      <c r="M339" s="36">
        <f t="shared" ca="1" si="65"/>
        <v>0.80200000000000005</v>
      </c>
      <c r="N339" s="36">
        <f t="shared" si="74"/>
        <v>4</v>
      </c>
      <c r="O339" s="39">
        <f t="shared" ca="1" si="66"/>
        <v>5.5161667778905604E-2</v>
      </c>
      <c r="P339" s="39">
        <f t="shared" ca="1" si="67"/>
        <v>70.068746564782174</v>
      </c>
      <c r="Q339" s="43">
        <f t="shared" ca="1" si="75"/>
        <v>20.611465603579738</v>
      </c>
    </row>
    <row r="340" spans="1:17" x14ac:dyDescent="0.25">
      <c r="A340" s="36">
        <v>293</v>
      </c>
      <c r="B340" s="36">
        <f t="shared" ca="1" si="62"/>
        <v>0.32600000000000001</v>
      </c>
      <c r="C340" s="37">
        <f t="shared" si="68"/>
        <v>6</v>
      </c>
      <c r="D340" s="39">
        <f t="shared" ca="1" si="63"/>
        <v>0.18680964960257157</v>
      </c>
      <c r="E340" s="39">
        <f t="shared" ca="1" si="69"/>
        <v>49.644090610805009</v>
      </c>
      <c r="F340" s="36">
        <f t="shared" ca="1" si="70"/>
        <v>88</v>
      </c>
      <c r="G340" s="36">
        <f ca="1">COUNTIF($P$48:P350,"&lt;"&amp;E340)</f>
        <v>204</v>
      </c>
      <c r="H340" s="36">
        <f t="shared" ca="1" si="71"/>
        <v>0</v>
      </c>
      <c r="I340" s="36" t="str">
        <f t="shared" ca="1" si="72"/>
        <v>Ocu</v>
      </c>
      <c r="J340" s="40">
        <f t="shared" ca="1" si="64"/>
        <v>89</v>
      </c>
      <c r="K340" s="41">
        <f t="shared" ca="1" si="61"/>
        <v>20.424655953977165</v>
      </c>
      <c r="L340" s="42">
        <f t="shared" ca="1" si="73"/>
        <v>70.068746564782174</v>
      </c>
      <c r="M340" s="36">
        <f t="shared" ca="1" si="65"/>
        <v>0.996</v>
      </c>
      <c r="N340" s="36">
        <f t="shared" si="74"/>
        <v>4</v>
      </c>
      <c r="O340" s="39">
        <f t="shared" ca="1" si="66"/>
        <v>1.0020053493847169E-3</v>
      </c>
      <c r="P340" s="39">
        <f t="shared" ca="1" si="67"/>
        <v>70.069748570131566</v>
      </c>
      <c r="Q340" s="43">
        <f t="shared" ca="1" si="75"/>
        <v>20.425657959326557</v>
      </c>
    </row>
    <row r="341" spans="1:17" x14ac:dyDescent="0.25">
      <c r="A341" s="36">
        <v>294</v>
      </c>
      <c r="B341" s="36">
        <f t="shared" ca="1" si="62"/>
        <v>2E-3</v>
      </c>
      <c r="C341" s="37">
        <f t="shared" si="68"/>
        <v>6</v>
      </c>
      <c r="D341" s="39">
        <f t="shared" ca="1" si="63"/>
        <v>1.0357680164036984</v>
      </c>
      <c r="E341" s="39">
        <f t="shared" ca="1" si="69"/>
        <v>50.679858627208709</v>
      </c>
      <c r="F341" s="36">
        <f t="shared" ca="1" si="70"/>
        <v>85</v>
      </c>
      <c r="G341" s="36">
        <f ca="1">COUNTIF($P$48:P351,"&lt;"&amp;E341)</f>
        <v>208</v>
      </c>
      <c r="H341" s="36">
        <f t="shared" ca="1" si="71"/>
        <v>4</v>
      </c>
      <c r="I341" s="36" t="str">
        <f t="shared" ca="1" si="72"/>
        <v>Ocu</v>
      </c>
      <c r="J341" s="40">
        <f t="shared" ca="1" si="64"/>
        <v>86</v>
      </c>
      <c r="K341" s="41">
        <f t="shared" ca="1" si="61"/>
        <v>19.389889942922856</v>
      </c>
      <c r="L341" s="42">
        <f t="shared" ca="1" si="73"/>
        <v>70.069748570131566</v>
      </c>
      <c r="M341" s="36">
        <f t="shared" ca="1" si="65"/>
        <v>0.09</v>
      </c>
      <c r="N341" s="36">
        <f t="shared" si="74"/>
        <v>4</v>
      </c>
      <c r="O341" s="39">
        <f t="shared" ca="1" si="66"/>
        <v>0.60198640216296795</v>
      </c>
      <c r="P341" s="39">
        <f t="shared" ca="1" si="67"/>
        <v>70.67173497229453</v>
      </c>
      <c r="Q341" s="43">
        <f t="shared" ca="1" si="75"/>
        <v>19.991876345085821</v>
      </c>
    </row>
    <row r="342" spans="1:17" x14ac:dyDescent="0.25">
      <c r="A342" s="36">
        <v>295</v>
      </c>
      <c r="B342" s="36">
        <f t="shared" ca="1" si="62"/>
        <v>0.91300000000000003</v>
      </c>
      <c r="C342" s="37">
        <f t="shared" si="68"/>
        <v>6</v>
      </c>
      <c r="D342" s="39">
        <f t="shared" ca="1" si="63"/>
        <v>1.5169899731194772E-2</v>
      </c>
      <c r="E342" s="39">
        <f t="shared" ca="1" si="69"/>
        <v>50.695028526939907</v>
      </c>
      <c r="F342" s="36">
        <f t="shared" ca="1" si="70"/>
        <v>86</v>
      </c>
      <c r="G342" s="36">
        <f ca="1">COUNTIF($P$48:P352,"&lt;"&amp;E342)</f>
        <v>208</v>
      </c>
      <c r="H342" s="36">
        <f t="shared" ca="1" si="71"/>
        <v>0</v>
      </c>
      <c r="I342" s="36" t="str">
        <f t="shared" ca="1" si="72"/>
        <v>Ocu</v>
      </c>
      <c r="J342" s="40">
        <f t="shared" ca="1" si="64"/>
        <v>87</v>
      </c>
      <c r="K342" s="41">
        <f t="shared" ca="1" si="61"/>
        <v>19.976706445354623</v>
      </c>
      <c r="L342" s="42">
        <f t="shared" ca="1" si="73"/>
        <v>70.67173497229453</v>
      </c>
      <c r="M342" s="36">
        <f t="shared" ca="1" si="65"/>
        <v>0.26600000000000001</v>
      </c>
      <c r="N342" s="36">
        <f t="shared" si="74"/>
        <v>4</v>
      </c>
      <c r="O342" s="39">
        <f t="shared" ca="1" si="66"/>
        <v>0.33106474255010948</v>
      </c>
      <c r="P342" s="39">
        <f t="shared" ca="1" si="67"/>
        <v>71.002799714844642</v>
      </c>
      <c r="Q342" s="43">
        <f t="shared" ca="1" si="75"/>
        <v>20.307771187904734</v>
      </c>
    </row>
    <row r="343" spans="1:17" x14ac:dyDescent="0.25">
      <c r="A343" s="36">
        <v>296</v>
      </c>
      <c r="B343" s="36">
        <f t="shared" ca="1" si="62"/>
        <v>0.39600000000000002</v>
      </c>
      <c r="C343" s="37">
        <f t="shared" si="68"/>
        <v>6</v>
      </c>
      <c r="D343" s="39">
        <f t="shared" ca="1" si="63"/>
        <v>0.15439017795460941</v>
      </c>
      <c r="E343" s="39">
        <f t="shared" ca="1" si="69"/>
        <v>50.849418704894518</v>
      </c>
      <c r="F343" s="36">
        <f t="shared" ca="1" si="70"/>
        <v>85</v>
      </c>
      <c r="G343" s="36">
        <f ca="1">COUNTIF($P$48:P353,"&lt;"&amp;E343)</f>
        <v>210</v>
      </c>
      <c r="H343" s="36">
        <f t="shared" ca="1" si="71"/>
        <v>2</v>
      </c>
      <c r="I343" s="36" t="str">
        <f t="shared" ca="1" si="72"/>
        <v>Ocu</v>
      </c>
      <c r="J343" s="40">
        <f t="shared" ca="1" si="64"/>
        <v>86</v>
      </c>
      <c r="K343" s="41">
        <f t="shared" ca="1" si="61"/>
        <v>20.153381009950124</v>
      </c>
      <c r="L343" s="42">
        <f t="shared" ca="1" si="73"/>
        <v>71.002799714844642</v>
      </c>
      <c r="M343" s="36">
        <f t="shared" ca="1" si="65"/>
        <v>0.625</v>
      </c>
      <c r="N343" s="36">
        <f t="shared" si="74"/>
        <v>4</v>
      </c>
      <c r="O343" s="39">
        <f t="shared" ca="1" si="66"/>
        <v>0.11750090731143391</v>
      </c>
      <c r="P343" s="39">
        <f t="shared" ca="1" si="67"/>
        <v>71.12030062215608</v>
      </c>
      <c r="Q343" s="43">
        <f t="shared" ca="1" si="75"/>
        <v>20.270881917261562</v>
      </c>
    </row>
    <row r="344" spans="1:17" x14ac:dyDescent="0.25">
      <c r="A344" s="36">
        <v>297</v>
      </c>
      <c r="B344" s="36">
        <f t="shared" ca="1" si="62"/>
        <v>0.47199999999999998</v>
      </c>
      <c r="C344" s="37">
        <f t="shared" si="68"/>
        <v>6</v>
      </c>
      <c r="D344" s="39">
        <f t="shared" ca="1" si="63"/>
        <v>0.1251293822327636</v>
      </c>
      <c r="E344" s="39">
        <f t="shared" ca="1" si="69"/>
        <v>50.974548087127282</v>
      </c>
      <c r="F344" s="36">
        <f t="shared" ca="1" si="70"/>
        <v>86</v>
      </c>
      <c r="G344" s="36">
        <f ca="1">COUNTIF($P$48:P354,"&lt;"&amp;E344)</f>
        <v>210</v>
      </c>
      <c r="H344" s="36">
        <f t="shared" ca="1" si="71"/>
        <v>0</v>
      </c>
      <c r="I344" s="36" t="str">
        <f t="shared" ca="1" si="72"/>
        <v>Ocu</v>
      </c>
      <c r="J344" s="40">
        <f t="shared" ca="1" si="64"/>
        <v>87</v>
      </c>
      <c r="K344" s="41">
        <f t="shared" ca="1" si="61"/>
        <v>20.145752535028798</v>
      </c>
      <c r="L344" s="42">
        <f t="shared" ca="1" si="73"/>
        <v>71.12030062215608</v>
      </c>
      <c r="M344" s="36">
        <f t="shared" ca="1" si="65"/>
        <v>0.58699999999999997</v>
      </c>
      <c r="N344" s="36">
        <f t="shared" si="74"/>
        <v>4</v>
      </c>
      <c r="O344" s="39">
        <f t="shared" ca="1" si="66"/>
        <v>0.13318261478851015</v>
      </c>
      <c r="P344" s="39">
        <f t="shared" ca="1" si="67"/>
        <v>71.253483236944589</v>
      </c>
      <c r="Q344" s="43">
        <f t="shared" ca="1" si="75"/>
        <v>20.278935149817308</v>
      </c>
    </row>
    <row r="345" spans="1:17" x14ac:dyDescent="0.25">
      <c r="A345" s="36">
        <v>298</v>
      </c>
      <c r="B345" s="36">
        <f t="shared" ca="1" si="62"/>
        <v>4.8000000000000001E-2</v>
      </c>
      <c r="C345" s="37">
        <f t="shared" si="68"/>
        <v>6</v>
      </c>
      <c r="D345" s="39">
        <f t="shared" ca="1" si="63"/>
        <v>0.50609237801237428</v>
      </c>
      <c r="E345" s="39">
        <f t="shared" ca="1" si="69"/>
        <v>51.480640465139658</v>
      </c>
      <c r="F345" s="36">
        <f t="shared" ca="1" si="70"/>
        <v>84</v>
      </c>
      <c r="G345" s="36">
        <f ca="1">COUNTIF($P$48:P355,"&lt;"&amp;E345)</f>
        <v>213</v>
      </c>
      <c r="H345" s="36">
        <f t="shared" ca="1" si="71"/>
        <v>3</v>
      </c>
      <c r="I345" s="36" t="str">
        <f t="shared" ca="1" si="72"/>
        <v>Ocu</v>
      </c>
      <c r="J345" s="40">
        <f t="shared" ca="1" si="64"/>
        <v>85</v>
      </c>
      <c r="K345" s="41">
        <f t="shared" ca="1" si="61"/>
        <v>19.772842771804932</v>
      </c>
      <c r="L345" s="42">
        <f t="shared" ca="1" si="73"/>
        <v>71.253483236944589</v>
      </c>
      <c r="M345" s="36">
        <f t="shared" ca="1" si="65"/>
        <v>0.86399999999999999</v>
      </c>
      <c r="N345" s="36">
        <f t="shared" si="74"/>
        <v>4</v>
      </c>
      <c r="O345" s="39">
        <f t="shared" ca="1" si="66"/>
        <v>3.6545627544520363E-2</v>
      </c>
      <c r="P345" s="39">
        <f t="shared" ca="1" si="67"/>
        <v>71.290028864489116</v>
      </c>
      <c r="Q345" s="43">
        <f t="shared" ca="1" si="75"/>
        <v>19.809388399349459</v>
      </c>
    </row>
    <row r="346" spans="1:17" x14ac:dyDescent="0.25">
      <c r="A346" s="36">
        <v>299</v>
      </c>
      <c r="B346" s="36">
        <f t="shared" ca="1" si="62"/>
        <v>0.54</v>
      </c>
      <c r="C346" s="37">
        <f t="shared" si="68"/>
        <v>6</v>
      </c>
      <c r="D346" s="39">
        <f t="shared" ca="1" si="63"/>
        <v>0.10269768990396946</v>
      </c>
      <c r="E346" s="39">
        <f t="shared" ca="1" si="69"/>
        <v>51.583338155043627</v>
      </c>
      <c r="F346" s="36">
        <f t="shared" ca="1" si="70"/>
        <v>85</v>
      </c>
      <c r="G346" s="36">
        <f ca="1">COUNTIF($P$48:P356,"&lt;"&amp;E346)</f>
        <v>213</v>
      </c>
      <c r="H346" s="36">
        <f t="shared" ca="1" si="71"/>
        <v>0</v>
      </c>
      <c r="I346" s="36" t="str">
        <f t="shared" ca="1" si="72"/>
        <v>Ocu</v>
      </c>
      <c r="J346" s="40">
        <f t="shared" ca="1" si="64"/>
        <v>86</v>
      </c>
      <c r="K346" s="41">
        <f t="shared" ca="1" si="61"/>
        <v>19.706690709445489</v>
      </c>
      <c r="L346" s="42">
        <f t="shared" ca="1" si="73"/>
        <v>71.290028864489116</v>
      </c>
      <c r="M346" s="36">
        <f t="shared" ca="1" si="65"/>
        <v>0.36299999999999999</v>
      </c>
      <c r="N346" s="36">
        <f t="shared" si="74"/>
        <v>4</v>
      </c>
      <c r="O346" s="39">
        <f t="shared" ca="1" si="66"/>
        <v>0.25333811117932159</v>
      </c>
      <c r="P346" s="39">
        <f t="shared" ca="1" si="67"/>
        <v>71.543366975668434</v>
      </c>
      <c r="Q346" s="43">
        <f t="shared" ca="1" si="75"/>
        <v>19.960028820624807</v>
      </c>
    </row>
    <row r="347" spans="1:17" x14ac:dyDescent="0.25">
      <c r="A347" s="36">
        <v>300</v>
      </c>
      <c r="B347" s="36">
        <f t="shared" ca="1" si="62"/>
        <v>0.67500000000000004</v>
      </c>
      <c r="C347" s="37">
        <f t="shared" si="68"/>
        <v>6</v>
      </c>
      <c r="D347" s="39">
        <f t="shared" ca="1" si="63"/>
        <v>6.5507098018267859E-2</v>
      </c>
      <c r="E347" s="39">
        <f t="shared" ca="1" si="69"/>
        <v>51.648845253061893</v>
      </c>
      <c r="F347" s="36">
        <f t="shared" ca="1" si="70"/>
        <v>86</v>
      </c>
      <c r="G347" s="36">
        <f ca="1">COUNTIF($P$48:P357,"&lt;"&amp;E347)</f>
        <v>213</v>
      </c>
      <c r="H347" s="36">
        <f t="shared" ca="1" si="71"/>
        <v>0</v>
      </c>
      <c r="I347" s="36" t="str">
        <f t="shared" ca="1" si="72"/>
        <v>Ocu</v>
      </c>
      <c r="J347" s="40">
        <f t="shared" ca="1" si="64"/>
        <v>87</v>
      </c>
      <c r="K347" s="41">
        <f t="shared" ca="1" si="61"/>
        <v>19.894521722606541</v>
      </c>
      <c r="L347" s="42">
        <f t="shared" ca="1" si="73"/>
        <v>71.543366975668434</v>
      </c>
      <c r="M347" s="36">
        <f t="shared" ca="1" si="65"/>
        <v>0.82799999999999996</v>
      </c>
      <c r="N347" s="36">
        <f t="shared" si="74"/>
        <v>4</v>
      </c>
      <c r="O347" s="39">
        <f t="shared" ca="1" si="66"/>
        <v>4.7185531149219348E-2</v>
      </c>
      <c r="P347" s="39">
        <f t="shared" ca="1" si="67"/>
        <v>71.590552506817659</v>
      </c>
      <c r="Q347" s="43">
        <f t="shared" ca="1" si="75"/>
        <v>19.941707253755766</v>
      </c>
    </row>
    <row r="348" spans="1:17" x14ac:dyDescent="0.25">
      <c r="A348" s="36">
        <v>301</v>
      </c>
      <c r="B348" s="36">
        <f t="shared" ca="1" si="62"/>
        <v>0.40200000000000002</v>
      </c>
      <c r="C348" s="37">
        <f t="shared" si="68"/>
        <v>6</v>
      </c>
      <c r="D348" s="39">
        <f t="shared" ca="1" si="63"/>
        <v>0.15188386506051932</v>
      </c>
      <c r="E348" s="39">
        <f t="shared" ca="1" si="69"/>
        <v>51.800729118122412</v>
      </c>
      <c r="F348" s="36">
        <f t="shared" ca="1" si="70"/>
        <v>87</v>
      </c>
      <c r="G348" s="36">
        <f ca="1">COUNTIF($P$48:P358,"&lt;"&amp;E348)</f>
        <v>213</v>
      </c>
      <c r="H348" s="36">
        <f t="shared" ca="1" si="71"/>
        <v>0</v>
      </c>
      <c r="I348" s="36" t="str">
        <f t="shared" ca="1" si="72"/>
        <v>Ocu</v>
      </c>
      <c r="J348" s="40">
        <f t="shared" ca="1" si="64"/>
        <v>88</v>
      </c>
      <c r="K348" s="41">
        <f t="shared" ca="1" si="61"/>
        <v>19.789823388695247</v>
      </c>
      <c r="L348" s="42">
        <f t="shared" ca="1" si="73"/>
        <v>71.590552506817659</v>
      </c>
      <c r="M348" s="36">
        <f t="shared" ca="1" si="65"/>
        <v>0.63600000000000001</v>
      </c>
      <c r="N348" s="36">
        <f t="shared" si="74"/>
        <v>4</v>
      </c>
      <c r="O348" s="39">
        <f t="shared" ca="1" si="66"/>
        <v>0.11313917891050371</v>
      </c>
      <c r="P348" s="39">
        <f t="shared" ca="1" si="67"/>
        <v>71.70369168572816</v>
      </c>
      <c r="Q348" s="43">
        <f t="shared" ca="1" si="75"/>
        <v>19.902962567605748</v>
      </c>
    </row>
    <row r="349" spans="1:17" x14ac:dyDescent="0.25">
      <c r="A349" s="36">
        <v>302</v>
      </c>
      <c r="B349" s="36">
        <f t="shared" ca="1" si="62"/>
        <v>0.74399999999999999</v>
      </c>
      <c r="C349" s="37">
        <f t="shared" si="68"/>
        <v>6</v>
      </c>
      <c r="D349" s="39">
        <f t="shared" ca="1" si="63"/>
        <v>4.9285707358174183E-2</v>
      </c>
      <c r="E349" s="39">
        <f t="shared" ca="1" si="69"/>
        <v>51.850014825480585</v>
      </c>
      <c r="F349" s="36">
        <f t="shared" ca="1" si="70"/>
        <v>88</v>
      </c>
      <c r="G349" s="36">
        <f ca="1">COUNTIF($P$48:P359,"&lt;"&amp;E349)</f>
        <v>213</v>
      </c>
      <c r="H349" s="36">
        <f t="shared" ca="1" si="71"/>
        <v>0</v>
      </c>
      <c r="I349" s="36" t="str">
        <f t="shared" ca="1" si="72"/>
        <v>Ocu</v>
      </c>
      <c r="J349" s="40">
        <f t="shared" ca="1" si="64"/>
        <v>89</v>
      </c>
      <c r="K349" s="41">
        <f t="shared" ca="1" si="61"/>
        <v>19.853676860247575</v>
      </c>
      <c r="L349" s="42">
        <f t="shared" ca="1" si="73"/>
        <v>71.70369168572816</v>
      </c>
      <c r="M349" s="36">
        <f t="shared" ca="1" si="65"/>
        <v>0.69899999999999995</v>
      </c>
      <c r="N349" s="36">
        <f t="shared" si="74"/>
        <v>4</v>
      </c>
      <c r="O349" s="39">
        <f t="shared" ca="1" si="66"/>
        <v>8.9526134187081732E-2</v>
      </c>
      <c r="P349" s="39">
        <f t="shared" ca="1" si="67"/>
        <v>71.793217819915242</v>
      </c>
      <c r="Q349" s="43">
        <f t="shared" ca="1" si="75"/>
        <v>19.943202994434657</v>
      </c>
    </row>
    <row r="350" spans="1:17" x14ac:dyDescent="0.25">
      <c r="A350" s="36">
        <v>303</v>
      </c>
      <c r="B350" s="36">
        <f t="shared" ca="1" si="62"/>
        <v>0.623</v>
      </c>
      <c r="C350" s="37">
        <f t="shared" si="68"/>
        <v>6</v>
      </c>
      <c r="D350" s="39">
        <f t="shared" ca="1" si="63"/>
        <v>7.8868126699113986E-2</v>
      </c>
      <c r="E350" s="39">
        <f t="shared" ca="1" si="69"/>
        <v>51.928882952179698</v>
      </c>
      <c r="F350" s="36">
        <f t="shared" ca="1" si="70"/>
        <v>87</v>
      </c>
      <c r="G350" s="36">
        <f ca="1">COUNTIF($P$48:P360,"&lt;"&amp;E350)</f>
        <v>215</v>
      </c>
      <c r="H350" s="36">
        <f t="shared" ca="1" si="71"/>
        <v>2</v>
      </c>
      <c r="I350" s="36" t="str">
        <f t="shared" ca="1" si="72"/>
        <v>Ocu</v>
      </c>
      <c r="J350" s="40">
        <f t="shared" ca="1" si="64"/>
        <v>88</v>
      </c>
      <c r="K350" s="41">
        <f t="shared" ca="1" si="61"/>
        <v>19.864334867735543</v>
      </c>
      <c r="L350" s="42">
        <f t="shared" ca="1" si="73"/>
        <v>71.793217819915242</v>
      </c>
      <c r="M350" s="36">
        <f t="shared" ca="1" si="65"/>
        <v>7.2999999999999995E-2</v>
      </c>
      <c r="N350" s="36">
        <f t="shared" si="74"/>
        <v>4</v>
      </c>
      <c r="O350" s="39">
        <f t="shared" ca="1" si="66"/>
        <v>0.65432395945843647</v>
      </c>
      <c r="P350" s="39">
        <f t="shared" ca="1" si="67"/>
        <v>72.44754177937368</v>
      </c>
      <c r="Q350" s="43">
        <f t="shared" ca="1" si="75"/>
        <v>20.518658827193981</v>
      </c>
    </row>
    <row r="351" spans="1:17" x14ac:dyDescent="0.25">
      <c r="A351" s="36">
        <v>304</v>
      </c>
      <c r="B351" s="36">
        <f t="shared" ca="1" si="62"/>
        <v>0.56999999999999995</v>
      </c>
      <c r="C351" s="37">
        <f t="shared" si="68"/>
        <v>6</v>
      </c>
      <c r="D351" s="39">
        <f t="shared" ca="1" si="63"/>
        <v>9.3686486358923543E-2</v>
      </c>
      <c r="E351" s="39">
        <f t="shared" ca="1" si="69"/>
        <v>52.022569438538625</v>
      </c>
      <c r="F351" s="36">
        <f t="shared" ca="1" si="70"/>
        <v>88</v>
      </c>
      <c r="G351" s="36">
        <f ca="1">COUNTIF($P$48:P361,"&lt;"&amp;E351)</f>
        <v>215</v>
      </c>
      <c r="H351" s="36">
        <f t="shared" ca="1" si="71"/>
        <v>0</v>
      </c>
      <c r="I351" s="36" t="str">
        <f t="shared" ca="1" si="72"/>
        <v>Ocu</v>
      </c>
      <c r="J351" s="40">
        <f t="shared" ca="1" si="64"/>
        <v>89</v>
      </c>
      <c r="K351" s="41">
        <f t="shared" ca="1" si="61"/>
        <v>20.424972340835055</v>
      </c>
      <c r="L351" s="42">
        <f t="shared" ca="1" si="73"/>
        <v>72.44754177937368</v>
      </c>
      <c r="M351" s="36">
        <f t="shared" ca="1" si="65"/>
        <v>0.48599999999999999</v>
      </c>
      <c r="N351" s="36">
        <f t="shared" si="74"/>
        <v>4</v>
      </c>
      <c r="O351" s="39">
        <f t="shared" ca="1" si="66"/>
        <v>0.18038666377041082</v>
      </c>
      <c r="P351" s="39">
        <f t="shared" ca="1" si="67"/>
        <v>72.627928443144086</v>
      </c>
      <c r="Q351" s="43">
        <f t="shared" ca="1" si="75"/>
        <v>20.605359004605461</v>
      </c>
    </row>
    <row r="352" spans="1:17" x14ac:dyDescent="0.25">
      <c r="A352" s="36">
        <v>305</v>
      </c>
      <c r="B352" s="36">
        <f t="shared" ca="1" si="62"/>
        <v>0.70499999999999996</v>
      </c>
      <c r="C352" s="37">
        <f t="shared" si="68"/>
        <v>6</v>
      </c>
      <c r="D352" s="39">
        <f t="shared" ca="1" si="63"/>
        <v>5.8259579361644734E-2</v>
      </c>
      <c r="E352" s="39">
        <f t="shared" ca="1" si="69"/>
        <v>52.080829017900271</v>
      </c>
      <c r="F352" s="36">
        <f t="shared" ca="1" si="70"/>
        <v>88</v>
      </c>
      <c r="G352" s="36">
        <f ca="1">COUNTIF($P$48:P362,"&lt;"&amp;E352)</f>
        <v>216</v>
      </c>
      <c r="H352" s="36">
        <f t="shared" ca="1" si="71"/>
        <v>1</v>
      </c>
      <c r="I352" s="36" t="str">
        <f t="shared" ca="1" si="72"/>
        <v>Ocu</v>
      </c>
      <c r="J352" s="40">
        <f t="shared" ca="1" si="64"/>
        <v>89</v>
      </c>
      <c r="K352" s="41">
        <f t="shared" ca="1" si="61"/>
        <v>20.547099425243815</v>
      </c>
      <c r="L352" s="42">
        <f t="shared" ca="1" si="73"/>
        <v>72.627928443144086</v>
      </c>
      <c r="M352" s="36">
        <f t="shared" ca="1" si="65"/>
        <v>0.113</v>
      </c>
      <c r="N352" s="36">
        <f t="shared" si="74"/>
        <v>4</v>
      </c>
      <c r="O352" s="39">
        <f t="shared" ca="1" si="66"/>
        <v>0.54509186506744911</v>
      </c>
      <c r="P352" s="39">
        <f t="shared" ca="1" si="67"/>
        <v>73.173020308211534</v>
      </c>
      <c r="Q352" s="43">
        <f t="shared" ca="1" si="75"/>
        <v>21.092191290311263</v>
      </c>
    </row>
    <row r="353" spans="1:17" x14ac:dyDescent="0.25">
      <c r="A353" s="36">
        <v>306</v>
      </c>
      <c r="B353" s="36">
        <f t="shared" ca="1" si="62"/>
        <v>4.3999999999999997E-2</v>
      </c>
      <c r="C353" s="37">
        <f t="shared" si="68"/>
        <v>6</v>
      </c>
      <c r="D353" s="39">
        <f t="shared" ca="1" si="63"/>
        <v>0.52059427417731263</v>
      </c>
      <c r="E353" s="39">
        <f t="shared" ca="1" si="69"/>
        <v>52.601423292077584</v>
      </c>
      <c r="F353" s="36">
        <f t="shared" ca="1" si="70"/>
        <v>84</v>
      </c>
      <c r="G353" s="36">
        <f ca="1">COUNTIF($P$48:P363,"&lt;"&amp;E353)</f>
        <v>221</v>
      </c>
      <c r="H353" s="36">
        <f t="shared" ca="1" si="71"/>
        <v>5</v>
      </c>
      <c r="I353" s="36" t="str">
        <f t="shared" ca="1" si="72"/>
        <v>Ocu</v>
      </c>
      <c r="J353" s="40">
        <f t="shared" ca="1" si="64"/>
        <v>85</v>
      </c>
      <c r="K353" s="41">
        <f t="shared" ca="1" si="61"/>
        <v>20.57159701613395</v>
      </c>
      <c r="L353" s="42">
        <f t="shared" ca="1" si="73"/>
        <v>73.173020308211534</v>
      </c>
      <c r="M353" s="36">
        <f t="shared" ca="1" si="65"/>
        <v>0.186</v>
      </c>
      <c r="N353" s="36">
        <f t="shared" si="74"/>
        <v>4</v>
      </c>
      <c r="O353" s="39">
        <f t="shared" ca="1" si="66"/>
        <v>0.42050215131723395</v>
      </c>
      <c r="P353" s="39">
        <f t="shared" ca="1" si="67"/>
        <v>73.593522459528771</v>
      </c>
      <c r="Q353" s="43">
        <f t="shared" ca="1" si="75"/>
        <v>20.992099167451187</v>
      </c>
    </row>
    <row r="354" spans="1:17" x14ac:dyDescent="0.25">
      <c r="A354" s="36">
        <v>307</v>
      </c>
      <c r="B354" s="36">
        <f t="shared" ca="1" si="62"/>
        <v>0.76300000000000001</v>
      </c>
      <c r="C354" s="37">
        <f t="shared" si="68"/>
        <v>6</v>
      </c>
      <c r="D354" s="39">
        <f t="shared" ca="1" si="63"/>
        <v>4.5082874616279994E-2</v>
      </c>
      <c r="E354" s="39">
        <f t="shared" ca="1" si="69"/>
        <v>52.646506166693861</v>
      </c>
      <c r="F354" s="36">
        <f t="shared" ca="1" si="70"/>
        <v>85</v>
      </c>
      <c r="G354" s="36">
        <f ca="1">COUNTIF($P$48:P364,"&lt;"&amp;E354)</f>
        <v>221</v>
      </c>
      <c r="H354" s="36">
        <f t="shared" ca="1" si="71"/>
        <v>0</v>
      </c>
      <c r="I354" s="36" t="str">
        <f t="shared" ca="1" si="72"/>
        <v>Ocu</v>
      </c>
      <c r="J354" s="40">
        <f t="shared" ca="1" si="64"/>
        <v>86</v>
      </c>
      <c r="K354" s="41">
        <f t="shared" ca="1" si="61"/>
        <v>20.94701629283491</v>
      </c>
      <c r="L354" s="42">
        <f t="shared" ca="1" si="73"/>
        <v>73.593522459528771</v>
      </c>
      <c r="M354" s="36">
        <f t="shared" ca="1" si="65"/>
        <v>0.56100000000000005</v>
      </c>
      <c r="N354" s="36">
        <f t="shared" si="74"/>
        <v>4</v>
      </c>
      <c r="O354" s="39">
        <f t="shared" ca="1" si="66"/>
        <v>0.14450859336486013</v>
      </c>
      <c r="P354" s="39">
        <f t="shared" ca="1" si="67"/>
        <v>73.738031052893632</v>
      </c>
      <c r="Q354" s="43">
        <f t="shared" ca="1" si="75"/>
        <v>21.091524886199771</v>
      </c>
    </row>
    <row r="355" spans="1:17" x14ac:dyDescent="0.25">
      <c r="A355" s="36">
        <v>308</v>
      </c>
      <c r="B355" s="36">
        <f t="shared" ca="1" si="62"/>
        <v>0.246</v>
      </c>
      <c r="C355" s="37">
        <f t="shared" si="68"/>
        <v>6</v>
      </c>
      <c r="D355" s="39">
        <f t="shared" ca="1" si="63"/>
        <v>0.23373729050829573</v>
      </c>
      <c r="E355" s="39">
        <f t="shared" ca="1" si="69"/>
        <v>52.880243457202155</v>
      </c>
      <c r="F355" s="36">
        <f t="shared" ca="1" si="70"/>
        <v>86</v>
      </c>
      <c r="G355" s="36">
        <f ca="1">COUNTIF($P$48:P365,"&lt;"&amp;E355)</f>
        <v>221</v>
      </c>
      <c r="H355" s="36">
        <f t="shared" ca="1" si="71"/>
        <v>0</v>
      </c>
      <c r="I355" s="36" t="str">
        <f t="shared" ca="1" si="72"/>
        <v>Ocu</v>
      </c>
      <c r="J355" s="40">
        <f t="shared" ca="1" si="64"/>
        <v>87</v>
      </c>
      <c r="K355" s="41">
        <f t="shared" ca="1" si="61"/>
        <v>20.857787595691477</v>
      </c>
      <c r="L355" s="42">
        <f t="shared" ca="1" si="73"/>
        <v>73.738031052893632</v>
      </c>
      <c r="M355" s="36">
        <f t="shared" ca="1" si="65"/>
        <v>0.215</v>
      </c>
      <c r="N355" s="36">
        <f t="shared" si="74"/>
        <v>4</v>
      </c>
      <c r="O355" s="39">
        <f t="shared" ca="1" si="66"/>
        <v>0.38427931271361859</v>
      </c>
      <c r="P355" s="39">
        <f t="shared" ca="1" si="67"/>
        <v>74.122310365607248</v>
      </c>
      <c r="Q355" s="43">
        <f t="shared" ca="1" si="75"/>
        <v>21.242066908405093</v>
      </c>
    </row>
    <row r="356" spans="1:17" x14ac:dyDescent="0.25">
      <c r="A356" s="36">
        <v>309</v>
      </c>
      <c r="B356" s="36">
        <f t="shared" ca="1" si="62"/>
        <v>0.51500000000000001</v>
      </c>
      <c r="C356" s="37">
        <f t="shared" si="68"/>
        <v>6</v>
      </c>
      <c r="D356" s="39">
        <f t="shared" ca="1" si="63"/>
        <v>0.11059806305306681</v>
      </c>
      <c r="E356" s="39">
        <f t="shared" ca="1" si="69"/>
        <v>52.990841520255223</v>
      </c>
      <c r="F356" s="36">
        <f t="shared" ca="1" si="70"/>
        <v>87</v>
      </c>
      <c r="G356" s="36">
        <f ca="1">COUNTIF($P$48:P366,"&lt;"&amp;E356)</f>
        <v>221</v>
      </c>
      <c r="H356" s="36">
        <f t="shared" ca="1" si="71"/>
        <v>0</v>
      </c>
      <c r="I356" s="36" t="str">
        <f t="shared" ca="1" si="72"/>
        <v>Ocu</v>
      </c>
      <c r="J356" s="40">
        <f t="shared" ca="1" si="64"/>
        <v>88</v>
      </c>
      <c r="K356" s="41">
        <f t="shared" ca="1" si="61"/>
        <v>21.131468845352025</v>
      </c>
      <c r="L356" s="42">
        <f t="shared" ca="1" si="73"/>
        <v>74.122310365607248</v>
      </c>
      <c r="M356" s="36">
        <f t="shared" ca="1" si="65"/>
        <v>0.153</v>
      </c>
      <c r="N356" s="36">
        <f t="shared" si="74"/>
        <v>4</v>
      </c>
      <c r="O356" s="39">
        <f t="shared" ca="1" si="66"/>
        <v>0.46932933939742538</v>
      </c>
      <c r="P356" s="39">
        <f t="shared" ca="1" si="67"/>
        <v>74.591639705004667</v>
      </c>
      <c r="Q356" s="43">
        <f t="shared" ca="1" si="75"/>
        <v>21.600798184749443</v>
      </c>
    </row>
    <row r="357" spans="1:17" x14ac:dyDescent="0.25">
      <c r="A357" s="36">
        <v>310</v>
      </c>
      <c r="B357" s="36">
        <f t="shared" ca="1" si="62"/>
        <v>0.95199999999999996</v>
      </c>
      <c r="C357" s="37">
        <f t="shared" si="68"/>
        <v>6</v>
      </c>
      <c r="D357" s="39">
        <f t="shared" ca="1" si="63"/>
        <v>8.1983740317952969E-3</v>
      </c>
      <c r="E357" s="39">
        <f t="shared" ca="1" si="69"/>
        <v>52.999039894287016</v>
      </c>
      <c r="F357" s="36">
        <f t="shared" ca="1" si="70"/>
        <v>88</v>
      </c>
      <c r="G357" s="36">
        <f ca="1">COUNTIF($P$48:P367,"&lt;"&amp;E357)</f>
        <v>221</v>
      </c>
      <c r="H357" s="36">
        <f t="shared" ca="1" si="71"/>
        <v>0</v>
      </c>
      <c r="I357" s="36" t="str">
        <f t="shared" ca="1" si="72"/>
        <v>Ocu</v>
      </c>
      <c r="J357" s="40">
        <f t="shared" ca="1" si="64"/>
        <v>89</v>
      </c>
      <c r="K357" s="41">
        <f t="shared" ca="1" si="61"/>
        <v>21.592599810717651</v>
      </c>
      <c r="L357" s="42">
        <f t="shared" ca="1" si="73"/>
        <v>74.591639705004667</v>
      </c>
      <c r="M357" s="36">
        <f t="shared" ca="1" si="65"/>
        <v>0.56999999999999995</v>
      </c>
      <c r="N357" s="36">
        <f t="shared" si="74"/>
        <v>4</v>
      </c>
      <c r="O357" s="39">
        <f t="shared" ca="1" si="66"/>
        <v>0.14052972953838533</v>
      </c>
      <c r="P357" s="39">
        <f t="shared" ca="1" si="67"/>
        <v>74.732169434543053</v>
      </c>
      <c r="Q357" s="43">
        <f t="shared" ca="1" si="75"/>
        <v>21.733129540256037</v>
      </c>
    </row>
    <row r="358" spans="1:17" x14ac:dyDescent="0.25">
      <c r="A358" s="36">
        <v>311</v>
      </c>
      <c r="B358" s="36">
        <f t="shared" ca="1" si="62"/>
        <v>0.77800000000000002</v>
      </c>
      <c r="C358" s="37">
        <f t="shared" si="68"/>
        <v>6</v>
      </c>
      <c r="D358" s="39">
        <f t="shared" ca="1" si="63"/>
        <v>4.1838125800624244E-2</v>
      </c>
      <c r="E358" s="39">
        <f t="shared" ca="1" si="69"/>
        <v>53.040878020087639</v>
      </c>
      <c r="F358" s="36">
        <f t="shared" ca="1" si="70"/>
        <v>89</v>
      </c>
      <c r="G358" s="36">
        <f ca="1">COUNTIF($P$48:P368,"&lt;"&amp;E358)</f>
        <v>221</v>
      </c>
      <c r="H358" s="36">
        <f t="shared" ca="1" si="71"/>
        <v>0</v>
      </c>
      <c r="I358" s="36" t="str">
        <f t="shared" ca="1" si="72"/>
        <v>Ocu</v>
      </c>
      <c r="J358" s="40">
        <f t="shared" ca="1" si="64"/>
        <v>90</v>
      </c>
      <c r="K358" s="41">
        <f t="shared" ca="1" si="61"/>
        <v>21.691291414455414</v>
      </c>
      <c r="L358" s="42">
        <f t="shared" ca="1" si="73"/>
        <v>74.732169434543053</v>
      </c>
      <c r="M358" s="36">
        <f t="shared" ca="1" si="65"/>
        <v>0.32800000000000001</v>
      </c>
      <c r="N358" s="36">
        <f t="shared" si="74"/>
        <v>4</v>
      </c>
      <c r="O358" s="39">
        <f t="shared" ca="1" si="66"/>
        <v>0.27868541764949833</v>
      </c>
      <c r="P358" s="39">
        <f t="shared" ca="1" si="67"/>
        <v>75.010854852192551</v>
      </c>
      <c r="Q358" s="43">
        <f t="shared" ca="1" si="75"/>
        <v>21.969976832104912</v>
      </c>
    </row>
    <row r="359" spans="1:17" x14ac:dyDescent="0.25">
      <c r="A359" s="36">
        <v>312</v>
      </c>
      <c r="B359" s="36">
        <f t="shared" ca="1" si="62"/>
        <v>9.9000000000000005E-2</v>
      </c>
      <c r="C359" s="37">
        <f t="shared" si="68"/>
        <v>6</v>
      </c>
      <c r="D359" s="39">
        <f t="shared" ca="1" si="63"/>
        <v>0.3854392381412578</v>
      </c>
      <c r="E359" s="39">
        <f t="shared" ca="1" si="69"/>
        <v>53.426317258228899</v>
      </c>
      <c r="F359" s="36">
        <f t="shared" ca="1" si="70"/>
        <v>88</v>
      </c>
      <c r="G359" s="36">
        <f ca="1">COUNTIF($P$48:P369,"&lt;"&amp;E359)</f>
        <v>223</v>
      </c>
      <c r="H359" s="36">
        <f t="shared" ca="1" si="71"/>
        <v>2</v>
      </c>
      <c r="I359" s="36" t="str">
        <f t="shared" ca="1" si="72"/>
        <v>Ocu</v>
      </c>
      <c r="J359" s="40">
        <f t="shared" ca="1" si="64"/>
        <v>89</v>
      </c>
      <c r="K359" s="41">
        <f t="shared" ca="1" si="61"/>
        <v>21.584537593963653</v>
      </c>
      <c r="L359" s="42">
        <f t="shared" ca="1" si="73"/>
        <v>75.010854852192551</v>
      </c>
      <c r="M359" s="36">
        <f t="shared" ca="1" si="65"/>
        <v>0.442</v>
      </c>
      <c r="N359" s="36">
        <f t="shared" si="74"/>
        <v>4</v>
      </c>
      <c r="O359" s="39">
        <f t="shared" ca="1" si="66"/>
        <v>0.20411134922610974</v>
      </c>
      <c r="P359" s="39">
        <f t="shared" ca="1" si="67"/>
        <v>75.214966201418662</v>
      </c>
      <c r="Q359" s="43">
        <f t="shared" ca="1" si="75"/>
        <v>21.788648943189763</v>
      </c>
    </row>
    <row r="360" spans="1:17" x14ac:dyDescent="0.25">
      <c r="A360" s="36">
        <v>313</v>
      </c>
      <c r="B360" s="36">
        <f t="shared" ca="1" si="62"/>
        <v>0.218</v>
      </c>
      <c r="C360" s="37">
        <f t="shared" si="68"/>
        <v>6</v>
      </c>
      <c r="D360" s="39">
        <f t="shared" ca="1" si="63"/>
        <v>0.25387670269884133</v>
      </c>
      <c r="E360" s="39">
        <f t="shared" ca="1" si="69"/>
        <v>53.680193960927738</v>
      </c>
      <c r="F360" s="36">
        <f t="shared" ca="1" si="70"/>
        <v>87</v>
      </c>
      <c r="G360" s="36">
        <f ca="1">COUNTIF($P$48:P370,"&lt;"&amp;E360)</f>
        <v>225</v>
      </c>
      <c r="H360" s="36">
        <f t="shared" ca="1" si="71"/>
        <v>2</v>
      </c>
      <c r="I360" s="36" t="str">
        <f t="shared" ca="1" si="72"/>
        <v>Ocu</v>
      </c>
      <c r="J360" s="40">
        <f t="shared" ca="1" si="64"/>
        <v>88</v>
      </c>
      <c r="K360" s="41">
        <f t="shared" ca="1" si="61"/>
        <v>21.534772240490923</v>
      </c>
      <c r="L360" s="42">
        <f t="shared" ca="1" si="73"/>
        <v>75.214966201418662</v>
      </c>
      <c r="M360" s="36">
        <f t="shared" ca="1" si="65"/>
        <v>0.58499999999999996</v>
      </c>
      <c r="N360" s="36">
        <f t="shared" si="74"/>
        <v>4</v>
      </c>
      <c r="O360" s="39">
        <f t="shared" ca="1" si="66"/>
        <v>0.13403585793757017</v>
      </c>
      <c r="P360" s="39">
        <f t="shared" ca="1" si="67"/>
        <v>75.349002059356238</v>
      </c>
      <c r="Q360" s="43">
        <f t="shared" ca="1" si="75"/>
        <v>21.668808098428499</v>
      </c>
    </row>
    <row r="361" spans="1:17" x14ac:dyDescent="0.25">
      <c r="A361" s="36">
        <v>314</v>
      </c>
      <c r="B361" s="36">
        <f t="shared" ca="1" si="62"/>
        <v>0.77600000000000002</v>
      </c>
      <c r="C361" s="37">
        <f t="shared" si="68"/>
        <v>6</v>
      </c>
      <c r="D361" s="39">
        <f t="shared" ca="1" si="63"/>
        <v>4.2267126466486366E-2</v>
      </c>
      <c r="E361" s="39">
        <f t="shared" ca="1" si="69"/>
        <v>53.722461087394223</v>
      </c>
      <c r="F361" s="36">
        <f t="shared" ca="1" si="70"/>
        <v>88</v>
      </c>
      <c r="G361" s="36">
        <f ca="1">COUNTIF($P$48:P371,"&lt;"&amp;E361)</f>
        <v>225</v>
      </c>
      <c r="H361" s="36">
        <f t="shared" ca="1" si="71"/>
        <v>0</v>
      </c>
      <c r="I361" s="36" t="str">
        <f t="shared" ca="1" si="72"/>
        <v>Ocu</v>
      </c>
      <c r="J361" s="40">
        <f t="shared" ca="1" si="64"/>
        <v>89</v>
      </c>
      <c r="K361" s="41">
        <f t="shared" ca="1" si="61"/>
        <v>21.626540971962015</v>
      </c>
      <c r="L361" s="42">
        <f t="shared" ca="1" si="73"/>
        <v>75.349002059356238</v>
      </c>
      <c r="M361" s="36">
        <f t="shared" ca="1" si="65"/>
        <v>0.89</v>
      </c>
      <c r="N361" s="36">
        <f t="shared" si="74"/>
        <v>4</v>
      </c>
      <c r="O361" s="39">
        <f t="shared" ca="1" si="66"/>
        <v>2.9133454063987901E-2</v>
      </c>
      <c r="P361" s="39">
        <f t="shared" ca="1" si="67"/>
        <v>75.378135513420219</v>
      </c>
      <c r="Q361" s="43">
        <f t="shared" ca="1" si="75"/>
        <v>21.655674426025996</v>
      </c>
    </row>
    <row r="362" spans="1:17" x14ac:dyDescent="0.25">
      <c r="A362" s="36">
        <v>315</v>
      </c>
      <c r="B362" s="36">
        <f t="shared" ca="1" si="62"/>
        <v>0.47499999999999998</v>
      </c>
      <c r="C362" s="37">
        <f t="shared" si="68"/>
        <v>6</v>
      </c>
      <c r="D362" s="39">
        <f t="shared" ca="1" si="63"/>
        <v>0.12407341249124929</v>
      </c>
      <c r="E362" s="39">
        <f t="shared" ca="1" si="69"/>
        <v>53.846534499885472</v>
      </c>
      <c r="F362" s="36">
        <f t="shared" ca="1" si="70"/>
        <v>89</v>
      </c>
      <c r="G362" s="36">
        <f ca="1">COUNTIF($P$48:P372,"&lt;"&amp;E362)</f>
        <v>225</v>
      </c>
      <c r="H362" s="36">
        <f t="shared" ca="1" si="71"/>
        <v>0</v>
      </c>
      <c r="I362" s="36" t="str">
        <f t="shared" ca="1" si="72"/>
        <v>Ocu</v>
      </c>
      <c r="J362" s="40">
        <f t="shared" ca="1" si="64"/>
        <v>90</v>
      </c>
      <c r="K362" s="41">
        <f t="shared" ca="1" si="61"/>
        <v>21.531601013534747</v>
      </c>
      <c r="L362" s="42">
        <f t="shared" ca="1" si="73"/>
        <v>75.378135513420219</v>
      </c>
      <c r="M362" s="36">
        <f t="shared" ca="1" si="65"/>
        <v>0.95399999999999996</v>
      </c>
      <c r="N362" s="36">
        <f t="shared" si="74"/>
        <v>4</v>
      </c>
      <c r="O362" s="39">
        <f t="shared" ca="1" si="66"/>
        <v>1.1772901883462647E-2</v>
      </c>
      <c r="P362" s="39">
        <f t="shared" ca="1" si="67"/>
        <v>75.38990841530368</v>
      </c>
      <c r="Q362" s="43">
        <f t="shared" ca="1" si="75"/>
        <v>21.543373915418208</v>
      </c>
    </row>
    <row r="363" spans="1:17" x14ac:dyDescent="0.25">
      <c r="A363" s="36">
        <v>316</v>
      </c>
      <c r="B363" s="36">
        <f t="shared" ca="1" si="62"/>
        <v>0.93100000000000005</v>
      </c>
      <c r="C363" s="37">
        <f t="shared" si="68"/>
        <v>6</v>
      </c>
      <c r="D363" s="39">
        <f t="shared" ca="1" si="63"/>
        <v>1.1916000284178337E-2</v>
      </c>
      <c r="E363" s="39">
        <f t="shared" ca="1" si="69"/>
        <v>53.858450500169653</v>
      </c>
      <c r="F363" s="36">
        <f t="shared" ca="1" si="70"/>
        <v>90</v>
      </c>
      <c r="G363" s="36">
        <f ca="1">COUNTIF($P$48:P373,"&lt;"&amp;E363)</f>
        <v>225</v>
      </c>
      <c r="H363" s="36">
        <f t="shared" ca="1" si="71"/>
        <v>0</v>
      </c>
      <c r="I363" s="36" t="str">
        <f t="shared" ca="1" si="72"/>
        <v>Ocu</v>
      </c>
      <c r="J363" s="40">
        <f t="shared" ca="1" si="64"/>
        <v>91</v>
      </c>
      <c r="K363" s="41">
        <f t="shared" ca="1" si="61"/>
        <v>21.531457915134027</v>
      </c>
      <c r="L363" s="42">
        <f t="shared" ca="1" si="73"/>
        <v>75.38990841530368</v>
      </c>
      <c r="M363" s="36">
        <f t="shared" ca="1" si="65"/>
        <v>0.57199999999999995</v>
      </c>
      <c r="N363" s="36">
        <f t="shared" si="74"/>
        <v>4</v>
      </c>
      <c r="O363" s="39">
        <f t="shared" ca="1" si="66"/>
        <v>0.13965407190058479</v>
      </c>
      <c r="P363" s="39">
        <f t="shared" ca="1" si="67"/>
        <v>75.529562487204259</v>
      </c>
      <c r="Q363" s="43">
        <f t="shared" ca="1" si="75"/>
        <v>21.671111987034607</v>
      </c>
    </row>
    <row r="364" spans="1:17" x14ac:dyDescent="0.25">
      <c r="A364" s="36">
        <v>317</v>
      </c>
      <c r="B364" s="36">
        <f t="shared" ca="1" si="62"/>
        <v>0.876</v>
      </c>
      <c r="C364" s="37">
        <f t="shared" si="68"/>
        <v>6</v>
      </c>
      <c r="D364" s="39">
        <f t="shared" ca="1" si="63"/>
        <v>2.2064864674290939E-2</v>
      </c>
      <c r="E364" s="39">
        <f t="shared" ca="1" si="69"/>
        <v>53.880515364843944</v>
      </c>
      <c r="F364" s="36">
        <f t="shared" ca="1" si="70"/>
        <v>91</v>
      </c>
      <c r="G364" s="36">
        <f ca="1">COUNTIF($P$48:P374,"&lt;"&amp;E364)</f>
        <v>225</v>
      </c>
      <c r="H364" s="36">
        <f t="shared" ca="1" si="71"/>
        <v>0</v>
      </c>
      <c r="I364" s="36" t="str">
        <f t="shared" ca="1" si="72"/>
        <v>Ocu</v>
      </c>
      <c r="J364" s="40">
        <f t="shared" ca="1" si="64"/>
        <v>92</v>
      </c>
      <c r="K364" s="41">
        <f t="shared" ca="1" si="61"/>
        <v>21.649047122360315</v>
      </c>
      <c r="L364" s="42">
        <f t="shared" ca="1" si="73"/>
        <v>75.529562487204259</v>
      </c>
      <c r="M364" s="36">
        <f t="shared" ca="1" si="65"/>
        <v>3.7999999999999999E-2</v>
      </c>
      <c r="N364" s="36">
        <f t="shared" si="74"/>
        <v>4</v>
      </c>
      <c r="O364" s="39">
        <f t="shared" ca="1" si="66"/>
        <v>0.81754227981393779</v>
      </c>
      <c r="P364" s="39">
        <f t="shared" ca="1" si="67"/>
        <v>76.347104767018195</v>
      </c>
      <c r="Q364" s="43">
        <f t="shared" ca="1" si="75"/>
        <v>22.46658940217425</v>
      </c>
    </row>
    <row r="365" spans="1:17" x14ac:dyDescent="0.25">
      <c r="A365" s="36">
        <v>318</v>
      </c>
      <c r="B365" s="36">
        <f t="shared" ca="1" si="62"/>
        <v>0.76</v>
      </c>
      <c r="C365" s="37">
        <f t="shared" si="68"/>
        <v>6</v>
      </c>
      <c r="D365" s="39">
        <f t="shared" ca="1" si="63"/>
        <v>4.5739474283626722E-2</v>
      </c>
      <c r="E365" s="39">
        <f t="shared" ca="1" si="69"/>
        <v>53.926254839127573</v>
      </c>
      <c r="F365" s="36">
        <f t="shared" ca="1" si="70"/>
        <v>92</v>
      </c>
      <c r="G365" s="36">
        <f ca="1">COUNTIF($P$48:P375,"&lt;"&amp;E365)</f>
        <v>225</v>
      </c>
      <c r="H365" s="36">
        <f t="shared" ca="1" si="71"/>
        <v>0</v>
      </c>
      <c r="I365" s="36" t="str">
        <f t="shared" ca="1" si="72"/>
        <v>Ocu</v>
      </c>
      <c r="J365" s="40">
        <f t="shared" ca="1" si="64"/>
        <v>93</v>
      </c>
      <c r="K365" s="41">
        <f t="shared" ca="1" si="61"/>
        <v>22.420849927890622</v>
      </c>
      <c r="L365" s="42">
        <f t="shared" ca="1" si="73"/>
        <v>76.347104767018195</v>
      </c>
      <c r="M365" s="36">
        <f t="shared" ca="1" si="65"/>
        <v>0.56899999999999995</v>
      </c>
      <c r="N365" s="36">
        <f t="shared" si="74"/>
        <v>4</v>
      </c>
      <c r="O365" s="39">
        <f t="shared" ca="1" si="66"/>
        <v>0.14096871121395155</v>
      </c>
      <c r="P365" s="39">
        <f t="shared" ca="1" si="67"/>
        <v>76.488073478232153</v>
      </c>
      <c r="Q365" s="43">
        <f t="shared" ca="1" si="75"/>
        <v>22.56181863910458</v>
      </c>
    </row>
    <row r="366" spans="1:17" x14ac:dyDescent="0.25">
      <c r="A366" s="36">
        <v>319</v>
      </c>
      <c r="B366" s="36">
        <f t="shared" ca="1" si="62"/>
        <v>0.33800000000000002</v>
      </c>
      <c r="C366" s="37">
        <f t="shared" si="68"/>
        <v>6</v>
      </c>
      <c r="D366" s="39">
        <f t="shared" ca="1" si="63"/>
        <v>0.18078489724985305</v>
      </c>
      <c r="E366" s="39">
        <f t="shared" ca="1" si="69"/>
        <v>54.107039736377423</v>
      </c>
      <c r="F366" s="36">
        <f t="shared" ca="1" si="70"/>
        <v>93</v>
      </c>
      <c r="G366" s="36">
        <f ca="1">COUNTIF($P$48:P376,"&lt;"&amp;E366)</f>
        <v>225</v>
      </c>
      <c r="H366" s="36">
        <f t="shared" ca="1" si="71"/>
        <v>0</v>
      </c>
      <c r="I366" s="36" t="str">
        <f t="shared" ca="1" si="72"/>
        <v>Ocu</v>
      </c>
      <c r="J366" s="40">
        <f t="shared" ca="1" si="64"/>
        <v>94</v>
      </c>
      <c r="K366" s="41">
        <f t="shared" ca="1" si="61"/>
        <v>22.381033741854729</v>
      </c>
      <c r="L366" s="42">
        <f t="shared" ca="1" si="73"/>
        <v>76.488073478232153</v>
      </c>
      <c r="M366" s="36">
        <f t="shared" ca="1" si="65"/>
        <v>0.623</v>
      </c>
      <c r="N366" s="36">
        <f t="shared" si="74"/>
        <v>4</v>
      </c>
      <c r="O366" s="39">
        <f t="shared" ca="1" si="66"/>
        <v>0.11830219004867099</v>
      </c>
      <c r="P366" s="39">
        <f t="shared" ca="1" si="67"/>
        <v>76.606375668280819</v>
      </c>
      <c r="Q366" s="43">
        <f t="shared" ca="1" si="75"/>
        <v>22.499335931903396</v>
      </c>
    </row>
    <row r="367" spans="1:17" x14ac:dyDescent="0.25">
      <c r="A367" s="36">
        <v>320</v>
      </c>
      <c r="B367" s="36">
        <f t="shared" ca="1" si="62"/>
        <v>0.19700000000000001</v>
      </c>
      <c r="C367" s="37">
        <f t="shared" si="68"/>
        <v>6</v>
      </c>
      <c r="D367" s="39">
        <f t="shared" ca="1" si="63"/>
        <v>0.27075859170735805</v>
      </c>
      <c r="E367" s="39">
        <f t="shared" ca="1" si="69"/>
        <v>54.377798328084779</v>
      </c>
      <c r="F367" s="36">
        <f t="shared" ca="1" si="70"/>
        <v>92</v>
      </c>
      <c r="G367" s="36">
        <f ca="1">COUNTIF($P$48:P377,"&lt;"&amp;E367)</f>
        <v>227</v>
      </c>
      <c r="H367" s="36">
        <f t="shared" ca="1" si="71"/>
        <v>2</v>
      </c>
      <c r="I367" s="36" t="str">
        <f t="shared" ca="1" si="72"/>
        <v>Ocu</v>
      </c>
      <c r="J367" s="40">
        <f t="shared" ca="1" si="64"/>
        <v>93</v>
      </c>
      <c r="K367" s="41">
        <f t="shared" ca="1" si="61"/>
        <v>22.22857734019604</v>
      </c>
      <c r="L367" s="42">
        <f t="shared" ca="1" si="73"/>
        <v>76.606375668280819</v>
      </c>
      <c r="M367" s="36">
        <f t="shared" ca="1" si="65"/>
        <v>0.13400000000000001</v>
      </c>
      <c r="N367" s="36">
        <f t="shared" si="74"/>
        <v>4</v>
      </c>
      <c r="O367" s="39">
        <f t="shared" ca="1" si="66"/>
        <v>0.50247886975780642</v>
      </c>
      <c r="P367" s="39">
        <f t="shared" ca="1" si="67"/>
        <v>77.108854538038628</v>
      </c>
      <c r="Q367" s="43">
        <f t="shared" ca="1" si="75"/>
        <v>22.731056209953849</v>
      </c>
    </row>
    <row r="368" spans="1:17" x14ac:dyDescent="0.25">
      <c r="A368" s="36">
        <v>321</v>
      </c>
      <c r="B368" s="36">
        <f t="shared" ca="1" si="62"/>
        <v>3.0000000000000001E-3</v>
      </c>
      <c r="C368" s="37">
        <f t="shared" si="68"/>
        <v>6</v>
      </c>
      <c r="D368" s="39">
        <f t="shared" ca="1" si="63"/>
        <v>0.96819049838567128</v>
      </c>
      <c r="E368" s="39">
        <f t="shared" ca="1" si="69"/>
        <v>55.345988826470453</v>
      </c>
      <c r="F368" s="36">
        <f t="shared" ca="1" si="70"/>
        <v>92</v>
      </c>
      <c r="G368" s="36">
        <f ca="1">COUNTIF($P$48:P378,"&lt;"&amp;E368)</f>
        <v>228</v>
      </c>
      <c r="H368" s="36">
        <f t="shared" ca="1" si="71"/>
        <v>1</v>
      </c>
      <c r="I368" s="36" t="str">
        <f t="shared" ca="1" si="72"/>
        <v>Ocu</v>
      </c>
      <c r="J368" s="40">
        <f t="shared" ca="1" si="64"/>
        <v>93</v>
      </c>
      <c r="K368" s="41">
        <f t="shared" ref="K368:K431" ca="1" si="76">L368-E368</f>
        <v>21.762865711568175</v>
      </c>
      <c r="L368" s="42">
        <f t="shared" ca="1" si="73"/>
        <v>77.108854538038628</v>
      </c>
      <c r="M368" s="36">
        <f t="shared" ca="1" si="65"/>
        <v>0.96399999999999997</v>
      </c>
      <c r="N368" s="36">
        <f t="shared" si="74"/>
        <v>4</v>
      </c>
      <c r="O368" s="39">
        <f t="shared" ca="1" si="66"/>
        <v>9.1659960928978813E-3</v>
      </c>
      <c r="P368" s="39">
        <f t="shared" ca="1" si="67"/>
        <v>77.118020534131531</v>
      </c>
      <c r="Q368" s="43">
        <f t="shared" ca="1" si="75"/>
        <v>21.772031707661078</v>
      </c>
    </row>
    <row r="369" spans="1:17" x14ac:dyDescent="0.25">
      <c r="A369" s="36">
        <v>322</v>
      </c>
      <c r="B369" s="36">
        <f t="shared" ref="B369:B432" ca="1" si="77">RANDBETWEEN(1,1000)/1000</f>
        <v>0.223</v>
      </c>
      <c r="C369" s="37">
        <f t="shared" si="68"/>
        <v>6</v>
      </c>
      <c r="D369" s="39">
        <f t="shared" ref="D369:D432" ca="1" si="78">(1/C369)*(LN(1/B369))</f>
        <v>0.25009725125366966</v>
      </c>
      <c r="E369" s="39">
        <f t="shared" ca="1" si="69"/>
        <v>55.596086077724124</v>
      </c>
      <c r="F369" s="36">
        <f t="shared" ca="1" si="70"/>
        <v>93</v>
      </c>
      <c r="G369" s="36">
        <f ca="1">COUNTIF($P$48:P379,"&lt;"&amp;E369)</f>
        <v>228</v>
      </c>
      <c r="H369" s="36">
        <f t="shared" ca="1" si="71"/>
        <v>0</v>
      </c>
      <c r="I369" s="36" t="str">
        <f t="shared" ca="1" si="72"/>
        <v>Ocu</v>
      </c>
      <c r="J369" s="40">
        <f t="shared" ref="J369:J432" ca="1" si="79">IF(I369="Des",1,IF(I369="Ocu",1+F369))</f>
        <v>94</v>
      </c>
      <c r="K369" s="41">
        <f t="shared" ca="1" si="76"/>
        <v>21.521934456407408</v>
      </c>
      <c r="L369" s="42">
        <f t="shared" ca="1" si="73"/>
        <v>77.118020534131531</v>
      </c>
      <c r="M369" s="36">
        <f t="shared" ref="M369:M432" ca="1" si="80">RANDBETWEEN(1,1000)/1000</f>
        <v>0.35699999999999998</v>
      </c>
      <c r="N369" s="36">
        <f t="shared" si="74"/>
        <v>4</v>
      </c>
      <c r="O369" s="39">
        <f t="shared" ref="O369:O432" ca="1" si="81">(1/N369)*(LN(1/M369))</f>
        <v>0.25750487430062452</v>
      </c>
      <c r="P369" s="39">
        <f t="shared" ref="P369:P432" ca="1" si="82">+L369+O369</f>
        <v>77.375525408432154</v>
      </c>
      <c r="Q369" s="43">
        <f t="shared" ca="1" si="75"/>
        <v>21.77943933070803</v>
      </c>
    </row>
    <row r="370" spans="1:17" x14ac:dyDescent="0.25">
      <c r="A370" s="36">
        <v>323</v>
      </c>
      <c r="B370" s="36">
        <f t="shared" ca="1" si="77"/>
        <v>9.1999999999999998E-2</v>
      </c>
      <c r="C370" s="37">
        <f t="shared" ref="C370:C433" si="83">+C369</f>
        <v>6</v>
      </c>
      <c r="D370" s="39">
        <f t="shared" ca="1" si="78"/>
        <v>0.39766111698884943</v>
      </c>
      <c r="E370" s="39">
        <f t="shared" ref="E370:E433" ca="1" si="84">+D370+E369</f>
        <v>55.993747194712974</v>
      </c>
      <c r="F370" s="36">
        <f t="shared" ref="F370:F433" ca="1" si="85">+F369+1-(G370-G369)</f>
        <v>90</v>
      </c>
      <c r="G370" s="36">
        <f ca="1">COUNTIF($P$48:P380,"&lt;"&amp;E370)</f>
        <v>232</v>
      </c>
      <c r="H370" s="36">
        <f t="shared" ref="H370:H433" ca="1" si="86">+G370-G369</f>
        <v>4</v>
      </c>
      <c r="I370" s="36" t="str">
        <f t="shared" ref="I370:I433" ca="1" si="87">IF(E370&lt;P369,"Ocu","Des")</f>
        <v>Ocu</v>
      </c>
      <c r="J370" s="40">
        <f t="shared" ca="1" si="79"/>
        <v>91</v>
      </c>
      <c r="K370" s="41">
        <f t="shared" ca="1" si="76"/>
        <v>21.38177821371918</v>
      </c>
      <c r="L370" s="42">
        <f t="shared" ref="L370:L433" ca="1" si="88">IF(I370="Des",E370,P369)</f>
        <v>77.375525408432154</v>
      </c>
      <c r="M370" s="36">
        <f t="shared" ca="1" si="80"/>
        <v>0.36299999999999999</v>
      </c>
      <c r="N370" s="36">
        <f t="shared" ref="N370:N433" si="89">+N369</f>
        <v>4</v>
      </c>
      <c r="O370" s="39">
        <f t="shared" ca="1" si="81"/>
        <v>0.25333811117932159</v>
      </c>
      <c r="P370" s="39">
        <f t="shared" ca="1" si="82"/>
        <v>77.628863519611471</v>
      </c>
      <c r="Q370" s="43">
        <f t="shared" ca="1" si="75"/>
        <v>21.635116324898497</v>
      </c>
    </row>
    <row r="371" spans="1:17" x14ac:dyDescent="0.25">
      <c r="A371" s="36">
        <v>324</v>
      </c>
      <c r="B371" s="36">
        <f t="shared" ca="1" si="77"/>
        <v>0.66700000000000004</v>
      </c>
      <c r="C371" s="37">
        <f t="shared" si="83"/>
        <v>6</v>
      </c>
      <c r="D371" s="39">
        <f t="shared" ca="1" si="78"/>
        <v>6.7494205511085537E-2</v>
      </c>
      <c r="E371" s="39">
        <f t="shared" ca="1" si="84"/>
        <v>56.061241400224063</v>
      </c>
      <c r="F371" s="36">
        <f t="shared" ca="1" si="85"/>
        <v>91</v>
      </c>
      <c r="G371" s="36">
        <f ca="1">COUNTIF($P$48:P381,"&lt;"&amp;E371)</f>
        <v>232</v>
      </c>
      <c r="H371" s="36">
        <f t="shared" ca="1" si="86"/>
        <v>0</v>
      </c>
      <c r="I371" s="36" t="str">
        <f t="shared" ca="1" si="87"/>
        <v>Ocu</v>
      </c>
      <c r="J371" s="40">
        <f t="shared" ca="1" si="79"/>
        <v>92</v>
      </c>
      <c r="K371" s="41">
        <f t="shared" ca="1" si="76"/>
        <v>21.567622119387408</v>
      </c>
      <c r="L371" s="42">
        <f t="shared" ca="1" si="88"/>
        <v>77.628863519611471</v>
      </c>
      <c r="M371" s="36">
        <f t="shared" ca="1" si="80"/>
        <v>0.151</v>
      </c>
      <c r="N371" s="36">
        <f t="shared" si="89"/>
        <v>4</v>
      </c>
      <c r="O371" s="39">
        <f t="shared" ca="1" si="81"/>
        <v>0.47261886054180319</v>
      </c>
      <c r="P371" s="39">
        <f t="shared" ca="1" si="82"/>
        <v>78.101482380153271</v>
      </c>
      <c r="Q371" s="43">
        <f t="shared" ref="Q371:Q434" ca="1" si="90">P371-E371</f>
        <v>22.040240979929209</v>
      </c>
    </row>
    <row r="372" spans="1:17" x14ac:dyDescent="0.25">
      <c r="A372" s="36">
        <v>325</v>
      </c>
      <c r="B372" s="36">
        <f t="shared" ca="1" si="77"/>
        <v>0.70899999999999996</v>
      </c>
      <c r="C372" s="37">
        <f t="shared" si="83"/>
        <v>6</v>
      </c>
      <c r="D372" s="39">
        <f t="shared" ca="1" si="78"/>
        <v>5.7316625408334931E-2</v>
      </c>
      <c r="E372" s="39">
        <f t="shared" ca="1" si="84"/>
        <v>56.118558025632396</v>
      </c>
      <c r="F372" s="36">
        <f t="shared" ca="1" si="85"/>
        <v>92</v>
      </c>
      <c r="G372" s="36">
        <f ca="1">COUNTIF($P$48:P382,"&lt;"&amp;E372)</f>
        <v>232</v>
      </c>
      <c r="H372" s="36">
        <f t="shared" ca="1" si="86"/>
        <v>0</v>
      </c>
      <c r="I372" s="36" t="str">
        <f t="shared" ca="1" si="87"/>
        <v>Ocu</v>
      </c>
      <c r="J372" s="40">
        <f t="shared" ca="1" si="79"/>
        <v>93</v>
      </c>
      <c r="K372" s="41">
        <f t="shared" ca="1" si="76"/>
        <v>21.982924354520875</v>
      </c>
      <c r="L372" s="42">
        <f t="shared" ca="1" si="88"/>
        <v>78.101482380153271</v>
      </c>
      <c r="M372" s="36">
        <f t="shared" ca="1" si="80"/>
        <v>0.997</v>
      </c>
      <c r="N372" s="36">
        <f t="shared" si="89"/>
        <v>4</v>
      </c>
      <c r="O372" s="39">
        <f t="shared" ca="1" si="81"/>
        <v>7.5112725507468054E-4</v>
      </c>
      <c r="P372" s="39">
        <f t="shared" ca="1" si="82"/>
        <v>78.102233507408343</v>
      </c>
      <c r="Q372" s="43">
        <f t="shared" ca="1" si="90"/>
        <v>21.983675481775947</v>
      </c>
    </row>
    <row r="373" spans="1:17" x14ac:dyDescent="0.25">
      <c r="A373" s="36">
        <v>326</v>
      </c>
      <c r="B373" s="36">
        <f t="shared" ca="1" si="77"/>
        <v>0.24</v>
      </c>
      <c r="C373" s="37">
        <f t="shared" si="83"/>
        <v>6</v>
      </c>
      <c r="D373" s="39">
        <f t="shared" ca="1" si="78"/>
        <v>0.2378527259400243</v>
      </c>
      <c r="E373" s="39">
        <f t="shared" ca="1" si="84"/>
        <v>56.356410751572419</v>
      </c>
      <c r="F373" s="36">
        <f t="shared" ca="1" si="85"/>
        <v>92</v>
      </c>
      <c r="G373" s="36">
        <f ca="1">COUNTIF($P$48:P383,"&lt;"&amp;E373)</f>
        <v>233</v>
      </c>
      <c r="H373" s="36">
        <f t="shared" ca="1" si="86"/>
        <v>1</v>
      </c>
      <c r="I373" s="36" t="str">
        <f t="shared" ca="1" si="87"/>
        <v>Ocu</v>
      </c>
      <c r="J373" s="40">
        <f t="shared" ca="1" si="79"/>
        <v>93</v>
      </c>
      <c r="K373" s="41">
        <f t="shared" ca="1" si="76"/>
        <v>21.745822755835924</v>
      </c>
      <c r="L373" s="42">
        <f t="shared" ca="1" si="88"/>
        <v>78.102233507408343</v>
      </c>
      <c r="M373" s="36">
        <f t="shared" ca="1" si="80"/>
        <v>0.2</v>
      </c>
      <c r="N373" s="36">
        <f t="shared" si="89"/>
        <v>4</v>
      </c>
      <c r="O373" s="39">
        <f t="shared" ca="1" si="81"/>
        <v>0.40235947810852507</v>
      </c>
      <c r="P373" s="39">
        <f t="shared" ca="1" si="82"/>
        <v>78.504592985516865</v>
      </c>
      <c r="Q373" s="43">
        <f t="shared" ca="1" si="90"/>
        <v>22.148182233944446</v>
      </c>
    </row>
    <row r="374" spans="1:17" x14ac:dyDescent="0.25">
      <c r="A374" s="36">
        <v>327</v>
      </c>
      <c r="B374" s="36">
        <f t="shared" ca="1" si="77"/>
        <v>0.66600000000000004</v>
      </c>
      <c r="C374" s="37">
        <f t="shared" si="83"/>
        <v>6</v>
      </c>
      <c r="D374" s="39">
        <f t="shared" ca="1" si="78"/>
        <v>6.7744268073624631E-2</v>
      </c>
      <c r="E374" s="39">
        <f t="shared" ca="1" si="84"/>
        <v>56.424155019646044</v>
      </c>
      <c r="F374" s="36">
        <f t="shared" ca="1" si="85"/>
        <v>93</v>
      </c>
      <c r="G374" s="36">
        <f ca="1">COUNTIF($P$48:P384,"&lt;"&amp;E374)</f>
        <v>233</v>
      </c>
      <c r="H374" s="36">
        <f t="shared" ca="1" si="86"/>
        <v>0</v>
      </c>
      <c r="I374" s="36" t="str">
        <f t="shared" ca="1" si="87"/>
        <v>Ocu</v>
      </c>
      <c r="J374" s="40">
        <f t="shared" ca="1" si="79"/>
        <v>94</v>
      </c>
      <c r="K374" s="41">
        <f t="shared" ca="1" si="76"/>
        <v>22.080437965870821</v>
      </c>
      <c r="L374" s="42">
        <f t="shared" ca="1" si="88"/>
        <v>78.504592985516865</v>
      </c>
      <c r="M374" s="36">
        <f t="shared" ca="1" si="80"/>
        <v>0.46400000000000002</v>
      </c>
      <c r="N374" s="36">
        <f t="shared" si="89"/>
        <v>4</v>
      </c>
      <c r="O374" s="39">
        <f t="shared" ca="1" si="81"/>
        <v>0.19196768168897041</v>
      </c>
      <c r="P374" s="39">
        <f t="shared" ca="1" si="82"/>
        <v>78.69656066720583</v>
      </c>
      <c r="Q374" s="43">
        <f t="shared" ca="1" si="90"/>
        <v>22.272405647559786</v>
      </c>
    </row>
    <row r="375" spans="1:17" x14ac:dyDescent="0.25">
      <c r="A375" s="36">
        <v>328</v>
      </c>
      <c r="B375" s="36">
        <f t="shared" ca="1" si="77"/>
        <v>0.95699999999999996</v>
      </c>
      <c r="C375" s="37">
        <f t="shared" si="83"/>
        <v>6</v>
      </c>
      <c r="D375" s="39">
        <f t="shared" ca="1" si="78"/>
        <v>7.3253145881971276E-3</v>
      </c>
      <c r="E375" s="39">
        <f t="shared" ca="1" si="84"/>
        <v>56.431480334234244</v>
      </c>
      <c r="F375" s="36">
        <f t="shared" ca="1" si="85"/>
        <v>94</v>
      </c>
      <c r="G375" s="36">
        <f ca="1">COUNTIF($P$48:P385,"&lt;"&amp;E375)</f>
        <v>233</v>
      </c>
      <c r="H375" s="36">
        <f t="shared" ca="1" si="86"/>
        <v>0</v>
      </c>
      <c r="I375" s="36" t="str">
        <f t="shared" ca="1" si="87"/>
        <v>Ocu</v>
      </c>
      <c r="J375" s="40">
        <f t="shared" ca="1" si="79"/>
        <v>95</v>
      </c>
      <c r="K375" s="41">
        <f t="shared" ca="1" si="76"/>
        <v>22.265080332971586</v>
      </c>
      <c r="L375" s="42">
        <f t="shared" ca="1" si="88"/>
        <v>78.69656066720583</v>
      </c>
      <c r="M375" s="36">
        <f t="shared" ca="1" si="80"/>
        <v>0.28000000000000003</v>
      </c>
      <c r="N375" s="36">
        <f t="shared" si="89"/>
        <v>4</v>
      </c>
      <c r="O375" s="39">
        <f t="shared" ca="1" si="81"/>
        <v>0.31824141895322183</v>
      </c>
      <c r="P375" s="39">
        <f t="shared" ca="1" si="82"/>
        <v>79.014802086159051</v>
      </c>
      <c r="Q375" s="43">
        <f t="shared" ca="1" si="90"/>
        <v>22.583321751924807</v>
      </c>
    </row>
    <row r="376" spans="1:17" x14ac:dyDescent="0.25">
      <c r="A376" s="36">
        <v>329</v>
      </c>
      <c r="B376" s="36">
        <f t="shared" ca="1" si="77"/>
        <v>0.59099999999999997</v>
      </c>
      <c r="C376" s="37">
        <f t="shared" si="83"/>
        <v>6</v>
      </c>
      <c r="D376" s="39">
        <f t="shared" ca="1" si="78"/>
        <v>8.765654359600647E-2</v>
      </c>
      <c r="E376" s="39">
        <f t="shared" ca="1" si="84"/>
        <v>56.519136877830249</v>
      </c>
      <c r="F376" s="36">
        <f t="shared" ca="1" si="85"/>
        <v>95</v>
      </c>
      <c r="G376" s="36">
        <f ca="1">COUNTIF($P$48:P386,"&lt;"&amp;E376)</f>
        <v>233</v>
      </c>
      <c r="H376" s="36">
        <f t="shared" ca="1" si="86"/>
        <v>0</v>
      </c>
      <c r="I376" s="36" t="str">
        <f t="shared" ca="1" si="87"/>
        <v>Ocu</v>
      </c>
      <c r="J376" s="40">
        <f t="shared" ca="1" si="79"/>
        <v>96</v>
      </c>
      <c r="K376" s="41">
        <f t="shared" ca="1" si="76"/>
        <v>22.495665208328802</v>
      </c>
      <c r="L376" s="42">
        <f t="shared" ca="1" si="88"/>
        <v>79.014802086159051</v>
      </c>
      <c r="M376" s="36">
        <f t="shared" ca="1" si="80"/>
        <v>0.88700000000000001</v>
      </c>
      <c r="N376" s="36">
        <f t="shared" si="89"/>
        <v>4</v>
      </c>
      <c r="O376" s="39">
        <f t="shared" ca="1" si="81"/>
        <v>2.9977574168139374E-2</v>
      </c>
      <c r="P376" s="39">
        <f t="shared" ca="1" si="82"/>
        <v>79.044779660327194</v>
      </c>
      <c r="Q376" s="43">
        <f t="shared" ca="1" si="90"/>
        <v>22.525642782496945</v>
      </c>
    </row>
    <row r="377" spans="1:17" x14ac:dyDescent="0.25">
      <c r="A377" s="36">
        <v>330</v>
      </c>
      <c r="B377" s="36">
        <f t="shared" ca="1" si="77"/>
        <v>0.91800000000000004</v>
      </c>
      <c r="C377" s="37">
        <f t="shared" si="83"/>
        <v>6</v>
      </c>
      <c r="D377" s="39">
        <f t="shared" ca="1" si="78"/>
        <v>1.4259648060274428E-2</v>
      </c>
      <c r="E377" s="39">
        <f t="shared" ca="1" si="84"/>
        <v>56.533396525890524</v>
      </c>
      <c r="F377" s="36">
        <f t="shared" ca="1" si="85"/>
        <v>96</v>
      </c>
      <c r="G377" s="36">
        <f ca="1">COUNTIF($P$48:P387,"&lt;"&amp;E377)</f>
        <v>233</v>
      </c>
      <c r="H377" s="36">
        <f t="shared" ca="1" si="86"/>
        <v>0</v>
      </c>
      <c r="I377" s="36" t="str">
        <f t="shared" ca="1" si="87"/>
        <v>Ocu</v>
      </c>
      <c r="J377" s="40">
        <f t="shared" ca="1" si="79"/>
        <v>97</v>
      </c>
      <c r="K377" s="41">
        <f t="shared" ca="1" si="76"/>
        <v>22.51138313443667</v>
      </c>
      <c r="L377" s="42">
        <f t="shared" ca="1" si="88"/>
        <v>79.044779660327194</v>
      </c>
      <c r="M377" s="36">
        <f t="shared" ca="1" si="80"/>
        <v>0.75600000000000001</v>
      </c>
      <c r="N377" s="36">
        <f t="shared" si="89"/>
        <v>4</v>
      </c>
      <c r="O377" s="39">
        <f t="shared" ca="1" si="81"/>
        <v>6.9928475700651027E-2</v>
      </c>
      <c r="P377" s="39">
        <f t="shared" ca="1" si="82"/>
        <v>79.114708136027843</v>
      </c>
      <c r="Q377" s="43">
        <f t="shared" ca="1" si="90"/>
        <v>22.58131161013732</v>
      </c>
    </row>
    <row r="378" spans="1:17" x14ac:dyDescent="0.25">
      <c r="A378" s="36">
        <v>331</v>
      </c>
      <c r="B378" s="36">
        <f t="shared" ca="1" si="77"/>
        <v>0.48499999999999999</v>
      </c>
      <c r="C378" s="37">
        <f t="shared" si="83"/>
        <v>6</v>
      </c>
      <c r="D378" s="39">
        <f t="shared" ca="1" si="78"/>
        <v>0.12060106467410898</v>
      </c>
      <c r="E378" s="39">
        <f t="shared" ca="1" si="84"/>
        <v>56.653997590564636</v>
      </c>
      <c r="F378" s="36">
        <f t="shared" ca="1" si="85"/>
        <v>96</v>
      </c>
      <c r="G378" s="36">
        <f ca="1">COUNTIF($P$48:P388,"&lt;"&amp;E378)</f>
        <v>234</v>
      </c>
      <c r="H378" s="36">
        <f t="shared" ca="1" si="86"/>
        <v>1</v>
      </c>
      <c r="I378" s="36" t="str">
        <f t="shared" ca="1" si="87"/>
        <v>Ocu</v>
      </c>
      <c r="J378" s="40">
        <f t="shared" ca="1" si="79"/>
        <v>97</v>
      </c>
      <c r="K378" s="41">
        <f t="shared" ca="1" si="76"/>
        <v>22.460710545463208</v>
      </c>
      <c r="L378" s="42">
        <f t="shared" ca="1" si="88"/>
        <v>79.114708136027843</v>
      </c>
      <c r="M378" s="36">
        <f t="shared" ca="1" si="80"/>
        <v>0.64200000000000002</v>
      </c>
      <c r="N378" s="36">
        <f t="shared" si="89"/>
        <v>4</v>
      </c>
      <c r="O378" s="39">
        <f t="shared" ca="1" si="81"/>
        <v>0.11079174382304396</v>
      </c>
      <c r="P378" s="39">
        <f t="shared" ca="1" si="82"/>
        <v>79.225499879850886</v>
      </c>
      <c r="Q378" s="43">
        <f t="shared" ca="1" si="90"/>
        <v>22.571502289286251</v>
      </c>
    </row>
    <row r="379" spans="1:17" x14ac:dyDescent="0.25">
      <c r="A379" s="36">
        <v>332</v>
      </c>
      <c r="B379" s="36">
        <f t="shared" ca="1" si="77"/>
        <v>0.13200000000000001</v>
      </c>
      <c r="C379" s="37">
        <f t="shared" si="83"/>
        <v>6</v>
      </c>
      <c r="D379" s="39">
        <f t="shared" ca="1" si="78"/>
        <v>0.33749222606596102</v>
      </c>
      <c r="E379" s="39">
        <f t="shared" ca="1" si="84"/>
        <v>56.991489816630597</v>
      </c>
      <c r="F379" s="36">
        <f t="shared" ca="1" si="85"/>
        <v>96</v>
      </c>
      <c r="G379" s="36">
        <f ca="1">COUNTIF($P$48:P389,"&lt;"&amp;E379)</f>
        <v>235</v>
      </c>
      <c r="H379" s="36">
        <f t="shared" ca="1" si="86"/>
        <v>1</v>
      </c>
      <c r="I379" s="36" t="str">
        <f t="shared" ca="1" si="87"/>
        <v>Ocu</v>
      </c>
      <c r="J379" s="40">
        <f t="shared" ca="1" si="79"/>
        <v>97</v>
      </c>
      <c r="K379" s="41">
        <f t="shared" ca="1" si="76"/>
        <v>22.234010063220289</v>
      </c>
      <c r="L379" s="42">
        <f t="shared" ca="1" si="88"/>
        <v>79.225499879850886</v>
      </c>
      <c r="M379" s="36">
        <f t="shared" ca="1" si="80"/>
        <v>0.245</v>
      </c>
      <c r="N379" s="36">
        <f t="shared" si="89"/>
        <v>4</v>
      </c>
      <c r="O379" s="39">
        <f t="shared" ca="1" si="81"/>
        <v>0.35162426710935252</v>
      </c>
      <c r="P379" s="39">
        <f t="shared" ca="1" si="82"/>
        <v>79.577124146960244</v>
      </c>
      <c r="Q379" s="43">
        <f t="shared" ca="1" si="90"/>
        <v>22.585634330329647</v>
      </c>
    </row>
    <row r="380" spans="1:17" x14ac:dyDescent="0.25">
      <c r="A380" s="36">
        <v>333</v>
      </c>
      <c r="B380" s="36">
        <f t="shared" ca="1" si="77"/>
        <v>0.67600000000000005</v>
      </c>
      <c r="C380" s="37">
        <f t="shared" si="83"/>
        <v>6</v>
      </c>
      <c r="D380" s="39">
        <f t="shared" ca="1" si="78"/>
        <v>6.5260367156528831E-2</v>
      </c>
      <c r="E380" s="39">
        <f t="shared" ca="1" si="84"/>
        <v>57.056750183787123</v>
      </c>
      <c r="F380" s="36">
        <f t="shared" ca="1" si="85"/>
        <v>97</v>
      </c>
      <c r="G380" s="36">
        <f ca="1">COUNTIF($P$48:P390,"&lt;"&amp;E380)</f>
        <v>235</v>
      </c>
      <c r="H380" s="36">
        <f t="shared" ca="1" si="86"/>
        <v>0</v>
      </c>
      <c r="I380" s="36" t="str">
        <f t="shared" ca="1" si="87"/>
        <v>Ocu</v>
      </c>
      <c r="J380" s="40">
        <f t="shared" ca="1" si="79"/>
        <v>98</v>
      </c>
      <c r="K380" s="41">
        <f t="shared" ca="1" si="76"/>
        <v>22.520373963173121</v>
      </c>
      <c r="L380" s="42">
        <f t="shared" ca="1" si="88"/>
        <v>79.577124146960244</v>
      </c>
      <c r="M380" s="36">
        <f t="shared" ca="1" si="80"/>
        <v>0.998</v>
      </c>
      <c r="N380" s="36">
        <f t="shared" si="89"/>
        <v>4</v>
      </c>
      <c r="O380" s="39">
        <f t="shared" ca="1" si="81"/>
        <v>5.0050066766824217E-4</v>
      </c>
      <c r="P380" s="39">
        <f t="shared" ca="1" si="82"/>
        <v>79.577624647627914</v>
      </c>
      <c r="Q380" s="43">
        <f t="shared" ca="1" si="90"/>
        <v>22.520874463840791</v>
      </c>
    </row>
    <row r="381" spans="1:17" x14ac:dyDescent="0.25">
      <c r="A381" s="36">
        <v>334</v>
      </c>
      <c r="B381" s="36">
        <f t="shared" ca="1" si="77"/>
        <v>0.69699999999999995</v>
      </c>
      <c r="C381" s="37">
        <f t="shared" si="83"/>
        <v>6</v>
      </c>
      <c r="D381" s="39">
        <f t="shared" ca="1" si="78"/>
        <v>6.0161644703602205E-2</v>
      </c>
      <c r="E381" s="39">
        <f t="shared" ca="1" si="84"/>
        <v>57.116911828490728</v>
      </c>
      <c r="F381" s="36">
        <f t="shared" ca="1" si="85"/>
        <v>98</v>
      </c>
      <c r="G381" s="36">
        <f ca="1">COUNTIF($P$48:P391,"&lt;"&amp;E381)</f>
        <v>235</v>
      </c>
      <c r="H381" s="36">
        <f t="shared" ca="1" si="86"/>
        <v>0</v>
      </c>
      <c r="I381" s="36" t="str">
        <f t="shared" ca="1" si="87"/>
        <v>Ocu</v>
      </c>
      <c r="J381" s="40">
        <f t="shared" ca="1" si="79"/>
        <v>99</v>
      </c>
      <c r="K381" s="41">
        <f t="shared" ca="1" si="76"/>
        <v>22.460712819137186</v>
      </c>
      <c r="L381" s="42">
        <f t="shared" ca="1" si="88"/>
        <v>79.577624647627914</v>
      </c>
      <c r="M381" s="36">
        <f t="shared" ca="1" si="80"/>
        <v>0.57599999999999996</v>
      </c>
      <c r="N381" s="36">
        <f t="shared" si="89"/>
        <v>4</v>
      </c>
      <c r="O381" s="39">
        <f t="shared" ca="1" si="81"/>
        <v>0.13791190457156147</v>
      </c>
      <c r="P381" s="39">
        <f t="shared" ca="1" si="82"/>
        <v>79.715536552199481</v>
      </c>
      <c r="Q381" s="43">
        <f t="shared" ca="1" si="90"/>
        <v>22.598624723708753</v>
      </c>
    </row>
    <row r="382" spans="1:17" x14ac:dyDescent="0.25">
      <c r="A382" s="36">
        <v>335</v>
      </c>
      <c r="B382" s="36">
        <f t="shared" ca="1" si="77"/>
        <v>0.93700000000000006</v>
      </c>
      <c r="C382" s="37">
        <f t="shared" si="83"/>
        <v>6</v>
      </c>
      <c r="D382" s="39">
        <f t="shared" ca="1" si="78"/>
        <v>1.0845332790619132E-2</v>
      </c>
      <c r="E382" s="39">
        <f t="shared" ca="1" si="84"/>
        <v>57.127757161281345</v>
      </c>
      <c r="F382" s="36">
        <f t="shared" ca="1" si="85"/>
        <v>99</v>
      </c>
      <c r="G382" s="36">
        <f ca="1">COUNTIF($P$48:P392,"&lt;"&amp;E382)</f>
        <v>235</v>
      </c>
      <c r="H382" s="36">
        <f t="shared" ca="1" si="86"/>
        <v>0</v>
      </c>
      <c r="I382" s="36" t="str">
        <f t="shared" ca="1" si="87"/>
        <v>Ocu</v>
      </c>
      <c r="J382" s="40">
        <f t="shared" ca="1" si="79"/>
        <v>100</v>
      </c>
      <c r="K382" s="41">
        <f t="shared" ca="1" si="76"/>
        <v>22.587779390918136</v>
      </c>
      <c r="L382" s="42">
        <f t="shared" ca="1" si="88"/>
        <v>79.715536552199481</v>
      </c>
      <c r="M382" s="36">
        <f t="shared" ca="1" si="80"/>
        <v>0.221</v>
      </c>
      <c r="N382" s="36">
        <f t="shared" si="89"/>
        <v>4</v>
      </c>
      <c r="O382" s="39">
        <f t="shared" ca="1" si="81"/>
        <v>0.37739814436609603</v>
      </c>
      <c r="P382" s="39">
        <f t="shared" ca="1" si="82"/>
        <v>80.092934696565578</v>
      </c>
      <c r="Q382" s="43">
        <f t="shared" ca="1" si="90"/>
        <v>22.965177535284234</v>
      </c>
    </row>
    <row r="383" spans="1:17" x14ac:dyDescent="0.25">
      <c r="A383" s="36">
        <v>336</v>
      </c>
      <c r="B383" s="36">
        <f t="shared" ca="1" si="77"/>
        <v>0.29599999999999999</v>
      </c>
      <c r="C383" s="37">
        <f t="shared" si="83"/>
        <v>6</v>
      </c>
      <c r="D383" s="39">
        <f t="shared" ca="1" si="78"/>
        <v>0.20289930410967943</v>
      </c>
      <c r="E383" s="39">
        <f t="shared" ca="1" si="84"/>
        <v>57.330656465391023</v>
      </c>
      <c r="F383" s="36">
        <f t="shared" ca="1" si="85"/>
        <v>100</v>
      </c>
      <c r="G383" s="36">
        <f ca="1">COUNTIF($P$48:P393,"&lt;"&amp;E383)</f>
        <v>235</v>
      </c>
      <c r="H383" s="36">
        <f t="shared" ca="1" si="86"/>
        <v>0</v>
      </c>
      <c r="I383" s="36" t="str">
        <f t="shared" ca="1" si="87"/>
        <v>Ocu</v>
      </c>
      <c r="J383" s="40">
        <f t="shared" ca="1" si="79"/>
        <v>101</v>
      </c>
      <c r="K383" s="41">
        <f t="shared" ca="1" si="76"/>
        <v>22.762278231174555</v>
      </c>
      <c r="L383" s="42">
        <f t="shared" ca="1" si="88"/>
        <v>80.092934696565578</v>
      </c>
      <c r="M383" s="36">
        <f t="shared" ca="1" si="80"/>
        <v>8.7999999999999995E-2</v>
      </c>
      <c r="N383" s="36">
        <f t="shared" si="89"/>
        <v>4</v>
      </c>
      <c r="O383" s="39">
        <f t="shared" ca="1" si="81"/>
        <v>0.60760461612598271</v>
      </c>
      <c r="P383" s="39">
        <f t="shared" ca="1" si="82"/>
        <v>80.700539312691561</v>
      </c>
      <c r="Q383" s="43">
        <f t="shared" ca="1" si="90"/>
        <v>23.369882847300538</v>
      </c>
    </row>
    <row r="384" spans="1:17" x14ac:dyDescent="0.25">
      <c r="A384" s="36">
        <v>337</v>
      </c>
      <c r="B384" s="36">
        <f t="shared" ca="1" si="77"/>
        <v>0.378</v>
      </c>
      <c r="C384" s="37">
        <f t="shared" si="83"/>
        <v>6</v>
      </c>
      <c r="D384" s="39">
        <f t="shared" ca="1" si="78"/>
        <v>0.16214351389375822</v>
      </c>
      <c r="E384" s="39">
        <f t="shared" ca="1" si="84"/>
        <v>57.492799979284783</v>
      </c>
      <c r="F384" s="36">
        <f t="shared" ca="1" si="85"/>
        <v>100</v>
      </c>
      <c r="G384" s="36">
        <f ca="1">COUNTIF($P$48:P394,"&lt;"&amp;E384)</f>
        <v>236</v>
      </c>
      <c r="H384" s="36">
        <f t="shared" ca="1" si="86"/>
        <v>1</v>
      </c>
      <c r="I384" s="36" t="str">
        <f t="shared" ca="1" si="87"/>
        <v>Ocu</v>
      </c>
      <c r="J384" s="40">
        <f t="shared" ca="1" si="79"/>
        <v>101</v>
      </c>
      <c r="K384" s="41">
        <f t="shared" ca="1" si="76"/>
        <v>23.207739333406778</v>
      </c>
      <c r="L384" s="42">
        <f t="shared" ca="1" si="88"/>
        <v>80.700539312691561</v>
      </c>
      <c r="M384" s="36">
        <f t="shared" ca="1" si="80"/>
        <v>0.75</v>
      </c>
      <c r="N384" s="36">
        <f t="shared" si="89"/>
        <v>4</v>
      </c>
      <c r="O384" s="39">
        <f t="shared" ca="1" si="81"/>
        <v>7.1920518112945211E-2</v>
      </c>
      <c r="P384" s="39">
        <f t="shared" ca="1" si="82"/>
        <v>80.772459830804507</v>
      </c>
      <c r="Q384" s="43">
        <f t="shared" ca="1" si="90"/>
        <v>23.279659851519725</v>
      </c>
    </row>
    <row r="385" spans="1:17" x14ac:dyDescent="0.25">
      <c r="A385" s="36">
        <v>338</v>
      </c>
      <c r="B385" s="36">
        <f t="shared" ca="1" si="77"/>
        <v>0.27100000000000002</v>
      </c>
      <c r="C385" s="37">
        <f t="shared" si="83"/>
        <v>6</v>
      </c>
      <c r="D385" s="39">
        <f t="shared" ca="1" si="78"/>
        <v>0.21760607635040599</v>
      </c>
      <c r="E385" s="39">
        <f t="shared" ca="1" si="84"/>
        <v>57.71040605563519</v>
      </c>
      <c r="F385" s="36">
        <f t="shared" ca="1" si="85"/>
        <v>100</v>
      </c>
      <c r="G385" s="36">
        <f ca="1">COUNTIF($P$48:P395,"&lt;"&amp;E385)</f>
        <v>237</v>
      </c>
      <c r="H385" s="36">
        <f t="shared" ca="1" si="86"/>
        <v>1</v>
      </c>
      <c r="I385" s="36" t="str">
        <f t="shared" ca="1" si="87"/>
        <v>Ocu</v>
      </c>
      <c r="J385" s="40">
        <f t="shared" ca="1" si="79"/>
        <v>101</v>
      </c>
      <c r="K385" s="41">
        <f t="shared" ca="1" si="76"/>
        <v>23.062053775169318</v>
      </c>
      <c r="L385" s="42">
        <f t="shared" ca="1" si="88"/>
        <v>80.772459830804507</v>
      </c>
      <c r="M385" s="36">
        <f t="shared" ca="1" si="80"/>
        <v>0.8</v>
      </c>
      <c r="N385" s="36">
        <f t="shared" si="89"/>
        <v>4</v>
      </c>
      <c r="O385" s="39">
        <f t="shared" ca="1" si="81"/>
        <v>5.5785887828552441E-2</v>
      </c>
      <c r="P385" s="39">
        <f t="shared" ca="1" si="82"/>
        <v>80.828245718633056</v>
      </c>
      <c r="Q385" s="43">
        <f t="shared" ca="1" si="90"/>
        <v>23.117839662997866</v>
      </c>
    </row>
    <row r="386" spans="1:17" x14ac:dyDescent="0.25">
      <c r="A386" s="36">
        <v>339</v>
      </c>
      <c r="B386" s="36">
        <f t="shared" ca="1" si="77"/>
        <v>0.78700000000000003</v>
      </c>
      <c r="C386" s="37">
        <f t="shared" si="83"/>
        <v>6</v>
      </c>
      <c r="D386" s="39">
        <f t="shared" ca="1" si="78"/>
        <v>3.9921171760788972E-2</v>
      </c>
      <c r="E386" s="39">
        <f t="shared" ca="1" si="84"/>
        <v>57.750327227395978</v>
      </c>
      <c r="F386" s="36">
        <f t="shared" ca="1" si="85"/>
        <v>101</v>
      </c>
      <c r="G386" s="36">
        <f ca="1">COUNTIF($P$48:P396,"&lt;"&amp;E386)</f>
        <v>237</v>
      </c>
      <c r="H386" s="36">
        <f t="shared" ca="1" si="86"/>
        <v>0</v>
      </c>
      <c r="I386" s="36" t="str">
        <f t="shared" ca="1" si="87"/>
        <v>Ocu</v>
      </c>
      <c r="J386" s="40">
        <f t="shared" ca="1" si="79"/>
        <v>102</v>
      </c>
      <c r="K386" s="41">
        <f t="shared" ca="1" si="76"/>
        <v>23.077918491237078</v>
      </c>
      <c r="L386" s="42">
        <f t="shared" ca="1" si="88"/>
        <v>80.828245718633056</v>
      </c>
      <c r="M386" s="36">
        <f t="shared" ca="1" si="80"/>
        <v>0.79800000000000004</v>
      </c>
      <c r="N386" s="36">
        <f t="shared" si="89"/>
        <v>4</v>
      </c>
      <c r="O386" s="39">
        <f t="shared" ca="1" si="81"/>
        <v>5.6411670383082056E-2</v>
      </c>
      <c r="P386" s="39">
        <f t="shared" ca="1" si="82"/>
        <v>80.884657389016141</v>
      </c>
      <c r="Q386" s="43">
        <f t="shared" ca="1" si="90"/>
        <v>23.134330161620163</v>
      </c>
    </row>
    <row r="387" spans="1:17" x14ac:dyDescent="0.25">
      <c r="A387" s="36">
        <v>340</v>
      </c>
      <c r="B387" s="36">
        <f t="shared" ca="1" si="77"/>
        <v>0.45800000000000002</v>
      </c>
      <c r="C387" s="37">
        <f t="shared" si="83"/>
        <v>6</v>
      </c>
      <c r="D387" s="39">
        <f t="shared" ca="1" si="78"/>
        <v>0.13014768247799199</v>
      </c>
      <c r="E387" s="39">
        <f t="shared" ca="1" si="84"/>
        <v>57.880474909873968</v>
      </c>
      <c r="F387" s="36">
        <f t="shared" ca="1" si="85"/>
        <v>101</v>
      </c>
      <c r="G387" s="36">
        <f ca="1">COUNTIF($P$48:P397,"&lt;"&amp;E387)</f>
        <v>238</v>
      </c>
      <c r="H387" s="36">
        <f t="shared" ca="1" si="86"/>
        <v>1</v>
      </c>
      <c r="I387" s="36" t="str">
        <f t="shared" ca="1" si="87"/>
        <v>Ocu</v>
      </c>
      <c r="J387" s="40">
        <f t="shared" ca="1" si="79"/>
        <v>102</v>
      </c>
      <c r="K387" s="41">
        <f t="shared" ca="1" si="76"/>
        <v>23.004182479142173</v>
      </c>
      <c r="L387" s="42">
        <f t="shared" ca="1" si="88"/>
        <v>80.884657389016141</v>
      </c>
      <c r="M387" s="36">
        <f t="shared" ca="1" si="80"/>
        <v>0.03</v>
      </c>
      <c r="N387" s="36">
        <f t="shared" si="89"/>
        <v>4</v>
      </c>
      <c r="O387" s="39">
        <f t="shared" ca="1" si="81"/>
        <v>0.87663947432999545</v>
      </c>
      <c r="P387" s="39">
        <f t="shared" ca="1" si="82"/>
        <v>81.761296863346132</v>
      </c>
      <c r="Q387" s="43">
        <f t="shared" ca="1" si="90"/>
        <v>23.880821953472164</v>
      </c>
    </row>
    <row r="388" spans="1:17" x14ac:dyDescent="0.25">
      <c r="A388" s="36">
        <v>341</v>
      </c>
      <c r="B388" s="36">
        <f t="shared" ca="1" si="77"/>
        <v>0.17299999999999999</v>
      </c>
      <c r="C388" s="37">
        <f t="shared" si="83"/>
        <v>6</v>
      </c>
      <c r="D388" s="39">
        <f t="shared" ca="1" si="78"/>
        <v>0.29241061408072633</v>
      </c>
      <c r="E388" s="39">
        <f t="shared" ca="1" si="84"/>
        <v>58.172885523954697</v>
      </c>
      <c r="F388" s="36">
        <f t="shared" ca="1" si="85"/>
        <v>101</v>
      </c>
      <c r="G388" s="36">
        <f ca="1">COUNTIF($P$48:P398,"&lt;"&amp;E388)</f>
        <v>239</v>
      </c>
      <c r="H388" s="36">
        <f t="shared" ca="1" si="86"/>
        <v>1</v>
      </c>
      <c r="I388" s="36" t="str">
        <f t="shared" ca="1" si="87"/>
        <v>Ocu</v>
      </c>
      <c r="J388" s="40">
        <f t="shared" ca="1" si="79"/>
        <v>102</v>
      </c>
      <c r="K388" s="41">
        <f t="shared" ca="1" si="76"/>
        <v>23.588411339391435</v>
      </c>
      <c r="L388" s="42">
        <f t="shared" ca="1" si="88"/>
        <v>81.761296863346132</v>
      </c>
      <c r="M388" s="36">
        <f t="shared" ca="1" si="80"/>
        <v>0.16500000000000001</v>
      </c>
      <c r="N388" s="36">
        <f t="shared" si="89"/>
        <v>4</v>
      </c>
      <c r="O388" s="39">
        <f t="shared" ca="1" si="81"/>
        <v>0.45045245127038913</v>
      </c>
      <c r="P388" s="39">
        <f t="shared" ca="1" si="82"/>
        <v>82.211749314616526</v>
      </c>
      <c r="Q388" s="43">
        <f t="shared" ca="1" si="90"/>
        <v>24.038863790661829</v>
      </c>
    </row>
    <row r="389" spans="1:17" x14ac:dyDescent="0.25">
      <c r="A389" s="36">
        <v>342</v>
      </c>
      <c r="B389" s="36">
        <f t="shared" ca="1" si="77"/>
        <v>4.8000000000000001E-2</v>
      </c>
      <c r="C389" s="37">
        <f t="shared" si="83"/>
        <v>6</v>
      </c>
      <c r="D389" s="39">
        <f t="shared" ca="1" si="78"/>
        <v>0.50609237801237428</v>
      </c>
      <c r="E389" s="39">
        <f t="shared" ca="1" si="84"/>
        <v>58.678977901967073</v>
      </c>
      <c r="F389" s="36">
        <f t="shared" ca="1" si="85"/>
        <v>97</v>
      </c>
      <c r="G389" s="36">
        <f ca="1">COUNTIF($P$48:P399,"&lt;"&amp;E389)</f>
        <v>244</v>
      </c>
      <c r="H389" s="36">
        <f t="shared" ca="1" si="86"/>
        <v>5</v>
      </c>
      <c r="I389" s="36" t="str">
        <f t="shared" ca="1" si="87"/>
        <v>Ocu</v>
      </c>
      <c r="J389" s="40">
        <f t="shared" ca="1" si="79"/>
        <v>98</v>
      </c>
      <c r="K389" s="41">
        <f t="shared" ca="1" si="76"/>
        <v>23.532771412649453</v>
      </c>
      <c r="L389" s="42">
        <f t="shared" ca="1" si="88"/>
        <v>82.211749314616526</v>
      </c>
      <c r="M389" s="36">
        <f t="shared" ca="1" si="80"/>
        <v>0.17899999999999999</v>
      </c>
      <c r="N389" s="36">
        <f t="shared" si="89"/>
        <v>4</v>
      </c>
      <c r="O389" s="39">
        <f t="shared" ca="1" si="81"/>
        <v>0.43009236828534553</v>
      </c>
      <c r="P389" s="39">
        <f t="shared" ca="1" si="82"/>
        <v>82.64184168290187</v>
      </c>
      <c r="Q389" s="43">
        <f t="shared" ca="1" si="90"/>
        <v>23.962863780934796</v>
      </c>
    </row>
    <row r="390" spans="1:17" x14ac:dyDescent="0.25">
      <c r="A390" s="36">
        <v>343</v>
      </c>
      <c r="B390" s="36">
        <f t="shared" ca="1" si="77"/>
        <v>0.13800000000000001</v>
      </c>
      <c r="C390" s="37">
        <f t="shared" si="83"/>
        <v>6</v>
      </c>
      <c r="D390" s="39">
        <f t="shared" ca="1" si="78"/>
        <v>0.33008359897082201</v>
      </c>
      <c r="E390" s="39">
        <f t="shared" ca="1" si="84"/>
        <v>59.009061500937896</v>
      </c>
      <c r="F390" s="36">
        <f t="shared" ca="1" si="85"/>
        <v>96</v>
      </c>
      <c r="G390" s="36">
        <f ca="1">COUNTIF($P$48:P400,"&lt;"&amp;E390)</f>
        <v>246</v>
      </c>
      <c r="H390" s="36">
        <f t="shared" ca="1" si="86"/>
        <v>2</v>
      </c>
      <c r="I390" s="36" t="str">
        <f t="shared" ca="1" si="87"/>
        <v>Ocu</v>
      </c>
      <c r="J390" s="40">
        <f t="shared" ca="1" si="79"/>
        <v>97</v>
      </c>
      <c r="K390" s="41">
        <f t="shared" ca="1" si="76"/>
        <v>23.632780181963973</v>
      </c>
      <c r="L390" s="42">
        <f t="shared" ca="1" si="88"/>
        <v>82.64184168290187</v>
      </c>
      <c r="M390" s="36">
        <f t="shared" ca="1" si="80"/>
        <v>0.78500000000000003</v>
      </c>
      <c r="N390" s="36">
        <f t="shared" si="89"/>
        <v>4</v>
      </c>
      <c r="O390" s="39">
        <f t="shared" ca="1" si="81"/>
        <v>6.0517890299932146E-2</v>
      </c>
      <c r="P390" s="39">
        <f t="shared" ca="1" si="82"/>
        <v>82.702359573201804</v>
      </c>
      <c r="Q390" s="43">
        <f t="shared" ca="1" si="90"/>
        <v>23.693298072263907</v>
      </c>
    </row>
    <row r="391" spans="1:17" x14ac:dyDescent="0.25">
      <c r="A391" s="36">
        <v>344</v>
      </c>
      <c r="B391" s="36">
        <f t="shared" ca="1" si="77"/>
        <v>0.27700000000000002</v>
      </c>
      <c r="C391" s="37">
        <f t="shared" si="83"/>
        <v>6</v>
      </c>
      <c r="D391" s="39">
        <f t="shared" ca="1" si="78"/>
        <v>0.21395629546579975</v>
      </c>
      <c r="E391" s="39">
        <f t="shared" ca="1" si="84"/>
        <v>59.223017796403695</v>
      </c>
      <c r="F391" s="36">
        <f t="shared" ca="1" si="85"/>
        <v>97</v>
      </c>
      <c r="G391" s="36">
        <f ca="1">COUNTIF($P$48:P401,"&lt;"&amp;E391)</f>
        <v>246</v>
      </c>
      <c r="H391" s="36">
        <f t="shared" ca="1" si="86"/>
        <v>0</v>
      </c>
      <c r="I391" s="36" t="str">
        <f t="shared" ca="1" si="87"/>
        <v>Ocu</v>
      </c>
      <c r="J391" s="40">
        <f t="shared" ca="1" si="79"/>
        <v>98</v>
      </c>
      <c r="K391" s="41">
        <f t="shared" ca="1" si="76"/>
        <v>23.479341776798108</v>
      </c>
      <c r="L391" s="42">
        <f t="shared" ca="1" si="88"/>
        <v>82.702359573201804</v>
      </c>
      <c r="M391" s="36">
        <f t="shared" ca="1" si="80"/>
        <v>0.40200000000000002</v>
      </c>
      <c r="N391" s="36">
        <f t="shared" si="89"/>
        <v>4</v>
      </c>
      <c r="O391" s="39">
        <f t="shared" ca="1" si="81"/>
        <v>0.22782579759077898</v>
      </c>
      <c r="P391" s="39">
        <f t="shared" ca="1" si="82"/>
        <v>82.930185370792586</v>
      </c>
      <c r="Q391" s="43">
        <f t="shared" ca="1" si="90"/>
        <v>23.70716757438889</v>
      </c>
    </row>
    <row r="392" spans="1:17" x14ac:dyDescent="0.25">
      <c r="A392" s="36">
        <v>345</v>
      </c>
      <c r="B392" s="36">
        <f t="shared" ca="1" si="77"/>
        <v>0.82199999999999995</v>
      </c>
      <c r="C392" s="37">
        <f t="shared" si="83"/>
        <v>6</v>
      </c>
      <c r="D392" s="39">
        <f t="shared" ca="1" si="78"/>
        <v>3.2669147320992867E-2</v>
      </c>
      <c r="E392" s="39">
        <f t="shared" ca="1" si="84"/>
        <v>59.25568694372469</v>
      </c>
      <c r="F392" s="36">
        <f t="shared" ca="1" si="85"/>
        <v>98</v>
      </c>
      <c r="G392" s="36">
        <f ca="1">COUNTIF($P$48:P402,"&lt;"&amp;E392)</f>
        <v>246</v>
      </c>
      <c r="H392" s="36">
        <f t="shared" ca="1" si="86"/>
        <v>0</v>
      </c>
      <c r="I392" s="36" t="str">
        <f t="shared" ca="1" si="87"/>
        <v>Ocu</v>
      </c>
      <c r="J392" s="40">
        <f t="shared" ca="1" si="79"/>
        <v>99</v>
      </c>
      <c r="K392" s="41">
        <f t="shared" ca="1" si="76"/>
        <v>23.674498427067896</v>
      </c>
      <c r="L392" s="42">
        <f t="shared" ca="1" si="88"/>
        <v>82.930185370792586</v>
      </c>
      <c r="M392" s="36">
        <f t="shared" ca="1" si="80"/>
        <v>0.65500000000000003</v>
      </c>
      <c r="N392" s="36">
        <f t="shared" si="89"/>
        <v>4</v>
      </c>
      <c r="O392" s="39">
        <f t="shared" ca="1" si="81"/>
        <v>0.10578001083672127</v>
      </c>
      <c r="P392" s="39">
        <f t="shared" ca="1" si="82"/>
        <v>83.03596538162931</v>
      </c>
      <c r="Q392" s="43">
        <f t="shared" ca="1" si="90"/>
        <v>23.78027843790462</v>
      </c>
    </row>
    <row r="393" spans="1:17" x14ac:dyDescent="0.25">
      <c r="A393" s="36">
        <v>346</v>
      </c>
      <c r="B393" s="36">
        <f t="shared" ca="1" si="77"/>
        <v>0.52100000000000002</v>
      </c>
      <c r="C393" s="37">
        <f t="shared" si="83"/>
        <v>6</v>
      </c>
      <c r="D393" s="39">
        <f t="shared" ca="1" si="78"/>
        <v>0.10866753953812835</v>
      </c>
      <c r="E393" s="39">
        <f t="shared" ca="1" si="84"/>
        <v>59.364354483262815</v>
      </c>
      <c r="F393" s="36">
        <f t="shared" ca="1" si="85"/>
        <v>97</v>
      </c>
      <c r="G393" s="36">
        <f ca="1">COUNTIF($P$48:P403,"&lt;"&amp;E393)</f>
        <v>248</v>
      </c>
      <c r="H393" s="36">
        <f t="shared" ca="1" si="86"/>
        <v>2</v>
      </c>
      <c r="I393" s="36" t="str">
        <f t="shared" ca="1" si="87"/>
        <v>Ocu</v>
      </c>
      <c r="J393" s="40">
        <f t="shared" ca="1" si="79"/>
        <v>98</v>
      </c>
      <c r="K393" s="41">
        <f t="shared" ca="1" si="76"/>
        <v>23.671610898366495</v>
      </c>
      <c r="L393" s="42">
        <f t="shared" ca="1" si="88"/>
        <v>83.03596538162931</v>
      </c>
      <c r="M393" s="36">
        <f t="shared" ca="1" si="80"/>
        <v>0.89900000000000002</v>
      </c>
      <c r="N393" s="36">
        <f t="shared" si="89"/>
        <v>4</v>
      </c>
      <c r="O393" s="39">
        <f t="shared" ca="1" si="81"/>
        <v>2.661806112762918E-2</v>
      </c>
      <c r="P393" s="39">
        <f t="shared" ca="1" si="82"/>
        <v>83.062583442756946</v>
      </c>
      <c r="Q393" s="43">
        <f t="shared" ca="1" si="90"/>
        <v>23.698228959494131</v>
      </c>
    </row>
    <row r="394" spans="1:17" x14ac:dyDescent="0.25">
      <c r="A394" s="36">
        <v>347</v>
      </c>
      <c r="B394" s="36">
        <f t="shared" ca="1" si="77"/>
        <v>2.4E-2</v>
      </c>
      <c r="C394" s="37">
        <f t="shared" si="83"/>
        <v>6</v>
      </c>
      <c r="D394" s="39">
        <f t="shared" ca="1" si="78"/>
        <v>0.62161690810569858</v>
      </c>
      <c r="E394" s="39">
        <f t="shared" ca="1" si="84"/>
        <v>59.985971391368516</v>
      </c>
      <c r="F394" s="36">
        <f t="shared" ca="1" si="85"/>
        <v>96</v>
      </c>
      <c r="G394" s="36">
        <f ca="1">COUNTIF($P$48:P404,"&lt;"&amp;E394)</f>
        <v>250</v>
      </c>
      <c r="H394" s="36">
        <f t="shared" ca="1" si="86"/>
        <v>2</v>
      </c>
      <c r="I394" s="36" t="str">
        <f t="shared" ca="1" si="87"/>
        <v>Ocu</v>
      </c>
      <c r="J394" s="40">
        <f t="shared" ca="1" si="79"/>
        <v>97</v>
      </c>
      <c r="K394" s="41">
        <f t="shared" ca="1" si="76"/>
        <v>23.07661205138843</v>
      </c>
      <c r="L394" s="42">
        <f t="shared" ca="1" si="88"/>
        <v>83.062583442756946</v>
      </c>
      <c r="M394" s="36">
        <f t="shared" ca="1" si="80"/>
        <v>0.875</v>
      </c>
      <c r="N394" s="36">
        <f t="shared" si="89"/>
        <v>4</v>
      </c>
      <c r="O394" s="39">
        <f t="shared" ca="1" si="81"/>
        <v>3.3382848156130643E-2</v>
      </c>
      <c r="P394" s="39">
        <f t="shared" ca="1" si="82"/>
        <v>83.095966290913083</v>
      </c>
      <c r="Q394" s="43">
        <f t="shared" ca="1" si="90"/>
        <v>23.109994899544567</v>
      </c>
    </row>
    <row r="395" spans="1:17" x14ac:dyDescent="0.25">
      <c r="A395" s="36">
        <v>348</v>
      </c>
      <c r="B395" s="36">
        <f t="shared" ca="1" si="77"/>
        <v>0.98099999999999998</v>
      </c>
      <c r="C395" s="37">
        <f t="shared" si="83"/>
        <v>6</v>
      </c>
      <c r="D395" s="39">
        <f t="shared" ca="1" si="78"/>
        <v>3.1971365694623173E-3</v>
      </c>
      <c r="E395" s="39">
        <f t="shared" ca="1" si="84"/>
        <v>59.989168527937977</v>
      </c>
      <c r="F395" s="36">
        <f t="shared" ca="1" si="85"/>
        <v>97</v>
      </c>
      <c r="G395" s="36">
        <f ca="1">COUNTIF($P$48:P405,"&lt;"&amp;E395)</f>
        <v>250</v>
      </c>
      <c r="H395" s="36">
        <f t="shared" ca="1" si="86"/>
        <v>0</v>
      </c>
      <c r="I395" s="36" t="str">
        <f t="shared" ca="1" si="87"/>
        <v>Ocu</v>
      </c>
      <c r="J395" s="40">
        <f t="shared" ca="1" si="79"/>
        <v>98</v>
      </c>
      <c r="K395" s="41">
        <f t="shared" ca="1" si="76"/>
        <v>23.106797762975106</v>
      </c>
      <c r="L395" s="42">
        <f t="shared" ca="1" si="88"/>
        <v>83.095966290913083</v>
      </c>
      <c r="M395" s="36">
        <f t="shared" ca="1" si="80"/>
        <v>0.64700000000000002</v>
      </c>
      <c r="N395" s="36">
        <f t="shared" si="89"/>
        <v>4</v>
      </c>
      <c r="O395" s="39">
        <f t="shared" ca="1" si="81"/>
        <v>0.1088522461203091</v>
      </c>
      <c r="P395" s="39">
        <f t="shared" ca="1" si="82"/>
        <v>83.20481853703339</v>
      </c>
      <c r="Q395" s="43">
        <f t="shared" ca="1" si="90"/>
        <v>23.215650009095413</v>
      </c>
    </row>
    <row r="396" spans="1:17" x14ac:dyDescent="0.25">
      <c r="A396" s="36">
        <v>349</v>
      </c>
      <c r="B396" s="36">
        <f t="shared" ca="1" si="77"/>
        <v>0.22</v>
      </c>
      <c r="C396" s="37">
        <f t="shared" si="83"/>
        <v>6</v>
      </c>
      <c r="D396" s="39">
        <f t="shared" ca="1" si="78"/>
        <v>0.25235462210496257</v>
      </c>
      <c r="E396" s="39">
        <f t="shared" ca="1" si="84"/>
        <v>60.241523150042937</v>
      </c>
      <c r="F396" s="36">
        <f t="shared" ca="1" si="85"/>
        <v>94</v>
      </c>
      <c r="G396" s="36">
        <f ca="1">COUNTIF($P$48:P406,"&lt;"&amp;E396)</f>
        <v>254</v>
      </c>
      <c r="H396" s="36">
        <f t="shared" ca="1" si="86"/>
        <v>4</v>
      </c>
      <c r="I396" s="36" t="str">
        <f t="shared" ca="1" si="87"/>
        <v>Ocu</v>
      </c>
      <c r="J396" s="40">
        <f t="shared" ca="1" si="79"/>
        <v>95</v>
      </c>
      <c r="K396" s="41">
        <f t="shared" ca="1" si="76"/>
        <v>22.963295386990453</v>
      </c>
      <c r="L396" s="42">
        <f t="shared" ca="1" si="88"/>
        <v>83.20481853703339</v>
      </c>
      <c r="M396" s="36">
        <f t="shared" ca="1" si="80"/>
        <v>0.29299999999999998</v>
      </c>
      <c r="N396" s="36">
        <f t="shared" si="89"/>
        <v>4</v>
      </c>
      <c r="O396" s="39">
        <f t="shared" ca="1" si="81"/>
        <v>0.30689566749126745</v>
      </c>
      <c r="P396" s="39">
        <f t="shared" ca="1" si="82"/>
        <v>83.511714204524651</v>
      </c>
      <c r="Q396" s="43">
        <f t="shared" ca="1" si="90"/>
        <v>23.270191054481714</v>
      </c>
    </row>
    <row r="397" spans="1:17" x14ac:dyDescent="0.25">
      <c r="A397" s="36">
        <v>350</v>
      </c>
      <c r="B397" s="36">
        <f t="shared" ca="1" si="77"/>
        <v>0.52200000000000002</v>
      </c>
      <c r="C397" s="37">
        <f t="shared" si="83"/>
        <v>6</v>
      </c>
      <c r="D397" s="39">
        <f t="shared" ca="1" si="78"/>
        <v>0.10834794851658304</v>
      </c>
      <c r="E397" s="39">
        <f t="shared" ca="1" si="84"/>
        <v>60.349871098559518</v>
      </c>
      <c r="F397" s="36">
        <f t="shared" ca="1" si="85"/>
        <v>94</v>
      </c>
      <c r="G397" s="36">
        <f ca="1">COUNTIF($P$48:P407,"&lt;"&amp;E397)</f>
        <v>255</v>
      </c>
      <c r="H397" s="36">
        <f t="shared" ca="1" si="86"/>
        <v>1</v>
      </c>
      <c r="I397" s="36" t="str">
        <f t="shared" ca="1" si="87"/>
        <v>Ocu</v>
      </c>
      <c r="J397" s="40">
        <f t="shared" ca="1" si="79"/>
        <v>95</v>
      </c>
      <c r="K397" s="41">
        <f t="shared" ca="1" si="76"/>
        <v>23.161843105965133</v>
      </c>
      <c r="L397" s="42">
        <f t="shared" ca="1" si="88"/>
        <v>83.511714204524651</v>
      </c>
      <c r="M397" s="36">
        <f t="shared" ca="1" si="80"/>
        <v>0.95399999999999996</v>
      </c>
      <c r="N397" s="36">
        <f t="shared" si="89"/>
        <v>4</v>
      </c>
      <c r="O397" s="39">
        <f t="shared" ca="1" si="81"/>
        <v>1.1772901883462647E-2</v>
      </c>
      <c r="P397" s="39">
        <f t="shared" ca="1" si="82"/>
        <v>83.523487106408112</v>
      </c>
      <c r="Q397" s="43">
        <f t="shared" ca="1" si="90"/>
        <v>23.173616007848594</v>
      </c>
    </row>
    <row r="398" spans="1:17" x14ac:dyDescent="0.25">
      <c r="A398" s="36">
        <v>351</v>
      </c>
      <c r="B398" s="36">
        <f t="shared" ca="1" si="77"/>
        <v>0.35499999999999998</v>
      </c>
      <c r="C398" s="37">
        <f t="shared" si="83"/>
        <v>6</v>
      </c>
      <c r="D398" s="39">
        <f t="shared" ca="1" si="78"/>
        <v>0.1726062482511202</v>
      </c>
      <c r="E398" s="39">
        <f t="shared" ca="1" si="84"/>
        <v>60.522477346810639</v>
      </c>
      <c r="F398" s="36">
        <f t="shared" ca="1" si="85"/>
        <v>92</v>
      </c>
      <c r="G398" s="36">
        <f ca="1">COUNTIF($P$48:P408,"&lt;"&amp;E398)</f>
        <v>258</v>
      </c>
      <c r="H398" s="36">
        <f t="shared" ca="1" si="86"/>
        <v>3</v>
      </c>
      <c r="I398" s="36" t="str">
        <f t="shared" ca="1" si="87"/>
        <v>Ocu</v>
      </c>
      <c r="J398" s="40">
        <f t="shared" ca="1" si="79"/>
        <v>93</v>
      </c>
      <c r="K398" s="41">
        <f t="shared" ca="1" si="76"/>
        <v>23.001009759597473</v>
      </c>
      <c r="L398" s="42">
        <f t="shared" ca="1" si="88"/>
        <v>83.523487106408112</v>
      </c>
      <c r="M398" s="36">
        <f t="shared" ca="1" si="80"/>
        <v>0.94799999999999995</v>
      </c>
      <c r="N398" s="36">
        <f t="shared" si="89"/>
        <v>4</v>
      </c>
      <c r="O398" s="39">
        <f t="shared" ca="1" si="81"/>
        <v>1.3350194181778812E-2</v>
      </c>
      <c r="P398" s="39">
        <f t="shared" ca="1" si="82"/>
        <v>83.536837300589895</v>
      </c>
      <c r="Q398" s="43">
        <f t="shared" ca="1" si="90"/>
        <v>23.014359953779255</v>
      </c>
    </row>
    <row r="399" spans="1:17" x14ac:dyDescent="0.25">
      <c r="A399" s="36">
        <v>352</v>
      </c>
      <c r="B399" s="36">
        <f t="shared" ca="1" si="77"/>
        <v>0.77900000000000003</v>
      </c>
      <c r="C399" s="37">
        <f t="shared" si="83"/>
        <v>6</v>
      </c>
      <c r="D399" s="39">
        <f t="shared" ca="1" si="78"/>
        <v>4.1624038851898137E-2</v>
      </c>
      <c r="E399" s="39">
        <f t="shared" ca="1" si="84"/>
        <v>60.564101385662539</v>
      </c>
      <c r="F399" s="36">
        <f t="shared" ca="1" si="85"/>
        <v>93</v>
      </c>
      <c r="G399" s="36">
        <f ca="1">COUNTIF($P$48:P409,"&lt;"&amp;E399)</f>
        <v>258</v>
      </c>
      <c r="H399" s="36">
        <f t="shared" ca="1" si="86"/>
        <v>0</v>
      </c>
      <c r="I399" s="36" t="str">
        <f t="shared" ca="1" si="87"/>
        <v>Ocu</v>
      </c>
      <c r="J399" s="40">
        <f t="shared" ca="1" si="79"/>
        <v>94</v>
      </c>
      <c r="K399" s="41">
        <f t="shared" ca="1" si="76"/>
        <v>22.972735914927355</v>
      </c>
      <c r="L399" s="42">
        <f t="shared" ca="1" si="88"/>
        <v>83.536837300589895</v>
      </c>
      <c r="M399" s="36">
        <f t="shared" ca="1" si="80"/>
        <v>0.89700000000000002</v>
      </c>
      <c r="N399" s="36">
        <f t="shared" si="89"/>
        <v>4</v>
      </c>
      <c r="O399" s="39">
        <f t="shared" ca="1" si="81"/>
        <v>2.7174854230835231E-2</v>
      </c>
      <c r="P399" s="39">
        <f t="shared" ca="1" si="82"/>
        <v>83.56401215482073</v>
      </c>
      <c r="Q399" s="43">
        <f t="shared" ca="1" si="90"/>
        <v>22.999910769158191</v>
      </c>
    </row>
    <row r="400" spans="1:17" x14ac:dyDescent="0.25">
      <c r="A400" s="36">
        <v>353</v>
      </c>
      <c r="B400" s="36">
        <f t="shared" ca="1" si="77"/>
        <v>3.9E-2</v>
      </c>
      <c r="C400" s="37">
        <f t="shared" si="83"/>
        <v>6</v>
      </c>
      <c r="D400" s="39">
        <f t="shared" ca="1" si="78"/>
        <v>0.54069893880874842</v>
      </c>
      <c r="E400" s="39">
        <f t="shared" ca="1" si="84"/>
        <v>61.104800324471285</v>
      </c>
      <c r="F400" s="36">
        <f t="shared" ca="1" si="85"/>
        <v>92</v>
      </c>
      <c r="G400" s="36">
        <f ca="1">COUNTIF($P$48:P410,"&lt;"&amp;E400)</f>
        <v>260</v>
      </c>
      <c r="H400" s="36">
        <f t="shared" ca="1" si="86"/>
        <v>2</v>
      </c>
      <c r="I400" s="36" t="str">
        <f t="shared" ca="1" si="87"/>
        <v>Ocu</v>
      </c>
      <c r="J400" s="40">
        <f t="shared" ca="1" si="79"/>
        <v>93</v>
      </c>
      <c r="K400" s="41">
        <f t="shared" ca="1" si="76"/>
        <v>22.459211830349446</v>
      </c>
      <c r="L400" s="42">
        <f t="shared" ca="1" si="88"/>
        <v>83.56401215482073</v>
      </c>
      <c r="M400" s="36">
        <f t="shared" ca="1" si="80"/>
        <v>0.56100000000000005</v>
      </c>
      <c r="N400" s="36">
        <f t="shared" si="89"/>
        <v>4</v>
      </c>
      <c r="O400" s="39">
        <f t="shared" ca="1" si="81"/>
        <v>0.14450859336486013</v>
      </c>
      <c r="P400" s="39">
        <f t="shared" ca="1" si="82"/>
        <v>83.708520748185592</v>
      </c>
      <c r="Q400" s="43">
        <f t="shared" ca="1" si="90"/>
        <v>22.603720423714307</v>
      </c>
    </row>
    <row r="401" spans="1:17" x14ac:dyDescent="0.25">
      <c r="A401" s="36">
        <v>354</v>
      </c>
      <c r="B401" s="36">
        <f t="shared" ca="1" si="77"/>
        <v>0.88100000000000001</v>
      </c>
      <c r="C401" s="37">
        <f t="shared" si="83"/>
        <v>6</v>
      </c>
      <c r="D401" s="39">
        <f t="shared" ca="1" si="78"/>
        <v>2.1116275507659585E-2</v>
      </c>
      <c r="E401" s="39">
        <f t="shared" ca="1" si="84"/>
        <v>61.125916599978943</v>
      </c>
      <c r="F401" s="36">
        <f t="shared" ca="1" si="85"/>
        <v>93</v>
      </c>
      <c r="G401" s="36">
        <f ca="1">COUNTIF($P$48:P411,"&lt;"&amp;E401)</f>
        <v>260</v>
      </c>
      <c r="H401" s="36">
        <f t="shared" ca="1" si="86"/>
        <v>0</v>
      </c>
      <c r="I401" s="36" t="str">
        <f t="shared" ca="1" si="87"/>
        <v>Ocu</v>
      </c>
      <c r="J401" s="40">
        <f t="shared" ca="1" si="79"/>
        <v>94</v>
      </c>
      <c r="K401" s="41">
        <f t="shared" ca="1" si="76"/>
        <v>22.582604148206649</v>
      </c>
      <c r="L401" s="42">
        <f t="shared" ca="1" si="88"/>
        <v>83.708520748185592</v>
      </c>
      <c r="M401" s="36">
        <f t="shared" ca="1" si="80"/>
        <v>0.61599999999999999</v>
      </c>
      <c r="N401" s="36">
        <f t="shared" si="89"/>
        <v>4</v>
      </c>
      <c r="O401" s="39">
        <f t="shared" ca="1" si="81"/>
        <v>0.12112707886215432</v>
      </c>
      <c r="P401" s="39">
        <f t="shared" ca="1" si="82"/>
        <v>83.829647827047751</v>
      </c>
      <c r="Q401" s="43">
        <f t="shared" ca="1" si="90"/>
        <v>22.703731227068808</v>
      </c>
    </row>
    <row r="402" spans="1:17" x14ac:dyDescent="0.25">
      <c r="A402" s="36">
        <v>355</v>
      </c>
      <c r="B402" s="36">
        <f t="shared" ca="1" si="77"/>
        <v>0.40400000000000003</v>
      </c>
      <c r="C402" s="37">
        <f t="shared" si="83"/>
        <v>6</v>
      </c>
      <c r="D402" s="39">
        <f t="shared" ca="1" si="78"/>
        <v>0.15105673350349783</v>
      </c>
      <c r="E402" s="39">
        <f t="shared" ca="1" si="84"/>
        <v>61.276973333482438</v>
      </c>
      <c r="F402" s="36">
        <f t="shared" ca="1" si="85"/>
        <v>94</v>
      </c>
      <c r="G402" s="36">
        <f ca="1">COUNTIF($P$48:P412,"&lt;"&amp;E402)</f>
        <v>260</v>
      </c>
      <c r="H402" s="36">
        <f t="shared" ca="1" si="86"/>
        <v>0</v>
      </c>
      <c r="I402" s="36" t="str">
        <f t="shared" ca="1" si="87"/>
        <v>Ocu</v>
      </c>
      <c r="J402" s="40">
        <f t="shared" ca="1" si="79"/>
        <v>95</v>
      </c>
      <c r="K402" s="41">
        <f t="shared" ca="1" si="76"/>
        <v>22.552674493565313</v>
      </c>
      <c r="L402" s="42">
        <f t="shared" ca="1" si="88"/>
        <v>83.829647827047751</v>
      </c>
      <c r="M402" s="36">
        <f t="shared" ca="1" si="80"/>
        <v>0.59</v>
      </c>
      <c r="N402" s="36">
        <f t="shared" si="89"/>
        <v>4</v>
      </c>
      <c r="O402" s="39">
        <f t="shared" ca="1" si="81"/>
        <v>0.131908185520593</v>
      </c>
      <c r="P402" s="39">
        <f t="shared" ca="1" si="82"/>
        <v>83.961556012568337</v>
      </c>
      <c r="Q402" s="43">
        <f t="shared" ca="1" si="90"/>
        <v>22.684582679085899</v>
      </c>
    </row>
    <row r="403" spans="1:17" x14ac:dyDescent="0.25">
      <c r="A403" s="36">
        <v>356</v>
      </c>
      <c r="B403" s="36">
        <f t="shared" ca="1" si="77"/>
        <v>0.78900000000000003</v>
      </c>
      <c r="C403" s="37">
        <f t="shared" si="83"/>
        <v>6</v>
      </c>
      <c r="D403" s="39">
        <f t="shared" ca="1" si="78"/>
        <v>3.9498159689377116E-2</v>
      </c>
      <c r="E403" s="39">
        <f t="shared" ca="1" si="84"/>
        <v>61.316471493171818</v>
      </c>
      <c r="F403" s="36">
        <f t="shared" ca="1" si="85"/>
        <v>95</v>
      </c>
      <c r="G403" s="36">
        <f ca="1">COUNTIF($P$48:P413,"&lt;"&amp;E403)</f>
        <v>260</v>
      </c>
      <c r="H403" s="36">
        <f t="shared" ca="1" si="86"/>
        <v>0</v>
      </c>
      <c r="I403" s="36" t="str">
        <f t="shared" ca="1" si="87"/>
        <v>Ocu</v>
      </c>
      <c r="J403" s="40">
        <f t="shared" ca="1" si="79"/>
        <v>96</v>
      </c>
      <c r="K403" s="41">
        <f t="shared" ca="1" si="76"/>
        <v>22.645084519396519</v>
      </c>
      <c r="L403" s="42">
        <f t="shared" ca="1" si="88"/>
        <v>83.961556012568337</v>
      </c>
      <c r="M403" s="36">
        <f t="shared" ca="1" si="80"/>
        <v>0.315</v>
      </c>
      <c r="N403" s="36">
        <f t="shared" si="89"/>
        <v>4</v>
      </c>
      <c r="O403" s="39">
        <f t="shared" ca="1" si="81"/>
        <v>0.28879566003912599</v>
      </c>
      <c r="P403" s="39">
        <f t="shared" ca="1" si="82"/>
        <v>84.250351672607465</v>
      </c>
      <c r="Q403" s="43">
        <f t="shared" ca="1" si="90"/>
        <v>22.933880179435647</v>
      </c>
    </row>
    <row r="404" spans="1:17" x14ac:dyDescent="0.25">
      <c r="A404" s="36">
        <v>357</v>
      </c>
      <c r="B404" s="36">
        <f t="shared" ca="1" si="77"/>
        <v>0.11799999999999999</v>
      </c>
      <c r="C404" s="37">
        <f t="shared" si="83"/>
        <v>6</v>
      </c>
      <c r="D404" s="39">
        <f t="shared" ca="1" si="78"/>
        <v>0.35617844241941199</v>
      </c>
      <c r="E404" s="39">
        <f t="shared" ca="1" si="84"/>
        <v>61.672649935591231</v>
      </c>
      <c r="F404" s="36">
        <f t="shared" ca="1" si="85"/>
        <v>96</v>
      </c>
      <c r="G404" s="36">
        <f ca="1">COUNTIF($P$48:P414,"&lt;"&amp;E404)</f>
        <v>260</v>
      </c>
      <c r="H404" s="36">
        <f t="shared" ca="1" si="86"/>
        <v>0</v>
      </c>
      <c r="I404" s="36" t="str">
        <f t="shared" ca="1" si="87"/>
        <v>Ocu</v>
      </c>
      <c r="J404" s="40">
        <f t="shared" ca="1" si="79"/>
        <v>97</v>
      </c>
      <c r="K404" s="41">
        <f t="shared" ca="1" si="76"/>
        <v>22.577701737016234</v>
      </c>
      <c r="L404" s="42">
        <f t="shared" ca="1" si="88"/>
        <v>84.250351672607465</v>
      </c>
      <c r="M404" s="36">
        <f t="shared" ca="1" si="80"/>
        <v>2.5999999999999999E-2</v>
      </c>
      <c r="N404" s="36">
        <f t="shared" si="89"/>
        <v>4</v>
      </c>
      <c r="O404" s="39">
        <f t="shared" ca="1" si="81"/>
        <v>0.91241468524016378</v>
      </c>
      <c r="P404" s="39">
        <f t="shared" ca="1" si="82"/>
        <v>85.16276635784763</v>
      </c>
      <c r="Q404" s="43">
        <f t="shared" ca="1" si="90"/>
        <v>23.490116422256399</v>
      </c>
    </row>
    <row r="405" spans="1:17" x14ac:dyDescent="0.25">
      <c r="A405" s="36">
        <v>358</v>
      </c>
      <c r="B405" s="36">
        <f t="shared" ca="1" si="77"/>
        <v>0.878</v>
      </c>
      <c r="C405" s="37">
        <f t="shared" si="83"/>
        <v>6</v>
      </c>
      <c r="D405" s="39">
        <f t="shared" ca="1" si="78"/>
        <v>2.1684780891170059E-2</v>
      </c>
      <c r="E405" s="39">
        <f t="shared" ca="1" si="84"/>
        <v>61.694334716482402</v>
      </c>
      <c r="F405" s="36">
        <f t="shared" ca="1" si="85"/>
        <v>97</v>
      </c>
      <c r="G405" s="36">
        <f ca="1">COUNTIF($P$48:P415,"&lt;"&amp;E405)</f>
        <v>260</v>
      </c>
      <c r="H405" s="36">
        <f t="shared" ca="1" si="86"/>
        <v>0</v>
      </c>
      <c r="I405" s="36" t="str">
        <f t="shared" ca="1" si="87"/>
        <v>Ocu</v>
      </c>
      <c r="J405" s="40">
        <f t="shared" ca="1" si="79"/>
        <v>98</v>
      </c>
      <c r="K405" s="41">
        <f t="shared" ca="1" si="76"/>
        <v>23.468431641365228</v>
      </c>
      <c r="L405" s="42">
        <f t="shared" ca="1" si="88"/>
        <v>85.16276635784763</v>
      </c>
      <c r="M405" s="36">
        <f t="shared" ca="1" si="80"/>
        <v>0.8</v>
      </c>
      <c r="N405" s="36">
        <f t="shared" si="89"/>
        <v>4</v>
      </c>
      <c r="O405" s="39">
        <f t="shared" ca="1" si="81"/>
        <v>5.5785887828552441E-2</v>
      </c>
      <c r="P405" s="39">
        <f t="shared" ca="1" si="82"/>
        <v>85.218552245676179</v>
      </c>
      <c r="Q405" s="43">
        <f t="shared" ca="1" si="90"/>
        <v>23.524217529193777</v>
      </c>
    </row>
    <row r="406" spans="1:17" x14ac:dyDescent="0.25">
      <c r="A406" s="36">
        <v>359</v>
      </c>
      <c r="B406" s="36">
        <f t="shared" ca="1" si="77"/>
        <v>9.1999999999999998E-2</v>
      </c>
      <c r="C406" s="37">
        <f t="shared" si="83"/>
        <v>6</v>
      </c>
      <c r="D406" s="39">
        <f t="shared" ca="1" si="78"/>
        <v>0.39766111698884943</v>
      </c>
      <c r="E406" s="39">
        <f t="shared" ca="1" si="84"/>
        <v>62.091995833471252</v>
      </c>
      <c r="F406" s="36">
        <f t="shared" ca="1" si="85"/>
        <v>98</v>
      </c>
      <c r="G406" s="36">
        <f ca="1">COUNTIF($P$48:P416,"&lt;"&amp;E406)</f>
        <v>260</v>
      </c>
      <c r="H406" s="36">
        <f t="shared" ca="1" si="86"/>
        <v>0</v>
      </c>
      <c r="I406" s="36" t="str">
        <f t="shared" ca="1" si="87"/>
        <v>Ocu</v>
      </c>
      <c r="J406" s="40">
        <f t="shared" ca="1" si="79"/>
        <v>99</v>
      </c>
      <c r="K406" s="41">
        <f t="shared" ca="1" si="76"/>
        <v>23.126556412204927</v>
      </c>
      <c r="L406" s="42">
        <f t="shared" ca="1" si="88"/>
        <v>85.218552245676179</v>
      </c>
      <c r="M406" s="36">
        <f t="shared" ca="1" si="80"/>
        <v>0.03</v>
      </c>
      <c r="N406" s="36">
        <f t="shared" si="89"/>
        <v>4</v>
      </c>
      <c r="O406" s="39">
        <f t="shared" ca="1" si="81"/>
        <v>0.87663947432999545</v>
      </c>
      <c r="P406" s="39">
        <f t="shared" ca="1" si="82"/>
        <v>86.09519172000617</v>
      </c>
      <c r="Q406" s="43">
        <f t="shared" ca="1" si="90"/>
        <v>24.003195886534918</v>
      </c>
    </row>
    <row r="407" spans="1:17" x14ac:dyDescent="0.25">
      <c r="A407" s="36">
        <v>360</v>
      </c>
      <c r="B407" s="36">
        <f t="shared" ca="1" si="77"/>
        <v>0.36399999999999999</v>
      </c>
      <c r="C407" s="37">
        <f t="shared" si="83"/>
        <v>6</v>
      </c>
      <c r="D407" s="39">
        <f t="shared" ca="1" si="78"/>
        <v>0.16843356855756608</v>
      </c>
      <c r="E407" s="39">
        <f t="shared" ca="1" si="84"/>
        <v>62.260429402028819</v>
      </c>
      <c r="F407" s="36">
        <f t="shared" ca="1" si="85"/>
        <v>96</v>
      </c>
      <c r="G407" s="36">
        <f ca="1">COUNTIF($P$48:P417,"&lt;"&amp;E407)</f>
        <v>263</v>
      </c>
      <c r="H407" s="36">
        <f t="shared" ca="1" si="86"/>
        <v>3</v>
      </c>
      <c r="I407" s="36" t="str">
        <f t="shared" ca="1" si="87"/>
        <v>Ocu</v>
      </c>
      <c r="J407" s="40">
        <f t="shared" ca="1" si="79"/>
        <v>97</v>
      </c>
      <c r="K407" s="41">
        <f t="shared" ca="1" si="76"/>
        <v>23.834762317977351</v>
      </c>
      <c r="L407" s="42">
        <f t="shared" ca="1" si="88"/>
        <v>86.09519172000617</v>
      </c>
      <c r="M407" s="36">
        <f t="shared" ca="1" si="80"/>
        <v>0.59899999999999998</v>
      </c>
      <c r="N407" s="36">
        <f t="shared" si="89"/>
        <v>4</v>
      </c>
      <c r="O407" s="39">
        <f t="shared" ca="1" si="81"/>
        <v>0.12812342021667192</v>
      </c>
      <c r="P407" s="39">
        <f t="shared" ca="1" si="82"/>
        <v>86.223315140222837</v>
      </c>
      <c r="Q407" s="43">
        <f t="shared" ca="1" si="90"/>
        <v>23.962885738194018</v>
      </c>
    </row>
    <row r="408" spans="1:17" x14ac:dyDescent="0.25">
      <c r="A408" s="36">
        <v>361</v>
      </c>
      <c r="B408" s="36">
        <f t="shared" ca="1" si="77"/>
        <v>0.47699999999999998</v>
      </c>
      <c r="C408" s="37">
        <f t="shared" si="83"/>
        <v>6</v>
      </c>
      <c r="D408" s="39">
        <f t="shared" ca="1" si="78"/>
        <v>0.12337313134896596</v>
      </c>
      <c r="E408" s="39">
        <f t="shared" ca="1" si="84"/>
        <v>62.383802533377782</v>
      </c>
      <c r="F408" s="36">
        <f t="shared" ca="1" si="85"/>
        <v>97</v>
      </c>
      <c r="G408" s="36">
        <f ca="1">COUNTIF($P$48:P418,"&lt;"&amp;E408)</f>
        <v>263</v>
      </c>
      <c r="H408" s="36">
        <f t="shared" ca="1" si="86"/>
        <v>0</v>
      </c>
      <c r="I408" s="36" t="str">
        <f t="shared" ca="1" si="87"/>
        <v>Ocu</v>
      </c>
      <c r="J408" s="40">
        <f t="shared" ca="1" si="79"/>
        <v>98</v>
      </c>
      <c r="K408" s="41">
        <f t="shared" ca="1" si="76"/>
        <v>23.839512606845055</v>
      </c>
      <c r="L408" s="42">
        <f t="shared" ca="1" si="88"/>
        <v>86.223315140222837</v>
      </c>
      <c r="M408" s="36">
        <f t="shared" ca="1" si="80"/>
        <v>0.11600000000000001</v>
      </c>
      <c r="N408" s="36">
        <f t="shared" si="89"/>
        <v>4</v>
      </c>
      <c r="O408" s="39">
        <f t="shared" ca="1" si="81"/>
        <v>0.53854127196894308</v>
      </c>
      <c r="P408" s="39">
        <f t="shared" ca="1" si="82"/>
        <v>86.761856412191776</v>
      </c>
      <c r="Q408" s="43">
        <f t="shared" ca="1" si="90"/>
        <v>24.378053878813994</v>
      </c>
    </row>
    <row r="409" spans="1:17" x14ac:dyDescent="0.25">
      <c r="A409" s="36">
        <v>362</v>
      </c>
      <c r="B409" s="36">
        <f t="shared" ca="1" si="77"/>
        <v>0.27500000000000002</v>
      </c>
      <c r="C409" s="37">
        <f t="shared" si="83"/>
        <v>6</v>
      </c>
      <c r="D409" s="39">
        <f t="shared" ca="1" si="78"/>
        <v>0.21516403021926095</v>
      </c>
      <c r="E409" s="39">
        <f t="shared" ca="1" si="84"/>
        <v>62.598966563597045</v>
      </c>
      <c r="F409" s="36">
        <f t="shared" ca="1" si="85"/>
        <v>97</v>
      </c>
      <c r="G409" s="36">
        <f ca="1">COUNTIF($P$48:P419,"&lt;"&amp;E409)</f>
        <v>264</v>
      </c>
      <c r="H409" s="36">
        <f t="shared" ca="1" si="86"/>
        <v>1</v>
      </c>
      <c r="I409" s="36" t="str">
        <f t="shared" ca="1" si="87"/>
        <v>Ocu</v>
      </c>
      <c r="J409" s="40">
        <f t="shared" ca="1" si="79"/>
        <v>98</v>
      </c>
      <c r="K409" s="41">
        <f t="shared" ca="1" si="76"/>
        <v>24.16288984859473</v>
      </c>
      <c r="L409" s="42">
        <f t="shared" ca="1" si="88"/>
        <v>86.761856412191776</v>
      </c>
      <c r="M409" s="36">
        <f t="shared" ca="1" si="80"/>
        <v>0.184</v>
      </c>
      <c r="N409" s="36">
        <f t="shared" si="89"/>
        <v>4</v>
      </c>
      <c r="O409" s="39">
        <f t="shared" ca="1" si="81"/>
        <v>0.42320488034328785</v>
      </c>
      <c r="P409" s="39">
        <f t="shared" ca="1" si="82"/>
        <v>87.185061292535067</v>
      </c>
      <c r="Q409" s="43">
        <f t="shared" ca="1" si="90"/>
        <v>24.586094728938022</v>
      </c>
    </row>
    <row r="410" spans="1:17" x14ac:dyDescent="0.25">
      <c r="A410" s="36">
        <v>363</v>
      </c>
      <c r="B410" s="36">
        <f t="shared" ca="1" si="77"/>
        <v>0.41499999999999998</v>
      </c>
      <c r="C410" s="37">
        <f t="shared" si="83"/>
        <v>6</v>
      </c>
      <c r="D410" s="39">
        <f t="shared" ca="1" si="78"/>
        <v>0.14657945979190645</v>
      </c>
      <c r="E410" s="39">
        <f t="shared" ca="1" si="84"/>
        <v>62.745546023388954</v>
      </c>
      <c r="F410" s="36">
        <f t="shared" ca="1" si="85"/>
        <v>98</v>
      </c>
      <c r="G410" s="36">
        <f ca="1">COUNTIF($P$48:P420,"&lt;"&amp;E410)</f>
        <v>264</v>
      </c>
      <c r="H410" s="36">
        <f t="shared" ca="1" si="86"/>
        <v>0</v>
      </c>
      <c r="I410" s="36" t="str">
        <f t="shared" ca="1" si="87"/>
        <v>Ocu</v>
      </c>
      <c r="J410" s="40">
        <f t="shared" ca="1" si="79"/>
        <v>99</v>
      </c>
      <c r="K410" s="41">
        <f t="shared" ca="1" si="76"/>
        <v>24.439515269146113</v>
      </c>
      <c r="L410" s="42">
        <f t="shared" ca="1" si="88"/>
        <v>87.185061292535067</v>
      </c>
      <c r="M410" s="36">
        <f t="shared" ca="1" si="80"/>
        <v>0.77800000000000002</v>
      </c>
      <c r="N410" s="36">
        <f t="shared" si="89"/>
        <v>4</v>
      </c>
      <c r="O410" s="39">
        <f t="shared" ca="1" si="81"/>
        <v>6.275718870093637E-2</v>
      </c>
      <c r="P410" s="39">
        <f t="shared" ca="1" si="82"/>
        <v>87.24781848123601</v>
      </c>
      <c r="Q410" s="43">
        <f t="shared" ca="1" si="90"/>
        <v>24.502272457847056</v>
      </c>
    </row>
    <row r="411" spans="1:17" x14ac:dyDescent="0.25">
      <c r="A411" s="36">
        <v>364</v>
      </c>
      <c r="B411" s="36">
        <f t="shared" ca="1" si="77"/>
        <v>0.33</v>
      </c>
      <c r="C411" s="37">
        <f t="shared" si="83"/>
        <v>6</v>
      </c>
      <c r="D411" s="39">
        <f t="shared" ca="1" si="78"/>
        <v>0.18477710408693518</v>
      </c>
      <c r="E411" s="39">
        <f t="shared" ca="1" si="84"/>
        <v>62.930323127475887</v>
      </c>
      <c r="F411" s="36">
        <f t="shared" ca="1" si="85"/>
        <v>98</v>
      </c>
      <c r="G411" s="36">
        <f ca="1">COUNTIF($P$48:P421,"&lt;"&amp;E411)</f>
        <v>265</v>
      </c>
      <c r="H411" s="36">
        <f t="shared" ca="1" si="86"/>
        <v>1</v>
      </c>
      <c r="I411" s="36" t="str">
        <f t="shared" ca="1" si="87"/>
        <v>Ocu</v>
      </c>
      <c r="J411" s="40">
        <f t="shared" ca="1" si="79"/>
        <v>99</v>
      </c>
      <c r="K411" s="41">
        <f t="shared" ca="1" si="76"/>
        <v>24.317495353760123</v>
      </c>
      <c r="L411" s="42">
        <f t="shared" ca="1" si="88"/>
        <v>87.24781848123601</v>
      </c>
      <c r="M411" s="36">
        <f t="shared" ca="1" si="80"/>
        <v>0.14699999999999999</v>
      </c>
      <c r="N411" s="36">
        <f t="shared" si="89"/>
        <v>4</v>
      </c>
      <c r="O411" s="39">
        <f t="shared" ca="1" si="81"/>
        <v>0.4793306730508502</v>
      </c>
      <c r="P411" s="39">
        <f t="shared" ca="1" si="82"/>
        <v>87.727149154286863</v>
      </c>
      <c r="Q411" s="43">
        <f t="shared" ca="1" si="90"/>
        <v>24.796826026810976</v>
      </c>
    </row>
    <row r="412" spans="1:17" x14ac:dyDescent="0.25">
      <c r="A412" s="36">
        <v>365</v>
      </c>
      <c r="B412" s="36">
        <f t="shared" ca="1" si="77"/>
        <v>0.67600000000000005</v>
      </c>
      <c r="C412" s="37">
        <f t="shared" si="83"/>
        <v>6</v>
      </c>
      <c r="D412" s="39">
        <f t="shared" ca="1" si="78"/>
        <v>6.5260367156528831E-2</v>
      </c>
      <c r="E412" s="39">
        <f t="shared" ca="1" si="84"/>
        <v>62.995583494632413</v>
      </c>
      <c r="F412" s="36">
        <f t="shared" ca="1" si="85"/>
        <v>99</v>
      </c>
      <c r="G412" s="36">
        <f ca="1">COUNTIF($P$48:P422,"&lt;"&amp;E412)</f>
        <v>265</v>
      </c>
      <c r="H412" s="36">
        <f t="shared" ca="1" si="86"/>
        <v>0</v>
      </c>
      <c r="I412" s="36" t="str">
        <f t="shared" ca="1" si="87"/>
        <v>Ocu</v>
      </c>
      <c r="J412" s="40">
        <f t="shared" ca="1" si="79"/>
        <v>100</v>
      </c>
      <c r="K412" s="41">
        <f t="shared" ca="1" si="76"/>
        <v>24.73156565965445</v>
      </c>
      <c r="L412" s="42">
        <f t="shared" ca="1" si="88"/>
        <v>87.727149154286863</v>
      </c>
      <c r="M412" s="36">
        <f t="shared" ca="1" si="80"/>
        <v>0.79300000000000004</v>
      </c>
      <c r="N412" s="36">
        <f t="shared" si="89"/>
        <v>4</v>
      </c>
      <c r="O412" s="39">
        <f t="shared" ca="1" si="81"/>
        <v>5.7983014336822271E-2</v>
      </c>
      <c r="P412" s="39">
        <f t="shared" ca="1" si="82"/>
        <v>87.78513216862369</v>
      </c>
      <c r="Q412" s="43">
        <f t="shared" ca="1" si="90"/>
        <v>24.789548673991277</v>
      </c>
    </row>
    <row r="413" spans="1:17" x14ac:dyDescent="0.25">
      <c r="A413" s="36">
        <v>366</v>
      </c>
      <c r="B413" s="36">
        <f t="shared" ca="1" si="77"/>
        <v>0.72599999999999998</v>
      </c>
      <c r="C413" s="37">
        <f t="shared" si="83"/>
        <v>6</v>
      </c>
      <c r="D413" s="39">
        <f t="shared" ca="1" si="78"/>
        <v>5.3367544026223512E-2</v>
      </c>
      <c r="E413" s="39">
        <f t="shared" ca="1" si="84"/>
        <v>63.048951038658636</v>
      </c>
      <c r="F413" s="36">
        <f t="shared" ca="1" si="85"/>
        <v>100</v>
      </c>
      <c r="G413" s="36">
        <f ca="1">COUNTIF($P$48:P423,"&lt;"&amp;E413)</f>
        <v>265</v>
      </c>
      <c r="H413" s="36">
        <f t="shared" ca="1" si="86"/>
        <v>0</v>
      </c>
      <c r="I413" s="36" t="str">
        <f t="shared" ca="1" si="87"/>
        <v>Ocu</v>
      </c>
      <c r="J413" s="40">
        <f t="shared" ca="1" si="79"/>
        <v>101</v>
      </c>
      <c r="K413" s="41">
        <f t="shared" ca="1" si="76"/>
        <v>24.736181129965054</v>
      </c>
      <c r="L413" s="42">
        <f t="shared" ca="1" si="88"/>
        <v>87.78513216862369</v>
      </c>
      <c r="M413" s="36">
        <f t="shared" ca="1" si="80"/>
        <v>0.85899999999999999</v>
      </c>
      <c r="N413" s="36">
        <f t="shared" si="89"/>
        <v>4</v>
      </c>
      <c r="O413" s="39">
        <f t="shared" ca="1" si="81"/>
        <v>3.7996589249470442E-2</v>
      </c>
      <c r="P413" s="39">
        <f t="shared" ca="1" si="82"/>
        <v>87.823128757873164</v>
      </c>
      <c r="Q413" s="43">
        <f t="shared" ca="1" si="90"/>
        <v>24.774177719214528</v>
      </c>
    </row>
    <row r="414" spans="1:17" x14ac:dyDescent="0.25">
      <c r="A414" s="36">
        <v>367</v>
      </c>
      <c r="B414" s="36">
        <f t="shared" ca="1" si="77"/>
        <v>4.7E-2</v>
      </c>
      <c r="C414" s="37">
        <f t="shared" si="83"/>
        <v>6</v>
      </c>
      <c r="D414" s="39">
        <f t="shared" ca="1" si="78"/>
        <v>0.5096012795453464</v>
      </c>
      <c r="E414" s="39">
        <f t="shared" ca="1" si="84"/>
        <v>63.558552318203979</v>
      </c>
      <c r="F414" s="36">
        <f t="shared" ca="1" si="85"/>
        <v>100</v>
      </c>
      <c r="G414" s="36">
        <f ca="1">COUNTIF($P$48:P424,"&lt;"&amp;E414)</f>
        <v>266</v>
      </c>
      <c r="H414" s="36">
        <f t="shared" ca="1" si="86"/>
        <v>1</v>
      </c>
      <c r="I414" s="36" t="str">
        <f t="shared" ca="1" si="87"/>
        <v>Ocu</v>
      </c>
      <c r="J414" s="40">
        <f t="shared" ca="1" si="79"/>
        <v>101</v>
      </c>
      <c r="K414" s="41">
        <f t="shared" ca="1" si="76"/>
        <v>24.264576439669185</v>
      </c>
      <c r="L414" s="42">
        <f t="shared" ca="1" si="88"/>
        <v>87.823128757873164</v>
      </c>
      <c r="M414" s="36">
        <f t="shared" ca="1" si="80"/>
        <v>2.1000000000000001E-2</v>
      </c>
      <c r="N414" s="36">
        <f t="shared" si="89"/>
        <v>4</v>
      </c>
      <c r="O414" s="39">
        <f t="shared" ca="1" si="81"/>
        <v>0.96580821031467845</v>
      </c>
      <c r="P414" s="39">
        <f t="shared" ca="1" si="82"/>
        <v>88.788936968187841</v>
      </c>
      <c r="Q414" s="43">
        <f t="shared" ca="1" si="90"/>
        <v>25.230384649983861</v>
      </c>
    </row>
    <row r="415" spans="1:17" x14ac:dyDescent="0.25">
      <c r="A415" s="36">
        <v>368</v>
      </c>
      <c r="B415" s="36">
        <f t="shared" ca="1" si="77"/>
        <v>0.47699999999999998</v>
      </c>
      <c r="C415" s="37">
        <f t="shared" si="83"/>
        <v>6</v>
      </c>
      <c r="D415" s="39">
        <f t="shared" ca="1" si="78"/>
        <v>0.12337313134896596</v>
      </c>
      <c r="E415" s="39">
        <f t="shared" ca="1" si="84"/>
        <v>63.681925449552942</v>
      </c>
      <c r="F415" s="36">
        <f t="shared" ca="1" si="85"/>
        <v>100</v>
      </c>
      <c r="G415" s="36">
        <f ca="1">COUNTIF($P$48:P425,"&lt;"&amp;E415)</f>
        <v>267</v>
      </c>
      <c r="H415" s="36">
        <f t="shared" ca="1" si="86"/>
        <v>1</v>
      </c>
      <c r="I415" s="36" t="str">
        <f t="shared" ca="1" si="87"/>
        <v>Ocu</v>
      </c>
      <c r="J415" s="40">
        <f t="shared" ca="1" si="79"/>
        <v>101</v>
      </c>
      <c r="K415" s="41">
        <f t="shared" ca="1" si="76"/>
        <v>25.107011518634899</v>
      </c>
      <c r="L415" s="42">
        <f t="shared" ca="1" si="88"/>
        <v>88.788936968187841</v>
      </c>
      <c r="M415" s="36">
        <f t="shared" ca="1" si="80"/>
        <v>0.11899999999999999</v>
      </c>
      <c r="N415" s="36">
        <f t="shared" si="89"/>
        <v>4</v>
      </c>
      <c r="O415" s="39">
        <f t="shared" ca="1" si="81"/>
        <v>0.53215794646765191</v>
      </c>
      <c r="P415" s="39">
        <f t="shared" ca="1" si="82"/>
        <v>89.32109491465549</v>
      </c>
      <c r="Q415" s="43">
        <f t="shared" ca="1" si="90"/>
        <v>25.639169465102547</v>
      </c>
    </row>
    <row r="416" spans="1:17" x14ac:dyDescent="0.25">
      <c r="A416" s="36">
        <v>369</v>
      </c>
      <c r="B416" s="36">
        <f t="shared" ca="1" si="77"/>
        <v>0.38</v>
      </c>
      <c r="C416" s="37">
        <f t="shared" si="83"/>
        <v>6</v>
      </c>
      <c r="D416" s="39">
        <f t="shared" ca="1" si="78"/>
        <v>0.16126400437695093</v>
      </c>
      <c r="E416" s="39">
        <f t="shared" ca="1" si="84"/>
        <v>63.843189453929895</v>
      </c>
      <c r="F416" s="36">
        <f t="shared" ca="1" si="85"/>
        <v>101</v>
      </c>
      <c r="G416" s="36">
        <f ca="1">COUNTIF($P$48:P426,"&lt;"&amp;E416)</f>
        <v>267</v>
      </c>
      <c r="H416" s="36">
        <f t="shared" ca="1" si="86"/>
        <v>0</v>
      </c>
      <c r="I416" s="36" t="str">
        <f t="shared" ca="1" si="87"/>
        <v>Ocu</v>
      </c>
      <c r="J416" s="40">
        <f t="shared" ca="1" si="79"/>
        <v>102</v>
      </c>
      <c r="K416" s="41">
        <f t="shared" ca="1" si="76"/>
        <v>25.477905460725594</v>
      </c>
      <c r="L416" s="42">
        <f t="shared" ca="1" si="88"/>
        <v>89.32109491465549</v>
      </c>
      <c r="M416" s="36">
        <f t="shared" ca="1" si="80"/>
        <v>0.93100000000000005</v>
      </c>
      <c r="N416" s="36">
        <f t="shared" si="89"/>
        <v>4</v>
      </c>
      <c r="O416" s="39">
        <f t="shared" ca="1" si="81"/>
        <v>1.7874000426267505E-2</v>
      </c>
      <c r="P416" s="39">
        <f t="shared" ca="1" si="82"/>
        <v>89.33896891508175</v>
      </c>
      <c r="Q416" s="43">
        <f t="shared" ca="1" si="90"/>
        <v>25.495779461151855</v>
      </c>
    </row>
    <row r="417" spans="1:17" x14ac:dyDescent="0.25">
      <c r="A417" s="36">
        <v>370</v>
      </c>
      <c r="B417" s="36">
        <f t="shared" ca="1" si="77"/>
        <v>0.41699999999999998</v>
      </c>
      <c r="C417" s="37">
        <f t="shared" si="83"/>
        <v>6</v>
      </c>
      <c r="D417" s="39">
        <f t="shared" ca="1" si="78"/>
        <v>0.14577817619722261</v>
      </c>
      <c r="E417" s="39">
        <f t="shared" ca="1" si="84"/>
        <v>63.988967630127121</v>
      </c>
      <c r="F417" s="36">
        <f t="shared" ca="1" si="85"/>
        <v>100</v>
      </c>
      <c r="G417" s="36">
        <f ca="1">COUNTIF($P$48:P427,"&lt;"&amp;E417)</f>
        <v>269</v>
      </c>
      <c r="H417" s="36">
        <f t="shared" ca="1" si="86"/>
        <v>2</v>
      </c>
      <c r="I417" s="36" t="str">
        <f t="shared" ca="1" si="87"/>
        <v>Ocu</v>
      </c>
      <c r="J417" s="40">
        <f t="shared" ca="1" si="79"/>
        <v>101</v>
      </c>
      <c r="K417" s="41">
        <f t="shared" ca="1" si="76"/>
        <v>25.350001284954629</v>
      </c>
      <c r="L417" s="42">
        <f t="shared" ca="1" si="88"/>
        <v>89.33896891508175</v>
      </c>
      <c r="M417" s="36">
        <f t="shared" ca="1" si="80"/>
        <v>0.08</v>
      </c>
      <c r="N417" s="36">
        <f t="shared" si="89"/>
        <v>4</v>
      </c>
      <c r="O417" s="39">
        <f t="shared" ca="1" si="81"/>
        <v>0.6314321610770639</v>
      </c>
      <c r="P417" s="39">
        <f t="shared" ca="1" si="82"/>
        <v>89.970401076158808</v>
      </c>
      <c r="Q417" s="43">
        <f t="shared" ca="1" si="90"/>
        <v>25.981433446031687</v>
      </c>
    </row>
    <row r="418" spans="1:17" x14ac:dyDescent="0.25">
      <c r="A418" s="36">
        <v>371</v>
      </c>
      <c r="B418" s="36">
        <f t="shared" ca="1" si="77"/>
        <v>0.71899999999999997</v>
      </c>
      <c r="C418" s="37">
        <f t="shared" si="83"/>
        <v>6</v>
      </c>
      <c r="D418" s="39">
        <f t="shared" ca="1" si="78"/>
        <v>5.4982320210181741E-2</v>
      </c>
      <c r="E418" s="39">
        <f t="shared" ca="1" si="84"/>
        <v>64.043949950337307</v>
      </c>
      <c r="F418" s="36">
        <f t="shared" ca="1" si="85"/>
        <v>101</v>
      </c>
      <c r="G418" s="36">
        <f ca="1">COUNTIF($P$48:P428,"&lt;"&amp;E418)</f>
        <v>269</v>
      </c>
      <c r="H418" s="36">
        <f t="shared" ca="1" si="86"/>
        <v>0</v>
      </c>
      <c r="I418" s="36" t="str">
        <f t="shared" ca="1" si="87"/>
        <v>Ocu</v>
      </c>
      <c r="J418" s="40">
        <f t="shared" ca="1" si="79"/>
        <v>102</v>
      </c>
      <c r="K418" s="41">
        <f t="shared" ca="1" si="76"/>
        <v>25.926451125821501</v>
      </c>
      <c r="L418" s="42">
        <f t="shared" ca="1" si="88"/>
        <v>89.970401076158808</v>
      </c>
      <c r="M418" s="36">
        <f t="shared" ca="1" si="80"/>
        <v>0.99199999999999999</v>
      </c>
      <c r="N418" s="36">
        <f t="shared" si="89"/>
        <v>4</v>
      </c>
      <c r="O418" s="39">
        <f t="shared" ca="1" si="81"/>
        <v>2.0080429243160632E-3</v>
      </c>
      <c r="P418" s="39">
        <f t="shared" ca="1" si="82"/>
        <v>89.972409119083125</v>
      </c>
      <c r="Q418" s="43">
        <f t="shared" ca="1" si="90"/>
        <v>25.928459168745817</v>
      </c>
    </row>
    <row r="419" spans="1:17" x14ac:dyDescent="0.25">
      <c r="A419" s="36">
        <v>372</v>
      </c>
      <c r="B419" s="36">
        <f t="shared" ca="1" si="77"/>
        <v>0.56699999999999995</v>
      </c>
      <c r="C419" s="37">
        <f t="shared" si="83"/>
        <v>6</v>
      </c>
      <c r="D419" s="39">
        <f t="shared" ca="1" si="78"/>
        <v>9.4565995875730835E-2</v>
      </c>
      <c r="E419" s="39">
        <f t="shared" ca="1" si="84"/>
        <v>64.138515946213033</v>
      </c>
      <c r="F419" s="36">
        <f t="shared" ca="1" si="85"/>
        <v>102</v>
      </c>
      <c r="G419" s="36">
        <f ca="1">COUNTIF($P$48:P429,"&lt;"&amp;E419)</f>
        <v>269</v>
      </c>
      <c r="H419" s="36">
        <f t="shared" ca="1" si="86"/>
        <v>0</v>
      </c>
      <c r="I419" s="36" t="str">
        <f t="shared" ca="1" si="87"/>
        <v>Ocu</v>
      </c>
      <c r="J419" s="40">
        <f t="shared" ca="1" si="79"/>
        <v>103</v>
      </c>
      <c r="K419" s="41">
        <f t="shared" ca="1" si="76"/>
        <v>25.833893172870091</v>
      </c>
      <c r="L419" s="42">
        <f t="shared" ca="1" si="88"/>
        <v>89.972409119083125</v>
      </c>
      <c r="M419" s="36">
        <f t="shared" ca="1" si="80"/>
        <v>0.84799999999999998</v>
      </c>
      <c r="N419" s="36">
        <f t="shared" si="89"/>
        <v>4</v>
      </c>
      <c r="O419" s="39">
        <f t="shared" ca="1" si="81"/>
        <v>4.121866079755851E-2</v>
      </c>
      <c r="P419" s="39">
        <f t="shared" ca="1" si="82"/>
        <v>90.013627779880679</v>
      </c>
      <c r="Q419" s="43">
        <f t="shared" ca="1" si="90"/>
        <v>25.875111833667646</v>
      </c>
    </row>
    <row r="420" spans="1:17" x14ac:dyDescent="0.25">
      <c r="A420" s="36">
        <v>373</v>
      </c>
      <c r="B420" s="36">
        <f t="shared" ca="1" si="77"/>
        <v>4.5999999999999999E-2</v>
      </c>
      <c r="C420" s="37">
        <f t="shared" si="83"/>
        <v>6</v>
      </c>
      <c r="D420" s="39">
        <f t="shared" ca="1" si="78"/>
        <v>0.51318564708217362</v>
      </c>
      <c r="E420" s="39">
        <f t="shared" ca="1" si="84"/>
        <v>64.651701593295201</v>
      </c>
      <c r="F420" s="36">
        <f t="shared" ca="1" si="85"/>
        <v>102</v>
      </c>
      <c r="G420" s="36">
        <f ca="1">COUNTIF($P$48:P430,"&lt;"&amp;E420)</f>
        <v>270</v>
      </c>
      <c r="H420" s="36">
        <f t="shared" ca="1" si="86"/>
        <v>1</v>
      </c>
      <c r="I420" s="36" t="str">
        <f t="shared" ca="1" si="87"/>
        <v>Ocu</v>
      </c>
      <c r="J420" s="40">
        <f t="shared" ca="1" si="79"/>
        <v>103</v>
      </c>
      <c r="K420" s="41">
        <f t="shared" ca="1" si="76"/>
        <v>25.361926186585478</v>
      </c>
      <c r="L420" s="42">
        <f t="shared" ca="1" si="88"/>
        <v>90.013627779880679</v>
      </c>
      <c r="M420" s="36">
        <f t="shared" ca="1" si="80"/>
        <v>0.99</v>
      </c>
      <c r="N420" s="36">
        <f t="shared" si="89"/>
        <v>4</v>
      </c>
      <c r="O420" s="39">
        <f t="shared" ca="1" si="81"/>
        <v>2.5125839633753765E-3</v>
      </c>
      <c r="P420" s="39">
        <f t="shared" ca="1" si="82"/>
        <v>90.016140363844059</v>
      </c>
      <c r="Q420" s="43">
        <f t="shared" ca="1" si="90"/>
        <v>25.364438770548858</v>
      </c>
    </row>
    <row r="421" spans="1:17" x14ac:dyDescent="0.25">
      <c r="A421" s="36">
        <v>374</v>
      </c>
      <c r="B421" s="36">
        <f t="shared" ca="1" si="77"/>
        <v>0.376</v>
      </c>
      <c r="C421" s="37">
        <f t="shared" si="83"/>
        <v>6</v>
      </c>
      <c r="D421" s="39">
        <f t="shared" ca="1" si="78"/>
        <v>0.16302768926537375</v>
      </c>
      <c r="E421" s="39">
        <f t="shared" ca="1" si="84"/>
        <v>64.814729282560577</v>
      </c>
      <c r="F421" s="36">
        <f t="shared" ca="1" si="85"/>
        <v>103</v>
      </c>
      <c r="G421" s="36">
        <f ca="1">COUNTIF($P$48:P431,"&lt;"&amp;E421)</f>
        <v>270</v>
      </c>
      <c r="H421" s="36">
        <f t="shared" ca="1" si="86"/>
        <v>0</v>
      </c>
      <c r="I421" s="36" t="str">
        <f t="shared" ca="1" si="87"/>
        <v>Ocu</v>
      </c>
      <c r="J421" s="40">
        <f t="shared" ca="1" si="79"/>
        <v>104</v>
      </c>
      <c r="K421" s="41">
        <f t="shared" ca="1" si="76"/>
        <v>25.201411081283482</v>
      </c>
      <c r="L421" s="42">
        <f t="shared" ca="1" si="88"/>
        <v>90.016140363844059</v>
      </c>
      <c r="M421" s="36">
        <f t="shared" ca="1" si="80"/>
        <v>0.124</v>
      </c>
      <c r="N421" s="36">
        <f t="shared" si="89"/>
        <v>4</v>
      </c>
      <c r="O421" s="39">
        <f t="shared" ca="1" si="81"/>
        <v>0.52186842834427505</v>
      </c>
      <c r="P421" s="39">
        <f t="shared" ca="1" si="82"/>
        <v>90.538008792188336</v>
      </c>
      <c r="Q421" s="43">
        <f t="shared" ca="1" si="90"/>
        <v>25.723279509627758</v>
      </c>
    </row>
    <row r="422" spans="1:17" x14ac:dyDescent="0.25">
      <c r="A422" s="36">
        <v>375</v>
      </c>
      <c r="B422" s="36">
        <f t="shared" ca="1" si="77"/>
        <v>0.11</v>
      </c>
      <c r="C422" s="37">
        <f t="shared" si="83"/>
        <v>6</v>
      </c>
      <c r="D422" s="39">
        <f t="shared" ca="1" si="78"/>
        <v>0.36787915219828682</v>
      </c>
      <c r="E422" s="39">
        <f t="shared" ca="1" si="84"/>
        <v>65.182608434758862</v>
      </c>
      <c r="F422" s="36">
        <f t="shared" ca="1" si="85"/>
        <v>104</v>
      </c>
      <c r="G422" s="36">
        <f ca="1">COUNTIF($P$48:P432,"&lt;"&amp;E422)</f>
        <v>270</v>
      </c>
      <c r="H422" s="36">
        <f t="shared" ca="1" si="86"/>
        <v>0</v>
      </c>
      <c r="I422" s="36" t="str">
        <f t="shared" ca="1" si="87"/>
        <v>Ocu</v>
      </c>
      <c r="J422" s="40">
        <f t="shared" ca="1" si="79"/>
        <v>105</v>
      </c>
      <c r="K422" s="41">
        <f t="shared" ca="1" si="76"/>
        <v>25.355400357429474</v>
      </c>
      <c r="L422" s="42">
        <f t="shared" ca="1" si="88"/>
        <v>90.538008792188336</v>
      </c>
      <c r="M422" s="36">
        <f t="shared" ca="1" si="80"/>
        <v>0.20300000000000001</v>
      </c>
      <c r="N422" s="36">
        <f t="shared" si="89"/>
        <v>4</v>
      </c>
      <c r="O422" s="39">
        <f t="shared" ca="1" si="81"/>
        <v>0.39863732498508742</v>
      </c>
      <c r="P422" s="39">
        <f t="shared" ca="1" si="82"/>
        <v>90.936646117173424</v>
      </c>
      <c r="Q422" s="43">
        <f t="shared" ca="1" si="90"/>
        <v>25.754037682414562</v>
      </c>
    </row>
    <row r="423" spans="1:17" x14ac:dyDescent="0.25">
      <c r="A423" s="36">
        <v>376</v>
      </c>
      <c r="B423" s="36">
        <f t="shared" ca="1" si="77"/>
        <v>0.19500000000000001</v>
      </c>
      <c r="C423" s="37">
        <f t="shared" si="83"/>
        <v>6</v>
      </c>
      <c r="D423" s="39">
        <f t="shared" ca="1" si="78"/>
        <v>0.27245928673639835</v>
      </c>
      <c r="E423" s="39">
        <f t="shared" ca="1" si="84"/>
        <v>65.455067721495254</v>
      </c>
      <c r="F423" s="36">
        <f t="shared" ca="1" si="85"/>
        <v>105</v>
      </c>
      <c r="G423" s="36">
        <f ca="1">COUNTIF($P$48:P433,"&lt;"&amp;E423)</f>
        <v>270</v>
      </c>
      <c r="H423" s="36">
        <f t="shared" ca="1" si="86"/>
        <v>0</v>
      </c>
      <c r="I423" s="36" t="str">
        <f t="shared" ca="1" si="87"/>
        <v>Ocu</v>
      </c>
      <c r="J423" s="40">
        <f t="shared" ca="1" si="79"/>
        <v>106</v>
      </c>
      <c r="K423" s="41">
        <f t="shared" ca="1" si="76"/>
        <v>25.48157839567817</v>
      </c>
      <c r="L423" s="42">
        <f t="shared" ca="1" si="88"/>
        <v>90.936646117173424</v>
      </c>
      <c r="M423" s="36">
        <f t="shared" ca="1" si="80"/>
        <v>0.47699999999999998</v>
      </c>
      <c r="N423" s="36">
        <f t="shared" si="89"/>
        <v>4</v>
      </c>
      <c r="O423" s="39">
        <f t="shared" ca="1" si="81"/>
        <v>0.18505969702344896</v>
      </c>
      <c r="P423" s="39">
        <f t="shared" ca="1" si="82"/>
        <v>91.121705814196872</v>
      </c>
      <c r="Q423" s="43">
        <f t="shared" ca="1" si="90"/>
        <v>25.666638092701618</v>
      </c>
    </row>
    <row r="424" spans="1:17" x14ac:dyDescent="0.25">
      <c r="A424" s="36">
        <v>377</v>
      </c>
      <c r="B424" s="36">
        <f t="shared" ca="1" si="77"/>
        <v>0.42299999999999999</v>
      </c>
      <c r="C424" s="37">
        <f t="shared" si="83"/>
        <v>6</v>
      </c>
      <c r="D424" s="39">
        <f t="shared" ca="1" si="78"/>
        <v>0.14339718332264317</v>
      </c>
      <c r="E424" s="39">
        <f t="shared" ca="1" si="84"/>
        <v>65.598464904817902</v>
      </c>
      <c r="F424" s="36">
        <f t="shared" ca="1" si="85"/>
        <v>106</v>
      </c>
      <c r="G424" s="36">
        <f ca="1">COUNTIF($P$48:P434,"&lt;"&amp;E424)</f>
        <v>270</v>
      </c>
      <c r="H424" s="36">
        <f t="shared" ca="1" si="86"/>
        <v>0</v>
      </c>
      <c r="I424" s="36" t="str">
        <f t="shared" ca="1" si="87"/>
        <v>Ocu</v>
      </c>
      <c r="J424" s="40">
        <f t="shared" ca="1" si="79"/>
        <v>107</v>
      </c>
      <c r="K424" s="41">
        <f t="shared" ca="1" si="76"/>
        <v>25.52324090937897</v>
      </c>
      <c r="L424" s="42">
        <f t="shared" ca="1" si="88"/>
        <v>91.121705814196872</v>
      </c>
      <c r="M424" s="36">
        <f t="shared" ca="1" si="80"/>
        <v>3.1E-2</v>
      </c>
      <c r="N424" s="36">
        <f t="shared" si="89"/>
        <v>4</v>
      </c>
      <c r="O424" s="39">
        <f t="shared" ca="1" si="81"/>
        <v>0.86844201862424775</v>
      </c>
      <c r="P424" s="39">
        <f t="shared" ca="1" si="82"/>
        <v>91.990147832821123</v>
      </c>
      <c r="Q424" s="43">
        <f t="shared" ca="1" si="90"/>
        <v>26.39168292800322</v>
      </c>
    </row>
    <row r="425" spans="1:17" x14ac:dyDescent="0.25">
      <c r="A425" s="36">
        <v>378</v>
      </c>
      <c r="B425" s="36">
        <f t="shared" ca="1" si="77"/>
        <v>0.375</v>
      </c>
      <c r="C425" s="37">
        <f t="shared" si="83"/>
        <v>6</v>
      </c>
      <c r="D425" s="39">
        <f t="shared" ca="1" si="78"/>
        <v>0.16347154216862103</v>
      </c>
      <c r="E425" s="39">
        <f t="shared" ca="1" si="84"/>
        <v>65.761936446986525</v>
      </c>
      <c r="F425" s="36">
        <f t="shared" ca="1" si="85"/>
        <v>106</v>
      </c>
      <c r="G425" s="36">
        <f ca="1">COUNTIF($P$48:P435,"&lt;"&amp;E425)</f>
        <v>271</v>
      </c>
      <c r="H425" s="36">
        <f t="shared" ca="1" si="86"/>
        <v>1</v>
      </c>
      <c r="I425" s="36" t="str">
        <f t="shared" ca="1" si="87"/>
        <v>Ocu</v>
      </c>
      <c r="J425" s="40">
        <f t="shared" ca="1" si="79"/>
        <v>107</v>
      </c>
      <c r="K425" s="41">
        <f t="shared" ca="1" si="76"/>
        <v>26.228211385834598</v>
      </c>
      <c r="L425" s="42">
        <f t="shared" ca="1" si="88"/>
        <v>91.990147832821123</v>
      </c>
      <c r="M425" s="36">
        <f t="shared" ca="1" si="80"/>
        <v>0.57199999999999995</v>
      </c>
      <c r="N425" s="36">
        <f t="shared" si="89"/>
        <v>4</v>
      </c>
      <c r="O425" s="39">
        <f t="shared" ca="1" si="81"/>
        <v>0.13965407190058479</v>
      </c>
      <c r="P425" s="39">
        <f t="shared" ca="1" si="82"/>
        <v>92.129801904721702</v>
      </c>
      <c r="Q425" s="43">
        <f t="shared" ca="1" si="90"/>
        <v>26.367865457735178</v>
      </c>
    </row>
    <row r="426" spans="1:17" x14ac:dyDescent="0.25">
      <c r="A426" s="36">
        <v>379</v>
      </c>
      <c r="B426" s="36">
        <f t="shared" ca="1" si="77"/>
        <v>0.63400000000000001</v>
      </c>
      <c r="C426" s="37">
        <f t="shared" si="83"/>
        <v>6</v>
      </c>
      <c r="D426" s="39">
        <f t="shared" ca="1" si="78"/>
        <v>7.5951054090818509E-2</v>
      </c>
      <c r="E426" s="39">
        <f t="shared" ca="1" si="84"/>
        <v>65.837887501077347</v>
      </c>
      <c r="F426" s="36">
        <f t="shared" ca="1" si="85"/>
        <v>106</v>
      </c>
      <c r="G426" s="36">
        <f ca="1">COUNTIF($P$48:P436,"&lt;"&amp;E426)</f>
        <v>272</v>
      </c>
      <c r="H426" s="36">
        <f t="shared" ca="1" si="86"/>
        <v>1</v>
      </c>
      <c r="I426" s="36" t="str">
        <f t="shared" ca="1" si="87"/>
        <v>Ocu</v>
      </c>
      <c r="J426" s="40">
        <f t="shared" ca="1" si="79"/>
        <v>107</v>
      </c>
      <c r="K426" s="41">
        <f t="shared" ca="1" si="76"/>
        <v>26.291914403644356</v>
      </c>
      <c r="L426" s="42">
        <f t="shared" ca="1" si="88"/>
        <v>92.129801904721702</v>
      </c>
      <c r="M426" s="36">
        <f t="shared" ca="1" si="80"/>
        <v>0.111</v>
      </c>
      <c r="N426" s="36">
        <f t="shared" si="89"/>
        <v>4</v>
      </c>
      <c r="O426" s="39">
        <f t="shared" ca="1" si="81"/>
        <v>0.54955626941745073</v>
      </c>
      <c r="P426" s="39">
        <f t="shared" ca="1" si="82"/>
        <v>92.679358174139153</v>
      </c>
      <c r="Q426" s="43">
        <f t="shared" ca="1" si="90"/>
        <v>26.841470673061806</v>
      </c>
    </row>
    <row r="427" spans="1:17" x14ac:dyDescent="0.25">
      <c r="A427" s="36">
        <v>380</v>
      </c>
      <c r="B427" s="36">
        <f t="shared" ca="1" si="77"/>
        <v>0.61099999999999999</v>
      </c>
      <c r="C427" s="37">
        <f t="shared" si="83"/>
        <v>6</v>
      </c>
      <c r="D427" s="39">
        <f t="shared" ca="1" si="78"/>
        <v>8.2109719968423617E-2</v>
      </c>
      <c r="E427" s="39">
        <f t="shared" ca="1" si="84"/>
        <v>65.919997221045776</v>
      </c>
      <c r="F427" s="36">
        <f t="shared" ca="1" si="85"/>
        <v>106</v>
      </c>
      <c r="G427" s="36">
        <f ca="1">COUNTIF($P$48:P437,"&lt;"&amp;E427)</f>
        <v>273</v>
      </c>
      <c r="H427" s="36">
        <f t="shared" ca="1" si="86"/>
        <v>1</v>
      </c>
      <c r="I427" s="36" t="str">
        <f t="shared" ca="1" si="87"/>
        <v>Ocu</v>
      </c>
      <c r="J427" s="40">
        <f t="shared" ca="1" si="79"/>
        <v>107</v>
      </c>
      <c r="K427" s="41">
        <f t="shared" ca="1" si="76"/>
        <v>26.759360953093378</v>
      </c>
      <c r="L427" s="42">
        <f t="shared" ca="1" si="88"/>
        <v>92.679358174139153</v>
      </c>
      <c r="M427" s="36">
        <f t="shared" ca="1" si="80"/>
        <v>0.76300000000000001</v>
      </c>
      <c r="N427" s="36">
        <f t="shared" si="89"/>
        <v>4</v>
      </c>
      <c r="O427" s="39">
        <f t="shared" ca="1" si="81"/>
        <v>6.7624311924419991E-2</v>
      </c>
      <c r="P427" s="39">
        <f t="shared" ca="1" si="82"/>
        <v>92.746982486063573</v>
      </c>
      <c r="Q427" s="43">
        <f t="shared" ca="1" si="90"/>
        <v>26.826985265017797</v>
      </c>
    </row>
    <row r="428" spans="1:17" x14ac:dyDescent="0.25">
      <c r="A428" s="36">
        <v>381</v>
      </c>
      <c r="B428" s="36">
        <f t="shared" ca="1" si="77"/>
        <v>0.92600000000000005</v>
      </c>
      <c r="C428" s="37">
        <f t="shared" si="83"/>
        <v>6</v>
      </c>
      <c r="D428" s="39">
        <f t="shared" ca="1" si="78"/>
        <v>1.2813507389326264E-2</v>
      </c>
      <c r="E428" s="39">
        <f t="shared" ca="1" si="84"/>
        <v>65.932810728435101</v>
      </c>
      <c r="F428" s="36">
        <f t="shared" ca="1" si="85"/>
        <v>107</v>
      </c>
      <c r="G428" s="36">
        <f ca="1">COUNTIF($P$48:P438,"&lt;"&amp;E428)</f>
        <v>273</v>
      </c>
      <c r="H428" s="36">
        <f t="shared" ca="1" si="86"/>
        <v>0</v>
      </c>
      <c r="I428" s="36" t="str">
        <f t="shared" ca="1" si="87"/>
        <v>Ocu</v>
      </c>
      <c r="J428" s="40">
        <f t="shared" ca="1" si="79"/>
        <v>108</v>
      </c>
      <c r="K428" s="41">
        <f t="shared" ca="1" si="76"/>
        <v>26.814171757628472</v>
      </c>
      <c r="L428" s="42">
        <f t="shared" ca="1" si="88"/>
        <v>92.746982486063573</v>
      </c>
      <c r="M428" s="36">
        <f t="shared" ca="1" si="80"/>
        <v>0.49299999999999999</v>
      </c>
      <c r="N428" s="36">
        <f t="shared" si="89"/>
        <v>4</v>
      </c>
      <c r="O428" s="39">
        <f t="shared" ca="1" si="81"/>
        <v>0.17681152623486174</v>
      </c>
      <c r="P428" s="39">
        <f t="shared" ca="1" si="82"/>
        <v>92.92379401229843</v>
      </c>
      <c r="Q428" s="43">
        <f t="shared" ca="1" si="90"/>
        <v>26.990983283863329</v>
      </c>
    </row>
    <row r="429" spans="1:17" x14ac:dyDescent="0.25">
      <c r="A429" s="36">
        <v>382</v>
      </c>
      <c r="B429" s="36">
        <f t="shared" ca="1" si="77"/>
        <v>0.80700000000000005</v>
      </c>
      <c r="C429" s="37">
        <f t="shared" si="83"/>
        <v>6</v>
      </c>
      <c r="D429" s="39">
        <f t="shared" ca="1" si="78"/>
        <v>3.5738601785364699E-2</v>
      </c>
      <c r="E429" s="39">
        <f t="shared" ca="1" si="84"/>
        <v>65.968549330220469</v>
      </c>
      <c r="F429" s="36">
        <f t="shared" ca="1" si="85"/>
        <v>107</v>
      </c>
      <c r="G429" s="36">
        <f ca="1">COUNTIF($P$48:P439,"&lt;"&amp;E429)</f>
        <v>274</v>
      </c>
      <c r="H429" s="36">
        <f t="shared" ca="1" si="86"/>
        <v>1</v>
      </c>
      <c r="I429" s="36" t="str">
        <f t="shared" ca="1" si="87"/>
        <v>Ocu</v>
      </c>
      <c r="J429" s="40">
        <f t="shared" ca="1" si="79"/>
        <v>108</v>
      </c>
      <c r="K429" s="41">
        <f t="shared" ca="1" si="76"/>
        <v>26.955244682077961</v>
      </c>
      <c r="L429" s="42">
        <f t="shared" ca="1" si="88"/>
        <v>92.92379401229843</v>
      </c>
      <c r="M429" s="36">
        <f t="shared" ca="1" si="80"/>
        <v>0.115</v>
      </c>
      <c r="N429" s="36">
        <f t="shared" si="89"/>
        <v>4</v>
      </c>
      <c r="O429" s="39">
        <f t="shared" ca="1" si="81"/>
        <v>0.54070578765472177</v>
      </c>
      <c r="P429" s="39">
        <f t="shared" ca="1" si="82"/>
        <v>93.464499799953145</v>
      </c>
      <c r="Q429" s="43">
        <f t="shared" ca="1" si="90"/>
        <v>27.495950469732676</v>
      </c>
    </row>
    <row r="430" spans="1:17" x14ac:dyDescent="0.25">
      <c r="A430" s="36">
        <v>383</v>
      </c>
      <c r="B430" s="36">
        <f t="shared" ca="1" si="77"/>
        <v>8.5000000000000006E-2</v>
      </c>
      <c r="C430" s="37">
        <f t="shared" si="83"/>
        <v>6</v>
      </c>
      <c r="D430" s="39">
        <f t="shared" ca="1" si="78"/>
        <v>0.41085067041530343</v>
      </c>
      <c r="E430" s="39">
        <f t="shared" ca="1" si="84"/>
        <v>66.379400000635769</v>
      </c>
      <c r="F430" s="36">
        <f t="shared" ca="1" si="85"/>
        <v>108</v>
      </c>
      <c r="G430" s="36">
        <f ca="1">COUNTIF($P$48:P440,"&lt;"&amp;E430)</f>
        <v>274</v>
      </c>
      <c r="H430" s="36">
        <f t="shared" ca="1" si="86"/>
        <v>0</v>
      </c>
      <c r="I430" s="36" t="str">
        <f t="shared" ca="1" si="87"/>
        <v>Ocu</v>
      </c>
      <c r="J430" s="40">
        <f t="shared" ca="1" si="79"/>
        <v>109</v>
      </c>
      <c r="K430" s="41">
        <f t="shared" ca="1" si="76"/>
        <v>27.085099799317376</v>
      </c>
      <c r="L430" s="42">
        <f t="shared" ca="1" si="88"/>
        <v>93.464499799953145</v>
      </c>
      <c r="M430" s="36">
        <f t="shared" ca="1" si="80"/>
        <v>0.21299999999999999</v>
      </c>
      <c r="N430" s="36">
        <f t="shared" si="89"/>
        <v>4</v>
      </c>
      <c r="O430" s="39">
        <f t="shared" ca="1" si="81"/>
        <v>0.386615778318178</v>
      </c>
      <c r="P430" s="39">
        <f t="shared" ca="1" si="82"/>
        <v>93.851115578271319</v>
      </c>
      <c r="Q430" s="43">
        <f t="shared" ca="1" si="90"/>
        <v>27.47171557763555</v>
      </c>
    </row>
    <row r="431" spans="1:17" x14ac:dyDescent="0.25">
      <c r="A431" s="36">
        <v>384</v>
      </c>
      <c r="B431" s="36">
        <f t="shared" ca="1" si="77"/>
        <v>0.45600000000000002</v>
      </c>
      <c r="C431" s="37">
        <f t="shared" si="83"/>
        <v>6</v>
      </c>
      <c r="D431" s="39">
        <f t="shared" ca="1" si="78"/>
        <v>0.13087707824462513</v>
      </c>
      <c r="E431" s="39">
        <f t="shared" ca="1" si="84"/>
        <v>66.510277078880392</v>
      </c>
      <c r="F431" s="36">
        <f t="shared" ca="1" si="85"/>
        <v>108</v>
      </c>
      <c r="G431" s="36">
        <f ca="1">COUNTIF($P$48:P441,"&lt;"&amp;E431)</f>
        <v>275</v>
      </c>
      <c r="H431" s="36">
        <f t="shared" ca="1" si="86"/>
        <v>1</v>
      </c>
      <c r="I431" s="36" t="str">
        <f t="shared" ca="1" si="87"/>
        <v>Ocu</v>
      </c>
      <c r="J431" s="40">
        <f t="shared" ca="1" si="79"/>
        <v>109</v>
      </c>
      <c r="K431" s="41">
        <f t="shared" ca="1" si="76"/>
        <v>27.340838499390927</v>
      </c>
      <c r="L431" s="42">
        <f t="shared" ca="1" si="88"/>
        <v>93.851115578271319</v>
      </c>
      <c r="M431" s="36">
        <f t="shared" ca="1" si="80"/>
        <v>0.72099999999999997</v>
      </c>
      <c r="N431" s="36">
        <f t="shared" si="89"/>
        <v>4</v>
      </c>
      <c r="O431" s="39">
        <f t="shared" ca="1" si="81"/>
        <v>8.1779035424297E-2</v>
      </c>
      <c r="P431" s="39">
        <f t="shared" ca="1" si="82"/>
        <v>93.932894613695609</v>
      </c>
      <c r="Q431" s="43">
        <f t="shared" ca="1" si="90"/>
        <v>27.422617534815217</v>
      </c>
    </row>
    <row r="432" spans="1:17" x14ac:dyDescent="0.25">
      <c r="A432" s="36">
        <v>385</v>
      </c>
      <c r="B432" s="36">
        <f t="shared" ca="1" si="77"/>
        <v>0.13400000000000001</v>
      </c>
      <c r="C432" s="37">
        <f t="shared" si="83"/>
        <v>6</v>
      </c>
      <c r="D432" s="39">
        <f t="shared" ca="1" si="78"/>
        <v>0.33498591317187093</v>
      </c>
      <c r="E432" s="39">
        <f t="shared" ca="1" si="84"/>
        <v>66.84526299205227</v>
      </c>
      <c r="F432" s="36">
        <f t="shared" ca="1" si="85"/>
        <v>109</v>
      </c>
      <c r="G432" s="36">
        <f ca="1">COUNTIF($P$48:P442,"&lt;"&amp;E432)</f>
        <v>275</v>
      </c>
      <c r="H432" s="36">
        <f t="shared" ca="1" si="86"/>
        <v>0</v>
      </c>
      <c r="I432" s="36" t="str">
        <f t="shared" ca="1" si="87"/>
        <v>Ocu</v>
      </c>
      <c r="J432" s="40">
        <f t="shared" ca="1" si="79"/>
        <v>110</v>
      </c>
      <c r="K432" s="41">
        <f t="shared" ref="K432:K495" ca="1" si="91">L432-E432</f>
        <v>27.087631621643339</v>
      </c>
      <c r="L432" s="42">
        <f t="shared" ca="1" si="88"/>
        <v>93.932894613695609</v>
      </c>
      <c r="M432" s="36">
        <f t="shared" ca="1" si="80"/>
        <v>0.27500000000000002</v>
      </c>
      <c r="N432" s="36">
        <f t="shared" si="89"/>
        <v>4</v>
      </c>
      <c r="O432" s="39">
        <f t="shared" ca="1" si="81"/>
        <v>0.32274604532889145</v>
      </c>
      <c r="P432" s="39">
        <f t="shared" ca="1" si="82"/>
        <v>94.255640659024507</v>
      </c>
      <c r="Q432" s="43">
        <f t="shared" ca="1" si="90"/>
        <v>27.410377666972238</v>
      </c>
    </row>
    <row r="433" spans="1:17" x14ac:dyDescent="0.25">
      <c r="A433" s="36">
        <v>386</v>
      </c>
      <c r="B433" s="36">
        <f t="shared" ref="B433:B496" ca="1" si="92">RANDBETWEEN(1,1000)/1000</f>
        <v>0.129</v>
      </c>
      <c r="C433" s="37">
        <f t="shared" si="83"/>
        <v>6</v>
      </c>
      <c r="D433" s="39">
        <f t="shared" ref="D433:D496" ca="1" si="93">(1/C433)*(LN(1/B433))</f>
        <v>0.34132381243674415</v>
      </c>
      <c r="E433" s="39">
        <f t="shared" ca="1" si="84"/>
        <v>67.186586804489011</v>
      </c>
      <c r="F433" s="36">
        <f t="shared" ca="1" si="85"/>
        <v>108</v>
      </c>
      <c r="G433" s="36">
        <f ca="1">COUNTIF($P$48:P443,"&lt;"&amp;E433)</f>
        <v>277</v>
      </c>
      <c r="H433" s="36">
        <f t="shared" ca="1" si="86"/>
        <v>2</v>
      </c>
      <c r="I433" s="36" t="str">
        <f t="shared" ca="1" si="87"/>
        <v>Ocu</v>
      </c>
      <c r="J433" s="40">
        <f t="shared" ref="J433:J496" ca="1" si="94">IF(I433="Des",1,IF(I433="Ocu",1+F433))</f>
        <v>109</v>
      </c>
      <c r="K433" s="41">
        <f t="shared" ca="1" si="91"/>
        <v>27.069053854535497</v>
      </c>
      <c r="L433" s="42">
        <f t="shared" ca="1" si="88"/>
        <v>94.255640659024507</v>
      </c>
      <c r="M433" s="36">
        <f t="shared" ref="M433:M496" ca="1" si="95">RANDBETWEEN(1,1000)/1000</f>
        <v>0.316</v>
      </c>
      <c r="N433" s="36">
        <f t="shared" si="89"/>
        <v>4</v>
      </c>
      <c r="O433" s="39">
        <f t="shared" ref="O433:O496" ca="1" si="96">(1/N433)*(LN(1/M433))</f>
        <v>0.28800326634880624</v>
      </c>
      <c r="P433" s="39">
        <f t="shared" ref="P433:P496" ca="1" si="97">+L433+O433</f>
        <v>94.543643925373317</v>
      </c>
      <c r="Q433" s="43">
        <f t="shared" ca="1" si="90"/>
        <v>27.357057120884306</v>
      </c>
    </row>
    <row r="434" spans="1:17" x14ac:dyDescent="0.25">
      <c r="A434" s="36">
        <v>387</v>
      </c>
      <c r="B434" s="36">
        <f t="shared" ca="1" si="92"/>
        <v>0.45100000000000001</v>
      </c>
      <c r="C434" s="37">
        <f t="shared" ref="C434:C497" si="98">+C433</f>
        <v>6</v>
      </c>
      <c r="D434" s="39">
        <f t="shared" ca="1" si="93"/>
        <v>0.13271465657990977</v>
      </c>
      <c r="E434" s="39">
        <f t="shared" ref="E434:E497" ca="1" si="99">+D434+E433</f>
        <v>67.319301461068918</v>
      </c>
      <c r="F434" s="36">
        <f t="shared" ref="F434:F497" ca="1" si="100">+F433+1-(G434-G433)</f>
        <v>109</v>
      </c>
      <c r="G434" s="36">
        <f ca="1">COUNTIF($P$48:P444,"&lt;"&amp;E434)</f>
        <v>277</v>
      </c>
      <c r="H434" s="36">
        <f t="shared" ref="H434:H497" ca="1" si="101">+G434-G433</f>
        <v>0</v>
      </c>
      <c r="I434" s="36" t="str">
        <f t="shared" ref="I434:I497" ca="1" si="102">IF(E434&lt;P433,"Ocu","Des")</f>
        <v>Ocu</v>
      </c>
      <c r="J434" s="40">
        <f t="shared" ca="1" si="94"/>
        <v>110</v>
      </c>
      <c r="K434" s="41">
        <f t="shared" ca="1" si="91"/>
        <v>27.224342464304399</v>
      </c>
      <c r="L434" s="42">
        <f t="shared" ref="L434:L497" ca="1" si="103">IF(I434="Des",E434,P433)</f>
        <v>94.543643925373317</v>
      </c>
      <c r="M434" s="36">
        <f t="shared" ca="1" si="95"/>
        <v>0.76200000000000001</v>
      </c>
      <c r="N434" s="36">
        <f t="shared" ref="N434:N497" si="104">+N433</f>
        <v>4</v>
      </c>
      <c r="O434" s="39">
        <f t="shared" ca="1" si="96"/>
        <v>6.7952180823872707E-2</v>
      </c>
      <c r="P434" s="39">
        <f t="shared" ca="1" si="97"/>
        <v>94.611596106197183</v>
      </c>
      <c r="Q434" s="43">
        <f t="shared" ca="1" si="90"/>
        <v>27.292294645128266</v>
      </c>
    </row>
    <row r="435" spans="1:17" x14ac:dyDescent="0.25">
      <c r="A435" s="36">
        <v>388</v>
      </c>
      <c r="B435" s="36">
        <f t="shared" ca="1" si="92"/>
        <v>0.91100000000000003</v>
      </c>
      <c r="C435" s="37">
        <f t="shared" si="98"/>
        <v>6</v>
      </c>
      <c r="D435" s="39">
        <f t="shared" ca="1" si="93"/>
        <v>1.5535396953696436E-2</v>
      </c>
      <c r="E435" s="39">
        <f t="shared" ca="1" si="99"/>
        <v>67.334836858022612</v>
      </c>
      <c r="F435" s="36">
        <f t="shared" ca="1" si="100"/>
        <v>109</v>
      </c>
      <c r="G435" s="36">
        <f ca="1">COUNTIF($P$48:P445,"&lt;"&amp;E435)</f>
        <v>278</v>
      </c>
      <c r="H435" s="36">
        <f t="shared" ca="1" si="101"/>
        <v>1</v>
      </c>
      <c r="I435" s="36" t="str">
        <f t="shared" ca="1" si="102"/>
        <v>Ocu</v>
      </c>
      <c r="J435" s="40">
        <f t="shared" ca="1" si="94"/>
        <v>110</v>
      </c>
      <c r="K435" s="41">
        <f t="shared" ca="1" si="91"/>
        <v>27.276759248174571</v>
      </c>
      <c r="L435" s="42">
        <f t="shared" ca="1" si="103"/>
        <v>94.611596106197183</v>
      </c>
      <c r="M435" s="36">
        <f t="shared" ca="1" si="95"/>
        <v>0.72899999999999998</v>
      </c>
      <c r="N435" s="36">
        <f t="shared" si="104"/>
        <v>4</v>
      </c>
      <c r="O435" s="39">
        <f t="shared" ca="1" si="96"/>
        <v>7.9020386743369739E-2</v>
      </c>
      <c r="P435" s="39">
        <f t="shared" ca="1" si="97"/>
        <v>94.690616492940549</v>
      </c>
      <c r="Q435" s="43">
        <f t="shared" ref="Q435:Q498" ca="1" si="105">P435-E435</f>
        <v>27.355779634917937</v>
      </c>
    </row>
    <row r="436" spans="1:17" x14ac:dyDescent="0.25">
      <c r="A436" s="36">
        <v>389</v>
      </c>
      <c r="B436" s="36">
        <f t="shared" ca="1" si="92"/>
        <v>0.92</v>
      </c>
      <c r="C436" s="37">
        <f t="shared" si="98"/>
        <v>6</v>
      </c>
      <c r="D436" s="39">
        <f t="shared" ca="1" si="93"/>
        <v>1.3896934823175167E-2</v>
      </c>
      <c r="E436" s="39">
        <f t="shared" ca="1" si="99"/>
        <v>67.348733792845792</v>
      </c>
      <c r="F436" s="36">
        <f t="shared" ca="1" si="100"/>
        <v>110</v>
      </c>
      <c r="G436" s="36">
        <f ca="1">COUNTIF($P$48:P446,"&lt;"&amp;E436)</f>
        <v>278</v>
      </c>
      <c r="H436" s="36">
        <f t="shared" ca="1" si="101"/>
        <v>0</v>
      </c>
      <c r="I436" s="36" t="str">
        <f t="shared" ca="1" si="102"/>
        <v>Ocu</v>
      </c>
      <c r="J436" s="40">
        <f t="shared" ca="1" si="94"/>
        <v>111</v>
      </c>
      <c r="K436" s="41">
        <f t="shared" ca="1" si="91"/>
        <v>27.341882700094757</v>
      </c>
      <c r="L436" s="42">
        <f t="shared" ca="1" si="103"/>
        <v>94.690616492940549</v>
      </c>
      <c r="M436" s="36">
        <f t="shared" ca="1" si="95"/>
        <v>2.4E-2</v>
      </c>
      <c r="N436" s="36">
        <f t="shared" si="104"/>
        <v>4</v>
      </c>
      <c r="O436" s="39">
        <f t="shared" ca="1" si="96"/>
        <v>0.93242536215854788</v>
      </c>
      <c r="P436" s="39">
        <f t="shared" ca="1" si="97"/>
        <v>95.623041855099103</v>
      </c>
      <c r="Q436" s="43">
        <f t="shared" ca="1" si="105"/>
        <v>28.274308062253311</v>
      </c>
    </row>
    <row r="437" spans="1:17" x14ac:dyDescent="0.25">
      <c r="A437" s="36">
        <v>390</v>
      </c>
      <c r="B437" s="36">
        <f t="shared" ca="1" si="92"/>
        <v>0.82899999999999996</v>
      </c>
      <c r="C437" s="37">
        <f t="shared" si="98"/>
        <v>6</v>
      </c>
      <c r="D437" s="39">
        <f t="shared" ca="1" si="93"/>
        <v>3.1255853974473696E-2</v>
      </c>
      <c r="E437" s="39">
        <f t="shared" ca="1" si="99"/>
        <v>67.379989646820263</v>
      </c>
      <c r="F437" s="36">
        <f t="shared" ca="1" si="100"/>
        <v>111</v>
      </c>
      <c r="G437" s="36">
        <f ca="1">COUNTIF($P$48:P447,"&lt;"&amp;E437)</f>
        <v>278</v>
      </c>
      <c r="H437" s="36">
        <f t="shared" ca="1" si="101"/>
        <v>0</v>
      </c>
      <c r="I437" s="36" t="str">
        <f t="shared" ca="1" si="102"/>
        <v>Ocu</v>
      </c>
      <c r="J437" s="40">
        <f t="shared" ca="1" si="94"/>
        <v>112</v>
      </c>
      <c r="K437" s="41">
        <f t="shared" ca="1" si="91"/>
        <v>28.24305220827884</v>
      </c>
      <c r="L437" s="42">
        <f t="shared" ca="1" si="103"/>
        <v>95.623041855099103</v>
      </c>
      <c r="M437" s="36">
        <f t="shared" ca="1" si="95"/>
        <v>0.155</v>
      </c>
      <c r="N437" s="36">
        <f t="shared" si="104"/>
        <v>4</v>
      </c>
      <c r="O437" s="39">
        <f t="shared" ca="1" si="96"/>
        <v>0.46608254051572262</v>
      </c>
      <c r="P437" s="39">
        <f t="shared" ca="1" si="97"/>
        <v>96.089124395614832</v>
      </c>
      <c r="Q437" s="43">
        <f t="shared" ca="1" si="105"/>
        <v>28.709134748794568</v>
      </c>
    </row>
    <row r="438" spans="1:17" x14ac:dyDescent="0.25">
      <c r="A438" s="36">
        <v>391</v>
      </c>
      <c r="B438" s="36">
        <f t="shared" ca="1" si="92"/>
        <v>0.22800000000000001</v>
      </c>
      <c r="C438" s="37">
        <f t="shared" si="98"/>
        <v>6</v>
      </c>
      <c r="D438" s="39">
        <f t="shared" ca="1" si="93"/>
        <v>0.24640160833794936</v>
      </c>
      <c r="E438" s="39">
        <f t="shared" ca="1" si="99"/>
        <v>67.626391255158211</v>
      </c>
      <c r="F438" s="36">
        <f t="shared" ca="1" si="100"/>
        <v>110</v>
      </c>
      <c r="G438" s="36">
        <f ca="1">COUNTIF($P$48:P448,"&lt;"&amp;E438)</f>
        <v>280</v>
      </c>
      <c r="H438" s="36">
        <f t="shared" ca="1" si="101"/>
        <v>2</v>
      </c>
      <c r="I438" s="36" t="str">
        <f t="shared" ca="1" si="102"/>
        <v>Ocu</v>
      </c>
      <c r="J438" s="40">
        <f t="shared" ca="1" si="94"/>
        <v>111</v>
      </c>
      <c r="K438" s="41">
        <f t="shared" ca="1" si="91"/>
        <v>28.462733140456621</v>
      </c>
      <c r="L438" s="42">
        <f t="shared" ca="1" si="103"/>
        <v>96.089124395614832</v>
      </c>
      <c r="M438" s="36">
        <f t="shared" ca="1" si="95"/>
        <v>5.0999999999999997E-2</v>
      </c>
      <c r="N438" s="36">
        <f t="shared" si="104"/>
        <v>4</v>
      </c>
      <c r="O438" s="39">
        <f t="shared" ca="1" si="96"/>
        <v>0.74398241156445288</v>
      </c>
      <c r="P438" s="39">
        <f t="shared" ca="1" si="97"/>
        <v>96.833106807179291</v>
      </c>
      <c r="Q438" s="43">
        <f t="shared" ca="1" si="105"/>
        <v>29.20671555202108</v>
      </c>
    </row>
    <row r="439" spans="1:17" x14ac:dyDescent="0.25">
      <c r="A439" s="36">
        <v>392</v>
      </c>
      <c r="B439" s="36">
        <f t="shared" ca="1" si="92"/>
        <v>0.94199999999999995</v>
      </c>
      <c r="C439" s="37">
        <f t="shared" si="98"/>
        <v>6</v>
      </c>
      <c r="D439" s="39">
        <f t="shared" ca="1" si="93"/>
        <v>9.9583340676289954E-3</v>
      </c>
      <c r="E439" s="39">
        <f t="shared" ca="1" si="99"/>
        <v>67.636349589225844</v>
      </c>
      <c r="F439" s="36">
        <f t="shared" ca="1" si="100"/>
        <v>111</v>
      </c>
      <c r="G439" s="36">
        <f ca="1">COUNTIF($P$48:P449,"&lt;"&amp;E439)</f>
        <v>280</v>
      </c>
      <c r="H439" s="36">
        <f t="shared" ca="1" si="101"/>
        <v>0</v>
      </c>
      <c r="I439" s="36" t="str">
        <f t="shared" ca="1" si="102"/>
        <v>Ocu</v>
      </c>
      <c r="J439" s="40">
        <f t="shared" ca="1" si="94"/>
        <v>112</v>
      </c>
      <c r="K439" s="41">
        <f t="shared" ca="1" si="91"/>
        <v>29.196757217953447</v>
      </c>
      <c r="L439" s="42">
        <f t="shared" ca="1" si="103"/>
        <v>96.833106807179291</v>
      </c>
      <c r="M439" s="36">
        <f t="shared" ca="1" si="95"/>
        <v>0.85699999999999998</v>
      </c>
      <c r="N439" s="36">
        <f t="shared" si="104"/>
        <v>4</v>
      </c>
      <c r="O439" s="39">
        <f t="shared" ca="1" si="96"/>
        <v>3.8579340096089321E-2</v>
      </c>
      <c r="P439" s="39">
        <f t="shared" ca="1" si="97"/>
        <v>96.871686147275383</v>
      </c>
      <c r="Q439" s="43">
        <f t="shared" ca="1" si="105"/>
        <v>29.235336558049539</v>
      </c>
    </row>
    <row r="440" spans="1:17" x14ac:dyDescent="0.25">
      <c r="A440" s="36">
        <v>393</v>
      </c>
      <c r="B440" s="36">
        <f t="shared" ca="1" si="92"/>
        <v>0.88100000000000001</v>
      </c>
      <c r="C440" s="37">
        <f t="shared" si="98"/>
        <v>6</v>
      </c>
      <c r="D440" s="39">
        <f t="shared" ca="1" si="93"/>
        <v>2.1116275507659585E-2</v>
      </c>
      <c r="E440" s="39">
        <f t="shared" ca="1" si="99"/>
        <v>67.65746586473351</v>
      </c>
      <c r="F440" s="36">
        <f t="shared" ca="1" si="100"/>
        <v>112</v>
      </c>
      <c r="G440" s="36">
        <f ca="1">COUNTIF($P$48:P450,"&lt;"&amp;E440)</f>
        <v>280</v>
      </c>
      <c r="H440" s="36">
        <f t="shared" ca="1" si="101"/>
        <v>0</v>
      </c>
      <c r="I440" s="36" t="str">
        <f t="shared" ca="1" si="102"/>
        <v>Ocu</v>
      </c>
      <c r="J440" s="40">
        <f t="shared" ca="1" si="94"/>
        <v>113</v>
      </c>
      <c r="K440" s="41">
        <f t="shared" ca="1" si="91"/>
        <v>29.214220282541874</v>
      </c>
      <c r="L440" s="42">
        <f t="shared" ca="1" si="103"/>
        <v>96.871686147275383</v>
      </c>
      <c r="M440" s="36">
        <f t="shared" ca="1" si="95"/>
        <v>0.875</v>
      </c>
      <c r="N440" s="36">
        <f t="shared" si="104"/>
        <v>4</v>
      </c>
      <c r="O440" s="39">
        <f t="shared" ca="1" si="96"/>
        <v>3.3382848156130643E-2</v>
      </c>
      <c r="P440" s="39">
        <f t="shared" ca="1" si="97"/>
        <v>96.90506899543152</v>
      </c>
      <c r="Q440" s="43">
        <f t="shared" ca="1" si="105"/>
        <v>29.24760313069801</v>
      </c>
    </row>
    <row r="441" spans="1:17" x14ac:dyDescent="0.25">
      <c r="A441" s="36">
        <v>394</v>
      </c>
      <c r="B441" s="36">
        <f t="shared" ca="1" si="92"/>
        <v>0.16600000000000001</v>
      </c>
      <c r="C441" s="37">
        <f t="shared" si="98"/>
        <v>6</v>
      </c>
      <c r="D441" s="39">
        <f t="shared" ca="1" si="93"/>
        <v>0.29929458177093227</v>
      </c>
      <c r="E441" s="39">
        <f t="shared" ca="1" si="99"/>
        <v>67.956760446504447</v>
      </c>
      <c r="F441" s="36">
        <f t="shared" ca="1" si="100"/>
        <v>113</v>
      </c>
      <c r="G441" s="36">
        <f ca="1">COUNTIF($P$48:P451,"&lt;"&amp;E441)</f>
        <v>280</v>
      </c>
      <c r="H441" s="36">
        <f t="shared" ca="1" si="101"/>
        <v>0</v>
      </c>
      <c r="I441" s="36" t="str">
        <f t="shared" ca="1" si="102"/>
        <v>Ocu</v>
      </c>
      <c r="J441" s="40">
        <f t="shared" ca="1" si="94"/>
        <v>114</v>
      </c>
      <c r="K441" s="41">
        <f t="shared" ca="1" si="91"/>
        <v>28.948308548927074</v>
      </c>
      <c r="L441" s="42">
        <f t="shared" ca="1" si="103"/>
        <v>96.90506899543152</v>
      </c>
      <c r="M441" s="36">
        <f t="shared" ca="1" si="95"/>
        <v>0.49199999999999999</v>
      </c>
      <c r="N441" s="36">
        <f t="shared" si="104"/>
        <v>4</v>
      </c>
      <c r="O441" s="39">
        <f t="shared" ca="1" si="96"/>
        <v>0.17731914062245727</v>
      </c>
      <c r="P441" s="39">
        <f t="shared" ca="1" si="97"/>
        <v>97.082388136053979</v>
      </c>
      <c r="Q441" s="43">
        <f t="shared" ca="1" si="105"/>
        <v>29.125627689549532</v>
      </c>
    </row>
    <row r="442" spans="1:17" x14ac:dyDescent="0.25">
      <c r="A442" s="36">
        <v>395</v>
      </c>
      <c r="B442" s="36">
        <f t="shared" ca="1" si="92"/>
        <v>0.34499999999999997</v>
      </c>
      <c r="C442" s="37">
        <f t="shared" si="98"/>
        <v>6</v>
      </c>
      <c r="D442" s="39">
        <f t="shared" ca="1" si="93"/>
        <v>0.17736847699179625</v>
      </c>
      <c r="E442" s="39">
        <f t="shared" ca="1" si="99"/>
        <v>68.134128923496249</v>
      </c>
      <c r="F442" s="36">
        <f t="shared" ca="1" si="100"/>
        <v>113</v>
      </c>
      <c r="G442" s="36">
        <f ca="1">COUNTIF($P$48:P452,"&lt;"&amp;E442)</f>
        <v>281</v>
      </c>
      <c r="H442" s="36">
        <f t="shared" ca="1" si="101"/>
        <v>1</v>
      </c>
      <c r="I442" s="36" t="str">
        <f t="shared" ca="1" si="102"/>
        <v>Ocu</v>
      </c>
      <c r="J442" s="40">
        <f t="shared" ca="1" si="94"/>
        <v>114</v>
      </c>
      <c r="K442" s="41">
        <f t="shared" ca="1" si="91"/>
        <v>28.94825921255773</v>
      </c>
      <c r="L442" s="42">
        <f t="shared" ca="1" si="103"/>
        <v>97.082388136053979</v>
      </c>
      <c r="M442" s="36">
        <f t="shared" ca="1" si="95"/>
        <v>0.373</v>
      </c>
      <c r="N442" s="36">
        <f t="shared" si="104"/>
        <v>4</v>
      </c>
      <c r="O442" s="39">
        <f t="shared" ca="1" si="96"/>
        <v>0.24654421483458039</v>
      </c>
      <c r="P442" s="39">
        <f t="shared" ca="1" si="97"/>
        <v>97.328932350888564</v>
      </c>
      <c r="Q442" s="43">
        <f t="shared" ca="1" si="105"/>
        <v>29.194803427392316</v>
      </c>
    </row>
    <row r="443" spans="1:17" x14ac:dyDescent="0.25">
      <c r="A443" s="36">
        <v>396</v>
      </c>
      <c r="B443" s="36">
        <f t="shared" ca="1" si="92"/>
        <v>0.42499999999999999</v>
      </c>
      <c r="C443" s="37">
        <f t="shared" si="98"/>
        <v>6</v>
      </c>
      <c r="D443" s="39">
        <f t="shared" ca="1" si="93"/>
        <v>0.14261101834295337</v>
      </c>
      <c r="E443" s="39">
        <f t="shared" ca="1" si="99"/>
        <v>68.276739941839196</v>
      </c>
      <c r="F443" s="36">
        <f t="shared" ca="1" si="100"/>
        <v>113</v>
      </c>
      <c r="G443" s="36">
        <f ca="1">COUNTIF($P$48:P453,"&lt;"&amp;E443)</f>
        <v>282</v>
      </c>
      <c r="H443" s="36">
        <f t="shared" ca="1" si="101"/>
        <v>1</v>
      </c>
      <c r="I443" s="36" t="str">
        <f t="shared" ca="1" si="102"/>
        <v>Ocu</v>
      </c>
      <c r="J443" s="40">
        <f t="shared" ca="1" si="94"/>
        <v>114</v>
      </c>
      <c r="K443" s="41">
        <f t="shared" ca="1" si="91"/>
        <v>29.052192409049368</v>
      </c>
      <c r="L443" s="42">
        <f t="shared" ca="1" si="103"/>
        <v>97.328932350888564</v>
      </c>
      <c r="M443" s="36">
        <f t="shared" ca="1" si="95"/>
        <v>0.71099999999999997</v>
      </c>
      <c r="N443" s="36">
        <f t="shared" si="104"/>
        <v>4</v>
      </c>
      <c r="O443" s="39">
        <f t="shared" ca="1" si="96"/>
        <v>8.5270712294724049E-2</v>
      </c>
      <c r="P443" s="39">
        <f t="shared" ca="1" si="97"/>
        <v>97.414203063183294</v>
      </c>
      <c r="Q443" s="43">
        <f t="shared" ca="1" si="105"/>
        <v>29.137463121344098</v>
      </c>
    </row>
    <row r="444" spans="1:17" x14ac:dyDescent="0.25">
      <c r="A444" s="36">
        <v>397</v>
      </c>
      <c r="B444" s="36">
        <f t="shared" ca="1" si="92"/>
        <v>0.60699999999999998</v>
      </c>
      <c r="C444" s="37">
        <f t="shared" si="98"/>
        <v>6</v>
      </c>
      <c r="D444" s="39">
        <f t="shared" ca="1" si="93"/>
        <v>8.3204414653773123E-2</v>
      </c>
      <c r="E444" s="39">
        <f t="shared" ca="1" si="99"/>
        <v>68.359944356492974</v>
      </c>
      <c r="F444" s="36">
        <f t="shared" ca="1" si="100"/>
        <v>114</v>
      </c>
      <c r="G444" s="36">
        <f ca="1">COUNTIF($P$48:P454,"&lt;"&amp;E444)</f>
        <v>282</v>
      </c>
      <c r="H444" s="36">
        <f t="shared" ca="1" si="101"/>
        <v>0</v>
      </c>
      <c r="I444" s="36" t="str">
        <f t="shared" ca="1" si="102"/>
        <v>Ocu</v>
      </c>
      <c r="J444" s="40">
        <f t="shared" ca="1" si="94"/>
        <v>115</v>
      </c>
      <c r="K444" s="41">
        <f t="shared" ca="1" si="91"/>
        <v>29.05425870669032</v>
      </c>
      <c r="L444" s="42">
        <f t="shared" ca="1" si="103"/>
        <v>97.414203063183294</v>
      </c>
      <c r="M444" s="36">
        <f t="shared" ca="1" si="95"/>
        <v>0.76400000000000001</v>
      </c>
      <c r="N444" s="36">
        <f t="shared" si="104"/>
        <v>4</v>
      </c>
      <c r="O444" s="39">
        <f t="shared" ca="1" si="96"/>
        <v>6.729687245390413E-2</v>
      </c>
      <c r="P444" s="39">
        <f t="shared" ca="1" si="97"/>
        <v>97.481499935637203</v>
      </c>
      <c r="Q444" s="43">
        <f t="shared" ca="1" si="105"/>
        <v>29.121555579144228</v>
      </c>
    </row>
    <row r="445" spans="1:17" x14ac:dyDescent="0.25">
      <c r="A445" s="36">
        <v>398</v>
      </c>
      <c r="B445" s="36">
        <f t="shared" ca="1" si="92"/>
        <v>0.434</v>
      </c>
      <c r="C445" s="37">
        <f t="shared" si="98"/>
        <v>6</v>
      </c>
      <c r="D445" s="39">
        <f t="shared" ca="1" si="93"/>
        <v>0.1391184574802887</v>
      </c>
      <c r="E445" s="39">
        <f t="shared" ca="1" si="99"/>
        <v>68.499062813973268</v>
      </c>
      <c r="F445" s="36">
        <f t="shared" ca="1" si="100"/>
        <v>114</v>
      </c>
      <c r="G445" s="36">
        <f ca="1">COUNTIF($P$48:P455,"&lt;"&amp;E445)</f>
        <v>283</v>
      </c>
      <c r="H445" s="36">
        <f t="shared" ca="1" si="101"/>
        <v>1</v>
      </c>
      <c r="I445" s="36" t="str">
        <f t="shared" ca="1" si="102"/>
        <v>Ocu</v>
      </c>
      <c r="J445" s="40">
        <f t="shared" ca="1" si="94"/>
        <v>115</v>
      </c>
      <c r="K445" s="41">
        <f t="shared" ca="1" si="91"/>
        <v>28.982437121663935</v>
      </c>
      <c r="L445" s="42">
        <f t="shared" ca="1" si="103"/>
        <v>97.481499935637203</v>
      </c>
      <c r="M445" s="36">
        <f t="shared" ca="1" si="95"/>
        <v>0.82099999999999995</v>
      </c>
      <c r="N445" s="36">
        <f t="shared" si="104"/>
        <v>4</v>
      </c>
      <c r="O445" s="39">
        <f t="shared" ca="1" si="96"/>
        <v>4.9308042382427225E-2</v>
      </c>
      <c r="P445" s="39">
        <f t="shared" ca="1" si="97"/>
        <v>97.530807978019624</v>
      </c>
      <c r="Q445" s="43">
        <f t="shared" ca="1" si="105"/>
        <v>29.031745164046356</v>
      </c>
    </row>
    <row r="446" spans="1:17" x14ac:dyDescent="0.25">
      <c r="A446" s="36">
        <v>399</v>
      </c>
      <c r="B446" s="36">
        <f t="shared" ca="1" si="92"/>
        <v>3.4000000000000002E-2</v>
      </c>
      <c r="C446" s="37">
        <f t="shared" si="98"/>
        <v>6</v>
      </c>
      <c r="D446" s="39">
        <f t="shared" ca="1" si="93"/>
        <v>0.56356579239432925</v>
      </c>
      <c r="E446" s="39">
        <f t="shared" ca="1" si="99"/>
        <v>69.062628606367596</v>
      </c>
      <c r="F446" s="36">
        <f t="shared" ca="1" si="100"/>
        <v>113</v>
      </c>
      <c r="G446" s="36">
        <f ca="1">COUNTIF($P$48:P456,"&lt;"&amp;E446)</f>
        <v>285</v>
      </c>
      <c r="H446" s="36">
        <f t="shared" ca="1" si="101"/>
        <v>2</v>
      </c>
      <c r="I446" s="36" t="str">
        <f t="shared" ca="1" si="102"/>
        <v>Ocu</v>
      </c>
      <c r="J446" s="40">
        <f t="shared" ca="1" si="94"/>
        <v>114</v>
      </c>
      <c r="K446" s="41">
        <f t="shared" ca="1" si="91"/>
        <v>28.468179371652027</v>
      </c>
      <c r="L446" s="42">
        <f t="shared" ca="1" si="103"/>
        <v>97.530807978019624</v>
      </c>
      <c r="M446" s="36">
        <f t="shared" ca="1" si="95"/>
        <v>0.61299999999999999</v>
      </c>
      <c r="N446" s="36">
        <f t="shared" si="104"/>
        <v>4</v>
      </c>
      <c r="O446" s="39">
        <f t="shared" ca="1" si="96"/>
        <v>0.12234758576148143</v>
      </c>
      <c r="P446" s="39">
        <f t="shared" ca="1" si="97"/>
        <v>97.653155563781098</v>
      </c>
      <c r="Q446" s="43">
        <f t="shared" ca="1" si="105"/>
        <v>28.590526957413502</v>
      </c>
    </row>
    <row r="447" spans="1:17" x14ac:dyDescent="0.25">
      <c r="A447" s="36">
        <v>400</v>
      </c>
      <c r="B447" s="36">
        <f t="shared" ca="1" si="92"/>
        <v>0.73899999999999999</v>
      </c>
      <c r="C447" s="37">
        <f t="shared" si="98"/>
        <v>6</v>
      </c>
      <c r="D447" s="39">
        <f t="shared" ca="1" si="93"/>
        <v>5.0409559672322531E-2</v>
      </c>
      <c r="E447" s="39">
        <f t="shared" ca="1" si="99"/>
        <v>69.113038166039914</v>
      </c>
      <c r="F447" s="36">
        <f t="shared" ca="1" si="100"/>
        <v>114</v>
      </c>
      <c r="G447" s="36">
        <f ca="1">COUNTIF($P$48:P457,"&lt;"&amp;E447)</f>
        <v>285</v>
      </c>
      <c r="H447" s="36">
        <f t="shared" ca="1" si="101"/>
        <v>0</v>
      </c>
      <c r="I447" s="36" t="str">
        <f t="shared" ca="1" si="102"/>
        <v>Ocu</v>
      </c>
      <c r="J447" s="40">
        <f t="shared" ca="1" si="94"/>
        <v>115</v>
      </c>
      <c r="K447" s="41">
        <f t="shared" ca="1" si="91"/>
        <v>28.540117397741184</v>
      </c>
      <c r="L447" s="42">
        <f t="shared" ca="1" si="103"/>
        <v>97.653155563781098</v>
      </c>
      <c r="M447" s="36">
        <f t="shared" ca="1" si="95"/>
        <v>0.44</v>
      </c>
      <c r="N447" s="36">
        <f t="shared" si="104"/>
        <v>4</v>
      </c>
      <c r="O447" s="39">
        <f t="shared" ca="1" si="96"/>
        <v>0.20524513801745758</v>
      </c>
      <c r="P447" s="39">
        <f t="shared" ca="1" si="97"/>
        <v>97.858400701798558</v>
      </c>
      <c r="Q447" s="43">
        <f t="shared" ca="1" si="105"/>
        <v>28.745362535758645</v>
      </c>
    </row>
    <row r="448" spans="1:17" x14ac:dyDescent="0.25">
      <c r="A448" s="36">
        <v>401</v>
      </c>
      <c r="B448" s="36">
        <f t="shared" ca="1" si="92"/>
        <v>0.46200000000000002</v>
      </c>
      <c r="C448" s="37">
        <f t="shared" si="98"/>
        <v>6</v>
      </c>
      <c r="D448" s="39">
        <f t="shared" ca="1" si="93"/>
        <v>0.12869839798339969</v>
      </c>
      <c r="E448" s="39">
        <f t="shared" ca="1" si="99"/>
        <v>69.241736564023313</v>
      </c>
      <c r="F448" s="36">
        <f t="shared" ca="1" si="100"/>
        <v>114</v>
      </c>
      <c r="G448" s="36">
        <f ca="1">COUNTIF($P$48:P458,"&lt;"&amp;E448)</f>
        <v>286</v>
      </c>
      <c r="H448" s="36">
        <f t="shared" ca="1" si="101"/>
        <v>1</v>
      </c>
      <c r="I448" s="36" t="str">
        <f t="shared" ca="1" si="102"/>
        <v>Ocu</v>
      </c>
      <c r="J448" s="40">
        <f t="shared" ca="1" si="94"/>
        <v>115</v>
      </c>
      <c r="K448" s="41">
        <f t="shared" ca="1" si="91"/>
        <v>28.616664137775246</v>
      </c>
      <c r="L448" s="42">
        <f t="shared" ca="1" si="103"/>
        <v>97.858400701798558</v>
      </c>
      <c r="M448" s="36">
        <f t="shared" ca="1" si="95"/>
        <v>0.94099999999999995</v>
      </c>
      <c r="N448" s="36">
        <f t="shared" si="104"/>
        <v>4</v>
      </c>
      <c r="O448" s="39">
        <f t="shared" ca="1" si="96"/>
        <v>1.5203034849189384E-2</v>
      </c>
      <c r="P448" s="39">
        <f t="shared" ca="1" si="97"/>
        <v>97.873603736647752</v>
      </c>
      <c r="Q448" s="43">
        <f t="shared" ca="1" si="105"/>
        <v>28.631867172624439</v>
      </c>
    </row>
    <row r="449" spans="1:17" x14ac:dyDescent="0.25">
      <c r="A449" s="36">
        <v>402</v>
      </c>
      <c r="B449" s="36">
        <f t="shared" ca="1" si="92"/>
        <v>0.45200000000000001</v>
      </c>
      <c r="C449" s="37">
        <f t="shared" si="98"/>
        <v>6</v>
      </c>
      <c r="D449" s="39">
        <f t="shared" ca="1" si="93"/>
        <v>0.13234551652498427</v>
      </c>
      <c r="E449" s="39">
        <f t="shared" ca="1" si="99"/>
        <v>69.374082080548291</v>
      </c>
      <c r="F449" s="36">
        <f t="shared" ca="1" si="100"/>
        <v>112</v>
      </c>
      <c r="G449" s="36">
        <f ca="1">COUNTIF($P$48:P459,"&lt;"&amp;E449)</f>
        <v>289</v>
      </c>
      <c r="H449" s="36">
        <f t="shared" ca="1" si="101"/>
        <v>3</v>
      </c>
      <c r="I449" s="36" t="str">
        <f t="shared" ca="1" si="102"/>
        <v>Ocu</v>
      </c>
      <c r="J449" s="40">
        <f t="shared" ca="1" si="94"/>
        <v>113</v>
      </c>
      <c r="K449" s="41">
        <f t="shared" ca="1" si="91"/>
        <v>28.499521656099461</v>
      </c>
      <c r="L449" s="42">
        <f t="shared" ca="1" si="103"/>
        <v>97.873603736647752</v>
      </c>
      <c r="M449" s="36">
        <f t="shared" ca="1" si="95"/>
        <v>0.109</v>
      </c>
      <c r="N449" s="36">
        <f t="shared" si="104"/>
        <v>4</v>
      </c>
      <c r="O449" s="39">
        <f t="shared" ca="1" si="96"/>
        <v>0.55410184918824834</v>
      </c>
      <c r="P449" s="39">
        <f t="shared" ca="1" si="97"/>
        <v>98.427705585835994</v>
      </c>
      <c r="Q449" s="43">
        <f t="shared" ca="1" si="105"/>
        <v>29.053623505287703</v>
      </c>
    </row>
    <row r="450" spans="1:17" x14ac:dyDescent="0.25">
      <c r="A450" s="36">
        <v>403</v>
      </c>
      <c r="B450" s="36">
        <f t="shared" ca="1" si="92"/>
        <v>0.17199999999999999</v>
      </c>
      <c r="C450" s="37">
        <f t="shared" si="98"/>
        <v>6</v>
      </c>
      <c r="D450" s="39">
        <f t="shared" ca="1" si="93"/>
        <v>0.29337680036144731</v>
      </c>
      <c r="E450" s="39">
        <f t="shared" ca="1" si="99"/>
        <v>69.667458880909734</v>
      </c>
      <c r="F450" s="36">
        <f t="shared" ca="1" si="100"/>
        <v>112</v>
      </c>
      <c r="G450" s="36">
        <f ca="1">COUNTIF($P$48:P460,"&lt;"&amp;E450)</f>
        <v>290</v>
      </c>
      <c r="H450" s="36">
        <f t="shared" ca="1" si="101"/>
        <v>1</v>
      </c>
      <c r="I450" s="36" t="str">
        <f t="shared" ca="1" si="102"/>
        <v>Ocu</v>
      </c>
      <c r="J450" s="40">
        <f t="shared" ca="1" si="94"/>
        <v>113</v>
      </c>
      <c r="K450" s="41">
        <f t="shared" ca="1" si="91"/>
        <v>28.76024670492626</v>
      </c>
      <c r="L450" s="42">
        <f t="shared" ca="1" si="103"/>
        <v>98.427705585835994</v>
      </c>
      <c r="M450" s="36">
        <f t="shared" ca="1" si="95"/>
        <v>0.60099999999999998</v>
      </c>
      <c r="N450" s="36">
        <f t="shared" si="104"/>
        <v>4</v>
      </c>
      <c r="O450" s="39">
        <f t="shared" ca="1" si="96"/>
        <v>0.12729008611173237</v>
      </c>
      <c r="P450" s="39">
        <f t="shared" ca="1" si="97"/>
        <v>98.554995671947722</v>
      </c>
      <c r="Q450" s="43">
        <f t="shared" ca="1" si="105"/>
        <v>28.887536791037988</v>
      </c>
    </row>
    <row r="451" spans="1:17" x14ac:dyDescent="0.25">
      <c r="A451" s="36">
        <v>404</v>
      </c>
      <c r="B451" s="36">
        <f t="shared" ca="1" si="92"/>
        <v>0.41799999999999998</v>
      </c>
      <c r="C451" s="37">
        <f t="shared" si="98"/>
        <v>6</v>
      </c>
      <c r="D451" s="39">
        <f t="shared" ca="1" si="93"/>
        <v>0.14537897440956343</v>
      </c>
      <c r="E451" s="39">
        <f t="shared" ca="1" si="99"/>
        <v>69.812837855319302</v>
      </c>
      <c r="F451" s="36">
        <f t="shared" ca="1" si="100"/>
        <v>113</v>
      </c>
      <c r="G451" s="36">
        <f ca="1">COUNTIF($P$48:P461,"&lt;"&amp;E451)</f>
        <v>290</v>
      </c>
      <c r="H451" s="36">
        <f t="shared" ca="1" si="101"/>
        <v>0</v>
      </c>
      <c r="I451" s="36" t="str">
        <f t="shared" ca="1" si="102"/>
        <v>Ocu</v>
      </c>
      <c r="J451" s="40">
        <f t="shared" ca="1" si="94"/>
        <v>114</v>
      </c>
      <c r="K451" s="41">
        <f t="shared" ca="1" si="91"/>
        <v>28.742157816628421</v>
      </c>
      <c r="L451" s="42">
        <f t="shared" ca="1" si="103"/>
        <v>98.554995671947722</v>
      </c>
      <c r="M451" s="36">
        <f t="shared" ca="1" si="95"/>
        <v>0.29799999999999999</v>
      </c>
      <c r="N451" s="36">
        <f t="shared" si="104"/>
        <v>4</v>
      </c>
      <c r="O451" s="39">
        <f t="shared" ca="1" si="96"/>
        <v>0.30266544811918317</v>
      </c>
      <c r="P451" s="39">
        <f t="shared" ca="1" si="97"/>
        <v>98.857661120066908</v>
      </c>
      <c r="Q451" s="43">
        <f t="shared" ca="1" si="105"/>
        <v>29.044823264747606</v>
      </c>
    </row>
    <row r="452" spans="1:17" x14ac:dyDescent="0.25">
      <c r="A452" s="36">
        <v>405</v>
      </c>
      <c r="B452" s="36">
        <f t="shared" ca="1" si="92"/>
        <v>0.51700000000000002</v>
      </c>
      <c r="C452" s="37">
        <f t="shared" si="98"/>
        <v>6</v>
      </c>
      <c r="D452" s="39">
        <f t="shared" ca="1" si="93"/>
        <v>0.10995206741228464</v>
      </c>
      <c r="E452" s="39">
        <f t="shared" ca="1" si="99"/>
        <v>69.922789922731582</v>
      </c>
      <c r="F452" s="36">
        <f t="shared" ca="1" si="100"/>
        <v>114</v>
      </c>
      <c r="G452" s="36">
        <f ca="1">COUNTIF($P$48:P462,"&lt;"&amp;E452)</f>
        <v>290</v>
      </c>
      <c r="H452" s="36">
        <f t="shared" ca="1" si="101"/>
        <v>0</v>
      </c>
      <c r="I452" s="36" t="str">
        <f t="shared" ca="1" si="102"/>
        <v>Ocu</v>
      </c>
      <c r="J452" s="40">
        <f t="shared" ca="1" si="94"/>
        <v>115</v>
      </c>
      <c r="K452" s="41">
        <f t="shared" ca="1" si="91"/>
        <v>28.934871197335326</v>
      </c>
      <c r="L452" s="42">
        <f t="shared" ca="1" si="103"/>
        <v>98.857661120066908</v>
      </c>
      <c r="M452" s="36">
        <f t="shared" ca="1" si="95"/>
        <v>0.11</v>
      </c>
      <c r="N452" s="36">
        <f t="shared" si="104"/>
        <v>4</v>
      </c>
      <c r="O452" s="39">
        <f t="shared" ca="1" si="96"/>
        <v>0.55181872829743028</v>
      </c>
      <c r="P452" s="39">
        <f t="shared" ca="1" si="97"/>
        <v>99.409479848364342</v>
      </c>
      <c r="Q452" s="43">
        <f t="shared" ca="1" si="105"/>
        <v>29.48668992563276</v>
      </c>
    </row>
    <row r="453" spans="1:17" x14ac:dyDescent="0.25">
      <c r="A453" s="36">
        <v>406</v>
      </c>
      <c r="B453" s="36">
        <f t="shared" ca="1" si="92"/>
        <v>0.71</v>
      </c>
      <c r="C453" s="37">
        <f t="shared" si="98"/>
        <v>6</v>
      </c>
      <c r="D453" s="39">
        <f t="shared" ca="1" si="93"/>
        <v>5.7081718157796002E-2</v>
      </c>
      <c r="E453" s="39">
        <f t="shared" ca="1" si="99"/>
        <v>69.979871640889371</v>
      </c>
      <c r="F453" s="36">
        <f t="shared" ca="1" si="100"/>
        <v>115</v>
      </c>
      <c r="G453" s="36">
        <f ca="1">COUNTIF($P$48:P463,"&lt;"&amp;E453)</f>
        <v>290</v>
      </c>
      <c r="H453" s="36">
        <f t="shared" ca="1" si="101"/>
        <v>0</v>
      </c>
      <c r="I453" s="36" t="str">
        <f t="shared" ca="1" si="102"/>
        <v>Ocu</v>
      </c>
      <c r="J453" s="40">
        <f t="shared" ca="1" si="94"/>
        <v>116</v>
      </c>
      <c r="K453" s="41">
        <f t="shared" ca="1" si="91"/>
        <v>29.429608207474971</v>
      </c>
      <c r="L453" s="42">
        <f t="shared" ca="1" si="103"/>
        <v>99.409479848364342</v>
      </c>
      <c r="M453" s="36">
        <f t="shared" ca="1" si="95"/>
        <v>0.47</v>
      </c>
      <c r="N453" s="36">
        <f t="shared" si="104"/>
        <v>4</v>
      </c>
      <c r="O453" s="39">
        <f t="shared" ca="1" si="96"/>
        <v>0.1887556460695082</v>
      </c>
      <c r="P453" s="39">
        <f t="shared" ca="1" si="97"/>
        <v>99.598235494433851</v>
      </c>
      <c r="Q453" s="43">
        <f t="shared" ca="1" si="105"/>
        <v>29.61836385354448</v>
      </c>
    </row>
    <row r="454" spans="1:17" x14ac:dyDescent="0.25">
      <c r="A454" s="36">
        <v>407</v>
      </c>
      <c r="B454" s="36">
        <f t="shared" ca="1" si="92"/>
        <v>0.13100000000000001</v>
      </c>
      <c r="C454" s="37">
        <f t="shared" si="98"/>
        <v>6</v>
      </c>
      <c r="D454" s="39">
        <f t="shared" ca="1" si="93"/>
        <v>0.33875965929683094</v>
      </c>
      <c r="E454" s="39">
        <f t="shared" ca="1" si="99"/>
        <v>70.318631300186198</v>
      </c>
      <c r="F454" s="36">
        <f t="shared" ca="1" si="100"/>
        <v>113</v>
      </c>
      <c r="G454" s="36">
        <f ca="1">COUNTIF($P$48:P464,"&lt;"&amp;E454)</f>
        <v>293</v>
      </c>
      <c r="H454" s="36">
        <f t="shared" ca="1" si="101"/>
        <v>3</v>
      </c>
      <c r="I454" s="36" t="str">
        <f t="shared" ca="1" si="102"/>
        <v>Ocu</v>
      </c>
      <c r="J454" s="40">
        <f t="shared" ca="1" si="94"/>
        <v>114</v>
      </c>
      <c r="K454" s="41">
        <f t="shared" ca="1" si="91"/>
        <v>29.279604194247653</v>
      </c>
      <c r="L454" s="42">
        <f t="shared" ca="1" si="103"/>
        <v>99.598235494433851</v>
      </c>
      <c r="M454" s="36">
        <f t="shared" ca="1" si="95"/>
        <v>0.375</v>
      </c>
      <c r="N454" s="36">
        <f t="shared" si="104"/>
        <v>4</v>
      </c>
      <c r="O454" s="39">
        <f t="shared" ca="1" si="96"/>
        <v>0.24520731325293155</v>
      </c>
      <c r="P454" s="39">
        <f t="shared" ca="1" si="97"/>
        <v>99.843442807686785</v>
      </c>
      <c r="Q454" s="43">
        <f t="shared" ca="1" si="105"/>
        <v>29.524811507500587</v>
      </c>
    </row>
    <row r="455" spans="1:17" x14ac:dyDescent="0.25">
      <c r="A455" s="36">
        <v>408</v>
      </c>
      <c r="B455" s="36">
        <f t="shared" ca="1" si="92"/>
        <v>0.33300000000000002</v>
      </c>
      <c r="C455" s="37">
        <f t="shared" si="98"/>
        <v>6</v>
      </c>
      <c r="D455" s="39">
        <f t="shared" ca="1" si="93"/>
        <v>0.18326879816694885</v>
      </c>
      <c r="E455" s="39">
        <f t="shared" ca="1" si="99"/>
        <v>70.501900098353147</v>
      </c>
      <c r="F455" s="36">
        <f t="shared" ca="1" si="100"/>
        <v>114</v>
      </c>
      <c r="G455" s="36">
        <f ca="1">COUNTIF($P$48:P465,"&lt;"&amp;E455)</f>
        <v>293</v>
      </c>
      <c r="H455" s="36">
        <f t="shared" ca="1" si="101"/>
        <v>0</v>
      </c>
      <c r="I455" s="36" t="str">
        <f t="shared" ca="1" si="102"/>
        <v>Ocu</v>
      </c>
      <c r="J455" s="40">
        <f t="shared" ca="1" si="94"/>
        <v>115</v>
      </c>
      <c r="K455" s="41">
        <f t="shared" ca="1" si="91"/>
        <v>29.341542709333638</v>
      </c>
      <c r="L455" s="42">
        <f t="shared" ca="1" si="103"/>
        <v>99.843442807686785</v>
      </c>
      <c r="M455" s="36">
        <f t="shared" ca="1" si="95"/>
        <v>0.253</v>
      </c>
      <c r="N455" s="36">
        <f t="shared" si="104"/>
        <v>4</v>
      </c>
      <c r="O455" s="39">
        <f t="shared" ca="1" si="96"/>
        <v>0.34359144756365417</v>
      </c>
      <c r="P455" s="39">
        <f t="shared" ca="1" si="97"/>
        <v>100.18703425525044</v>
      </c>
      <c r="Q455" s="43">
        <f t="shared" ca="1" si="105"/>
        <v>29.685134156897291</v>
      </c>
    </row>
    <row r="456" spans="1:17" x14ac:dyDescent="0.25">
      <c r="A456" s="36">
        <v>409</v>
      </c>
      <c r="B456" s="36">
        <f t="shared" ca="1" si="92"/>
        <v>0.32600000000000001</v>
      </c>
      <c r="C456" s="37">
        <f t="shared" si="98"/>
        <v>6</v>
      </c>
      <c r="D456" s="39">
        <f t="shared" ca="1" si="93"/>
        <v>0.18680964960257157</v>
      </c>
      <c r="E456" s="39">
        <f t="shared" ca="1" si="99"/>
        <v>70.688709747955713</v>
      </c>
      <c r="F456" s="36">
        <f t="shared" ca="1" si="100"/>
        <v>114</v>
      </c>
      <c r="G456" s="36">
        <f ca="1">COUNTIF($P$48:P466,"&lt;"&amp;E456)</f>
        <v>294</v>
      </c>
      <c r="H456" s="36">
        <f t="shared" ca="1" si="101"/>
        <v>1</v>
      </c>
      <c r="I456" s="36" t="str">
        <f t="shared" ca="1" si="102"/>
        <v>Ocu</v>
      </c>
      <c r="J456" s="40">
        <f t="shared" ca="1" si="94"/>
        <v>115</v>
      </c>
      <c r="K456" s="41">
        <f t="shared" ca="1" si="91"/>
        <v>29.498324507294726</v>
      </c>
      <c r="L456" s="42">
        <f t="shared" ca="1" si="103"/>
        <v>100.18703425525044</v>
      </c>
      <c r="M456" s="36">
        <f t="shared" ca="1" si="95"/>
        <v>0.313</v>
      </c>
      <c r="N456" s="36">
        <f t="shared" si="104"/>
        <v>4</v>
      </c>
      <c r="O456" s="39">
        <f t="shared" ca="1" si="96"/>
        <v>0.29038802211049597</v>
      </c>
      <c r="P456" s="39">
        <f t="shared" ca="1" si="97"/>
        <v>100.47742227736093</v>
      </c>
      <c r="Q456" s="43">
        <f t="shared" ca="1" si="105"/>
        <v>29.788712529405217</v>
      </c>
    </row>
    <row r="457" spans="1:17" x14ac:dyDescent="0.25">
      <c r="A457" s="36">
        <v>410</v>
      </c>
      <c r="B457" s="36">
        <f t="shared" ca="1" si="92"/>
        <v>0.45700000000000002</v>
      </c>
      <c r="C457" s="37">
        <f t="shared" si="98"/>
        <v>6</v>
      </c>
      <c r="D457" s="39">
        <f t="shared" ca="1" si="93"/>
        <v>0.13051198134798869</v>
      </c>
      <c r="E457" s="39">
        <f t="shared" ca="1" si="99"/>
        <v>70.819221729303706</v>
      </c>
      <c r="F457" s="36">
        <f t="shared" ca="1" si="100"/>
        <v>115</v>
      </c>
      <c r="G457" s="36">
        <f ca="1">COUNTIF($P$48:P467,"&lt;"&amp;E457)</f>
        <v>294</v>
      </c>
      <c r="H457" s="36">
        <f t="shared" ca="1" si="101"/>
        <v>0</v>
      </c>
      <c r="I457" s="36" t="str">
        <f t="shared" ca="1" si="102"/>
        <v>Ocu</v>
      </c>
      <c r="J457" s="40">
        <f t="shared" ca="1" si="94"/>
        <v>116</v>
      </c>
      <c r="K457" s="41">
        <f t="shared" ca="1" si="91"/>
        <v>29.658200548057224</v>
      </c>
      <c r="L457" s="42">
        <f t="shared" ca="1" si="103"/>
        <v>100.47742227736093</v>
      </c>
      <c r="M457" s="36">
        <f t="shared" ca="1" si="95"/>
        <v>0.34399999999999997</v>
      </c>
      <c r="N457" s="36">
        <f t="shared" si="104"/>
        <v>4</v>
      </c>
      <c r="O457" s="39">
        <f t="shared" ca="1" si="96"/>
        <v>0.26677840540218473</v>
      </c>
      <c r="P457" s="39">
        <f t="shared" ca="1" si="97"/>
        <v>100.74420068276311</v>
      </c>
      <c r="Q457" s="43">
        <f t="shared" ca="1" si="105"/>
        <v>29.924978953459402</v>
      </c>
    </row>
    <row r="458" spans="1:17" x14ac:dyDescent="0.25">
      <c r="A458" s="36">
        <v>411</v>
      </c>
      <c r="B458" s="36">
        <f t="shared" ca="1" si="92"/>
        <v>0.38900000000000001</v>
      </c>
      <c r="C458" s="37">
        <f t="shared" si="98"/>
        <v>6</v>
      </c>
      <c r="D458" s="39">
        <f t="shared" ca="1" si="93"/>
        <v>0.15736265589394846</v>
      </c>
      <c r="E458" s="39">
        <f t="shared" ca="1" si="99"/>
        <v>70.976584385197654</v>
      </c>
      <c r="F458" s="36">
        <f t="shared" ca="1" si="100"/>
        <v>116</v>
      </c>
      <c r="G458" s="36">
        <f ca="1">COUNTIF($P$48:P468,"&lt;"&amp;E458)</f>
        <v>294</v>
      </c>
      <c r="H458" s="36">
        <f t="shared" ca="1" si="101"/>
        <v>0</v>
      </c>
      <c r="I458" s="36" t="str">
        <f t="shared" ca="1" si="102"/>
        <v>Ocu</v>
      </c>
      <c r="J458" s="40">
        <f t="shared" ca="1" si="94"/>
        <v>117</v>
      </c>
      <c r="K458" s="41">
        <f t="shared" ca="1" si="91"/>
        <v>29.767616297565453</v>
      </c>
      <c r="L458" s="42">
        <f t="shared" ca="1" si="103"/>
        <v>100.74420068276311</v>
      </c>
      <c r="M458" s="36">
        <f t="shared" ca="1" si="95"/>
        <v>0.73</v>
      </c>
      <c r="N458" s="36">
        <f t="shared" si="104"/>
        <v>4</v>
      </c>
      <c r="O458" s="39">
        <f t="shared" ca="1" si="96"/>
        <v>7.8677686209925046E-2</v>
      </c>
      <c r="P458" s="39">
        <f t="shared" ca="1" si="97"/>
        <v>100.82287836897304</v>
      </c>
      <c r="Q458" s="43">
        <f t="shared" ca="1" si="105"/>
        <v>29.846293983775382</v>
      </c>
    </row>
    <row r="459" spans="1:17" x14ac:dyDescent="0.25">
      <c r="A459" s="36">
        <v>412</v>
      </c>
      <c r="B459" s="36">
        <f t="shared" ca="1" si="92"/>
        <v>0.51</v>
      </c>
      <c r="C459" s="37">
        <f t="shared" si="98"/>
        <v>6</v>
      </c>
      <c r="D459" s="39">
        <f t="shared" ca="1" si="93"/>
        <v>0.11222409221062758</v>
      </c>
      <c r="E459" s="39">
        <f t="shared" ca="1" si="99"/>
        <v>71.088808477408278</v>
      </c>
      <c r="F459" s="36">
        <f t="shared" ca="1" si="100"/>
        <v>116</v>
      </c>
      <c r="G459" s="36">
        <f ca="1">COUNTIF($P$48:P469,"&lt;"&amp;E459)</f>
        <v>295</v>
      </c>
      <c r="H459" s="36">
        <f t="shared" ca="1" si="101"/>
        <v>1</v>
      </c>
      <c r="I459" s="36" t="str">
        <f t="shared" ca="1" si="102"/>
        <v>Ocu</v>
      </c>
      <c r="J459" s="40">
        <f t="shared" ca="1" si="94"/>
        <v>117</v>
      </c>
      <c r="K459" s="41">
        <f t="shared" ca="1" si="91"/>
        <v>29.734069891564758</v>
      </c>
      <c r="L459" s="42">
        <f t="shared" ca="1" si="103"/>
        <v>100.82287836897304</v>
      </c>
      <c r="M459" s="36">
        <f t="shared" ca="1" si="95"/>
        <v>0.94199999999999995</v>
      </c>
      <c r="N459" s="36">
        <f t="shared" si="104"/>
        <v>4</v>
      </c>
      <c r="O459" s="39">
        <f t="shared" ca="1" si="96"/>
        <v>1.4937501101443495E-2</v>
      </c>
      <c r="P459" s="39">
        <f t="shared" ca="1" si="97"/>
        <v>100.83781587007448</v>
      </c>
      <c r="Q459" s="43">
        <f t="shared" ca="1" si="105"/>
        <v>29.749007392666201</v>
      </c>
    </row>
    <row r="460" spans="1:17" x14ac:dyDescent="0.25">
      <c r="A460" s="36">
        <v>413</v>
      </c>
      <c r="B460" s="36">
        <f t="shared" ca="1" si="92"/>
        <v>5.8000000000000003E-2</v>
      </c>
      <c r="C460" s="37">
        <f t="shared" si="98"/>
        <v>6</v>
      </c>
      <c r="D460" s="39">
        <f t="shared" ca="1" si="93"/>
        <v>0.47455204473928625</v>
      </c>
      <c r="E460" s="39">
        <f t="shared" ca="1" si="99"/>
        <v>71.563360522147562</v>
      </c>
      <c r="F460" s="36">
        <f t="shared" ca="1" si="100"/>
        <v>113</v>
      </c>
      <c r="G460" s="36">
        <f ca="1">COUNTIF($P$48:P470,"&lt;"&amp;E460)</f>
        <v>299</v>
      </c>
      <c r="H460" s="36">
        <f t="shared" ca="1" si="101"/>
        <v>4</v>
      </c>
      <c r="I460" s="36" t="str">
        <f t="shared" ca="1" si="102"/>
        <v>Ocu</v>
      </c>
      <c r="J460" s="40">
        <f t="shared" ca="1" si="94"/>
        <v>114</v>
      </c>
      <c r="K460" s="41">
        <f t="shared" ca="1" si="91"/>
        <v>29.274455347926917</v>
      </c>
      <c r="L460" s="42">
        <f t="shared" ca="1" si="103"/>
        <v>100.83781587007448</v>
      </c>
      <c r="M460" s="36">
        <f t="shared" ca="1" si="95"/>
        <v>0.38800000000000001</v>
      </c>
      <c r="N460" s="36">
        <f t="shared" si="104"/>
        <v>4</v>
      </c>
      <c r="O460" s="39">
        <f t="shared" ca="1" si="96"/>
        <v>0.23668748483971588</v>
      </c>
      <c r="P460" s="39">
        <f t="shared" ca="1" si="97"/>
        <v>101.0745033549142</v>
      </c>
      <c r="Q460" s="43">
        <f t="shared" ca="1" si="105"/>
        <v>29.511142832766637</v>
      </c>
    </row>
    <row r="461" spans="1:17" x14ac:dyDescent="0.25">
      <c r="A461" s="36">
        <v>414</v>
      </c>
      <c r="B461" s="36">
        <f t="shared" ca="1" si="92"/>
        <v>3.0000000000000001E-3</v>
      </c>
      <c r="C461" s="37">
        <f t="shared" si="98"/>
        <v>6</v>
      </c>
      <c r="D461" s="39">
        <f t="shared" ca="1" si="93"/>
        <v>0.96819049838567128</v>
      </c>
      <c r="E461" s="39">
        <f t="shared" ca="1" si="99"/>
        <v>72.531551020533229</v>
      </c>
      <c r="F461" s="36">
        <f t="shared" ca="1" si="100"/>
        <v>110</v>
      </c>
      <c r="G461" s="36">
        <f ca="1">COUNTIF($P$48:P471,"&lt;"&amp;E461)</f>
        <v>303</v>
      </c>
      <c r="H461" s="36">
        <f t="shared" ca="1" si="101"/>
        <v>4</v>
      </c>
      <c r="I461" s="36" t="str">
        <f t="shared" ca="1" si="102"/>
        <v>Ocu</v>
      </c>
      <c r="J461" s="40">
        <f t="shared" ca="1" si="94"/>
        <v>111</v>
      </c>
      <c r="K461" s="41">
        <f t="shared" ca="1" si="91"/>
        <v>28.542952334380971</v>
      </c>
      <c r="L461" s="42">
        <f t="shared" ca="1" si="103"/>
        <v>101.0745033549142</v>
      </c>
      <c r="M461" s="36">
        <f t="shared" ca="1" si="95"/>
        <v>0.30299999999999999</v>
      </c>
      <c r="N461" s="36">
        <f t="shared" si="104"/>
        <v>4</v>
      </c>
      <c r="O461" s="39">
        <f t="shared" ca="1" si="96"/>
        <v>0.29850561836819195</v>
      </c>
      <c r="P461" s="39">
        <f t="shared" ca="1" si="97"/>
        <v>101.3730089732824</v>
      </c>
      <c r="Q461" s="43">
        <f t="shared" ca="1" si="105"/>
        <v>28.841457952749167</v>
      </c>
    </row>
    <row r="462" spans="1:17" x14ac:dyDescent="0.25">
      <c r="A462" s="36">
        <v>415</v>
      </c>
      <c r="B462" s="36">
        <f t="shared" ca="1" si="92"/>
        <v>0.40500000000000003</v>
      </c>
      <c r="C462" s="37">
        <f t="shared" si="98"/>
        <v>6</v>
      </c>
      <c r="D462" s="39">
        <f t="shared" ca="1" si="93"/>
        <v>0.1506447019792663</v>
      </c>
      <c r="E462" s="39">
        <f t="shared" ca="1" si="99"/>
        <v>72.682195722512489</v>
      </c>
      <c r="F462" s="36">
        <f t="shared" ca="1" si="100"/>
        <v>110</v>
      </c>
      <c r="G462" s="36">
        <f ca="1">COUNTIF($P$48:P472,"&lt;"&amp;E462)</f>
        <v>304</v>
      </c>
      <c r="H462" s="36">
        <f t="shared" ca="1" si="101"/>
        <v>1</v>
      </c>
      <c r="I462" s="36" t="str">
        <f t="shared" ca="1" si="102"/>
        <v>Ocu</v>
      </c>
      <c r="J462" s="40">
        <f t="shared" ca="1" si="94"/>
        <v>111</v>
      </c>
      <c r="K462" s="41">
        <f t="shared" ca="1" si="91"/>
        <v>28.690813250769907</v>
      </c>
      <c r="L462" s="42">
        <f t="shared" ca="1" si="103"/>
        <v>101.3730089732824</v>
      </c>
      <c r="M462" s="36">
        <f t="shared" ca="1" si="95"/>
        <v>0.76900000000000002</v>
      </c>
      <c r="N462" s="36">
        <f t="shared" si="104"/>
        <v>4</v>
      </c>
      <c r="O462" s="39">
        <f t="shared" ca="1" si="96"/>
        <v>6.5666077369123249E-2</v>
      </c>
      <c r="P462" s="39">
        <f t="shared" ca="1" si="97"/>
        <v>101.43867505065153</v>
      </c>
      <c r="Q462" s="43">
        <f t="shared" ca="1" si="105"/>
        <v>28.756479328139037</v>
      </c>
    </row>
    <row r="463" spans="1:17" x14ac:dyDescent="0.25">
      <c r="A463" s="36">
        <v>416</v>
      </c>
      <c r="B463" s="36">
        <f t="shared" ca="1" si="92"/>
        <v>0.13700000000000001</v>
      </c>
      <c r="C463" s="37">
        <f t="shared" si="98"/>
        <v>6</v>
      </c>
      <c r="D463" s="39">
        <f t="shared" ca="1" si="93"/>
        <v>0.33129572552566866</v>
      </c>
      <c r="E463" s="39">
        <f t="shared" ca="1" si="99"/>
        <v>73.013491448038152</v>
      </c>
      <c r="F463" s="36">
        <f t="shared" ca="1" si="100"/>
        <v>111</v>
      </c>
      <c r="G463" s="36">
        <f ca="1">COUNTIF($P$48:P473,"&lt;"&amp;E463)</f>
        <v>304</v>
      </c>
      <c r="H463" s="36">
        <f t="shared" ca="1" si="101"/>
        <v>0</v>
      </c>
      <c r="I463" s="36" t="str">
        <f t="shared" ca="1" si="102"/>
        <v>Ocu</v>
      </c>
      <c r="J463" s="40">
        <f t="shared" ca="1" si="94"/>
        <v>112</v>
      </c>
      <c r="K463" s="41">
        <f t="shared" ca="1" si="91"/>
        <v>28.425183602613373</v>
      </c>
      <c r="L463" s="42">
        <f t="shared" ca="1" si="103"/>
        <v>101.43867505065153</v>
      </c>
      <c r="M463" s="36">
        <f t="shared" ca="1" si="95"/>
        <v>0.23699999999999999</v>
      </c>
      <c r="N463" s="36">
        <f t="shared" si="104"/>
        <v>4</v>
      </c>
      <c r="O463" s="39">
        <f t="shared" ca="1" si="96"/>
        <v>0.35992378446175144</v>
      </c>
      <c r="P463" s="39">
        <f t="shared" ca="1" si="97"/>
        <v>101.79859883511328</v>
      </c>
      <c r="Q463" s="43">
        <f t="shared" ca="1" si="105"/>
        <v>28.785107387075129</v>
      </c>
    </row>
    <row r="464" spans="1:17" x14ac:dyDescent="0.25">
      <c r="A464" s="36">
        <v>417</v>
      </c>
      <c r="B464" s="36">
        <f t="shared" ca="1" si="92"/>
        <v>0.82899999999999996</v>
      </c>
      <c r="C464" s="37">
        <f t="shared" si="98"/>
        <v>6</v>
      </c>
      <c r="D464" s="39">
        <f t="shared" ca="1" si="93"/>
        <v>3.1255853974473696E-2</v>
      </c>
      <c r="E464" s="39">
        <f t="shared" ca="1" si="99"/>
        <v>73.044747302012624</v>
      </c>
      <c r="F464" s="36">
        <f t="shared" ca="1" si="100"/>
        <v>112</v>
      </c>
      <c r="G464" s="36">
        <f ca="1">COUNTIF($P$48:P474,"&lt;"&amp;E464)</f>
        <v>304</v>
      </c>
      <c r="H464" s="36">
        <f t="shared" ca="1" si="101"/>
        <v>0</v>
      </c>
      <c r="I464" s="36" t="str">
        <f t="shared" ca="1" si="102"/>
        <v>Ocu</v>
      </c>
      <c r="J464" s="40">
        <f t="shared" ca="1" si="94"/>
        <v>113</v>
      </c>
      <c r="K464" s="41">
        <f t="shared" ca="1" si="91"/>
        <v>28.753851533100658</v>
      </c>
      <c r="L464" s="42">
        <f t="shared" ca="1" si="103"/>
        <v>101.79859883511328</v>
      </c>
      <c r="M464" s="36">
        <f t="shared" ca="1" si="95"/>
        <v>0.307</v>
      </c>
      <c r="N464" s="36">
        <f t="shared" si="104"/>
        <v>4</v>
      </c>
      <c r="O464" s="39">
        <f t="shared" ca="1" si="96"/>
        <v>0.29522688284873499</v>
      </c>
      <c r="P464" s="39">
        <f t="shared" ca="1" si="97"/>
        <v>102.09382571796202</v>
      </c>
      <c r="Q464" s="43">
        <f t="shared" ca="1" si="105"/>
        <v>29.049078415949396</v>
      </c>
    </row>
    <row r="465" spans="1:17" x14ac:dyDescent="0.25">
      <c r="A465" s="36">
        <v>418</v>
      </c>
      <c r="B465" s="36">
        <f t="shared" ca="1" si="92"/>
        <v>0.89100000000000001</v>
      </c>
      <c r="C465" s="37">
        <f t="shared" si="98"/>
        <v>6</v>
      </c>
      <c r="D465" s="39">
        <f t="shared" ca="1" si="93"/>
        <v>1.9235141918554622E-2</v>
      </c>
      <c r="E465" s="39">
        <f t="shared" ca="1" si="99"/>
        <v>73.063982443931181</v>
      </c>
      <c r="F465" s="36">
        <f t="shared" ca="1" si="100"/>
        <v>113</v>
      </c>
      <c r="G465" s="36">
        <f ca="1">COUNTIF($P$48:P475,"&lt;"&amp;E465)</f>
        <v>304</v>
      </c>
      <c r="H465" s="36">
        <f t="shared" ca="1" si="101"/>
        <v>0</v>
      </c>
      <c r="I465" s="36" t="str">
        <f t="shared" ca="1" si="102"/>
        <v>Ocu</v>
      </c>
      <c r="J465" s="40">
        <f t="shared" ca="1" si="94"/>
        <v>114</v>
      </c>
      <c r="K465" s="41">
        <f t="shared" ca="1" si="91"/>
        <v>29.029843274030839</v>
      </c>
      <c r="L465" s="42">
        <f t="shared" ca="1" si="103"/>
        <v>102.09382571796202</v>
      </c>
      <c r="M465" s="36">
        <f t="shared" ca="1" si="95"/>
        <v>0.91700000000000004</v>
      </c>
      <c r="N465" s="36">
        <f t="shared" si="104"/>
        <v>4</v>
      </c>
      <c r="O465" s="39">
        <f t="shared" ca="1" si="96"/>
        <v>2.1661951681418039E-2</v>
      </c>
      <c r="P465" s="39">
        <f t="shared" ca="1" si="97"/>
        <v>102.11548766964344</v>
      </c>
      <c r="Q465" s="43">
        <f t="shared" ca="1" si="105"/>
        <v>29.051505225712262</v>
      </c>
    </row>
    <row r="466" spans="1:17" x14ac:dyDescent="0.25">
      <c r="A466" s="36">
        <v>419</v>
      </c>
      <c r="B466" s="36">
        <f t="shared" ca="1" si="92"/>
        <v>6.8000000000000005E-2</v>
      </c>
      <c r="C466" s="37">
        <f t="shared" si="98"/>
        <v>6</v>
      </c>
      <c r="D466" s="39">
        <f t="shared" ca="1" si="93"/>
        <v>0.44804126230100505</v>
      </c>
      <c r="E466" s="39">
        <f t="shared" ca="1" si="99"/>
        <v>73.512023706232185</v>
      </c>
      <c r="F466" s="36">
        <f t="shared" ca="1" si="100"/>
        <v>113</v>
      </c>
      <c r="G466" s="36">
        <f ca="1">COUNTIF($P$48:P476,"&lt;"&amp;E466)</f>
        <v>305</v>
      </c>
      <c r="H466" s="36">
        <f t="shared" ca="1" si="101"/>
        <v>1</v>
      </c>
      <c r="I466" s="36" t="str">
        <f t="shared" ca="1" si="102"/>
        <v>Ocu</v>
      </c>
      <c r="J466" s="40">
        <f t="shared" ca="1" si="94"/>
        <v>114</v>
      </c>
      <c r="K466" s="41">
        <f t="shared" ca="1" si="91"/>
        <v>28.603463963411258</v>
      </c>
      <c r="L466" s="42">
        <f t="shared" ca="1" si="103"/>
        <v>102.11548766964344</v>
      </c>
      <c r="M466" s="36">
        <f t="shared" ca="1" si="95"/>
        <v>0.41</v>
      </c>
      <c r="N466" s="36">
        <f t="shared" si="104"/>
        <v>4</v>
      </c>
      <c r="O466" s="39">
        <f t="shared" ca="1" si="96"/>
        <v>0.22289952982094588</v>
      </c>
      <c r="P466" s="39">
        <f t="shared" ca="1" si="97"/>
        <v>102.33838719946439</v>
      </c>
      <c r="Q466" s="43">
        <f t="shared" ca="1" si="105"/>
        <v>28.826363493232208</v>
      </c>
    </row>
    <row r="467" spans="1:17" x14ac:dyDescent="0.25">
      <c r="A467" s="36">
        <v>420</v>
      </c>
      <c r="B467" s="36">
        <f t="shared" ca="1" si="92"/>
        <v>0.96399999999999997</v>
      </c>
      <c r="C467" s="37">
        <f t="shared" si="98"/>
        <v>6</v>
      </c>
      <c r="D467" s="39">
        <f t="shared" ca="1" si="93"/>
        <v>6.1106640619319206E-3</v>
      </c>
      <c r="E467" s="39">
        <f t="shared" ca="1" si="99"/>
        <v>73.518134370294121</v>
      </c>
      <c r="F467" s="36">
        <f t="shared" ca="1" si="100"/>
        <v>114</v>
      </c>
      <c r="G467" s="36">
        <f ca="1">COUNTIF($P$48:P477,"&lt;"&amp;E467)</f>
        <v>305</v>
      </c>
      <c r="H467" s="36">
        <f t="shared" ca="1" si="101"/>
        <v>0</v>
      </c>
      <c r="I467" s="36" t="str">
        <f t="shared" ca="1" si="102"/>
        <v>Ocu</v>
      </c>
      <c r="J467" s="40">
        <f t="shared" ca="1" si="94"/>
        <v>115</v>
      </c>
      <c r="K467" s="41">
        <f t="shared" ca="1" si="91"/>
        <v>28.820252829170272</v>
      </c>
      <c r="L467" s="42">
        <f t="shared" ca="1" si="103"/>
        <v>102.33838719946439</v>
      </c>
      <c r="M467" s="36">
        <f t="shared" ca="1" si="95"/>
        <v>0.98</v>
      </c>
      <c r="N467" s="36">
        <f t="shared" si="104"/>
        <v>4</v>
      </c>
      <c r="O467" s="39">
        <f t="shared" ca="1" si="96"/>
        <v>5.0506768293798673E-3</v>
      </c>
      <c r="P467" s="39">
        <f t="shared" ca="1" si="97"/>
        <v>102.34343787629378</v>
      </c>
      <c r="Q467" s="43">
        <f t="shared" ca="1" si="105"/>
        <v>28.825303505999656</v>
      </c>
    </row>
    <row r="468" spans="1:17" x14ac:dyDescent="0.25">
      <c r="A468" s="36">
        <v>421</v>
      </c>
      <c r="B468" s="36">
        <f t="shared" ca="1" si="92"/>
        <v>0.27600000000000002</v>
      </c>
      <c r="C468" s="37">
        <f t="shared" si="98"/>
        <v>6</v>
      </c>
      <c r="D468" s="39">
        <f t="shared" ca="1" si="93"/>
        <v>0.21455906887749782</v>
      </c>
      <c r="E468" s="39">
        <f t="shared" ca="1" si="99"/>
        <v>73.732693439171612</v>
      </c>
      <c r="F468" s="36">
        <f t="shared" ca="1" si="100"/>
        <v>114</v>
      </c>
      <c r="G468" s="36">
        <f ca="1">COUNTIF($P$48:P478,"&lt;"&amp;E468)</f>
        <v>306</v>
      </c>
      <c r="H468" s="36">
        <f t="shared" ca="1" si="101"/>
        <v>1</v>
      </c>
      <c r="I468" s="36" t="str">
        <f t="shared" ca="1" si="102"/>
        <v>Ocu</v>
      </c>
      <c r="J468" s="40">
        <f t="shared" ca="1" si="94"/>
        <v>115</v>
      </c>
      <c r="K468" s="41">
        <f t="shared" ca="1" si="91"/>
        <v>28.610744437122165</v>
      </c>
      <c r="L468" s="42">
        <f t="shared" ca="1" si="103"/>
        <v>102.34343787629378</v>
      </c>
      <c r="M468" s="36">
        <f t="shared" ca="1" si="95"/>
        <v>4.9000000000000002E-2</v>
      </c>
      <c r="N468" s="36">
        <f t="shared" si="104"/>
        <v>4</v>
      </c>
      <c r="O468" s="39">
        <f t="shared" ca="1" si="96"/>
        <v>0.75398374521787759</v>
      </c>
      <c r="P468" s="39">
        <f t="shared" ca="1" si="97"/>
        <v>103.09742162151166</v>
      </c>
      <c r="Q468" s="43">
        <f t="shared" ca="1" si="105"/>
        <v>29.364728182340045</v>
      </c>
    </row>
    <row r="469" spans="1:17" x14ac:dyDescent="0.25">
      <c r="A469" s="36">
        <v>422</v>
      </c>
      <c r="B469" s="36">
        <f t="shared" ca="1" si="92"/>
        <v>0.81899999999999995</v>
      </c>
      <c r="C469" s="37">
        <f t="shared" si="98"/>
        <v>6</v>
      </c>
      <c r="D469" s="39">
        <f t="shared" ca="1" si="93"/>
        <v>3.3278532521511285E-2</v>
      </c>
      <c r="E469" s="39">
        <f t="shared" ca="1" si="99"/>
        <v>73.765971971693119</v>
      </c>
      <c r="F469" s="36">
        <f t="shared" ca="1" si="100"/>
        <v>114</v>
      </c>
      <c r="G469" s="36">
        <f ca="1">COUNTIF($P$48:P479,"&lt;"&amp;E469)</f>
        <v>307</v>
      </c>
      <c r="H469" s="36">
        <f t="shared" ca="1" si="101"/>
        <v>1</v>
      </c>
      <c r="I469" s="36" t="str">
        <f t="shared" ca="1" si="102"/>
        <v>Ocu</v>
      </c>
      <c r="J469" s="40">
        <f t="shared" ca="1" si="94"/>
        <v>115</v>
      </c>
      <c r="K469" s="41">
        <f t="shared" ca="1" si="91"/>
        <v>29.331449649818538</v>
      </c>
      <c r="L469" s="42">
        <f t="shared" ca="1" si="103"/>
        <v>103.09742162151166</v>
      </c>
      <c r="M469" s="36">
        <f t="shared" ca="1" si="95"/>
        <v>0.63400000000000001</v>
      </c>
      <c r="N469" s="36">
        <f t="shared" si="104"/>
        <v>4</v>
      </c>
      <c r="O469" s="39">
        <f t="shared" ca="1" si="96"/>
        <v>0.11392658113622778</v>
      </c>
      <c r="P469" s="39">
        <f t="shared" ca="1" si="97"/>
        <v>103.21134820264788</v>
      </c>
      <c r="Q469" s="43">
        <f t="shared" ca="1" si="105"/>
        <v>29.445376230954764</v>
      </c>
    </row>
    <row r="470" spans="1:17" x14ac:dyDescent="0.25">
      <c r="A470" s="36">
        <v>423</v>
      </c>
      <c r="B470" s="36">
        <f t="shared" ca="1" si="92"/>
        <v>0.21</v>
      </c>
      <c r="C470" s="37">
        <f t="shared" si="98"/>
        <v>6</v>
      </c>
      <c r="D470" s="39">
        <f t="shared" ca="1" si="93"/>
        <v>0.26010795804411135</v>
      </c>
      <c r="E470" s="39">
        <f t="shared" ca="1" si="99"/>
        <v>74.026079929737236</v>
      </c>
      <c r="F470" s="36">
        <f t="shared" ca="1" si="100"/>
        <v>115</v>
      </c>
      <c r="G470" s="36">
        <f ca="1">COUNTIF($P$48:P480,"&lt;"&amp;E470)</f>
        <v>307</v>
      </c>
      <c r="H470" s="36">
        <f t="shared" ca="1" si="101"/>
        <v>0</v>
      </c>
      <c r="I470" s="36" t="str">
        <f t="shared" ca="1" si="102"/>
        <v>Ocu</v>
      </c>
      <c r="J470" s="40">
        <f t="shared" ca="1" si="94"/>
        <v>116</v>
      </c>
      <c r="K470" s="41">
        <f t="shared" ca="1" si="91"/>
        <v>29.185268272910648</v>
      </c>
      <c r="L470" s="42">
        <f t="shared" ca="1" si="103"/>
        <v>103.21134820264788</v>
      </c>
      <c r="M470" s="36">
        <f t="shared" ca="1" si="95"/>
        <v>0.65600000000000003</v>
      </c>
      <c r="N470" s="36">
        <f t="shared" si="104"/>
        <v>4</v>
      </c>
      <c r="O470" s="39">
        <f t="shared" ca="1" si="96"/>
        <v>0.105398622509512</v>
      </c>
      <c r="P470" s="39">
        <f t="shared" ca="1" si="97"/>
        <v>103.3167468251574</v>
      </c>
      <c r="Q470" s="43">
        <f t="shared" ca="1" si="105"/>
        <v>29.290666895420159</v>
      </c>
    </row>
    <row r="471" spans="1:17" x14ac:dyDescent="0.25">
      <c r="A471" s="36">
        <v>424</v>
      </c>
      <c r="B471" s="36">
        <f t="shared" ca="1" si="92"/>
        <v>0.58099999999999996</v>
      </c>
      <c r="C471" s="37">
        <f t="shared" si="98"/>
        <v>6</v>
      </c>
      <c r="D471" s="39">
        <f t="shared" ca="1" si="93"/>
        <v>9.0500753688370975E-2</v>
      </c>
      <c r="E471" s="39">
        <f t="shared" ca="1" si="99"/>
        <v>74.11658068342561</v>
      </c>
      <c r="F471" s="36">
        <f t="shared" ca="1" si="100"/>
        <v>116</v>
      </c>
      <c r="G471" s="36">
        <f ca="1">COUNTIF($P$48:P481,"&lt;"&amp;E471)</f>
        <v>307</v>
      </c>
      <c r="H471" s="36">
        <f t="shared" ca="1" si="101"/>
        <v>0</v>
      </c>
      <c r="I471" s="36" t="str">
        <f t="shared" ca="1" si="102"/>
        <v>Ocu</v>
      </c>
      <c r="J471" s="40">
        <f t="shared" ca="1" si="94"/>
        <v>117</v>
      </c>
      <c r="K471" s="41">
        <f t="shared" ca="1" si="91"/>
        <v>29.200166141731785</v>
      </c>
      <c r="L471" s="42">
        <f t="shared" ca="1" si="103"/>
        <v>103.3167468251574</v>
      </c>
      <c r="M471" s="36">
        <f t="shared" ca="1" si="95"/>
        <v>0.64400000000000002</v>
      </c>
      <c r="N471" s="36">
        <f t="shared" si="104"/>
        <v>4</v>
      </c>
      <c r="O471" s="39">
        <f t="shared" ca="1" si="96"/>
        <v>0.11001413821944586</v>
      </c>
      <c r="P471" s="39">
        <f t="shared" ca="1" si="97"/>
        <v>103.42676096337684</v>
      </c>
      <c r="Q471" s="43">
        <f t="shared" ca="1" si="105"/>
        <v>29.310180279951226</v>
      </c>
    </row>
    <row r="472" spans="1:17" x14ac:dyDescent="0.25">
      <c r="A472" s="36">
        <v>425</v>
      </c>
      <c r="B472" s="36">
        <f t="shared" ca="1" si="92"/>
        <v>0.89300000000000002</v>
      </c>
      <c r="C472" s="37">
        <f t="shared" si="98"/>
        <v>6</v>
      </c>
      <c r="D472" s="39">
        <f t="shared" ca="1" si="93"/>
        <v>1.8861449684272995E-2</v>
      </c>
      <c r="E472" s="39">
        <f t="shared" ca="1" si="99"/>
        <v>74.135442133109876</v>
      </c>
      <c r="F472" s="36">
        <f t="shared" ca="1" si="100"/>
        <v>116</v>
      </c>
      <c r="G472" s="36">
        <f ca="1">COUNTIF($P$48:P482,"&lt;"&amp;E472)</f>
        <v>308</v>
      </c>
      <c r="H472" s="36">
        <f t="shared" ca="1" si="101"/>
        <v>1</v>
      </c>
      <c r="I472" s="36" t="str">
        <f t="shared" ca="1" si="102"/>
        <v>Ocu</v>
      </c>
      <c r="J472" s="40">
        <f t="shared" ca="1" si="94"/>
        <v>117</v>
      </c>
      <c r="K472" s="41">
        <f t="shared" ca="1" si="91"/>
        <v>29.29131883026696</v>
      </c>
      <c r="L472" s="42">
        <f t="shared" ca="1" si="103"/>
        <v>103.42676096337684</v>
      </c>
      <c r="M472" s="36">
        <f t="shared" ca="1" si="95"/>
        <v>0.36199999999999999</v>
      </c>
      <c r="N472" s="36">
        <f t="shared" si="104"/>
        <v>4</v>
      </c>
      <c r="O472" s="39">
        <f t="shared" ca="1" si="96"/>
        <v>0.2540277667890915</v>
      </c>
      <c r="P472" s="39">
        <f t="shared" ca="1" si="97"/>
        <v>103.68078873016593</v>
      </c>
      <c r="Q472" s="43">
        <f t="shared" ca="1" si="105"/>
        <v>29.545346597056053</v>
      </c>
    </row>
    <row r="473" spans="1:17" x14ac:dyDescent="0.25">
      <c r="A473" s="36">
        <v>426</v>
      </c>
      <c r="B473" s="36">
        <f t="shared" ca="1" si="92"/>
        <v>0.66900000000000004</v>
      </c>
      <c r="C473" s="37">
        <f t="shared" si="98"/>
        <v>6</v>
      </c>
      <c r="D473" s="39">
        <f t="shared" ca="1" si="93"/>
        <v>6.6995203142318091E-2</v>
      </c>
      <c r="E473" s="39">
        <f t="shared" ca="1" si="99"/>
        <v>74.202437336252189</v>
      </c>
      <c r="F473" s="36">
        <f t="shared" ca="1" si="100"/>
        <v>117</v>
      </c>
      <c r="G473" s="36">
        <f ca="1">COUNTIF($P$48:P483,"&lt;"&amp;E473)</f>
        <v>308</v>
      </c>
      <c r="H473" s="36">
        <f t="shared" ca="1" si="101"/>
        <v>0</v>
      </c>
      <c r="I473" s="36" t="str">
        <f t="shared" ca="1" si="102"/>
        <v>Ocu</v>
      </c>
      <c r="J473" s="40">
        <f t="shared" ca="1" si="94"/>
        <v>118</v>
      </c>
      <c r="K473" s="41">
        <f t="shared" ca="1" si="91"/>
        <v>29.478351393913741</v>
      </c>
      <c r="L473" s="42">
        <f t="shared" ca="1" si="103"/>
        <v>103.68078873016593</v>
      </c>
      <c r="M473" s="36">
        <f t="shared" ca="1" si="95"/>
        <v>4.7E-2</v>
      </c>
      <c r="N473" s="36">
        <f t="shared" si="104"/>
        <v>4</v>
      </c>
      <c r="O473" s="39">
        <f t="shared" ca="1" si="96"/>
        <v>0.7644019193180196</v>
      </c>
      <c r="P473" s="39">
        <f t="shared" ca="1" si="97"/>
        <v>104.44519064948395</v>
      </c>
      <c r="Q473" s="43">
        <f t="shared" ca="1" si="105"/>
        <v>30.242753313231759</v>
      </c>
    </row>
    <row r="474" spans="1:17" x14ac:dyDescent="0.25">
      <c r="A474" s="36">
        <v>427</v>
      </c>
      <c r="B474" s="36">
        <f t="shared" ca="1" si="92"/>
        <v>0.17399999999999999</v>
      </c>
      <c r="C474" s="37">
        <f t="shared" si="98"/>
        <v>6</v>
      </c>
      <c r="D474" s="39">
        <f t="shared" ca="1" si="93"/>
        <v>0.29144999662793469</v>
      </c>
      <c r="E474" s="39">
        <f t="shared" ca="1" si="99"/>
        <v>74.493887332880121</v>
      </c>
      <c r="F474" s="36">
        <f t="shared" ca="1" si="100"/>
        <v>118</v>
      </c>
      <c r="G474" s="36">
        <f ca="1">COUNTIF($P$48:P484,"&lt;"&amp;E474)</f>
        <v>308</v>
      </c>
      <c r="H474" s="36">
        <f t="shared" ca="1" si="101"/>
        <v>0</v>
      </c>
      <c r="I474" s="36" t="str">
        <f t="shared" ca="1" si="102"/>
        <v>Ocu</v>
      </c>
      <c r="J474" s="40">
        <f t="shared" ca="1" si="94"/>
        <v>119</v>
      </c>
      <c r="K474" s="41">
        <f t="shared" ca="1" si="91"/>
        <v>29.951303316603827</v>
      </c>
      <c r="L474" s="42">
        <f t="shared" ca="1" si="103"/>
        <v>104.44519064948395</v>
      </c>
      <c r="M474" s="36">
        <f t="shared" ca="1" si="95"/>
        <v>0.76800000000000002</v>
      </c>
      <c r="N474" s="36">
        <f t="shared" si="104"/>
        <v>4</v>
      </c>
      <c r="O474" s="39">
        <f t="shared" ca="1" si="96"/>
        <v>6.5991386458616214E-2</v>
      </c>
      <c r="P474" s="39">
        <f t="shared" ca="1" si="97"/>
        <v>104.51118203594257</v>
      </c>
      <c r="Q474" s="43">
        <f t="shared" ca="1" si="105"/>
        <v>30.017294703062447</v>
      </c>
    </row>
    <row r="475" spans="1:17" x14ac:dyDescent="0.25">
      <c r="A475" s="36">
        <v>428</v>
      </c>
      <c r="B475" s="36">
        <f t="shared" ca="1" si="92"/>
        <v>0.13900000000000001</v>
      </c>
      <c r="C475" s="37">
        <f t="shared" si="98"/>
        <v>6</v>
      </c>
      <c r="D475" s="39">
        <f t="shared" ca="1" si="93"/>
        <v>0.32888022430857422</v>
      </c>
      <c r="E475" s="39">
        <f t="shared" ca="1" si="99"/>
        <v>74.822767557188698</v>
      </c>
      <c r="F475" s="36">
        <f t="shared" ca="1" si="100"/>
        <v>117</v>
      </c>
      <c r="G475" s="36">
        <f ca="1">COUNTIF($P$48:P485,"&lt;"&amp;E475)</f>
        <v>310</v>
      </c>
      <c r="H475" s="36">
        <f t="shared" ca="1" si="101"/>
        <v>2</v>
      </c>
      <c r="I475" s="36" t="str">
        <f t="shared" ca="1" si="102"/>
        <v>Ocu</v>
      </c>
      <c r="J475" s="40">
        <f t="shared" ca="1" si="94"/>
        <v>118</v>
      </c>
      <c r="K475" s="41">
        <f t="shared" ca="1" si="91"/>
        <v>29.68841447875387</v>
      </c>
      <c r="L475" s="42">
        <f t="shared" ca="1" si="103"/>
        <v>104.51118203594257</v>
      </c>
      <c r="M475" s="36">
        <f t="shared" ca="1" si="95"/>
        <v>0.88600000000000001</v>
      </c>
      <c r="N475" s="36">
        <f t="shared" si="104"/>
        <v>4</v>
      </c>
      <c r="O475" s="39">
        <f t="shared" ca="1" si="96"/>
        <v>3.0259582094264045E-2</v>
      </c>
      <c r="P475" s="39">
        <f t="shared" ca="1" si="97"/>
        <v>104.54144161803683</v>
      </c>
      <c r="Q475" s="43">
        <f t="shared" ca="1" si="105"/>
        <v>29.71867406084813</v>
      </c>
    </row>
    <row r="476" spans="1:17" x14ac:dyDescent="0.25">
      <c r="A476" s="36">
        <v>429</v>
      </c>
      <c r="B476" s="36">
        <f t="shared" ca="1" si="92"/>
        <v>0.109</v>
      </c>
      <c r="C476" s="37">
        <f t="shared" si="98"/>
        <v>6</v>
      </c>
      <c r="D476" s="39">
        <f t="shared" ca="1" si="93"/>
        <v>0.36940123279216552</v>
      </c>
      <c r="E476" s="39">
        <f t="shared" ca="1" si="99"/>
        <v>75.192168789980869</v>
      </c>
      <c r="F476" s="36">
        <f t="shared" ca="1" si="100"/>
        <v>117</v>
      </c>
      <c r="G476" s="36">
        <f ca="1">COUNTIF($P$48:P486,"&lt;"&amp;E476)</f>
        <v>311</v>
      </c>
      <c r="H476" s="36">
        <f t="shared" ca="1" si="101"/>
        <v>1</v>
      </c>
      <c r="I476" s="36" t="str">
        <f t="shared" ca="1" si="102"/>
        <v>Ocu</v>
      </c>
      <c r="J476" s="40">
        <f t="shared" ca="1" si="94"/>
        <v>118</v>
      </c>
      <c r="K476" s="41">
        <f t="shared" ca="1" si="91"/>
        <v>29.349272828055959</v>
      </c>
      <c r="L476" s="42">
        <f t="shared" ca="1" si="103"/>
        <v>104.54144161803683</v>
      </c>
      <c r="M476" s="36">
        <f t="shared" ca="1" si="95"/>
        <v>0.624</v>
      </c>
      <c r="N476" s="36">
        <f t="shared" si="104"/>
        <v>4</v>
      </c>
      <c r="O476" s="39">
        <f t="shared" ca="1" si="96"/>
        <v>0.11790122765317736</v>
      </c>
      <c r="P476" s="39">
        <f t="shared" ca="1" si="97"/>
        <v>104.65934284569001</v>
      </c>
      <c r="Q476" s="43">
        <f t="shared" ca="1" si="105"/>
        <v>29.467174055709137</v>
      </c>
    </row>
    <row r="477" spans="1:17" x14ac:dyDescent="0.25">
      <c r="A477" s="36">
        <v>430</v>
      </c>
      <c r="B477" s="36">
        <f t="shared" ca="1" si="92"/>
        <v>0.27900000000000003</v>
      </c>
      <c r="C477" s="37">
        <f t="shared" si="98"/>
        <v>6</v>
      </c>
      <c r="D477" s="39">
        <f t="shared" ca="1" si="93"/>
        <v>0.21275724952679523</v>
      </c>
      <c r="E477" s="39">
        <f t="shared" ca="1" si="99"/>
        <v>75.404926039507657</v>
      </c>
      <c r="F477" s="36">
        <f t="shared" ca="1" si="100"/>
        <v>114</v>
      </c>
      <c r="G477" s="36">
        <f ca="1">COUNTIF($P$48:P487,"&lt;"&amp;E477)</f>
        <v>315</v>
      </c>
      <c r="H477" s="36">
        <f t="shared" ca="1" si="101"/>
        <v>4</v>
      </c>
      <c r="I477" s="36" t="str">
        <f t="shared" ca="1" si="102"/>
        <v>Ocu</v>
      </c>
      <c r="J477" s="40">
        <f t="shared" ca="1" si="94"/>
        <v>115</v>
      </c>
      <c r="K477" s="41">
        <f t="shared" ca="1" si="91"/>
        <v>29.254416806182348</v>
      </c>
      <c r="L477" s="42">
        <f t="shared" ca="1" si="103"/>
        <v>104.65934284569001</v>
      </c>
      <c r="M477" s="36">
        <f t="shared" ca="1" si="95"/>
        <v>0.43099999999999999</v>
      </c>
      <c r="N477" s="36">
        <f t="shared" si="104"/>
        <v>4</v>
      </c>
      <c r="O477" s="39">
        <f t="shared" ca="1" si="96"/>
        <v>0.21041179721959732</v>
      </c>
      <c r="P477" s="39">
        <f t="shared" ca="1" si="97"/>
        <v>104.8697546429096</v>
      </c>
      <c r="Q477" s="43">
        <f t="shared" ca="1" si="105"/>
        <v>29.464828603401941</v>
      </c>
    </row>
    <row r="478" spans="1:17" x14ac:dyDescent="0.25">
      <c r="A478" s="36">
        <v>431</v>
      </c>
      <c r="B478" s="36">
        <f t="shared" ca="1" si="92"/>
        <v>0.73799999999999999</v>
      </c>
      <c r="C478" s="37">
        <f t="shared" si="98"/>
        <v>6</v>
      </c>
      <c r="D478" s="39">
        <f t="shared" ca="1" si="93"/>
        <v>5.0635242396944093E-2</v>
      </c>
      <c r="E478" s="39">
        <f t="shared" ca="1" si="99"/>
        <v>75.455561281904608</v>
      </c>
      <c r="F478" s="36">
        <f t="shared" ca="1" si="100"/>
        <v>115</v>
      </c>
      <c r="G478" s="36">
        <f ca="1">COUNTIF($P$48:P488,"&lt;"&amp;E478)</f>
        <v>315</v>
      </c>
      <c r="H478" s="36">
        <f t="shared" ca="1" si="101"/>
        <v>0</v>
      </c>
      <c r="I478" s="36" t="str">
        <f t="shared" ca="1" si="102"/>
        <v>Ocu</v>
      </c>
      <c r="J478" s="40">
        <f t="shared" ca="1" si="94"/>
        <v>116</v>
      </c>
      <c r="K478" s="41">
        <f t="shared" ca="1" si="91"/>
        <v>29.41419336100499</v>
      </c>
      <c r="L478" s="42">
        <f t="shared" ca="1" si="103"/>
        <v>104.8697546429096</v>
      </c>
      <c r="M478" s="36">
        <f t="shared" ca="1" si="95"/>
        <v>0.436</v>
      </c>
      <c r="N478" s="36">
        <f t="shared" si="104"/>
        <v>4</v>
      </c>
      <c r="O478" s="39">
        <f t="shared" ca="1" si="96"/>
        <v>0.2075282589082757</v>
      </c>
      <c r="P478" s="39">
        <f t="shared" ca="1" si="97"/>
        <v>105.07728290181787</v>
      </c>
      <c r="Q478" s="43">
        <f t="shared" ca="1" si="105"/>
        <v>29.621721619913259</v>
      </c>
    </row>
    <row r="479" spans="1:17" x14ac:dyDescent="0.25">
      <c r="A479" s="36">
        <v>432</v>
      </c>
      <c r="B479" s="36">
        <f t="shared" ca="1" si="92"/>
        <v>0.497</v>
      </c>
      <c r="C479" s="37">
        <f t="shared" si="98"/>
        <v>6</v>
      </c>
      <c r="D479" s="39">
        <f t="shared" ca="1" si="93"/>
        <v>0.11652754214758471</v>
      </c>
      <c r="E479" s="39">
        <f t="shared" ca="1" si="99"/>
        <v>75.572088824052187</v>
      </c>
      <c r="F479" s="36">
        <f t="shared" ca="1" si="100"/>
        <v>115</v>
      </c>
      <c r="G479" s="36">
        <f ca="1">COUNTIF($P$48:P489,"&lt;"&amp;E479)</f>
        <v>316</v>
      </c>
      <c r="H479" s="36">
        <f t="shared" ca="1" si="101"/>
        <v>1</v>
      </c>
      <c r="I479" s="36" t="str">
        <f t="shared" ca="1" si="102"/>
        <v>Ocu</v>
      </c>
      <c r="J479" s="40">
        <f t="shared" ca="1" si="94"/>
        <v>116</v>
      </c>
      <c r="K479" s="41">
        <f t="shared" ca="1" si="91"/>
        <v>29.50519407776568</v>
      </c>
      <c r="L479" s="42">
        <f t="shared" ca="1" si="103"/>
        <v>105.07728290181787</v>
      </c>
      <c r="M479" s="36">
        <f t="shared" ca="1" si="95"/>
        <v>0.94699999999999995</v>
      </c>
      <c r="N479" s="36">
        <f t="shared" si="104"/>
        <v>4</v>
      </c>
      <c r="O479" s="39">
        <f t="shared" ca="1" si="96"/>
        <v>1.361404644901474E-2</v>
      </c>
      <c r="P479" s="39">
        <f t="shared" ca="1" si="97"/>
        <v>105.09089694826689</v>
      </c>
      <c r="Q479" s="43">
        <f t="shared" ca="1" si="105"/>
        <v>29.518808124214701</v>
      </c>
    </row>
    <row r="480" spans="1:17" x14ac:dyDescent="0.25">
      <c r="A480" s="36">
        <v>433</v>
      </c>
      <c r="B480" s="36">
        <f t="shared" ca="1" si="92"/>
        <v>5.2999999999999999E-2</v>
      </c>
      <c r="C480" s="37">
        <f t="shared" si="98"/>
        <v>6</v>
      </c>
      <c r="D480" s="39">
        <f t="shared" ca="1" si="93"/>
        <v>0.48957722757166922</v>
      </c>
      <c r="E480" s="39">
        <f t="shared" ca="1" si="99"/>
        <v>76.06166605162386</v>
      </c>
      <c r="F480" s="36">
        <f t="shared" ca="1" si="100"/>
        <v>116</v>
      </c>
      <c r="G480" s="36">
        <f ca="1">COUNTIF($P$48:P490,"&lt;"&amp;E480)</f>
        <v>316</v>
      </c>
      <c r="H480" s="36">
        <f t="shared" ca="1" si="101"/>
        <v>0</v>
      </c>
      <c r="I480" s="36" t="str">
        <f t="shared" ca="1" si="102"/>
        <v>Ocu</v>
      </c>
      <c r="J480" s="40">
        <f t="shared" ca="1" si="94"/>
        <v>117</v>
      </c>
      <c r="K480" s="41">
        <f t="shared" ca="1" si="91"/>
        <v>29.029230896643028</v>
      </c>
      <c r="L480" s="42">
        <f t="shared" ca="1" si="103"/>
        <v>105.09089694826689</v>
      </c>
      <c r="M480" s="36">
        <f t="shared" ca="1" si="95"/>
        <v>0.44900000000000001</v>
      </c>
      <c r="N480" s="36">
        <f t="shared" si="104"/>
        <v>4</v>
      </c>
      <c r="O480" s="39">
        <f t="shared" ca="1" si="96"/>
        <v>0.20018309780997068</v>
      </c>
      <c r="P480" s="39">
        <f t="shared" ca="1" si="97"/>
        <v>105.29108004607686</v>
      </c>
      <c r="Q480" s="43">
        <f t="shared" ca="1" si="105"/>
        <v>29.229413994452997</v>
      </c>
    </row>
    <row r="481" spans="1:17" x14ac:dyDescent="0.25">
      <c r="A481" s="36">
        <v>434</v>
      </c>
      <c r="B481" s="36">
        <f t="shared" ca="1" si="92"/>
        <v>5.5E-2</v>
      </c>
      <c r="C481" s="37">
        <f t="shared" si="98"/>
        <v>6</v>
      </c>
      <c r="D481" s="39">
        <f t="shared" ca="1" si="93"/>
        <v>0.48340368229161101</v>
      </c>
      <c r="E481" s="39">
        <f t="shared" ca="1" si="99"/>
        <v>76.545069733915469</v>
      </c>
      <c r="F481" s="36">
        <f t="shared" ca="1" si="100"/>
        <v>115</v>
      </c>
      <c r="G481" s="36">
        <f ca="1">COUNTIF($P$48:P491,"&lt;"&amp;E481)</f>
        <v>318</v>
      </c>
      <c r="H481" s="36">
        <f t="shared" ca="1" si="101"/>
        <v>2</v>
      </c>
      <c r="I481" s="36" t="str">
        <f t="shared" ca="1" si="102"/>
        <v>Ocu</v>
      </c>
      <c r="J481" s="40">
        <f t="shared" ca="1" si="94"/>
        <v>116</v>
      </c>
      <c r="K481" s="41">
        <f t="shared" ca="1" si="91"/>
        <v>28.746010312161388</v>
      </c>
      <c r="L481" s="42">
        <f t="shared" ca="1" si="103"/>
        <v>105.29108004607686</v>
      </c>
      <c r="M481" s="36">
        <f t="shared" ca="1" si="95"/>
        <v>0.31900000000000001</v>
      </c>
      <c r="N481" s="36">
        <f t="shared" si="104"/>
        <v>4</v>
      </c>
      <c r="O481" s="39">
        <f t="shared" ca="1" si="96"/>
        <v>0.28564104404932311</v>
      </c>
      <c r="P481" s="39">
        <f t="shared" ca="1" si="97"/>
        <v>105.57672109012618</v>
      </c>
      <c r="Q481" s="43">
        <f t="shared" ca="1" si="105"/>
        <v>29.031651356210716</v>
      </c>
    </row>
    <row r="482" spans="1:17" x14ac:dyDescent="0.25">
      <c r="A482" s="36">
        <v>435</v>
      </c>
      <c r="B482" s="36">
        <f t="shared" ca="1" si="92"/>
        <v>0.158</v>
      </c>
      <c r="C482" s="37">
        <f t="shared" si="98"/>
        <v>6</v>
      </c>
      <c r="D482" s="39">
        <f t="shared" ca="1" si="93"/>
        <v>0.30752670765919499</v>
      </c>
      <c r="E482" s="39">
        <f t="shared" ca="1" si="99"/>
        <v>76.852596441574661</v>
      </c>
      <c r="F482" s="36">
        <f t="shared" ca="1" si="100"/>
        <v>115</v>
      </c>
      <c r="G482" s="36">
        <f ca="1">COUNTIF($P$48:P492,"&lt;"&amp;E482)</f>
        <v>319</v>
      </c>
      <c r="H482" s="36">
        <f t="shared" ca="1" si="101"/>
        <v>1</v>
      </c>
      <c r="I482" s="36" t="str">
        <f t="shared" ca="1" si="102"/>
        <v>Ocu</v>
      </c>
      <c r="J482" s="40">
        <f t="shared" ca="1" si="94"/>
        <v>116</v>
      </c>
      <c r="K482" s="41">
        <f t="shared" ca="1" si="91"/>
        <v>28.724124648551523</v>
      </c>
      <c r="L482" s="42">
        <f t="shared" ca="1" si="103"/>
        <v>105.57672109012618</v>
      </c>
      <c r="M482" s="36">
        <f t="shared" ca="1" si="95"/>
        <v>0.13500000000000001</v>
      </c>
      <c r="N482" s="36">
        <f t="shared" si="104"/>
        <v>4</v>
      </c>
      <c r="O482" s="39">
        <f t="shared" ca="1" si="96"/>
        <v>0.50062012513592691</v>
      </c>
      <c r="P482" s="39">
        <f t="shared" ca="1" si="97"/>
        <v>106.07734121526211</v>
      </c>
      <c r="Q482" s="43">
        <f t="shared" ca="1" si="105"/>
        <v>29.224744773687448</v>
      </c>
    </row>
    <row r="483" spans="1:17" x14ac:dyDescent="0.25">
      <c r="A483" s="36">
        <v>436</v>
      </c>
      <c r="B483" s="36">
        <f t="shared" ca="1" si="92"/>
        <v>0.90200000000000002</v>
      </c>
      <c r="C483" s="37">
        <f t="shared" si="98"/>
        <v>6</v>
      </c>
      <c r="D483" s="39">
        <f t="shared" ca="1" si="93"/>
        <v>1.7190126486585564E-2</v>
      </c>
      <c r="E483" s="39">
        <f t="shared" ca="1" si="99"/>
        <v>76.869786568061244</v>
      </c>
      <c r="F483" s="36">
        <f t="shared" ca="1" si="100"/>
        <v>116</v>
      </c>
      <c r="G483" s="36">
        <f ca="1">COUNTIF($P$48:P493,"&lt;"&amp;E483)</f>
        <v>319</v>
      </c>
      <c r="H483" s="36">
        <f t="shared" ca="1" si="101"/>
        <v>0</v>
      </c>
      <c r="I483" s="36" t="str">
        <f t="shared" ca="1" si="102"/>
        <v>Ocu</v>
      </c>
      <c r="J483" s="40">
        <f t="shared" ca="1" si="94"/>
        <v>117</v>
      </c>
      <c r="K483" s="41">
        <f t="shared" ca="1" si="91"/>
        <v>29.207554647200865</v>
      </c>
      <c r="L483" s="42">
        <f t="shared" ca="1" si="103"/>
        <v>106.07734121526211</v>
      </c>
      <c r="M483" s="36">
        <f t="shared" ca="1" si="95"/>
        <v>0.65300000000000002</v>
      </c>
      <c r="N483" s="36">
        <f t="shared" si="104"/>
        <v>4</v>
      </c>
      <c r="O483" s="39">
        <f t="shared" ca="1" si="96"/>
        <v>0.10654453742642647</v>
      </c>
      <c r="P483" s="39">
        <f t="shared" ca="1" si="97"/>
        <v>106.18388575268854</v>
      </c>
      <c r="Q483" s="43">
        <f t="shared" ca="1" si="105"/>
        <v>29.314099184627295</v>
      </c>
    </row>
    <row r="484" spans="1:17" x14ac:dyDescent="0.25">
      <c r="A484" s="36">
        <v>437</v>
      </c>
      <c r="B484" s="36">
        <f t="shared" ca="1" si="92"/>
        <v>0.93400000000000005</v>
      </c>
      <c r="C484" s="37">
        <f t="shared" si="98"/>
        <v>6</v>
      </c>
      <c r="D484" s="39">
        <f t="shared" ca="1" si="93"/>
        <v>1.1379806792215718E-2</v>
      </c>
      <c r="E484" s="39">
        <f t="shared" ca="1" si="99"/>
        <v>76.881166374853464</v>
      </c>
      <c r="F484" s="36">
        <f t="shared" ca="1" si="100"/>
        <v>117</v>
      </c>
      <c r="G484" s="36">
        <f ca="1">COUNTIF($P$48:P494,"&lt;"&amp;E484)</f>
        <v>319</v>
      </c>
      <c r="H484" s="36">
        <f t="shared" ca="1" si="101"/>
        <v>0</v>
      </c>
      <c r="I484" s="36" t="str">
        <f t="shared" ca="1" si="102"/>
        <v>Ocu</v>
      </c>
      <c r="J484" s="40">
        <f t="shared" ca="1" si="94"/>
        <v>118</v>
      </c>
      <c r="K484" s="41">
        <f t="shared" ca="1" si="91"/>
        <v>29.302719377835075</v>
      </c>
      <c r="L484" s="42">
        <f t="shared" ca="1" si="103"/>
        <v>106.18388575268854</v>
      </c>
      <c r="M484" s="36">
        <f t="shared" ca="1" si="95"/>
        <v>0.4</v>
      </c>
      <c r="N484" s="36">
        <f t="shared" si="104"/>
        <v>4</v>
      </c>
      <c r="O484" s="39">
        <f t="shared" ca="1" si="96"/>
        <v>0.22907268296853878</v>
      </c>
      <c r="P484" s="39">
        <f t="shared" ca="1" si="97"/>
        <v>106.41295843565707</v>
      </c>
      <c r="Q484" s="43">
        <f t="shared" ca="1" si="105"/>
        <v>29.53179206080361</v>
      </c>
    </row>
    <row r="485" spans="1:17" x14ac:dyDescent="0.25">
      <c r="A485" s="36">
        <v>438</v>
      </c>
      <c r="B485" s="36">
        <f t="shared" ca="1" si="92"/>
        <v>0.36199999999999999</v>
      </c>
      <c r="C485" s="37">
        <f t="shared" si="98"/>
        <v>6</v>
      </c>
      <c r="D485" s="39">
        <f t="shared" ca="1" si="93"/>
        <v>0.169351844526061</v>
      </c>
      <c r="E485" s="39">
        <f t="shared" ca="1" si="99"/>
        <v>77.050518219379526</v>
      </c>
      <c r="F485" s="36">
        <f t="shared" ca="1" si="100"/>
        <v>118</v>
      </c>
      <c r="G485" s="36">
        <f ca="1">COUNTIF($P$48:P495,"&lt;"&amp;E485)</f>
        <v>319</v>
      </c>
      <c r="H485" s="36">
        <f t="shared" ca="1" si="101"/>
        <v>0</v>
      </c>
      <c r="I485" s="36" t="str">
        <f t="shared" ca="1" si="102"/>
        <v>Ocu</v>
      </c>
      <c r="J485" s="40">
        <f t="shared" ca="1" si="94"/>
        <v>119</v>
      </c>
      <c r="K485" s="41">
        <f t="shared" ca="1" si="91"/>
        <v>29.362440216277548</v>
      </c>
      <c r="L485" s="42">
        <f t="shared" ca="1" si="103"/>
        <v>106.41295843565707</v>
      </c>
      <c r="M485" s="36">
        <f t="shared" ca="1" si="95"/>
        <v>1.4999999999999999E-2</v>
      </c>
      <c r="N485" s="36">
        <f t="shared" si="104"/>
        <v>4</v>
      </c>
      <c r="O485" s="39">
        <f t="shared" ca="1" si="96"/>
        <v>1.0499262694699818</v>
      </c>
      <c r="P485" s="39">
        <f t="shared" ca="1" si="97"/>
        <v>107.46288470512705</v>
      </c>
      <c r="Q485" s="43">
        <f t="shared" ca="1" si="105"/>
        <v>30.412366485747526</v>
      </c>
    </row>
    <row r="486" spans="1:17" x14ac:dyDescent="0.25">
      <c r="A486" s="36">
        <v>439</v>
      </c>
      <c r="B486" s="36">
        <f t="shared" ca="1" si="92"/>
        <v>0.86599999999999999</v>
      </c>
      <c r="C486" s="37">
        <f t="shared" si="98"/>
        <v>6</v>
      </c>
      <c r="D486" s="39">
        <f t="shared" ca="1" si="93"/>
        <v>2.3978395069950302E-2</v>
      </c>
      <c r="E486" s="39">
        <f t="shared" ca="1" si="99"/>
        <v>77.074496614449473</v>
      </c>
      <c r="F486" s="36">
        <f t="shared" ca="1" si="100"/>
        <v>119</v>
      </c>
      <c r="G486" s="36">
        <f ca="1">COUNTIF($P$48:P496,"&lt;"&amp;E486)</f>
        <v>319</v>
      </c>
      <c r="H486" s="36">
        <f t="shared" ca="1" si="101"/>
        <v>0</v>
      </c>
      <c r="I486" s="36" t="str">
        <f t="shared" ca="1" si="102"/>
        <v>Ocu</v>
      </c>
      <c r="J486" s="40">
        <f t="shared" ca="1" si="94"/>
        <v>120</v>
      </c>
      <c r="K486" s="41">
        <f t="shared" ca="1" si="91"/>
        <v>30.38838809067758</v>
      </c>
      <c r="L486" s="42">
        <f t="shared" ca="1" si="103"/>
        <v>107.46288470512705</v>
      </c>
      <c r="M486" s="36">
        <f t="shared" ca="1" si="95"/>
        <v>9.1999999999999998E-2</v>
      </c>
      <c r="N486" s="36">
        <f t="shared" si="104"/>
        <v>4</v>
      </c>
      <c r="O486" s="39">
        <f t="shared" ca="1" si="96"/>
        <v>0.5964916754832742</v>
      </c>
      <c r="P486" s="39">
        <f t="shared" ca="1" si="97"/>
        <v>108.05937638061033</v>
      </c>
      <c r="Q486" s="43">
        <f t="shared" ca="1" si="105"/>
        <v>30.984879766160859</v>
      </c>
    </row>
    <row r="487" spans="1:17" x14ac:dyDescent="0.25">
      <c r="A487" s="36">
        <v>440</v>
      </c>
      <c r="B487" s="36">
        <f t="shared" ca="1" si="92"/>
        <v>0.36</v>
      </c>
      <c r="C487" s="37">
        <f t="shared" si="98"/>
        <v>6</v>
      </c>
      <c r="D487" s="39">
        <f t="shared" ca="1" si="93"/>
        <v>0.17027520792199685</v>
      </c>
      <c r="E487" s="39">
        <f t="shared" ca="1" si="99"/>
        <v>77.244771822371476</v>
      </c>
      <c r="F487" s="36">
        <f t="shared" ca="1" si="100"/>
        <v>118</v>
      </c>
      <c r="G487" s="36">
        <f ca="1">COUNTIF($P$48:P497,"&lt;"&amp;E487)</f>
        <v>321</v>
      </c>
      <c r="H487" s="36">
        <f t="shared" ca="1" si="101"/>
        <v>2</v>
      </c>
      <c r="I487" s="36" t="str">
        <f t="shared" ca="1" si="102"/>
        <v>Ocu</v>
      </c>
      <c r="J487" s="40">
        <f t="shared" ca="1" si="94"/>
        <v>119</v>
      </c>
      <c r="K487" s="41">
        <f t="shared" ca="1" si="91"/>
        <v>30.814604558238855</v>
      </c>
      <c r="L487" s="42">
        <f t="shared" ca="1" si="103"/>
        <v>108.05937638061033</v>
      </c>
      <c r="M487" s="36">
        <f t="shared" ca="1" si="95"/>
        <v>0.70699999999999996</v>
      </c>
      <c r="N487" s="36">
        <f t="shared" si="104"/>
        <v>4</v>
      </c>
      <c r="O487" s="39">
        <f t="shared" ca="1" si="96"/>
        <v>8.6681153271391073E-2</v>
      </c>
      <c r="P487" s="39">
        <f t="shared" ca="1" si="97"/>
        <v>108.14605753388172</v>
      </c>
      <c r="Q487" s="43">
        <f t="shared" ca="1" si="105"/>
        <v>30.901285711510241</v>
      </c>
    </row>
    <row r="488" spans="1:17" x14ac:dyDescent="0.25">
      <c r="A488" s="36">
        <v>441</v>
      </c>
      <c r="B488" s="36">
        <f t="shared" ca="1" si="92"/>
        <v>0.58299999999999996</v>
      </c>
      <c r="C488" s="37">
        <f t="shared" si="98"/>
        <v>6</v>
      </c>
      <c r="D488" s="39">
        <f t="shared" ca="1" si="93"/>
        <v>8.9928015438607456E-2</v>
      </c>
      <c r="E488" s="39">
        <f t="shared" ca="1" si="99"/>
        <v>77.334699837810078</v>
      </c>
      <c r="F488" s="36">
        <f t="shared" ca="1" si="100"/>
        <v>119</v>
      </c>
      <c r="G488" s="36">
        <f ca="1">COUNTIF($P$48:P498,"&lt;"&amp;E488)</f>
        <v>321</v>
      </c>
      <c r="H488" s="36">
        <f t="shared" ca="1" si="101"/>
        <v>0</v>
      </c>
      <c r="I488" s="36" t="str">
        <f t="shared" ca="1" si="102"/>
        <v>Ocu</v>
      </c>
      <c r="J488" s="40">
        <f t="shared" ca="1" si="94"/>
        <v>120</v>
      </c>
      <c r="K488" s="41">
        <f t="shared" ca="1" si="91"/>
        <v>30.811357696071639</v>
      </c>
      <c r="L488" s="42">
        <f t="shared" ca="1" si="103"/>
        <v>108.14605753388172</v>
      </c>
      <c r="M488" s="36">
        <f t="shared" ca="1" si="95"/>
        <v>0.89400000000000002</v>
      </c>
      <c r="N488" s="36">
        <f t="shared" si="104"/>
        <v>4</v>
      </c>
      <c r="O488" s="39">
        <f t="shared" ca="1" si="96"/>
        <v>2.8012375952155732E-2</v>
      </c>
      <c r="P488" s="39">
        <f t="shared" ca="1" si="97"/>
        <v>108.17406990983388</v>
      </c>
      <c r="Q488" s="43">
        <f t="shared" ca="1" si="105"/>
        <v>30.839370072023797</v>
      </c>
    </row>
    <row r="489" spans="1:17" x14ac:dyDescent="0.25">
      <c r="A489" s="36">
        <v>442</v>
      </c>
      <c r="B489" s="36">
        <f t="shared" ca="1" si="92"/>
        <v>0.61899999999999999</v>
      </c>
      <c r="C489" s="37">
        <f t="shared" si="98"/>
        <v>6</v>
      </c>
      <c r="D489" s="39">
        <f t="shared" ca="1" si="93"/>
        <v>7.9941667716256826E-2</v>
      </c>
      <c r="E489" s="39">
        <f t="shared" ca="1" si="99"/>
        <v>77.414641505526333</v>
      </c>
      <c r="F489" s="36">
        <f t="shared" ca="1" si="100"/>
        <v>119</v>
      </c>
      <c r="G489" s="36">
        <f ca="1">COUNTIF($P$48:P499,"&lt;"&amp;E489)</f>
        <v>322</v>
      </c>
      <c r="H489" s="36">
        <f t="shared" ca="1" si="101"/>
        <v>1</v>
      </c>
      <c r="I489" s="36" t="str">
        <f t="shared" ca="1" si="102"/>
        <v>Ocu</v>
      </c>
      <c r="J489" s="40">
        <f t="shared" ca="1" si="94"/>
        <v>120</v>
      </c>
      <c r="K489" s="41">
        <f t="shared" ca="1" si="91"/>
        <v>30.759428404307542</v>
      </c>
      <c r="L489" s="42">
        <f t="shared" ca="1" si="103"/>
        <v>108.17406990983388</v>
      </c>
      <c r="M489" s="36">
        <f t="shared" ca="1" si="95"/>
        <v>0.95799999999999996</v>
      </c>
      <c r="N489" s="36">
        <f t="shared" si="104"/>
        <v>4</v>
      </c>
      <c r="O489" s="39">
        <f t="shared" ca="1" si="96"/>
        <v>1.072687525281915E-2</v>
      </c>
      <c r="P489" s="39">
        <f t="shared" ca="1" si="97"/>
        <v>108.18479678508669</v>
      </c>
      <c r="Q489" s="43">
        <f t="shared" ca="1" si="105"/>
        <v>30.770155279560356</v>
      </c>
    </row>
    <row r="490" spans="1:17" x14ac:dyDescent="0.25">
      <c r="A490" s="36">
        <v>443</v>
      </c>
      <c r="B490" s="36">
        <f t="shared" ca="1" si="92"/>
        <v>0.86</v>
      </c>
      <c r="C490" s="37">
        <f t="shared" si="98"/>
        <v>6</v>
      </c>
      <c r="D490" s="39">
        <f t="shared" ca="1" si="93"/>
        <v>2.5137148289097279E-2</v>
      </c>
      <c r="E490" s="39">
        <f t="shared" ca="1" si="99"/>
        <v>77.439778653815424</v>
      </c>
      <c r="F490" s="36">
        <f t="shared" ca="1" si="100"/>
        <v>120</v>
      </c>
      <c r="G490" s="36">
        <f ca="1">COUNTIF($P$48:P500,"&lt;"&amp;E490)</f>
        <v>322</v>
      </c>
      <c r="H490" s="36">
        <f t="shared" ca="1" si="101"/>
        <v>0</v>
      </c>
      <c r="I490" s="36" t="str">
        <f t="shared" ca="1" si="102"/>
        <v>Ocu</v>
      </c>
      <c r="J490" s="40">
        <f t="shared" ca="1" si="94"/>
        <v>121</v>
      </c>
      <c r="K490" s="41">
        <f t="shared" ca="1" si="91"/>
        <v>30.745018131271266</v>
      </c>
      <c r="L490" s="42">
        <f t="shared" ca="1" si="103"/>
        <v>108.18479678508669</v>
      </c>
      <c r="M490" s="36">
        <f t="shared" ca="1" si="95"/>
        <v>0.72799999999999998</v>
      </c>
      <c r="N490" s="36">
        <f t="shared" si="104"/>
        <v>4</v>
      </c>
      <c r="O490" s="39">
        <f t="shared" ca="1" si="96"/>
        <v>7.9363557696362774E-2</v>
      </c>
      <c r="P490" s="39">
        <f t="shared" ca="1" si="97"/>
        <v>108.26416034278306</v>
      </c>
      <c r="Q490" s="43">
        <f t="shared" ca="1" si="105"/>
        <v>30.824381688967634</v>
      </c>
    </row>
    <row r="491" spans="1:17" x14ac:dyDescent="0.25">
      <c r="A491" s="36">
        <v>444</v>
      </c>
      <c r="B491" s="36">
        <f t="shared" ca="1" si="92"/>
        <v>0.93</v>
      </c>
      <c r="C491" s="37">
        <f t="shared" si="98"/>
        <v>6</v>
      </c>
      <c r="D491" s="39">
        <f t="shared" ca="1" si="93"/>
        <v>1.2095115472472561E-2</v>
      </c>
      <c r="E491" s="39">
        <f t="shared" ca="1" si="99"/>
        <v>77.4518737692879</v>
      </c>
      <c r="F491" s="36">
        <f t="shared" ca="1" si="100"/>
        <v>121</v>
      </c>
      <c r="G491" s="36">
        <f ca="1">COUNTIF($P$48:P501,"&lt;"&amp;E491)</f>
        <v>322</v>
      </c>
      <c r="H491" s="36">
        <f t="shared" ca="1" si="101"/>
        <v>0</v>
      </c>
      <c r="I491" s="36" t="str">
        <f t="shared" ca="1" si="102"/>
        <v>Ocu</v>
      </c>
      <c r="J491" s="40">
        <f t="shared" ca="1" si="94"/>
        <v>122</v>
      </c>
      <c r="K491" s="41">
        <f t="shared" ca="1" si="91"/>
        <v>30.812286573495157</v>
      </c>
      <c r="L491" s="42">
        <f t="shared" ca="1" si="103"/>
        <v>108.26416034278306</v>
      </c>
      <c r="M491" s="36">
        <f t="shared" ca="1" si="95"/>
        <v>0.32900000000000001</v>
      </c>
      <c r="N491" s="36">
        <f t="shared" si="104"/>
        <v>4</v>
      </c>
      <c r="O491" s="39">
        <f t="shared" ca="1" si="96"/>
        <v>0.27792438205419129</v>
      </c>
      <c r="P491" s="39">
        <f t="shared" ca="1" si="97"/>
        <v>108.54208472483725</v>
      </c>
      <c r="Q491" s="43">
        <f t="shared" ca="1" si="105"/>
        <v>31.090210955549352</v>
      </c>
    </row>
    <row r="492" spans="1:17" x14ac:dyDescent="0.25">
      <c r="A492" s="36">
        <v>445</v>
      </c>
      <c r="B492" s="36">
        <f t="shared" ca="1" si="92"/>
        <v>0.11799999999999999</v>
      </c>
      <c r="C492" s="37">
        <f t="shared" si="98"/>
        <v>6</v>
      </c>
      <c r="D492" s="39">
        <f t="shared" ca="1" si="93"/>
        <v>0.35617844241941199</v>
      </c>
      <c r="E492" s="39">
        <f t="shared" ca="1" si="99"/>
        <v>77.808052211707306</v>
      </c>
      <c r="F492" s="36">
        <f t="shared" ca="1" si="100"/>
        <v>121</v>
      </c>
      <c r="G492" s="36">
        <f ca="1">COUNTIF($P$48:P502,"&lt;"&amp;E492)</f>
        <v>323</v>
      </c>
      <c r="H492" s="36">
        <f t="shared" ca="1" si="101"/>
        <v>1</v>
      </c>
      <c r="I492" s="36" t="str">
        <f t="shared" ca="1" si="102"/>
        <v>Ocu</v>
      </c>
      <c r="J492" s="40">
        <f t="shared" ca="1" si="94"/>
        <v>122</v>
      </c>
      <c r="K492" s="41">
        <f t="shared" ca="1" si="91"/>
        <v>30.734032513129947</v>
      </c>
      <c r="L492" s="42">
        <f t="shared" ca="1" si="103"/>
        <v>108.54208472483725</v>
      </c>
      <c r="M492" s="36">
        <f t="shared" ca="1" si="95"/>
        <v>0.78900000000000003</v>
      </c>
      <c r="N492" s="36">
        <f t="shared" si="104"/>
        <v>4</v>
      </c>
      <c r="O492" s="39">
        <f t="shared" ca="1" si="96"/>
        <v>5.9247239534065681E-2</v>
      </c>
      <c r="P492" s="39">
        <f t="shared" ca="1" si="97"/>
        <v>108.60133196437131</v>
      </c>
      <c r="Q492" s="43">
        <f t="shared" ca="1" si="105"/>
        <v>30.793279752664006</v>
      </c>
    </row>
    <row r="493" spans="1:17" x14ac:dyDescent="0.25">
      <c r="A493" s="36">
        <v>446</v>
      </c>
      <c r="B493" s="36">
        <f t="shared" ca="1" si="92"/>
        <v>0.05</v>
      </c>
      <c r="C493" s="37">
        <f t="shared" si="98"/>
        <v>6</v>
      </c>
      <c r="D493" s="39">
        <f t="shared" ca="1" si="93"/>
        <v>0.49928871225899846</v>
      </c>
      <c r="E493" s="39">
        <f t="shared" ca="1" si="99"/>
        <v>78.307340923966308</v>
      </c>
      <c r="F493" s="36">
        <f t="shared" ca="1" si="100"/>
        <v>120</v>
      </c>
      <c r="G493" s="36">
        <f ca="1">COUNTIF($P$48:P503,"&lt;"&amp;E493)</f>
        <v>325</v>
      </c>
      <c r="H493" s="36">
        <f t="shared" ca="1" si="101"/>
        <v>2</v>
      </c>
      <c r="I493" s="36" t="str">
        <f t="shared" ca="1" si="102"/>
        <v>Ocu</v>
      </c>
      <c r="J493" s="40">
        <f t="shared" ca="1" si="94"/>
        <v>121</v>
      </c>
      <c r="K493" s="41">
        <f t="shared" ca="1" si="91"/>
        <v>30.293991040405004</v>
      </c>
      <c r="L493" s="42">
        <f t="shared" ca="1" si="103"/>
        <v>108.60133196437131</v>
      </c>
      <c r="M493" s="36">
        <f t="shared" ca="1" si="95"/>
        <v>0.222</v>
      </c>
      <c r="N493" s="36">
        <f t="shared" si="104"/>
        <v>4</v>
      </c>
      <c r="O493" s="39">
        <f t="shared" ca="1" si="96"/>
        <v>0.37626947427746443</v>
      </c>
      <c r="P493" s="39">
        <f t="shared" ca="1" si="97"/>
        <v>108.97760143864878</v>
      </c>
      <c r="Q493" s="43">
        <f t="shared" ca="1" si="105"/>
        <v>30.670260514682468</v>
      </c>
    </row>
    <row r="494" spans="1:17" x14ac:dyDescent="0.25">
      <c r="A494" s="36">
        <v>447</v>
      </c>
      <c r="B494" s="36">
        <f t="shared" ca="1" si="92"/>
        <v>0.38100000000000001</v>
      </c>
      <c r="C494" s="37">
        <f t="shared" si="98"/>
        <v>6</v>
      </c>
      <c r="D494" s="39">
        <f t="shared" ca="1" si="93"/>
        <v>0.16082598397590603</v>
      </c>
      <c r="E494" s="39">
        <f t="shared" ca="1" si="99"/>
        <v>78.468166907942219</v>
      </c>
      <c r="F494" s="36">
        <f t="shared" ca="1" si="100"/>
        <v>121</v>
      </c>
      <c r="G494" s="36">
        <f ca="1">COUNTIF($P$48:P504,"&lt;"&amp;E494)</f>
        <v>325</v>
      </c>
      <c r="H494" s="36">
        <f t="shared" ca="1" si="101"/>
        <v>0</v>
      </c>
      <c r="I494" s="36" t="str">
        <f t="shared" ca="1" si="102"/>
        <v>Ocu</v>
      </c>
      <c r="J494" s="40">
        <f t="shared" ca="1" si="94"/>
        <v>122</v>
      </c>
      <c r="K494" s="41">
        <f t="shared" ca="1" si="91"/>
        <v>30.509434530706557</v>
      </c>
      <c r="L494" s="42">
        <f t="shared" ca="1" si="103"/>
        <v>108.97760143864878</v>
      </c>
      <c r="M494" s="36">
        <f t="shared" ca="1" si="95"/>
        <v>0.82499999999999996</v>
      </c>
      <c r="N494" s="36">
        <f t="shared" si="104"/>
        <v>4</v>
      </c>
      <c r="O494" s="39">
        <f t="shared" ca="1" si="96"/>
        <v>4.8092973161864026E-2</v>
      </c>
      <c r="P494" s="39">
        <f t="shared" ca="1" si="97"/>
        <v>109.02569441181063</v>
      </c>
      <c r="Q494" s="43">
        <f t="shared" ca="1" si="105"/>
        <v>30.557527503868414</v>
      </c>
    </row>
    <row r="495" spans="1:17" x14ac:dyDescent="0.25">
      <c r="A495" s="36">
        <v>448</v>
      </c>
      <c r="B495" s="36">
        <f t="shared" ca="1" si="92"/>
        <v>0.68</v>
      </c>
      <c r="C495" s="37">
        <f t="shared" si="98"/>
        <v>6</v>
      </c>
      <c r="D495" s="39">
        <f t="shared" ca="1" si="93"/>
        <v>6.4277080135330761E-2</v>
      </c>
      <c r="E495" s="39">
        <f t="shared" ca="1" si="99"/>
        <v>78.532443988077546</v>
      </c>
      <c r="F495" s="36">
        <f t="shared" ca="1" si="100"/>
        <v>121</v>
      </c>
      <c r="G495" s="36">
        <f ca="1">COUNTIF($P$48:P505,"&lt;"&amp;E495)</f>
        <v>326</v>
      </c>
      <c r="H495" s="36">
        <f t="shared" ca="1" si="101"/>
        <v>1</v>
      </c>
      <c r="I495" s="36" t="str">
        <f t="shared" ca="1" si="102"/>
        <v>Ocu</v>
      </c>
      <c r="J495" s="40">
        <f t="shared" ca="1" si="94"/>
        <v>122</v>
      </c>
      <c r="K495" s="41">
        <f t="shared" ca="1" si="91"/>
        <v>30.493250423733087</v>
      </c>
      <c r="L495" s="42">
        <f t="shared" ca="1" si="103"/>
        <v>109.02569441181063</v>
      </c>
      <c r="M495" s="36">
        <f t="shared" ca="1" si="95"/>
        <v>6.4000000000000001E-2</v>
      </c>
      <c r="N495" s="36">
        <f t="shared" si="104"/>
        <v>4</v>
      </c>
      <c r="O495" s="39">
        <f t="shared" ca="1" si="96"/>
        <v>0.68721804890561633</v>
      </c>
      <c r="P495" s="39">
        <f t="shared" ca="1" si="97"/>
        <v>109.71291246071625</v>
      </c>
      <c r="Q495" s="43">
        <f t="shared" ca="1" si="105"/>
        <v>31.180468472638708</v>
      </c>
    </row>
    <row r="496" spans="1:17" x14ac:dyDescent="0.25">
      <c r="A496" s="36">
        <v>449</v>
      </c>
      <c r="B496" s="36">
        <f t="shared" ca="1" si="92"/>
        <v>0.47599999999999998</v>
      </c>
      <c r="C496" s="37">
        <f t="shared" si="98"/>
        <v>6</v>
      </c>
      <c r="D496" s="39">
        <f t="shared" ca="1" si="93"/>
        <v>0.12372290412511951</v>
      </c>
      <c r="E496" s="39">
        <f t="shared" ca="1" si="99"/>
        <v>78.656166892202663</v>
      </c>
      <c r="F496" s="36">
        <f t="shared" ca="1" si="100"/>
        <v>122</v>
      </c>
      <c r="G496" s="36">
        <f ca="1">COUNTIF($P$48:P506,"&lt;"&amp;E496)</f>
        <v>326</v>
      </c>
      <c r="H496" s="36">
        <f t="shared" ca="1" si="101"/>
        <v>0</v>
      </c>
      <c r="I496" s="36" t="str">
        <f t="shared" ca="1" si="102"/>
        <v>Ocu</v>
      </c>
      <c r="J496" s="40">
        <f t="shared" ca="1" si="94"/>
        <v>123</v>
      </c>
      <c r="K496" s="41">
        <f t="shared" ref="K496:K547" ca="1" si="106">L496-E496</f>
        <v>31.056745568513591</v>
      </c>
      <c r="L496" s="42">
        <f t="shared" ca="1" si="103"/>
        <v>109.71291246071625</v>
      </c>
      <c r="M496" s="36">
        <f t="shared" ca="1" si="95"/>
        <v>0.99299999999999999</v>
      </c>
      <c r="N496" s="36">
        <f t="shared" si="104"/>
        <v>4</v>
      </c>
      <c r="O496" s="39">
        <f t="shared" ca="1" si="96"/>
        <v>1.7561537342411096E-3</v>
      </c>
      <c r="P496" s="39">
        <f t="shared" ca="1" si="97"/>
        <v>109.71466861445049</v>
      </c>
      <c r="Q496" s="43">
        <f t="shared" ca="1" si="105"/>
        <v>31.058501722247826</v>
      </c>
    </row>
    <row r="497" spans="1:17" x14ac:dyDescent="0.25">
      <c r="A497" s="36">
        <v>450</v>
      </c>
      <c r="B497" s="36">
        <f t="shared" ref="B497:B547" ca="1" si="107">RANDBETWEEN(1,1000)/1000</f>
        <v>0.13700000000000001</v>
      </c>
      <c r="C497" s="37">
        <f t="shared" si="98"/>
        <v>6</v>
      </c>
      <c r="D497" s="39">
        <f t="shared" ref="D497:D547" ca="1" si="108">(1/C497)*(LN(1/B497))</f>
        <v>0.33129572552566866</v>
      </c>
      <c r="E497" s="39">
        <f t="shared" ca="1" si="99"/>
        <v>78.987462617728326</v>
      </c>
      <c r="F497" s="36">
        <f t="shared" ca="1" si="100"/>
        <v>122</v>
      </c>
      <c r="G497" s="36">
        <f ca="1">COUNTIF($P$48:P507,"&lt;"&amp;E497)</f>
        <v>327</v>
      </c>
      <c r="H497" s="36">
        <f t="shared" ca="1" si="101"/>
        <v>1</v>
      </c>
      <c r="I497" s="36" t="str">
        <f t="shared" ca="1" si="102"/>
        <v>Ocu</v>
      </c>
      <c r="J497" s="40">
        <f t="shared" ref="J497:J547" ca="1" si="109">IF(I497="Des",1,IF(I497="Ocu",1+F497))</f>
        <v>123</v>
      </c>
      <c r="K497" s="41">
        <f t="shared" ca="1" si="106"/>
        <v>30.727205996722162</v>
      </c>
      <c r="L497" s="42">
        <f t="shared" ca="1" si="103"/>
        <v>109.71466861445049</v>
      </c>
      <c r="M497" s="36">
        <f t="shared" ref="M497:M547" ca="1" si="110">RANDBETWEEN(1,1000)/1000</f>
        <v>8.9999999999999993E-3</v>
      </c>
      <c r="N497" s="36">
        <f t="shared" si="104"/>
        <v>4</v>
      </c>
      <c r="O497" s="39">
        <f t="shared" ref="O497:O547" ca="1" si="111">(1/N497)*(LN(1/M497))</f>
        <v>1.1776326754114794</v>
      </c>
      <c r="P497" s="39">
        <f t="shared" ref="P497:P547" ca="1" si="112">+L497+O497</f>
        <v>110.89230128986196</v>
      </c>
      <c r="Q497" s="43">
        <f t="shared" ca="1" si="105"/>
        <v>31.904838672133636</v>
      </c>
    </row>
    <row r="498" spans="1:17" x14ac:dyDescent="0.25">
      <c r="A498" s="36">
        <v>451</v>
      </c>
      <c r="B498" s="36">
        <f t="shared" ca="1" si="107"/>
        <v>0.91800000000000004</v>
      </c>
      <c r="C498" s="37">
        <f t="shared" ref="C498:C547" si="113">+C497</f>
        <v>6</v>
      </c>
      <c r="D498" s="39">
        <f t="shared" ca="1" si="108"/>
        <v>1.4259648060274428E-2</v>
      </c>
      <c r="E498" s="39">
        <f t="shared" ref="E498:E547" ca="1" si="114">+D498+E497</f>
        <v>79.001722265788601</v>
      </c>
      <c r="F498" s="36">
        <f t="shared" ref="F498:F547" ca="1" si="115">+F497+1-(G498-G497)</f>
        <v>123</v>
      </c>
      <c r="G498" s="36">
        <f ca="1">COUNTIF($P$48:P508,"&lt;"&amp;E498)</f>
        <v>327</v>
      </c>
      <c r="H498" s="36">
        <f t="shared" ref="H498:H547" ca="1" si="116">+G498-G497</f>
        <v>0</v>
      </c>
      <c r="I498" s="36" t="str">
        <f t="shared" ref="I498:I547" ca="1" si="117">IF(E498&lt;P497,"Ocu","Des")</f>
        <v>Ocu</v>
      </c>
      <c r="J498" s="40">
        <f t="shared" ca="1" si="109"/>
        <v>124</v>
      </c>
      <c r="K498" s="41">
        <f t="shared" ca="1" si="106"/>
        <v>31.890579024073361</v>
      </c>
      <c r="L498" s="42">
        <f t="shared" ref="L498:L547" ca="1" si="118">IF(I498="Des",E498,P497)</f>
        <v>110.89230128986196</v>
      </c>
      <c r="M498" s="36">
        <f t="shared" ca="1" si="110"/>
        <v>0.37</v>
      </c>
      <c r="N498" s="36">
        <f t="shared" ref="N498:N547" si="119">+N497</f>
        <v>4</v>
      </c>
      <c r="O498" s="39">
        <f t="shared" ca="1" si="111"/>
        <v>0.24856306833596672</v>
      </c>
      <c r="P498" s="39">
        <f t="shared" ca="1" si="112"/>
        <v>111.14086435819793</v>
      </c>
      <c r="Q498" s="43">
        <f t="shared" ca="1" si="105"/>
        <v>32.13914209240933</v>
      </c>
    </row>
    <row r="499" spans="1:17" x14ac:dyDescent="0.25">
      <c r="A499" s="36">
        <v>452</v>
      </c>
      <c r="B499" s="36">
        <f t="shared" ca="1" si="107"/>
        <v>0.625</v>
      </c>
      <c r="C499" s="37">
        <f t="shared" si="113"/>
        <v>6</v>
      </c>
      <c r="D499" s="39">
        <f t="shared" ca="1" si="108"/>
        <v>7.8333938207622605E-2</v>
      </c>
      <c r="E499" s="39">
        <f t="shared" ca="1" si="114"/>
        <v>79.080056203996222</v>
      </c>
      <c r="F499" s="36">
        <f t="shared" ca="1" si="115"/>
        <v>122</v>
      </c>
      <c r="G499" s="36">
        <f ca="1">COUNTIF($P$48:P509,"&lt;"&amp;E499)</f>
        <v>329</v>
      </c>
      <c r="H499" s="36">
        <f t="shared" ca="1" si="116"/>
        <v>2</v>
      </c>
      <c r="I499" s="36" t="str">
        <f t="shared" ca="1" si="117"/>
        <v>Ocu</v>
      </c>
      <c r="J499" s="40">
        <f t="shared" ca="1" si="109"/>
        <v>123</v>
      </c>
      <c r="K499" s="41">
        <f t="shared" ca="1" si="106"/>
        <v>32.060808154201709</v>
      </c>
      <c r="L499" s="42">
        <f t="shared" ca="1" si="118"/>
        <v>111.14086435819793</v>
      </c>
      <c r="M499" s="36">
        <f t="shared" ca="1" si="110"/>
        <v>0.27500000000000002</v>
      </c>
      <c r="N499" s="36">
        <f t="shared" si="119"/>
        <v>4</v>
      </c>
      <c r="O499" s="39">
        <f t="shared" ca="1" si="111"/>
        <v>0.32274604532889145</v>
      </c>
      <c r="P499" s="39">
        <f t="shared" ca="1" si="112"/>
        <v>111.46361040352683</v>
      </c>
      <c r="Q499" s="43">
        <f t="shared" ref="Q499:Q547" ca="1" si="120">P499-E499</f>
        <v>32.383554199530607</v>
      </c>
    </row>
    <row r="500" spans="1:17" x14ac:dyDescent="0.25">
      <c r="A500" s="36">
        <v>453</v>
      </c>
      <c r="B500" s="36">
        <f t="shared" ca="1" si="107"/>
        <v>0.02</v>
      </c>
      <c r="C500" s="37">
        <f t="shared" si="113"/>
        <v>6</v>
      </c>
      <c r="D500" s="39">
        <f t="shared" ca="1" si="108"/>
        <v>0.65200383423802433</v>
      </c>
      <c r="E500" s="39">
        <f t="shared" ca="1" si="114"/>
        <v>79.732060038234252</v>
      </c>
      <c r="F500" s="36">
        <f t="shared" ca="1" si="115"/>
        <v>118</v>
      </c>
      <c r="G500" s="36">
        <f ca="1">COUNTIF($P$48:P510,"&lt;"&amp;E500)</f>
        <v>334</v>
      </c>
      <c r="H500" s="36">
        <f t="shared" ca="1" si="116"/>
        <v>5</v>
      </c>
      <c r="I500" s="36" t="str">
        <f t="shared" ca="1" si="117"/>
        <v>Ocu</v>
      </c>
      <c r="J500" s="40">
        <f t="shared" ca="1" si="109"/>
        <v>119</v>
      </c>
      <c r="K500" s="41">
        <f t="shared" ca="1" si="106"/>
        <v>31.731550365292577</v>
      </c>
      <c r="L500" s="42">
        <f t="shared" ca="1" si="118"/>
        <v>111.46361040352683</v>
      </c>
      <c r="M500" s="36">
        <f t="shared" ca="1" si="110"/>
        <v>0.81399999999999995</v>
      </c>
      <c r="N500" s="36">
        <f t="shared" si="119"/>
        <v>4</v>
      </c>
      <c r="O500" s="39">
        <f t="shared" ca="1" si="111"/>
        <v>5.1448728244899225E-2</v>
      </c>
      <c r="P500" s="39">
        <f t="shared" ca="1" si="112"/>
        <v>111.51505913177172</v>
      </c>
      <c r="Q500" s="43">
        <f t="shared" ca="1" si="120"/>
        <v>31.78299909353747</v>
      </c>
    </row>
    <row r="501" spans="1:17" x14ac:dyDescent="0.25">
      <c r="A501" s="36">
        <v>454</v>
      </c>
      <c r="B501" s="36">
        <f t="shared" ca="1" si="107"/>
        <v>0.89300000000000002</v>
      </c>
      <c r="C501" s="37">
        <f t="shared" si="113"/>
        <v>6</v>
      </c>
      <c r="D501" s="39">
        <f t="shared" ca="1" si="108"/>
        <v>1.8861449684272995E-2</v>
      </c>
      <c r="E501" s="39">
        <f t="shared" ca="1" si="114"/>
        <v>79.750921487918518</v>
      </c>
      <c r="F501" s="36">
        <f t="shared" ca="1" si="115"/>
        <v>119</v>
      </c>
      <c r="G501" s="36">
        <f ca="1">COUNTIF($P$48:P511,"&lt;"&amp;E501)</f>
        <v>334</v>
      </c>
      <c r="H501" s="36">
        <f t="shared" ca="1" si="116"/>
        <v>0</v>
      </c>
      <c r="I501" s="36" t="str">
        <f t="shared" ca="1" si="117"/>
        <v>Ocu</v>
      </c>
      <c r="J501" s="40">
        <f t="shared" ca="1" si="109"/>
        <v>120</v>
      </c>
      <c r="K501" s="41">
        <f t="shared" ca="1" si="106"/>
        <v>31.764137643853203</v>
      </c>
      <c r="L501" s="42">
        <f t="shared" ca="1" si="118"/>
        <v>111.51505913177172</v>
      </c>
      <c r="M501" s="36">
        <f t="shared" ca="1" si="110"/>
        <v>0.81599999999999995</v>
      </c>
      <c r="N501" s="36">
        <f t="shared" si="119"/>
        <v>4</v>
      </c>
      <c r="O501" s="39">
        <f t="shared" ca="1" si="111"/>
        <v>5.0835231004507528E-2</v>
      </c>
      <c r="P501" s="39">
        <f t="shared" ca="1" si="112"/>
        <v>111.56589436277623</v>
      </c>
      <c r="Q501" s="43">
        <f t="shared" ca="1" si="120"/>
        <v>31.814972874857716</v>
      </c>
    </row>
    <row r="502" spans="1:17" x14ac:dyDescent="0.25">
      <c r="A502" s="36">
        <v>455</v>
      </c>
      <c r="B502" s="36">
        <f t="shared" ca="1" si="107"/>
        <v>0.154</v>
      </c>
      <c r="C502" s="37">
        <f t="shared" si="113"/>
        <v>6</v>
      </c>
      <c r="D502" s="39">
        <f t="shared" ca="1" si="108"/>
        <v>0.31180044609475133</v>
      </c>
      <c r="E502" s="39">
        <f t="shared" ca="1" si="114"/>
        <v>80.062721934013268</v>
      </c>
      <c r="F502" s="36">
        <f t="shared" ca="1" si="115"/>
        <v>120</v>
      </c>
      <c r="G502" s="36">
        <f ca="1">COUNTIF($P$48:P512,"&lt;"&amp;E502)</f>
        <v>334</v>
      </c>
      <c r="H502" s="36">
        <f t="shared" ca="1" si="116"/>
        <v>0</v>
      </c>
      <c r="I502" s="36" t="str">
        <f t="shared" ca="1" si="117"/>
        <v>Ocu</v>
      </c>
      <c r="J502" s="40">
        <f t="shared" ca="1" si="109"/>
        <v>121</v>
      </c>
      <c r="K502" s="41">
        <f t="shared" ca="1" si="106"/>
        <v>31.503172428762966</v>
      </c>
      <c r="L502" s="42">
        <f t="shared" ca="1" si="118"/>
        <v>111.56589436277623</v>
      </c>
      <c r="M502" s="36">
        <f t="shared" ca="1" si="110"/>
        <v>0.88300000000000001</v>
      </c>
      <c r="N502" s="36">
        <f t="shared" si="119"/>
        <v>4</v>
      </c>
      <c r="O502" s="39">
        <f t="shared" ca="1" si="111"/>
        <v>3.1107519594544268E-2</v>
      </c>
      <c r="P502" s="39">
        <f t="shared" ca="1" si="112"/>
        <v>111.59700188237078</v>
      </c>
      <c r="Q502" s="43">
        <f t="shared" ca="1" si="120"/>
        <v>31.534279948357508</v>
      </c>
    </row>
    <row r="503" spans="1:17" x14ac:dyDescent="0.25">
      <c r="A503" s="36">
        <v>456</v>
      </c>
      <c r="B503" s="36">
        <f t="shared" ca="1" si="107"/>
        <v>0.88700000000000001</v>
      </c>
      <c r="C503" s="37">
        <f t="shared" si="113"/>
        <v>6</v>
      </c>
      <c r="D503" s="39">
        <f t="shared" ca="1" si="108"/>
        <v>1.9985049445426249E-2</v>
      </c>
      <c r="E503" s="39">
        <f t="shared" ca="1" si="114"/>
        <v>80.082706983458692</v>
      </c>
      <c r="F503" s="36">
        <f t="shared" ca="1" si="115"/>
        <v>121</v>
      </c>
      <c r="G503" s="36">
        <f ca="1">COUNTIF($P$48:P513,"&lt;"&amp;E503)</f>
        <v>334</v>
      </c>
      <c r="H503" s="36">
        <f t="shared" ca="1" si="116"/>
        <v>0</v>
      </c>
      <c r="I503" s="36" t="str">
        <f t="shared" ca="1" si="117"/>
        <v>Ocu</v>
      </c>
      <c r="J503" s="40">
        <f t="shared" ca="1" si="109"/>
        <v>122</v>
      </c>
      <c r="K503" s="41">
        <f t="shared" ca="1" si="106"/>
        <v>31.514294898912084</v>
      </c>
      <c r="L503" s="42">
        <f t="shared" ca="1" si="118"/>
        <v>111.59700188237078</v>
      </c>
      <c r="M503" s="36">
        <f t="shared" ca="1" si="110"/>
        <v>4.0000000000000001E-3</v>
      </c>
      <c r="N503" s="36">
        <f t="shared" si="119"/>
        <v>4</v>
      </c>
      <c r="O503" s="39">
        <f t="shared" ca="1" si="111"/>
        <v>1.3803652294655615</v>
      </c>
      <c r="P503" s="39">
        <f t="shared" ca="1" si="112"/>
        <v>112.97736711183634</v>
      </c>
      <c r="Q503" s="43">
        <f t="shared" ca="1" si="120"/>
        <v>32.894660128377652</v>
      </c>
    </row>
    <row r="504" spans="1:17" x14ac:dyDescent="0.25">
      <c r="A504" s="36">
        <v>457</v>
      </c>
      <c r="B504" s="36">
        <f t="shared" ca="1" si="107"/>
        <v>0.60599999999999998</v>
      </c>
      <c r="C504" s="37">
        <f t="shared" si="113"/>
        <v>6</v>
      </c>
      <c r="D504" s="39">
        <f t="shared" ca="1" si="108"/>
        <v>8.3479215485470437E-2</v>
      </c>
      <c r="E504" s="39">
        <f t="shared" ca="1" si="114"/>
        <v>80.16618619894416</v>
      </c>
      <c r="F504" s="36">
        <f t="shared" ca="1" si="115"/>
        <v>121</v>
      </c>
      <c r="G504" s="36">
        <f ca="1">COUNTIF($P$48:P514,"&lt;"&amp;E504)</f>
        <v>335</v>
      </c>
      <c r="H504" s="36">
        <f t="shared" ca="1" si="116"/>
        <v>1</v>
      </c>
      <c r="I504" s="36" t="str">
        <f t="shared" ca="1" si="117"/>
        <v>Ocu</v>
      </c>
      <c r="J504" s="40">
        <f t="shared" ca="1" si="109"/>
        <v>122</v>
      </c>
      <c r="K504" s="41">
        <f t="shared" ca="1" si="106"/>
        <v>32.811180912892183</v>
      </c>
      <c r="L504" s="42">
        <f t="shared" ca="1" si="118"/>
        <v>112.97736711183634</v>
      </c>
      <c r="M504" s="36">
        <f t="shared" ca="1" si="110"/>
        <v>8.5000000000000006E-2</v>
      </c>
      <c r="N504" s="36">
        <f t="shared" si="119"/>
        <v>4</v>
      </c>
      <c r="O504" s="39">
        <f t="shared" ca="1" si="111"/>
        <v>0.61627600562295515</v>
      </c>
      <c r="P504" s="39">
        <f t="shared" ca="1" si="112"/>
        <v>113.59364311745929</v>
      </c>
      <c r="Q504" s="43">
        <f t="shared" ca="1" si="120"/>
        <v>33.427456918515134</v>
      </c>
    </row>
    <row r="505" spans="1:17" x14ac:dyDescent="0.25">
      <c r="A505" s="36">
        <v>458</v>
      </c>
      <c r="B505" s="36">
        <f t="shared" ca="1" si="107"/>
        <v>0.71799999999999997</v>
      </c>
      <c r="C505" s="37">
        <f t="shared" si="113"/>
        <v>6</v>
      </c>
      <c r="D505" s="39">
        <f t="shared" ca="1" si="108"/>
        <v>5.5214284988985486E-2</v>
      </c>
      <c r="E505" s="39">
        <f t="shared" ca="1" si="114"/>
        <v>80.221400483933152</v>
      </c>
      <c r="F505" s="36">
        <f t="shared" ca="1" si="115"/>
        <v>122</v>
      </c>
      <c r="G505" s="36">
        <f ca="1">COUNTIF($P$48:P515,"&lt;"&amp;E505)</f>
        <v>335</v>
      </c>
      <c r="H505" s="36">
        <f t="shared" ca="1" si="116"/>
        <v>0</v>
      </c>
      <c r="I505" s="36" t="str">
        <f t="shared" ca="1" si="117"/>
        <v>Ocu</v>
      </c>
      <c r="J505" s="40">
        <f t="shared" ca="1" si="109"/>
        <v>123</v>
      </c>
      <c r="K505" s="41">
        <f t="shared" ca="1" si="106"/>
        <v>33.372242633526142</v>
      </c>
      <c r="L505" s="42">
        <f t="shared" ca="1" si="118"/>
        <v>113.59364311745929</v>
      </c>
      <c r="M505" s="36">
        <f t="shared" ca="1" si="110"/>
        <v>0.24399999999999999</v>
      </c>
      <c r="N505" s="36">
        <f t="shared" si="119"/>
        <v>4</v>
      </c>
      <c r="O505" s="39">
        <f t="shared" ca="1" si="111"/>
        <v>0.35264676342223378</v>
      </c>
      <c r="P505" s="39">
        <f t="shared" ca="1" si="112"/>
        <v>113.94628988088152</v>
      </c>
      <c r="Q505" s="43">
        <f t="shared" ca="1" si="120"/>
        <v>33.72488939694837</v>
      </c>
    </row>
    <row r="506" spans="1:17" x14ac:dyDescent="0.25">
      <c r="A506" s="36">
        <v>459</v>
      </c>
      <c r="B506" s="36">
        <f t="shared" ca="1" si="107"/>
        <v>0.45500000000000002</v>
      </c>
      <c r="C506" s="37">
        <f t="shared" si="113"/>
        <v>6</v>
      </c>
      <c r="D506" s="39">
        <f t="shared" ca="1" si="108"/>
        <v>0.13124297667186441</v>
      </c>
      <c r="E506" s="39">
        <f t="shared" ca="1" si="114"/>
        <v>80.352643460605023</v>
      </c>
      <c r="F506" s="36">
        <f t="shared" ca="1" si="115"/>
        <v>123</v>
      </c>
      <c r="G506" s="36">
        <f ca="1">COUNTIF($P$48:P516,"&lt;"&amp;E506)</f>
        <v>335</v>
      </c>
      <c r="H506" s="36">
        <f t="shared" ca="1" si="116"/>
        <v>0</v>
      </c>
      <c r="I506" s="36" t="str">
        <f t="shared" ca="1" si="117"/>
        <v>Ocu</v>
      </c>
      <c r="J506" s="40">
        <f t="shared" ca="1" si="109"/>
        <v>124</v>
      </c>
      <c r="K506" s="41">
        <f t="shared" ca="1" si="106"/>
        <v>33.593646420276499</v>
      </c>
      <c r="L506" s="42">
        <f t="shared" ca="1" si="118"/>
        <v>113.94628988088152</v>
      </c>
      <c r="M506" s="36">
        <f t="shared" ca="1" si="110"/>
        <v>7.0000000000000001E-3</v>
      </c>
      <c r="N506" s="36">
        <f t="shared" si="119"/>
        <v>4</v>
      </c>
      <c r="O506" s="39">
        <f t="shared" ca="1" si="111"/>
        <v>1.2404612824817058</v>
      </c>
      <c r="P506" s="39">
        <f t="shared" ca="1" si="112"/>
        <v>115.18675116336323</v>
      </c>
      <c r="Q506" s="43">
        <f t="shared" ca="1" si="120"/>
        <v>34.834107702758203</v>
      </c>
    </row>
    <row r="507" spans="1:17" x14ac:dyDescent="0.25">
      <c r="A507" s="36">
        <v>460</v>
      </c>
      <c r="B507" s="36">
        <f t="shared" ca="1" si="107"/>
        <v>0.99</v>
      </c>
      <c r="C507" s="37">
        <f t="shared" si="113"/>
        <v>6</v>
      </c>
      <c r="D507" s="39">
        <f t="shared" ca="1" si="108"/>
        <v>1.6750559755835844E-3</v>
      </c>
      <c r="E507" s="39">
        <f t="shared" ca="1" si="114"/>
        <v>80.354318516580605</v>
      </c>
      <c r="F507" s="36">
        <f t="shared" ca="1" si="115"/>
        <v>124</v>
      </c>
      <c r="G507" s="36">
        <f ca="1">COUNTIF($P$48:P517,"&lt;"&amp;E507)</f>
        <v>335</v>
      </c>
      <c r="H507" s="36">
        <f t="shared" ca="1" si="116"/>
        <v>0</v>
      </c>
      <c r="I507" s="36" t="str">
        <f t="shared" ca="1" si="117"/>
        <v>Ocu</v>
      </c>
      <c r="J507" s="40">
        <f t="shared" ca="1" si="109"/>
        <v>125</v>
      </c>
      <c r="K507" s="41">
        <f t="shared" ca="1" si="106"/>
        <v>34.832432646782621</v>
      </c>
      <c r="L507" s="42">
        <f t="shared" ca="1" si="118"/>
        <v>115.18675116336323</v>
      </c>
      <c r="M507" s="36">
        <f t="shared" ca="1" si="110"/>
        <v>0.78700000000000003</v>
      </c>
      <c r="N507" s="36">
        <f t="shared" si="119"/>
        <v>4</v>
      </c>
      <c r="O507" s="39">
        <f t="shared" ca="1" si="111"/>
        <v>5.9881757641183461E-2</v>
      </c>
      <c r="P507" s="39">
        <f t="shared" ca="1" si="112"/>
        <v>115.24663292100441</v>
      </c>
      <c r="Q507" s="43">
        <f t="shared" ca="1" si="120"/>
        <v>34.8923144044238</v>
      </c>
    </row>
    <row r="508" spans="1:17" x14ac:dyDescent="0.25">
      <c r="A508" s="36">
        <v>461</v>
      </c>
      <c r="B508" s="36">
        <f t="shared" ca="1" si="107"/>
        <v>0.47899999999999998</v>
      </c>
      <c r="C508" s="37">
        <f t="shared" si="113"/>
        <v>6</v>
      </c>
      <c r="D508" s="39">
        <f t="shared" ca="1" si="108"/>
        <v>0.12267578026187032</v>
      </c>
      <c r="E508" s="39">
        <f t="shared" ca="1" si="114"/>
        <v>80.476994296842477</v>
      </c>
      <c r="F508" s="36">
        <f t="shared" ca="1" si="115"/>
        <v>125</v>
      </c>
      <c r="G508" s="36">
        <f ca="1">COUNTIF($P$48:P518,"&lt;"&amp;E508)</f>
        <v>335</v>
      </c>
      <c r="H508" s="36">
        <f t="shared" ca="1" si="116"/>
        <v>0</v>
      </c>
      <c r="I508" s="36" t="str">
        <f t="shared" ca="1" si="117"/>
        <v>Ocu</v>
      </c>
      <c r="J508" s="40">
        <f t="shared" ca="1" si="109"/>
        <v>126</v>
      </c>
      <c r="K508" s="41">
        <f t="shared" ca="1" si="106"/>
        <v>34.769638624161928</v>
      </c>
      <c r="L508" s="42">
        <f t="shared" ca="1" si="118"/>
        <v>115.24663292100441</v>
      </c>
      <c r="M508" s="36">
        <f t="shared" ca="1" si="110"/>
        <v>0.189</v>
      </c>
      <c r="N508" s="36">
        <f t="shared" si="119"/>
        <v>4</v>
      </c>
      <c r="O508" s="39">
        <f t="shared" ca="1" si="111"/>
        <v>0.41650206598062367</v>
      </c>
      <c r="P508" s="39">
        <f t="shared" ca="1" si="112"/>
        <v>115.66313498698503</v>
      </c>
      <c r="Q508" s="43">
        <f t="shared" ca="1" si="120"/>
        <v>35.186140690142551</v>
      </c>
    </row>
    <row r="509" spans="1:17" x14ac:dyDescent="0.25">
      <c r="A509" s="36">
        <v>462</v>
      </c>
      <c r="B509" s="36">
        <f t="shared" ca="1" si="107"/>
        <v>0.34399999999999997</v>
      </c>
      <c r="C509" s="37">
        <f t="shared" si="113"/>
        <v>6</v>
      </c>
      <c r="D509" s="39">
        <f t="shared" ca="1" si="108"/>
        <v>0.17785227026812314</v>
      </c>
      <c r="E509" s="39">
        <f t="shared" ca="1" si="114"/>
        <v>80.654846567110596</v>
      </c>
      <c r="F509" s="36">
        <f t="shared" ca="1" si="115"/>
        <v>126</v>
      </c>
      <c r="G509" s="36">
        <f ca="1">COUNTIF($P$48:P519,"&lt;"&amp;E509)</f>
        <v>335</v>
      </c>
      <c r="H509" s="36">
        <f t="shared" ca="1" si="116"/>
        <v>0</v>
      </c>
      <c r="I509" s="36" t="str">
        <f t="shared" ca="1" si="117"/>
        <v>Ocu</v>
      </c>
      <c r="J509" s="40">
        <f t="shared" ca="1" si="109"/>
        <v>127</v>
      </c>
      <c r="K509" s="41">
        <f t="shared" ca="1" si="106"/>
        <v>35.008288419874432</v>
      </c>
      <c r="L509" s="42">
        <f t="shared" ca="1" si="118"/>
        <v>115.66313498698503</v>
      </c>
      <c r="M509" s="36">
        <f t="shared" ca="1" si="110"/>
        <v>0.93899999999999995</v>
      </c>
      <c r="N509" s="36">
        <f t="shared" si="119"/>
        <v>4</v>
      </c>
      <c r="O509" s="39">
        <f t="shared" ca="1" si="111"/>
        <v>1.5734949943468534E-2</v>
      </c>
      <c r="P509" s="39">
        <f t="shared" ca="1" si="112"/>
        <v>115.67886993692849</v>
      </c>
      <c r="Q509" s="43">
        <f t="shared" ca="1" si="120"/>
        <v>35.024023369817897</v>
      </c>
    </row>
    <row r="510" spans="1:17" x14ac:dyDescent="0.25">
      <c r="A510" s="36">
        <v>463</v>
      </c>
      <c r="B510" s="36">
        <f t="shared" ca="1" si="107"/>
        <v>0.13</v>
      </c>
      <c r="C510" s="37">
        <f t="shared" si="113"/>
        <v>6</v>
      </c>
      <c r="D510" s="39">
        <f t="shared" ca="1" si="108"/>
        <v>0.34003680475442577</v>
      </c>
      <c r="E510" s="39">
        <f t="shared" ca="1" si="114"/>
        <v>80.994883371865015</v>
      </c>
      <c r="F510" s="36">
        <f t="shared" ca="1" si="115"/>
        <v>123</v>
      </c>
      <c r="G510" s="36">
        <f ca="1">COUNTIF($P$48:P520,"&lt;"&amp;E510)</f>
        <v>339</v>
      </c>
      <c r="H510" s="36">
        <f t="shared" ca="1" si="116"/>
        <v>4</v>
      </c>
      <c r="I510" s="36" t="str">
        <f t="shared" ca="1" si="117"/>
        <v>Ocu</v>
      </c>
      <c r="J510" s="40">
        <f t="shared" ca="1" si="109"/>
        <v>124</v>
      </c>
      <c r="K510" s="41">
        <f t="shared" ca="1" si="106"/>
        <v>34.683986565063478</v>
      </c>
      <c r="L510" s="42">
        <f t="shared" ca="1" si="118"/>
        <v>115.67886993692849</v>
      </c>
      <c r="M510" s="36">
        <f t="shared" ca="1" si="110"/>
        <v>0.84499999999999997</v>
      </c>
      <c r="N510" s="36">
        <f t="shared" si="119"/>
        <v>4</v>
      </c>
      <c r="O510" s="39">
        <f t="shared" ca="1" si="111"/>
        <v>4.2104662906240813E-2</v>
      </c>
      <c r="P510" s="39">
        <f t="shared" ca="1" si="112"/>
        <v>115.72097459983473</v>
      </c>
      <c r="Q510" s="43">
        <f t="shared" ca="1" si="120"/>
        <v>34.726091227969718</v>
      </c>
    </row>
    <row r="511" spans="1:17" x14ac:dyDescent="0.25">
      <c r="A511" s="36">
        <v>464</v>
      </c>
      <c r="B511" s="36">
        <f t="shared" ca="1" si="107"/>
        <v>0.68600000000000005</v>
      </c>
      <c r="C511" s="37">
        <f t="shared" si="113"/>
        <v>6</v>
      </c>
      <c r="D511" s="39">
        <f t="shared" ca="1" si="108"/>
        <v>6.2812941876041958E-2</v>
      </c>
      <c r="E511" s="39">
        <f t="shared" ca="1" si="114"/>
        <v>81.057696313741062</v>
      </c>
      <c r="F511" s="36">
        <f t="shared" ca="1" si="115"/>
        <v>124</v>
      </c>
      <c r="G511" s="36">
        <f ca="1">COUNTIF($P$48:P521,"&lt;"&amp;E511)</f>
        <v>339</v>
      </c>
      <c r="H511" s="36">
        <f t="shared" ca="1" si="116"/>
        <v>0</v>
      </c>
      <c r="I511" s="36" t="str">
        <f t="shared" ca="1" si="117"/>
        <v>Ocu</v>
      </c>
      <c r="J511" s="40">
        <f t="shared" ca="1" si="109"/>
        <v>125</v>
      </c>
      <c r="K511" s="41">
        <f t="shared" ca="1" si="106"/>
        <v>34.663278286093671</v>
      </c>
      <c r="L511" s="42">
        <f t="shared" ca="1" si="118"/>
        <v>115.72097459983473</v>
      </c>
      <c r="M511" s="36">
        <f t="shared" ca="1" si="110"/>
        <v>0.28299999999999997</v>
      </c>
      <c r="N511" s="36">
        <f t="shared" si="119"/>
        <v>4</v>
      </c>
      <c r="O511" s="39">
        <f t="shared" ca="1" si="111"/>
        <v>0.31557709533472489</v>
      </c>
      <c r="P511" s="39">
        <f t="shared" ca="1" si="112"/>
        <v>116.03655169516946</v>
      </c>
      <c r="Q511" s="43">
        <f t="shared" ca="1" si="120"/>
        <v>34.978855381428403</v>
      </c>
    </row>
    <row r="512" spans="1:17" x14ac:dyDescent="0.25">
      <c r="A512" s="36">
        <v>465</v>
      </c>
      <c r="B512" s="36">
        <f t="shared" ca="1" si="107"/>
        <v>0.90900000000000003</v>
      </c>
      <c r="C512" s="37">
        <f t="shared" si="113"/>
        <v>6</v>
      </c>
      <c r="D512" s="39">
        <f t="shared" ca="1" si="108"/>
        <v>1.5901697467443045E-2</v>
      </c>
      <c r="E512" s="39">
        <f t="shared" ca="1" si="114"/>
        <v>81.073598011208503</v>
      </c>
      <c r="F512" s="36">
        <f t="shared" ca="1" si="115"/>
        <v>125</v>
      </c>
      <c r="G512" s="36">
        <f ca="1">COUNTIF($P$48:P522,"&lt;"&amp;E512)</f>
        <v>339</v>
      </c>
      <c r="H512" s="36">
        <f t="shared" ca="1" si="116"/>
        <v>0</v>
      </c>
      <c r="I512" s="36" t="str">
        <f t="shared" ca="1" si="117"/>
        <v>Ocu</v>
      </c>
      <c r="J512" s="40">
        <f t="shared" ca="1" si="109"/>
        <v>126</v>
      </c>
      <c r="K512" s="41">
        <f t="shared" ca="1" si="106"/>
        <v>34.962953683960961</v>
      </c>
      <c r="L512" s="42">
        <f t="shared" ca="1" si="118"/>
        <v>116.03655169516946</v>
      </c>
      <c r="M512" s="36">
        <f t="shared" ca="1" si="110"/>
        <v>0.78400000000000003</v>
      </c>
      <c r="N512" s="36">
        <f t="shared" si="119"/>
        <v>4</v>
      </c>
      <c r="O512" s="39">
        <f t="shared" ca="1" si="111"/>
        <v>6.0836564657932295E-2</v>
      </c>
      <c r="P512" s="39">
        <f t="shared" ca="1" si="112"/>
        <v>116.0973882598274</v>
      </c>
      <c r="Q512" s="43">
        <f t="shared" ca="1" si="120"/>
        <v>35.023790248618894</v>
      </c>
    </row>
    <row r="513" spans="1:17" x14ac:dyDescent="0.25">
      <c r="A513" s="36">
        <v>466</v>
      </c>
      <c r="B513" s="36">
        <f t="shared" ca="1" si="107"/>
        <v>0.88500000000000001</v>
      </c>
      <c r="C513" s="37">
        <f t="shared" si="113"/>
        <v>6</v>
      </c>
      <c r="D513" s="39">
        <f t="shared" ca="1" si="108"/>
        <v>2.0361272329034591E-2</v>
      </c>
      <c r="E513" s="39">
        <f t="shared" ca="1" si="114"/>
        <v>81.093959283537544</v>
      </c>
      <c r="F513" s="36">
        <f t="shared" ca="1" si="115"/>
        <v>126</v>
      </c>
      <c r="G513" s="36">
        <f ca="1">COUNTIF($P$48:P523,"&lt;"&amp;E513)</f>
        <v>339</v>
      </c>
      <c r="H513" s="36">
        <f t="shared" ca="1" si="116"/>
        <v>0</v>
      </c>
      <c r="I513" s="36" t="str">
        <f t="shared" ca="1" si="117"/>
        <v>Ocu</v>
      </c>
      <c r="J513" s="40">
        <f t="shared" ca="1" si="109"/>
        <v>127</v>
      </c>
      <c r="K513" s="41">
        <f t="shared" ca="1" si="106"/>
        <v>35.003428976289854</v>
      </c>
      <c r="L513" s="42">
        <f t="shared" ca="1" si="118"/>
        <v>116.0973882598274</v>
      </c>
      <c r="M513" s="36">
        <f t="shared" ca="1" si="110"/>
        <v>0.44700000000000001</v>
      </c>
      <c r="N513" s="36">
        <f t="shared" si="119"/>
        <v>4</v>
      </c>
      <c r="O513" s="39">
        <f t="shared" ca="1" si="111"/>
        <v>0.20129917109214207</v>
      </c>
      <c r="P513" s="39">
        <f t="shared" ca="1" si="112"/>
        <v>116.29868743091954</v>
      </c>
      <c r="Q513" s="43">
        <f t="shared" ca="1" si="120"/>
        <v>35.204728147381999</v>
      </c>
    </row>
    <row r="514" spans="1:17" x14ac:dyDescent="0.25">
      <c r="A514" s="36">
        <v>467</v>
      </c>
      <c r="B514" s="36">
        <f t="shared" ca="1" si="107"/>
        <v>0.96799999999999997</v>
      </c>
      <c r="C514" s="37">
        <f t="shared" si="113"/>
        <v>6</v>
      </c>
      <c r="D514" s="39">
        <f t="shared" ca="1" si="108"/>
        <v>5.4205319509266908E-3</v>
      </c>
      <c r="E514" s="39">
        <f t="shared" ca="1" si="114"/>
        <v>81.099379815488476</v>
      </c>
      <c r="F514" s="36">
        <f t="shared" ca="1" si="115"/>
        <v>127</v>
      </c>
      <c r="G514" s="36">
        <f ca="1">COUNTIF($P$48:P524,"&lt;"&amp;E514)</f>
        <v>339</v>
      </c>
      <c r="H514" s="36">
        <f t="shared" ca="1" si="116"/>
        <v>0</v>
      </c>
      <c r="I514" s="36" t="str">
        <f t="shared" ca="1" si="117"/>
        <v>Ocu</v>
      </c>
      <c r="J514" s="40">
        <f t="shared" ca="1" si="109"/>
        <v>128</v>
      </c>
      <c r="K514" s="41">
        <f t="shared" ca="1" si="106"/>
        <v>35.199307615431067</v>
      </c>
      <c r="L514" s="42">
        <f t="shared" ca="1" si="118"/>
        <v>116.29868743091954</v>
      </c>
      <c r="M514" s="36">
        <f t="shared" ca="1" si="110"/>
        <v>0.57799999999999996</v>
      </c>
      <c r="N514" s="36">
        <f t="shared" si="119"/>
        <v>4</v>
      </c>
      <c r="O514" s="39">
        <f t="shared" ca="1" si="111"/>
        <v>0.13704535257743991</v>
      </c>
      <c r="P514" s="39">
        <f t="shared" ca="1" si="112"/>
        <v>116.43573278349699</v>
      </c>
      <c r="Q514" s="43">
        <f t="shared" ca="1" si="120"/>
        <v>35.336352968008512</v>
      </c>
    </row>
    <row r="515" spans="1:17" x14ac:dyDescent="0.25">
      <c r="A515" s="36">
        <v>468</v>
      </c>
      <c r="B515" s="36">
        <f t="shared" ca="1" si="107"/>
        <v>0.59599999999999997</v>
      </c>
      <c r="C515" s="37">
        <f t="shared" si="113"/>
        <v>6</v>
      </c>
      <c r="D515" s="39">
        <f t="shared" ca="1" si="108"/>
        <v>8.625243531946454E-2</v>
      </c>
      <c r="E515" s="39">
        <f t="shared" ca="1" si="114"/>
        <v>81.185632250807942</v>
      </c>
      <c r="F515" s="36">
        <f t="shared" ca="1" si="115"/>
        <v>128</v>
      </c>
      <c r="G515" s="36">
        <f ca="1">COUNTIF($P$48:P525,"&lt;"&amp;E515)</f>
        <v>339</v>
      </c>
      <c r="H515" s="36">
        <f t="shared" ca="1" si="116"/>
        <v>0</v>
      </c>
      <c r="I515" s="36" t="str">
        <f t="shared" ca="1" si="117"/>
        <v>Ocu</v>
      </c>
      <c r="J515" s="40">
        <f t="shared" ca="1" si="109"/>
        <v>129</v>
      </c>
      <c r="K515" s="41">
        <f t="shared" ca="1" si="106"/>
        <v>35.250100532689046</v>
      </c>
      <c r="L515" s="42">
        <f t="shared" ca="1" si="118"/>
        <v>116.43573278349699</v>
      </c>
      <c r="M515" s="36">
        <f t="shared" ca="1" si="110"/>
        <v>0.92600000000000005</v>
      </c>
      <c r="N515" s="36">
        <f t="shared" si="119"/>
        <v>4</v>
      </c>
      <c r="O515" s="39">
        <f t="shared" ca="1" si="111"/>
        <v>1.9220261083989398E-2</v>
      </c>
      <c r="P515" s="39">
        <f t="shared" ca="1" si="112"/>
        <v>116.45495304458098</v>
      </c>
      <c r="Q515" s="43">
        <f t="shared" ca="1" si="120"/>
        <v>35.269320793773034</v>
      </c>
    </row>
    <row r="516" spans="1:17" x14ac:dyDescent="0.25">
      <c r="A516" s="36">
        <v>469</v>
      </c>
      <c r="B516" s="36">
        <f t="shared" ca="1" si="107"/>
        <v>0.90100000000000002</v>
      </c>
      <c r="C516" s="37">
        <f t="shared" si="113"/>
        <v>6</v>
      </c>
      <c r="D516" s="39">
        <f t="shared" ca="1" si="108"/>
        <v>1.7375003562299846E-2</v>
      </c>
      <c r="E516" s="39">
        <f t="shared" ca="1" si="114"/>
        <v>81.203007254370235</v>
      </c>
      <c r="F516" s="36">
        <f t="shared" ca="1" si="115"/>
        <v>129</v>
      </c>
      <c r="G516" s="36">
        <f ca="1">COUNTIF($P$48:P526,"&lt;"&amp;E516)</f>
        <v>339</v>
      </c>
      <c r="H516" s="36">
        <f t="shared" ca="1" si="116"/>
        <v>0</v>
      </c>
      <c r="I516" s="36" t="str">
        <f t="shared" ca="1" si="117"/>
        <v>Ocu</v>
      </c>
      <c r="J516" s="40">
        <f t="shared" ca="1" si="109"/>
        <v>130</v>
      </c>
      <c r="K516" s="41">
        <f t="shared" ca="1" si="106"/>
        <v>35.25194579021074</v>
      </c>
      <c r="L516" s="42">
        <f t="shared" ca="1" si="118"/>
        <v>116.45495304458098</v>
      </c>
      <c r="M516" s="36">
        <f t="shared" ca="1" si="110"/>
        <v>0.59499999999999997</v>
      </c>
      <c r="N516" s="36">
        <f t="shared" si="119"/>
        <v>4</v>
      </c>
      <c r="O516" s="39">
        <f t="shared" ca="1" si="111"/>
        <v>0.12979846835912684</v>
      </c>
      <c r="P516" s="39">
        <f t="shared" ca="1" si="112"/>
        <v>116.5847515129401</v>
      </c>
      <c r="Q516" s="43">
        <f t="shared" ca="1" si="120"/>
        <v>35.381744258569867</v>
      </c>
    </row>
    <row r="517" spans="1:17" x14ac:dyDescent="0.25">
      <c r="A517" s="36">
        <v>470</v>
      </c>
      <c r="B517" s="36">
        <f t="shared" ca="1" si="107"/>
        <v>0.36399999999999999</v>
      </c>
      <c r="C517" s="37">
        <f t="shared" si="113"/>
        <v>6</v>
      </c>
      <c r="D517" s="39">
        <f t="shared" ca="1" si="108"/>
        <v>0.16843356855756608</v>
      </c>
      <c r="E517" s="39">
        <f t="shared" ca="1" si="114"/>
        <v>81.371440822927795</v>
      </c>
      <c r="F517" s="36">
        <f t="shared" ca="1" si="115"/>
        <v>130</v>
      </c>
      <c r="G517" s="36">
        <f ca="1">COUNTIF($P$48:P527,"&lt;"&amp;E517)</f>
        <v>339</v>
      </c>
      <c r="H517" s="36">
        <f t="shared" ca="1" si="116"/>
        <v>0</v>
      </c>
      <c r="I517" s="36" t="str">
        <f t="shared" ca="1" si="117"/>
        <v>Ocu</v>
      </c>
      <c r="J517" s="40">
        <f t="shared" ca="1" si="109"/>
        <v>131</v>
      </c>
      <c r="K517" s="41">
        <f t="shared" ca="1" si="106"/>
        <v>35.213310690012307</v>
      </c>
      <c r="L517" s="42">
        <f t="shared" ca="1" si="118"/>
        <v>116.5847515129401</v>
      </c>
      <c r="M517" s="36">
        <f t="shared" ca="1" si="110"/>
        <v>0.70499999999999996</v>
      </c>
      <c r="N517" s="36">
        <f t="shared" si="119"/>
        <v>4</v>
      </c>
      <c r="O517" s="39">
        <f t="shared" ca="1" si="111"/>
        <v>8.7389369042467108E-2</v>
      </c>
      <c r="P517" s="39">
        <f t="shared" ca="1" si="112"/>
        <v>116.67214088198257</v>
      </c>
      <c r="Q517" s="43">
        <f t="shared" ca="1" si="120"/>
        <v>35.300700059054776</v>
      </c>
    </row>
    <row r="518" spans="1:17" x14ac:dyDescent="0.25">
      <c r="A518" s="36">
        <v>471</v>
      </c>
      <c r="B518" s="36">
        <f t="shared" ca="1" si="107"/>
        <v>0.73899999999999999</v>
      </c>
      <c r="C518" s="37">
        <f t="shared" si="113"/>
        <v>6</v>
      </c>
      <c r="D518" s="39">
        <f t="shared" ca="1" si="108"/>
        <v>5.0409559672322531E-2</v>
      </c>
      <c r="E518" s="39">
        <f t="shared" ca="1" si="114"/>
        <v>81.421850382600113</v>
      </c>
      <c r="F518" s="36">
        <f t="shared" ca="1" si="115"/>
        <v>131</v>
      </c>
      <c r="G518" s="36">
        <f ca="1">COUNTIF($P$48:P528,"&lt;"&amp;E518)</f>
        <v>339</v>
      </c>
      <c r="H518" s="36">
        <f t="shared" ca="1" si="116"/>
        <v>0</v>
      </c>
      <c r="I518" s="36" t="str">
        <f t="shared" ca="1" si="117"/>
        <v>Ocu</v>
      </c>
      <c r="J518" s="40">
        <f t="shared" ca="1" si="109"/>
        <v>132</v>
      </c>
      <c r="K518" s="41">
        <f t="shared" ca="1" si="106"/>
        <v>35.250290499382459</v>
      </c>
      <c r="L518" s="42">
        <f t="shared" ca="1" si="118"/>
        <v>116.67214088198257</v>
      </c>
      <c r="M518" s="36">
        <f t="shared" ca="1" si="110"/>
        <v>0.79300000000000004</v>
      </c>
      <c r="N518" s="36">
        <f t="shared" si="119"/>
        <v>4</v>
      </c>
      <c r="O518" s="39">
        <f t="shared" ca="1" si="111"/>
        <v>5.7983014336822271E-2</v>
      </c>
      <c r="P518" s="39">
        <f t="shared" ca="1" si="112"/>
        <v>116.7301238963194</v>
      </c>
      <c r="Q518" s="43">
        <f t="shared" ca="1" si="120"/>
        <v>35.308273513719286</v>
      </c>
    </row>
    <row r="519" spans="1:17" x14ac:dyDescent="0.25">
      <c r="A519" s="36">
        <v>472</v>
      </c>
      <c r="B519" s="36">
        <f t="shared" ca="1" si="107"/>
        <v>0.69199999999999995</v>
      </c>
      <c r="C519" s="37">
        <f t="shared" si="113"/>
        <v>6</v>
      </c>
      <c r="D519" s="39">
        <f t="shared" ca="1" si="108"/>
        <v>6.1361553894077915E-2</v>
      </c>
      <c r="E519" s="39">
        <f t="shared" ca="1" si="114"/>
        <v>81.483211936494186</v>
      </c>
      <c r="F519" s="36">
        <f t="shared" ca="1" si="115"/>
        <v>132</v>
      </c>
      <c r="G519" s="36">
        <f ca="1">COUNTIF($P$48:P529,"&lt;"&amp;E519)</f>
        <v>339</v>
      </c>
      <c r="H519" s="36">
        <f t="shared" ca="1" si="116"/>
        <v>0</v>
      </c>
      <c r="I519" s="36" t="str">
        <f t="shared" ca="1" si="117"/>
        <v>Ocu</v>
      </c>
      <c r="J519" s="40">
        <f t="shared" ca="1" si="109"/>
        <v>133</v>
      </c>
      <c r="K519" s="41">
        <f t="shared" ca="1" si="106"/>
        <v>35.246911959825212</v>
      </c>
      <c r="L519" s="42">
        <f t="shared" ca="1" si="118"/>
        <v>116.7301238963194</v>
      </c>
      <c r="M519" s="36">
        <f t="shared" ca="1" si="110"/>
        <v>0.73199999999999998</v>
      </c>
      <c r="N519" s="36">
        <f t="shared" si="119"/>
        <v>4</v>
      </c>
      <c r="O519" s="39">
        <f t="shared" ca="1" si="111"/>
        <v>7.799369125520636E-2</v>
      </c>
      <c r="P519" s="39">
        <f t="shared" ca="1" si="112"/>
        <v>116.8081175875746</v>
      </c>
      <c r="Q519" s="43">
        <f t="shared" ca="1" si="120"/>
        <v>35.324905651080414</v>
      </c>
    </row>
    <row r="520" spans="1:17" x14ac:dyDescent="0.25">
      <c r="A520" s="36">
        <v>473</v>
      </c>
      <c r="B520" s="36">
        <f t="shared" ca="1" si="107"/>
        <v>0.91100000000000003</v>
      </c>
      <c r="C520" s="37">
        <f t="shared" si="113"/>
        <v>6</v>
      </c>
      <c r="D520" s="39">
        <f t="shared" ca="1" si="108"/>
        <v>1.5535396953696436E-2</v>
      </c>
      <c r="E520" s="39">
        <f t="shared" ca="1" si="114"/>
        <v>81.498747333447881</v>
      </c>
      <c r="F520" s="36">
        <f t="shared" ca="1" si="115"/>
        <v>133</v>
      </c>
      <c r="G520" s="36">
        <f ca="1">COUNTIF($P$48:P530,"&lt;"&amp;E520)</f>
        <v>339</v>
      </c>
      <c r="H520" s="36">
        <f t="shared" ca="1" si="116"/>
        <v>0</v>
      </c>
      <c r="I520" s="36" t="str">
        <f t="shared" ca="1" si="117"/>
        <v>Ocu</v>
      </c>
      <c r="J520" s="40">
        <f t="shared" ca="1" si="109"/>
        <v>134</v>
      </c>
      <c r="K520" s="41">
        <f t="shared" ca="1" si="106"/>
        <v>35.309370254126719</v>
      </c>
      <c r="L520" s="42">
        <f t="shared" ca="1" si="118"/>
        <v>116.8081175875746</v>
      </c>
      <c r="M520" s="36">
        <f t="shared" ca="1" si="110"/>
        <v>0.66900000000000004</v>
      </c>
      <c r="N520" s="36">
        <f t="shared" si="119"/>
        <v>4</v>
      </c>
      <c r="O520" s="39">
        <f t="shared" ca="1" si="111"/>
        <v>0.10049280471347714</v>
      </c>
      <c r="P520" s="39">
        <f t="shared" ca="1" si="112"/>
        <v>116.90861039228808</v>
      </c>
      <c r="Q520" s="43">
        <f t="shared" ca="1" si="120"/>
        <v>35.409863058840202</v>
      </c>
    </row>
    <row r="521" spans="1:17" x14ac:dyDescent="0.25">
      <c r="A521" s="36">
        <v>474</v>
      </c>
      <c r="B521" s="36">
        <f t="shared" ca="1" si="107"/>
        <v>0.81200000000000006</v>
      </c>
      <c r="C521" s="37">
        <f t="shared" si="113"/>
        <v>6</v>
      </c>
      <c r="D521" s="39">
        <f t="shared" ca="1" si="108"/>
        <v>3.470915647007649E-2</v>
      </c>
      <c r="E521" s="39">
        <f t="shared" ca="1" si="114"/>
        <v>81.533456489917953</v>
      </c>
      <c r="F521" s="36">
        <f t="shared" ca="1" si="115"/>
        <v>134</v>
      </c>
      <c r="G521" s="36">
        <f ca="1">COUNTIF($P$48:P531,"&lt;"&amp;E521)</f>
        <v>339</v>
      </c>
      <c r="H521" s="36">
        <f t="shared" ca="1" si="116"/>
        <v>0</v>
      </c>
      <c r="I521" s="36" t="str">
        <f t="shared" ca="1" si="117"/>
        <v>Ocu</v>
      </c>
      <c r="J521" s="40">
        <f t="shared" ca="1" si="109"/>
        <v>135</v>
      </c>
      <c r="K521" s="41">
        <f t="shared" ca="1" si="106"/>
        <v>35.37515390237013</v>
      </c>
      <c r="L521" s="42">
        <f t="shared" ca="1" si="118"/>
        <v>116.90861039228808</v>
      </c>
      <c r="M521" s="36">
        <f t="shared" ca="1" si="110"/>
        <v>2.7E-2</v>
      </c>
      <c r="N521" s="36">
        <f t="shared" si="119"/>
        <v>4</v>
      </c>
      <c r="O521" s="39">
        <f t="shared" ca="1" si="111"/>
        <v>0.90297960324445203</v>
      </c>
      <c r="P521" s="39">
        <f t="shared" ca="1" si="112"/>
        <v>117.81158999553253</v>
      </c>
      <c r="Q521" s="43">
        <f t="shared" ca="1" si="120"/>
        <v>36.278133505614576</v>
      </c>
    </row>
    <row r="522" spans="1:17" x14ac:dyDescent="0.25">
      <c r="A522" s="36">
        <v>475</v>
      </c>
      <c r="B522" s="36">
        <f t="shared" ca="1" si="107"/>
        <v>0.41299999999999998</v>
      </c>
      <c r="C522" s="37">
        <f t="shared" si="113"/>
        <v>6</v>
      </c>
      <c r="D522" s="39">
        <f t="shared" ca="1" si="108"/>
        <v>0.14738461433685071</v>
      </c>
      <c r="E522" s="39">
        <f t="shared" ca="1" si="114"/>
        <v>81.68084110425481</v>
      </c>
      <c r="F522" s="36">
        <f t="shared" ca="1" si="115"/>
        <v>135</v>
      </c>
      <c r="G522" s="36">
        <f ca="1">COUNTIF($P$48:P532,"&lt;"&amp;E522)</f>
        <v>339</v>
      </c>
      <c r="H522" s="36">
        <f t="shared" ca="1" si="116"/>
        <v>0</v>
      </c>
      <c r="I522" s="36" t="str">
        <f t="shared" ca="1" si="117"/>
        <v>Ocu</v>
      </c>
      <c r="J522" s="40">
        <f t="shared" ca="1" si="109"/>
        <v>136</v>
      </c>
      <c r="K522" s="41">
        <f t="shared" ca="1" si="106"/>
        <v>36.130748891277719</v>
      </c>
      <c r="L522" s="42">
        <f t="shared" ca="1" si="118"/>
        <v>117.81158999553253</v>
      </c>
      <c r="M522" s="36">
        <f t="shared" ca="1" si="110"/>
        <v>0.73299999999999998</v>
      </c>
      <c r="N522" s="36">
        <f t="shared" si="119"/>
        <v>4</v>
      </c>
      <c r="O522" s="39">
        <f t="shared" ca="1" si="111"/>
        <v>7.7652394273871397E-2</v>
      </c>
      <c r="P522" s="39">
        <f t="shared" ca="1" si="112"/>
        <v>117.8892423898064</v>
      </c>
      <c r="Q522" s="43">
        <f t="shared" ca="1" si="120"/>
        <v>36.208401285551588</v>
      </c>
    </row>
    <row r="523" spans="1:17" x14ac:dyDescent="0.25">
      <c r="A523" s="36">
        <v>476</v>
      </c>
      <c r="B523" s="36">
        <f t="shared" ca="1" si="107"/>
        <v>0.14199999999999999</v>
      </c>
      <c r="C523" s="37">
        <f t="shared" si="113"/>
        <v>6</v>
      </c>
      <c r="D523" s="39">
        <f t="shared" ca="1" si="108"/>
        <v>0.32532137023014607</v>
      </c>
      <c r="E523" s="39">
        <f t="shared" ca="1" si="114"/>
        <v>82.006162474484952</v>
      </c>
      <c r="F523" s="36">
        <f t="shared" ca="1" si="115"/>
        <v>135</v>
      </c>
      <c r="G523" s="36">
        <f ca="1">COUNTIF($P$48:P533,"&lt;"&amp;E523)</f>
        <v>340</v>
      </c>
      <c r="H523" s="36">
        <f t="shared" ca="1" si="116"/>
        <v>1</v>
      </c>
      <c r="I523" s="36" t="str">
        <f t="shared" ca="1" si="117"/>
        <v>Ocu</v>
      </c>
      <c r="J523" s="40">
        <f t="shared" ca="1" si="109"/>
        <v>136</v>
      </c>
      <c r="K523" s="41">
        <f t="shared" ca="1" si="106"/>
        <v>35.883079915321446</v>
      </c>
      <c r="L523" s="42">
        <f t="shared" ca="1" si="118"/>
        <v>117.8892423898064</v>
      </c>
      <c r="M523" s="36">
        <f t="shared" ca="1" si="110"/>
        <v>0.44400000000000001</v>
      </c>
      <c r="N523" s="36">
        <f t="shared" si="119"/>
        <v>4</v>
      </c>
      <c r="O523" s="39">
        <f t="shared" ca="1" si="111"/>
        <v>0.20298267913747808</v>
      </c>
      <c r="P523" s="39">
        <f t="shared" ca="1" si="112"/>
        <v>118.09222506894388</v>
      </c>
      <c r="Q523" s="43">
        <f t="shared" ca="1" si="120"/>
        <v>36.086062594458923</v>
      </c>
    </row>
    <row r="524" spans="1:17" x14ac:dyDescent="0.25">
      <c r="A524" s="36">
        <v>477</v>
      </c>
      <c r="B524" s="36">
        <f t="shared" ca="1" si="107"/>
        <v>0.44700000000000001</v>
      </c>
      <c r="C524" s="37">
        <f t="shared" si="113"/>
        <v>6</v>
      </c>
      <c r="D524" s="39">
        <f t="shared" ca="1" si="108"/>
        <v>0.13419944739476136</v>
      </c>
      <c r="E524" s="39">
        <f t="shared" ca="1" si="114"/>
        <v>82.140361921879716</v>
      </c>
      <c r="F524" s="36">
        <f t="shared" ca="1" si="115"/>
        <v>136</v>
      </c>
      <c r="G524" s="36">
        <f ca="1">COUNTIF($P$48:P534,"&lt;"&amp;E524)</f>
        <v>340</v>
      </c>
      <c r="H524" s="36">
        <f t="shared" ca="1" si="116"/>
        <v>0</v>
      </c>
      <c r="I524" s="36" t="str">
        <f t="shared" ca="1" si="117"/>
        <v>Ocu</v>
      </c>
      <c r="J524" s="40">
        <f t="shared" ca="1" si="109"/>
        <v>137</v>
      </c>
      <c r="K524" s="41">
        <f t="shared" ca="1" si="106"/>
        <v>35.951863147064159</v>
      </c>
      <c r="L524" s="42">
        <f t="shared" ca="1" si="118"/>
        <v>118.09222506894388</v>
      </c>
      <c r="M524" s="36">
        <f t="shared" ca="1" si="110"/>
        <v>0.67600000000000005</v>
      </c>
      <c r="N524" s="36">
        <f t="shared" si="119"/>
        <v>4</v>
      </c>
      <c r="O524" s="39">
        <f t="shared" ca="1" si="111"/>
        <v>9.7890550734793247E-2</v>
      </c>
      <c r="P524" s="39">
        <f t="shared" ca="1" si="112"/>
        <v>118.19011561967866</v>
      </c>
      <c r="Q524" s="43">
        <f t="shared" ca="1" si="120"/>
        <v>36.049753697798948</v>
      </c>
    </row>
    <row r="525" spans="1:17" x14ac:dyDescent="0.25">
      <c r="A525" s="36">
        <v>478</v>
      </c>
      <c r="B525" s="36">
        <f t="shared" ca="1" si="107"/>
        <v>8.1000000000000003E-2</v>
      </c>
      <c r="C525" s="37">
        <f t="shared" si="113"/>
        <v>6</v>
      </c>
      <c r="D525" s="39">
        <f t="shared" ca="1" si="108"/>
        <v>0.41888435405161634</v>
      </c>
      <c r="E525" s="39">
        <f t="shared" ca="1" si="114"/>
        <v>82.559246275931329</v>
      </c>
      <c r="F525" s="36">
        <f t="shared" ca="1" si="115"/>
        <v>136</v>
      </c>
      <c r="G525" s="36">
        <f ca="1">COUNTIF($P$48:P535,"&lt;"&amp;E525)</f>
        <v>341</v>
      </c>
      <c r="H525" s="36">
        <f t="shared" ca="1" si="116"/>
        <v>1</v>
      </c>
      <c r="I525" s="36" t="str">
        <f t="shared" ca="1" si="117"/>
        <v>Ocu</v>
      </c>
      <c r="J525" s="40">
        <f t="shared" ca="1" si="109"/>
        <v>137</v>
      </c>
      <c r="K525" s="41">
        <f t="shared" ca="1" si="106"/>
        <v>35.630869343747335</v>
      </c>
      <c r="L525" s="42">
        <f t="shared" ca="1" si="118"/>
        <v>118.19011561967866</v>
      </c>
      <c r="M525" s="36">
        <f t="shared" ca="1" si="110"/>
        <v>0.92500000000000004</v>
      </c>
      <c r="N525" s="36">
        <f t="shared" si="119"/>
        <v>4</v>
      </c>
      <c r="O525" s="39">
        <f t="shared" ca="1" si="111"/>
        <v>1.9490385367427927E-2</v>
      </c>
      <c r="P525" s="39">
        <f t="shared" ca="1" si="112"/>
        <v>118.2096060050461</v>
      </c>
      <c r="Q525" s="43">
        <f t="shared" ca="1" si="120"/>
        <v>35.650359729114768</v>
      </c>
    </row>
    <row r="526" spans="1:17" x14ac:dyDescent="0.25">
      <c r="A526" s="36">
        <v>479</v>
      </c>
      <c r="B526" s="36">
        <f t="shared" ca="1" si="107"/>
        <v>0.98899999999999999</v>
      </c>
      <c r="C526" s="37">
        <f t="shared" si="113"/>
        <v>6</v>
      </c>
      <c r="D526" s="39">
        <f t="shared" ca="1" si="108"/>
        <v>1.8434912265708292E-3</v>
      </c>
      <c r="E526" s="39">
        <f t="shared" ca="1" si="114"/>
        <v>82.561089767157895</v>
      </c>
      <c r="F526" s="36">
        <f t="shared" ca="1" si="115"/>
        <v>137</v>
      </c>
      <c r="G526" s="36">
        <f ca="1">COUNTIF($P$48:P536,"&lt;"&amp;E526)</f>
        <v>341</v>
      </c>
      <c r="H526" s="36">
        <f t="shared" ca="1" si="116"/>
        <v>0</v>
      </c>
      <c r="I526" s="36" t="str">
        <f t="shared" ca="1" si="117"/>
        <v>Ocu</v>
      </c>
      <c r="J526" s="40">
        <f t="shared" ca="1" si="109"/>
        <v>138</v>
      </c>
      <c r="K526" s="41">
        <f t="shared" ca="1" si="106"/>
        <v>35.648516237888202</v>
      </c>
      <c r="L526" s="42">
        <f t="shared" ca="1" si="118"/>
        <v>118.2096060050461</v>
      </c>
      <c r="M526" s="36">
        <f t="shared" ca="1" si="110"/>
        <v>0.68300000000000005</v>
      </c>
      <c r="N526" s="36">
        <f t="shared" si="119"/>
        <v>4</v>
      </c>
      <c r="O526" s="39">
        <f t="shared" ca="1" si="111"/>
        <v>9.5315104852836716E-2</v>
      </c>
      <c r="P526" s="39">
        <f t="shared" ca="1" si="112"/>
        <v>118.30492110989893</v>
      </c>
      <c r="Q526" s="43">
        <f t="shared" ca="1" si="120"/>
        <v>35.743831342741032</v>
      </c>
    </row>
    <row r="527" spans="1:17" x14ac:dyDescent="0.25">
      <c r="A527" s="36">
        <v>480</v>
      </c>
      <c r="B527" s="36">
        <f t="shared" ca="1" si="107"/>
        <v>0.77500000000000002</v>
      </c>
      <c r="C527" s="37">
        <f t="shared" si="113"/>
        <v>6</v>
      </c>
      <c r="D527" s="39">
        <f t="shared" ca="1" si="108"/>
        <v>4.2482041604798335E-2</v>
      </c>
      <c r="E527" s="39">
        <f t="shared" ca="1" si="114"/>
        <v>82.603571808762695</v>
      </c>
      <c r="F527" s="36">
        <f t="shared" ca="1" si="115"/>
        <v>138</v>
      </c>
      <c r="G527" s="36">
        <f ca="1">COUNTIF($P$48:P537,"&lt;"&amp;E527)</f>
        <v>341</v>
      </c>
      <c r="H527" s="36">
        <f t="shared" ca="1" si="116"/>
        <v>0</v>
      </c>
      <c r="I527" s="36" t="str">
        <f t="shared" ca="1" si="117"/>
        <v>Ocu</v>
      </c>
      <c r="J527" s="40">
        <f t="shared" ca="1" si="109"/>
        <v>139</v>
      </c>
      <c r="K527" s="41">
        <f t="shared" ca="1" si="106"/>
        <v>35.701349301136233</v>
      </c>
      <c r="L527" s="42">
        <f t="shared" ca="1" si="118"/>
        <v>118.30492110989893</v>
      </c>
      <c r="M527" s="36">
        <f t="shared" ca="1" si="110"/>
        <v>0.98</v>
      </c>
      <c r="N527" s="36">
        <f t="shared" si="119"/>
        <v>4</v>
      </c>
      <c r="O527" s="39">
        <f t="shared" ca="1" si="111"/>
        <v>5.0506768293798673E-3</v>
      </c>
      <c r="P527" s="39">
        <f t="shared" ca="1" si="112"/>
        <v>118.30997178672831</v>
      </c>
      <c r="Q527" s="43">
        <f t="shared" ca="1" si="120"/>
        <v>35.706399977965617</v>
      </c>
    </row>
    <row r="528" spans="1:17" x14ac:dyDescent="0.25">
      <c r="A528" s="36">
        <v>481</v>
      </c>
      <c r="B528" s="36">
        <f t="shared" ca="1" si="107"/>
        <v>0.81799999999999995</v>
      </c>
      <c r="C528" s="37">
        <f t="shared" si="113"/>
        <v>6</v>
      </c>
      <c r="D528" s="39">
        <f t="shared" ca="1" si="108"/>
        <v>3.3482157063231675E-2</v>
      </c>
      <c r="E528" s="39">
        <f t="shared" ca="1" si="114"/>
        <v>82.637053965825928</v>
      </c>
      <c r="F528" s="36">
        <f t="shared" ca="1" si="115"/>
        <v>139</v>
      </c>
      <c r="G528" s="36">
        <f ca="1">COUNTIF($P$48:P538,"&lt;"&amp;E528)</f>
        <v>341</v>
      </c>
      <c r="H528" s="36">
        <f t="shared" ca="1" si="116"/>
        <v>0</v>
      </c>
      <c r="I528" s="36" t="str">
        <f t="shared" ca="1" si="117"/>
        <v>Ocu</v>
      </c>
      <c r="J528" s="40">
        <f t="shared" ca="1" si="109"/>
        <v>140</v>
      </c>
      <c r="K528" s="41">
        <f t="shared" ca="1" si="106"/>
        <v>35.672917820902384</v>
      </c>
      <c r="L528" s="42">
        <f t="shared" ca="1" si="118"/>
        <v>118.30997178672831</v>
      </c>
      <c r="M528" s="36">
        <f t="shared" ca="1" si="110"/>
        <v>0.629</v>
      </c>
      <c r="N528" s="36">
        <f t="shared" si="119"/>
        <v>4</v>
      </c>
      <c r="O528" s="39">
        <f t="shared" ca="1" si="111"/>
        <v>0.11590600557042413</v>
      </c>
      <c r="P528" s="39">
        <f t="shared" ca="1" si="112"/>
        <v>118.42587779229873</v>
      </c>
      <c r="Q528" s="43">
        <f t="shared" ca="1" si="120"/>
        <v>35.788823826472807</v>
      </c>
    </row>
    <row r="529" spans="1:17" x14ac:dyDescent="0.25">
      <c r="A529" s="36">
        <v>482</v>
      </c>
      <c r="B529" s="36">
        <f t="shared" ca="1" si="107"/>
        <v>0.05</v>
      </c>
      <c r="C529" s="37">
        <f t="shared" si="113"/>
        <v>6</v>
      </c>
      <c r="D529" s="39">
        <f t="shared" ca="1" si="108"/>
        <v>0.49928871225899846</v>
      </c>
      <c r="E529" s="39">
        <f t="shared" ca="1" si="114"/>
        <v>83.13634267808493</v>
      </c>
      <c r="F529" s="36">
        <f t="shared" ca="1" si="115"/>
        <v>134</v>
      </c>
      <c r="G529" s="36">
        <f ca="1">COUNTIF($P$48:P539,"&lt;"&amp;E529)</f>
        <v>347</v>
      </c>
      <c r="H529" s="36">
        <f t="shared" ca="1" si="116"/>
        <v>6</v>
      </c>
      <c r="I529" s="36" t="str">
        <f t="shared" ca="1" si="117"/>
        <v>Ocu</v>
      </c>
      <c r="J529" s="40">
        <f t="shared" ca="1" si="109"/>
        <v>135</v>
      </c>
      <c r="K529" s="41">
        <f t="shared" ca="1" si="106"/>
        <v>35.289535114213805</v>
      </c>
      <c r="L529" s="42">
        <f t="shared" ca="1" si="118"/>
        <v>118.42587779229873</v>
      </c>
      <c r="M529" s="36">
        <f t="shared" ca="1" si="110"/>
        <v>0.53500000000000003</v>
      </c>
      <c r="N529" s="36">
        <f t="shared" si="119"/>
        <v>4</v>
      </c>
      <c r="O529" s="39">
        <f t="shared" ca="1" si="111"/>
        <v>0.15637213302153263</v>
      </c>
      <c r="P529" s="39">
        <f t="shared" ca="1" si="112"/>
        <v>118.58224992532027</v>
      </c>
      <c r="Q529" s="43">
        <f t="shared" ca="1" si="120"/>
        <v>35.44590724723534</v>
      </c>
    </row>
    <row r="530" spans="1:17" x14ac:dyDescent="0.25">
      <c r="A530" s="36">
        <v>483</v>
      </c>
      <c r="B530" s="36">
        <f t="shared" ca="1" si="107"/>
        <v>0.66</v>
      </c>
      <c r="C530" s="37">
        <f t="shared" si="113"/>
        <v>6</v>
      </c>
      <c r="D530" s="39">
        <f t="shared" ca="1" si="108"/>
        <v>6.9252573993610955E-2</v>
      </c>
      <c r="E530" s="39">
        <f t="shared" ca="1" si="114"/>
        <v>83.205595252078538</v>
      </c>
      <c r="F530" s="36">
        <f t="shared" ca="1" si="115"/>
        <v>134</v>
      </c>
      <c r="G530" s="36">
        <f ca="1">COUNTIF($P$48:P540,"&lt;"&amp;E530)</f>
        <v>348</v>
      </c>
      <c r="H530" s="36">
        <f t="shared" ca="1" si="116"/>
        <v>1</v>
      </c>
      <c r="I530" s="36" t="str">
        <f t="shared" ca="1" si="117"/>
        <v>Ocu</v>
      </c>
      <c r="J530" s="40">
        <f t="shared" ca="1" si="109"/>
        <v>135</v>
      </c>
      <c r="K530" s="41">
        <f t="shared" ca="1" si="106"/>
        <v>35.376654673241731</v>
      </c>
      <c r="L530" s="42">
        <f t="shared" ca="1" si="118"/>
        <v>118.58224992532027</v>
      </c>
      <c r="M530" s="36">
        <f t="shared" ca="1" si="110"/>
        <v>0.14499999999999999</v>
      </c>
      <c r="N530" s="36">
        <f t="shared" si="119"/>
        <v>4</v>
      </c>
      <c r="O530" s="39">
        <f t="shared" ca="1" si="111"/>
        <v>0.48275538414039065</v>
      </c>
      <c r="P530" s="39">
        <f t="shared" ca="1" si="112"/>
        <v>119.06500530946066</v>
      </c>
      <c r="Q530" s="43">
        <f t="shared" ca="1" si="120"/>
        <v>35.859410057382121</v>
      </c>
    </row>
    <row r="531" spans="1:17" x14ac:dyDescent="0.25">
      <c r="A531" s="36">
        <v>484</v>
      </c>
      <c r="B531" s="36">
        <f t="shared" ca="1" si="107"/>
        <v>0.59199999999999997</v>
      </c>
      <c r="C531" s="37">
        <f t="shared" si="113"/>
        <v>6</v>
      </c>
      <c r="D531" s="39">
        <f t="shared" ca="1" si="108"/>
        <v>8.7374774016355239E-2</v>
      </c>
      <c r="E531" s="39">
        <f t="shared" ca="1" si="114"/>
        <v>83.292970026094892</v>
      </c>
      <c r="F531" s="36">
        <f t="shared" ca="1" si="115"/>
        <v>135</v>
      </c>
      <c r="G531" s="36">
        <f ca="1">COUNTIF($P$48:P541,"&lt;"&amp;E531)</f>
        <v>348</v>
      </c>
      <c r="H531" s="36">
        <f t="shared" ca="1" si="116"/>
        <v>0</v>
      </c>
      <c r="I531" s="36" t="str">
        <f t="shared" ca="1" si="117"/>
        <v>Ocu</v>
      </c>
      <c r="J531" s="40">
        <f t="shared" ca="1" si="109"/>
        <v>136</v>
      </c>
      <c r="K531" s="41">
        <f t="shared" ca="1" si="106"/>
        <v>35.772035283365767</v>
      </c>
      <c r="L531" s="42">
        <f t="shared" ca="1" si="118"/>
        <v>119.06500530946066</v>
      </c>
      <c r="M531" s="36">
        <f t="shared" ca="1" si="110"/>
        <v>0.56399999999999995</v>
      </c>
      <c r="N531" s="36">
        <f t="shared" si="119"/>
        <v>4</v>
      </c>
      <c r="O531" s="39">
        <f t="shared" ca="1" si="111"/>
        <v>0.14317525687101956</v>
      </c>
      <c r="P531" s="39">
        <f t="shared" ca="1" si="112"/>
        <v>119.20818056633168</v>
      </c>
      <c r="Q531" s="43">
        <f t="shared" ca="1" si="120"/>
        <v>35.915210540236785</v>
      </c>
    </row>
    <row r="532" spans="1:17" x14ac:dyDescent="0.25">
      <c r="A532" s="36">
        <v>485</v>
      </c>
      <c r="B532" s="36">
        <f t="shared" ca="1" si="107"/>
        <v>0.66100000000000003</v>
      </c>
      <c r="C532" s="37">
        <f t="shared" si="113"/>
        <v>6</v>
      </c>
      <c r="D532" s="39">
        <f t="shared" ca="1" si="108"/>
        <v>6.9000239855075113E-2</v>
      </c>
      <c r="E532" s="39">
        <f t="shared" ca="1" si="114"/>
        <v>83.361970265949964</v>
      </c>
      <c r="F532" s="36">
        <f t="shared" ca="1" si="115"/>
        <v>136</v>
      </c>
      <c r="G532" s="36">
        <f ca="1">COUNTIF($P$48:P542,"&lt;"&amp;E532)</f>
        <v>348</v>
      </c>
      <c r="H532" s="36">
        <f t="shared" ca="1" si="116"/>
        <v>0</v>
      </c>
      <c r="I532" s="36" t="str">
        <f t="shared" ca="1" si="117"/>
        <v>Ocu</v>
      </c>
      <c r="J532" s="40">
        <f t="shared" ca="1" si="109"/>
        <v>137</v>
      </c>
      <c r="K532" s="41">
        <f t="shared" ca="1" si="106"/>
        <v>35.846210300381713</v>
      </c>
      <c r="L532" s="42">
        <f t="shared" ca="1" si="118"/>
        <v>119.20818056633168</v>
      </c>
      <c r="M532" s="36">
        <f t="shared" ca="1" si="110"/>
        <v>0.79300000000000004</v>
      </c>
      <c r="N532" s="36">
        <f t="shared" si="119"/>
        <v>4</v>
      </c>
      <c r="O532" s="39">
        <f t="shared" ca="1" si="111"/>
        <v>5.7983014336822271E-2</v>
      </c>
      <c r="P532" s="39">
        <f t="shared" ca="1" si="112"/>
        <v>119.2661635806685</v>
      </c>
      <c r="Q532" s="43">
        <f t="shared" ca="1" si="120"/>
        <v>35.90419331471854</v>
      </c>
    </row>
    <row r="533" spans="1:17" x14ac:dyDescent="0.25">
      <c r="A533" s="36">
        <v>486</v>
      </c>
      <c r="B533" s="36">
        <f t="shared" ca="1" si="107"/>
        <v>0.98899999999999999</v>
      </c>
      <c r="C533" s="37">
        <f t="shared" si="113"/>
        <v>6</v>
      </c>
      <c r="D533" s="39">
        <f t="shared" ca="1" si="108"/>
        <v>1.8434912265708292E-3</v>
      </c>
      <c r="E533" s="39">
        <f t="shared" ca="1" si="114"/>
        <v>83.36381375717653</v>
      </c>
      <c r="F533" s="36">
        <f t="shared" ca="1" si="115"/>
        <v>137</v>
      </c>
      <c r="G533" s="36">
        <f ca="1">COUNTIF($P$48:P543,"&lt;"&amp;E533)</f>
        <v>348</v>
      </c>
      <c r="H533" s="36">
        <f t="shared" ca="1" si="116"/>
        <v>0</v>
      </c>
      <c r="I533" s="36" t="str">
        <f t="shared" ca="1" si="117"/>
        <v>Ocu</v>
      </c>
      <c r="J533" s="40">
        <f t="shared" ca="1" si="109"/>
        <v>138</v>
      </c>
      <c r="K533" s="41">
        <f t="shared" ca="1" si="106"/>
        <v>35.902349823491974</v>
      </c>
      <c r="L533" s="42">
        <f t="shared" ca="1" si="118"/>
        <v>119.2661635806685</v>
      </c>
      <c r="M533" s="36">
        <f t="shared" ca="1" si="110"/>
        <v>0.23400000000000001</v>
      </c>
      <c r="N533" s="36">
        <f t="shared" si="119"/>
        <v>4</v>
      </c>
      <c r="O533" s="39">
        <f t="shared" ca="1" si="111"/>
        <v>0.36310854090610889</v>
      </c>
      <c r="P533" s="39">
        <f t="shared" ca="1" si="112"/>
        <v>119.62927212157462</v>
      </c>
      <c r="Q533" s="43">
        <f t="shared" ca="1" si="120"/>
        <v>36.265458364398086</v>
      </c>
    </row>
    <row r="534" spans="1:17" x14ac:dyDescent="0.25">
      <c r="A534" s="36">
        <v>487</v>
      </c>
      <c r="B534" s="36">
        <f t="shared" ca="1" si="107"/>
        <v>0.41499999999999998</v>
      </c>
      <c r="C534" s="37">
        <f t="shared" si="113"/>
        <v>6</v>
      </c>
      <c r="D534" s="39">
        <f t="shared" ca="1" si="108"/>
        <v>0.14657945979190645</v>
      </c>
      <c r="E534" s="39">
        <f t="shared" ca="1" si="114"/>
        <v>83.510393216968438</v>
      </c>
      <c r="F534" s="36">
        <f t="shared" ca="1" si="115"/>
        <v>138</v>
      </c>
      <c r="G534" s="36">
        <f ca="1">COUNTIF($P$48:P544,"&lt;"&amp;E534)</f>
        <v>348</v>
      </c>
      <c r="H534" s="36">
        <f t="shared" ca="1" si="116"/>
        <v>0</v>
      </c>
      <c r="I534" s="36" t="str">
        <f t="shared" ca="1" si="117"/>
        <v>Ocu</v>
      </c>
      <c r="J534" s="40">
        <f t="shared" ca="1" si="109"/>
        <v>139</v>
      </c>
      <c r="K534" s="41">
        <f t="shared" ca="1" si="106"/>
        <v>36.118878904606177</v>
      </c>
      <c r="L534" s="42">
        <f t="shared" ca="1" si="118"/>
        <v>119.62927212157462</v>
      </c>
      <c r="M534" s="36">
        <f t="shared" ca="1" si="110"/>
        <v>0.56699999999999995</v>
      </c>
      <c r="N534" s="36">
        <f t="shared" si="119"/>
        <v>4</v>
      </c>
      <c r="O534" s="39">
        <f t="shared" ca="1" si="111"/>
        <v>0.14184899381359625</v>
      </c>
      <c r="P534" s="39">
        <f t="shared" ca="1" si="112"/>
        <v>119.77112111538821</v>
      </c>
      <c r="Q534" s="43">
        <f t="shared" ca="1" si="120"/>
        <v>36.260727898419773</v>
      </c>
    </row>
    <row r="535" spans="1:17" x14ac:dyDescent="0.25">
      <c r="A535" s="36">
        <v>488</v>
      </c>
      <c r="B535" s="36">
        <f t="shared" ca="1" si="107"/>
        <v>0.38900000000000001</v>
      </c>
      <c r="C535" s="37">
        <f t="shared" si="113"/>
        <v>6</v>
      </c>
      <c r="D535" s="39">
        <f t="shared" ca="1" si="108"/>
        <v>0.15736265589394846</v>
      </c>
      <c r="E535" s="39">
        <f t="shared" ca="1" si="114"/>
        <v>83.667755872862386</v>
      </c>
      <c r="F535" s="36">
        <f t="shared" ca="1" si="115"/>
        <v>135</v>
      </c>
      <c r="G535" s="36">
        <f ca="1">COUNTIF($P$48:P545,"&lt;"&amp;E535)</f>
        <v>352</v>
      </c>
      <c r="H535" s="36">
        <f t="shared" ca="1" si="116"/>
        <v>4</v>
      </c>
      <c r="I535" s="36" t="str">
        <f t="shared" ca="1" si="117"/>
        <v>Ocu</v>
      </c>
      <c r="J535" s="40">
        <f t="shared" ca="1" si="109"/>
        <v>136</v>
      </c>
      <c r="K535" s="41">
        <f t="shared" ca="1" si="106"/>
        <v>36.103365242525825</v>
      </c>
      <c r="L535" s="42">
        <f t="shared" ca="1" si="118"/>
        <v>119.77112111538821</v>
      </c>
      <c r="M535" s="36">
        <f t="shared" ca="1" si="110"/>
        <v>0.94</v>
      </c>
      <c r="N535" s="36">
        <f t="shared" si="119"/>
        <v>4</v>
      </c>
      <c r="O535" s="39">
        <f t="shared" ca="1" si="111"/>
        <v>1.5468850929521863E-2</v>
      </c>
      <c r="P535" s="39">
        <f t="shared" ca="1" si="112"/>
        <v>119.78658996631773</v>
      </c>
      <c r="Q535" s="43">
        <f t="shared" ca="1" si="120"/>
        <v>36.118834093455348</v>
      </c>
    </row>
    <row r="536" spans="1:17" x14ac:dyDescent="0.25">
      <c r="A536" s="36">
        <v>489</v>
      </c>
      <c r="B536" s="36">
        <f t="shared" ca="1" si="107"/>
        <v>0.65200000000000002</v>
      </c>
      <c r="C536" s="37">
        <f t="shared" si="113"/>
        <v>6</v>
      </c>
      <c r="D536" s="39">
        <f t="shared" ca="1" si="108"/>
        <v>7.1285119509247347E-2</v>
      </c>
      <c r="E536" s="39">
        <f t="shared" ca="1" si="114"/>
        <v>83.739040992371628</v>
      </c>
      <c r="F536" s="36">
        <f t="shared" ca="1" si="115"/>
        <v>135</v>
      </c>
      <c r="G536" s="36">
        <f ca="1">COUNTIF($P$48:P546,"&lt;"&amp;E536)</f>
        <v>353</v>
      </c>
      <c r="H536" s="36">
        <f t="shared" ca="1" si="116"/>
        <v>1</v>
      </c>
      <c r="I536" s="36" t="str">
        <f t="shared" ca="1" si="117"/>
        <v>Ocu</v>
      </c>
      <c r="J536" s="40">
        <f t="shared" ca="1" si="109"/>
        <v>136</v>
      </c>
      <c r="K536" s="41">
        <f t="shared" ca="1" si="106"/>
        <v>36.047548973946107</v>
      </c>
      <c r="L536" s="42">
        <f t="shared" ca="1" si="118"/>
        <v>119.78658996631773</v>
      </c>
      <c r="M536" s="36">
        <f t="shared" ca="1" si="110"/>
        <v>0.09</v>
      </c>
      <c r="N536" s="36">
        <f t="shared" si="119"/>
        <v>4</v>
      </c>
      <c r="O536" s="39">
        <f t="shared" ca="1" si="111"/>
        <v>0.60198640216296795</v>
      </c>
      <c r="P536" s="39">
        <f t="shared" ca="1" si="112"/>
        <v>120.3885763684807</v>
      </c>
      <c r="Q536" s="43">
        <f t="shared" ca="1" si="120"/>
        <v>36.649535376109071</v>
      </c>
    </row>
    <row r="537" spans="1:17" x14ac:dyDescent="0.25">
      <c r="A537" s="36">
        <v>490</v>
      </c>
      <c r="B537" s="36">
        <f t="shared" ca="1" si="107"/>
        <v>0.69699999999999995</v>
      </c>
      <c r="C537" s="37">
        <f t="shared" si="113"/>
        <v>6</v>
      </c>
      <c r="D537" s="39">
        <f t="shared" ca="1" si="108"/>
        <v>6.0161644703602205E-2</v>
      </c>
      <c r="E537" s="39">
        <f t="shared" ca="1" si="114"/>
        <v>83.799202637075226</v>
      </c>
      <c r="F537" s="36">
        <f t="shared" ca="1" si="115"/>
        <v>136</v>
      </c>
      <c r="G537" s="36">
        <f ca="1">COUNTIF($P$48:P547,"&lt;"&amp;E537)</f>
        <v>353</v>
      </c>
      <c r="H537" s="36">
        <f t="shared" ca="1" si="116"/>
        <v>0</v>
      </c>
      <c r="I537" s="36" t="str">
        <f t="shared" ca="1" si="117"/>
        <v>Ocu</v>
      </c>
      <c r="J537" s="40">
        <f t="shared" ca="1" si="109"/>
        <v>137</v>
      </c>
      <c r="K537" s="41">
        <f t="shared" ca="1" si="106"/>
        <v>36.589373731405473</v>
      </c>
      <c r="L537" s="42">
        <f t="shared" ca="1" si="118"/>
        <v>120.3885763684807</v>
      </c>
      <c r="M537" s="36">
        <f t="shared" ca="1" si="110"/>
        <v>0.185</v>
      </c>
      <c r="N537" s="36">
        <f t="shared" si="119"/>
        <v>4</v>
      </c>
      <c r="O537" s="39">
        <f t="shared" ca="1" si="111"/>
        <v>0.42184986347595305</v>
      </c>
      <c r="P537" s="39">
        <f t="shared" ca="1" si="112"/>
        <v>120.81042623195665</v>
      </c>
      <c r="Q537" s="43">
        <f t="shared" ca="1" si="120"/>
        <v>37.011223594881429</v>
      </c>
    </row>
    <row r="538" spans="1:17" x14ac:dyDescent="0.25">
      <c r="A538" s="36">
        <v>491</v>
      </c>
      <c r="B538" s="36">
        <f t="shared" ca="1" si="107"/>
        <v>0.48799999999999999</v>
      </c>
      <c r="C538" s="37">
        <f t="shared" si="113"/>
        <v>6</v>
      </c>
      <c r="D538" s="39">
        <f t="shared" ca="1" si="108"/>
        <v>0.11957331218816497</v>
      </c>
      <c r="E538" s="39">
        <f t="shared" ca="1" si="114"/>
        <v>83.918775949263392</v>
      </c>
      <c r="F538" s="36">
        <f t="shared" ca="1" si="115"/>
        <v>136</v>
      </c>
      <c r="G538" s="36">
        <f ca="1">COUNTIF($P$48:P548,"&lt;"&amp;E538)</f>
        <v>354</v>
      </c>
      <c r="H538" s="36">
        <f t="shared" ca="1" si="116"/>
        <v>1</v>
      </c>
      <c r="I538" s="36" t="str">
        <f t="shared" ca="1" si="117"/>
        <v>Ocu</v>
      </c>
      <c r="J538" s="40">
        <f t="shared" ca="1" si="109"/>
        <v>137</v>
      </c>
      <c r="K538" s="41">
        <f t="shared" ca="1" si="106"/>
        <v>36.891650282693263</v>
      </c>
      <c r="L538" s="42">
        <f t="shared" ca="1" si="118"/>
        <v>120.81042623195665</v>
      </c>
      <c r="M538" s="36">
        <f t="shared" ca="1" si="110"/>
        <v>0.39600000000000002</v>
      </c>
      <c r="N538" s="36">
        <f t="shared" si="119"/>
        <v>4</v>
      </c>
      <c r="O538" s="39">
        <f t="shared" ca="1" si="111"/>
        <v>0.23158526693191411</v>
      </c>
      <c r="P538" s="39">
        <f t="shared" ca="1" si="112"/>
        <v>121.04201149888857</v>
      </c>
      <c r="Q538" s="43">
        <f t="shared" ca="1" si="120"/>
        <v>37.123235549625178</v>
      </c>
    </row>
    <row r="539" spans="1:17" x14ac:dyDescent="0.25">
      <c r="A539" s="36">
        <v>492</v>
      </c>
      <c r="B539" s="36">
        <f t="shared" ca="1" si="107"/>
        <v>2.3E-2</v>
      </c>
      <c r="C539" s="37">
        <f t="shared" si="113"/>
        <v>6</v>
      </c>
      <c r="D539" s="39">
        <f t="shared" ca="1" si="108"/>
        <v>0.62871017717549793</v>
      </c>
      <c r="E539" s="39">
        <f t="shared" ca="1" si="114"/>
        <v>84.547486126438884</v>
      </c>
      <c r="F539" s="36">
        <f t="shared" ca="1" si="115"/>
        <v>135</v>
      </c>
      <c r="G539" s="36">
        <f ca="1">COUNTIF($P$48:P549,"&lt;"&amp;E539)</f>
        <v>356</v>
      </c>
      <c r="H539" s="36">
        <f t="shared" ca="1" si="116"/>
        <v>2</v>
      </c>
      <c r="I539" s="36" t="str">
        <f t="shared" ca="1" si="117"/>
        <v>Ocu</v>
      </c>
      <c r="J539" s="40">
        <f t="shared" ca="1" si="109"/>
        <v>136</v>
      </c>
      <c r="K539" s="41">
        <f t="shared" ca="1" si="106"/>
        <v>36.494525372449687</v>
      </c>
      <c r="L539" s="42">
        <f t="shared" ca="1" si="118"/>
        <v>121.04201149888857</v>
      </c>
      <c r="M539" s="36">
        <f t="shared" ca="1" si="110"/>
        <v>0.30399999999999999</v>
      </c>
      <c r="N539" s="36">
        <f t="shared" si="119"/>
        <v>4</v>
      </c>
      <c r="O539" s="39">
        <f t="shared" ca="1" si="111"/>
        <v>0.29768189439397885</v>
      </c>
      <c r="P539" s="39">
        <f t="shared" ca="1" si="112"/>
        <v>121.33969339328254</v>
      </c>
      <c r="Q539" s="43">
        <f t="shared" ca="1" si="120"/>
        <v>36.792207266843661</v>
      </c>
    </row>
    <row r="540" spans="1:17" x14ac:dyDescent="0.25">
      <c r="A540" s="36">
        <v>493</v>
      </c>
      <c r="B540" s="36">
        <f t="shared" ca="1" si="107"/>
        <v>0.45</v>
      </c>
      <c r="C540" s="37">
        <f t="shared" si="113"/>
        <v>6</v>
      </c>
      <c r="D540" s="39">
        <f t="shared" ca="1" si="108"/>
        <v>0.13308461603629526</v>
      </c>
      <c r="E540" s="39">
        <f t="shared" ca="1" si="114"/>
        <v>84.680570742475183</v>
      </c>
      <c r="F540" s="36">
        <f t="shared" ca="1" si="115"/>
        <v>136</v>
      </c>
      <c r="G540" s="36">
        <f ca="1">COUNTIF($P$48:P550,"&lt;"&amp;E540)</f>
        <v>356</v>
      </c>
      <c r="H540" s="36">
        <f t="shared" ca="1" si="116"/>
        <v>0</v>
      </c>
      <c r="I540" s="36" t="str">
        <f t="shared" ca="1" si="117"/>
        <v>Ocu</v>
      </c>
      <c r="J540" s="40">
        <f t="shared" ca="1" si="109"/>
        <v>137</v>
      </c>
      <c r="K540" s="41">
        <f t="shared" ca="1" si="106"/>
        <v>36.659122650807362</v>
      </c>
      <c r="L540" s="42">
        <f t="shared" ca="1" si="118"/>
        <v>121.33969339328254</v>
      </c>
      <c r="M540" s="36">
        <f t="shared" ca="1" si="110"/>
        <v>8.8999999999999996E-2</v>
      </c>
      <c r="N540" s="36">
        <f t="shared" si="119"/>
        <v>4</v>
      </c>
      <c r="O540" s="39">
        <f t="shared" ca="1" si="111"/>
        <v>0.60477972731249929</v>
      </c>
      <c r="P540" s="39">
        <f t="shared" ca="1" si="112"/>
        <v>121.94447312059505</v>
      </c>
      <c r="Q540" s="43">
        <f t="shared" ca="1" si="120"/>
        <v>37.263902378119866</v>
      </c>
    </row>
    <row r="541" spans="1:17" x14ac:dyDescent="0.25">
      <c r="A541" s="36">
        <v>494</v>
      </c>
      <c r="B541" s="36">
        <f t="shared" ca="1" si="107"/>
        <v>0.14399999999999999</v>
      </c>
      <c r="C541" s="37">
        <f t="shared" si="113"/>
        <v>6</v>
      </c>
      <c r="D541" s="39">
        <f t="shared" ca="1" si="108"/>
        <v>0.32299032990102272</v>
      </c>
      <c r="E541" s="39">
        <f t="shared" ca="1" si="114"/>
        <v>85.003561072376201</v>
      </c>
      <c r="F541" s="36">
        <f t="shared" ca="1" si="115"/>
        <v>137</v>
      </c>
      <c r="G541" s="36">
        <f ca="1">COUNTIF($P$48:P551,"&lt;"&amp;E541)</f>
        <v>356</v>
      </c>
      <c r="H541" s="36">
        <f t="shared" ca="1" si="116"/>
        <v>0</v>
      </c>
      <c r="I541" s="36" t="str">
        <f t="shared" ca="1" si="117"/>
        <v>Ocu</v>
      </c>
      <c r="J541" s="40">
        <f t="shared" ca="1" si="109"/>
        <v>138</v>
      </c>
      <c r="K541" s="41">
        <f t="shared" ca="1" si="106"/>
        <v>36.940912048218848</v>
      </c>
      <c r="L541" s="42">
        <f t="shared" ca="1" si="118"/>
        <v>121.94447312059505</v>
      </c>
      <c r="M541" s="36">
        <f t="shared" ca="1" si="110"/>
        <v>0.57299999999999995</v>
      </c>
      <c r="N541" s="36">
        <f t="shared" si="119"/>
        <v>4</v>
      </c>
      <c r="O541" s="39">
        <f t="shared" ca="1" si="111"/>
        <v>0.1392173905668494</v>
      </c>
      <c r="P541" s="39">
        <f t="shared" ca="1" si="112"/>
        <v>122.0836905111619</v>
      </c>
      <c r="Q541" s="43">
        <f t="shared" ca="1" si="120"/>
        <v>37.080129438785704</v>
      </c>
    </row>
    <row r="542" spans="1:17" x14ac:dyDescent="0.25">
      <c r="A542" s="36">
        <v>495</v>
      </c>
      <c r="B542" s="36">
        <f t="shared" ca="1" si="107"/>
        <v>0.98399999999999999</v>
      </c>
      <c r="C542" s="37">
        <f t="shared" si="113"/>
        <v>6</v>
      </c>
      <c r="D542" s="39">
        <f t="shared" ca="1" si="108"/>
        <v>2.6882303216472858E-3</v>
      </c>
      <c r="E542" s="39">
        <f t="shared" ca="1" si="114"/>
        <v>85.006249302697853</v>
      </c>
      <c r="F542" s="36">
        <f t="shared" ca="1" si="115"/>
        <v>138</v>
      </c>
      <c r="G542" s="36">
        <f ca="1">COUNTIF($P$48:P552,"&lt;"&amp;E542)</f>
        <v>356</v>
      </c>
      <c r="H542" s="36">
        <f t="shared" ca="1" si="116"/>
        <v>0</v>
      </c>
      <c r="I542" s="36" t="str">
        <f t="shared" ca="1" si="117"/>
        <v>Ocu</v>
      </c>
      <c r="J542" s="40">
        <f t="shared" ca="1" si="109"/>
        <v>139</v>
      </c>
      <c r="K542" s="41">
        <f t="shared" ca="1" si="106"/>
        <v>37.077441208464052</v>
      </c>
      <c r="L542" s="42">
        <f t="shared" ca="1" si="118"/>
        <v>122.0836905111619</v>
      </c>
      <c r="M542" s="36">
        <f t="shared" ca="1" si="110"/>
        <v>0.86499999999999999</v>
      </c>
      <c r="N542" s="36">
        <f t="shared" si="119"/>
        <v>4</v>
      </c>
      <c r="O542" s="39">
        <f t="shared" ca="1" si="111"/>
        <v>3.6256443012564449E-2</v>
      </c>
      <c r="P542" s="39">
        <f t="shared" ca="1" si="112"/>
        <v>122.11994695417447</v>
      </c>
      <c r="Q542" s="43">
        <f t="shared" ca="1" si="120"/>
        <v>37.113697651476613</v>
      </c>
    </row>
    <row r="543" spans="1:17" x14ac:dyDescent="0.25">
      <c r="A543" s="36">
        <v>496</v>
      </c>
      <c r="B543" s="36">
        <f t="shared" ca="1" si="107"/>
        <v>0.126</v>
      </c>
      <c r="C543" s="37">
        <f t="shared" si="113"/>
        <v>6</v>
      </c>
      <c r="D543" s="39">
        <f t="shared" ca="1" si="108"/>
        <v>0.34524556200510986</v>
      </c>
      <c r="E543" s="39">
        <f t="shared" ca="1" si="114"/>
        <v>85.351494864702957</v>
      </c>
      <c r="F543" s="36">
        <f t="shared" ca="1" si="115"/>
        <v>137</v>
      </c>
      <c r="G543" s="36">
        <f ca="1">COUNTIF($P$48:P553,"&lt;"&amp;E543)</f>
        <v>358</v>
      </c>
      <c r="H543" s="36">
        <f t="shared" ca="1" si="116"/>
        <v>2</v>
      </c>
      <c r="I543" s="36" t="str">
        <f t="shared" ca="1" si="117"/>
        <v>Ocu</v>
      </c>
      <c r="J543" s="40">
        <f t="shared" ca="1" si="109"/>
        <v>138</v>
      </c>
      <c r="K543" s="41">
        <f t="shared" ca="1" si="106"/>
        <v>36.768452089471509</v>
      </c>
      <c r="L543" s="42">
        <f t="shared" ca="1" si="118"/>
        <v>122.11994695417447</v>
      </c>
      <c r="M543" s="36">
        <f t="shared" ca="1" si="110"/>
        <v>0.85899999999999999</v>
      </c>
      <c r="N543" s="36">
        <f t="shared" si="119"/>
        <v>4</v>
      </c>
      <c r="O543" s="39">
        <f t="shared" ca="1" si="111"/>
        <v>3.7996589249470442E-2</v>
      </c>
      <c r="P543" s="39">
        <f t="shared" ca="1" si="112"/>
        <v>122.15794354342394</v>
      </c>
      <c r="Q543" s="43">
        <f t="shared" ca="1" si="120"/>
        <v>36.806448678720983</v>
      </c>
    </row>
    <row r="544" spans="1:17" x14ac:dyDescent="0.25">
      <c r="A544" s="36">
        <v>497</v>
      </c>
      <c r="B544" s="36">
        <f t="shared" ca="1" si="107"/>
        <v>0.35099999999999998</v>
      </c>
      <c r="C544" s="37">
        <f t="shared" si="113"/>
        <v>6</v>
      </c>
      <c r="D544" s="39">
        <f t="shared" ca="1" si="108"/>
        <v>0.17449484258604522</v>
      </c>
      <c r="E544" s="39">
        <f t="shared" ca="1" si="114"/>
        <v>85.525989707289</v>
      </c>
      <c r="F544" s="36">
        <f t="shared" ca="1" si="115"/>
        <v>138</v>
      </c>
      <c r="G544" s="36">
        <f ca="1">COUNTIF($P$48:P554,"&lt;"&amp;E544)</f>
        <v>358</v>
      </c>
      <c r="H544" s="36">
        <f t="shared" ca="1" si="116"/>
        <v>0</v>
      </c>
      <c r="I544" s="36" t="str">
        <f t="shared" ca="1" si="117"/>
        <v>Ocu</v>
      </c>
      <c r="J544" s="40">
        <f t="shared" ca="1" si="109"/>
        <v>139</v>
      </c>
      <c r="K544" s="41">
        <f t="shared" ca="1" si="106"/>
        <v>36.63195383613494</v>
      </c>
      <c r="L544" s="42">
        <f t="shared" ca="1" si="118"/>
        <v>122.15794354342394</v>
      </c>
      <c r="M544" s="36">
        <f t="shared" ca="1" si="110"/>
        <v>0.13100000000000001</v>
      </c>
      <c r="N544" s="36">
        <f t="shared" si="119"/>
        <v>4</v>
      </c>
      <c r="O544" s="39">
        <f t="shared" ca="1" si="111"/>
        <v>0.50813948894524641</v>
      </c>
      <c r="P544" s="39">
        <f t="shared" ca="1" si="112"/>
        <v>122.66608303236919</v>
      </c>
      <c r="Q544" s="43">
        <f t="shared" ca="1" si="120"/>
        <v>37.140093325080187</v>
      </c>
    </row>
    <row r="545" spans="1:17" x14ac:dyDescent="0.25">
      <c r="A545" s="36">
        <v>498</v>
      </c>
      <c r="B545" s="36">
        <f t="shared" ca="1" si="107"/>
        <v>0.42199999999999999</v>
      </c>
      <c r="C545" s="37">
        <f t="shared" si="113"/>
        <v>6</v>
      </c>
      <c r="D545" s="39">
        <f t="shared" ca="1" si="108"/>
        <v>0.14379166082435418</v>
      </c>
      <c r="E545" s="39">
        <f t="shared" ca="1" si="114"/>
        <v>85.669781368113348</v>
      </c>
      <c r="F545" s="36">
        <f t="shared" ca="1" si="115"/>
        <v>139</v>
      </c>
      <c r="G545" s="36">
        <f ca="1">COUNTIF($P$48:P555,"&lt;"&amp;E545)</f>
        <v>358</v>
      </c>
      <c r="H545" s="36">
        <f t="shared" ca="1" si="116"/>
        <v>0</v>
      </c>
      <c r="I545" s="36" t="str">
        <f t="shared" ca="1" si="117"/>
        <v>Ocu</v>
      </c>
      <c r="J545" s="40">
        <f t="shared" ca="1" si="109"/>
        <v>140</v>
      </c>
      <c r="K545" s="41">
        <f t="shared" ca="1" si="106"/>
        <v>36.996301664255839</v>
      </c>
      <c r="L545" s="42">
        <f t="shared" ca="1" si="118"/>
        <v>122.66608303236919</v>
      </c>
      <c r="M545" s="36">
        <f t="shared" ca="1" si="110"/>
        <v>0.72399999999999998</v>
      </c>
      <c r="N545" s="36">
        <f t="shared" si="119"/>
        <v>4</v>
      </c>
      <c r="O545" s="39">
        <f t="shared" ca="1" si="111"/>
        <v>8.0740971649105181E-2</v>
      </c>
      <c r="P545" s="39">
        <f t="shared" ca="1" si="112"/>
        <v>122.74682400401829</v>
      </c>
      <c r="Q545" s="43">
        <f t="shared" ca="1" si="120"/>
        <v>37.077042635904945</v>
      </c>
    </row>
    <row r="546" spans="1:17" x14ac:dyDescent="0.25">
      <c r="A546" s="36">
        <v>499</v>
      </c>
      <c r="B546" s="36">
        <f t="shared" ca="1" si="107"/>
        <v>0.83799999999999997</v>
      </c>
      <c r="C546" s="37">
        <f t="shared" si="113"/>
        <v>6</v>
      </c>
      <c r="D546" s="39">
        <f t="shared" ca="1" si="108"/>
        <v>2.9456196416675687E-2</v>
      </c>
      <c r="E546" s="39">
        <f t="shared" ca="1" si="114"/>
        <v>85.699237564530023</v>
      </c>
      <c r="F546" s="36">
        <f t="shared" ca="1" si="115"/>
        <v>140</v>
      </c>
      <c r="G546" s="36">
        <f ca="1">COUNTIF($P$48:P556,"&lt;"&amp;E546)</f>
        <v>358</v>
      </c>
      <c r="H546" s="36">
        <f t="shared" ca="1" si="116"/>
        <v>0</v>
      </c>
      <c r="I546" s="36" t="str">
        <f t="shared" ca="1" si="117"/>
        <v>Ocu</v>
      </c>
      <c r="J546" s="40">
        <f t="shared" ca="1" si="109"/>
        <v>141</v>
      </c>
      <c r="K546" s="41">
        <f t="shared" ca="1" si="106"/>
        <v>37.047586439488271</v>
      </c>
      <c r="L546" s="42">
        <f t="shared" ca="1" si="118"/>
        <v>122.74682400401829</v>
      </c>
      <c r="M546" s="36">
        <f t="shared" ca="1" si="110"/>
        <v>0.68</v>
      </c>
      <c r="N546" s="36">
        <f t="shared" si="119"/>
        <v>4</v>
      </c>
      <c r="O546" s="39">
        <f t="shared" ca="1" si="111"/>
        <v>9.6415620202996141E-2</v>
      </c>
      <c r="P546" s="39">
        <f t="shared" ca="1" si="112"/>
        <v>122.84323962422128</v>
      </c>
      <c r="Q546" s="43">
        <f t="shared" ca="1" si="120"/>
        <v>37.14400205969126</v>
      </c>
    </row>
    <row r="547" spans="1:17" x14ac:dyDescent="0.25">
      <c r="A547" s="36">
        <v>500</v>
      </c>
      <c r="B547" s="36">
        <f t="shared" ca="1" si="107"/>
        <v>0.52700000000000002</v>
      </c>
      <c r="C547" s="37">
        <f t="shared" si="113"/>
        <v>6</v>
      </c>
      <c r="D547" s="39">
        <f t="shared" ca="1" si="108"/>
        <v>0.10675912174012911</v>
      </c>
      <c r="E547" s="39">
        <f t="shared" ca="1" si="114"/>
        <v>85.805996686270149</v>
      </c>
      <c r="F547" s="36">
        <f t="shared" ca="1" si="115"/>
        <v>141</v>
      </c>
      <c r="G547" s="54">
        <f ca="1">COUNTIF($P$48:P557,"&lt;"&amp;E547)</f>
        <v>358</v>
      </c>
      <c r="H547" s="36">
        <f t="shared" ca="1" si="116"/>
        <v>0</v>
      </c>
      <c r="I547" s="36" t="str">
        <f t="shared" ca="1" si="117"/>
        <v>Ocu</v>
      </c>
      <c r="J547" s="55">
        <f t="shared" ca="1" si="109"/>
        <v>142</v>
      </c>
      <c r="K547" s="41">
        <f t="shared" ca="1" si="106"/>
        <v>37.037242937951135</v>
      </c>
      <c r="L547" s="42">
        <f t="shared" ca="1" si="118"/>
        <v>122.84323962422128</v>
      </c>
      <c r="M547" s="36">
        <f t="shared" ca="1" si="110"/>
        <v>0.71699999999999997</v>
      </c>
      <c r="N547" s="36">
        <f t="shared" si="119"/>
        <v>4</v>
      </c>
      <c r="O547" s="39">
        <f t="shared" ca="1" si="111"/>
        <v>8.3169859595629184E-2</v>
      </c>
      <c r="P547" s="39">
        <f t="shared" ca="1" si="112"/>
        <v>122.92640948381691</v>
      </c>
      <c r="Q547" s="43">
        <f t="shared" ca="1" si="120"/>
        <v>37.120412797546763</v>
      </c>
    </row>
  </sheetData>
  <mergeCells count="2">
    <mergeCell ref="B4:J4"/>
    <mergeCell ref="B32:J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DF51-C7D5-4F29-BDC9-1F251569C9E2}">
  <dimension ref="A2:I33"/>
  <sheetViews>
    <sheetView topLeftCell="A15" workbookViewId="0">
      <selection activeCell="G21" sqref="G21"/>
    </sheetView>
  </sheetViews>
  <sheetFormatPr baseColWidth="10" defaultRowHeight="15" x14ac:dyDescent="0.25"/>
  <cols>
    <col min="3" max="3" width="11.85546875" bestFit="1" customWidth="1"/>
  </cols>
  <sheetData>
    <row r="2" spans="1:9" ht="18" x14ac:dyDescent="0.25">
      <c r="B2" s="31" t="s">
        <v>68</v>
      </c>
    </row>
    <row r="4" spans="1:9" ht="61.5" customHeight="1" x14ac:dyDescent="0.25">
      <c r="B4" s="79" t="s">
        <v>69</v>
      </c>
      <c r="C4" s="79"/>
      <c r="D4" s="79"/>
      <c r="E4" s="79"/>
      <c r="F4" s="79"/>
      <c r="G4" s="79"/>
      <c r="H4" s="79"/>
      <c r="I4" s="79"/>
    </row>
    <row r="5" spans="1:9" ht="18" x14ac:dyDescent="0.25">
      <c r="B5" s="2"/>
    </row>
    <row r="6" spans="1:9" ht="15.75" thickBot="1" x14ac:dyDescent="0.3">
      <c r="A6" s="11"/>
      <c r="B6" s="27" t="s">
        <v>21</v>
      </c>
      <c r="C6" s="11"/>
    </row>
    <row r="7" spans="1:9" ht="15.75" thickBot="1" x14ac:dyDescent="0.3">
      <c r="A7" s="21" t="s">
        <v>36</v>
      </c>
      <c r="B7" s="11" t="s">
        <v>70</v>
      </c>
      <c r="C7" s="11"/>
    </row>
    <row r="8" spans="1:9" ht="15.75" thickBot="1" x14ac:dyDescent="0.3">
      <c r="A8" s="21" t="s">
        <v>24</v>
      </c>
      <c r="B8" s="28" t="s">
        <v>65</v>
      </c>
      <c r="C8" s="9"/>
    </row>
    <row r="9" spans="1:9" x14ac:dyDescent="0.25">
      <c r="A9" s="25"/>
      <c r="B9" s="47" t="s">
        <v>71</v>
      </c>
      <c r="C9" s="9"/>
    </row>
    <row r="10" spans="1:9" x14ac:dyDescent="0.25">
      <c r="B10" s="22"/>
      <c r="C10" s="11"/>
    </row>
    <row r="11" spans="1:9" x14ac:dyDescent="0.25">
      <c r="B11" s="24" t="s">
        <v>34</v>
      </c>
      <c r="C11" s="11"/>
    </row>
    <row r="12" spans="1:9" x14ac:dyDescent="0.25">
      <c r="B12" s="11" t="s">
        <v>35</v>
      </c>
      <c r="C12" s="11" t="b">
        <v>1</v>
      </c>
    </row>
    <row r="13" spans="1:9" x14ac:dyDescent="0.25">
      <c r="B13" s="11" t="s">
        <v>22</v>
      </c>
      <c r="C13" s="11"/>
    </row>
    <row r="14" spans="1:9" x14ac:dyDescent="0.25">
      <c r="B14" s="1"/>
    </row>
    <row r="15" spans="1:9" x14ac:dyDescent="0.25">
      <c r="B15" s="1"/>
      <c r="D15" s="51">
        <f>1/3</f>
        <v>0.33333333333333331</v>
      </c>
      <c r="F15" s="51">
        <f>1/3</f>
        <v>0.33333333333333331</v>
      </c>
      <c r="G15" s="51">
        <f>1/3</f>
        <v>0.33333333333333331</v>
      </c>
      <c r="I15" s="51">
        <f>1/3</f>
        <v>0.33333333333333331</v>
      </c>
    </row>
    <row r="19" spans="4:9" x14ac:dyDescent="0.25">
      <c r="D19">
        <f>1/4</f>
        <v>0.25</v>
      </c>
      <c r="F19">
        <f>1/4</f>
        <v>0.25</v>
      </c>
      <c r="G19">
        <f>1/4</f>
        <v>0.25</v>
      </c>
      <c r="I19">
        <f>1/4</f>
        <v>0.25</v>
      </c>
    </row>
    <row r="21" spans="4:9" x14ac:dyDescent="0.25">
      <c r="G21">
        <f>1/(1+(0.33/0.25)+(POWER(0.33/0.25,2))+(POWER(0.33/0.25,3)+(POWER(0.33/0.25,4))))</f>
        <v>0.10640193003907963</v>
      </c>
    </row>
    <row r="26" spans="4:9" x14ac:dyDescent="0.25">
      <c r="F26" t="s">
        <v>61</v>
      </c>
      <c r="G26">
        <f>+G21*(0.33/0.25)</f>
        <v>0.14045054765158513</v>
      </c>
    </row>
    <row r="27" spans="4:9" x14ac:dyDescent="0.25">
      <c r="F27" t="s">
        <v>62</v>
      </c>
      <c r="G27">
        <f>+G26*(0.33/0.25)</f>
        <v>0.18539472290009237</v>
      </c>
    </row>
    <row r="28" spans="4:9" x14ac:dyDescent="0.25">
      <c r="F28" t="s">
        <v>63</v>
      </c>
      <c r="G28">
        <f>+G27*(0.33/0.25)</f>
        <v>0.24472103422812194</v>
      </c>
    </row>
    <row r="29" spans="4:9" x14ac:dyDescent="0.25">
      <c r="F29" t="s">
        <v>102</v>
      </c>
      <c r="G29">
        <f>+G28*(0.33/0.25)</f>
        <v>0.32303176518112098</v>
      </c>
    </row>
    <row r="31" spans="4:9" x14ac:dyDescent="0.25">
      <c r="F31" t="s">
        <v>64</v>
      </c>
      <c r="G31" s="30">
        <f>(0*G21)+(1*G26)+(2*G27)+(3*G28)+(4*G29)</f>
        <v>2.5375301568606194</v>
      </c>
    </row>
    <row r="33" spans="7:8" x14ac:dyDescent="0.25">
      <c r="G33" s="53">
        <f>+G31/0.33</f>
        <v>7.6894853238200582</v>
      </c>
      <c r="H33" t="s">
        <v>66</v>
      </c>
    </row>
  </sheetData>
  <mergeCells count="1">
    <mergeCell ref="B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Punto 1</vt:lpstr>
      <vt:lpstr>Punto 2</vt:lpstr>
      <vt:lpstr>Punto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Benevenia</dc:creator>
  <cp:lastModifiedBy>Florencia Benevenia</cp:lastModifiedBy>
  <dcterms:created xsi:type="dcterms:W3CDTF">2025-06-18T20:46:07Z</dcterms:created>
  <dcterms:modified xsi:type="dcterms:W3CDTF">2025-07-13T22:23:23Z</dcterms:modified>
</cp:coreProperties>
</file>