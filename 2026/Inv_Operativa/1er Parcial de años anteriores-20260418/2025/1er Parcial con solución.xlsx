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FlorenciaBenevenia\Documents\Trabajo\Investigación Operativa\2025\2.- 1er Parcial 28-06\"/>
    </mc:Choice>
  </mc:AlternateContent>
  <xr:revisionPtr revIDLastSave="0" documentId="13_ncr:1_{3B262CD4-129D-4775-BB57-2635589E6926}" xr6:coauthVersionLast="47" xr6:coauthVersionMax="47" xr10:uidLastSave="{00000000-0000-0000-0000-000000000000}"/>
  <bookViews>
    <workbookView xWindow="-120" yWindow="-120" windowWidth="20730" windowHeight="11160" activeTab="1" xr2:uid="{4ADB821B-B583-4874-A8A0-023CD25A7C51}"/>
  </bookViews>
  <sheets>
    <sheet name="Hoja1" sheetId="1" r:id="rId1"/>
    <sheet name="Punto 1" sheetId="2" r:id="rId2"/>
    <sheet name="Punto 2" sheetId="3" r:id="rId3"/>
    <sheet name="Punto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2" l="1"/>
  <c r="G33" i="4" l="1"/>
  <c r="G32" i="4"/>
  <c r="H80" i="2"/>
  <c r="H79" i="2"/>
  <c r="H77" i="2"/>
  <c r="H76" i="2"/>
  <c r="H75" i="2"/>
  <c r="H73" i="2"/>
  <c r="H72" i="2"/>
  <c r="H71" i="2"/>
  <c r="H78" i="2"/>
  <c r="G26" i="4"/>
  <c r="G27" i="4" s="1"/>
  <c r="G28" i="4" s="1"/>
  <c r="G21" i="4"/>
  <c r="N49" i="3"/>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48" i="3"/>
  <c r="N47" i="3"/>
  <c r="M546" i="3"/>
  <c r="O546" i="3" s="1"/>
  <c r="M545" i="3"/>
  <c r="O545" i="3" s="1"/>
  <c r="M544" i="3"/>
  <c r="O544" i="3" s="1"/>
  <c r="M543" i="3"/>
  <c r="O543" i="3" s="1"/>
  <c r="M542" i="3"/>
  <c r="O542" i="3" s="1"/>
  <c r="M541" i="3"/>
  <c r="O541" i="3" s="1"/>
  <c r="M540" i="3"/>
  <c r="O540" i="3" s="1"/>
  <c r="M539" i="3"/>
  <c r="O539" i="3" s="1"/>
  <c r="M538" i="3"/>
  <c r="O538" i="3" s="1"/>
  <c r="M537" i="3"/>
  <c r="O537" i="3" s="1"/>
  <c r="M536" i="3"/>
  <c r="O536" i="3" s="1"/>
  <c r="M535" i="3"/>
  <c r="O535" i="3" s="1"/>
  <c r="M534" i="3"/>
  <c r="O534" i="3" s="1"/>
  <c r="M533" i="3"/>
  <c r="O533" i="3" s="1"/>
  <c r="M532" i="3"/>
  <c r="O532" i="3" s="1"/>
  <c r="M531" i="3"/>
  <c r="O531" i="3" s="1"/>
  <c r="M530" i="3"/>
  <c r="O530" i="3" s="1"/>
  <c r="M529" i="3"/>
  <c r="O529" i="3" s="1"/>
  <c r="M528" i="3"/>
  <c r="O528" i="3" s="1"/>
  <c r="M527" i="3"/>
  <c r="O527" i="3" s="1"/>
  <c r="M526" i="3"/>
  <c r="O526" i="3" s="1"/>
  <c r="M525" i="3"/>
  <c r="O525" i="3" s="1"/>
  <c r="M524" i="3"/>
  <c r="O524" i="3" s="1"/>
  <c r="M523" i="3"/>
  <c r="O523" i="3" s="1"/>
  <c r="M522" i="3"/>
  <c r="O522" i="3" s="1"/>
  <c r="M521" i="3"/>
  <c r="O521" i="3" s="1"/>
  <c r="M520" i="3"/>
  <c r="O520" i="3" s="1"/>
  <c r="M519" i="3"/>
  <c r="O519" i="3" s="1"/>
  <c r="M518" i="3"/>
  <c r="O518" i="3" s="1"/>
  <c r="M517" i="3"/>
  <c r="O517" i="3" s="1"/>
  <c r="M516" i="3"/>
  <c r="O516" i="3" s="1"/>
  <c r="M515" i="3"/>
  <c r="O515" i="3" s="1"/>
  <c r="M514" i="3"/>
  <c r="O514" i="3" s="1"/>
  <c r="M513" i="3"/>
  <c r="O513" i="3" s="1"/>
  <c r="M512" i="3"/>
  <c r="O512" i="3" s="1"/>
  <c r="M511" i="3"/>
  <c r="O511" i="3" s="1"/>
  <c r="M510" i="3"/>
  <c r="O510" i="3" s="1"/>
  <c r="M509" i="3"/>
  <c r="O509" i="3" s="1"/>
  <c r="M508" i="3"/>
  <c r="O508" i="3" s="1"/>
  <c r="M507" i="3"/>
  <c r="O507" i="3" s="1"/>
  <c r="M506" i="3"/>
  <c r="O506" i="3" s="1"/>
  <c r="M505" i="3"/>
  <c r="O505" i="3" s="1"/>
  <c r="M504" i="3"/>
  <c r="O504" i="3" s="1"/>
  <c r="M503" i="3"/>
  <c r="O503" i="3" s="1"/>
  <c r="M502" i="3"/>
  <c r="O502" i="3" s="1"/>
  <c r="M501" i="3"/>
  <c r="O501" i="3" s="1"/>
  <c r="M500" i="3"/>
  <c r="O500" i="3" s="1"/>
  <c r="M499" i="3"/>
  <c r="O499" i="3" s="1"/>
  <c r="M498" i="3"/>
  <c r="O498" i="3" s="1"/>
  <c r="M497" i="3"/>
  <c r="O497" i="3" s="1"/>
  <c r="M496" i="3"/>
  <c r="O496" i="3" s="1"/>
  <c r="M495" i="3"/>
  <c r="O495" i="3" s="1"/>
  <c r="M494" i="3"/>
  <c r="O494" i="3" s="1"/>
  <c r="M493" i="3"/>
  <c r="O493" i="3" s="1"/>
  <c r="M492" i="3"/>
  <c r="O492" i="3" s="1"/>
  <c r="M491" i="3"/>
  <c r="O491" i="3" s="1"/>
  <c r="M490" i="3"/>
  <c r="O490" i="3" s="1"/>
  <c r="M489" i="3"/>
  <c r="O489" i="3" s="1"/>
  <c r="M488" i="3"/>
  <c r="O488" i="3" s="1"/>
  <c r="M487" i="3"/>
  <c r="O487" i="3" s="1"/>
  <c r="M486" i="3"/>
  <c r="O486" i="3" s="1"/>
  <c r="M485" i="3"/>
  <c r="O485" i="3" s="1"/>
  <c r="M484" i="3"/>
  <c r="O484" i="3" s="1"/>
  <c r="M483" i="3"/>
  <c r="O483" i="3" s="1"/>
  <c r="M482" i="3"/>
  <c r="O482" i="3" s="1"/>
  <c r="M481" i="3"/>
  <c r="O481" i="3" s="1"/>
  <c r="M480" i="3"/>
  <c r="O480" i="3" s="1"/>
  <c r="M479" i="3"/>
  <c r="O479" i="3" s="1"/>
  <c r="M478" i="3"/>
  <c r="O478" i="3" s="1"/>
  <c r="M477" i="3"/>
  <c r="O477" i="3" s="1"/>
  <c r="M476" i="3"/>
  <c r="O476" i="3" s="1"/>
  <c r="M475" i="3"/>
  <c r="O475" i="3" s="1"/>
  <c r="M474" i="3"/>
  <c r="O474" i="3" s="1"/>
  <c r="M473" i="3"/>
  <c r="O473" i="3" s="1"/>
  <c r="M472" i="3"/>
  <c r="O472" i="3" s="1"/>
  <c r="M471" i="3"/>
  <c r="O471" i="3" s="1"/>
  <c r="M470" i="3"/>
  <c r="O470" i="3" s="1"/>
  <c r="M469" i="3"/>
  <c r="O469" i="3" s="1"/>
  <c r="M468" i="3"/>
  <c r="O468" i="3" s="1"/>
  <c r="M467" i="3"/>
  <c r="O467" i="3" s="1"/>
  <c r="M466" i="3"/>
  <c r="O466" i="3" s="1"/>
  <c r="M465" i="3"/>
  <c r="O465" i="3" s="1"/>
  <c r="M464" i="3"/>
  <c r="O464" i="3" s="1"/>
  <c r="M463" i="3"/>
  <c r="O463" i="3" s="1"/>
  <c r="M462" i="3"/>
  <c r="O462" i="3" s="1"/>
  <c r="M461" i="3"/>
  <c r="O461" i="3" s="1"/>
  <c r="M460" i="3"/>
  <c r="O460" i="3" s="1"/>
  <c r="M459" i="3"/>
  <c r="O459" i="3" s="1"/>
  <c r="M458" i="3"/>
  <c r="O458" i="3" s="1"/>
  <c r="M457" i="3"/>
  <c r="O457" i="3" s="1"/>
  <c r="M456" i="3"/>
  <c r="O456" i="3" s="1"/>
  <c r="M455" i="3"/>
  <c r="O455" i="3" s="1"/>
  <c r="M454" i="3"/>
  <c r="O454" i="3" s="1"/>
  <c r="M453" i="3"/>
  <c r="O453" i="3" s="1"/>
  <c r="M452" i="3"/>
  <c r="O452" i="3" s="1"/>
  <c r="M451" i="3"/>
  <c r="O451" i="3" s="1"/>
  <c r="M450" i="3"/>
  <c r="O450" i="3" s="1"/>
  <c r="M449" i="3"/>
  <c r="O449" i="3" s="1"/>
  <c r="M448" i="3"/>
  <c r="O448" i="3" s="1"/>
  <c r="M447" i="3"/>
  <c r="O447" i="3" s="1"/>
  <c r="M446" i="3"/>
  <c r="O446" i="3" s="1"/>
  <c r="M445" i="3"/>
  <c r="O445" i="3" s="1"/>
  <c r="M444" i="3"/>
  <c r="O444" i="3" s="1"/>
  <c r="M443" i="3"/>
  <c r="O443" i="3" s="1"/>
  <c r="M442" i="3"/>
  <c r="O442" i="3" s="1"/>
  <c r="M441" i="3"/>
  <c r="O441" i="3" s="1"/>
  <c r="M440" i="3"/>
  <c r="O440" i="3" s="1"/>
  <c r="M439" i="3"/>
  <c r="O439" i="3" s="1"/>
  <c r="M438" i="3"/>
  <c r="O438" i="3" s="1"/>
  <c r="M437" i="3"/>
  <c r="O437" i="3" s="1"/>
  <c r="M436" i="3"/>
  <c r="O436" i="3" s="1"/>
  <c r="M435" i="3"/>
  <c r="O435" i="3" s="1"/>
  <c r="M434" i="3"/>
  <c r="O434" i="3" s="1"/>
  <c r="M433" i="3"/>
  <c r="O433" i="3" s="1"/>
  <c r="M432" i="3"/>
  <c r="O432" i="3" s="1"/>
  <c r="M431" i="3"/>
  <c r="O431" i="3" s="1"/>
  <c r="M430" i="3"/>
  <c r="O430" i="3" s="1"/>
  <c r="M429" i="3"/>
  <c r="O429" i="3" s="1"/>
  <c r="M428" i="3"/>
  <c r="O428" i="3" s="1"/>
  <c r="M427" i="3"/>
  <c r="O427" i="3" s="1"/>
  <c r="M426" i="3"/>
  <c r="O426" i="3" s="1"/>
  <c r="M425" i="3"/>
  <c r="O425" i="3" s="1"/>
  <c r="M424" i="3"/>
  <c r="O424" i="3" s="1"/>
  <c r="M423" i="3"/>
  <c r="O423" i="3" s="1"/>
  <c r="M422" i="3"/>
  <c r="O422" i="3" s="1"/>
  <c r="M421" i="3"/>
  <c r="O421" i="3" s="1"/>
  <c r="M420" i="3"/>
  <c r="O420" i="3" s="1"/>
  <c r="M419" i="3"/>
  <c r="O419" i="3" s="1"/>
  <c r="M418" i="3"/>
  <c r="O418" i="3" s="1"/>
  <c r="M417" i="3"/>
  <c r="O417" i="3" s="1"/>
  <c r="M416" i="3"/>
  <c r="O416" i="3" s="1"/>
  <c r="M415" i="3"/>
  <c r="O415" i="3" s="1"/>
  <c r="M414" i="3"/>
  <c r="O414" i="3" s="1"/>
  <c r="M413" i="3"/>
  <c r="O413" i="3" s="1"/>
  <c r="M412" i="3"/>
  <c r="O412" i="3" s="1"/>
  <c r="M411" i="3"/>
  <c r="O411" i="3" s="1"/>
  <c r="M410" i="3"/>
  <c r="O410" i="3" s="1"/>
  <c r="M409" i="3"/>
  <c r="O409" i="3" s="1"/>
  <c r="M408" i="3"/>
  <c r="O408" i="3" s="1"/>
  <c r="M407" i="3"/>
  <c r="O407" i="3" s="1"/>
  <c r="M406" i="3"/>
  <c r="O406" i="3" s="1"/>
  <c r="M405" i="3"/>
  <c r="O405" i="3" s="1"/>
  <c r="M404" i="3"/>
  <c r="O404" i="3" s="1"/>
  <c r="M403" i="3"/>
  <c r="O403" i="3" s="1"/>
  <c r="M402" i="3"/>
  <c r="O402" i="3" s="1"/>
  <c r="M401" i="3"/>
  <c r="O401" i="3" s="1"/>
  <c r="M400" i="3"/>
  <c r="O400" i="3" s="1"/>
  <c r="M399" i="3"/>
  <c r="O399" i="3" s="1"/>
  <c r="M398" i="3"/>
  <c r="O398" i="3" s="1"/>
  <c r="M397" i="3"/>
  <c r="O397" i="3" s="1"/>
  <c r="M396" i="3"/>
  <c r="O396" i="3" s="1"/>
  <c r="M395" i="3"/>
  <c r="O395" i="3" s="1"/>
  <c r="M394" i="3"/>
  <c r="O394" i="3" s="1"/>
  <c r="M393" i="3"/>
  <c r="O393" i="3" s="1"/>
  <c r="M392" i="3"/>
  <c r="O392" i="3" s="1"/>
  <c r="M391" i="3"/>
  <c r="O391" i="3" s="1"/>
  <c r="M390" i="3"/>
  <c r="O390" i="3" s="1"/>
  <c r="M389" i="3"/>
  <c r="O389" i="3" s="1"/>
  <c r="M388" i="3"/>
  <c r="O388" i="3" s="1"/>
  <c r="M387" i="3"/>
  <c r="O387" i="3" s="1"/>
  <c r="M386" i="3"/>
  <c r="O386" i="3" s="1"/>
  <c r="M385" i="3"/>
  <c r="O385" i="3" s="1"/>
  <c r="M384" i="3"/>
  <c r="O384" i="3" s="1"/>
  <c r="M383" i="3"/>
  <c r="O383" i="3" s="1"/>
  <c r="M382" i="3"/>
  <c r="O382" i="3" s="1"/>
  <c r="M381" i="3"/>
  <c r="O381" i="3" s="1"/>
  <c r="M380" i="3"/>
  <c r="O380" i="3" s="1"/>
  <c r="M379" i="3"/>
  <c r="O379" i="3" s="1"/>
  <c r="M378" i="3"/>
  <c r="O378" i="3" s="1"/>
  <c r="M377" i="3"/>
  <c r="O377" i="3" s="1"/>
  <c r="M376" i="3"/>
  <c r="O376" i="3" s="1"/>
  <c r="M375" i="3"/>
  <c r="O375" i="3" s="1"/>
  <c r="M374" i="3"/>
  <c r="O374" i="3" s="1"/>
  <c r="M373" i="3"/>
  <c r="O373" i="3" s="1"/>
  <c r="M372" i="3"/>
  <c r="O372" i="3" s="1"/>
  <c r="M371" i="3"/>
  <c r="O371" i="3" s="1"/>
  <c r="M370" i="3"/>
  <c r="O370" i="3" s="1"/>
  <c r="M369" i="3"/>
  <c r="O369" i="3" s="1"/>
  <c r="M368" i="3"/>
  <c r="O368" i="3" s="1"/>
  <c r="M367" i="3"/>
  <c r="O367" i="3" s="1"/>
  <c r="M366" i="3"/>
  <c r="O366" i="3" s="1"/>
  <c r="M365" i="3"/>
  <c r="O365" i="3" s="1"/>
  <c r="M364" i="3"/>
  <c r="O364" i="3" s="1"/>
  <c r="M363" i="3"/>
  <c r="O363" i="3" s="1"/>
  <c r="M362" i="3"/>
  <c r="O362" i="3" s="1"/>
  <c r="M361" i="3"/>
  <c r="O361" i="3" s="1"/>
  <c r="M360" i="3"/>
  <c r="O360" i="3" s="1"/>
  <c r="M359" i="3"/>
  <c r="O359" i="3" s="1"/>
  <c r="M358" i="3"/>
  <c r="O358" i="3" s="1"/>
  <c r="M357" i="3"/>
  <c r="O357" i="3" s="1"/>
  <c r="M356" i="3"/>
  <c r="O356" i="3" s="1"/>
  <c r="M355" i="3"/>
  <c r="O355" i="3" s="1"/>
  <c r="M354" i="3"/>
  <c r="O354" i="3" s="1"/>
  <c r="M353" i="3"/>
  <c r="O353" i="3" s="1"/>
  <c r="M352" i="3"/>
  <c r="O352" i="3" s="1"/>
  <c r="M351" i="3"/>
  <c r="O351" i="3" s="1"/>
  <c r="M350" i="3"/>
  <c r="O350" i="3" s="1"/>
  <c r="M349" i="3"/>
  <c r="O349" i="3" s="1"/>
  <c r="M348" i="3"/>
  <c r="O348" i="3" s="1"/>
  <c r="M347" i="3"/>
  <c r="O347" i="3" s="1"/>
  <c r="M346" i="3"/>
  <c r="O346" i="3" s="1"/>
  <c r="M345" i="3"/>
  <c r="O345" i="3" s="1"/>
  <c r="M344" i="3"/>
  <c r="O344" i="3" s="1"/>
  <c r="M343" i="3"/>
  <c r="O343" i="3" s="1"/>
  <c r="M342" i="3"/>
  <c r="O342" i="3" s="1"/>
  <c r="M341" i="3"/>
  <c r="O341" i="3" s="1"/>
  <c r="M340" i="3"/>
  <c r="O340" i="3" s="1"/>
  <c r="M339" i="3"/>
  <c r="O339" i="3" s="1"/>
  <c r="M338" i="3"/>
  <c r="O338" i="3" s="1"/>
  <c r="M337" i="3"/>
  <c r="O337" i="3" s="1"/>
  <c r="M336" i="3"/>
  <c r="O336" i="3" s="1"/>
  <c r="M335" i="3"/>
  <c r="O335" i="3" s="1"/>
  <c r="M334" i="3"/>
  <c r="O334" i="3" s="1"/>
  <c r="M333" i="3"/>
  <c r="O333" i="3" s="1"/>
  <c r="M332" i="3"/>
  <c r="O332" i="3" s="1"/>
  <c r="M331" i="3"/>
  <c r="O331" i="3" s="1"/>
  <c r="M330" i="3"/>
  <c r="O330" i="3" s="1"/>
  <c r="M329" i="3"/>
  <c r="O329" i="3" s="1"/>
  <c r="M328" i="3"/>
  <c r="O328" i="3" s="1"/>
  <c r="M327" i="3"/>
  <c r="O327" i="3" s="1"/>
  <c r="M326" i="3"/>
  <c r="O326" i="3" s="1"/>
  <c r="M325" i="3"/>
  <c r="O325" i="3" s="1"/>
  <c r="M324" i="3"/>
  <c r="O324" i="3" s="1"/>
  <c r="M323" i="3"/>
  <c r="O323" i="3" s="1"/>
  <c r="M322" i="3"/>
  <c r="O322" i="3" s="1"/>
  <c r="M321" i="3"/>
  <c r="O321" i="3" s="1"/>
  <c r="M320" i="3"/>
  <c r="O320" i="3" s="1"/>
  <c r="M319" i="3"/>
  <c r="O319" i="3" s="1"/>
  <c r="M318" i="3"/>
  <c r="O318" i="3" s="1"/>
  <c r="M317" i="3"/>
  <c r="O317" i="3" s="1"/>
  <c r="M316" i="3"/>
  <c r="O316" i="3" s="1"/>
  <c r="M315" i="3"/>
  <c r="O315" i="3" s="1"/>
  <c r="M314" i="3"/>
  <c r="O314" i="3" s="1"/>
  <c r="M313" i="3"/>
  <c r="O313" i="3" s="1"/>
  <c r="M312" i="3"/>
  <c r="O312" i="3" s="1"/>
  <c r="M311" i="3"/>
  <c r="O311" i="3" s="1"/>
  <c r="M310" i="3"/>
  <c r="O310" i="3" s="1"/>
  <c r="M309" i="3"/>
  <c r="O309" i="3" s="1"/>
  <c r="M308" i="3"/>
  <c r="O308" i="3" s="1"/>
  <c r="M307" i="3"/>
  <c r="O307" i="3" s="1"/>
  <c r="M306" i="3"/>
  <c r="O306" i="3" s="1"/>
  <c r="M305" i="3"/>
  <c r="O305" i="3" s="1"/>
  <c r="M304" i="3"/>
  <c r="O304" i="3" s="1"/>
  <c r="M303" i="3"/>
  <c r="O303" i="3" s="1"/>
  <c r="M302" i="3"/>
  <c r="O302" i="3" s="1"/>
  <c r="M301" i="3"/>
  <c r="O301" i="3" s="1"/>
  <c r="M300" i="3"/>
  <c r="O300" i="3" s="1"/>
  <c r="M299" i="3"/>
  <c r="O299" i="3" s="1"/>
  <c r="M298" i="3"/>
  <c r="O298" i="3" s="1"/>
  <c r="M297" i="3"/>
  <c r="O297" i="3" s="1"/>
  <c r="M296" i="3"/>
  <c r="O296" i="3" s="1"/>
  <c r="M295" i="3"/>
  <c r="O295" i="3" s="1"/>
  <c r="M294" i="3"/>
  <c r="O294" i="3" s="1"/>
  <c r="M293" i="3"/>
  <c r="O293" i="3" s="1"/>
  <c r="M292" i="3"/>
  <c r="O292" i="3" s="1"/>
  <c r="M291" i="3"/>
  <c r="O291" i="3" s="1"/>
  <c r="M290" i="3"/>
  <c r="O290" i="3" s="1"/>
  <c r="M289" i="3"/>
  <c r="O289" i="3" s="1"/>
  <c r="M288" i="3"/>
  <c r="O288" i="3" s="1"/>
  <c r="M287" i="3"/>
  <c r="O287" i="3" s="1"/>
  <c r="M286" i="3"/>
  <c r="O286" i="3" s="1"/>
  <c r="M285" i="3"/>
  <c r="O285" i="3" s="1"/>
  <c r="M284" i="3"/>
  <c r="O284" i="3" s="1"/>
  <c r="M283" i="3"/>
  <c r="O283" i="3" s="1"/>
  <c r="M282" i="3"/>
  <c r="O282" i="3" s="1"/>
  <c r="M281" i="3"/>
  <c r="O281" i="3" s="1"/>
  <c r="M280" i="3"/>
  <c r="O280" i="3" s="1"/>
  <c r="M279" i="3"/>
  <c r="O279" i="3" s="1"/>
  <c r="M278" i="3"/>
  <c r="O278" i="3" s="1"/>
  <c r="M277" i="3"/>
  <c r="O277" i="3" s="1"/>
  <c r="M276" i="3"/>
  <c r="O276" i="3" s="1"/>
  <c r="M275" i="3"/>
  <c r="O275" i="3" s="1"/>
  <c r="M274" i="3"/>
  <c r="O274" i="3" s="1"/>
  <c r="M273" i="3"/>
  <c r="O273" i="3" s="1"/>
  <c r="M272" i="3"/>
  <c r="O272" i="3" s="1"/>
  <c r="M271" i="3"/>
  <c r="O271" i="3" s="1"/>
  <c r="M270" i="3"/>
  <c r="O270" i="3" s="1"/>
  <c r="M269" i="3"/>
  <c r="O269" i="3" s="1"/>
  <c r="M268" i="3"/>
  <c r="O268" i="3" s="1"/>
  <c r="M267" i="3"/>
  <c r="O267" i="3" s="1"/>
  <c r="M266" i="3"/>
  <c r="O266" i="3" s="1"/>
  <c r="M265" i="3"/>
  <c r="O265" i="3" s="1"/>
  <c r="M264" i="3"/>
  <c r="O264" i="3" s="1"/>
  <c r="M263" i="3"/>
  <c r="O263" i="3" s="1"/>
  <c r="M262" i="3"/>
  <c r="O262" i="3" s="1"/>
  <c r="M261" i="3"/>
  <c r="O261" i="3" s="1"/>
  <c r="M260" i="3"/>
  <c r="O260" i="3" s="1"/>
  <c r="M259" i="3"/>
  <c r="O259" i="3" s="1"/>
  <c r="M258" i="3"/>
  <c r="O258" i="3" s="1"/>
  <c r="M257" i="3"/>
  <c r="O257" i="3" s="1"/>
  <c r="M256" i="3"/>
  <c r="O256" i="3" s="1"/>
  <c r="M255" i="3"/>
  <c r="O255" i="3" s="1"/>
  <c r="M254" i="3"/>
  <c r="O254" i="3" s="1"/>
  <c r="M253" i="3"/>
  <c r="O253" i="3" s="1"/>
  <c r="M252" i="3"/>
  <c r="O252" i="3" s="1"/>
  <c r="M251" i="3"/>
  <c r="O251" i="3" s="1"/>
  <c r="M250" i="3"/>
  <c r="O250" i="3" s="1"/>
  <c r="M249" i="3"/>
  <c r="O249" i="3" s="1"/>
  <c r="M248" i="3"/>
  <c r="O248" i="3" s="1"/>
  <c r="M247" i="3"/>
  <c r="O247" i="3" s="1"/>
  <c r="M246" i="3"/>
  <c r="O246" i="3" s="1"/>
  <c r="M245" i="3"/>
  <c r="O245" i="3" s="1"/>
  <c r="M244" i="3"/>
  <c r="O244" i="3" s="1"/>
  <c r="M243" i="3"/>
  <c r="O243" i="3" s="1"/>
  <c r="M242" i="3"/>
  <c r="O242" i="3" s="1"/>
  <c r="M241" i="3"/>
  <c r="O241" i="3" s="1"/>
  <c r="M240" i="3"/>
  <c r="O240" i="3" s="1"/>
  <c r="M239" i="3"/>
  <c r="O239" i="3" s="1"/>
  <c r="M238" i="3"/>
  <c r="O238" i="3" s="1"/>
  <c r="M237" i="3"/>
  <c r="O237" i="3" s="1"/>
  <c r="M236" i="3"/>
  <c r="O236" i="3" s="1"/>
  <c r="M235" i="3"/>
  <c r="O235" i="3" s="1"/>
  <c r="M234" i="3"/>
  <c r="O234" i="3" s="1"/>
  <c r="M233" i="3"/>
  <c r="O233" i="3" s="1"/>
  <c r="M232" i="3"/>
  <c r="O232" i="3" s="1"/>
  <c r="M231" i="3"/>
  <c r="O231" i="3" s="1"/>
  <c r="M230" i="3"/>
  <c r="O230" i="3" s="1"/>
  <c r="M229" i="3"/>
  <c r="O229" i="3" s="1"/>
  <c r="M228" i="3"/>
  <c r="O228" i="3" s="1"/>
  <c r="M227" i="3"/>
  <c r="O227" i="3" s="1"/>
  <c r="M226" i="3"/>
  <c r="O226" i="3" s="1"/>
  <c r="M225" i="3"/>
  <c r="O225" i="3" s="1"/>
  <c r="M224" i="3"/>
  <c r="O224" i="3" s="1"/>
  <c r="M223" i="3"/>
  <c r="O223" i="3" s="1"/>
  <c r="M222" i="3"/>
  <c r="O222" i="3" s="1"/>
  <c r="M221" i="3"/>
  <c r="O221" i="3" s="1"/>
  <c r="M220" i="3"/>
  <c r="O220" i="3" s="1"/>
  <c r="M219" i="3"/>
  <c r="O219" i="3" s="1"/>
  <c r="M218" i="3"/>
  <c r="O218" i="3" s="1"/>
  <c r="M217" i="3"/>
  <c r="O217" i="3" s="1"/>
  <c r="M216" i="3"/>
  <c r="O216" i="3" s="1"/>
  <c r="M215" i="3"/>
  <c r="O215" i="3" s="1"/>
  <c r="M214" i="3"/>
  <c r="O214" i="3" s="1"/>
  <c r="M213" i="3"/>
  <c r="O213" i="3" s="1"/>
  <c r="M212" i="3"/>
  <c r="O212" i="3" s="1"/>
  <c r="M211" i="3"/>
  <c r="O211" i="3" s="1"/>
  <c r="M210" i="3"/>
  <c r="O210" i="3" s="1"/>
  <c r="M209" i="3"/>
  <c r="O209" i="3" s="1"/>
  <c r="M208" i="3"/>
  <c r="O208" i="3" s="1"/>
  <c r="M207" i="3"/>
  <c r="O207" i="3" s="1"/>
  <c r="M206" i="3"/>
  <c r="O206" i="3" s="1"/>
  <c r="M205" i="3"/>
  <c r="O205" i="3" s="1"/>
  <c r="M204" i="3"/>
  <c r="O204" i="3" s="1"/>
  <c r="M203" i="3"/>
  <c r="O203" i="3" s="1"/>
  <c r="M202" i="3"/>
  <c r="O202" i="3" s="1"/>
  <c r="M201" i="3"/>
  <c r="O201" i="3" s="1"/>
  <c r="M200" i="3"/>
  <c r="O200" i="3" s="1"/>
  <c r="M199" i="3"/>
  <c r="O199" i="3" s="1"/>
  <c r="M198" i="3"/>
  <c r="O198" i="3" s="1"/>
  <c r="M197" i="3"/>
  <c r="O197" i="3" s="1"/>
  <c r="M196" i="3"/>
  <c r="O196" i="3" s="1"/>
  <c r="M195" i="3"/>
  <c r="O195" i="3" s="1"/>
  <c r="M194" i="3"/>
  <c r="O194" i="3" s="1"/>
  <c r="M193" i="3"/>
  <c r="O193" i="3" s="1"/>
  <c r="M192" i="3"/>
  <c r="O192" i="3" s="1"/>
  <c r="M191" i="3"/>
  <c r="O191" i="3" s="1"/>
  <c r="M190" i="3"/>
  <c r="O190" i="3" s="1"/>
  <c r="M189" i="3"/>
  <c r="O189" i="3" s="1"/>
  <c r="M188" i="3"/>
  <c r="O188" i="3" s="1"/>
  <c r="M187" i="3"/>
  <c r="O187" i="3" s="1"/>
  <c r="M186" i="3"/>
  <c r="O186" i="3" s="1"/>
  <c r="M185" i="3"/>
  <c r="O185" i="3" s="1"/>
  <c r="M184" i="3"/>
  <c r="O184" i="3" s="1"/>
  <c r="M183" i="3"/>
  <c r="O183" i="3" s="1"/>
  <c r="M182" i="3"/>
  <c r="O182" i="3" s="1"/>
  <c r="M181" i="3"/>
  <c r="O181" i="3" s="1"/>
  <c r="M180" i="3"/>
  <c r="O180" i="3" s="1"/>
  <c r="M179" i="3"/>
  <c r="O179" i="3" s="1"/>
  <c r="M178" i="3"/>
  <c r="O178" i="3" s="1"/>
  <c r="M177" i="3"/>
  <c r="O177" i="3" s="1"/>
  <c r="M176" i="3"/>
  <c r="O176" i="3" s="1"/>
  <c r="M175" i="3"/>
  <c r="O175" i="3" s="1"/>
  <c r="M174" i="3"/>
  <c r="O174" i="3" s="1"/>
  <c r="M173" i="3"/>
  <c r="O173" i="3" s="1"/>
  <c r="M172" i="3"/>
  <c r="O172" i="3" s="1"/>
  <c r="M171" i="3"/>
  <c r="O171" i="3" s="1"/>
  <c r="M170" i="3"/>
  <c r="O170" i="3" s="1"/>
  <c r="M169" i="3"/>
  <c r="O169" i="3" s="1"/>
  <c r="M168" i="3"/>
  <c r="O168" i="3" s="1"/>
  <c r="M167" i="3"/>
  <c r="O167" i="3" s="1"/>
  <c r="M166" i="3"/>
  <c r="O166" i="3" s="1"/>
  <c r="M165" i="3"/>
  <c r="O165" i="3" s="1"/>
  <c r="M164" i="3"/>
  <c r="O164" i="3" s="1"/>
  <c r="M163" i="3"/>
  <c r="O163" i="3" s="1"/>
  <c r="M162" i="3"/>
  <c r="O162" i="3" s="1"/>
  <c r="M161" i="3"/>
  <c r="O161" i="3" s="1"/>
  <c r="M160" i="3"/>
  <c r="O160" i="3" s="1"/>
  <c r="M159" i="3"/>
  <c r="O159" i="3" s="1"/>
  <c r="M158" i="3"/>
  <c r="O158" i="3" s="1"/>
  <c r="M157" i="3"/>
  <c r="O157" i="3" s="1"/>
  <c r="M156" i="3"/>
  <c r="O156" i="3" s="1"/>
  <c r="M155" i="3"/>
  <c r="O155" i="3" s="1"/>
  <c r="M154" i="3"/>
  <c r="O154" i="3" s="1"/>
  <c r="M153" i="3"/>
  <c r="O153" i="3" s="1"/>
  <c r="M152" i="3"/>
  <c r="O152" i="3" s="1"/>
  <c r="M151" i="3"/>
  <c r="O151" i="3" s="1"/>
  <c r="M150" i="3"/>
  <c r="O150" i="3" s="1"/>
  <c r="M149" i="3"/>
  <c r="O149" i="3" s="1"/>
  <c r="M148" i="3"/>
  <c r="O148" i="3" s="1"/>
  <c r="M147" i="3"/>
  <c r="O147" i="3" s="1"/>
  <c r="M146" i="3"/>
  <c r="O146" i="3" s="1"/>
  <c r="M145" i="3"/>
  <c r="O145" i="3" s="1"/>
  <c r="M144" i="3"/>
  <c r="O144" i="3" s="1"/>
  <c r="M143" i="3"/>
  <c r="O143" i="3" s="1"/>
  <c r="M142" i="3"/>
  <c r="O142" i="3" s="1"/>
  <c r="M141" i="3"/>
  <c r="O141" i="3" s="1"/>
  <c r="M140" i="3"/>
  <c r="O140" i="3" s="1"/>
  <c r="M139" i="3"/>
  <c r="O139" i="3" s="1"/>
  <c r="M138" i="3"/>
  <c r="O138" i="3" s="1"/>
  <c r="M137" i="3"/>
  <c r="O137" i="3" s="1"/>
  <c r="M136" i="3"/>
  <c r="O136" i="3" s="1"/>
  <c r="M135" i="3"/>
  <c r="O135" i="3" s="1"/>
  <c r="M134" i="3"/>
  <c r="O134" i="3" s="1"/>
  <c r="M133" i="3"/>
  <c r="O133" i="3" s="1"/>
  <c r="M132" i="3"/>
  <c r="O132" i="3" s="1"/>
  <c r="M131" i="3"/>
  <c r="O131" i="3" s="1"/>
  <c r="M130" i="3"/>
  <c r="O130" i="3" s="1"/>
  <c r="M129" i="3"/>
  <c r="O129" i="3" s="1"/>
  <c r="M128" i="3"/>
  <c r="O128" i="3" s="1"/>
  <c r="M127" i="3"/>
  <c r="O127" i="3" s="1"/>
  <c r="M126" i="3"/>
  <c r="O126" i="3" s="1"/>
  <c r="M125" i="3"/>
  <c r="O125" i="3" s="1"/>
  <c r="M124" i="3"/>
  <c r="O124" i="3" s="1"/>
  <c r="M123" i="3"/>
  <c r="O123" i="3" s="1"/>
  <c r="M122" i="3"/>
  <c r="O122" i="3" s="1"/>
  <c r="M121" i="3"/>
  <c r="O121" i="3" s="1"/>
  <c r="M120" i="3"/>
  <c r="O120" i="3" s="1"/>
  <c r="M119" i="3"/>
  <c r="O119" i="3" s="1"/>
  <c r="M118" i="3"/>
  <c r="O118" i="3" s="1"/>
  <c r="M117" i="3"/>
  <c r="O117" i="3" s="1"/>
  <c r="M116" i="3"/>
  <c r="O116" i="3" s="1"/>
  <c r="M115" i="3"/>
  <c r="O115" i="3" s="1"/>
  <c r="M114" i="3"/>
  <c r="O114" i="3" s="1"/>
  <c r="M113" i="3"/>
  <c r="O113" i="3" s="1"/>
  <c r="M112" i="3"/>
  <c r="O112" i="3" s="1"/>
  <c r="M111" i="3"/>
  <c r="O111" i="3" s="1"/>
  <c r="M110" i="3"/>
  <c r="O110" i="3" s="1"/>
  <c r="M109" i="3"/>
  <c r="O109" i="3" s="1"/>
  <c r="M108" i="3"/>
  <c r="O108" i="3" s="1"/>
  <c r="M107" i="3"/>
  <c r="O107" i="3" s="1"/>
  <c r="M106" i="3"/>
  <c r="O106" i="3" s="1"/>
  <c r="M105" i="3"/>
  <c r="O105" i="3" s="1"/>
  <c r="M104" i="3"/>
  <c r="O104" i="3" s="1"/>
  <c r="M103" i="3"/>
  <c r="O103" i="3" s="1"/>
  <c r="M102" i="3"/>
  <c r="O102" i="3" s="1"/>
  <c r="M101" i="3"/>
  <c r="O101" i="3" s="1"/>
  <c r="M100" i="3"/>
  <c r="O100" i="3" s="1"/>
  <c r="M99" i="3"/>
  <c r="O99" i="3" s="1"/>
  <c r="M98" i="3"/>
  <c r="O98" i="3" s="1"/>
  <c r="M97" i="3"/>
  <c r="O97" i="3" s="1"/>
  <c r="M96" i="3"/>
  <c r="O96" i="3" s="1"/>
  <c r="M95" i="3"/>
  <c r="O95" i="3" s="1"/>
  <c r="M94" i="3"/>
  <c r="O94" i="3" s="1"/>
  <c r="M93" i="3"/>
  <c r="O93" i="3" s="1"/>
  <c r="M92" i="3"/>
  <c r="O92" i="3" s="1"/>
  <c r="M91" i="3"/>
  <c r="O91" i="3" s="1"/>
  <c r="M90" i="3"/>
  <c r="O90" i="3" s="1"/>
  <c r="M89" i="3"/>
  <c r="O89" i="3" s="1"/>
  <c r="M88" i="3"/>
  <c r="O88" i="3" s="1"/>
  <c r="M87" i="3"/>
  <c r="O87" i="3" s="1"/>
  <c r="M86" i="3"/>
  <c r="O86" i="3" s="1"/>
  <c r="M85" i="3"/>
  <c r="O85" i="3" s="1"/>
  <c r="M84" i="3"/>
  <c r="O84" i="3" s="1"/>
  <c r="M83" i="3"/>
  <c r="O83" i="3" s="1"/>
  <c r="M82" i="3"/>
  <c r="O82" i="3" s="1"/>
  <c r="M81" i="3"/>
  <c r="O81" i="3" s="1"/>
  <c r="M80" i="3"/>
  <c r="O80" i="3" s="1"/>
  <c r="M79" i="3"/>
  <c r="O79" i="3" s="1"/>
  <c r="M78" i="3"/>
  <c r="O78" i="3" s="1"/>
  <c r="M77" i="3"/>
  <c r="O77" i="3" s="1"/>
  <c r="M76" i="3"/>
  <c r="O76" i="3" s="1"/>
  <c r="M75" i="3"/>
  <c r="O75" i="3" s="1"/>
  <c r="M74" i="3"/>
  <c r="O74" i="3" s="1"/>
  <c r="M73" i="3"/>
  <c r="O73" i="3" s="1"/>
  <c r="M72" i="3"/>
  <c r="O72" i="3" s="1"/>
  <c r="M71" i="3"/>
  <c r="O71" i="3" s="1"/>
  <c r="M70" i="3"/>
  <c r="O70" i="3" s="1"/>
  <c r="M69" i="3"/>
  <c r="O69" i="3" s="1"/>
  <c r="M68" i="3"/>
  <c r="O68" i="3" s="1"/>
  <c r="M67" i="3"/>
  <c r="O67" i="3" s="1"/>
  <c r="M66" i="3"/>
  <c r="O66" i="3" s="1"/>
  <c r="M65" i="3"/>
  <c r="O65" i="3" s="1"/>
  <c r="M64" i="3"/>
  <c r="O64" i="3" s="1"/>
  <c r="M63" i="3"/>
  <c r="O63" i="3" s="1"/>
  <c r="M62" i="3"/>
  <c r="O62" i="3" s="1"/>
  <c r="M61" i="3"/>
  <c r="O61" i="3" s="1"/>
  <c r="M60" i="3"/>
  <c r="O60" i="3" s="1"/>
  <c r="M59" i="3"/>
  <c r="O59" i="3" s="1"/>
  <c r="M58" i="3"/>
  <c r="O58" i="3" s="1"/>
  <c r="M57" i="3"/>
  <c r="O57" i="3" s="1"/>
  <c r="M56" i="3"/>
  <c r="O56" i="3" s="1"/>
  <c r="M55" i="3"/>
  <c r="O55" i="3" s="1"/>
  <c r="M54" i="3"/>
  <c r="O54" i="3" s="1"/>
  <c r="M53" i="3"/>
  <c r="O53" i="3" s="1"/>
  <c r="M52" i="3"/>
  <c r="O52" i="3" s="1"/>
  <c r="M51" i="3"/>
  <c r="O51" i="3" s="1"/>
  <c r="M50" i="3"/>
  <c r="O50" i="3" s="1"/>
  <c r="M49" i="3"/>
  <c r="O49" i="3" s="1"/>
  <c r="M48" i="3"/>
  <c r="O48" i="3" s="1"/>
  <c r="M47" i="3"/>
  <c r="O47" i="3" s="1"/>
  <c r="J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D477" i="3" s="1"/>
  <c r="B476" i="3"/>
  <c r="D476" i="3" s="1"/>
  <c r="B475" i="3"/>
  <c r="D475" i="3" s="1"/>
  <c r="B474" i="3"/>
  <c r="D474" i="3" s="1"/>
  <c r="B473" i="3"/>
  <c r="D473" i="3" s="1"/>
  <c r="B472" i="3"/>
  <c r="D472" i="3" s="1"/>
  <c r="B471" i="3"/>
  <c r="D471" i="3" s="1"/>
  <c r="B470" i="3"/>
  <c r="D470" i="3" s="1"/>
  <c r="B469" i="3"/>
  <c r="D469" i="3" s="1"/>
  <c r="B468" i="3"/>
  <c r="D468" i="3" s="1"/>
  <c r="B467" i="3"/>
  <c r="D467" i="3" s="1"/>
  <c r="B466" i="3"/>
  <c r="D466" i="3" s="1"/>
  <c r="B465" i="3"/>
  <c r="D465" i="3" s="1"/>
  <c r="B464" i="3"/>
  <c r="D464" i="3" s="1"/>
  <c r="B463" i="3"/>
  <c r="D463" i="3" s="1"/>
  <c r="B462" i="3"/>
  <c r="D462" i="3" s="1"/>
  <c r="B461" i="3"/>
  <c r="D461" i="3" s="1"/>
  <c r="B460" i="3"/>
  <c r="D460" i="3" s="1"/>
  <c r="B459" i="3"/>
  <c r="D459" i="3" s="1"/>
  <c r="B458" i="3"/>
  <c r="D458" i="3" s="1"/>
  <c r="B457" i="3"/>
  <c r="D457" i="3" s="1"/>
  <c r="B456" i="3"/>
  <c r="D456" i="3" s="1"/>
  <c r="B455" i="3"/>
  <c r="D455" i="3" s="1"/>
  <c r="B454" i="3"/>
  <c r="D454" i="3" s="1"/>
  <c r="B453" i="3"/>
  <c r="D453" i="3" s="1"/>
  <c r="B452" i="3"/>
  <c r="D452" i="3" s="1"/>
  <c r="B451" i="3"/>
  <c r="D451" i="3" s="1"/>
  <c r="B450" i="3"/>
  <c r="D450" i="3" s="1"/>
  <c r="B449" i="3"/>
  <c r="D449" i="3" s="1"/>
  <c r="B448" i="3"/>
  <c r="D448" i="3" s="1"/>
  <c r="B447" i="3"/>
  <c r="D447" i="3" s="1"/>
  <c r="B446" i="3"/>
  <c r="D446" i="3" s="1"/>
  <c r="B445" i="3"/>
  <c r="D445" i="3" s="1"/>
  <c r="B444" i="3"/>
  <c r="D444" i="3" s="1"/>
  <c r="B443" i="3"/>
  <c r="D443" i="3" s="1"/>
  <c r="B442" i="3"/>
  <c r="D442" i="3" s="1"/>
  <c r="B441" i="3"/>
  <c r="D441" i="3" s="1"/>
  <c r="B440" i="3"/>
  <c r="D440" i="3" s="1"/>
  <c r="B439" i="3"/>
  <c r="D439" i="3" s="1"/>
  <c r="B438" i="3"/>
  <c r="D438" i="3" s="1"/>
  <c r="B437" i="3"/>
  <c r="D437" i="3" s="1"/>
  <c r="B436" i="3"/>
  <c r="D436" i="3" s="1"/>
  <c r="B435" i="3"/>
  <c r="D435" i="3" s="1"/>
  <c r="B434" i="3"/>
  <c r="D434" i="3" s="1"/>
  <c r="B433" i="3"/>
  <c r="D433" i="3" s="1"/>
  <c r="B432" i="3"/>
  <c r="D432" i="3" s="1"/>
  <c r="B431" i="3"/>
  <c r="D431" i="3" s="1"/>
  <c r="B430" i="3"/>
  <c r="D430" i="3" s="1"/>
  <c r="B429" i="3"/>
  <c r="D429" i="3" s="1"/>
  <c r="B428" i="3"/>
  <c r="D428" i="3" s="1"/>
  <c r="B427" i="3"/>
  <c r="D427" i="3" s="1"/>
  <c r="B426" i="3"/>
  <c r="D426" i="3" s="1"/>
  <c r="B425" i="3"/>
  <c r="D425" i="3" s="1"/>
  <c r="B424" i="3"/>
  <c r="D424" i="3" s="1"/>
  <c r="B423" i="3"/>
  <c r="D423" i="3" s="1"/>
  <c r="B422" i="3"/>
  <c r="D422" i="3" s="1"/>
  <c r="B421" i="3"/>
  <c r="D421" i="3" s="1"/>
  <c r="B420" i="3"/>
  <c r="D420" i="3" s="1"/>
  <c r="B419" i="3"/>
  <c r="D419" i="3" s="1"/>
  <c r="B418" i="3"/>
  <c r="D418" i="3" s="1"/>
  <c r="B417" i="3"/>
  <c r="D417" i="3" s="1"/>
  <c r="B416" i="3"/>
  <c r="D416" i="3" s="1"/>
  <c r="B415" i="3"/>
  <c r="D415" i="3" s="1"/>
  <c r="B414" i="3"/>
  <c r="D414" i="3" s="1"/>
  <c r="B413" i="3"/>
  <c r="D413" i="3" s="1"/>
  <c r="B412" i="3"/>
  <c r="D412" i="3" s="1"/>
  <c r="B411" i="3"/>
  <c r="D411" i="3" s="1"/>
  <c r="B410" i="3"/>
  <c r="D410" i="3" s="1"/>
  <c r="B409" i="3"/>
  <c r="D409" i="3" s="1"/>
  <c r="B408" i="3"/>
  <c r="D408" i="3" s="1"/>
  <c r="B407" i="3"/>
  <c r="D407" i="3" s="1"/>
  <c r="B406" i="3"/>
  <c r="D406" i="3" s="1"/>
  <c r="B405" i="3"/>
  <c r="D405" i="3" s="1"/>
  <c r="B404" i="3"/>
  <c r="D404" i="3" s="1"/>
  <c r="B403" i="3"/>
  <c r="D403" i="3" s="1"/>
  <c r="B402" i="3"/>
  <c r="D402" i="3" s="1"/>
  <c r="B401" i="3"/>
  <c r="D401" i="3" s="1"/>
  <c r="B400" i="3"/>
  <c r="D400" i="3" s="1"/>
  <c r="B399" i="3"/>
  <c r="D399" i="3" s="1"/>
  <c r="B398" i="3"/>
  <c r="D398" i="3" s="1"/>
  <c r="B397" i="3"/>
  <c r="D397" i="3" s="1"/>
  <c r="B396" i="3"/>
  <c r="D396" i="3" s="1"/>
  <c r="B395" i="3"/>
  <c r="D395" i="3" s="1"/>
  <c r="B394" i="3"/>
  <c r="D394" i="3" s="1"/>
  <c r="B393" i="3"/>
  <c r="D393" i="3" s="1"/>
  <c r="B392" i="3"/>
  <c r="D392" i="3" s="1"/>
  <c r="B391" i="3"/>
  <c r="D391" i="3" s="1"/>
  <c r="B390" i="3"/>
  <c r="D390" i="3" s="1"/>
  <c r="B389" i="3"/>
  <c r="D389" i="3" s="1"/>
  <c r="B388" i="3"/>
  <c r="D388" i="3" s="1"/>
  <c r="B387" i="3"/>
  <c r="D387" i="3" s="1"/>
  <c r="B386" i="3"/>
  <c r="D386" i="3" s="1"/>
  <c r="B385" i="3"/>
  <c r="D385" i="3" s="1"/>
  <c r="B384" i="3"/>
  <c r="D384" i="3" s="1"/>
  <c r="B383" i="3"/>
  <c r="D383" i="3" s="1"/>
  <c r="B382" i="3"/>
  <c r="D382" i="3" s="1"/>
  <c r="B381" i="3"/>
  <c r="D381" i="3" s="1"/>
  <c r="B380" i="3"/>
  <c r="D380" i="3" s="1"/>
  <c r="B379" i="3"/>
  <c r="D379" i="3" s="1"/>
  <c r="B378" i="3"/>
  <c r="D378" i="3" s="1"/>
  <c r="B377" i="3"/>
  <c r="D377" i="3" s="1"/>
  <c r="B376" i="3"/>
  <c r="D376" i="3" s="1"/>
  <c r="B375" i="3"/>
  <c r="D375" i="3" s="1"/>
  <c r="B374" i="3"/>
  <c r="D374" i="3" s="1"/>
  <c r="B373" i="3"/>
  <c r="D373" i="3" s="1"/>
  <c r="B372" i="3"/>
  <c r="D372" i="3" s="1"/>
  <c r="B371" i="3"/>
  <c r="D371" i="3" s="1"/>
  <c r="B370" i="3"/>
  <c r="D370" i="3" s="1"/>
  <c r="B369" i="3"/>
  <c r="D369" i="3" s="1"/>
  <c r="B368" i="3"/>
  <c r="D368" i="3" s="1"/>
  <c r="B367" i="3"/>
  <c r="D367" i="3" s="1"/>
  <c r="B366" i="3"/>
  <c r="D366" i="3" s="1"/>
  <c r="B365" i="3"/>
  <c r="D365" i="3" s="1"/>
  <c r="B364" i="3"/>
  <c r="D364" i="3" s="1"/>
  <c r="B363" i="3"/>
  <c r="D363" i="3" s="1"/>
  <c r="B362" i="3"/>
  <c r="D362" i="3" s="1"/>
  <c r="B361" i="3"/>
  <c r="D361" i="3" s="1"/>
  <c r="B360" i="3"/>
  <c r="D360" i="3" s="1"/>
  <c r="B359" i="3"/>
  <c r="D359" i="3" s="1"/>
  <c r="B358" i="3"/>
  <c r="D358" i="3" s="1"/>
  <c r="B357" i="3"/>
  <c r="D357" i="3" s="1"/>
  <c r="B356" i="3"/>
  <c r="D356" i="3" s="1"/>
  <c r="B355" i="3"/>
  <c r="D355" i="3" s="1"/>
  <c r="B354" i="3"/>
  <c r="D354" i="3" s="1"/>
  <c r="B353" i="3"/>
  <c r="D353" i="3" s="1"/>
  <c r="B352" i="3"/>
  <c r="D352" i="3" s="1"/>
  <c r="B351" i="3"/>
  <c r="D351" i="3" s="1"/>
  <c r="B350" i="3"/>
  <c r="D350" i="3" s="1"/>
  <c r="B349" i="3"/>
  <c r="D349" i="3" s="1"/>
  <c r="B348" i="3"/>
  <c r="D348" i="3" s="1"/>
  <c r="B347" i="3"/>
  <c r="D347" i="3" s="1"/>
  <c r="B346" i="3"/>
  <c r="D346" i="3" s="1"/>
  <c r="B345" i="3"/>
  <c r="D345" i="3" s="1"/>
  <c r="B344" i="3"/>
  <c r="D344" i="3" s="1"/>
  <c r="B343" i="3"/>
  <c r="D343" i="3" s="1"/>
  <c r="B342" i="3"/>
  <c r="D342" i="3" s="1"/>
  <c r="B341" i="3"/>
  <c r="D341" i="3" s="1"/>
  <c r="B340" i="3"/>
  <c r="D340" i="3" s="1"/>
  <c r="B339" i="3"/>
  <c r="D339" i="3" s="1"/>
  <c r="B338" i="3"/>
  <c r="D338" i="3" s="1"/>
  <c r="B337" i="3"/>
  <c r="D337" i="3" s="1"/>
  <c r="B336" i="3"/>
  <c r="D336" i="3" s="1"/>
  <c r="B335" i="3"/>
  <c r="D335" i="3" s="1"/>
  <c r="B334" i="3"/>
  <c r="D334" i="3" s="1"/>
  <c r="B333" i="3"/>
  <c r="D333" i="3" s="1"/>
  <c r="B332" i="3"/>
  <c r="D332" i="3" s="1"/>
  <c r="B331" i="3"/>
  <c r="D331" i="3" s="1"/>
  <c r="B330" i="3"/>
  <c r="D330" i="3" s="1"/>
  <c r="B329" i="3"/>
  <c r="D329" i="3" s="1"/>
  <c r="B328" i="3"/>
  <c r="D328" i="3" s="1"/>
  <c r="B327" i="3"/>
  <c r="D327" i="3" s="1"/>
  <c r="B326" i="3"/>
  <c r="D326" i="3" s="1"/>
  <c r="B325" i="3"/>
  <c r="D325" i="3" s="1"/>
  <c r="B324" i="3"/>
  <c r="D324" i="3" s="1"/>
  <c r="B323" i="3"/>
  <c r="D323" i="3" s="1"/>
  <c r="B322" i="3"/>
  <c r="D322" i="3" s="1"/>
  <c r="B321" i="3"/>
  <c r="D321" i="3" s="1"/>
  <c r="B320" i="3"/>
  <c r="D320" i="3" s="1"/>
  <c r="B319" i="3"/>
  <c r="D319" i="3" s="1"/>
  <c r="B318" i="3"/>
  <c r="D318" i="3" s="1"/>
  <c r="B317" i="3"/>
  <c r="D317" i="3" s="1"/>
  <c r="B316" i="3"/>
  <c r="D316" i="3" s="1"/>
  <c r="B315" i="3"/>
  <c r="D315" i="3" s="1"/>
  <c r="B314" i="3"/>
  <c r="D314" i="3" s="1"/>
  <c r="B313" i="3"/>
  <c r="D313" i="3" s="1"/>
  <c r="B312" i="3"/>
  <c r="D312" i="3" s="1"/>
  <c r="B311" i="3"/>
  <c r="D311" i="3" s="1"/>
  <c r="B310" i="3"/>
  <c r="D310" i="3" s="1"/>
  <c r="B309" i="3"/>
  <c r="D309" i="3" s="1"/>
  <c r="B308" i="3"/>
  <c r="D308" i="3" s="1"/>
  <c r="B307" i="3"/>
  <c r="D307" i="3" s="1"/>
  <c r="B306" i="3"/>
  <c r="D306" i="3" s="1"/>
  <c r="B305" i="3"/>
  <c r="D305" i="3" s="1"/>
  <c r="B304" i="3"/>
  <c r="D304" i="3" s="1"/>
  <c r="B303" i="3"/>
  <c r="D303" i="3" s="1"/>
  <c r="B302" i="3"/>
  <c r="D302" i="3" s="1"/>
  <c r="B301" i="3"/>
  <c r="D301" i="3" s="1"/>
  <c r="B300" i="3"/>
  <c r="D300" i="3" s="1"/>
  <c r="B299" i="3"/>
  <c r="D299" i="3" s="1"/>
  <c r="B298" i="3"/>
  <c r="D298" i="3" s="1"/>
  <c r="B297" i="3"/>
  <c r="D297" i="3" s="1"/>
  <c r="B296" i="3"/>
  <c r="D296" i="3" s="1"/>
  <c r="B295" i="3"/>
  <c r="D295" i="3" s="1"/>
  <c r="B294" i="3"/>
  <c r="D294" i="3" s="1"/>
  <c r="B293" i="3"/>
  <c r="D293" i="3" s="1"/>
  <c r="B292" i="3"/>
  <c r="D292" i="3" s="1"/>
  <c r="B291" i="3"/>
  <c r="D291" i="3" s="1"/>
  <c r="B290" i="3"/>
  <c r="D290" i="3" s="1"/>
  <c r="B289" i="3"/>
  <c r="D289" i="3" s="1"/>
  <c r="B288" i="3"/>
  <c r="D288" i="3" s="1"/>
  <c r="B287" i="3"/>
  <c r="D287" i="3" s="1"/>
  <c r="B286" i="3"/>
  <c r="D286" i="3" s="1"/>
  <c r="B285" i="3"/>
  <c r="D285" i="3" s="1"/>
  <c r="B284" i="3"/>
  <c r="D284" i="3" s="1"/>
  <c r="B283" i="3"/>
  <c r="D283" i="3" s="1"/>
  <c r="B282" i="3"/>
  <c r="D282" i="3" s="1"/>
  <c r="B281" i="3"/>
  <c r="D281" i="3" s="1"/>
  <c r="B280" i="3"/>
  <c r="D280" i="3" s="1"/>
  <c r="B279" i="3"/>
  <c r="D279" i="3" s="1"/>
  <c r="B278" i="3"/>
  <c r="D278" i="3" s="1"/>
  <c r="B277" i="3"/>
  <c r="D277" i="3" s="1"/>
  <c r="B276" i="3"/>
  <c r="D276" i="3" s="1"/>
  <c r="B275" i="3"/>
  <c r="D275" i="3" s="1"/>
  <c r="B274" i="3"/>
  <c r="D274" i="3" s="1"/>
  <c r="B273" i="3"/>
  <c r="D273" i="3" s="1"/>
  <c r="B272" i="3"/>
  <c r="D272" i="3" s="1"/>
  <c r="B271" i="3"/>
  <c r="D271" i="3" s="1"/>
  <c r="B270" i="3"/>
  <c r="D270" i="3" s="1"/>
  <c r="B269" i="3"/>
  <c r="D269" i="3" s="1"/>
  <c r="B268" i="3"/>
  <c r="D268" i="3" s="1"/>
  <c r="B267" i="3"/>
  <c r="D267" i="3" s="1"/>
  <c r="B266" i="3"/>
  <c r="D266" i="3" s="1"/>
  <c r="B265" i="3"/>
  <c r="D265" i="3" s="1"/>
  <c r="B264" i="3"/>
  <c r="D264" i="3" s="1"/>
  <c r="B263" i="3"/>
  <c r="D263" i="3" s="1"/>
  <c r="B262" i="3"/>
  <c r="D262" i="3" s="1"/>
  <c r="B261" i="3"/>
  <c r="D261" i="3" s="1"/>
  <c r="B260" i="3"/>
  <c r="D260" i="3" s="1"/>
  <c r="B259" i="3"/>
  <c r="D259" i="3" s="1"/>
  <c r="B258" i="3"/>
  <c r="D258" i="3" s="1"/>
  <c r="B257" i="3"/>
  <c r="D257" i="3" s="1"/>
  <c r="B256" i="3"/>
  <c r="D256" i="3" s="1"/>
  <c r="B255" i="3"/>
  <c r="D255" i="3" s="1"/>
  <c r="B254" i="3"/>
  <c r="D254" i="3" s="1"/>
  <c r="B253" i="3"/>
  <c r="D253" i="3" s="1"/>
  <c r="B252" i="3"/>
  <c r="D252" i="3" s="1"/>
  <c r="B251" i="3"/>
  <c r="D251" i="3" s="1"/>
  <c r="B250" i="3"/>
  <c r="D250" i="3" s="1"/>
  <c r="B249" i="3"/>
  <c r="D249" i="3" s="1"/>
  <c r="B248" i="3"/>
  <c r="D248" i="3" s="1"/>
  <c r="B247" i="3"/>
  <c r="D247" i="3" s="1"/>
  <c r="B246" i="3"/>
  <c r="D246" i="3" s="1"/>
  <c r="B245" i="3"/>
  <c r="D245" i="3" s="1"/>
  <c r="B244" i="3"/>
  <c r="D244" i="3" s="1"/>
  <c r="B243" i="3"/>
  <c r="D243" i="3" s="1"/>
  <c r="B242" i="3"/>
  <c r="D242" i="3" s="1"/>
  <c r="B241" i="3"/>
  <c r="D241" i="3" s="1"/>
  <c r="B240" i="3"/>
  <c r="D240" i="3" s="1"/>
  <c r="B239" i="3"/>
  <c r="D239" i="3" s="1"/>
  <c r="B238" i="3"/>
  <c r="D238" i="3" s="1"/>
  <c r="B237" i="3"/>
  <c r="D237" i="3" s="1"/>
  <c r="B236" i="3"/>
  <c r="D236" i="3" s="1"/>
  <c r="B235" i="3"/>
  <c r="D235" i="3" s="1"/>
  <c r="B234" i="3"/>
  <c r="D234" i="3" s="1"/>
  <c r="B233" i="3"/>
  <c r="D233" i="3" s="1"/>
  <c r="B232" i="3"/>
  <c r="D232" i="3" s="1"/>
  <c r="B231" i="3"/>
  <c r="D231" i="3" s="1"/>
  <c r="B230" i="3"/>
  <c r="D230" i="3" s="1"/>
  <c r="B229" i="3"/>
  <c r="D229" i="3" s="1"/>
  <c r="B228" i="3"/>
  <c r="D228" i="3" s="1"/>
  <c r="B227" i="3"/>
  <c r="D227" i="3" s="1"/>
  <c r="B226" i="3"/>
  <c r="D226" i="3" s="1"/>
  <c r="B225" i="3"/>
  <c r="D225" i="3" s="1"/>
  <c r="B224" i="3"/>
  <c r="D224" i="3" s="1"/>
  <c r="B223" i="3"/>
  <c r="D223" i="3" s="1"/>
  <c r="B222" i="3"/>
  <c r="D222" i="3" s="1"/>
  <c r="B221" i="3"/>
  <c r="D221" i="3" s="1"/>
  <c r="B220" i="3"/>
  <c r="D220" i="3" s="1"/>
  <c r="B219" i="3"/>
  <c r="D219" i="3" s="1"/>
  <c r="B218" i="3"/>
  <c r="D218" i="3" s="1"/>
  <c r="B217" i="3"/>
  <c r="D217" i="3" s="1"/>
  <c r="B216" i="3"/>
  <c r="D216" i="3" s="1"/>
  <c r="B215" i="3"/>
  <c r="D215" i="3" s="1"/>
  <c r="B214" i="3"/>
  <c r="D214" i="3" s="1"/>
  <c r="B213" i="3"/>
  <c r="D213" i="3" s="1"/>
  <c r="B212" i="3"/>
  <c r="D212" i="3" s="1"/>
  <c r="B211" i="3"/>
  <c r="D211" i="3" s="1"/>
  <c r="B210" i="3"/>
  <c r="D210" i="3" s="1"/>
  <c r="B209" i="3"/>
  <c r="D209" i="3" s="1"/>
  <c r="B208" i="3"/>
  <c r="D208" i="3" s="1"/>
  <c r="B207" i="3"/>
  <c r="D207" i="3" s="1"/>
  <c r="B206" i="3"/>
  <c r="D206" i="3" s="1"/>
  <c r="B205" i="3"/>
  <c r="D205" i="3" s="1"/>
  <c r="B204" i="3"/>
  <c r="D204" i="3" s="1"/>
  <c r="B203" i="3"/>
  <c r="D203" i="3" s="1"/>
  <c r="B202" i="3"/>
  <c r="D202" i="3" s="1"/>
  <c r="B201" i="3"/>
  <c r="D201" i="3" s="1"/>
  <c r="B200" i="3"/>
  <c r="D200" i="3" s="1"/>
  <c r="B199" i="3"/>
  <c r="D199" i="3" s="1"/>
  <c r="B198" i="3"/>
  <c r="D198" i="3" s="1"/>
  <c r="B197" i="3"/>
  <c r="D197" i="3" s="1"/>
  <c r="B196" i="3"/>
  <c r="D196" i="3" s="1"/>
  <c r="B195" i="3"/>
  <c r="D195" i="3" s="1"/>
  <c r="B194" i="3"/>
  <c r="D194" i="3" s="1"/>
  <c r="B193" i="3"/>
  <c r="D193" i="3" s="1"/>
  <c r="B192" i="3"/>
  <c r="D192" i="3" s="1"/>
  <c r="B191" i="3"/>
  <c r="D191" i="3" s="1"/>
  <c r="B190" i="3"/>
  <c r="D190" i="3" s="1"/>
  <c r="B189" i="3"/>
  <c r="D189" i="3" s="1"/>
  <c r="B188" i="3"/>
  <c r="D188" i="3" s="1"/>
  <c r="B187" i="3"/>
  <c r="D187" i="3" s="1"/>
  <c r="B186" i="3"/>
  <c r="D186" i="3" s="1"/>
  <c r="B185" i="3"/>
  <c r="D185" i="3" s="1"/>
  <c r="B184" i="3"/>
  <c r="D184" i="3" s="1"/>
  <c r="B183" i="3"/>
  <c r="D183" i="3" s="1"/>
  <c r="B182" i="3"/>
  <c r="D182" i="3" s="1"/>
  <c r="B181" i="3"/>
  <c r="D181" i="3" s="1"/>
  <c r="B180" i="3"/>
  <c r="D180" i="3" s="1"/>
  <c r="B179" i="3"/>
  <c r="D179" i="3" s="1"/>
  <c r="B178" i="3"/>
  <c r="D178" i="3" s="1"/>
  <c r="B177" i="3"/>
  <c r="D177" i="3" s="1"/>
  <c r="B176" i="3"/>
  <c r="D176" i="3" s="1"/>
  <c r="B175" i="3"/>
  <c r="D175" i="3" s="1"/>
  <c r="B174" i="3"/>
  <c r="D174" i="3" s="1"/>
  <c r="B173" i="3"/>
  <c r="D173" i="3" s="1"/>
  <c r="B172" i="3"/>
  <c r="D172" i="3" s="1"/>
  <c r="B171" i="3"/>
  <c r="D171" i="3" s="1"/>
  <c r="B170" i="3"/>
  <c r="D170" i="3" s="1"/>
  <c r="B169" i="3"/>
  <c r="D169" i="3" s="1"/>
  <c r="B168" i="3"/>
  <c r="D168" i="3" s="1"/>
  <c r="B167" i="3"/>
  <c r="D167" i="3" s="1"/>
  <c r="B166" i="3"/>
  <c r="D166" i="3" s="1"/>
  <c r="B165" i="3"/>
  <c r="D165" i="3" s="1"/>
  <c r="B164" i="3"/>
  <c r="D164" i="3" s="1"/>
  <c r="B163" i="3"/>
  <c r="D163" i="3" s="1"/>
  <c r="B162" i="3"/>
  <c r="D162" i="3" s="1"/>
  <c r="B161" i="3"/>
  <c r="D161" i="3" s="1"/>
  <c r="B160" i="3"/>
  <c r="D160" i="3" s="1"/>
  <c r="B159" i="3"/>
  <c r="D159" i="3" s="1"/>
  <c r="B158" i="3"/>
  <c r="D158" i="3" s="1"/>
  <c r="B157" i="3"/>
  <c r="D157" i="3" s="1"/>
  <c r="B156" i="3"/>
  <c r="D156" i="3" s="1"/>
  <c r="B155" i="3"/>
  <c r="D155" i="3" s="1"/>
  <c r="B154" i="3"/>
  <c r="D154" i="3" s="1"/>
  <c r="B153" i="3"/>
  <c r="D153" i="3" s="1"/>
  <c r="B152" i="3"/>
  <c r="D152" i="3" s="1"/>
  <c r="B151" i="3"/>
  <c r="D151" i="3" s="1"/>
  <c r="B150" i="3"/>
  <c r="D150" i="3" s="1"/>
  <c r="B149" i="3"/>
  <c r="D149" i="3" s="1"/>
  <c r="B148" i="3"/>
  <c r="D148" i="3" s="1"/>
  <c r="B147" i="3"/>
  <c r="D147" i="3" s="1"/>
  <c r="B146" i="3"/>
  <c r="D146" i="3" s="1"/>
  <c r="B145" i="3"/>
  <c r="D145" i="3" s="1"/>
  <c r="B144" i="3"/>
  <c r="D144" i="3" s="1"/>
  <c r="B143" i="3"/>
  <c r="D143" i="3" s="1"/>
  <c r="B142" i="3"/>
  <c r="D142" i="3" s="1"/>
  <c r="B141" i="3"/>
  <c r="D141" i="3" s="1"/>
  <c r="B140" i="3"/>
  <c r="D140" i="3" s="1"/>
  <c r="B139" i="3"/>
  <c r="D139" i="3" s="1"/>
  <c r="B138" i="3"/>
  <c r="D138" i="3" s="1"/>
  <c r="B137" i="3"/>
  <c r="D137" i="3" s="1"/>
  <c r="B136" i="3"/>
  <c r="D136" i="3" s="1"/>
  <c r="B135" i="3"/>
  <c r="D135" i="3" s="1"/>
  <c r="B134" i="3"/>
  <c r="D134" i="3" s="1"/>
  <c r="B133" i="3"/>
  <c r="D133" i="3" s="1"/>
  <c r="B132" i="3"/>
  <c r="D132" i="3" s="1"/>
  <c r="B131" i="3"/>
  <c r="D131" i="3" s="1"/>
  <c r="B130" i="3"/>
  <c r="D130" i="3" s="1"/>
  <c r="B129" i="3"/>
  <c r="D129" i="3" s="1"/>
  <c r="B128" i="3"/>
  <c r="D128" i="3" s="1"/>
  <c r="B127" i="3"/>
  <c r="D127" i="3" s="1"/>
  <c r="B126" i="3"/>
  <c r="D126" i="3" s="1"/>
  <c r="B125" i="3"/>
  <c r="D125" i="3" s="1"/>
  <c r="B124" i="3"/>
  <c r="D124" i="3" s="1"/>
  <c r="B123" i="3"/>
  <c r="D123" i="3" s="1"/>
  <c r="B122" i="3"/>
  <c r="D122" i="3" s="1"/>
  <c r="B121" i="3"/>
  <c r="D121" i="3" s="1"/>
  <c r="B120" i="3"/>
  <c r="D120" i="3" s="1"/>
  <c r="B119" i="3"/>
  <c r="D119" i="3" s="1"/>
  <c r="B118" i="3"/>
  <c r="D118" i="3" s="1"/>
  <c r="B117" i="3"/>
  <c r="D117" i="3" s="1"/>
  <c r="B116" i="3"/>
  <c r="D116" i="3" s="1"/>
  <c r="B115" i="3"/>
  <c r="D115" i="3" s="1"/>
  <c r="B114" i="3"/>
  <c r="D114" i="3" s="1"/>
  <c r="B113" i="3"/>
  <c r="D113" i="3" s="1"/>
  <c r="B112" i="3"/>
  <c r="D112" i="3" s="1"/>
  <c r="B111" i="3"/>
  <c r="D111" i="3" s="1"/>
  <c r="B110" i="3"/>
  <c r="D110" i="3" s="1"/>
  <c r="B109" i="3"/>
  <c r="D109" i="3" s="1"/>
  <c r="B108" i="3"/>
  <c r="D108" i="3" s="1"/>
  <c r="B107" i="3"/>
  <c r="D107" i="3" s="1"/>
  <c r="B106" i="3"/>
  <c r="D106" i="3" s="1"/>
  <c r="B105" i="3"/>
  <c r="D105" i="3" s="1"/>
  <c r="B104" i="3"/>
  <c r="D104" i="3" s="1"/>
  <c r="B103" i="3"/>
  <c r="D103" i="3" s="1"/>
  <c r="B102" i="3"/>
  <c r="D102" i="3" s="1"/>
  <c r="B101" i="3"/>
  <c r="D101" i="3" s="1"/>
  <c r="B100" i="3"/>
  <c r="D100" i="3" s="1"/>
  <c r="B99" i="3"/>
  <c r="D99" i="3" s="1"/>
  <c r="B98" i="3"/>
  <c r="D98" i="3" s="1"/>
  <c r="B97" i="3"/>
  <c r="D97" i="3" s="1"/>
  <c r="B96" i="3"/>
  <c r="D96" i="3" s="1"/>
  <c r="B95" i="3"/>
  <c r="D95" i="3" s="1"/>
  <c r="B94" i="3"/>
  <c r="D94" i="3" s="1"/>
  <c r="B93" i="3"/>
  <c r="D93" i="3" s="1"/>
  <c r="B92" i="3"/>
  <c r="D92" i="3" s="1"/>
  <c r="B91" i="3"/>
  <c r="D91" i="3" s="1"/>
  <c r="B90" i="3"/>
  <c r="D90" i="3" s="1"/>
  <c r="B89" i="3"/>
  <c r="D89" i="3" s="1"/>
  <c r="B88" i="3"/>
  <c r="D88" i="3" s="1"/>
  <c r="B87" i="3"/>
  <c r="D87" i="3" s="1"/>
  <c r="B86" i="3"/>
  <c r="D86" i="3" s="1"/>
  <c r="B85" i="3"/>
  <c r="D85" i="3" s="1"/>
  <c r="B84" i="3"/>
  <c r="D84" i="3" s="1"/>
  <c r="B83" i="3"/>
  <c r="D83" i="3" s="1"/>
  <c r="B82" i="3"/>
  <c r="D82" i="3" s="1"/>
  <c r="B81" i="3"/>
  <c r="D81" i="3" s="1"/>
  <c r="B80" i="3"/>
  <c r="D80" i="3" s="1"/>
  <c r="B79" i="3"/>
  <c r="D79" i="3" s="1"/>
  <c r="B78" i="3"/>
  <c r="D78" i="3" s="1"/>
  <c r="B77" i="3"/>
  <c r="D77" i="3" s="1"/>
  <c r="B76" i="3"/>
  <c r="D76" i="3" s="1"/>
  <c r="B75" i="3"/>
  <c r="D75" i="3" s="1"/>
  <c r="B74" i="3"/>
  <c r="D74" i="3" s="1"/>
  <c r="B73" i="3"/>
  <c r="D73" i="3" s="1"/>
  <c r="B72" i="3"/>
  <c r="D72" i="3" s="1"/>
  <c r="B71" i="3"/>
  <c r="D71" i="3" s="1"/>
  <c r="B70" i="3"/>
  <c r="D70" i="3" s="1"/>
  <c r="B69" i="3"/>
  <c r="D69" i="3" s="1"/>
  <c r="B68" i="3"/>
  <c r="D68" i="3" s="1"/>
  <c r="B67" i="3"/>
  <c r="D67" i="3" s="1"/>
  <c r="B66" i="3"/>
  <c r="D66" i="3" s="1"/>
  <c r="B65" i="3"/>
  <c r="D65" i="3" s="1"/>
  <c r="B64" i="3"/>
  <c r="D64" i="3" s="1"/>
  <c r="B63" i="3"/>
  <c r="D63" i="3" s="1"/>
  <c r="B62" i="3"/>
  <c r="D62" i="3" s="1"/>
  <c r="B61" i="3"/>
  <c r="D61" i="3" s="1"/>
  <c r="B60" i="3"/>
  <c r="D60" i="3" s="1"/>
  <c r="B59" i="3"/>
  <c r="D59" i="3" s="1"/>
  <c r="B58" i="3"/>
  <c r="D58" i="3" s="1"/>
  <c r="B57" i="3"/>
  <c r="D57" i="3" s="1"/>
  <c r="B56" i="3"/>
  <c r="D56" i="3" s="1"/>
  <c r="B55" i="3"/>
  <c r="D55" i="3" s="1"/>
  <c r="B54" i="3"/>
  <c r="D54" i="3" s="1"/>
  <c r="B53" i="3"/>
  <c r="D53" i="3" s="1"/>
  <c r="B52" i="3"/>
  <c r="D52" i="3" s="1"/>
  <c r="B51" i="3"/>
  <c r="D51" i="3" s="1"/>
  <c r="B50" i="3"/>
  <c r="D50" i="3" s="1"/>
  <c r="B49" i="3"/>
  <c r="D49" i="3" s="1"/>
  <c r="B48" i="3"/>
  <c r="D48" i="3" s="1"/>
  <c r="B47" i="3"/>
  <c r="D47" i="3" s="1"/>
  <c r="E47" i="3" s="1"/>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G30" i="4" l="1"/>
  <c r="L47" i="3"/>
  <c r="E48" i="3"/>
  <c r="D14" i="3"/>
  <c r="D13" i="3"/>
  <c r="K47" i="3" l="1"/>
  <c r="P47" i="3"/>
  <c r="Q47" i="3" s="1"/>
  <c r="E49" i="3"/>
  <c r="D16" i="3"/>
  <c r="C47" i="3"/>
  <c r="D19" i="3"/>
  <c r="I48" i="3" l="1"/>
  <c r="L48" i="3" s="1"/>
  <c r="P48" i="3" s="1"/>
  <c r="Q48" i="3" s="1"/>
  <c r="E50" i="3"/>
  <c r="C48" i="3"/>
  <c r="C49" i="3" s="1"/>
  <c r="C50" i="3" s="1"/>
  <c r="C51" i="3" s="1"/>
  <c r="C52" i="3" s="1"/>
  <c r="C53" i="3" s="1"/>
  <c r="C54" i="3" s="1"/>
  <c r="C55" i="3" s="1"/>
  <c r="C56" i="3" s="1"/>
  <c r="C57" i="3" s="1"/>
  <c r="C58" i="3" s="1"/>
  <c r="C59" i="3" s="1"/>
  <c r="C60" i="3" s="1"/>
  <c r="C61" i="3" s="1"/>
  <c r="C62" i="3" s="1"/>
  <c r="C63" i="3" s="1"/>
  <c r="C64" i="3" s="1"/>
  <c r="C65" i="3" s="1"/>
  <c r="C66" i="3" s="1"/>
  <c r="C67" i="3" s="1"/>
  <c r="C68" i="3" s="1"/>
  <c r="C69" i="3" s="1"/>
  <c r="C70" i="3" s="1"/>
  <c r="C71" i="3" s="1"/>
  <c r="C72" i="3" s="1"/>
  <c r="C73" i="3" s="1"/>
  <c r="C74" i="3" s="1"/>
  <c r="C75" i="3" s="1"/>
  <c r="C76" i="3" s="1"/>
  <c r="C77" i="3" s="1"/>
  <c r="C78" i="3" s="1"/>
  <c r="C79" i="3" s="1"/>
  <c r="C80" i="3" s="1"/>
  <c r="C81" i="3" s="1"/>
  <c r="C82" i="3" s="1"/>
  <c r="C83" i="3" s="1"/>
  <c r="C84" i="3" s="1"/>
  <c r="C85" i="3" s="1"/>
  <c r="C86" i="3" s="1"/>
  <c r="C87" i="3" s="1"/>
  <c r="C88" i="3" s="1"/>
  <c r="C89" i="3" s="1"/>
  <c r="C90" i="3" s="1"/>
  <c r="C91" i="3" s="1"/>
  <c r="C92" i="3" s="1"/>
  <c r="C93" i="3" s="1"/>
  <c r="C94" i="3" s="1"/>
  <c r="C95" i="3" s="1"/>
  <c r="C96" i="3" s="1"/>
  <c r="C97" i="3" s="1"/>
  <c r="C98" i="3" s="1"/>
  <c r="C99" i="3" s="1"/>
  <c r="C100" i="3" s="1"/>
  <c r="C101" i="3" s="1"/>
  <c r="C102" i="3" s="1"/>
  <c r="C103" i="3" s="1"/>
  <c r="C104" i="3" s="1"/>
  <c r="C105" i="3" s="1"/>
  <c r="C106" i="3" s="1"/>
  <c r="C107" i="3" s="1"/>
  <c r="C108" i="3" s="1"/>
  <c r="C109" i="3" s="1"/>
  <c r="C110" i="3" s="1"/>
  <c r="C111" i="3" s="1"/>
  <c r="C112" i="3" s="1"/>
  <c r="C113" i="3" s="1"/>
  <c r="C114" i="3" s="1"/>
  <c r="C115" i="3" s="1"/>
  <c r="C116" i="3" s="1"/>
  <c r="C117" i="3" s="1"/>
  <c r="C118" i="3" s="1"/>
  <c r="C119" i="3" s="1"/>
  <c r="C120" i="3" s="1"/>
  <c r="C121" i="3" s="1"/>
  <c r="C122" i="3" s="1"/>
  <c r="C123" i="3" s="1"/>
  <c r="C124" i="3" s="1"/>
  <c r="C125" i="3" s="1"/>
  <c r="C126" i="3" s="1"/>
  <c r="C127" i="3" s="1"/>
  <c r="C128" i="3" s="1"/>
  <c r="C129" i="3" s="1"/>
  <c r="C130" i="3" s="1"/>
  <c r="C131" i="3" s="1"/>
  <c r="C132" i="3" s="1"/>
  <c r="C133" i="3" s="1"/>
  <c r="C134" i="3" s="1"/>
  <c r="C135" i="3" s="1"/>
  <c r="C136" i="3" s="1"/>
  <c r="C137" i="3" s="1"/>
  <c r="C138" i="3" s="1"/>
  <c r="C139" i="3" s="1"/>
  <c r="C140" i="3" s="1"/>
  <c r="C141" i="3" s="1"/>
  <c r="C142" i="3" s="1"/>
  <c r="C143" i="3" s="1"/>
  <c r="C144" i="3" s="1"/>
  <c r="C145" i="3" s="1"/>
  <c r="C146" i="3" s="1"/>
  <c r="C147" i="3" s="1"/>
  <c r="C148" i="3" s="1"/>
  <c r="C149" i="3" s="1"/>
  <c r="C150" i="3" s="1"/>
  <c r="C151" i="3" s="1"/>
  <c r="C152" i="3" s="1"/>
  <c r="C153" i="3" s="1"/>
  <c r="C154" i="3" s="1"/>
  <c r="C155" i="3" s="1"/>
  <c r="C156" i="3" s="1"/>
  <c r="C157" i="3" s="1"/>
  <c r="C158" i="3" s="1"/>
  <c r="C159" i="3" s="1"/>
  <c r="C160" i="3" s="1"/>
  <c r="C161" i="3" s="1"/>
  <c r="C162" i="3" s="1"/>
  <c r="C163" i="3" s="1"/>
  <c r="C164" i="3" s="1"/>
  <c r="C165" i="3" s="1"/>
  <c r="C166" i="3" s="1"/>
  <c r="C167" i="3" s="1"/>
  <c r="C168" i="3" s="1"/>
  <c r="C169" i="3" s="1"/>
  <c r="C170" i="3" s="1"/>
  <c r="C171" i="3" s="1"/>
  <c r="C172" i="3" s="1"/>
  <c r="C173" i="3" s="1"/>
  <c r="C174" i="3" s="1"/>
  <c r="C175" i="3" s="1"/>
  <c r="C176" i="3" s="1"/>
  <c r="C177" i="3" s="1"/>
  <c r="C178" i="3" s="1"/>
  <c r="C179" i="3" s="1"/>
  <c r="C180" i="3" s="1"/>
  <c r="C181" i="3" s="1"/>
  <c r="C182" i="3" s="1"/>
  <c r="C183" i="3" s="1"/>
  <c r="C184" i="3" s="1"/>
  <c r="C185" i="3" s="1"/>
  <c r="C186" i="3" s="1"/>
  <c r="C187" i="3" s="1"/>
  <c r="C188" i="3" s="1"/>
  <c r="C189" i="3" s="1"/>
  <c r="C190" i="3" s="1"/>
  <c r="C191" i="3" s="1"/>
  <c r="C192" i="3" s="1"/>
  <c r="C193" i="3" s="1"/>
  <c r="C194" i="3" s="1"/>
  <c r="C195" i="3" s="1"/>
  <c r="C196" i="3" s="1"/>
  <c r="C197" i="3" s="1"/>
  <c r="C198" i="3" s="1"/>
  <c r="C199" i="3" s="1"/>
  <c r="C200" i="3" s="1"/>
  <c r="C201" i="3" s="1"/>
  <c r="C202" i="3" s="1"/>
  <c r="C203" i="3" s="1"/>
  <c r="C204" i="3" s="1"/>
  <c r="C205" i="3" s="1"/>
  <c r="C206" i="3" s="1"/>
  <c r="C207" i="3" s="1"/>
  <c r="C208" i="3" s="1"/>
  <c r="C209" i="3" s="1"/>
  <c r="C210" i="3" s="1"/>
  <c r="C211" i="3" s="1"/>
  <c r="C212" i="3" s="1"/>
  <c r="C213" i="3" s="1"/>
  <c r="C214" i="3" s="1"/>
  <c r="C215" i="3" s="1"/>
  <c r="C216" i="3" s="1"/>
  <c r="C217" i="3" s="1"/>
  <c r="C218" i="3" s="1"/>
  <c r="C219" i="3" s="1"/>
  <c r="C220" i="3" s="1"/>
  <c r="C221" i="3" s="1"/>
  <c r="C222" i="3" s="1"/>
  <c r="C223" i="3" s="1"/>
  <c r="C224" i="3" s="1"/>
  <c r="C225" i="3" s="1"/>
  <c r="C226" i="3" s="1"/>
  <c r="C227" i="3" s="1"/>
  <c r="C228" i="3" s="1"/>
  <c r="C229" i="3" s="1"/>
  <c r="C230" i="3" s="1"/>
  <c r="C231" i="3" s="1"/>
  <c r="C232" i="3" s="1"/>
  <c r="C233" i="3" s="1"/>
  <c r="C234" i="3" s="1"/>
  <c r="C235" i="3" s="1"/>
  <c r="C236" i="3" s="1"/>
  <c r="C237" i="3" s="1"/>
  <c r="C238" i="3" s="1"/>
  <c r="C239" i="3" s="1"/>
  <c r="C240" i="3" s="1"/>
  <c r="C241" i="3" s="1"/>
  <c r="C242" i="3" s="1"/>
  <c r="C243" i="3" s="1"/>
  <c r="C244" i="3" s="1"/>
  <c r="C245" i="3" s="1"/>
  <c r="C246" i="3" s="1"/>
  <c r="C247" i="3" s="1"/>
  <c r="C248" i="3" s="1"/>
  <c r="C249" i="3" s="1"/>
  <c r="C250" i="3" s="1"/>
  <c r="C251" i="3" s="1"/>
  <c r="C252" i="3" s="1"/>
  <c r="C253" i="3" s="1"/>
  <c r="C254" i="3" s="1"/>
  <c r="C255" i="3" s="1"/>
  <c r="C256" i="3" s="1"/>
  <c r="C257" i="3" s="1"/>
  <c r="C258" i="3" s="1"/>
  <c r="C259" i="3" s="1"/>
  <c r="C260" i="3" s="1"/>
  <c r="C261" i="3" s="1"/>
  <c r="C262" i="3" s="1"/>
  <c r="C263" i="3" s="1"/>
  <c r="C264" i="3" s="1"/>
  <c r="C265" i="3" s="1"/>
  <c r="C266" i="3" s="1"/>
  <c r="C267" i="3" s="1"/>
  <c r="C268" i="3" s="1"/>
  <c r="C269" i="3" s="1"/>
  <c r="C270" i="3" s="1"/>
  <c r="C271" i="3" s="1"/>
  <c r="C272" i="3" s="1"/>
  <c r="C273" i="3" s="1"/>
  <c r="C274" i="3" s="1"/>
  <c r="C275" i="3" s="1"/>
  <c r="C276" i="3" s="1"/>
  <c r="C277" i="3" s="1"/>
  <c r="C278" i="3" s="1"/>
  <c r="C279" i="3" s="1"/>
  <c r="C280" i="3" s="1"/>
  <c r="C281" i="3" s="1"/>
  <c r="C282" i="3" s="1"/>
  <c r="C283" i="3" s="1"/>
  <c r="C284" i="3" s="1"/>
  <c r="C285" i="3" s="1"/>
  <c r="C286" i="3" s="1"/>
  <c r="C287" i="3" s="1"/>
  <c r="C288" i="3" s="1"/>
  <c r="C289" i="3" s="1"/>
  <c r="C290" i="3" s="1"/>
  <c r="C291" i="3" s="1"/>
  <c r="C292" i="3" s="1"/>
  <c r="C293" i="3" s="1"/>
  <c r="C294" i="3" s="1"/>
  <c r="C295" i="3" s="1"/>
  <c r="C296" i="3" s="1"/>
  <c r="C297" i="3" s="1"/>
  <c r="C298" i="3" s="1"/>
  <c r="C299" i="3" s="1"/>
  <c r="C300" i="3" s="1"/>
  <c r="C301" i="3" s="1"/>
  <c r="C302" i="3" s="1"/>
  <c r="C303" i="3" s="1"/>
  <c r="C304" i="3" s="1"/>
  <c r="C305" i="3" s="1"/>
  <c r="C306" i="3" s="1"/>
  <c r="C307" i="3" s="1"/>
  <c r="C308" i="3" s="1"/>
  <c r="C309" i="3" s="1"/>
  <c r="C310" i="3" s="1"/>
  <c r="C311" i="3" s="1"/>
  <c r="C312" i="3" s="1"/>
  <c r="C313" i="3" s="1"/>
  <c r="C314" i="3" s="1"/>
  <c r="C315" i="3" s="1"/>
  <c r="C316" i="3" s="1"/>
  <c r="C317" i="3" s="1"/>
  <c r="C318" i="3" s="1"/>
  <c r="C319" i="3" s="1"/>
  <c r="C320" i="3" s="1"/>
  <c r="C321" i="3" s="1"/>
  <c r="C322" i="3" s="1"/>
  <c r="C323" i="3" s="1"/>
  <c r="C324" i="3" s="1"/>
  <c r="C325" i="3" s="1"/>
  <c r="C326" i="3" s="1"/>
  <c r="C327" i="3" s="1"/>
  <c r="C328" i="3" s="1"/>
  <c r="C329" i="3" s="1"/>
  <c r="C330" i="3" s="1"/>
  <c r="C331" i="3" s="1"/>
  <c r="C332" i="3" s="1"/>
  <c r="C333" i="3" s="1"/>
  <c r="C334" i="3" s="1"/>
  <c r="C335" i="3" s="1"/>
  <c r="C336" i="3" s="1"/>
  <c r="C337" i="3" s="1"/>
  <c r="C338" i="3" s="1"/>
  <c r="C339" i="3" s="1"/>
  <c r="C340" i="3" s="1"/>
  <c r="C341" i="3" s="1"/>
  <c r="C342" i="3" s="1"/>
  <c r="C343" i="3" s="1"/>
  <c r="C344" i="3" s="1"/>
  <c r="C345" i="3" s="1"/>
  <c r="C346" i="3" s="1"/>
  <c r="C347" i="3" s="1"/>
  <c r="C348" i="3" s="1"/>
  <c r="C349" i="3" s="1"/>
  <c r="C350" i="3" s="1"/>
  <c r="C351" i="3" s="1"/>
  <c r="C352" i="3" s="1"/>
  <c r="C353" i="3" s="1"/>
  <c r="C354" i="3" s="1"/>
  <c r="C355" i="3" s="1"/>
  <c r="C356" i="3" s="1"/>
  <c r="C357" i="3" s="1"/>
  <c r="C358" i="3" s="1"/>
  <c r="C359" i="3" s="1"/>
  <c r="C360" i="3" s="1"/>
  <c r="C361" i="3" s="1"/>
  <c r="C362" i="3" s="1"/>
  <c r="C363" i="3" s="1"/>
  <c r="C364" i="3" s="1"/>
  <c r="C365" i="3" s="1"/>
  <c r="C366" i="3" s="1"/>
  <c r="C367" i="3" s="1"/>
  <c r="C368" i="3" s="1"/>
  <c r="C369" i="3" s="1"/>
  <c r="C370" i="3" s="1"/>
  <c r="C371" i="3" s="1"/>
  <c r="C372" i="3" s="1"/>
  <c r="C373" i="3" s="1"/>
  <c r="C374" i="3" s="1"/>
  <c r="C375" i="3" s="1"/>
  <c r="C376" i="3" s="1"/>
  <c r="C377" i="3" s="1"/>
  <c r="C378" i="3" s="1"/>
  <c r="C379" i="3" s="1"/>
  <c r="C380" i="3" s="1"/>
  <c r="C381" i="3" s="1"/>
  <c r="C382" i="3" s="1"/>
  <c r="C383" i="3" s="1"/>
  <c r="C384" i="3" s="1"/>
  <c r="C385" i="3" s="1"/>
  <c r="C386" i="3" s="1"/>
  <c r="C387" i="3" s="1"/>
  <c r="C388" i="3" s="1"/>
  <c r="C389" i="3" s="1"/>
  <c r="C390" i="3" s="1"/>
  <c r="C391" i="3" s="1"/>
  <c r="C392" i="3" s="1"/>
  <c r="C393" i="3" s="1"/>
  <c r="C394" i="3" s="1"/>
  <c r="C395" i="3" s="1"/>
  <c r="C396" i="3" s="1"/>
  <c r="C397" i="3" s="1"/>
  <c r="C398" i="3" s="1"/>
  <c r="C399" i="3" s="1"/>
  <c r="C400" i="3" s="1"/>
  <c r="C401" i="3" s="1"/>
  <c r="C402" i="3" s="1"/>
  <c r="C403" i="3" s="1"/>
  <c r="C404" i="3" s="1"/>
  <c r="C405" i="3" s="1"/>
  <c r="C406" i="3" s="1"/>
  <c r="C407" i="3" s="1"/>
  <c r="C408" i="3" s="1"/>
  <c r="C409" i="3" s="1"/>
  <c r="C410" i="3" s="1"/>
  <c r="C411" i="3" s="1"/>
  <c r="C412" i="3" s="1"/>
  <c r="C413" i="3" s="1"/>
  <c r="C414" i="3" s="1"/>
  <c r="C415" i="3" s="1"/>
  <c r="C416" i="3" s="1"/>
  <c r="C417" i="3" s="1"/>
  <c r="C418" i="3" s="1"/>
  <c r="C419" i="3" s="1"/>
  <c r="C420" i="3" s="1"/>
  <c r="C421" i="3" s="1"/>
  <c r="C422" i="3" s="1"/>
  <c r="C423" i="3" s="1"/>
  <c r="C424" i="3" s="1"/>
  <c r="C425" i="3" s="1"/>
  <c r="C426" i="3" s="1"/>
  <c r="C427" i="3" s="1"/>
  <c r="C428" i="3" s="1"/>
  <c r="C429" i="3" s="1"/>
  <c r="C430" i="3" s="1"/>
  <c r="C431" i="3" s="1"/>
  <c r="C432" i="3" s="1"/>
  <c r="C433" i="3" s="1"/>
  <c r="C434" i="3" s="1"/>
  <c r="C435" i="3" s="1"/>
  <c r="C436" i="3" s="1"/>
  <c r="C437" i="3" s="1"/>
  <c r="C438" i="3" s="1"/>
  <c r="C439" i="3" s="1"/>
  <c r="C440" i="3" s="1"/>
  <c r="C441" i="3" s="1"/>
  <c r="C442" i="3" s="1"/>
  <c r="C443" i="3" s="1"/>
  <c r="C444" i="3" s="1"/>
  <c r="C445" i="3" s="1"/>
  <c r="C446" i="3" s="1"/>
  <c r="C447" i="3" s="1"/>
  <c r="C448" i="3" s="1"/>
  <c r="C449" i="3" s="1"/>
  <c r="C450" i="3" s="1"/>
  <c r="C451" i="3" s="1"/>
  <c r="C452" i="3" s="1"/>
  <c r="C453" i="3" s="1"/>
  <c r="C454" i="3" s="1"/>
  <c r="C455" i="3" s="1"/>
  <c r="C456" i="3" s="1"/>
  <c r="C457" i="3" s="1"/>
  <c r="C458" i="3" s="1"/>
  <c r="C459" i="3" s="1"/>
  <c r="C460" i="3" s="1"/>
  <c r="C461" i="3" s="1"/>
  <c r="C462" i="3" s="1"/>
  <c r="C463" i="3" s="1"/>
  <c r="C464" i="3" s="1"/>
  <c r="C465" i="3" s="1"/>
  <c r="C466" i="3" s="1"/>
  <c r="C467" i="3" s="1"/>
  <c r="C468" i="3" s="1"/>
  <c r="C469" i="3" s="1"/>
  <c r="C470" i="3" s="1"/>
  <c r="C471" i="3" s="1"/>
  <c r="C472" i="3" s="1"/>
  <c r="C473" i="3" s="1"/>
  <c r="C474" i="3" s="1"/>
  <c r="C475" i="3" s="1"/>
  <c r="C476" i="3" s="1"/>
  <c r="C477" i="3" s="1"/>
  <c r="C478" i="3" s="1"/>
  <c r="C479" i="3" s="1"/>
  <c r="C480" i="3" s="1"/>
  <c r="C481" i="3" s="1"/>
  <c r="C482" i="3" s="1"/>
  <c r="C483" i="3" s="1"/>
  <c r="C484" i="3" s="1"/>
  <c r="C485" i="3" s="1"/>
  <c r="C486" i="3" s="1"/>
  <c r="C487" i="3" s="1"/>
  <c r="C488" i="3" s="1"/>
  <c r="C489" i="3" s="1"/>
  <c r="C490" i="3" s="1"/>
  <c r="C491" i="3" s="1"/>
  <c r="C492" i="3" s="1"/>
  <c r="C493" i="3" s="1"/>
  <c r="C494" i="3" s="1"/>
  <c r="C495" i="3" s="1"/>
  <c r="C496" i="3" s="1"/>
  <c r="C497" i="3" s="1"/>
  <c r="C498" i="3" s="1"/>
  <c r="C499" i="3" s="1"/>
  <c r="C500" i="3" s="1"/>
  <c r="C501" i="3" s="1"/>
  <c r="C502" i="3" s="1"/>
  <c r="C503" i="3" s="1"/>
  <c r="C504" i="3" s="1"/>
  <c r="C505" i="3" s="1"/>
  <c r="C506" i="3" s="1"/>
  <c r="C507" i="3" s="1"/>
  <c r="C508" i="3" s="1"/>
  <c r="C509" i="3" s="1"/>
  <c r="C510" i="3" s="1"/>
  <c r="C511" i="3" s="1"/>
  <c r="C512" i="3" s="1"/>
  <c r="C513" i="3" s="1"/>
  <c r="C514" i="3" s="1"/>
  <c r="C515" i="3" s="1"/>
  <c r="C516" i="3" s="1"/>
  <c r="C517" i="3" s="1"/>
  <c r="C518" i="3" s="1"/>
  <c r="C519" i="3" s="1"/>
  <c r="C520" i="3" s="1"/>
  <c r="C521" i="3" s="1"/>
  <c r="C522" i="3" s="1"/>
  <c r="C523" i="3" s="1"/>
  <c r="C524" i="3" s="1"/>
  <c r="C525" i="3" s="1"/>
  <c r="C526" i="3" s="1"/>
  <c r="C527" i="3" s="1"/>
  <c r="C528" i="3" s="1"/>
  <c r="C529" i="3" s="1"/>
  <c r="C530" i="3" s="1"/>
  <c r="C531" i="3" s="1"/>
  <c r="C532" i="3" s="1"/>
  <c r="C533" i="3" s="1"/>
  <c r="C534" i="3" s="1"/>
  <c r="C535" i="3" s="1"/>
  <c r="C536" i="3" s="1"/>
  <c r="C537" i="3" s="1"/>
  <c r="C538" i="3" s="1"/>
  <c r="C539" i="3" s="1"/>
  <c r="C540" i="3" s="1"/>
  <c r="C541" i="3" s="1"/>
  <c r="C542" i="3" s="1"/>
  <c r="C543" i="3" s="1"/>
  <c r="C544" i="3" s="1"/>
  <c r="C545" i="3" s="1"/>
  <c r="C546" i="3" s="1"/>
  <c r="D24" i="3"/>
  <c r="D27" i="3" s="1"/>
  <c r="D21" i="3"/>
  <c r="I49" i="3" l="1"/>
  <c r="L49" i="3" s="1"/>
  <c r="K48" i="3"/>
  <c r="E51" i="3"/>
  <c r="K49" i="3" l="1"/>
  <c r="P49" i="3"/>
  <c r="Q49" i="3" s="1"/>
  <c r="E52" i="3"/>
  <c r="I50" i="3" l="1"/>
  <c r="L50" i="3" s="1"/>
  <c r="E53" i="3"/>
  <c r="E54" i="3" l="1"/>
  <c r="K50" i="3" l="1"/>
  <c r="P50" i="3"/>
  <c r="Q50" i="3" s="1"/>
  <c r="E55" i="3"/>
  <c r="I51" i="3" l="1"/>
  <c r="L51" i="3" s="1"/>
  <c r="E56" i="3"/>
  <c r="E57" i="3" l="1"/>
  <c r="K51" i="3" l="1"/>
  <c r="P51" i="3"/>
  <c r="Q51" i="3" s="1"/>
  <c r="E58" i="3"/>
  <c r="I52" i="3" l="1"/>
  <c r="L52" i="3" s="1"/>
  <c r="E59" i="3"/>
  <c r="E60" i="3" l="1"/>
  <c r="K52" i="3" l="1"/>
  <c r="P52" i="3"/>
  <c r="Q52" i="3" s="1"/>
  <c r="E61" i="3"/>
  <c r="I53" i="3" l="1"/>
  <c r="L53" i="3" s="1"/>
  <c r="E62" i="3"/>
  <c r="E63" i="3" l="1"/>
  <c r="K53" i="3" l="1"/>
  <c r="P53" i="3"/>
  <c r="Q53" i="3" s="1"/>
  <c r="E64" i="3"/>
  <c r="I54" i="3" l="1"/>
  <c r="L54" i="3" s="1"/>
  <c r="E65" i="3"/>
  <c r="E66" i="3" l="1"/>
  <c r="K54" i="3" l="1"/>
  <c r="P54" i="3"/>
  <c r="Q54" i="3" s="1"/>
  <c r="E67" i="3"/>
  <c r="I55" i="3" l="1"/>
  <c r="L55" i="3" s="1"/>
  <c r="E68" i="3"/>
  <c r="E69" i="3" l="1"/>
  <c r="K55" i="3" l="1"/>
  <c r="P55" i="3"/>
  <c r="Q55" i="3" s="1"/>
  <c r="E70" i="3"/>
  <c r="I56" i="3" l="1"/>
  <c r="L56" i="3" s="1"/>
  <c r="E71" i="3"/>
  <c r="E72" i="3" l="1"/>
  <c r="K56" i="3" l="1"/>
  <c r="P56" i="3"/>
  <c r="Q56" i="3" s="1"/>
  <c r="E73" i="3"/>
  <c r="I57" i="3" l="1"/>
  <c r="L57" i="3" s="1"/>
  <c r="E74" i="3"/>
  <c r="K57" i="3" l="1"/>
  <c r="E75" i="3"/>
  <c r="P57" i="3" l="1"/>
  <c r="Q57" i="3" s="1"/>
  <c r="E76" i="3"/>
  <c r="I58" i="3" l="1"/>
  <c r="L58" i="3" s="1"/>
  <c r="E77" i="3"/>
  <c r="E78" i="3" l="1"/>
  <c r="K58" i="3" l="1"/>
  <c r="P58" i="3"/>
  <c r="Q58" i="3" s="1"/>
  <c r="E79" i="3"/>
  <c r="I59" i="3" l="1"/>
  <c r="L59" i="3" s="1"/>
  <c r="G48" i="3"/>
  <c r="E80" i="3"/>
  <c r="H48" i="3" l="1"/>
  <c r="F48" i="3"/>
  <c r="E81" i="3"/>
  <c r="K59" i="3" l="1"/>
  <c r="P59" i="3"/>
  <c r="Q59" i="3" s="1"/>
  <c r="J48" i="3"/>
  <c r="E82" i="3"/>
  <c r="I60" i="3" l="1"/>
  <c r="L60" i="3" s="1"/>
  <c r="G49" i="3"/>
  <c r="E83" i="3"/>
  <c r="H49" i="3" l="1"/>
  <c r="F49" i="3"/>
  <c r="E84" i="3"/>
  <c r="J49" i="3" l="1"/>
  <c r="K60" i="3"/>
  <c r="P60" i="3"/>
  <c r="Q60" i="3" s="1"/>
  <c r="E85" i="3"/>
  <c r="I61" i="3" l="1"/>
  <c r="L61" i="3" s="1"/>
  <c r="G50" i="3"/>
  <c r="E86" i="3"/>
  <c r="H50" i="3" l="1"/>
  <c r="F50" i="3"/>
  <c r="E87" i="3"/>
  <c r="K61" i="3" l="1"/>
  <c r="P61" i="3"/>
  <c r="Q61" i="3" s="1"/>
  <c r="J50" i="3"/>
  <c r="E88" i="3"/>
  <c r="I62" i="3" l="1"/>
  <c r="L62" i="3" s="1"/>
  <c r="G51" i="3"/>
  <c r="E89" i="3"/>
  <c r="H51" i="3" l="1"/>
  <c r="F51" i="3"/>
  <c r="E90" i="3"/>
  <c r="J51" i="3" l="1"/>
  <c r="K62" i="3"/>
  <c r="P62" i="3"/>
  <c r="Q62" i="3" s="1"/>
  <c r="E91" i="3"/>
  <c r="I63" i="3" l="1"/>
  <c r="L63" i="3" s="1"/>
  <c r="G52" i="3"/>
  <c r="E92" i="3"/>
  <c r="H52" i="3" l="1"/>
  <c r="F52" i="3"/>
  <c r="E93" i="3"/>
  <c r="K63" i="3" l="1"/>
  <c r="P63" i="3"/>
  <c r="Q63" i="3" s="1"/>
  <c r="J52" i="3"/>
  <c r="E94" i="3"/>
  <c r="I64" i="3" l="1"/>
  <c r="L64" i="3" s="1"/>
  <c r="G53" i="3"/>
  <c r="E95" i="3"/>
  <c r="H53" i="3" l="1"/>
  <c r="F53" i="3"/>
  <c r="E96" i="3"/>
  <c r="K64" i="3" l="1"/>
  <c r="P64" i="3"/>
  <c r="Q64" i="3" s="1"/>
  <c r="J53" i="3"/>
  <c r="E97" i="3"/>
  <c r="I65" i="3" l="1"/>
  <c r="L65" i="3" s="1"/>
  <c r="G54" i="3"/>
  <c r="E98" i="3"/>
  <c r="H54" i="3" l="1"/>
  <c r="F54" i="3"/>
  <c r="E99" i="3"/>
  <c r="J54" i="3" l="1"/>
  <c r="K65" i="3"/>
  <c r="P65" i="3"/>
  <c r="Q65" i="3" s="1"/>
  <c r="E100" i="3"/>
  <c r="I66" i="3" l="1"/>
  <c r="L66" i="3" s="1"/>
  <c r="G55" i="3"/>
  <c r="E101" i="3"/>
  <c r="H55" i="3" l="1"/>
  <c r="F55" i="3"/>
  <c r="E102" i="3"/>
  <c r="K66" i="3" l="1"/>
  <c r="P66" i="3"/>
  <c r="Q66" i="3" s="1"/>
  <c r="J55" i="3"/>
  <c r="E103" i="3"/>
  <c r="I67" i="3" l="1"/>
  <c r="L67" i="3" s="1"/>
  <c r="G56" i="3"/>
  <c r="E104" i="3"/>
  <c r="H56" i="3" l="1"/>
  <c r="F56" i="3"/>
  <c r="E105" i="3"/>
  <c r="K67" i="3" l="1"/>
  <c r="P67" i="3"/>
  <c r="Q67" i="3" s="1"/>
  <c r="J56" i="3"/>
  <c r="E106" i="3"/>
  <c r="I68" i="3" l="1"/>
  <c r="L68" i="3" s="1"/>
  <c r="G57" i="3"/>
  <c r="E107" i="3"/>
  <c r="H57" i="3" l="1"/>
  <c r="F57" i="3"/>
  <c r="E108" i="3"/>
  <c r="J57" i="3" l="1"/>
  <c r="K68" i="3"/>
  <c r="P68" i="3"/>
  <c r="Q68" i="3" s="1"/>
  <c r="E109" i="3"/>
  <c r="I69" i="3" l="1"/>
  <c r="L69" i="3" s="1"/>
  <c r="G58" i="3"/>
  <c r="E110" i="3"/>
  <c r="H58" i="3" l="1"/>
  <c r="F58" i="3"/>
  <c r="E111" i="3"/>
  <c r="J58" i="3" l="1"/>
  <c r="K69" i="3"/>
  <c r="P69" i="3"/>
  <c r="Q69" i="3" s="1"/>
  <c r="E112" i="3"/>
  <c r="I70" i="3" l="1"/>
  <c r="L70" i="3" s="1"/>
  <c r="G59" i="3"/>
  <c r="E113" i="3"/>
  <c r="H59" i="3" l="1"/>
  <c r="F59" i="3"/>
  <c r="E114" i="3"/>
  <c r="J59" i="3" l="1"/>
  <c r="K70" i="3"/>
  <c r="P70" i="3"/>
  <c r="Q70" i="3" s="1"/>
  <c r="E115" i="3"/>
  <c r="I71" i="3" l="1"/>
  <c r="L71" i="3" s="1"/>
  <c r="G60" i="3"/>
  <c r="E116" i="3"/>
  <c r="H60" i="3" l="1"/>
  <c r="F60" i="3"/>
  <c r="E117" i="3"/>
  <c r="J60" i="3" l="1"/>
  <c r="K71" i="3"/>
  <c r="P71" i="3"/>
  <c r="Q71" i="3" s="1"/>
  <c r="E118" i="3"/>
  <c r="I72" i="3" l="1"/>
  <c r="L72" i="3" s="1"/>
  <c r="G61" i="3"/>
  <c r="E119" i="3"/>
  <c r="H61" i="3" l="1"/>
  <c r="F61" i="3"/>
  <c r="E120" i="3"/>
  <c r="J61" i="3" l="1"/>
  <c r="K72" i="3"/>
  <c r="P72" i="3"/>
  <c r="Q72" i="3" s="1"/>
  <c r="E121" i="3"/>
  <c r="I73" i="3" l="1"/>
  <c r="L73" i="3" s="1"/>
  <c r="G62" i="3"/>
  <c r="E122" i="3"/>
  <c r="H62" i="3" l="1"/>
  <c r="F62" i="3"/>
  <c r="E123" i="3"/>
  <c r="K73" i="3" l="1"/>
  <c r="P73" i="3"/>
  <c r="Q73" i="3" s="1"/>
  <c r="J62" i="3"/>
  <c r="E124" i="3"/>
  <c r="I74" i="3" l="1"/>
  <c r="L74" i="3" s="1"/>
  <c r="G63" i="3"/>
  <c r="E125" i="3"/>
  <c r="H63" i="3" l="1"/>
  <c r="F63" i="3"/>
  <c r="E126" i="3"/>
  <c r="J63" i="3" l="1"/>
  <c r="K74" i="3"/>
  <c r="P74" i="3"/>
  <c r="Q74" i="3" s="1"/>
  <c r="E127" i="3"/>
  <c r="I75" i="3" l="1"/>
  <c r="L75" i="3" s="1"/>
  <c r="G64" i="3"/>
  <c r="E128" i="3"/>
  <c r="H64" i="3" l="1"/>
  <c r="F64" i="3"/>
  <c r="E129" i="3"/>
  <c r="K75" i="3" l="1"/>
  <c r="P75" i="3"/>
  <c r="Q75" i="3" s="1"/>
  <c r="J64" i="3"/>
  <c r="E130" i="3"/>
  <c r="I76" i="3" l="1"/>
  <c r="L76" i="3" s="1"/>
  <c r="G65" i="3"/>
  <c r="E131" i="3"/>
  <c r="H65" i="3" l="1"/>
  <c r="F65" i="3"/>
  <c r="E132" i="3"/>
  <c r="J65" i="3" l="1"/>
  <c r="K76" i="3"/>
  <c r="P76" i="3"/>
  <c r="Q76" i="3" s="1"/>
  <c r="E133" i="3"/>
  <c r="I77" i="3" l="1"/>
  <c r="L77" i="3" s="1"/>
  <c r="G66" i="3"/>
  <c r="E134" i="3"/>
  <c r="H66" i="3" l="1"/>
  <c r="F66" i="3"/>
  <c r="E135" i="3"/>
  <c r="J66" i="3" l="1"/>
  <c r="K77" i="3"/>
  <c r="P77" i="3"/>
  <c r="Q77" i="3" s="1"/>
  <c r="E136" i="3"/>
  <c r="I78" i="3" l="1"/>
  <c r="L78" i="3" s="1"/>
  <c r="G67" i="3"/>
  <c r="E137" i="3"/>
  <c r="H67" i="3" l="1"/>
  <c r="F67" i="3"/>
  <c r="E138" i="3"/>
  <c r="J67" i="3" l="1"/>
  <c r="K78" i="3"/>
  <c r="P78" i="3"/>
  <c r="Q78" i="3" s="1"/>
  <c r="E139" i="3"/>
  <c r="I79" i="3" l="1"/>
  <c r="L79" i="3" s="1"/>
  <c r="G68" i="3"/>
  <c r="E140" i="3"/>
  <c r="H68" i="3" l="1"/>
  <c r="F68" i="3"/>
  <c r="E141" i="3"/>
  <c r="K79" i="3" l="1"/>
  <c r="P79" i="3"/>
  <c r="Q79" i="3" s="1"/>
  <c r="J68" i="3"/>
  <c r="E142" i="3"/>
  <c r="I80" i="3" l="1"/>
  <c r="L80" i="3" s="1"/>
  <c r="G69" i="3"/>
  <c r="E143" i="3"/>
  <c r="H69" i="3" l="1"/>
  <c r="F69" i="3"/>
  <c r="E144" i="3"/>
  <c r="K80" i="3" l="1"/>
  <c r="P80" i="3"/>
  <c r="Q80" i="3" s="1"/>
  <c r="J69" i="3"/>
  <c r="E145" i="3"/>
  <c r="I81" i="3" l="1"/>
  <c r="L81" i="3" s="1"/>
  <c r="G70" i="3"/>
  <c r="E146" i="3"/>
  <c r="H70" i="3" l="1"/>
  <c r="F70" i="3"/>
  <c r="E147" i="3"/>
  <c r="J70" i="3" l="1"/>
  <c r="K81" i="3"/>
  <c r="P81" i="3"/>
  <c r="Q81" i="3" s="1"/>
  <c r="E148" i="3"/>
  <c r="I82" i="3" l="1"/>
  <c r="L82" i="3" s="1"/>
  <c r="G71" i="3"/>
  <c r="E149" i="3"/>
  <c r="H71" i="3" l="1"/>
  <c r="F71" i="3"/>
  <c r="E150" i="3"/>
  <c r="J71" i="3" l="1"/>
  <c r="K82" i="3"/>
  <c r="P82" i="3"/>
  <c r="Q82" i="3" s="1"/>
  <c r="E151" i="3"/>
  <c r="I83" i="3" l="1"/>
  <c r="L83" i="3" s="1"/>
  <c r="G72" i="3"/>
  <c r="E152" i="3"/>
  <c r="H72" i="3" l="1"/>
  <c r="F72" i="3"/>
  <c r="E153" i="3"/>
  <c r="J72" i="3" l="1"/>
  <c r="K83" i="3"/>
  <c r="P83" i="3"/>
  <c r="Q83" i="3" s="1"/>
  <c r="E154" i="3"/>
  <c r="I84" i="3" l="1"/>
  <c r="L84" i="3" s="1"/>
  <c r="G73" i="3"/>
  <c r="E155" i="3"/>
  <c r="H73" i="3" l="1"/>
  <c r="F73" i="3"/>
  <c r="E156" i="3"/>
  <c r="J73" i="3" l="1"/>
  <c r="K84" i="3"/>
  <c r="P84" i="3"/>
  <c r="Q84" i="3" s="1"/>
  <c r="E157" i="3"/>
  <c r="I85" i="3" l="1"/>
  <c r="L85" i="3" s="1"/>
  <c r="G74" i="3"/>
  <c r="E158" i="3"/>
  <c r="H74" i="3" l="1"/>
  <c r="F74" i="3"/>
  <c r="E159" i="3"/>
  <c r="J74" i="3" l="1"/>
  <c r="K85" i="3"/>
  <c r="P85" i="3"/>
  <c r="Q85" i="3" s="1"/>
  <c r="E160" i="3"/>
  <c r="I86" i="3" l="1"/>
  <c r="L86" i="3" s="1"/>
  <c r="G75" i="3"/>
  <c r="E161" i="3"/>
  <c r="H75" i="3" l="1"/>
  <c r="F75" i="3"/>
  <c r="E162" i="3"/>
  <c r="K86" i="3" l="1"/>
  <c r="P86" i="3"/>
  <c r="Q86" i="3" s="1"/>
  <c r="J75" i="3"/>
  <c r="E163" i="3"/>
  <c r="I87" i="3" l="1"/>
  <c r="L87" i="3" s="1"/>
  <c r="G76" i="3"/>
  <c r="E164" i="3"/>
  <c r="H76" i="3" l="1"/>
  <c r="F76" i="3"/>
  <c r="E165" i="3"/>
  <c r="K87" i="3" l="1"/>
  <c r="P87" i="3"/>
  <c r="Q87" i="3" s="1"/>
  <c r="J76" i="3"/>
  <c r="E166" i="3"/>
  <c r="I88" i="3" l="1"/>
  <c r="L88" i="3" s="1"/>
  <c r="G77" i="3"/>
  <c r="E167" i="3"/>
  <c r="H77" i="3" l="1"/>
  <c r="F77" i="3"/>
  <c r="E168" i="3"/>
  <c r="K88" i="3" l="1"/>
  <c r="P88" i="3"/>
  <c r="Q88" i="3" s="1"/>
  <c r="J77" i="3"/>
  <c r="E169" i="3"/>
  <c r="I89" i="3" l="1"/>
  <c r="L89" i="3" s="1"/>
  <c r="G78" i="3"/>
  <c r="E170" i="3"/>
  <c r="H78" i="3" l="1"/>
  <c r="F78" i="3"/>
  <c r="E171" i="3"/>
  <c r="J78" i="3" l="1"/>
  <c r="K89" i="3"/>
  <c r="P89" i="3"/>
  <c r="Q89" i="3" s="1"/>
  <c r="E172" i="3"/>
  <c r="I90" i="3" l="1"/>
  <c r="L90" i="3" s="1"/>
  <c r="G79" i="3"/>
  <c r="E173" i="3"/>
  <c r="H79" i="3" l="1"/>
  <c r="F79" i="3"/>
  <c r="E174" i="3"/>
  <c r="J79" i="3" l="1"/>
  <c r="K90" i="3"/>
  <c r="P90" i="3"/>
  <c r="Q90" i="3" s="1"/>
  <c r="E175" i="3"/>
  <c r="I91" i="3" l="1"/>
  <c r="L91" i="3" s="1"/>
  <c r="G80" i="3"/>
  <c r="E176" i="3"/>
  <c r="H80" i="3" l="1"/>
  <c r="F80" i="3"/>
  <c r="E177" i="3"/>
  <c r="J80" i="3" l="1"/>
  <c r="K91" i="3"/>
  <c r="P91" i="3"/>
  <c r="Q91" i="3" s="1"/>
  <c r="E178" i="3"/>
  <c r="I92" i="3" l="1"/>
  <c r="L92" i="3" s="1"/>
  <c r="G81" i="3"/>
  <c r="E179" i="3"/>
  <c r="H81" i="3" l="1"/>
  <c r="F81" i="3"/>
  <c r="E180" i="3"/>
  <c r="J81" i="3" l="1"/>
  <c r="K92" i="3"/>
  <c r="P92" i="3"/>
  <c r="Q92" i="3" s="1"/>
  <c r="E181" i="3"/>
  <c r="I93" i="3" l="1"/>
  <c r="L93" i="3" s="1"/>
  <c r="G82" i="3"/>
  <c r="E182" i="3"/>
  <c r="H82" i="3" l="1"/>
  <c r="F82" i="3"/>
  <c r="E183" i="3"/>
  <c r="J82" i="3" l="1"/>
  <c r="K93" i="3"/>
  <c r="P93" i="3"/>
  <c r="Q93" i="3" s="1"/>
  <c r="E184" i="3"/>
  <c r="I94" i="3" l="1"/>
  <c r="L94" i="3" s="1"/>
  <c r="G83" i="3"/>
  <c r="E185" i="3"/>
  <c r="H83" i="3" l="1"/>
  <c r="F83" i="3"/>
  <c r="E186" i="3"/>
  <c r="J83" i="3" l="1"/>
  <c r="K94" i="3"/>
  <c r="P94" i="3"/>
  <c r="Q94" i="3" s="1"/>
  <c r="E187" i="3"/>
  <c r="I95" i="3" l="1"/>
  <c r="L95" i="3" s="1"/>
  <c r="G84" i="3"/>
  <c r="E188" i="3"/>
  <c r="H84" i="3" l="1"/>
  <c r="F84" i="3"/>
  <c r="E189" i="3"/>
  <c r="J84" i="3" l="1"/>
  <c r="K95" i="3"/>
  <c r="P95" i="3"/>
  <c r="Q95" i="3" s="1"/>
  <c r="E190" i="3"/>
  <c r="I96" i="3" l="1"/>
  <c r="L96" i="3" s="1"/>
  <c r="G85" i="3"/>
  <c r="E191" i="3"/>
  <c r="H85" i="3" l="1"/>
  <c r="F85" i="3"/>
  <c r="E192" i="3"/>
  <c r="K96" i="3" l="1"/>
  <c r="P96" i="3"/>
  <c r="Q96" i="3" s="1"/>
  <c r="J85" i="3"/>
  <c r="E193" i="3"/>
  <c r="I97" i="3" l="1"/>
  <c r="L97" i="3" s="1"/>
  <c r="G86" i="3"/>
  <c r="E194" i="3"/>
  <c r="H86" i="3" l="1"/>
  <c r="F86" i="3"/>
  <c r="E195" i="3"/>
  <c r="K97" i="3" l="1"/>
  <c r="P97" i="3"/>
  <c r="Q97" i="3" s="1"/>
  <c r="J86" i="3"/>
  <c r="E196" i="3"/>
  <c r="I98" i="3" l="1"/>
  <c r="L98" i="3" s="1"/>
  <c r="G87" i="3"/>
  <c r="E197" i="3"/>
  <c r="H87" i="3" l="1"/>
  <c r="F87" i="3"/>
  <c r="E198" i="3"/>
  <c r="K98" i="3" l="1"/>
  <c r="P98" i="3"/>
  <c r="Q98" i="3" s="1"/>
  <c r="J87" i="3"/>
  <c r="E199" i="3"/>
  <c r="I99" i="3" l="1"/>
  <c r="L99" i="3" s="1"/>
  <c r="G88" i="3"/>
  <c r="E200" i="3"/>
  <c r="H88" i="3" l="1"/>
  <c r="F88" i="3"/>
  <c r="E201" i="3"/>
  <c r="J88" i="3" l="1"/>
  <c r="K99" i="3"/>
  <c r="P99" i="3"/>
  <c r="Q99" i="3" s="1"/>
  <c r="E202" i="3"/>
  <c r="I100" i="3" l="1"/>
  <c r="L100" i="3" s="1"/>
  <c r="G89" i="3"/>
  <c r="E203" i="3"/>
  <c r="H89" i="3" l="1"/>
  <c r="F89" i="3"/>
  <c r="E204" i="3"/>
  <c r="J89" i="3" l="1"/>
  <c r="K100" i="3"/>
  <c r="P100" i="3"/>
  <c r="Q100" i="3" s="1"/>
  <c r="E205" i="3"/>
  <c r="I101" i="3" l="1"/>
  <c r="L101" i="3" s="1"/>
  <c r="G90" i="3"/>
  <c r="E206" i="3"/>
  <c r="H90" i="3" l="1"/>
  <c r="F90" i="3"/>
  <c r="E207" i="3"/>
  <c r="K101" i="3" l="1"/>
  <c r="P101" i="3"/>
  <c r="Q101" i="3" s="1"/>
  <c r="J90" i="3"/>
  <c r="E208" i="3"/>
  <c r="I102" i="3" l="1"/>
  <c r="L102" i="3" s="1"/>
  <c r="G91" i="3"/>
  <c r="E209" i="3"/>
  <c r="H91" i="3" l="1"/>
  <c r="F91" i="3"/>
  <c r="E210" i="3"/>
  <c r="K102" i="3" l="1"/>
  <c r="P102" i="3"/>
  <c r="Q102" i="3" s="1"/>
  <c r="J91" i="3"/>
  <c r="E211" i="3"/>
  <c r="I103" i="3" l="1"/>
  <c r="L103" i="3" s="1"/>
  <c r="G92" i="3"/>
  <c r="E212" i="3"/>
  <c r="H92" i="3" l="1"/>
  <c r="F92" i="3"/>
  <c r="E213" i="3"/>
  <c r="K103" i="3" l="1"/>
  <c r="P103" i="3"/>
  <c r="Q103" i="3" s="1"/>
  <c r="J92" i="3"/>
  <c r="E214" i="3"/>
  <c r="I104" i="3" l="1"/>
  <c r="L104" i="3" s="1"/>
  <c r="G93" i="3"/>
  <c r="E215" i="3"/>
  <c r="H93" i="3" l="1"/>
  <c r="F93" i="3"/>
  <c r="E216" i="3"/>
  <c r="K104" i="3" l="1"/>
  <c r="P104" i="3"/>
  <c r="Q104" i="3" s="1"/>
  <c r="J93" i="3"/>
  <c r="E217" i="3"/>
  <c r="I105" i="3" l="1"/>
  <c r="L105" i="3" s="1"/>
  <c r="G94" i="3"/>
  <c r="E218" i="3"/>
  <c r="H94" i="3" l="1"/>
  <c r="F94" i="3"/>
  <c r="E219" i="3"/>
  <c r="K105" i="3" l="1"/>
  <c r="P105" i="3"/>
  <c r="Q105" i="3" s="1"/>
  <c r="J94" i="3"/>
  <c r="E220" i="3"/>
  <c r="I106" i="3" l="1"/>
  <c r="L106" i="3" s="1"/>
  <c r="G95" i="3"/>
  <c r="E221" i="3"/>
  <c r="H95" i="3" l="1"/>
  <c r="F95" i="3"/>
  <c r="E222" i="3"/>
  <c r="K106" i="3" l="1"/>
  <c r="P106" i="3"/>
  <c r="Q106" i="3" s="1"/>
  <c r="J95" i="3"/>
  <c r="E223" i="3"/>
  <c r="I107" i="3" l="1"/>
  <c r="L107" i="3" s="1"/>
  <c r="G96" i="3"/>
  <c r="E224" i="3"/>
  <c r="H96" i="3" l="1"/>
  <c r="F96" i="3"/>
  <c r="E225" i="3"/>
  <c r="K107" i="3" l="1"/>
  <c r="P107" i="3"/>
  <c r="Q107" i="3" s="1"/>
  <c r="J96" i="3"/>
  <c r="E226" i="3"/>
  <c r="I108" i="3" l="1"/>
  <c r="L108" i="3" s="1"/>
  <c r="G97" i="3"/>
  <c r="E227" i="3"/>
  <c r="H97" i="3" l="1"/>
  <c r="F97" i="3"/>
  <c r="E228" i="3"/>
  <c r="J97" i="3" l="1"/>
  <c r="K108" i="3"/>
  <c r="P108" i="3"/>
  <c r="Q108" i="3" s="1"/>
  <c r="E229" i="3"/>
  <c r="I109" i="3" l="1"/>
  <c r="L109" i="3" s="1"/>
  <c r="G98" i="3"/>
  <c r="E230" i="3"/>
  <c r="H98" i="3" l="1"/>
  <c r="F98" i="3"/>
  <c r="E231" i="3"/>
  <c r="J98" i="3" l="1"/>
  <c r="K109" i="3"/>
  <c r="P109" i="3"/>
  <c r="Q109" i="3" s="1"/>
  <c r="E232" i="3"/>
  <c r="I110" i="3" l="1"/>
  <c r="L110" i="3" s="1"/>
  <c r="G99" i="3"/>
  <c r="E233" i="3"/>
  <c r="H99" i="3" l="1"/>
  <c r="F99" i="3"/>
  <c r="E234" i="3"/>
  <c r="J99" i="3" l="1"/>
  <c r="K110" i="3"/>
  <c r="P110" i="3"/>
  <c r="Q110" i="3" s="1"/>
  <c r="E235" i="3"/>
  <c r="I111" i="3" l="1"/>
  <c r="L111" i="3" s="1"/>
  <c r="G100" i="3"/>
  <c r="E236" i="3"/>
  <c r="H100" i="3" l="1"/>
  <c r="F100" i="3"/>
  <c r="E237" i="3"/>
  <c r="K111" i="3" l="1"/>
  <c r="P111" i="3"/>
  <c r="Q111" i="3" s="1"/>
  <c r="J100" i="3"/>
  <c r="E238" i="3"/>
  <c r="I112" i="3" l="1"/>
  <c r="L112" i="3" s="1"/>
  <c r="G101" i="3"/>
  <c r="E239" i="3"/>
  <c r="H101" i="3" l="1"/>
  <c r="F101" i="3"/>
  <c r="E240" i="3"/>
  <c r="K112" i="3" l="1"/>
  <c r="P112" i="3"/>
  <c r="Q112" i="3" s="1"/>
  <c r="J101" i="3"/>
  <c r="E241" i="3"/>
  <c r="I113" i="3" l="1"/>
  <c r="L113" i="3" s="1"/>
  <c r="G102" i="3"/>
  <c r="E242" i="3"/>
  <c r="H102" i="3" l="1"/>
  <c r="F102" i="3"/>
  <c r="E243" i="3"/>
  <c r="K113" i="3" l="1"/>
  <c r="P113" i="3"/>
  <c r="Q113" i="3" s="1"/>
  <c r="J102" i="3"/>
  <c r="E244" i="3"/>
  <c r="I114" i="3" l="1"/>
  <c r="L114" i="3" s="1"/>
  <c r="G103" i="3"/>
  <c r="E245" i="3"/>
  <c r="H103" i="3" l="1"/>
  <c r="F103" i="3"/>
  <c r="E246" i="3"/>
  <c r="J103" i="3" l="1"/>
  <c r="K114" i="3"/>
  <c r="P114" i="3"/>
  <c r="Q114" i="3" s="1"/>
  <c r="E247" i="3"/>
  <c r="I115" i="3" l="1"/>
  <c r="L115" i="3" s="1"/>
  <c r="G104" i="3"/>
  <c r="E248" i="3"/>
  <c r="H104" i="3" l="1"/>
  <c r="F104" i="3"/>
  <c r="E249" i="3"/>
  <c r="J104" i="3" l="1"/>
  <c r="K115" i="3"/>
  <c r="P115" i="3"/>
  <c r="Q115" i="3" s="1"/>
  <c r="E250" i="3"/>
  <c r="I116" i="3" l="1"/>
  <c r="L116" i="3" s="1"/>
  <c r="G105" i="3"/>
  <c r="E251" i="3"/>
  <c r="H105" i="3" l="1"/>
  <c r="F105" i="3"/>
  <c r="E252" i="3"/>
  <c r="J105" i="3" l="1"/>
  <c r="K116" i="3"/>
  <c r="P116" i="3"/>
  <c r="Q116" i="3" s="1"/>
  <c r="E253" i="3"/>
  <c r="I117" i="3" l="1"/>
  <c r="L117" i="3" s="1"/>
  <c r="G106" i="3"/>
  <c r="E254" i="3"/>
  <c r="H106" i="3" l="1"/>
  <c r="F106" i="3"/>
  <c r="E255" i="3"/>
  <c r="J106" i="3" l="1"/>
  <c r="K117" i="3"/>
  <c r="P117" i="3"/>
  <c r="Q117" i="3" s="1"/>
  <c r="E256" i="3"/>
  <c r="I118" i="3" l="1"/>
  <c r="L118" i="3" s="1"/>
  <c r="G107" i="3"/>
  <c r="E257" i="3"/>
  <c r="H107" i="3" l="1"/>
  <c r="F107" i="3"/>
  <c r="E258" i="3"/>
  <c r="J107" i="3" l="1"/>
  <c r="K118" i="3"/>
  <c r="P118" i="3"/>
  <c r="Q118" i="3" s="1"/>
  <c r="E259" i="3"/>
  <c r="I119" i="3" l="1"/>
  <c r="L119" i="3" s="1"/>
  <c r="G108" i="3"/>
  <c r="E260" i="3"/>
  <c r="H108" i="3" l="1"/>
  <c r="F108" i="3"/>
  <c r="E261" i="3"/>
  <c r="J108" i="3" l="1"/>
  <c r="K119" i="3"/>
  <c r="P119" i="3"/>
  <c r="Q119" i="3" s="1"/>
  <c r="E262" i="3"/>
  <c r="I120" i="3" l="1"/>
  <c r="L120" i="3" s="1"/>
  <c r="G109" i="3"/>
  <c r="E263" i="3"/>
  <c r="H109" i="3" l="1"/>
  <c r="F109" i="3"/>
  <c r="E264" i="3"/>
  <c r="J109" i="3" l="1"/>
  <c r="K120" i="3"/>
  <c r="P120" i="3"/>
  <c r="Q120" i="3" s="1"/>
  <c r="E265" i="3"/>
  <c r="I121" i="3" l="1"/>
  <c r="L121" i="3" s="1"/>
  <c r="G110" i="3"/>
  <c r="E266" i="3"/>
  <c r="H110" i="3" l="1"/>
  <c r="F110" i="3"/>
  <c r="E267" i="3"/>
  <c r="J110" i="3" l="1"/>
  <c r="K121" i="3"/>
  <c r="P121" i="3"/>
  <c r="Q121" i="3" s="1"/>
  <c r="E268" i="3"/>
  <c r="I122" i="3" l="1"/>
  <c r="L122" i="3" s="1"/>
  <c r="G111" i="3"/>
  <c r="E269" i="3"/>
  <c r="H111" i="3" l="1"/>
  <c r="F111" i="3"/>
  <c r="E270" i="3"/>
  <c r="J111" i="3" l="1"/>
  <c r="K122" i="3"/>
  <c r="P122" i="3"/>
  <c r="Q122" i="3" s="1"/>
  <c r="E271" i="3"/>
  <c r="I123" i="3" l="1"/>
  <c r="L123" i="3" s="1"/>
  <c r="G112" i="3"/>
  <c r="E272" i="3"/>
  <c r="H112" i="3" l="1"/>
  <c r="F112" i="3"/>
  <c r="E273" i="3"/>
  <c r="J112" i="3" l="1"/>
  <c r="K123" i="3"/>
  <c r="P123" i="3"/>
  <c r="Q123" i="3" s="1"/>
  <c r="E274" i="3"/>
  <c r="I124" i="3" l="1"/>
  <c r="L124" i="3" s="1"/>
  <c r="G113" i="3"/>
  <c r="E275" i="3"/>
  <c r="H113" i="3" l="1"/>
  <c r="F113" i="3"/>
  <c r="E276" i="3"/>
  <c r="J113" i="3" l="1"/>
  <c r="K124" i="3"/>
  <c r="P124" i="3"/>
  <c r="Q124" i="3" s="1"/>
  <c r="E277" i="3"/>
  <c r="I125" i="3" l="1"/>
  <c r="L125" i="3" s="1"/>
  <c r="G114" i="3"/>
  <c r="E278" i="3"/>
  <c r="H114" i="3" l="1"/>
  <c r="F114" i="3"/>
  <c r="E279" i="3"/>
  <c r="J114" i="3" l="1"/>
  <c r="K125" i="3"/>
  <c r="P125" i="3"/>
  <c r="Q125" i="3" s="1"/>
  <c r="E280" i="3"/>
  <c r="I126" i="3" l="1"/>
  <c r="L126" i="3" s="1"/>
  <c r="G115" i="3"/>
  <c r="E281" i="3"/>
  <c r="H115" i="3" l="1"/>
  <c r="F115" i="3"/>
  <c r="E282" i="3"/>
  <c r="J115" i="3" l="1"/>
  <c r="K126" i="3"/>
  <c r="P126" i="3"/>
  <c r="Q126" i="3" s="1"/>
  <c r="E283" i="3"/>
  <c r="I127" i="3" l="1"/>
  <c r="L127" i="3" s="1"/>
  <c r="G116" i="3"/>
  <c r="E284" i="3"/>
  <c r="H116" i="3" l="1"/>
  <c r="F116" i="3"/>
  <c r="E285" i="3"/>
  <c r="J116" i="3" l="1"/>
  <c r="K127" i="3"/>
  <c r="P127" i="3"/>
  <c r="Q127" i="3" s="1"/>
  <c r="E286" i="3"/>
  <c r="I128" i="3" l="1"/>
  <c r="L128" i="3" s="1"/>
  <c r="G117" i="3"/>
  <c r="E287" i="3"/>
  <c r="H117" i="3" l="1"/>
  <c r="F117" i="3"/>
  <c r="E288" i="3"/>
  <c r="J117" i="3" l="1"/>
  <c r="K128" i="3"/>
  <c r="P128" i="3"/>
  <c r="Q128" i="3" s="1"/>
  <c r="E289" i="3"/>
  <c r="I129" i="3" l="1"/>
  <c r="L129" i="3" s="1"/>
  <c r="G118" i="3"/>
  <c r="E290" i="3"/>
  <c r="H118" i="3" l="1"/>
  <c r="F118" i="3"/>
  <c r="E291" i="3"/>
  <c r="J118" i="3" l="1"/>
  <c r="K129" i="3"/>
  <c r="P129" i="3"/>
  <c r="Q129" i="3" s="1"/>
  <c r="E292" i="3"/>
  <c r="I130" i="3" l="1"/>
  <c r="L130" i="3" s="1"/>
  <c r="G119" i="3"/>
  <c r="E293" i="3"/>
  <c r="H119" i="3" l="1"/>
  <c r="F119" i="3"/>
  <c r="E294" i="3"/>
  <c r="J119" i="3" l="1"/>
  <c r="K130" i="3"/>
  <c r="P130" i="3"/>
  <c r="Q130" i="3" s="1"/>
  <c r="E295" i="3"/>
  <c r="I131" i="3" l="1"/>
  <c r="L131" i="3" s="1"/>
  <c r="G120" i="3"/>
  <c r="E296" i="3"/>
  <c r="H120" i="3" l="1"/>
  <c r="F120" i="3"/>
  <c r="E297" i="3"/>
  <c r="J120" i="3" l="1"/>
  <c r="K131" i="3"/>
  <c r="P131" i="3"/>
  <c r="Q131" i="3" s="1"/>
  <c r="E298" i="3"/>
  <c r="I132" i="3" l="1"/>
  <c r="L132" i="3" s="1"/>
  <c r="G121" i="3"/>
  <c r="E299" i="3"/>
  <c r="H121" i="3" l="1"/>
  <c r="F121" i="3"/>
  <c r="E300" i="3"/>
  <c r="J121" i="3" l="1"/>
  <c r="K132" i="3"/>
  <c r="P132" i="3"/>
  <c r="Q132" i="3" s="1"/>
  <c r="E301" i="3"/>
  <c r="I133" i="3" l="1"/>
  <c r="L133" i="3" s="1"/>
  <c r="G122" i="3"/>
  <c r="E302" i="3"/>
  <c r="H122" i="3" l="1"/>
  <c r="F122" i="3"/>
  <c r="E303" i="3"/>
  <c r="J122" i="3" l="1"/>
  <c r="K133" i="3"/>
  <c r="P133" i="3"/>
  <c r="Q133" i="3" s="1"/>
  <c r="E304" i="3"/>
  <c r="I134" i="3" l="1"/>
  <c r="L134" i="3" s="1"/>
  <c r="G123" i="3"/>
  <c r="E305" i="3"/>
  <c r="H123" i="3" l="1"/>
  <c r="F123" i="3"/>
  <c r="E306" i="3"/>
  <c r="J123" i="3" l="1"/>
  <c r="K134" i="3"/>
  <c r="P134" i="3"/>
  <c r="Q134" i="3" s="1"/>
  <c r="E307" i="3"/>
  <c r="I135" i="3" l="1"/>
  <c r="L135" i="3" s="1"/>
  <c r="G124" i="3"/>
  <c r="E308" i="3"/>
  <c r="H124" i="3" l="1"/>
  <c r="F124" i="3"/>
  <c r="E309" i="3"/>
  <c r="J124" i="3" l="1"/>
  <c r="K135" i="3"/>
  <c r="P135" i="3"/>
  <c r="Q135" i="3" s="1"/>
  <c r="E310" i="3"/>
  <c r="I136" i="3" l="1"/>
  <c r="L136" i="3" s="1"/>
  <c r="G125" i="3"/>
  <c r="E311" i="3"/>
  <c r="H125" i="3" l="1"/>
  <c r="F125" i="3"/>
  <c r="E312" i="3"/>
  <c r="J125" i="3" l="1"/>
  <c r="K136" i="3"/>
  <c r="P136" i="3"/>
  <c r="Q136" i="3" s="1"/>
  <c r="E313" i="3"/>
  <c r="I137" i="3" l="1"/>
  <c r="L137" i="3" s="1"/>
  <c r="G126" i="3"/>
  <c r="E314" i="3"/>
  <c r="H126" i="3" l="1"/>
  <c r="F126" i="3"/>
  <c r="E315" i="3"/>
  <c r="J126" i="3" l="1"/>
  <c r="K137" i="3"/>
  <c r="P137" i="3"/>
  <c r="Q137" i="3" s="1"/>
  <c r="E316" i="3"/>
  <c r="I138" i="3" l="1"/>
  <c r="L138" i="3" s="1"/>
  <c r="G127" i="3"/>
  <c r="E317" i="3"/>
  <c r="H127" i="3" l="1"/>
  <c r="F127" i="3"/>
  <c r="E318" i="3"/>
  <c r="J127" i="3" l="1"/>
  <c r="K138" i="3"/>
  <c r="P138" i="3"/>
  <c r="Q138" i="3" s="1"/>
  <c r="E319" i="3"/>
  <c r="I139" i="3" l="1"/>
  <c r="L139" i="3" s="1"/>
  <c r="G128" i="3"/>
  <c r="E320" i="3"/>
  <c r="H128" i="3" l="1"/>
  <c r="F128" i="3"/>
  <c r="E321" i="3"/>
  <c r="J128" i="3" l="1"/>
  <c r="K139" i="3"/>
  <c r="P139" i="3"/>
  <c r="Q139" i="3" s="1"/>
  <c r="E322" i="3"/>
  <c r="I140" i="3" l="1"/>
  <c r="L140" i="3" s="1"/>
  <c r="G129" i="3"/>
  <c r="E323" i="3"/>
  <c r="H129" i="3" l="1"/>
  <c r="F129" i="3"/>
  <c r="E324" i="3"/>
  <c r="J129" i="3" l="1"/>
  <c r="K140" i="3"/>
  <c r="P140" i="3"/>
  <c r="Q140" i="3" s="1"/>
  <c r="E325" i="3"/>
  <c r="I141" i="3" l="1"/>
  <c r="L141" i="3" s="1"/>
  <c r="G130" i="3"/>
  <c r="E326" i="3"/>
  <c r="H130" i="3" l="1"/>
  <c r="F130" i="3"/>
  <c r="E327" i="3"/>
  <c r="J130" i="3" l="1"/>
  <c r="K141" i="3"/>
  <c r="P141" i="3"/>
  <c r="Q141" i="3" s="1"/>
  <c r="E328" i="3"/>
  <c r="I142" i="3" l="1"/>
  <c r="L142" i="3" s="1"/>
  <c r="G131" i="3"/>
  <c r="E329" i="3"/>
  <c r="H131" i="3" l="1"/>
  <c r="F131" i="3"/>
  <c r="E330" i="3"/>
  <c r="J131" i="3" l="1"/>
  <c r="K142" i="3"/>
  <c r="P142" i="3"/>
  <c r="Q142" i="3" s="1"/>
  <c r="E331" i="3"/>
  <c r="I143" i="3" l="1"/>
  <c r="L143" i="3" s="1"/>
  <c r="G132" i="3"/>
  <c r="E332" i="3"/>
  <c r="H132" i="3" l="1"/>
  <c r="F132" i="3"/>
  <c r="E333" i="3"/>
  <c r="J132" i="3" l="1"/>
  <c r="K143" i="3"/>
  <c r="P143" i="3"/>
  <c r="Q143" i="3" s="1"/>
  <c r="E334" i="3"/>
  <c r="I144" i="3" l="1"/>
  <c r="L144" i="3" s="1"/>
  <c r="G133" i="3"/>
  <c r="E335" i="3"/>
  <c r="H133" i="3" l="1"/>
  <c r="F133" i="3"/>
  <c r="E336" i="3"/>
  <c r="J133" i="3" l="1"/>
  <c r="K144" i="3"/>
  <c r="P144" i="3"/>
  <c r="Q144" i="3" s="1"/>
  <c r="E337" i="3"/>
  <c r="I145" i="3" l="1"/>
  <c r="L145" i="3" s="1"/>
  <c r="G134" i="3"/>
  <c r="E338" i="3"/>
  <c r="H134" i="3" l="1"/>
  <c r="F134" i="3"/>
  <c r="E339" i="3"/>
  <c r="J134" i="3" l="1"/>
  <c r="K145" i="3"/>
  <c r="P145" i="3"/>
  <c r="Q145" i="3" s="1"/>
  <c r="E340" i="3"/>
  <c r="I146" i="3" l="1"/>
  <c r="L146" i="3" s="1"/>
  <c r="G135" i="3"/>
  <c r="E341" i="3"/>
  <c r="H135" i="3" l="1"/>
  <c r="F135" i="3"/>
  <c r="E342" i="3"/>
  <c r="J135" i="3" l="1"/>
  <c r="K146" i="3"/>
  <c r="P146" i="3"/>
  <c r="Q146" i="3" s="1"/>
  <c r="E343" i="3"/>
  <c r="I147" i="3" l="1"/>
  <c r="L147" i="3" s="1"/>
  <c r="G136" i="3"/>
  <c r="E344" i="3"/>
  <c r="H136" i="3" l="1"/>
  <c r="F136" i="3"/>
  <c r="E345" i="3"/>
  <c r="J136" i="3" l="1"/>
  <c r="K147" i="3"/>
  <c r="P147" i="3"/>
  <c r="Q147" i="3" s="1"/>
  <c r="E346" i="3"/>
  <c r="I148" i="3" l="1"/>
  <c r="L148" i="3" s="1"/>
  <c r="G137" i="3"/>
  <c r="E347" i="3"/>
  <c r="H137" i="3" l="1"/>
  <c r="F137" i="3"/>
  <c r="E348" i="3"/>
  <c r="J137" i="3" l="1"/>
  <c r="K148" i="3"/>
  <c r="P148" i="3"/>
  <c r="Q148" i="3" s="1"/>
  <c r="E349" i="3"/>
  <c r="I149" i="3" l="1"/>
  <c r="L149" i="3" s="1"/>
  <c r="G138" i="3"/>
  <c r="E350" i="3"/>
  <c r="H138" i="3" l="1"/>
  <c r="F138" i="3"/>
  <c r="E351" i="3"/>
  <c r="J138" i="3" l="1"/>
  <c r="K149" i="3"/>
  <c r="P149" i="3"/>
  <c r="Q149" i="3" s="1"/>
  <c r="E352" i="3"/>
  <c r="I150" i="3" l="1"/>
  <c r="L150" i="3" s="1"/>
  <c r="G139" i="3"/>
  <c r="E353" i="3"/>
  <c r="H139" i="3" l="1"/>
  <c r="F139" i="3"/>
  <c r="E354" i="3"/>
  <c r="J139" i="3" l="1"/>
  <c r="K150" i="3"/>
  <c r="P150" i="3"/>
  <c r="Q150" i="3" s="1"/>
  <c r="E355" i="3"/>
  <c r="I151" i="3" l="1"/>
  <c r="L151" i="3" s="1"/>
  <c r="G140" i="3"/>
  <c r="E356" i="3"/>
  <c r="H140" i="3" l="1"/>
  <c r="F140" i="3"/>
  <c r="E357" i="3"/>
  <c r="J140" i="3" l="1"/>
  <c r="K151" i="3"/>
  <c r="P151" i="3"/>
  <c r="Q151" i="3" s="1"/>
  <c r="E358" i="3"/>
  <c r="I152" i="3" l="1"/>
  <c r="L152" i="3" s="1"/>
  <c r="G141" i="3"/>
  <c r="E359" i="3"/>
  <c r="H141" i="3" l="1"/>
  <c r="F141" i="3"/>
  <c r="E360" i="3"/>
  <c r="J141" i="3" l="1"/>
  <c r="K152" i="3"/>
  <c r="P152" i="3"/>
  <c r="Q152" i="3" s="1"/>
  <c r="E361" i="3"/>
  <c r="I153" i="3" l="1"/>
  <c r="L153" i="3" s="1"/>
  <c r="G142" i="3"/>
  <c r="E362" i="3"/>
  <c r="H142" i="3" l="1"/>
  <c r="F142" i="3"/>
  <c r="E363" i="3"/>
  <c r="J142" i="3" l="1"/>
  <c r="K153" i="3"/>
  <c r="P153" i="3"/>
  <c r="Q153" i="3" s="1"/>
  <c r="E364" i="3"/>
  <c r="I154" i="3" l="1"/>
  <c r="L154" i="3" s="1"/>
  <c r="G143" i="3"/>
  <c r="E365" i="3"/>
  <c r="H143" i="3" l="1"/>
  <c r="F143" i="3"/>
  <c r="E366" i="3"/>
  <c r="J143" i="3" l="1"/>
  <c r="K154" i="3"/>
  <c r="P154" i="3"/>
  <c r="Q154" i="3" s="1"/>
  <c r="E367" i="3"/>
  <c r="I155" i="3" l="1"/>
  <c r="L155" i="3" s="1"/>
  <c r="G144" i="3"/>
  <c r="E368" i="3"/>
  <c r="H144" i="3" l="1"/>
  <c r="F144" i="3"/>
  <c r="E369" i="3"/>
  <c r="J144" i="3" l="1"/>
  <c r="K155" i="3"/>
  <c r="P155" i="3"/>
  <c r="Q155" i="3" s="1"/>
  <c r="E370" i="3"/>
  <c r="I156" i="3" l="1"/>
  <c r="L156" i="3" s="1"/>
  <c r="G145" i="3"/>
  <c r="E371" i="3"/>
  <c r="H145" i="3" l="1"/>
  <c r="F145" i="3"/>
  <c r="E372" i="3"/>
  <c r="J145" i="3" l="1"/>
  <c r="K156" i="3"/>
  <c r="P156" i="3"/>
  <c r="Q156" i="3" s="1"/>
  <c r="E373" i="3"/>
  <c r="I157" i="3" l="1"/>
  <c r="L157" i="3" s="1"/>
  <c r="G146" i="3"/>
  <c r="E374" i="3"/>
  <c r="H146" i="3" l="1"/>
  <c r="F146" i="3"/>
  <c r="E375" i="3"/>
  <c r="J146" i="3" l="1"/>
  <c r="K157" i="3"/>
  <c r="P157" i="3"/>
  <c r="Q157" i="3" s="1"/>
  <c r="E376" i="3"/>
  <c r="I158" i="3" l="1"/>
  <c r="L158" i="3" s="1"/>
  <c r="G147" i="3"/>
  <c r="E377" i="3"/>
  <c r="H147" i="3" l="1"/>
  <c r="F147" i="3"/>
  <c r="E378" i="3"/>
  <c r="J147" i="3" l="1"/>
  <c r="K158" i="3"/>
  <c r="P158" i="3"/>
  <c r="Q158" i="3" s="1"/>
  <c r="E379" i="3"/>
  <c r="I159" i="3" l="1"/>
  <c r="L159" i="3" s="1"/>
  <c r="G148" i="3"/>
  <c r="E380" i="3"/>
  <c r="H148" i="3" l="1"/>
  <c r="F148" i="3"/>
  <c r="E381" i="3"/>
  <c r="J148" i="3" l="1"/>
  <c r="K159" i="3"/>
  <c r="P159" i="3"/>
  <c r="Q159" i="3" s="1"/>
  <c r="E382" i="3"/>
  <c r="I160" i="3" l="1"/>
  <c r="L160" i="3" s="1"/>
  <c r="G149" i="3"/>
  <c r="E383" i="3"/>
  <c r="H149" i="3" l="1"/>
  <c r="F149" i="3"/>
  <c r="E384" i="3"/>
  <c r="J149" i="3" l="1"/>
  <c r="K160" i="3"/>
  <c r="P160" i="3"/>
  <c r="Q160" i="3" s="1"/>
  <c r="E385" i="3"/>
  <c r="G150" i="3" l="1"/>
  <c r="I161" i="3"/>
  <c r="L161" i="3" s="1"/>
  <c r="E386" i="3"/>
  <c r="H150" i="3" l="1"/>
  <c r="F150" i="3"/>
  <c r="E387" i="3"/>
  <c r="J150" i="3" l="1"/>
  <c r="K161" i="3"/>
  <c r="P161" i="3"/>
  <c r="Q161" i="3" s="1"/>
  <c r="E388" i="3"/>
  <c r="I162" i="3" l="1"/>
  <c r="L162" i="3" s="1"/>
  <c r="G151" i="3"/>
  <c r="E389" i="3"/>
  <c r="H151" i="3" l="1"/>
  <c r="F151" i="3"/>
  <c r="E390" i="3"/>
  <c r="J151" i="3" l="1"/>
  <c r="K162" i="3"/>
  <c r="P162" i="3"/>
  <c r="Q162" i="3" s="1"/>
  <c r="E391" i="3"/>
  <c r="I163" i="3" l="1"/>
  <c r="L163" i="3" s="1"/>
  <c r="G152" i="3"/>
  <c r="E392" i="3"/>
  <c r="H152" i="3" l="1"/>
  <c r="F152" i="3"/>
  <c r="E393" i="3"/>
  <c r="J152" i="3" l="1"/>
  <c r="K163" i="3"/>
  <c r="P163" i="3"/>
  <c r="Q163" i="3" s="1"/>
  <c r="E394" i="3"/>
  <c r="I164" i="3" l="1"/>
  <c r="L164" i="3" s="1"/>
  <c r="G153" i="3"/>
  <c r="E395" i="3"/>
  <c r="H153" i="3" l="1"/>
  <c r="F153" i="3"/>
  <c r="E396" i="3"/>
  <c r="J153" i="3" l="1"/>
  <c r="K164" i="3"/>
  <c r="P164" i="3"/>
  <c r="Q164" i="3" s="1"/>
  <c r="E397" i="3"/>
  <c r="I165" i="3" l="1"/>
  <c r="L165" i="3" s="1"/>
  <c r="G154" i="3"/>
  <c r="E398" i="3"/>
  <c r="H154" i="3" l="1"/>
  <c r="F154" i="3"/>
  <c r="E399" i="3"/>
  <c r="J154" i="3" l="1"/>
  <c r="K165" i="3"/>
  <c r="P165" i="3"/>
  <c r="Q165" i="3" s="1"/>
  <c r="E400" i="3"/>
  <c r="I166" i="3" l="1"/>
  <c r="L166" i="3" s="1"/>
  <c r="G155" i="3"/>
  <c r="E401" i="3"/>
  <c r="H155" i="3" l="1"/>
  <c r="F155" i="3"/>
  <c r="E402" i="3"/>
  <c r="J155" i="3" l="1"/>
  <c r="K166" i="3"/>
  <c r="P166" i="3"/>
  <c r="Q166" i="3" s="1"/>
  <c r="E403" i="3"/>
  <c r="I167" i="3" l="1"/>
  <c r="L167" i="3" s="1"/>
  <c r="G156" i="3"/>
  <c r="E404" i="3"/>
  <c r="H156" i="3" l="1"/>
  <c r="F156" i="3"/>
  <c r="E405" i="3"/>
  <c r="J156" i="3" l="1"/>
  <c r="K167" i="3"/>
  <c r="P167" i="3"/>
  <c r="Q167" i="3" s="1"/>
  <c r="E406" i="3"/>
  <c r="I168" i="3" l="1"/>
  <c r="L168" i="3" s="1"/>
  <c r="G157" i="3"/>
  <c r="E407" i="3"/>
  <c r="H157" i="3" l="1"/>
  <c r="F157" i="3"/>
  <c r="E408" i="3"/>
  <c r="J157" i="3" l="1"/>
  <c r="K168" i="3"/>
  <c r="P168" i="3"/>
  <c r="Q168" i="3" s="1"/>
  <c r="E409" i="3"/>
  <c r="I169" i="3" l="1"/>
  <c r="L169" i="3" s="1"/>
  <c r="G158" i="3"/>
  <c r="E410" i="3"/>
  <c r="H158" i="3" l="1"/>
  <c r="F158" i="3"/>
  <c r="E411" i="3"/>
  <c r="J158" i="3" l="1"/>
  <c r="K169" i="3"/>
  <c r="P169" i="3"/>
  <c r="Q169" i="3" s="1"/>
  <c r="E412" i="3"/>
  <c r="I170" i="3" l="1"/>
  <c r="L170" i="3" s="1"/>
  <c r="G159" i="3"/>
  <c r="E413" i="3"/>
  <c r="H159" i="3" l="1"/>
  <c r="F159" i="3"/>
  <c r="E414" i="3"/>
  <c r="J159" i="3" l="1"/>
  <c r="K170" i="3"/>
  <c r="P170" i="3"/>
  <c r="Q170" i="3" s="1"/>
  <c r="E415" i="3"/>
  <c r="I171" i="3" l="1"/>
  <c r="L171" i="3" s="1"/>
  <c r="G160" i="3"/>
  <c r="E416" i="3"/>
  <c r="H160" i="3" l="1"/>
  <c r="F160" i="3"/>
  <c r="E417" i="3"/>
  <c r="J160" i="3" l="1"/>
  <c r="K171" i="3"/>
  <c r="P171" i="3"/>
  <c r="Q171" i="3" s="1"/>
  <c r="E418" i="3"/>
  <c r="I172" i="3" l="1"/>
  <c r="L172" i="3" s="1"/>
  <c r="G161" i="3"/>
  <c r="E419" i="3"/>
  <c r="H161" i="3" l="1"/>
  <c r="F161" i="3"/>
  <c r="E420" i="3"/>
  <c r="J161" i="3" l="1"/>
  <c r="K172" i="3"/>
  <c r="P172" i="3"/>
  <c r="Q172" i="3" s="1"/>
  <c r="E421" i="3"/>
  <c r="I173" i="3" l="1"/>
  <c r="L173" i="3" s="1"/>
  <c r="G162" i="3"/>
  <c r="E422" i="3"/>
  <c r="H162" i="3" l="1"/>
  <c r="F162" i="3"/>
  <c r="E423" i="3"/>
  <c r="J162" i="3" l="1"/>
  <c r="K173" i="3"/>
  <c r="P173" i="3"/>
  <c r="Q173" i="3" s="1"/>
  <c r="E424" i="3"/>
  <c r="I174" i="3" l="1"/>
  <c r="L174" i="3" s="1"/>
  <c r="G163" i="3"/>
  <c r="E425" i="3"/>
  <c r="H163" i="3" l="1"/>
  <c r="F163" i="3"/>
  <c r="E426" i="3"/>
  <c r="J163" i="3" l="1"/>
  <c r="K174" i="3"/>
  <c r="P174" i="3"/>
  <c r="Q174" i="3" s="1"/>
  <c r="E427" i="3"/>
  <c r="I175" i="3" l="1"/>
  <c r="L175" i="3" s="1"/>
  <c r="G164" i="3"/>
  <c r="E428" i="3"/>
  <c r="H164" i="3" l="1"/>
  <c r="F164" i="3"/>
  <c r="E429" i="3"/>
  <c r="J164" i="3" l="1"/>
  <c r="K175" i="3"/>
  <c r="P175" i="3"/>
  <c r="Q175" i="3" s="1"/>
  <c r="E430" i="3"/>
  <c r="I176" i="3" l="1"/>
  <c r="L176" i="3" s="1"/>
  <c r="G165" i="3"/>
  <c r="E431" i="3"/>
  <c r="H165" i="3" l="1"/>
  <c r="F165" i="3"/>
  <c r="E432" i="3"/>
  <c r="J165" i="3" l="1"/>
  <c r="K176" i="3"/>
  <c r="P176" i="3"/>
  <c r="Q176" i="3" s="1"/>
  <c r="E433" i="3"/>
  <c r="I177" i="3" l="1"/>
  <c r="L177" i="3" s="1"/>
  <c r="G166" i="3"/>
  <c r="E434" i="3"/>
  <c r="H166" i="3" l="1"/>
  <c r="F166" i="3"/>
  <c r="E435" i="3"/>
  <c r="J166" i="3" l="1"/>
  <c r="K177" i="3"/>
  <c r="P177" i="3"/>
  <c r="Q177" i="3" s="1"/>
  <c r="E436" i="3"/>
  <c r="I178" i="3" l="1"/>
  <c r="L178" i="3" s="1"/>
  <c r="G167" i="3"/>
  <c r="E437" i="3"/>
  <c r="H167" i="3" l="1"/>
  <c r="F167" i="3"/>
  <c r="E438" i="3"/>
  <c r="J167" i="3" l="1"/>
  <c r="K178" i="3"/>
  <c r="P178" i="3"/>
  <c r="Q178" i="3" s="1"/>
  <c r="E439" i="3"/>
  <c r="I179" i="3" l="1"/>
  <c r="L179" i="3" s="1"/>
  <c r="G168" i="3"/>
  <c r="E440" i="3"/>
  <c r="H168" i="3" l="1"/>
  <c r="F168" i="3"/>
  <c r="E441" i="3"/>
  <c r="J168" i="3" l="1"/>
  <c r="K179" i="3"/>
  <c r="P179" i="3"/>
  <c r="Q179" i="3" s="1"/>
  <c r="E442" i="3"/>
  <c r="I180" i="3" l="1"/>
  <c r="L180" i="3" s="1"/>
  <c r="G169" i="3"/>
  <c r="E443" i="3"/>
  <c r="H169" i="3" l="1"/>
  <c r="F169" i="3"/>
  <c r="E444" i="3"/>
  <c r="J169" i="3" l="1"/>
  <c r="K180" i="3"/>
  <c r="P180" i="3"/>
  <c r="Q180" i="3" s="1"/>
  <c r="E445" i="3"/>
  <c r="I181" i="3" l="1"/>
  <c r="L181" i="3" s="1"/>
  <c r="G170" i="3"/>
  <c r="E446" i="3"/>
  <c r="H170" i="3" l="1"/>
  <c r="F170" i="3"/>
  <c r="E447" i="3"/>
  <c r="J170" i="3" l="1"/>
  <c r="K181" i="3"/>
  <c r="P181" i="3"/>
  <c r="Q181" i="3" s="1"/>
  <c r="E448" i="3"/>
  <c r="I182" i="3" l="1"/>
  <c r="L182" i="3" s="1"/>
  <c r="G171" i="3"/>
  <c r="E449" i="3"/>
  <c r="H171" i="3" l="1"/>
  <c r="F171" i="3"/>
  <c r="E450" i="3"/>
  <c r="J171" i="3" l="1"/>
  <c r="K182" i="3"/>
  <c r="P182" i="3"/>
  <c r="Q182" i="3" s="1"/>
  <c r="E451" i="3"/>
  <c r="I183" i="3" l="1"/>
  <c r="L183" i="3" s="1"/>
  <c r="G172" i="3"/>
  <c r="E452" i="3"/>
  <c r="H172" i="3" l="1"/>
  <c r="F172" i="3"/>
  <c r="E453" i="3"/>
  <c r="J172" i="3" l="1"/>
  <c r="K183" i="3"/>
  <c r="P183" i="3"/>
  <c r="Q183" i="3" s="1"/>
  <c r="E454" i="3"/>
  <c r="I184" i="3" l="1"/>
  <c r="L184" i="3" s="1"/>
  <c r="G173" i="3"/>
  <c r="E455" i="3"/>
  <c r="H173" i="3" l="1"/>
  <c r="F173" i="3"/>
  <c r="E456" i="3"/>
  <c r="J173" i="3" l="1"/>
  <c r="K184" i="3"/>
  <c r="P184" i="3"/>
  <c r="Q184" i="3" s="1"/>
  <c r="E457" i="3"/>
  <c r="I185" i="3" l="1"/>
  <c r="L185" i="3" s="1"/>
  <c r="G174" i="3"/>
  <c r="E458" i="3"/>
  <c r="H174" i="3" l="1"/>
  <c r="F174" i="3"/>
  <c r="E459" i="3"/>
  <c r="J174" i="3" l="1"/>
  <c r="K185" i="3"/>
  <c r="P185" i="3"/>
  <c r="Q185" i="3" s="1"/>
  <c r="E460" i="3"/>
  <c r="I186" i="3" l="1"/>
  <c r="L186" i="3" s="1"/>
  <c r="G175" i="3"/>
  <c r="E461" i="3"/>
  <c r="H175" i="3" l="1"/>
  <c r="F175" i="3"/>
  <c r="E462" i="3"/>
  <c r="J175" i="3" l="1"/>
  <c r="K186" i="3"/>
  <c r="P186" i="3"/>
  <c r="Q186" i="3" s="1"/>
  <c r="E463" i="3"/>
  <c r="I187" i="3" l="1"/>
  <c r="L187" i="3" s="1"/>
  <c r="G176" i="3"/>
  <c r="E464" i="3"/>
  <c r="H176" i="3" l="1"/>
  <c r="F176" i="3"/>
  <c r="E465" i="3"/>
  <c r="J176" i="3" l="1"/>
  <c r="K187" i="3"/>
  <c r="P187" i="3"/>
  <c r="Q187" i="3" s="1"/>
  <c r="E466" i="3"/>
  <c r="I188" i="3" l="1"/>
  <c r="L188" i="3" s="1"/>
  <c r="G177" i="3"/>
  <c r="E467" i="3"/>
  <c r="H177" i="3" l="1"/>
  <c r="F177" i="3"/>
  <c r="E468" i="3"/>
  <c r="J177" i="3" l="1"/>
  <c r="K188" i="3"/>
  <c r="P188" i="3"/>
  <c r="Q188" i="3" s="1"/>
  <c r="E469" i="3"/>
  <c r="I189" i="3" l="1"/>
  <c r="L189" i="3" s="1"/>
  <c r="G178" i="3"/>
  <c r="E470" i="3"/>
  <c r="H178" i="3" l="1"/>
  <c r="F178" i="3"/>
  <c r="E471" i="3"/>
  <c r="J178" i="3" l="1"/>
  <c r="K189" i="3"/>
  <c r="P189" i="3"/>
  <c r="Q189" i="3" s="1"/>
  <c r="E472" i="3"/>
  <c r="I190" i="3" l="1"/>
  <c r="L190" i="3" s="1"/>
  <c r="G179" i="3"/>
  <c r="E473" i="3"/>
  <c r="H179" i="3" l="1"/>
  <c r="F179" i="3"/>
  <c r="E474" i="3"/>
  <c r="J179" i="3" l="1"/>
  <c r="K190" i="3"/>
  <c r="P190" i="3"/>
  <c r="Q190" i="3" s="1"/>
  <c r="E475" i="3"/>
  <c r="I191" i="3" l="1"/>
  <c r="L191" i="3" s="1"/>
  <c r="G180" i="3"/>
  <c r="E476" i="3"/>
  <c r="H180" i="3" l="1"/>
  <c r="F180" i="3"/>
  <c r="E477" i="3"/>
  <c r="J180" i="3" l="1"/>
  <c r="K191" i="3"/>
  <c r="P191" i="3"/>
  <c r="Q191" i="3" s="1"/>
  <c r="E478" i="3"/>
  <c r="I192" i="3" l="1"/>
  <c r="L192" i="3" s="1"/>
  <c r="G181" i="3"/>
  <c r="E479" i="3"/>
  <c r="H181" i="3" l="1"/>
  <c r="F181" i="3"/>
  <c r="E480" i="3"/>
  <c r="J181" i="3" l="1"/>
  <c r="K192" i="3"/>
  <c r="P192" i="3"/>
  <c r="Q192" i="3" s="1"/>
  <c r="E481" i="3"/>
  <c r="I193" i="3" l="1"/>
  <c r="L193" i="3" s="1"/>
  <c r="G182" i="3"/>
  <c r="E482" i="3"/>
  <c r="H182" i="3" l="1"/>
  <c r="F182" i="3"/>
  <c r="E483" i="3"/>
  <c r="J182" i="3" l="1"/>
  <c r="K193" i="3"/>
  <c r="P193" i="3"/>
  <c r="Q193" i="3" s="1"/>
  <c r="E484" i="3"/>
  <c r="I194" i="3" l="1"/>
  <c r="L194" i="3" s="1"/>
  <c r="G183" i="3"/>
  <c r="E485" i="3"/>
  <c r="H183" i="3" l="1"/>
  <c r="F183" i="3"/>
  <c r="E486" i="3"/>
  <c r="J183" i="3" l="1"/>
  <c r="K194" i="3"/>
  <c r="P194" i="3"/>
  <c r="Q194" i="3" s="1"/>
  <c r="E487" i="3"/>
  <c r="I195" i="3" l="1"/>
  <c r="L195" i="3" s="1"/>
  <c r="G184" i="3"/>
  <c r="E488" i="3"/>
  <c r="H184" i="3" l="1"/>
  <c r="F184" i="3"/>
  <c r="E489" i="3"/>
  <c r="J184" i="3" l="1"/>
  <c r="K195" i="3"/>
  <c r="P195" i="3"/>
  <c r="Q195" i="3" s="1"/>
  <c r="E490" i="3"/>
  <c r="I196" i="3" l="1"/>
  <c r="L196" i="3" s="1"/>
  <c r="G185" i="3"/>
  <c r="E491" i="3"/>
  <c r="H185" i="3" l="1"/>
  <c r="F185" i="3"/>
  <c r="E492" i="3"/>
  <c r="J185" i="3" l="1"/>
  <c r="K196" i="3"/>
  <c r="P196" i="3"/>
  <c r="Q196" i="3" s="1"/>
  <c r="E493" i="3"/>
  <c r="I197" i="3" l="1"/>
  <c r="L197" i="3" s="1"/>
  <c r="G186" i="3"/>
  <c r="E494" i="3"/>
  <c r="H186" i="3" l="1"/>
  <c r="F186" i="3"/>
  <c r="E495" i="3"/>
  <c r="J186" i="3" l="1"/>
  <c r="K197" i="3"/>
  <c r="P197" i="3"/>
  <c r="Q197" i="3" s="1"/>
  <c r="E496" i="3"/>
  <c r="I198" i="3" l="1"/>
  <c r="L198" i="3" s="1"/>
  <c r="G187" i="3"/>
  <c r="E497" i="3"/>
  <c r="H187" i="3" l="1"/>
  <c r="F187" i="3"/>
  <c r="E498" i="3"/>
  <c r="J187" i="3" l="1"/>
  <c r="K198" i="3"/>
  <c r="P198" i="3"/>
  <c r="Q198" i="3" s="1"/>
  <c r="E499" i="3"/>
  <c r="I199" i="3" l="1"/>
  <c r="L199" i="3" s="1"/>
  <c r="G188" i="3"/>
  <c r="E500" i="3"/>
  <c r="H188" i="3" l="1"/>
  <c r="F188" i="3"/>
  <c r="E501" i="3"/>
  <c r="J188" i="3" l="1"/>
  <c r="K199" i="3"/>
  <c r="P199" i="3"/>
  <c r="Q199" i="3" s="1"/>
  <c r="E502" i="3"/>
  <c r="I200" i="3" l="1"/>
  <c r="L200" i="3" s="1"/>
  <c r="G189" i="3"/>
  <c r="E503" i="3"/>
  <c r="H189" i="3" l="1"/>
  <c r="F189" i="3"/>
  <c r="E504" i="3"/>
  <c r="J189" i="3" l="1"/>
  <c r="K200" i="3"/>
  <c r="P200" i="3"/>
  <c r="Q200" i="3" s="1"/>
  <c r="E505" i="3"/>
  <c r="I201" i="3" l="1"/>
  <c r="L201" i="3" s="1"/>
  <c r="G190" i="3"/>
  <c r="E506" i="3"/>
  <c r="H190" i="3" l="1"/>
  <c r="F190" i="3"/>
  <c r="E507" i="3"/>
  <c r="J190" i="3" l="1"/>
  <c r="K201" i="3"/>
  <c r="P201" i="3"/>
  <c r="Q201" i="3" s="1"/>
  <c r="E508" i="3"/>
  <c r="I202" i="3" l="1"/>
  <c r="L202" i="3" s="1"/>
  <c r="G191" i="3"/>
  <c r="E509" i="3"/>
  <c r="H191" i="3" l="1"/>
  <c r="F191" i="3"/>
  <c r="E510" i="3"/>
  <c r="J191" i="3" l="1"/>
  <c r="K202" i="3"/>
  <c r="P202" i="3"/>
  <c r="Q202" i="3" s="1"/>
  <c r="E511" i="3"/>
  <c r="I203" i="3" l="1"/>
  <c r="L203" i="3" s="1"/>
  <c r="G192" i="3"/>
  <c r="E512" i="3"/>
  <c r="H192" i="3" l="1"/>
  <c r="F192" i="3"/>
  <c r="E513" i="3"/>
  <c r="J192" i="3" l="1"/>
  <c r="K203" i="3"/>
  <c r="P203" i="3"/>
  <c r="Q203" i="3" s="1"/>
  <c r="E514" i="3"/>
  <c r="I204" i="3" l="1"/>
  <c r="L204" i="3" s="1"/>
  <c r="G193" i="3"/>
  <c r="E515" i="3"/>
  <c r="H193" i="3" l="1"/>
  <c r="F193" i="3"/>
  <c r="E516" i="3"/>
  <c r="J193" i="3" l="1"/>
  <c r="K204" i="3"/>
  <c r="P204" i="3"/>
  <c r="Q204" i="3" s="1"/>
  <c r="E517" i="3"/>
  <c r="I205" i="3" l="1"/>
  <c r="L205" i="3" s="1"/>
  <c r="G194" i="3"/>
  <c r="E518" i="3"/>
  <c r="H194" i="3" l="1"/>
  <c r="F194" i="3"/>
  <c r="E519" i="3"/>
  <c r="J194" i="3" l="1"/>
  <c r="K205" i="3"/>
  <c r="P205" i="3"/>
  <c r="Q205" i="3" s="1"/>
  <c r="E520" i="3"/>
  <c r="I206" i="3" l="1"/>
  <c r="L206" i="3" s="1"/>
  <c r="G195" i="3"/>
  <c r="E521" i="3"/>
  <c r="H195" i="3" l="1"/>
  <c r="F195" i="3"/>
  <c r="E522" i="3"/>
  <c r="J195" i="3" l="1"/>
  <c r="K206" i="3"/>
  <c r="P206" i="3"/>
  <c r="Q206" i="3" s="1"/>
  <c r="E523" i="3"/>
  <c r="I207" i="3" l="1"/>
  <c r="L207" i="3" s="1"/>
  <c r="G196" i="3"/>
  <c r="E524" i="3"/>
  <c r="H196" i="3" l="1"/>
  <c r="F196" i="3"/>
  <c r="E525" i="3"/>
  <c r="J196" i="3" l="1"/>
  <c r="K207" i="3"/>
  <c r="P207" i="3"/>
  <c r="Q207" i="3" s="1"/>
  <c r="E526" i="3"/>
  <c r="I208" i="3" l="1"/>
  <c r="L208" i="3" s="1"/>
  <c r="G197" i="3"/>
  <c r="E527" i="3"/>
  <c r="H197" i="3" l="1"/>
  <c r="F197" i="3"/>
  <c r="E528" i="3"/>
  <c r="J197" i="3" l="1"/>
  <c r="K208" i="3"/>
  <c r="P208" i="3"/>
  <c r="Q208" i="3" s="1"/>
  <c r="E529" i="3"/>
  <c r="I209" i="3" l="1"/>
  <c r="L209" i="3" s="1"/>
  <c r="G198" i="3"/>
  <c r="E530" i="3"/>
  <c r="H198" i="3" l="1"/>
  <c r="F198" i="3"/>
  <c r="E531" i="3"/>
  <c r="J198" i="3" l="1"/>
  <c r="K209" i="3"/>
  <c r="P209" i="3"/>
  <c r="Q209" i="3" s="1"/>
  <c r="E532" i="3"/>
  <c r="I210" i="3" l="1"/>
  <c r="L210" i="3" s="1"/>
  <c r="G199" i="3"/>
  <c r="E533" i="3"/>
  <c r="H199" i="3" l="1"/>
  <c r="F199" i="3"/>
  <c r="E534" i="3"/>
  <c r="J199" i="3" l="1"/>
  <c r="K210" i="3"/>
  <c r="P210" i="3"/>
  <c r="Q210" i="3" s="1"/>
  <c r="E535" i="3"/>
  <c r="I211" i="3" l="1"/>
  <c r="L211" i="3" s="1"/>
  <c r="G200" i="3"/>
  <c r="E536" i="3"/>
  <c r="H200" i="3" l="1"/>
  <c r="F200" i="3"/>
  <c r="E537" i="3"/>
  <c r="J200" i="3" l="1"/>
  <c r="K211" i="3"/>
  <c r="P211" i="3"/>
  <c r="Q211" i="3" s="1"/>
  <c r="E538" i="3"/>
  <c r="I212" i="3" l="1"/>
  <c r="L212" i="3" s="1"/>
  <c r="G201" i="3"/>
  <c r="E539" i="3"/>
  <c r="H201" i="3" l="1"/>
  <c r="F201" i="3"/>
  <c r="E540" i="3"/>
  <c r="J201" i="3" l="1"/>
  <c r="K212" i="3"/>
  <c r="P212" i="3"/>
  <c r="Q212" i="3" s="1"/>
  <c r="E541" i="3"/>
  <c r="I213" i="3" l="1"/>
  <c r="L213" i="3" s="1"/>
  <c r="G202" i="3"/>
  <c r="E542" i="3"/>
  <c r="H202" i="3" l="1"/>
  <c r="F202" i="3"/>
  <c r="E543" i="3"/>
  <c r="J202" i="3" l="1"/>
  <c r="K213" i="3"/>
  <c r="P213" i="3"/>
  <c r="Q213" i="3" s="1"/>
  <c r="E544" i="3"/>
  <c r="I214" i="3" l="1"/>
  <c r="L214" i="3" s="1"/>
  <c r="G203" i="3"/>
  <c r="E545" i="3"/>
  <c r="H203" i="3" l="1"/>
  <c r="F203" i="3"/>
  <c r="E546" i="3"/>
  <c r="J203" i="3" l="1"/>
  <c r="K214" i="3"/>
  <c r="P214" i="3"/>
  <c r="Q214" i="3" s="1"/>
  <c r="I215" i="3" l="1"/>
  <c r="L215" i="3" s="1"/>
  <c r="G204" i="3"/>
  <c r="H204" i="3" l="1"/>
  <c r="F204" i="3"/>
  <c r="J204" i="3" l="1"/>
  <c r="K215" i="3"/>
  <c r="P215" i="3"/>
  <c r="Q215" i="3" s="1"/>
  <c r="I216" i="3" l="1"/>
  <c r="L216" i="3" s="1"/>
  <c r="G205" i="3"/>
  <c r="H205" i="3" l="1"/>
  <c r="F205" i="3"/>
  <c r="J205" i="3" l="1"/>
  <c r="K216" i="3"/>
  <c r="P216" i="3"/>
  <c r="Q216" i="3" s="1"/>
  <c r="I217" i="3" l="1"/>
  <c r="L217" i="3" s="1"/>
  <c r="G206" i="3"/>
  <c r="H206" i="3" l="1"/>
  <c r="F206" i="3"/>
  <c r="J206" i="3" l="1"/>
  <c r="K217" i="3"/>
  <c r="P217" i="3"/>
  <c r="Q217" i="3" s="1"/>
  <c r="I218" i="3" l="1"/>
  <c r="L218" i="3" s="1"/>
  <c r="G207" i="3"/>
  <c r="H207" i="3" l="1"/>
  <c r="F207" i="3"/>
  <c r="J207" i="3" l="1"/>
  <c r="K218" i="3"/>
  <c r="P218" i="3"/>
  <c r="Q218" i="3" s="1"/>
  <c r="I219" i="3" l="1"/>
  <c r="L219" i="3" s="1"/>
  <c r="G208" i="3"/>
  <c r="H208" i="3" l="1"/>
  <c r="F208" i="3"/>
  <c r="J208" i="3" l="1"/>
  <c r="K219" i="3"/>
  <c r="P219" i="3"/>
  <c r="Q219" i="3" s="1"/>
  <c r="I220" i="3" l="1"/>
  <c r="L220" i="3" s="1"/>
  <c r="G209" i="3"/>
  <c r="H209" i="3" l="1"/>
  <c r="F209" i="3"/>
  <c r="J209" i="3" l="1"/>
  <c r="K220" i="3"/>
  <c r="P220" i="3"/>
  <c r="Q220" i="3" s="1"/>
  <c r="I221" i="3" l="1"/>
  <c r="L221" i="3" s="1"/>
  <c r="G210" i="3"/>
  <c r="H210" i="3" l="1"/>
  <c r="F210" i="3"/>
  <c r="J210" i="3" l="1"/>
  <c r="K221" i="3"/>
  <c r="P221" i="3"/>
  <c r="Q221" i="3" s="1"/>
  <c r="I222" i="3" l="1"/>
  <c r="L222" i="3" s="1"/>
  <c r="G211" i="3"/>
  <c r="H211" i="3" l="1"/>
  <c r="F211" i="3"/>
  <c r="J211" i="3" l="1"/>
  <c r="K222" i="3"/>
  <c r="P222" i="3"/>
  <c r="Q222" i="3" s="1"/>
  <c r="I223" i="3" l="1"/>
  <c r="L223" i="3" s="1"/>
  <c r="G212" i="3"/>
  <c r="H212" i="3" l="1"/>
  <c r="F212" i="3"/>
  <c r="J212" i="3" l="1"/>
  <c r="K223" i="3"/>
  <c r="P223" i="3"/>
  <c r="Q223" i="3" s="1"/>
  <c r="I224" i="3" l="1"/>
  <c r="L224" i="3" s="1"/>
  <c r="G213" i="3"/>
  <c r="H213" i="3" l="1"/>
  <c r="F213" i="3"/>
  <c r="J213" i="3" l="1"/>
  <c r="K224" i="3"/>
  <c r="P224" i="3"/>
  <c r="Q224" i="3" s="1"/>
  <c r="I225" i="3" l="1"/>
  <c r="L225" i="3" s="1"/>
  <c r="G214" i="3"/>
  <c r="H214" i="3" l="1"/>
  <c r="F214" i="3"/>
  <c r="J214" i="3" l="1"/>
  <c r="K225" i="3"/>
  <c r="P225" i="3"/>
  <c r="Q225" i="3" s="1"/>
  <c r="I226" i="3" l="1"/>
  <c r="L226" i="3" s="1"/>
  <c r="G215" i="3"/>
  <c r="H215" i="3" l="1"/>
  <c r="F215" i="3"/>
  <c r="J215" i="3" l="1"/>
  <c r="K226" i="3"/>
  <c r="P226" i="3"/>
  <c r="Q226" i="3" s="1"/>
  <c r="I227" i="3" l="1"/>
  <c r="L227" i="3" s="1"/>
  <c r="G216" i="3"/>
  <c r="H216" i="3" l="1"/>
  <c r="F216" i="3"/>
  <c r="J216" i="3" l="1"/>
  <c r="K227" i="3"/>
  <c r="P227" i="3"/>
  <c r="Q227" i="3" s="1"/>
  <c r="I228" i="3" l="1"/>
  <c r="L228" i="3" s="1"/>
  <c r="G217" i="3"/>
  <c r="H217" i="3" l="1"/>
  <c r="F217" i="3"/>
  <c r="J217" i="3" l="1"/>
  <c r="K228" i="3"/>
  <c r="P228" i="3"/>
  <c r="Q228" i="3" s="1"/>
  <c r="I229" i="3" l="1"/>
  <c r="L229" i="3" s="1"/>
  <c r="G218" i="3"/>
  <c r="H218" i="3" l="1"/>
  <c r="F218" i="3"/>
  <c r="J218" i="3" l="1"/>
  <c r="K229" i="3"/>
  <c r="P229" i="3"/>
  <c r="Q229" i="3" s="1"/>
  <c r="I230" i="3" l="1"/>
  <c r="L230" i="3" s="1"/>
  <c r="G219" i="3"/>
  <c r="H219" i="3" l="1"/>
  <c r="F219" i="3"/>
  <c r="J219" i="3" l="1"/>
  <c r="K230" i="3"/>
  <c r="P230" i="3"/>
  <c r="Q230" i="3" s="1"/>
  <c r="I231" i="3" l="1"/>
  <c r="L231" i="3" s="1"/>
  <c r="G220" i="3"/>
  <c r="H220" i="3" l="1"/>
  <c r="F220" i="3"/>
  <c r="J220" i="3" l="1"/>
  <c r="K231" i="3"/>
  <c r="P231" i="3"/>
  <c r="Q231" i="3" s="1"/>
  <c r="I232" i="3" l="1"/>
  <c r="L232" i="3" s="1"/>
  <c r="G221" i="3"/>
  <c r="H221" i="3" l="1"/>
  <c r="F221" i="3"/>
  <c r="J221" i="3" l="1"/>
  <c r="K232" i="3"/>
  <c r="P232" i="3"/>
  <c r="Q232" i="3" s="1"/>
  <c r="I233" i="3" l="1"/>
  <c r="L233" i="3" s="1"/>
  <c r="G222" i="3"/>
  <c r="H222" i="3" l="1"/>
  <c r="F222" i="3"/>
  <c r="J222" i="3" l="1"/>
  <c r="K233" i="3"/>
  <c r="P233" i="3"/>
  <c r="Q233" i="3" s="1"/>
  <c r="I234" i="3" l="1"/>
  <c r="L234" i="3" s="1"/>
  <c r="G223" i="3"/>
  <c r="H223" i="3" l="1"/>
  <c r="F223" i="3"/>
  <c r="J223" i="3" l="1"/>
  <c r="K234" i="3"/>
  <c r="P234" i="3"/>
  <c r="Q234" i="3" s="1"/>
  <c r="I235" i="3" l="1"/>
  <c r="L235" i="3" s="1"/>
  <c r="G224" i="3"/>
  <c r="H224" i="3" l="1"/>
  <c r="F224" i="3"/>
  <c r="J224" i="3" l="1"/>
  <c r="K235" i="3"/>
  <c r="P235" i="3"/>
  <c r="Q235" i="3" s="1"/>
  <c r="I236" i="3" l="1"/>
  <c r="L236" i="3" s="1"/>
  <c r="G225" i="3"/>
  <c r="H225" i="3" l="1"/>
  <c r="F225" i="3"/>
  <c r="J225" i="3" l="1"/>
  <c r="K236" i="3"/>
  <c r="P236" i="3"/>
  <c r="Q236" i="3" s="1"/>
  <c r="I237" i="3" l="1"/>
  <c r="L237" i="3" s="1"/>
  <c r="G226" i="3"/>
  <c r="H226" i="3" l="1"/>
  <c r="F226" i="3"/>
  <c r="J226" i="3" l="1"/>
  <c r="K237" i="3"/>
  <c r="P237" i="3"/>
  <c r="Q237" i="3" s="1"/>
  <c r="I238" i="3" l="1"/>
  <c r="L238" i="3" s="1"/>
  <c r="G227" i="3"/>
  <c r="H227" i="3" l="1"/>
  <c r="F227" i="3"/>
  <c r="J227" i="3" l="1"/>
  <c r="K238" i="3"/>
  <c r="P238" i="3"/>
  <c r="Q238" i="3" s="1"/>
  <c r="I239" i="3" l="1"/>
  <c r="L239" i="3" s="1"/>
  <c r="G228" i="3"/>
  <c r="H228" i="3" l="1"/>
  <c r="F228" i="3"/>
  <c r="J228" i="3" l="1"/>
  <c r="K239" i="3"/>
  <c r="P239" i="3"/>
  <c r="Q239" i="3" s="1"/>
  <c r="I240" i="3" l="1"/>
  <c r="L240" i="3" s="1"/>
  <c r="G229" i="3"/>
  <c r="H229" i="3" l="1"/>
  <c r="F229" i="3"/>
  <c r="J229" i="3" l="1"/>
  <c r="K240" i="3"/>
  <c r="P240" i="3"/>
  <c r="Q240" i="3" s="1"/>
  <c r="I241" i="3" l="1"/>
  <c r="L241" i="3" s="1"/>
  <c r="G230" i="3"/>
  <c r="H230" i="3" l="1"/>
  <c r="F230" i="3"/>
  <c r="J230" i="3" l="1"/>
  <c r="K241" i="3"/>
  <c r="P241" i="3"/>
  <c r="Q241" i="3" s="1"/>
  <c r="I242" i="3" l="1"/>
  <c r="L242" i="3" s="1"/>
  <c r="G231" i="3"/>
  <c r="H231" i="3" l="1"/>
  <c r="F231" i="3"/>
  <c r="J231" i="3" l="1"/>
  <c r="K242" i="3"/>
  <c r="P242" i="3"/>
  <c r="Q242" i="3" s="1"/>
  <c r="I243" i="3" l="1"/>
  <c r="L243" i="3" s="1"/>
  <c r="G232" i="3"/>
  <c r="H232" i="3" l="1"/>
  <c r="F232" i="3"/>
  <c r="J232" i="3" l="1"/>
  <c r="K243" i="3"/>
  <c r="P243" i="3"/>
  <c r="Q243" i="3" s="1"/>
  <c r="I244" i="3" l="1"/>
  <c r="L244" i="3" s="1"/>
  <c r="G233" i="3"/>
  <c r="H233" i="3" l="1"/>
  <c r="F233" i="3"/>
  <c r="J233" i="3" l="1"/>
  <c r="K244" i="3"/>
  <c r="P244" i="3"/>
  <c r="Q244" i="3" s="1"/>
  <c r="I245" i="3" l="1"/>
  <c r="L245" i="3" s="1"/>
  <c r="G234" i="3"/>
  <c r="H234" i="3" l="1"/>
  <c r="F234" i="3"/>
  <c r="J234" i="3" l="1"/>
  <c r="K245" i="3"/>
  <c r="P245" i="3"/>
  <c r="Q245" i="3" s="1"/>
  <c r="I246" i="3" l="1"/>
  <c r="L246" i="3" s="1"/>
  <c r="G235" i="3"/>
  <c r="H235" i="3" l="1"/>
  <c r="F235" i="3"/>
  <c r="J235" i="3" l="1"/>
  <c r="K246" i="3"/>
  <c r="P246" i="3"/>
  <c r="Q246" i="3" s="1"/>
  <c r="I247" i="3" l="1"/>
  <c r="L247" i="3" s="1"/>
  <c r="G236" i="3"/>
  <c r="H236" i="3" l="1"/>
  <c r="F236" i="3"/>
  <c r="J236" i="3" l="1"/>
  <c r="K247" i="3"/>
  <c r="P247" i="3"/>
  <c r="Q247" i="3" s="1"/>
  <c r="I248" i="3" l="1"/>
  <c r="L248" i="3" s="1"/>
  <c r="G237" i="3"/>
  <c r="H237" i="3" l="1"/>
  <c r="F237" i="3"/>
  <c r="J237" i="3" l="1"/>
  <c r="K248" i="3"/>
  <c r="P248" i="3"/>
  <c r="Q248" i="3" s="1"/>
  <c r="I249" i="3" l="1"/>
  <c r="L249" i="3" s="1"/>
  <c r="G238" i="3"/>
  <c r="H238" i="3" l="1"/>
  <c r="F238" i="3"/>
  <c r="J238" i="3" l="1"/>
  <c r="K249" i="3"/>
  <c r="P249" i="3"/>
  <c r="Q249" i="3" s="1"/>
  <c r="I250" i="3" l="1"/>
  <c r="L250" i="3" s="1"/>
  <c r="G239" i="3"/>
  <c r="H239" i="3" l="1"/>
  <c r="F239" i="3"/>
  <c r="J239" i="3" l="1"/>
  <c r="K250" i="3"/>
  <c r="P250" i="3"/>
  <c r="Q250" i="3" s="1"/>
  <c r="I251" i="3" l="1"/>
  <c r="L251" i="3" s="1"/>
  <c r="G240" i="3"/>
  <c r="H240" i="3" l="1"/>
  <c r="F240" i="3"/>
  <c r="J240" i="3" l="1"/>
  <c r="K251" i="3"/>
  <c r="P251" i="3"/>
  <c r="Q251" i="3" s="1"/>
  <c r="I252" i="3" l="1"/>
  <c r="L252" i="3" s="1"/>
  <c r="G241" i="3"/>
  <c r="H241" i="3" l="1"/>
  <c r="F241" i="3"/>
  <c r="J241" i="3" l="1"/>
  <c r="K252" i="3"/>
  <c r="P252" i="3"/>
  <c r="Q252" i="3" s="1"/>
  <c r="I253" i="3" l="1"/>
  <c r="L253" i="3" s="1"/>
  <c r="G242" i="3"/>
  <c r="H242" i="3" l="1"/>
  <c r="F242" i="3"/>
  <c r="J242" i="3" l="1"/>
  <c r="K253" i="3"/>
  <c r="P253" i="3"/>
  <c r="Q253" i="3" s="1"/>
  <c r="I254" i="3" l="1"/>
  <c r="L254" i="3" s="1"/>
  <c r="G243" i="3"/>
  <c r="H243" i="3" l="1"/>
  <c r="F243" i="3"/>
  <c r="J243" i="3" l="1"/>
  <c r="K254" i="3"/>
  <c r="P254" i="3"/>
  <c r="Q254" i="3" s="1"/>
  <c r="I255" i="3" l="1"/>
  <c r="L255" i="3" s="1"/>
  <c r="G244" i="3"/>
  <c r="H244" i="3" l="1"/>
  <c r="F244" i="3"/>
  <c r="J244" i="3" l="1"/>
  <c r="K255" i="3"/>
  <c r="P255" i="3"/>
  <c r="Q255" i="3" s="1"/>
  <c r="I256" i="3" l="1"/>
  <c r="L256" i="3" s="1"/>
  <c r="G245" i="3"/>
  <c r="H245" i="3" l="1"/>
  <c r="F245" i="3"/>
  <c r="J245" i="3" l="1"/>
  <c r="K256" i="3"/>
  <c r="P256" i="3"/>
  <c r="Q256" i="3" s="1"/>
  <c r="I257" i="3" l="1"/>
  <c r="L257" i="3" s="1"/>
  <c r="G246" i="3"/>
  <c r="H246" i="3" l="1"/>
  <c r="F246" i="3"/>
  <c r="J246" i="3" l="1"/>
  <c r="K257" i="3"/>
  <c r="P257" i="3"/>
  <c r="Q257" i="3" s="1"/>
  <c r="I258" i="3" l="1"/>
  <c r="L258" i="3" s="1"/>
  <c r="G247" i="3"/>
  <c r="H247" i="3" l="1"/>
  <c r="F247" i="3"/>
  <c r="J247" i="3" l="1"/>
  <c r="K258" i="3"/>
  <c r="P258" i="3"/>
  <c r="Q258" i="3" s="1"/>
  <c r="I259" i="3" l="1"/>
  <c r="L259" i="3" s="1"/>
  <c r="G248" i="3"/>
  <c r="H248" i="3" l="1"/>
  <c r="F248" i="3"/>
  <c r="J248" i="3" l="1"/>
  <c r="K259" i="3"/>
  <c r="P259" i="3"/>
  <c r="Q259" i="3" s="1"/>
  <c r="I260" i="3" l="1"/>
  <c r="L260" i="3" s="1"/>
  <c r="G249" i="3"/>
  <c r="H249" i="3" l="1"/>
  <c r="F249" i="3"/>
  <c r="J249" i="3" l="1"/>
  <c r="K260" i="3"/>
  <c r="P260" i="3"/>
  <c r="Q260" i="3" s="1"/>
  <c r="I261" i="3" l="1"/>
  <c r="L261" i="3" s="1"/>
  <c r="G250" i="3"/>
  <c r="H250" i="3" l="1"/>
  <c r="F250" i="3"/>
  <c r="J250" i="3" l="1"/>
  <c r="K261" i="3"/>
  <c r="P261" i="3"/>
  <c r="Q261" i="3" s="1"/>
  <c r="I262" i="3" l="1"/>
  <c r="L262" i="3" s="1"/>
  <c r="G251" i="3"/>
  <c r="H251" i="3" l="1"/>
  <c r="F251" i="3"/>
  <c r="J251" i="3" l="1"/>
  <c r="K262" i="3"/>
  <c r="P262" i="3"/>
  <c r="Q262" i="3" s="1"/>
  <c r="I263" i="3" l="1"/>
  <c r="L263" i="3" s="1"/>
  <c r="G252" i="3"/>
  <c r="H252" i="3" l="1"/>
  <c r="F252" i="3"/>
  <c r="J252" i="3" l="1"/>
  <c r="K263" i="3"/>
  <c r="P263" i="3"/>
  <c r="Q263" i="3" s="1"/>
  <c r="I264" i="3" l="1"/>
  <c r="L264" i="3" s="1"/>
  <c r="G253" i="3"/>
  <c r="H253" i="3" l="1"/>
  <c r="F253" i="3"/>
  <c r="J253" i="3" l="1"/>
  <c r="K264" i="3"/>
  <c r="P264" i="3"/>
  <c r="Q264" i="3" s="1"/>
  <c r="I265" i="3" l="1"/>
  <c r="L265" i="3" s="1"/>
  <c r="G254" i="3"/>
  <c r="H254" i="3" l="1"/>
  <c r="F254" i="3"/>
  <c r="J254" i="3" l="1"/>
  <c r="K265" i="3"/>
  <c r="P265" i="3"/>
  <c r="Q265" i="3" s="1"/>
  <c r="I266" i="3" l="1"/>
  <c r="L266" i="3" s="1"/>
  <c r="G255" i="3"/>
  <c r="H255" i="3" l="1"/>
  <c r="F255" i="3"/>
  <c r="J255" i="3" l="1"/>
  <c r="K266" i="3"/>
  <c r="P266" i="3"/>
  <c r="Q266" i="3" s="1"/>
  <c r="I267" i="3" l="1"/>
  <c r="L267" i="3" s="1"/>
  <c r="G256" i="3"/>
  <c r="H256" i="3" l="1"/>
  <c r="F256" i="3"/>
  <c r="J256" i="3" l="1"/>
  <c r="K267" i="3"/>
  <c r="P267" i="3"/>
  <c r="Q267" i="3" s="1"/>
  <c r="I268" i="3" l="1"/>
  <c r="L268" i="3" s="1"/>
  <c r="G257" i="3"/>
  <c r="H257" i="3" l="1"/>
  <c r="F257" i="3"/>
  <c r="J257" i="3" l="1"/>
  <c r="K268" i="3"/>
  <c r="P268" i="3"/>
  <c r="Q268" i="3" s="1"/>
  <c r="I269" i="3" l="1"/>
  <c r="L269" i="3" s="1"/>
  <c r="G258" i="3"/>
  <c r="H258" i="3" l="1"/>
  <c r="F258" i="3"/>
  <c r="J258" i="3" l="1"/>
  <c r="K269" i="3"/>
  <c r="P269" i="3"/>
  <c r="Q269" i="3" s="1"/>
  <c r="I270" i="3" l="1"/>
  <c r="L270" i="3" s="1"/>
  <c r="G259" i="3"/>
  <c r="H259" i="3" l="1"/>
  <c r="F259" i="3"/>
  <c r="J259" i="3" l="1"/>
  <c r="K270" i="3"/>
  <c r="P270" i="3"/>
  <c r="Q270" i="3" s="1"/>
  <c r="I271" i="3" l="1"/>
  <c r="L271" i="3" s="1"/>
  <c r="G260" i="3"/>
  <c r="H260" i="3" l="1"/>
  <c r="F260" i="3"/>
  <c r="J260" i="3" l="1"/>
  <c r="K271" i="3"/>
  <c r="P271" i="3"/>
  <c r="Q271" i="3" s="1"/>
  <c r="I272" i="3" l="1"/>
  <c r="L272" i="3" s="1"/>
  <c r="G261" i="3"/>
  <c r="H261" i="3" l="1"/>
  <c r="F261" i="3"/>
  <c r="J261" i="3" l="1"/>
  <c r="K272" i="3"/>
  <c r="P272" i="3"/>
  <c r="Q272" i="3" s="1"/>
  <c r="I273" i="3" l="1"/>
  <c r="L273" i="3" s="1"/>
  <c r="G262" i="3"/>
  <c r="H262" i="3" l="1"/>
  <c r="F262" i="3"/>
  <c r="J262" i="3" l="1"/>
  <c r="K273" i="3"/>
  <c r="P273" i="3"/>
  <c r="Q273" i="3" s="1"/>
  <c r="I274" i="3" l="1"/>
  <c r="L274" i="3" s="1"/>
  <c r="G263" i="3"/>
  <c r="H263" i="3" l="1"/>
  <c r="F263" i="3"/>
  <c r="J263" i="3" l="1"/>
  <c r="K274" i="3"/>
  <c r="P274" i="3"/>
  <c r="Q274" i="3" s="1"/>
  <c r="I275" i="3" l="1"/>
  <c r="L275" i="3" s="1"/>
  <c r="G264" i="3"/>
  <c r="H264" i="3" l="1"/>
  <c r="F264" i="3"/>
  <c r="J264" i="3" l="1"/>
  <c r="K275" i="3"/>
  <c r="P275" i="3"/>
  <c r="Q275" i="3" s="1"/>
  <c r="I276" i="3" l="1"/>
  <c r="L276" i="3" s="1"/>
  <c r="G265" i="3"/>
  <c r="H265" i="3" l="1"/>
  <c r="F265" i="3"/>
  <c r="J265" i="3" l="1"/>
  <c r="K276" i="3"/>
  <c r="P276" i="3"/>
  <c r="Q276" i="3" s="1"/>
  <c r="I277" i="3" l="1"/>
  <c r="L277" i="3" s="1"/>
  <c r="G266" i="3"/>
  <c r="H266" i="3" l="1"/>
  <c r="F266" i="3"/>
  <c r="J266" i="3" l="1"/>
  <c r="K277" i="3"/>
  <c r="P277" i="3"/>
  <c r="Q277" i="3" s="1"/>
  <c r="I278" i="3" l="1"/>
  <c r="L278" i="3" s="1"/>
  <c r="G267" i="3"/>
  <c r="H267" i="3" l="1"/>
  <c r="F267" i="3"/>
  <c r="J267" i="3" l="1"/>
  <c r="K278" i="3"/>
  <c r="P278" i="3"/>
  <c r="Q278" i="3" s="1"/>
  <c r="I279" i="3" l="1"/>
  <c r="L279" i="3" s="1"/>
  <c r="G268" i="3"/>
  <c r="H268" i="3" l="1"/>
  <c r="F268" i="3"/>
  <c r="J268" i="3" l="1"/>
  <c r="K279" i="3"/>
  <c r="P279" i="3"/>
  <c r="Q279" i="3" s="1"/>
  <c r="I280" i="3" l="1"/>
  <c r="L280" i="3" s="1"/>
  <c r="G269" i="3"/>
  <c r="H269" i="3" l="1"/>
  <c r="F269" i="3"/>
  <c r="J269" i="3" l="1"/>
  <c r="K280" i="3"/>
  <c r="P280" i="3"/>
  <c r="Q280" i="3" s="1"/>
  <c r="I281" i="3" l="1"/>
  <c r="L281" i="3" s="1"/>
  <c r="G270" i="3"/>
  <c r="H270" i="3" l="1"/>
  <c r="F270" i="3"/>
  <c r="J270" i="3" l="1"/>
  <c r="K281" i="3"/>
  <c r="P281" i="3"/>
  <c r="Q281" i="3" s="1"/>
  <c r="I282" i="3" l="1"/>
  <c r="L282" i="3" s="1"/>
  <c r="G271" i="3"/>
  <c r="H271" i="3" l="1"/>
  <c r="F271" i="3"/>
  <c r="J271" i="3" l="1"/>
  <c r="K282" i="3"/>
  <c r="P282" i="3"/>
  <c r="Q282" i="3" s="1"/>
  <c r="I283" i="3" l="1"/>
  <c r="L283" i="3" s="1"/>
  <c r="G272" i="3"/>
  <c r="H272" i="3" l="1"/>
  <c r="F272" i="3"/>
  <c r="J272" i="3" l="1"/>
  <c r="K283" i="3"/>
  <c r="P283" i="3"/>
  <c r="Q283" i="3" s="1"/>
  <c r="I284" i="3" l="1"/>
  <c r="L284" i="3" s="1"/>
  <c r="G273" i="3"/>
  <c r="H273" i="3" l="1"/>
  <c r="F273" i="3"/>
  <c r="J273" i="3" l="1"/>
  <c r="K284" i="3"/>
  <c r="P284" i="3"/>
  <c r="Q284" i="3" s="1"/>
  <c r="I285" i="3" l="1"/>
  <c r="L285" i="3" s="1"/>
  <c r="G274" i="3"/>
  <c r="H274" i="3" l="1"/>
  <c r="F274" i="3"/>
  <c r="J274" i="3" l="1"/>
  <c r="K285" i="3"/>
  <c r="P285" i="3"/>
  <c r="Q285" i="3" s="1"/>
  <c r="I286" i="3" l="1"/>
  <c r="L286" i="3" s="1"/>
  <c r="G275" i="3"/>
  <c r="H275" i="3" l="1"/>
  <c r="F275" i="3"/>
  <c r="J275" i="3" l="1"/>
  <c r="K286" i="3"/>
  <c r="P286" i="3"/>
  <c r="Q286" i="3" s="1"/>
  <c r="I287" i="3" l="1"/>
  <c r="L287" i="3" s="1"/>
  <c r="G276" i="3"/>
  <c r="H276" i="3" l="1"/>
  <c r="F276" i="3"/>
  <c r="J276" i="3" l="1"/>
  <c r="K287" i="3"/>
  <c r="P287" i="3"/>
  <c r="Q287" i="3" s="1"/>
  <c r="I288" i="3" l="1"/>
  <c r="L288" i="3" s="1"/>
  <c r="G277" i="3"/>
  <c r="H277" i="3" l="1"/>
  <c r="F277" i="3"/>
  <c r="J277" i="3" l="1"/>
  <c r="K288" i="3"/>
  <c r="P288" i="3"/>
  <c r="Q288" i="3" s="1"/>
  <c r="I289" i="3" l="1"/>
  <c r="L289" i="3" s="1"/>
  <c r="G278" i="3"/>
  <c r="H278" i="3" l="1"/>
  <c r="F278" i="3"/>
  <c r="J278" i="3" l="1"/>
  <c r="K289" i="3"/>
  <c r="P289" i="3"/>
  <c r="Q289" i="3" s="1"/>
  <c r="I290" i="3" l="1"/>
  <c r="L290" i="3" s="1"/>
  <c r="G279" i="3"/>
  <c r="H279" i="3" l="1"/>
  <c r="F279" i="3"/>
  <c r="J279" i="3" l="1"/>
  <c r="K290" i="3"/>
  <c r="P290" i="3"/>
  <c r="Q290" i="3" s="1"/>
  <c r="I291" i="3" l="1"/>
  <c r="L291" i="3" s="1"/>
  <c r="G280" i="3"/>
  <c r="H280" i="3" l="1"/>
  <c r="F280" i="3"/>
  <c r="J280" i="3" l="1"/>
  <c r="K291" i="3"/>
  <c r="P291" i="3"/>
  <c r="Q291" i="3" s="1"/>
  <c r="I292" i="3" l="1"/>
  <c r="L292" i="3" s="1"/>
  <c r="G281" i="3"/>
  <c r="H281" i="3" l="1"/>
  <c r="F281" i="3"/>
  <c r="J281" i="3" l="1"/>
  <c r="K292" i="3"/>
  <c r="P292" i="3"/>
  <c r="Q292" i="3" s="1"/>
  <c r="I293" i="3" l="1"/>
  <c r="L293" i="3" s="1"/>
  <c r="G282" i="3"/>
  <c r="H282" i="3" l="1"/>
  <c r="F282" i="3"/>
  <c r="J282" i="3" l="1"/>
  <c r="K293" i="3"/>
  <c r="P293" i="3"/>
  <c r="Q293" i="3" s="1"/>
  <c r="I294" i="3" l="1"/>
  <c r="L294" i="3" s="1"/>
  <c r="G283" i="3"/>
  <c r="H283" i="3" l="1"/>
  <c r="F283" i="3"/>
  <c r="J283" i="3" l="1"/>
  <c r="K294" i="3"/>
  <c r="P294" i="3"/>
  <c r="Q294" i="3" s="1"/>
  <c r="I295" i="3" l="1"/>
  <c r="L295" i="3" s="1"/>
  <c r="G284" i="3"/>
  <c r="H284" i="3" l="1"/>
  <c r="F284" i="3"/>
  <c r="J284" i="3" l="1"/>
  <c r="K295" i="3"/>
  <c r="P295" i="3"/>
  <c r="Q295" i="3" s="1"/>
  <c r="I296" i="3" l="1"/>
  <c r="L296" i="3" s="1"/>
  <c r="G285" i="3"/>
  <c r="H285" i="3" l="1"/>
  <c r="F285" i="3"/>
  <c r="J285" i="3" l="1"/>
  <c r="K296" i="3"/>
  <c r="P296" i="3"/>
  <c r="Q296" i="3" s="1"/>
  <c r="I297" i="3" l="1"/>
  <c r="L297" i="3" s="1"/>
  <c r="G286" i="3"/>
  <c r="H286" i="3" l="1"/>
  <c r="F286" i="3"/>
  <c r="J286" i="3" l="1"/>
  <c r="K297" i="3"/>
  <c r="P297" i="3"/>
  <c r="Q297" i="3" s="1"/>
  <c r="I298" i="3" l="1"/>
  <c r="L298" i="3" s="1"/>
  <c r="G287" i="3"/>
  <c r="H287" i="3" l="1"/>
  <c r="F287" i="3"/>
  <c r="J287" i="3" l="1"/>
  <c r="K298" i="3"/>
  <c r="P298" i="3"/>
  <c r="Q298" i="3" s="1"/>
  <c r="I299" i="3" l="1"/>
  <c r="L299" i="3" s="1"/>
  <c r="G288" i="3"/>
  <c r="H288" i="3" l="1"/>
  <c r="F288" i="3"/>
  <c r="J288" i="3" l="1"/>
  <c r="K299" i="3"/>
  <c r="P299" i="3"/>
  <c r="Q299" i="3" s="1"/>
  <c r="I300" i="3" l="1"/>
  <c r="L300" i="3" s="1"/>
  <c r="G289" i="3"/>
  <c r="H289" i="3" l="1"/>
  <c r="F289" i="3"/>
  <c r="J289" i="3" l="1"/>
  <c r="K300" i="3"/>
  <c r="P300" i="3"/>
  <c r="Q300" i="3" s="1"/>
  <c r="I301" i="3" l="1"/>
  <c r="L301" i="3" s="1"/>
  <c r="G290" i="3"/>
  <c r="H290" i="3" l="1"/>
  <c r="F290" i="3"/>
  <c r="J290" i="3" l="1"/>
  <c r="K301" i="3"/>
  <c r="P301" i="3"/>
  <c r="Q301" i="3" s="1"/>
  <c r="I302" i="3" l="1"/>
  <c r="L302" i="3" s="1"/>
  <c r="G291" i="3"/>
  <c r="H291" i="3" l="1"/>
  <c r="F291" i="3"/>
  <c r="J291" i="3" l="1"/>
  <c r="K302" i="3"/>
  <c r="P302" i="3"/>
  <c r="Q302" i="3" s="1"/>
  <c r="I303" i="3" l="1"/>
  <c r="L303" i="3" s="1"/>
  <c r="G292" i="3"/>
  <c r="H292" i="3" l="1"/>
  <c r="F292" i="3"/>
  <c r="J292" i="3" l="1"/>
  <c r="K303" i="3"/>
  <c r="P303" i="3"/>
  <c r="Q303" i="3" s="1"/>
  <c r="I304" i="3" l="1"/>
  <c r="L304" i="3" s="1"/>
  <c r="G293" i="3"/>
  <c r="H293" i="3" l="1"/>
  <c r="F293" i="3"/>
  <c r="J293" i="3" l="1"/>
  <c r="K304" i="3"/>
  <c r="P304" i="3"/>
  <c r="Q304" i="3" s="1"/>
  <c r="I305" i="3" l="1"/>
  <c r="L305" i="3" s="1"/>
  <c r="G294" i="3"/>
  <c r="H294" i="3" l="1"/>
  <c r="F294" i="3"/>
  <c r="J294" i="3" l="1"/>
  <c r="K305" i="3"/>
  <c r="P305" i="3"/>
  <c r="Q305" i="3" s="1"/>
  <c r="I306" i="3" l="1"/>
  <c r="L306" i="3" s="1"/>
  <c r="G295" i="3"/>
  <c r="H295" i="3" l="1"/>
  <c r="F295" i="3"/>
  <c r="J295" i="3" l="1"/>
  <c r="K306" i="3"/>
  <c r="P306" i="3"/>
  <c r="Q306" i="3" s="1"/>
  <c r="I307" i="3" l="1"/>
  <c r="L307" i="3" s="1"/>
  <c r="G296" i="3"/>
  <c r="H296" i="3" l="1"/>
  <c r="F296" i="3"/>
  <c r="J296" i="3" l="1"/>
  <c r="K307" i="3"/>
  <c r="P307" i="3"/>
  <c r="Q307" i="3" s="1"/>
  <c r="I308" i="3" l="1"/>
  <c r="L308" i="3" s="1"/>
  <c r="G297" i="3"/>
  <c r="H297" i="3" l="1"/>
  <c r="F297" i="3"/>
  <c r="J297" i="3" l="1"/>
  <c r="K308" i="3"/>
  <c r="P308" i="3"/>
  <c r="Q308" i="3" s="1"/>
  <c r="I309" i="3" l="1"/>
  <c r="L309" i="3" s="1"/>
  <c r="G298" i="3"/>
  <c r="H298" i="3" l="1"/>
  <c r="F298" i="3"/>
  <c r="J298" i="3" l="1"/>
  <c r="K309" i="3"/>
  <c r="P309" i="3"/>
  <c r="Q309" i="3" s="1"/>
  <c r="I310" i="3" l="1"/>
  <c r="L310" i="3" s="1"/>
  <c r="G299" i="3"/>
  <c r="H299" i="3" l="1"/>
  <c r="F299" i="3"/>
  <c r="J299" i="3" l="1"/>
  <c r="K310" i="3"/>
  <c r="P310" i="3"/>
  <c r="Q310" i="3" s="1"/>
  <c r="I311" i="3" l="1"/>
  <c r="L311" i="3" s="1"/>
  <c r="G300" i="3"/>
  <c r="H300" i="3" l="1"/>
  <c r="F300" i="3"/>
  <c r="J300" i="3" l="1"/>
  <c r="K311" i="3"/>
  <c r="P311" i="3"/>
  <c r="Q311" i="3" s="1"/>
  <c r="I312" i="3" l="1"/>
  <c r="L312" i="3" s="1"/>
  <c r="G301" i="3"/>
  <c r="H301" i="3" l="1"/>
  <c r="F301" i="3"/>
  <c r="J301" i="3" l="1"/>
  <c r="K312" i="3"/>
  <c r="P312" i="3"/>
  <c r="Q312" i="3" s="1"/>
  <c r="I313" i="3" l="1"/>
  <c r="L313" i="3" s="1"/>
  <c r="G302" i="3"/>
  <c r="H302" i="3" l="1"/>
  <c r="F302" i="3"/>
  <c r="J302" i="3" l="1"/>
  <c r="K313" i="3"/>
  <c r="P313" i="3"/>
  <c r="Q313" i="3" s="1"/>
  <c r="I314" i="3" l="1"/>
  <c r="L314" i="3" s="1"/>
  <c r="G303" i="3"/>
  <c r="H303" i="3" l="1"/>
  <c r="F303" i="3"/>
  <c r="J303" i="3" l="1"/>
  <c r="K314" i="3"/>
  <c r="P314" i="3"/>
  <c r="Q314" i="3" s="1"/>
  <c r="I315" i="3" l="1"/>
  <c r="L315" i="3" s="1"/>
  <c r="G304" i="3"/>
  <c r="H304" i="3" l="1"/>
  <c r="F304" i="3"/>
  <c r="J304" i="3" l="1"/>
  <c r="K315" i="3"/>
  <c r="P315" i="3"/>
  <c r="Q315" i="3" s="1"/>
  <c r="I316" i="3" l="1"/>
  <c r="L316" i="3" s="1"/>
  <c r="G305" i="3"/>
  <c r="H305" i="3" l="1"/>
  <c r="F305" i="3"/>
  <c r="J305" i="3" l="1"/>
  <c r="K316" i="3"/>
  <c r="P316" i="3"/>
  <c r="Q316" i="3" s="1"/>
  <c r="I317" i="3" l="1"/>
  <c r="L317" i="3" s="1"/>
  <c r="G306" i="3"/>
  <c r="H306" i="3" l="1"/>
  <c r="F306" i="3"/>
  <c r="J306" i="3" l="1"/>
  <c r="K317" i="3"/>
  <c r="P317" i="3"/>
  <c r="Q317" i="3" s="1"/>
  <c r="I318" i="3" l="1"/>
  <c r="L318" i="3" s="1"/>
  <c r="G307" i="3"/>
  <c r="H307" i="3" l="1"/>
  <c r="F307" i="3"/>
  <c r="J307" i="3" l="1"/>
  <c r="K318" i="3"/>
  <c r="P318" i="3"/>
  <c r="Q318" i="3" s="1"/>
  <c r="I319" i="3" l="1"/>
  <c r="L319" i="3" s="1"/>
  <c r="G308" i="3"/>
  <c r="H308" i="3" l="1"/>
  <c r="F308" i="3"/>
  <c r="J308" i="3" l="1"/>
  <c r="K319" i="3"/>
  <c r="P319" i="3"/>
  <c r="Q319" i="3" s="1"/>
  <c r="I320" i="3" l="1"/>
  <c r="L320" i="3" s="1"/>
  <c r="G309" i="3"/>
  <c r="H309" i="3" l="1"/>
  <c r="F309" i="3"/>
  <c r="J309" i="3" l="1"/>
  <c r="K320" i="3"/>
  <c r="P320" i="3"/>
  <c r="Q320" i="3" s="1"/>
  <c r="I321" i="3" l="1"/>
  <c r="L321" i="3" s="1"/>
  <c r="G310" i="3"/>
  <c r="H310" i="3" l="1"/>
  <c r="F310" i="3"/>
  <c r="J310" i="3" l="1"/>
  <c r="K321" i="3"/>
  <c r="P321" i="3"/>
  <c r="Q321" i="3" s="1"/>
  <c r="I322" i="3" l="1"/>
  <c r="L322" i="3" s="1"/>
  <c r="G311" i="3"/>
  <c r="H311" i="3" l="1"/>
  <c r="F311" i="3"/>
  <c r="J311" i="3" l="1"/>
  <c r="K322" i="3"/>
  <c r="P322" i="3"/>
  <c r="Q322" i="3" s="1"/>
  <c r="I323" i="3" l="1"/>
  <c r="L323" i="3" s="1"/>
  <c r="G312" i="3"/>
  <c r="H312" i="3" l="1"/>
  <c r="F312" i="3"/>
  <c r="J312" i="3" l="1"/>
  <c r="K323" i="3"/>
  <c r="P323" i="3"/>
  <c r="Q323" i="3" s="1"/>
  <c r="I324" i="3" l="1"/>
  <c r="L324" i="3" s="1"/>
  <c r="G313" i="3"/>
  <c r="H313" i="3" l="1"/>
  <c r="F313" i="3"/>
  <c r="J313" i="3" l="1"/>
  <c r="K324" i="3"/>
  <c r="P324" i="3"/>
  <c r="Q324" i="3" s="1"/>
  <c r="I325" i="3" l="1"/>
  <c r="L325" i="3" s="1"/>
  <c r="G314" i="3"/>
  <c r="H314" i="3" l="1"/>
  <c r="F314" i="3"/>
  <c r="J314" i="3" l="1"/>
  <c r="K325" i="3"/>
  <c r="P325" i="3"/>
  <c r="Q325" i="3" s="1"/>
  <c r="I326" i="3" l="1"/>
  <c r="L326" i="3" s="1"/>
  <c r="G315" i="3"/>
  <c r="H315" i="3" l="1"/>
  <c r="F315" i="3"/>
  <c r="J315" i="3" l="1"/>
  <c r="K326" i="3"/>
  <c r="P326" i="3"/>
  <c r="Q326" i="3" s="1"/>
  <c r="I327" i="3" l="1"/>
  <c r="L327" i="3" s="1"/>
  <c r="G316" i="3"/>
  <c r="H316" i="3" l="1"/>
  <c r="F316" i="3"/>
  <c r="J316" i="3" l="1"/>
  <c r="K327" i="3"/>
  <c r="P327" i="3"/>
  <c r="Q327" i="3" s="1"/>
  <c r="I328" i="3" l="1"/>
  <c r="L328" i="3" s="1"/>
  <c r="G317" i="3"/>
  <c r="H317" i="3" l="1"/>
  <c r="F317" i="3"/>
  <c r="J317" i="3" l="1"/>
  <c r="K328" i="3"/>
  <c r="P328" i="3"/>
  <c r="Q328" i="3" s="1"/>
  <c r="I329" i="3" l="1"/>
  <c r="L329" i="3" s="1"/>
  <c r="G318" i="3"/>
  <c r="H318" i="3" l="1"/>
  <c r="F318" i="3"/>
  <c r="J318" i="3" l="1"/>
  <c r="K329" i="3"/>
  <c r="P329" i="3"/>
  <c r="Q329" i="3" s="1"/>
  <c r="I330" i="3" l="1"/>
  <c r="L330" i="3" s="1"/>
  <c r="G319" i="3"/>
  <c r="H319" i="3" l="1"/>
  <c r="F319" i="3"/>
  <c r="J319" i="3" l="1"/>
  <c r="K330" i="3"/>
  <c r="P330" i="3"/>
  <c r="Q330" i="3" s="1"/>
  <c r="I331" i="3" l="1"/>
  <c r="L331" i="3" s="1"/>
  <c r="G320" i="3"/>
  <c r="H320" i="3" l="1"/>
  <c r="F320" i="3"/>
  <c r="J320" i="3" l="1"/>
  <c r="K331" i="3"/>
  <c r="P331" i="3"/>
  <c r="Q331" i="3" s="1"/>
  <c r="I332" i="3" l="1"/>
  <c r="L332" i="3" s="1"/>
  <c r="G321" i="3"/>
  <c r="H321" i="3" l="1"/>
  <c r="F321" i="3"/>
  <c r="J321" i="3" l="1"/>
  <c r="K332" i="3"/>
  <c r="P332" i="3"/>
  <c r="Q332" i="3" s="1"/>
  <c r="I333" i="3" l="1"/>
  <c r="L333" i="3" s="1"/>
  <c r="G322" i="3"/>
  <c r="H322" i="3" l="1"/>
  <c r="F322" i="3"/>
  <c r="J322" i="3" l="1"/>
  <c r="K333" i="3"/>
  <c r="P333" i="3"/>
  <c r="Q333" i="3" s="1"/>
  <c r="I334" i="3" l="1"/>
  <c r="L334" i="3" s="1"/>
  <c r="G323" i="3"/>
  <c r="H323" i="3" l="1"/>
  <c r="F323" i="3"/>
  <c r="J323" i="3" l="1"/>
  <c r="K334" i="3"/>
  <c r="P334" i="3"/>
  <c r="Q334" i="3" s="1"/>
  <c r="I335" i="3" l="1"/>
  <c r="L335" i="3" s="1"/>
  <c r="G324" i="3"/>
  <c r="H324" i="3" l="1"/>
  <c r="F324" i="3"/>
  <c r="J324" i="3" l="1"/>
  <c r="K335" i="3"/>
  <c r="P335" i="3"/>
  <c r="Q335" i="3" s="1"/>
  <c r="I336" i="3" l="1"/>
  <c r="L336" i="3" s="1"/>
  <c r="G325" i="3"/>
  <c r="H325" i="3" l="1"/>
  <c r="F325" i="3"/>
  <c r="J325" i="3" l="1"/>
  <c r="K336" i="3"/>
  <c r="P336" i="3"/>
  <c r="Q336" i="3" s="1"/>
  <c r="I337" i="3" l="1"/>
  <c r="L337" i="3" s="1"/>
  <c r="G326" i="3"/>
  <c r="H326" i="3" l="1"/>
  <c r="F326" i="3"/>
  <c r="J326" i="3" l="1"/>
  <c r="K337" i="3"/>
  <c r="P337" i="3"/>
  <c r="Q337" i="3" s="1"/>
  <c r="I338" i="3" l="1"/>
  <c r="L338" i="3" s="1"/>
  <c r="G327" i="3"/>
  <c r="H327" i="3" l="1"/>
  <c r="F327" i="3"/>
  <c r="J327" i="3" l="1"/>
  <c r="K338" i="3"/>
  <c r="P338" i="3"/>
  <c r="Q338" i="3" s="1"/>
  <c r="I339" i="3" l="1"/>
  <c r="L339" i="3" s="1"/>
  <c r="G328" i="3"/>
  <c r="H328" i="3" l="1"/>
  <c r="F328" i="3"/>
  <c r="J328" i="3" l="1"/>
  <c r="K339" i="3"/>
  <c r="P339" i="3"/>
  <c r="Q339" i="3" s="1"/>
  <c r="I340" i="3" l="1"/>
  <c r="L340" i="3" s="1"/>
  <c r="G329" i="3"/>
  <c r="H329" i="3" l="1"/>
  <c r="F329" i="3"/>
  <c r="J329" i="3" l="1"/>
  <c r="K340" i="3"/>
  <c r="P340" i="3"/>
  <c r="Q340" i="3" s="1"/>
  <c r="I341" i="3" l="1"/>
  <c r="L341" i="3" s="1"/>
  <c r="G330" i="3"/>
  <c r="H330" i="3" l="1"/>
  <c r="F330" i="3"/>
  <c r="J330" i="3" l="1"/>
  <c r="K341" i="3"/>
  <c r="P341" i="3"/>
  <c r="Q341" i="3" s="1"/>
  <c r="I342" i="3" l="1"/>
  <c r="L342" i="3" s="1"/>
  <c r="G331" i="3"/>
  <c r="H331" i="3" l="1"/>
  <c r="F331" i="3"/>
  <c r="J331" i="3" l="1"/>
  <c r="K342" i="3"/>
  <c r="P342" i="3"/>
  <c r="Q342" i="3" s="1"/>
  <c r="I343" i="3" l="1"/>
  <c r="L343" i="3" s="1"/>
  <c r="G332" i="3"/>
  <c r="H332" i="3" l="1"/>
  <c r="F332" i="3"/>
  <c r="J332" i="3" l="1"/>
  <c r="K343" i="3"/>
  <c r="P343" i="3"/>
  <c r="Q343" i="3" s="1"/>
  <c r="I344" i="3" l="1"/>
  <c r="L344" i="3" s="1"/>
  <c r="G333" i="3"/>
  <c r="H333" i="3" l="1"/>
  <c r="F333" i="3"/>
  <c r="J333" i="3" l="1"/>
  <c r="K344" i="3"/>
  <c r="P344" i="3"/>
  <c r="Q344" i="3" s="1"/>
  <c r="I345" i="3" l="1"/>
  <c r="L345" i="3" s="1"/>
  <c r="G334" i="3"/>
  <c r="H334" i="3" l="1"/>
  <c r="F334" i="3"/>
  <c r="J334" i="3" l="1"/>
  <c r="K345" i="3"/>
  <c r="P345" i="3"/>
  <c r="Q345" i="3" s="1"/>
  <c r="I346" i="3" l="1"/>
  <c r="L346" i="3" s="1"/>
  <c r="G335" i="3"/>
  <c r="H335" i="3" l="1"/>
  <c r="F335" i="3"/>
  <c r="J335" i="3" l="1"/>
  <c r="K346" i="3"/>
  <c r="P346" i="3"/>
  <c r="Q346" i="3" s="1"/>
  <c r="I347" i="3" l="1"/>
  <c r="L347" i="3" s="1"/>
  <c r="G336" i="3"/>
  <c r="H336" i="3" l="1"/>
  <c r="F336" i="3"/>
  <c r="J336" i="3" l="1"/>
  <c r="K347" i="3"/>
  <c r="P347" i="3"/>
  <c r="Q347" i="3" s="1"/>
  <c r="I348" i="3" l="1"/>
  <c r="L348" i="3" s="1"/>
  <c r="G337" i="3"/>
  <c r="H337" i="3" l="1"/>
  <c r="F337" i="3"/>
  <c r="J337" i="3" l="1"/>
  <c r="K348" i="3"/>
  <c r="P348" i="3"/>
  <c r="Q348" i="3" s="1"/>
  <c r="I349" i="3" l="1"/>
  <c r="L349" i="3" s="1"/>
  <c r="G338" i="3"/>
  <c r="H338" i="3" l="1"/>
  <c r="F338" i="3"/>
  <c r="J338" i="3" l="1"/>
  <c r="K349" i="3"/>
  <c r="P349" i="3"/>
  <c r="Q349" i="3" s="1"/>
  <c r="I350" i="3" l="1"/>
  <c r="L350" i="3" s="1"/>
  <c r="G339" i="3"/>
  <c r="H339" i="3" l="1"/>
  <c r="F339" i="3"/>
  <c r="J339" i="3" l="1"/>
  <c r="K350" i="3"/>
  <c r="P350" i="3"/>
  <c r="Q350" i="3" s="1"/>
  <c r="I351" i="3" l="1"/>
  <c r="L351" i="3" s="1"/>
  <c r="G340" i="3"/>
  <c r="H340" i="3" l="1"/>
  <c r="F340" i="3"/>
  <c r="J340" i="3" l="1"/>
  <c r="K351" i="3"/>
  <c r="P351" i="3"/>
  <c r="Q351" i="3" s="1"/>
  <c r="I352" i="3" l="1"/>
  <c r="L352" i="3" s="1"/>
  <c r="G341" i="3"/>
  <c r="H341" i="3" l="1"/>
  <c r="F341" i="3"/>
  <c r="J341" i="3" l="1"/>
  <c r="K352" i="3"/>
  <c r="P352" i="3"/>
  <c r="Q352" i="3" s="1"/>
  <c r="I353" i="3" l="1"/>
  <c r="L353" i="3" s="1"/>
  <c r="G342" i="3"/>
  <c r="H342" i="3" l="1"/>
  <c r="F342" i="3"/>
  <c r="J342" i="3" l="1"/>
  <c r="K353" i="3"/>
  <c r="P353" i="3"/>
  <c r="Q353" i="3" s="1"/>
  <c r="I354" i="3" l="1"/>
  <c r="L354" i="3" s="1"/>
  <c r="G343" i="3"/>
  <c r="H343" i="3" l="1"/>
  <c r="F343" i="3"/>
  <c r="J343" i="3" l="1"/>
  <c r="K354" i="3"/>
  <c r="P354" i="3"/>
  <c r="Q354" i="3" s="1"/>
  <c r="I355" i="3" l="1"/>
  <c r="L355" i="3" s="1"/>
  <c r="G344" i="3"/>
  <c r="H344" i="3" l="1"/>
  <c r="F344" i="3"/>
  <c r="J344" i="3" l="1"/>
  <c r="K355" i="3"/>
  <c r="P355" i="3"/>
  <c r="Q355" i="3" s="1"/>
  <c r="I356" i="3" l="1"/>
  <c r="L356" i="3" s="1"/>
  <c r="G345" i="3"/>
  <c r="H345" i="3" l="1"/>
  <c r="F345" i="3"/>
  <c r="J345" i="3" l="1"/>
  <c r="K356" i="3"/>
  <c r="P356" i="3"/>
  <c r="Q356" i="3" s="1"/>
  <c r="I357" i="3" l="1"/>
  <c r="L357" i="3" s="1"/>
  <c r="G346" i="3"/>
  <c r="H346" i="3" l="1"/>
  <c r="F346" i="3"/>
  <c r="J346" i="3" l="1"/>
  <c r="K357" i="3"/>
  <c r="P357" i="3"/>
  <c r="Q357" i="3" s="1"/>
  <c r="I358" i="3" l="1"/>
  <c r="L358" i="3" s="1"/>
  <c r="G347" i="3"/>
  <c r="H347" i="3" l="1"/>
  <c r="F347" i="3"/>
  <c r="J347" i="3" l="1"/>
  <c r="K358" i="3"/>
  <c r="P358" i="3"/>
  <c r="Q358" i="3" s="1"/>
  <c r="I359" i="3" l="1"/>
  <c r="L359" i="3" s="1"/>
  <c r="G348" i="3"/>
  <c r="H348" i="3" l="1"/>
  <c r="F348" i="3"/>
  <c r="J348" i="3" l="1"/>
  <c r="K359" i="3"/>
  <c r="P359" i="3"/>
  <c r="Q359" i="3" s="1"/>
  <c r="I360" i="3" l="1"/>
  <c r="L360" i="3" s="1"/>
  <c r="G349" i="3"/>
  <c r="H349" i="3" l="1"/>
  <c r="F349" i="3"/>
  <c r="J349" i="3" l="1"/>
  <c r="K360" i="3"/>
  <c r="P360" i="3"/>
  <c r="Q360" i="3" s="1"/>
  <c r="I361" i="3" l="1"/>
  <c r="L361" i="3" s="1"/>
  <c r="G350" i="3"/>
  <c r="H350" i="3" l="1"/>
  <c r="F350" i="3"/>
  <c r="J350" i="3" l="1"/>
  <c r="K361" i="3"/>
  <c r="P361" i="3"/>
  <c r="Q361" i="3" s="1"/>
  <c r="I362" i="3" l="1"/>
  <c r="L362" i="3" s="1"/>
  <c r="G351" i="3"/>
  <c r="H351" i="3" l="1"/>
  <c r="F351" i="3"/>
  <c r="J351" i="3" l="1"/>
  <c r="K362" i="3"/>
  <c r="P362" i="3"/>
  <c r="Q362" i="3" s="1"/>
  <c r="I363" i="3" l="1"/>
  <c r="L363" i="3" s="1"/>
  <c r="G352" i="3"/>
  <c r="H352" i="3" l="1"/>
  <c r="F352" i="3"/>
  <c r="J352" i="3" l="1"/>
  <c r="K363" i="3"/>
  <c r="P363" i="3"/>
  <c r="Q363" i="3" s="1"/>
  <c r="I364" i="3" l="1"/>
  <c r="L364" i="3" s="1"/>
  <c r="G353" i="3"/>
  <c r="H353" i="3" l="1"/>
  <c r="F353" i="3"/>
  <c r="J353" i="3" l="1"/>
  <c r="K364" i="3"/>
  <c r="P364" i="3"/>
  <c r="Q364" i="3" s="1"/>
  <c r="I365" i="3" l="1"/>
  <c r="L365" i="3" s="1"/>
  <c r="G354" i="3"/>
  <c r="H354" i="3" l="1"/>
  <c r="F354" i="3"/>
  <c r="J354" i="3" l="1"/>
  <c r="K365" i="3"/>
  <c r="P365" i="3"/>
  <c r="Q365" i="3" s="1"/>
  <c r="I366" i="3" l="1"/>
  <c r="L366" i="3" s="1"/>
  <c r="G355" i="3"/>
  <c r="H355" i="3" l="1"/>
  <c r="F355" i="3"/>
  <c r="J355" i="3" l="1"/>
  <c r="K366" i="3"/>
  <c r="P366" i="3"/>
  <c r="Q366" i="3" s="1"/>
  <c r="I367" i="3" l="1"/>
  <c r="L367" i="3" s="1"/>
  <c r="G356" i="3"/>
  <c r="H356" i="3" l="1"/>
  <c r="F356" i="3"/>
  <c r="J356" i="3" l="1"/>
  <c r="K367" i="3"/>
  <c r="P367" i="3"/>
  <c r="Q367" i="3" s="1"/>
  <c r="I368" i="3" l="1"/>
  <c r="L368" i="3" s="1"/>
  <c r="G357" i="3"/>
  <c r="H357" i="3" l="1"/>
  <c r="F357" i="3"/>
  <c r="J357" i="3" l="1"/>
  <c r="K368" i="3"/>
  <c r="P368" i="3"/>
  <c r="Q368" i="3" s="1"/>
  <c r="I369" i="3" l="1"/>
  <c r="L369" i="3" s="1"/>
  <c r="G358" i="3"/>
  <c r="H358" i="3" l="1"/>
  <c r="F358" i="3"/>
  <c r="J358" i="3" l="1"/>
  <c r="K369" i="3"/>
  <c r="P369" i="3"/>
  <c r="Q369" i="3" s="1"/>
  <c r="I370" i="3" l="1"/>
  <c r="L370" i="3" s="1"/>
  <c r="G359" i="3"/>
  <c r="H359" i="3" l="1"/>
  <c r="F359" i="3"/>
  <c r="J359" i="3" l="1"/>
  <c r="K370" i="3"/>
  <c r="P370" i="3"/>
  <c r="Q370" i="3" s="1"/>
  <c r="I371" i="3" l="1"/>
  <c r="L371" i="3" s="1"/>
  <c r="G360" i="3"/>
  <c r="H360" i="3" l="1"/>
  <c r="F360" i="3"/>
  <c r="J360" i="3" l="1"/>
  <c r="K371" i="3"/>
  <c r="P371" i="3"/>
  <c r="Q371" i="3" s="1"/>
  <c r="I372" i="3" l="1"/>
  <c r="L372" i="3" s="1"/>
  <c r="G361" i="3"/>
  <c r="H361" i="3" l="1"/>
  <c r="F361" i="3"/>
  <c r="J361" i="3" l="1"/>
  <c r="K372" i="3"/>
  <c r="P372" i="3"/>
  <c r="Q372" i="3" s="1"/>
  <c r="I373" i="3" l="1"/>
  <c r="L373" i="3" s="1"/>
  <c r="G362" i="3"/>
  <c r="H362" i="3" l="1"/>
  <c r="F362" i="3"/>
  <c r="J362" i="3" l="1"/>
  <c r="K373" i="3"/>
  <c r="P373" i="3"/>
  <c r="Q373" i="3" s="1"/>
  <c r="I374" i="3" l="1"/>
  <c r="L374" i="3" s="1"/>
  <c r="G363" i="3"/>
  <c r="H363" i="3" l="1"/>
  <c r="F363" i="3"/>
  <c r="J363" i="3" l="1"/>
  <c r="K374" i="3"/>
  <c r="P374" i="3"/>
  <c r="Q374" i="3" s="1"/>
  <c r="I375" i="3" l="1"/>
  <c r="L375" i="3" s="1"/>
  <c r="G364" i="3"/>
  <c r="H364" i="3" l="1"/>
  <c r="F364" i="3"/>
  <c r="J364" i="3" l="1"/>
  <c r="K375" i="3"/>
  <c r="P375" i="3"/>
  <c r="Q375" i="3" s="1"/>
  <c r="I376" i="3" l="1"/>
  <c r="L376" i="3" s="1"/>
  <c r="G365" i="3"/>
  <c r="H365" i="3" l="1"/>
  <c r="F365" i="3"/>
  <c r="J365" i="3" l="1"/>
  <c r="K376" i="3"/>
  <c r="P376" i="3"/>
  <c r="Q376" i="3" s="1"/>
  <c r="I377" i="3" l="1"/>
  <c r="L377" i="3" s="1"/>
  <c r="G366" i="3"/>
  <c r="H366" i="3" l="1"/>
  <c r="F366" i="3"/>
  <c r="J366" i="3" l="1"/>
  <c r="K377" i="3"/>
  <c r="P377" i="3"/>
  <c r="Q377" i="3" s="1"/>
  <c r="I378" i="3" l="1"/>
  <c r="L378" i="3" s="1"/>
  <c r="G367" i="3"/>
  <c r="H367" i="3" l="1"/>
  <c r="F367" i="3"/>
  <c r="J367" i="3" l="1"/>
  <c r="K378" i="3"/>
  <c r="P378" i="3"/>
  <c r="Q378" i="3" s="1"/>
  <c r="I379" i="3" l="1"/>
  <c r="L379" i="3" s="1"/>
  <c r="G368" i="3"/>
  <c r="H368" i="3" l="1"/>
  <c r="F368" i="3"/>
  <c r="J368" i="3" l="1"/>
  <c r="K379" i="3"/>
  <c r="P379" i="3"/>
  <c r="Q379" i="3" s="1"/>
  <c r="I380" i="3" l="1"/>
  <c r="L380" i="3" s="1"/>
  <c r="G369" i="3"/>
  <c r="H369" i="3" l="1"/>
  <c r="F369" i="3"/>
  <c r="J369" i="3" l="1"/>
  <c r="K380" i="3"/>
  <c r="P380" i="3"/>
  <c r="Q380" i="3" s="1"/>
  <c r="I381" i="3" l="1"/>
  <c r="L381" i="3" s="1"/>
  <c r="G370" i="3"/>
  <c r="H370" i="3" l="1"/>
  <c r="F370" i="3"/>
  <c r="J370" i="3" l="1"/>
  <c r="K381" i="3"/>
  <c r="P381" i="3"/>
  <c r="Q381" i="3" s="1"/>
  <c r="I382" i="3" l="1"/>
  <c r="L382" i="3" s="1"/>
  <c r="G371" i="3"/>
  <c r="H371" i="3" l="1"/>
  <c r="F371" i="3"/>
  <c r="J371" i="3" l="1"/>
  <c r="K382" i="3"/>
  <c r="P382" i="3"/>
  <c r="Q382" i="3" s="1"/>
  <c r="I383" i="3" l="1"/>
  <c r="L383" i="3" s="1"/>
  <c r="G372" i="3"/>
  <c r="H372" i="3" l="1"/>
  <c r="F372" i="3"/>
  <c r="J372" i="3" l="1"/>
  <c r="K383" i="3"/>
  <c r="P383" i="3"/>
  <c r="Q383" i="3" s="1"/>
  <c r="I384" i="3" l="1"/>
  <c r="L384" i="3" s="1"/>
  <c r="G373" i="3"/>
  <c r="H373" i="3" l="1"/>
  <c r="F373" i="3"/>
  <c r="J373" i="3" l="1"/>
  <c r="K384" i="3"/>
  <c r="P384" i="3"/>
  <c r="Q384" i="3" s="1"/>
  <c r="I385" i="3" l="1"/>
  <c r="L385" i="3" s="1"/>
  <c r="G374" i="3"/>
  <c r="H374" i="3" l="1"/>
  <c r="F374" i="3"/>
  <c r="J374" i="3" l="1"/>
  <c r="K385" i="3"/>
  <c r="P385" i="3"/>
  <c r="Q385" i="3" s="1"/>
  <c r="I386" i="3" l="1"/>
  <c r="L386" i="3" s="1"/>
  <c r="G375" i="3"/>
  <c r="H375" i="3" l="1"/>
  <c r="F375" i="3"/>
  <c r="J375" i="3" l="1"/>
  <c r="K386" i="3"/>
  <c r="P386" i="3"/>
  <c r="Q386" i="3" s="1"/>
  <c r="I387" i="3" l="1"/>
  <c r="L387" i="3" s="1"/>
  <c r="G376" i="3"/>
  <c r="H376" i="3" l="1"/>
  <c r="F376" i="3"/>
  <c r="J376" i="3" l="1"/>
  <c r="K387" i="3"/>
  <c r="P387" i="3"/>
  <c r="Q387" i="3" s="1"/>
  <c r="I388" i="3" l="1"/>
  <c r="L388" i="3" s="1"/>
  <c r="G377" i="3"/>
  <c r="H377" i="3" l="1"/>
  <c r="F377" i="3"/>
  <c r="J377" i="3" l="1"/>
  <c r="K388" i="3"/>
  <c r="P388" i="3"/>
  <c r="Q388" i="3" s="1"/>
  <c r="I389" i="3" l="1"/>
  <c r="L389" i="3" s="1"/>
  <c r="G378" i="3"/>
  <c r="H378" i="3" l="1"/>
  <c r="F378" i="3"/>
  <c r="J378" i="3" l="1"/>
  <c r="K389" i="3"/>
  <c r="P389" i="3"/>
  <c r="Q389" i="3" s="1"/>
  <c r="I390" i="3" l="1"/>
  <c r="L390" i="3" s="1"/>
  <c r="G379" i="3"/>
  <c r="H379" i="3" l="1"/>
  <c r="F379" i="3"/>
  <c r="J379" i="3" l="1"/>
  <c r="K390" i="3"/>
  <c r="P390" i="3"/>
  <c r="Q390" i="3" s="1"/>
  <c r="I391" i="3" l="1"/>
  <c r="L391" i="3" s="1"/>
  <c r="G380" i="3"/>
  <c r="H380" i="3" l="1"/>
  <c r="F380" i="3"/>
  <c r="J380" i="3" l="1"/>
  <c r="K391" i="3"/>
  <c r="P391" i="3"/>
  <c r="Q391" i="3" s="1"/>
  <c r="I392" i="3" l="1"/>
  <c r="L392" i="3" s="1"/>
  <c r="G381" i="3"/>
  <c r="H381" i="3" l="1"/>
  <c r="F381" i="3"/>
  <c r="J381" i="3" l="1"/>
  <c r="K392" i="3"/>
  <c r="P392" i="3"/>
  <c r="Q392" i="3" s="1"/>
  <c r="I393" i="3" l="1"/>
  <c r="L393" i="3" s="1"/>
  <c r="G382" i="3"/>
  <c r="H382" i="3" l="1"/>
  <c r="F382" i="3"/>
  <c r="J382" i="3" l="1"/>
  <c r="K393" i="3"/>
  <c r="P393" i="3"/>
  <c r="Q393" i="3" s="1"/>
  <c r="I394" i="3" l="1"/>
  <c r="L394" i="3" s="1"/>
  <c r="G383" i="3"/>
  <c r="H383" i="3" l="1"/>
  <c r="F383" i="3"/>
  <c r="J383" i="3" l="1"/>
  <c r="K394" i="3"/>
  <c r="P394" i="3"/>
  <c r="Q394" i="3" s="1"/>
  <c r="I395" i="3" l="1"/>
  <c r="L395" i="3" s="1"/>
  <c r="G384" i="3"/>
  <c r="H384" i="3" l="1"/>
  <c r="F384" i="3"/>
  <c r="J384" i="3" l="1"/>
  <c r="K395" i="3"/>
  <c r="P395" i="3"/>
  <c r="Q395" i="3" s="1"/>
  <c r="I396" i="3" l="1"/>
  <c r="L396" i="3" s="1"/>
  <c r="G385" i="3"/>
  <c r="H385" i="3" l="1"/>
  <c r="F385" i="3"/>
  <c r="J385" i="3" l="1"/>
  <c r="K396" i="3"/>
  <c r="P396" i="3"/>
  <c r="Q396" i="3" s="1"/>
  <c r="I397" i="3" l="1"/>
  <c r="L397" i="3" s="1"/>
  <c r="G386" i="3"/>
  <c r="H386" i="3" l="1"/>
  <c r="F386" i="3"/>
  <c r="J386" i="3" l="1"/>
  <c r="K397" i="3"/>
  <c r="P397" i="3"/>
  <c r="Q397" i="3" s="1"/>
  <c r="I398" i="3" l="1"/>
  <c r="L398" i="3" s="1"/>
  <c r="G387" i="3"/>
  <c r="H387" i="3" l="1"/>
  <c r="F387" i="3"/>
  <c r="J387" i="3" l="1"/>
  <c r="K398" i="3"/>
  <c r="P398" i="3"/>
  <c r="Q398" i="3" s="1"/>
  <c r="I399" i="3" l="1"/>
  <c r="L399" i="3" s="1"/>
  <c r="G388" i="3"/>
  <c r="H388" i="3" l="1"/>
  <c r="F388" i="3"/>
  <c r="J388" i="3" l="1"/>
  <c r="K399" i="3"/>
  <c r="P399" i="3"/>
  <c r="Q399" i="3" s="1"/>
  <c r="I400" i="3" l="1"/>
  <c r="L400" i="3" s="1"/>
  <c r="G389" i="3"/>
  <c r="H389" i="3" l="1"/>
  <c r="F389" i="3"/>
  <c r="J389" i="3" l="1"/>
  <c r="K400" i="3"/>
  <c r="P400" i="3"/>
  <c r="Q400" i="3" s="1"/>
  <c r="I401" i="3" l="1"/>
  <c r="L401" i="3" s="1"/>
  <c r="G390" i="3"/>
  <c r="H390" i="3" l="1"/>
  <c r="F390" i="3"/>
  <c r="J390" i="3" l="1"/>
  <c r="K401" i="3"/>
  <c r="P401" i="3"/>
  <c r="Q401" i="3" s="1"/>
  <c r="I402" i="3" l="1"/>
  <c r="L402" i="3" s="1"/>
  <c r="G391" i="3"/>
  <c r="H391" i="3" l="1"/>
  <c r="F391" i="3"/>
  <c r="J391" i="3" l="1"/>
  <c r="K402" i="3"/>
  <c r="P402" i="3"/>
  <c r="Q402" i="3" s="1"/>
  <c r="I403" i="3" l="1"/>
  <c r="L403" i="3" s="1"/>
  <c r="G392" i="3"/>
  <c r="H392" i="3" l="1"/>
  <c r="F392" i="3"/>
  <c r="J392" i="3" l="1"/>
  <c r="K403" i="3"/>
  <c r="P403" i="3"/>
  <c r="Q403" i="3" s="1"/>
  <c r="I404" i="3" l="1"/>
  <c r="L404" i="3" s="1"/>
  <c r="G393" i="3"/>
  <c r="H393" i="3" l="1"/>
  <c r="F393" i="3"/>
  <c r="J393" i="3" l="1"/>
  <c r="K404" i="3"/>
  <c r="P404" i="3"/>
  <c r="Q404" i="3" s="1"/>
  <c r="I405" i="3" l="1"/>
  <c r="L405" i="3" s="1"/>
  <c r="G394" i="3"/>
  <c r="H394" i="3" l="1"/>
  <c r="F394" i="3"/>
  <c r="J394" i="3" l="1"/>
  <c r="K405" i="3"/>
  <c r="P405" i="3"/>
  <c r="Q405" i="3" s="1"/>
  <c r="I406" i="3" l="1"/>
  <c r="L406" i="3" s="1"/>
  <c r="G395" i="3"/>
  <c r="H395" i="3" l="1"/>
  <c r="F395" i="3"/>
  <c r="J395" i="3" l="1"/>
  <c r="K406" i="3"/>
  <c r="P406" i="3"/>
  <c r="Q406" i="3" s="1"/>
  <c r="I407" i="3" l="1"/>
  <c r="L407" i="3" s="1"/>
  <c r="G396" i="3"/>
  <c r="H396" i="3" l="1"/>
  <c r="F396" i="3"/>
  <c r="J396" i="3" l="1"/>
  <c r="K407" i="3"/>
  <c r="P407" i="3"/>
  <c r="Q407" i="3" s="1"/>
  <c r="I408" i="3" l="1"/>
  <c r="L408" i="3" s="1"/>
  <c r="G397" i="3"/>
  <c r="H397" i="3" l="1"/>
  <c r="F397" i="3"/>
  <c r="J397" i="3" l="1"/>
  <c r="K408" i="3"/>
  <c r="P408" i="3"/>
  <c r="Q408" i="3" s="1"/>
  <c r="I409" i="3" l="1"/>
  <c r="L409" i="3" s="1"/>
  <c r="G398" i="3"/>
  <c r="H398" i="3" l="1"/>
  <c r="F398" i="3"/>
  <c r="J398" i="3" l="1"/>
  <c r="K409" i="3"/>
  <c r="P409" i="3"/>
  <c r="Q409" i="3" s="1"/>
  <c r="I410" i="3" l="1"/>
  <c r="L410" i="3" s="1"/>
  <c r="G399" i="3"/>
  <c r="H399" i="3" l="1"/>
  <c r="F399" i="3"/>
  <c r="J399" i="3" l="1"/>
  <c r="K410" i="3"/>
  <c r="P410" i="3"/>
  <c r="Q410" i="3" s="1"/>
  <c r="I411" i="3" l="1"/>
  <c r="L411" i="3" s="1"/>
  <c r="G400" i="3"/>
  <c r="H400" i="3" l="1"/>
  <c r="F400" i="3"/>
  <c r="J400" i="3" l="1"/>
  <c r="K411" i="3"/>
  <c r="P411" i="3"/>
  <c r="Q411" i="3" s="1"/>
  <c r="I412" i="3" l="1"/>
  <c r="L412" i="3" s="1"/>
  <c r="G401" i="3"/>
  <c r="H401" i="3" l="1"/>
  <c r="F401" i="3"/>
  <c r="J401" i="3" l="1"/>
  <c r="K412" i="3"/>
  <c r="P412" i="3"/>
  <c r="Q412" i="3" s="1"/>
  <c r="I413" i="3" l="1"/>
  <c r="L413" i="3" s="1"/>
  <c r="G402" i="3"/>
  <c r="H402" i="3" l="1"/>
  <c r="F402" i="3"/>
  <c r="J402" i="3" l="1"/>
  <c r="K413" i="3"/>
  <c r="P413" i="3"/>
  <c r="Q413" i="3" s="1"/>
  <c r="I414" i="3" l="1"/>
  <c r="L414" i="3" s="1"/>
  <c r="G403" i="3"/>
  <c r="H403" i="3" l="1"/>
  <c r="F403" i="3"/>
  <c r="J403" i="3" l="1"/>
  <c r="K414" i="3"/>
  <c r="P414" i="3"/>
  <c r="Q414" i="3" s="1"/>
  <c r="I415" i="3" l="1"/>
  <c r="L415" i="3" s="1"/>
  <c r="G404" i="3"/>
  <c r="H404" i="3" l="1"/>
  <c r="F404" i="3"/>
  <c r="J404" i="3" l="1"/>
  <c r="K415" i="3"/>
  <c r="P415" i="3"/>
  <c r="Q415" i="3" s="1"/>
  <c r="I416" i="3" l="1"/>
  <c r="L416" i="3" s="1"/>
  <c r="G405" i="3"/>
  <c r="H405" i="3" l="1"/>
  <c r="F405" i="3"/>
  <c r="J405" i="3" l="1"/>
  <c r="K416" i="3"/>
  <c r="P416" i="3"/>
  <c r="Q416" i="3" s="1"/>
  <c r="I417" i="3" l="1"/>
  <c r="L417" i="3" s="1"/>
  <c r="G406" i="3"/>
  <c r="H406" i="3" l="1"/>
  <c r="F406" i="3"/>
  <c r="J406" i="3" l="1"/>
  <c r="K417" i="3"/>
  <c r="P417" i="3"/>
  <c r="Q417" i="3" s="1"/>
  <c r="I418" i="3" l="1"/>
  <c r="L418" i="3" s="1"/>
  <c r="G407" i="3"/>
  <c r="H407" i="3" l="1"/>
  <c r="F407" i="3"/>
  <c r="J407" i="3" l="1"/>
  <c r="K418" i="3"/>
  <c r="P418" i="3"/>
  <c r="Q418" i="3" s="1"/>
  <c r="I419" i="3" l="1"/>
  <c r="L419" i="3" s="1"/>
  <c r="G408" i="3"/>
  <c r="H408" i="3" l="1"/>
  <c r="F408" i="3"/>
  <c r="J408" i="3" l="1"/>
  <c r="K419" i="3"/>
  <c r="P419" i="3"/>
  <c r="Q419" i="3" s="1"/>
  <c r="I420" i="3" l="1"/>
  <c r="L420" i="3" s="1"/>
  <c r="G409" i="3"/>
  <c r="H409" i="3" l="1"/>
  <c r="F409" i="3"/>
  <c r="J409" i="3" l="1"/>
  <c r="K420" i="3"/>
  <c r="P420" i="3"/>
  <c r="Q420" i="3" s="1"/>
  <c r="I421" i="3" l="1"/>
  <c r="L421" i="3" s="1"/>
  <c r="G410" i="3"/>
  <c r="H410" i="3" l="1"/>
  <c r="F410" i="3"/>
  <c r="J410" i="3" l="1"/>
  <c r="K421" i="3"/>
  <c r="P421" i="3"/>
  <c r="Q421" i="3" s="1"/>
  <c r="I422" i="3" l="1"/>
  <c r="L422" i="3" s="1"/>
  <c r="G411" i="3"/>
  <c r="H411" i="3" l="1"/>
  <c r="F411" i="3"/>
  <c r="J411" i="3" l="1"/>
  <c r="K422" i="3"/>
  <c r="P422" i="3"/>
  <c r="Q422" i="3" s="1"/>
  <c r="I423" i="3" l="1"/>
  <c r="L423" i="3" s="1"/>
  <c r="G412" i="3"/>
  <c r="H412" i="3" l="1"/>
  <c r="F412" i="3"/>
  <c r="J412" i="3" l="1"/>
  <c r="K423" i="3"/>
  <c r="P423" i="3"/>
  <c r="Q423" i="3" s="1"/>
  <c r="I424" i="3" l="1"/>
  <c r="L424" i="3" s="1"/>
  <c r="G413" i="3"/>
  <c r="H413" i="3" l="1"/>
  <c r="F413" i="3"/>
  <c r="J413" i="3" l="1"/>
  <c r="K424" i="3"/>
  <c r="P424" i="3"/>
  <c r="Q424" i="3" s="1"/>
  <c r="I425" i="3" l="1"/>
  <c r="L425" i="3" s="1"/>
  <c r="G414" i="3"/>
  <c r="H414" i="3" l="1"/>
  <c r="F414" i="3"/>
  <c r="J414" i="3" l="1"/>
  <c r="K425" i="3"/>
  <c r="P425" i="3"/>
  <c r="Q425" i="3" s="1"/>
  <c r="I426" i="3" l="1"/>
  <c r="L426" i="3" s="1"/>
  <c r="G415" i="3"/>
  <c r="H415" i="3" l="1"/>
  <c r="F415" i="3"/>
  <c r="J415" i="3" l="1"/>
  <c r="K426" i="3"/>
  <c r="P426" i="3"/>
  <c r="Q426" i="3" s="1"/>
  <c r="I427" i="3" l="1"/>
  <c r="L427" i="3" s="1"/>
  <c r="G416" i="3"/>
  <c r="H416" i="3" l="1"/>
  <c r="F416" i="3"/>
  <c r="J416" i="3" l="1"/>
  <c r="K427" i="3"/>
  <c r="P427" i="3"/>
  <c r="Q427" i="3" s="1"/>
  <c r="I428" i="3" l="1"/>
  <c r="L428" i="3" s="1"/>
  <c r="G417" i="3"/>
  <c r="H417" i="3" l="1"/>
  <c r="F417" i="3"/>
  <c r="J417" i="3" l="1"/>
  <c r="K428" i="3"/>
  <c r="P428" i="3"/>
  <c r="Q428" i="3" s="1"/>
  <c r="I429" i="3" l="1"/>
  <c r="L429" i="3" s="1"/>
  <c r="G418" i="3"/>
  <c r="H418" i="3" l="1"/>
  <c r="F418" i="3"/>
  <c r="J418" i="3" l="1"/>
  <c r="K429" i="3"/>
  <c r="P429" i="3"/>
  <c r="Q429" i="3" s="1"/>
  <c r="I430" i="3" l="1"/>
  <c r="L430" i="3" s="1"/>
  <c r="G419" i="3"/>
  <c r="H419" i="3" l="1"/>
  <c r="F419" i="3"/>
  <c r="J419" i="3" l="1"/>
  <c r="K430" i="3"/>
  <c r="P430" i="3"/>
  <c r="Q430" i="3" s="1"/>
  <c r="I431" i="3" l="1"/>
  <c r="L431" i="3" s="1"/>
  <c r="G420" i="3"/>
  <c r="H420" i="3" l="1"/>
  <c r="F420" i="3"/>
  <c r="J420" i="3" l="1"/>
  <c r="K431" i="3"/>
  <c r="P431" i="3"/>
  <c r="Q431" i="3" s="1"/>
  <c r="I432" i="3" l="1"/>
  <c r="L432" i="3" s="1"/>
  <c r="G421" i="3"/>
  <c r="H421" i="3" l="1"/>
  <c r="F421" i="3"/>
  <c r="J421" i="3" l="1"/>
  <c r="K432" i="3"/>
  <c r="P432" i="3"/>
  <c r="Q432" i="3" s="1"/>
  <c r="I433" i="3" l="1"/>
  <c r="L433" i="3" s="1"/>
  <c r="G422" i="3"/>
  <c r="H422" i="3" l="1"/>
  <c r="F422" i="3"/>
  <c r="J422" i="3" l="1"/>
  <c r="K433" i="3"/>
  <c r="P433" i="3"/>
  <c r="Q433" i="3" s="1"/>
  <c r="I434" i="3" l="1"/>
  <c r="L434" i="3" s="1"/>
  <c r="G423" i="3"/>
  <c r="H423" i="3" l="1"/>
  <c r="F423" i="3"/>
  <c r="J423" i="3" l="1"/>
  <c r="K434" i="3"/>
  <c r="P434" i="3"/>
  <c r="Q434" i="3" s="1"/>
  <c r="I435" i="3" l="1"/>
  <c r="L435" i="3" s="1"/>
  <c r="G424" i="3"/>
  <c r="H424" i="3" l="1"/>
  <c r="F424" i="3"/>
  <c r="J424" i="3" l="1"/>
  <c r="K435" i="3"/>
  <c r="P435" i="3"/>
  <c r="Q435" i="3" s="1"/>
  <c r="I436" i="3" l="1"/>
  <c r="L436" i="3" s="1"/>
  <c r="G425" i="3"/>
  <c r="H425" i="3" l="1"/>
  <c r="F425" i="3"/>
  <c r="J425" i="3" l="1"/>
  <c r="K436" i="3"/>
  <c r="P436" i="3"/>
  <c r="Q436" i="3" s="1"/>
  <c r="I437" i="3" l="1"/>
  <c r="L437" i="3" s="1"/>
  <c r="G426" i="3"/>
  <c r="H426" i="3" l="1"/>
  <c r="F426" i="3"/>
  <c r="J426" i="3" l="1"/>
  <c r="K437" i="3"/>
  <c r="P437" i="3"/>
  <c r="Q437" i="3" s="1"/>
  <c r="I438" i="3" l="1"/>
  <c r="L438" i="3" s="1"/>
  <c r="G427" i="3"/>
  <c r="H427" i="3" l="1"/>
  <c r="F427" i="3"/>
  <c r="J427" i="3" l="1"/>
  <c r="K438" i="3"/>
  <c r="P438" i="3"/>
  <c r="Q438" i="3" s="1"/>
  <c r="I439" i="3" l="1"/>
  <c r="L439" i="3" s="1"/>
  <c r="G428" i="3"/>
  <c r="H428" i="3" l="1"/>
  <c r="F428" i="3"/>
  <c r="J428" i="3" l="1"/>
  <c r="K439" i="3"/>
  <c r="P439" i="3"/>
  <c r="Q439" i="3" s="1"/>
  <c r="I440" i="3" l="1"/>
  <c r="L440" i="3" s="1"/>
  <c r="G429" i="3"/>
  <c r="H429" i="3" l="1"/>
  <c r="F429" i="3"/>
  <c r="J429" i="3" l="1"/>
  <c r="K440" i="3"/>
  <c r="P440" i="3"/>
  <c r="Q440" i="3" s="1"/>
  <c r="I441" i="3" l="1"/>
  <c r="L441" i="3" s="1"/>
  <c r="G430" i="3"/>
  <c r="H430" i="3" l="1"/>
  <c r="F430" i="3"/>
  <c r="J430" i="3" l="1"/>
  <c r="K441" i="3"/>
  <c r="P441" i="3"/>
  <c r="Q441" i="3" s="1"/>
  <c r="I442" i="3" l="1"/>
  <c r="L442" i="3" s="1"/>
  <c r="G431" i="3"/>
  <c r="H431" i="3" l="1"/>
  <c r="F431" i="3"/>
  <c r="J431" i="3" l="1"/>
  <c r="K442" i="3"/>
  <c r="P442" i="3"/>
  <c r="Q442" i="3" s="1"/>
  <c r="I443" i="3" l="1"/>
  <c r="L443" i="3" s="1"/>
  <c r="G432" i="3"/>
  <c r="H432" i="3" l="1"/>
  <c r="F432" i="3"/>
  <c r="J432" i="3" l="1"/>
  <c r="K443" i="3"/>
  <c r="P443" i="3"/>
  <c r="Q443" i="3" s="1"/>
  <c r="I444" i="3" l="1"/>
  <c r="L444" i="3" s="1"/>
  <c r="G433" i="3"/>
  <c r="H433" i="3" l="1"/>
  <c r="F433" i="3"/>
  <c r="J433" i="3" l="1"/>
  <c r="K444" i="3"/>
  <c r="P444" i="3"/>
  <c r="Q444" i="3" s="1"/>
  <c r="I445" i="3" l="1"/>
  <c r="L445" i="3" s="1"/>
  <c r="G434" i="3"/>
  <c r="H434" i="3" l="1"/>
  <c r="F434" i="3"/>
  <c r="J434" i="3" l="1"/>
  <c r="K445" i="3"/>
  <c r="P445" i="3"/>
  <c r="Q445" i="3" s="1"/>
  <c r="I446" i="3" l="1"/>
  <c r="L446" i="3" s="1"/>
  <c r="G435" i="3"/>
  <c r="H435" i="3" l="1"/>
  <c r="F435" i="3"/>
  <c r="J435" i="3" l="1"/>
  <c r="K446" i="3"/>
  <c r="P446" i="3"/>
  <c r="Q446" i="3" s="1"/>
  <c r="I447" i="3" l="1"/>
  <c r="L447" i="3" s="1"/>
  <c r="G436" i="3"/>
  <c r="H436" i="3" l="1"/>
  <c r="F436" i="3"/>
  <c r="J436" i="3" l="1"/>
  <c r="K447" i="3"/>
  <c r="P447" i="3"/>
  <c r="Q447" i="3" s="1"/>
  <c r="I448" i="3" l="1"/>
  <c r="L448" i="3" s="1"/>
  <c r="G437" i="3"/>
  <c r="H437" i="3" l="1"/>
  <c r="F437" i="3"/>
  <c r="J437" i="3" l="1"/>
  <c r="K448" i="3"/>
  <c r="P448" i="3"/>
  <c r="Q448" i="3" s="1"/>
  <c r="I449" i="3" l="1"/>
  <c r="L449" i="3" s="1"/>
  <c r="G438" i="3"/>
  <c r="H438" i="3" l="1"/>
  <c r="F438" i="3"/>
  <c r="J438" i="3" l="1"/>
  <c r="K449" i="3"/>
  <c r="P449" i="3"/>
  <c r="Q449" i="3" s="1"/>
  <c r="I450" i="3" l="1"/>
  <c r="L450" i="3" s="1"/>
  <c r="G439" i="3"/>
  <c r="H439" i="3" l="1"/>
  <c r="F439" i="3"/>
  <c r="J439" i="3" l="1"/>
  <c r="K450" i="3"/>
  <c r="P450" i="3"/>
  <c r="Q450" i="3" s="1"/>
  <c r="I451" i="3" l="1"/>
  <c r="L451" i="3" s="1"/>
  <c r="G440" i="3"/>
  <c r="H440" i="3" l="1"/>
  <c r="F440" i="3"/>
  <c r="J440" i="3" l="1"/>
  <c r="K451" i="3"/>
  <c r="P451" i="3"/>
  <c r="Q451" i="3" s="1"/>
  <c r="I452" i="3" l="1"/>
  <c r="L452" i="3" s="1"/>
  <c r="G441" i="3"/>
  <c r="H441" i="3" l="1"/>
  <c r="F441" i="3"/>
  <c r="J441" i="3" l="1"/>
  <c r="K452" i="3"/>
  <c r="P452" i="3"/>
  <c r="Q452" i="3" s="1"/>
  <c r="I453" i="3" l="1"/>
  <c r="L453" i="3" s="1"/>
  <c r="G442" i="3"/>
  <c r="H442" i="3" l="1"/>
  <c r="F442" i="3"/>
  <c r="J442" i="3" l="1"/>
  <c r="K453" i="3"/>
  <c r="P453" i="3"/>
  <c r="Q453" i="3" s="1"/>
  <c r="I454" i="3" l="1"/>
  <c r="L454" i="3" s="1"/>
  <c r="G443" i="3"/>
  <c r="H443" i="3" l="1"/>
  <c r="F443" i="3"/>
  <c r="J443" i="3" l="1"/>
  <c r="K454" i="3"/>
  <c r="P454" i="3"/>
  <c r="Q454" i="3" s="1"/>
  <c r="I455" i="3" l="1"/>
  <c r="L455" i="3" s="1"/>
  <c r="G444" i="3"/>
  <c r="H444" i="3" l="1"/>
  <c r="F444" i="3"/>
  <c r="J444" i="3" l="1"/>
  <c r="K455" i="3"/>
  <c r="P455" i="3"/>
  <c r="Q455" i="3" s="1"/>
  <c r="I456" i="3" l="1"/>
  <c r="L456" i="3" s="1"/>
  <c r="G445" i="3"/>
  <c r="H445" i="3" l="1"/>
  <c r="F445" i="3"/>
  <c r="J445" i="3" l="1"/>
  <c r="K456" i="3"/>
  <c r="P456" i="3"/>
  <c r="Q456" i="3" s="1"/>
  <c r="I457" i="3" l="1"/>
  <c r="L457" i="3" s="1"/>
  <c r="G446" i="3"/>
  <c r="H446" i="3" l="1"/>
  <c r="F446" i="3"/>
  <c r="J446" i="3" l="1"/>
  <c r="K457" i="3"/>
  <c r="P457" i="3"/>
  <c r="Q457" i="3" s="1"/>
  <c r="I458" i="3" l="1"/>
  <c r="L458" i="3" s="1"/>
  <c r="G447" i="3"/>
  <c r="H447" i="3" l="1"/>
  <c r="F447" i="3"/>
  <c r="J447" i="3" l="1"/>
  <c r="K458" i="3"/>
  <c r="P458" i="3"/>
  <c r="Q458" i="3" s="1"/>
  <c r="I459" i="3" l="1"/>
  <c r="L459" i="3" s="1"/>
  <c r="G448" i="3"/>
  <c r="H448" i="3" l="1"/>
  <c r="F448" i="3"/>
  <c r="J448" i="3" l="1"/>
  <c r="K459" i="3"/>
  <c r="P459" i="3"/>
  <c r="Q459" i="3" s="1"/>
  <c r="I460" i="3" l="1"/>
  <c r="L460" i="3" s="1"/>
  <c r="G449" i="3"/>
  <c r="H449" i="3" l="1"/>
  <c r="F449" i="3"/>
  <c r="J449" i="3" l="1"/>
  <c r="K460" i="3"/>
  <c r="P460" i="3"/>
  <c r="Q460" i="3" s="1"/>
  <c r="I461" i="3" l="1"/>
  <c r="L461" i="3" s="1"/>
  <c r="G450" i="3"/>
  <c r="H450" i="3" l="1"/>
  <c r="F450" i="3"/>
  <c r="J450" i="3" l="1"/>
  <c r="K461" i="3"/>
  <c r="P461" i="3"/>
  <c r="Q461" i="3" s="1"/>
  <c r="I462" i="3" l="1"/>
  <c r="L462" i="3" s="1"/>
  <c r="G451" i="3"/>
  <c r="H451" i="3" l="1"/>
  <c r="F451" i="3"/>
  <c r="J451" i="3" l="1"/>
  <c r="K462" i="3"/>
  <c r="P462" i="3"/>
  <c r="Q462" i="3" s="1"/>
  <c r="I463" i="3" l="1"/>
  <c r="L463" i="3" s="1"/>
  <c r="G452" i="3"/>
  <c r="H452" i="3" l="1"/>
  <c r="F452" i="3"/>
  <c r="J452" i="3" l="1"/>
  <c r="K463" i="3"/>
  <c r="P463" i="3"/>
  <c r="Q463" i="3" s="1"/>
  <c r="I464" i="3" l="1"/>
  <c r="L464" i="3" s="1"/>
  <c r="G453" i="3"/>
  <c r="H453" i="3" l="1"/>
  <c r="F453" i="3"/>
  <c r="J453" i="3" l="1"/>
  <c r="K464" i="3"/>
  <c r="P464" i="3"/>
  <c r="Q464" i="3" s="1"/>
  <c r="I465" i="3" l="1"/>
  <c r="L465" i="3" s="1"/>
  <c r="G454" i="3"/>
  <c r="H454" i="3" l="1"/>
  <c r="F454" i="3"/>
  <c r="J454" i="3" l="1"/>
  <c r="K465" i="3"/>
  <c r="P465" i="3"/>
  <c r="Q465" i="3" s="1"/>
  <c r="I466" i="3" l="1"/>
  <c r="L466" i="3" s="1"/>
  <c r="G455" i="3"/>
  <c r="H455" i="3" l="1"/>
  <c r="F455" i="3"/>
  <c r="J455" i="3" l="1"/>
  <c r="K466" i="3"/>
  <c r="P466" i="3"/>
  <c r="Q466" i="3" s="1"/>
  <c r="I467" i="3" l="1"/>
  <c r="L467" i="3" s="1"/>
  <c r="G456" i="3"/>
  <c r="H456" i="3" l="1"/>
  <c r="F456" i="3"/>
  <c r="J456" i="3" l="1"/>
  <c r="K467" i="3"/>
  <c r="P467" i="3"/>
  <c r="Q467" i="3" s="1"/>
  <c r="I468" i="3" l="1"/>
  <c r="L468" i="3" s="1"/>
  <c r="G457" i="3"/>
  <c r="H457" i="3" l="1"/>
  <c r="F457" i="3"/>
  <c r="J457" i="3" l="1"/>
  <c r="K468" i="3"/>
  <c r="P468" i="3"/>
  <c r="Q468" i="3" s="1"/>
  <c r="I469" i="3" l="1"/>
  <c r="L469" i="3" s="1"/>
  <c r="G458" i="3"/>
  <c r="H458" i="3" l="1"/>
  <c r="F458" i="3"/>
  <c r="J458" i="3" l="1"/>
  <c r="K469" i="3"/>
  <c r="P469" i="3"/>
  <c r="Q469" i="3" s="1"/>
  <c r="I470" i="3" l="1"/>
  <c r="L470" i="3" s="1"/>
  <c r="G459" i="3"/>
  <c r="H459" i="3" l="1"/>
  <c r="F459" i="3"/>
  <c r="J459" i="3" l="1"/>
  <c r="K470" i="3"/>
  <c r="P470" i="3"/>
  <c r="Q470" i="3" s="1"/>
  <c r="I471" i="3" l="1"/>
  <c r="L471" i="3" s="1"/>
  <c r="G460" i="3"/>
  <c r="H460" i="3" l="1"/>
  <c r="F460" i="3"/>
  <c r="J460" i="3" l="1"/>
  <c r="K471" i="3"/>
  <c r="P471" i="3"/>
  <c r="Q471" i="3" s="1"/>
  <c r="I472" i="3" l="1"/>
  <c r="L472" i="3" s="1"/>
  <c r="G461" i="3"/>
  <c r="H461" i="3" l="1"/>
  <c r="F461" i="3"/>
  <c r="J461" i="3" l="1"/>
  <c r="K472" i="3"/>
  <c r="P472" i="3"/>
  <c r="Q472" i="3" s="1"/>
  <c r="I473" i="3" l="1"/>
  <c r="L473" i="3" s="1"/>
  <c r="G462" i="3"/>
  <c r="H462" i="3" l="1"/>
  <c r="F462" i="3"/>
  <c r="J462" i="3" l="1"/>
  <c r="K473" i="3"/>
  <c r="P473" i="3"/>
  <c r="Q473" i="3" s="1"/>
  <c r="I474" i="3" l="1"/>
  <c r="L474" i="3" s="1"/>
  <c r="G463" i="3"/>
  <c r="H463" i="3" l="1"/>
  <c r="F463" i="3"/>
  <c r="J463" i="3" l="1"/>
  <c r="K474" i="3"/>
  <c r="P474" i="3"/>
  <c r="Q474" i="3" s="1"/>
  <c r="I475" i="3" l="1"/>
  <c r="L475" i="3" s="1"/>
  <c r="G464" i="3"/>
  <c r="H464" i="3" l="1"/>
  <c r="F464" i="3"/>
  <c r="J464" i="3" l="1"/>
  <c r="K475" i="3"/>
  <c r="P475" i="3"/>
  <c r="Q475" i="3" s="1"/>
  <c r="I476" i="3" l="1"/>
  <c r="L476" i="3" s="1"/>
  <c r="G465" i="3"/>
  <c r="H465" i="3" l="1"/>
  <c r="F465" i="3"/>
  <c r="J465" i="3" l="1"/>
  <c r="K476" i="3"/>
  <c r="P476" i="3"/>
  <c r="Q476" i="3" s="1"/>
  <c r="I477" i="3" l="1"/>
  <c r="L477" i="3" s="1"/>
  <c r="G466" i="3"/>
  <c r="H466" i="3" l="1"/>
  <c r="F466" i="3"/>
  <c r="J466" i="3" l="1"/>
  <c r="K477" i="3"/>
  <c r="P477" i="3"/>
  <c r="Q477" i="3" s="1"/>
  <c r="I478" i="3" l="1"/>
  <c r="L478" i="3" s="1"/>
  <c r="G467" i="3"/>
  <c r="H467" i="3" l="1"/>
  <c r="F467" i="3"/>
  <c r="J467" i="3" l="1"/>
  <c r="K478" i="3"/>
  <c r="P478" i="3"/>
  <c r="Q478" i="3" s="1"/>
  <c r="I479" i="3" l="1"/>
  <c r="L479" i="3" s="1"/>
  <c r="G468" i="3"/>
  <c r="H468" i="3" l="1"/>
  <c r="F468" i="3"/>
  <c r="J468" i="3" l="1"/>
  <c r="K479" i="3"/>
  <c r="P479" i="3"/>
  <c r="Q479" i="3" s="1"/>
  <c r="I480" i="3" l="1"/>
  <c r="L480" i="3" s="1"/>
  <c r="G469" i="3"/>
  <c r="H469" i="3" l="1"/>
  <c r="F469" i="3"/>
  <c r="J469" i="3" l="1"/>
  <c r="K480" i="3"/>
  <c r="P480" i="3"/>
  <c r="Q480" i="3" s="1"/>
  <c r="I481" i="3" l="1"/>
  <c r="L481" i="3" s="1"/>
  <c r="G470" i="3"/>
  <c r="H470" i="3" l="1"/>
  <c r="F470" i="3"/>
  <c r="J470" i="3" l="1"/>
  <c r="K481" i="3"/>
  <c r="P481" i="3"/>
  <c r="Q481" i="3" s="1"/>
  <c r="I482" i="3" l="1"/>
  <c r="L482" i="3" s="1"/>
  <c r="G471" i="3"/>
  <c r="H471" i="3" l="1"/>
  <c r="F471" i="3"/>
  <c r="J471" i="3" l="1"/>
  <c r="K482" i="3"/>
  <c r="P482" i="3"/>
  <c r="Q482" i="3" s="1"/>
  <c r="I483" i="3" l="1"/>
  <c r="L483" i="3" s="1"/>
  <c r="G472" i="3"/>
  <c r="H472" i="3" l="1"/>
  <c r="F472" i="3"/>
  <c r="J472" i="3" l="1"/>
  <c r="K483" i="3"/>
  <c r="P483" i="3"/>
  <c r="Q483" i="3" s="1"/>
  <c r="I484" i="3" l="1"/>
  <c r="L484" i="3" s="1"/>
  <c r="G473" i="3"/>
  <c r="H473" i="3" l="1"/>
  <c r="F473" i="3"/>
  <c r="J473" i="3" l="1"/>
  <c r="K484" i="3"/>
  <c r="P484" i="3"/>
  <c r="Q484" i="3" s="1"/>
  <c r="I485" i="3" l="1"/>
  <c r="L485" i="3" s="1"/>
  <c r="G474" i="3"/>
  <c r="H474" i="3" l="1"/>
  <c r="F474" i="3"/>
  <c r="J474" i="3" l="1"/>
  <c r="K485" i="3"/>
  <c r="P485" i="3"/>
  <c r="Q485" i="3" s="1"/>
  <c r="I486" i="3" l="1"/>
  <c r="L486" i="3" s="1"/>
  <c r="G475" i="3"/>
  <c r="H475" i="3" l="1"/>
  <c r="F475" i="3"/>
  <c r="J475" i="3" l="1"/>
  <c r="K486" i="3"/>
  <c r="P486" i="3"/>
  <c r="Q486" i="3" s="1"/>
  <c r="I487" i="3" l="1"/>
  <c r="L487" i="3" s="1"/>
  <c r="G476" i="3"/>
  <c r="H476" i="3" l="1"/>
  <c r="F476" i="3"/>
  <c r="J476" i="3" l="1"/>
  <c r="K487" i="3"/>
  <c r="P487" i="3"/>
  <c r="Q487" i="3" s="1"/>
  <c r="I488" i="3" l="1"/>
  <c r="L488" i="3" s="1"/>
  <c r="G477" i="3"/>
  <c r="H477" i="3" l="1"/>
  <c r="F477" i="3"/>
  <c r="J477" i="3" l="1"/>
  <c r="K488" i="3"/>
  <c r="P488" i="3"/>
  <c r="Q488" i="3" s="1"/>
  <c r="I489" i="3" l="1"/>
  <c r="L489" i="3" s="1"/>
  <c r="G478" i="3"/>
  <c r="H478" i="3" l="1"/>
  <c r="F478" i="3"/>
  <c r="J478" i="3" l="1"/>
  <c r="K489" i="3"/>
  <c r="P489" i="3"/>
  <c r="Q489" i="3" s="1"/>
  <c r="I490" i="3" l="1"/>
  <c r="L490" i="3" s="1"/>
  <c r="G479" i="3"/>
  <c r="H479" i="3" l="1"/>
  <c r="F479" i="3"/>
  <c r="J479" i="3" l="1"/>
  <c r="K490" i="3"/>
  <c r="P490" i="3"/>
  <c r="Q490" i="3" s="1"/>
  <c r="I491" i="3" l="1"/>
  <c r="L491" i="3" s="1"/>
  <c r="G480" i="3"/>
  <c r="H480" i="3" l="1"/>
  <c r="F480" i="3"/>
  <c r="J480" i="3" l="1"/>
  <c r="K491" i="3"/>
  <c r="P491" i="3"/>
  <c r="Q491" i="3" s="1"/>
  <c r="I492" i="3" l="1"/>
  <c r="L492" i="3" s="1"/>
  <c r="G481" i="3"/>
  <c r="H481" i="3" l="1"/>
  <c r="F481" i="3"/>
  <c r="J481" i="3" l="1"/>
  <c r="K492" i="3"/>
  <c r="P492" i="3"/>
  <c r="Q492" i="3" s="1"/>
  <c r="I493" i="3" l="1"/>
  <c r="L493" i="3" s="1"/>
  <c r="G482" i="3"/>
  <c r="H482" i="3" l="1"/>
  <c r="F482" i="3"/>
  <c r="J482" i="3" l="1"/>
  <c r="K493" i="3"/>
  <c r="P493" i="3"/>
  <c r="Q493" i="3" s="1"/>
  <c r="I494" i="3" l="1"/>
  <c r="L494" i="3" s="1"/>
  <c r="G483" i="3"/>
  <c r="H483" i="3" l="1"/>
  <c r="F483" i="3"/>
  <c r="J483" i="3" l="1"/>
  <c r="K494" i="3"/>
  <c r="P494" i="3"/>
  <c r="Q494" i="3" s="1"/>
  <c r="I495" i="3" l="1"/>
  <c r="L495" i="3" s="1"/>
  <c r="G484" i="3"/>
  <c r="H484" i="3" l="1"/>
  <c r="F484" i="3"/>
  <c r="J484" i="3" l="1"/>
  <c r="K495" i="3"/>
  <c r="P495" i="3"/>
  <c r="Q495" i="3" s="1"/>
  <c r="I496" i="3" l="1"/>
  <c r="L496" i="3" s="1"/>
  <c r="G485" i="3"/>
  <c r="H485" i="3" l="1"/>
  <c r="F485" i="3"/>
  <c r="J485" i="3" l="1"/>
  <c r="K496" i="3"/>
  <c r="P496" i="3"/>
  <c r="Q496" i="3" s="1"/>
  <c r="I497" i="3" l="1"/>
  <c r="L497" i="3" s="1"/>
  <c r="G486" i="3"/>
  <c r="H486" i="3" l="1"/>
  <c r="F486" i="3"/>
  <c r="J486" i="3" l="1"/>
  <c r="K497" i="3"/>
  <c r="P497" i="3"/>
  <c r="Q497" i="3" s="1"/>
  <c r="I498" i="3" l="1"/>
  <c r="L498" i="3" s="1"/>
  <c r="G487" i="3"/>
  <c r="H487" i="3" l="1"/>
  <c r="F487" i="3"/>
  <c r="J487" i="3" l="1"/>
  <c r="K498" i="3"/>
  <c r="P498" i="3"/>
  <c r="Q498" i="3" s="1"/>
  <c r="I499" i="3" l="1"/>
  <c r="L499" i="3" s="1"/>
  <c r="G488" i="3"/>
  <c r="H488" i="3" l="1"/>
  <c r="F488" i="3"/>
  <c r="J488" i="3" l="1"/>
  <c r="K499" i="3"/>
  <c r="P499" i="3"/>
  <c r="Q499" i="3" s="1"/>
  <c r="I500" i="3" l="1"/>
  <c r="L500" i="3" s="1"/>
  <c r="G489" i="3"/>
  <c r="H489" i="3" l="1"/>
  <c r="F489" i="3"/>
  <c r="J489" i="3" l="1"/>
  <c r="K500" i="3"/>
  <c r="P500" i="3"/>
  <c r="Q500" i="3" s="1"/>
  <c r="I501" i="3" l="1"/>
  <c r="L501" i="3" s="1"/>
  <c r="G490" i="3"/>
  <c r="H490" i="3" l="1"/>
  <c r="F490" i="3"/>
  <c r="J490" i="3" l="1"/>
  <c r="K501" i="3"/>
  <c r="P501" i="3"/>
  <c r="Q501" i="3" s="1"/>
  <c r="I502" i="3" l="1"/>
  <c r="L502" i="3" s="1"/>
  <c r="G491" i="3"/>
  <c r="H491" i="3" l="1"/>
  <c r="F491" i="3"/>
  <c r="J491" i="3" l="1"/>
  <c r="K502" i="3"/>
  <c r="P502" i="3"/>
  <c r="Q502" i="3" s="1"/>
  <c r="I503" i="3" l="1"/>
  <c r="L503" i="3" s="1"/>
  <c r="G492" i="3"/>
  <c r="H492" i="3" l="1"/>
  <c r="F492" i="3"/>
  <c r="J492" i="3" l="1"/>
  <c r="K503" i="3"/>
  <c r="P503" i="3"/>
  <c r="Q503" i="3" s="1"/>
  <c r="I504" i="3" l="1"/>
  <c r="L504" i="3" s="1"/>
  <c r="G493" i="3"/>
  <c r="H493" i="3" l="1"/>
  <c r="F493" i="3"/>
  <c r="J493" i="3" l="1"/>
  <c r="K504" i="3"/>
  <c r="P504" i="3"/>
  <c r="Q504" i="3" s="1"/>
  <c r="I505" i="3" l="1"/>
  <c r="L505" i="3" s="1"/>
  <c r="G494" i="3"/>
  <c r="H494" i="3" l="1"/>
  <c r="F494" i="3"/>
  <c r="J494" i="3" l="1"/>
  <c r="K505" i="3"/>
  <c r="P505" i="3"/>
  <c r="Q505" i="3" s="1"/>
  <c r="I506" i="3" l="1"/>
  <c r="L506" i="3" s="1"/>
  <c r="G495" i="3"/>
  <c r="H495" i="3" l="1"/>
  <c r="F495" i="3"/>
  <c r="J495" i="3" l="1"/>
  <c r="K506" i="3"/>
  <c r="P506" i="3"/>
  <c r="Q506" i="3" s="1"/>
  <c r="I507" i="3" l="1"/>
  <c r="L507" i="3" s="1"/>
  <c r="G496" i="3"/>
  <c r="H496" i="3" l="1"/>
  <c r="F496" i="3"/>
  <c r="J496" i="3" l="1"/>
  <c r="K507" i="3"/>
  <c r="P507" i="3"/>
  <c r="Q507" i="3" s="1"/>
  <c r="I508" i="3" l="1"/>
  <c r="L508" i="3" s="1"/>
  <c r="G497" i="3"/>
  <c r="H497" i="3" l="1"/>
  <c r="F497" i="3"/>
  <c r="J497" i="3" l="1"/>
  <c r="K508" i="3"/>
  <c r="P508" i="3"/>
  <c r="Q508" i="3" s="1"/>
  <c r="I509" i="3" l="1"/>
  <c r="L509" i="3" s="1"/>
  <c r="G498" i="3"/>
  <c r="H498" i="3" l="1"/>
  <c r="F498" i="3"/>
  <c r="J498" i="3" l="1"/>
  <c r="K509" i="3"/>
  <c r="P509" i="3"/>
  <c r="Q509" i="3" s="1"/>
  <c r="I510" i="3" l="1"/>
  <c r="L510" i="3" s="1"/>
  <c r="G499" i="3"/>
  <c r="H499" i="3" l="1"/>
  <c r="F499" i="3"/>
  <c r="J499" i="3" l="1"/>
  <c r="K510" i="3"/>
  <c r="P510" i="3"/>
  <c r="Q510" i="3" s="1"/>
  <c r="I511" i="3" l="1"/>
  <c r="L511" i="3" s="1"/>
  <c r="G500" i="3"/>
  <c r="H500" i="3" l="1"/>
  <c r="F500" i="3"/>
  <c r="J500" i="3" l="1"/>
  <c r="K511" i="3"/>
  <c r="P511" i="3"/>
  <c r="Q511" i="3" s="1"/>
  <c r="I512" i="3" l="1"/>
  <c r="L512" i="3" s="1"/>
  <c r="G501" i="3"/>
  <c r="H501" i="3" l="1"/>
  <c r="F501" i="3"/>
  <c r="J501" i="3" l="1"/>
  <c r="K512" i="3"/>
  <c r="P512" i="3"/>
  <c r="Q512" i="3" s="1"/>
  <c r="I513" i="3" l="1"/>
  <c r="L513" i="3" s="1"/>
  <c r="G502" i="3"/>
  <c r="H502" i="3" l="1"/>
  <c r="F502" i="3"/>
  <c r="J502" i="3" l="1"/>
  <c r="K513" i="3"/>
  <c r="P513" i="3"/>
  <c r="Q513" i="3" s="1"/>
  <c r="I514" i="3" l="1"/>
  <c r="L514" i="3" s="1"/>
  <c r="G503" i="3"/>
  <c r="H503" i="3" l="1"/>
  <c r="F503" i="3"/>
  <c r="J503" i="3" l="1"/>
  <c r="K514" i="3"/>
  <c r="P514" i="3"/>
  <c r="Q514" i="3" s="1"/>
  <c r="I515" i="3" l="1"/>
  <c r="L515" i="3" s="1"/>
  <c r="G504" i="3"/>
  <c r="H504" i="3" l="1"/>
  <c r="F504" i="3"/>
  <c r="J504" i="3" l="1"/>
  <c r="K515" i="3"/>
  <c r="P515" i="3"/>
  <c r="Q515" i="3" s="1"/>
  <c r="I516" i="3" l="1"/>
  <c r="L516" i="3" s="1"/>
  <c r="G505" i="3"/>
  <c r="H505" i="3" l="1"/>
  <c r="F505" i="3"/>
  <c r="J505" i="3" l="1"/>
  <c r="K516" i="3"/>
  <c r="P516" i="3"/>
  <c r="Q516" i="3" s="1"/>
  <c r="I517" i="3" l="1"/>
  <c r="L517" i="3" s="1"/>
  <c r="G506" i="3"/>
  <c r="H506" i="3" l="1"/>
  <c r="F506" i="3"/>
  <c r="J506" i="3" l="1"/>
  <c r="K517" i="3"/>
  <c r="P517" i="3"/>
  <c r="Q517" i="3" s="1"/>
  <c r="I518" i="3" l="1"/>
  <c r="L518" i="3" s="1"/>
  <c r="G507" i="3"/>
  <c r="H507" i="3" l="1"/>
  <c r="F507" i="3"/>
  <c r="J507" i="3" l="1"/>
  <c r="K518" i="3"/>
  <c r="P518" i="3"/>
  <c r="Q518" i="3" s="1"/>
  <c r="I519" i="3" l="1"/>
  <c r="L519" i="3" s="1"/>
  <c r="G508" i="3"/>
  <c r="H508" i="3" l="1"/>
  <c r="F508" i="3"/>
  <c r="J508" i="3" l="1"/>
  <c r="K519" i="3"/>
  <c r="P519" i="3"/>
  <c r="Q519" i="3" s="1"/>
  <c r="I520" i="3" l="1"/>
  <c r="L520" i="3" s="1"/>
  <c r="G509" i="3"/>
  <c r="H509" i="3" l="1"/>
  <c r="F509" i="3"/>
  <c r="J509" i="3" l="1"/>
  <c r="K520" i="3"/>
  <c r="P520" i="3"/>
  <c r="Q520" i="3" s="1"/>
  <c r="I521" i="3" l="1"/>
  <c r="L521" i="3" s="1"/>
  <c r="G510" i="3"/>
  <c r="H510" i="3" l="1"/>
  <c r="F510" i="3"/>
  <c r="J510" i="3" l="1"/>
  <c r="K521" i="3"/>
  <c r="P521" i="3"/>
  <c r="Q521" i="3" s="1"/>
  <c r="I522" i="3" l="1"/>
  <c r="L522" i="3" s="1"/>
  <c r="G511" i="3"/>
  <c r="H511" i="3" l="1"/>
  <c r="F511" i="3"/>
  <c r="J511" i="3" l="1"/>
  <c r="K522" i="3"/>
  <c r="P522" i="3"/>
  <c r="Q522" i="3" s="1"/>
  <c r="I523" i="3" l="1"/>
  <c r="L523" i="3" s="1"/>
  <c r="G512" i="3"/>
  <c r="H512" i="3" l="1"/>
  <c r="F512" i="3"/>
  <c r="J512" i="3" l="1"/>
  <c r="K523" i="3"/>
  <c r="P523" i="3"/>
  <c r="Q523" i="3" s="1"/>
  <c r="I524" i="3" l="1"/>
  <c r="L524" i="3" s="1"/>
  <c r="G513" i="3"/>
  <c r="H513" i="3" l="1"/>
  <c r="F513" i="3"/>
  <c r="J513" i="3" l="1"/>
  <c r="K524" i="3"/>
  <c r="P524" i="3"/>
  <c r="Q524" i="3" s="1"/>
  <c r="I525" i="3" l="1"/>
  <c r="L525" i="3" s="1"/>
  <c r="G514" i="3"/>
  <c r="H514" i="3" l="1"/>
  <c r="F514" i="3"/>
  <c r="J514" i="3" l="1"/>
  <c r="K525" i="3"/>
  <c r="P525" i="3"/>
  <c r="Q525" i="3" s="1"/>
  <c r="I526" i="3" l="1"/>
  <c r="L526" i="3" s="1"/>
  <c r="G515" i="3"/>
  <c r="H515" i="3" l="1"/>
  <c r="F515" i="3"/>
  <c r="J515" i="3" l="1"/>
  <c r="K526" i="3"/>
  <c r="P526" i="3"/>
  <c r="Q526" i="3" s="1"/>
  <c r="I527" i="3" l="1"/>
  <c r="L527" i="3" s="1"/>
  <c r="G516" i="3"/>
  <c r="H516" i="3" l="1"/>
  <c r="F516" i="3"/>
  <c r="J516" i="3" l="1"/>
  <c r="K527" i="3"/>
  <c r="P527" i="3"/>
  <c r="Q527" i="3" s="1"/>
  <c r="I528" i="3" l="1"/>
  <c r="L528" i="3" s="1"/>
  <c r="G517" i="3"/>
  <c r="H517" i="3" l="1"/>
  <c r="F517" i="3"/>
  <c r="J517" i="3" l="1"/>
  <c r="K528" i="3"/>
  <c r="P528" i="3"/>
  <c r="Q528" i="3" s="1"/>
  <c r="I529" i="3" l="1"/>
  <c r="L529" i="3" s="1"/>
  <c r="G518" i="3"/>
  <c r="H518" i="3" l="1"/>
  <c r="F518" i="3"/>
  <c r="J518" i="3" l="1"/>
  <c r="K529" i="3"/>
  <c r="P529" i="3"/>
  <c r="Q529" i="3" s="1"/>
  <c r="I530" i="3" l="1"/>
  <c r="L530" i="3" s="1"/>
  <c r="G519" i="3"/>
  <c r="H519" i="3" l="1"/>
  <c r="F519" i="3"/>
  <c r="J519" i="3" l="1"/>
  <c r="K530" i="3"/>
  <c r="P530" i="3"/>
  <c r="Q530" i="3" s="1"/>
  <c r="I531" i="3" l="1"/>
  <c r="L531" i="3" s="1"/>
  <c r="G520" i="3"/>
  <c r="H520" i="3" l="1"/>
  <c r="F520" i="3"/>
  <c r="J520" i="3" l="1"/>
  <c r="K531" i="3"/>
  <c r="P531" i="3"/>
  <c r="Q531" i="3" s="1"/>
  <c r="I532" i="3" l="1"/>
  <c r="L532" i="3" s="1"/>
  <c r="G521" i="3"/>
  <c r="H521" i="3" l="1"/>
  <c r="F521" i="3"/>
  <c r="J521" i="3" l="1"/>
  <c r="K532" i="3"/>
  <c r="P532" i="3"/>
  <c r="Q532" i="3" s="1"/>
  <c r="I533" i="3" l="1"/>
  <c r="L533" i="3" s="1"/>
  <c r="G522" i="3"/>
  <c r="H522" i="3" l="1"/>
  <c r="F522" i="3"/>
  <c r="J522" i="3" l="1"/>
  <c r="K533" i="3"/>
  <c r="P533" i="3"/>
  <c r="Q533" i="3" s="1"/>
  <c r="I534" i="3" l="1"/>
  <c r="L534" i="3" s="1"/>
  <c r="G523" i="3"/>
  <c r="H523" i="3" l="1"/>
  <c r="F523" i="3"/>
  <c r="J523" i="3" l="1"/>
  <c r="K534" i="3"/>
  <c r="P534" i="3"/>
  <c r="Q534" i="3" s="1"/>
  <c r="I535" i="3" l="1"/>
  <c r="L535" i="3" s="1"/>
  <c r="G524" i="3"/>
  <c r="H524" i="3" l="1"/>
  <c r="F524" i="3"/>
  <c r="J524" i="3" l="1"/>
  <c r="K535" i="3"/>
  <c r="P535" i="3"/>
  <c r="Q535" i="3" s="1"/>
  <c r="I536" i="3" l="1"/>
  <c r="L536" i="3" s="1"/>
  <c r="G525" i="3"/>
  <c r="H525" i="3" l="1"/>
  <c r="F525" i="3"/>
  <c r="J525" i="3" l="1"/>
  <c r="K536" i="3"/>
  <c r="P536" i="3"/>
  <c r="Q536" i="3" s="1"/>
  <c r="I537" i="3" l="1"/>
  <c r="L537" i="3" s="1"/>
  <c r="G526" i="3"/>
  <c r="H526" i="3" l="1"/>
  <c r="F526" i="3"/>
  <c r="J526" i="3" l="1"/>
  <c r="K537" i="3"/>
  <c r="P537" i="3"/>
  <c r="Q537" i="3" s="1"/>
  <c r="I538" i="3" l="1"/>
  <c r="L538" i="3" s="1"/>
  <c r="G527" i="3"/>
  <c r="H527" i="3" l="1"/>
  <c r="F527" i="3"/>
  <c r="J527" i="3" l="1"/>
  <c r="K538" i="3"/>
  <c r="P538" i="3"/>
  <c r="Q538" i="3" s="1"/>
  <c r="I539" i="3" l="1"/>
  <c r="L539" i="3" s="1"/>
  <c r="G528" i="3"/>
  <c r="H528" i="3" l="1"/>
  <c r="F528" i="3"/>
  <c r="J528" i="3" l="1"/>
  <c r="K539" i="3"/>
  <c r="P539" i="3"/>
  <c r="Q539" i="3" s="1"/>
  <c r="I540" i="3" l="1"/>
  <c r="L540" i="3" s="1"/>
  <c r="G529" i="3"/>
  <c r="H529" i="3" l="1"/>
  <c r="F529" i="3"/>
  <c r="J529" i="3" l="1"/>
  <c r="K540" i="3"/>
  <c r="P540" i="3"/>
  <c r="Q540" i="3" s="1"/>
  <c r="I541" i="3" l="1"/>
  <c r="L541" i="3" s="1"/>
  <c r="G530" i="3"/>
  <c r="H530" i="3" l="1"/>
  <c r="F530" i="3"/>
  <c r="J530" i="3" l="1"/>
  <c r="K541" i="3"/>
  <c r="P541" i="3"/>
  <c r="Q541" i="3" s="1"/>
  <c r="I542" i="3" l="1"/>
  <c r="L542" i="3" s="1"/>
  <c r="G531" i="3"/>
  <c r="H531" i="3" l="1"/>
  <c r="F531" i="3"/>
  <c r="J531" i="3" l="1"/>
  <c r="K542" i="3"/>
  <c r="P542" i="3"/>
  <c r="Q542" i="3" s="1"/>
  <c r="I543" i="3" l="1"/>
  <c r="L543" i="3" s="1"/>
  <c r="G532" i="3"/>
  <c r="H532" i="3" l="1"/>
  <c r="F532" i="3"/>
  <c r="J532" i="3" l="1"/>
  <c r="K543" i="3"/>
  <c r="P543" i="3"/>
  <c r="Q543" i="3" s="1"/>
  <c r="I544" i="3" l="1"/>
  <c r="L544" i="3" s="1"/>
  <c r="G533" i="3"/>
  <c r="H533" i="3" l="1"/>
  <c r="F533" i="3"/>
  <c r="J533" i="3" l="1"/>
  <c r="K544" i="3"/>
  <c r="P544" i="3"/>
  <c r="Q544" i="3" s="1"/>
  <c r="I545" i="3" l="1"/>
  <c r="L545" i="3" s="1"/>
  <c r="G534" i="3"/>
  <c r="H534" i="3" l="1"/>
  <c r="F534" i="3"/>
  <c r="J534" i="3" l="1"/>
  <c r="K545" i="3"/>
  <c r="P545" i="3"/>
  <c r="Q545" i="3" s="1"/>
  <c r="I546" i="3" l="1"/>
  <c r="L546" i="3" s="1"/>
  <c r="G535" i="3"/>
  <c r="H535" i="3" l="1"/>
  <c r="F535" i="3"/>
  <c r="J535" i="3" l="1"/>
  <c r="K546" i="3"/>
  <c r="H24" i="3" s="1"/>
  <c r="P546" i="3"/>
  <c r="Q546" i="3" s="1"/>
  <c r="H27" i="3" s="1"/>
  <c r="G536" i="3" l="1"/>
  <c r="G537" i="3"/>
  <c r="G539" i="3"/>
  <c r="G538" i="3"/>
  <c r="G540" i="3"/>
  <c r="G542" i="3"/>
  <c r="G541" i="3"/>
  <c r="G544" i="3"/>
  <c r="G543" i="3"/>
  <c r="G545" i="3"/>
  <c r="G546" i="3"/>
  <c r="H543" i="3" l="1"/>
  <c r="H540" i="3"/>
  <c r="H541" i="3"/>
  <c r="H538" i="3"/>
  <c r="H546" i="3"/>
  <c r="H545" i="3"/>
  <c r="H539" i="3"/>
  <c r="H542" i="3"/>
  <c r="H544" i="3"/>
  <c r="H537" i="3"/>
  <c r="H536" i="3"/>
  <c r="F536" i="3"/>
  <c r="F537" i="3" l="1"/>
  <c r="J536" i="3"/>
  <c r="F538" i="3" l="1"/>
  <c r="J537" i="3"/>
  <c r="F539" i="3" l="1"/>
  <c r="J538" i="3"/>
  <c r="F540" i="3" l="1"/>
  <c r="J539" i="3"/>
  <c r="F541" i="3" l="1"/>
  <c r="J540" i="3"/>
  <c r="J541" i="3" l="1"/>
  <c r="F542" i="3"/>
  <c r="F543" i="3" l="1"/>
  <c r="J542" i="3"/>
  <c r="J543" i="3" l="1"/>
  <c r="F544" i="3"/>
  <c r="J544" i="3" l="1"/>
  <c r="F545" i="3"/>
  <c r="J545" i="3" l="1"/>
  <c r="F546" i="3"/>
  <c r="H19" i="3" s="1"/>
  <c r="J546" i="3" l="1"/>
  <c r="H21" i="3" s="1"/>
</calcChain>
</file>

<file path=xl/sharedStrings.xml><?xml version="1.0" encoding="utf-8"?>
<sst xmlns="http://schemas.openxmlformats.org/spreadsheetml/2006/main" count="236" uniqueCount="110">
  <si>
    <t>filas de espera</t>
  </si>
  <si>
    <t>simulacion</t>
  </si>
  <si>
    <t>cpm</t>
  </si>
  <si>
    <t>ejercicio grande</t>
  </si>
  <si>
    <t>chiquito</t>
  </si>
  <si>
    <t>de comparación</t>
  </si>
  <si>
    <t>nac y muerte</t>
  </si>
  <si>
    <t>ID</t>
  </si>
  <si>
    <t>Actividad</t>
  </si>
  <si>
    <t>Predecesoras</t>
  </si>
  <si>
    <t>Duración (horas)</t>
  </si>
  <si>
    <t>A</t>
  </si>
  <si>
    <t>Diseño del flujo de atención</t>
  </si>
  <si>
    <t>—</t>
  </si>
  <si>
    <t>B</t>
  </si>
  <si>
    <t>Instalación del entorno de pruebas</t>
  </si>
  <si>
    <t>C</t>
  </si>
  <si>
    <t>Entrenamiento del personal técnico</t>
  </si>
  <si>
    <t>D</t>
  </si>
  <si>
    <t>E</t>
  </si>
  <si>
    <t>Pruebas internas del sistema</t>
  </si>
  <si>
    <t>C, D</t>
  </si>
  <si>
    <t>F</t>
  </si>
  <si>
    <t>Ajustes de configuración técnica</t>
  </si>
  <si>
    <t>G</t>
  </si>
  <si>
    <t>Simulación de demanda de usuarios</t>
  </si>
  <si>
    <t>H</t>
  </si>
  <si>
    <t>Análisis de resultados de simulación</t>
  </si>
  <si>
    <t>F, G</t>
  </si>
  <si>
    <t>I</t>
  </si>
  <si>
    <t>Redacción del informe ejecutivo final</t>
  </si>
  <si>
    <t>J</t>
  </si>
  <si>
    <t>Presentación al comité directivo</t>
  </si>
  <si>
    <t>Instrucciones:</t>
  </si>
  <si>
    <t>Se detallan las actividades relacionadas al proyecto, sus precedencias y duración estimada en horas:</t>
  </si>
  <si>
    <t>Notas</t>
  </si>
  <si>
    <t>2.-</t>
  </si>
  <si>
    <t>1.- Explique cuándo es conveniente usar la técnica de PERT y cuándo la de CPM.</t>
  </si>
  <si>
    <t>1 punto</t>
  </si>
  <si>
    <t>2 puntos</t>
  </si>
  <si>
    <t>2,5 puntos</t>
  </si>
  <si>
    <t>Margen Total</t>
  </si>
  <si>
    <t xml:space="preserve">ID </t>
  </si>
  <si>
    <t xml:space="preserve">TAREA </t>
  </si>
  <si>
    <t xml:space="preserve">Te </t>
  </si>
  <si>
    <t>FTj</t>
  </si>
  <si>
    <t>Fti</t>
  </si>
  <si>
    <t>MT</t>
  </si>
  <si>
    <t>Tarea crítica?</t>
  </si>
  <si>
    <t>X (ver Ej. 2)</t>
  </si>
  <si>
    <t>Y (ver Ej. 3)</t>
  </si>
  <si>
    <t>Solución</t>
  </si>
  <si>
    <t>1.-</t>
  </si>
  <si>
    <t>CPM para tiempos conocidos y PERT para tiempos estimados</t>
  </si>
  <si>
    <r>
      <rPr>
        <b/>
        <sz val="11"/>
        <color theme="1"/>
        <rFont val="Calibri"/>
        <family val="2"/>
      </rPr>
      <t>Contexto general: Lanzamiento de un nuevo sistema de atención técnica</t>
    </r>
    <r>
      <rPr>
        <sz val="11"/>
        <color theme="1"/>
        <rFont val="Calibri"/>
        <family val="2"/>
      </rPr>
      <t xml:space="preserve">
La empresa TecnoSur S.A. está implementando un nuevo sistema de soporte técnico para sus productos industriales. El lanzamiento requiere coordinar actividades de planificación, instalación y pruebas. Se espera que el sistema reduzca los tiempos de espera de los clientes y mejore la disponibilidad de sus servidores.</t>
    </r>
  </si>
  <si>
    <r>
      <t>X</t>
    </r>
    <r>
      <rPr>
        <sz val="11"/>
        <color theme="1"/>
        <rFont val="Calibri"/>
        <family val="2"/>
      </rPr>
      <t xml:space="preserve"> (ver Ej. 2)</t>
    </r>
  </si>
  <si>
    <r>
      <t>Y</t>
    </r>
    <r>
      <rPr>
        <sz val="11"/>
        <color theme="1"/>
        <rFont val="Calibri"/>
        <family val="2"/>
      </rPr>
      <t xml:space="preserve"> (ver Ej. 3)</t>
    </r>
  </si>
  <si>
    <r>
      <t xml:space="preserve">Se recomienda resolver los ejercicios 2 y 3 antes de este ejercicio para contar con los valores reales de </t>
    </r>
    <r>
      <rPr>
        <b/>
        <sz val="11"/>
        <color theme="1"/>
        <rFont val="Calibri"/>
        <family val="2"/>
      </rPr>
      <t>X</t>
    </r>
    <r>
      <rPr>
        <sz val="11"/>
        <color theme="1"/>
        <rFont val="Calibri"/>
        <family val="2"/>
      </rPr>
      <t xml:space="preserve"> y </t>
    </r>
    <r>
      <rPr>
        <b/>
        <sz val="11"/>
        <color theme="1"/>
        <rFont val="Calibri"/>
        <family val="2"/>
      </rPr>
      <t>Y</t>
    </r>
    <r>
      <rPr>
        <sz val="11"/>
        <color theme="1"/>
        <rFont val="Calibri"/>
        <family val="2"/>
      </rPr>
      <t>.</t>
    </r>
  </si>
  <si>
    <r>
      <t xml:space="preserve">La duración de la actividad </t>
    </r>
    <r>
      <rPr>
        <b/>
        <sz val="11"/>
        <color theme="1"/>
        <rFont val="Calibri"/>
        <family val="2"/>
      </rPr>
      <t>C</t>
    </r>
    <r>
      <rPr>
        <sz val="11"/>
        <color theme="1"/>
        <rFont val="Calibri"/>
        <family val="2"/>
      </rPr>
      <t xml:space="preserve"> (“Entrenamiento”) debe calcularse en el </t>
    </r>
    <r>
      <rPr>
        <b/>
        <sz val="11"/>
        <color theme="1"/>
        <rFont val="Calibri"/>
        <family val="2"/>
      </rPr>
      <t>Punto 2a</t>
    </r>
  </si>
  <si>
    <t>a.- Durante el entrenamiento del personal técnico, se implementa una instancia de prueba del sistema. Los técnicos deben resolver solicitudes de prueba que llegan cada 12 minutos. Cada técnico, en promedio, no debería tardar más de 10 minutos por solicitud. Sólo hay un técnico asignado.</t>
  </si>
  <si>
    <t>1.- Explique cuándo se utiliza un modelo de filas de espera y cuándo un modelo de nacimiento y muerte</t>
  </si>
  <si>
    <t>0,5 puntos</t>
  </si>
  <si>
    <t>practica</t>
  </si>
  <si>
    <t>teoria</t>
  </si>
  <si>
    <t>Ejercicio 2: Duración de la actividad B</t>
  </si>
  <si>
    <t>Filas para cola infinita y Nacimiento y Muerte para cola finita</t>
  </si>
  <si>
    <t>𝜆 =</t>
  </si>
  <si>
    <t>solicitudes por hora</t>
  </si>
  <si>
    <t>µ =</t>
  </si>
  <si>
    <t>solicitudes en cola</t>
  </si>
  <si>
    <t>solicitudes en el sistema</t>
  </si>
  <si>
    <t>Wq</t>
  </si>
  <si>
    <t>Tiempo de espera en la cola</t>
  </si>
  <si>
    <t>Tiempo de espera en el sistema</t>
  </si>
  <si>
    <t>b.- Teniendo en cuenta que los tiempos de llegada y atención de las solicitudes son estimados, simule el sistema y compare los resultados con los indicadores obtenidos en el punto a.</t>
  </si>
  <si>
    <t>1.- Explique qué ocurre una vez concluída la simulación.</t>
  </si>
  <si>
    <t>Se validan los resultados con un experto, si están ok se da por finalizado el proceso, si no está ok se debe identificar en dónde falló, corregirlo y correrlo devuelta</t>
  </si>
  <si>
    <t>N° Azar</t>
  </si>
  <si>
    <t>Lq</t>
  </si>
  <si>
    <t>𝜆</t>
  </si>
  <si>
    <t>Tiempo entre arribos</t>
  </si>
  <si>
    <t>Llegada al sistema</t>
  </si>
  <si>
    <t>Nro despachos acumulado</t>
  </si>
  <si>
    <t>Despachos en el último periodo</t>
  </si>
  <si>
    <t>Estado Servidor</t>
  </si>
  <si>
    <t>Llegada al servidor</t>
  </si>
  <si>
    <t>µ</t>
  </si>
  <si>
    <t>Tiempo entre despachos</t>
  </si>
  <si>
    <t>Tiempo salida sistema</t>
  </si>
  <si>
    <t>Des</t>
  </si>
  <si>
    <t>Simulación</t>
  </si>
  <si>
    <t>L</t>
  </si>
  <si>
    <t>W</t>
  </si>
  <si>
    <t>2.- Realice 500 corridas y compare con los valores obtenidos en el punto a. ¿Son similares? ¿Qué posibles fuentes de diferencia existen entre el modelo teórico y el simulado? Utilice la siguiente tabla</t>
  </si>
  <si>
    <t>Ejercicio 3: Duración de la actividad C</t>
  </si>
  <si>
    <t>Configuración de los servidores</t>
  </si>
  <si>
    <r>
      <t xml:space="preserve">La duración de la actividad </t>
    </r>
    <r>
      <rPr>
        <b/>
        <sz val="11"/>
        <color theme="1"/>
        <rFont val="Calibri"/>
        <family val="2"/>
      </rPr>
      <t>D</t>
    </r>
    <r>
      <rPr>
        <sz val="11"/>
        <color theme="1"/>
        <rFont val="Calibri"/>
        <family val="2"/>
      </rPr>
      <t xml:space="preserve"> (“Configuración”) debe calcularse en el </t>
    </r>
    <r>
      <rPr>
        <b/>
        <sz val="11"/>
        <color theme="1"/>
        <rFont val="Calibri"/>
        <family val="2"/>
      </rPr>
      <t>Punto 3</t>
    </r>
  </si>
  <si>
    <t>1.- Explique cuándo una matriz es ergódica</t>
  </si>
  <si>
    <t>Ver clasificación de matrices</t>
  </si>
  <si>
    <t>p(1)</t>
  </si>
  <si>
    <t>p(2)</t>
  </si>
  <si>
    <t>p(3)</t>
  </si>
  <si>
    <t>L=</t>
  </si>
  <si>
    <t>2.- Calcule la cantidad de servidores activos en régimen peremanente, considere la tasa de reparación como 𝜆.</t>
  </si>
  <si>
    <t>La Configuración de los servidores consiste en preparar un clúster de 3 servidores. Cada servidor puede fallar con una tasa de 0,05 fallos/día. Las reparaciones se realizan individualmente con una tasa de 0,20 reparaciones/día por servidor en reparación.</t>
  </si>
  <si>
    <t>días</t>
  </si>
  <si>
    <t>horas</t>
  </si>
  <si>
    <t>Usando Ley de Little calcule el W (horas) del sistema. Ese valor es el que debe utilizar en el punto 1 como duración de la tarea C. Considere 1 día = 8 horas</t>
  </si>
  <si>
    <t>2.- Dibuje el grafo del proyecto (diagrama de red con nodos y flechas) e indintifique el camino crítico del proyecto mediante el cálculo del margen total de holgura. Utilice la siguiente tabla como guía.</t>
  </si>
  <si>
    <r>
      <t xml:space="preserve">2.- Describa el modelo con los indicadores principales. Use el valor de </t>
    </r>
    <r>
      <rPr>
        <b/>
        <sz val="11"/>
        <color theme="1"/>
        <rFont val="Calibri"/>
        <family val="2"/>
      </rPr>
      <t>W (en horas)</t>
    </r>
    <r>
      <rPr>
        <sz val="11"/>
        <color theme="1"/>
        <rFont val="Calibri"/>
        <family val="2"/>
      </rPr>
      <t xml:space="preserve"> como duración de la actividad C en el ejercicio del punto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</si>
</sst>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Aptos Narrow"/>
      <family val="2"/>
      <scheme val="minor"/>
    </font>
    <font>
      <b/>
      <sz val="13.5"/>
      <color theme="1"/>
      <name val="Aptos Narrow"/>
      <family val="2"/>
      <scheme val="minor"/>
    </font>
    <font>
      <sz val="10"/>
      <color rgb="FF000000"/>
      <name val="Calibri"/>
      <family val="2"/>
    </font>
    <font>
      <sz val="11"/>
      <color rgb="FF000000"/>
      <name val="Calibri"/>
      <family val="2"/>
    </font>
    <font>
      <sz val="11"/>
      <color theme="1"/>
      <name val="Calibri"/>
      <family val="2"/>
    </font>
    <font>
      <b/>
      <sz val="11"/>
      <color theme="1"/>
      <name val="Calibri"/>
      <family val="2"/>
    </font>
    <font>
      <sz val="18"/>
      <name val="Calibri"/>
      <family val="2"/>
    </font>
    <font>
      <b/>
      <sz val="13.5"/>
      <color theme="1"/>
      <name val="Calibri"/>
      <family val="2"/>
    </font>
    <font>
      <sz val="10"/>
      <color rgb="FF000000"/>
      <name val="Arial"/>
      <family val="2"/>
    </font>
    <font>
      <sz val="10"/>
      <name val="Arial"/>
      <family val="2"/>
    </font>
    <font>
      <i/>
      <sz val="11"/>
      <color theme="1"/>
      <name val="Calibri"/>
      <family val="2"/>
    </font>
    <font>
      <sz val="10"/>
      <name val="Calibri"/>
      <family val="2"/>
    </font>
  </fonts>
  <fills count="4">
    <fill>
      <patternFill patternType="none"/>
    </fill>
    <fill>
      <patternFill patternType="gray125"/>
    </fill>
    <fill>
      <patternFill patternType="solid">
        <fgColor theme="9" tint="0.59999389629810485"/>
        <bgColor indexed="64"/>
      </patternFill>
    </fill>
    <fill>
      <patternFill patternType="solid">
        <fgColor rgb="FFC5D9F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double">
        <color rgb="FF000000"/>
      </bottom>
      <diagonal/>
    </border>
    <border>
      <left style="medium">
        <color rgb="FF000000"/>
      </left>
      <right style="medium">
        <color rgb="FF000000"/>
      </right>
      <top style="double">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2">
    <xf numFmtId="0" fontId="0" fillId="0" borderId="0"/>
    <xf numFmtId="0" fontId="8" fillId="0" borderId="0"/>
  </cellStyleXfs>
  <cellXfs count="70">
    <xf numFmtId="0" fontId="0" fillId="0" borderId="0" xfId="0"/>
    <xf numFmtId="0" fontId="0" fillId="0" borderId="0" xfId="0" applyAlignment="1">
      <alignment horizontal="left" vertical="center" indent="1"/>
    </xf>
    <xf numFmtId="0" fontId="1" fillId="0" borderId="0" xfId="0" applyFont="1" applyAlignment="1">
      <alignment vertical="center"/>
    </xf>
    <xf numFmtId="0" fontId="0" fillId="0" borderId="2" xfId="0" applyBorder="1" applyAlignment="1">
      <alignment horizontal="center"/>
    </xf>
    <xf numFmtId="0" fontId="2" fillId="3" borderId="10" xfId="0" applyFont="1" applyFill="1" applyBorder="1" applyAlignment="1">
      <alignment horizontal="center" vertical="center" wrapText="1" readingOrder="1"/>
    </xf>
    <xf numFmtId="16" fontId="2" fillId="0" borderId="11" xfId="0" applyNumberFormat="1" applyFont="1" applyBorder="1" applyAlignment="1">
      <alignment horizontal="center" vertical="center" wrapText="1" readingOrder="1"/>
    </xf>
    <xf numFmtId="0" fontId="2" fillId="0" borderId="11" xfId="0" applyFont="1" applyBorder="1" applyAlignment="1">
      <alignment horizontal="center" vertical="center" wrapText="1" readingOrder="1"/>
    </xf>
    <xf numFmtId="16" fontId="2" fillId="0" borderId="12" xfId="0" applyNumberFormat="1" applyFont="1" applyBorder="1" applyAlignment="1">
      <alignment horizontal="center" vertical="center" wrapText="1" readingOrder="1"/>
    </xf>
    <xf numFmtId="0" fontId="2" fillId="0" borderId="12" xfId="0" applyFont="1" applyBorder="1" applyAlignment="1">
      <alignment horizontal="center" vertical="center" wrapText="1" readingOrder="1"/>
    </xf>
    <xf numFmtId="0" fontId="3" fillId="0" borderId="12" xfId="0" applyFont="1" applyBorder="1" applyAlignment="1">
      <alignment horizontal="left" wrapText="1" readingOrder="1"/>
    </xf>
    <xf numFmtId="16" fontId="2" fillId="0" borderId="13" xfId="0" applyNumberFormat="1" applyFont="1" applyBorder="1" applyAlignment="1">
      <alignment horizontal="center" vertical="center" wrapText="1" readingOrder="1"/>
    </xf>
    <xf numFmtId="0" fontId="2" fillId="0" borderId="13" xfId="0" applyFont="1" applyBorder="1" applyAlignment="1">
      <alignment horizontal="center" vertical="center" wrapText="1" readingOrder="1"/>
    </xf>
    <xf numFmtId="0" fontId="3" fillId="0" borderId="13" xfId="0" applyFont="1" applyBorder="1" applyAlignment="1">
      <alignment horizontal="left" wrapText="1" readingOrder="1"/>
    </xf>
    <xf numFmtId="0" fontId="2" fillId="0" borderId="11" xfId="0" applyFont="1" applyBorder="1" applyAlignment="1">
      <alignment horizontal="left" vertical="center" wrapText="1" readingOrder="1"/>
    </xf>
    <xf numFmtId="0" fontId="2" fillId="0" borderId="12" xfId="0" applyFont="1" applyBorder="1" applyAlignment="1">
      <alignment horizontal="left" vertical="center" wrapText="1" readingOrder="1"/>
    </xf>
    <xf numFmtId="0" fontId="2" fillId="0" borderId="13" xfId="0" applyFont="1" applyBorder="1" applyAlignment="1">
      <alignment horizontal="left" vertical="center" wrapText="1" readingOrder="1"/>
    </xf>
    <xf numFmtId="0" fontId="4" fillId="0" borderId="0" xfId="0" applyFont="1" applyAlignment="1">
      <alignment horizontal="left" wrapText="1"/>
    </xf>
    <xf numFmtId="0" fontId="4" fillId="0" borderId="0" xfId="0" applyFont="1" applyAlignment="1">
      <alignment wrapText="1"/>
    </xf>
    <xf numFmtId="0" fontId="4" fillId="0" borderId="0" xfId="0" applyFont="1"/>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2" xfId="0" applyFont="1" applyBorder="1" applyAlignment="1">
      <alignment horizontal="center"/>
    </xf>
    <xf numFmtId="0" fontId="4" fillId="0" borderId="0" xfId="0" applyFont="1" applyAlignment="1">
      <alignment horizontal="left" vertical="center" indent="1"/>
    </xf>
    <xf numFmtId="0" fontId="6" fillId="0" borderId="4" xfId="0" applyFont="1" applyBorder="1" applyAlignment="1">
      <alignment wrapText="1"/>
    </xf>
    <xf numFmtId="0" fontId="6" fillId="0" borderId="5" xfId="0" applyFont="1" applyBorder="1" applyAlignment="1">
      <alignment wrapText="1"/>
    </xf>
    <xf numFmtId="0" fontId="6" fillId="0" borderId="9" xfId="0" applyFont="1" applyBorder="1" applyAlignment="1">
      <alignment wrapText="1"/>
    </xf>
    <xf numFmtId="0" fontId="6" fillId="0" borderId="11" xfId="0" applyFont="1" applyBorder="1" applyAlignment="1">
      <alignment horizontal="center" wrapText="1"/>
    </xf>
    <xf numFmtId="0" fontId="5" fillId="0" borderId="0" xfId="0" applyFont="1" applyAlignment="1">
      <alignment horizontal="left" vertical="center" indent="1"/>
    </xf>
    <xf numFmtId="0" fontId="4" fillId="0" borderId="0" xfId="0" applyFont="1" applyAlignment="1">
      <alignment horizontal="center"/>
    </xf>
    <xf numFmtId="0" fontId="4" fillId="0" borderId="2" xfId="0" applyFont="1" applyBorder="1" applyAlignment="1">
      <alignment horizontal="center" vertical="center"/>
    </xf>
    <xf numFmtId="0" fontId="5" fillId="0" borderId="0" xfId="0" applyFont="1"/>
    <xf numFmtId="0" fontId="4" fillId="0" borderId="3" xfId="0" applyFont="1" applyBorder="1" applyAlignment="1">
      <alignment horizontal="left"/>
    </xf>
    <xf numFmtId="0" fontId="4" fillId="0" borderId="0" xfId="0" applyFont="1" applyAlignment="1">
      <alignment horizontal="right"/>
    </xf>
    <xf numFmtId="164" fontId="0" fillId="0" borderId="0" xfId="0" applyNumberFormat="1" applyAlignment="1">
      <alignment horizontal="center"/>
    </xf>
    <xf numFmtId="0" fontId="7" fillId="0" borderId="0" xfId="0" applyFont="1" applyAlignment="1">
      <alignment vertical="center"/>
    </xf>
    <xf numFmtId="0" fontId="4" fillId="0" borderId="0" xfId="0" applyFont="1" applyAlignment="1">
      <alignment horizontal="left" vertical="center" indent="2"/>
    </xf>
    <xf numFmtId="2" fontId="4" fillId="0" borderId="0" xfId="0" applyNumberFormat="1" applyFont="1" applyAlignment="1">
      <alignment horizontal="center"/>
    </xf>
    <xf numFmtId="164" fontId="4" fillId="0" borderId="0" xfId="0" applyNumberFormat="1" applyFont="1" applyAlignment="1">
      <alignment horizontal="center"/>
    </xf>
    <xf numFmtId="2" fontId="4" fillId="0" borderId="0" xfId="0" applyNumberFormat="1" applyFont="1" applyAlignment="1">
      <alignment horizontal="center" vertical="center"/>
    </xf>
    <xf numFmtId="0" fontId="4" fillId="2" borderId="0" xfId="0" applyFont="1" applyFill="1" applyAlignment="1">
      <alignment horizontal="center"/>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vertical="center"/>
    </xf>
    <xf numFmtId="164" fontId="4" fillId="0" borderId="1" xfId="0" applyNumberFormat="1" applyFont="1" applyBorder="1" applyAlignment="1">
      <alignment horizontal="center"/>
    </xf>
    <xf numFmtId="0" fontId="8" fillId="0" borderId="1" xfId="0" applyFont="1" applyBorder="1" applyAlignment="1">
      <alignment horizontal="center"/>
    </xf>
    <xf numFmtId="2" fontId="8" fillId="0" borderId="1" xfId="0" applyNumberFormat="1" applyFont="1" applyBorder="1" applyAlignment="1">
      <alignment horizontal="center"/>
    </xf>
    <xf numFmtId="164" fontId="8" fillId="0" borderId="1" xfId="0" applyNumberFormat="1" applyFont="1" applyBorder="1" applyAlignment="1">
      <alignment horizontal="center"/>
    </xf>
    <xf numFmtId="2" fontId="9" fillId="0" borderId="1" xfId="0" applyNumberFormat="1" applyFont="1" applyBorder="1" applyAlignment="1">
      <alignment horizontal="center"/>
    </xf>
    <xf numFmtId="0" fontId="10" fillId="2" borderId="0" xfId="0" applyFont="1" applyFill="1" applyAlignment="1">
      <alignment horizontal="center"/>
    </xf>
    <xf numFmtId="0" fontId="10" fillId="0" borderId="0" xfId="0" applyFont="1" applyAlignment="1">
      <alignment horizontal="center"/>
    </xf>
    <xf numFmtId="2" fontId="10" fillId="2" borderId="0" xfId="0" applyNumberFormat="1" applyFont="1" applyFill="1" applyAlignment="1">
      <alignment horizontal="center"/>
    </xf>
    <xf numFmtId="0" fontId="4" fillId="0" borderId="0" xfId="0" applyFont="1" applyAlignment="1">
      <alignment horizontal="left"/>
    </xf>
    <xf numFmtId="0" fontId="0" fillId="2" borderId="0" xfId="0" applyFill="1"/>
    <xf numFmtId="0" fontId="11" fillId="0" borderId="11" xfId="0" applyFont="1" applyBorder="1" applyAlignment="1">
      <alignment horizontal="center" wrapText="1"/>
    </xf>
    <xf numFmtId="0" fontId="2" fillId="0" borderId="12" xfId="0" applyFont="1" applyBorder="1" applyAlignment="1">
      <alignment horizontal="center" wrapText="1" readingOrder="1"/>
    </xf>
    <xf numFmtId="0" fontId="2" fillId="0" borderId="13" xfId="0" applyFont="1" applyBorder="1" applyAlignment="1">
      <alignment horizontal="center" wrapText="1" readingOrder="1"/>
    </xf>
    <xf numFmtId="0" fontId="2" fillId="3" borderId="6" xfId="0" applyFont="1" applyFill="1" applyBorder="1" applyAlignment="1">
      <alignment horizontal="center" wrapText="1" readingOrder="1"/>
    </xf>
    <xf numFmtId="0" fontId="2" fillId="3" borderId="7" xfId="0" applyFont="1" applyFill="1" applyBorder="1" applyAlignment="1">
      <alignment horizontal="center" wrapText="1" readingOrder="1"/>
    </xf>
    <xf numFmtId="0" fontId="2" fillId="3" borderId="8" xfId="0" applyFont="1" applyFill="1" applyBorder="1" applyAlignment="1">
      <alignment horizontal="center" wrapText="1" readingOrder="1"/>
    </xf>
    <xf numFmtId="0" fontId="4" fillId="0" borderId="0" xfId="0" applyFont="1" applyAlignment="1">
      <alignment horizontal="left" wrapText="1"/>
    </xf>
    <xf numFmtId="0" fontId="4" fillId="0" borderId="3" xfId="0" applyFont="1" applyBorder="1" applyAlignment="1">
      <alignment horizontal="left" wrapText="1"/>
    </xf>
    <xf numFmtId="1" fontId="2" fillId="0" borderId="12" xfId="0" applyNumberFormat="1" applyFont="1" applyBorder="1" applyAlignment="1">
      <alignment horizontal="center" wrapText="1" readingOrder="1"/>
    </xf>
  </cellXfs>
  <cellStyles count="2">
    <cellStyle name="Normal" xfId="0" builtinId="0"/>
    <cellStyle name="Normal 2" xfId="1" xr:uid="{8EC5218A-A21C-4BE8-9DB2-FFC9FE19F1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55</xdr:row>
      <xdr:rowOff>76200</xdr:rowOff>
    </xdr:from>
    <xdr:to>
      <xdr:col>30</xdr:col>
      <xdr:colOff>188971</xdr:colOff>
      <xdr:row>67</xdr:row>
      <xdr:rowOff>142581</xdr:rowOff>
    </xdr:to>
    <xdr:pic>
      <xdr:nvPicPr>
        <xdr:cNvPr id="2" name="Imagen 1">
          <a:extLst>
            <a:ext uri="{FF2B5EF4-FFF2-40B4-BE49-F238E27FC236}">
              <a16:creationId xmlns:a16="http://schemas.microsoft.com/office/drawing/2014/main" id="{BE61094E-3A37-3140-D42F-60986D60554A}"/>
            </a:ext>
          </a:extLst>
        </xdr:cNvPr>
        <xdr:cNvPicPr>
          <a:picLocks noChangeAspect="1"/>
        </xdr:cNvPicPr>
      </xdr:nvPicPr>
      <xdr:blipFill>
        <a:blip xmlns:r="http://schemas.openxmlformats.org/officeDocument/2006/relationships" r:embed="rId1"/>
        <a:stretch>
          <a:fillRect/>
        </a:stretch>
      </xdr:blipFill>
      <xdr:spPr>
        <a:xfrm>
          <a:off x="5457825" y="12344400"/>
          <a:ext cx="12228571" cy="23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257175</xdr:colOff>
      <xdr:row>15</xdr:row>
      <xdr:rowOff>0</xdr:rowOff>
    </xdr:from>
    <xdr:to>
      <xdr:col>3</xdr:col>
      <xdr:colOff>18992</xdr:colOff>
      <xdr:row>17</xdr:row>
      <xdr:rowOff>28524</xdr:rowOff>
    </xdr:to>
    <xdr:pic>
      <xdr:nvPicPr>
        <xdr:cNvPr id="2" name="Imagen 1">
          <a:extLst>
            <a:ext uri="{FF2B5EF4-FFF2-40B4-BE49-F238E27FC236}">
              <a16:creationId xmlns:a16="http://schemas.microsoft.com/office/drawing/2014/main" id="{23E28099-87C1-20E9-B454-C60E3C6616A0}"/>
            </a:ext>
          </a:extLst>
        </xdr:cNvPr>
        <xdr:cNvPicPr>
          <a:picLocks noChangeAspect="1"/>
        </xdr:cNvPicPr>
      </xdr:nvPicPr>
      <xdr:blipFill>
        <a:blip xmlns:r="http://schemas.openxmlformats.org/officeDocument/2006/relationships" r:embed="rId1"/>
        <a:stretch>
          <a:fillRect/>
        </a:stretch>
      </xdr:blipFill>
      <xdr:spPr>
        <a:xfrm>
          <a:off x="1781175" y="3333750"/>
          <a:ext cx="466667" cy="409524"/>
        </a:xfrm>
        <a:prstGeom prst="rect">
          <a:avLst/>
        </a:prstGeom>
      </xdr:spPr>
    </xdr:pic>
    <xdr:clientData/>
  </xdr:twoCellAnchor>
  <xdr:twoCellAnchor editAs="oneCell">
    <xdr:from>
      <xdr:col>1</xdr:col>
      <xdr:colOff>209550</xdr:colOff>
      <xdr:row>17</xdr:row>
      <xdr:rowOff>161925</xdr:rowOff>
    </xdr:from>
    <xdr:to>
      <xdr:col>3</xdr:col>
      <xdr:colOff>76033</xdr:colOff>
      <xdr:row>20</xdr:row>
      <xdr:rowOff>47568</xdr:rowOff>
    </xdr:to>
    <xdr:pic>
      <xdr:nvPicPr>
        <xdr:cNvPr id="3" name="Imagen 2">
          <a:extLst>
            <a:ext uri="{FF2B5EF4-FFF2-40B4-BE49-F238E27FC236}">
              <a16:creationId xmlns:a16="http://schemas.microsoft.com/office/drawing/2014/main" id="{ADF93DC3-B60A-747D-5B4E-B02BAAC8C012}"/>
            </a:ext>
          </a:extLst>
        </xdr:cNvPr>
        <xdr:cNvPicPr>
          <a:picLocks noChangeAspect="1"/>
        </xdr:cNvPicPr>
      </xdr:nvPicPr>
      <xdr:blipFill>
        <a:blip xmlns:r="http://schemas.openxmlformats.org/officeDocument/2006/relationships" r:embed="rId2"/>
        <a:stretch>
          <a:fillRect/>
        </a:stretch>
      </xdr:blipFill>
      <xdr:spPr>
        <a:xfrm>
          <a:off x="971550" y="3876675"/>
          <a:ext cx="1333333" cy="457143"/>
        </a:xfrm>
        <a:prstGeom prst="rect">
          <a:avLst/>
        </a:prstGeom>
      </xdr:spPr>
    </xdr:pic>
    <xdr:clientData/>
  </xdr:twoCellAnchor>
  <xdr:twoCellAnchor editAs="oneCell">
    <xdr:from>
      <xdr:col>0</xdr:col>
      <xdr:colOff>657225</xdr:colOff>
      <xdr:row>20</xdr:row>
      <xdr:rowOff>38100</xdr:rowOff>
    </xdr:from>
    <xdr:to>
      <xdr:col>3</xdr:col>
      <xdr:colOff>95042</xdr:colOff>
      <xdr:row>22</xdr:row>
      <xdr:rowOff>28529</xdr:rowOff>
    </xdr:to>
    <xdr:pic>
      <xdr:nvPicPr>
        <xdr:cNvPr id="4" name="Imagen 3">
          <a:extLst>
            <a:ext uri="{FF2B5EF4-FFF2-40B4-BE49-F238E27FC236}">
              <a16:creationId xmlns:a16="http://schemas.microsoft.com/office/drawing/2014/main" id="{B392ECB7-34A7-B251-04F8-7D6CB2F974A7}"/>
            </a:ext>
          </a:extLst>
        </xdr:cNvPr>
        <xdr:cNvPicPr>
          <a:picLocks noChangeAspect="1"/>
        </xdr:cNvPicPr>
      </xdr:nvPicPr>
      <xdr:blipFill>
        <a:blip xmlns:r="http://schemas.openxmlformats.org/officeDocument/2006/relationships" r:embed="rId3"/>
        <a:stretch>
          <a:fillRect/>
        </a:stretch>
      </xdr:blipFill>
      <xdr:spPr>
        <a:xfrm>
          <a:off x="657225" y="4324350"/>
          <a:ext cx="1666667" cy="371429"/>
        </a:xfrm>
        <a:prstGeom prst="rect">
          <a:avLst/>
        </a:prstGeom>
      </xdr:spPr>
    </xdr:pic>
    <xdr:clientData/>
  </xdr:twoCellAnchor>
  <xdr:twoCellAnchor editAs="oneCell">
    <xdr:from>
      <xdr:col>1</xdr:col>
      <xdr:colOff>228600</xdr:colOff>
      <xdr:row>22</xdr:row>
      <xdr:rowOff>180975</xdr:rowOff>
    </xdr:from>
    <xdr:to>
      <xdr:col>3</xdr:col>
      <xdr:colOff>47464</xdr:colOff>
      <xdr:row>25</xdr:row>
      <xdr:rowOff>57094</xdr:rowOff>
    </xdr:to>
    <xdr:pic>
      <xdr:nvPicPr>
        <xdr:cNvPr id="5" name="Imagen 4">
          <a:extLst>
            <a:ext uri="{FF2B5EF4-FFF2-40B4-BE49-F238E27FC236}">
              <a16:creationId xmlns:a16="http://schemas.microsoft.com/office/drawing/2014/main" id="{048E6608-1466-2088-7368-01778BB48DA2}"/>
            </a:ext>
          </a:extLst>
        </xdr:cNvPr>
        <xdr:cNvPicPr>
          <a:picLocks noChangeAspect="1"/>
        </xdr:cNvPicPr>
      </xdr:nvPicPr>
      <xdr:blipFill>
        <a:blip xmlns:r="http://schemas.openxmlformats.org/officeDocument/2006/relationships" r:embed="rId4"/>
        <a:stretch>
          <a:fillRect/>
        </a:stretch>
      </xdr:blipFill>
      <xdr:spPr>
        <a:xfrm>
          <a:off x="990600" y="4848225"/>
          <a:ext cx="1285714" cy="447619"/>
        </a:xfrm>
        <a:prstGeom prst="rect">
          <a:avLst/>
        </a:prstGeom>
      </xdr:spPr>
    </xdr:pic>
    <xdr:clientData/>
  </xdr:twoCellAnchor>
  <xdr:twoCellAnchor editAs="oneCell">
    <xdr:from>
      <xdr:col>0</xdr:col>
      <xdr:colOff>104775</xdr:colOff>
      <xdr:row>26</xdr:row>
      <xdr:rowOff>9525</xdr:rowOff>
    </xdr:from>
    <xdr:to>
      <xdr:col>3</xdr:col>
      <xdr:colOff>66401</xdr:colOff>
      <xdr:row>28</xdr:row>
      <xdr:rowOff>38049</xdr:rowOff>
    </xdr:to>
    <xdr:pic>
      <xdr:nvPicPr>
        <xdr:cNvPr id="6" name="Imagen 5">
          <a:extLst>
            <a:ext uri="{FF2B5EF4-FFF2-40B4-BE49-F238E27FC236}">
              <a16:creationId xmlns:a16="http://schemas.microsoft.com/office/drawing/2014/main" id="{21B2DB22-2209-5A54-95D3-2F497B4208F3}"/>
            </a:ext>
          </a:extLst>
        </xdr:cNvPr>
        <xdr:cNvPicPr>
          <a:picLocks noChangeAspect="1"/>
        </xdr:cNvPicPr>
      </xdr:nvPicPr>
      <xdr:blipFill>
        <a:blip xmlns:r="http://schemas.openxmlformats.org/officeDocument/2006/relationships" r:embed="rId5"/>
        <a:stretch>
          <a:fillRect/>
        </a:stretch>
      </xdr:blipFill>
      <xdr:spPr>
        <a:xfrm>
          <a:off x="104775" y="5438775"/>
          <a:ext cx="2190476" cy="4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295274</xdr:colOff>
      <xdr:row>15</xdr:row>
      <xdr:rowOff>19050</xdr:rowOff>
    </xdr:from>
    <xdr:to>
      <xdr:col>3</xdr:col>
      <xdr:colOff>171449</xdr:colOff>
      <xdr:row>17</xdr:row>
      <xdr:rowOff>142875</xdr:rowOff>
    </xdr:to>
    <xdr:sp macro="" textlink="">
      <xdr:nvSpPr>
        <xdr:cNvPr id="2" name="Elipse 1">
          <a:extLst>
            <a:ext uri="{FF2B5EF4-FFF2-40B4-BE49-F238E27FC236}">
              <a16:creationId xmlns:a16="http://schemas.microsoft.com/office/drawing/2014/main" id="{6767C2F4-C4BE-1DE5-1CF4-B8995D34FA82}"/>
            </a:ext>
          </a:extLst>
        </xdr:cNvPr>
        <xdr:cNvSpPr/>
      </xdr:nvSpPr>
      <xdr:spPr>
        <a:xfrm>
          <a:off x="1819274" y="3209925"/>
          <a:ext cx="638175"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900">
              <a:latin typeface="Calibri" panose="020F0502020204030204" pitchFamily="34" charset="0"/>
              <a:cs typeface="Calibri" panose="020F0502020204030204" pitchFamily="34" charset="0"/>
            </a:rPr>
            <a:t>0 </a:t>
          </a:r>
          <a:r>
            <a:rPr lang="es-AR" sz="800">
              <a:latin typeface="Calibri" panose="020F0502020204030204" pitchFamily="34" charset="0"/>
              <a:cs typeface="Calibri" panose="020F0502020204030204" pitchFamily="34" charset="0"/>
            </a:rPr>
            <a:t>Act</a:t>
          </a:r>
          <a:endParaRPr lang="es-AR" sz="1200">
            <a:latin typeface="Calibri" panose="020F0502020204030204" pitchFamily="34" charset="0"/>
            <a:cs typeface="Calibri" panose="020F0502020204030204" pitchFamily="34" charset="0"/>
          </a:endParaRPr>
        </a:p>
      </xdr:txBody>
    </xdr:sp>
    <xdr:clientData/>
  </xdr:twoCellAnchor>
  <xdr:twoCellAnchor>
    <xdr:from>
      <xdr:col>3</xdr:col>
      <xdr:colOff>676274</xdr:colOff>
      <xdr:row>15</xdr:row>
      <xdr:rowOff>19050</xdr:rowOff>
    </xdr:from>
    <xdr:to>
      <xdr:col>4</xdr:col>
      <xdr:colOff>552449</xdr:colOff>
      <xdr:row>17</xdr:row>
      <xdr:rowOff>142875</xdr:rowOff>
    </xdr:to>
    <xdr:sp macro="" textlink="">
      <xdr:nvSpPr>
        <xdr:cNvPr id="3" name="Elipse 2">
          <a:extLst>
            <a:ext uri="{FF2B5EF4-FFF2-40B4-BE49-F238E27FC236}">
              <a16:creationId xmlns:a16="http://schemas.microsoft.com/office/drawing/2014/main" id="{141398B1-3B45-4F27-99ED-44710ED9C282}"/>
            </a:ext>
          </a:extLst>
        </xdr:cNvPr>
        <xdr:cNvSpPr/>
      </xdr:nvSpPr>
      <xdr:spPr>
        <a:xfrm>
          <a:off x="2962274" y="3209925"/>
          <a:ext cx="638175"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900"/>
            <a:t>1 Act</a:t>
          </a:r>
        </a:p>
      </xdr:txBody>
    </xdr:sp>
    <xdr:clientData/>
  </xdr:twoCellAnchor>
  <xdr:twoCellAnchor>
    <xdr:from>
      <xdr:col>5</xdr:col>
      <xdr:colOff>247649</xdr:colOff>
      <xdr:row>15</xdr:row>
      <xdr:rowOff>9525</xdr:rowOff>
    </xdr:from>
    <xdr:to>
      <xdr:col>6</xdr:col>
      <xdr:colOff>123824</xdr:colOff>
      <xdr:row>17</xdr:row>
      <xdr:rowOff>133350</xdr:rowOff>
    </xdr:to>
    <xdr:sp macro="" textlink="">
      <xdr:nvSpPr>
        <xdr:cNvPr id="4" name="Elipse 3">
          <a:extLst>
            <a:ext uri="{FF2B5EF4-FFF2-40B4-BE49-F238E27FC236}">
              <a16:creationId xmlns:a16="http://schemas.microsoft.com/office/drawing/2014/main" id="{C19369EB-5A72-4FFC-877D-BAD31845F7BB}"/>
            </a:ext>
          </a:extLst>
        </xdr:cNvPr>
        <xdr:cNvSpPr/>
      </xdr:nvSpPr>
      <xdr:spPr>
        <a:xfrm>
          <a:off x="4057649" y="3200400"/>
          <a:ext cx="638175"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AR" sz="1000">
              <a:solidFill>
                <a:schemeClr val="lt1"/>
              </a:solidFill>
              <a:effectLst/>
              <a:latin typeface="Calibri" panose="020F0502020204030204" pitchFamily="34" charset="0"/>
              <a:ea typeface="+mn-ea"/>
              <a:cs typeface="Calibri" panose="020F0502020204030204" pitchFamily="34" charset="0"/>
            </a:rPr>
            <a:t>2 Act</a:t>
          </a:r>
          <a:endParaRPr lang="es-AR" sz="700">
            <a:effectLst/>
            <a:latin typeface="Calibri" panose="020F0502020204030204" pitchFamily="34" charset="0"/>
            <a:cs typeface="Calibri" panose="020F0502020204030204" pitchFamily="34" charset="0"/>
          </a:endParaRPr>
        </a:p>
      </xdr:txBody>
    </xdr:sp>
    <xdr:clientData/>
  </xdr:twoCellAnchor>
  <xdr:twoCellAnchor>
    <xdr:from>
      <xdr:col>6</xdr:col>
      <xdr:colOff>590549</xdr:colOff>
      <xdr:row>14</xdr:row>
      <xdr:rowOff>180975</xdr:rowOff>
    </xdr:from>
    <xdr:to>
      <xdr:col>7</xdr:col>
      <xdr:colOff>466724</xdr:colOff>
      <xdr:row>17</xdr:row>
      <xdr:rowOff>114300</xdr:rowOff>
    </xdr:to>
    <xdr:sp macro="" textlink="">
      <xdr:nvSpPr>
        <xdr:cNvPr id="5" name="Elipse 4">
          <a:extLst>
            <a:ext uri="{FF2B5EF4-FFF2-40B4-BE49-F238E27FC236}">
              <a16:creationId xmlns:a16="http://schemas.microsoft.com/office/drawing/2014/main" id="{F41E6BDC-8AA5-4E12-8073-989DBFBB3C25}"/>
            </a:ext>
          </a:extLst>
        </xdr:cNvPr>
        <xdr:cNvSpPr/>
      </xdr:nvSpPr>
      <xdr:spPr>
        <a:xfrm>
          <a:off x="5162549" y="3181350"/>
          <a:ext cx="638175"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AR" sz="1000">
              <a:solidFill>
                <a:schemeClr val="lt1"/>
              </a:solidFill>
              <a:effectLst/>
              <a:latin typeface="Calibri" panose="020F0502020204030204" pitchFamily="34" charset="0"/>
              <a:ea typeface="+mn-ea"/>
              <a:cs typeface="Calibri" panose="020F0502020204030204" pitchFamily="34" charset="0"/>
            </a:rPr>
            <a:t>3 Act</a:t>
          </a:r>
          <a:endParaRPr lang="es-AR" sz="700">
            <a:effectLst/>
            <a:latin typeface="Calibri" panose="020F0502020204030204" pitchFamily="34" charset="0"/>
            <a:cs typeface="Calibri" panose="020F0502020204030204" pitchFamily="34" charset="0"/>
          </a:endParaRPr>
        </a:p>
      </xdr:txBody>
    </xdr:sp>
    <xdr:clientData/>
  </xdr:twoCellAnchor>
  <xdr:twoCellAnchor>
    <xdr:from>
      <xdr:col>2</xdr:col>
      <xdr:colOff>614362</xdr:colOff>
      <xdr:row>15</xdr:row>
      <xdr:rowOff>19050</xdr:rowOff>
    </xdr:from>
    <xdr:to>
      <xdr:col>4</xdr:col>
      <xdr:colOff>233362</xdr:colOff>
      <xdr:row>15</xdr:row>
      <xdr:rowOff>19050</xdr:rowOff>
    </xdr:to>
    <xdr:cxnSp macro="">
      <xdr:nvCxnSpPr>
        <xdr:cNvPr id="7" name="Conector recto de flecha 6">
          <a:extLst>
            <a:ext uri="{FF2B5EF4-FFF2-40B4-BE49-F238E27FC236}">
              <a16:creationId xmlns:a16="http://schemas.microsoft.com/office/drawing/2014/main" id="{828DE38D-5967-DDE7-6D72-D218CFC4C553}"/>
            </a:ext>
          </a:extLst>
        </xdr:cNvPr>
        <xdr:cNvCxnSpPr>
          <a:stCxn id="2" idx="0"/>
          <a:endCxn id="3" idx="0"/>
        </xdr:cNvCxnSpPr>
      </xdr:nvCxnSpPr>
      <xdr:spPr>
        <a:xfrm>
          <a:off x="2138362" y="3209925"/>
          <a:ext cx="1143000" cy="0"/>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4</xdr:col>
      <xdr:colOff>233362</xdr:colOff>
      <xdr:row>15</xdr:row>
      <xdr:rowOff>9525</xdr:rowOff>
    </xdr:from>
    <xdr:to>
      <xdr:col>5</xdr:col>
      <xdr:colOff>566737</xdr:colOff>
      <xdr:row>15</xdr:row>
      <xdr:rowOff>19050</xdr:rowOff>
    </xdr:to>
    <xdr:cxnSp macro="">
      <xdr:nvCxnSpPr>
        <xdr:cNvPr id="9" name="Conector recto de flecha 8">
          <a:extLst>
            <a:ext uri="{FF2B5EF4-FFF2-40B4-BE49-F238E27FC236}">
              <a16:creationId xmlns:a16="http://schemas.microsoft.com/office/drawing/2014/main" id="{A9FE92C6-601A-4298-B5D9-44B7F4AA6BA2}"/>
            </a:ext>
          </a:extLst>
        </xdr:cNvPr>
        <xdr:cNvCxnSpPr>
          <a:stCxn id="3" idx="0"/>
          <a:endCxn id="4" idx="0"/>
        </xdr:cNvCxnSpPr>
      </xdr:nvCxnSpPr>
      <xdr:spPr>
        <a:xfrm flipV="1">
          <a:off x="3281362" y="3200400"/>
          <a:ext cx="1095375" cy="9525"/>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xdr:col>
      <xdr:colOff>566737</xdr:colOff>
      <xdr:row>14</xdr:row>
      <xdr:rowOff>180975</xdr:rowOff>
    </xdr:from>
    <xdr:to>
      <xdr:col>7</xdr:col>
      <xdr:colOff>147637</xdr:colOff>
      <xdr:row>15</xdr:row>
      <xdr:rowOff>9525</xdr:rowOff>
    </xdr:to>
    <xdr:cxnSp macro="">
      <xdr:nvCxnSpPr>
        <xdr:cNvPr id="13" name="Conector recto de flecha 12">
          <a:extLst>
            <a:ext uri="{FF2B5EF4-FFF2-40B4-BE49-F238E27FC236}">
              <a16:creationId xmlns:a16="http://schemas.microsoft.com/office/drawing/2014/main" id="{7961A20C-F405-4389-914C-427A45D7EF7C}"/>
            </a:ext>
          </a:extLst>
        </xdr:cNvPr>
        <xdr:cNvCxnSpPr>
          <a:stCxn id="4" idx="0"/>
          <a:endCxn id="5" idx="0"/>
        </xdr:cNvCxnSpPr>
      </xdr:nvCxnSpPr>
      <xdr:spPr>
        <a:xfrm flipV="1">
          <a:off x="4376737" y="3181350"/>
          <a:ext cx="1104900" cy="19050"/>
        </a:xfrm>
        <a:prstGeom prst="straightConnector1">
          <a:avLst/>
        </a:prstGeom>
        <a:ln>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xdr:col>
      <xdr:colOff>566737</xdr:colOff>
      <xdr:row>17</xdr:row>
      <xdr:rowOff>114300</xdr:rowOff>
    </xdr:from>
    <xdr:to>
      <xdr:col>7</xdr:col>
      <xdr:colOff>147637</xdr:colOff>
      <xdr:row>17</xdr:row>
      <xdr:rowOff>133350</xdr:rowOff>
    </xdr:to>
    <xdr:cxnSp macro="">
      <xdr:nvCxnSpPr>
        <xdr:cNvPr id="17" name="Conector recto de flecha 16">
          <a:extLst>
            <a:ext uri="{FF2B5EF4-FFF2-40B4-BE49-F238E27FC236}">
              <a16:creationId xmlns:a16="http://schemas.microsoft.com/office/drawing/2014/main" id="{3E7D36BC-5271-4795-A30C-F11A2D235125}"/>
            </a:ext>
          </a:extLst>
        </xdr:cNvPr>
        <xdr:cNvCxnSpPr>
          <a:stCxn id="5" idx="4"/>
          <a:endCxn id="4" idx="4"/>
        </xdr:cNvCxnSpPr>
      </xdr:nvCxnSpPr>
      <xdr:spPr>
        <a:xfrm flipH="1">
          <a:off x="4376737" y="3686175"/>
          <a:ext cx="1104900" cy="19050"/>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4</xdr:col>
      <xdr:colOff>233362</xdr:colOff>
      <xdr:row>17</xdr:row>
      <xdr:rowOff>133350</xdr:rowOff>
    </xdr:from>
    <xdr:to>
      <xdr:col>5</xdr:col>
      <xdr:colOff>566737</xdr:colOff>
      <xdr:row>17</xdr:row>
      <xdr:rowOff>142875</xdr:rowOff>
    </xdr:to>
    <xdr:cxnSp macro="">
      <xdr:nvCxnSpPr>
        <xdr:cNvPr id="20" name="Conector recto de flecha 19">
          <a:extLst>
            <a:ext uri="{FF2B5EF4-FFF2-40B4-BE49-F238E27FC236}">
              <a16:creationId xmlns:a16="http://schemas.microsoft.com/office/drawing/2014/main" id="{7C97AFFC-5749-42B2-91A7-8B9726756467}"/>
            </a:ext>
          </a:extLst>
        </xdr:cNvPr>
        <xdr:cNvCxnSpPr>
          <a:stCxn id="4" idx="4"/>
          <a:endCxn id="3" idx="4"/>
        </xdr:cNvCxnSpPr>
      </xdr:nvCxnSpPr>
      <xdr:spPr>
        <a:xfrm flipH="1">
          <a:off x="3281362" y="3705225"/>
          <a:ext cx="1095375" cy="9525"/>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614362</xdr:colOff>
      <xdr:row>17</xdr:row>
      <xdr:rowOff>142875</xdr:rowOff>
    </xdr:from>
    <xdr:to>
      <xdr:col>4</xdr:col>
      <xdr:colOff>233362</xdr:colOff>
      <xdr:row>17</xdr:row>
      <xdr:rowOff>142875</xdr:rowOff>
    </xdr:to>
    <xdr:cxnSp macro="">
      <xdr:nvCxnSpPr>
        <xdr:cNvPr id="23" name="Conector recto de flecha 22">
          <a:extLst>
            <a:ext uri="{FF2B5EF4-FFF2-40B4-BE49-F238E27FC236}">
              <a16:creationId xmlns:a16="http://schemas.microsoft.com/office/drawing/2014/main" id="{A5B250D6-1569-4062-8D48-EAE6A1A650E9}"/>
            </a:ext>
          </a:extLst>
        </xdr:cNvPr>
        <xdr:cNvCxnSpPr>
          <a:stCxn id="3" idx="4"/>
          <a:endCxn id="2" idx="4"/>
        </xdr:cNvCxnSpPr>
      </xdr:nvCxnSpPr>
      <xdr:spPr>
        <a:xfrm flipH="1">
          <a:off x="2138362" y="3714750"/>
          <a:ext cx="1143000" cy="0"/>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1</xdr:col>
      <xdr:colOff>476250</xdr:colOff>
      <xdr:row>19</xdr:row>
      <xdr:rowOff>114300</xdr:rowOff>
    </xdr:from>
    <xdr:to>
      <xdr:col>5</xdr:col>
      <xdr:colOff>704850</xdr:colOff>
      <xdr:row>24</xdr:row>
      <xdr:rowOff>0</xdr:rowOff>
    </xdr:to>
    <xdr:pic>
      <xdr:nvPicPr>
        <xdr:cNvPr id="32" name="Picture 3">
          <a:extLst>
            <a:ext uri="{FF2B5EF4-FFF2-40B4-BE49-F238E27FC236}">
              <a16:creationId xmlns:a16="http://schemas.microsoft.com/office/drawing/2014/main" id="{8EC9941F-685C-47A7-7BEE-23ECBA1F2D46}"/>
            </a:ext>
          </a:extLst>
        </xdr:cNvPr>
        <xdr:cNvPicPr>
          <a:picLocks noChangeAspect="1" noChangeArrowheads="1"/>
        </xdr:cNvPicPr>
      </xdr:nvPicPr>
      <xdr:blipFill rotWithShape="1">
        <a:blip xmlns:r="http://schemas.openxmlformats.org/officeDocument/2006/relationships" r:embed="rId1" cstate="print"/>
        <a:srcRect r="15686"/>
        <a:stretch>
          <a:fillRect/>
        </a:stretch>
      </xdr:blipFill>
      <xdr:spPr bwMode="auto">
        <a:xfrm>
          <a:off x="1238250" y="4067175"/>
          <a:ext cx="3276600" cy="838200"/>
        </a:xfrm>
        <a:prstGeom prst="rect">
          <a:avLst/>
        </a:prstGeom>
        <a:noFill/>
        <a:ln w="9525">
          <a:noFill/>
          <a:miter lim="800000"/>
          <a:headEnd/>
          <a:tailEnd/>
        </a:ln>
      </xdr:spPr>
    </xdr:pic>
    <xdr:clientData/>
  </xdr:twoCellAnchor>
  <xdr:twoCellAnchor editAs="oneCell">
    <xdr:from>
      <xdr:col>4</xdr:col>
      <xdr:colOff>561975</xdr:colOff>
      <xdr:row>31</xdr:row>
      <xdr:rowOff>28575</xdr:rowOff>
    </xdr:from>
    <xdr:to>
      <xdr:col>5</xdr:col>
      <xdr:colOff>466725</xdr:colOff>
      <xdr:row>32</xdr:row>
      <xdr:rowOff>28575</xdr:rowOff>
    </xdr:to>
    <xdr:pic>
      <xdr:nvPicPr>
        <xdr:cNvPr id="33" name="Picture 1">
          <a:extLst>
            <a:ext uri="{FF2B5EF4-FFF2-40B4-BE49-F238E27FC236}">
              <a16:creationId xmlns:a16="http://schemas.microsoft.com/office/drawing/2014/main" id="{276C2132-77B7-80F5-D15F-21513401BF85}"/>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3609975" y="6457950"/>
          <a:ext cx="666750" cy="190500"/>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61E1-9DA5-44DA-A5B0-7D9A2C0D0887}">
  <dimension ref="B4:E8"/>
  <sheetViews>
    <sheetView workbookViewId="0">
      <selection activeCell="D5" sqref="D5:E8"/>
    </sheetView>
  </sheetViews>
  <sheetFormatPr baseColWidth="10" defaultRowHeight="15" x14ac:dyDescent="0.25"/>
  <sheetData>
    <row r="4" spans="2:5" x14ac:dyDescent="0.25">
      <c r="D4" t="s">
        <v>62</v>
      </c>
      <c r="E4" t="s">
        <v>63</v>
      </c>
    </row>
    <row r="5" spans="2:5" x14ac:dyDescent="0.25">
      <c r="B5" t="s">
        <v>2</v>
      </c>
      <c r="C5" t="s">
        <v>3</v>
      </c>
      <c r="D5">
        <v>2.5</v>
      </c>
      <c r="E5">
        <v>0.5</v>
      </c>
    </row>
    <row r="6" spans="2:5" x14ac:dyDescent="0.25">
      <c r="B6" t="s">
        <v>6</v>
      </c>
      <c r="C6" t="s">
        <v>4</v>
      </c>
      <c r="D6">
        <v>2</v>
      </c>
      <c r="E6">
        <v>0.5</v>
      </c>
    </row>
    <row r="7" spans="2:5" x14ac:dyDescent="0.25">
      <c r="B7" t="s">
        <v>1</v>
      </c>
      <c r="C7" t="s">
        <v>5</v>
      </c>
      <c r="D7">
        <v>2.5</v>
      </c>
      <c r="E7">
        <v>0.5</v>
      </c>
    </row>
    <row r="8" spans="2:5" x14ac:dyDescent="0.25">
      <c r="B8" t="s">
        <v>0</v>
      </c>
      <c r="C8" t="s">
        <v>4</v>
      </c>
      <c r="D8">
        <v>1</v>
      </c>
      <c r="E8">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F24B4-5510-47B6-A13E-FC346EEB80FE}">
  <dimension ref="A2:J80"/>
  <sheetViews>
    <sheetView tabSelected="1" topLeftCell="H56" workbookViewId="0">
      <selection activeCell="N56" sqref="N56"/>
    </sheetView>
  </sheetViews>
  <sheetFormatPr baseColWidth="10" defaultRowHeight="15" x14ac:dyDescent="0.25"/>
  <cols>
    <col min="1" max="1" width="11.42578125" style="18"/>
    <col min="2" max="2" width="7.42578125" style="18" customWidth="1"/>
    <col min="3" max="3" width="36.85546875" style="18" customWidth="1"/>
    <col min="4" max="4" width="13.28515625" style="18" bestFit="1" customWidth="1"/>
    <col min="5" max="5" width="10.5703125" style="18" bestFit="1" customWidth="1"/>
    <col min="6" max="6" width="4" style="18" bestFit="1" customWidth="1"/>
    <col min="7" max="7" width="11.42578125" style="18"/>
    <col min="8" max="8" width="11.85546875" style="18" customWidth="1"/>
    <col min="9" max="9" width="3" style="18" bestFit="1" customWidth="1"/>
    <col min="10" max="10" width="11.42578125" style="18"/>
    <col min="11" max="11" width="3" style="18" bestFit="1" customWidth="1"/>
    <col min="12" max="12" width="4" style="18" bestFit="1" customWidth="1"/>
    <col min="13" max="13" width="11.42578125" style="18"/>
    <col min="14" max="14" width="8.7109375" style="18" customWidth="1"/>
    <col min="15" max="15" width="4" style="18" bestFit="1" customWidth="1"/>
    <col min="16" max="16" width="11.42578125" style="18"/>
    <col min="17" max="17" width="3.28515625" style="18" customWidth="1"/>
    <col min="18" max="18" width="4" style="18" bestFit="1" customWidth="1"/>
    <col min="19" max="19" width="11.42578125" style="18"/>
    <col min="20" max="20" width="3.28515625" style="18" customWidth="1"/>
    <col min="21" max="21" width="4" style="18" bestFit="1" customWidth="1"/>
    <col min="22" max="22" width="11.42578125" style="18"/>
    <col min="23" max="23" width="3.28515625" style="18" customWidth="1"/>
    <col min="24" max="24" width="4" style="18" bestFit="1" customWidth="1"/>
    <col min="25" max="25" width="11.42578125" style="18"/>
    <col min="26" max="26" width="4.140625" style="18" customWidth="1"/>
    <col min="27" max="27" width="4" style="18" bestFit="1" customWidth="1"/>
    <col min="28" max="16384" width="11.42578125" style="18"/>
  </cols>
  <sheetData>
    <row r="2" spans="2:10" s="17" customFormat="1" ht="60.75" customHeight="1" x14ac:dyDescent="0.25">
      <c r="B2" s="67" t="s">
        <v>54</v>
      </c>
      <c r="C2" s="67"/>
      <c r="D2" s="67"/>
      <c r="E2" s="67"/>
      <c r="F2" s="67"/>
      <c r="G2" s="67"/>
      <c r="H2" s="67"/>
      <c r="I2" s="67"/>
      <c r="J2" s="67"/>
    </row>
    <row r="4" spans="2:10" x14ac:dyDescent="0.25">
      <c r="B4" s="18" t="s">
        <v>34</v>
      </c>
    </row>
    <row r="5" spans="2:10" ht="5.0999999999999996" customHeight="1" x14ac:dyDescent="0.25"/>
    <row r="6" spans="2:10" ht="30" x14ac:dyDescent="0.25">
      <c r="B6" s="19" t="s">
        <v>7</v>
      </c>
      <c r="C6" s="19" t="s">
        <v>8</v>
      </c>
      <c r="D6" s="19" t="s">
        <v>9</v>
      </c>
      <c r="E6" s="19" t="s">
        <v>10</v>
      </c>
    </row>
    <row r="7" spans="2:10" x14ac:dyDescent="0.25">
      <c r="B7" s="19" t="s">
        <v>11</v>
      </c>
      <c r="C7" s="20" t="s">
        <v>12</v>
      </c>
      <c r="D7" s="21" t="s">
        <v>13</v>
      </c>
      <c r="E7" s="21">
        <v>2</v>
      </c>
    </row>
    <row r="8" spans="2:10" x14ac:dyDescent="0.25">
      <c r="B8" s="19" t="s">
        <v>14</v>
      </c>
      <c r="C8" s="20" t="s">
        <v>15</v>
      </c>
      <c r="D8" s="21" t="s">
        <v>11</v>
      </c>
      <c r="E8" s="21">
        <v>3</v>
      </c>
    </row>
    <row r="9" spans="2:10" ht="30" x14ac:dyDescent="0.25">
      <c r="B9" s="22" t="s">
        <v>16</v>
      </c>
      <c r="C9" s="23" t="s">
        <v>17</v>
      </c>
      <c r="D9" s="24" t="s">
        <v>14</v>
      </c>
      <c r="E9" s="22" t="s">
        <v>55</v>
      </c>
    </row>
    <row r="10" spans="2:10" ht="30" x14ac:dyDescent="0.25">
      <c r="B10" s="22" t="s">
        <v>18</v>
      </c>
      <c r="C10" s="23" t="s">
        <v>95</v>
      </c>
      <c r="D10" s="24" t="s">
        <v>14</v>
      </c>
      <c r="E10" s="22" t="s">
        <v>56</v>
      </c>
    </row>
    <row r="11" spans="2:10" x14ac:dyDescent="0.25">
      <c r="B11" s="19" t="s">
        <v>19</v>
      </c>
      <c r="C11" s="20" t="s">
        <v>20</v>
      </c>
      <c r="D11" s="21" t="s">
        <v>21</v>
      </c>
      <c r="E11" s="21">
        <v>4</v>
      </c>
    </row>
    <row r="12" spans="2:10" x14ac:dyDescent="0.25">
      <c r="B12" s="19" t="s">
        <v>22</v>
      </c>
      <c r="C12" s="20" t="s">
        <v>23</v>
      </c>
      <c r="D12" s="21" t="s">
        <v>18</v>
      </c>
      <c r="E12" s="21">
        <v>2</v>
      </c>
    </row>
    <row r="13" spans="2:10" x14ac:dyDescent="0.25">
      <c r="B13" s="19" t="s">
        <v>24</v>
      </c>
      <c r="C13" s="20" t="s">
        <v>25</v>
      </c>
      <c r="D13" s="21" t="s">
        <v>19</v>
      </c>
      <c r="E13" s="21">
        <v>2</v>
      </c>
    </row>
    <row r="14" spans="2:10" x14ac:dyDescent="0.25">
      <c r="B14" s="19" t="s">
        <v>26</v>
      </c>
      <c r="C14" s="20" t="s">
        <v>27</v>
      </c>
      <c r="D14" s="21" t="s">
        <v>28</v>
      </c>
      <c r="E14" s="21">
        <v>3</v>
      </c>
    </row>
    <row r="15" spans="2:10" x14ac:dyDescent="0.25">
      <c r="B15" s="19" t="s">
        <v>29</v>
      </c>
      <c r="C15" s="20" t="s">
        <v>30</v>
      </c>
      <c r="D15" s="21" t="s">
        <v>26</v>
      </c>
      <c r="E15" s="21">
        <v>3</v>
      </c>
    </row>
    <row r="16" spans="2:10" x14ac:dyDescent="0.25">
      <c r="B16" s="19" t="s">
        <v>31</v>
      </c>
      <c r="C16" s="20" t="s">
        <v>32</v>
      </c>
      <c r="D16" s="21" t="s">
        <v>29</v>
      </c>
      <c r="E16" s="21">
        <v>2</v>
      </c>
    </row>
    <row r="17" spans="1:8" ht="5.0999999999999996" customHeight="1" x14ac:dyDescent="0.25">
      <c r="B17" s="25"/>
      <c r="C17" s="26"/>
      <c r="D17" s="27"/>
      <c r="E17" s="27"/>
    </row>
    <row r="18" spans="1:8" x14ac:dyDescent="0.25">
      <c r="B18" s="37" t="s">
        <v>35</v>
      </c>
      <c r="D18" s="27"/>
      <c r="E18" s="27"/>
    </row>
    <row r="19" spans="1:8" x14ac:dyDescent="0.25">
      <c r="B19" s="18" t="s">
        <v>58</v>
      </c>
      <c r="D19" s="27"/>
      <c r="E19" s="27"/>
    </row>
    <row r="20" spans="1:8" x14ac:dyDescent="0.25">
      <c r="B20" s="18" t="s">
        <v>96</v>
      </c>
      <c r="D20" s="27"/>
      <c r="E20" s="27"/>
    </row>
    <row r="21" spans="1:8" x14ac:dyDescent="0.25">
      <c r="B21" s="18" t="s">
        <v>57</v>
      </c>
    </row>
    <row r="23" spans="1:8" ht="15.75" thickBot="1" x14ac:dyDescent="0.3">
      <c r="B23" s="37" t="s">
        <v>33</v>
      </c>
    </row>
    <row r="24" spans="1:8" ht="15.75" thickBot="1" x14ac:dyDescent="0.3">
      <c r="A24" s="3" t="s">
        <v>61</v>
      </c>
      <c r="B24" s="18" t="s">
        <v>37</v>
      </c>
    </row>
    <row r="25" spans="1:8" ht="49.5" customHeight="1" thickBot="1" x14ac:dyDescent="0.3">
      <c r="A25" s="36" t="s">
        <v>40</v>
      </c>
      <c r="B25" s="68" t="s">
        <v>108</v>
      </c>
      <c r="C25" s="67"/>
      <c r="D25" s="67"/>
      <c r="E25" s="67"/>
      <c r="F25" s="67"/>
    </row>
    <row r="26" spans="1:8" ht="15.75" thickBot="1" x14ac:dyDescent="0.3">
      <c r="B26" s="29"/>
    </row>
    <row r="27" spans="1:8" ht="24" thickBot="1" x14ac:dyDescent="0.4">
      <c r="B27" s="30"/>
      <c r="C27" s="30"/>
      <c r="D27" s="31"/>
      <c r="E27" s="64" t="s">
        <v>41</v>
      </c>
      <c r="F27" s="65"/>
      <c r="G27" s="66"/>
      <c r="H27" s="32"/>
    </row>
    <row r="28" spans="1:8" ht="15.75" thickBot="1" x14ac:dyDescent="0.3">
      <c r="B28" s="4" t="s">
        <v>42</v>
      </c>
      <c r="C28" s="4" t="s">
        <v>43</v>
      </c>
      <c r="D28" s="4" t="s">
        <v>44</v>
      </c>
      <c r="E28" s="4" t="s">
        <v>45</v>
      </c>
      <c r="F28" s="4" t="s">
        <v>46</v>
      </c>
      <c r="G28" s="4" t="s">
        <v>47</v>
      </c>
      <c r="H28" s="4" t="s">
        <v>48</v>
      </c>
    </row>
    <row r="29" spans="1:8" ht="24" thickTop="1" x14ac:dyDescent="0.35">
      <c r="B29" s="5" t="s">
        <v>11</v>
      </c>
      <c r="C29" s="13" t="s">
        <v>12</v>
      </c>
      <c r="D29" s="6">
        <v>2</v>
      </c>
      <c r="E29" s="33"/>
      <c r="F29" s="33"/>
      <c r="G29" s="33"/>
      <c r="H29" s="6"/>
    </row>
    <row r="30" spans="1:8" x14ac:dyDescent="0.25">
      <c r="B30" s="7" t="s">
        <v>14</v>
      </c>
      <c r="C30" s="14" t="s">
        <v>15</v>
      </c>
      <c r="D30" s="8">
        <v>3</v>
      </c>
      <c r="E30" s="9"/>
      <c r="F30" s="9"/>
      <c r="G30" s="9"/>
      <c r="H30" s="8"/>
    </row>
    <row r="31" spans="1:8" x14ac:dyDescent="0.25">
      <c r="B31" s="7" t="s">
        <v>16</v>
      </c>
      <c r="C31" s="14" t="s">
        <v>17</v>
      </c>
      <c r="D31" s="8" t="s">
        <v>49</v>
      </c>
      <c r="E31" s="9"/>
      <c r="F31" s="9"/>
      <c r="G31" s="9"/>
      <c r="H31" s="8"/>
    </row>
    <row r="32" spans="1:8" x14ac:dyDescent="0.25">
      <c r="B32" s="7" t="s">
        <v>18</v>
      </c>
      <c r="C32" s="14" t="s">
        <v>95</v>
      </c>
      <c r="D32" s="8" t="s">
        <v>50</v>
      </c>
      <c r="E32" s="9"/>
      <c r="F32" s="9"/>
      <c r="G32" s="9"/>
      <c r="H32" s="8"/>
    </row>
    <row r="33" spans="2:8" x14ac:dyDescent="0.25">
      <c r="B33" s="7" t="s">
        <v>19</v>
      </c>
      <c r="C33" s="14" t="s">
        <v>20</v>
      </c>
      <c r="D33" s="8">
        <v>4</v>
      </c>
      <c r="E33" s="9"/>
      <c r="F33" s="9"/>
      <c r="G33" s="9"/>
      <c r="H33" s="8"/>
    </row>
    <row r="34" spans="2:8" x14ac:dyDescent="0.25">
      <c r="B34" s="7" t="s">
        <v>22</v>
      </c>
      <c r="C34" s="14" t="s">
        <v>23</v>
      </c>
      <c r="D34" s="8">
        <v>2</v>
      </c>
      <c r="E34" s="9"/>
      <c r="F34" s="9"/>
      <c r="G34" s="9"/>
      <c r="H34" s="8"/>
    </row>
    <row r="35" spans="2:8" x14ac:dyDescent="0.25">
      <c r="B35" s="7" t="s">
        <v>24</v>
      </c>
      <c r="C35" s="14" t="s">
        <v>25</v>
      </c>
      <c r="D35" s="8">
        <v>2</v>
      </c>
      <c r="E35" s="9"/>
      <c r="F35" s="9"/>
      <c r="G35" s="9"/>
      <c r="H35" s="8"/>
    </row>
    <row r="36" spans="2:8" x14ac:dyDescent="0.25">
      <c r="B36" s="7" t="s">
        <v>26</v>
      </c>
      <c r="C36" s="14" t="s">
        <v>27</v>
      </c>
      <c r="D36" s="8">
        <v>3</v>
      </c>
      <c r="E36" s="9"/>
      <c r="F36" s="9"/>
      <c r="G36" s="9"/>
      <c r="H36" s="8"/>
    </row>
    <row r="37" spans="2:8" x14ac:dyDescent="0.25">
      <c r="B37" s="7" t="s">
        <v>29</v>
      </c>
      <c r="C37" s="14" t="s">
        <v>30</v>
      </c>
      <c r="D37" s="8">
        <v>3</v>
      </c>
      <c r="E37" s="9"/>
      <c r="F37" s="9"/>
      <c r="G37" s="9"/>
      <c r="H37" s="8"/>
    </row>
    <row r="38" spans="2:8" ht="15.75" thickBot="1" x14ac:dyDescent="0.3">
      <c r="B38" s="10" t="s">
        <v>31</v>
      </c>
      <c r="C38" s="15" t="s">
        <v>32</v>
      </c>
      <c r="D38" s="11">
        <v>2</v>
      </c>
      <c r="E38" s="12"/>
      <c r="F38" s="12"/>
      <c r="G38" s="12"/>
      <c r="H38" s="11"/>
    </row>
    <row r="41" spans="2:8" x14ac:dyDescent="0.25">
      <c r="B41" s="34" t="s">
        <v>51</v>
      </c>
    </row>
    <row r="42" spans="2:8" x14ac:dyDescent="0.25">
      <c r="B42" s="18" t="s">
        <v>52</v>
      </c>
      <c r="C42" s="18" t="s">
        <v>53</v>
      </c>
    </row>
    <row r="43" spans="2:8" x14ac:dyDescent="0.25">
      <c r="B43" s="18" t="s">
        <v>36</v>
      </c>
    </row>
    <row r="45" spans="2:8" ht="30" x14ac:dyDescent="0.25">
      <c r="B45" s="19" t="s">
        <v>7</v>
      </c>
      <c r="C45" s="19" t="s">
        <v>8</v>
      </c>
      <c r="D45" s="19" t="s">
        <v>9</v>
      </c>
      <c r="E45" s="19" t="s">
        <v>10</v>
      </c>
    </row>
    <row r="46" spans="2:8" x14ac:dyDescent="0.25">
      <c r="B46" s="19" t="s">
        <v>11</v>
      </c>
      <c r="C46" s="20" t="s">
        <v>12</v>
      </c>
      <c r="D46" s="21" t="s">
        <v>13</v>
      </c>
      <c r="E46" s="21">
        <v>2</v>
      </c>
    </row>
    <row r="47" spans="2:8" x14ac:dyDescent="0.25">
      <c r="B47" s="19" t="s">
        <v>14</v>
      </c>
      <c r="C47" s="20" t="s">
        <v>15</v>
      </c>
      <c r="D47" s="21" t="s">
        <v>11</v>
      </c>
      <c r="E47" s="21">
        <v>3</v>
      </c>
    </row>
    <row r="48" spans="2:8" x14ac:dyDescent="0.25">
      <c r="B48" s="22" t="s">
        <v>16</v>
      </c>
      <c r="C48" s="23" t="s">
        <v>17</v>
      </c>
      <c r="D48" s="24" t="s">
        <v>14</v>
      </c>
      <c r="E48" s="22">
        <v>1</v>
      </c>
    </row>
    <row r="49" spans="2:5" x14ac:dyDescent="0.25">
      <c r="B49" s="22" t="s">
        <v>18</v>
      </c>
      <c r="C49" s="23" t="s">
        <v>95</v>
      </c>
      <c r="D49" s="24" t="s">
        <v>14</v>
      </c>
      <c r="E49" s="22">
        <v>108</v>
      </c>
    </row>
    <row r="50" spans="2:5" x14ac:dyDescent="0.25">
      <c r="B50" s="19" t="s">
        <v>19</v>
      </c>
      <c r="C50" s="20" t="s">
        <v>20</v>
      </c>
      <c r="D50" s="21" t="s">
        <v>21</v>
      </c>
      <c r="E50" s="21">
        <v>4</v>
      </c>
    </row>
    <row r="51" spans="2:5" x14ac:dyDescent="0.25">
      <c r="B51" s="19" t="s">
        <v>22</v>
      </c>
      <c r="C51" s="20" t="s">
        <v>23</v>
      </c>
      <c r="D51" s="21" t="s">
        <v>18</v>
      </c>
      <c r="E51" s="21">
        <v>2</v>
      </c>
    </row>
    <row r="52" spans="2:5" x14ac:dyDescent="0.25">
      <c r="B52" s="19" t="s">
        <v>24</v>
      </c>
      <c r="C52" s="20" t="s">
        <v>25</v>
      </c>
      <c r="D52" s="21" t="s">
        <v>19</v>
      </c>
      <c r="E52" s="21">
        <v>2</v>
      </c>
    </row>
    <row r="53" spans="2:5" x14ac:dyDescent="0.25">
      <c r="B53" s="19" t="s">
        <v>26</v>
      </c>
      <c r="C53" s="20" t="s">
        <v>27</v>
      </c>
      <c r="D53" s="21" t="s">
        <v>28</v>
      </c>
      <c r="E53" s="21">
        <v>3</v>
      </c>
    </row>
    <row r="54" spans="2:5" x14ac:dyDescent="0.25">
      <c r="B54" s="19" t="s">
        <v>29</v>
      </c>
      <c r="C54" s="20" t="s">
        <v>30</v>
      </c>
      <c r="D54" s="21" t="s">
        <v>26</v>
      </c>
      <c r="E54" s="21">
        <v>3</v>
      </c>
    </row>
    <row r="55" spans="2:5" x14ac:dyDescent="0.25">
      <c r="B55" s="19" t="s">
        <v>31</v>
      </c>
      <c r="C55" s="20" t="s">
        <v>32</v>
      </c>
      <c r="D55" s="21" t="s">
        <v>29</v>
      </c>
      <c r="E55" s="21">
        <v>2</v>
      </c>
    </row>
    <row r="68" spans="2:8" ht="15.75" thickBot="1" x14ac:dyDescent="0.3"/>
    <row r="69" spans="2:8" ht="24" thickBot="1" x14ac:dyDescent="0.4">
      <c r="B69" s="30"/>
      <c r="C69" s="30"/>
      <c r="D69" s="31"/>
      <c r="E69" s="64" t="s">
        <v>41</v>
      </c>
      <c r="F69" s="65"/>
      <c r="G69" s="66"/>
      <c r="H69" s="32"/>
    </row>
    <row r="70" spans="2:8" ht="15.75" thickBot="1" x14ac:dyDescent="0.3">
      <c r="B70" s="4" t="s">
        <v>42</v>
      </c>
      <c r="C70" s="4" t="s">
        <v>43</v>
      </c>
      <c r="D70" s="4" t="s">
        <v>44</v>
      </c>
      <c r="E70" s="4" t="s">
        <v>45</v>
      </c>
      <c r="F70" s="4" t="s">
        <v>46</v>
      </c>
      <c r="G70" s="4" t="s">
        <v>47</v>
      </c>
      <c r="H70" s="4" t="s">
        <v>48</v>
      </c>
    </row>
    <row r="71" spans="2:8" ht="15.75" thickTop="1" x14ac:dyDescent="0.25">
      <c r="B71" s="5" t="s">
        <v>11</v>
      </c>
      <c r="C71" s="13" t="s">
        <v>12</v>
      </c>
      <c r="D71" s="6">
        <v>2</v>
      </c>
      <c r="E71" s="61">
        <v>2</v>
      </c>
      <c r="F71" s="61">
        <v>0</v>
      </c>
      <c r="G71" s="61">
        <v>0</v>
      </c>
      <c r="H71" s="6" t="str">
        <f>+IF(G71=0,"Sí","No")</f>
        <v>Sí</v>
      </c>
    </row>
    <row r="72" spans="2:8" x14ac:dyDescent="0.25">
      <c r="B72" s="7" t="s">
        <v>14</v>
      </c>
      <c r="C72" s="14" t="s">
        <v>15</v>
      </c>
      <c r="D72" s="8">
        <v>3</v>
      </c>
      <c r="E72" s="62">
        <v>5</v>
      </c>
      <c r="F72" s="62">
        <v>2</v>
      </c>
      <c r="G72" s="62">
        <v>0</v>
      </c>
      <c r="H72" s="8" t="str">
        <f>+IF(G72=0,"Sí","No")</f>
        <v>Sí</v>
      </c>
    </row>
    <row r="73" spans="2:8" x14ac:dyDescent="0.25">
      <c r="B73" s="7" t="s">
        <v>16</v>
      </c>
      <c r="C73" s="14" t="s">
        <v>17</v>
      </c>
      <c r="D73" s="8">
        <v>1</v>
      </c>
      <c r="E73" s="62">
        <v>113</v>
      </c>
      <c r="F73" s="62">
        <v>5</v>
      </c>
      <c r="G73" s="62">
        <v>107</v>
      </c>
      <c r="H73" s="8" t="str">
        <f t="shared" ref="H73:H78" si="0">+IF(G73=0,"Sí","No")</f>
        <v>No</v>
      </c>
    </row>
    <row r="74" spans="2:8" x14ac:dyDescent="0.25">
      <c r="B74" s="7" t="s">
        <v>18</v>
      </c>
      <c r="C74" s="14" t="s">
        <v>95</v>
      </c>
      <c r="D74" s="8">
        <v>108</v>
      </c>
      <c r="E74" s="62">
        <v>113</v>
      </c>
      <c r="F74" s="62">
        <v>5</v>
      </c>
      <c r="G74" s="62">
        <v>0</v>
      </c>
      <c r="H74" s="8" t="str">
        <f>+IF(G74=0,"Sí","No")</f>
        <v>Sí</v>
      </c>
    </row>
    <row r="75" spans="2:8" x14ac:dyDescent="0.25">
      <c r="B75" s="7" t="s">
        <v>19</v>
      </c>
      <c r="C75" s="14" t="s">
        <v>20</v>
      </c>
      <c r="D75" s="8">
        <v>4</v>
      </c>
      <c r="E75" s="62">
        <v>117</v>
      </c>
      <c r="F75" s="62">
        <v>113</v>
      </c>
      <c r="G75" s="62">
        <v>0</v>
      </c>
      <c r="H75" s="8" t="str">
        <f t="shared" si="0"/>
        <v>Sí</v>
      </c>
    </row>
    <row r="76" spans="2:8" x14ac:dyDescent="0.25">
      <c r="B76" s="7" t="s">
        <v>22</v>
      </c>
      <c r="C76" s="14" t="s">
        <v>23</v>
      </c>
      <c r="D76" s="8">
        <v>2</v>
      </c>
      <c r="E76" s="62">
        <v>119</v>
      </c>
      <c r="F76" s="69">
        <v>113</v>
      </c>
      <c r="G76" s="62">
        <v>4</v>
      </c>
      <c r="H76" s="8" t="str">
        <f t="shared" si="0"/>
        <v>No</v>
      </c>
    </row>
    <row r="77" spans="2:8" x14ac:dyDescent="0.25">
      <c r="B77" s="7" t="s">
        <v>24</v>
      </c>
      <c r="C77" s="14" t="s">
        <v>25</v>
      </c>
      <c r="D77" s="8">
        <v>2</v>
      </c>
      <c r="E77" s="62">
        <v>119</v>
      </c>
      <c r="F77" s="62">
        <v>117</v>
      </c>
      <c r="G77" s="62">
        <v>0</v>
      </c>
      <c r="H77" s="8" t="str">
        <f t="shared" si="0"/>
        <v>Sí</v>
      </c>
    </row>
    <row r="78" spans="2:8" x14ac:dyDescent="0.25">
      <c r="B78" s="7" t="s">
        <v>26</v>
      </c>
      <c r="C78" s="14" t="s">
        <v>27</v>
      </c>
      <c r="D78" s="8">
        <v>3</v>
      </c>
      <c r="E78" s="62">
        <v>122</v>
      </c>
      <c r="F78" s="62">
        <v>119</v>
      </c>
      <c r="G78" s="62">
        <v>0</v>
      </c>
      <c r="H78" s="8" t="str">
        <f t="shared" si="0"/>
        <v>Sí</v>
      </c>
    </row>
    <row r="79" spans="2:8" x14ac:dyDescent="0.25">
      <c r="B79" s="7" t="s">
        <v>29</v>
      </c>
      <c r="C79" s="14" t="s">
        <v>30</v>
      </c>
      <c r="D79" s="8">
        <v>3</v>
      </c>
      <c r="E79" s="62">
        <v>125</v>
      </c>
      <c r="F79" s="62">
        <v>122</v>
      </c>
      <c r="G79" s="62">
        <v>0</v>
      </c>
      <c r="H79" s="8" t="str">
        <f>+IF(G79=0,"Sí","No")</f>
        <v>Sí</v>
      </c>
    </row>
    <row r="80" spans="2:8" ht="15.75" thickBot="1" x14ac:dyDescent="0.3">
      <c r="B80" s="10" t="s">
        <v>31</v>
      </c>
      <c r="C80" s="15" t="s">
        <v>32</v>
      </c>
      <c r="D80" s="11">
        <v>2</v>
      </c>
      <c r="E80" s="63">
        <v>127</v>
      </c>
      <c r="F80" s="63">
        <v>125</v>
      </c>
      <c r="G80" s="63">
        <v>0</v>
      </c>
      <c r="H80" s="11" t="str">
        <f>+IF(G80=0,"Sí","No")</f>
        <v>Sí</v>
      </c>
    </row>
  </sheetData>
  <mergeCells count="4">
    <mergeCell ref="B2:J2"/>
    <mergeCell ref="B25:F25"/>
    <mergeCell ref="E27:G27"/>
    <mergeCell ref="E69:G6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BDD2-8ACA-4D31-80BF-E37023B3E2FF}">
  <dimension ref="A2:Q546"/>
  <sheetViews>
    <sheetView topLeftCell="A10" workbookViewId="0">
      <selection activeCell="D27" sqref="D27"/>
    </sheetView>
  </sheetViews>
  <sheetFormatPr baseColWidth="10" defaultRowHeight="15" x14ac:dyDescent="0.25"/>
  <cols>
    <col min="1" max="2" width="11.42578125" style="18"/>
    <col min="3" max="3" width="10.5703125" style="18" customWidth="1"/>
    <col min="4" max="4" width="13.7109375" style="18" customWidth="1"/>
    <col min="5" max="5" width="11.42578125" style="18"/>
    <col min="6" max="6" width="14.42578125" style="18" bestFit="1" customWidth="1"/>
    <col min="7" max="7" width="17" style="18" customWidth="1"/>
    <col min="8" max="8" width="16.7109375" style="18" customWidth="1"/>
    <col min="9" max="13" width="11.42578125" style="18"/>
    <col min="14" max="14" width="16.28515625" style="18" customWidth="1"/>
    <col min="15" max="15" width="17.140625" style="18" customWidth="1"/>
    <col min="16" max="16" width="15.140625" style="18" customWidth="1"/>
    <col min="17" max="16384" width="11.42578125" style="18"/>
  </cols>
  <sheetData>
    <row r="2" spans="1:10" ht="18" x14ac:dyDescent="0.25">
      <c r="B2" s="41" t="s">
        <v>64</v>
      </c>
    </row>
    <row r="4" spans="1:10" ht="47.25" customHeight="1" x14ac:dyDescent="0.25">
      <c r="B4" s="67" t="s">
        <v>59</v>
      </c>
      <c r="C4" s="67"/>
      <c r="D4" s="67"/>
      <c r="E4" s="67"/>
      <c r="F4" s="67"/>
      <c r="G4" s="67"/>
      <c r="H4" s="67"/>
      <c r="I4" s="67"/>
      <c r="J4" s="67"/>
    </row>
    <row r="5" spans="1:10" x14ac:dyDescent="0.25">
      <c r="B5" s="29"/>
    </row>
    <row r="6" spans="1:10" ht="15.75" thickBot="1" x14ac:dyDescent="0.3">
      <c r="B6" s="37" t="s">
        <v>33</v>
      </c>
    </row>
    <row r="7" spans="1:10" ht="15.75" thickBot="1" x14ac:dyDescent="0.3">
      <c r="A7" s="28" t="s">
        <v>61</v>
      </c>
      <c r="B7" s="18" t="s">
        <v>60</v>
      </c>
    </row>
    <row r="8" spans="1:10" ht="15.75" customHeight="1" thickBot="1" x14ac:dyDescent="0.3">
      <c r="A8" s="28" t="s">
        <v>38</v>
      </c>
      <c r="B8" s="38" t="s">
        <v>109</v>
      </c>
      <c r="C8" s="16"/>
      <c r="D8" s="16"/>
      <c r="E8" s="16"/>
      <c r="F8" s="16"/>
      <c r="G8" s="16"/>
      <c r="H8" s="16"/>
      <c r="I8" s="16"/>
    </row>
    <row r="9" spans="1:10" x14ac:dyDescent="0.25">
      <c r="B9" s="29"/>
    </row>
    <row r="10" spans="1:10" x14ac:dyDescent="0.25">
      <c r="B10" s="34" t="s">
        <v>51</v>
      </c>
    </row>
    <row r="11" spans="1:10" x14ac:dyDescent="0.25">
      <c r="B11" s="18" t="s">
        <v>52</v>
      </c>
      <c r="C11" s="18" t="s">
        <v>65</v>
      </c>
    </row>
    <row r="12" spans="1:10" x14ac:dyDescent="0.25">
      <c r="B12" s="18" t="s">
        <v>36</v>
      </c>
      <c r="H12" s="57" t="s">
        <v>90</v>
      </c>
    </row>
    <row r="13" spans="1:10" x14ac:dyDescent="0.25">
      <c r="B13" s="42"/>
      <c r="C13" s="39" t="s">
        <v>66</v>
      </c>
      <c r="D13" s="35">
        <f>(60/12)</f>
        <v>5</v>
      </c>
      <c r="E13" s="18" t="s">
        <v>67</v>
      </c>
    </row>
    <row r="14" spans="1:10" x14ac:dyDescent="0.25">
      <c r="B14" s="42"/>
      <c r="C14" s="39" t="s">
        <v>68</v>
      </c>
      <c r="D14" s="35">
        <f>60/10</f>
        <v>6</v>
      </c>
      <c r="E14" s="18" t="s">
        <v>67</v>
      </c>
    </row>
    <row r="15" spans="1:10" x14ac:dyDescent="0.25">
      <c r="B15" s="42"/>
    </row>
    <row r="16" spans="1:10" x14ac:dyDescent="0.25">
      <c r="B16" s="42"/>
      <c r="D16" s="43">
        <f>+D13/D14</f>
        <v>0.83333333333333337</v>
      </c>
    </row>
    <row r="19" spans="2:10" x14ac:dyDescent="0.25">
      <c r="D19" s="44">
        <f>+(D13*D13)/(D14*(D14-D13))</f>
        <v>4.166666666666667</v>
      </c>
      <c r="E19" s="18" t="s">
        <v>69</v>
      </c>
      <c r="H19" s="56">
        <f ca="1">+AVERAGE(F47:F546)</f>
        <v>2.5219999999999998</v>
      </c>
    </row>
    <row r="20" spans="2:10" x14ac:dyDescent="0.25">
      <c r="H20" s="57"/>
    </row>
    <row r="21" spans="2:10" x14ac:dyDescent="0.25">
      <c r="D21" s="43">
        <f>+D19+D16</f>
        <v>5</v>
      </c>
      <c r="E21" s="18" t="s">
        <v>70</v>
      </c>
      <c r="H21" s="56">
        <f ca="1">+AVERAGE(J47:J546)</f>
        <v>3.5219999999999998</v>
      </c>
    </row>
    <row r="22" spans="2:10" x14ac:dyDescent="0.25">
      <c r="H22" s="57"/>
    </row>
    <row r="23" spans="2:10" x14ac:dyDescent="0.25">
      <c r="H23" s="57"/>
    </row>
    <row r="24" spans="2:10" x14ac:dyDescent="0.25">
      <c r="D24" s="45">
        <f>+D19/D13</f>
        <v>0.83333333333333337</v>
      </c>
      <c r="E24" s="18" t="s">
        <v>72</v>
      </c>
      <c r="H24" s="58">
        <f ca="1">+AVERAGE(K47:K546)</f>
        <v>0.37639319213398881</v>
      </c>
    </row>
    <row r="25" spans="2:10" x14ac:dyDescent="0.25">
      <c r="H25" s="57"/>
    </row>
    <row r="26" spans="2:10" x14ac:dyDescent="0.25">
      <c r="H26" s="57"/>
    </row>
    <row r="27" spans="2:10" x14ac:dyDescent="0.25">
      <c r="D27" s="46">
        <f>+D24+(1/D14)</f>
        <v>1</v>
      </c>
      <c r="E27" s="18" t="s">
        <v>73</v>
      </c>
      <c r="H27" s="58">
        <f ca="1">+AVERAGE(Q47:Q546)</f>
        <v>0.53286950617332374</v>
      </c>
    </row>
    <row r="31" spans="2:10" ht="47.25" customHeight="1" x14ac:dyDescent="0.25">
      <c r="B31" s="67" t="s">
        <v>74</v>
      </c>
      <c r="C31" s="67"/>
      <c r="D31" s="67"/>
      <c r="E31" s="67"/>
      <c r="F31" s="67"/>
      <c r="G31" s="67"/>
      <c r="H31" s="67"/>
      <c r="I31" s="67"/>
      <c r="J31" s="67"/>
    </row>
    <row r="32" spans="2:10" x14ac:dyDescent="0.25">
      <c r="B32" s="29"/>
    </row>
    <row r="33" spans="1:17" ht="15.75" thickBot="1" x14ac:dyDescent="0.3">
      <c r="B33" s="37" t="s">
        <v>33</v>
      </c>
    </row>
    <row r="34" spans="1:17" ht="15.75" thickBot="1" x14ac:dyDescent="0.3">
      <c r="A34" s="28" t="s">
        <v>61</v>
      </c>
      <c r="B34" s="18" t="s">
        <v>75</v>
      </c>
    </row>
    <row r="35" spans="1:17" ht="15.75" customHeight="1" thickBot="1" x14ac:dyDescent="0.3">
      <c r="A35" s="28" t="s">
        <v>40</v>
      </c>
      <c r="B35" s="38" t="s">
        <v>93</v>
      </c>
      <c r="C35" s="16"/>
      <c r="D35" s="16"/>
      <c r="E35" s="16"/>
      <c r="F35" s="16"/>
      <c r="G35" s="16"/>
      <c r="H35" s="16"/>
      <c r="I35" s="16"/>
    </row>
    <row r="36" spans="1:17" x14ac:dyDescent="0.25">
      <c r="B36" s="29"/>
    </row>
    <row r="37" spans="1:17" s="50" customFormat="1" ht="30" x14ac:dyDescent="0.25">
      <c r="A37" s="49" t="s">
        <v>7</v>
      </c>
      <c r="B37" s="49" t="s">
        <v>77</v>
      </c>
      <c r="C37" s="49" t="s">
        <v>79</v>
      </c>
      <c r="D37" s="21" t="s">
        <v>80</v>
      </c>
      <c r="E37" s="21" t="s">
        <v>81</v>
      </c>
      <c r="F37" s="49" t="s">
        <v>78</v>
      </c>
      <c r="G37" s="21" t="s">
        <v>82</v>
      </c>
      <c r="H37" s="21" t="s">
        <v>83</v>
      </c>
      <c r="I37" s="21" t="s">
        <v>84</v>
      </c>
      <c r="J37" s="49" t="s">
        <v>91</v>
      </c>
      <c r="K37" s="49" t="s">
        <v>71</v>
      </c>
      <c r="L37" s="21" t="s">
        <v>85</v>
      </c>
      <c r="M37" s="49" t="s">
        <v>77</v>
      </c>
      <c r="N37" s="49" t="s">
        <v>86</v>
      </c>
      <c r="O37" s="21" t="s">
        <v>87</v>
      </c>
      <c r="P37" s="21" t="s">
        <v>88</v>
      </c>
      <c r="Q37" s="49" t="s">
        <v>92</v>
      </c>
    </row>
    <row r="38" spans="1:17" x14ac:dyDescent="0.25">
      <c r="A38" s="47"/>
      <c r="B38" s="48"/>
      <c r="C38" s="49"/>
      <c r="D38" s="48"/>
      <c r="E38" s="48"/>
      <c r="F38" s="48"/>
      <c r="G38" s="48"/>
      <c r="H38" s="48"/>
      <c r="I38" s="48"/>
      <c r="J38" s="48"/>
      <c r="K38" s="48"/>
      <c r="L38" s="48"/>
      <c r="M38" s="48"/>
      <c r="N38" s="48"/>
      <c r="O38" s="48"/>
      <c r="P38" s="48"/>
      <c r="Q38" s="48"/>
    </row>
    <row r="39" spans="1:17" x14ac:dyDescent="0.25">
      <c r="B39" s="29"/>
    </row>
    <row r="40" spans="1:17" x14ac:dyDescent="0.25">
      <c r="B40" s="29"/>
    </row>
    <row r="41" spans="1:17" x14ac:dyDescent="0.25">
      <c r="B41" s="29"/>
    </row>
    <row r="42" spans="1:17" x14ac:dyDescent="0.25">
      <c r="B42" s="34" t="s">
        <v>51</v>
      </c>
    </row>
    <row r="43" spans="1:17" x14ac:dyDescent="0.25">
      <c r="B43" s="18" t="s">
        <v>52</v>
      </c>
      <c r="C43" s="18" t="s">
        <v>76</v>
      </c>
    </row>
    <row r="44" spans="1:17" x14ac:dyDescent="0.25">
      <c r="B44" s="18" t="s">
        <v>36</v>
      </c>
    </row>
    <row r="46" spans="1:17" ht="30" x14ac:dyDescent="0.25">
      <c r="A46" s="49" t="s">
        <v>7</v>
      </c>
      <c r="B46" s="49" t="s">
        <v>77</v>
      </c>
      <c r="C46" s="49" t="s">
        <v>79</v>
      </c>
      <c r="D46" s="21" t="s">
        <v>80</v>
      </c>
      <c r="E46" s="21" t="s">
        <v>81</v>
      </c>
      <c r="F46" s="49" t="s">
        <v>78</v>
      </c>
      <c r="G46" s="21" t="s">
        <v>82</v>
      </c>
      <c r="H46" s="21" t="s">
        <v>83</v>
      </c>
      <c r="I46" s="21" t="s">
        <v>84</v>
      </c>
      <c r="J46" s="49" t="s">
        <v>91</v>
      </c>
      <c r="K46" s="49" t="s">
        <v>71</v>
      </c>
      <c r="L46" s="21" t="s">
        <v>85</v>
      </c>
      <c r="M46" s="49" t="s">
        <v>77</v>
      </c>
      <c r="N46" s="49" t="s">
        <v>86</v>
      </c>
      <c r="O46" s="21" t="s">
        <v>87</v>
      </c>
      <c r="P46" s="21" t="s">
        <v>88</v>
      </c>
      <c r="Q46" s="49" t="s">
        <v>92</v>
      </c>
    </row>
    <row r="47" spans="1:17" x14ac:dyDescent="0.25">
      <c r="A47" s="48">
        <v>1</v>
      </c>
      <c r="B47" s="48">
        <f ca="1">RANDBETWEEN(1,1000)/1000</f>
        <v>0.30099999999999999</v>
      </c>
      <c r="C47" s="49">
        <f>+D13</f>
        <v>5</v>
      </c>
      <c r="D47" s="51">
        <f ca="1">(1/C47)*(LN(1/B47))</f>
        <v>0.24012900284665228</v>
      </c>
      <c r="E47" s="51">
        <f ca="1">+D47</f>
        <v>0.24012900284665228</v>
      </c>
      <c r="F47" s="48">
        <v>0</v>
      </c>
      <c r="G47" s="48">
        <v>0</v>
      </c>
      <c r="H47" s="48">
        <v>0</v>
      </c>
      <c r="I47" s="48" t="s">
        <v>89</v>
      </c>
      <c r="J47" s="52">
        <f>IF(I47="Des",1,IF(I47="Ocu",1+F47))</f>
        <v>1</v>
      </c>
      <c r="K47" s="53">
        <f ca="1">L47-E47</f>
        <v>0</v>
      </c>
      <c r="L47" s="51">
        <f ca="1">+E47</f>
        <v>0.24012900284665228</v>
      </c>
      <c r="M47" s="48">
        <f ca="1">RANDBETWEEN(1,1000)/1000</f>
        <v>0.70699999999999996</v>
      </c>
      <c r="N47" s="48">
        <f>+D14</f>
        <v>6</v>
      </c>
      <c r="O47" s="51">
        <f ca="1">(1/N47)*(LN(1/M47))</f>
        <v>5.7787435514260715E-2</v>
      </c>
      <c r="P47" s="51">
        <f ca="1">+L47+O47</f>
        <v>0.29791643836091297</v>
      </c>
      <c r="Q47" s="55">
        <f t="shared" ref="Q47:Q48" ca="1" si="0">P47-E47</f>
        <v>5.7787435514260688E-2</v>
      </c>
    </row>
    <row r="48" spans="1:17" x14ac:dyDescent="0.25">
      <c r="A48" s="48">
        <v>2</v>
      </c>
      <c r="B48" s="48">
        <f t="shared" ref="B48:B111" ca="1" si="1">RANDBETWEEN(1,1000)/1000</f>
        <v>0.30399999999999999</v>
      </c>
      <c r="C48" s="49">
        <f>+C47</f>
        <v>5</v>
      </c>
      <c r="D48" s="51">
        <f t="shared" ref="D48:D111" ca="1" si="2">(1/C48)*(LN(1/B48))</f>
        <v>0.23814551551518309</v>
      </c>
      <c r="E48" s="51">
        <f ca="1">+D48+E47</f>
        <v>0.47827451836183538</v>
      </c>
      <c r="F48" s="48">
        <f ca="1">+F47+1-(G48-G47)</f>
        <v>0</v>
      </c>
      <c r="G48" s="48">
        <f ca="1">COUNTIF($P$47:P58,"&lt;"&amp;E48)</f>
        <v>1</v>
      </c>
      <c r="H48" s="48">
        <f ca="1">+G48-G47</f>
        <v>1</v>
      </c>
      <c r="I48" s="48" t="str">
        <f ca="1">IF(E48&lt;P47,"Ocu","Des")</f>
        <v>Des</v>
      </c>
      <c r="J48" s="52">
        <f t="shared" ref="J48:J111" ca="1" si="3">IF(I48="Des",1,IF(I48="Ocu",1+F48))</f>
        <v>1</v>
      </c>
      <c r="K48" s="53">
        <f t="shared" ref="K48:K110" ca="1" si="4">L48-E48</f>
        <v>0</v>
      </c>
      <c r="L48" s="54">
        <f ca="1">IF(I48="Des",E48,P47)</f>
        <v>0.47827451836183538</v>
      </c>
      <c r="M48" s="48">
        <f t="shared" ref="M48:M111" ca="1" si="5">RANDBETWEEN(1,1000)/1000</f>
        <v>0.39200000000000002</v>
      </c>
      <c r="N48" s="48">
        <f>+N47</f>
        <v>6</v>
      </c>
      <c r="O48" s="51">
        <f t="shared" ref="O48:O111" ca="1" si="6">(1/N48)*(LN(1/M48))</f>
        <v>0.15608223986527908</v>
      </c>
      <c r="P48" s="51">
        <f t="shared" ref="P48:P111" ca="1" si="7">+L48+O48</f>
        <v>0.63435675822711446</v>
      </c>
      <c r="Q48" s="55">
        <f t="shared" ca="1" si="0"/>
        <v>0.15608223986527908</v>
      </c>
    </row>
    <row r="49" spans="1:17" x14ac:dyDescent="0.25">
      <c r="A49" s="48">
        <v>3</v>
      </c>
      <c r="B49" s="48">
        <f t="shared" ca="1" si="1"/>
        <v>0.27100000000000002</v>
      </c>
      <c r="C49" s="49">
        <f t="shared" ref="C49:C112" si="8">+C48</f>
        <v>5</v>
      </c>
      <c r="D49" s="51">
        <f ca="1">(1/C49)*(LN(1/B49))</f>
        <v>0.2611272916204872</v>
      </c>
      <c r="E49" s="51">
        <f t="shared" ref="E49:E112" ca="1" si="9">+D49+E48</f>
        <v>0.73940180998232252</v>
      </c>
      <c r="F49" s="48">
        <f t="shared" ref="F49:F112" ca="1" si="10">+F48+1-(G49-G48)</f>
        <v>0</v>
      </c>
      <c r="G49" s="48">
        <f ca="1">COUNTIF($P$47:P59,"&lt;"&amp;E49)</f>
        <v>2</v>
      </c>
      <c r="H49" s="48">
        <f t="shared" ref="H49:H112" ca="1" si="11">+G49-G48</f>
        <v>1</v>
      </c>
      <c r="I49" s="48" t="str">
        <f t="shared" ref="I49:I112" ca="1" si="12">IF(E49&lt;P48,"Ocu","Des")</f>
        <v>Des</v>
      </c>
      <c r="J49" s="52">
        <f t="shared" ca="1" si="3"/>
        <v>1</v>
      </c>
      <c r="K49" s="53">
        <f t="shared" ca="1" si="4"/>
        <v>0</v>
      </c>
      <c r="L49" s="54">
        <f t="shared" ref="L49:L112" ca="1" si="13">IF(I49="Des",E49,P48)</f>
        <v>0.73940180998232252</v>
      </c>
      <c r="M49" s="48">
        <f t="shared" ca="1" si="5"/>
        <v>0.35899999999999999</v>
      </c>
      <c r="N49" s="48">
        <f t="shared" ref="N49:N112" si="14">+N48</f>
        <v>6</v>
      </c>
      <c r="O49" s="51">
        <f t="shared" ca="1" si="6"/>
        <v>0.1707388150823097</v>
      </c>
      <c r="P49" s="51">
        <f t="shared" ca="1" si="7"/>
        <v>0.91014062506463222</v>
      </c>
      <c r="Q49" s="55">
        <f ca="1">P49-E49</f>
        <v>0.1707388150823097</v>
      </c>
    </row>
    <row r="50" spans="1:17" x14ac:dyDescent="0.25">
      <c r="A50" s="48">
        <v>4</v>
      </c>
      <c r="B50" s="48">
        <f t="shared" ca="1" si="1"/>
        <v>0.93100000000000005</v>
      </c>
      <c r="C50" s="49">
        <f t="shared" si="8"/>
        <v>5</v>
      </c>
      <c r="D50" s="51">
        <f t="shared" ca="1" si="2"/>
        <v>1.4299200341014005E-2</v>
      </c>
      <c r="E50" s="51">
        <f t="shared" ca="1" si="9"/>
        <v>0.75370101032333647</v>
      </c>
      <c r="F50" s="48">
        <f t="shared" ca="1" si="10"/>
        <v>1</v>
      </c>
      <c r="G50" s="48">
        <f ca="1">COUNTIF($P$47:P60,"&lt;"&amp;E50)</f>
        <v>2</v>
      </c>
      <c r="H50" s="48">
        <f t="shared" ca="1" si="11"/>
        <v>0</v>
      </c>
      <c r="I50" s="48" t="str">
        <f t="shared" ca="1" si="12"/>
        <v>Ocu</v>
      </c>
      <c r="J50" s="52">
        <f t="shared" ca="1" si="3"/>
        <v>2</v>
      </c>
      <c r="K50" s="53">
        <f t="shared" ca="1" si="4"/>
        <v>0.15643961474129575</v>
      </c>
      <c r="L50" s="54">
        <f t="shared" ca="1" si="13"/>
        <v>0.91014062506463222</v>
      </c>
      <c r="M50" s="48">
        <f t="shared" ca="1" si="5"/>
        <v>0.70699999999999996</v>
      </c>
      <c r="N50" s="48">
        <f t="shared" si="14"/>
        <v>6</v>
      </c>
      <c r="O50" s="51">
        <f t="shared" ca="1" si="6"/>
        <v>5.7787435514260715E-2</v>
      </c>
      <c r="P50" s="51">
        <f t="shared" ca="1" si="7"/>
        <v>0.96792806057889291</v>
      </c>
      <c r="Q50" s="55">
        <f t="shared" ref="Q50:Q113" ca="1" si="15">P50-E50</f>
        <v>0.21422705025555644</v>
      </c>
    </row>
    <row r="51" spans="1:17" x14ac:dyDescent="0.25">
      <c r="A51" s="48">
        <v>5</v>
      </c>
      <c r="B51" s="48">
        <f t="shared" ca="1" si="1"/>
        <v>0.80800000000000005</v>
      </c>
      <c r="C51" s="49">
        <f t="shared" si="8"/>
        <v>5</v>
      </c>
      <c r="D51" s="51">
        <f t="shared" ca="1" si="2"/>
        <v>4.2638644092208335E-2</v>
      </c>
      <c r="E51" s="51">
        <f t="shared" ca="1" si="9"/>
        <v>0.79633965441554477</v>
      </c>
      <c r="F51" s="48">
        <f t="shared" ca="1" si="10"/>
        <v>2</v>
      </c>
      <c r="G51" s="48">
        <f ca="1">COUNTIF($P$47:P61,"&lt;"&amp;E51)</f>
        <v>2</v>
      </c>
      <c r="H51" s="48">
        <f t="shared" ca="1" si="11"/>
        <v>0</v>
      </c>
      <c r="I51" s="48" t="str">
        <f t="shared" ca="1" si="12"/>
        <v>Ocu</v>
      </c>
      <c r="J51" s="52">
        <f t="shared" ca="1" si="3"/>
        <v>3</v>
      </c>
      <c r="K51" s="53">
        <f t="shared" ca="1" si="4"/>
        <v>0.17158840616334814</v>
      </c>
      <c r="L51" s="54">
        <f t="shared" ca="1" si="13"/>
        <v>0.96792806057889291</v>
      </c>
      <c r="M51" s="48">
        <f t="shared" ca="1" si="5"/>
        <v>0.38900000000000001</v>
      </c>
      <c r="N51" s="48">
        <f t="shared" si="14"/>
        <v>6</v>
      </c>
      <c r="O51" s="51">
        <f t="shared" ca="1" si="6"/>
        <v>0.15736265589394846</v>
      </c>
      <c r="P51" s="51">
        <f t="shared" ca="1" si="7"/>
        <v>1.1252907164728414</v>
      </c>
      <c r="Q51" s="55">
        <f t="shared" ca="1" si="15"/>
        <v>0.32895106205729663</v>
      </c>
    </row>
    <row r="52" spans="1:17" x14ac:dyDescent="0.25">
      <c r="A52" s="48">
        <v>6</v>
      </c>
      <c r="B52" s="48">
        <f t="shared" ca="1" si="1"/>
        <v>0.61299999999999999</v>
      </c>
      <c r="C52" s="49">
        <f t="shared" si="8"/>
        <v>5</v>
      </c>
      <c r="D52" s="51">
        <f t="shared" ca="1" si="2"/>
        <v>9.7878068609185145E-2</v>
      </c>
      <c r="E52" s="51">
        <f t="shared" ca="1" si="9"/>
        <v>0.8942177230247299</v>
      </c>
      <c r="F52" s="48">
        <f t="shared" ca="1" si="10"/>
        <v>3</v>
      </c>
      <c r="G52" s="48">
        <f ca="1">COUNTIF($P$47:P62,"&lt;"&amp;E52)</f>
        <v>2</v>
      </c>
      <c r="H52" s="48">
        <f t="shared" ca="1" si="11"/>
        <v>0</v>
      </c>
      <c r="I52" s="48" t="str">
        <f t="shared" ca="1" si="12"/>
        <v>Ocu</v>
      </c>
      <c r="J52" s="52">
        <f t="shared" ca="1" si="3"/>
        <v>4</v>
      </c>
      <c r="K52" s="53">
        <f t="shared" ca="1" si="4"/>
        <v>0.2310729934481115</v>
      </c>
      <c r="L52" s="54">
        <f t="shared" ca="1" si="13"/>
        <v>1.1252907164728414</v>
      </c>
      <c r="M52" s="48">
        <f t="shared" ca="1" si="5"/>
        <v>0.38300000000000001</v>
      </c>
      <c r="N52" s="48">
        <f t="shared" si="14"/>
        <v>6</v>
      </c>
      <c r="O52" s="51">
        <f t="shared" ca="1" si="6"/>
        <v>0.15995338163358186</v>
      </c>
      <c r="P52" s="51">
        <f t="shared" ca="1" si="7"/>
        <v>1.2852440981064233</v>
      </c>
      <c r="Q52" s="55">
        <f t="shared" ca="1" si="15"/>
        <v>0.39102637508169336</v>
      </c>
    </row>
    <row r="53" spans="1:17" x14ac:dyDescent="0.25">
      <c r="A53" s="48">
        <v>7</v>
      </c>
      <c r="B53" s="48">
        <f t="shared" ca="1" si="1"/>
        <v>0.79800000000000004</v>
      </c>
      <c r="C53" s="49">
        <f t="shared" si="8"/>
        <v>5</v>
      </c>
      <c r="D53" s="51">
        <f t="shared" ca="1" si="2"/>
        <v>4.5129336306465651E-2</v>
      </c>
      <c r="E53" s="51">
        <f t="shared" ca="1" si="9"/>
        <v>0.93934705933119556</v>
      </c>
      <c r="F53" s="48">
        <f t="shared" ca="1" si="10"/>
        <v>3</v>
      </c>
      <c r="G53" s="48">
        <f ca="1">COUNTIF($P$47:P63,"&lt;"&amp;E53)</f>
        <v>3</v>
      </c>
      <c r="H53" s="48">
        <f t="shared" ca="1" si="11"/>
        <v>1</v>
      </c>
      <c r="I53" s="48" t="str">
        <f t="shared" ca="1" si="12"/>
        <v>Ocu</v>
      </c>
      <c r="J53" s="52">
        <f t="shared" ca="1" si="3"/>
        <v>4</v>
      </c>
      <c r="K53" s="53">
        <f t="shared" ca="1" si="4"/>
        <v>0.34589703877522771</v>
      </c>
      <c r="L53" s="54">
        <f t="shared" ca="1" si="13"/>
        <v>1.2852440981064233</v>
      </c>
      <c r="M53" s="48">
        <f t="shared" ca="1" si="5"/>
        <v>6.7000000000000004E-2</v>
      </c>
      <c r="N53" s="48">
        <f t="shared" si="14"/>
        <v>6</v>
      </c>
      <c r="O53" s="51">
        <f t="shared" ca="1" si="6"/>
        <v>0.45051044326519518</v>
      </c>
      <c r="P53" s="51">
        <f t="shared" ca="1" si="7"/>
        <v>1.7357545413716184</v>
      </c>
      <c r="Q53" s="55">
        <f t="shared" ca="1" si="15"/>
        <v>0.79640748204042289</v>
      </c>
    </row>
    <row r="54" spans="1:17" x14ac:dyDescent="0.25">
      <c r="A54" s="48">
        <v>8</v>
      </c>
      <c r="B54" s="48">
        <f t="shared" ca="1" si="1"/>
        <v>0.22700000000000001</v>
      </c>
      <c r="C54" s="49">
        <f t="shared" si="8"/>
        <v>5</v>
      </c>
      <c r="D54" s="51">
        <f t="shared" ca="1" si="2"/>
        <v>0.2965610523001469</v>
      </c>
      <c r="E54" s="51">
        <f t="shared" ca="1" si="9"/>
        <v>1.2359081116313424</v>
      </c>
      <c r="F54" s="48">
        <f t="shared" ca="1" si="10"/>
        <v>2</v>
      </c>
      <c r="G54" s="48">
        <f ca="1">COUNTIF($P$47:P64,"&lt;"&amp;E54)</f>
        <v>5</v>
      </c>
      <c r="H54" s="48">
        <f t="shared" ca="1" si="11"/>
        <v>2</v>
      </c>
      <c r="I54" s="48" t="str">
        <f t="shared" ca="1" si="12"/>
        <v>Ocu</v>
      </c>
      <c r="J54" s="52">
        <f t="shared" ca="1" si="3"/>
        <v>3</v>
      </c>
      <c r="K54" s="53">
        <f t="shared" ca="1" si="4"/>
        <v>0.49984642974027604</v>
      </c>
      <c r="L54" s="54">
        <f t="shared" ca="1" si="13"/>
        <v>1.7357545413716184</v>
      </c>
      <c r="M54" s="48">
        <f t="shared" ca="1" si="5"/>
        <v>0.27600000000000002</v>
      </c>
      <c r="N54" s="48">
        <f t="shared" si="14"/>
        <v>6</v>
      </c>
      <c r="O54" s="51">
        <f t="shared" ca="1" si="6"/>
        <v>0.21455906887749782</v>
      </c>
      <c r="P54" s="51">
        <f t="shared" ca="1" si="7"/>
        <v>1.9503136102491163</v>
      </c>
      <c r="Q54" s="55">
        <f t="shared" ca="1" si="15"/>
        <v>0.71440549861777392</v>
      </c>
    </row>
    <row r="55" spans="1:17" x14ac:dyDescent="0.25">
      <c r="A55" s="48">
        <v>9</v>
      </c>
      <c r="B55" s="48">
        <f t="shared" ca="1" si="1"/>
        <v>0.61499999999999999</v>
      </c>
      <c r="C55" s="49">
        <f t="shared" si="8"/>
        <v>5</v>
      </c>
      <c r="D55" s="51">
        <f t="shared" ca="1" si="2"/>
        <v>9.7226602235123832E-2</v>
      </c>
      <c r="E55" s="51">
        <f t="shared" ca="1" si="9"/>
        <v>1.3331347138664662</v>
      </c>
      <c r="F55" s="48">
        <f t="shared" ca="1" si="10"/>
        <v>2</v>
      </c>
      <c r="G55" s="48">
        <f ca="1">COUNTIF($P$47:P65,"&lt;"&amp;E55)</f>
        <v>6</v>
      </c>
      <c r="H55" s="48">
        <f t="shared" ca="1" si="11"/>
        <v>1</v>
      </c>
      <c r="I55" s="48" t="str">
        <f t="shared" ca="1" si="12"/>
        <v>Ocu</v>
      </c>
      <c r="J55" s="52">
        <f t="shared" ca="1" si="3"/>
        <v>3</v>
      </c>
      <c r="K55" s="53">
        <f t="shared" ca="1" si="4"/>
        <v>0.61717889638265011</v>
      </c>
      <c r="L55" s="54">
        <f t="shared" ca="1" si="13"/>
        <v>1.9503136102491163</v>
      </c>
      <c r="M55" s="48">
        <f t="shared" ca="1" si="5"/>
        <v>0.36</v>
      </c>
      <c r="N55" s="48">
        <f t="shared" si="14"/>
        <v>6</v>
      </c>
      <c r="O55" s="51">
        <f t="shared" ca="1" si="6"/>
        <v>0.17027520792199685</v>
      </c>
      <c r="P55" s="51">
        <f t="shared" ca="1" si="7"/>
        <v>2.1205888181711132</v>
      </c>
      <c r="Q55" s="55">
        <f t="shared" ca="1" si="15"/>
        <v>0.78745410430464702</v>
      </c>
    </row>
    <row r="56" spans="1:17" x14ac:dyDescent="0.25">
      <c r="A56" s="48">
        <v>10</v>
      </c>
      <c r="B56" s="48">
        <f t="shared" ca="1" si="1"/>
        <v>0.44500000000000001</v>
      </c>
      <c r="C56" s="49">
        <f t="shared" si="8"/>
        <v>5</v>
      </c>
      <c r="D56" s="51">
        <f t="shared" ca="1" si="2"/>
        <v>0.16193619936317938</v>
      </c>
      <c r="E56" s="51">
        <f t="shared" ca="1" si="9"/>
        <v>1.4950709132296456</v>
      </c>
      <c r="F56" s="48">
        <f t="shared" ca="1" si="10"/>
        <v>3</v>
      </c>
      <c r="G56" s="48">
        <f ca="1">COUNTIF($P$47:P66,"&lt;"&amp;E56)</f>
        <v>6</v>
      </c>
      <c r="H56" s="48">
        <f t="shared" ca="1" si="11"/>
        <v>0</v>
      </c>
      <c r="I56" s="48" t="str">
        <f t="shared" ca="1" si="12"/>
        <v>Ocu</v>
      </c>
      <c r="J56" s="52">
        <f t="shared" ca="1" si="3"/>
        <v>4</v>
      </c>
      <c r="K56" s="53">
        <f t="shared" ca="1" si="4"/>
        <v>0.62551790494146764</v>
      </c>
      <c r="L56" s="54">
        <f t="shared" ca="1" si="13"/>
        <v>2.1205888181711132</v>
      </c>
      <c r="M56" s="48">
        <f t="shared" ca="1" si="5"/>
        <v>0.69099999999999995</v>
      </c>
      <c r="N56" s="48">
        <f t="shared" si="14"/>
        <v>6</v>
      </c>
      <c r="O56" s="51">
        <f t="shared" ca="1" si="6"/>
        <v>6.1602575869077872E-2</v>
      </c>
      <c r="P56" s="51">
        <f t="shared" ca="1" si="7"/>
        <v>2.1821913940401911</v>
      </c>
      <c r="Q56" s="55">
        <f t="shared" ca="1" si="15"/>
        <v>0.68712048081054555</v>
      </c>
    </row>
    <row r="57" spans="1:17" x14ac:dyDescent="0.25">
      <c r="A57" s="48">
        <v>11</v>
      </c>
      <c r="B57" s="48">
        <f t="shared" ca="1" si="1"/>
        <v>0.219</v>
      </c>
      <c r="C57" s="49">
        <f t="shared" si="8"/>
        <v>5</v>
      </c>
      <c r="D57" s="51">
        <f t="shared" ca="1" si="2"/>
        <v>0.30373670983312728</v>
      </c>
      <c r="E57" s="51">
        <f t="shared" ca="1" si="9"/>
        <v>1.798807623062773</v>
      </c>
      <c r="F57" s="48">
        <f t="shared" ca="1" si="10"/>
        <v>3</v>
      </c>
      <c r="G57" s="48">
        <f ca="1">COUNTIF($P$47:P67,"&lt;"&amp;E57)</f>
        <v>7</v>
      </c>
      <c r="H57" s="48">
        <f t="shared" ca="1" si="11"/>
        <v>1</v>
      </c>
      <c r="I57" s="48" t="str">
        <f t="shared" ca="1" si="12"/>
        <v>Ocu</v>
      </c>
      <c r="J57" s="52">
        <f t="shared" ca="1" si="3"/>
        <v>4</v>
      </c>
      <c r="K57" s="53">
        <f ca="1">L57-E57</f>
        <v>0.38338377097741816</v>
      </c>
      <c r="L57" s="54">
        <f t="shared" ca="1" si="13"/>
        <v>2.1821913940401911</v>
      </c>
      <c r="M57" s="48">
        <f t="shared" ca="1" si="5"/>
        <v>0.88700000000000001</v>
      </c>
      <c r="N57" s="48">
        <f t="shared" si="14"/>
        <v>6</v>
      </c>
      <c r="O57" s="51">
        <f t="shared" ca="1" si="6"/>
        <v>1.9985049445426249E-2</v>
      </c>
      <c r="P57" s="51">
        <f t="shared" ca="1" si="7"/>
        <v>2.2021764434856173</v>
      </c>
      <c r="Q57" s="55">
        <f t="shared" ca="1" si="15"/>
        <v>0.40336882042284428</v>
      </c>
    </row>
    <row r="58" spans="1:17" x14ac:dyDescent="0.25">
      <c r="A58" s="48">
        <v>12</v>
      </c>
      <c r="B58" s="48">
        <f t="shared" ca="1" si="1"/>
        <v>3.7999999999999999E-2</v>
      </c>
      <c r="C58" s="49">
        <f t="shared" si="8"/>
        <v>5</v>
      </c>
      <c r="D58" s="51">
        <f t="shared" ca="1" si="2"/>
        <v>0.65403382385115028</v>
      </c>
      <c r="E58" s="51">
        <f t="shared" ca="1" si="9"/>
        <v>2.452841446913923</v>
      </c>
      <c r="F58" s="48">
        <f t="shared" ca="1" si="10"/>
        <v>0</v>
      </c>
      <c r="G58" s="48">
        <f ca="1">COUNTIF($P$47:P68,"&lt;"&amp;E58)</f>
        <v>11</v>
      </c>
      <c r="H58" s="48">
        <f t="shared" ca="1" si="11"/>
        <v>4</v>
      </c>
      <c r="I58" s="48" t="str">
        <f t="shared" ca="1" si="12"/>
        <v>Des</v>
      </c>
      <c r="J58" s="52">
        <f t="shared" ca="1" si="3"/>
        <v>1</v>
      </c>
      <c r="K58" s="53">
        <f t="shared" ca="1" si="4"/>
        <v>0</v>
      </c>
      <c r="L58" s="54">
        <f t="shared" ca="1" si="13"/>
        <v>2.452841446913923</v>
      </c>
      <c r="M58" s="48">
        <f t="shared" ca="1" si="5"/>
        <v>0.92700000000000005</v>
      </c>
      <c r="N58" s="48">
        <f t="shared" si="14"/>
        <v>6</v>
      </c>
      <c r="O58" s="51">
        <f t="shared" ca="1" si="6"/>
        <v>1.2633618902713648E-2</v>
      </c>
      <c r="P58" s="51">
        <f t="shared" ca="1" si="7"/>
        <v>2.4654750658166367</v>
      </c>
      <c r="Q58" s="55">
        <f t="shared" ca="1" si="15"/>
        <v>1.2633618902713639E-2</v>
      </c>
    </row>
    <row r="59" spans="1:17" x14ac:dyDescent="0.25">
      <c r="A59" s="48">
        <v>13</v>
      </c>
      <c r="B59" s="48">
        <f t="shared" ca="1" si="1"/>
        <v>0.504</v>
      </c>
      <c r="C59" s="49">
        <f t="shared" si="8"/>
        <v>5</v>
      </c>
      <c r="D59" s="51">
        <f t="shared" ca="1" si="2"/>
        <v>0.13703580218215369</v>
      </c>
      <c r="E59" s="51">
        <f t="shared" ca="1" si="9"/>
        <v>2.5898772490960766</v>
      </c>
      <c r="F59" s="48">
        <f t="shared" ca="1" si="10"/>
        <v>0</v>
      </c>
      <c r="G59" s="48">
        <f ca="1">COUNTIF($P$47:P69,"&lt;"&amp;E59)</f>
        <v>12</v>
      </c>
      <c r="H59" s="48">
        <f t="shared" ca="1" si="11"/>
        <v>1</v>
      </c>
      <c r="I59" s="48" t="str">
        <f t="shared" ca="1" si="12"/>
        <v>Des</v>
      </c>
      <c r="J59" s="52">
        <f t="shared" ca="1" si="3"/>
        <v>1</v>
      </c>
      <c r="K59" s="53">
        <f t="shared" ca="1" si="4"/>
        <v>0</v>
      </c>
      <c r="L59" s="54">
        <f t="shared" ca="1" si="13"/>
        <v>2.5898772490960766</v>
      </c>
      <c r="M59" s="48">
        <f t="shared" ca="1" si="5"/>
        <v>0.56499999999999995</v>
      </c>
      <c r="N59" s="48">
        <f t="shared" si="14"/>
        <v>6</v>
      </c>
      <c r="O59" s="51">
        <f t="shared" ca="1" si="6"/>
        <v>9.5154924639282684E-2</v>
      </c>
      <c r="P59" s="51">
        <f t="shared" ca="1" si="7"/>
        <v>2.6850321737353595</v>
      </c>
      <c r="Q59" s="55">
        <f t="shared" ca="1" si="15"/>
        <v>9.5154924639282878E-2</v>
      </c>
    </row>
    <row r="60" spans="1:17" x14ac:dyDescent="0.25">
      <c r="A60" s="48">
        <v>14</v>
      </c>
      <c r="B60" s="48">
        <f t="shared" ca="1" si="1"/>
        <v>0.93500000000000005</v>
      </c>
      <c r="C60" s="49">
        <f t="shared" si="8"/>
        <v>5</v>
      </c>
      <c r="D60" s="51">
        <f t="shared" ca="1" si="2"/>
        <v>1.3441749938689979E-2</v>
      </c>
      <c r="E60" s="51">
        <f t="shared" ca="1" si="9"/>
        <v>2.6033189990347667</v>
      </c>
      <c r="F60" s="48">
        <f t="shared" ca="1" si="10"/>
        <v>1</v>
      </c>
      <c r="G60" s="48">
        <f ca="1">COUNTIF($P$47:P70,"&lt;"&amp;E60)</f>
        <v>12</v>
      </c>
      <c r="H60" s="48">
        <f t="shared" ca="1" si="11"/>
        <v>0</v>
      </c>
      <c r="I60" s="48" t="str">
        <f t="shared" ca="1" si="12"/>
        <v>Ocu</v>
      </c>
      <c r="J60" s="52">
        <f t="shared" ca="1" si="3"/>
        <v>2</v>
      </c>
      <c r="K60" s="53">
        <f t="shared" ca="1" si="4"/>
        <v>8.1713174700592806E-2</v>
      </c>
      <c r="L60" s="54">
        <f t="shared" ca="1" si="13"/>
        <v>2.6850321737353595</v>
      </c>
      <c r="M60" s="48">
        <f t="shared" ca="1" si="5"/>
        <v>0.5</v>
      </c>
      <c r="N60" s="48">
        <f t="shared" si="14"/>
        <v>6</v>
      </c>
      <c r="O60" s="51">
        <f t="shared" ca="1" si="6"/>
        <v>0.11552453009332421</v>
      </c>
      <c r="P60" s="51">
        <f t="shared" ca="1" si="7"/>
        <v>2.8005567038286836</v>
      </c>
      <c r="Q60" s="55">
        <f t="shared" ca="1" si="15"/>
        <v>0.19723770479391689</v>
      </c>
    </row>
    <row r="61" spans="1:17" x14ac:dyDescent="0.25">
      <c r="A61" s="48">
        <v>15</v>
      </c>
      <c r="B61" s="48">
        <f t="shared" ca="1" si="1"/>
        <v>0.312</v>
      </c>
      <c r="C61" s="49">
        <f t="shared" si="8"/>
        <v>5</v>
      </c>
      <c r="D61" s="51">
        <f t="shared" ca="1" si="2"/>
        <v>0.23295041823453097</v>
      </c>
      <c r="E61" s="51">
        <f t="shared" ca="1" si="9"/>
        <v>2.8362694172692975</v>
      </c>
      <c r="F61" s="48">
        <f t="shared" ca="1" si="10"/>
        <v>0</v>
      </c>
      <c r="G61" s="48">
        <f ca="1">COUNTIF($P$47:P71,"&lt;"&amp;E61)</f>
        <v>14</v>
      </c>
      <c r="H61" s="48">
        <f t="shared" ca="1" si="11"/>
        <v>2</v>
      </c>
      <c r="I61" s="48" t="str">
        <f t="shared" ca="1" si="12"/>
        <v>Des</v>
      </c>
      <c r="J61" s="52">
        <f t="shared" ca="1" si="3"/>
        <v>1</v>
      </c>
      <c r="K61" s="53">
        <f t="shared" ca="1" si="4"/>
        <v>0</v>
      </c>
      <c r="L61" s="54">
        <f t="shared" ca="1" si="13"/>
        <v>2.8362694172692975</v>
      </c>
      <c r="M61" s="48">
        <f t="shared" ca="1" si="5"/>
        <v>0.64600000000000002</v>
      </c>
      <c r="N61" s="48">
        <f t="shared" si="14"/>
        <v>6</v>
      </c>
      <c r="O61" s="51">
        <f t="shared" ca="1" si="6"/>
        <v>7.282596253325585E-2</v>
      </c>
      <c r="P61" s="51">
        <f t="shared" ca="1" si="7"/>
        <v>2.9090953798025532</v>
      </c>
      <c r="Q61" s="55">
        <f t="shared" ca="1" si="15"/>
        <v>7.2825962533255684E-2</v>
      </c>
    </row>
    <row r="62" spans="1:17" x14ac:dyDescent="0.25">
      <c r="A62" s="48">
        <v>16</v>
      </c>
      <c r="B62" s="48">
        <f t="shared" ca="1" si="1"/>
        <v>4.3999999999999997E-2</v>
      </c>
      <c r="C62" s="49">
        <f t="shared" si="8"/>
        <v>5</v>
      </c>
      <c r="D62" s="51">
        <f t="shared" ca="1" si="2"/>
        <v>0.6247131290127752</v>
      </c>
      <c r="E62" s="51">
        <f t="shared" ca="1" si="9"/>
        <v>3.4609825462820725</v>
      </c>
      <c r="F62" s="48">
        <f t="shared" ca="1" si="10"/>
        <v>0</v>
      </c>
      <c r="G62" s="48">
        <f ca="1">COUNTIF($P$47:P72,"&lt;"&amp;E62)</f>
        <v>15</v>
      </c>
      <c r="H62" s="48">
        <f t="shared" ca="1" si="11"/>
        <v>1</v>
      </c>
      <c r="I62" s="48" t="str">
        <f t="shared" ca="1" si="12"/>
        <v>Des</v>
      </c>
      <c r="J62" s="52">
        <f t="shared" ca="1" si="3"/>
        <v>1</v>
      </c>
      <c r="K62" s="53">
        <f t="shared" ca="1" si="4"/>
        <v>0</v>
      </c>
      <c r="L62" s="54">
        <f t="shared" ca="1" si="13"/>
        <v>3.4609825462820725</v>
      </c>
      <c r="M62" s="48">
        <f t="shared" ca="1" si="5"/>
        <v>0.97299999999999998</v>
      </c>
      <c r="N62" s="48">
        <f t="shared" si="14"/>
        <v>6</v>
      </c>
      <c r="O62" s="51">
        <f t="shared" ca="1" si="6"/>
        <v>4.5618661326886625E-3</v>
      </c>
      <c r="P62" s="51">
        <f t="shared" ca="1" si="7"/>
        <v>3.465544412414761</v>
      </c>
      <c r="Q62" s="55">
        <f t="shared" ca="1" si="15"/>
        <v>4.5618661326884968E-3</v>
      </c>
    </row>
    <row r="63" spans="1:17" x14ac:dyDescent="0.25">
      <c r="A63" s="48">
        <v>17</v>
      </c>
      <c r="B63" s="48">
        <f t="shared" ca="1" si="1"/>
        <v>0.63500000000000001</v>
      </c>
      <c r="C63" s="49">
        <f t="shared" si="8"/>
        <v>5</v>
      </c>
      <c r="D63" s="51">
        <f t="shared" ca="1" si="2"/>
        <v>9.0826056017889067E-2</v>
      </c>
      <c r="E63" s="51">
        <f t="shared" ca="1" si="9"/>
        <v>3.5518086022999613</v>
      </c>
      <c r="F63" s="48">
        <f t="shared" ca="1" si="10"/>
        <v>0</v>
      </c>
      <c r="G63" s="48">
        <f ca="1">COUNTIF($P$47:P73,"&lt;"&amp;E63)</f>
        <v>16</v>
      </c>
      <c r="H63" s="48">
        <f t="shared" ca="1" si="11"/>
        <v>1</v>
      </c>
      <c r="I63" s="48" t="str">
        <f t="shared" ca="1" si="12"/>
        <v>Des</v>
      </c>
      <c r="J63" s="52">
        <f t="shared" ca="1" si="3"/>
        <v>1</v>
      </c>
      <c r="K63" s="53">
        <f t="shared" ca="1" si="4"/>
        <v>0</v>
      </c>
      <c r="L63" s="54">
        <f t="shared" ca="1" si="13"/>
        <v>3.5518086022999613</v>
      </c>
      <c r="M63" s="48">
        <f t="shared" ca="1" si="5"/>
        <v>0.93300000000000005</v>
      </c>
      <c r="N63" s="48">
        <f t="shared" si="14"/>
        <v>6</v>
      </c>
      <c r="O63" s="51">
        <f t="shared" ca="1" si="6"/>
        <v>1.1558346355798874E-2</v>
      </c>
      <c r="P63" s="51">
        <f t="shared" ca="1" si="7"/>
        <v>3.56336694865576</v>
      </c>
      <c r="Q63" s="55">
        <f t="shared" ca="1" si="15"/>
        <v>1.1558346355798665E-2</v>
      </c>
    </row>
    <row r="64" spans="1:17" x14ac:dyDescent="0.25">
      <c r="A64" s="48">
        <v>18</v>
      </c>
      <c r="B64" s="48">
        <f t="shared" ca="1" si="1"/>
        <v>0.20300000000000001</v>
      </c>
      <c r="C64" s="49">
        <f t="shared" si="8"/>
        <v>5</v>
      </c>
      <c r="D64" s="51">
        <f t="shared" ca="1" si="2"/>
        <v>0.31890985998806998</v>
      </c>
      <c r="E64" s="51">
        <f t="shared" ca="1" si="9"/>
        <v>3.8707184622880311</v>
      </c>
      <c r="F64" s="48">
        <f t="shared" ca="1" si="10"/>
        <v>0</v>
      </c>
      <c r="G64" s="48">
        <f ca="1">COUNTIF($P$47:P74,"&lt;"&amp;E64)</f>
        <v>17</v>
      </c>
      <c r="H64" s="48">
        <f t="shared" ca="1" si="11"/>
        <v>1</v>
      </c>
      <c r="I64" s="48" t="str">
        <f t="shared" ca="1" si="12"/>
        <v>Des</v>
      </c>
      <c r="J64" s="52">
        <f t="shared" ca="1" si="3"/>
        <v>1</v>
      </c>
      <c r="K64" s="53">
        <f t="shared" ca="1" si="4"/>
        <v>0</v>
      </c>
      <c r="L64" s="54">
        <f t="shared" ca="1" si="13"/>
        <v>3.8707184622880311</v>
      </c>
      <c r="M64" s="48">
        <f t="shared" ca="1" si="5"/>
        <v>0.47199999999999998</v>
      </c>
      <c r="N64" s="48">
        <f t="shared" si="14"/>
        <v>6</v>
      </c>
      <c r="O64" s="51">
        <f t="shared" ca="1" si="6"/>
        <v>0.1251293822327636</v>
      </c>
      <c r="P64" s="51">
        <f t="shared" ca="1" si="7"/>
        <v>3.9958478445207946</v>
      </c>
      <c r="Q64" s="55">
        <f t="shared" ca="1" si="15"/>
        <v>0.12512938223276349</v>
      </c>
    </row>
    <row r="65" spans="1:17" x14ac:dyDescent="0.25">
      <c r="A65" s="48">
        <v>19</v>
      </c>
      <c r="B65" s="48">
        <f t="shared" ca="1" si="1"/>
        <v>0.28999999999999998</v>
      </c>
      <c r="C65" s="49">
        <f t="shared" si="8"/>
        <v>5</v>
      </c>
      <c r="D65" s="51">
        <f t="shared" ca="1" si="2"/>
        <v>0.24757487120032351</v>
      </c>
      <c r="E65" s="51">
        <f t="shared" ca="1" si="9"/>
        <v>4.1182933334883547</v>
      </c>
      <c r="F65" s="48">
        <f t="shared" ca="1" si="10"/>
        <v>0</v>
      </c>
      <c r="G65" s="48">
        <f ca="1">COUNTIF($P$47:P75,"&lt;"&amp;E65)</f>
        <v>18</v>
      </c>
      <c r="H65" s="48">
        <f t="shared" ca="1" si="11"/>
        <v>1</v>
      </c>
      <c r="I65" s="48" t="str">
        <f t="shared" ca="1" si="12"/>
        <v>Des</v>
      </c>
      <c r="J65" s="52">
        <f t="shared" ca="1" si="3"/>
        <v>1</v>
      </c>
      <c r="K65" s="53">
        <f t="shared" ca="1" si="4"/>
        <v>0</v>
      </c>
      <c r="L65" s="54">
        <f t="shared" ca="1" si="13"/>
        <v>4.1182933334883547</v>
      </c>
      <c r="M65" s="48">
        <f t="shared" ca="1" si="5"/>
        <v>0.81399999999999995</v>
      </c>
      <c r="N65" s="48">
        <f t="shared" si="14"/>
        <v>6</v>
      </c>
      <c r="O65" s="51">
        <f t="shared" ca="1" si="6"/>
        <v>3.429915216326615E-2</v>
      </c>
      <c r="P65" s="51">
        <f t="shared" ca="1" si="7"/>
        <v>4.1525924856516205</v>
      </c>
      <c r="Q65" s="55">
        <f t="shared" ca="1" si="15"/>
        <v>3.4299152163265845E-2</v>
      </c>
    </row>
    <row r="66" spans="1:17" x14ac:dyDescent="0.25">
      <c r="A66" s="48">
        <v>20</v>
      </c>
      <c r="B66" s="48">
        <f t="shared" ca="1" si="1"/>
        <v>0.69199999999999995</v>
      </c>
      <c r="C66" s="49">
        <f t="shared" si="8"/>
        <v>5</v>
      </c>
      <c r="D66" s="51">
        <f t="shared" ca="1" si="2"/>
        <v>7.3633864672893498E-2</v>
      </c>
      <c r="E66" s="51">
        <f t="shared" ca="1" si="9"/>
        <v>4.191927198161248</v>
      </c>
      <c r="F66" s="48">
        <f t="shared" ca="1" si="10"/>
        <v>0</v>
      </c>
      <c r="G66" s="48">
        <f ca="1">COUNTIF($P$47:P76,"&lt;"&amp;E66)</f>
        <v>19</v>
      </c>
      <c r="H66" s="48">
        <f t="shared" ca="1" si="11"/>
        <v>1</v>
      </c>
      <c r="I66" s="48" t="str">
        <f t="shared" ca="1" si="12"/>
        <v>Des</v>
      </c>
      <c r="J66" s="52">
        <f t="shared" ca="1" si="3"/>
        <v>1</v>
      </c>
      <c r="K66" s="53">
        <f t="shared" ca="1" si="4"/>
        <v>0</v>
      </c>
      <c r="L66" s="54">
        <f t="shared" ca="1" si="13"/>
        <v>4.191927198161248</v>
      </c>
      <c r="M66" s="48">
        <f t="shared" ca="1" si="5"/>
        <v>0.93500000000000005</v>
      </c>
      <c r="N66" s="48">
        <f t="shared" si="14"/>
        <v>6</v>
      </c>
      <c r="O66" s="51">
        <f t="shared" ca="1" si="6"/>
        <v>1.1201458282241648E-2</v>
      </c>
      <c r="P66" s="51">
        <f t="shared" ca="1" si="7"/>
        <v>4.2031286564434893</v>
      </c>
      <c r="Q66" s="55">
        <f t="shared" ca="1" si="15"/>
        <v>1.1201458282241283E-2</v>
      </c>
    </row>
    <row r="67" spans="1:17" x14ac:dyDescent="0.25">
      <c r="A67" s="48">
        <v>21</v>
      </c>
      <c r="B67" s="48">
        <f t="shared" ca="1" si="1"/>
        <v>0.74199999999999999</v>
      </c>
      <c r="C67" s="49">
        <f t="shared" si="8"/>
        <v>5</v>
      </c>
      <c r="D67" s="51">
        <f t="shared" ca="1" si="2"/>
        <v>5.9681207162951312E-2</v>
      </c>
      <c r="E67" s="51">
        <f t="shared" ca="1" si="9"/>
        <v>4.2516084053241991</v>
      </c>
      <c r="F67" s="48">
        <f t="shared" ca="1" si="10"/>
        <v>0</v>
      </c>
      <c r="G67" s="48">
        <f ca="1">COUNTIF($P$47:P77,"&lt;"&amp;E67)</f>
        <v>20</v>
      </c>
      <c r="H67" s="48">
        <f t="shared" ca="1" si="11"/>
        <v>1</v>
      </c>
      <c r="I67" s="48" t="str">
        <f t="shared" ca="1" si="12"/>
        <v>Des</v>
      </c>
      <c r="J67" s="52">
        <f t="shared" ca="1" si="3"/>
        <v>1</v>
      </c>
      <c r="K67" s="53">
        <f t="shared" ca="1" si="4"/>
        <v>0</v>
      </c>
      <c r="L67" s="54">
        <f t="shared" ca="1" si="13"/>
        <v>4.2516084053241991</v>
      </c>
      <c r="M67" s="48">
        <f t="shared" ca="1" si="5"/>
        <v>0.63700000000000001</v>
      </c>
      <c r="N67" s="48">
        <f t="shared" si="14"/>
        <v>6</v>
      </c>
      <c r="O67" s="51">
        <f t="shared" ca="1" si="6"/>
        <v>7.5164270568328945E-2</v>
      </c>
      <c r="P67" s="51">
        <f t="shared" ca="1" si="7"/>
        <v>4.3267726758925278</v>
      </c>
      <c r="Q67" s="55">
        <f t="shared" ca="1" si="15"/>
        <v>7.5164270568328639E-2</v>
      </c>
    </row>
    <row r="68" spans="1:17" x14ac:dyDescent="0.25">
      <c r="A68" s="48">
        <v>22</v>
      </c>
      <c r="B68" s="48">
        <f t="shared" ca="1" si="1"/>
        <v>0.59499999999999997</v>
      </c>
      <c r="C68" s="49">
        <f t="shared" si="8"/>
        <v>5</v>
      </c>
      <c r="D68" s="51">
        <f t="shared" ca="1" si="2"/>
        <v>0.10383877468730147</v>
      </c>
      <c r="E68" s="51">
        <f t="shared" ca="1" si="9"/>
        <v>4.3554471800115007</v>
      </c>
      <c r="F68" s="48">
        <f t="shared" ca="1" si="10"/>
        <v>0</v>
      </c>
      <c r="G68" s="48">
        <f ca="1">COUNTIF($P$47:P78,"&lt;"&amp;E68)</f>
        <v>21</v>
      </c>
      <c r="H68" s="48">
        <f t="shared" ca="1" si="11"/>
        <v>1</v>
      </c>
      <c r="I68" s="48" t="str">
        <f t="shared" ca="1" si="12"/>
        <v>Des</v>
      </c>
      <c r="J68" s="52">
        <f t="shared" ca="1" si="3"/>
        <v>1</v>
      </c>
      <c r="K68" s="53">
        <f t="shared" ca="1" si="4"/>
        <v>0</v>
      </c>
      <c r="L68" s="54">
        <f t="shared" ca="1" si="13"/>
        <v>4.3554471800115007</v>
      </c>
      <c r="M68" s="48">
        <f t="shared" ca="1" si="5"/>
        <v>0.42699999999999999</v>
      </c>
      <c r="N68" s="48">
        <f t="shared" si="14"/>
        <v>6</v>
      </c>
      <c r="O68" s="51">
        <f t="shared" ca="1" si="6"/>
        <v>0.14182854429225206</v>
      </c>
      <c r="P68" s="51">
        <f t="shared" ca="1" si="7"/>
        <v>4.4972757243037531</v>
      </c>
      <c r="Q68" s="55">
        <f t="shared" ca="1" si="15"/>
        <v>0.14182854429225245</v>
      </c>
    </row>
    <row r="69" spans="1:17" x14ac:dyDescent="0.25">
      <c r="A69" s="48">
        <v>23</v>
      </c>
      <c r="B69" s="48">
        <f t="shared" ca="1" si="1"/>
        <v>0.26700000000000002</v>
      </c>
      <c r="C69" s="49">
        <f t="shared" si="8"/>
        <v>5</v>
      </c>
      <c r="D69" s="51">
        <f t="shared" ca="1" si="2"/>
        <v>0.26410132411637749</v>
      </c>
      <c r="E69" s="51">
        <f t="shared" ca="1" si="9"/>
        <v>4.6195485041278781</v>
      </c>
      <c r="F69" s="48">
        <f t="shared" ca="1" si="10"/>
        <v>0</v>
      </c>
      <c r="G69" s="48">
        <f ca="1">COUNTIF($P$47:P79,"&lt;"&amp;E69)</f>
        <v>22</v>
      </c>
      <c r="H69" s="48">
        <f t="shared" ca="1" si="11"/>
        <v>1</v>
      </c>
      <c r="I69" s="48" t="str">
        <f t="shared" ca="1" si="12"/>
        <v>Des</v>
      </c>
      <c r="J69" s="52">
        <f t="shared" ca="1" si="3"/>
        <v>1</v>
      </c>
      <c r="K69" s="53">
        <f t="shared" ca="1" si="4"/>
        <v>0</v>
      </c>
      <c r="L69" s="54">
        <f t="shared" ca="1" si="13"/>
        <v>4.6195485041278781</v>
      </c>
      <c r="M69" s="48">
        <f t="shared" ca="1" si="5"/>
        <v>0.23699999999999999</v>
      </c>
      <c r="N69" s="48">
        <f t="shared" si="14"/>
        <v>6</v>
      </c>
      <c r="O69" s="51">
        <f t="shared" ca="1" si="6"/>
        <v>0.23994918964116763</v>
      </c>
      <c r="P69" s="51">
        <f t="shared" ca="1" si="7"/>
        <v>4.8594976937690459</v>
      </c>
      <c r="Q69" s="55">
        <f t="shared" ca="1" si="15"/>
        <v>0.23994918964116785</v>
      </c>
    </row>
    <row r="70" spans="1:17" x14ac:dyDescent="0.25">
      <c r="A70" s="48">
        <v>24</v>
      </c>
      <c r="B70" s="48">
        <f t="shared" ca="1" si="1"/>
        <v>0.45700000000000002</v>
      </c>
      <c r="C70" s="49">
        <f t="shared" si="8"/>
        <v>5</v>
      </c>
      <c r="D70" s="51">
        <f t="shared" ca="1" si="2"/>
        <v>0.15661437761758645</v>
      </c>
      <c r="E70" s="51">
        <f t="shared" ca="1" si="9"/>
        <v>4.7761628817454644</v>
      </c>
      <c r="F70" s="48">
        <f t="shared" ca="1" si="10"/>
        <v>1</v>
      </c>
      <c r="G70" s="48">
        <f ca="1">COUNTIF($P$47:P80,"&lt;"&amp;E70)</f>
        <v>22</v>
      </c>
      <c r="H70" s="48">
        <f t="shared" ca="1" si="11"/>
        <v>0</v>
      </c>
      <c r="I70" s="48" t="str">
        <f t="shared" ca="1" si="12"/>
        <v>Ocu</v>
      </c>
      <c r="J70" s="52">
        <f t="shared" ca="1" si="3"/>
        <v>2</v>
      </c>
      <c r="K70" s="53">
        <f t="shared" ca="1" si="4"/>
        <v>8.3334812023581506E-2</v>
      </c>
      <c r="L70" s="54">
        <f t="shared" ca="1" si="13"/>
        <v>4.8594976937690459</v>
      </c>
      <c r="M70" s="48">
        <f t="shared" ca="1" si="5"/>
        <v>0.73899999999999999</v>
      </c>
      <c r="N70" s="48">
        <f t="shared" si="14"/>
        <v>6</v>
      </c>
      <c r="O70" s="51">
        <f t="shared" ca="1" si="6"/>
        <v>5.0409559672322531E-2</v>
      </c>
      <c r="P70" s="51">
        <f t="shared" ca="1" si="7"/>
        <v>4.9099072534413688</v>
      </c>
      <c r="Q70" s="55">
        <f t="shared" ca="1" si="15"/>
        <v>0.13374437169590436</v>
      </c>
    </row>
    <row r="71" spans="1:17" x14ac:dyDescent="0.25">
      <c r="A71" s="48">
        <v>25</v>
      </c>
      <c r="B71" s="48">
        <f t="shared" ca="1" si="1"/>
        <v>0.30599999999999999</v>
      </c>
      <c r="C71" s="49">
        <f t="shared" si="8"/>
        <v>5</v>
      </c>
      <c r="D71" s="51">
        <f t="shared" ca="1" si="2"/>
        <v>0.23683403540595127</v>
      </c>
      <c r="E71" s="51">
        <f t="shared" ca="1" si="9"/>
        <v>5.0129969171514155</v>
      </c>
      <c r="F71" s="48">
        <f t="shared" ca="1" si="10"/>
        <v>0</v>
      </c>
      <c r="G71" s="48">
        <f ca="1">COUNTIF($P$47:P81,"&lt;"&amp;E71)</f>
        <v>24</v>
      </c>
      <c r="H71" s="48">
        <f t="shared" ca="1" si="11"/>
        <v>2</v>
      </c>
      <c r="I71" s="48" t="str">
        <f t="shared" ca="1" si="12"/>
        <v>Des</v>
      </c>
      <c r="J71" s="52">
        <f t="shared" ca="1" si="3"/>
        <v>1</v>
      </c>
      <c r="K71" s="53">
        <f t="shared" ca="1" si="4"/>
        <v>0</v>
      </c>
      <c r="L71" s="54">
        <f t="shared" ca="1" si="13"/>
        <v>5.0129969171514155</v>
      </c>
      <c r="M71" s="48">
        <f t="shared" ca="1" si="5"/>
        <v>0.35</v>
      </c>
      <c r="N71" s="48">
        <f t="shared" si="14"/>
        <v>6</v>
      </c>
      <c r="O71" s="51">
        <f t="shared" ca="1" si="6"/>
        <v>0.17497035408311293</v>
      </c>
      <c r="P71" s="51">
        <f t="shared" ca="1" si="7"/>
        <v>5.1879672712345286</v>
      </c>
      <c r="Q71" s="55">
        <f t="shared" ca="1" si="15"/>
        <v>0.17497035408311312</v>
      </c>
    </row>
    <row r="72" spans="1:17" x14ac:dyDescent="0.25">
      <c r="A72" s="48">
        <v>26</v>
      </c>
      <c r="B72" s="48">
        <f t="shared" ca="1" si="1"/>
        <v>0.97499999999999998</v>
      </c>
      <c r="C72" s="49">
        <f t="shared" si="8"/>
        <v>5</v>
      </c>
      <c r="D72" s="51">
        <f t="shared" ca="1" si="2"/>
        <v>5.0635615968580008E-3</v>
      </c>
      <c r="E72" s="51">
        <f t="shared" ca="1" si="9"/>
        <v>5.0180604787482732</v>
      </c>
      <c r="F72" s="48">
        <f t="shared" ca="1" si="10"/>
        <v>1</v>
      </c>
      <c r="G72" s="48">
        <f ca="1">COUNTIF($P$47:P82,"&lt;"&amp;E72)</f>
        <v>24</v>
      </c>
      <c r="H72" s="48">
        <f t="shared" ca="1" si="11"/>
        <v>0</v>
      </c>
      <c r="I72" s="48" t="str">
        <f t="shared" ca="1" si="12"/>
        <v>Ocu</v>
      </c>
      <c r="J72" s="52">
        <f t="shared" ca="1" si="3"/>
        <v>2</v>
      </c>
      <c r="K72" s="53">
        <f t="shared" ca="1" si="4"/>
        <v>0.1699067924862554</v>
      </c>
      <c r="L72" s="54">
        <f t="shared" ca="1" si="13"/>
        <v>5.1879672712345286</v>
      </c>
      <c r="M72" s="48">
        <f t="shared" ca="1" si="5"/>
        <v>0.98699999999999999</v>
      </c>
      <c r="N72" s="48">
        <f t="shared" si="14"/>
        <v>6</v>
      </c>
      <c r="O72" s="51">
        <f t="shared" ca="1" si="6"/>
        <v>2.1808732581092556E-3</v>
      </c>
      <c r="P72" s="51">
        <f t="shared" ca="1" si="7"/>
        <v>5.1901481444926381</v>
      </c>
      <c r="Q72" s="55">
        <f t="shared" ca="1" si="15"/>
        <v>0.17208766574436485</v>
      </c>
    </row>
    <row r="73" spans="1:17" x14ac:dyDescent="0.25">
      <c r="A73" s="48">
        <v>27</v>
      </c>
      <c r="B73" s="48">
        <f t="shared" ca="1" si="1"/>
        <v>1.6E-2</v>
      </c>
      <c r="C73" s="49">
        <f t="shared" si="8"/>
        <v>5</v>
      </c>
      <c r="D73" s="51">
        <f t="shared" ca="1" si="2"/>
        <v>0.82703331134847125</v>
      </c>
      <c r="E73" s="51">
        <f t="shared" ca="1" si="9"/>
        <v>5.8450937900967448</v>
      </c>
      <c r="F73" s="48">
        <f t="shared" ca="1" si="10"/>
        <v>0</v>
      </c>
      <c r="G73" s="48">
        <f ca="1">COUNTIF($P$47:P83,"&lt;"&amp;E73)</f>
        <v>26</v>
      </c>
      <c r="H73" s="48">
        <f t="shared" ca="1" si="11"/>
        <v>2</v>
      </c>
      <c r="I73" s="48" t="str">
        <f t="shared" ca="1" si="12"/>
        <v>Des</v>
      </c>
      <c r="J73" s="52">
        <f t="shared" ca="1" si="3"/>
        <v>1</v>
      </c>
      <c r="K73" s="53">
        <f t="shared" ca="1" si="4"/>
        <v>0</v>
      </c>
      <c r="L73" s="54">
        <f t="shared" ca="1" si="13"/>
        <v>5.8450937900967448</v>
      </c>
      <c r="M73" s="48">
        <f t="shared" ca="1" si="5"/>
        <v>0.46500000000000002</v>
      </c>
      <c r="N73" s="48">
        <f t="shared" si="14"/>
        <v>6</v>
      </c>
      <c r="O73" s="51">
        <f t="shared" ca="1" si="6"/>
        <v>0.12761964556579677</v>
      </c>
      <c r="P73" s="51">
        <f t="shared" ca="1" si="7"/>
        <v>5.9727134356625413</v>
      </c>
      <c r="Q73" s="55">
        <f t="shared" ca="1" si="15"/>
        <v>0.12761964556579652</v>
      </c>
    </row>
    <row r="74" spans="1:17" x14ac:dyDescent="0.25">
      <c r="A74" s="48">
        <v>28</v>
      </c>
      <c r="B74" s="48">
        <f t="shared" ca="1" si="1"/>
        <v>0.61</v>
      </c>
      <c r="C74" s="49">
        <f t="shared" si="8"/>
        <v>5</v>
      </c>
      <c r="D74" s="51">
        <f t="shared" ca="1" si="2"/>
        <v>9.8859264362956042E-2</v>
      </c>
      <c r="E74" s="51">
        <f t="shared" ca="1" si="9"/>
        <v>5.9439530544597012</v>
      </c>
      <c r="F74" s="48">
        <f t="shared" ca="1" si="10"/>
        <v>1</v>
      </c>
      <c r="G74" s="48">
        <f ca="1">COUNTIF($P$47:P84,"&lt;"&amp;E74)</f>
        <v>26</v>
      </c>
      <c r="H74" s="48">
        <f t="shared" ca="1" si="11"/>
        <v>0</v>
      </c>
      <c r="I74" s="48" t="str">
        <f t="shared" ca="1" si="12"/>
        <v>Ocu</v>
      </c>
      <c r="J74" s="52">
        <f t="shared" ca="1" si="3"/>
        <v>2</v>
      </c>
      <c r="K74" s="53">
        <f t="shared" ca="1" si="4"/>
        <v>2.876038120284008E-2</v>
      </c>
      <c r="L74" s="54">
        <f t="shared" ca="1" si="13"/>
        <v>5.9727134356625413</v>
      </c>
      <c r="M74" s="48">
        <f t="shared" ca="1" si="5"/>
        <v>0.61</v>
      </c>
      <c r="N74" s="48">
        <f t="shared" si="14"/>
        <v>6</v>
      </c>
      <c r="O74" s="51">
        <f t="shared" ca="1" si="6"/>
        <v>8.2382720302463353E-2</v>
      </c>
      <c r="P74" s="51">
        <f t="shared" ca="1" si="7"/>
        <v>6.0550961559650043</v>
      </c>
      <c r="Q74" s="55">
        <f t="shared" ca="1" si="15"/>
        <v>0.11114310150530304</v>
      </c>
    </row>
    <row r="75" spans="1:17" x14ac:dyDescent="0.25">
      <c r="A75" s="48">
        <v>29</v>
      </c>
      <c r="B75" s="48">
        <f t="shared" ca="1" si="1"/>
        <v>0.161</v>
      </c>
      <c r="C75" s="49">
        <f t="shared" si="8"/>
        <v>5</v>
      </c>
      <c r="D75" s="51">
        <f t="shared" ca="1" si="2"/>
        <v>0.36527018279953483</v>
      </c>
      <c r="E75" s="51">
        <f t="shared" ca="1" si="9"/>
        <v>6.3092232372592356</v>
      </c>
      <c r="F75" s="48">
        <f t="shared" ca="1" si="10"/>
        <v>0</v>
      </c>
      <c r="G75" s="48">
        <f ca="1">COUNTIF($P$47:P85,"&lt;"&amp;E75)</f>
        <v>28</v>
      </c>
      <c r="H75" s="48">
        <f t="shared" ca="1" si="11"/>
        <v>2</v>
      </c>
      <c r="I75" s="48" t="str">
        <f t="shared" ca="1" si="12"/>
        <v>Des</v>
      </c>
      <c r="J75" s="52">
        <f t="shared" ca="1" si="3"/>
        <v>1</v>
      </c>
      <c r="K75" s="53">
        <f t="shared" ca="1" si="4"/>
        <v>0</v>
      </c>
      <c r="L75" s="54">
        <f t="shared" ca="1" si="13"/>
        <v>6.3092232372592356</v>
      </c>
      <c r="M75" s="48">
        <f t="shared" ca="1" si="5"/>
        <v>0.92900000000000005</v>
      </c>
      <c r="N75" s="48">
        <f t="shared" si="14"/>
        <v>6</v>
      </c>
      <c r="O75" s="51">
        <f t="shared" ca="1" si="6"/>
        <v>1.2274423361383084E-2</v>
      </c>
      <c r="P75" s="51">
        <f t="shared" ca="1" si="7"/>
        <v>6.3214976606206186</v>
      </c>
      <c r="Q75" s="55">
        <f t="shared" ca="1" si="15"/>
        <v>1.2274423361382958E-2</v>
      </c>
    </row>
    <row r="76" spans="1:17" x14ac:dyDescent="0.25">
      <c r="A76" s="48">
        <v>30</v>
      </c>
      <c r="B76" s="48">
        <f t="shared" ca="1" si="1"/>
        <v>0.378</v>
      </c>
      <c r="C76" s="49">
        <f t="shared" si="8"/>
        <v>5</v>
      </c>
      <c r="D76" s="51">
        <f t="shared" ca="1" si="2"/>
        <v>0.1945722166725099</v>
      </c>
      <c r="E76" s="51">
        <f t="shared" ca="1" si="9"/>
        <v>6.5037954539317457</v>
      </c>
      <c r="F76" s="48">
        <f t="shared" ca="1" si="10"/>
        <v>0</v>
      </c>
      <c r="G76" s="48">
        <f ca="1">COUNTIF($P$47:P86,"&lt;"&amp;E76)</f>
        <v>29</v>
      </c>
      <c r="H76" s="48">
        <f t="shared" ca="1" si="11"/>
        <v>1</v>
      </c>
      <c r="I76" s="48" t="str">
        <f t="shared" ca="1" si="12"/>
        <v>Des</v>
      </c>
      <c r="J76" s="52">
        <f t="shared" ca="1" si="3"/>
        <v>1</v>
      </c>
      <c r="K76" s="53">
        <f t="shared" ca="1" si="4"/>
        <v>0</v>
      </c>
      <c r="L76" s="54">
        <f t="shared" ca="1" si="13"/>
        <v>6.5037954539317457</v>
      </c>
      <c r="M76" s="48">
        <f t="shared" ca="1" si="5"/>
        <v>0.55400000000000005</v>
      </c>
      <c r="N76" s="48">
        <f t="shared" si="14"/>
        <v>6</v>
      </c>
      <c r="O76" s="51">
        <f t="shared" ca="1" si="6"/>
        <v>9.8431765372475527E-2</v>
      </c>
      <c r="P76" s="51">
        <f t="shared" ca="1" si="7"/>
        <v>6.6022272193042211</v>
      </c>
      <c r="Q76" s="55">
        <f t="shared" ca="1" si="15"/>
        <v>9.8431765372475333E-2</v>
      </c>
    </row>
    <row r="77" spans="1:17" x14ac:dyDescent="0.25">
      <c r="A77" s="48">
        <v>31</v>
      </c>
      <c r="B77" s="48">
        <f t="shared" ca="1" si="1"/>
        <v>0.46</v>
      </c>
      <c r="C77" s="49">
        <f t="shared" si="8"/>
        <v>5</v>
      </c>
      <c r="D77" s="51">
        <f t="shared" ca="1" si="2"/>
        <v>0.15530575789979928</v>
      </c>
      <c r="E77" s="51">
        <f t="shared" ca="1" si="9"/>
        <v>6.6591012118315449</v>
      </c>
      <c r="F77" s="48">
        <f t="shared" ca="1" si="10"/>
        <v>0</v>
      </c>
      <c r="G77" s="48">
        <f ca="1">COUNTIF($P$47:P87,"&lt;"&amp;E77)</f>
        <v>30</v>
      </c>
      <c r="H77" s="48">
        <f t="shared" ca="1" si="11"/>
        <v>1</v>
      </c>
      <c r="I77" s="48" t="str">
        <f t="shared" ca="1" si="12"/>
        <v>Des</v>
      </c>
      <c r="J77" s="52">
        <f t="shared" ca="1" si="3"/>
        <v>1</v>
      </c>
      <c r="K77" s="53">
        <f t="shared" ca="1" si="4"/>
        <v>0</v>
      </c>
      <c r="L77" s="54">
        <f t="shared" ca="1" si="13"/>
        <v>6.6591012118315449</v>
      </c>
      <c r="M77" s="48">
        <f t="shared" ca="1" si="5"/>
        <v>0.27300000000000002</v>
      </c>
      <c r="N77" s="48">
        <f t="shared" si="14"/>
        <v>6</v>
      </c>
      <c r="O77" s="51">
        <f t="shared" ca="1" si="6"/>
        <v>0.21638058063286286</v>
      </c>
      <c r="P77" s="51">
        <f t="shared" ca="1" si="7"/>
        <v>6.8754817924644076</v>
      </c>
      <c r="Q77" s="55">
        <f t="shared" ca="1" si="15"/>
        <v>0.2163805806328627</v>
      </c>
    </row>
    <row r="78" spans="1:17" x14ac:dyDescent="0.25">
      <c r="A78" s="48">
        <v>32</v>
      </c>
      <c r="B78" s="48">
        <f t="shared" ca="1" si="1"/>
        <v>0.55600000000000005</v>
      </c>
      <c r="C78" s="49">
        <f t="shared" si="8"/>
        <v>5</v>
      </c>
      <c r="D78" s="51">
        <f t="shared" ca="1" si="2"/>
        <v>0.11739739694631093</v>
      </c>
      <c r="E78" s="51">
        <f t="shared" ca="1" si="9"/>
        <v>6.7764986087778558</v>
      </c>
      <c r="F78" s="48">
        <f t="shared" ca="1" si="10"/>
        <v>1</v>
      </c>
      <c r="G78" s="48">
        <f ca="1">COUNTIF($P$47:P88,"&lt;"&amp;E78)</f>
        <v>30</v>
      </c>
      <c r="H78" s="48">
        <f t="shared" ca="1" si="11"/>
        <v>0</v>
      </c>
      <c r="I78" s="48" t="str">
        <f t="shared" ca="1" si="12"/>
        <v>Ocu</v>
      </c>
      <c r="J78" s="52">
        <f t="shared" ca="1" si="3"/>
        <v>2</v>
      </c>
      <c r="K78" s="53">
        <f t="shared" ca="1" si="4"/>
        <v>9.898318368655179E-2</v>
      </c>
      <c r="L78" s="54">
        <f t="shared" ca="1" si="13"/>
        <v>6.8754817924644076</v>
      </c>
      <c r="M78" s="48">
        <f t="shared" ca="1" si="5"/>
        <v>0.40400000000000003</v>
      </c>
      <c r="N78" s="48">
        <f t="shared" si="14"/>
        <v>6</v>
      </c>
      <c r="O78" s="51">
        <f t="shared" ca="1" si="6"/>
        <v>0.15105673350349783</v>
      </c>
      <c r="P78" s="51">
        <f t="shared" ca="1" si="7"/>
        <v>7.0265385259679052</v>
      </c>
      <c r="Q78" s="55">
        <f t="shared" ca="1" si="15"/>
        <v>0.25003991719004937</v>
      </c>
    </row>
    <row r="79" spans="1:17" x14ac:dyDescent="0.25">
      <c r="A79" s="48">
        <v>33</v>
      </c>
      <c r="B79" s="48">
        <f t="shared" ca="1" si="1"/>
        <v>0.5</v>
      </c>
      <c r="C79" s="49">
        <f t="shared" si="8"/>
        <v>5</v>
      </c>
      <c r="D79" s="51">
        <f t="shared" ca="1" si="2"/>
        <v>0.13862943611198905</v>
      </c>
      <c r="E79" s="51">
        <f t="shared" ca="1" si="9"/>
        <v>6.9151280448898449</v>
      </c>
      <c r="F79" s="48">
        <f t="shared" ca="1" si="10"/>
        <v>1</v>
      </c>
      <c r="G79" s="48">
        <f ca="1">COUNTIF($P$47:P89,"&lt;"&amp;E79)</f>
        <v>31</v>
      </c>
      <c r="H79" s="48">
        <f t="shared" ca="1" si="11"/>
        <v>1</v>
      </c>
      <c r="I79" s="48" t="str">
        <f t="shared" ca="1" si="12"/>
        <v>Ocu</v>
      </c>
      <c r="J79" s="52">
        <f t="shared" ca="1" si="3"/>
        <v>2</v>
      </c>
      <c r="K79" s="53">
        <f t="shared" ca="1" si="4"/>
        <v>0.11141048107806029</v>
      </c>
      <c r="L79" s="54">
        <f t="shared" ca="1" si="13"/>
        <v>7.0265385259679052</v>
      </c>
      <c r="M79" s="48">
        <f t="shared" ca="1" si="5"/>
        <v>0.52500000000000002</v>
      </c>
      <c r="N79" s="48">
        <f t="shared" si="14"/>
        <v>6</v>
      </c>
      <c r="O79" s="51">
        <f t="shared" ca="1" si="6"/>
        <v>0.10739283606508554</v>
      </c>
      <c r="P79" s="51">
        <f t="shared" ca="1" si="7"/>
        <v>7.1339313620329907</v>
      </c>
      <c r="Q79" s="55">
        <f t="shared" ca="1" si="15"/>
        <v>0.21880331714314583</v>
      </c>
    </row>
    <row r="80" spans="1:17" x14ac:dyDescent="0.25">
      <c r="A80" s="48">
        <v>34</v>
      </c>
      <c r="B80" s="48">
        <f t="shared" ca="1" si="1"/>
        <v>0.51900000000000002</v>
      </c>
      <c r="C80" s="49">
        <f t="shared" si="8"/>
        <v>5</v>
      </c>
      <c r="D80" s="51">
        <f t="shared" ca="1" si="2"/>
        <v>0.13117027916324969</v>
      </c>
      <c r="E80" s="51">
        <f t="shared" ca="1" si="9"/>
        <v>7.0462983240530948</v>
      </c>
      <c r="F80" s="48">
        <f t="shared" ca="1" si="10"/>
        <v>1</v>
      </c>
      <c r="G80" s="48">
        <f ca="1">COUNTIF($P$47:P90,"&lt;"&amp;E80)</f>
        <v>32</v>
      </c>
      <c r="H80" s="48">
        <f t="shared" ca="1" si="11"/>
        <v>1</v>
      </c>
      <c r="I80" s="48" t="str">
        <f t="shared" ca="1" si="12"/>
        <v>Ocu</v>
      </c>
      <c r="J80" s="52">
        <f t="shared" ca="1" si="3"/>
        <v>2</v>
      </c>
      <c r="K80" s="53">
        <f t="shared" ca="1" si="4"/>
        <v>8.7633037979895967E-2</v>
      </c>
      <c r="L80" s="54">
        <f t="shared" ca="1" si="13"/>
        <v>7.1339313620329907</v>
      </c>
      <c r="M80" s="48">
        <f t="shared" ca="1" si="5"/>
        <v>9.2999999999999999E-2</v>
      </c>
      <c r="N80" s="48">
        <f t="shared" si="14"/>
        <v>6</v>
      </c>
      <c r="O80" s="51">
        <f t="shared" ca="1" si="6"/>
        <v>0.39585929763814681</v>
      </c>
      <c r="P80" s="51">
        <f t="shared" ca="1" si="7"/>
        <v>7.5297906596711375</v>
      </c>
      <c r="Q80" s="55">
        <f t="shared" ca="1" si="15"/>
        <v>0.48349233561804272</v>
      </c>
    </row>
    <row r="81" spans="1:17" x14ac:dyDescent="0.25">
      <c r="A81" s="48">
        <v>35</v>
      </c>
      <c r="B81" s="48">
        <f t="shared" ca="1" si="1"/>
        <v>8.1000000000000003E-2</v>
      </c>
      <c r="C81" s="49">
        <f t="shared" si="8"/>
        <v>5</v>
      </c>
      <c r="D81" s="51">
        <f t="shared" ca="1" si="2"/>
        <v>0.50266122486193965</v>
      </c>
      <c r="E81" s="51">
        <f t="shared" ca="1" si="9"/>
        <v>7.5489595489150343</v>
      </c>
      <c r="F81" s="48">
        <f t="shared" ca="1" si="10"/>
        <v>0</v>
      </c>
      <c r="G81" s="48">
        <f ca="1">COUNTIF($P$47:P91,"&lt;"&amp;E81)</f>
        <v>34</v>
      </c>
      <c r="H81" s="48">
        <f t="shared" ca="1" si="11"/>
        <v>2</v>
      </c>
      <c r="I81" s="48" t="str">
        <f t="shared" ca="1" si="12"/>
        <v>Des</v>
      </c>
      <c r="J81" s="52">
        <f t="shared" ca="1" si="3"/>
        <v>1</v>
      </c>
      <c r="K81" s="53">
        <f t="shared" ca="1" si="4"/>
        <v>0</v>
      </c>
      <c r="L81" s="54">
        <f t="shared" ca="1" si="13"/>
        <v>7.5489595489150343</v>
      </c>
      <c r="M81" s="48">
        <f t="shared" ca="1" si="5"/>
        <v>0.70399999999999996</v>
      </c>
      <c r="N81" s="48">
        <f t="shared" si="14"/>
        <v>6</v>
      </c>
      <c r="O81" s="51">
        <f t="shared" ca="1" si="6"/>
        <v>5.8496153804015794E-2</v>
      </c>
      <c r="P81" s="51">
        <f t="shared" ca="1" si="7"/>
        <v>7.6074557027190499</v>
      </c>
      <c r="Q81" s="55">
        <f t="shared" ca="1" si="15"/>
        <v>5.8496153804015627E-2</v>
      </c>
    </row>
    <row r="82" spans="1:17" x14ac:dyDescent="0.25">
      <c r="A82" s="48">
        <v>36</v>
      </c>
      <c r="B82" s="48">
        <f t="shared" ca="1" si="1"/>
        <v>7.4999999999999997E-2</v>
      </c>
      <c r="C82" s="49">
        <f t="shared" si="8"/>
        <v>5</v>
      </c>
      <c r="D82" s="51">
        <f t="shared" ca="1" si="2"/>
        <v>0.5180534330891654</v>
      </c>
      <c r="E82" s="51">
        <f t="shared" ca="1" si="9"/>
        <v>8.0670129820041989</v>
      </c>
      <c r="F82" s="48">
        <f t="shared" ca="1" si="10"/>
        <v>0</v>
      </c>
      <c r="G82" s="48">
        <f ca="1">COUNTIF($P$47:P92,"&lt;"&amp;E82)</f>
        <v>35</v>
      </c>
      <c r="H82" s="48">
        <f t="shared" ca="1" si="11"/>
        <v>1</v>
      </c>
      <c r="I82" s="48" t="str">
        <f t="shared" ca="1" si="12"/>
        <v>Des</v>
      </c>
      <c r="J82" s="52">
        <f t="shared" ca="1" si="3"/>
        <v>1</v>
      </c>
      <c r="K82" s="53">
        <f t="shared" ca="1" si="4"/>
        <v>0</v>
      </c>
      <c r="L82" s="54">
        <f t="shared" ca="1" si="13"/>
        <v>8.0670129820041989</v>
      </c>
      <c r="M82" s="48">
        <f t="shared" ca="1" si="5"/>
        <v>0.379</v>
      </c>
      <c r="N82" s="48">
        <f t="shared" si="14"/>
        <v>6</v>
      </c>
      <c r="O82" s="51">
        <f t="shared" ca="1" si="6"/>
        <v>0.1617031789832851</v>
      </c>
      <c r="P82" s="51">
        <f t="shared" ca="1" si="7"/>
        <v>8.2287161609874833</v>
      </c>
      <c r="Q82" s="55">
        <f t="shared" ca="1" si="15"/>
        <v>0.16170317898328435</v>
      </c>
    </row>
    <row r="83" spans="1:17" x14ac:dyDescent="0.25">
      <c r="A83" s="48">
        <v>37</v>
      </c>
      <c r="B83" s="48">
        <f t="shared" ca="1" si="1"/>
        <v>0.76400000000000001</v>
      </c>
      <c r="C83" s="49">
        <f t="shared" si="8"/>
        <v>5</v>
      </c>
      <c r="D83" s="51">
        <f t="shared" ca="1" si="2"/>
        <v>5.3837497963123308E-2</v>
      </c>
      <c r="E83" s="51">
        <f t="shared" ca="1" si="9"/>
        <v>8.1208504799673218</v>
      </c>
      <c r="F83" s="48">
        <f t="shared" ca="1" si="10"/>
        <v>1</v>
      </c>
      <c r="G83" s="48">
        <f ca="1">COUNTIF($P$47:P93,"&lt;"&amp;E83)</f>
        <v>35</v>
      </c>
      <c r="H83" s="48">
        <f t="shared" ca="1" si="11"/>
        <v>0</v>
      </c>
      <c r="I83" s="48" t="str">
        <f t="shared" ca="1" si="12"/>
        <v>Ocu</v>
      </c>
      <c r="J83" s="52">
        <f t="shared" ca="1" si="3"/>
        <v>2</v>
      </c>
      <c r="K83" s="53">
        <f t="shared" ca="1" si="4"/>
        <v>0.10786568102016147</v>
      </c>
      <c r="L83" s="54">
        <f t="shared" ca="1" si="13"/>
        <v>8.2287161609874833</v>
      </c>
      <c r="M83" s="48">
        <f t="shared" ca="1" si="5"/>
        <v>0.16900000000000001</v>
      </c>
      <c r="N83" s="48">
        <f t="shared" si="14"/>
        <v>6</v>
      </c>
      <c r="O83" s="51">
        <f t="shared" ca="1" si="6"/>
        <v>0.29630942734317722</v>
      </c>
      <c r="P83" s="51">
        <f t="shared" ca="1" si="7"/>
        <v>8.52502558833066</v>
      </c>
      <c r="Q83" s="55">
        <f t="shared" ca="1" si="15"/>
        <v>0.40417510836333825</v>
      </c>
    </row>
    <row r="84" spans="1:17" x14ac:dyDescent="0.25">
      <c r="A84" s="48">
        <v>38</v>
      </c>
      <c r="B84" s="48">
        <f t="shared" ca="1" si="1"/>
        <v>0.61499999999999999</v>
      </c>
      <c r="C84" s="49">
        <f t="shared" si="8"/>
        <v>5</v>
      </c>
      <c r="D84" s="51">
        <f t="shared" ca="1" si="2"/>
        <v>9.7226602235123832E-2</v>
      </c>
      <c r="E84" s="51">
        <f t="shared" ca="1" si="9"/>
        <v>8.2180770822024449</v>
      </c>
      <c r="F84" s="48">
        <f t="shared" ca="1" si="10"/>
        <v>2</v>
      </c>
      <c r="G84" s="48">
        <f ca="1">COUNTIF($P$47:P94,"&lt;"&amp;E84)</f>
        <v>35</v>
      </c>
      <c r="H84" s="48">
        <f t="shared" ca="1" si="11"/>
        <v>0</v>
      </c>
      <c r="I84" s="48" t="str">
        <f t="shared" ca="1" si="12"/>
        <v>Ocu</v>
      </c>
      <c r="J84" s="52">
        <f t="shared" ca="1" si="3"/>
        <v>3</v>
      </c>
      <c r="K84" s="53">
        <f t="shared" ca="1" si="4"/>
        <v>0.30694850612821512</v>
      </c>
      <c r="L84" s="54">
        <f t="shared" ca="1" si="13"/>
        <v>8.52502558833066</v>
      </c>
      <c r="M84" s="48">
        <f t="shared" ca="1" si="5"/>
        <v>0.25800000000000001</v>
      </c>
      <c r="N84" s="48">
        <f t="shared" si="14"/>
        <v>6</v>
      </c>
      <c r="O84" s="51">
        <f t="shared" ca="1" si="6"/>
        <v>0.22579928234341989</v>
      </c>
      <c r="P84" s="51">
        <f t="shared" ca="1" si="7"/>
        <v>8.7508248706740801</v>
      </c>
      <c r="Q84" s="55">
        <f t="shared" ca="1" si="15"/>
        <v>0.53274778847163518</v>
      </c>
    </row>
    <row r="85" spans="1:17" x14ac:dyDescent="0.25">
      <c r="A85" s="48">
        <v>39</v>
      </c>
      <c r="B85" s="48">
        <f t="shared" ca="1" si="1"/>
        <v>0.46200000000000002</v>
      </c>
      <c r="C85" s="49">
        <f t="shared" si="8"/>
        <v>5</v>
      </c>
      <c r="D85" s="51">
        <f t="shared" ca="1" si="2"/>
        <v>0.15443807758007966</v>
      </c>
      <c r="E85" s="51">
        <f t="shared" ca="1" si="9"/>
        <v>8.3725151597825249</v>
      </c>
      <c r="F85" s="48">
        <f t="shared" ca="1" si="10"/>
        <v>2</v>
      </c>
      <c r="G85" s="48">
        <f ca="1">COUNTIF($P$47:P95,"&lt;"&amp;E85)</f>
        <v>36</v>
      </c>
      <c r="H85" s="48">
        <f t="shared" ca="1" si="11"/>
        <v>1</v>
      </c>
      <c r="I85" s="48" t="str">
        <f t="shared" ca="1" si="12"/>
        <v>Ocu</v>
      </c>
      <c r="J85" s="52">
        <f t="shared" ca="1" si="3"/>
        <v>3</v>
      </c>
      <c r="K85" s="53">
        <f t="shared" ca="1" si="4"/>
        <v>0.37830971089155518</v>
      </c>
      <c r="L85" s="54">
        <f t="shared" ca="1" si="13"/>
        <v>8.7508248706740801</v>
      </c>
      <c r="M85" s="48">
        <f t="shared" ca="1" si="5"/>
        <v>0.89600000000000002</v>
      </c>
      <c r="N85" s="48">
        <f t="shared" si="14"/>
        <v>6</v>
      </c>
      <c r="O85" s="51">
        <f t="shared" ca="1" si="6"/>
        <v>1.8302477667867766E-2</v>
      </c>
      <c r="P85" s="51">
        <f t="shared" ca="1" si="7"/>
        <v>8.7691273483419483</v>
      </c>
      <c r="Q85" s="55">
        <f t="shared" ca="1" si="15"/>
        <v>0.39661218855942337</v>
      </c>
    </row>
    <row r="86" spans="1:17" x14ac:dyDescent="0.25">
      <c r="A86" s="48">
        <v>40</v>
      </c>
      <c r="B86" s="48">
        <f t="shared" ca="1" si="1"/>
        <v>0.64700000000000002</v>
      </c>
      <c r="C86" s="49">
        <f t="shared" si="8"/>
        <v>5</v>
      </c>
      <c r="D86" s="51">
        <f t="shared" ca="1" si="2"/>
        <v>8.7081796896247288E-2</v>
      </c>
      <c r="E86" s="51">
        <f t="shared" ca="1" si="9"/>
        <v>8.459596956678773</v>
      </c>
      <c r="F86" s="48">
        <f t="shared" ca="1" si="10"/>
        <v>3</v>
      </c>
      <c r="G86" s="48">
        <f ca="1">COUNTIF($P$47:P96,"&lt;"&amp;E86)</f>
        <v>36</v>
      </c>
      <c r="H86" s="48">
        <f t="shared" ca="1" si="11"/>
        <v>0</v>
      </c>
      <c r="I86" s="48" t="str">
        <f t="shared" ca="1" si="12"/>
        <v>Ocu</v>
      </c>
      <c r="J86" s="52">
        <f t="shared" ca="1" si="3"/>
        <v>4</v>
      </c>
      <c r="K86" s="53">
        <f t="shared" ca="1" si="4"/>
        <v>0.30953039166317531</v>
      </c>
      <c r="L86" s="54">
        <f t="shared" ca="1" si="13"/>
        <v>8.7691273483419483</v>
      </c>
      <c r="M86" s="48">
        <f t="shared" ca="1" si="5"/>
        <v>0.89200000000000002</v>
      </c>
      <c r="N86" s="48">
        <f t="shared" si="14"/>
        <v>6</v>
      </c>
      <c r="O86" s="51">
        <f t="shared" ca="1" si="6"/>
        <v>1.9048191067021263E-2</v>
      </c>
      <c r="P86" s="51">
        <f t="shared" ca="1" si="7"/>
        <v>8.7881755394089698</v>
      </c>
      <c r="Q86" s="55">
        <f t="shared" ca="1" si="15"/>
        <v>0.3285785827301968</v>
      </c>
    </row>
    <row r="87" spans="1:17" x14ac:dyDescent="0.25">
      <c r="A87" s="48">
        <v>41</v>
      </c>
      <c r="B87" s="48">
        <f t="shared" ca="1" si="1"/>
        <v>0.38300000000000001</v>
      </c>
      <c r="C87" s="49">
        <f t="shared" si="8"/>
        <v>5</v>
      </c>
      <c r="D87" s="51">
        <f t="shared" ca="1" si="2"/>
        <v>0.19194405796029823</v>
      </c>
      <c r="E87" s="51">
        <f t="shared" ca="1" si="9"/>
        <v>8.6515410146390721</v>
      </c>
      <c r="F87" s="48">
        <f t="shared" ca="1" si="10"/>
        <v>3</v>
      </c>
      <c r="G87" s="48">
        <f ca="1">COUNTIF($P$47:P97,"&lt;"&amp;E87)</f>
        <v>37</v>
      </c>
      <c r="H87" s="48">
        <f t="shared" ca="1" si="11"/>
        <v>1</v>
      </c>
      <c r="I87" s="48" t="str">
        <f t="shared" ca="1" si="12"/>
        <v>Ocu</v>
      </c>
      <c r="J87" s="52">
        <f t="shared" ca="1" si="3"/>
        <v>4</v>
      </c>
      <c r="K87" s="53">
        <f t="shared" ca="1" si="4"/>
        <v>0.13663452476989768</v>
      </c>
      <c r="L87" s="54">
        <f t="shared" ca="1" si="13"/>
        <v>8.7881755394089698</v>
      </c>
      <c r="M87" s="48">
        <f t="shared" ca="1" si="5"/>
        <v>0.33500000000000002</v>
      </c>
      <c r="N87" s="48">
        <f t="shared" si="14"/>
        <v>6</v>
      </c>
      <c r="O87" s="51">
        <f t="shared" ca="1" si="6"/>
        <v>0.18227079119284509</v>
      </c>
      <c r="P87" s="51">
        <f t="shared" ca="1" si="7"/>
        <v>8.9704463306018152</v>
      </c>
      <c r="Q87" s="55">
        <f t="shared" ca="1" si="15"/>
        <v>0.31890531596274307</v>
      </c>
    </row>
    <row r="88" spans="1:17" x14ac:dyDescent="0.25">
      <c r="A88" s="48">
        <v>42</v>
      </c>
      <c r="B88" s="48">
        <f t="shared" ca="1" si="1"/>
        <v>0.38300000000000001</v>
      </c>
      <c r="C88" s="49">
        <f t="shared" si="8"/>
        <v>5</v>
      </c>
      <c r="D88" s="51">
        <f t="shared" ca="1" si="2"/>
        <v>0.19194405796029823</v>
      </c>
      <c r="E88" s="51">
        <f t="shared" ca="1" si="9"/>
        <v>8.8434850725993712</v>
      </c>
      <c r="F88" s="48">
        <f t="shared" ca="1" si="10"/>
        <v>1</v>
      </c>
      <c r="G88" s="48">
        <f ca="1">COUNTIF($P$47:P98,"&lt;"&amp;E88)</f>
        <v>40</v>
      </c>
      <c r="H88" s="48">
        <f t="shared" ca="1" si="11"/>
        <v>3</v>
      </c>
      <c r="I88" s="48" t="str">
        <f t="shared" ca="1" si="12"/>
        <v>Ocu</v>
      </c>
      <c r="J88" s="52">
        <f t="shared" ca="1" si="3"/>
        <v>2</v>
      </c>
      <c r="K88" s="53">
        <f t="shared" ca="1" si="4"/>
        <v>0.12696125800244396</v>
      </c>
      <c r="L88" s="54">
        <f t="shared" ca="1" si="13"/>
        <v>8.9704463306018152</v>
      </c>
      <c r="M88" s="48">
        <f t="shared" ca="1" si="5"/>
        <v>0.65400000000000003</v>
      </c>
      <c r="N88" s="48">
        <f t="shared" si="14"/>
        <v>6</v>
      </c>
      <c r="O88" s="51">
        <f t="shared" ca="1" si="6"/>
        <v>7.0774654587489716E-2</v>
      </c>
      <c r="P88" s="51">
        <f t="shared" ca="1" si="7"/>
        <v>9.0412209851893053</v>
      </c>
      <c r="Q88" s="55">
        <f t="shared" ca="1" si="15"/>
        <v>0.19773591258993406</v>
      </c>
    </row>
    <row r="89" spans="1:17" x14ac:dyDescent="0.25">
      <c r="A89" s="48">
        <v>43</v>
      </c>
      <c r="B89" s="48">
        <f t="shared" ca="1" si="1"/>
        <v>0.69099999999999995</v>
      </c>
      <c r="C89" s="49">
        <f t="shared" si="8"/>
        <v>5</v>
      </c>
      <c r="D89" s="51">
        <f t="shared" ca="1" si="2"/>
        <v>7.3923091042893449E-2</v>
      </c>
      <c r="E89" s="51">
        <f t="shared" ca="1" si="9"/>
        <v>8.9174081636422642</v>
      </c>
      <c r="F89" s="48">
        <f t="shared" ca="1" si="10"/>
        <v>2</v>
      </c>
      <c r="G89" s="48">
        <f ca="1">COUNTIF($P$47:P99,"&lt;"&amp;E89)</f>
        <v>40</v>
      </c>
      <c r="H89" s="48">
        <f t="shared" ca="1" si="11"/>
        <v>0</v>
      </c>
      <c r="I89" s="48" t="str">
        <f t="shared" ca="1" si="12"/>
        <v>Ocu</v>
      </c>
      <c r="J89" s="52">
        <f t="shared" ca="1" si="3"/>
        <v>3</v>
      </c>
      <c r="K89" s="53">
        <f t="shared" ca="1" si="4"/>
        <v>0.1238128215470411</v>
      </c>
      <c r="L89" s="54">
        <f t="shared" ca="1" si="13"/>
        <v>9.0412209851893053</v>
      </c>
      <c r="M89" s="48">
        <f t="shared" ca="1" si="5"/>
        <v>0.48399999999999999</v>
      </c>
      <c r="N89" s="48">
        <f t="shared" si="14"/>
        <v>6</v>
      </c>
      <c r="O89" s="51">
        <f t="shared" ca="1" si="6"/>
        <v>0.1209450620442509</v>
      </c>
      <c r="P89" s="51">
        <f t="shared" ca="1" si="7"/>
        <v>9.1621660472335567</v>
      </c>
      <c r="Q89" s="55">
        <f t="shared" ca="1" si="15"/>
        <v>0.24475788359129247</v>
      </c>
    </row>
    <row r="90" spans="1:17" x14ac:dyDescent="0.25">
      <c r="A90" s="48">
        <v>44</v>
      </c>
      <c r="B90" s="48">
        <f t="shared" ca="1" si="1"/>
        <v>0.33400000000000002</v>
      </c>
      <c r="C90" s="49">
        <f t="shared" si="8"/>
        <v>5</v>
      </c>
      <c r="D90" s="51">
        <f t="shared" ca="1" si="2"/>
        <v>0.2193228572010873</v>
      </c>
      <c r="E90" s="51">
        <f t="shared" ca="1" si="9"/>
        <v>9.1367310208433512</v>
      </c>
      <c r="F90" s="48">
        <f t="shared" ca="1" si="10"/>
        <v>1</v>
      </c>
      <c r="G90" s="48">
        <f ca="1">COUNTIF($P$47:P100,"&lt;"&amp;E90)</f>
        <v>42</v>
      </c>
      <c r="H90" s="48">
        <f t="shared" ca="1" si="11"/>
        <v>2</v>
      </c>
      <c r="I90" s="48" t="str">
        <f t="shared" ca="1" si="12"/>
        <v>Ocu</v>
      </c>
      <c r="J90" s="52">
        <f t="shared" ca="1" si="3"/>
        <v>2</v>
      </c>
      <c r="K90" s="53">
        <f t="shared" ca="1" si="4"/>
        <v>2.5435026390205451E-2</v>
      </c>
      <c r="L90" s="54">
        <f t="shared" ca="1" si="13"/>
        <v>9.1621660472335567</v>
      </c>
      <c r="M90" s="48">
        <f t="shared" ca="1" si="5"/>
        <v>0.14000000000000001</v>
      </c>
      <c r="N90" s="48">
        <f t="shared" si="14"/>
        <v>6</v>
      </c>
      <c r="O90" s="51">
        <f t="shared" ca="1" si="6"/>
        <v>0.32768547606213877</v>
      </c>
      <c r="P90" s="51">
        <f t="shared" ca="1" si="7"/>
        <v>9.4898515232956946</v>
      </c>
      <c r="Q90" s="55">
        <f t="shared" ca="1" si="15"/>
        <v>0.35312050245234339</v>
      </c>
    </row>
    <row r="91" spans="1:17" x14ac:dyDescent="0.25">
      <c r="A91" s="48">
        <v>45</v>
      </c>
      <c r="B91" s="48">
        <f t="shared" ca="1" si="1"/>
        <v>0.96099999999999997</v>
      </c>
      <c r="C91" s="49">
        <f t="shared" si="8"/>
        <v>5</v>
      </c>
      <c r="D91" s="51">
        <f t="shared" ca="1" si="2"/>
        <v>7.9561740023689331E-3</v>
      </c>
      <c r="E91" s="51">
        <f t="shared" ca="1" si="9"/>
        <v>9.1446871948457193</v>
      </c>
      <c r="F91" s="48">
        <f t="shared" ca="1" si="10"/>
        <v>2</v>
      </c>
      <c r="G91" s="48">
        <f ca="1">COUNTIF($P$47:P101,"&lt;"&amp;E91)</f>
        <v>42</v>
      </c>
      <c r="H91" s="48">
        <f t="shared" ca="1" si="11"/>
        <v>0</v>
      </c>
      <c r="I91" s="48" t="str">
        <f t="shared" ca="1" si="12"/>
        <v>Ocu</v>
      </c>
      <c r="J91" s="52">
        <f t="shared" ca="1" si="3"/>
        <v>3</v>
      </c>
      <c r="K91" s="53">
        <f t="shared" ca="1" si="4"/>
        <v>0.34516432844997524</v>
      </c>
      <c r="L91" s="54">
        <f t="shared" ca="1" si="13"/>
        <v>9.4898515232956946</v>
      </c>
      <c r="M91" s="48">
        <f t="shared" ca="1" si="5"/>
        <v>0.48899999999999999</v>
      </c>
      <c r="N91" s="48">
        <f t="shared" si="14"/>
        <v>6</v>
      </c>
      <c r="O91" s="51">
        <f t="shared" ca="1" si="6"/>
        <v>0.11923213158454417</v>
      </c>
      <c r="P91" s="51">
        <f t="shared" ca="1" si="7"/>
        <v>9.609083654880239</v>
      </c>
      <c r="Q91" s="55">
        <f t="shared" ca="1" si="15"/>
        <v>0.46439646003451962</v>
      </c>
    </row>
    <row r="92" spans="1:17" x14ac:dyDescent="0.25">
      <c r="A92" s="48">
        <v>46</v>
      </c>
      <c r="B92" s="48">
        <f t="shared" ca="1" si="1"/>
        <v>0.92400000000000004</v>
      </c>
      <c r="C92" s="49">
        <f t="shared" si="8"/>
        <v>5</v>
      </c>
      <c r="D92" s="51">
        <f t="shared" ca="1" si="2"/>
        <v>1.5808641468090575E-2</v>
      </c>
      <c r="E92" s="51">
        <f t="shared" ca="1" si="9"/>
        <v>9.1604958363138103</v>
      </c>
      <c r="F92" s="48">
        <f t="shared" ca="1" si="10"/>
        <v>3</v>
      </c>
      <c r="G92" s="48">
        <f ca="1">COUNTIF($P$47:P102,"&lt;"&amp;E92)</f>
        <v>42</v>
      </c>
      <c r="H92" s="48">
        <f t="shared" ca="1" si="11"/>
        <v>0</v>
      </c>
      <c r="I92" s="48" t="str">
        <f t="shared" ca="1" si="12"/>
        <v>Ocu</v>
      </c>
      <c r="J92" s="52">
        <f t="shared" ca="1" si="3"/>
        <v>4</v>
      </c>
      <c r="K92" s="53">
        <f t="shared" ca="1" si="4"/>
        <v>0.44858781856642871</v>
      </c>
      <c r="L92" s="54">
        <f t="shared" ca="1" si="13"/>
        <v>9.609083654880239</v>
      </c>
      <c r="M92" s="48">
        <f t="shared" ca="1" si="5"/>
        <v>1.2999999999999999E-2</v>
      </c>
      <c r="N92" s="48">
        <f t="shared" si="14"/>
        <v>6</v>
      </c>
      <c r="O92" s="51">
        <f t="shared" ca="1" si="6"/>
        <v>0.72380098692010009</v>
      </c>
      <c r="P92" s="51">
        <f t="shared" ca="1" si="7"/>
        <v>10.332884641800339</v>
      </c>
      <c r="Q92" s="55">
        <f t="shared" ca="1" si="15"/>
        <v>1.1723888054865288</v>
      </c>
    </row>
    <row r="93" spans="1:17" x14ac:dyDescent="0.25">
      <c r="A93" s="48">
        <v>47</v>
      </c>
      <c r="B93" s="48">
        <f t="shared" ca="1" si="1"/>
        <v>0.66100000000000003</v>
      </c>
      <c r="C93" s="49">
        <f t="shared" si="8"/>
        <v>5</v>
      </c>
      <c r="D93" s="51">
        <f t="shared" ca="1" si="2"/>
        <v>8.2800287826090141E-2</v>
      </c>
      <c r="E93" s="51">
        <f t="shared" ca="1" si="9"/>
        <v>9.243296124139901</v>
      </c>
      <c r="F93" s="48">
        <f t="shared" ca="1" si="10"/>
        <v>3</v>
      </c>
      <c r="G93" s="48">
        <f ca="1">COUNTIF($P$47:P103,"&lt;"&amp;E93)</f>
        <v>43</v>
      </c>
      <c r="H93" s="48">
        <f t="shared" ca="1" si="11"/>
        <v>1</v>
      </c>
      <c r="I93" s="48" t="str">
        <f t="shared" ca="1" si="12"/>
        <v>Ocu</v>
      </c>
      <c r="J93" s="52">
        <f t="shared" ca="1" si="3"/>
        <v>4</v>
      </c>
      <c r="K93" s="53">
        <f t="shared" ca="1" si="4"/>
        <v>1.0895885176604381</v>
      </c>
      <c r="L93" s="54">
        <f t="shared" ca="1" si="13"/>
        <v>10.332884641800339</v>
      </c>
      <c r="M93" s="48">
        <f t="shared" ca="1" si="5"/>
        <v>0.26500000000000001</v>
      </c>
      <c r="N93" s="48">
        <f t="shared" si="14"/>
        <v>6</v>
      </c>
      <c r="O93" s="51">
        <f t="shared" ca="1" si="6"/>
        <v>0.22133757549931912</v>
      </c>
      <c r="P93" s="51">
        <f t="shared" ca="1" si="7"/>
        <v>10.554222217299658</v>
      </c>
      <c r="Q93" s="55">
        <f t="shared" ca="1" si="15"/>
        <v>1.3109260931597575</v>
      </c>
    </row>
    <row r="94" spans="1:17" x14ac:dyDescent="0.25">
      <c r="A94" s="48">
        <v>48</v>
      </c>
      <c r="B94" s="48">
        <f t="shared" ca="1" si="1"/>
        <v>0.311</v>
      </c>
      <c r="C94" s="49">
        <f t="shared" si="8"/>
        <v>5</v>
      </c>
      <c r="D94" s="51">
        <f t="shared" ca="1" si="2"/>
        <v>0.23359247336058059</v>
      </c>
      <c r="E94" s="51">
        <f t="shared" ca="1" si="9"/>
        <v>9.4768885975004817</v>
      </c>
      <c r="F94" s="48">
        <f t="shared" ca="1" si="10"/>
        <v>4</v>
      </c>
      <c r="G94" s="48">
        <f ca="1">COUNTIF($P$47:P104,"&lt;"&amp;E94)</f>
        <v>43</v>
      </c>
      <c r="H94" s="48">
        <f t="shared" ca="1" si="11"/>
        <v>0</v>
      </c>
      <c r="I94" s="48" t="str">
        <f t="shared" ca="1" si="12"/>
        <v>Ocu</v>
      </c>
      <c r="J94" s="52">
        <f t="shared" ca="1" si="3"/>
        <v>5</v>
      </c>
      <c r="K94" s="53">
        <f t="shared" ca="1" si="4"/>
        <v>1.0773336197991767</v>
      </c>
      <c r="L94" s="54">
        <f t="shared" ca="1" si="13"/>
        <v>10.554222217299658</v>
      </c>
      <c r="M94" s="48">
        <f t="shared" ca="1" si="5"/>
        <v>0.22600000000000001</v>
      </c>
      <c r="N94" s="48">
        <f t="shared" si="14"/>
        <v>6</v>
      </c>
      <c r="O94" s="51">
        <f t="shared" ca="1" si="6"/>
        <v>0.2478700466183085</v>
      </c>
      <c r="P94" s="51">
        <f t="shared" ca="1" si="7"/>
        <v>10.802092263917967</v>
      </c>
      <c r="Q94" s="55">
        <f t="shared" ca="1" si="15"/>
        <v>1.3252036664174849</v>
      </c>
    </row>
    <row r="95" spans="1:17" x14ac:dyDescent="0.25">
      <c r="A95" s="48">
        <v>49</v>
      </c>
      <c r="B95" s="48">
        <f t="shared" ca="1" si="1"/>
        <v>0.30499999999999999</v>
      </c>
      <c r="C95" s="49">
        <f t="shared" si="8"/>
        <v>5</v>
      </c>
      <c r="D95" s="51">
        <f t="shared" ca="1" si="2"/>
        <v>0.23748870047494508</v>
      </c>
      <c r="E95" s="51">
        <f t="shared" ca="1" si="9"/>
        <v>9.7143772979754264</v>
      </c>
      <c r="F95" s="48">
        <f t="shared" ca="1" si="10"/>
        <v>3</v>
      </c>
      <c r="G95" s="48">
        <f ca="1">COUNTIF($P$47:P105,"&lt;"&amp;E95)</f>
        <v>45</v>
      </c>
      <c r="H95" s="48">
        <f t="shared" ca="1" si="11"/>
        <v>2</v>
      </c>
      <c r="I95" s="48" t="str">
        <f t="shared" ca="1" si="12"/>
        <v>Ocu</v>
      </c>
      <c r="J95" s="52">
        <f t="shared" ca="1" si="3"/>
        <v>4</v>
      </c>
      <c r="K95" s="53">
        <f t="shared" ca="1" si="4"/>
        <v>1.0877149659425402</v>
      </c>
      <c r="L95" s="54">
        <f t="shared" ca="1" si="13"/>
        <v>10.802092263917967</v>
      </c>
      <c r="M95" s="48">
        <f t="shared" ca="1" si="5"/>
        <v>0.61499999999999999</v>
      </c>
      <c r="N95" s="48">
        <f t="shared" si="14"/>
        <v>6</v>
      </c>
      <c r="O95" s="51">
        <f t="shared" ca="1" si="6"/>
        <v>8.1022168529269856E-2</v>
      </c>
      <c r="P95" s="51">
        <f t="shared" ca="1" si="7"/>
        <v>10.883114432447236</v>
      </c>
      <c r="Q95" s="55">
        <f t="shared" ca="1" si="15"/>
        <v>1.1687371344718098</v>
      </c>
    </row>
    <row r="96" spans="1:17" x14ac:dyDescent="0.25">
      <c r="A96" s="48">
        <v>50</v>
      </c>
      <c r="B96" s="48">
        <f t="shared" ca="1" si="1"/>
        <v>0.495</v>
      </c>
      <c r="C96" s="49">
        <f t="shared" si="8"/>
        <v>5</v>
      </c>
      <c r="D96" s="51">
        <f t="shared" ca="1" si="2"/>
        <v>0.14063950328268937</v>
      </c>
      <c r="E96" s="51">
        <f t="shared" ca="1" si="9"/>
        <v>9.855016801258115</v>
      </c>
      <c r="F96" s="48">
        <f t="shared" ca="1" si="10"/>
        <v>4</v>
      </c>
      <c r="G96" s="48">
        <f ca="1">COUNTIF($P$47:P106,"&lt;"&amp;E96)</f>
        <v>45</v>
      </c>
      <c r="H96" s="48">
        <f t="shared" ca="1" si="11"/>
        <v>0</v>
      </c>
      <c r="I96" s="48" t="str">
        <f t="shared" ca="1" si="12"/>
        <v>Ocu</v>
      </c>
      <c r="J96" s="52">
        <f t="shared" ca="1" si="3"/>
        <v>5</v>
      </c>
      <c r="K96" s="53">
        <f t="shared" ca="1" si="4"/>
        <v>1.0280976311891212</v>
      </c>
      <c r="L96" s="54">
        <f t="shared" ca="1" si="13"/>
        <v>10.883114432447236</v>
      </c>
      <c r="M96" s="48">
        <f t="shared" ca="1" si="5"/>
        <v>0.26500000000000001</v>
      </c>
      <c r="N96" s="48">
        <f t="shared" si="14"/>
        <v>6</v>
      </c>
      <c r="O96" s="51">
        <f t="shared" ca="1" si="6"/>
        <v>0.22133757549931912</v>
      </c>
      <c r="P96" s="51">
        <f t="shared" ca="1" si="7"/>
        <v>11.104452007946556</v>
      </c>
      <c r="Q96" s="55">
        <f t="shared" ca="1" si="15"/>
        <v>1.2494352066884407</v>
      </c>
    </row>
    <row r="97" spans="1:17" x14ac:dyDescent="0.25">
      <c r="A97" s="48">
        <v>51</v>
      </c>
      <c r="B97" s="48">
        <f t="shared" ca="1" si="1"/>
        <v>0.188</v>
      </c>
      <c r="C97" s="49">
        <f t="shared" si="8"/>
        <v>5</v>
      </c>
      <c r="D97" s="51">
        <f t="shared" ca="1" si="2"/>
        <v>0.33426266323043757</v>
      </c>
      <c r="E97" s="51">
        <f t="shared" ca="1" si="9"/>
        <v>10.189279464488553</v>
      </c>
      <c r="F97" s="48">
        <f t="shared" ca="1" si="10"/>
        <v>5</v>
      </c>
      <c r="G97" s="48">
        <f ca="1">COUNTIF($P$47:P107,"&lt;"&amp;E97)</f>
        <v>45</v>
      </c>
      <c r="H97" s="48">
        <f t="shared" ca="1" si="11"/>
        <v>0</v>
      </c>
      <c r="I97" s="48" t="str">
        <f t="shared" ca="1" si="12"/>
        <v>Ocu</v>
      </c>
      <c r="J97" s="52">
        <f t="shared" ca="1" si="3"/>
        <v>6</v>
      </c>
      <c r="K97" s="53">
        <f t="shared" ca="1" si="4"/>
        <v>0.91517254345800225</v>
      </c>
      <c r="L97" s="54">
        <f t="shared" ca="1" si="13"/>
        <v>11.104452007946556</v>
      </c>
      <c r="M97" s="48">
        <f t="shared" ca="1" si="5"/>
        <v>0.70399999999999996</v>
      </c>
      <c r="N97" s="48">
        <f t="shared" si="14"/>
        <v>6</v>
      </c>
      <c r="O97" s="51">
        <f t="shared" ca="1" si="6"/>
        <v>5.8496153804015794E-2</v>
      </c>
      <c r="P97" s="51">
        <f t="shared" ca="1" si="7"/>
        <v>11.162948161750572</v>
      </c>
      <c r="Q97" s="55">
        <f t="shared" ca="1" si="15"/>
        <v>0.97366869726201877</v>
      </c>
    </row>
    <row r="98" spans="1:17" x14ac:dyDescent="0.25">
      <c r="A98" s="48">
        <v>52</v>
      </c>
      <c r="B98" s="48">
        <f t="shared" ca="1" si="1"/>
        <v>0.39300000000000002</v>
      </c>
      <c r="C98" s="49">
        <f t="shared" si="8"/>
        <v>5</v>
      </c>
      <c r="D98" s="51">
        <f t="shared" ca="1" si="2"/>
        <v>0.18678913342257519</v>
      </c>
      <c r="E98" s="51">
        <f t="shared" ca="1" si="9"/>
        <v>10.376068597911129</v>
      </c>
      <c r="F98" s="48">
        <f t="shared" ca="1" si="10"/>
        <v>5</v>
      </c>
      <c r="G98" s="48">
        <f ca="1">COUNTIF($P$47:P108,"&lt;"&amp;E98)</f>
        <v>46</v>
      </c>
      <c r="H98" s="48">
        <f t="shared" ca="1" si="11"/>
        <v>1</v>
      </c>
      <c r="I98" s="48" t="str">
        <f t="shared" ca="1" si="12"/>
        <v>Ocu</v>
      </c>
      <c r="J98" s="52">
        <f t="shared" ca="1" si="3"/>
        <v>6</v>
      </c>
      <c r="K98" s="53">
        <f t="shared" ca="1" si="4"/>
        <v>0.78687956383944346</v>
      </c>
      <c r="L98" s="54">
        <f t="shared" ca="1" si="13"/>
        <v>11.162948161750572</v>
      </c>
      <c r="M98" s="48">
        <f t="shared" ca="1" si="5"/>
        <v>0.88300000000000001</v>
      </c>
      <c r="N98" s="48">
        <f t="shared" si="14"/>
        <v>6</v>
      </c>
      <c r="O98" s="51">
        <f t="shared" ca="1" si="6"/>
        <v>2.0738346396362843E-2</v>
      </c>
      <c r="P98" s="51">
        <f t="shared" ca="1" si="7"/>
        <v>11.183686508146934</v>
      </c>
      <c r="Q98" s="55">
        <f t="shared" ca="1" si="15"/>
        <v>0.80761791023580543</v>
      </c>
    </row>
    <row r="99" spans="1:17" x14ac:dyDescent="0.25">
      <c r="A99" s="48">
        <v>53</v>
      </c>
      <c r="B99" s="48">
        <f t="shared" ca="1" si="1"/>
        <v>0.92600000000000005</v>
      </c>
      <c r="C99" s="49">
        <f t="shared" si="8"/>
        <v>5</v>
      </c>
      <c r="D99" s="51">
        <f t="shared" ca="1" si="2"/>
        <v>1.5376208867191519E-2</v>
      </c>
      <c r="E99" s="51">
        <f t="shared" ca="1" si="9"/>
        <v>10.39144480677832</v>
      </c>
      <c r="F99" s="48">
        <f t="shared" ca="1" si="10"/>
        <v>6</v>
      </c>
      <c r="G99" s="48">
        <f ca="1">COUNTIF($P$47:P109,"&lt;"&amp;E99)</f>
        <v>46</v>
      </c>
      <c r="H99" s="48">
        <f t="shared" ca="1" si="11"/>
        <v>0</v>
      </c>
      <c r="I99" s="48" t="str">
        <f t="shared" ca="1" si="12"/>
        <v>Ocu</v>
      </c>
      <c r="J99" s="52">
        <f t="shared" ca="1" si="3"/>
        <v>7</v>
      </c>
      <c r="K99" s="53">
        <f t="shared" ca="1" si="4"/>
        <v>0.7922417013686136</v>
      </c>
      <c r="L99" s="54">
        <f t="shared" ca="1" si="13"/>
        <v>11.183686508146934</v>
      </c>
      <c r="M99" s="48">
        <f t="shared" ca="1" si="5"/>
        <v>0.94</v>
      </c>
      <c r="N99" s="48">
        <f t="shared" si="14"/>
        <v>6</v>
      </c>
      <c r="O99" s="51">
        <f t="shared" ca="1" si="6"/>
        <v>1.0312567286347909E-2</v>
      </c>
      <c r="P99" s="51">
        <f t="shared" ca="1" si="7"/>
        <v>11.193999075433283</v>
      </c>
      <c r="Q99" s="55">
        <f t="shared" ca="1" si="15"/>
        <v>0.80255426865496204</v>
      </c>
    </row>
    <row r="100" spans="1:17" x14ac:dyDescent="0.25">
      <c r="A100" s="48">
        <v>54</v>
      </c>
      <c r="B100" s="48">
        <f t="shared" ca="1" si="1"/>
        <v>0.16300000000000001</v>
      </c>
      <c r="C100" s="49">
        <f t="shared" si="8"/>
        <v>5</v>
      </c>
      <c r="D100" s="51">
        <f t="shared" ca="1" si="2"/>
        <v>0.36280101563507494</v>
      </c>
      <c r="E100" s="51">
        <f t="shared" ca="1" si="9"/>
        <v>10.754245822413395</v>
      </c>
      <c r="F100" s="48">
        <f t="shared" ca="1" si="10"/>
        <v>6</v>
      </c>
      <c r="G100" s="48">
        <f ca="1">COUNTIF($P$47:P110,"&lt;"&amp;E100)</f>
        <v>47</v>
      </c>
      <c r="H100" s="48">
        <f t="shared" ca="1" si="11"/>
        <v>1</v>
      </c>
      <c r="I100" s="48" t="str">
        <f t="shared" ca="1" si="12"/>
        <v>Ocu</v>
      </c>
      <c r="J100" s="52">
        <f t="shared" ca="1" si="3"/>
        <v>7</v>
      </c>
      <c r="K100" s="53">
        <f t="shared" ca="1" si="4"/>
        <v>0.43975325301988732</v>
      </c>
      <c r="L100" s="54">
        <f t="shared" ca="1" si="13"/>
        <v>11.193999075433283</v>
      </c>
      <c r="M100" s="48">
        <f t="shared" ca="1" si="5"/>
        <v>0.156</v>
      </c>
      <c r="N100" s="48">
        <f t="shared" si="14"/>
        <v>6</v>
      </c>
      <c r="O100" s="51">
        <f t="shared" ca="1" si="6"/>
        <v>0.30964987862210003</v>
      </c>
      <c r="P100" s="51">
        <f t="shared" ca="1" si="7"/>
        <v>11.503648954055382</v>
      </c>
      <c r="Q100" s="55">
        <f t="shared" ca="1" si="15"/>
        <v>0.74940313164198713</v>
      </c>
    </row>
    <row r="101" spans="1:17" x14ac:dyDescent="0.25">
      <c r="A101" s="48">
        <v>55</v>
      </c>
      <c r="B101" s="48">
        <f t="shared" ca="1" si="1"/>
        <v>0.56599999999999995</v>
      </c>
      <c r="C101" s="49">
        <f t="shared" si="8"/>
        <v>5</v>
      </c>
      <c r="D101" s="51">
        <f t="shared" ca="1" si="2"/>
        <v>0.11383224015579084</v>
      </c>
      <c r="E101" s="51">
        <f t="shared" ca="1" si="9"/>
        <v>10.868078062569186</v>
      </c>
      <c r="F101" s="48">
        <f t="shared" ca="1" si="10"/>
        <v>6</v>
      </c>
      <c r="G101" s="48">
        <f ca="1">COUNTIF($P$47:P111,"&lt;"&amp;E101)</f>
        <v>48</v>
      </c>
      <c r="H101" s="48">
        <f t="shared" ca="1" si="11"/>
        <v>1</v>
      </c>
      <c r="I101" s="48" t="str">
        <f t="shared" ca="1" si="12"/>
        <v>Ocu</v>
      </c>
      <c r="J101" s="52">
        <f t="shared" ca="1" si="3"/>
        <v>7</v>
      </c>
      <c r="K101" s="53">
        <f t="shared" ca="1" si="4"/>
        <v>0.63557089148619639</v>
      </c>
      <c r="L101" s="54">
        <f t="shared" ca="1" si="13"/>
        <v>11.503648954055382</v>
      </c>
      <c r="M101" s="48">
        <f t="shared" ca="1" si="5"/>
        <v>0.51</v>
      </c>
      <c r="N101" s="48">
        <f t="shared" si="14"/>
        <v>6</v>
      </c>
      <c r="O101" s="51">
        <f t="shared" ca="1" si="6"/>
        <v>0.11222409221062758</v>
      </c>
      <c r="P101" s="51">
        <f t="shared" ca="1" si="7"/>
        <v>11.61587304626601</v>
      </c>
      <c r="Q101" s="55">
        <f t="shared" ca="1" si="15"/>
        <v>0.74779498369682429</v>
      </c>
    </row>
    <row r="102" spans="1:17" x14ac:dyDescent="0.25">
      <c r="A102" s="48">
        <v>56</v>
      </c>
      <c r="B102" s="48">
        <f t="shared" ca="1" si="1"/>
        <v>0.31</v>
      </c>
      <c r="C102" s="49">
        <f t="shared" si="8"/>
        <v>5</v>
      </c>
      <c r="D102" s="51">
        <f t="shared" ca="1" si="2"/>
        <v>0.23423659630058907</v>
      </c>
      <c r="E102" s="51">
        <f t="shared" ca="1" si="9"/>
        <v>11.102314658869775</v>
      </c>
      <c r="F102" s="48">
        <f t="shared" ca="1" si="10"/>
        <v>6</v>
      </c>
      <c r="G102" s="48">
        <f ca="1">COUNTIF($P$47:P112,"&lt;"&amp;E102)</f>
        <v>49</v>
      </c>
      <c r="H102" s="48">
        <f t="shared" ca="1" si="11"/>
        <v>1</v>
      </c>
      <c r="I102" s="48" t="str">
        <f t="shared" ca="1" si="12"/>
        <v>Ocu</v>
      </c>
      <c r="J102" s="52">
        <f t="shared" ca="1" si="3"/>
        <v>7</v>
      </c>
      <c r="K102" s="53">
        <f t="shared" ca="1" si="4"/>
        <v>0.51355838739623572</v>
      </c>
      <c r="L102" s="54">
        <f t="shared" ca="1" si="13"/>
        <v>11.61587304626601</v>
      </c>
      <c r="M102" s="48">
        <f t="shared" ca="1" si="5"/>
        <v>0.95899999999999996</v>
      </c>
      <c r="N102" s="48">
        <f t="shared" si="14"/>
        <v>6</v>
      </c>
      <c r="O102" s="51">
        <f t="shared" ca="1" si="6"/>
        <v>6.9773673497831486E-3</v>
      </c>
      <c r="P102" s="51">
        <f t="shared" ca="1" si="7"/>
        <v>11.622850413615794</v>
      </c>
      <c r="Q102" s="55">
        <f t="shared" ca="1" si="15"/>
        <v>0.52053575474601921</v>
      </c>
    </row>
    <row r="103" spans="1:17" x14ac:dyDescent="0.25">
      <c r="A103" s="48">
        <v>57</v>
      </c>
      <c r="B103" s="48">
        <f t="shared" ca="1" si="1"/>
        <v>0.104</v>
      </c>
      <c r="C103" s="49">
        <f t="shared" si="8"/>
        <v>5</v>
      </c>
      <c r="D103" s="51">
        <f t="shared" ca="1" si="2"/>
        <v>0.45267287596815287</v>
      </c>
      <c r="E103" s="51">
        <f t="shared" ca="1" si="9"/>
        <v>11.554987534837927</v>
      </c>
      <c r="F103" s="48">
        <f t="shared" ca="1" si="10"/>
        <v>2</v>
      </c>
      <c r="G103" s="48">
        <f ca="1">COUNTIF($P$47:P113,"&lt;"&amp;E103)</f>
        <v>54</v>
      </c>
      <c r="H103" s="48">
        <f t="shared" ca="1" si="11"/>
        <v>5</v>
      </c>
      <c r="I103" s="48" t="str">
        <f t="shared" ca="1" si="12"/>
        <v>Ocu</v>
      </c>
      <c r="J103" s="52">
        <f t="shared" ca="1" si="3"/>
        <v>3</v>
      </c>
      <c r="K103" s="53">
        <f t="shared" ca="1" si="4"/>
        <v>6.7862878777866342E-2</v>
      </c>
      <c r="L103" s="54">
        <f t="shared" ca="1" si="13"/>
        <v>11.622850413615794</v>
      </c>
      <c r="M103" s="48">
        <f t="shared" ca="1" si="5"/>
        <v>0.18</v>
      </c>
      <c r="N103" s="48">
        <f t="shared" si="14"/>
        <v>6</v>
      </c>
      <c r="O103" s="51">
        <f t="shared" ca="1" si="6"/>
        <v>0.2857997380153211</v>
      </c>
      <c r="P103" s="51">
        <f t="shared" ca="1" si="7"/>
        <v>11.908650151631115</v>
      </c>
      <c r="Q103" s="55">
        <f t="shared" ca="1" si="15"/>
        <v>0.35366261679318711</v>
      </c>
    </row>
    <row r="104" spans="1:17" x14ac:dyDescent="0.25">
      <c r="A104" s="48">
        <v>58</v>
      </c>
      <c r="B104" s="48">
        <f t="shared" ca="1" si="1"/>
        <v>0.36899999999999999</v>
      </c>
      <c r="C104" s="49">
        <f t="shared" si="8"/>
        <v>5</v>
      </c>
      <c r="D104" s="51">
        <f t="shared" ca="1" si="2"/>
        <v>0.19939172698832197</v>
      </c>
      <c r="E104" s="51">
        <f t="shared" ca="1" si="9"/>
        <v>11.75437926182625</v>
      </c>
      <c r="F104" s="48">
        <f t="shared" ca="1" si="10"/>
        <v>1</v>
      </c>
      <c r="G104" s="48">
        <f ca="1">COUNTIF($P$47:P114,"&lt;"&amp;E104)</f>
        <v>56</v>
      </c>
      <c r="H104" s="48">
        <f t="shared" ca="1" si="11"/>
        <v>2</v>
      </c>
      <c r="I104" s="48" t="str">
        <f t="shared" ca="1" si="12"/>
        <v>Ocu</v>
      </c>
      <c r="J104" s="52">
        <f t="shared" ca="1" si="3"/>
        <v>2</v>
      </c>
      <c r="K104" s="53">
        <f t="shared" ca="1" si="4"/>
        <v>0.15427088980486481</v>
      </c>
      <c r="L104" s="54">
        <f t="shared" ca="1" si="13"/>
        <v>11.908650151631115</v>
      </c>
      <c r="M104" s="48">
        <f t="shared" ca="1" si="5"/>
        <v>0.68600000000000005</v>
      </c>
      <c r="N104" s="48">
        <f t="shared" si="14"/>
        <v>6</v>
      </c>
      <c r="O104" s="51">
        <f t="shared" ca="1" si="6"/>
        <v>6.2812941876041958E-2</v>
      </c>
      <c r="P104" s="51">
        <f t="shared" ca="1" si="7"/>
        <v>11.971463093507156</v>
      </c>
      <c r="Q104" s="55">
        <f t="shared" ca="1" si="15"/>
        <v>0.21708383168090606</v>
      </c>
    </row>
    <row r="105" spans="1:17" x14ac:dyDescent="0.25">
      <c r="A105" s="48">
        <v>59</v>
      </c>
      <c r="B105" s="48">
        <f t="shared" ca="1" si="1"/>
        <v>5.0000000000000001E-3</v>
      </c>
      <c r="C105" s="49">
        <f t="shared" si="8"/>
        <v>5</v>
      </c>
      <c r="D105" s="51">
        <f t="shared" ca="1" si="2"/>
        <v>1.0596634733096073</v>
      </c>
      <c r="E105" s="51">
        <f t="shared" ca="1" si="9"/>
        <v>12.814042735135857</v>
      </c>
      <c r="F105" s="48">
        <f t="shared" ca="1" si="10"/>
        <v>0</v>
      </c>
      <c r="G105" s="48">
        <f ca="1">COUNTIF($P$47:P115,"&lt;"&amp;E105)</f>
        <v>58</v>
      </c>
      <c r="H105" s="48">
        <f t="shared" ca="1" si="11"/>
        <v>2</v>
      </c>
      <c r="I105" s="48" t="str">
        <f t="shared" ca="1" si="12"/>
        <v>Des</v>
      </c>
      <c r="J105" s="52">
        <f t="shared" ca="1" si="3"/>
        <v>1</v>
      </c>
      <c r="K105" s="53">
        <f t="shared" ca="1" si="4"/>
        <v>0</v>
      </c>
      <c r="L105" s="54">
        <f t="shared" ca="1" si="13"/>
        <v>12.814042735135857</v>
      </c>
      <c r="M105" s="48">
        <f t="shared" ca="1" si="5"/>
        <v>0.80400000000000005</v>
      </c>
      <c r="N105" s="48">
        <f t="shared" si="14"/>
        <v>6</v>
      </c>
      <c r="O105" s="51">
        <f t="shared" ca="1" si="6"/>
        <v>3.6359334967195095E-2</v>
      </c>
      <c r="P105" s="51">
        <f t="shared" ca="1" si="7"/>
        <v>12.850402070103051</v>
      </c>
      <c r="Q105" s="55">
        <f t="shared" ca="1" si="15"/>
        <v>3.6359334967194457E-2</v>
      </c>
    </row>
    <row r="106" spans="1:17" x14ac:dyDescent="0.25">
      <c r="A106" s="48">
        <v>60</v>
      </c>
      <c r="B106" s="48">
        <f t="shared" ca="1" si="1"/>
        <v>0.60799999999999998</v>
      </c>
      <c r="C106" s="49">
        <f t="shared" si="8"/>
        <v>5</v>
      </c>
      <c r="D106" s="51">
        <f t="shared" ca="1" si="2"/>
        <v>9.9516079403194027E-2</v>
      </c>
      <c r="E106" s="51">
        <f t="shared" ca="1" si="9"/>
        <v>12.913558814539051</v>
      </c>
      <c r="F106" s="48">
        <f t="shared" ca="1" si="10"/>
        <v>0</v>
      </c>
      <c r="G106" s="48">
        <f ca="1">COUNTIF($P$47:P116,"&lt;"&amp;E106)</f>
        <v>59</v>
      </c>
      <c r="H106" s="48">
        <f t="shared" ca="1" si="11"/>
        <v>1</v>
      </c>
      <c r="I106" s="48" t="str">
        <f t="shared" ca="1" si="12"/>
        <v>Des</v>
      </c>
      <c r="J106" s="52">
        <f t="shared" ca="1" si="3"/>
        <v>1</v>
      </c>
      <c r="K106" s="53">
        <f t="shared" ca="1" si="4"/>
        <v>0</v>
      </c>
      <c r="L106" s="54">
        <f t="shared" ca="1" si="13"/>
        <v>12.913558814539051</v>
      </c>
      <c r="M106" s="48">
        <f t="shared" ca="1" si="5"/>
        <v>0.215</v>
      </c>
      <c r="N106" s="48">
        <f t="shared" si="14"/>
        <v>6</v>
      </c>
      <c r="O106" s="51">
        <f t="shared" ca="1" si="6"/>
        <v>0.25618620847574569</v>
      </c>
      <c r="P106" s="51">
        <f t="shared" ca="1" si="7"/>
        <v>13.169745023014798</v>
      </c>
      <c r="Q106" s="55">
        <f t="shared" ca="1" si="15"/>
        <v>0.25618620847574647</v>
      </c>
    </row>
    <row r="107" spans="1:17" x14ac:dyDescent="0.25">
      <c r="A107" s="48">
        <v>61</v>
      </c>
      <c r="B107" s="48">
        <f t="shared" ca="1" si="1"/>
        <v>0.52100000000000002</v>
      </c>
      <c r="C107" s="49">
        <f t="shared" si="8"/>
        <v>5</v>
      </c>
      <c r="D107" s="51">
        <f t="shared" ca="1" si="2"/>
        <v>0.13040104744575404</v>
      </c>
      <c r="E107" s="51">
        <f t="shared" ca="1" si="9"/>
        <v>13.043959861984806</v>
      </c>
      <c r="F107" s="48">
        <f t="shared" ca="1" si="10"/>
        <v>1</v>
      </c>
      <c r="G107" s="48">
        <f ca="1">COUNTIF($P$47:P117,"&lt;"&amp;E107)</f>
        <v>59</v>
      </c>
      <c r="H107" s="48">
        <f t="shared" ca="1" si="11"/>
        <v>0</v>
      </c>
      <c r="I107" s="48" t="str">
        <f t="shared" ca="1" si="12"/>
        <v>Ocu</v>
      </c>
      <c r="J107" s="52">
        <f t="shared" ca="1" si="3"/>
        <v>2</v>
      </c>
      <c r="K107" s="53">
        <f t="shared" ca="1" si="4"/>
        <v>0.1257851610299916</v>
      </c>
      <c r="L107" s="54">
        <f t="shared" ca="1" si="13"/>
        <v>13.169745023014798</v>
      </c>
      <c r="M107" s="48">
        <f t="shared" ca="1" si="5"/>
        <v>0.46</v>
      </c>
      <c r="N107" s="48">
        <f t="shared" si="14"/>
        <v>6</v>
      </c>
      <c r="O107" s="51">
        <f t="shared" ca="1" si="6"/>
        <v>0.12942146491649936</v>
      </c>
      <c r="P107" s="51">
        <f t="shared" ca="1" si="7"/>
        <v>13.299166487931297</v>
      </c>
      <c r="Q107" s="55">
        <f t="shared" ca="1" si="15"/>
        <v>0.25520662594649046</v>
      </c>
    </row>
    <row r="108" spans="1:17" x14ac:dyDescent="0.25">
      <c r="A108" s="48">
        <v>62</v>
      </c>
      <c r="B108" s="48">
        <f t="shared" ca="1" si="1"/>
        <v>7.6999999999999999E-2</v>
      </c>
      <c r="C108" s="49">
        <f t="shared" si="8"/>
        <v>5</v>
      </c>
      <c r="D108" s="51">
        <f t="shared" ca="1" si="2"/>
        <v>0.5127899714256906</v>
      </c>
      <c r="E108" s="51">
        <f t="shared" ca="1" si="9"/>
        <v>13.556749833410496</v>
      </c>
      <c r="F108" s="48">
        <f t="shared" ca="1" si="10"/>
        <v>0</v>
      </c>
      <c r="G108" s="48">
        <f ca="1">COUNTIF($P$47:P118,"&lt;"&amp;E108)</f>
        <v>61</v>
      </c>
      <c r="H108" s="48">
        <f t="shared" ca="1" si="11"/>
        <v>2</v>
      </c>
      <c r="I108" s="48" t="str">
        <f t="shared" ca="1" si="12"/>
        <v>Des</v>
      </c>
      <c r="J108" s="52">
        <f t="shared" ca="1" si="3"/>
        <v>1</v>
      </c>
      <c r="K108" s="53">
        <f t="shared" ca="1" si="4"/>
        <v>0</v>
      </c>
      <c r="L108" s="54">
        <f t="shared" ca="1" si="13"/>
        <v>13.556749833410496</v>
      </c>
      <c r="M108" s="48">
        <f t="shared" ca="1" si="5"/>
        <v>0.185</v>
      </c>
      <c r="N108" s="48">
        <f t="shared" si="14"/>
        <v>6</v>
      </c>
      <c r="O108" s="51">
        <f t="shared" ca="1" si="6"/>
        <v>0.28123324231730201</v>
      </c>
      <c r="P108" s="51">
        <f t="shared" ca="1" si="7"/>
        <v>13.837983075727799</v>
      </c>
      <c r="Q108" s="55">
        <f t="shared" ca="1" si="15"/>
        <v>0.28123324231730251</v>
      </c>
    </row>
    <row r="109" spans="1:17" x14ac:dyDescent="0.25">
      <c r="A109" s="48">
        <v>63</v>
      </c>
      <c r="B109" s="48">
        <f t="shared" ca="1" si="1"/>
        <v>0.32600000000000001</v>
      </c>
      <c r="C109" s="49">
        <f t="shared" si="8"/>
        <v>5</v>
      </c>
      <c r="D109" s="51">
        <f t="shared" ca="1" si="2"/>
        <v>0.22417157952308592</v>
      </c>
      <c r="E109" s="51">
        <f t="shared" ca="1" si="9"/>
        <v>13.780921412933582</v>
      </c>
      <c r="F109" s="48">
        <f t="shared" ca="1" si="10"/>
        <v>1</v>
      </c>
      <c r="G109" s="48">
        <f ca="1">COUNTIF($P$47:P119,"&lt;"&amp;E109)</f>
        <v>61</v>
      </c>
      <c r="H109" s="48">
        <f t="shared" ca="1" si="11"/>
        <v>0</v>
      </c>
      <c r="I109" s="48" t="str">
        <f t="shared" ca="1" si="12"/>
        <v>Ocu</v>
      </c>
      <c r="J109" s="52">
        <f t="shared" ca="1" si="3"/>
        <v>2</v>
      </c>
      <c r="K109" s="53">
        <f t="shared" ca="1" si="4"/>
        <v>5.7061662794216872E-2</v>
      </c>
      <c r="L109" s="54">
        <f t="shared" ca="1" si="13"/>
        <v>13.837983075727799</v>
      </c>
      <c r="M109" s="48">
        <f t="shared" ca="1" si="5"/>
        <v>0.18</v>
      </c>
      <c r="N109" s="48">
        <f t="shared" si="14"/>
        <v>6</v>
      </c>
      <c r="O109" s="51">
        <f t="shared" ca="1" si="6"/>
        <v>0.2857997380153211</v>
      </c>
      <c r="P109" s="51">
        <f t="shared" ca="1" si="7"/>
        <v>14.123782813743119</v>
      </c>
      <c r="Q109" s="55">
        <f t="shared" ca="1" si="15"/>
        <v>0.34286140080953764</v>
      </c>
    </row>
    <row r="110" spans="1:17" x14ac:dyDescent="0.25">
      <c r="A110" s="48">
        <v>64</v>
      </c>
      <c r="B110" s="48">
        <f t="shared" ca="1" si="1"/>
        <v>0.105</v>
      </c>
      <c r="C110" s="49">
        <f t="shared" si="8"/>
        <v>5</v>
      </c>
      <c r="D110" s="51">
        <f t="shared" ca="1" si="2"/>
        <v>0.45075898576492279</v>
      </c>
      <c r="E110" s="51">
        <f t="shared" ca="1" si="9"/>
        <v>14.231680398698504</v>
      </c>
      <c r="F110" s="48">
        <f t="shared" ca="1" si="10"/>
        <v>0</v>
      </c>
      <c r="G110" s="48">
        <f ca="1">COUNTIF($P$47:P120,"&lt;"&amp;E110)</f>
        <v>63</v>
      </c>
      <c r="H110" s="48">
        <f t="shared" ca="1" si="11"/>
        <v>2</v>
      </c>
      <c r="I110" s="48" t="str">
        <f t="shared" ca="1" si="12"/>
        <v>Des</v>
      </c>
      <c r="J110" s="52">
        <f t="shared" ca="1" si="3"/>
        <v>1</v>
      </c>
      <c r="K110" s="53">
        <f t="shared" ca="1" si="4"/>
        <v>0</v>
      </c>
      <c r="L110" s="54">
        <f t="shared" ca="1" si="13"/>
        <v>14.231680398698504</v>
      </c>
      <c r="M110" s="48">
        <f t="shared" ca="1" si="5"/>
        <v>0.64600000000000002</v>
      </c>
      <c r="N110" s="48">
        <f t="shared" si="14"/>
        <v>6</v>
      </c>
      <c r="O110" s="51">
        <f t="shared" ca="1" si="6"/>
        <v>7.282596253325585E-2</v>
      </c>
      <c r="P110" s="51">
        <f t="shared" ca="1" si="7"/>
        <v>14.304506361231761</v>
      </c>
      <c r="Q110" s="55">
        <f t="shared" ca="1" si="15"/>
        <v>7.2825962533256572E-2</v>
      </c>
    </row>
    <row r="111" spans="1:17" x14ac:dyDescent="0.25">
      <c r="A111" s="48">
        <v>65</v>
      </c>
      <c r="B111" s="48">
        <f t="shared" ca="1" si="1"/>
        <v>0.70299999999999996</v>
      </c>
      <c r="C111" s="49">
        <f t="shared" si="8"/>
        <v>5</v>
      </c>
      <c r="D111" s="51">
        <f t="shared" ca="1" si="2"/>
        <v>7.0479677434294452E-2</v>
      </c>
      <c r="E111" s="51">
        <f t="shared" ca="1" si="9"/>
        <v>14.302160076132798</v>
      </c>
      <c r="F111" s="48">
        <f t="shared" ca="1" si="10"/>
        <v>1</v>
      </c>
      <c r="G111" s="48">
        <f ca="1">COUNTIF($P$47:P121,"&lt;"&amp;E111)</f>
        <v>63</v>
      </c>
      <c r="H111" s="48">
        <f t="shared" ca="1" si="11"/>
        <v>0</v>
      </c>
      <c r="I111" s="48" t="str">
        <f t="shared" ca="1" si="12"/>
        <v>Ocu</v>
      </c>
      <c r="J111" s="52">
        <f t="shared" ca="1" si="3"/>
        <v>2</v>
      </c>
      <c r="K111" s="53">
        <f t="shared" ref="K111:K174" ca="1" si="16">L111-E111</f>
        <v>2.3462850989623973E-3</v>
      </c>
      <c r="L111" s="54">
        <f t="shared" ca="1" si="13"/>
        <v>14.304506361231761</v>
      </c>
      <c r="M111" s="48">
        <f t="shared" ca="1" si="5"/>
        <v>1.0999999999999999E-2</v>
      </c>
      <c r="N111" s="48">
        <f t="shared" si="14"/>
        <v>6</v>
      </c>
      <c r="O111" s="51">
        <f t="shared" ca="1" si="6"/>
        <v>0.75164333436396114</v>
      </c>
      <c r="P111" s="51">
        <f t="shared" ca="1" si="7"/>
        <v>15.056149695595723</v>
      </c>
      <c r="Q111" s="55">
        <f t="shared" ca="1" si="15"/>
        <v>0.75398961946292431</v>
      </c>
    </row>
    <row r="112" spans="1:17" x14ac:dyDescent="0.25">
      <c r="A112" s="48">
        <v>66</v>
      </c>
      <c r="B112" s="48">
        <f t="shared" ref="B112:B175" ca="1" si="17">RANDBETWEEN(1,1000)/1000</f>
        <v>0.85099999999999998</v>
      </c>
      <c r="C112" s="49">
        <f t="shared" si="8"/>
        <v>5</v>
      </c>
      <c r="D112" s="51">
        <f t="shared" ref="D112:D175" ca="1" si="18">(1/C112)*(LN(1/B112))</f>
        <v>3.2268630081752576E-2</v>
      </c>
      <c r="E112" s="51">
        <f t="shared" ca="1" si="9"/>
        <v>14.334428706214551</v>
      </c>
      <c r="F112" s="48">
        <f t="shared" ca="1" si="10"/>
        <v>1</v>
      </c>
      <c r="G112" s="48">
        <f ca="1">COUNTIF($P$47:P122,"&lt;"&amp;E112)</f>
        <v>64</v>
      </c>
      <c r="H112" s="48">
        <f t="shared" ca="1" si="11"/>
        <v>1</v>
      </c>
      <c r="I112" s="48" t="str">
        <f t="shared" ca="1" si="12"/>
        <v>Ocu</v>
      </c>
      <c r="J112" s="52">
        <f t="shared" ref="J112:J175" ca="1" si="19">IF(I112="Des",1,IF(I112="Ocu",1+F112))</f>
        <v>2</v>
      </c>
      <c r="K112" s="53">
        <f t="shared" ca="1" si="16"/>
        <v>0.72172098938117202</v>
      </c>
      <c r="L112" s="54">
        <f t="shared" ca="1" si="13"/>
        <v>15.056149695595723</v>
      </c>
      <c r="M112" s="48">
        <f t="shared" ref="M112:M175" ca="1" si="20">RANDBETWEEN(1,1000)/1000</f>
        <v>0.93700000000000006</v>
      </c>
      <c r="N112" s="48">
        <f t="shared" si="14"/>
        <v>6</v>
      </c>
      <c r="O112" s="51">
        <f t="shared" ref="O112:O175" ca="1" si="21">(1/N112)*(LN(1/M112))</f>
        <v>1.0845332790619132E-2</v>
      </c>
      <c r="P112" s="51">
        <f t="shared" ref="P112:P175" ca="1" si="22">+L112+O112</f>
        <v>15.066995028386343</v>
      </c>
      <c r="Q112" s="55">
        <f t="shared" ca="1" si="15"/>
        <v>0.73256632217179174</v>
      </c>
    </row>
    <row r="113" spans="1:17" x14ac:dyDescent="0.25">
      <c r="A113" s="48">
        <v>67</v>
      </c>
      <c r="B113" s="48">
        <f t="shared" ca="1" si="17"/>
        <v>0.69899999999999995</v>
      </c>
      <c r="C113" s="49">
        <f t="shared" ref="C113:C176" si="23">+C112</f>
        <v>5</v>
      </c>
      <c r="D113" s="51">
        <f t="shared" ca="1" si="18"/>
        <v>7.1620907349665391E-2</v>
      </c>
      <c r="E113" s="51">
        <f t="shared" ref="E113:E176" ca="1" si="24">+D113+E112</f>
        <v>14.406049613564216</v>
      </c>
      <c r="F113" s="48">
        <f t="shared" ref="F113:F176" ca="1" si="25">+F112+1-(G113-G112)</f>
        <v>2</v>
      </c>
      <c r="G113" s="48">
        <f ca="1">COUNTIF($P$47:P123,"&lt;"&amp;E113)</f>
        <v>64</v>
      </c>
      <c r="H113" s="48">
        <f t="shared" ref="H113:H176" ca="1" si="26">+G113-G112</f>
        <v>0</v>
      </c>
      <c r="I113" s="48" t="str">
        <f t="shared" ref="I113:I176" ca="1" si="27">IF(E113&lt;P112,"Ocu","Des")</f>
        <v>Ocu</v>
      </c>
      <c r="J113" s="52">
        <f t="shared" ca="1" si="19"/>
        <v>3</v>
      </c>
      <c r="K113" s="53">
        <f t="shared" ca="1" si="16"/>
        <v>0.66094541482212676</v>
      </c>
      <c r="L113" s="54">
        <f t="shared" ref="L113:L176" ca="1" si="28">IF(I113="Des",E113,P112)</f>
        <v>15.066995028386343</v>
      </c>
      <c r="M113" s="48">
        <f t="shared" ca="1" si="20"/>
        <v>6.9000000000000006E-2</v>
      </c>
      <c r="N113" s="48">
        <f t="shared" ref="N113:N176" si="29">+N112</f>
        <v>6</v>
      </c>
      <c r="O113" s="51">
        <f t="shared" ca="1" si="21"/>
        <v>0.44560812906414626</v>
      </c>
      <c r="P113" s="51">
        <f t="shared" ca="1" si="22"/>
        <v>15.512603157450489</v>
      </c>
      <c r="Q113" s="55">
        <f t="shared" ca="1" si="15"/>
        <v>1.1065535438862728</v>
      </c>
    </row>
    <row r="114" spans="1:17" x14ac:dyDescent="0.25">
      <c r="A114" s="48">
        <v>68</v>
      </c>
      <c r="B114" s="48">
        <f t="shared" ca="1" si="17"/>
        <v>0.432</v>
      </c>
      <c r="C114" s="49">
        <f t="shared" si="23"/>
        <v>5</v>
      </c>
      <c r="D114" s="51">
        <f t="shared" ca="1" si="18"/>
        <v>0.16786593814760536</v>
      </c>
      <c r="E114" s="51">
        <f t="shared" ca="1" si="24"/>
        <v>14.573915551711821</v>
      </c>
      <c r="F114" s="48">
        <f t="shared" ca="1" si="25"/>
        <v>3</v>
      </c>
      <c r="G114" s="48">
        <f ca="1">COUNTIF($P$47:P124,"&lt;"&amp;E114)</f>
        <v>64</v>
      </c>
      <c r="H114" s="48">
        <f t="shared" ca="1" si="26"/>
        <v>0</v>
      </c>
      <c r="I114" s="48" t="str">
        <f t="shared" ca="1" si="27"/>
        <v>Ocu</v>
      </c>
      <c r="J114" s="52">
        <f t="shared" ca="1" si="19"/>
        <v>4</v>
      </c>
      <c r="K114" s="53">
        <f t="shared" ca="1" si="16"/>
        <v>0.93868760573866794</v>
      </c>
      <c r="L114" s="54">
        <f t="shared" ca="1" si="28"/>
        <v>15.512603157450489</v>
      </c>
      <c r="M114" s="48">
        <f t="shared" ca="1" si="20"/>
        <v>0.122</v>
      </c>
      <c r="N114" s="48">
        <f t="shared" si="29"/>
        <v>6</v>
      </c>
      <c r="O114" s="51">
        <f t="shared" ca="1" si="21"/>
        <v>0.35062237237481342</v>
      </c>
      <c r="P114" s="51">
        <f t="shared" ca="1" si="22"/>
        <v>15.863225529825302</v>
      </c>
      <c r="Q114" s="55">
        <f t="shared" ref="Q114:Q177" ca="1" si="30">P114-E114</f>
        <v>1.2893099781134811</v>
      </c>
    </row>
    <row r="115" spans="1:17" x14ac:dyDescent="0.25">
      <c r="A115" s="48">
        <v>69</v>
      </c>
      <c r="B115" s="48">
        <f t="shared" ca="1" si="17"/>
        <v>0.45800000000000002</v>
      </c>
      <c r="C115" s="49">
        <f t="shared" si="23"/>
        <v>5</v>
      </c>
      <c r="D115" s="51">
        <f t="shared" ca="1" si="18"/>
        <v>0.15617721897359041</v>
      </c>
      <c r="E115" s="51">
        <f t="shared" ca="1" si="24"/>
        <v>14.730092770685411</v>
      </c>
      <c r="F115" s="48">
        <f t="shared" ca="1" si="25"/>
        <v>4</v>
      </c>
      <c r="G115" s="48">
        <f ca="1">COUNTIF($P$47:P125,"&lt;"&amp;E115)</f>
        <v>64</v>
      </c>
      <c r="H115" s="48">
        <f t="shared" ca="1" si="26"/>
        <v>0</v>
      </c>
      <c r="I115" s="48" t="str">
        <f t="shared" ca="1" si="27"/>
        <v>Ocu</v>
      </c>
      <c r="J115" s="52">
        <f t="shared" ca="1" si="19"/>
        <v>5</v>
      </c>
      <c r="K115" s="53">
        <f t="shared" ca="1" si="16"/>
        <v>1.1331327591398903</v>
      </c>
      <c r="L115" s="54">
        <f t="shared" ca="1" si="28"/>
        <v>15.863225529825302</v>
      </c>
      <c r="M115" s="48">
        <f t="shared" ca="1" si="20"/>
        <v>0.35099999999999998</v>
      </c>
      <c r="N115" s="48">
        <f t="shared" si="29"/>
        <v>6</v>
      </c>
      <c r="O115" s="51">
        <f t="shared" ca="1" si="21"/>
        <v>0.17449484258604522</v>
      </c>
      <c r="P115" s="51">
        <f t="shared" ca="1" si="22"/>
        <v>16.037720372411346</v>
      </c>
      <c r="Q115" s="55">
        <f t="shared" ca="1" si="30"/>
        <v>1.307627601725935</v>
      </c>
    </row>
    <row r="116" spans="1:17" x14ac:dyDescent="0.25">
      <c r="A116" s="48">
        <v>70</v>
      </c>
      <c r="B116" s="48">
        <f t="shared" ca="1" si="17"/>
        <v>0.71199999999999997</v>
      </c>
      <c r="C116" s="49">
        <f t="shared" si="23"/>
        <v>5</v>
      </c>
      <c r="D116" s="51">
        <f t="shared" ca="1" si="18"/>
        <v>6.7935473514032271E-2</v>
      </c>
      <c r="E116" s="51">
        <f t="shared" ca="1" si="24"/>
        <v>14.798028244199443</v>
      </c>
      <c r="F116" s="48">
        <f t="shared" ca="1" si="25"/>
        <v>5</v>
      </c>
      <c r="G116" s="48">
        <f ca="1">COUNTIF($P$47:P126,"&lt;"&amp;E116)</f>
        <v>64</v>
      </c>
      <c r="H116" s="48">
        <f t="shared" ca="1" si="26"/>
        <v>0</v>
      </c>
      <c r="I116" s="48" t="str">
        <f t="shared" ca="1" si="27"/>
        <v>Ocu</v>
      </c>
      <c r="J116" s="52">
        <f t="shared" ca="1" si="19"/>
        <v>6</v>
      </c>
      <c r="K116" s="53">
        <f t="shared" ca="1" si="16"/>
        <v>1.2396921282119031</v>
      </c>
      <c r="L116" s="54">
        <f t="shared" ca="1" si="28"/>
        <v>16.037720372411346</v>
      </c>
      <c r="M116" s="48">
        <f t="shared" ca="1" si="20"/>
        <v>0.70499999999999996</v>
      </c>
      <c r="N116" s="48">
        <f t="shared" si="29"/>
        <v>6</v>
      </c>
      <c r="O116" s="51">
        <f t="shared" ca="1" si="21"/>
        <v>5.8259579361644734E-2</v>
      </c>
      <c r="P116" s="51">
        <f t="shared" ca="1" si="22"/>
        <v>16.095979951772993</v>
      </c>
      <c r="Q116" s="55">
        <f t="shared" ca="1" si="30"/>
        <v>1.2979517075735494</v>
      </c>
    </row>
    <row r="117" spans="1:17" x14ac:dyDescent="0.25">
      <c r="A117" s="48">
        <v>71</v>
      </c>
      <c r="B117" s="48">
        <f t="shared" ca="1" si="17"/>
        <v>0.49099999999999999</v>
      </c>
      <c r="C117" s="49">
        <f t="shared" si="23"/>
        <v>5</v>
      </c>
      <c r="D117" s="51">
        <f t="shared" ca="1" si="18"/>
        <v>0.1422622302375233</v>
      </c>
      <c r="E117" s="51">
        <f t="shared" ca="1" si="24"/>
        <v>14.940290474436967</v>
      </c>
      <c r="F117" s="48">
        <f t="shared" ca="1" si="25"/>
        <v>6</v>
      </c>
      <c r="G117" s="48">
        <f ca="1">COUNTIF($P$47:P127,"&lt;"&amp;E117)</f>
        <v>64</v>
      </c>
      <c r="H117" s="48">
        <f t="shared" ca="1" si="26"/>
        <v>0</v>
      </c>
      <c r="I117" s="48" t="str">
        <f t="shared" ca="1" si="27"/>
        <v>Ocu</v>
      </c>
      <c r="J117" s="52">
        <f t="shared" ca="1" si="19"/>
        <v>7</v>
      </c>
      <c r="K117" s="53">
        <f t="shared" ca="1" si="16"/>
        <v>1.1556894773360256</v>
      </c>
      <c r="L117" s="54">
        <f t="shared" ca="1" si="28"/>
        <v>16.095979951772993</v>
      </c>
      <c r="M117" s="48">
        <f t="shared" ca="1" si="20"/>
        <v>0.65400000000000003</v>
      </c>
      <c r="N117" s="48">
        <f t="shared" si="29"/>
        <v>6</v>
      </c>
      <c r="O117" s="51">
        <f t="shared" ca="1" si="21"/>
        <v>7.0774654587489716E-2</v>
      </c>
      <c r="P117" s="51">
        <f t="shared" ca="1" si="22"/>
        <v>16.166754606360481</v>
      </c>
      <c r="Q117" s="55">
        <f t="shared" ca="1" si="30"/>
        <v>1.2264641319235139</v>
      </c>
    </row>
    <row r="118" spans="1:17" x14ac:dyDescent="0.25">
      <c r="A118" s="48">
        <v>72</v>
      </c>
      <c r="B118" s="48">
        <f t="shared" ca="1" si="17"/>
        <v>0.32300000000000001</v>
      </c>
      <c r="C118" s="49">
        <f t="shared" si="23"/>
        <v>5</v>
      </c>
      <c r="D118" s="51">
        <f t="shared" ca="1" si="18"/>
        <v>0.2260205911518961</v>
      </c>
      <c r="E118" s="51">
        <f t="shared" ca="1" si="24"/>
        <v>15.166311065588863</v>
      </c>
      <c r="F118" s="48">
        <f t="shared" ca="1" si="25"/>
        <v>5</v>
      </c>
      <c r="G118" s="48">
        <f ca="1">COUNTIF($P$47:P128,"&lt;"&amp;E118)</f>
        <v>66</v>
      </c>
      <c r="H118" s="48">
        <f t="shared" ca="1" si="26"/>
        <v>2</v>
      </c>
      <c r="I118" s="48" t="str">
        <f t="shared" ca="1" si="27"/>
        <v>Ocu</v>
      </c>
      <c r="J118" s="52">
        <f t="shared" ca="1" si="19"/>
        <v>6</v>
      </c>
      <c r="K118" s="53">
        <f t="shared" ca="1" si="16"/>
        <v>1.0004435407716183</v>
      </c>
      <c r="L118" s="54">
        <f t="shared" ca="1" si="28"/>
        <v>16.166754606360481</v>
      </c>
      <c r="M118" s="48">
        <f t="shared" ca="1" si="20"/>
        <v>0.80100000000000005</v>
      </c>
      <c r="N118" s="48">
        <f t="shared" si="29"/>
        <v>6</v>
      </c>
      <c r="O118" s="51">
        <f t="shared" ca="1" si="21"/>
        <v>3.6982388652296291E-2</v>
      </c>
      <c r="P118" s="51">
        <f t="shared" ca="1" si="22"/>
        <v>16.203736995012779</v>
      </c>
      <c r="Q118" s="55">
        <f t="shared" ca="1" si="30"/>
        <v>1.0374259294239163</v>
      </c>
    </row>
    <row r="119" spans="1:17" x14ac:dyDescent="0.25">
      <c r="A119" s="48">
        <v>73</v>
      </c>
      <c r="B119" s="48">
        <f t="shared" ca="1" si="17"/>
        <v>0.89500000000000002</v>
      </c>
      <c r="C119" s="49">
        <f t="shared" si="23"/>
        <v>5</v>
      </c>
      <c r="D119" s="51">
        <f t="shared" ca="1" si="18"/>
        <v>2.2186312141456326E-2</v>
      </c>
      <c r="E119" s="51">
        <f t="shared" ca="1" si="24"/>
        <v>15.18849737773032</v>
      </c>
      <c r="F119" s="48">
        <f t="shared" ca="1" si="25"/>
        <v>6</v>
      </c>
      <c r="G119" s="48">
        <f ca="1">COUNTIF($P$47:P129,"&lt;"&amp;E119)</f>
        <v>66</v>
      </c>
      <c r="H119" s="48">
        <f t="shared" ca="1" si="26"/>
        <v>0</v>
      </c>
      <c r="I119" s="48" t="str">
        <f t="shared" ca="1" si="27"/>
        <v>Ocu</v>
      </c>
      <c r="J119" s="52">
        <f t="shared" ca="1" si="19"/>
        <v>7</v>
      </c>
      <c r="K119" s="53">
        <f t="shared" ca="1" si="16"/>
        <v>1.0152396172824592</v>
      </c>
      <c r="L119" s="54">
        <f t="shared" ca="1" si="28"/>
        <v>16.203736995012779</v>
      </c>
      <c r="M119" s="48">
        <f t="shared" ca="1" si="20"/>
        <v>0.83099999999999996</v>
      </c>
      <c r="N119" s="48">
        <f t="shared" si="29"/>
        <v>6</v>
      </c>
      <c r="O119" s="51">
        <f t="shared" ca="1" si="21"/>
        <v>3.0854247354448153E-2</v>
      </c>
      <c r="P119" s="51">
        <f t="shared" ca="1" si="22"/>
        <v>16.234591242367227</v>
      </c>
      <c r="Q119" s="55">
        <f t="shared" ca="1" si="30"/>
        <v>1.0460938646369069</v>
      </c>
    </row>
    <row r="120" spans="1:17" x14ac:dyDescent="0.25">
      <c r="A120" s="48">
        <v>74</v>
      </c>
      <c r="B120" s="48">
        <f t="shared" ca="1" si="17"/>
        <v>0.108</v>
      </c>
      <c r="C120" s="49">
        <f t="shared" si="23"/>
        <v>5</v>
      </c>
      <c r="D120" s="51">
        <f t="shared" ca="1" si="18"/>
        <v>0.44512481037158347</v>
      </c>
      <c r="E120" s="51">
        <f t="shared" ca="1" si="24"/>
        <v>15.633622188101903</v>
      </c>
      <c r="F120" s="48">
        <f t="shared" ca="1" si="25"/>
        <v>6</v>
      </c>
      <c r="G120" s="48">
        <f ca="1">COUNTIF($P$47:P130,"&lt;"&amp;E120)</f>
        <v>67</v>
      </c>
      <c r="H120" s="48">
        <f t="shared" ca="1" si="26"/>
        <v>1</v>
      </c>
      <c r="I120" s="48" t="str">
        <f t="shared" ca="1" si="27"/>
        <v>Ocu</v>
      </c>
      <c r="J120" s="52">
        <f t="shared" ca="1" si="19"/>
        <v>7</v>
      </c>
      <c r="K120" s="53">
        <f t="shared" ca="1" si="16"/>
        <v>0.60096905426532388</v>
      </c>
      <c r="L120" s="54">
        <f t="shared" ca="1" si="28"/>
        <v>16.234591242367227</v>
      </c>
      <c r="M120" s="48">
        <f t="shared" ca="1" si="20"/>
        <v>0.309</v>
      </c>
      <c r="N120" s="48">
        <f t="shared" si="29"/>
        <v>6</v>
      </c>
      <c r="O120" s="51">
        <f t="shared" ca="1" si="21"/>
        <v>0.19573566701406525</v>
      </c>
      <c r="P120" s="51">
        <f t="shared" ca="1" si="22"/>
        <v>16.430326909381293</v>
      </c>
      <c r="Q120" s="55">
        <f t="shared" ca="1" si="30"/>
        <v>0.79670472127939007</v>
      </c>
    </row>
    <row r="121" spans="1:17" x14ac:dyDescent="0.25">
      <c r="A121" s="48">
        <v>75</v>
      </c>
      <c r="B121" s="48">
        <f t="shared" ca="1" si="17"/>
        <v>0.879</v>
      </c>
      <c r="C121" s="49">
        <f t="shared" si="23"/>
        <v>5</v>
      </c>
      <c r="D121" s="51">
        <f t="shared" ca="1" si="18"/>
        <v>2.5794076259392007E-2</v>
      </c>
      <c r="E121" s="51">
        <f t="shared" ca="1" si="24"/>
        <v>15.659416264361294</v>
      </c>
      <c r="F121" s="48">
        <f t="shared" ca="1" si="25"/>
        <v>7</v>
      </c>
      <c r="G121" s="48">
        <f ca="1">COUNTIF($P$47:P131,"&lt;"&amp;E121)</f>
        <v>67</v>
      </c>
      <c r="H121" s="48">
        <f t="shared" ca="1" si="26"/>
        <v>0</v>
      </c>
      <c r="I121" s="48" t="str">
        <f t="shared" ca="1" si="27"/>
        <v>Ocu</v>
      </c>
      <c r="J121" s="52">
        <f t="shared" ca="1" si="19"/>
        <v>8</v>
      </c>
      <c r="K121" s="53">
        <f t="shared" ca="1" si="16"/>
        <v>0.77091064501999895</v>
      </c>
      <c r="L121" s="54">
        <f t="shared" ca="1" si="28"/>
        <v>16.430326909381293</v>
      </c>
      <c r="M121" s="48">
        <f t="shared" ca="1" si="20"/>
        <v>0.875</v>
      </c>
      <c r="N121" s="48">
        <f t="shared" si="29"/>
        <v>6</v>
      </c>
      <c r="O121" s="51">
        <f t="shared" ca="1" si="21"/>
        <v>2.2255232104087093E-2</v>
      </c>
      <c r="P121" s="51">
        <f t="shared" ca="1" si="22"/>
        <v>16.452582141485379</v>
      </c>
      <c r="Q121" s="55">
        <f t="shared" ca="1" si="30"/>
        <v>0.79316587712408548</v>
      </c>
    </row>
    <row r="122" spans="1:17" x14ac:dyDescent="0.25">
      <c r="A122" s="48">
        <v>76</v>
      </c>
      <c r="B122" s="48">
        <f t="shared" ca="1" si="17"/>
        <v>0.45800000000000002</v>
      </c>
      <c r="C122" s="49">
        <f t="shared" si="23"/>
        <v>5</v>
      </c>
      <c r="D122" s="51">
        <f t="shared" ca="1" si="18"/>
        <v>0.15617721897359041</v>
      </c>
      <c r="E122" s="51">
        <f t="shared" ca="1" si="24"/>
        <v>15.815593483334885</v>
      </c>
      <c r="F122" s="48">
        <f t="shared" ca="1" si="25"/>
        <v>8</v>
      </c>
      <c r="G122" s="48">
        <f ca="1">COUNTIF($P$47:P132,"&lt;"&amp;E122)</f>
        <v>67</v>
      </c>
      <c r="H122" s="48">
        <f t="shared" ca="1" si="26"/>
        <v>0</v>
      </c>
      <c r="I122" s="48" t="str">
        <f t="shared" ca="1" si="27"/>
        <v>Ocu</v>
      </c>
      <c r="J122" s="52">
        <f t="shared" ca="1" si="19"/>
        <v>9</v>
      </c>
      <c r="K122" s="53">
        <f t="shared" ca="1" si="16"/>
        <v>0.63698865815049466</v>
      </c>
      <c r="L122" s="54">
        <f t="shared" ca="1" si="28"/>
        <v>16.452582141485379</v>
      </c>
      <c r="M122" s="48">
        <f t="shared" ca="1" si="20"/>
        <v>0.8</v>
      </c>
      <c r="N122" s="48">
        <f t="shared" si="29"/>
        <v>6</v>
      </c>
      <c r="O122" s="51">
        <f t="shared" ca="1" si="21"/>
        <v>3.7190591885701625E-2</v>
      </c>
      <c r="P122" s="51">
        <f t="shared" ca="1" si="22"/>
        <v>16.48977273337108</v>
      </c>
      <c r="Q122" s="55">
        <f t="shared" ca="1" si="30"/>
        <v>0.67417925003619494</v>
      </c>
    </row>
    <row r="123" spans="1:17" x14ac:dyDescent="0.25">
      <c r="A123" s="48">
        <v>77</v>
      </c>
      <c r="B123" s="48">
        <f t="shared" ca="1" si="17"/>
        <v>0.76800000000000002</v>
      </c>
      <c r="C123" s="49">
        <f t="shared" si="23"/>
        <v>5</v>
      </c>
      <c r="D123" s="51">
        <f t="shared" ca="1" si="18"/>
        <v>5.2793109166892976E-2</v>
      </c>
      <c r="E123" s="51">
        <f t="shared" ca="1" si="24"/>
        <v>15.868386592501778</v>
      </c>
      <c r="F123" s="48">
        <f t="shared" ca="1" si="25"/>
        <v>8</v>
      </c>
      <c r="G123" s="48">
        <f ca="1">COUNTIF($P$47:P133,"&lt;"&amp;E123)</f>
        <v>68</v>
      </c>
      <c r="H123" s="48">
        <f t="shared" ca="1" si="26"/>
        <v>1</v>
      </c>
      <c r="I123" s="48" t="str">
        <f t="shared" ca="1" si="27"/>
        <v>Ocu</v>
      </c>
      <c r="J123" s="52">
        <f t="shared" ca="1" si="19"/>
        <v>9</v>
      </c>
      <c r="K123" s="53">
        <f t="shared" ca="1" si="16"/>
        <v>0.62138614086930133</v>
      </c>
      <c r="L123" s="54">
        <f t="shared" ca="1" si="28"/>
        <v>16.48977273337108</v>
      </c>
      <c r="M123" s="48">
        <f t="shared" ca="1" si="20"/>
        <v>0.97099999999999997</v>
      </c>
      <c r="N123" s="48">
        <f t="shared" si="29"/>
        <v>6</v>
      </c>
      <c r="O123" s="51">
        <f t="shared" ca="1" si="21"/>
        <v>4.9048017818020314E-3</v>
      </c>
      <c r="P123" s="51">
        <f t="shared" ca="1" si="22"/>
        <v>16.494677535152881</v>
      </c>
      <c r="Q123" s="55">
        <f t="shared" ca="1" si="30"/>
        <v>0.62629094265110297</v>
      </c>
    </row>
    <row r="124" spans="1:17" x14ac:dyDescent="0.25">
      <c r="A124" s="48">
        <v>78</v>
      </c>
      <c r="B124" s="48">
        <f t="shared" ca="1" si="17"/>
        <v>0.92600000000000005</v>
      </c>
      <c r="C124" s="49">
        <f t="shared" si="23"/>
        <v>5</v>
      </c>
      <c r="D124" s="51">
        <f t="shared" ca="1" si="18"/>
        <v>1.5376208867191519E-2</v>
      </c>
      <c r="E124" s="51">
        <f t="shared" ca="1" si="24"/>
        <v>15.88376280136897</v>
      </c>
      <c r="F124" s="48">
        <f t="shared" ca="1" si="25"/>
        <v>9</v>
      </c>
      <c r="G124" s="48">
        <f ca="1">COUNTIF($P$47:P134,"&lt;"&amp;E124)</f>
        <v>68</v>
      </c>
      <c r="H124" s="48">
        <f t="shared" ca="1" si="26"/>
        <v>0</v>
      </c>
      <c r="I124" s="48" t="str">
        <f t="shared" ca="1" si="27"/>
        <v>Ocu</v>
      </c>
      <c r="J124" s="52">
        <f t="shared" ca="1" si="19"/>
        <v>10</v>
      </c>
      <c r="K124" s="53">
        <f t="shared" ca="1" si="16"/>
        <v>0.61091473378391115</v>
      </c>
      <c r="L124" s="54">
        <f t="shared" ca="1" si="28"/>
        <v>16.494677535152881</v>
      </c>
      <c r="M124" s="48">
        <f t="shared" ca="1" si="20"/>
        <v>0.377</v>
      </c>
      <c r="N124" s="48">
        <f t="shared" si="29"/>
        <v>6</v>
      </c>
      <c r="O124" s="51">
        <f t="shared" ca="1" si="21"/>
        <v>0.16258501525568769</v>
      </c>
      <c r="P124" s="51">
        <f t="shared" ca="1" si="22"/>
        <v>16.657262550408568</v>
      </c>
      <c r="Q124" s="55">
        <f t="shared" ca="1" si="30"/>
        <v>0.77349974903959762</v>
      </c>
    </row>
    <row r="125" spans="1:17" x14ac:dyDescent="0.25">
      <c r="A125" s="48">
        <v>79</v>
      </c>
      <c r="B125" s="48">
        <f t="shared" ca="1" si="17"/>
        <v>0.127</v>
      </c>
      <c r="C125" s="49">
        <f t="shared" si="23"/>
        <v>5</v>
      </c>
      <c r="D125" s="51">
        <f t="shared" ca="1" si="18"/>
        <v>0.41271363850470916</v>
      </c>
      <c r="E125" s="51">
        <f t="shared" ca="1" si="24"/>
        <v>16.296476439873679</v>
      </c>
      <c r="F125" s="48">
        <f t="shared" ca="1" si="25"/>
        <v>5</v>
      </c>
      <c r="G125" s="48">
        <f ca="1">COUNTIF($P$47:P135,"&lt;"&amp;E125)</f>
        <v>73</v>
      </c>
      <c r="H125" s="48">
        <f t="shared" ca="1" si="26"/>
        <v>5</v>
      </c>
      <c r="I125" s="48" t="str">
        <f t="shared" ca="1" si="27"/>
        <v>Ocu</v>
      </c>
      <c r="J125" s="52">
        <f t="shared" ca="1" si="19"/>
        <v>6</v>
      </c>
      <c r="K125" s="53">
        <f t="shared" ca="1" si="16"/>
        <v>0.36078611053488885</v>
      </c>
      <c r="L125" s="54">
        <f t="shared" ca="1" si="28"/>
        <v>16.657262550408568</v>
      </c>
      <c r="M125" s="48">
        <f t="shared" ca="1" si="20"/>
        <v>0.76500000000000001</v>
      </c>
      <c r="N125" s="48">
        <f t="shared" si="29"/>
        <v>6</v>
      </c>
      <c r="O125" s="51">
        <f t="shared" ca="1" si="21"/>
        <v>4.4646574192600208E-2</v>
      </c>
      <c r="P125" s="51">
        <f t="shared" ca="1" si="22"/>
        <v>16.701909124601169</v>
      </c>
      <c r="Q125" s="55">
        <f t="shared" ca="1" si="30"/>
        <v>0.40543268472749006</v>
      </c>
    </row>
    <row r="126" spans="1:17" x14ac:dyDescent="0.25">
      <c r="A126" s="48">
        <v>80</v>
      </c>
      <c r="B126" s="48">
        <f t="shared" ca="1" si="17"/>
        <v>5.8000000000000003E-2</v>
      </c>
      <c r="C126" s="49">
        <f t="shared" si="23"/>
        <v>5</v>
      </c>
      <c r="D126" s="51">
        <f t="shared" ca="1" si="18"/>
        <v>0.56946245368714354</v>
      </c>
      <c r="E126" s="51">
        <f t="shared" ca="1" si="24"/>
        <v>16.865938893560823</v>
      </c>
      <c r="F126" s="48">
        <f t="shared" ca="1" si="25"/>
        <v>0</v>
      </c>
      <c r="G126" s="48">
        <f ca="1">COUNTIF($P$47:P136,"&lt;"&amp;E126)</f>
        <v>79</v>
      </c>
      <c r="H126" s="48">
        <f t="shared" ca="1" si="26"/>
        <v>6</v>
      </c>
      <c r="I126" s="48" t="str">
        <f t="shared" ca="1" si="27"/>
        <v>Des</v>
      </c>
      <c r="J126" s="52">
        <f t="shared" ca="1" si="19"/>
        <v>1</v>
      </c>
      <c r="K126" s="53">
        <f t="shared" ca="1" si="16"/>
        <v>0</v>
      </c>
      <c r="L126" s="54">
        <f t="shared" ca="1" si="28"/>
        <v>16.865938893560823</v>
      </c>
      <c r="M126" s="48">
        <f t="shared" ca="1" si="20"/>
        <v>0.49</v>
      </c>
      <c r="N126" s="48">
        <f t="shared" si="29"/>
        <v>6</v>
      </c>
      <c r="O126" s="51">
        <f t="shared" ca="1" si="21"/>
        <v>0.11889164797957746</v>
      </c>
      <c r="P126" s="51">
        <f t="shared" ca="1" si="22"/>
        <v>16.984830541540401</v>
      </c>
      <c r="Q126" s="55">
        <f t="shared" ca="1" si="30"/>
        <v>0.11889164797957719</v>
      </c>
    </row>
    <row r="127" spans="1:17" x14ac:dyDescent="0.25">
      <c r="A127" s="48">
        <v>81</v>
      </c>
      <c r="B127" s="48">
        <f t="shared" ca="1" si="17"/>
        <v>4.2000000000000003E-2</v>
      </c>
      <c r="C127" s="49">
        <f t="shared" si="23"/>
        <v>5</v>
      </c>
      <c r="D127" s="51">
        <f t="shared" ca="1" si="18"/>
        <v>0.63401713213975375</v>
      </c>
      <c r="E127" s="51">
        <f t="shared" ca="1" si="24"/>
        <v>17.499956025700577</v>
      </c>
      <c r="F127" s="48">
        <f t="shared" ca="1" si="25"/>
        <v>0</v>
      </c>
      <c r="G127" s="48">
        <f ca="1">COUNTIF($P$47:P137,"&lt;"&amp;E127)</f>
        <v>80</v>
      </c>
      <c r="H127" s="48">
        <f t="shared" ca="1" si="26"/>
        <v>1</v>
      </c>
      <c r="I127" s="48" t="str">
        <f t="shared" ca="1" si="27"/>
        <v>Des</v>
      </c>
      <c r="J127" s="52">
        <f t="shared" ca="1" si="19"/>
        <v>1</v>
      </c>
      <c r="K127" s="53">
        <f t="shared" ca="1" si="16"/>
        <v>0</v>
      </c>
      <c r="L127" s="54">
        <f t="shared" ca="1" si="28"/>
        <v>17.499956025700577</v>
      </c>
      <c r="M127" s="48">
        <f t="shared" ca="1" si="20"/>
        <v>0.40699999999999997</v>
      </c>
      <c r="N127" s="48">
        <f t="shared" si="29"/>
        <v>6</v>
      </c>
      <c r="O127" s="51">
        <f t="shared" ca="1" si="21"/>
        <v>0.14982368225659037</v>
      </c>
      <c r="P127" s="51">
        <f t="shared" ca="1" si="22"/>
        <v>17.649779707957165</v>
      </c>
      <c r="Q127" s="55">
        <f t="shared" ca="1" si="30"/>
        <v>0.1498236822565886</v>
      </c>
    </row>
    <row r="128" spans="1:17" x14ac:dyDescent="0.25">
      <c r="A128" s="48">
        <v>82</v>
      </c>
      <c r="B128" s="48">
        <f t="shared" ca="1" si="17"/>
        <v>0.70899999999999996</v>
      </c>
      <c r="C128" s="49">
        <f t="shared" si="23"/>
        <v>5</v>
      </c>
      <c r="D128" s="51">
        <f t="shared" ca="1" si="18"/>
        <v>6.877995049000192E-2</v>
      </c>
      <c r="E128" s="51">
        <f t="shared" ca="1" si="24"/>
        <v>17.568735976190577</v>
      </c>
      <c r="F128" s="48">
        <f t="shared" ca="1" si="25"/>
        <v>1</v>
      </c>
      <c r="G128" s="48">
        <f ca="1">COUNTIF($P$47:P138,"&lt;"&amp;E128)</f>
        <v>80</v>
      </c>
      <c r="H128" s="48">
        <f t="shared" ca="1" si="26"/>
        <v>0</v>
      </c>
      <c r="I128" s="48" t="str">
        <f t="shared" ca="1" si="27"/>
        <v>Ocu</v>
      </c>
      <c r="J128" s="52">
        <f t="shared" ca="1" si="19"/>
        <v>2</v>
      </c>
      <c r="K128" s="53">
        <f t="shared" ca="1" si="16"/>
        <v>8.1043731766587968E-2</v>
      </c>
      <c r="L128" s="54">
        <f t="shared" ca="1" si="28"/>
        <v>17.649779707957165</v>
      </c>
      <c r="M128" s="48">
        <f t="shared" ca="1" si="20"/>
        <v>0.78800000000000003</v>
      </c>
      <c r="N128" s="48">
        <f t="shared" si="29"/>
        <v>6</v>
      </c>
      <c r="O128" s="51">
        <f t="shared" ca="1" si="21"/>
        <v>3.9709531520709655E-2</v>
      </c>
      <c r="P128" s="51">
        <f t="shared" ca="1" si="22"/>
        <v>17.689489239477876</v>
      </c>
      <c r="Q128" s="55">
        <f t="shared" ca="1" si="30"/>
        <v>0.1207532632872983</v>
      </c>
    </row>
    <row r="129" spans="1:17" x14ac:dyDescent="0.25">
      <c r="A129" s="48">
        <v>83</v>
      </c>
      <c r="B129" s="48">
        <f t="shared" ca="1" si="17"/>
        <v>0.25900000000000001</v>
      </c>
      <c r="C129" s="49">
        <f t="shared" si="23"/>
        <v>5</v>
      </c>
      <c r="D129" s="51">
        <f t="shared" ca="1" si="18"/>
        <v>0.27018544345651985</v>
      </c>
      <c r="E129" s="51">
        <f t="shared" ca="1" si="24"/>
        <v>17.838921419647097</v>
      </c>
      <c r="F129" s="48">
        <f t="shared" ca="1" si="25"/>
        <v>0</v>
      </c>
      <c r="G129" s="48">
        <f ca="1">COUNTIF($P$47:P139,"&lt;"&amp;E129)</f>
        <v>82</v>
      </c>
      <c r="H129" s="48">
        <f t="shared" ca="1" si="26"/>
        <v>2</v>
      </c>
      <c r="I129" s="48" t="str">
        <f t="shared" ca="1" si="27"/>
        <v>Des</v>
      </c>
      <c r="J129" s="52">
        <f t="shared" ca="1" si="19"/>
        <v>1</v>
      </c>
      <c r="K129" s="53">
        <f t="shared" ca="1" si="16"/>
        <v>0</v>
      </c>
      <c r="L129" s="54">
        <f t="shared" ca="1" si="28"/>
        <v>17.838921419647097</v>
      </c>
      <c r="M129" s="48">
        <f t="shared" ca="1" si="20"/>
        <v>0.13600000000000001</v>
      </c>
      <c r="N129" s="48">
        <f t="shared" si="29"/>
        <v>6</v>
      </c>
      <c r="O129" s="51">
        <f t="shared" ca="1" si="21"/>
        <v>0.3325167322076808</v>
      </c>
      <c r="P129" s="51">
        <f t="shared" ca="1" si="22"/>
        <v>18.171438151854776</v>
      </c>
      <c r="Q129" s="55">
        <f t="shared" ca="1" si="30"/>
        <v>0.33251673220767941</v>
      </c>
    </row>
    <row r="130" spans="1:17" x14ac:dyDescent="0.25">
      <c r="A130" s="48">
        <v>84</v>
      </c>
      <c r="B130" s="48">
        <f t="shared" ca="1" si="17"/>
        <v>0.47499999999999998</v>
      </c>
      <c r="C130" s="49">
        <f t="shared" si="23"/>
        <v>5</v>
      </c>
      <c r="D130" s="51">
        <f t="shared" ca="1" si="18"/>
        <v>0.14888809498949915</v>
      </c>
      <c r="E130" s="51">
        <f t="shared" ca="1" si="24"/>
        <v>17.987809514636595</v>
      </c>
      <c r="F130" s="48">
        <f t="shared" ca="1" si="25"/>
        <v>1</v>
      </c>
      <c r="G130" s="48">
        <f ca="1">COUNTIF($P$47:P140,"&lt;"&amp;E130)</f>
        <v>82</v>
      </c>
      <c r="H130" s="48">
        <f t="shared" ca="1" si="26"/>
        <v>0</v>
      </c>
      <c r="I130" s="48" t="str">
        <f t="shared" ca="1" si="27"/>
        <v>Ocu</v>
      </c>
      <c r="J130" s="52">
        <f t="shared" ca="1" si="19"/>
        <v>2</v>
      </c>
      <c r="K130" s="53">
        <f t="shared" ca="1" si="16"/>
        <v>0.18362863721818101</v>
      </c>
      <c r="L130" s="54">
        <f t="shared" ca="1" si="28"/>
        <v>18.171438151854776</v>
      </c>
      <c r="M130" s="48">
        <f t="shared" ca="1" si="20"/>
        <v>0.34799999999999998</v>
      </c>
      <c r="N130" s="48">
        <f t="shared" si="29"/>
        <v>6</v>
      </c>
      <c r="O130" s="51">
        <f t="shared" ca="1" si="21"/>
        <v>0.17592546653461044</v>
      </c>
      <c r="P130" s="51">
        <f t="shared" ca="1" si="22"/>
        <v>18.347363618389387</v>
      </c>
      <c r="Q130" s="55">
        <f t="shared" ca="1" si="30"/>
        <v>0.35955410375279229</v>
      </c>
    </row>
    <row r="131" spans="1:17" x14ac:dyDescent="0.25">
      <c r="A131" s="48">
        <v>85</v>
      </c>
      <c r="B131" s="48">
        <f t="shared" ca="1" si="17"/>
        <v>2.7E-2</v>
      </c>
      <c r="C131" s="49">
        <f t="shared" si="23"/>
        <v>5</v>
      </c>
      <c r="D131" s="51">
        <f t="shared" ca="1" si="18"/>
        <v>0.72238368259556163</v>
      </c>
      <c r="E131" s="51">
        <f t="shared" ca="1" si="24"/>
        <v>18.710193197232158</v>
      </c>
      <c r="F131" s="48">
        <f t="shared" ca="1" si="25"/>
        <v>0</v>
      </c>
      <c r="G131" s="48">
        <f ca="1">COUNTIF($P$47:P141,"&lt;"&amp;E131)</f>
        <v>84</v>
      </c>
      <c r="H131" s="48">
        <f t="shared" ca="1" si="26"/>
        <v>2</v>
      </c>
      <c r="I131" s="48" t="str">
        <f t="shared" ca="1" si="27"/>
        <v>Des</v>
      </c>
      <c r="J131" s="52">
        <f t="shared" ca="1" si="19"/>
        <v>1</v>
      </c>
      <c r="K131" s="53">
        <f t="shared" ca="1" si="16"/>
        <v>0</v>
      </c>
      <c r="L131" s="54">
        <f t="shared" ca="1" si="28"/>
        <v>18.710193197232158</v>
      </c>
      <c r="M131" s="48">
        <f t="shared" ca="1" si="20"/>
        <v>0.68</v>
      </c>
      <c r="N131" s="48">
        <f t="shared" si="29"/>
        <v>6</v>
      </c>
      <c r="O131" s="51">
        <f t="shared" ca="1" si="21"/>
        <v>6.4277080135330761E-2</v>
      </c>
      <c r="P131" s="51">
        <f t="shared" ca="1" si="22"/>
        <v>18.774470277367488</v>
      </c>
      <c r="Q131" s="55">
        <f t="shared" ca="1" si="30"/>
        <v>6.4277080135330067E-2</v>
      </c>
    </row>
    <row r="132" spans="1:17" x14ac:dyDescent="0.25">
      <c r="A132" s="48">
        <v>86</v>
      </c>
      <c r="B132" s="48">
        <f t="shared" ca="1" si="17"/>
        <v>0.14000000000000001</v>
      </c>
      <c r="C132" s="49">
        <f t="shared" si="23"/>
        <v>5</v>
      </c>
      <c r="D132" s="51">
        <f t="shared" ca="1" si="18"/>
        <v>0.39322257127456656</v>
      </c>
      <c r="E132" s="51">
        <f t="shared" ca="1" si="24"/>
        <v>19.103415768506725</v>
      </c>
      <c r="F132" s="48">
        <f t="shared" ca="1" si="25"/>
        <v>0</v>
      </c>
      <c r="G132" s="48">
        <f ca="1">COUNTIF($P$47:P142,"&lt;"&amp;E132)</f>
        <v>85</v>
      </c>
      <c r="H132" s="48">
        <f t="shared" ca="1" si="26"/>
        <v>1</v>
      </c>
      <c r="I132" s="48" t="str">
        <f t="shared" ca="1" si="27"/>
        <v>Des</v>
      </c>
      <c r="J132" s="52">
        <f t="shared" ca="1" si="19"/>
        <v>1</v>
      </c>
      <c r="K132" s="53">
        <f t="shared" ca="1" si="16"/>
        <v>0</v>
      </c>
      <c r="L132" s="54">
        <f t="shared" ca="1" si="28"/>
        <v>19.103415768506725</v>
      </c>
      <c r="M132" s="48">
        <f t="shared" ca="1" si="20"/>
        <v>0.69399999999999995</v>
      </c>
      <c r="N132" s="48">
        <f t="shared" si="29"/>
        <v>6</v>
      </c>
      <c r="O132" s="51">
        <f t="shared" ca="1" si="21"/>
        <v>6.0880553079222112E-2</v>
      </c>
      <c r="P132" s="51">
        <f t="shared" ca="1" si="22"/>
        <v>19.164296321585947</v>
      </c>
      <c r="Q132" s="55">
        <f t="shared" ca="1" si="30"/>
        <v>6.0880553079222466E-2</v>
      </c>
    </row>
    <row r="133" spans="1:17" x14ac:dyDescent="0.25">
      <c r="A133" s="48">
        <v>87</v>
      </c>
      <c r="B133" s="48">
        <f t="shared" ca="1" si="17"/>
        <v>0.40899999999999997</v>
      </c>
      <c r="C133" s="49">
        <f t="shared" si="23"/>
        <v>5</v>
      </c>
      <c r="D133" s="51">
        <f t="shared" ca="1" si="18"/>
        <v>0.17880802458786707</v>
      </c>
      <c r="E133" s="51">
        <f t="shared" ca="1" si="24"/>
        <v>19.282223793094591</v>
      </c>
      <c r="F133" s="48">
        <f t="shared" ca="1" si="25"/>
        <v>0</v>
      </c>
      <c r="G133" s="48">
        <f ca="1">COUNTIF($P$47:P143,"&lt;"&amp;E133)</f>
        <v>86</v>
      </c>
      <c r="H133" s="48">
        <f t="shared" ca="1" si="26"/>
        <v>1</v>
      </c>
      <c r="I133" s="48" t="str">
        <f t="shared" ca="1" si="27"/>
        <v>Des</v>
      </c>
      <c r="J133" s="52">
        <f t="shared" ca="1" si="19"/>
        <v>1</v>
      </c>
      <c r="K133" s="53">
        <f t="shared" ca="1" si="16"/>
        <v>0</v>
      </c>
      <c r="L133" s="54">
        <f t="shared" ca="1" si="28"/>
        <v>19.282223793094591</v>
      </c>
      <c r="M133" s="48">
        <f t="shared" ca="1" si="20"/>
        <v>0.98599999999999999</v>
      </c>
      <c r="N133" s="48">
        <f t="shared" si="29"/>
        <v>6</v>
      </c>
      <c r="O133" s="51">
        <f t="shared" ca="1" si="21"/>
        <v>2.3498207299169458E-3</v>
      </c>
      <c r="P133" s="51">
        <f t="shared" ca="1" si="22"/>
        <v>19.284573613824509</v>
      </c>
      <c r="Q133" s="55">
        <f t="shared" ca="1" si="30"/>
        <v>2.349820729918406E-3</v>
      </c>
    </row>
    <row r="134" spans="1:17" x14ac:dyDescent="0.25">
      <c r="A134" s="48">
        <v>88</v>
      </c>
      <c r="B134" s="48">
        <f t="shared" ca="1" si="17"/>
        <v>4.5999999999999999E-2</v>
      </c>
      <c r="C134" s="49">
        <f t="shared" si="23"/>
        <v>5</v>
      </c>
      <c r="D134" s="51">
        <f t="shared" ca="1" si="18"/>
        <v>0.6158227764986085</v>
      </c>
      <c r="E134" s="51">
        <f t="shared" ca="1" si="24"/>
        <v>19.898046569593198</v>
      </c>
      <c r="F134" s="48">
        <f t="shared" ca="1" si="25"/>
        <v>0</v>
      </c>
      <c r="G134" s="48">
        <f ca="1">COUNTIF($P$47:P144,"&lt;"&amp;E134)</f>
        <v>87</v>
      </c>
      <c r="H134" s="48">
        <f t="shared" ca="1" si="26"/>
        <v>1</v>
      </c>
      <c r="I134" s="48" t="str">
        <f t="shared" ca="1" si="27"/>
        <v>Des</v>
      </c>
      <c r="J134" s="52">
        <f t="shared" ca="1" si="19"/>
        <v>1</v>
      </c>
      <c r="K134" s="53">
        <f t="shared" ca="1" si="16"/>
        <v>0</v>
      </c>
      <c r="L134" s="54">
        <f t="shared" ca="1" si="28"/>
        <v>19.898046569593198</v>
      </c>
      <c r="M134" s="48">
        <f t="shared" ca="1" si="20"/>
        <v>0.51800000000000002</v>
      </c>
      <c r="N134" s="48">
        <f t="shared" si="29"/>
        <v>6</v>
      </c>
      <c r="O134" s="51">
        <f t="shared" ca="1" si="21"/>
        <v>0.10963000612044232</v>
      </c>
      <c r="P134" s="51">
        <f t="shared" ca="1" si="22"/>
        <v>20.007676575713642</v>
      </c>
      <c r="Q134" s="55">
        <f t="shared" ca="1" si="30"/>
        <v>0.10963000612044382</v>
      </c>
    </row>
    <row r="135" spans="1:17" x14ac:dyDescent="0.25">
      <c r="A135" s="48">
        <v>89</v>
      </c>
      <c r="B135" s="48">
        <f t="shared" ca="1" si="17"/>
        <v>0.77700000000000002</v>
      </c>
      <c r="C135" s="49">
        <f t="shared" si="23"/>
        <v>5</v>
      </c>
      <c r="D135" s="51">
        <f t="shared" ca="1" si="18"/>
        <v>5.0462985722897924E-2</v>
      </c>
      <c r="E135" s="51">
        <f t="shared" ca="1" si="24"/>
        <v>19.948509555316097</v>
      </c>
      <c r="F135" s="48">
        <f t="shared" ca="1" si="25"/>
        <v>1</v>
      </c>
      <c r="G135" s="48">
        <f ca="1">COUNTIF($P$47:P145,"&lt;"&amp;E135)</f>
        <v>87</v>
      </c>
      <c r="H135" s="48">
        <f t="shared" ca="1" si="26"/>
        <v>0</v>
      </c>
      <c r="I135" s="48" t="str">
        <f t="shared" ca="1" si="27"/>
        <v>Ocu</v>
      </c>
      <c r="J135" s="52">
        <f t="shared" ca="1" si="19"/>
        <v>2</v>
      </c>
      <c r="K135" s="53">
        <f t="shared" ca="1" si="16"/>
        <v>5.91670203975454E-2</v>
      </c>
      <c r="L135" s="54">
        <f t="shared" ca="1" si="28"/>
        <v>20.007676575713642</v>
      </c>
      <c r="M135" s="48">
        <f t="shared" ca="1" si="20"/>
        <v>0.56000000000000005</v>
      </c>
      <c r="N135" s="48">
        <f t="shared" si="29"/>
        <v>6</v>
      </c>
      <c r="O135" s="51">
        <f t="shared" ca="1" si="21"/>
        <v>9.6636415875490336E-2</v>
      </c>
      <c r="P135" s="51">
        <f t="shared" ca="1" si="22"/>
        <v>20.104312991589133</v>
      </c>
      <c r="Q135" s="55">
        <f t="shared" ca="1" si="30"/>
        <v>0.15580343627303606</v>
      </c>
    </row>
    <row r="136" spans="1:17" x14ac:dyDescent="0.25">
      <c r="A136" s="48">
        <v>90</v>
      </c>
      <c r="B136" s="48">
        <f t="shared" ca="1" si="17"/>
        <v>0.16</v>
      </c>
      <c r="C136" s="49">
        <f t="shared" si="23"/>
        <v>5</v>
      </c>
      <c r="D136" s="51">
        <f t="shared" ca="1" si="18"/>
        <v>0.36651629274966208</v>
      </c>
      <c r="E136" s="51">
        <f t="shared" ca="1" si="24"/>
        <v>20.315025848065758</v>
      </c>
      <c r="F136" s="48">
        <f t="shared" ca="1" si="25"/>
        <v>0</v>
      </c>
      <c r="G136" s="48">
        <f ca="1">COUNTIF($P$47:P146,"&lt;"&amp;E136)</f>
        <v>89</v>
      </c>
      <c r="H136" s="48">
        <f t="shared" ca="1" si="26"/>
        <v>2</v>
      </c>
      <c r="I136" s="48" t="str">
        <f t="shared" ca="1" si="27"/>
        <v>Des</v>
      </c>
      <c r="J136" s="52">
        <f t="shared" ca="1" si="19"/>
        <v>1</v>
      </c>
      <c r="K136" s="53">
        <f t="shared" ca="1" si="16"/>
        <v>0</v>
      </c>
      <c r="L136" s="54">
        <f t="shared" ca="1" si="28"/>
        <v>20.315025848065758</v>
      </c>
      <c r="M136" s="48">
        <f t="shared" ca="1" si="20"/>
        <v>0.33400000000000002</v>
      </c>
      <c r="N136" s="48">
        <f t="shared" si="29"/>
        <v>6</v>
      </c>
      <c r="O136" s="51">
        <f t="shared" ca="1" si="21"/>
        <v>0.18276904766757274</v>
      </c>
      <c r="P136" s="51">
        <f t="shared" ca="1" si="22"/>
        <v>20.497794895733332</v>
      </c>
      <c r="Q136" s="55">
        <f t="shared" ca="1" si="30"/>
        <v>0.1827690476675734</v>
      </c>
    </row>
    <row r="137" spans="1:17" x14ac:dyDescent="0.25">
      <c r="A137" s="48">
        <v>91</v>
      </c>
      <c r="B137" s="48">
        <f t="shared" ca="1" si="17"/>
        <v>0.443</v>
      </c>
      <c r="C137" s="49">
        <f t="shared" si="23"/>
        <v>5</v>
      </c>
      <c r="D137" s="51">
        <f t="shared" ca="1" si="18"/>
        <v>0.1628371017874003</v>
      </c>
      <c r="E137" s="51">
        <f t="shared" ca="1" si="24"/>
        <v>20.477862949853158</v>
      </c>
      <c r="F137" s="48">
        <f t="shared" ca="1" si="25"/>
        <v>1</v>
      </c>
      <c r="G137" s="48">
        <f ca="1">COUNTIF($P$47:P147,"&lt;"&amp;E137)</f>
        <v>89</v>
      </c>
      <c r="H137" s="48">
        <f t="shared" ca="1" si="26"/>
        <v>0</v>
      </c>
      <c r="I137" s="48" t="str">
        <f t="shared" ca="1" si="27"/>
        <v>Ocu</v>
      </c>
      <c r="J137" s="52">
        <f t="shared" ca="1" si="19"/>
        <v>2</v>
      </c>
      <c r="K137" s="53">
        <f t="shared" ca="1" si="16"/>
        <v>1.9931945880173885E-2</v>
      </c>
      <c r="L137" s="54">
        <f t="shared" ca="1" si="28"/>
        <v>20.497794895733332</v>
      </c>
      <c r="M137" s="48">
        <f t="shared" ca="1" si="20"/>
        <v>0.18</v>
      </c>
      <c r="N137" s="48">
        <f t="shared" si="29"/>
        <v>6</v>
      </c>
      <c r="O137" s="51">
        <f t="shared" ca="1" si="21"/>
        <v>0.2857997380153211</v>
      </c>
      <c r="P137" s="51">
        <f t="shared" ca="1" si="22"/>
        <v>20.783594633748653</v>
      </c>
      <c r="Q137" s="55">
        <f t="shared" ca="1" si="30"/>
        <v>0.30573168389549465</v>
      </c>
    </row>
    <row r="138" spans="1:17" x14ac:dyDescent="0.25">
      <c r="A138" s="48">
        <v>92</v>
      </c>
      <c r="B138" s="48">
        <f t="shared" ca="1" si="17"/>
        <v>0.185</v>
      </c>
      <c r="C138" s="49">
        <f t="shared" si="23"/>
        <v>5</v>
      </c>
      <c r="D138" s="51">
        <f t="shared" ca="1" si="18"/>
        <v>0.33747989078076246</v>
      </c>
      <c r="E138" s="51">
        <f t="shared" ca="1" si="24"/>
        <v>20.815342840633921</v>
      </c>
      <c r="F138" s="48">
        <f t="shared" ca="1" si="25"/>
        <v>0</v>
      </c>
      <c r="G138" s="48">
        <f ca="1">COUNTIF($P$47:P148,"&lt;"&amp;E138)</f>
        <v>91</v>
      </c>
      <c r="H138" s="48">
        <f t="shared" ca="1" si="26"/>
        <v>2</v>
      </c>
      <c r="I138" s="48" t="str">
        <f t="shared" ca="1" si="27"/>
        <v>Des</v>
      </c>
      <c r="J138" s="52">
        <f t="shared" ca="1" si="19"/>
        <v>1</v>
      </c>
      <c r="K138" s="53">
        <f t="shared" ca="1" si="16"/>
        <v>0</v>
      </c>
      <c r="L138" s="54">
        <f t="shared" ca="1" si="28"/>
        <v>20.815342840633921</v>
      </c>
      <c r="M138" s="48">
        <f t="shared" ca="1" si="20"/>
        <v>5.0999999999999997E-2</v>
      </c>
      <c r="N138" s="48">
        <f t="shared" si="29"/>
        <v>6</v>
      </c>
      <c r="O138" s="51">
        <f t="shared" ca="1" si="21"/>
        <v>0.49598827437630189</v>
      </c>
      <c r="P138" s="51">
        <f t="shared" ca="1" si="22"/>
        <v>21.311331115010223</v>
      </c>
      <c r="Q138" s="55">
        <f t="shared" ca="1" si="30"/>
        <v>0.49598827437630177</v>
      </c>
    </row>
    <row r="139" spans="1:17" x14ac:dyDescent="0.25">
      <c r="A139" s="48">
        <v>93</v>
      </c>
      <c r="B139" s="48">
        <f t="shared" ca="1" si="17"/>
        <v>0.98799999999999999</v>
      </c>
      <c r="C139" s="49">
        <f t="shared" si="23"/>
        <v>5</v>
      </c>
      <c r="D139" s="51">
        <f t="shared" ca="1" si="18"/>
        <v>2.4145162468538484E-3</v>
      </c>
      <c r="E139" s="51">
        <f t="shared" ca="1" si="24"/>
        <v>20.817757356880776</v>
      </c>
      <c r="F139" s="48">
        <f t="shared" ca="1" si="25"/>
        <v>1</v>
      </c>
      <c r="G139" s="48">
        <f ca="1">COUNTIF($P$47:P149,"&lt;"&amp;E139)</f>
        <v>91</v>
      </c>
      <c r="H139" s="48">
        <f t="shared" ca="1" si="26"/>
        <v>0</v>
      </c>
      <c r="I139" s="48" t="str">
        <f t="shared" ca="1" si="27"/>
        <v>Ocu</v>
      </c>
      <c r="J139" s="52">
        <f t="shared" ca="1" si="19"/>
        <v>2</v>
      </c>
      <c r="K139" s="53">
        <f t="shared" ca="1" si="16"/>
        <v>0.49357375812944682</v>
      </c>
      <c r="L139" s="54">
        <f t="shared" ca="1" si="28"/>
        <v>21.311331115010223</v>
      </c>
      <c r="M139" s="48">
        <f t="shared" ca="1" si="20"/>
        <v>0.502</v>
      </c>
      <c r="N139" s="48">
        <f t="shared" si="29"/>
        <v>6</v>
      </c>
      <c r="O139" s="51">
        <f t="shared" ca="1" si="21"/>
        <v>0.11485919321506796</v>
      </c>
      <c r="P139" s="51">
        <f t="shared" ca="1" si="22"/>
        <v>21.426190308225291</v>
      </c>
      <c r="Q139" s="55">
        <f t="shared" ca="1" si="30"/>
        <v>0.60843295134451481</v>
      </c>
    </row>
    <row r="140" spans="1:17" x14ac:dyDescent="0.25">
      <c r="A140" s="48">
        <v>94</v>
      </c>
      <c r="B140" s="48">
        <f t="shared" ca="1" si="17"/>
        <v>0.82199999999999995</v>
      </c>
      <c r="C140" s="49">
        <f t="shared" si="23"/>
        <v>5</v>
      </c>
      <c r="D140" s="51">
        <f t="shared" ca="1" si="18"/>
        <v>3.920297678519144E-2</v>
      </c>
      <c r="E140" s="51">
        <f t="shared" ca="1" si="24"/>
        <v>20.856960333665967</v>
      </c>
      <c r="F140" s="48">
        <f t="shared" ca="1" si="25"/>
        <v>2</v>
      </c>
      <c r="G140" s="48">
        <f ca="1">COUNTIF($P$47:P150,"&lt;"&amp;E140)</f>
        <v>91</v>
      </c>
      <c r="H140" s="48">
        <f t="shared" ca="1" si="26"/>
        <v>0</v>
      </c>
      <c r="I140" s="48" t="str">
        <f t="shared" ca="1" si="27"/>
        <v>Ocu</v>
      </c>
      <c r="J140" s="52">
        <f t="shared" ca="1" si="19"/>
        <v>3</v>
      </c>
      <c r="K140" s="53">
        <f t="shared" ca="1" si="16"/>
        <v>0.56922997455932389</v>
      </c>
      <c r="L140" s="54">
        <f t="shared" ca="1" si="28"/>
        <v>21.426190308225291</v>
      </c>
      <c r="M140" s="48">
        <f t="shared" ca="1" si="20"/>
        <v>0.64500000000000002</v>
      </c>
      <c r="N140" s="48">
        <f t="shared" si="29"/>
        <v>6</v>
      </c>
      <c r="O140" s="51">
        <f t="shared" ca="1" si="21"/>
        <v>7.308416036439408E-2</v>
      </c>
      <c r="P140" s="51">
        <f t="shared" ca="1" si="22"/>
        <v>21.499274468589686</v>
      </c>
      <c r="Q140" s="55">
        <f t="shared" ca="1" si="30"/>
        <v>0.64231413492371914</v>
      </c>
    </row>
    <row r="141" spans="1:17" x14ac:dyDescent="0.25">
      <c r="A141" s="48">
        <v>95</v>
      </c>
      <c r="B141" s="48">
        <f t="shared" ca="1" si="17"/>
        <v>0.82299999999999995</v>
      </c>
      <c r="C141" s="49">
        <f t="shared" si="23"/>
        <v>5</v>
      </c>
      <c r="D141" s="51">
        <f t="shared" ca="1" si="18"/>
        <v>3.8959815661013468E-2</v>
      </c>
      <c r="E141" s="51">
        <f t="shared" ca="1" si="24"/>
        <v>20.895920149326979</v>
      </c>
      <c r="F141" s="48">
        <f t="shared" ca="1" si="25"/>
        <v>3</v>
      </c>
      <c r="G141" s="48">
        <f ca="1">COUNTIF($P$47:P151,"&lt;"&amp;E141)</f>
        <v>91</v>
      </c>
      <c r="H141" s="48">
        <f t="shared" ca="1" si="26"/>
        <v>0</v>
      </c>
      <c r="I141" s="48" t="str">
        <f t="shared" ca="1" si="27"/>
        <v>Ocu</v>
      </c>
      <c r="J141" s="52">
        <f t="shared" ca="1" si="19"/>
        <v>4</v>
      </c>
      <c r="K141" s="53">
        <f t="shared" ca="1" si="16"/>
        <v>0.60335431926270644</v>
      </c>
      <c r="L141" s="54">
        <f t="shared" ca="1" si="28"/>
        <v>21.499274468589686</v>
      </c>
      <c r="M141" s="48">
        <f t="shared" ca="1" si="20"/>
        <v>0.749</v>
      </c>
      <c r="N141" s="48">
        <f t="shared" si="29"/>
        <v>6</v>
      </c>
      <c r="O141" s="51">
        <f t="shared" ca="1" si="21"/>
        <v>4.8169382577486264E-2</v>
      </c>
      <c r="P141" s="51">
        <f t="shared" ca="1" si="22"/>
        <v>21.547443851167174</v>
      </c>
      <c r="Q141" s="55">
        <f t="shared" ca="1" si="30"/>
        <v>0.65152370184019404</v>
      </c>
    </row>
    <row r="142" spans="1:17" x14ac:dyDescent="0.25">
      <c r="A142" s="48">
        <v>96</v>
      </c>
      <c r="B142" s="48">
        <f t="shared" ca="1" si="17"/>
        <v>0.11</v>
      </c>
      <c r="C142" s="49">
        <f t="shared" si="23"/>
        <v>5</v>
      </c>
      <c r="D142" s="51">
        <f t="shared" ca="1" si="18"/>
        <v>0.44145498263794425</v>
      </c>
      <c r="E142" s="51">
        <f t="shared" ca="1" si="24"/>
        <v>21.337375131964922</v>
      </c>
      <c r="F142" s="48">
        <f t="shared" ca="1" si="25"/>
        <v>3</v>
      </c>
      <c r="G142" s="48">
        <f ca="1">COUNTIF($P$47:P152,"&lt;"&amp;E142)</f>
        <v>92</v>
      </c>
      <c r="H142" s="48">
        <f t="shared" ca="1" si="26"/>
        <v>1</v>
      </c>
      <c r="I142" s="48" t="str">
        <f t="shared" ca="1" si="27"/>
        <v>Ocu</v>
      </c>
      <c r="J142" s="52">
        <f t="shared" ca="1" si="19"/>
        <v>4</v>
      </c>
      <c r="K142" s="53">
        <f t="shared" ca="1" si="16"/>
        <v>0.21006871920225123</v>
      </c>
      <c r="L142" s="54">
        <f t="shared" ca="1" si="28"/>
        <v>21.547443851167174</v>
      </c>
      <c r="M142" s="48">
        <f t="shared" ca="1" si="20"/>
        <v>0.23300000000000001</v>
      </c>
      <c r="N142" s="48">
        <f t="shared" si="29"/>
        <v>6</v>
      </c>
      <c r="O142" s="51">
        <f t="shared" ca="1" si="21"/>
        <v>0.24278613756940606</v>
      </c>
      <c r="P142" s="51">
        <f t="shared" ca="1" si="22"/>
        <v>21.790229988736581</v>
      </c>
      <c r="Q142" s="55">
        <f t="shared" ca="1" si="30"/>
        <v>0.45285485677165838</v>
      </c>
    </row>
    <row r="143" spans="1:17" x14ac:dyDescent="0.25">
      <c r="A143" s="48">
        <v>97</v>
      </c>
      <c r="B143" s="48">
        <f t="shared" ca="1" si="17"/>
        <v>0.72</v>
      </c>
      <c r="C143" s="49">
        <f t="shared" si="23"/>
        <v>5</v>
      </c>
      <c r="D143" s="51">
        <f t="shared" ca="1" si="18"/>
        <v>6.5700813394407212E-2</v>
      </c>
      <c r="E143" s="51">
        <f t="shared" ca="1" si="24"/>
        <v>21.40307594535933</v>
      </c>
      <c r="F143" s="48">
        <f t="shared" ca="1" si="25"/>
        <v>4</v>
      </c>
      <c r="G143" s="48">
        <f ca="1">COUNTIF($P$47:P153,"&lt;"&amp;E143)</f>
        <v>92</v>
      </c>
      <c r="H143" s="48">
        <f t="shared" ca="1" si="26"/>
        <v>0</v>
      </c>
      <c r="I143" s="48" t="str">
        <f t="shared" ca="1" si="27"/>
        <v>Ocu</v>
      </c>
      <c r="J143" s="52">
        <f t="shared" ca="1" si="19"/>
        <v>5</v>
      </c>
      <c r="K143" s="53">
        <f t="shared" ca="1" si="16"/>
        <v>0.3871540433772509</v>
      </c>
      <c r="L143" s="54">
        <f t="shared" ca="1" si="28"/>
        <v>21.790229988736581</v>
      </c>
      <c r="M143" s="48">
        <f t="shared" ca="1" si="20"/>
        <v>0.64</v>
      </c>
      <c r="N143" s="48">
        <f t="shared" si="29"/>
        <v>6</v>
      </c>
      <c r="O143" s="51">
        <f t="shared" ca="1" si="21"/>
        <v>7.438118377140325E-2</v>
      </c>
      <c r="P143" s="51">
        <f t="shared" ca="1" si="22"/>
        <v>21.864611172507985</v>
      </c>
      <c r="Q143" s="55">
        <f t="shared" ca="1" si="30"/>
        <v>0.46153522714865503</v>
      </c>
    </row>
    <row r="144" spans="1:17" x14ac:dyDescent="0.25">
      <c r="A144" s="48">
        <v>98</v>
      </c>
      <c r="B144" s="48">
        <f t="shared" ca="1" si="17"/>
        <v>0.999</v>
      </c>
      <c r="C144" s="49">
        <f t="shared" si="23"/>
        <v>5</v>
      </c>
      <c r="D144" s="51">
        <f t="shared" ca="1" si="18"/>
        <v>2.0010006671672442E-4</v>
      </c>
      <c r="E144" s="51">
        <f t="shared" ca="1" si="24"/>
        <v>21.403276045426047</v>
      </c>
      <c r="F144" s="48">
        <f t="shared" ca="1" si="25"/>
        <v>5</v>
      </c>
      <c r="G144" s="48">
        <f ca="1">COUNTIF($P$47:P154,"&lt;"&amp;E144)</f>
        <v>92</v>
      </c>
      <c r="H144" s="48">
        <f t="shared" ca="1" si="26"/>
        <v>0</v>
      </c>
      <c r="I144" s="48" t="str">
        <f t="shared" ca="1" si="27"/>
        <v>Ocu</v>
      </c>
      <c r="J144" s="52">
        <f t="shared" ca="1" si="19"/>
        <v>6</v>
      </c>
      <c r="K144" s="53">
        <f t="shared" ca="1" si="16"/>
        <v>0.46133512708193791</v>
      </c>
      <c r="L144" s="54">
        <f t="shared" ca="1" si="28"/>
        <v>21.864611172507985</v>
      </c>
      <c r="M144" s="48">
        <f t="shared" ca="1" si="20"/>
        <v>0.55800000000000005</v>
      </c>
      <c r="N144" s="48">
        <f t="shared" si="29"/>
        <v>6</v>
      </c>
      <c r="O144" s="51">
        <f t="shared" ca="1" si="21"/>
        <v>9.7232719433471004E-2</v>
      </c>
      <c r="P144" s="51">
        <f t="shared" ca="1" si="22"/>
        <v>21.961843891941456</v>
      </c>
      <c r="Q144" s="55">
        <f t="shared" ca="1" si="30"/>
        <v>0.55856784651540892</v>
      </c>
    </row>
    <row r="145" spans="1:17" x14ac:dyDescent="0.25">
      <c r="A145" s="48">
        <v>99</v>
      </c>
      <c r="B145" s="48">
        <f t="shared" ca="1" si="17"/>
        <v>0.245</v>
      </c>
      <c r="C145" s="49">
        <f t="shared" si="23"/>
        <v>5</v>
      </c>
      <c r="D145" s="51">
        <f t="shared" ca="1" si="18"/>
        <v>0.28129941368748201</v>
      </c>
      <c r="E145" s="51">
        <f t="shared" ca="1" si="24"/>
        <v>21.684575459113528</v>
      </c>
      <c r="F145" s="48">
        <f t="shared" ca="1" si="25"/>
        <v>3</v>
      </c>
      <c r="G145" s="48">
        <f ca="1">COUNTIF($P$47:P155,"&lt;"&amp;E145)</f>
        <v>95</v>
      </c>
      <c r="H145" s="48">
        <f t="shared" ca="1" si="26"/>
        <v>3</v>
      </c>
      <c r="I145" s="48" t="str">
        <f t="shared" ca="1" si="27"/>
        <v>Ocu</v>
      </c>
      <c r="J145" s="52">
        <f t="shared" ca="1" si="19"/>
        <v>4</v>
      </c>
      <c r="K145" s="53">
        <f t="shared" ca="1" si="16"/>
        <v>0.27726843282792757</v>
      </c>
      <c r="L145" s="54">
        <f t="shared" ca="1" si="28"/>
        <v>21.961843891941456</v>
      </c>
      <c r="M145" s="48">
        <f t="shared" ca="1" si="20"/>
        <v>0.27400000000000002</v>
      </c>
      <c r="N145" s="48">
        <f t="shared" si="29"/>
        <v>6</v>
      </c>
      <c r="O145" s="51">
        <f t="shared" ca="1" si="21"/>
        <v>0.21577119543234446</v>
      </c>
      <c r="P145" s="51">
        <f t="shared" ca="1" si="22"/>
        <v>22.177615087373802</v>
      </c>
      <c r="Q145" s="55">
        <f t="shared" ca="1" si="30"/>
        <v>0.49303962826027359</v>
      </c>
    </row>
    <row r="146" spans="1:17" x14ac:dyDescent="0.25">
      <c r="A146" s="48">
        <v>100</v>
      </c>
      <c r="B146" s="48">
        <f t="shared" ca="1" si="17"/>
        <v>0.314</v>
      </c>
      <c r="C146" s="49">
        <f t="shared" si="23"/>
        <v>5</v>
      </c>
      <c r="D146" s="51">
        <f t="shared" ca="1" si="18"/>
        <v>0.23167245861477676</v>
      </c>
      <c r="E146" s="51">
        <f t="shared" ca="1" si="24"/>
        <v>21.916247917728306</v>
      </c>
      <c r="F146" s="48">
        <f t="shared" ca="1" si="25"/>
        <v>2</v>
      </c>
      <c r="G146" s="48">
        <f ca="1">COUNTIF($P$47:P156,"&lt;"&amp;E146)</f>
        <v>97</v>
      </c>
      <c r="H146" s="48">
        <f t="shared" ca="1" si="26"/>
        <v>2</v>
      </c>
      <c r="I146" s="48" t="str">
        <f t="shared" ca="1" si="27"/>
        <v>Ocu</v>
      </c>
      <c r="J146" s="52">
        <f t="shared" ca="1" si="19"/>
        <v>3</v>
      </c>
      <c r="K146" s="53">
        <f t="shared" ca="1" si="16"/>
        <v>0.26136716964549578</v>
      </c>
      <c r="L146" s="54">
        <f t="shared" ca="1" si="28"/>
        <v>22.177615087373802</v>
      </c>
      <c r="M146" s="48">
        <f t="shared" ca="1" si="20"/>
        <v>0.94199999999999995</v>
      </c>
      <c r="N146" s="48">
        <f t="shared" si="29"/>
        <v>6</v>
      </c>
      <c r="O146" s="51">
        <f t="shared" ca="1" si="21"/>
        <v>9.9583340676289954E-3</v>
      </c>
      <c r="P146" s="51">
        <f t="shared" ca="1" si="22"/>
        <v>22.187573421441432</v>
      </c>
      <c r="Q146" s="55">
        <f t="shared" ca="1" si="30"/>
        <v>0.27132550371312547</v>
      </c>
    </row>
    <row r="147" spans="1:17" x14ac:dyDescent="0.25">
      <c r="A147" s="48">
        <v>101</v>
      </c>
      <c r="B147" s="48">
        <f t="shared" ca="1" si="17"/>
        <v>0.20399999999999999</v>
      </c>
      <c r="C147" s="49">
        <f t="shared" si="23"/>
        <v>5</v>
      </c>
      <c r="D147" s="51">
        <f t="shared" ca="1" si="18"/>
        <v>0.31792705702758417</v>
      </c>
      <c r="E147" s="51">
        <f t="shared" ca="1" si="24"/>
        <v>22.234174974755891</v>
      </c>
      <c r="F147" s="48">
        <f t="shared" ca="1" si="25"/>
        <v>0</v>
      </c>
      <c r="G147" s="48">
        <f ca="1">COUNTIF($P$47:P157,"&lt;"&amp;E147)</f>
        <v>100</v>
      </c>
      <c r="H147" s="48">
        <f t="shared" ca="1" si="26"/>
        <v>3</v>
      </c>
      <c r="I147" s="48" t="str">
        <f t="shared" ca="1" si="27"/>
        <v>Des</v>
      </c>
      <c r="J147" s="52">
        <f t="shared" ca="1" si="19"/>
        <v>1</v>
      </c>
      <c r="K147" s="53">
        <f t="shared" ca="1" si="16"/>
        <v>0</v>
      </c>
      <c r="L147" s="54">
        <f t="shared" ca="1" si="28"/>
        <v>22.234174974755891</v>
      </c>
      <c r="M147" s="48">
        <f t="shared" ca="1" si="20"/>
        <v>0.61199999999999999</v>
      </c>
      <c r="N147" s="48">
        <f t="shared" si="29"/>
        <v>6</v>
      </c>
      <c r="O147" s="51">
        <f t="shared" ca="1" si="21"/>
        <v>8.1837166078301826E-2</v>
      </c>
      <c r="P147" s="51">
        <f t="shared" ca="1" si="22"/>
        <v>22.316012140834193</v>
      </c>
      <c r="Q147" s="55">
        <f t="shared" ca="1" si="30"/>
        <v>8.1837166078301493E-2</v>
      </c>
    </row>
    <row r="148" spans="1:17" x14ac:dyDescent="0.25">
      <c r="A148" s="48">
        <v>102</v>
      </c>
      <c r="B148" s="48">
        <f t="shared" ca="1" si="17"/>
        <v>0.92800000000000005</v>
      </c>
      <c r="C148" s="49">
        <f t="shared" si="23"/>
        <v>5</v>
      </c>
      <c r="D148" s="51">
        <f t="shared" ca="1" si="18"/>
        <v>1.4944709239187275E-2</v>
      </c>
      <c r="E148" s="51">
        <f t="shared" ca="1" si="24"/>
        <v>22.24911968399508</v>
      </c>
      <c r="F148" s="48">
        <f t="shared" ca="1" si="25"/>
        <v>1</v>
      </c>
      <c r="G148" s="48">
        <f ca="1">COUNTIF($P$47:P158,"&lt;"&amp;E148)</f>
        <v>100</v>
      </c>
      <c r="H148" s="48">
        <f t="shared" ca="1" si="26"/>
        <v>0</v>
      </c>
      <c r="I148" s="48" t="str">
        <f t="shared" ca="1" si="27"/>
        <v>Ocu</v>
      </c>
      <c r="J148" s="52">
        <f t="shared" ca="1" si="19"/>
        <v>2</v>
      </c>
      <c r="K148" s="53">
        <f t="shared" ca="1" si="16"/>
        <v>6.6892456839113379E-2</v>
      </c>
      <c r="L148" s="54">
        <f t="shared" ca="1" si="28"/>
        <v>22.316012140834193</v>
      </c>
      <c r="M148" s="48">
        <f t="shared" ca="1" si="20"/>
        <v>0.26100000000000001</v>
      </c>
      <c r="N148" s="48">
        <f t="shared" si="29"/>
        <v>6</v>
      </c>
      <c r="O148" s="51">
        <f t="shared" ca="1" si="21"/>
        <v>0.22387247860990725</v>
      </c>
      <c r="P148" s="51">
        <f t="shared" ca="1" si="22"/>
        <v>22.539884619444098</v>
      </c>
      <c r="Q148" s="55">
        <f t="shared" ca="1" si="30"/>
        <v>0.29076493544901894</v>
      </c>
    </row>
    <row r="149" spans="1:17" x14ac:dyDescent="0.25">
      <c r="A149" s="48">
        <v>103</v>
      </c>
      <c r="B149" s="48">
        <f t="shared" ca="1" si="17"/>
        <v>7.3999999999999996E-2</v>
      </c>
      <c r="C149" s="49">
        <f t="shared" si="23"/>
        <v>5</v>
      </c>
      <c r="D149" s="51">
        <f t="shared" ca="1" si="18"/>
        <v>0.52073803715559353</v>
      </c>
      <c r="E149" s="51">
        <f t="shared" ca="1" si="24"/>
        <v>22.769857721150672</v>
      </c>
      <c r="F149" s="48">
        <f t="shared" ca="1" si="25"/>
        <v>0</v>
      </c>
      <c r="G149" s="48">
        <f ca="1">COUNTIF($P$47:P159,"&lt;"&amp;E149)</f>
        <v>102</v>
      </c>
      <c r="H149" s="48">
        <f t="shared" ca="1" si="26"/>
        <v>2</v>
      </c>
      <c r="I149" s="48" t="str">
        <f t="shared" ca="1" si="27"/>
        <v>Des</v>
      </c>
      <c r="J149" s="52">
        <f t="shared" ca="1" si="19"/>
        <v>1</v>
      </c>
      <c r="K149" s="53">
        <f t="shared" ca="1" si="16"/>
        <v>0</v>
      </c>
      <c r="L149" s="54">
        <f t="shared" ca="1" si="28"/>
        <v>22.769857721150672</v>
      </c>
      <c r="M149" s="48">
        <f t="shared" ca="1" si="20"/>
        <v>0.27200000000000002</v>
      </c>
      <c r="N149" s="48">
        <f t="shared" si="29"/>
        <v>6</v>
      </c>
      <c r="O149" s="51">
        <f t="shared" ca="1" si="21"/>
        <v>0.2169922021143566</v>
      </c>
      <c r="P149" s="51">
        <f t="shared" ca="1" si="22"/>
        <v>22.986849923265027</v>
      </c>
      <c r="Q149" s="55">
        <f t="shared" ca="1" si="30"/>
        <v>0.21699220211435488</v>
      </c>
    </row>
    <row r="150" spans="1:17" x14ac:dyDescent="0.25">
      <c r="A150" s="48">
        <v>104</v>
      </c>
      <c r="B150" s="48">
        <f t="shared" ca="1" si="17"/>
        <v>0.94199999999999995</v>
      </c>
      <c r="C150" s="49">
        <f t="shared" si="23"/>
        <v>5</v>
      </c>
      <c r="D150" s="51">
        <f t="shared" ca="1" si="18"/>
        <v>1.1950000881154797E-2</v>
      </c>
      <c r="E150" s="51">
        <f t="shared" ca="1" si="24"/>
        <v>22.781807722031825</v>
      </c>
      <c r="F150" s="48">
        <f t="shared" ca="1" si="25"/>
        <v>1</v>
      </c>
      <c r="G150" s="48">
        <f ca="1">COUNTIF($P$47:P160,"&lt;"&amp;E150)</f>
        <v>102</v>
      </c>
      <c r="H150" s="48">
        <f t="shared" ca="1" si="26"/>
        <v>0</v>
      </c>
      <c r="I150" s="48" t="str">
        <f t="shared" ca="1" si="27"/>
        <v>Ocu</v>
      </c>
      <c r="J150" s="52">
        <f t="shared" ca="1" si="19"/>
        <v>2</v>
      </c>
      <c r="K150" s="53">
        <f t="shared" ca="1" si="16"/>
        <v>0.20504220123320138</v>
      </c>
      <c r="L150" s="54">
        <f t="shared" ca="1" si="28"/>
        <v>22.986849923265027</v>
      </c>
      <c r="M150" s="48">
        <f t="shared" ca="1" si="20"/>
        <v>0.02</v>
      </c>
      <c r="N150" s="48">
        <f t="shared" si="29"/>
        <v>6</v>
      </c>
      <c r="O150" s="51">
        <f t="shared" ca="1" si="21"/>
        <v>0.65200383423802433</v>
      </c>
      <c r="P150" s="51">
        <f t="shared" ca="1" si="22"/>
        <v>23.63885375750305</v>
      </c>
      <c r="Q150" s="55">
        <f t="shared" ca="1" si="30"/>
        <v>0.8570460354712246</v>
      </c>
    </row>
    <row r="151" spans="1:17" x14ac:dyDescent="0.25">
      <c r="A151" s="48">
        <v>105</v>
      </c>
      <c r="B151" s="48">
        <f t="shared" ca="1" si="17"/>
        <v>0.254</v>
      </c>
      <c r="C151" s="49">
        <f t="shared" si="23"/>
        <v>5</v>
      </c>
      <c r="D151" s="51">
        <f t="shared" ca="1" si="18"/>
        <v>0.27408420239272008</v>
      </c>
      <c r="E151" s="51">
        <f t="shared" ca="1" si="24"/>
        <v>23.055891924424547</v>
      </c>
      <c r="F151" s="48">
        <f t="shared" ca="1" si="25"/>
        <v>1</v>
      </c>
      <c r="G151" s="48">
        <f ca="1">COUNTIF($P$47:P161,"&lt;"&amp;E151)</f>
        <v>103</v>
      </c>
      <c r="H151" s="48">
        <f t="shared" ca="1" si="26"/>
        <v>1</v>
      </c>
      <c r="I151" s="48" t="str">
        <f t="shared" ca="1" si="27"/>
        <v>Ocu</v>
      </c>
      <c r="J151" s="52">
        <f t="shared" ca="1" si="19"/>
        <v>2</v>
      </c>
      <c r="K151" s="53">
        <f t="shared" ca="1" si="16"/>
        <v>0.58296183307850313</v>
      </c>
      <c r="L151" s="54">
        <f t="shared" ca="1" si="28"/>
        <v>23.63885375750305</v>
      </c>
      <c r="M151" s="48">
        <f t="shared" ca="1" si="20"/>
        <v>0.30499999999999999</v>
      </c>
      <c r="N151" s="48">
        <f t="shared" si="29"/>
        <v>6</v>
      </c>
      <c r="O151" s="51">
        <f t="shared" ca="1" si="21"/>
        <v>0.19790725039578755</v>
      </c>
      <c r="P151" s="51">
        <f t="shared" ca="1" si="22"/>
        <v>23.836761007898836</v>
      </c>
      <c r="Q151" s="55">
        <f t="shared" ca="1" si="30"/>
        <v>0.78086908347428974</v>
      </c>
    </row>
    <row r="152" spans="1:17" x14ac:dyDescent="0.25">
      <c r="A152" s="48">
        <v>106</v>
      </c>
      <c r="B152" s="48">
        <f t="shared" ca="1" si="17"/>
        <v>2.5000000000000001E-2</v>
      </c>
      <c r="C152" s="49">
        <f t="shared" si="23"/>
        <v>5</v>
      </c>
      <c r="D152" s="51">
        <f t="shared" ca="1" si="18"/>
        <v>0.73777589082278727</v>
      </c>
      <c r="E152" s="51">
        <f t="shared" ca="1" si="24"/>
        <v>23.793667815247336</v>
      </c>
      <c r="F152" s="48">
        <f t="shared" ca="1" si="25"/>
        <v>1</v>
      </c>
      <c r="G152" s="48">
        <f ca="1">COUNTIF($P$47:P162,"&lt;"&amp;E152)</f>
        <v>104</v>
      </c>
      <c r="H152" s="48">
        <f t="shared" ca="1" si="26"/>
        <v>1</v>
      </c>
      <c r="I152" s="48" t="str">
        <f t="shared" ca="1" si="27"/>
        <v>Ocu</v>
      </c>
      <c r="J152" s="52">
        <f t="shared" ca="1" si="19"/>
        <v>2</v>
      </c>
      <c r="K152" s="53">
        <f t="shared" ca="1" si="16"/>
        <v>4.30931926515008E-2</v>
      </c>
      <c r="L152" s="54">
        <f t="shared" ca="1" si="28"/>
        <v>23.836761007898836</v>
      </c>
      <c r="M152" s="48">
        <f t="shared" ca="1" si="20"/>
        <v>0.45</v>
      </c>
      <c r="N152" s="48">
        <f t="shared" si="29"/>
        <v>6</v>
      </c>
      <c r="O152" s="51">
        <f t="shared" ca="1" si="21"/>
        <v>0.13308461603629526</v>
      </c>
      <c r="P152" s="51">
        <f t="shared" ca="1" si="22"/>
        <v>23.969845623935132</v>
      </c>
      <c r="Q152" s="55">
        <f t="shared" ca="1" si="30"/>
        <v>0.17617780868779676</v>
      </c>
    </row>
    <row r="153" spans="1:17" x14ac:dyDescent="0.25">
      <c r="A153" s="48">
        <v>107</v>
      </c>
      <c r="B153" s="48">
        <f t="shared" ca="1" si="17"/>
        <v>0.245</v>
      </c>
      <c r="C153" s="49">
        <f t="shared" si="23"/>
        <v>5</v>
      </c>
      <c r="D153" s="51">
        <f t="shared" ca="1" si="18"/>
        <v>0.28129941368748201</v>
      </c>
      <c r="E153" s="51">
        <f t="shared" ca="1" si="24"/>
        <v>24.074967228934817</v>
      </c>
      <c r="F153" s="48">
        <f t="shared" ca="1" si="25"/>
        <v>0</v>
      </c>
      <c r="G153" s="48">
        <f ca="1">COUNTIF($P$47:P163,"&lt;"&amp;E153)</f>
        <v>106</v>
      </c>
      <c r="H153" s="48">
        <f t="shared" ca="1" si="26"/>
        <v>2</v>
      </c>
      <c r="I153" s="48" t="str">
        <f t="shared" ca="1" si="27"/>
        <v>Des</v>
      </c>
      <c r="J153" s="52">
        <f t="shared" ca="1" si="19"/>
        <v>1</v>
      </c>
      <c r="K153" s="53">
        <f t="shared" ca="1" si="16"/>
        <v>0</v>
      </c>
      <c r="L153" s="54">
        <f t="shared" ca="1" si="28"/>
        <v>24.074967228934817</v>
      </c>
      <c r="M153" s="48">
        <f t="shared" ca="1" si="20"/>
        <v>0.72399999999999998</v>
      </c>
      <c r="N153" s="48">
        <f t="shared" si="29"/>
        <v>6</v>
      </c>
      <c r="O153" s="51">
        <f t="shared" ca="1" si="21"/>
        <v>5.3827314432736785E-2</v>
      </c>
      <c r="P153" s="51">
        <f t="shared" ca="1" si="22"/>
        <v>24.128794543367555</v>
      </c>
      <c r="Q153" s="55">
        <f t="shared" ca="1" si="30"/>
        <v>5.3827314432737694E-2</v>
      </c>
    </row>
    <row r="154" spans="1:17" x14ac:dyDescent="0.25">
      <c r="A154" s="48">
        <v>108</v>
      </c>
      <c r="B154" s="48">
        <f t="shared" ca="1" si="17"/>
        <v>7.5999999999999998E-2</v>
      </c>
      <c r="C154" s="49">
        <f t="shared" si="23"/>
        <v>5</v>
      </c>
      <c r="D154" s="51">
        <f t="shared" ca="1" si="18"/>
        <v>0.51540438773916131</v>
      </c>
      <c r="E154" s="51">
        <f t="shared" ca="1" si="24"/>
        <v>24.590371616673977</v>
      </c>
      <c r="F154" s="48">
        <f t="shared" ca="1" si="25"/>
        <v>0</v>
      </c>
      <c r="G154" s="48">
        <f ca="1">COUNTIF($P$47:P164,"&lt;"&amp;E154)</f>
        <v>107</v>
      </c>
      <c r="H154" s="48">
        <f t="shared" ca="1" si="26"/>
        <v>1</v>
      </c>
      <c r="I154" s="48" t="str">
        <f t="shared" ca="1" si="27"/>
        <v>Des</v>
      </c>
      <c r="J154" s="52">
        <f t="shared" ca="1" si="19"/>
        <v>1</v>
      </c>
      <c r="K154" s="53">
        <f t="shared" ca="1" si="16"/>
        <v>0</v>
      </c>
      <c r="L154" s="54">
        <f t="shared" ca="1" si="28"/>
        <v>24.590371616673977</v>
      </c>
      <c r="M154" s="48">
        <f t="shared" ca="1" si="20"/>
        <v>9.7000000000000003E-2</v>
      </c>
      <c r="N154" s="48">
        <f t="shared" si="29"/>
        <v>6</v>
      </c>
      <c r="O154" s="51">
        <f t="shared" ca="1" si="21"/>
        <v>0.38884071674645898</v>
      </c>
      <c r="P154" s="51">
        <f t="shared" ca="1" si="22"/>
        <v>24.979212333420435</v>
      </c>
      <c r="Q154" s="55">
        <f t="shared" ca="1" si="30"/>
        <v>0.38884071674645782</v>
      </c>
    </row>
    <row r="155" spans="1:17" x14ac:dyDescent="0.25">
      <c r="A155" s="48">
        <v>109</v>
      </c>
      <c r="B155" s="48">
        <f t="shared" ca="1" si="17"/>
        <v>0.70399999999999996</v>
      </c>
      <c r="C155" s="49">
        <f t="shared" si="23"/>
        <v>5</v>
      </c>
      <c r="D155" s="51">
        <f t="shared" ca="1" si="18"/>
        <v>7.0195384564818955E-2</v>
      </c>
      <c r="E155" s="51">
        <f t="shared" ca="1" si="24"/>
        <v>24.660567001238796</v>
      </c>
      <c r="F155" s="48">
        <f t="shared" ca="1" si="25"/>
        <v>1</v>
      </c>
      <c r="G155" s="48">
        <f ca="1">COUNTIF($P$47:P165,"&lt;"&amp;E155)</f>
        <v>107</v>
      </c>
      <c r="H155" s="48">
        <f t="shared" ca="1" si="26"/>
        <v>0</v>
      </c>
      <c r="I155" s="48" t="str">
        <f t="shared" ca="1" si="27"/>
        <v>Ocu</v>
      </c>
      <c r="J155" s="52">
        <f t="shared" ca="1" si="19"/>
        <v>2</v>
      </c>
      <c r="K155" s="53">
        <f t="shared" ca="1" si="16"/>
        <v>0.31864533218163871</v>
      </c>
      <c r="L155" s="54">
        <f t="shared" ca="1" si="28"/>
        <v>24.979212333420435</v>
      </c>
      <c r="M155" s="48">
        <f t="shared" ca="1" si="20"/>
        <v>0.88600000000000001</v>
      </c>
      <c r="N155" s="48">
        <f t="shared" si="29"/>
        <v>6</v>
      </c>
      <c r="O155" s="51">
        <f t="shared" ca="1" si="21"/>
        <v>2.0173054729509362E-2</v>
      </c>
      <c r="P155" s="51">
        <f t="shared" ca="1" si="22"/>
        <v>24.999385388149943</v>
      </c>
      <c r="Q155" s="55">
        <f t="shared" ca="1" si="30"/>
        <v>0.33881838691114652</v>
      </c>
    </row>
    <row r="156" spans="1:17" x14ac:dyDescent="0.25">
      <c r="A156" s="48">
        <v>110</v>
      </c>
      <c r="B156" s="48">
        <f t="shared" ca="1" si="17"/>
        <v>1.7000000000000001E-2</v>
      </c>
      <c r="C156" s="49">
        <f t="shared" si="23"/>
        <v>5</v>
      </c>
      <c r="D156" s="51">
        <f t="shared" ca="1" si="18"/>
        <v>0.8149083869851842</v>
      </c>
      <c r="E156" s="51">
        <f t="shared" ca="1" si="24"/>
        <v>25.47547538822398</v>
      </c>
      <c r="F156" s="48">
        <f t="shared" ca="1" si="25"/>
        <v>0</v>
      </c>
      <c r="G156" s="48">
        <f ca="1">COUNTIF($P$47:P166,"&lt;"&amp;E156)</f>
        <v>109</v>
      </c>
      <c r="H156" s="48">
        <f t="shared" ca="1" si="26"/>
        <v>2</v>
      </c>
      <c r="I156" s="48" t="str">
        <f t="shared" ca="1" si="27"/>
        <v>Des</v>
      </c>
      <c r="J156" s="52">
        <f t="shared" ca="1" si="19"/>
        <v>1</v>
      </c>
      <c r="K156" s="53">
        <f t="shared" ca="1" si="16"/>
        <v>0</v>
      </c>
      <c r="L156" s="54">
        <f t="shared" ca="1" si="28"/>
        <v>25.47547538822398</v>
      </c>
      <c r="M156" s="48">
        <f t="shared" ca="1" si="20"/>
        <v>0.56499999999999995</v>
      </c>
      <c r="N156" s="48">
        <f t="shared" si="29"/>
        <v>6</v>
      </c>
      <c r="O156" s="51">
        <f t="shared" ca="1" si="21"/>
        <v>9.5154924639282684E-2</v>
      </c>
      <c r="P156" s="51">
        <f t="shared" ca="1" si="22"/>
        <v>25.570630312863262</v>
      </c>
      <c r="Q156" s="55">
        <f t="shared" ca="1" si="30"/>
        <v>9.5154924639281546E-2</v>
      </c>
    </row>
    <row r="157" spans="1:17" x14ac:dyDescent="0.25">
      <c r="A157" s="48">
        <v>111</v>
      </c>
      <c r="B157" s="48">
        <f t="shared" ca="1" si="17"/>
        <v>0.625</v>
      </c>
      <c r="C157" s="49">
        <f t="shared" si="23"/>
        <v>5</v>
      </c>
      <c r="D157" s="51">
        <f t="shared" ca="1" si="18"/>
        <v>9.4000725849147135E-2</v>
      </c>
      <c r="E157" s="51">
        <f t="shared" ca="1" si="24"/>
        <v>25.569476114073126</v>
      </c>
      <c r="F157" s="48">
        <f t="shared" ca="1" si="25"/>
        <v>1</v>
      </c>
      <c r="G157" s="48">
        <f ca="1">COUNTIF($P$47:P167,"&lt;"&amp;E157)</f>
        <v>109</v>
      </c>
      <c r="H157" s="48">
        <f t="shared" ca="1" si="26"/>
        <v>0</v>
      </c>
      <c r="I157" s="48" t="str">
        <f t="shared" ca="1" si="27"/>
        <v>Ocu</v>
      </c>
      <c r="J157" s="52">
        <f t="shared" ca="1" si="19"/>
        <v>2</v>
      </c>
      <c r="K157" s="53">
        <f t="shared" ca="1" si="16"/>
        <v>1.1541987901360073E-3</v>
      </c>
      <c r="L157" s="54">
        <f t="shared" ca="1" si="28"/>
        <v>25.570630312863262</v>
      </c>
      <c r="M157" s="48">
        <f t="shared" ca="1" si="20"/>
        <v>0.14199999999999999</v>
      </c>
      <c r="N157" s="48">
        <f t="shared" si="29"/>
        <v>6</v>
      </c>
      <c r="O157" s="51">
        <f t="shared" ca="1" si="21"/>
        <v>0.32532137023014607</v>
      </c>
      <c r="P157" s="51">
        <f t="shared" ca="1" si="22"/>
        <v>25.895951683093408</v>
      </c>
      <c r="Q157" s="55">
        <f t="shared" ca="1" si="30"/>
        <v>0.32647556902028185</v>
      </c>
    </row>
    <row r="158" spans="1:17" x14ac:dyDescent="0.25">
      <c r="A158" s="48">
        <v>112</v>
      </c>
      <c r="B158" s="48">
        <f t="shared" ca="1" si="17"/>
        <v>0.31</v>
      </c>
      <c r="C158" s="49">
        <f t="shared" si="23"/>
        <v>5</v>
      </c>
      <c r="D158" s="51">
        <f t="shared" ca="1" si="18"/>
        <v>0.23423659630058907</v>
      </c>
      <c r="E158" s="51">
        <f t="shared" ca="1" si="24"/>
        <v>25.803712710373716</v>
      </c>
      <c r="F158" s="48">
        <f t="shared" ca="1" si="25"/>
        <v>1</v>
      </c>
      <c r="G158" s="48">
        <f ca="1">COUNTIF($P$47:P168,"&lt;"&amp;E158)</f>
        <v>110</v>
      </c>
      <c r="H158" s="48">
        <f t="shared" ca="1" si="26"/>
        <v>1</v>
      </c>
      <c r="I158" s="48" t="str">
        <f t="shared" ca="1" si="27"/>
        <v>Ocu</v>
      </c>
      <c r="J158" s="52">
        <f t="shared" ca="1" si="19"/>
        <v>2</v>
      </c>
      <c r="K158" s="53">
        <f t="shared" ca="1" si="16"/>
        <v>9.2238972719691503E-2</v>
      </c>
      <c r="L158" s="54">
        <f t="shared" ca="1" si="28"/>
        <v>25.895951683093408</v>
      </c>
      <c r="M158" s="48">
        <f t="shared" ca="1" si="20"/>
        <v>0.123</v>
      </c>
      <c r="N158" s="48">
        <f t="shared" si="29"/>
        <v>6</v>
      </c>
      <c r="O158" s="51">
        <f t="shared" ca="1" si="21"/>
        <v>0.34926182060161992</v>
      </c>
      <c r="P158" s="51">
        <f t="shared" ca="1" si="22"/>
        <v>26.245213503695027</v>
      </c>
      <c r="Q158" s="55">
        <f t="shared" ca="1" si="30"/>
        <v>0.44150079332131043</v>
      </c>
    </row>
    <row r="159" spans="1:17" x14ac:dyDescent="0.25">
      <c r="A159" s="48">
        <v>113</v>
      </c>
      <c r="B159" s="48">
        <f t="shared" ca="1" si="17"/>
        <v>0.749</v>
      </c>
      <c r="C159" s="49">
        <f t="shared" si="23"/>
        <v>5</v>
      </c>
      <c r="D159" s="51">
        <f t="shared" ca="1" si="18"/>
        <v>5.7803259092983519E-2</v>
      </c>
      <c r="E159" s="51">
        <f t="shared" ca="1" si="24"/>
        <v>25.861515969466701</v>
      </c>
      <c r="F159" s="48">
        <f t="shared" ca="1" si="25"/>
        <v>2</v>
      </c>
      <c r="G159" s="48">
        <f ca="1">COUNTIF($P$47:P169,"&lt;"&amp;E159)</f>
        <v>110</v>
      </c>
      <c r="H159" s="48">
        <f t="shared" ca="1" si="26"/>
        <v>0</v>
      </c>
      <c r="I159" s="48" t="str">
        <f t="shared" ca="1" si="27"/>
        <v>Ocu</v>
      </c>
      <c r="J159" s="52">
        <f t="shared" ca="1" si="19"/>
        <v>3</v>
      </c>
      <c r="K159" s="53">
        <f t="shared" ca="1" si="16"/>
        <v>0.38369753422832531</v>
      </c>
      <c r="L159" s="54">
        <f t="shared" ca="1" si="28"/>
        <v>26.245213503695027</v>
      </c>
      <c r="M159" s="48">
        <f t="shared" ca="1" si="20"/>
        <v>0.57999999999999996</v>
      </c>
      <c r="N159" s="48">
        <f t="shared" si="29"/>
        <v>6</v>
      </c>
      <c r="O159" s="51">
        <f t="shared" ca="1" si="21"/>
        <v>9.0787862573612016E-2</v>
      </c>
      <c r="P159" s="51">
        <f t="shared" ca="1" si="22"/>
        <v>26.33600136626864</v>
      </c>
      <c r="Q159" s="55">
        <f t="shared" ca="1" si="30"/>
        <v>0.47448539680193846</v>
      </c>
    </row>
    <row r="160" spans="1:17" x14ac:dyDescent="0.25">
      <c r="A160" s="48">
        <v>114</v>
      </c>
      <c r="B160" s="48">
        <f t="shared" ca="1" si="17"/>
        <v>0.35199999999999998</v>
      </c>
      <c r="C160" s="49">
        <f t="shared" si="23"/>
        <v>5</v>
      </c>
      <c r="D160" s="51">
        <f t="shared" ca="1" si="18"/>
        <v>0.20882482067680802</v>
      </c>
      <c r="E160" s="51">
        <f t="shared" ca="1" si="24"/>
        <v>26.070340790143508</v>
      </c>
      <c r="F160" s="48">
        <f t="shared" ca="1" si="25"/>
        <v>2</v>
      </c>
      <c r="G160" s="48">
        <f ca="1">COUNTIF($P$47:P170,"&lt;"&amp;E160)</f>
        <v>111</v>
      </c>
      <c r="H160" s="48">
        <f t="shared" ca="1" si="26"/>
        <v>1</v>
      </c>
      <c r="I160" s="48" t="str">
        <f t="shared" ca="1" si="27"/>
        <v>Ocu</v>
      </c>
      <c r="J160" s="52">
        <f t="shared" ca="1" si="19"/>
        <v>3</v>
      </c>
      <c r="K160" s="53">
        <f t="shared" ca="1" si="16"/>
        <v>0.26566057612513205</v>
      </c>
      <c r="L160" s="54">
        <f t="shared" ca="1" si="28"/>
        <v>26.33600136626864</v>
      </c>
      <c r="M160" s="48">
        <f t="shared" ca="1" si="20"/>
        <v>0.48399999999999999</v>
      </c>
      <c r="N160" s="48">
        <f t="shared" si="29"/>
        <v>6</v>
      </c>
      <c r="O160" s="51">
        <f t="shared" ca="1" si="21"/>
        <v>0.1209450620442509</v>
      </c>
      <c r="P160" s="51">
        <f t="shared" ca="1" si="22"/>
        <v>26.456946428312889</v>
      </c>
      <c r="Q160" s="55">
        <f t="shared" ca="1" si="30"/>
        <v>0.38660563816938165</v>
      </c>
    </row>
    <row r="161" spans="1:17" x14ac:dyDescent="0.25">
      <c r="A161" s="48">
        <v>115</v>
      </c>
      <c r="B161" s="48">
        <f t="shared" ca="1" si="17"/>
        <v>0.77500000000000002</v>
      </c>
      <c r="C161" s="49">
        <f t="shared" si="23"/>
        <v>5</v>
      </c>
      <c r="D161" s="51">
        <f t="shared" ca="1" si="18"/>
        <v>5.0978449925758007E-2</v>
      </c>
      <c r="E161" s="51">
        <f t="shared" ca="1" si="24"/>
        <v>26.121319240069266</v>
      </c>
      <c r="F161" s="48">
        <f t="shared" ca="1" si="25"/>
        <v>3</v>
      </c>
      <c r="G161" s="48">
        <f ca="1">COUNTIF($P$47:P171,"&lt;"&amp;E161)</f>
        <v>111</v>
      </c>
      <c r="H161" s="48">
        <f t="shared" ca="1" si="26"/>
        <v>0</v>
      </c>
      <c r="I161" s="48" t="str">
        <f t="shared" ca="1" si="27"/>
        <v>Ocu</v>
      </c>
      <c r="J161" s="52">
        <f t="shared" ca="1" si="19"/>
        <v>4</v>
      </c>
      <c r="K161" s="53">
        <f t="shared" ca="1" si="16"/>
        <v>0.33562718824362392</v>
      </c>
      <c r="L161" s="54">
        <f t="shared" ca="1" si="28"/>
        <v>26.456946428312889</v>
      </c>
      <c r="M161" s="48">
        <f t="shared" ca="1" si="20"/>
        <v>5.8999999999999997E-2</v>
      </c>
      <c r="N161" s="48">
        <f t="shared" si="29"/>
        <v>6</v>
      </c>
      <c r="O161" s="51">
        <f t="shared" ca="1" si="21"/>
        <v>0.47170297251273624</v>
      </c>
      <c r="P161" s="51">
        <f t="shared" ca="1" si="22"/>
        <v>26.928649400825627</v>
      </c>
      <c r="Q161" s="55">
        <f t="shared" ca="1" si="30"/>
        <v>0.80733016075636144</v>
      </c>
    </row>
    <row r="162" spans="1:17" x14ac:dyDescent="0.25">
      <c r="A162" s="48">
        <v>116</v>
      </c>
      <c r="B162" s="48">
        <f t="shared" ca="1" si="17"/>
        <v>0.48599999999999999</v>
      </c>
      <c r="C162" s="49">
        <f t="shared" si="23"/>
        <v>5</v>
      </c>
      <c r="D162" s="51">
        <f t="shared" ca="1" si="18"/>
        <v>0.14430933101632867</v>
      </c>
      <c r="E162" s="51">
        <f t="shared" ca="1" si="24"/>
        <v>26.265628571085593</v>
      </c>
      <c r="F162" s="48">
        <f t="shared" ca="1" si="25"/>
        <v>3</v>
      </c>
      <c r="G162" s="48">
        <f ca="1">COUNTIF($P$47:P172,"&lt;"&amp;E162)</f>
        <v>112</v>
      </c>
      <c r="H162" s="48">
        <f t="shared" ca="1" si="26"/>
        <v>1</v>
      </c>
      <c r="I162" s="48" t="str">
        <f t="shared" ca="1" si="27"/>
        <v>Ocu</v>
      </c>
      <c r="J162" s="52">
        <f t="shared" ca="1" si="19"/>
        <v>4</v>
      </c>
      <c r="K162" s="53">
        <f t="shared" ca="1" si="16"/>
        <v>0.6630208297400344</v>
      </c>
      <c r="L162" s="54">
        <f t="shared" ca="1" si="28"/>
        <v>26.928649400825627</v>
      </c>
      <c r="M162" s="48">
        <f t="shared" ca="1" si="20"/>
        <v>0.437</v>
      </c>
      <c r="N162" s="48">
        <f t="shared" si="29"/>
        <v>6</v>
      </c>
      <c r="O162" s="51">
        <f t="shared" ca="1" si="21"/>
        <v>0.13797034731442448</v>
      </c>
      <c r="P162" s="51">
        <f t="shared" ca="1" si="22"/>
        <v>27.066619748140052</v>
      </c>
      <c r="Q162" s="55">
        <f t="shared" ca="1" si="30"/>
        <v>0.80099117705445977</v>
      </c>
    </row>
    <row r="163" spans="1:17" x14ac:dyDescent="0.25">
      <c r="A163" s="48">
        <v>117</v>
      </c>
      <c r="B163" s="48">
        <f t="shared" ca="1" si="17"/>
        <v>0.91800000000000004</v>
      </c>
      <c r="C163" s="49">
        <f t="shared" si="23"/>
        <v>5</v>
      </c>
      <c r="D163" s="51">
        <f t="shared" ca="1" si="18"/>
        <v>1.7111577672329317E-2</v>
      </c>
      <c r="E163" s="51">
        <f t="shared" ca="1" si="24"/>
        <v>26.28274014875792</v>
      </c>
      <c r="F163" s="48">
        <f t="shared" ca="1" si="25"/>
        <v>4</v>
      </c>
      <c r="G163" s="48">
        <f ca="1">COUNTIF($P$47:P173,"&lt;"&amp;E163)</f>
        <v>112</v>
      </c>
      <c r="H163" s="48">
        <f t="shared" ca="1" si="26"/>
        <v>0</v>
      </c>
      <c r="I163" s="48" t="str">
        <f t="shared" ca="1" si="27"/>
        <v>Ocu</v>
      </c>
      <c r="J163" s="52">
        <f t="shared" ca="1" si="19"/>
        <v>5</v>
      </c>
      <c r="K163" s="53">
        <f t="shared" ca="1" si="16"/>
        <v>0.78387959938213214</v>
      </c>
      <c r="L163" s="54">
        <f t="shared" ca="1" si="28"/>
        <v>27.066619748140052</v>
      </c>
      <c r="M163" s="48">
        <f t="shared" ca="1" si="20"/>
        <v>0.24299999999999999</v>
      </c>
      <c r="N163" s="48">
        <f t="shared" si="29"/>
        <v>6</v>
      </c>
      <c r="O163" s="51">
        <f t="shared" ca="1" si="21"/>
        <v>0.23578230594026475</v>
      </c>
      <c r="P163" s="51">
        <f t="shared" ca="1" si="22"/>
        <v>27.302402054080318</v>
      </c>
      <c r="Q163" s="55">
        <f t="shared" ca="1" si="30"/>
        <v>1.0196619053223976</v>
      </c>
    </row>
    <row r="164" spans="1:17" x14ac:dyDescent="0.25">
      <c r="A164" s="48">
        <v>118</v>
      </c>
      <c r="B164" s="48">
        <f t="shared" ca="1" si="17"/>
        <v>0.93700000000000006</v>
      </c>
      <c r="C164" s="49">
        <f t="shared" si="23"/>
        <v>5</v>
      </c>
      <c r="D164" s="51">
        <f t="shared" ca="1" si="18"/>
        <v>1.3014399348742959E-2</v>
      </c>
      <c r="E164" s="51">
        <f t="shared" ca="1" si="24"/>
        <v>26.295754548106665</v>
      </c>
      <c r="F164" s="48">
        <f t="shared" ca="1" si="25"/>
        <v>5</v>
      </c>
      <c r="G164" s="48">
        <f ca="1">COUNTIF($P$47:P174,"&lt;"&amp;E164)</f>
        <v>112</v>
      </c>
      <c r="H164" s="48">
        <f t="shared" ca="1" si="26"/>
        <v>0</v>
      </c>
      <c r="I164" s="48" t="str">
        <f t="shared" ca="1" si="27"/>
        <v>Ocu</v>
      </c>
      <c r="J164" s="52">
        <f t="shared" ca="1" si="19"/>
        <v>6</v>
      </c>
      <c r="K164" s="53">
        <f t="shared" ca="1" si="16"/>
        <v>1.0066475059736533</v>
      </c>
      <c r="L164" s="54">
        <f t="shared" ca="1" si="28"/>
        <v>27.302402054080318</v>
      </c>
      <c r="M164" s="48">
        <f t="shared" ca="1" si="20"/>
        <v>0.75600000000000001</v>
      </c>
      <c r="N164" s="48">
        <f t="shared" si="29"/>
        <v>6</v>
      </c>
      <c r="O164" s="51">
        <f t="shared" ca="1" si="21"/>
        <v>4.6618983800434013E-2</v>
      </c>
      <c r="P164" s="51">
        <f t="shared" ca="1" si="22"/>
        <v>27.349021037880753</v>
      </c>
      <c r="Q164" s="55">
        <f t="shared" ca="1" si="30"/>
        <v>1.0532664897740887</v>
      </c>
    </row>
    <row r="165" spans="1:17" x14ac:dyDescent="0.25">
      <c r="A165" s="48">
        <v>119</v>
      </c>
      <c r="B165" s="48">
        <f t="shared" ca="1" si="17"/>
        <v>2.8000000000000001E-2</v>
      </c>
      <c r="C165" s="49">
        <f t="shared" si="23"/>
        <v>5</v>
      </c>
      <c r="D165" s="51">
        <f t="shared" ca="1" si="18"/>
        <v>0.71511015376138665</v>
      </c>
      <c r="E165" s="51">
        <f t="shared" ca="1" si="24"/>
        <v>27.010864701868051</v>
      </c>
      <c r="F165" s="48">
        <f t="shared" ca="1" si="25"/>
        <v>3</v>
      </c>
      <c r="G165" s="48">
        <f ca="1">COUNTIF($P$47:P175,"&lt;"&amp;E165)</f>
        <v>115</v>
      </c>
      <c r="H165" s="48">
        <f t="shared" ca="1" si="26"/>
        <v>3</v>
      </c>
      <c r="I165" s="48" t="str">
        <f t="shared" ca="1" si="27"/>
        <v>Ocu</v>
      </c>
      <c r="J165" s="52">
        <f t="shared" ca="1" si="19"/>
        <v>4</v>
      </c>
      <c r="K165" s="53">
        <f t="shared" ca="1" si="16"/>
        <v>0.33815633601270179</v>
      </c>
      <c r="L165" s="54">
        <f t="shared" ca="1" si="28"/>
        <v>27.349021037880753</v>
      </c>
      <c r="M165" s="48">
        <f t="shared" ca="1" si="20"/>
        <v>4.5999999999999999E-2</v>
      </c>
      <c r="N165" s="48">
        <f t="shared" si="29"/>
        <v>6</v>
      </c>
      <c r="O165" s="51">
        <f t="shared" ca="1" si="21"/>
        <v>0.51318564708217362</v>
      </c>
      <c r="P165" s="51">
        <f t="shared" ca="1" si="22"/>
        <v>27.862206684962928</v>
      </c>
      <c r="Q165" s="55">
        <f t="shared" ca="1" si="30"/>
        <v>0.8513419830948763</v>
      </c>
    </row>
    <row r="166" spans="1:17" x14ac:dyDescent="0.25">
      <c r="A166" s="48">
        <v>120</v>
      </c>
      <c r="B166" s="48">
        <f t="shared" ca="1" si="17"/>
        <v>0.307</v>
      </c>
      <c r="C166" s="49">
        <f t="shared" si="23"/>
        <v>5</v>
      </c>
      <c r="D166" s="51">
        <f t="shared" ca="1" si="18"/>
        <v>0.23618150627898801</v>
      </c>
      <c r="E166" s="51">
        <f t="shared" ca="1" si="24"/>
        <v>27.24704620814704</v>
      </c>
      <c r="F166" s="48">
        <f t="shared" ca="1" si="25"/>
        <v>3</v>
      </c>
      <c r="G166" s="48">
        <f ca="1">COUNTIF($P$47:P176,"&lt;"&amp;E166)</f>
        <v>116</v>
      </c>
      <c r="H166" s="48">
        <f t="shared" ca="1" si="26"/>
        <v>1</v>
      </c>
      <c r="I166" s="48" t="str">
        <f t="shared" ca="1" si="27"/>
        <v>Ocu</v>
      </c>
      <c r="J166" s="52">
        <f t="shared" ca="1" si="19"/>
        <v>4</v>
      </c>
      <c r="K166" s="53">
        <f t="shared" ca="1" si="16"/>
        <v>0.61516047681588759</v>
      </c>
      <c r="L166" s="54">
        <f t="shared" ca="1" si="28"/>
        <v>27.862206684962928</v>
      </c>
      <c r="M166" s="48">
        <f t="shared" ca="1" si="20"/>
        <v>0.89800000000000002</v>
      </c>
      <c r="N166" s="48">
        <f t="shared" si="29"/>
        <v>6</v>
      </c>
      <c r="O166" s="51">
        <f t="shared" ca="1" si="21"/>
        <v>1.7930868446656235E-2</v>
      </c>
      <c r="P166" s="51">
        <f t="shared" ca="1" si="22"/>
        <v>27.880137553409583</v>
      </c>
      <c r="Q166" s="55">
        <f t="shared" ca="1" si="30"/>
        <v>0.6330913452625424</v>
      </c>
    </row>
    <row r="167" spans="1:17" x14ac:dyDescent="0.25">
      <c r="A167" s="48">
        <v>121</v>
      </c>
      <c r="B167" s="48">
        <f t="shared" ca="1" si="17"/>
        <v>0.43</v>
      </c>
      <c r="C167" s="49">
        <f t="shared" si="23"/>
        <v>5</v>
      </c>
      <c r="D167" s="51">
        <f t="shared" ca="1" si="18"/>
        <v>0.16879401405890582</v>
      </c>
      <c r="E167" s="51">
        <f t="shared" ca="1" si="24"/>
        <v>27.415840222205947</v>
      </c>
      <c r="F167" s="48">
        <f t="shared" ca="1" si="25"/>
        <v>2</v>
      </c>
      <c r="G167" s="48">
        <f ca="1">COUNTIF($P$47:P177,"&lt;"&amp;E167)</f>
        <v>118</v>
      </c>
      <c r="H167" s="48">
        <f t="shared" ca="1" si="26"/>
        <v>2</v>
      </c>
      <c r="I167" s="48" t="str">
        <f t="shared" ca="1" si="27"/>
        <v>Ocu</v>
      </c>
      <c r="J167" s="52">
        <f t="shared" ca="1" si="19"/>
        <v>3</v>
      </c>
      <c r="K167" s="53">
        <f t="shared" ca="1" si="16"/>
        <v>0.46429733120363537</v>
      </c>
      <c r="L167" s="54">
        <f t="shared" ca="1" si="28"/>
        <v>27.880137553409583</v>
      </c>
      <c r="M167" s="48">
        <f t="shared" ca="1" si="20"/>
        <v>0.67400000000000004</v>
      </c>
      <c r="N167" s="48">
        <f t="shared" si="29"/>
        <v>6</v>
      </c>
      <c r="O167" s="51">
        <f t="shared" ca="1" si="21"/>
        <v>6.5754194678304984E-2</v>
      </c>
      <c r="P167" s="51">
        <f t="shared" ca="1" si="22"/>
        <v>27.945891748087888</v>
      </c>
      <c r="Q167" s="55">
        <f t="shared" ca="1" si="30"/>
        <v>0.53005152588194093</v>
      </c>
    </row>
    <row r="168" spans="1:17" x14ac:dyDescent="0.25">
      <c r="A168" s="48">
        <v>122</v>
      </c>
      <c r="B168" s="48">
        <f t="shared" ca="1" si="17"/>
        <v>0.61699999999999999</v>
      </c>
      <c r="C168" s="49">
        <f t="shared" si="23"/>
        <v>5</v>
      </c>
      <c r="D168" s="51">
        <f t="shared" ca="1" si="18"/>
        <v>9.6577251015349849E-2</v>
      </c>
      <c r="E168" s="51">
        <f t="shared" ca="1" si="24"/>
        <v>27.512417473221298</v>
      </c>
      <c r="F168" s="48">
        <f t="shared" ca="1" si="25"/>
        <v>3</v>
      </c>
      <c r="G168" s="48">
        <f ca="1">COUNTIF($P$47:P178,"&lt;"&amp;E168)</f>
        <v>118</v>
      </c>
      <c r="H168" s="48">
        <f t="shared" ca="1" si="26"/>
        <v>0</v>
      </c>
      <c r="I168" s="48" t="str">
        <f t="shared" ca="1" si="27"/>
        <v>Ocu</v>
      </c>
      <c r="J168" s="52">
        <f t="shared" ca="1" si="19"/>
        <v>4</v>
      </c>
      <c r="K168" s="53">
        <f t="shared" ca="1" si="16"/>
        <v>0.43347427486659029</v>
      </c>
      <c r="L168" s="54">
        <f t="shared" ca="1" si="28"/>
        <v>27.945891748087888</v>
      </c>
      <c r="M168" s="48">
        <f t="shared" ca="1" si="20"/>
        <v>0.52800000000000002</v>
      </c>
      <c r="N168" s="48">
        <f t="shared" si="29"/>
        <v>6</v>
      </c>
      <c r="O168" s="51">
        <f t="shared" ca="1" si="21"/>
        <v>0.10644316587931259</v>
      </c>
      <c r="P168" s="51">
        <f t="shared" ca="1" si="22"/>
        <v>28.052334913967201</v>
      </c>
      <c r="Q168" s="55">
        <f t="shared" ca="1" si="30"/>
        <v>0.53991744074590287</v>
      </c>
    </row>
    <row r="169" spans="1:17" x14ac:dyDescent="0.25">
      <c r="A169" s="48">
        <v>123</v>
      </c>
      <c r="B169" s="48">
        <f t="shared" ca="1" si="17"/>
        <v>0.20200000000000001</v>
      </c>
      <c r="C169" s="49">
        <f t="shared" si="23"/>
        <v>5</v>
      </c>
      <c r="D169" s="51">
        <f t="shared" ca="1" si="18"/>
        <v>0.31989751631618646</v>
      </c>
      <c r="E169" s="51">
        <f t="shared" ca="1" si="24"/>
        <v>27.832314989537483</v>
      </c>
      <c r="F169" s="48">
        <f t="shared" ca="1" si="25"/>
        <v>4</v>
      </c>
      <c r="G169" s="48">
        <f ca="1">COUNTIF($P$47:P179,"&lt;"&amp;E169)</f>
        <v>118</v>
      </c>
      <c r="H169" s="48">
        <f t="shared" ca="1" si="26"/>
        <v>0</v>
      </c>
      <c r="I169" s="48" t="str">
        <f t="shared" ca="1" si="27"/>
        <v>Ocu</v>
      </c>
      <c r="J169" s="52">
        <f t="shared" ca="1" si="19"/>
        <v>5</v>
      </c>
      <c r="K169" s="53">
        <f t="shared" ca="1" si="16"/>
        <v>0.22001992442971741</v>
      </c>
      <c r="L169" s="54">
        <f t="shared" ca="1" si="28"/>
        <v>28.052334913967201</v>
      </c>
      <c r="M169" s="48">
        <f t="shared" ca="1" si="20"/>
        <v>0.184</v>
      </c>
      <c r="N169" s="48">
        <f t="shared" si="29"/>
        <v>6</v>
      </c>
      <c r="O169" s="51">
        <f t="shared" ca="1" si="21"/>
        <v>0.28213658689552523</v>
      </c>
      <c r="P169" s="51">
        <f t="shared" ca="1" si="22"/>
        <v>28.334471500862726</v>
      </c>
      <c r="Q169" s="55">
        <f t="shared" ca="1" si="30"/>
        <v>0.50215651132524286</v>
      </c>
    </row>
    <row r="170" spans="1:17" x14ac:dyDescent="0.25">
      <c r="A170" s="48">
        <v>124</v>
      </c>
      <c r="B170" s="48">
        <f t="shared" ca="1" si="17"/>
        <v>1.4999999999999999E-2</v>
      </c>
      <c r="C170" s="49">
        <f t="shared" si="23"/>
        <v>5</v>
      </c>
      <c r="D170" s="51">
        <f t="shared" ca="1" si="18"/>
        <v>0.83994101557598544</v>
      </c>
      <c r="E170" s="51">
        <f t="shared" ca="1" si="24"/>
        <v>28.672256005113468</v>
      </c>
      <c r="F170" s="48">
        <f t="shared" ca="1" si="25"/>
        <v>0</v>
      </c>
      <c r="G170" s="48">
        <f ca="1">COUNTIF($P$47:P180,"&lt;"&amp;E170)</f>
        <v>123</v>
      </c>
      <c r="H170" s="48">
        <f t="shared" ca="1" si="26"/>
        <v>5</v>
      </c>
      <c r="I170" s="48" t="str">
        <f t="shared" ca="1" si="27"/>
        <v>Des</v>
      </c>
      <c r="J170" s="52">
        <f t="shared" ca="1" si="19"/>
        <v>1</v>
      </c>
      <c r="K170" s="53">
        <f t="shared" ca="1" si="16"/>
        <v>0</v>
      </c>
      <c r="L170" s="54">
        <f t="shared" ca="1" si="28"/>
        <v>28.672256005113468</v>
      </c>
      <c r="M170" s="48">
        <f t="shared" ca="1" si="20"/>
        <v>0.86399999999999999</v>
      </c>
      <c r="N170" s="48">
        <f t="shared" si="29"/>
        <v>6</v>
      </c>
      <c r="O170" s="51">
        <f t="shared" ca="1" si="21"/>
        <v>2.4363751696346907E-2</v>
      </c>
      <c r="P170" s="51">
        <f t="shared" ca="1" si="22"/>
        <v>28.696619756809813</v>
      </c>
      <c r="Q170" s="55">
        <f t="shared" ca="1" si="30"/>
        <v>2.4363751696345304E-2</v>
      </c>
    </row>
    <row r="171" spans="1:17" x14ac:dyDescent="0.25">
      <c r="A171" s="48">
        <v>125</v>
      </c>
      <c r="B171" s="48">
        <f t="shared" ca="1" si="17"/>
        <v>0.9</v>
      </c>
      <c r="C171" s="49">
        <f t="shared" si="23"/>
        <v>5</v>
      </c>
      <c r="D171" s="51">
        <f t="shared" ca="1" si="18"/>
        <v>2.1072103131565271E-2</v>
      </c>
      <c r="E171" s="51">
        <f t="shared" ca="1" si="24"/>
        <v>28.693328108245034</v>
      </c>
      <c r="F171" s="48">
        <f t="shared" ca="1" si="25"/>
        <v>1</v>
      </c>
      <c r="G171" s="48">
        <f ca="1">COUNTIF($P$47:P181,"&lt;"&amp;E171)</f>
        <v>123</v>
      </c>
      <c r="H171" s="48">
        <f t="shared" ca="1" si="26"/>
        <v>0</v>
      </c>
      <c r="I171" s="48" t="str">
        <f t="shared" ca="1" si="27"/>
        <v>Ocu</v>
      </c>
      <c r="J171" s="52">
        <f t="shared" ca="1" si="19"/>
        <v>2</v>
      </c>
      <c r="K171" s="53">
        <f t="shared" ca="1" si="16"/>
        <v>3.2916485647795923E-3</v>
      </c>
      <c r="L171" s="54">
        <f t="shared" ca="1" si="28"/>
        <v>28.696619756809813</v>
      </c>
      <c r="M171" s="48">
        <f t="shared" ca="1" si="20"/>
        <v>0.94</v>
      </c>
      <c r="N171" s="48">
        <f t="shared" si="29"/>
        <v>6</v>
      </c>
      <c r="O171" s="51">
        <f t="shared" ca="1" si="21"/>
        <v>1.0312567286347909E-2</v>
      </c>
      <c r="P171" s="51">
        <f t="shared" ca="1" si="22"/>
        <v>28.706932324096162</v>
      </c>
      <c r="Q171" s="55">
        <f t="shared" ca="1" si="30"/>
        <v>1.3604215851128032E-2</v>
      </c>
    </row>
    <row r="172" spans="1:17" x14ac:dyDescent="0.25">
      <c r="A172" s="48">
        <v>126</v>
      </c>
      <c r="B172" s="48">
        <f t="shared" ca="1" si="17"/>
        <v>0.41199999999999998</v>
      </c>
      <c r="C172" s="49">
        <f t="shared" si="23"/>
        <v>5</v>
      </c>
      <c r="D172" s="51">
        <f t="shared" ca="1" si="18"/>
        <v>0.17734638592652216</v>
      </c>
      <c r="E172" s="51">
        <f t="shared" ca="1" si="24"/>
        <v>28.870674494171556</v>
      </c>
      <c r="F172" s="48">
        <f t="shared" ca="1" si="25"/>
        <v>0</v>
      </c>
      <c r="G172" s="48">
        <f ca="1">COUNTIF($P$47:P182,"&lt;"&amp;E172)</f>
        <v>125</v>
      </c>
      <c r="H172" s="48">
        <f t="shared" ca="1" si="26"/>
        <v>2</v>
      </c>
      <c r="I172" s="48" t="str">
        <f t="shared" ca="1" si="27"/>
        <v>Des</v>
      </c>
      <c r="J172" s="52">
        <f t="shared" ca="1" si="19"/>
        <v>1</v>
      </c>
      <c r="K172" s="53">
        <f t="shared" ca="1" si="16"/>
        <v>0</v>
      </c>
      <c r="L172" s="54">
        <f t="shared" ca="1" si="28"/>
        <v>28.870674494171556</v>
      </c>
      <c r="M172" s="48">
        <f t="shared" ca="1" si="20"/>
        <v>0.47199999999999998</v>
      </c>
      <c r="N172" s="48">
        <f t="shared" si="29"/>
        <v>6</v>
      </c>
      <c r="O172" s="51">
        <f t="shared" ca="1" si="21"/>
        <v>0.1251293822327636</v>
      </c>
      <c r="P172" s="51">
        <f t="shared" ca="1" si="22"/>
        <v>28.99580387640432</v>
      </c>
      <c r="Q172" s="55">
        <f t="shared" ca="1" si="30"/>
        <v>0.12512938223276393</v>
      </c>
    </row>
    <row r="173" spans="1:17" x14ac:dyDescent="0.25">
      <c r="A173" s="48">
        <v>127</v>
      </c>
      <c r="B173" s="48">
        <f t="shared" ca="1" si="17"/>
        <v>0.35</v>
      </c>
      <c r="C173" s="49">
        <f t="shared" si="23"/>
        <v>5</v>
      </c>
      <c r="D173" s="51">
        <f t="shared" ca="1" si="18"/>
        <v>0.20996442489973555</v>
      </c>
      <c r="E173" s="51">
        <f t="shared" ca="1" si="24"/>
        <v>29.080638919071291</v>
      </c>
      <c r="F173" s="48">
        <f t="shared" ca="1" si="25"/>
        <v>0</v>
      </c>
      <c r="G173" s="48">
        <f ca="1">COUNTIF($P$47:P183,"&lt;"&amp;E173)</f>
        <v>126</v>
      </c>
      <c r="H173" s="48">
        <f t="shared" ca="1" si="26"/>
        <v>1</v>
      </c>
      <c r="I173" s="48" t="str">
        <f t="shared" ca="1" si="27"/>
        <v>Des</v>
      </c>
      <c r="J173" s="52">
        <f t="shared" ca="1" si="19"/>
        <v>1</v>
      </c>
      <c r="K173" s="53">
        <f t="shared" ca="1" si="16"/>
        <v>0</v>
      </c>
      <c r="L173" s="54">
        <f t="shared" ca="1" si="28"/>
        <v>29.080638919071291</v>
      </c>
      <c r="M173" s="48">
        <f t="shared" ca="1" si="20"/>
        <v>0.153</v>
      </c>
      <c r="N173" s="48">
        <f t="shared" si="29"/>
        <v>6</v>
      </c>
      <c r="O173" s="51">
        <f t="shared" ca="1" si="21"/>
        <v>0.31288622626495022</v>
      </c>
      <c r="P173" s="51">
        <f t="shared" ca="1" si="22"/>
        <v>29.393525145336241</v>
      </c>
      <c r="Q173" s="55">
        <f t="shared" ca="1" si="30"/>
        <v>0.31288622626495055</v>
      </c>
    </row>
    <row r="174" spans="1:17" x14ac:dyDescent="0.25">
      <c r="A174" s="48">
        <v>128</v>
      </c>
      <c r="B174" s="48">
        <f t="shared" ca="1" si="17"/>
        <v>0.754</v>
      </c>
      <c r="C174" s="49">
        <f t="shared" si="23"/>
        <v>5</v>
      </c>
      <c r="D174" s="51">
        <f t="shared" ca="1" si="18"/>
        <v>5.6472582194836196E-2</v>
      </c>
      <c r="E174" s="51">
        <f t="shared" ca="1" si="24"/>
        <v>29.137111501266126</v>
      </c>
      <c r="F174" s="48">
        <f t="shared" ca="1" si="25"/>
        <v>1</v>
      </c>
      <c r="G174" s="48">
        <f ca="1">COUNTIF($P$47:P184,"&lt;"&amp;E174)</f>
        <v>126</v>
      </c>
      <c r="H174" s="48">
        <f t="shared" ca="1" si="26"/>
        <v>0</v>
      </c>
      <c r="I174" s="48" t="str">
        <f t="shared" ca="1" si="27"/>
        <v>Ocu</v>
      </c>
      <c r="J174" s="52">
        <f t="shared" ca="1" si="19"/>
        <v>2</v>
      </c>
      <c r="K174" s="53">
        <f t="shared" ca="1" si="16"/>
        <v>0.2564136440701148</v>
      </c>
      <c r="L174" s="54">
        <f t="shared" ca="1" si="28"/>
        <v>29.393525145336241</v>
      </c>
      <c r="M174" s="48">
        <f t="shared" ca="1" si="20"/>
        <v>0.58599999999999997</v>
      </c>
      <c r="N174" s="48">
        <f t="shared" si="29"/>
        <v>6</v>
      </c>
      <c r="O174" s="51">
        <f t="shared" ca="1" si="21"/>
        <v>8.9072581567520751E-2</v>
      </c>
      <c r="P174" s="51">
        <f t="shared" ca="1" si="22"/>
        <v>29.482597726903762</v>
      </c>
      <c r="Q174" s="55">
        <f t="shared" ca="1" si="30"/>
        <v>0.34548622563763587</v>
      </c>
    </row>
    <row r="175" spans="1:17" x14ac:dyDescent="0.25">
      <c r="A175" s="48">
        <v>129</v>
      </c>
      <c r="B175" s="48">
        <f t="shared" ca="1" si="17"/>
        <v>0.42899999999999999</v>
      </c>
      <c r="C175" s="49">
        <f t="shared" si="23"/>
        <v>5</v>
      </c>
      <c r="D175" s="51">
        <f t="shared" ca="1" si="18"/>
        <v>0.16925967201082404</v>
      </c>
      <c r="E175" s="51">
        <f t="shared" ca="1" si="24"/>
        <v>29.306371173276951</v>
      </c>
      <c r="F175" s="48">
        <f t="shared" ca="1" si="25"/>
        <v>2</v>
      </c>
      <c r="G175" s="48">
        <f ca="1">COUNTIF($P$47:P185,"&lt;"&amp;E175)</f>
        <v>126</v>
      </c>
      <c r="H175" s="48">
        <f t="shared" ca="1" si="26"/>
        <v>0</v>
      </c>
      <c r="I175" s="48" t="str">
        <f t="shared" ca="1" si="27"/>
        <v>Ocu</v>
      </c>
      <c r="J175" s="52">
        <f t="shared" ca="1" si="19"/>
        <v>3</v>
      </c>
      <c r="K175" s="53">
        <f t="shared" ref="K175:K238" ca="1" si="31">L175-E175</f>
        <v>0.17622655362681172</v>
      </c>
      <c r="L175" s="54">
        <f t="shared" ca="1" si="28"/>
        <v>29.482597726903762</v>
      </c>
      <c r="M175" s="48">
        <f t="shared" ca="1" si="20"/>
        <v>0.78400000000000003</v>
      </c>
      <c r="N175" s="48">
        <f t="shared" si="29"/>
        <v>6</v>
      </c>
      <c r="O175" s="51">
        <f t="shared" ca="1" si="21"/>
        <v>4.0557709771954858E-2</v>
      </c>
      <c r="P175" s="51">
        <f t="shared" ca="1" si="22"/>
        <v>29.523155436675719</v>
      </c>
      <c r="Q175" s="55">
        <f t="shared" ca="1" si="30"/>
        <v>0.21678426339876822</v>
      </c>
    </row>
    <row r="176" spans="1:17" x14ac:dyDescent="0.25">
      <c r="A176" s="48">
        <v>130</v>
      </c>
      <c r="B176" s="48">
        <f t="shared" ref="B176:B239" ca="1" si="32">RANDBETWEEN(1,1000)/1000</f>
        <v>0.66500000000000004</v>
      </c>
      <c r="C176" s="49">
        <f t="shared" si="23"/>
        <v>5</v>
      </c>
      <c r="D176" s="51">
        <f t="shared" ref="D176:D239" ca="1" si="33">(1/C176)*(LN(1/B176))</f>
        <v>8.1593647665256577E-2</v>
      </c>
      <c r="E176" s="51">
        <f t="shared" ca="1" si="24"/>
        <v>29.387964820942209</v>
      </c>
      <c r="F176" s="48">
        <f t="shared" ca="1" si="25"/>
        <v>3</v>
      </c>
      <c r="G176" s="48">
        <f ca="1">COUNTIF($P$47:P186,"&lt;"&amp;E176)</f>
        <v>126</v>
      </c>
      <c r="H176" s="48">
        <f t="shared" ca="1" si="26"/>
        <v>0</v>
      </c>
      <c r="I176" s="48" t="str">
        <f t="shared" ca="1" si="27"/>
        <v>Ocu</v>
      </c>
      <c r="J176" s="52">
        <f t="shared" ref="J176:J239" ca="1" si="34">IF(I176="Des",1,IF(I176="Ocu",1+F176))</f>
        <v>4</v>
      </c>
      <c r="K176" s="53">
        <f t="shared" ca="1" si="31"/>
        <v>0.1351906157335101</v>
      </c>
      <c r="L176" s="54">
        <f t="shared" ca="1" si="28"/>
        <v>29.523155436675719</v>
      </c>
      <c r="M176" s="48">
        <f t="shared" ref="M176:M239" ca="1" si="35">RANDBETWEEN(1,1000)/1000</f>
        <v>0.15</v>
      </c>
      <c r="N176" s="48">
        <f t="shared" si="29"/>
        <v>6</v>
      </c>
      <c r="O176" s="51">
        <f t="shared" ref="O176:O239" ca="1" si="36">(1/N176)*(LN(1/M176))</f>
        <v>0.31618666414764685</v>
      </c>
      <c r="P176" s="51">
        <f t="shared" ref="P176:P239" ca="1" si="37">+L176+O176</f>
        <v>29.839342100823366</v>
      </c>
      <c r="Q176" s="55">
        <f t="shared" ca="1" si="30"/>
        <v>0.45137727988115728</v>
      </c>
    </row>
    <row r="177" spans="1:17" x14ac:dyDescent="0.25">
      <c r="A177" s="48">
        <v>131</v>
      </c>
      <c r="B177" s="48">
        <f t="shared" ca="1" si="32"/>
        <v>0.83399999999999996</v>
      </c>
      <c r="C177" s="49">
        <f t="shared" ref="C177:C240" si="38">+C176</f>
        <v>5</v>
      </c>
      <c r="D177" s="51">
        <f t="shared" ca="1" si="33"/>
        <v>3.6304375324678076E-2</v>
      </c>
      <c r="E177" s="51">
        <f t="shared" ref="E177:E240" ca="1" si="39">+D177+E176</f>
        <v>29.424269196266888</v>
      </c>
      <c r="F177" s="48">
        <f t="shared" ref="F177:F240" ca="1" si="40">+F176+1-(G177-G176)</f>
        <v>3</v>
      </c>
      <c r="G177" s="48">
        <f ca="1">COUNTIF($P$47:P187,"&lt;"&amp;E177)</f>
        <v>127</v>
      </c>
      <c r="H177" s="48">
        <f t="shared" ref="H177:H240" ca="1" si="41">+G177-G176</f>
        <v>1</v>
      </c>
      <c r="I177" s="48" t="str">
        <f t="shared" ref="I177:I240" ca="1" si="42">IF(E177&lt;P176,"Ocu","Des")</f>
        <v>Ocu</v>
      </c>
      <c r="J177" s="52">
        <f t="shared" ca="1" si="34"/>
        <v>4</v>
      </c>
      <c r="K177" s="53">
        <f t="shared" ca="1" si="31"/>
        <v>0.41507290455647805</v>
      </c>
      <c r="L177" s="54">
        <f t="shared" ref="L177:L240" ca="1" si="43">IF(I177="Des",E177,P176)</f>
        <v>29.839342100823366</v>
      </c>
      <c r="M177" s="48">
        <f t="shared" ca="1" si="35"/>
        <v>7.3999999999999996E-2</v>
      </c>
      <c r="N177" s="48">
        <f t="shared" ref="N177:N240" si="44">+N176</f>
        <v>6</v>
      </c>
      <c r="O177" s="51">
        <f t="shared" ca="1" si="36"/>
        <v>0.43394836429632788</v>
      </c>
      <c r="P177" s="51">
        <f t="shared" ca="1" si="37"/>
        <v>30.273290465119693</v>
      </c>
      <c r="Q177" s="55">
        <f t="shared" ca="1" si="30"/>
        <v>0.84902126885280538</v>
      </c>
    </row>
    <row r="178" spans="1:17" x14ac:dyDescent="0.25">
      <c r="A178" s="48">
        <v>132</v>
      </c>
      <c r="B178" s="48">
        <f t="shared" ca="1" si="32"/>
        <v>0.41799999999999998</v>
      </c>
      <c r="C178" s="49">
        <f t="shared" si="38"/>
        <v>5</v>
      </c>
      <c r="D178" s="51">
        <f t="shared" ca="1" si="33"/>
        <v>0.17445476929147616</v>
      </c>
      <c r="E178" s="51">
        <f t="shared" ca="1" si="39"/>
        <v>29.598723965558364</v>
      </c>
      <c r="F178" s="48">
        <f t="shared" ca="1" si="40"/>
        <v>2</v>
      </c>
      <c r="G178" s="48">
        <f ca="1">COUNTIF($P$47:P188,"&lt;"&amp;E178)</f>
        <v>129</v>
      </c>
      <c r="H178" s="48">
        <f t="shared" ca="1" si="41"/>
        <v>2</v>
      </c>
      <c r="I178" s="48" t="str">
        <f t="shared" ca="1" si="42"/>
        <v>Ocu</v>
      </c>
      <c r="J178" s="52">
        <f t="shared" ca="1" si="34"/>
        <v>3</v>
      </c>
      <c r="K178" s="53">
        <f t="shared" ca="1" si="31"/>
        <v>0.67456649956132964</v>
      </c>
      <c r="L178" s="54">
        <f t="shared" ca="1" si="43"/>
        <v>30.273290465119693</v>
      </c>
      <c r="M178" s="48">
        <f t="shared" ca="1" si="35"/>
        <v>9.9000000000000005E-2</v>
      </c>
      <c r="N178" s="48">
        <f t="shared" si="44"/>
        <v>6</v>
      </c>
      <c r="O178" s="51">
        <f t="shared" ca="1" si="36"/>
        <v>0.3854392381412578</v>
      </c>
      <c r="P178" s="51">
        <f t="shared" ca="1" si="37"/>
        <v>30.658729703260953</v>
      </c>
      <c r="Q178" s="55">
        <f t="shared" ref="Q178:Q241" ca="1" si="45">P178-E178</f>
        <v>1.0600057377025891</v>
      </c>
    </row>
    <row r="179" spans="1:17" x14ac:dyDescent="0.25">
      <c r="A179" s="48">
        <v>133</v>
      </c>
      <c r="B179" s="48">
        <f t="shared" ca="1" si="32"/>
        <v>0.02</v>
      </c>
      <c r="C179" s="49">
        <f t="shared" si="38"/>
        <v>5</v>
      </c>
      <c r="D179" s="51">
        <f t="shared" ca="1" si="33"/>
        <v>0.78240460108562926</v>
      </c>
      <c r="E179" s="51">
        <f t="shared" ca="1" si="39"/>
        <v>30.381128566643994</v>
      </c>
      <c r="F179" s="48">
        <f t="shared" ca="1" si="40"/>
        <v>1</v>
      </c>
      <c r="G179" s="48">
        <f ca="1">COUNTIF($P$47:P189,"&lt;"&amp;E179)</f>
        <v>131</v>
      </c>
      <c r="H179" s="48">
        <f t="shared" ca="1" si="41"/>
        <v>2</v>
      </c>
      <c r="I179" s="48" t="str">
        <f t="shared" ca="1" si="42"/>
        <v>Ocu</v>
      </c>
      <c r="J179" s="52">
        <f t="shared" ca="1" si="34"/>
        <v>2</v>
      </c>
      <c r="K179" s="53">
        <f t="shared" ca="1" si="31"/>
        <v>0.2776011366169584</v>
      </c>
      <c r="L179" s="54">
        <f t="shared" ca="1" si="43"/>
        <v>30.658729703260953</v>
      </c>
      <c r="M179" s="48">
        <f t="shared" ca="1" si="35"/>
        <v>0.13200000000000001</v>
      </c>
      <c r="N179" s="48">
        <f t="shared" si="44"/>
        <v>6</v>
      </c>
      <c r="O179" s="51">
        <f t="shared" ca="1" si="36"/>
        <v>0.33749222606596102</v>
      </c>
      <c r="P179" s="51">
        <f t="shared" ca="1" si="37"/>
        <v>30.996221929326914</v>
      </c>
      <c r="Q179" s="55">
        <f t="shared" ca="1" si="45"/>
        <v>0.61509336268292003</v>
      </c>
    </row>
    <row r="180" spans="1:17" x14ac:dyDescent="0.25">
      <c r="A180" s="48">
        <v>134</v>
      </c>
      <c r="B180" s="48">
        <f t="shared" ca="1" si="32"/>
        <v>0.54700000000000004</v>
      </c>
      <c r="C180" s="49">
        <f t="shared" si="38"/>
        <v>5</v>
      </c>
      <c r="D180" s="51">
        <f t="shared" ca="1" si="33"/>
        <v>0.12066129531203117</v>
      </c>
      <c r="E180" s="51">
        <f t="shared" ca="1" si="39"/>
        <v>30.501789861956027</v>
      </c>
      <c r="F180" s="48">
        <f t="shared" ca="1" si="40"/>
        <v>2</v>
      </c>
      <c r="G180" s="48">
        <f ca="1">COUNTIF($P$47:P190,"&lt;"&amp;E180)</f>
        <v>131</v>
      </c>
      <c r="H180" s="48">
        <f t="shared" ca="1" si="41"/>
        <v>0</v>
      </c>
      <c r="I180" s="48" t="str">
        <f t="shared" ca="1" si="42"/>
        <v>Ocu</v>
      </c>
      <c r="J180" s="52">
        <f t="shared" ca="1" si="34"/>
        <v>3</v>
      </c>
      <c r="K180" s="53">
        <f t="shared" ca="1" si="31"/>
        <v>0.4944320673708873</v>
      </c>
      <c r="L180" s="54">
        <f t="shared" ca="1" si="43"/>
        <v>30.996221929326914</v>
      </c>
      <c r="M180" s="48">
        <f t="shared" ca="1" si="35"/>
        <v>0.63400000000000001</v>
      </c>
      <c r="N180" s="48">
        <f t="shared" si="44"/>
        <v>6</v>
      </c>
      <c r="O180" s="51">
        <f t="shared" ca="1" si="36"/>
        <v>7.5951054090818509E-2</v>
      </c>
      <c r="P180" s="51">
        <f t="shared" ca="1" si="37"/>
        <v>31.072172983417733</v>
      </c>
      <c r="Q180" s="55">
        <f t="shared" ca="1" si="45"/>
        <v>0.57038312146170611</v>
      </c>
    </row>
    <row r="181" spans="1:17" x14ac:dyDescent="0.25">
      <c r="A181" s="48">
        <v>135</v>
      </c>
      <c r="B181" s="48">
        <f t="shared" ca="1" si="32"/>
        <v>0.80800000000000005</v>
      </c>
      <c r="C181" s="49">
        <f t="shared" si="38"/>
        <v>5</v>
      </c>
      <c r="D181" s="51">
        <f t="shared" ca="1" si="33"/>
        <v>4.2638644092208335E-2</v>
      </c>
      <c r="E181" s="51">
        <f t="shared" ca="1" si="39"/>
        <v>30.544428506048234</v>
      </c>
      <c r="F181" s="48">
        <f t="shared" ca="1" si="40"/>
        <v>3</v>
      </c>
      <c r="G181" s="48">
        <f ca="1">COUNTIF($P$47:P191,"&lt;"&amp;E181)</f>
        <v>131</v>
      </c>
      <c r="H181" s="48">
        <f t="shared" ca="1" si="41"/>
        <v>0</v>
      </c>
      <c r="I181" s="48" t="str">
        <f t="shared" ca="1" si="42"/>
        <v>Ocu</v>
      </c>
      <c r="J181" s="52">
        <f t="shared" ca="1" si="34"/>
        <v>4</v>
      </c>
      <c r="K181" s="53">
        <f t="shared" ca="1" si="31"/>
        <v>0.52774447736949881</v>
      </c>
      <c r="L181" s="54">
        <f t="shared" ca="1" si="43"/>
        <v>31.072172983417733</v>
      </c>
      <c r="M181" s="48">
        <f t="shared" ca="1" si="35"/>
        <v>0.93200000000000005</v>
      </c>
      <c r="N181" s="48">
        <f t="shared" si="44"/>
        <v>6</v>
      </c>
      <c r="O181" s="51">
        <f t="shared" ca="1" si="36"/>
        <v>1.1737077382757631E-2</v>
      </c>
      <c r="P181" s="51">
        <f t="shared" ca="1" si="37"/>
        <v>31.083910060800491</v>
      </c>
      <c r="Q181" s="55">
        <f t="shared" ca="1" si="45"/>
        <v>0.5394815547522569</v>
      </c>
    </row>
    <row r="182" spans="1:17" x14ac:dyDescent="0.25">
      <c r="A182" s="48">
        <v>136</v>
      </c>
      <c r="B182" s="48">
        <f t="shared" ca="1" si="32"/>
        <v>0.64</v>
      </c>
      <c r="C182" s="49">
        <f t="shared" si="38"/>
        <v>5</v>
      </c>
      <c r="D182" s="51">
        <f t="shared" ca="1" si="33"/>
        <v>8.9257420525683917E-2</v>
      </c>
      <c r="E182" s="51">
        <f t="shared" ca="1" si="39"/>
        <v>30.633685926573918</v>
      </c>
      <c r="F182" s="48">
        <f t="shared" ca="1" si="40"/>
        <v>4</v>
      </c>
      <c r="G182" s="48">
        <f ca="1">COUNTIF($P$47:P192,"&lt;"&amp;E182)</f>
        <v>131</v>
      </c>
      <c r="H182" s="48">
        <f t="shared" ca="1" si="41"/>
        <v>0</v>
      </c>
      <c r="I182" s="48" t="str">
        <f t="shared" ca="1" si="42"/>
        <v>Ocu</v>
      </c>
      <c r="J182" s="52">
        <f t="shared" ca="1" si="34"/>
        <v>5</v>
      </c>
      <c r="K182" s="53">
        <f t="shared" ca="1" si="31"/>
        <v>0.45022413422657337</v>
      </c>
      <c r="L182" s="54">
        <f t="shared" ca="1" si="43"/>
        <v>31.083910060800491</v>
      </c>
      <c r="M182" s="48">
        <f t="shared" ca="1" si="35"/>
        <v>0.17599999999999999</v>
      </c>
      <c r="N182" s="48">
        <f t="shared" si="44"/>
        <v>6</v>
      </c>
      <c r="O182" s="51">
        <f t="shared" ca="1" si="36"/>
        <v>0.28954521399066424</v>
      </c>
      <c r="P182" s="51">
        <f t="shared" ca="1" si="37"/>
        <v>31.373455274791155</v>
      </c>
      <c r="Q182" s="55">
        <f t="shared" ca="1" si="45"/>
        <v>0.73976934821723717</v>
      </c>
    </row>
    <row r="183" spans="1:17" x14ac:dyDescent="0.25">
      <c r="A183" s="48">
        <v>137</v>
      </c>
      <c r="B183" s="48">
        <f t="shared" ca="1" si="32"/>
        <v>5.1999999999999998E-2</v>
      </c>
      <c r="C183" s="49">
        <f t="shared" si="38"/>
        <v>5</v>
      </c>
      <c r="D183" s="51">
        <f t="shared" ca="1" si="33"/>
        <v>0.59130231208014195</v>
      </c>
      <c r="E183" s="51">
        <f t="shared" ca="1" si="39"/>
        <v>31.22498823865406</v>
      </c>
      <c r="F183" s="48">
        <f t="shared" ca="1" si="40"/>
        <v>1</v>
      </c>
      <c r="G183" s="48">
        <f ca="1">COUNTIF($P$47:P193,"&lt;"&amp;E183)</f>
        <v>135</v>
      </c>
      <c r="H183" s="48">
        <f t="shared" ca="1" si="41"/>
        <v>4</v>
      </c>
      <c r="I183" s="48" t="str">
        <f t="shared" ca="1" si="42"/>
        <v>Ocu</v>
      </c>
      <c r="J183" s="52">
        <f t="shared" ca="1" si="34"/>
        <v>2</v>
      </c>
      <c r="K183" s="53">
        <f t="shared" ca="1" si="31"/>
        <v>0.14846703613709522</v>
      </c>
      <c r="L183" s="54">
        <f t="shared" ca="1" si="43"/>
        <v>31.373455274791155</v>
      </c>
      <c r="M183" s="48">
        <f t="shared" ca="1" si="35"/>
        <v>0.76400000000000001</v>
      </c>
      <c r="N183" s="48">
        <f t="shared" si="44"/>
        <v>6</v>
      </c>
      <c r="O183" s="51">
        <f t="shared" ca="1" si="36"/>
        <v>4.4864581635936082E-2</v>
      </c>
      <c r="P183" s="51">
        <f t="shared" ca="1" si="37"/>
        <v>31.41831985642709</v>
      </c>
      <c r="Q183" s="55">
        <f t="shared" ca="1" si="45"/>
        <v>0.19333161777302976</v>
      </c>
    </row>
    <row r="184" spans="1:17" x14ac:dyDescent="0.25">
      <c r="A184" s="48">
        <v>138</v>
      </c>
      <c r="B184" s="48">
        <f t="shared" ca="1" si="32"/>
        <v>0.499</v>
      </c>
      <c r="C184" s="49">
        <f t="shared" si="38"/>
        <v>5</v>
      </c>
      <c r="D184" s="51">
        <f t="shared" ca="1" si="33"/>
        <v>0.13902983664612364</v>
      </c>
      <c r="E184" s="51">
        <f t="shared" ca="1" si="39"/>
        <v>31.364018075300184</v>
      </c>
      <c r="F184" s="48">
        <f t="shared" ca="1" si="40"/>
        <v>2</v>
      </c>
      <c r="G184" s="48">
        <f ca="1">COUNTIF($P$47:P194,"&lt;"&amp;E184)</f>
        <v>135</v>
      </c>
      <c r="H184" s="48">
        <f t="shared" ca="1" si="41"/>
        <v>0</v>
      </c>
      <c r="I184" s="48" t="str">
        <f t="shared" ca="1" si="42"/>
        <v>Ocu</v>
      </c>
      <c r="J184" s="52">
        <f t="shared" ca="1" si="34"/>
        <v>3</v>
      </c>
      <c r="K184" s="53">
        <f t="shared" ca="1" si="31"/>
        <v>5.4301781126905979E-2</v>
      </c>
      <c r="L184" s="54">
        <f t="shared" ca="1" si="43"/>
        <v>31.41831985642709</v>
      </c>
      <c r="M184" s="48">
        <f t="shared" ca="1" si="35"/>
        <v>0.26</v>
      </c>
      <c r="N184" s="48">
        <f t="shared" si="44"/>
        <v>6</v>
      </c>
      <c r="O184" s="51">
        <f t="shared" ca="1" si="36"/>
        <v>0.22451227466110152</v>
      </c>
      <c r="P184" s="51">
        <f t="shared" ca="1" si="37"/>
        <v>31.642832131088191</v>
      </c>
      <c r="Q184" s="55">
        <f t="shared" ca="1" si="45"/>
        <v>0.27881405578800766</v>
      </c>
    </row>
    <row r="185" spans="1:17" x14ac:dyDescent="0.25">
      <c r="A185" s="48">
        <v>139</v>
      </c>
      <c r="B185" s="48">
        <f t="shared" ca="1" si="32"/>
        <v>0.122</v>
      </c>
      <c r="C185" s="49">
        <f t="shared" si="38"/>
        <v>5</v>
      </c>
      <c r="D185" s="51">
        <f t="shared" ca="1" si="33"/>
        <v>0.42074684684977615</v>
      </c>
      <c r="E185" s="51">
        <f t="shared" ca="1" si="39"/>
        <v>31.784764922149961</v>
      </c>
      <c r="F185" s="48">
        <f t="shared" ca="1" si="40"/>
        <v>0</v>
      </c>
      <c r="G185" s="48">
        <f ca="1">COUNTIF($P$47:P195,"&lt;"&amp;E185)</f>
        <v>138</v>
      </c>
      <c r="H185" s="48">
        <f t="shared" ca="1" si="41"/>
        <v>3</v>
      </c>
      <c r="I185" s="48" t="str">
        <f t="shared" ca="1" si="42"/>
        <v>Des</v>
      </c>
      <c r="J185" s="52">
        <f t="shared" ca="1" si="34"/>
        <v>1</v>
      </c>
      <c r="K185" s="53">
        <f t="shared" ca="1" si="31"/>
        <v>0</v>
      </c>
      <c r="L185" s="54">
        <f t="shared" ca="1" si="43"/>
        <v>31.784764922149961</v>
      </c>
      <c r="M185" s="48">
        <f t="shared" ca="1" si="35"/>
        <v>0.245</v>
      </c>
      <c r="N185" s="48">
        <f t="shared" si="44"/>
        <v>6</v>
      </c>
      <c r="O185" s="51">
        <f t="shared" ca="1" si="36"/>
        <v>0.23441617807290166</v>
      </c>
      <c r="P185" s="51">
        <f t="shared" ca="1" si="37"/>
        <v>32.019181100222859</v>
      </c>
      <c r="Q185" s="55">
        <f t="shared" ca="1" si="45"/>
        <v>0.23441617807289816</v>
      </c>
    </row>
    <row r="186" spans="1:17" x14ac:dyDescent="0.25">
      <c r="A186" s="48">
        <v>140</v>
      </c>
      <c r="B186" s="48">
        <f t="shared" ca="1" si="32"/>
        <v>0.48799999999999999</v>
      </c>
      <c r="C186" s="49">
        <f t="shared" si="38"/>
        <v>5</v>
      </c>
      <c r="D186" s="51">
        <f t="shared" ca="1" si="33"/>
        <v>0.14348797462579796</v>
      </c>
      <c r="E186" s="51">
        <f t="shared" ca="1" si="39"/>
        <v>31.92825289677576</v>
      </c>
      <c r="F186" s="48">
        <f t="shared" ca="1" si="40"/>
        <v>1</v>
      </c>
      <c r="G186" s="48">
        <f ca="1">COUNTIF($P$47:P196,"&lt;"&amp;E186)</f>
        <v>138</v>
      </c>
      <c r="H186" s="48">
        <f t="shared" ca="1" si="41"/>
        <v>0</v>
      </c>
      <c r="I186" s="48" t="str">
        <f t="shared" ca="1" si="42"/>
        <v>Ocu</v>
      </c>
      <c r="J186" s="52">
        <f t="shared" ca="1" si="34"/>
        <v>2</v>
      </c>
      <c r="K186" s="53">
        <f t="shared" ca="1" si="31"/>
        <v>9.0928203447099065E-2</v>
      </c>
      <c r="L186" s="54">
        <f t="shared" ca="1" si="43"/>
        <v>32.019181100222859</v>
      </c>
      <c r="M186" s="48">
        <f t="shared" ca="1" si="35"/>
        <v>0.159</v>
      </c>
      <c r="N186" s="48">
        <f t="shared" si="44"/>
        <v>6</v>
      </c>
      <c r="O186" s="51">
        <f t="shared" ca="1" si="36"/>
        <v>0.30647517946031755</v>
      </c>
      <c r="P186" s="51">
        <f t="shared" ca="1" si="37"/>
        <v>32.325656279683173</v>
      </c>
      <c r="Q186" s="55">
        <f t="shared" ca="1" si="45"/>
        <v>0.39740338290741306</v>
      </c>
    </row>
    <row r="187" spans="1:17" x14ac:dyDescent="0.25">
      <c r="A187" s="48">
        <v>141</v>
      </c>
      <c r="B187" s="48">
        <f t="shared" ca="1" si="32"/>
        <v>0.73899999999999999</v>
      </c>
      <c r="C187" s="49">
        <f t="shared" si="38"/>
        <v>5</v>
      </c>
      <c r="D187" s="51">
        <f t="shared" ca="1" si="33"/>
        <v>6.0491471606787042E-2</v>
      </c>
      <c r="E187" s="51">
        <f t="shared" ca="1" si="39"/>
        <v>31.988744368382548</v>
      </c>
      <c r="F187" s="48">
        <f t="shared" ca="1" si="40"/>
        <v>2</v>
      </c>
      <c r="G187" s="48">
        <f ca="1">COUNTIF($P$47:P197,"&lt;"&amp;E187)</f>
        <v>138</v>
      </c>
      <c r="H187" s="48">
        <f t="shared" ca="1" si="41"/>
        <v>0</v>
      </c>
      <c r="I187" s="48" t="str">
        <f t="shared" ca="1" si="42"/>
        <v>Ocu</v>
      </c>
      <c r="J187" s="52">
        <f t="shared" ca="1" si="34"/>
        <v>3</v>
      </c>
      <c r="K187" s="53">
        <f t="shared" ca="1" si="31"/>
        <v>0.33691191130062492</v>
      </c>
      <c r="L187" s="54">
        <f t="shared" ca="1" si="43"/>
        <v>32.325656279683173</v>
      </c>
      <c r="M187" s="48">
        <f t="shared" ca="1" si="35"/>
        <v>0.73299999999999998</v>
      </c>
      <c r="N187" s="48">
        <f t="shared" si="44"/>
        <v>6</v>
      </c>
      <c r="O187" s="51">
        <f t="shared" ca="1" si="36"/>
        <v>5.1768262849247598E-2</v>
      </c>
      <c r="P187" s="51">
        <f t="shared" ca="1" si="37"/>
        <v>32.377424542532424</v>
      </c>
      <c r="Q187" s="55">
        <f t="shared" ca="1" si="45"/>
        <v>0.38868017414987577</v>
      </c>
    </row>
    <row r="188" spans="1:17" x14ac:dyDescent="0.25">
      <c r="A188" s="48">
        <v>142</v>
      </c>
      <c r="B188" s="48">
        <f t="shared" ca="1" si="32"/>
        <v>6.0999999999999999E-2</v>
      </c>
      <c r="C188" s="49">
        <f t="shared" si="38"/>
        <v>5</v>
      </c>
      <c r="D188" s="51">
        <f t="shared" ca="1" si="33"/>
        <v>0.55937628296176523</v>
      </c>
      <c r="E188" s="51">
        <f t="shared" ca="1" si="39"/>
        <v>32.548120651344313</v>
      </c>
      <c r="F188" s="48">
        <f t="shared" ca="1" si="40"/>
        <v>0</v>
      </c>
      <c r="G188" s="48">
        <f ca="1">COUNTIF($P$47:P198,"&lt;"&amp;E188)</f>
        <v>141</v>
      </c>
      <c r="H188" s="48">
        <f t="shared" ca="1" si="41"/>
        <v>3</v>
      </c>
      <c r="I188" s="48" t="str">
        <f t="shared" ca="1" si="42"/>
        <v>Des</v>
      </c>
      <c r="J188" s="52">
        <f t="shared" ca="1" si="34"/>
        <v>1</v>
      </c>
      <c r="K188" s="53">
        <f t="shared" ca="1" si="31"/>
        <v>0</v>
      </c>
      <c r="L188" s="54">
        <f t="shared" ca="1" si="43"/>
        <v>32.548120651344313</v>
      </c>
      <c r="M188" s="48">
        <f t="shared" ca="1" si="35"/>
        <v>0.222</v>
      </c>
      <c r="N188" s="48">
        <f t="shared" si="44"/>
        <v>6</v>
      </c>
      <c r="O188" s="51">
        <f t="shared" ca="1" si="36"/>
        <v>0.25084631618497627</v>
      </c>
      <c r="P188" s="51">
        <f t="shared" ca="1" si="37"/>
        <v>32.798966967529289</v>
      </c>
      <c r="Q188" s="55">
        <f t="shared" ca="1" si="45"/>
        <v>0.2508463161849761</v>
      </c>
    </row>
    <row r="189" spans="1:17" x14ac:dyDescent="0.25">
      <c r="A189" s="48">
        <v>143</v>
      </c>
      <c r="B189" s="48">
        <f t="shared" ca="1" si="32"/>
        <v>1.2E-2</v>
      </c>
      <c r="C189" s="49">
        <f t="shared" si="38"/>
        <v>5</v>
      </c>
      <c r="D189" s="51">
        <f t="shared" ca="1" si="33"/>
        <v>0.88456972583882743</v>
      </c>
      <c r="E189" s="51">
        <f t="shared" ca="1" si="39"/>
        <v>33.432690377183143</v>
      </c>
      <c r="F189" s="48">
        <f t="shared" ca="1" si="40"/>
        <v>0</v>
      </c>
      <c r="G189" s="48">
        <f ca="1">COUNTIF($P$47:P199,"&lt;"&amp;E189)</f>
        <v>142</v>
      </c>
      <c r="H189" s="48">
        <f t="shared" ca="1" si="41"/>
        <v>1</v>
      </c>
      <c r="I189" s="48" t="str">
        <f t="shared" ca="1" si="42"/>
        <v>Des</v>
      </c>
      <c r="J189" s="52">
        <f t="shared" ca="1" si="34"/>
        <v>1</v>
      </c>
      <c r="K189" s="53">
        <f t="shared" ca="1" si="31"/>
        <v>0</v>
      </c>
      <c r="L189" s="54">
        <f t="shared" ca="1" si="43"/>
        <v>33.432690377183143</v>
      </c>
      <c r="M189" s="48">
        <f t="shared" ca="1" si="35"/>
        <v>9.5000000000000001E-2</v>
      </c>
      <c r="N189" s="48">
        <f t="shared" si="44"/>
        <v>6</v>
      </c>
      <c r="O189" s="51">
        <f t="shared" ca="1" si="36"/>
        <v>0.39231306456359938</v>
      </c>
      <c r="P189" s="51">
        <f t="shared" ca="1" si="37"/>
        <v>33.825003441746745</v>
      </c>
      <c r="Q189" s="55">
        <f t="shared" ca="1" si="45"/>
        <v>0.39231306456360215</v>
      </c>
    </row>
    <row r="190" spans="1:17" x14ac:dyDescent="0.25">
      <c r="A190" s="48">
        <v>144</v>
      </c>
      <c r="B190" s="48">
        <f t="shared" ca="1" si="32"/>
        <v>0.56399999999999995</v>
      </c>
      <c r="C190" s="49">
        <f t="shared" si="38"/>
        <v>5</v>
      </c>
      <c r="D190" s="51">
        <f t="shared" ca="1" si="33"/>
        <v>0.11454020549681565</v>
      </c>
      <c r="E190" s="51">
        <f t="shared" ca="1" si="39"/>
        <v>33.547230582679958</v>
      </c>
      <c r="F190" s="48">
        <f t="shared" ca="1" si="40"/>
        <v>1</v>
      </c>
      <c r="G190" s="48">
        <f ca="1">COUNTIF($P$47:P200,"&lt;"&amp;E190)</f>
        <v>142</v>
      </c>
      <c r="H190" s="48">
        <f t="shared" ca="1" si="41"/>
        <v>0</v>
      </c>
      <c r="I190" s="48" t="str">
        <f t="shared" ca="1" si="42"/>
        <v>Ocu</v>
      </c>
      <c r="J190" s="52">
        <f t="shared" ca="1" si="34"/>
        <v>2</v>
      </c>
      <c r="K190" s="53">
        <f t="shared" ca="1" si="31"/>
        <v>0.27777285906678628</v>
      </c>
      <c r="L190" s="54">
        <f t="shared" ca="1" si="43"/>
        <v>33.825003441746745</v>
      </c>
      <c r="M190" s="48">
        <f t="shared" ca="1" si="35"/>
        <v>0.68400000000000005</v>
      </c>
      <c r="N190" s="48">
        <f t="shared" si="44"/>
        <v>6</v>
      </c>
      <c r="O190" s="51">
        <f t="shared" ca="1" si="36"/>
        <v>6.3299560226597745E-2</v>
      </c>
      <c r="P190" s="51">
        <f t="shared" ca="1" si="37"/>
        <v>33.888303001973341</v>
      </c>
      <c r="Q190" s="55">
        <f t="shared" ca="1" si="45"/>
        <v>0.34107241929338272</v>
      </c>
    </row>
    <row r="191" spans="1:17" x14ac:dyDescent="0.25">
      <c r="A191" s="48">
        <v>145</v>
      </c>
      <c r="B191" s="48">
        <f t="shared" ca="1" si="32"/>
        <v>7.0999999999999994E-2</v>
      </c>
      <c r="C191" s="49">
        <f t="shared" si="38"/>
        <v>5</v>
      </c>
      <c r="D191" s="51">
        <f t="shared" ca="1" si="33"/>
        <v>0.52901508038816436</v>
      </c>
      <c r="E191" s="51">
        <f t="shared" ca="1" si="39"/>
        <v>34.076245663068121</v>
      </c>
      <c r="F191" s="48">
        <f t="shared" ca="1" si="40"/>
        <v>0</v>
      </c>
      <c r="G191" s="48">
        <f ca="1">COUNTIF($P$47:P201,"&lt;"&amp;E191)</f>
        <v>144</v>
      </c>
      <c r="H191" s="48">
        <f t="shared" ca="1" si="41"/>
        <v>2</v>
      </c>
      <c r="I191" s="48" t="str">
        <f t="shared" ca="1" si="42"/>
        <v>Des</v>
      </c>
      <c r="J191" s="52">
        <f t="shared" ca="1" si="34"/>
        <v>1</v>
      </c>
      <c r="K191" s="53">
        <f t="shared" ca="1" si="31"/>
        <v>0</v>
      </c>
      <c r="L191" s="54">
        <f t="shared" ca="1" si="43"/>
        <v>34.076245663068121</v>
      </c>
      <c r="M191" s="48">
        <f t="shared" ca="1" si="35"/>
        <v>0.89800000000000002</v>
      </c>
      <c r="N191" s="48">
        <f t="shared" si="44"/>
        <v>6</v>
      </c>
      <c r="O191" s="51">
        <f t="shared" ca="1" si="36"/>
        <v>1.7930868446656235E-2</v>
      </c>
      <c r="P191" s="51">
        <f t="shared" ca="1" si="37"/>
        <v>34.094176531514776</v>
      </c>
      <c r="Q191" s="55">
        <f t="shared" ca="1" si="45"/>
        <v>1.7930868446654813E-2</v>
      </c>
    </row>
    <row r="192" spans="1:17" x14ac:dyDescent="0.25">
      <c r="A192" s="48">
        <v>146</v>
      </c>
      <c r="B192" s="48">
        <f t="shared" ca="1" si="32"/>
        <v>0.88700000000000001</v>
      </c>
      <c r="C192" s="49">
        <f t="shared" si="38"/>
        <v>5</v>
      </c>
      <c r="D192" s="51">
        <f t="shared" ca="1" si="33"/>
        <v>2.3982059334511502E-2</v>
      </c>
      <c r="E192" s="51">
        <f t="shared" ca="1" si="39"/>
        <v>34.100227722402636</v>
      </c>
      <c r="F192" s="48">
        <f t="shared" ca="1" si="40"/>
        <v>0</v>
      </c>
      <c r="G192" s="48">
        <f ca="1">COUNTIF($P$47:P202,"&lt;"&amp;E192)</f>
        <v>145</v>
      </c>
      <c r="H192" s="48">
        <f t="shared" ca="1" si="41"/>
        <v>1</v>
      </c>
      <c r="I192" s="48" t="str">
        <f t="shared" ca="1" si="42"/>
        <v>Des</v>
      </c>
      <c r="J192" s="52">
        <f t="shared" ca="1" si="34"/>
        <v>1</v>
      </c>
      <c r="K192" s="53">
        <f t="shared" ca="1" si="31"/>
        <v>0</v>
      </c>
      <c r="L192" s="54">
        <f t="shared" ca="1" si="43"/>
        <v>34.100227722402636</v>
      </c>
      <c r="M192" s="48">
        <f t="shared" ca="1" si="35"/>
        <v>0.76200000000000001</v>
      </c>
      <c r="N192" s="48">
        <f t="shared" si="44"/>
        <v>6</v>
      </c>
      <c r="O192" s="51">
        <f t="shared" ca="1" si="36"/>
        <v>4.5301453882581805E-2</v>
      </c>
      <c r="P192" s="51">
        <f t="shared" ca="1" si="37"/>
        <v>34.145529176285216</v>
      </c>
      <c r="Q192" s="55">
        <f t="shared" ca="1" si="45"/>
        <v>4.5301453882579779E-2</v>
      </c>
    </row>
    <row r="193" spans="1:17" x14ac:dyDescent="0.25">
      <c r="A193" s="48">
        <v>147</v>
      </c>
      <c r="B193" s="48">
        <f t="shared" ca="1" si="32"/>
        <v>0.34599999999999997</v>
      </c>
      <c r="C193" s="49">
        <f t="shared" si="38"/>
        <v>5</v>
      </c>
      <c r="D193" s="51">
        <f t="shared" ca="1" si="33"/>
        <v>0.21226330078488256</v>
      </c>
      <c r="E193" s="51">
        <f t="shared" ca="1" si="39"/>
        <v>34.312491023187519</v>
      </c>
      <c r="F193" s="48">
        <f t="shared" ca="1" si="40"/>
        <v>0</v>
      </c>
      <c r="G193" s="48">
        <f ca="1">COUNTIF($P$47:P203,"&lt;"&amp;E193)</f>
        <v>146</v>
      </c>
      <c r="H193" s="48">
        <f t="shared" ca="1" si="41"/>
        <v>1</v>
      </c>
      <c r="I193" s="48" t="str">
        <f t="shared" ca="1" si="42"/>
        <v>Des</v>
      </c>
      <c r="J193" s="52">
        <f t="shared" ca="1" si="34"/>
        <v>1</v>
      </c>
      <c r="K193" s="53">
        <f t="shared" ca="1" si="31"/>
        <v>0</v>
      </c>
      <c r="L193" s="54">
        <f t="shared" ca="1" si="43"/>
        <v>34.312491023187519</v>
      </c>
      <c r="M193" s="48">
        <f t="shared" ca="1" si="35"/>
        <v>0.998</v>
      </c>
      <c r="N193" s="48">
        <f t="shared" si="44"/>
        <v>6</v>
      </c>
      <c r="O193" s="51">
        <f t="shared" ca="1" si="36"/>
        <v>3.3366711177882811E-4</v>
      </c>
      <c r="P193" s="51">
        <f t="shared" ca="1" si="37"/>
        <v>34.312824690299301</v>
      </c>
      <c r="Q193" s="55">
        <f t="shared" ca="1" si="45"/>
        <v>3.3366711178217656E-4</v>
      </c>
    </row>
    <row r="194" spans="1:17" x14ac:dyDescent="0.25">
      <c r="A194" s="48">
        <v>148</v>
      </c>
      <c r="B194" s="48">
        <f t="shared" ca="1" si="32"/>
        <v>0.26900000000000002</v>
      </c>
      <c r="C194" s="49">
        <f t="shared" si="38"/>
        <v>5</v>
      </c>
      <c r="D194" s="51">
        <f t="shared" ca="1" si="33"/>
        <v>0.26260877987605963</v>
      </c>
      <c r="E194" s="51">
        <f t="shared" ca="1" si="39"/>
        <v>34.57509980306358</v>
      </c>
      <c r="F194" s="48">
        <f t="shared" ca="1" si="40"/>
        <v>0</v>
      </c>
      <c r="G194" s="48">
        <f ca="1">COUNTIF($P$47:P204,"&lt;"&amp;E194)</f>
        <v>147</v>
      </c>
      <c r="H194" s="48">
        <f t="shared" ca="1" si="41"/>
        <v>1</v>
      </c>
      <c r="I194" s="48" t="str">
        <f t="shared" ca="1" si="42"/>
        <v>Des</v>
      </c>
      <c r="J194" s="52">
        <f t="shared" ca="1" si="34"/>
        <v>1</v>
      </c>
      <c r="K194" s="53">
        <f t="shared" ca="1" si="31"/>
        <v>0</v>
      </c>
      <c r="L194" s="54">
        <f t="shared" ca="1" si="43"/>
        <v>34.57509980306358</v>
      </c>
      <c r="M194" s="48">
        <f t="shared" ca="1" si="35"/>
        <v>0.51900000000000002</v>
      </c>
      <c r="N194" s="48">
        <f t="shared" si="44"/>
        <v>6</v>
      </c>
      <c r="O194" s="51">
        <f t="shared" ca="1" si="36"/>
        <v>0.10930856596937473</v>
      </c>
      <c r="P194" s="51">
        <f t="shared" ca="1" si="37"/>
        <v>34.684408369032951</v>
      </c>
      <c r="Q194" s="55">
        <f t="shared" ca="1" si="45"/>
        <v>0.10930856596937133</v>
      </c>
    </row>
    <row r="195" spans="1:17" x14ac:dyDescent="0.25">
      <c r="A195" s="48">
        <v>149</v>
      </c>
      <c r="B195" s="48">
        <f t="shared" ca="1" si="32"/>
        <v>0.81899999999999995</v>
      </c>
      <c r="C195" s="49">
        <f t="shared" si="38"/>
        <v>5</v>
      </c>
      <c r="D195" s="51">
        <f t="shared" ca="1" si="33"/>
        <v>3.9934239025813549E-2</v>
      </c>
      <c r="E195" s="51">
        <f t="shared" ca="1" si="39"/>
        <v>34.615034042089391</v>
      </c>
      <c r="F195" s="48">
        <f t="shared" ca="1" si="40"/>
        <v>1</v>
      </c>
      <c r="G195" s="48">
        <f ca="1">COUNTIF($P$47:P205,"&lt;"&amp;E195)</f>
        <v>147</v>
      </c>
      <c r="H195" s="48">
        <f t="shared" ca="1" si="41"/>
        <v>0</v>
      </c>
      <c r="I195" s="48" t="str">
        <f t="shared" ca="1" si="42"/>
        <v>Ocu</v>
      </c>
      <c r="J195" s="52">
        <f t="shared" ca="1" si="34"/>
        <v>2</v>
      </c>
      <c r="K195" s="53">
        <f t="shared" ca="1" si="31"/>
        <v>6.937432694356005E-2</v>
      </c>
      <c r="L195" s="54">
        <f t="shared" ca="1" si="43"/>
        <v>34.684408369032951</v>
      </c>
      <c r="M195" s="48">
        <f t="shared" ca="1" si="35"/>
        <v>0.104</v>
      </c>
      <c r="N195" s="48">
        <f t="shared" si="44"/>
        <v>6</v>
      </c>
      <c r="O195" s="51">
        <f t="shared" ca="1" si="36"/>
        <v>0.37722739664012739</v>
      </c>
      <c r="P195" s="51">
        <f t="shared" ca="1" si="37"/>
        <v>35.061635765673081</v>
      </c>
      <c r="Q195" s="55">
        <f t="shared" ca="1" si="45"/>
        <v>0.4466017235836901</v>
      </c>
    </row>
    <row r="196" spans="1:17" x14ac:dyDescent="0.25">
      <c r="A196" s="48">
        <v>150</v>
      </c>
      <c r="B196" s="48">
        <f t="shared" ca="1" si="32"/>
        <v>0.46200000000000002</v>
      </c>
      <c r="C196" s="49">
        <f t="shared" si="38"/>
        <v>5</v>
      </c>
      <c r="D196" s="51">
        <f t="shared" ca="1" si="33"/>
        <v>0.15443807758007966</v>
      </c>
      <c r="E196" s="51">
        <f t="shared" ca="1" si="39"/>
        <v>34.769472119669473</v>
      </c>
      <c r="F196" s="48">
        <f t="shared" ca="1" si="40"/>
        <v>1</v>
      </c>
      <c r="G196" s="48">
        <f ca="1">COUNTIF($P$47:P206,"&lt;"&amp;E196)</f>
        <v>148</v>
      </c>
      <c r="H196" s="48">
        <f t="shared" ca="1" si="41"/>
        <v>1</v>
      </c>
      <c r="I196" s="48" t="str">
        <f t="shared" ca="1" si="42"/>
        <v>Ocu</v>
      </c>
      <c r="J196" s="52">
        <f t="shared" ca="1" si="34"/>
        <v>2</v>
      </c>
      <c r="K196" s="53">
        <f t="shared" ca="1" si="31"/>
        <v>0.29216364600360833</v>
      </c>
      <c r="L196" s="54">
        <f t="shared" ca="1" si="43"/>
        <v>35.061635765673081</v>
      </c>
      <c r="M196" s="48">
        <f t="shared" ca="1" si="35"/>
        <v>0.56799999999999995</v>
      </c>
      <c r="N196" s="48">
        <f t="shared" si="44"/>
        <v>6</v>
      </c>
      <c r="O196" s="51">
        <f t="shared" ca="1" si="36"/>
        <v>9.427231004349762E-2</v>
      </c>
      <c r="P196" s="51">
        <f t="shared" ca="1" si="37"/>
        <v>35.155908075716582</v>
      </c>
      <c r="Q196" s="55">
        <f t="shared" ca="1" si="45"/>
        <v>0.38643595604710868</v>
      </c>
    </row>
    <row r="197" spans="1:17" x14ac:dyDescent="0.25">
      <c r="A197" s="48">
        <v>151</v>
      </c>
      <c r="B197" s="48">
        <f t="shared" ca="1" si="32"/>
        <v>0.94199999999999995</v>
      </c>
      <c r="C197" s="49">
        <f t="shared" si="38"/>
        <v>5</v>
      </c>
      <c r="D197" s="51">
        <f t="shared" ca="1" si="33"/>
        <v>1.1950000881154797E-2</v>
      </c>
      <c r="E197" s="51">
        <f t="shared" ca="1" si="39"/>
        <v>34.78142212055063</v>
      </c>
      <c r="F197" s="48">
        <f t="shared" ca="1" si="40"/>
        <v>2</v>
      </c>
      <c r="G197" s="48">
        <f ca="1">COUNTIF($P$47:P207,"&lt;"&amp;E197)</f>
        <v>148</v>
      </c>
      <c r="H197" s="48">
        <f t="shared" ca="1" si="41"/>
        <v>0</v>
      </c>
      <c r="I197" s="48" t="str">
        <f t="shared" ca="1" si="42"/>
        <v>Ocu</v>
      </c>
      <c r="J197" s="52">
        <f t="shared" ca="1" si="34"/>
        <v>3</v>
      </c>
      <c r="K197" s="53">
        <f t="shared" ca="1" si="31"/>
        <v>0.37448595516595162</v>
      </c>
      <c r="L197" s="54">
        <f t="shared" ca="1" si="43"/>
        <v>35.155908075716582</v>
      </c>
      <c r="M197" s="48">
        <f t="shared" ca="1" si="35"/>
        <v>0.94799999999999995</v>
      </c>
      <c r="N197" s="48">
        <f t="shared" si="44"/>
        <v>6</v>
      </c>
      <c r="O197" s="51">
        <f t="shared" ca="1" si="36"/>
        <v>8.9001294545192067E-3</v>
      </c>
      <c r="P197" s="51">
        <f t="shared" ca="1" si="37"/>
        <v>35.164808205171099</v>
      </c>
      <c r="Q197" s="55">
        <f t="shared" ca="1" si="45"/>
        <v>0.38338608462046864</v>
      </c>
    </row>
    <row r="198" spans="1:17" x14ac:dyDescent="0.25">
      <c r="A198" s="48">
        <v>152</v>
      </c>
      <c r="B198" s="48">
        <f t="shared" ca="1" si="32"/>
        <v>4.2000000000000003E-2</v>
      </c>
      <c r="C198" s="49">
        <f t="shared" si="38"/>
        <v>5</v>
      </c>
      <c r="D198" s="51">
        <f t="shared" ca="1" si="33"/>
        <v>0.63401713213975375</v>
      </c>
      <c r="E198" s="51">
        <f t="shared" ca="1" si="39"/>
        <v>35.415439252690383</v>
      </c>
      <c r="F198" s="48">
        <f t="shared" ca="1" si="40"/>
        <v>0</v>
      </c>
      <c r="G198" s="48">
        <f ca="1">COUNTIF($P$47:P208,"&lt;"&amp;E198)</f>
        <v>151</v>
      </c>
      <c r="H198" s="48">
        <f t="shared" ca="1" si="41"/>
        <v>3</v>
      </c>
      <c r="I198" s="48" t="str">
        <f t="shared" ca="1" si="42"/>
        <v>Des</v>
      </c>
      <c r="J198" s="52">
        <f t="shared" ca="1" si="34"/>
        <v>1</v>
      </c>
      <c r="K198" s="53">
        <f t="shared" ca="1" si="31"/>
        <v>0</v>
      </c>
      <c r="L198" s="54">
        <f t="shared" ca="1" si="43"/>
        <v>35.415439252690383</v>
      </c>
      <c r="M198" s="48">
        <f t="shared" ca="1" si="35"/>
        <v>0.58799999999999997</v>
      </c>
      <c r="N198" s="48">
        <f t="shared" si="44"/>
        <v>6</v>
      </c>
      <c r="O198" s="51">
        <f t="shared" ca="1" si="36"/>
        <v>8.8504721847251694E-2</v>
      </c>
      <c r="P198" s="51">
        <f t="shared" ca="1" si="37"/>
        <v>35.503943974537634</v>
      </c>
      <c r="Q198" s="55">
        <f t="shared" ca="1" si="45"/>
        <v>8.8504721847250778E-2</v>
      </c>
    </row>
    <row r="199" spans="1:17" x14ac:dyDescent="0.25">
      <c r="A199" s="48">
        <v>153</v>
      </c>
      <c r="B199" s="48">
        <f t="shared" ca="1" si="32"/>
        <v>0.23</v>
      </c>
      <c r="C199" s="49">
        <f t="shared" si="38"/>
        <v>5</v>
      </c>
      <c r="D199" s="51">
        <f t="shared" ca="1" si="33"/>
        <v>0.29393519401178836</v>
      </c>
      <c r="E199" s="51">
        <f t="shared" ca="1" si="39"/>
        <v>35.709374446702171</v>
      </c>
      <c r="F199" s="48">
        <f t="shared" ca="1" si="40"/>
        <v>0</v>
      </c>
      <c r="G199" s="48">
        <f ca="1">COUNTIF($P$47:P209,"&lt;"&amp;E199)</f>
        <v>152</v>
      </c>
      <c r="H199" s="48">
        <f t="shared" ca="1" si="41"/>
        <v>1</v>
      </c>
      <c r="I199" s="48" t="str">
        <f t="shared" ca="1" si="42"/>
        <v>Des</v>
      </c>
      <c r="J199" s="52">
        <f t="shared" ca="1" si="34"/>
        <v>1</v>
      </c>
      <c r="K199" s="53">
        <f t="shared" ca="1" si="31"/>
        <v>0</v>
      </c>
      <c r="L199" s="54">
        <f t="shared" ca="1" si="43"/>
        <v>35.709374446702171</v>
      </c>
      <c r="M199" s="48">
        <f t="shared" ca="1" si="35"/>
        <v>0.61699999999999999</v>
      </c>
      <c r="N199" s="48">
        <f t="shared" si="44"/>
        <v>6</v>
      </c>
      <c r="O199" s="51">
        <f t="shared" ca="1" si="36"/>
        <v>8.0481042512791534E-2</v>
      </c>
      <c r="P199" s="51">
        <f t="shared" ca="1" si="37"/>
        <v>35.789855489214965</v>
      </c>
      <c r="Q199" s="55">
        <f t="shared" ca="1" si="45"/>
        <v>8.0481042512793977E-2</v>
      </c>
    </row>
    <row r="200" spans="1:17" x14ac:dyDescent="0.25">
      <c r="A200" s="48">
        <v>154</v>
      </c>
      <c r="B200" s="48">
        <f t="shared" ca="1" si="32"/>
        <v>0.317</v>
      </c>
      <c r="C200" s="49">
        <f t="shared" si="38"/>
        <v>5</v>
      </c>
      <c r="D200" s="51">
        <f t="shared" ca="1" si="33"/>
        <v>0.2297707010209713</v>
      </c>
      <c r="E200" s="51">
        <f t="shared" ca="1" si="39"/>
        <v>35.939145147723139</v>
      </c>
      <c r="F200" s="48">
        <f t="shared" ca="1" si="40"/>
        <v>0</v>
      </c>
      <c r="G200" s="48">
        <f ca="1">COUNTIF($P$47:P210,"&lt;"&amp;E200)</f>
        <v>153</v>
      </c>
      <c r="H200" s="48">
        <f t="shared" ca="1" si="41"/>
        <v>1</v>
      </c>
      <c r="I200" s="48" t="str">
        <f t="shared" ca="1" si="42"/>
        <v>Des</v>
      </c>
      <c r="J200" s="52">
        <f t="shared" ca="1" si="34"/>
        <v>1</v>
      </c>
      <c r="K200" s="53">
        <f t="shared" ca="1" si="31"/>
        <v>0</v>
      </c>
      <c r="L200" s="54">
        <f t="shared" ca="1" si="43"/>
        <v>35.939145147723139</v>
      </c>
      <c r="M200" s="48">
        <f t="shared" ca="1" si="35"/>
        <v>0.53300000000000003</v>
      </c>
      <c r="N200" s="48">
        <f t="shared" si="44"/>
        <v>6</v>
      </c>
      <c r="O200" s="51">
        <f t="shared" ca="1" si="36"/>
        <v>0.10487230913604874</v>
      </c>
      <c r="P200" s="51">
        <f t="shared" ca="1" si="37"/>
        <v>36.044017456859187</v>
      </c>
      <c r="Q200" s="55">
        <f t="shared" ca="1" si="45"/>
        <v>0.10487230913604861</v>
      </c>
    </row>
    <row r="201" spans="1:17" x14ac:dyDescent="0.25">
      <c r="A201" s="48">
        <v>155</v>
      </c>
      <c r="B201" s="48">
        <f t="shared" ca="1" si="32"/>
        <v>0.96099999999999997</v>
      </c>
      <c r="C201" s="49">
        <f t="shared" si="38"/>
        <v>5</v>
      </c>
      <c r="D201" s="51">
        <f t="shared" ca="1" si="33"/>
        <v>7.9561740023689331E-3</v>
      </c>
      <c r="E201" s="51">
        <f t="shared" ca="1" si="39"/>
        <v>35.947101321725505</v>
      </c>
      <c r="F201" s="48">
        <f t="shared" ca="1" si="40"/>
        <v>1</v>
      </c>
      <c r="G201" s="48">
        <f ca="1">COUNTIF($P$47:P211,"&lt;"&amp;E201)</f>
        <v>153</v>
      </c>
      <c r="H201" s="48">
        <f t="shared" ca="1" si="41"/>
        <v>0</v>
      </c>
      <c r="I201" s="48" t="str">
        <f t="shared" ca="1" si="42"/>
        <v>Ocu</v>
      </c>
      <c r="J201" s="52">
        <f t="shared" ca="1" si="34"/>
        <v>2</v>
      </c>
      <c r="K201" s="53">
        <f t="shared" ca="1" si="31"/>
        <v>9.6916135133682246E-2</v>
      </c>
      <c r="L201" s="54">
        <f t="shared" ca="1" si="43"/>
        <v>36.044017456859187</v>
      </c>
      <c r="M201" s="48">
        <f t="shared" ca="1" si="35"/>
        <v>0.61299999999999999</v>
      </c>
      <c r="N201" s="48">
        <f t="shared" si="44"/>
        <v>6</v>
      </c>
      <c r="O201" s="51">
        <f t="shared" ca="1" si="36"/>
        <v>8.1565057174320943E-2</v>
      </c>
      <c r="P201" s="51">
        <f t="shared" ca="1" si="37"/>
        <v>36.125582514033511</v>
      </c>
      <c r="Q201" s="55">
        <f t="shared" ca="1" si="45"/>
        <v>0.17848119230800563</v>
      </c>
    </row>
    <row r="202" spans="1:17" x14ac:dyDescent="0.25">
      <c r="A202" s="48">
        <v>156</v>
      </c>
      <c r="B202" s="48">
        <f t="shared" ca="1" si="32"/>
        <v>0.19</v>
      </c>
      <c r="C202" s="49">
        <f t="shared" si="38"/>
        <v>5</v>
      </c>
      <c r="D202" s="51">
        <f t="shared" ca="1" si="33"/>
        <v>0.33214624136433019</v>
      </c>
      <c r="E202" s="51">
        <f t="shared" ca="1" si="39"/>
        <v>36.279247563089832</v>
      </c>
      <c r="F202" s="48">
        <f t="shared" ca="1" si="40"/>
        <v>0</v>
      </c>
      <c r="G202" s="48">
        <f ca="1">COUNTIF($P$47:P212,"&lt;"&amp;E202)</f>
        <v>155</v>
      </c>
      <c r="H202" s="48">
        <f t="shared" ca="1" si="41"/>
        <v>2</v>
      </c>
      <c r="I202" s="48" t="str">
        <f t="shared" ca="1" si="42"/>
        <v>Des</v>
      </c>
      <c r="J202" s="52">
        <f t="shared" ca="1" si="34"/>
        <v>1</v>
      </c>
      <c r="K202" s="53">
        <f t="shared" ca="1" si="31"/>
        <v>0</v>
      </c>
      <c r="L202" s="54">
        <f t="shared" ca="1" si="43"/>
        <v>36.279247563089832</v>
      </c>
      <c r="M202" s="48">
        <f t="shared" ca="1" si="35"/>
        <v>4.9000000000000002E-2</v>
      </c>
      <c r="N202" s="48">
        <f t="shared" si="44"/>
        <v>6</v>
      </c>
      <c r="O202" s="51">
        <f t="shared" ca="1" si="36"/>
        <v>0.50265583014525173</v>
      </c>
      <c r="P202" s="51">
        <f t="shared" ca="1" si="37"/>
        <v>36.781903393235083</v>
      </c>
      <c r="Q202" s="55">
        <f t="shared" ca="1" si="45"/>
        <v>0.50265583014525106</v>
      </c>
    </row>
    <row r="203" spans="1:17" x14ac:dyDescent="0.25">
      <c r="A203" s="48">
        <v>157</v>
      </c>
      <c r="B203" s="48">
        <f t="shared" ca="1" si="32"/>
        <v>0.78500000000000003</v>
      </c>
      <c r="C203" s="49">
        <f t="shared" si="38"/>
        <v>5</v>
      </c>
      <c r="D203" s="51">
        <f t="shared" ca="1" si="33"/>
        <v>4.8414312239945717E-2</v>
      </c>
      <c r="E203" s="51">
        <f t="shared" ca="1" si="39"/>
        <v>36.327661875329781</v>
      </c>
      <c r="F203" s="48">
        <f t="shared" ca="1" si="40"/>
        <v>1</v>
      </c>
      <c r="G203" s="48">
        <f ca="1">COUNTIF($P$47:P213,"&lt;"&amp;E203)</f>
        <v>155</v>
      </c>
      <c r="H203" s="48">
        <f t="shared" ca="1" si="41"/>
        <v>0</v>
      </c>
      <c r="I203" s="48" t="str">
        <f t="shared" ca="1" si="42"/>
        <v>Ocu</v>
      </c>
      <c r="J203" s="52">
        <f t="shared" ca="1" si="34"/>
        <v>2</v>
      </c>
      <c r="K203" s="53">
        <f t="shared" ca="1" si="31"/>
        <v>0.45424151790530232</v>
      </c>
      <c r="L203" s="54">
        <f t="shared" ca="1" si="43"/>
        <v>36.781903393235083</v>
      </c>
      <c r="M203" s="48">
        <f t="shared" ca="1" si="35"/>
        <v>0.98499999999999999</v>
      </c>
      <c r="N203" s="48">
        <f t="shared" si="44"/>
        <v>6</v>
      </c>
      <c r="O203" s="51">
        <f t="shared" ca="1" si="36"/>
        <v>2.5189396350080175E-3</v>
      </c>
      <c r="P203" s="51">
        <f t="shared" ca="1" si="37"/>
        <v>36.784422332870093</v>
      </c>
      <c r="Q203" s="55">
        <f t="shared" ca="1" si="45"/>
        <v>0.45676045754031236</v>
      </c>
    </row>
    <row r="204" spans="1:17" x14ac:dyDescent="0.25">
      <c r="A204" s="48">
        <v>158</v>
      </c>
      <c r="B204" s="48">
        <f t="shared" ca="1" si="32"/>
        <v>0.151</v>
      </c>
      <c r="C204" s="49">
        <f t="shared" si="38"/>
        <v>5</v>
      </c>
      <c r="D204" s="51">
        <f t="shared" ca="1" si="33"/>
        <v>0.37809508843344258</v>
      </c>
      <c r="E204" s="51">
        <f t="shared" ca="1" si="39"/>
        <v>36.705756963763221</v>
      </c>
      <c r="F204" s="48">
        <f t="shared" ca="1" si="40"/>
        <v>2</v>
      </c>
      <c r="G204" s="48">
        <f ca="1">COUNTIF($P$47:P214,"&lt;"&amp;E204)</f>
        <v>155</v>
      </c>
      <c r="H204" s="48">
        <f t="shared" ca="1" si="41"/>
        <v>0</v>
      </c>
      <c r="I204" s="48" t="str">
        <f t="shared" ca="1" si="42"/>
        <v>Ocu</v>
      </c>
      <c r="J204" s="52">
        <f t="shared" ca="1" si="34"/>
        <v>3</v>
      </c>
      <c r="K204" s="53">
        <f t="shared" ca="1" si="31"/>
        <v>7.8665369106872163E-2</v>
      </c>
      <c r="L204" s="54">
        <f t="shared" ca="1" si="43"/>
        <v>36.784422332870093</v>
      </c>
      <c r="M204" s="48">
        <f t="shared" ca="1" si="35"/>
        <v>6.9000000000000006E-2</v>
      </c>
      <c r="N204" s="48">
        <f t="shared" si="44"/>
        <v>6</v>
      </c>
      <c r="O204" s="51">
        <f t="shared" ca="1" si="36"/>
        <v>0.44560812906414626</v>
      </c>
      <c r="P204" s="51">
        <f t="shared" ca="1" si="37"/>
        <v>37.230030461934241</v>
      </c>
      <c r="Q204" s="55">
        <f t="shared" ca="1" si="45"/>
        <v>0.52427349817101998</v>
      </c>
    </row>
    <row r="205" spans="1:17" x14ac:dyDescent="0.25">
      <c r="A205" s="48">
        <v>159</v>
      </c>
      <c r="B205" s="48">
        <f t="shared" ca="1" si="32"/>
        <v>0.191</v>
      </c>
      <c r="C205" s="49">
        <f t="shared" si="38"/>
        <v>5</v>
      </c>
      <c r="D205" s="51">
        <f t="shared" ca="1" si="33"/>
        <v>0.33109637018710147</v>
      </c>
      <c r="E205" s="51">
        <f t="shared" ca="1" si="39"/>
        <v>37.036853333950326</v>
      </c>
      <c r="F205" s="48">
        <f t="shared" ca="1" si="40"/>
        <v>1</v>
      </c>
      <c r="G205" s="48">
        <f ca="1">COUNTIF($P$47:P215,"&lt;"&amp;E205)</f>
        <v>157</v>
      </c>
      <c r="H205" s="48">
        <f t="shared" ca="1" si="41"/>
        <v>2</v>
      </c>
      <c r="I205" s="48" t="str">
        <f t="shared" ca="1" si="42"/>
        <v>Ocu</v>
      </c>
      <c r="J205" s="52">
        <f t="shared" ca="1" si="34"/>
        <v>2</v>
      </c>
      <c r="K205" s="53">
        <f t="shared" ca="1" si="31"/>
        <v>0.1931771279839154</v>
      </c>
      <c r="L205" s="54">
        <f t="shared" ca="1" si="43"/>
        <v>37.230030461934241</v>
      </c>
      <c r="M205" s="48">
        <f t="shared" ca="1" si="35"/>
        <v>0.67200000000000004</v>
      </c>
      <c r="N205" s="48">
        <f t="shared" si="44"/>
        <v>6</v>
      </c>
      <c r="O205" s="51">
        <f t="shared" ca="1" si="36"/>
        <v>6.6249489743164552E-2</v>
      </c>
      <c r="P205" s="51">
        <f t="shared" ca="1" si="37"/>
        <v>37.296279951677406</v>
      </c>
      <c r="Q205" s="55">
        <f t="shared" ca="1" si="45"/>
        <v>0.25942661772707964</v>
      </c>
    </row>
    <row r="206" spans="1:17" x14ac:dyDescent="0.25">
      <c r="A206" s="48">
        <v>160</v>
      </c>
      <c r="B206" s="48">
        <f t="shared" ca="1" si="32"/>
        <v>0.91900000000000004</v>
      </c>
      <c r="C206" s="49">
        <f t="shared" si="38"/>
        <v>5</v>
      </c>
      <c r="D206" s="51">
        <f t="shared" ca="1" si="33"/>
        <v>1.6893831325289994E-2</v>
      </c>
      <c r="E206" s="51">
        <f t="shared" ca="1" si="39"/>
        <v>37.053747165275617</v>
      </c>
      <c r="F206" s="48">
        <f t="shared" ca="1" si="40"/>
        <v>2</v>
      </c>
      <c r="G206" s="48">
        <f ca="1">COUNTIF($P$47:P216,"&lt;"&amp;E206)</f>
        <v>157</v>
      </c>
      <c r="H206" s="48">
        <f t="shared" ca="1" si="41"/>
        <v>0</v>
      </c>
      <c r="I206" s="48" t="str">
        <f t="shared" ca="1" si="42"/>
        <v>Ocu</v>
      </c>
      <c r="J206" s="52">
        <f t="shared" ca="1" si="34"/>
        <v>3</v>
      </c>
      <c r="K206" s="53">
        <f t="shared" ca="1" si="31"/>
        <v>0.24253278640178877</v>
      </c>
      <c r="L206" s="54">
        <f t="shared" ca="1" si="43"/>
        <v>37.296279951677406</v>
      </c>
      <c r="M206" s="48">
        <f t="shared" ca="1" si="35"/>
        <v>0.69299999999999995</v>
      </c>
      <c r="N206" s="48">
        <f t="shared" si="44"/>
        <v>6</v>
      </c>
      <c r="O206" s="51">
        <f t="shared" ca="1" si="36"/>
        <v>6.1120879965372306E-2</v>
      </c>
      <c r="P206" s="51">
        <f t="shared" ca="1" si="37"/>
        <v>37.357400831642778</v>
      </c>
      <c r="Q206" s="55">
        <f t="shared" ca="1" si="45"/>
        <v>0.30365366636716118</v>
      </c>
    </row>
    <row r="207" spans="1:17" x14ac:dyDescent="0.25">
      <c r="A207" s="48">
        <v>161</v>
      </c>
      <c r="B207" s="48">
        <f t="shared" ca="1" si="32"/>
        <v>0.442</v>
      </c>
      <c r="C207" s="49">
        <f t="shared" si="38"/>
        <v>5</v>
      </c>
      <c r="D207" s="51">
        <f t="shared" ca="1" si="33"/>
        <v>0.1632890793808878</v>
      </c>
      <c r="E207" s="51">
        <f t="shared" ca="1" si="39"/>
        <v>37.217036244656505</v>
      </c>
      <c r="F207" s="48">
        <f t="shared" ca="1" si="40"/>
        <v>3</v>
      </c>
      <c r="G207" s="48">
        <f ca="1">COUNTIF($P$47:P217,"&lt;"&amp;E207)</f>
        <v>157</v>
      </c>
      <c r="H207" s="48">
        <f t="shared" ca="1" si="41"/>
        <v>0</v>
      </c>
      <c r="I207" s="48" t="str">
        <f t="shared" ca="1" si="42"/>
        <v>Ocu</v>
      </c>
      <c r="J207" s="52">
        <f t="shared" ca="1" si="34"/>
        <v>4</v>
      </c>
      <c r="K207" s="53">
        <f t="shared" ca="1" si="31"/>
        <v>0.14036458698627285</v>
      </c>
      <c r="L207" s="54">
        <f t="shared" ca="1" si="43"/>
        <v>37.357400831642778</v>
      </c>
      <c r="M207" s="48">
        <f t="shared" ca="1" si="35"/>
        <v>0.184</v>
      </c>
      <c r="N207" s="48">
        <f t="shared" si="44"/>
        <v>6</v>
      </c>
      <c r="O207" s="51">
        <f t="shared" ca="1" si="36"/>
        <v>0.28213658689552523</v>
      </c>
      <c r="P207" s="51">
        <f t="shared" ca="1" si="37"/>
        <v>37.639537418538303</v>
      </c>
      <c r="Q207" s="55">
        <f t="shared" ca="1" si="45"/>
        <v>0.42250117388179831</v>
      </c>
    </row>
    <row r="208" spans="1:17" x14ac:dyDescent="0.25">
      <c r="A208" s="48">
        <v>162</v>
      </c>
      <c r="B208" s="48">
        <f t="shared" ca="1" si="32"/>
        <v>0.45700000000000002</v>
      </c>
      <c r="C208" s="49">
        <f t="shared" si="38"/>
        <v>5</v>
      </c>
      <c r="D208" s="51">
        <f t="shared" ca="1" si="33"/>
        <v>0.15661437761758645</v>
      </c>
      <c r="E208" s="51">
        <f t="shared" ca="1" si="39"/>
        <v>37.373650622274091</v>
      </c>
      <c r="F208" s="48">
        <f t="shared" ca="1" si="40"/>
        <v>1</v>
      </c>
      <c r="G208" s="48">
        <f ca="1">COUNTIF($P$47:P218,"&lt;"&amp;E208)</f>
        <v>160</v>
      </c>
      <c r="H208" s="48">
        <f t="shared" ca="1" si="41"/>
        <v>3</v>
      </c>
      <c r="I208" s="48" t="str">
        <f t="shared" ca="1" si="42"/>
        <v>Ocu</v>
      </c>
      <c r="J208" s="52">
        <f t="shared" ca="1" si="34"/>
        <v>2</v>
      </c>
      <c r="K208" s="53">
        <f t="shared" ca="1" si="31"/>
        <v>0.26588679626421197</v>
      </c>
      <c r="L208" s="54">
        <f t="shared" ca="1" si="43"/>
        <v>37.639537418538303</v>
      </c>
      <c r="M208" s="48">
        <f t="shared" ca="1" si="35"/>
        <v>0.85699999999999998</v>
      </c>
      <c r="N208" s="48">
        <f t="shared" si="44"/>
        <v>6</v>
      </c>
      <c r="O208" s="51">
        <f t="shared" ca="1" si="36"/>
        <v>2.5719560064059545E-2</v>
      </c>
      <c r="P208" s="51">
        <f t="shared" ca="1" si="37"/>
        <v>37.665256978602365</v>
      </c>
      <c r="Q208" s="55">
        <f t="shared" ca="1" si="45"/>
        <v>0.29160635632827336</v>
      </c>
    </row>
    <row r="209" spans="1:17" x14ac:dyDescent="0.25">
      <c r="A209" s="48">
        <v>163</v>
      </c>
      <c r="B209" s="48">
        <f t="shared" ca="1" si="32"/>
        <v>0.66400000000000003</v>
      </c>
      <c r="C209" s="49">
        <f t="shared" si="38"/>
        <v>5</v>
      </c>
      <c r="D209" s="51">
        <f t="shared" ca="1" si="33"/>
        <v>8.1894625901140619E-2</v>
      </c>
      <c r="E209" s="51">
        <f t="shared" ca="1" si="39"/>
        <v>37.455545248175234</v>
      </c>
      <c r="F209" s="48">
        <f t="shared" ca="1" si="40"/>
        <v>2</v>
      </c>
      <c r="G209" s="48">
        <f ca="1">COUNTIF($P$47:P219,"&lt;"&amp;E209)</f>
        <v>160</v>
      </c>
      <c r="H209" s="48">
        <f t="shared" ca="1" si="41"/>
        <v>0</v>
      </c>
      <c r="I209" s="48" t="str">
        <f t="shared" ca="1" si="42"/>
        <v>Ocu</v>
      </c>
      <c r="J209" s="52">
        <f t="shared" ca="1" si="34"/>
        <v>3</v>
      </c>
      <c r="K209" s="53">
        <f t="shared" ca="1" si="31"/>
        <v>0.20971173042713076</v>
      </c>
      <c r="L209" s="54">
        <f t="shared" ca="1" si="43"/>
        <v>37.665256978602365</v>
      </c>
      <c r="M209" s="48">
        <f t="shared" ca="1" si="35"/>
        <v>0.48299999999999998</v>
      </c>
      <c r="N209" s="48">
        <f t="shared" si="44"/>
        <v>6</v>
      </c>
      <c r="O209" s="51">
        <f t="shared" ca="1" si="36"/>
        <v>0.12128977088826072</v>
      </c>
      <c r="P209" s="51">
        <f t="shared" ca="1" si="37"/>
        <v>37.786546749490626</v>
      </c>
      <c r="Q209" s="55">
        <f t="shared" ca="1" si="45"/>
        <v>0.33100150131539152</v>
      </c>
    </row>
    <row r="210" spans="1:17" x14ac:dyDescent="0.25">
      <c r="A210" s="48">
        <v>164</v>
      </c>
      <c r="B210" s="48">
        <f t="shared" ca="1" si="32"/>
        <v>5.8000000000000003E-2</v>
      </c>
      <c r="C210" s="49">
        <f t="shared" si="38"/>
        <v>5</v>
      </c>
      <c r="D210" s="51">
        <f t="shared" ca="1" si="33"/>
        <v>0.56946245368714354</v>
      </c>
      <c r="E210" s="51">
        <f t="shared" ca="1" si="39"/>
        <v>38.025007701862378</v>
      </c>
      <c r="F210" s="48">
        <f t="shared" ca="1" si="40"/>
        <v>0</v>
      </c>
      <c r="G210" s="48">
        <f ca="1">COUNTIF($P$47:P220,"&lt;"&amp;E210)</f>
        <v>163</v>
      </c>
      <c r="H210" s="48">
        <f t="shared" ca="1" si="41"/>
        <v>3</v>
      </c>
      <c r="I210" s="48" t="str">
        <f t="shared" ca="1" si="42"/>
        <v>Des</v>
      </c>
      <c r="J210" s="52">
        <f t="shared" ca="1" si="34"/>
        <v>1</v>
      </c>
      <c r="K210" s="53">
        <f t="shared" ca="1" si="31"/>
        <v>0</v>
      </c>
      <c r="L210" s="54">
        <f t="shared" ca="1" si="43"/>
        <v>38.025007701862378</v>
      </c>
      <c r="M210" s="48">
        <f t="shared" ca="1" si="35"/>
        <v>0.36099999999999999</v>
      </c>
      <c r="N210" s="48">
        <f t="shared" si="44"/>
        <v>6</v>
      </c>
      <c r="O210" s="51">
        <f t="shared" ca="1" si="36"/>
        <v>0.16981288677487605</v>
      </c>
      <c r="P210" s="51">
        <f t="shared" ca="1" si="37"/>
        <v>38.194820588637256</v>
      </c>
      <c r="Q210" s="55">
        <f t="shared" ca="1" si="45"/>
        <v>0.16981288677487782</v>
      </c>
    </row>
    <row r="211" spans="1:17" x14ac:dyDescent="0.25">
      <c r="A211" s="48">
        <v>165</v>
      </c>
      <c r="B211" s="48">
        <f t="shared" ca="1" si="32"/>
        <v>0.98399999999999999</v>
      </c>
      <c r="C211" s="49">
        <f t="shared" si="38"/>
        <v>5</v>
      </c>
      <c r="D211" s="51">
        <f t="shared" ca="1" si="33"/>
        <v>3.2258763859767435E-3</v>
      </c>
      <c r="E211" s="51">
        <f t="shared" ca="1" si="39"/>
        <v>38.028233578248354</v>
      </c>
      <c r="F211" s="48">
        <f t="shared" ca="1" si="40"/>
        <v>1</v>
      </c>
      <c r="G211" s="48">
        <f ca="1">COUNTIF($P$47:P221,"&lt;"&amp;E211)</f>
        <v>163</v>
      </c>
      <c r="H211" s="48">
        <f t="shared" ca="1" si="41"/>
        <v>0</v>
      </c>
      <c r="I211" s="48" t="str">
        <f t="shared" ca="1" si="42"/>
        <v>Ocu</v>
      </c>
      <c r="J211" s="52">
        <f t="shared" ca="1" si="34"/>
        <v>2</v>
      </c>
      <c r="K211" s="53">
        <f t="shared" ca="1" si="31"/>
        <v>0.166587010388902</v>
      </c>
      <c r="L211" s="54">
        <f t="shared" ca="1" si="43"/>
        <v>38.194820588637256</v>
      </c>
      <c r="M211" s="48">
        <f t="shared" ca="1" si="35"/>
        <v>0.755</v>
      </c>
      <c r="N211" s="48">
        <f t="shared" si="44"/>
        <v>6</v>
      </c>
      <c r="O211" s="51">
        <f t="shared" ca="1" si="36"/>
        <v>4.6839588288852069E-2</v>
      </c>
      <c r="P211" s="51">
        <f t="shared" ca="1" si="37"/>
        <v>38.241660176926111</v>
      </c>
      <c r="Q211" s="55">
        <f t="shared" ca="1" si="45"/>
        <v>0.21342659867775637</v>
      </c>
    </row>
    <row r="212" spans="1:17" x14ac:dyDescent="0.25">
      <c r="A212" s="48">
        <v>166</v>
      </c>
      <c r="B212" s="48">
        <f t="shared" ca="1" si="32"/>
        <v>0.42899999999999999</v>
      </c>
      <c r="C212" s="49">
        <f t="shared" si="38"/>
        <v>5</v>
      </c>
      <c r="D212" s="51">
        <f t="shared" ca="1" si="33"/>
        <v>0.16925967201082404</v>
      </c>
      <c r="E212" s="51">
        <f t="shared" ca="1" si="39"/>
        <v>38.197493250259178</v>
      </c>
      <c r="F212" s="48">
        <f t="shared" ca="1" si="40"/>
        <v>1</v>
      </c>
      <c r="G212" s="48">
        <f ca="1">COUNTIF($P$47:P222,"&lt;"&amp;E212)</f>
        <v>164</v>
      </c>
      <c r="H212" s="48">
        <f t="shared" ca="1" si="41"/>
        <v>1</v>
      </c>
      <c r="I212" s="48" t="str">
        <f t="shared" ca="1" si="42"/>
        <v>Ocu</v>
      </c>
      <c r="J212" s="52">
        <f t="shared" ca="1" si="34"/>
        <v>2</v>
      </c>
      <c r="K212" s="53">
        <f t="shared" ca="1" si="31"/>
        <v>4.4166926666932227E-2</v>
      </c>
      <c r="L212" s="54">
        <f t="shared" ca="1" si="43"/>
        <v>38.241660176926111</v>
      </c>
      <c r="M212" s="48">
        <f t="shared" ca="1" si="35"/>
        <v>0.47699999999999998</v>
      </c>
      <c r="N212" s="48">
        <f t="shared" si="44"/>
        <v>6</v>
      </c>
      <c r="O212" s="51">
        <f t="shared" ca="1" si="36"/>
        <v>0.12337313134896596</v>
      </c>
      <c r="P212" s="51">
        <f t="shared" ca="1" si="37"/>
        <v>38.365033308275073</v>
      </c>
      <c r="Q212" s="55">
        <f t="shared" ca="1" si="45"/>
        <v>0.167540058015895</v>
      </c>
    </row>
    <row r="213" spans="1:17" x14ac:dyDescent="0.25">
      <c r="A213" s="48">
        <v>167</v>
      </c>
      <c r="B213" s="48">
        <f t="shared" ca="1" si="32"/>
        <v>0.87</v>
      </c>
      <c r="C213" s="49">
        <f t="shared" si="38"/>
        <v>5</v>
      </c>
      <c r="D213" s="51">
        <f t="shared" ca="1" si="33"/>
        <v>2.7852413466701521E-2</v>
      </c>
      <c r="E213" s="51">
        <f t="shared" ca="1" si="39"/>
        <v>38.225345663725882</v>
      </c>
      <c r="F213" s="48">
        <f t="shared" ca="1" si="40"/>
        <v>2</v>
      </c>
      <c r="G213" s="48">
        <f ca="1">COUNTIF($P$47:P223,"&lt;"&amp;E213)</f>
        <v>164</v>
      </c>
      <c r="H213" s="48">
        <f t="shared" ca="1" si="41"/>
        <v>0</v>
      </c>
      <c r="I213" s="48" t="str">
        <f t="shared" ca="1" si="42"/>
        <v>Ocu</v>
      </c>
      <c r="J213" s="52">
        <f t="shared" ca="1" si="34"/>
        <v>3</v>
      </c>
      <c r="K213" s="53">
        <f t="shared" ca="1" si="31"/>
        <v>0.13968764454919125</v>
      </c>
      <c r="L213" s="54">
        <f t="shared" ca="1" si="43"/>
        <v>38.365033308275073</v>
      </c>
      <c r="M213" s="48">
        <f t="shared" ca="1" si="35"/>
        <v>0.501</v>
      </c>
      <c r="N213" s="48">
        <f t="shared" si="44"/>
        <v>6</v>
      </c>
      <c r="O213" s="51">
        <f t="shared" ca="1" si="36"/>
        <v>0.11519152964954535</v>
      </c>
      <c r="P213" s="51">
        <f t="shared" ca="1" si="37"/>
        <v>38.480224837924617</v>
      </c>
      <c r="Q213" s="55">
        <f t="shared" ca="1" si="45"/>
        <v>0.2548791741987344</v>
      </c>
    </row>
    <row r="214" spans="1:17" x14ac:dyDescent="0.25">
      <c r="A214" s="48">
        <v>168</v>
      </c>
      <c r="B214" s="48">
        <f t="shared" ca="1" si="32"/>
        <v>0.77800000000000002</v>
      </c>
      <c r="C214" s="49">
        <f t="shared" si="38"/>
        <v>5</v>
      </c>
      <c r="D214" s="51">
        <f t="shared" ca="1" si="33"/>
        <v>5.0205750960749099E-2</v>
      </c>
      <c r="E214" s="51">
        <f t="shared" ca="1" si="39"/>
        <v>38.275551414686632</v>
      </c>
      <c r="F214" s="48">
        <f t="shared" ca="1" si="40"/>
        <v>2</v>
      </c>
      <c r="G214" s="48">
        <f ca="1">COUNTIF($P$47:P224,"&lt;"&amp;E214)</f>
        <v>165</v>
      </c>
      <c r="H214" s="48">
        <f t="shared" ca="1" si="41"/>
        <v>1</v>
      </c>
      <c r="I214" s="48" t="str">
        <f t="shared" ca="1" si="42"/>
        <v>Ocu</v>
      </c>
      <c r="J214" s="52">
        <f t="shared" ca="1" si="34"/>
        <v>3</v>
      </c>
      <c r="K214" s="53">
        <f t="shared" ca="1" si="31"/>
        <v>0.20467342323798476</v>
      </c>
      <c r="L214" s="54">
        <f t="shared" ca="1" si="43"/>
        <v>38.480224837924617</v>
      </c>
      <c r="M214" s="48">
        <f t="shared" ca="1" si="35"/>
        <v>0.98499999999999999</v>
      </c>
      <c r="N214" s="48">
        <f t="shared" si="44"/>
        <v>6</v>
      </c>
      <c r="O214" s="51">
        <f t="shared" ca="1" si="36"/>
        <v>2.5189396350080175E-3</v>
      </c>
      <c r="P214" s="51">
        <f t="shared" ca="1" si="37"/>
        <v>38.482743777559627</v>
      </c>
      <c r="Q214" s="55">
        <f t="shared" ca="1" si="45"/>
        <v>0.20719236287299481</v>
      </c>
    </row>
    <row r="215" spans="1:17" x14ac:dyDescent="0.25">
      <c r="A215" s="48">
        <v>169</v>
      </c>
      <c r="B215" s="48">
        <f t="shared" ca="1" si="32"/>
        <v>1.2999999999999999E-2</v>
      </c>
      <c r="C215" s="49">
        <f t="shared" si="38"/>
        <v>5</v>
      </c>
      <c r="D215" s="51">
        <f t="shared" ca="1" si="33"/>
        <v>0.8685611843041201</v>
      </c>
      <c r="E215" s="51">
        <f t="shared" ca="1" si="39"/>
        <v>39.144112598990752</v>
      </c>
      <c r="F215" s="48">
        <f t="shared" ca="1" si="40"/>
        <v>0</v>
      </c>
      <c r="G215" s="48">
        <f ca="1">COUNTIF($P$47:P225,"&lt;"&amp;E215)</f>
        <v>168</v>
      </c>
      <c r="H215" s="48">
        <f t="shared" ca="1" si="41"/>
        <v>3</v>
      </c>
      <c r="I215" s="48" t="str">
        <f t="shared" ca="1" si="42"/>
        <v>Des</v>
      </c>
      <c r="J215" s="52">
        <f t="shared" ca="1" si="34"/>
        <v>1</v>
      </c>
      <c r="K215" s="53">
        <f t="shared" ca="1" si="31"/>
        <v>0</v>
      </c>
      <c r="L215" s="54">
        <f t="shared" ca="1" si="43"/>
        <v>39.144112598990752</v>
      </c>
      <c r="M215" s="48">
        <f t="shared" ca="1" si="35"/>
        <v>0.67300000000000004</v>
      </c>
      <c r="N215" s="48">
        <f t="shared" si="44"/>
        <v>6</v>
      </c>
      <c r="O215" s="51">
        <f t="shared" ca="1" si="36"/>
        <v>6.6001658222901521E-2</v>
      </c>
      <c r="P215" s="51">
        <f t="shared" ca="1" si="37"/>
        <v>39.210114257213654</v>
      </c>
      <c r="Q215" s="55">
        <f t="shared" ca="1" si="45"/>
        <v>6.6001658222901938E-2</v>
      </c>
    </row>
    <row r="216" spans="1:17" x14ac:dyDescent="0.25">
      <c r="A216" s="48">
        <v>170</v>
      </c>
      <c r="B216" s="48">
        <f t="shared" ca="1" si="32"/>
        <v>0.56299999999999994</v>
      </c>
      <c r="C216" s="49">
        <f t="shared" si="38"/>
        <v>5</v>
      </c>
      <c r="D216" s="51">
        <f t="shared" ca="1" si="33"/>
        <v>0.11489513016848936</v>
      </c>
      <c r="E216" s="51">
        <f t="shared" ca="1" si="39"/>
        <v>39.259007729159244</v>
      </c>
      <c r="F216" s="48">
        <f t="shared" ca="1" si="40"/>
        <v>0</v>
      </c>
      <c r="G216" s="48">
        <f ca="1">COUNTIF($P$47:P226,"&lt;"&amp;E216)</f>
        <v>169</v>
      </c>
      <c r="H216" s="48">
        <f t="shared" ca="1" si="41"/>
        <v>1</v>
      </c>
      <c r="I216" s="48" t="str">
        <f t="shared" ca="1" si="42"/>
        <v>Des</v>
      </c>
      <c r="J216" s="52">
        <f t="shared" ca="1" si="34"/>
        <v>1</v>
      </c>
      <c r="K216" s="53">
        <f t="shared" ca="1" si="31"/>
        <v>0</v>
      </c>
      <c r="L216" s="54">
        <f t="shared" ca="1" si="43"/>
        <v>39.259007729159244</v>
      </c>
      <c r="M216" s="48">
        <f t="shared" ca="1" si="35"/>
        <v>0.24299999999999999</v>
      </c>
      <c r="N216" s="48">
        <f t="shared" si="44"/>
        <v>6</v>
      </c>
      <c r="O216" s="51">
        <f t="shared" ca="1" si="36"/>
        <v>0.23578230594026475</v>
      </c>
      <c r="P216" s="51">
        <f t="shared" ca="1" si="37"/>
        <v>39.494790035099506</v>
      </c>
      <c r="Q216" s="55">
        <f t="shared" ca="1" si="45"/>
        <v>0.23578230594026195</v>
      </c>
    </row>
    <row r="217" spans="1:17" x14ac:dyDescent="0.25">
      <c r="A217" s="48">
        <v>171</v>
      </c>
      <c r="B217" s="48">
        <f t="shared" ca="1" si="32"/>
        <v>0.113</v>
      </c>
      <c r="C217" s="49">
        <f t="shared" si="38"/>
        <v>5</v>
      </c>
      <c r="D217" s="51">
        <f t="shared" ca="1" si="33"/>
        <v>0.43607349205395929</v>
      </c>
      <c r="E217" s="51">
        <f t="shared" ca="1" si="39"/>
        <v>39.695081221213201</v>
      </c>
      <c r="F217" s="48">
        <f t="shared" ca="1" si="40"/>
        <v>0</v>
      </c>
      <c r="G217" s="48">
        <f ca="1">COUNTIF($P$47:P227,"&lt;"&amp;E217)</f>
        <v>170</v>
      </c>
      <c r="H217" s="48">
        <f t="shared" ca="1" si="41"/>
        <v>1</v>
      </c>
      <c r="I217" s="48" t="str">
        <f t="shared" ca="1" si="42"/>
        <v>Des</v>
      </c>
      <c r="J217" s="52">
        <f t="shared" ca="1" si="34"/>
        <v>1</v>
      </c>
      <c r="K217" s="53">
        <f t="shared" ca="1" si="31"/>
        <v>0</v>
      </c>
      <c r="L217" s="54">
        <f t="shared" ca="1" si="43"/>
        <v>39.695081221213201</v>
      </c>
      <c r="M217" s="48">
        <f t="shared" ca="1" si="35"/>
        <v>0.14099999999999999</v>
      </c>
      <c r="N217" s="48">
        <f t="shared" si="44"/>
        <v>6</v>
      </c>
      <c r="O217" s="51">
        <f t="shared" ca="1" si="36"/>
        <v>0.32649923143399479</v>
      </c>
      <c r="P217" s="51">
        <f t="shared" ca="1" si="37"/>
        <v>40.021580452647193</v>
      </c>
      <c r="Q217" s="55">
        <f t="shared" ca="1" si="45"/>
        <v>0.32649923143399207</v>
      </c>
    </row>
    <row r="218" spans="1:17" x14ac:dyDescent="0.25">
      <c r="A218" s="48">
        <v>172</v>
      </c>
      <c r="B218" s="48">
        <f t="shared" ca="1" si="32"/>
        <v>0.57499999999999996</v>
      </c>
      <c r="C218" s="49">
        <f t="shared" si="38"/>
        <v>5</v>
      </c>
      <c r="D218" s="51">
        <f t="shared" ca="1" si="33"/>
        <v>0.11067704763695735</v>
      </c>
      <c r="E218" s="51">
        <f t="shared" ca="1" si="39"/>
        <v>39.805758268850155</v>
      </c>
      <c r="F218" s="48">
        <f t="shared" ca="1" si="40"/>
        <v>1</v>
      </c>
      <c r="G218" s="48">
        <f ca="1">COUNTIF($P$47:P228,"&lt;"&amp;E218)</f>
        <v>170</v>
      </c>
      <c r="H218" s="48">
        <f t="shared" ca="1" si="41"/>
        <v>0</v>
      </c>
      <c r="I218" s="48" t="str">
        <f t="shared" ca="1" si="42"/>
        <v>Ocu</v>
      </c>
      <c r="J218" s="52">
        <f t="shared" ca="1" si="34"/>
        <v>2</v>
      </c>
      <c r="K218" s="53">
        <f t="shared" ca="1" si="31"/>
        <v>0.21582218379703733</v>
      </c>
      <c r="L218" s="54">
        <f t="shared" ca="1" si="43"/>
        <v>40.021580452647193</v>
      </c>
      <c r="M218" s="48">
        <f t="shared" ca="1" si="35"/>
        <v>0.58899999999999997</v>
      </c>
      <c r="N218" s="48">
        <f t="shared" si="44"/>
        <v>6</v>
      </c>
      <c r="O218" s="51">
        <f t="shared" ca="1" si="36"/>
        <v>8.8221515888425056E-2</v>
      </c>
      <c r="P218" s="51">
        <f t="shared" ca="1" si="37"/>
        <v>40.109801968535621</v>
      </c>
      <c r="Q218" s="55">
        <f t="shared" ca="1" si="45"/>
        <v>0.30404369968546519</v>
      </c>
    </row>
    <row r="219" spans="1:17" x14ac:dyDescent="0.25">
      <c r="A219" s="48">
        <v>173</v>
      </c>
      <c r="B219" s="48">
        <f t="shared" ca="1" si="32"/>
        <v>0.92600000000000005</v>
      </c>
      <c r="C219" s="49">
        <f t="shared" si="38"/>
        <v>5</v>
      </c>
      <c r="D219" s="51">
        <f t="shared" ca="1" si="33"/>
        <v>1.5376208867191519E-2</v>
      </c>
      <c r="E219" s="51">
        <f t="shared" ca="1" si="39"/>
        <v>39.821134477717344</v>
      </c>
      <c r="F219" s="48">
        <f t="shared" ca="1" si="40"/>
        <v>2</v>
      </c>
      <c r="G219" s="48">
        <f ca="1">COUNTIF($P$47:P229,"&lt;"&amp;E219)</f>
        <v>170</v>
      </c>
      <c r="H219" s="48">
        <f t="shared" ca="1" si="41"/>
        <v>0</v>
      </c>
      <c r="I219" s="48" t="str">
        <f t="shared" ca="1" si="42"/>
        <v>Ocu</v>
      </c>
      <c r="J219" s="52">
        <f t="shared" ca="1" si="34"/>
        <v>3</v>
      </c>
      <c r="K219" s="53">
        <f t="shared" ca="1" si="31"/>
        <v>0.28866749081827692</v>
      </c>
      <c r="L219" s="54">
        <f t="shared" ca="1" si="43"/>
        <v>40.109801968535621</v>
      </c>
      <c r="M219" s="48">
        <f t="shared" ca="1" si="35"/>
        <v>0.68799999999999994</v>
      </c>
      <c r="N219" s="48">
        <f t="shared" si="44"/>
        <v>6</v>
      </c>
      <c r="O219" s="51">
        <f t="shared" ca="1" si="36"/>
        <v>6.2327740174798918E-2</v>
      </c>
      <c r="P219" s="51">
        <f t="shared" ca="1" si="37"/>
        <v>40.172129708710422</v>
      </c>
      <c r="Q219" s="55">
        <f t="shared" ca="1" si="45"/>
        <v>0.35099523099307817</v>
      </c>
    </row>
    <row r="220" spans="1:17" x14ac:dyDescent="0.25">
      <c r="A220" s="48">
        <v>174</v>
      </c>
      <c r="B220" s="48">
        <f t="shared" ca="1" si="32"/>
        <v>0.38600000000000001</v>
      </c>
      <c r="C220" s="49">
        <f t="shared" si="38"/>
        <v>5</v>
      </c>
      <c r="D220" s="51">
        <f t="shared" ca="1" si="33"/>
        <v>0.19038358190346125</v>
      </c>
      <c r="E220" s="51">
        <f t="shared" ca="1" si="39"/>
        <v>40.011518059620805</v>
      </c>
      <c r="F220" s="48">
        <f t="shared" ca="1" si="40"/>
        <v>3</v>
      </c>
      <c r="G220" s="48">
        <f ca="1">COUNTIF($P$47:P230,"&lt;"&amp;E220)</f>
        <v>170</v>
      </c>
      <c r="H220" s="48">
        <f t="shared" ca="1" si="41"/>
        <v>0</v>
      </c>
      <c r="I220" s="48" t="str">
        <f t="shared" ca="1" si="42"/>
        <v>Ocu</v>
      </c>
      <c r="J220" s="52">
        <f t="shared" ca="1" si="34"/>
        <v>4</v>
      </c>
      <c r="K220" s="53">
        <f t="shared" ca="1" si="31"/>
        <v>0.160611649089617</v>
      </c>
      <c r="L220" s="54">
        <f t="shared" ca="1" si="43"/>
        <v>40.172129708710422</v>
      </c>
      <c r="M220" s="48">
        <f t="shared" ca="1" si="35"/>
        <v>0.94</v>
      </c>
      <c r="N220" s="48">
        <f t="shared" si="44"/>
        <v>6</v>
      </c>
      <c r="O220" s="51">
        <f t="shared" ca="1" si="36"/>
        <v>1.0312567286347909E-2</v>
      </c>
      <c r="P220" s="51">
        <f t="shared" ca="1" si="37"/>
        <v>40.18244227599677</v>
      </c>
      <c r="Q220" s="55">
        <f t="shared" ca="1" si="45"/>
        <v>0.17092421637596544</v>
      </c>
    </row>
    <row r="221" spans="1:17" x14ac:dyDescent="0.25">
      <c r="A221" s="48">
        <v>175</v>
      </c>
      <c r="B221" s="48">
        <f t="shared" ca="1" si="32"/>
        <v>0.99099999999999999</v>
      </c>
      <c r="C221" s="49">
        <f t="shared" si="38"/>
        <v>5</v>
      </c>
      <c r="D221" s="51">
        <f t="shared" ca="1" si="33"/>
        <v>1.8081489304298049E-3</v>
      </c>
      <c r="E221" s="51">
        <f t="shared" ca="1" si="39"/>
        <v>40.013326208551234</v>
      </c>
      <c r="F221" s="48">
        <f t="shared" ca="1" si="40"/>
        <v>4</v>
      </c>
      <c r="G221" s="48">
        <f ca="1">COUNTIF($P$47:P231,"&lt;"&amp;E221)</f>
        <v>170</v>
      </c>
      <c r="H221" s="48">
        <f t="shared" ca="1" si="41"/>
        <v>0</v>
      </c>
      <c r="I221" s="48" t="str">
        <f t="shared" ca="1" si="42"/>
        <v>Ocu</v>
      </c>
      <c r="J221" s="52">
        <f t="shared" ca="1" si="34"/>
        <v>5</v>
      </c>
      <c r="K221" s="53">
        <f t="shared" ca="1" si="31"/>
        <v>0.16911606744553609</v>
      </c>
      <c r="L221" s="54">
        <f t="shared" ca="1" si="43"/>
        <v>40.18244227599677</v>
      </c>
      <c r="M221" s="48">
        <f t="shared" ca="1" si="35"/>
        <v>9.4E-2</v>
      </c>
      <c r="N221" s="48">
        <f t="shared" si="44"/>
        <v>6</v>
      </c>
      <c r="O221" s="51">
        <f t="shared" ca="1" si="36"/>
        <v>0.39407674945202215</v>
      </c>
      <c r="P221" s="51">
        <f t="shared" ca="1" si="37"/>
        <v>40.576519025448789</v>
      </c>
      <c r="Q221" s="55">
        <f t="shared" ca="1" si="45"/>
        <v>0.56319281689755485</v>
      </c>
    </row>
    <row r="222" spans="1:17" x14ac:dyDescent="0.25">
      <c r="A222" s="48">
        <v>176</v>
      </c>
      <c r="B222" s="48">
        <f t="shared" ca="1" si="32"/>
        <v>0.192</v>
      </c>
      <c r="C222" s="49">
        <f t="shared" si="38"/>
        <v>5</v>
      </c>
      <c r="D222" s="51">
        <f t="shared" ca="1" si="33"/>
        <v>0.33005198139087111</v>
      </c>
      <c r="E222" s="51">
        <f t="shared" ca="1" si="39"/>
        <v>40.343378189942108</v>
      </c>
      <c r="F222" s="48">
        <f t="shared" ca="1" si="40"/>
        <v>1</v>
      </c>
      <c r="G222" s="48">
        <f ca="1">COUNTIF($P$47:P232,"&lt;"&amp;E222)</f>
        <v>174</v>
      </c>
      <c r="H222" s="48">
        <f t="shared" ca="1" si="41"/>
        <v>4</v>
      </c>
      <c r="I222" s="48" t="str">
        <f t="shared" ca="1" si="42"/>
        <v>Ocu</v>
      </c>
      <c r="J222" s="52">
        <f t="shared" ca="1" si="34"/>
        <v>2</v>
      </c>
      <c r="K222" s="53">
        <f t="shared" ca="1" si="31"/>
        <v>0.2331408355066813</v>
      </c>
      <c r="L222" s="54">
        <f t="shared" ca="1" si="43"/>
        <v>40.576519025448789</v>
      </c>
      <c r="M222" s="48">
        <f t="shared" ca="1" si="35"/>
        <v>0.67500000000000004</v>
      </c>
      <c r="N222" s="48">
        <f t="shared" si="44"/>
        <v>6</v>
      </c>
      <c r="O222" s="51">
        <f t="shared" ca="1" si="36"/>
        <v>6.5507098018267859E-2</v>
      </c>
      <c r="P222" s="51">
        <f t="shared" ca="1" si="37"/>
        <v>40.642026123467055</v>
      </c>
      <c r="Q222" s="55">
        <f t="shared" ca="1" si="45"/>
        <v>0.29864793352494701</v>
      </c>
    </row>
    <row r="223" spans="1:17" x14ac:dyDescent="0.25">
      <c r="A223" s="48">
        <v>177</v>
      </c>
      <c r="B223" s="48">
        <f t="shared" ca="1" si="32"/>
        <v>0.90500000000000003</v>
      </c>
      <c r="C223" s="49">
        <f t="shared" si="38"/>
        <v>5</v>
      </c>
      <c r="D223" s="51">
        <f t="shared" ca="1" si="33"/>
        <v>1.99640670564422E-2</v>
      </c>
      <c r="E223" s="51">
        <f t="shared" ca="1" si="39"/>
        <v>40.36334225699855</v>
      </c>
      <c r="F223" s="48">
        <f t="shared" ca="1" si="40"/>
        <v>2</v>
      </c>
      <c r="G223" s="48">
        <f ca="1">COUNTIF($P$47:P233,"&lt;"&amp;E223)</f>
        <v>174</v>
      </c>
      <c r="H223" s="48">
        <f t="shared" ca="1" si="41"/>
        <v>0</v>
      </c>
      <c r="I223" s="48" t="str">
        <f t="shared" ca="1" si="42"/>
        <v>Ocu</v>
      </c>
      <c r="J223" s="52">
        <f t="shared" ca="1" si="34"/>
        <v>3</v>
      </c>
      <c r="K223" s="53">
        <f t="shared" ca="1" si="31"/>
        <v>0.27868386646850496</v>
      </c>
      <c r="L223" s="54">
        <f t="shared" ca="1" si="43"/>
        <v>40.642026123467055</v>
      </c>
      <c r="M223" s="48">
        <f t="shared" ca="1" si="35"/>
        <v>0.126</v>
      </c>
      <c r="N223" s="48">
        <f t="shared" si="44"/>
        <v>6</v>
      </c>
      <c r="O223" s="51">
        <f t="shared" ca="1" si="36"/>
        <v>0.34524556200510986</v>
      </c>
      <c r="P223" s="51">
        <f t="shared" ca="1" si="37"/>
        <v>40.987271685472166</v>
      </c>
      <c r="Q223" s="55">
        <f t="shared" ca="1" si="45"/>
        <v>0.6239294284736161</v>
      </c>
    </row>
    <row r="224" spans="1:17" x14ac:dyDescent="0.25">
      <c r="A224" s="48">
        <v>178</v>
      </c>
      <c r="B224" s="48">
        <f t="shared" ca="1" si="32"/>
        <v>0.27800000000000002</v>
      </c>
      <c r="C224" s="49">
        <f t="shared" si="38"/>
        <v>5</v>
      </c>
      <c r="D224" s="51">
        <f t="shared" ca="1" si="33"/>
        <v>0.25602683305829999</v>
      </c>
      <c r="E224" s="51">
        <f t="shared" ca="1" si="39"/>
        <v>40.61936909005685</v>
      </c>
      <c r="F224" s="48">
        <f t="shared" ca="1" si="40"/>
        <v>2</v>
      </c>
      <c r="G224" s="48">
        <f ca="1">COUNTIF($P$47:P234,"&lt;"&amp;E224)</f>
        <v>175</v>
      </c>
      <c r="H224" s="48">
        <f t="shared" ca="1" si="41"/>
        <v>1</v>
      </c>
      <c r="I224" s="48" t="str">
        <f t="shared" ca="1" si="42"/>
        <v>Ocu</v>
      </c>
      <c r="J224" s="52">
        <f t="shared" ca="1" si="34"/>
        <v>3</v>
      </c>
      <c r="K224" s="53">
        <f t="shared" ca="1" si="31"/>
        <v>0.36790259541531611</v>
      </c>
      <c r="L224" s="54">
        <f t="shared" ca="1" si="43"/>
        <v>40.987271685472166</v>
      </c>
      <c r="M224" s="48">
        <f t="shared" ca="1" si="35"/>
        <v>0.54400000000000004</v>
      </c>
      <c r="N224" s="48">
        <f t="shared" si="44"/>
        <v>6</v>
      </c>
      <c r="O224" s="51">
        <f t="shared" ca="1" si="36"/>
        <v>0.10146767202103238</v>
      </c>
      <c r="P224" s="51">
        <f t="shared" ca="1" si="37"/>
        <v>41.088739357493196</v>
      </c>
      <c r="Q224" s="55">
        <f t="shared" ca="1" si="45"/>
        <v>0.46937026743634647</v>
      </c>
    </row>
    <row r="225" spans="1:17" x14ac:dyDescent="0.25">
      <c r="A225" s="48">
        <v>179</v>
      </c>
      <c r="B225" s="48">
        <f t="shared" ca="1" si="32"/>
        <v>0.55100000000000005</v>
      </c>
      <c r="C225" s="49">
        <f t="shared" si="38"/>
        <v>5</v>
      </c>
      <c r="D225" s="51">
        <f t="shared" ca="1" si="33"/>
        <v>0.11920409396584451</v>
      </c>
      <c r="E225" s="51">
        <f t="shared" ca="1" si="39"/>
        <v>40.738573184022691</v>
      </c>
      <c r="F225" s="48">
        <f t="shared" ca="1" si="40"/>
        <v>2</v>
      </c>
      <c r="G225" s="48">
        <f ca="1">COUNTIF($P$47:P235,"&lt;"&amp;E225)</f>
        <v>176</v>
      </c>
      <c r="H225" s="48">
        <f t="shared" ca="1" si="41"/>
        <v>1</v>
      </c>
      <c r="I225" s="48" t="str">
        <f t="shared" ca="1" si="42"/>
        <v>Ocu</v>
      </c>
      <c r="J225" s="52">
        <f t="shared" ca="1" si="34"/>
        <v>3</v>
      </c>
      <c r="K225" s="53">
        <f t="shared" ca="1" si="31"/>
        <v>0.35016617347050527</v>
      </c>
      <c r="L225" s="54">
        <f t="shared" ca="1" si="43"/>
        <v>41.088739357493196</v>
      </c>
      <c r="M225" s="48">
        <f t="shared" ca="1" si="35"/>
        <v>0.14499999999999999</v>
      </c>
      <c r="N225" s="48">
        <f t="shared" si="44"/>
        <v>6</v>
      </c>
      <c r="O225" s="51">
        <f t="shared" ca="1" si="36"/>
        <v>0.32183692276026044</v>
      </c>
      <c r="P225" s="51">
        <f t="shared" ca="1" si="37"/>
        <v>41.410576280253458</v>
      </c>
      <c r="Q225" s="55">
        <f t="shared" ca="1" si="45"/>
        <v>0.67200309623076748</v>
      </c>
    </row>
    <row r="226" spans="1:17" x14ac:dyDescent="0.25">
      <c r="A226" s="48">
        <v>180</v>
      </c>
      <c r="B226" s="48">
        <f t="shared" ca="1" si="32"/>
        <v>0.315</v>
      </c>
      <c r="C226" s="49">
        <f t="shared" si="38"/>
        <v>5</v>
      </c>
      <c r="D226" s="51">
        <f t="shared" ca="1" si="33"/>
        <v>0.23103652803130081</v>
      </c>
      <c r="E226" s="51">
        <f t="shared" ca="1" si="39"/>
        <v>40.969609712053995</v>
      </c>
      <c r="F226" s="48">
        <f t="shared" ca="1" si="40"/>
        <v>3</v>
      </c>
      <c r="G226" s="48">
        <f ca="1">COUNTIF($P$47:P236,"&lt;"&amp;E226)</f>
        <v>176</v>
      </c>
      <c r="H226" s="48">
        <f t="shared" ca="1" si="41"/>
        <v>0</v>
      </c>
      <c r="I226" s="48" t="str">
        <f t="shared" ca="1" si="42"/>
        <v>Ocu</v>
      </c>
      <c r="J226" s="52">
        <f t="shared" ca="1" si="34"/>
        <v>4</v>
      </c>
      <c r="K226" s="53">
        <f t="shared" ca="1" si="31"/>
        <v>0.44096656819946389</v>
      </c>
      <c r="L226" s="54">
        <f t="shared" ca="1" si="43"/>
        <v>41.410576280253458</v>
      </c>
      <c r="M226" s="48">
        <f t="shared" ca="1" si="35"/>
        <v>0.877</v>
      </c>
      <c r="N226" s="48">
        <f t="shared" si="44"/>
        <v>6</v>
      </c>
      <c r="O226" s="51">
        <f t="shared" ca="1" si="36"/>
        <v>2.1874714434992337E-2</v>
      </c>
      <c r="P226" s="51">
        <f t="shared" ca="1" si="37"/>
        <v>41.432450994688452</v>
      </c>
      <c r="Q226" s="55">
        <f t="shared" ca="1" si="45"/>
        <v>0.46284128263445723</v>
      </c>
    </row>
    <row r="227" spans="1:17" x14ac:dyDescent="0.25">
      <c r="A227" s="48">
        <v>181</v>
      </c>
      <c r="B227" s="48">
        <f t="shared" ca="1" si="32"/>
        <v>0.96699999999999997</v>
      </c>
      <c r="C227" s="49">
        <f t="shared" si="38"/>
        <v>5</v>
      </c>
      <c r="D227" s="51">
        <f t="shared" ca="1" si="33"/>
        <v>6.7113567057685538E-3</v>
      </c>
      <c r="E227" s="51">
        <f t="shared" ca="1" si="39"/>
        <v>40.976321068759766</v>
      </c>
      <c r="F227" s="48">
        <f t="shared" ca="1" si="40"/>
        <v>4</v>
      </c>
      <c r="G227" s="48">
        <f ca="1">COUNTIF($P$47:P237,"&lt;"&amp;E227)</f>
        <v>176</v>
      </c>
      <c r="H227" s="48">
        <f t="shared" ca="1" si="41"/>
        <v>0</v>
      </c>
      <c r="I227" s="48" t="str">
        <f t="shared" ca="1" si="42"/>
        <v>Ocu</v>
      </c>
      <c r="J227" s="52">
        <f t="shared" ca="1" si="34"/>
        <v>5</v>
      </c>
      <c r="K227" s="53">
        <f t="shared" ca="1" si="31"/>
        <v>0.45612992592868551</v>
      </c>
      <c r="L227" s="54">
        <f t="shared" ca="1" si="43"/>
        <v>41.432450994688452</v>
      </c>
      <c r="M227" s="48">
        <f t="shared" ca="1" si="35"/>
        <v>0.372</v>
      </c>
      <c r="N227" s="48">
        <f t="shared" si="44"/>
        <v>6</v>
      </c>
      <c r="O227" s="51">
        <f t="shared" ca="1" si="36"/>
        <v>0.16481023745149839</v>
      </c>
      <c r="P227" s="51">
        <f t="shared" ca="1" si="37"/>
        <v>41.59726123213995</v>
      </c>
      <c r="Q227" s="55">
        <f t="shared" ca="1" si="45"/>
        <v>0.62094016338018321</v>
      </c>
    </row>
    <row r="228" spans="1:17" x14ac:dyDescent="0.25">
      <c r="A228" s="48">
        <v>182</v>
      </c>
      <c r="B228" s="48">
        <f t="shared" ca="1" si="32"/>
        <v>0.91600000000000004</v>
      </c>
      <c r="C228" s="49">
        <f t="shared" si="38"/>
        <v>5</v>
      </c>
      <c r="D228" s="51">
        <f t="shared" ca="1" si="33"/>
        <v>1.7547782861601337E-2</v>
      </c>
      <c r="E228" s="51">
        <f t="shared" ca="1" si="39"/>
        <v>40.993868851621365</v>
      </c>
      <c r="F228" s="48">
        <f t="shared" ca="1" si="40"/>
        <v>4</v>
      </c>
      <c r="G228" s="48">
        <f ca="1">COUNTIF($P$47:P238,"&lt;"&amp;E228)</f>
        <v>177</v>
      </c>
      <c r="H228" s="48">
        <f t="shared" ca="1" si="41"/>
        <v>1</v>
      </c>
      <c r="I228" s="48" t="str">
        <f t="shared" ca="1" si="42"/>
        <v>Ocu</v>
      </c>
      <c r="J228" s="52">
        <f t="shared" ca="1" si="34"/>
        <v>5</v>
      </c>
      <c r="K228" s="53">
        <f t="shared" ca="1" si="31"/>
        <v>0.60339238051858501</v>
      </c>
      <c r="L228" s="54">
        <f t="shared" ca="1" si="43"/>
        <v>41.59726123213995</v>
      </c>
      <c r="M228" s="48">
        <f t="shared" ca="1" si="35"/>
        <v>0.88900000000000001</v>
      </c>
      <c r="N228" s="48">
        <f t="shared" si="44"/>
        <v>6</v>
      </c>
      <c r="O228" s="51">
        <f t="shared" ca="1" si="36"/>
        <v>1.9609673911372083E-2</v>
      </c>
      <c r="P228" s="51">
        <f t="shared" ca="1" si="37"/>
        <v>41.616870906051325</v>
      </c>
      <c r="Q228" s="55">
        <f t="shared" ca="1" si="45"/>
        <v>0.62300205442996059</v>
      </c>
    </row>
    <row r="229" spans="1:17" x14ac:dyDescent="0.25">
      <c r="A229" s="48">
        <v>183</v>
      </c>
      <c r="B229" s="48">
        <f t="shared" ca="1" si="32"/>
        <v>0.81799999999999995</v>
      </c>
      <c r="C229" s="49">
        <f t="shared" si="38"/>
        <v>5</v>
      </c>
      <c r="D229" s="51">
        <f t="shared" ca="1" si="33"/>
        <v>4.0178588475878019E-2</v>
      </c>
      <c r="E229" s="51">
        <f t="shared" ca="1" si="39"/>
        <v>41.03404744009724</v>
      </c>
      <c r="F229" s="48">
        <f t="shared" ca="1" si="40"/>
        <v>5</v>
      </c>
      <c r="G229" s="48">
        <f ca="1">COUNTIF($P$47:P239,"&lt;"&amp;E229)</f>
        <v>177</v>
      </c>
      <c r="H229" s="48">
        <f t="shared" ca="1" si="41"/>
        <v>0</v>
      </c>
      <c r="I229" s="48" t="str">
        <f t="shared" ca="1" si="42"/>
        <v>Ocu</v>
      </c>
      <c r="J229" s="52">
        <f t="shared" ca="1" si="34"/>
        <v>6</v>
      </c>
      <c r="K229" s="53">
        <f t="shared" ca="1" si="31"/>
        <v>0.58282346595408541</v>
      </c>
      <c r="L229" s="54">
        <f t="shared" ca="1" si="43"/>
        <v>41.616870906051325</v>
      </c>
      <c r="M229" s="48">
        <f t="shared" ca="1" si="35"/>
        <v>0.53700000000000003</v>
      </c>
      <c r="N229" s="48">
        <f t="shared" si="44"/>
        <v>6</v>
      </c>
      <c r="O229" s="51">
        <f t="shared" ca="1" si="36"/>
        <v>0.10362619741221203</v>
      </c>
      <c r="P229" s="51">
        <f t="shared" ca="1" si="37"/>
        <v>41.720497103463536</v>
      </c>
      <c r="Q229" s="55">
        <f t="shared" ca="1" si="45"/>
        <v>0.68644966336629665</v>
      </c>
    </row>
    <row r="230" spans="1:17" x14ac:dyDescent="0.25">
      <c r="A230" s="48">
        <v>184</v>
      </c>
      <c r="B230" s="48">
        <f t="shared" ca="1" si="32"/>
        <v>0.85799999999999998</v>
      </c>
      <c r="C230" s="49">
        <f t="shared" si="38"/>
        <v>5</v>
      </c>
      <c r="D230" s="51">
        <f t="shared" ca="1" si="33"/>
        <v>3.0630235898834964E-2</v>
      </c>
      <c r="E230" s="51">
        <f t="shared" ca="1" si="39"/>
        <v>41.064677675996073</v>
      </c>
      <c r="F230" s="48">
        <f t="shared" ca="1" si="40"/>
        <v>6</v>
      </c>
      <c r="G230" s="48">
        <f ca="1">COUNTIF($P$47:P240,"&lt;"&amp;E230)</f>
        <v>177</v>
      </c>
      <c r="H230" s="48">
        <f t="shared" ca="1" si="41"/>
        <v>0</v>
      </c>
      <c r="I230" s="48" t="str">
        <f t="shared" ca="1" si="42"/>
        <v>Ocu</v>
      </c>
      <c r="J230" s="52">
        <f t="shared" ca="1" si="34"/>
        <v>7</v>
      </c>
      <c r="K230" s="53">
        <f t="shared" ca="1" si="31"/>
        <v>0.65581942746746336</v>
      </c>
      <c r="L230" s="54">
        <f t="shared" ca="1" si="43"/>
        <v>41.720497103463536</v>
      </c>
      <c r="M230" s="48">
        <f t="shared" ca="1" si="35"/>
        <v>6.0999999999999999E-2</v>
      </c>
      <c r="N230" s="48">
        <f t="shared" si="44"/>
        <v>6</v>
      </c>
      <c r="O230" s="51">
        <f t="shared" ca="1" si="36"/>
        <v>0.46614690246813761</v>
      </c>
      <c r="P230" s="51">
        <f t="shared" ca="1" si="37"/>
        <v>42.186644005931676</v>
      </c>
      <c r="Q230" s="55">
        <f t="shared" ca="1" si="45"/>
        <v>1.1219663299356029</v>
      </c>
    </row>
    <row r="231" spans="1:17" x14ac:dyDescent="0.25">
      <c r="A231" s="48">
        <v>185</v>
      </c>
      <c r="B231" s="48">
        <f t="shared" ca="1" si="32"/>
        <v>0.41199999999999998</v>
      </c>
      <c r="C231" s="49">
        <f t="shared" si="38"/>
        <v>5</v>
      </c>
      <c r="D231" s="51">
        <f t="shared" ca="1" si="33"/>
        <v>0.17734638592652216</v>
      </c>
      <c r="E231" s="51">
        <f t="shared" ca="1" si="39"/>
        <v>41.242024061922592</v>
      </c>
      <c r="F231" s="48">
        <f t="shared" ca="1" si="40"/>
        <v>6</v>
      </c>
      <c r="G231" s="48">
        <f ca="1">COUNTIF($P$47:P241,"&lt;"&amp;E231)</f>
        <v>178</v>
      </c>
      <c r="H231" s="48">
        <f t="shared" ca="1" si="41"/>
        <v>1</v>
      </c>
      <c r="I231" s="48" t="str">
        <f t="shared" ca="1" si="42"/>
        <v>Ocu</v>
      </c>
      <c r="J231" s="52">
        <f t="shared" ca="1" si="34"/>
        <v>7</v>
      </c>
      <c r="K231" s="53">
        <f t="shared" ca="1" si="31"/>
        <v>0.94461994400908367</v>
      </c>
      <c r="L231" s="54">
        <f t="shared" ca="1" si="43"/>
        <v>42.186644005931676</v>
      </c>
      <c r="M231" s="48">
        <f t="shared" ca="1" si="35"/>
        <v>0.80400000000000005</v>
      </c>
      <c r="N231" s="48">
        <f t="shared" si="44"/>
        <v>6</v>
      </c>
      <c r="O231" s="51">
        <f t="shared" ca="1" si="36"/>
        <v>3.6359334967195095E-2</v>
      </c>
      <c r="P231" s="51">
        <f t="shared" ca="1" si="37"/>
        <v>42.22300334089887</v>
      </c>
      <c r="Q231" s="55">
        <f t="shared" ca="1" si="45"/>
        <v>0.98097927897627812</v>
      </c>
    </row>
    <row r="232" spans="1:17" x14ac:dyDescent="0.25">
      <c r="A232" s="48">
        <v>186</v>
      </c>
      <c r="B232" s="48">
        <f t="shared" ca="1" si="32"/>
        <v>0.49</v>
      </c>
      <c r="C232" s="49">
        <f t="shared" si="38"/>
        <v>5</v>
      </c>
      <c r="D232" s="51">
        <f t="shared" ca="1" si="33"/>
        <v>0.14266997757549296</v>
      </c>
      <c r="E232" s="51">
        <f t="shared" ca="1" si="39"/>
        <v>41.384694039498086</v>
      </c>
      <c r="F232" s="48">
        <f t="shared" ca="1" si="40"/>
        <v>7</v>
      </c>
      <c r="G232" s="48">
        <f ca="1">COUNTIF($P$47:P242,"&lt;"&amp;E232)</f>
        <v>178</v>
      </c>
      <c r="H232" s="48">
        <f t="shared" ca="1" si="41"/>
        <v>0</v>
      </c>
      <c r="I232" s="48" t="str">
        <f t="shared" ca="1" si="42"/>
        <v>Ocu</v>
      </c>
      <c r="J232" s="52">
        <f t="shared" ca="1" si="34"/>
        <v>8</v>
      </c>
      <c r="K232" s="53">
        <f t="shared" ca="1" si="31"/>
        <v>0.83830930140078408</v>
      </c>
      <c r="L232" s="54">
        <f t="shared" ca="1" si="43"/>
        <v>42.22300334089887</v>
      </c>
      <c r="M232" s="48">
        <f t="shared" ca="1" si="35"/>
        <v>0.81599999999999995</v>
      </c>
      <c r="N232" s="48">
        <f t="shared" si="44"/>
        <v>6</v>
      </c>
      <c r="O232" s="51">
        <f t="shared" ca="1" si="36"/>
        <v>3.3890154003005019E-2</v>
      </c>
      <c r="P232" s="51">
        <f t="shared" ca="1" si="37"/>
        <v>42.256893494901874</v>
      </c>
      <c r="Q232" s="55">
        <f t="shared" ca="1" si="45"/>
        <v>0.87219945540378774</v>
      </c>
    </row>
    <row r="233" spans="1:17" x14ac:dyDescent="0.25">
      <c r="A233" s="48">
        <v>187</v>
      </c>
      <c r="B233" s="48">
        <f t="shared" ca="1" si="32"/>
        <v>0.19800000000000001</v>
      </c>
      <c r="C233" s="49">
        <f t="shared" si="38"/>
        <v>5</v>
      </c>
      <c r="D233" s="51">
        <f t="shared" ca="1" si="33"/>
        <v>0.32389764965752038</v>
      </c>
      <c r="E233" s="51">
        <f t="shared" ca="1" si="39"/>
        <v>41.708591689155604</v>
      </c>
      <c r="F233" s="48">
        <f t="shared" ca="1" si="40"/>
        <v>4</v>
      </c>
      <c r="G233" s="48">
        <f ca="1">COUNTIF($P$47:P243,"&lt;"&amp;E233)</f>
        <v>182</v>
      </c>
      <c r="H233" s="48">
        <f t="shared" ca="1" si="41"/>
        <v>4</v>
      </c>
      <c r="I233" s="48" t="str">
        <f t="shared" ca="1" si="42"/>
        <v>Ocu</v>
      </c>
      <c r="J233" s="52">
        <f t="shared" ca="1" si="34"/>
        <v>5</v>
      </c>
      <c r="K233" s="53">
        <f t="shared" ca="1" si="31"/>
        <v>0.54830180574627008</v>
      </c>
      <c r="L233" s="54">
        <f t="shared" ca="1" si="43"/>
        <v>42.256893494901874</v>
      </c>
      <c r="M233" s="48">
        <f t="shared" ca="1" si="35"/>
        <v>0.92800000000000005</v>
      </c>
      <c r="N233" s="48">
        <f t="shared" si="44"/>
        <v>6</v>
      </c>
      <c r="O233" s="51">
        <f t="shared" ca="1" si="36"/>
        <v>1.2453924365989393E-2</v>
      </c>
      <c r="P233" s="51">
        <f t="shared" ca="1" si="37"/>
        <v>42.269347419267866</v>
      </c>
      <c r="Q233" s="55">
        <f t="shared" ca="1" si="45"/>
        <v>0.56075573011226254</v>
      </c>
    </row>
    <row r="234" spans="1:17" x14ac:dyDescent="0.25">
      <c r="A234" s="48">
        <v>188</v>
      </c>
      <c r="B234" s="48">
        <f t="shared" ca="1" si="32"/>
        <v>0.85599999999999998</v>
      </c>
      <c r="C234" s="49">
        <f t="shared" si="38"/>
        <v>5</v>
      </c>
      <c r="D234" s="51">
        <f t="shared" ca="1" si="33"/>
        <v>3.1096980568078993E-2</v>
      </c>
      <c r="E234" s="51">
        <f t="shared" ca="1" si="39"/>
        <v>41.739688669723684</v>
      </c>
      <c r="F234" s="48">
        <f t="shared" ca="1" si="40"/>
        <v>4</v>
      </c>
      <c r="G234" s="48">
        <f ca="1">COUNTIF($P$47:P244,"&lt;"&amp;E234)</f>
        <v>183</v>
      </c>
      <c r="H234" s="48">
        <f t="shared" ca="1" si="41"/>
        <v>1</v>
      </c>
      <c r="I234" s="48" t="str">
        <f t="shared" ca="1" si="42"/>
        <v>Ocu</v>
      </c>
      <c r="J234" s="52">
        <f t="shared" ca="1" si="34"/>
        <v>5</v>
      </c>
      <c r="K234" s="53">
        <f t="shared" ca="1" si="31"/>
        <v>0.52965874954418268</v>
      </c>
      <c r="L234" s="54">
        <f t="shared" ca="1" si="43"/>
        <v>42.269347419267866</v>
      </c>
      <c r="M234" s="48">
        <f t="shared" ca="1" si="35"/>
        <v>0.85099999999999998</v>
      </c>
      <c r="N234" s="48">
        <f t="shared" si="44"/>
        <v>6</v>
      </c>
      <c r="O234" s="51">
        <f t="shared" ca="1" si="36"/>
        <v>2.6890525068127145E-2</v>
      </c>
      <c r="P234" s="51">
        <f t="shared" ca="1" si="37"/>
        <v>42.296237944335992</v>
      </c>
      <c r="Q234" s="55">
        <f t="shared" ca="1" si="45"/>
        <v>0.55654927461230841</v>
      </c>
    </row>
    <row r="235" spans="1:17" x14ac:dyDescent="0.25">
      <c r="A235" s="48">
        <v>189</v>
      </c>
      <c r="B235" s="48">
        <f t="shared" ca="1" si="32"/>
        <v>0.83699999999999997</v>
      </c>
      <c r="C235" s="49">
        <f t="shared" si="38"/>
        <v>5</v>
      </c>
      <c r="D235" s="51">
        <f t="shared" ca="1" si="33"/>
        <v>3.5586241698532362E-2</v>
      </c>
      <c r="E235" s="51">
        <f t="shared" ca="1" si="39"/>
        <v>41.775274911422215</v>
      </c>
      <c r="F235" s="48">
        <f t="shared" ca="1" si="40"/>
        <v>5</v>
      </c>
      <c r="G235" s="48">
        <f ca="1">COUNTIF($P$47:P245,"&lt;"&amp;E235)</f>
        <v>183</v>
      </c>
      <c r="H235" s="48">
        <f t="shared" ca="1" si="41"/>
        <v>0</v>
      </c>
      <c r="I235" s="48" t="str">
        <f t="shared" ca="1" si="42"/>
        <v>Ocu</v>
      </c>
      <c r="J235" s="52">
        <f t="shared" ca="1" si="34"/>
        <v>6</v>
      </c>
      <c r="K235" s="53">
        <f t="shared" ca="1" si="31"/>
        <v>0.52096303291377666</v>
      </c>
      <c r="L235" s="54">
        <f t="shared" ca="1" si="43"/>
        <v>42.296237944335992</v>
      </c>
      <c r="M235" s="48">
        <f t="shared" ca="1" si="35"/>
        <v>0.35799999999999998</v>
      </c>
      <c r="N235" s="48">
        <f t="shared" si="44"/>
        <v>6</v>
      </c>
      <c r="O235" s="51">
        <f t="shared" ca="1" si="36"/>
        <v>0.17120371543023943</v>
      </c>
      <c r="P235" s="51">
        <f t="shared" ca="1" si="37"/>
        <v>42.46744165976623</v>
      </c>
      <c r="Q235" s="55">
        <f t="shared" ca="1" si="45"/>
        <v>0.69216674834401459</v>
      </c>
    </row>
    <row r="236" spans="1:17" x14ac:dyDescent="0.25">
      <c r="A236" s="48">
        <v>190</v>
      </c>
      <c r="B236" s="48">
        <f t="shared" ca="1" si="32"/>
        <v>0.56899999999999995</v>
      </c>
      <c r="C236" s="49">
        <f t="shared" si="38"/>
        <v>5</v>
      </c>
      <c r="D236" s="51">
        <f t="shared" ca="1" si="33"/>
        <v>0.11277496897116124</v>
      </c>
      <c r="E236" s="51">
        <f t="shared" ca="1" si="39"/>
        <v>41.888049880393375</v>
      </c>
      <c r="F236" s="48">
        <f t="shared" ca="1" si="40"/>
        <v>6</v>
      </c>
      <c r="G236" s="48">
        <f ca="1">COUNTIF($P$47:P246,"&lt;"&amp;E236)</f>
        <v>183</v>
      </c>
      <c r="H236" s="48">
        <f t="shared" ca="1" si="41"/>
        <v>0</v>
      </c>
      <c r="I236" s="48" t="str">
        <f t="shared" ca="1" si="42"/>
        <v>Ocu</v>
      </c>
      <c r="J236" s="52">
        <f t="shared" ca="1" si="34"/>
        <v>7</v>
      </c>
      <c r="K236" s="53">
        <f t="shared" ca="1" si="31"/>
        <v>0.57939177937285535</v>
      </c>
      <c r="L236" s="54">
        <f t="shared" ca="1" si="43"/>
        <v>42.46744165976623</v>
      </c>
      <c r="M236" s="48">
        <f t="shared" ca="1" si="35"/>
        <v>0.83099999999999996</v>
      </c>
      <c r="N236" s="48">
        <f t="shared" si="44"/>
        <v>6</v>
      </c>
      <c r="O236" s="51">
        <f t="shared" ca="1" si="36"/>
        <v>3.0854247354448153E-2</v>
      </c>
      <c r="P236" s="51">
        <f t="shared" ca="1" si="37"/>
        <v>42.498295907120678</v>
      </c>
      <c r="Q236" s="55">
        <f t="shared" ca="1" si="45"/>
        <v>0.6102460267273031</v>
      </c>
    </row>
    <row r="237" spans="1:17" x14ac:dyDescent="0.25">
      <c r="A237" s="48">
        <v>191</v>
      </c>
      <c r="B237" s="48">
        <f t="shared" ca="1" si="32"/>
        <v>0.185</v>
      </c>
      <c r="C237" s="49">
        <f t="shared" si="38"/>
        <v>5</v>
      </c>
      <c r="D237" s="51">
        <f t="shared" ca="1" si="33"/>
        <v>0.33747989078076246</v>
      </c>
      <c r="E237" s="51">
        <f t="shared" ca="1" si="39"/>
        <v>42.225529771174138</v>
      </c>
      <c r="F237" s="48">
        <f t="shared" ca="1" si="40"/>
        <v>5</v>
      </c>
      <c r="G237" s="48">
        <f ca="1">COUNTIF($P$47:P247,"&lt;"&amp;E237)</f>
        <v>185</v>
      </c>
      <c r="H237" s="48">
        <f t="shared" ca="1" si="41"/>
        <v>2</v>
      </c>
      <c r="I237" s="48" t="str">
        <f t="shared" ca="1" si="42"/>
        <v>Ocu</v>
      </c>
      <c r="J237" s="52">
        <f t="shared" ca="1" si="34"/>
        <v>6</v>
      </c>
      <c r="K237" s="53">
        <f t="shared" ca="1" si="31"/>
        <v>0.27276613594654009</v>
      </c>
      <c r="L237" s="54">
        <f t="shared" ca="1" si="43"/>
        <v>42.498295907120678</v>
      </c>
      <c r="M237" s="48">
        <f t="shared" ca="1" si="35"/>
        <v>0.06</v>
      </c>
      <c r="N237" s="48">
        <f t="shared" si="44"/>
        <v>6</v>
      </c>
      <c r="O237" s="51">
        <f t="shared" ca="1" si="36"/>
        <v>0.46890178612667271</v>
      </c>
      <c r="P237" s="51">
        <f t="shared" ca="1" si="37"/>
        <v>42.96719769324735</v>
      </c>
      <c r="Q237" s="55">
        <f t="shared" ca="1" si="45"/>
        <v>0.74166792207321208</v>
      </c>
    </row>
    <row r="238" spans="1:17" x14ac:dyDescent="0.25">
      <c r="A238" s="48">
        <v>192</v>
      </c>
      <c r="B238" s="48">
        <f t="shared" ca="1" si="32"/>
        <v>0.95499999999999996</v>
      </c>
      <c r="C238" s="49">
        <f t="shared" si="38"/>
        <v>5</v>
      </c>
      <c r="D238" s="51">
        <f t="shared" ca="1" si="33"/>
        <v>9.2087877002813602E-3</v>
      </c>
      <c r="E238" s="51">
        <f t="shared" ca="1" si="39"/>
        <v>42.234738558874419</v>
      </c>
      <c r="F238" s="48">
        <f t="shared" ca="1" si="40"/>
        <v>6</v>
      </c>
      <c r="G238" s="48">
        <f ca="1">COUNTIF($P$47:P248,"&lt;"&amp;E238)</f>
        <v>185</v>
      </c>
      <c r="H238" s="48">
        <f t="shared" ca="1" si="41"/>
        <v>0</v>
      </c>
      <c r="I238" s="48" t="str">
        <f t="shared" ca="1" si="42"/>
        <v>Ocu</v>
      </c>
      <c r="J238" s="52">
        <f t="shared" ca="1" si="34"/>
        <v>7</v>
      </c>
      <c r="K238" s="53">
        <f t="shared" ca="1" si="31"/>
        <v>0.73245913437293098</v>
      </c>
      <c r="L238" s="54">
        <f t="shared" ca="1" si="43"/>
        <v>42.96719769324735</v>
      </c>
      <c r="M238" s="48">
        <f t="shared" ca="1" si="35"/>
        <v>0.60799999999999998</v>
      </c>
      <c r="N238" s="48">
        <f t="shared" si="44"/>
        <v>6</v>
      </c>
      <c r="O238" s="51">
        <f t="shared" ca="1" si="36"/>
        <v>8.2930066169328354E-2</v>
      </c>
      <c r="P238" s="51">
        <f t="shared" ca="1" si="37"/>
        <v>43.050127759416675</v>
      </c>
      <c r="Q238" s="55">
        <f t="shared" ca="1" si="45"/>
        <v>0.81538920054225628</v>
      </c>
    </row>
    <row r="239" spans="1:17" x14ac:dyDescent="0.25">
      <c r="A239" s="48">
        <v>193</v>
      </c>
      <c r="B239" s="48">
        <f t="shared" ca="1" si="32"/>
        <v>0.93400000000000005</v>
      </c>
      <c r="C239" s="49">
        <f t="shared" si="38"/>
        <v>5</v>
      </c>
      <c r="D239" s="51">
        <f t="shared" ca="1" si="33"/>
        <v>1.3655768150658863E-2</v>
      </c>
      <c r="E239" s="51">
        <f t="shared" ca="1" si="39"/>
        <v>42.248394327025075</v>
      </c>
      <c r="F239" s="48">
        <f t="shared" ca="1" si="40"/>
        <v>7</v>
      </c>
      <c r="G239" s="48">
        <f ca="1">COUNTIF($P$47:P249,"&lt;"&amp;E239)</f>
        <v>185</v>
      </c>
      <c r="H239" s="48">
        <f t="shared" ca="1" si="41"/>
        <v>0</v>
      </c>
      <c r="I239" s="48" t="str">
        <f t="shared" ca="1" si="42"/>
        <v>Ocu</v>
      </c>
      <c r="J239" s="52">
        <f t="shared" ca="1" si="34"/>
        <v>8</v>
      </c>
      <c r="K239" s="53">
        <f t="shared" ref="K239:K302" ca="1" si="46">L239-E239</f>
        <v>0.80173343239160033</v>
      </c>
      <c r="L239" s="54">
        <f t="shared" ca="1" si="43"/>
        <v>43.050127759416675</v>
      </c>
      <c r="M239" s="48">
        <f t="shared" ca="1" si="35"/>
        <v>0.67400000000000004</v>
      </c>
      <c r="N239" s="48">
        <f t="shared" si="44"/>
        <v>6</v>
      </c>
      <c r="O239" s="51">
        <f t="shared" ca="1" si="36"/>
        <v>6.5754194678304984E-2</v>
      </c>
      <c r="P239" s="51">
        <f t="shared" ca="1" si="37"/>
        <v>43.115881954094981</v>
      </c>
      <c r="Q239" s="55">
        <f t="shared" ca="1" si="45"/>
        <v>0.8674876270699059</v>
      </c>
    </row>
    <row r="240" spans="1:17" x14ac:dyDescent="0.25">
      <c r="A240" s="48">
        <v>194</v>
      </c>
      <c r="B240" s="48">
        <f t="shared" ref="B240:B303" ca="1" si="47">RANDBETWEEN(1,1000)/1000</f>
        <v>0.88900000000000001</v>
      </c>
      <c r="C240" s="49">
        <f t="shared" si="38"/>
        <v>5</v>
      </c>
      <c r="D240" s="51">
        <f t="shared" ref="D240:D303" ca="1" si="48">(1/C240)*(LN(1/B240))</f>
        <v>2.35316086936465E-2</v>
      </c>
      <c r="E240" s="51">
        <f t="shared" ca="1" si="39"/>
        <v>42.27192593571872</v>
      </c>
      <c r="F240" s="48">
        <f t="shared" ca="1" si="40"/>
        <v>6</v>
      </c>
      <c r="G240" s="48">
        <f ca="1">COUNTIF($P$47:P250,"&lt;"&amp;E240)</f>
        <v>187</v>
      </c>
      <c r="H240" s="48">
        <f t="shared" ca="1" si="41"/>
        <v>2</v>
      </c>
      <c r="I240" s="48" t="str">
        <f t="shared" ca="1" si="42"/>
        <v>Ocu</v>
      </c>
      <c r="J240" s="52">
        <f t="shared" ref="J240:J303" ca="1" si="49">IF(I240="Des",1,IF(I240="Ocu",1+F240))</f>
        <v>7</v>
      </c>
      <c r="K240" s="53">
        <f t="shared" ca="1" si="46"/>
        <v>0.84395601837626089</v>
      </c>
      <c r="L240" s="54">
        <f t="shared" ca="1" si="43"/>
        <v>43.115881954094981</v>
      </c>
      <c r="M240" s="48">
        <f t="shared" ref="M240:M303" ca="1" si="50">RANDBETWEEN(1,1000)/1000</f>
        <v>0.18099999999999999</v>
      </c>
      <c r="N240" s="48">
        <f t="shared" si="44"/>
        <v>6</v>
      </c>
      <c r="O240" s="51">
        <f t="shared" ref="O240:O303" ca="1" si="51">(1/N240)*(LN(1/M240))</f>
        <v>0.2848763746193852</v>
      </c>
      <c r="P240" s="51">
        <f t="shared" ref="P240:P303" ca="1" si="52">+L240+O240</f>
        <v>43.400758328714367</v>
      </c>
      <c r="Q240" s="55">
        <f t="shared" ca="1" si="45"/>
        <v>1.1288323929956476</v>
      </c>
    </row>
    <row r="241" spans="1:17" x14ac:dyDescent="0.25">
      <c r="A241" s="48">
        <v>195</v>
      </c>
      <c r="B241" s="48">
        <f t="shared" ca="1" si="47"/>
        <v>0.58599999999999997</v>
      </c>
      <c r="C241" s="49">
        <f t="shared" ref="C241:C304" si="53">+C240</f>
        <v>5</v>
      </c>
      <c r="D241" s="51">
        <f t="shared" ca="1" si="48"/>
        <v>0.10688709788102491</v>
      </c>
      <c r="E241" s="51">
        <f t="shared" ref="E241:E304" ca="1" si="54">+D241+E240</f>
        <v>42.378813033599748</v>
      </c>
      <c r="F241" s="48">
        <f t="shared" ref="F241:F304" ca="1" si="55">+F240+1-(G241-G240)</f>
        <v>6</v>
      </c>
      <c r="G241" s="48">
        <f ca="1">COUNTIF($P$47:P251,"&lt;"&amp;E241)</f>
        <v>188</v>
      </c>
      <c r="H241" s="48">
        <f t="shared" ref="H241:H304" ca="1" si="56">+G241-G240</f>
        <v>1</v>
      </c>
      <c r="I241" s="48" t="str">
        <f t="shared" ref="I241:I304" ca="1" si="57">IF(E241&lt;P240,"Ocu","Des")</f>
        <v>Ocu</v>
      </c>
      <c r="J241" s="52">
        <f t="shared" ca="1" si="49"/>
        <v>7</v>
      </c>
      <c r="K241" s="53">
        <f t="shared" ca="1" si="46"/>
        <v>1.0219452951146195</v>
      </c>
      <c r="L241" s="54">
        <f t="shared" ref="L241:L304" ca="1" si="58">IF(I241="Des",E241,P240)</f>
        <v>43.400758328714367</v>
      </c>
      <c r="M241" s="48">
        <f t="shared" ca="1" si="50"/>
        <v>0.69</v>
      </c>
      <c r="N241" s="48">
        <f t="shared" ref="N241:N304" si="59">+N240</f>
        <v>6</v>
      </c>
      <c r="O241" s="51">
        <f t="shared" ca="1" si="51"/>
        <v>6.1843946898472016E-2</v>
      </c>
      <c r="P241" s="51">
        <f t="shared" ca="1" si="52"/>
        <v>43.462602275612838</v>
      </c>
      <c r="Q241" s="55">
        <f t="shared" ca="1" si="45"/>
        <v>1.0837892420130899</v>
      </c>
    </row>
    <row r="242" spans="1:17" x14ac:dyDescent="0.25">
      <c r="A242" s="48">
        <v>196</v>
      </c>
      <c r="B242" s="48">
        <f t="shared" ca="1" si="47"/>
        <v>0.04</v>
      </c>
      <c r="C242" s="49">
        <f t="shared" si="53"/>
        <v>5</v>
      </c>
      <c r="D242" s="51">
        <f t="shared" ca="1" si="48"/>
        <v>0.64377516497364018</v>
      </c>
      <c r="E242" s="51">
        <f t="shared" ca="1" si="54"/>
        <v>43.022588198573388</v>
      </c>
      <c r="F242" s="48">
        <f t="shared" ca="1" si="55"/>
        <v>4</v>
      </c>
      <c r="G242" s="48">
        <f ca="1">COUNTIF($P$47:P252,"&lt;"&amp;E242)</f>
        <v>191</v>
      </c>
      <c r="H242" s="48">
        <f t="shared" ca="1" si="56"/>
        <v>3</v>
      </c>
      <c r="I242" s="48" t="str">
        <f t="shared" ca="1" si="57"/>
        <v>Ocu</v>
      </c>
      <c r="J242" s="52">
        <f t="shared" ca="1" si="49"/>
        <v>5</v>
      </c>
      <c r="K242" s="53">
        <f t="shared" ca="1" si="46"/>
        <v>0.44001407703945006</v>
      </c>
      <c r="L242" s="54">
        <f t="shared" ca="1" si="58"/>
        <v>43.462602275612838</v>
      </c>
      <c r="M242" s="48">
        <f t="shared" ca="1" si="50"/>
        <v>0.61499999999999999</v>
      </c>
      <c r="N242" s="48">
        <f t="shared" si="59"/>
        <v>6</v>
      </c>
      <c r="O242" s="51">
        <f t="shared" ca="1" si="51"/>
        <v>8.1022168529269856E-2</v>
      </c>
      <c r="P242" s="51">
        <f t="shared" ca="1" si="52"/>
        <v>43.543624444142111</v>
      </c>
      <c r="Q242" s="55">
        <f t="shared" ref="Q242:Q305" ca="1" si="60">P242-E242</f>
        <v>0.52103624556872319</v>
      </c>
    </row>
    <row r="243" spans="1:17" x14ac:dyDescent="0.25">
      <c r="A243" s="48">
        <v>197</v>
      </c>
      <c r="B243" s="48">
        <f t="shared" ca="1" si="47"/>
        <v>0.76500000000000001</v>
      </c>
      <c r="C243" s="49">
        <f t="shared" si="53"/>
        <v>5</v>
      </c>
      <c r="D243" s="51">
        <f t="shared" ca="1" si="48"/>
        <v>5.3575889031120254E-2</v>
      </c>
      <c r="E243" s="51">
        <f t="shared" ca="1" si="54"/>
        <v>43.076164087604511</v>
      </c>
      <c r="F243" s="48">
        <f t="shared" ca="1" si="55"/>
        <v>4</v>
      </c>
      <c r="G243" s="48">
        <f ca="1">COUNTIF($P$47:P253,"&lt;"&amp;E243)</f>
        <v>192</v>
      </c>
      <c r="H243" s="48">
        <f t="shared" ca="1" si="56"/>
        <v>1</v>
      </c>
      <c r="I243" s="48" t="str">
        <f t="shared" ca="1" si="57"/>
        <v>Ocu</v>
      </c>
      <c r="J243" s="52">
        <f t="shared" ca="1" si="49"/>
        <v>5</v>
      </c>
      <c r="K243" s="53">
        <f t="shared" ca="1" si="46"/>
        <v>0.46746035653760032</v>
      </c>
      <c r="L243" s="54">
        <f t="shared" ca="1" si="58"/>
        <v>43.543624444142111</v>
      </c>
      <c r="M243" s="48">
        <f t="shared" ca="1" si="50"/>
        <v>0.8</v>
      </c>
      <c r="N243" s="48">
        <f t="shared" si="59"/>
        <v>6</v>
      </c>
      <c r="O243" s="51">
        <f t="shared" ca="1" si="51"/>
        <v>3.7190591885701625E-2</v>
      </c>
      <c r="P243" s="51">
        <f t="shared" ca="1" si="52"/>
        <v>43.580815036027815</v>
      </c>
      <c r="Q243" s="55">
        <f t="shared" ca="1" si="60"/>
        <v>0.50465094842330416</v>
      </c>
    </row>
    <row r="244" spans="1:17" x14ac:dyDescent="0.25">
      <c r="A244" s="48">
        <v>198</v>
      </c>
      <c r="B244" s="48">
        <f t="shared" ca="1" si="47"/>
        <v>0.55600000000000005</v>
      </c>
      <c r="C244" s="49">
        <f t="shared" si="53"/>
        <v>5</v>
      </c>
      <c r="D244" s="51">
        <f t="shared" ca="1" si="48"/>
        <v>0.11739739694631093</v>
      </c>
      <c r="E244" s="51">
        <f t="shared" ca="1" si="54"/>
        <v>43.19356148455082</v>
      </c>
      <c r="F244" s="48">
        <f t="shared" ca="1" si="55"/>
        <v>4</v>
      </c>
      <c r="G244" s="48">
        <f ca="1">COUNTIF($P$47:P254,"&lt;"&amp;E244)</f>
        <v>193</v>
      </c>
      <c r="H244" s="48">
        <f t="shared" ca="1" si="56"/>
        <v>1</v>
      </c>
      <c r="I244" s="48" t="str">
        <f t="shared" ca="1" si="57"/>
        <v>Ocu</v>
      </c>
      <c r="J244" s="52">
        <f t="shared" ca="1" si="49"/>
        <v>5</v>
      </c>
      <c r="K244" s="53">
        <f t="shared" ca="1" si="46"/>
        <v>0.38725355147699503</v>
      </c>
      <c r="L244" s="54">
        <f t="shared" ca="1" si="58"/>
        <v>43.580815036027815</v>
      </c>
      <c r="M244" s="48">
        <f t="shared" ca="1" si="50"/>
        <v>0.88800000000000001</v>
      </c>
      <c r="N244" s="48">
        <f t="shared" si="59"/>
        <v>6</v>
      </c>
      <c r="O244" s="51">
        <f t="shared" ca="1" si="51"/>
        <v>1.9797255998327837E-2</v>
      </c>
      <c r="P244" s="51">
        <f t="shared" ca="1" si="52"/>
        <v>43.600612292026142</v>
      </c>
      <c r="Q244" s="55">
        <f t="shared" ca="1" si="60"/>
        <v>0.40705080747532207</v>
      </c>
    </row>
    <row r="245" spans="1:17" x14ac:dyDescent="0.25">
      <c r="A245" s="48">
        <v>199</v>
      </c>
      <c r="B245" s="48">
        <f t="shared" ca="1" si="47"/>
        <v>0.33200000000000002</v>
      </c>
      <c r="C245" s="49">
        <f t="shared" si="53"/>
        <v>5</v>
      </c>
      <c r="D245" s="51">
        <f t="shared" ca="1" si="48"/>
        <v>0.22052406201312968</v>
      </c>
      <c r="E245" s="51">
        <f t="shared" ca="1" si="54"/>
        <v>43.414085546563946</v>
      </c>
      <c r="F245" s="48">
        <f t="shared" ca="1" si="55"/>
        <v>4</v>
      </c>
      <c r="G245" s="48">
        <f ca="1">COUNTIF($P$47:P255,"&lt;"&amp;E245)</f>
        <v>194</v>
      </c>
      <c r="H245" s="48">
        <f t="shared" ca="1" si="56"/>
        <v>1</v>
      </c>
      <c r="I245" s="48" t="str">
        <f t="shared" ca="1" si="57"/>
        <v>Ocu</v>
      </c>
      <c r="J245" s="52">
        <f t="shared" ca="1" si="49"/>
        <v>5</v>
      </c>
      <c r="K245" s="53">
        <f t="shared" ca="1" si="46"/>
        <v>0.18652674546219572</v>
      </c>
      <c r="L245" s="54">
        <f t="shared" ca="1" si="58"/>
        <v>43.600612292026142</v>
      </c>
      <c r="M245" s="48">
        <f t="shared" ca="1" si="50"/>
        <v>5.2999999999999999E-2</v>
      </c>
      <c r="N245" s="48">
        <f t="shared" si="59"/>
        <v>6</v>
      </c>
      <c r="O245" s="51">
        <f t="shared" ca="1" si="51"/>
        <v>0.48957722757166922</v>
      </c>
      <c r="P245" s="51">
        <f t="shared" ca="1" si="52"/>
        <v>44.090189519597814</v>
      </c>
      <c r="Q245" s="55">
        <f t="shared" ca="1" si="60"/>
        <v>0.67610397303386804</v>
      </c>
    </row>
    <row r="246" spans="1:17" x14ac:dyDescent="0.25">
      <c r="A246" s="48">
        <v>200</v>
      </c>
      <c r="B246" s="48">
        <f t="shared" ca="1" si="47"/>
        <v>0.11</v>
      </c>
      <c r="C246" s="49">
        <f t="shared" si="53"/>
        <v>5</v>
      </c>
      <c r="D246" s="51">
        <f t="shared" ca="1" si="48"/>
        <v>0.44145498263794425</v>
      </c>
      <c r="E246" s="51">
        <f t="shared" ca="1" si="54"/>
        <v>43.855540529201889</v>
      </c>
      <c r="F246" s="48">
        <f t="shared" ca="1" si="55"/>
        <v>1</v>
      </c>
      <c r="G246" s="48">
        <f ca="1">COUNTIF($P$47:P256,"&lt;"&amp;E246)</f>
        <v>198</v>
      </c>
      <c r="H246" s="48">
        <f t="shared" ca="1" si="56"/>
        <v>4</v>
      </c>
      <c r="I246" s="48" t="str">
        <f t="shared" ca="1" si="57"/>
        <v>Ocu</v>
      </c>
      <c r="J246" s="52">
        <f t="shared" ca="1" si="49"/>
        <v>2</v>
      </c>
      <c r="K246" s="53">
        <f t="shared" ca="1" si="46"/>
        <v>0.23464899039592524</v>
      </c>
      <c r="L246" s="54">
        <f t="shared" ca="1" si="58"/>
        <v>44.090189519597814</v>
      </c>
      <c r="M246" s="48">
        <f t="shared" ca="1" si="50"/>
        <v>0.32300000000000001</v>
      </c>
      <c r="N246" s="48">
        <f t="shared" si="59"/>
        <v>6</v>
      </c>
      <c r="O246" s="51">
        <f t="shared" ca="1" si="51"/>
        <v>0.18835049262658005</v>
      </c>
      <c r="P246" s="51">
        <f t="shared" ca="1" si="52"/>
        <v>44.278540012224397</v>
      </c>
      <c r="Q246" s="55">
        <f t="shared" ca="1" si="60"/>
        <v>0.42299948302250812</v>
      </c>
    </row>
    <row r="247" spans="1:17" x14ac:dyDescent="0.25">
      <c r="A247" s="48">
        <v>201</v>
      </c>
      <c r="B247" s="48">
        <f t="shared" ca="1" si="47"/>
        <v>0.78100000000000003</v>
      </c>
      <c r="C247" s="49">
        <f t="shared" si="53"/>
        <v>5</v>
      </c>
      <c r="D247" s="51">
        <f t="shared" ca="1" si="48"/>
        <v>4.9436025828490208E-2</v>
      </c>
      <c r="E247" s="51">
        <f t="shared" ca="1" si="54"/>
        <v>43.90497655503038</v>
      </c>
      <c r="F247" s="48">
        <f t="shared" ca="1" si="55"/>
        <v>2</v>
      </c>
      <c r="G247" s="48">
        <f ca="1">COUNTIF($P$47:P257,"&lt;"&amp;E247)</f>
        <v>198</v>
      </c>
      <c r="H247" s="48">
        <f t="shared" ca="1" si="56"/>
        <v>0</v>
      </c>
      <c r="I247" s="48" t="str">
        <f t="shared" ca="1" si="57"/>
        <v>Ocu</v>
      </c>
      <c r="J247" s="52">
        <f t="shared" ca="1" si="49"/>
        <v>3</v>
      </c>
      <c r="K247" s="53">
        <f t="shared" ca="1" si="46"/>
        <v>0.37356345719401673</v>
      </c>
      <c r="L247" s="54">
        <f t="shared" ca="1" si="58"/>
        <v>44.278540012224397</v>
      </c>
      <c r="M247" s="48">
        <f t="shared" ca="1" si="50"/>
        <v>0.89900000000000002</v>
      </c>
      <c r="N247" s="48">
        <f t="shared" si="59"/>
        <v>6</v>
      </c>
      <c r="O247" s="51">
        <f t="shared" ca="1" si="51"/>
        <v>1.774537408508612E-2</v>
      </c>
      <c r="P247" s="51">
        <f t="shared" ca="1" si="52"/>
        <v>44.296285386309485</v>
      </c>
      <c r="Q247" s="55">
        <f t="shared" ca="1" si="60"/>
        <v>0.39130883127910465</v>
      </c>
    </row>
    <row r="248" spans="1:17" x14ac:dyDescent="0.25">
      <c r="A248" s="48">
        <v>202</v>
      </c>
      <c r="B248" s="48">
        <f t="shared" ca="1" si="47"/>
        <v>0.309</v>
      </c>
      <c r="C248" s="49">
        <f t="shared" si="53"/>
        <v>5</v>
      </c>
      <c r="D248" s="51">
        <f t="shared" ca="1" si="48"/>
        <v>0.23488280041687834</v>
      </c>
      <c r="E248" s="51">
        <f t="shared" ca="1" si="54"/>
        <v>44.139859355447257</v>
      </c>
      <c r="F248" s="48">
        <f t="shared" ca="1" si="55"/>
        <v>2</v>
      </c>
      <c r="G248" s="48">
        <f ca="1">COUNTIF($P$47:P258,"&lt;"&amp;E248)</f>
        <v>199</v>
      </c>
      <c r="H248" s="48">
        <f t="shared" ca="1" si="56"/>
        <v>1</v>
      </c>
      <c r="I248" s="48" t="str">
        <f t="shared" ca="1" si="57"/>
        <v>Ocu</v>
      </c>
      <c r="J248" s="52">
        <f t="shared" ca="1" si="49"/>
        <v>3</v>
      </c>
      <c r="K248" s="53">
        <f t="shared" ca="1" si="46"/>
        <v>0.15642603086222806</v>
      </c>
      <c r="L248" s="54">
        <f t="shared" ca="1" si="58"/>
        <v>44.296285386309485</v>
      </c>
      <c r="M248" s="48">
        <f t="shared" ca="1" si="50"/>
        <v>0.47299999999999998</v>
      </c>
      <c r="N248" s="48">
        <f t="shared" si="59"/>
        <v>6</v>
      </c>
      <c r="O248" s="51">
        <f t="shared" ca="1" si="51"/>
        <v>0.12477664841503401</v>
      </c>
      <c r="P248" s="51">
        <f t="shared" ca="1" si="52"/>
        <v>44.421062034724521</v>
      </c>
      <c r="Q248" s="55">
        <f t="shared" ca="1" si="60"/>
        <v>0.28120267927726417</v>
      </c>
    </row>
    <row r="249" spans="1:17" x14ac:dyDescent="0.25">
      <c r="A249" s="48">
        <v>203</v>
      </c>
      <c r="B249" s="48">
        <f t="shared" ca="1" si="47"/>
        <v>0.54700000000000004</v>
      </c>
      <c r="C249" s="49">
        <f t="shared" si="53"/>
        <v>5</v>
      </c>
      <c r="D249" s="51">
        <f t="shared" ca="1" si="48"/>
        <v>0.12066129531203117</v>
      </c>
      <c r="E249" s="51">
        <f t="shared" ca="1" si="54"/>
        <v>44.26052065075929</v>
      </c>
      <c r="F249" s="48">
        <f t="shared" ca="1" si="55"/>
        <v>3</v>
      </c>
      <c r="G249" s="48">
        <f ca="1">COUNTIF($P$47:P259,"&lt;"&amp;E249)</f>
        <v>199</v>
      </c>
      <c r="H249" s="48">
        <f t="shared" ca="1" si="56"/>
        <v>0</v>
      </c>
      <c r="I249" s="48" t="str">
        <f t="shared" ca="1" si="57"/>
        <v>Ocu</v>
      </c>
      <c r="J249" s="52">
        <f t="shared" ca="1" si="49"/>
        <v>4</v>
      </c>
      <c r="K249" s="53">
        <f t="shared" ca="1" si="46"/>
        <v>0.16054138396523143</v>
      </c>
      <c r="L249" s="54">
        <f t="shared" ca="1" si="58"/>
        <v>44.421062034724521</v>
      </c>
      <c r="M249" s="48">
        <f t="shared" ca="1" si="50"/>
        <v>0.85499999999999998</v>
      </c>
      <c r="N249" s="48">
        <f t="shared" si="59"/>
        <v>6</v>
      </c>
      <c r="O249" s="51">
        <f t="shared" ca="1" si="51"/>
        <v>2.6108968340896131E-2</v>
      </c>
      <c r="P249" s="51">
        <f t="shared" ca="1" si="52"/>
        <v>44.447171003065414</v>
      </c>
      <c r="Q249" s="55">
        <f t="shared" ca="1" si="60"/>
        <v>0.18665035230612403</v>
      </c>
    </row>
    <row r="250" spans="1:17" x14ac:dyDescent="0.25">
      <c r="A250" s="48">
        <v>204</v>
      </c>
      <c r="B250" s="48">
        <f t="shared" ca="1" si="47"/>
        <v>0.1</v>
      </c>
      <c r="C250" s="49">
        <f t="shared" si="53"/>
        <v>5</v>
      </c>
      <c r="D250" s="51">
        <f t="shared" ca="1" si="48"/>
        <v>0.46051701859880922</v>
      </c>
      <c r="E250" s="51">
        <f t="shared" ca="1" si="54"/>
        <v>44.721037669358097</v>
      </c>
      <c r="F250" s="48">
        <f t="shared" ca="1" si="55"/>
        <v>0</v>
      </c>
      <c r="G250" s="48">
        <f ca="1">COUNTIF($P$47:P260,"&lt;"&amp;E250)</f>
        <v>203</v>
      </c>
      <c r="H250" s="48">
        <f t="shared" ca="1" si="56"/>
        <v>4</v>
      </c>
      <c r="I250" s="48" t="str">
        <f t="shared" ca="1" si="57"/>
        <v>Des</v>
      </c>
      <c r="J250" s="52">
        <f t="shared" ca="1" si="49"/>
        <v>1</v>
      </c>
      <c r="K250" s="53">
        <f t="shared" ca="1" si="46"/>
        <v>0</v>
      </c>
      <c r="L250" s="54">
        <f t="shared" ca="1" si="58"/>
        <v>44.721037669358097</v>
      </c>
      <c r="M250" s="48">
        <f t="shared" ca="1" si="50"/>
        <v>0.504</v>
      </c>
      <c r="N250" s="48">
        <f t="shared" si="59"/>
        <v>6</v>
      </c>
      <c r="O250" s="51">
        <f t="shared" ca="1" si="51"/>
        <v>0.11419650181846142</v>
      </c>
      <c r="P250" s="51">
        <f t="shared" ca="1" si="52"/>
        <v>44.835234171176559</v>
      </c>
      <c r="Q250" s="55">
        <f t="shared" ca="1" si="60"/>
        <v>0.11419650181846208</v>
      </c>
    </row>
    <row r="251" spans="1:17" x14ac:dyDescent="0.25">
      <c r="A251" s="48">
        <v>205</v>
      </c>
      <c r="B251" s="48">
        <f t="shared" ca="1" si="47"/>
        <v>0.95699999999999996</v>
      </c>
      <c r="C251" s="49">
        <f t="shared" si="53"/>
        <v>5</v>
      </c>
      <c r="D251" s="51">
        <f t="shared" ca="1" si="48"/>
        <v>8.7903775058365535E-3</v>
      </c>
      <c r="E251" s="51">
        <f t="shared" ca="1" si="54"/>
        <v>44.729828046863936</v>
      </c>
      <c r="F251" s="48">
        <f t="shared" ca="1" si="55"/>
        <v>1</v>
      </c>
      <c r="G251" s="48">
        <f ca="1">COUNTIF($P$47:P261,"&lt;"&amp;E251)</f>
        <v>203</v>
      </c>
      <c r="H251" s="48">
        <f t="shared" ca="1" si="56"/>
        <v>0</v>
      </c>
      <c r="I251" s="48" t="str">
        <f t="shared" ca="1" si="57"/>
        <v>Ocu</v>
      </c>
      <c r="J251" s="52">
        <f t="shared" ca="1" si="49"/>
        <v>2</v>
      </c>
      <c r="K251" s="53">
        <f t="shared" ca="1" si="46"/>
        <v>0.10540612431262275</v>
      </c>
      <c r="L251" s="54">
        <f t="shared" ca="1" si="58"/>
        <v>44.835234171176559</v>
      </c>
      <c r="M251" s="48">
        <f t="shared" ca="1" si="50"/>
        <v>5.2999999999999999E-2</v>
      </c>
      <c r="N251" s="48">
        <f t="shared" si="59"/>
        <v>6</v>
      </c>
      <c r="O251" s="51">
        <f t="shared" ca="1" si="51"/>
        <v>0.48957722757166922</v>
      </c>
      <c r="P251" s="51">
        <f t="shared" ca="1" si="52"/>
        <v>45.324811398748231</v>
      </c>
      <c r="Q251" s="55">
        <f t="shared" ca="1" si="60"/>
        <v>0.59498335188429508</v>
      </c>
    </row>
    <row r="252" spans="1:17" x14ac:dyDescent="0.25">
      <c r="A252" s="48">
        <v>206</v>
      </c>
      <c r="B252" s="48">
        <f t="shared" ca="1" si="47"/>
        <v>6.0000000000000001E-3</v>
      </c>
      <c r="C252" s="49">
        <f t="shared" si="53"/>
        <v>5</v>
      </c>
      <c r="D252" s="51">
        <f t="shared" ca="1" si="48"/>
        <v>1.0231991619508165</v>
      </c>
      <c r="E252" s="51">
        <f t="shared" ca="1" si="54"/>
        <v>45.75302720881475</v>
      </c>
      <c r="F252" s="48">
        <f t="shared" ca="1" si="55"/>
        <v>0</v>
      </c>
      <c r="G252" s="48">
        <f ca="1">COUNTIF($P$47:P262,"&lt;"&amp;E252)</f>
        <v>205</v>
      </c>
      <c r="H252" s="48">
        <f t="shared" ca="1" si="56"/>
        <v>2</v>
      </c>
      <c r="I252" s="48" t="str">
        <f t="shared" ca="1" si="57"/>
        <v>Des</v>
      </c>
      <c r="J252" s="52">
        <f t="shared" ca="1" si="49"/>
        <v>1</v>
      </c>
      <c r="K252" s="53">
        <f t="shared" ca="1" si="46"/>
        <v>0</v>
      </c>
      <c r="L252" s="54">
        <f t="shared" ca="1" si="58"/>
        <v>45.75302720881475</v>
      </c>
      <c r="M252" s="48">
        <f t="shared" ca="1" si="50"/>
        <v>0.124</v>
      </c>
      <c r="N252" s="48">
        <f t="shared" si="59"/>
        <v>6</v>
      </c>
      <c r="O252" s="51">
        <f t="shared" ca="1" si="51"/>
        <v>0.34791228556285003</v>
      </c>
      <c r="P252" s="51">
        <f t="shared" ca="1" si="52"/>
        <v>46.100939494377599</v>
      </c>
      <c r="Q252" s="55">
        <f t="shared" ca="1" si="60"/>
        <v>0.34791228556284892</v>
      </c>
    </row>
    <row r="253" spans="1:17" x14ac:dyDescent="0.25">
      <c r="A253" s="48">
        <v>207</v>
      </c>
      <c r="B253" s="48">
        <f t="shared" ca="1" si="47"/>
        <v>0.70499999999999996</v>
      </c>
      <c r="C253" s="49">
        <f t="shared" si="53"/>
        <v>5</v>
      </c>
      <c r="D253" s="51">
        <f t="shared" ca="1" si="48"/>
        <v>6.9911495233973692E-2</v>
      </c>
      <c r="E253" s="51">
        <f t="shared" ca="1" si="54"/>
        <v>45.822938704048724</v>
      </c>
      <c r="F253" s="48">
        <f t="shared" ca="1" si="55"/>
        <v>1</v>
      </c>
      <c r="G253" s="48">
        <f ca="1">COUNTIF($P$47:P263,"&lt;"&amp;E253)</f>
        <v>205</v>
      </c>
      <c r="H253" s="48">
        <f t="shared" ca="1" si="56"/>
        <v>0</v>
      </c>
      <c r="I253" s="48" t="str">
        <f t="shared" ca="1" si="57"/>
        <v>Ocu</v>
      </c>
      <c r="J253" s="52">
        <f t="shared" ca="1" si="49"/>
        <v>2</v>
      </c>
      <c r="K253" s="53">
        <f t="shared" ca="1" si="46"/>
        <v>0.27800079032887481</v>
      </c>
      <c r="L253" s="54">
        <f t="shared" ca="1" si="58"/>
        <v>46.100939494377599</v>
      </c>
      <c r="M253" s="48">
        <f t="shared" ca="1" si="50"/>
        <v>0.44900000000000001</v>
      </c>
      <c r="N253" s="48">
        <f t="shared" si="59"/>
        <v>6</v>
      </c>
      <c r="O253" s="51">
        <f t="shared" ca="1" si="51"/>
        <v>0.13345539853998045</v>
      </c>
      <c r="P253" s="51">
        <f t="shared" ca="1" si="52"/>
        <v>46.234394892917578</v>
      </c>
      <c r="Q253" s="55">
        <f t="shared" ca="1" si="60"/>
        <v>0.41145618886885416</v>
      </c>
    </row>
    <row r="254" spans="1:17" x14ac:dyDescent="0.25">
      <c r="A254" s="48">
        <v>208</v>
      </c>
      <c r="B254" s="48">
        <f t="shared" ca="1" si="47"/>
        <v>3.4000000000000002E-2</v>
      </c>
      <c r="C254" s="49">
        <f t="shared" si="53"/>
        <v>5</v>
      </c>
      <c r="D254" s="51">
        <f t="shared" ca="1" si="48"/>
        <v>0.67627895087319523</v>
      </c>
      <c r="E254" s="51">
        <f t="shared" ca="1" si="54"/>
        <v>46.499217654921921</v>
      </c>
      <c r="F254" s="48">
        <f t="shared" ca="1" si="55"/>
        <v>0</v>
      </c>
      <c r="G254" s="48">
        <f ca="1">COUNTIF($P$47:P264,"&lt;"&amp;E254)</f>
        <v>207</v>
      </c>
      <c r="H254" s="48">
        <f t="shared" ca="1" si="56"/>
        <v>2</v>
      </c>
      <c r="I254" s="48" t="str">
        <f t="shared" ca="1" si="57"/>
        <v>Des</v>
      </c>
      <c r="J254" s="52">
        <f t="shared" ca="1" si="49"/>
        <v>1</v>
      </c>
      <c r="K254" s="53">
        <f t="shared" ca="1" si="46"/>
        <v>0</v>
      </c>
      <c r="L254" s="54">
        <f t="shared" ca="1" si="58"/>
        <v>46.499217654921921</v>
      </c>
      <c r="M254" s="48">
        <f t="shared" ca="1" si="50"/>
        <v>0.64600000000000002</v>
      </c>
      <c r="N254" s="48">
        <f t="shared" si="59"/>
        <v>6</v>
      </c>
      <c r="O254" s="51">
        <f t="shared" ca="1" si="51"/>
        <v>7.282596253325585E-2</v>
      </c>
      <c r="P254" s="51">
        <f t="shared" ca="1" si="52"/>
        <v>46.572043617455179</v>
      </c>
      <c r="Q254" s="55">
        <f t="shared" ca="1" si="60"/>
        <v>7.2825962533258348E-2</v>
      </c>
    </row>
    <row r="255" spans="1:17" x14ac:dyDescent="0.25">
      <c r="A255" s="48">
        <v>209</v>
      </c>
      <c r="B255" s="48">
        <f t="shared" ca="1" si="47"/>
        <v>0.89200000000000002</v>
      </c>
      <c r="C255" s="49">
        <f t="shared" si="53"/>
        <v>5</v>
      </c>
      <c r="D255" s="51">
        <f t="shared" ca="1" si="48"/>
        <v>2.2857829280425519E-2</v>
      </c>
      <c r="E255" s="51">
        <f t="shared" ca="1" si="54"/>
        <v>46.522075484202347</v>
      </c>
      <c r="F255" s="48">
        <f t="shared" ca="1" si="55"/>
        <v>1</v>
      </c>
      <c r="G255" s="48">
        <f ca="1">COUNTIF($P$47:P265,"&lt;"&amp;E255)</f>
        <v>207</v>
      </c>
      <c r="H255" s="48">
        <f t="shared" ca="1" si="56"/>
        <v>0</v>
      </c>
      <c r="I255" s="48" t="str">
        <f t="shared" ca="1" si="57"/>
        <v>Ocu</v>
      </c>
      <c r="J255" s="52">
        <f t="shared" ca="1" si="49"/>
        <v>2</v>
      </c>
      <c r="K255" s="53">
        <f t="shared" ca="1" si="46"/>
        <v>4.9968133252832558E-2</v>
      </c>
      <c r="L255" s="54">
        <f t="shared" ca="1" si="58"/>
        <v>46.572043617455179</v>
      </c>
      <c r="M255" s="48">
        <f t="shared" ca="1" si="50"/>
        <v>0.79</v>
      </c>
      <c r="N255" s="48">
        <f t="shared" si="59"/>
        <v>6</v>
      </c>
      <c r="O255" s="51">
        <f t="shared" ca="1" si="51"/>
        <v>3.9287055586844963E-2</v>
      </c>
      <c r="P255" s="51">
        <f t="shared" ca="1" si="52"/>
        <v>46.611330673042026</v>
      </c>
      <c r="Q255" s="55">
        <f t="shared" ca="1" si="60"/>
        <v>8.9255188839679533E-2</v>
      </c>
    </row>
    <row r="256" spans="1:17" x14ac:dyDescent="0.25">
      <c r="A256" s="48">
        <v>210</v>
      </c>
      <c r="B256" s="48">
        <f t="shared" ca="1" si="47"/>
        <v>0.373</v>
      </c>
      <c r="C256" s="49">
        <f t="shared" si="53"/>
        <v>5</v>
      </c>
      <c r="D256" s="51">
        <f t="shared" ca="1" si="48"/>
        <v>0.19723537186766432</v>
      </c>
      <c r="E256" s="51">
        <f t="shared" ca="1" si="54"/>
        <v>46.71931085607001</v>
      </c>
      <c r="F256" s="48">
        <f t="shared" ca="1" si="55"/>
        <v>0</v>
      </c>
      <c r="G256" s="48">
        <f ca="1">COUNTIF($P$47:P266,"&lt;"&amp;E256)</f>
        <v>209</v>
      </c>
      <c r="H256" s="48">
        <f t="shared" ca="1" si="56"/>
        <v>2</v>
      </c>
      <c r="I256" s="48" t="str">
        <f t="shared" ca="1" si="57"/>
        <v>Des</v>
      </c>
      <c r="J256" s="52">
        <f t="shared" ca="1" si="49"/>
        <v>1</v>
      </c>
      <c r="K256" s="53">
        <f t="shared" ca="1" si="46"/>
        <v>0</v>
      </c>
      <c r="L256" s="54">
        <f t="shared" ca="1" si="58"/>
        <v>46.71931085607001</v>
      </c>
      <c r="M256" s="48">
        <f t="shared" ca="1" si="50"/>
        <v>0.65800000000000003</v>
      </c>
      <c r="N256" s="48">
        <f t="shared" si="59"/>
        <v>6</v>
      </c>
      <c r="O256" s="51">
        <f t="shared" ca="1" si="51"/>
        <v>6.9758391276136616E-2</v>
      </c>
      <c r="P256" s="51">
        <f t="shared" ca="1" si="52"/>
        <v>46.789069247346148</v>
      </c>
      <c r="Q256" s="55">
        <f t="shared" ca="1" si="60"/>
        <v>6.9758391276138809E-2</v>
      </c>
    </row>
    <row r="257" spans="1:17" x14ac:dyDescent="0.25">
      <c r="A257" s="48">
        <v>211</v>
      </c>
      <c r="B257" s="48">
        <f t="shared" ca="1" si="47"/>
        <v>0.29399999999999998</v>
      </c>
      <c r="C257" s="49">
        <f t="shared" si="53"/>
        <v>5</v>
      </c>
      <c r="D257" s="51">
        <f t="shared" ca="1" si="48"/>
        <v>0.24483510232869113</v>
      </c>
      <c r="E257" s="51">
        <f t="shared" ca="1" si="54"/>
        <v>46.964145958398703</v>
      </c>
      <c r="F257" s="48">
        <f t="shared" ca="1" si="55"/>
        <v>0</v>
      </c>
      <c r="G257" s="48">
        <f ca="1">COUNTIF($P$47:P267,"&lt;"&amp;E257)</f>
        <v>210</v>
      </c>
      <c r="H257" s="48">
        <f t="shared" ca="1" si="56"/>
        <v>1</v>
      </c>
      <c r="I257" s="48" t="str">
        <f t="shared" ca="1" si="57"/>
        <v>Des</v>
      </c>
      <c r="J257" s="52">
        <f t="shared" ca="1" si="49"/>
        <v>1</v>
      </c>
      <c r="K257" s="53">
        <f t="shared" ca="1" si="46"/>
        <v>0</v>
      </c>
      <c r="L257" s="54">
        <f t="shared" ca="1" si="58"/>
        <v>46.964145958398703</v>
      </c>
      <c r="M257" s="48">
        <f t="shared" ca="1" si="50"/>
        <v>0.94099999999999995</v>
      </c>
      <c r="N257" s="48">
        <f t="shared" si="59"/>
        <v>6</v>
      </c>
      <c r="O257" s="51">
        <f t="shared" ca="1" si="51"/>
        <v>1.0135356566126255E-2</v>
      </c>
      <c r="P257" s="51">
        <f t="shared" ca="1" si="52"/>
        <v>46.974281314964827</v>
      </c>
      <c r="Q257" s="55">
        <f t="shared" ca="1" si="60"/>
        <v>1.0135356566124187E-2</v>
      </c>
    </row>
    <row r="258" spans="1:17" x14ac:dyDescent="0.25">
      <c r="A258" s="48">
        <v>212</v>
      </c>
      <c r="B258" s="48">
        <f t="shared" ca="1" si="47"/>
        <v>0.64800000000000002</v>
      </c>
      <c r="C258" s="49">
        <f t="shared" si="53"/>
        <v>5</v>
      </c>
      <c r="D258" s="51">
        <f t="shared" ca="1" si="48"/>
        <v>8.6772916525972466E-2</v>
      </c>
      <c r="E258" s="51">
        <f t="shared" ca="1" si="54"/>
        <v>47.050918874924676</v>
      </c>
      <c r="F258" s="48">
        <f t="shared" ca="1" si="55"/>
        <v>0</v>
      </c>
      <c r="G258" s="48">
        <f ca="1">COUNTIF($P$47:P268,"&lt;"&amp;E258)</f>
        <v>211</v>
      </c>
      <c r="H258" s="48">
        <f t="shared" ca="1" si="56"/>
        <v>1</v>
      </c>
      <c r="I258" s="48" t="str">
        <f t="shared" ca="1" si="57"/>
        <v>Des</v>
      </c>
      <c r="J258" s="52">
        <f t="shared" ca="1" si="49"/>
        <v>1</v>
      </c>
      <c r="K258" s="53">
        <f t="shared" ca="1" si="46"/>
        <v>0</v>
      </c>
      <c r="L258" s="54">
        <f t="shared" ca="1" si="58"/>
        <v>47.050918874924676</v>
      </c>
      <c r="M258" s="48">
        <f t="shared" ca="1" si="50"/>
        <v>0.29699999999999999</v>
      </c>
      <c r="N258" s="48">
        <f t="shared" si="59"/>
        <v>6</v>
      </c>
      <c r="O258" s="51">
        <f t="shared" ca="1" si="51"/>
        <v>0.20233719002990624</v>
      </c>
      <c r="P258" s="51">
        <f t="shared" ca="1" si="52"/>
        <v>47.253256064954584</v>
      </c>
      <c r="Q258" s="55">
        <f t="shared" ca="1" si="60"/>
        <v>0.20233719002990824</v>
      </c>
    </row>
    <row r="259" spans="1:17" x14ac:dyDescent="0.25">
      <c r="A259" s="48">
        <v>213</v>
      </c>
      <c r="B259" s="48">
        <f t="shared" ca="1" si="47"/>
        <v>0.64700000000000002</v>
      </c>
      <c r="C259" s="49">
        <f t="shared" si="53"/>
        <v>5</v>
      </c>
      <c r="D259" s="51">
        <f t="shared" ca="1" si="48"/>
        <v>8.7081796896247288E-2</v>
      </c>
      <c r="E259" s="51">
        <f t="shared" ca="1" si="54"/>
        <v>47.138000671820926</v>
      </c>
      <c r="F259" s="48">
        <f t="shared" ca="1" si="55"/>
        <v>1</v>
      </c>
      <c r="G259" s="48">
        <f ca="1">COUNTIF($P$47:P269,"&lt;"&amp;E259)</f>
        <v>211</v>
      </c>
      <c r="H259" s="48">
        <f t="shared" ca="1" si="56"/>
        <v>0</v>
      </c>
      <c r="I259" s="48" t="str">
        <f t="shared" ca="1" si="57"/>
        <v>Ocu</v>
      </c>
      <c r="J259" s="52">
        <f t="shared" ca="1" si="49"/>
        <v>2</v>
      </c>
      <c r="K259" s="53">
        <f t="shared" ca="1" si="46"/>
        <v>0.1152553931336584</v>
      </c>
      <c r="L259" s="54">
        <f t="shared" ca="1" si="58"/>
        <v>47.253256064954584</v>
      </c>
      <c r="M259" s="48">
        <f t="shared" ca="1" si="50"/>
        <v>0.38800000000000001</v>
      </c>
      <c r="N259" s="48">
        <f t="shared" si="59"/>
        <v>6</v>
      </c>
      <c r="O259" s="51">
        <f t="shared" ca="1" si="51"/>
        <v>0.15779165655981059</v>
      </c>
      <c r="P259" s="51">
        <f t="shared" ca="1" si="52"/>
        <v>47.411047721514393</v>
      </c>
      <c r="Q259" s="55">
        <f t="shared" ca="1" si="60"/>
        <v>0.27304704969346716</v>
      </c>
    </row>
    <row r="260" spans="1:17" x14ac:dyDescent="0.25">
      <c r="A260" s="48">
        <v>214</v>
      </c>
      <c r="B260" s="48">
        <f t="shared" ca="1" si="47"/>
        <v>7.8E-2</v>
      </c>
      <c r="C260" s="49">
        <f t="shared" si="53"/>
        <v>5</v>
      </c>
      <c r="D260" s="51">
        <f t="shared" ca="1" si="48"/>
        <v>0.51020929045850916</v>
      </c>
      <c r="E260" s="51">
        <f t="shared" ca="1" si="54"/>
        <v>47.648209962279438</v>
      </c>
      <c r="F260" s="48">
        <f t="shared" ca="1" si="55"/>
        <v>0</v>
      </c>
      <c r="G260" s="48">
        <f ca="1">COUNTIF($P$47:P270,"&lt;"&amp;E260)</f>
        <v>213</v>
      </c>
      <c r="H260" s="48">
        <f t="shared" ca="1" si="56"/>
        <v>2</v>
      </c>
      <c r="I260" s="48" t="str">
        <f t="shared" ca="1" si="57"/>
        <v>Des</v>
      </c>
      <c r="J260" s="52">
        <f t="shared" ca="1" si="49"/>
        <v>1</v>
      </c>
      <c r="K260" s="53">
        <f t="shared" ca="1" si="46"/>
        <v>0</v>
      </c>
      <c r="L260" s="54">
        <f t="shared" ca="1" si="58"/>
        <v>47.648209962279438</v>
      </c>
      <c r="M260" s="48">
        <f t="shared" ca="1" si="50"/>
        <v>0.13600000000000001</v>
      </c>
      <c r="N260" s="48">
        <f t="shared" si="59"/>
        <v>6</v>
      </c>
      <c r="O260" s="51">
        <f t="shared" ca="1" si="51"/>
        <v>0.3325167322076808</v>
      </c>
      <c r="P260" s="51">
        <f t="shared" ca="1" si="52"/>
        <v>47.980726694487117</v>
      </c>
      <c r="Q260" s="55">
        <f t="shared" ca="1" si="60"/>
        <v>0.33251673220767941</v>
      </c>
    </row>
    <row r="261" spans="1:17" x14ac:dyDescent="0.25">
      <c r="A261" s="48">
        <v>215</v>
      </c>
      <c r="B261" s="48">
        <f t="shared" ca="1" si="47"/>
        <v>0.23200000000000001</v>
      </c>
      <c r="C261" s="49">
        <f t="shared" si="53"/>
        <v>5</v>
      </c>
      <c r="D261" s="51">
        <f t="shared" ca="1" si="48"/>
        <v>0.29220358146316538</v>
      </c>
      <c r="E261" s="51">
        <f t="shared" ca="1" si="54"/>
        <v>47.940413543742601</v>
      </c>
      <c r="F261" s="48">
        <f t="shared" ca="1" si="55"/>
        <v>1</v>
      </c>
      <c r="G261" s="48">
        <f ca="1">COUNTIF($P$47:P271,"&lt;"&amp;E261)</f>
        <v>213</v>
      </c>
      <c r="H261" s="48">
        <f t="shared" ca="1" si="56"/>
        <v>0</v>
      </c>
      <c r="I261" s="48" t="str">
        <f t="shared" ca="1" si="57"/>
        <v>Ocu</v>
      </c>
      <c r="J261" s="52">
        <f t="shared" ca="1" si="49"/>
        <v>2</v>
      </c>
      <c r="K261" s="53">
        <f t="shared" ca="1" si="46"/>
        <v>4.031315074451669E-2</v>
      </c>
      <c r="L261" s="54">
        <f t="shared" ca="1" si="58"/>
        <v>47.980726694487117</v>
      </c>
      <c r="M261" s="48">
        <f t="shared" ca="1" si="50"/>
        <v>0.255</v>
      </c>
      <c r="N261" s="48">
        <f t="shared" si="59"/>
        <v>6</v>
      </c>
      <c r="O261" s="51">
        <f t="shared" ca="1" si="51"/>
        <v>0.22774862230395179</v>
      </c>
      <c r="P261" s="51">
        <f t="shared" ca="1" si="52"/>
        <v>48.208475316791066</v>
      </c>
      <c r="Q261" s="55">
        <f t="shared" ca="1" si="60"/>
        <v>0.26806177304846557</v>
      </c>
    </row>
    <row r="262" spans="1:17" x14ac:dyDescent="0.25">
      <c r="A262" s="48">
        <v>216</v>
      </c>
      <c r="B262" s="48">
        <f t="shared" ca="1" si="47"/>
        <v>0.89900000000000002</v>
      </c>
      <c r="C262" s="49">
        <f t="shared" si="53"/>
        <v>5</v>
      </c>
      <c r="D262" s="51">
        <f t="shared" ca="1" si="48"/>
        <v>2.1294448902103344E-2</v>
      </c>
      <c r="E262" s="51">
        <f t="shared" ca="1" si="54"/>
        <v>47.961707992644705</v>
      </c>
      <c r="F262" s="48">
        <f t="shared" ca="1" si="55"/>
        <v>2</v>
      </c>
      <c r="G262" s="48">
        <f ca="1">COUNTIF($P$47:P272,"&lt;"&amp;E262)</f>
        <v>213</v>
      </c>
      <c r="H262" s="48">
        <f t="shared" ca="1" si="56"/>
        <v>0</v>
      </c>
      <c r="I262" s="48" t="str">
        <f t="shared" ca="1" si="57"/>
        <v>Ocu</v>
      </c>
      <c r="J262" s="52">
        <f t="shared" ca="1" si="49"/>
        <v>3</v>
      </c>
      <c r="K262" s="53">
        <f t="shared" ca="1" si="46"/>
        <v>0.24676732414636149</v>
      </c>
      <c r="L262" s="54">
        <f t="shared" ca="1" si="58"/>
        <v>48.208475316791066</v>
      </c>
      <c r="M262" s="48">
        <f t="shared" ca="1" si="50"/>
        <v>3.5000000000000003E-2</v>
      </c>
      <c r="N262" s="48">
        <f t="shared" si="59"/>
        <v>6</v>
      </c>
      <c r="O262" s="51">
        <f t="shared" ca="1" si="51"/>
        <v>0.55873453624878722</v>
      </c>
      <c r="P262" s="51">
        <f t="shared" ca="1" si="52"/>
        <v>48.767209853039851</v>
      </c>
      <c r="Q262" s="55">
        <f t="shared" ca="1" si="60"/>
        <v>0.80550186039514671</v>
      </c>
    </row>
    <row r="263" spans="1:17" x14ac:dyDescent="0.25">
      <c r="A263" s="48">
        <v>217</v>
      </c>
      <c r="B263" s="48">
        <f t="shared" ca="1" si="47"/>
        <v>0.44900000000000001</v>
      </c>
      <c r="C263" s="49">
        <f t="shared" si="53"/>
        <v>5</v>
      </c>
      <c r="D263" s="51">
        <f t="shared" ca="1" si="48"/>
        <v>0.16014647824797656</v>
      </c>
      <c r="E263" s="51">
        <f t="shared" ca="1" si="54"/>
        <v>48.121854470892679</v>
      </c>
      <c r="F263" s="48">
        <f t="shared" ca="1" si="55"/>
        <v>2</v>
      </c>
      <c r="G263" s="48">
        <f ca="1">COUNTIF($P$47:P273,"&lt;"&amp;E263)</f>
        <v>214</v>
      </c>
      <c r="H263" s="48">
        <f t="shared" ca="1" si="56"/>
        <v>1</v>
      </c>
      <c r="I263" s="48" t="str">
        <f t="shared" ca="1" si="57"/>
        <v>Ocu</v>
      </c>
      <c r="J263" s="52">
        <f t="shared" ca="1" si="49"/>
        <v>3</v>
      </c>
      <c r="K263" s="53">
        <f t="shared" ca="1" si="46"/>
        <v>0.64535538214717292</v>
      </c>
      <c r="L263" s="54">
        <f t="shared" ca="1" si="58"/>
        <v>48.767209853039851</v>
      </c>
      <c r="M263" s="48">
        <f t="shared" ca="1" si="50"/>
        <v>0.626</v>
      </c>
      <c r="N263" s="48">
        <f t="shared" si="59"/>
        <v>6</v>
      </c>
      <c r="O263" s="51">
        <f t="shared" ca="1" si="51"/>
        <v>7.8067484647006427E-2</v>
      </c>
      <c r="P263" s="51">
        <f t="shared" ca="1" si="52"/>
        <v>48.845277337686859</v>
      </c>
      <c r="Q263" s="55">
        <f t="shared" ca="1" si="60"/>
        <v>0.72342286679418066</v>
      </c>
    </row>
    <row r="264" spans="1:17" x14ac:dyDescent="0.25">
      <c r="A264" s="48">
        <v>218</v>
      </c>
      <c r="B264" s="48">
        <f t="shared" ca="1" si="47"/>
        <v>0.73899999999999999</v>
      </c>
      <c r="C264" s="49">
        <f t="shared" si="53"/>
        <v>5</v>
      </c>
      <c r="D264" s="51">
        <f t="shared" ca="1" si="48"/>
        <v>6.0491471606787042E-2</v>
      </c>
      <c r="E264" s="51">
        <f t="shared" ca="1" si="54"/>
        <v>48.182345942499467</v>
      </c>
      <c r="F264" s="48">
        <f t="shared" ca="1" si="55"/>
        <v>3</v>
      </c>
      <c r="G264" s="48">
        <f ca="1">COUNTIF($P$47:P274,"&lt;"&amp;E264)</f>
        <v>214</v>
      </c>
      <c r="H264" s="48">
        <f t="shared" ca="1" si="56"/>
        <v>0</v>
      </c>
      <c r="I264" s="48" t="str">
        <f t="shared" ca="1" si="57"/>
        <v>Ocu</v>
      </c>
      <c r="J264" s="52">
        <f t="shared" ca="1" si="49"/>
        <v>4</v>
      </c>
      <c r="K264" s="53">
        <f t="shared" ca="1" si="46"/>
        <v>0.66293139518739252</v>
      </c>
      <c r="L264" s="54">
        <f t="shared" ca="1" si="58"/>
        <v>48.845277337686859</v>
      </c>
      <c r="M264" s="48">
        <f t="shared" ca="1" si="50"/>
        <v>0.89100000000000001</v>
      </c>
      <c r="N264" s="48">
        <f t="shared" si="59"/>
        <v>6</v>
      </c>
      <c r="O264" s="51">
        <f t="shared" ca="1" si="51"/>
        <v>1.9235141918554622E-2</v>
      </c>
      <c r="P264" s="51">
        <f t="shared" ca="1" si="52"/>
        <v>48.864512479605416</v>
      </c>
      <c r="Q264" s="55">
        <f t="shared" ca="1" si="60"/>
        <v>0.68216653710594954</v>
      </c>
    </row>
    <row r="265" spans="1:17" x14ac:dyDescent="0.25">
      <c r="A265" s="48">
        <v>219</v>
      </c>
      <c r="B265" s="48">
        <f t="shared" ca="1" si="47"/>
        <v>0.68500000000000005</v>
      </c>
      <c r="C265" s="49">
        <f t="shared" si="53"/>
        <v>5</v>
      </c>
      <c r="D265" s="51">
        <f t="shared" ca="1" si="48"/>
        <v>7.5667288143982353E-2</v>
      </c>
      <c r="E265" s="51">
        <f t="shared" ca="1" si="54"/>
        <v>48.258013230643449</v>
      </c>
      <c r="F265" s="48">
        <f t="shared" ca="1" si="55"/>
        <v>3</v>
      </c>
      <c r="G265" s="48">
        <f ca="1">COUNTIF($P$47:P275,"&lt;"&amp;E265)</f>
        <v>215</v>
      </c>
      <c r="H265" s="48">
        <f t="shared" ca="1" si="56"/>
        <v>1</v>
      </c>
      <c r="I265" s="48" t="str">
        <f t="shared" ca="1" si="57"/>
        <v>Ocu</v>
      </c>
      <c r="J265" s="52">
        <f t="shared" ca="1" si="49"/>
        <v>4</v>
      </c>
      <c r="K265" s="53">
        <f t="shared" ca="1" si="46"/>
        <v>0.60649924896196694</v>
      </c>
      <c r="L265" s="54">
        <f t="shared" ca="1" si="58"/>
        <v>48.864512479605416</v>
      </c>
      <c r="M265" s="48">
        <f t="shared" ca="1" si="50"/>
        <v>0.48</v>
      </c>
      <c r="N265" s="48">
        <f t="shared" si="59"/>
        <v>6</v>
      </c>
      <c r="O265" s="51">
        <f t="shared" ca="1" si="51"/>
        <v>0.12232819584670009</v>
      </c>
      <c r="P265" s="51">
        <f t="shared" ca="1" si="52"/>
        <v>48.986840675452115</v>
      </c>
      <c r="Q265" s="55">
        <f t="shared" ca="1" si="60"/>
        <v>0.72882744480866535</v>
      </c>
    </row>
    <row r="266" spans="1:17" x14ac:dyDescent="0.25">
      <c r="A266" s="48">
        <v>220</v>
      </c>
      <c r="B266" s="48">
        <f t="shared" ca="1" si="47"/>
        <v>8.2000000000000003E-2</v>
      </c>
      <c r="C266" s="49">
        <f t="shared" si="53"/>
        <v>5</v>
      </c>
      <c r="D266" s="51">
        <f t="shared" ca="1" si="48"/>
        <v>0.50020720634357685</v>
      </c>
      <c r="E266" s="51">
        <f t="shared" ca="1" si="54"/>
        <v>48.758220436987024</v>
      </c>
      <c r="F266" s="48">
        <f t="shared" ca="1" si="55"/>
        <v>4</v>
      </c>
      <c r="G266" s="48">
        <f ca="1">COUNTIF($P$47:P276,"&lt;"&amp;E266)</f>
        <v>215</v>
      </c>
      <c r="H266" s="48">
        <f t="shared" ca="1" si="56"/>
        <v>0</v>
      </c>
      <c r="I266" s="48" t="str">
        <f t="shared" ca="1" si="57"/>
        <v>Ocu</v>
      </c>
      <c r="J266" s="52">
        <f t="shared" ca="1" si="49"/>
        <v>5</v>
      </c>
      <c r="K266" s="53">
        <f t="shared" ca="1" si="46"/>
        <v>0.22862023846509061</v>
      </c>
      <c r="L266" s="54">
        <f t="shared" ca="1" si="58"/>
        <v>48.986840675452115</v>
      </c>
      <c r="M266" s="48">
        <f t="shared" ca="1" si="50"/>
        <v>0.57699999999999996</v>
      </c>
      <c r="N266" s="48">
        <f t="shared" si="59"/>
        <v>6</v>
      </c>
      <c r="O266" s="51">
        <f t="shared" ca="1" si="51"/>
        <v>9.1652168745672905E-2</v>
      </c>
      <c r="P266" s="51">
        <f t="shared" ca="1" si="52"/>
        <v>49.07849284419779</v>
      </c>
      <c r="Q266" s="55">
        <f t="shared" ca="1" si="60"/>
        <v>0.32027240721076566</v>
      </c>
    </row>
    <row r="267" spans="1:17" x14ac:dyDescent="0.25">
      <c r="A267" s="48">
        <v>221</v>
      </c>
      <c r="B267" s="48">
        <f t="shared" ca="1" si="47"/>
        <v>0.26500000000000001</v>
      </c>
      <c r="C267" s="49">
        <f t="shared" si="53"/>
        <v>5</v>
      </c>
      <c r="D267" s="51">
        <f t="shared" ca="1" si="48"/>
        <v>0.26560509059918297</v>
      </c>
      <c r="E267" s="51">
        <f t="shared" ca="1" si="54"/>
        <v>49.023825527586204</v>
      </c>
      <c r="F267" s="48">
        <f t="shared" ca="1" si="55"/>
        <v>1</v>
      </c>
      <c r="G267" s="48">
        <f ca="1">COUNTIF($P$47:P277,"&lt;"&amp;E267)</f>
        <v>219</v>
      </c>
      <c r="H267" s="48">
        <f t="shared" ca="1" si="56"/>
        <v>4</v>
      </c>
      <c r="I267" s="48" t="str">
        <f t="shared" ca="1" si="57"/>
        <v>Ocu</v>
      </c>
      <c r="J267" s="52">
        <f t="shared" ca="1" si="49"/>
        <v>2</v>
      </c>
      <c r="K267" s="53">
        <f t="shared" ca="1" si="46"/>
        <v>5.4667316611585193E-2</v>
      </c>
      <c r="L267" s="54">
        <f t="shared" ca="1" si="58"/>
        <v>49.07849284419779</v>
      </c>
      <c r="M267" s="48">
        <f t="shared" ca="1" si="50"/>
        <v>0.83899999999999997</v>
      </c>
      <c r="N267" s="48">
        <f t="shared" si="59"/>
        <v>6</v>
      </c>
      <c r="O267" s="51">
        <f t="shared" ca="1" si="51"/>
        <v>2.9257428752488469E-2</v>
      </c>
      <c r="P267" s="51">
        <f t="shared" ca="1" si="52"/>
        <v>49.107750272950277</v>
      </c>
      <c r="Q267" s="55">
        <f t="shared" ca="1" si="60"/>
        <v>8.3924745364072351E-2</v>
      </c>
    </row>
    <row r="268" spans="1:17" x14ac:dyDescent="0.25">
      <c r="A268" s="48">
        <v>222</v>
      </c>
      <c r="B268" s="48">
        <f t="shared" ca="1" si="47"/>
        <v>0.64500000000000002</v>
      </c>
      <c r="C268" s="49">
        <f t="shared" si="53"/>
        <v>5</v>
      </c>
      <c r="D268" s="51">
        <f t="shared" ca="1" si="48"/>
        <v>8.7700992437272904E-2</v>
      </c>
      <c r="E268" s="51">
        <f t="shared" ca="1" si="54"/>
        <v>49.111526520023475</v>
      </c>
      <c r="F268" s="48">
        <f t="shared" ca="1" si="55"/>
        <v>0</v>
      </c>
      <c r="G268" s="48">
        <f ca="1">COUNTIF($P$47:P278,"&lt;"&amp;E268)</f>
        <v>221</v>
      </c>
      <c r="H268" s="48">
        <f t="shared" ca="1" si="56"/>
        <v>2</v>
      </c>
      <c r="I268" s="48" t="str">
        <f t="shared" ca="1" si="57"/>
        <v>Des</v>
      </c>
      <c r="J268" s="52">
        <f t="shared" ca="1" si="49"/>
        <v>1</v>
      </c>
      <c r="K268" s="53">
        <f t="shared" ca="1" si="46"/>
        <v>0</v>
      </c>
      <c r="L268" s="54">
        <f t="shared" ca="1" si="58"/>
        <v>49.111526520023475</v>
      </c>
      <c r="M268" s="48">
        <f t="shared" ca="1" si="50"/>
        <v>2.4E-2</v>
      </c>
      <c r="N268" s="48">
        <f t="shared" si="59"/>
        <v>6</v>
      </c>
      <c r="O268" s="51">
        <f t="shared" ca="1" si="51"/>
        <v>0.62161690810569858</v>
      </c>
      <c r="P268" s="51">
        <f t="shared" ca="1" si="52"/>
        <v>49.733143428129175</v>
      </c>
      <c r="Q268" s="55">
        <f t="shared" ca="1" si="60"/>
        <v>0.62161690810570036</v>
      </c>
    </row>
    <row r="269" spans="1:17" x14ac:dyDescent="0.25">
      <c r="A269" s="48">
        <v>223</v>
      </c>
      <c r="B269" s="48">
        <f t="shared" ca="1" si="47"/>
        <v>0.439</v>
      </c>
      <c r="C269" s="49">
        <f t="shared" si="53"/>
        <v>5</v>
      </c>
      <c r="D269" s="51">
        <f t="shared" ca="1" si="48"/>
        <v>0.16465117318139313</v>
      </c>
      <c r="E269" s="51">
        <f t="shared" ca="1" si="54"/>
        <v>49.276177693204865</v>
      </c>
      <c r="F269" s="48">
        <f t="shared" ca="1" si="55"/>
        <v>1</v>
      </c>
      <c r="G269" s="48">
        <f ca="1">COUNTIF($P$47:P279,"&lt;"&amp;E269)</f>
        <v>221</v>
      </c>
      <c r="H269" s="48">
        <f t="shared" ca="1" si="56"/>
        <v>0</v>
      </c>
      <c r="I269" s="48" t="str">
        <f t="shared" ca="1" si="57"/>
        <v>Ocu</v>
      </c>
      <c r="J269" s="52">
        <f t="shared" ca="1" si="49"/>
        <v>2</v>
      </c>
      <c r="K269" s="53">
        <f t="shared" ca="1" si="46"/>
        <v>0.45696573492431014</v>
      </c>
      <c r="L269" s="54">
        <f t="shared" ca="1" si="58"/>
        <v>49.733143428129175</v>
      </c>
      <c r="M269" s="48">
        <f t="shared" ca="1" si="50"/>
        <v>3.5000000000000003E-2</v>
      </c>
      <c r="N269" s="48">
        <f t="shared" si="59"/>
        <v>6</v>
      </c>
      <c r="O269" s="51">
        <f t="shared" ca="1" si="51"/>
        <v>0.55873453624878722</v>
      </c>
      <c r="P269" s="51">
        <f t="shared" ca="1" si="52"/>
        <v>50.29187796437796</v>
      </c>
      <c r="Q269" s="55">
        <f t="shared" ca="1" si="60"/>
        <v>1.0157002711730954</v>
      </c>
    </row>
    <row r="270" spans="1:17" x14ac:dyDescent="0.25">
      <c r="A270" s="48">
        <v>224</v>
      </c>
      <c r="B270" s="48">
        <f t="shared" ca="1" si="47"/>
        <v>8.1000000000000003E-2</v>
      </c>
      <c r="C270" s="49">
        <f t="shared" si="53"/>
        <v>5</v>
      </c>
      <c r="D270" s="51">
        <f t="shared" ca="1" si="48"/>
        <v>0.50266122486193965</v>
      </c>
      <c r="E270" s="51">
        <f t="shared" ca="1" si="54"/>
        <v>49.778838918066803</v>
      </c>
      <c r="F270" s="48">
        <f t="shared" ca="1" si="55"/>
        <v>1</v>
      </c>
      <c r="G270" s="48">
        <f ca="1">COUNTIF($P$47:P280,"&lt;"&amp;E270)</f>
        <v>222</v>
      </c>
      <c r="H270" s="48">
        <f t="shared" ca="1" si="56"/>
        <v>1</v>
      </c>
      <c r="I270" s="48" t="str">
        <f t="shared" ca="1" si="57"/>
        <v>Ocu</v>
      </c>
      <c r="J270" s="52">
        <f t="shared" ca="1" si="49"/>
        <v>2</v>
      </c>
      <c r="K270" s="53">
        <f t="shared" ca="1" si="46"/>
        <v>0.51303904631115671</v>
      </c>
      <c r="L270" s="54">
        <f t="shared" ca="1" si="58"/>
        <v>50.29187796437796</v>
      </c>
      <c r="M270" s="48">
        <f t="shared" ca="1" si="50"/>
        <v>0.39400000000000002</v>
      </c>
      <c r="N270" s="48">
        <f t="shared" si="59"/>
        <v>6</v>
      </c>
      <c r="O270" s="51">
        <f t="shared" ca="1" si="51"/>
        <v>0.15523406161403386</v>
      </c>
      <c r="P270" s="51">
        <f t="shared" ca="1" si="52"/>
        <v>50.447112025991991</v>
      </c>
      <c r="Q270" s="55">
        <f t="shared" ca="1" si="60"/>
        <v>0.66827310792518801</v>
      </c>
    </row>
    <row r="271" spans="1:17" x14ac:dyDescent="0.25">
      <c r="A271" s="48">
        <v>225</v>
      </c>
      <c r="B271" s="48">
        <f t="shared" ca="1" si="47"/>
        <v>0.20300000000000001</v>
      </c>
      <c r="C271" s="49">
        <f t="shared" si="53"/>
        <v>5</v>
      </c>
      <c r="D271" s="51">
        <f t="shared" ca="1" si="48"/>
        <v>0.31890985998806998</v>
      </c>
      <c r="E271" s="51">
        <f t="shared" ca="1" si="54"/>
        <v>50.097748778054871</v>
      </c>
      <c r="F271" s="48">
        <f t="shared" ca="1" si="55"/>
        <v>2</v>
      </c>
      <c r="G271" s="48">
        <f ca="1">COUNTIF($P$47:P281,"&lt;"&amp;E271)</f>
        <v>222</v>
      </c>
      <c r="H271" s="48">
        <f t="shared" ca="1" si="56"/>
        <v>0</v>
      </c>
      <c r="I271" s="48" t="str">
        <f t="shared" ca="1" si="57"/>
        <v>Ocu</v>
      </c>
      <c r="J271" s="52">
        <f t="shared" ca="1" si="49"/>
        <v>3</v>
      </c>
      <c r="K271" s="53">
        <f t="shared" ca="1" si="46"/>
        <v>0.34936324793712004</v>
      </c>
      <c r="L271" s="54">
        <f t="shared" ca="1" si="58"/>
        <v>50.447112025991991</v>
      </c>
      <c r="M271" s="48">
        <f t="shared" ca="1" si="50"/>
        <v>0.85699999999999998</v>
      </c>
      <c r="N271" s="48">
        <f t="shared" si="59"/>
        <v>6</v>
      </c>
      <c r="O271" s="51">
        <f t="shared" ca="1" si="51"/>
        <v>2.5719560064059545E-2</v>
      </c>
      <c r="P271" s="51">
        <f t="shared" ca="1" si="52"/>
        <v>50.472831586056053</v>
      </c>
      <c r="Q271" s="55">
        <f t="shared" ca="1" si="60"/>
        <v>0.37508280800118143</v>
      </c>
    </row>
    <row r="272" spans="1:17" x14ac:dyDescent="0.25">
      <c r="A272" s="48">
        <v>226</v>
      </c>
      <c r="B272" s="48">
        <f t="shared" ca="1" si="47"/>
        <v>0.151</v>
      </c>
      <c r="C272" s="49">
        <f t="shared" si="53"/>
        <v>5</v>
      </c>
      <c r="D272" s="51">
        <f t="shared" ca="1" si="48"/>
        <v>0.37809508843344258</v>
      </c>
      <c r="E272" s="51">
        <f t="shared" ca="1" si="54"/>
        <v>50.475843866488312</v>
      </c>
      <c r="F272" s="48">
        <f t="shared" ca="1" si="55"/>
        <v>0</v>
      </c>
      <c r="G272" s="48">
        <f ca="1">COUNTIF($P$47:P282,"&lt;"&amp;E272)</f>
        <v>225</v>
      </c>
      <c r="H272" s="48">
        <f t="shared" ca="1" si="56"/>
        <v>3</v>
      </c>
      <c r="I272" s="48" t="str">
        <f t="shared" ca="1" si="57"/>
        <v>Des</v>
      </c>
      <c r="J272" s="52">
        <f t="shared" ca="1" si="49"/>
        <v>1</v>
      </c>
      <c r="K272" s="53">
        <f t="shared" ca="1" si="46"/>
        <v>0</v>
      </c>
      <c r="L272" s="54">
        <f t="shared" ca="1" si="58"/>
        <v>50.475843866488312</v>
      </c>
      <c r="M272" s="48">
        <f t="shared" ca="1" si="50"/>
        <v>0.41899999999999998</v>
      </c>
      <c r="N272" s="48">
        <f t="shared" si="59"/>
        <v>6</v>
      </c>
      <c r="O272" s="51">
        <f t="shared" ca="1" si="51"/>
        <v>0.14498072650999988</v>
      </c>
      <c r="P272" s="51">
        <f t="shared" ca="1" si="52"/>
        <v>50.620824592998311</v>
      </c>
      <c r="Q272" s="55">
        <f t="shared" ca="1" si="60"/>
        <v>0.14498072650999916</v>
      </c>
    </row>
    <row r="273" spans="1:17" x14ac:dyDescent="0.25">
      <c r="A273" s="48">
        <v>227</v>
      </c>
      <c r="B273" s="48">
        <f t="shared" ca="1" si="47"/>
        <v>0.22500000000000001</v>
      </c>
      <c r="C273" s="49">
        <f t="shared" si="53"/>
        <v>5</v>
      </c>
      <c r="D273" s="51">
        <f t="shared" ca="1" si="48"/>
        <v>0.29833097535554337</v>
      </c>
      <c r="E273" s="51">
        <f t="shared" ca="1" si="54"/>
        <v>50.774174841843852</v>
      </c>
      <c r="F273" s="48">
        <f t="shared" ca="1" si="55"/>
        <v>0</v>
      </c>
      <c r="G273" s="48">
        <f ca="1">COUNTIF($P$47:P283,"&lt;"&amp;E273)</f>
        <v>226</v>
      </c>
      <c r="H273" s="48">
        <f t="shared" ca="1" si="56"/>
        <v>1</v>
      </c>
      <c r="I273" s="48" t="str">
        <f t="shared" ca="1" si="57"/>
        <v>Des</v>
      </c>
      <c r="J273" s="52">
        <f t="shared" ca="1" si="49"/>
        <v>1</v>
      </c>
      <c r="K273" s="53">
        <f t="shared" ca="1" si="46"/>
        <v>0</v>
      </c>
      <c r="L273" s="54">
        <f t="shared" ca="1" si="58"/>
        <v>50.774174841843852</v>
      </c>
      <c r="M273" s="48">
        <f t="shared" ca="1" si="50"/>
        <v>0.27300000000000002</v>
      </c>
      <c r="N273" s="48">
        <f t="shared" si="59"/>
        <v>6</v>
      </c>
      <c r="O273" s="51">
        <f t="shared" ca="1" si="51"/>
        <v>0.21638058063286286</v>
      </c>
      <c r="P273" s="51">
        <f t="shared" ca="1" si="52"/>
        <v>50.990555422476717</v>
      </c>
      <c r="Q273" s="55">
        <f t="shared" ca="1" si="60"/>
        <v>0.21638058063286536</v>
      </c>
    </row>
    <row r="274" spans="1:17" x14ac:dyDescent="0.25">
      <c r="A274" s="48">
        <v>228</v>
      </c>
      <c r="B274" s="48">
        <f t="shared" ca="1" si="47"/>
        <v>0.745</v>
      </c>
      <c r="C274" s="49">
        <f t="shared" si="53"/>
        <v>5</v>
      </c>
      <c r="D274" s="51">
        <f t="shared" ca="1" si="48"/>
        <v>5.8874212120515516E-2</v>
      </c>
      <c r="E274" s="51">
        <f t="shared" ca="1" si="54"/>
        <v>50.833049053964366</v>
      </c>
      <c r="F274" s="48">
        <f t="shared" ca="1" si="55"/>
        <v>1</v>
      </c>
      <c r="G274" s="48">
        <f ca="1">COUNTIF($P$47:P284,"&lt;"&amp;E274)</f>
        <v>226</v>
      </c>
      <c r="H274" s="48">
        <f t="shared" ca="1" si="56"/>
        <v>0</v>
      </c>
      <c r="I274" s="48" t="str">
        <f t="shared" ca="1" si="57"/>
        <v>Ocu</v>
      </c>
      <c r="J274" s="52">
        <f t="shared" ca="1" si="49"/>
        <v>2</v>
      </c>
      <c r="K274" s="53">
        <f t="shared" ca="1" si="46"/>
        <v>0.157506368512351</v>
      </c>
      <c r="L274" s="54">
        <f t="shared" ca="1" si="58"/>
        <v>50.990555422476717</v>
      </c>
      <c r="M274" s="48">
        <f t="shared" ca="1" si="50"/>
        <v>4.1000000000000002E-2</v>
      </c>
      <c r="N274" s="48">
        <f t="shared" si="59"/>
        <v>6</v>
      </c>
      <c r="O274" s="51">
        <f t="shared" ca="1" si="51"/>
        <v>0.53236386871297148</v>
      </c>
      <c r="P274" s="51">
        <f t="shared" ca="1" si="52"/>
        <v>51.522919291189687</v>
      </c>
      <c r="Q274" s="55">
        <f t="shared" ca="1" si="60"/>
        <v>0.68987023722532115</v>
      </c>
    </row>
    <row r="275" spans="1:17" x14ac:dyDescent="0.25">
      <c r="A275" s="48">
        <v>229</v>
      </c>
      <c r="B275" s="48">
        <f t="shared" ca="1" si="47"/>
        <v>0.82899999999999996</v>
      </c>
      <c r="C275" s="49">
        <f t="shared" si="53"/>
        <v>5</v>
      </c>
      <c r="D275" s="51">
        <f t="shared" ca="1" si="48"/>
        <v>3.7507024769368437E-2</v>
      </c>
      <c r="E275" s="51">
        <f t="shared" ca="1" si="54"/>
        <v>50.870556078733735</v>
      </c>
      <c r="F275" s="48">
        <f t="shared" ca="1" si="55"/>
        <v>2</v>
      </c>
      <c r="G275" s="48">
        <f ca="1">COUNTIF($P$47:P285,"&lt;"&amp;E275)</f>
        <v>226</v>
      </c>
      <c r="H275" s="48">
        <f t="shared" ca="1" si="56"/>
        <v>0</v>
      </c>
      <c r="I275" s="48" t="str">
        <f t="shared" ca="1" si="57"/>
        <v>Ocu</v>
      </c>
      <c r="J275" s="52">
        <f t="shared" ca="1" si="49"/>
        <v>3</v>
      </c>
      <c r="K275" s="53">
        <f t="shared" ca="1" si="46"/>
        <v>0.65236321245595263</v>
      </c>
      <c r="L275" s="54">
        <f t="shared" ca="1" si="58"/>
        <v>51.522919291189687</v>
      </c>
      <c r="M275" s="48">
        <f t="shared" ca="1" si="50"/>
        <v>0.95599999999999996</v>
      </c>
      <c r="N275" s="48">
        <f t="shared" si="59"/>
        <v>6</v>
      </c>
      <c r="O275" s="51">
        <f t="shared" ca="1" si="51"/>
        <v>7.4995609884559531E-3</v>
      </c>
      <c r="P275" s="51">
        <f t="shared" ca="1" si="52"/>
        <v>51.530418852178144</v>
      </c>
      <c r="Q275" s="55">
        <f t="shared" ca="1" si="60"/>
        <v>0.65986277344440936</v>
      </c>
    </row>
    <row r="276" spans="1:17" x14ac:dyDescent="0.25">
      <c r="A276" s="48">
        <v>230</v>
      </c>
      <c r="B276" s="48">
        <f t="shared" ca="1" si="47"/>
        <v>0.19</v>
      </c>
      <c r="C276" s="49">
        <f t="shared" si="53"/>
        <v>5</v>
      </c>
      <c r="D276" s="51">
        <f t="shared" ca="1" si="48"/>
        <v>0.33214624136433019</v>
      </c>
      <c r="E276" s="51">
        <f t="shared" ca="1" si="54"/>
        <v>51.202702320098062</v>
      </c>
      <c r="F276" s="48">
        <f t="shared" ca="1" si="55"/>
        <v>2</v>
      </c>
      <c r="G276" s="48">
        <f ca="1">COUNTIF($P$47:P286,"&lt;"&amp;E276)</f>
        <v>227</v>
      </c>
      <c r="H276" s="48">
        <f t="shared" ca="1" si="56"/>
        <v>1</v>
      </c>
      <c r="I276" s="48" t="str">
        <f t="shared" ca="1" si="57"/>
        <v>Ocu</v>
      </c>
      <c r="J276" s="52">
        <f t="shared" ca="1" si="49"/>
        <v>3</v>
      </c>
      <c r="K276" s="53">
        <f t="shared" ca="1" si="46"/>
        <v>0.32771653208008189</v>
      </c>
      <c r="L276" s="54">
        <f t="shared" ca="1" si="58"/>
        <v>51.530418852178144</v>
      </c>
      <c r="M276" s="48">
        <f t="shared" ca="1" si="50"/>
        <v>0.76100000000000001</v>
      </c>
      <c r="N276" s="48">
        <f t="shared" si="59"/>
        <v>6</v>
      </c>
      <c r="O276" s="51">
        <f t="shared" ca="1" si="51"/>
        <v>4.5520320186741861E-2</v>
      </c>
      <c r="P276" s="51">
        <f t="shared" ca="1" si="52"/>
        <v>51.575939172364883</v>
      </c>
      <c r="Q276" s="55">
        <f t="shared" ca="1" si="60"/>
        <v>0.37323685226682102</v>
      </c>
    </row>
    <row r="277" spans="1:17" x14ac:dyDescent="0.25">
      <c r="A277" s="48">
        <v>231</v>
      </c>
      <c r="B277" s="48">
        <f t="shared" ca="1" si="47"/>
        <v>4.4999999999999998E-2</v>
      </c>
      <c r="C277" s="49">
        <f t="shared" si="53"/>
        <v>5</v>
      </c>
      <c r="D277" s="51">
        <f t="shared" ca="1" si="48"/>
        <v>0.62021855784236346</v>
      </c>
      <c r="E277" s="51">
        <f t="shared" ca="1" si="54"/>
        <v>51.822920877940426</v>
      </c>
      <c r="F277" s="48">
        <f t="shared" ca="1" si="55"/>
        <v>0</v>
      </c>
      <c r="G277" s="48">
        <f ca="1">COUNTIF($P$47:P287,"&lt;"&amp;E277)</f>
        <v>230</v>
      </c>
      <c r="H277" s="48">
        <f t="shared" ca="1" si="56"/>
        <v>3</v>
      </c>
      <c r="I277" s="48" t="str">
        <f t="shared" ca="1" si="57"/>
        <v>Des</v>
      </c>
      <c r="J277" s="52">
        <f t="shared" ca="1" si="49"/>
        <v>1</v>
      </c>
      <c r="K277" s="53">
        <f t="shared" ca="1" si="46"/>
        <v>0</v>
      </c>
      <c r="L277" s="54">
        <f t="shared" ca="1" si="58"/>
        <v>51.822920877940426</v>
      </c>
      <c r="M277" s="48">
        <f t="shared" ca="1" si="50"/>
        <v>0.92500000000000004</v>
      </c>
      <c r="N277" s="48">
        <f t="shared" si="59"/>
        <v>6</v>
      </c>
      <c r="O277" s="51">
        <f t="shared" ca="1" si="51"/>
        <v>1.299359024495195E-2</v>
      </c>
      <c r="P277" s="51">
        <f t="shared" ca="1" si="52"/>
        <v>51.835914468185379</v>
      </c>
      <c r="Q277" s="55">
        <f t="shared" ca="1" si="60"/>
        <v>1.2993590244953168E-2</v>
      </c>
    </row>
    <row r="278" spans="1:17" x14ac:dyDescent="0.25">
      <c r="A278" s="48">
        <v>232</v>
      </c>
      <c r="B278" s="48">
        <f t="shared" ca="1" si="47"/>
        <v>0.57099999999999995</v>
      </c>
      <c r="C278" s="49">
        <f t="shared" si="53"/>
        <v>5</v>
      </c>
      <c r="D278" s="51">
        <f t="shared" ca="1" si="48"/>
        <v>0.11207321386522538</v>
      </c>
      <c r="E278" s="51">
        <f t="shared" ca="1" si="54"/>
        <v>51.934994091805649</v>
      </c>
      <c r="F278" s="48">
        <f t="shared" ca="1" si="55"/>
        <v>0</v>
      </c>
      <c r="G278" s="48">
        <f ca="1">COUNTIF($P$47:P288,"&lt;"&amp;E278)</f>
        <v>231</v>
      </c>
      <c r="H278" s="48">
        <f t="shared" ca="1" si="56"/>
        <v>1</v>
      </c>
      <c r="I278" s="48" t="str">
        <f t="shared" ca="1" si="57"/>
        <v>Des</v>
      </c>
      <c r="J278" s="52">
        <f t="shared" ca="1" si="49"/>
        <v>1</v>
      </c>
      <c r="K278" s="53">
        <f t="shared" ca="1" si="46"/>
        <v>0</v>
      </c>
      <c r="L278" s="54">
        <f t="shared" ca="1" si="58"/>
        <v>51.934994091805649</v>
      </c>
      <c r="M278" s="48">
        <f t="shared" ca="1" si="50"/>
        <v>0.5</v>
      </c>
      <c r="N278" s="48">
        <f t="shared" si="59"/>
        <v>6</v>
      </c>
      <c r="O278" s="51">
        <f t="shared" ca="1" si="51"/>
        <v>0.11552453009332421</v>
      </c>
      <c r="P278" s="51">
        <f t="shared" ca="1" si="52"/>
        <v>52.050518621898973</v>
      </c>
      <c r="Q278" s="55">
        <f t="shared" ca="1" si="60"/>
        <v>0.11552453009332453</v>
      </c>
    </row>
    <row r="279" spans="1:17" x14ac:dyDescent="0.25">
      <c r="A279" s="48">
        <v>233</v>
      </c>
      <c r="B279" s="48">
        <f t="shared" ca="1" si="47"/>
        <v>0.876</v>
      </c>
      <c r="C279" s="49">
        <f t="shared" si="53"/>
        <v>5</v>
      </c>
      <c r="D279" s="51">
        <f t="shared" ca="1" si="48"/>
        <v>2.6477837609149131E-2</v>
      </c>
      <c r="E279" s="51">
        <f t="shared" ca="1" si="54"/>
        <v>51.961471929414799</v>
      </c>
      <c r="F279" s="48">
        <f t="shared" ca="1" si="55"/>
        <v>1</v>
      </c>
      <c r="G279" s="48">
        <f ca="1">COUNTIF($P$47:P289,"&lt;"&amp;E279)</f>
        <v>231</v>
      </c>
      <c r="H279" s="48">
        <f t="shared" ca="1" si="56"/>
        <v>0</v>
      </c>
      <c r="I279" s="48" t="str">
        <f t="shared" ca="1" si="57"/>
        <v>Ocu</v>
      </c>
      <c r="J279" s="52">
        <f t="shared" ca="1" si="49"/>
        <v>2</v>
      </c>
      <c r="K279" s="53">
        <f t="shared" ca="1" si="46"/>
        <v>8.9046692484174628E-2</v>
      </c>
      <c r="L279" s="54">
        <f t="shared" ca="1" si="58"/>
        <v>52.050518621898973</v>
      </c>
      <c r="M279" s="48">
        <f t="shared" ca="1" si="50"/>
        <v>0.04</v>
      </c>
      <c r="N279" s="48">
        <f t="shared" si="59"/>
        <v>6</v>
      </c>
      <c r="O279" s="51">
        <f t="shared" ca="1" si="51"/>
        <v>0.53647930414470002</v>
      </c>
      <c r="P279" s="51">
        <f t="shared" ca="1" si="52"/>
        <v>52.586997926043672</v>
      </c>
      <c r="Q279" s="55">
        <f t="shared" ca="1" si="60"/>
        <v>0.62552599662887332</v>
      </c>
    </row>
    <row r="280" spans="1:17" x14ac:dyDescent="0.25">
      <c r="A280" s="48">
        <v>234</v>
      </c>
      <c r="B280" s="48">
        <f t="shared" ca="1" si="47"/>
        <v>6.9000000000000006E-2</v>
      </c>
      <c r="C280" s="49">
        <f t="shared" si="53"/>
        <v>5</v>
      </c>
      <c r="D280" s="51">
        <f t="shared" ca="1" si="48"/>
        <v>0.53472975487697549</v>
      </c>
      <c r="E280" s="51">
        <f t="shared" ca="1" si="54"/>
        <v>52.496201684291776</v>
      </c>
      <c r="F280" s="48">
        <f t="shared" ca="1" si="55"/>
        <v>1</v>
      </c>
      <c r="G280" s="48">
        <f ca="1">COUNTIF($P$47:P290,"&lt;"&amp;E280)</f>
        <v>232</v>
      </c>
      <c r="H280" s="48">
        <f t="shared" ca="1" si="56"/>
        <v>1</v>
      </c>
      <c r="I280" s="48" t="str">
        <f t="shared" ca="1" si="57"/>
        <v>Ocu</v>
      </c>
      <c r="J280" s="52">
        <f t="shared" ca="1" si="49"/>
        <v>2</v>
      </c>
      <c r="K280" s="53">
        <f t="shared" ca="1" si="46"/>
        <v>9.0796241751895934E-2</v>
      </c>
      <c r="L280" s="54">
        <f t="shared" ca="1" si="58"/>
        <v>52.586997926043672</v>
      </c>
      <c r="M280" s="48">
        <f t="shared" ca="1" si="50"/>
        <v>0.74</v>
      </c>
      <c r="N280" s="48">
        <f t="shared" si="59"/>
        <v>6</v>
      </c>
      <c r="O280" s="51">
        <f t="shared" ca="1" si="51"/>
        <v>5.01841821306536E-2</v>
      </c>
      <c r="P280" s="51">
        <f t="shared" ca="1" si="52"/>
        <v>52.637182108174329</v>
      </c>
      <c r="Q280" s="55">
        <f t="shared" ca="1" si="60"/>
        <v>0.14098042388255294</v>
      </c>
    </row>
    <row r="281" spans="1:17" x14ac:dyDescent="0.25">
      <c r="A281" s="48">
        <v>235</v>
      </c>
      <c r="B281" s="48">
        <f t="shared" ca="1" si="47"/>
        <v>0.23599999999999999</v>
      </c>
      <c r="C281" s="49">
        <f t="shared" si="53"/>
        <v>5</v>
      </c>
      <c r="D281" s="51">
        <f t="shared" ca="1" si="48"/>
        <v>0.28878469479130542</v>
      </c>
      <c r="E281" s="51">
        <f t="shared" ca="1" si="54"/>
        <v>52.78498637908308</v>
      </c>
      <c r="F281" s="48">
        <f t="shared" ca="1" si="55"/>
        <v>0</v>
      </c>
      <c r="G281" s="48">
        <f ca="1">COUNTIF($P$47:P291,"&lt;"&amp;E281)</f>
        <v>234</v>
      </c>
      <c r="H281" s="48">
        <f t="shared" ca="1" si="56"/>
        <v>2</v>
      </c>
      <c r="I281" s="48" t="str">
        <f t="shared" ca="1" si="57"/>
        <v>Des</v>
      </c>
      <c r="J281" s="52">
        <f t="shared" ca="1" si="49"/>
        <v>1</v>
      </c>
      <c r="K281" s="53">
        <f t="shared" ca="1" si="46"/>
        <v>0</v>
      </c>
      <c r="L281" s="54">
        <f t="shared" ca="1" si="58"/>
        <v>52.78498637908308</v>
      </c>
      <c r="M281" s="48">
        <f t="shared" ca="1" si="50"/>
        <v>0.11</v>
      </c>
      <c r="N281" s="48">
        <f t="shared" si="59"/>
        <v>6</v>
      </c>
      <c r="O281" s="51">
        <f t="shared" ca="1" si="51"/>
        <v>0.36787915219828682</v>
      </c>
      <c r="P281" s="51">
        <f t="shared" ca="1" si="52"/>
        <v>53.152865531281364</v>
      </c>
      <c r="Q281" s="55">
        <f t="shared" ca="1" si="60"/>
        <v>0.36787915219828449</v>
      </c>
    </row>
    <row r="282" spans="1:17" x14ac:dyDescent="0.25">
      <c r="A282" s="48">
        <v>236</v>
      </c>
      <c r="B282" s="48">
        <f t="shared" ca="1" si="47"/>
        <v>0.88700000000000001</v>
      </c>
      <c r="C282" s="49">
        <f t="shared" si="53"/>
        <v>5</v>
      </c>
      <c r="D282" s="51">
        <f t="shared" ca="1" si="48"/>
        <v>2.3982059334511502E-2</v>
      </c>
      <c r="E282" s="51">
        <f t="shared" ca="1" si="54"/>
        <v>52.808968438417594</v>
      </c>
      <c r="F282" s="48">
        <f t="shared" ca="1" si="55"/>
        <v>1</v>
      </c>
      <c r="G282" s="48">
        <f ca="1">COUNTIF($P$47:P292,"&lt;"&amp;E282)</f>
        <v>234</v>
      </c>
      <c r="H282" s="48">
        <f t="shared" ca="1" si="56"/>
        <v>0</v>
      </c>
      <c r="I282" s="48" t="str">
        <f t="shared" ca="1" si="57"/>
        <v>Ocu</v>
      </c>
      <c r="J282" s="52">
        <f t="shared" ca="1" si="49"/>
        <v>2</v>
      </c>
      <c r="K282" s="53">
        <f t="shared" ca="1" si="46"/>
        <v>0.34389709286377013</v>
      </c>
      <c r="L282" s="54">
        <f t="shared" ca="1" si="58"/>
        <v>53.152865531281364</v>
      </c>
      <c r="M282" s="48">
        <f t="shared" ca="1" si="50"/>
        <v>0.03</v>
      </c>
      <c r="N282" s="48">
        <f t="shared" si="59"/>
        <v>6</v>
      </c>
      <c r="O282" s="51">
        <f t="shared" ca="1" si="51"/>
        <v>0.58442631621999697</v>
      </c>
      <c r="P282" s="51">
        <f t="shared" ca="1" si="52"/>
        <v>53.737291847501361</v>
      </c>
      <c r="Q282" s="55">
        <f t="shared" ca="1" si="60"/>
        <v>0.92832340908376665</v>
      </c>
    </row>
    <row r="283" spans="1:17" x14ac:dyDescent="0.25">
      <c r="A283" s="48">
        <v>237</v>
      </c>
      <c r="B283" s="48">
        <f t="shared" ca="1" si="47"/>
        <v>0.89300000000000002</v>
      </c>
      <c r="C283" s="49">
        <f t="shared" si="53"/>
        <v>5</v>
      </c>
      <c r="D283" s="51">
        <f t="shared" ca="1" si="48"/>
        <v>2.2633739621127594E-2</v>
      </c>
      <c r="E283" s="51">
        <f t="shared" ca="1" si="54"/>
        <v>52.831602178038722</v>
      </c>
      <c r="F283" s="48">
        <f t="shared" ca="1" si="55"/>
        <v>2</v>
      </c>
      <c r="G283" s="48">
        <f ca="1">COUNTIF($P$47:P293,"&lt;"&amp;E283)</f>
        <v>234</v>
      </c>
      <c r="H283" s="48">
        <f t="shared" ca="1" si="56"/>
        <v>0</v>
      </c>
      <c r="I283" s="48" t="str">
        <f t="shared" ca="1" si="57"/>
        <v>Ocu</v>
      </c>
      <c r="J283" s="52">
        <f t="shared" ca="1" si="49"/>
        <v>3</v>
      </c>
      <c r="K283" s="53">
        <f t="shared" ca="1" si="46"/>
        <v>0.90568966946263885</v>
      </c>
      <c r="L283" s="54">
        <f t="shared" ca="1" si="58"/>
        <v>53.737291847501361</v>
      </c>
      <c r="M283" s="48">
        <f t="shared" ca="1" si="50"/>
        <v>0.37</v>
      </c>
      <c r="N283" s="48">
        <f t="shared" si="59"/>
        <v>6</v>
      </c>
      <c r="O283" s="51">
        <f t="shared" ca="1" si="51"/>
        <v>0.16570871222397782</v>
      </c>
      <c r="P283" s="51">
        <f t="shared" ca="1" si="52"/>
        <v>53.903000559725335</v>
      </c>
      <c r="Q283" s="55">
        <f t="shared" ca="1" si="60"/>
        <v>1.0713983816866133</v>
      </c>
    </row>
    <row r="284" spans="1:17" x14ac:dyDescent="0.25">
      <c r="A284" s="48">
        <v>238</v>
      </c>
      <c r="B284" s="48">
        <f t="shared" ca="1" si="47"/>
        <v>0.82799999999999996</v>
      </c>
      <c r="C284" s="49">
        <f t="shared" si="53"/>
        <v>5</v>
      </c>
      <c r="D284" s="51">
        <f t="shared" ca="1" si="48"/>
        <v>3.7748424919375481E-2</v>
      </c>
      <c r="E284" s="51">
        <f t="shared" ca="1" si="54"/>
        <v>52.8693506029581</v>
      </c>
      <c r="F284" s="48">
        <f t="shared" ca="1" si="55"/>
        <v>3</v>
      </c>
      <c r="G284" s="48">
        <f ca="1">COUNTIF($P$47:P294,"&lt;"&amp;E284)</f>
        <v>234</v>
      </c>
      <c r="H284" s="48">
        <f t="shared" ca="1" si="56"/>
        <v>0</v>
      </c>
      <c r="I284" s="48" t="str">
        <f t="shared" ca="1" si="57"/>
        <v>Ocu</v>
      </c>
      <c r="J284" s="52">
        <f t="shared" ca="1" si="49"/>
        <v>4</v>
      </c>
      <c r="K284" s="53">
        <f t="shared" ca="1" si="46"/>
        <v>1.0336499567672348</v>
      </c>
      <c r="L284" s="54">
        <f t="shared" ca="1" si="58"/>
        <v>53.903000559725335</v>
      </c>
      <c r="M284" s="48">
        <f t="shared" ca="1" si="50"/>
        <v>0.35599999999999998</v>
      </c>
      <c r="N284" s="48">
        <f t="shared" si="59"/>
        <v>6</v>
      </c>
      <c r="O284" s="51">
        <f t="shared" ca="1" si="51"/>
        <v>0.17213742468835108</v>
      </c>
      <c r="P284" s="51">
        <f t="shared" ca="1" si="52"/>
        <v>54.075137984413686</v>
      </c>
      <c r="Q284" s="55">
        <f t="shared" ca="1" si="60"/>
        <v>1.2057873814555862</v>
      </c>
    </row>
    <row r="285" spans="1:17" x14ac:dyDescent="0.25">
      <c r="A285" s="48">
        <v>239</v>
      </c>
      <c r="B285" s="48">
        <f t="shared" ca="1" si="47"/>
        <v>0.252</v>
      </c>
      <c r="C285" s="49">
        <f t="shared" si="53"/>
        <v>5</v>
      </c>
      <c r="D285" s="51">
        <f t="shared" ca="1" si="48"/>
        <v>0.27566523829414274</v>
      </c>
      <c r="E285" s="51">
        <f t="shared" ca="1" si="54"/>
        <v>53.145015841252246</v>
      </c>
      <c r="F285" s="48">
        <f t="shared" ca="1" si="55"/>
        <v>4</v>
      </c>
      <c r="G285" s="48">
        <f ca="1">COUNTIF($P$47:P295,"&lt;"&amp;E285)</f>
        <v>234</v>
      </c>
      <c r="H285" s="48">
        <f t="shared" ca="1" si="56"/>
        <v>0</v>
      </c>
      <c r="I285" s="48" t="str">
        <f t="shared" ca="1" si="57"/>
        <v>Ocu</v>
      </c>
      <c r="J285" s="52">
        <f t="shared" ca="1" si="49"/>
        <v>5</v>
      </c>
      <c r="K285" s="53">
        <f t="shared" ca="1" si="46"/>
        <v>0.93012214316144082</v>
      </c>
      <c r="L285" s="54">
        <f t="shared" ca="1" si="58"/>
        <v>54.075137984413686</v>
      </c>
      <c r="M285" s="48">
        <f t="shared" ca="1" si="50"/>
        <v>0.91500000000000004</v>
      </c>
      <c r="N285" s="48">
        <f t="shared" si="59"/>
        <v>6</v>
      </c>
      <c r="O285" s="51">
        <f t="shared" ca="1" si="51"/>
        <v>1.4805202284435938E-2</v>
      </c>
      <c r="P285" s="51">
        <f t="shared" ca="1" si="52"/>
        <v>54.089943186698122</v>
      </c>
      <c r="Q285" s="55">
        <f t="shared" ca="1" si="60"/>
        <v>0.9449273454458762</v>
      </c>
    </row>
    <row r="286" spans="1:17" x14ac:dyDescent="0.25">
      <c r="A286" s="48">
        <v>240</v>
      </c>
      <c r="B286" s="48">
        <f t="shared" ca="1" si="47"/>
        <v>0.23300000000000001</v>
      </c>
      <c r="C286" s="49">
        <f t="shared" si="53"/>
        <v>5</v>
      </c>
      <c r="D286" s="51">
        <f t="shared" ca="1" si="48"/>
        <v>0.29134336508328729</v>
      </c>
      <c r="E286" s="51">
        <f t="shared" ca="1" si="54"/>
        <v>53.436359206335531</v>
      </c>
      <c r="F286" s="48">
        <f t="shared" ca="1" si="55"/>
        <v>4</v>
      </c>
      <c r="G286" s="48">
        <f ca="1">COUNTIF($P$47:P296,"&lt;"&amp;E286)</f>
        <v>235</v>
      </c>
      <c r="H286" s="48">
        <f t="shared" ca="1" si="56"/>
        <v>1</v>
      </c>
      <c r="I286" s="48" t="str">
        <f t="shared" ca="1" si="57"/>
        <v>Ocu</v>
      </c>
      <c r="J286" s="52">
        <f t="shared" ca="1" si="49"/>
        <v>5</v>
      </c>
      <c r="K286" s="53">
        <f t="shared" ca="1" si="46"/>
        <v>0.65358398036259047</v>
      </c>
      <c r="L286" s="54">
        <f t="shared" ca="1" si="58"/>
        <v>54.089943186698122</v>
      </c>
      <c r="M286" s="48">
        <f t="shared" ca="1" si="50"/>
        <v>0.56499999999999995</v>
      </c>
      <c r="N286" s="48">
        <f t="shared" si="59"/>
        <v>6</v>
      </c>
      <c r="O286" s="51">
        <f t="shared" ca="1" si="51"/>
        <v>9.5154924639282684E-2</v>
      </c>
      <c r="P286" s="51">
        <f t="shared" ca="1" si="52"/>
        <v>54.185098111337403</v>
      </c>
      <c r="Q286" s="55">
        <f t="shared" ca="1" si="60"/>
        <v>0.74873890500187201</v>
      </c>
    </row>
    <row r="287" spans="1:17" x14ac:dyDescent="0.25">
      <c r="A287" s="48">
        <v>241</v>
      </c>
      <c r="B287" s="48">
        <f t="shared" ca="1" si="47"/>
        <v>0.26900000000000002</v>
      </c>
      <c r="C287" s="49">
        <f t="shared" si="53"/>
        <v>5</v>
      </c>
      <c r="D287" s="51">
        <f t="shared" ca="1" si="48"/>
        <v>0.26260877987605963</v>
      </c>
      <c r="E287" s="51">
        <f t="shared" ca="1" si="54"/>
        <v>53.698967986211592</v>
      </c>
      <c r="F287" s="48">
        <f t="shared" ca="1" si="55"/>
        <v>5</v>
      </c>
      <c r="G287" s="48">
        <f ca="1">COUNTIF($P$47:P297,"&lt;"&amp;E287)</f>
        <v>235</v>
      </c>
      <c r="H287" s="48">
        <f t="shared" ca="1" si="56"/>
        <v>0</v>
      </c>
      <c r="I287" s="48" t="str">
        <f t="shared" ca="1" si="57"/>
        <v>Ocu</v>
      </c>
      <c r="J287" s="52">
        <f t="shared" ca="1" si="49"/>
        <v>6</v>
      </c>
      <c r="K287" s="53">
        <f t="shared" ca="1" si="46"/>
        <v>0.48613012512581122</v>
      </c>
      <c r="L287" s="54">
        <f t="shared" ca="1" si="58"/>
        <v>54.185098111337403</v>
      </c>
      <c r="M287" s="48">
        <f t="shared" ca="1" si="50"/>
        <v>7.5999999999999998E-2</v>
      </c>
      <c r="N287" s="48">
        <f t="shared" si="59"/>
        <v>6</v>
      </c>
      <c r="O287" s="51">
        <f t="shared" ca="1" si="51"/>
        <v>0.429503656449301</v>
      </c>
      <c r="P287" s="51">
        <f t="shared" ca="1" si="52"/>
        <v>54.614601767786702</v>
      </c>
      <c r="Q287" s="55">
        <f t="shared" ca="1" si="60"/>
        <v>0.91563378157511011</v>
      </c>
    </row>
    <row r="288" spans="1:17" x14ac:dyDescent="0.25">
      <c r="A288" s="48">
        <v>242</v>
      </c>
      <c r="B288" s="48">
        <f t="shared" ca="1" si="47"/>
        <v>0.35899999999999999</v>
      </c>
      <c r="C288" s="49">
        <f t="shared" si="53"/>
        <v>5</v>
      </c>
      <c r="D288" s="51">
        <f t="shared" ca="1" si="48"/>
        <v>0.20488657809877164</v>
      </c>
      <c r="E288" s="51">
        <f t="shared" ca="1" si="54"/>
        <v>53.903854564310365</v>
      </c>
      <c r="F288" s="48">
        <f t="shared" ca="1" si="55"/>
        <v>4</v>
      </c>
      <c r="G288" s="48">
        <f ca="1">COUNTIF($P$47:P298,"&lt;"&amp;E288)</f>
        <v>237</v>
      </c>
      <c r="H288" s="48">
        <f t="shared" ca="1" si="56"/>
        <v>2</v>
      </c>
      <c r="I288" s="48" t="str">
        <f t="shared" ca="1" si="57"/>
        <v>Ocu</v>
      </c>
      <c r="J288" s="52">
        <f t="shared" ca="1" si="49"/>
        <v>5</v>
      </c>
      <c r="K288" s="53">
        <f t="shared" ca="1" si="46"/>
        <v>0.71074720347633757</v>
      </c>
      <c r="L288" s="54">
        <f t="shared" ca="1" si="58"/>
        <v>54.614601767786702</v>
      </c>
      <c r="M288" s="48">
        <f t="shared" ca="1" si="50"/>
        <v>8.7999999999999995E-2</v>
      </c>
      <c r="N288" s="48">
        <f t="shared" si="59"/>
        <v>6</v>
      </c>
      <c r="O288" s="51">
        <f t="shared" ca="1" si="51"/>
        <v>0.40506974408398844</v>
      </c>
      <c r="P288" s="51">
        <f t="shared" ca="1" si="52"/>
        <v>55.01967151187069</v>
      </c>
      <c r="Q288" s="55">
        <f t="shared" ca="1" si="60"/>
        <v>1.1158169475603259</v>
      </c>
    </row>
    <row r="289" spans="1:17" x14ac:dyDescent="0.25">
      <c r="A289" s="48">
        <v>243</v>
      </c>
      <c r="B289" s="48">
        <f t="shared" ca="1" si="47"/>
        <v>0.36899999999999999</v>
      </c>
      <c r="C289" s="49">
        <f t="shared" si="53"/>
        <v>5</v>
      </c>
      <c r="D289" s="51">
        <f t="shared" ca="1" si="48"/>
        <v>0.19939172698832197</v>
      </c>
      <c r="E289" s="51">
        <f t="shared" ca="1" si="54"/>
        <v>54.103246291298689</v>
      </c>
      <c r="F289" s="48">
        <f t="shared" ca="1" si="55"/>
        <v>3</v>
      </c>
      <c r="G289" s="48">
        <f ca="1">COUNTIF($P$47:P299,"&lt;"&amp;E289)</f>
        <v>239</v>
      </c>
      <c r="H289" s="48">
        <f t="shared" ca="1" si="56"/>
        <v>2</v>
      </c>
      <c r="I289" s="48" t="str">
        <f t="shared" ca="1" si="57"/>
        <v>Ocu</v>
      </c>
      <c r="J289" s="52">
        <f t="shared" ca="1" si="49"/>
        <v>4</v>
      </c>
      <c r="K289" s="53">
        <f t="shared" ca="1" si="46"/>
        <v>0.91642522057200182</v>
      </c>
      <c r="L289" s="54">
        <f t="shared" ca="1" si="58"/>
        <v>55.01967151187069</v>
      </c>
      <c r="M289" s="48">
        <f t="shared" ca="1" si="50"/>
        <v>0.91600000000000004</v>
      </c>
      <c r="N289" s="48">
        <f t="shared" si="59"/>
        <v>6</v>
      </c>
      <c r="O289" s="51">
        <f t="shared" ca="1" si="51"/>
        <v>1.4623152384667779E-2</v>
      </c>
      <c r="P289" s="51">
        <f t="shared" ca="1" si="52"/>
        <v>55.034294664255356</v>
      </c>
      <c r="Q289" s="55">
        <f t="shared" ca="1" si="60"/>
        <v>0.93104837295666698</v>
      </c>
    </row>
    <row r="290" spans="1:17" x14ac:dyDescent="0.25">
      <c r="A290" s="48">
        <v>244</v>
      </c>
      <c r="B290" s="48">
        <f t="shared" ca="1" si="47"/>
        <v>6.0000000000000001E-3</v>
      </c>
      <c r="C290" s="49">
        <f t="shared" si="53"/>
        <v>5</v>
      </c>
      <c r="D290" s="51">
        <f t="shared" ca="1" si="48"/>
        <v>1.0231991619508165</v>
      </c>
      <c r="E290" s="51">
        <f t="shared" ca="1" si="54"/>
        <v>55.126445453249502</v>
      </c>
      <c r="F290" s="48">
        <f t="shared" ca="1" si="55"/>
        <v>0</v>
      </c>
      <c r="G290" s="48">
        <f ca="1">COUNTIF($P$47:P300,"&lt;"&amp;E290)</f>
        <v>243</v>
      </c>
      <c r="H290" s="48">
        <f t="shared" ca="1" si="56"/>
        <v>4</v>
      </c>
      <c r="I290" s="48" t="str">
        <f t="shared" ca="1" si="57"/>
        <v>Des</v>
      </c>
      <c r="J290" s="52">
        <f t="shared" ca="1" si="49"/>
        <v>1</v>
      </c>
      <c r="K290" s="53">
        <f t="shared" ca="1" si="46"/>
        <v>0</v>
      </c>
      <c r="L290" s="54">
        <f t="shared" ca="1" si="58"/>
        <v>55.126445453249502</v>
      </c>
      <c r="M290" s="48">
        <f t="shared" ca="1" si="50"/>
        <v>0.61499999999999999</v>
      </c>
      <c r="N290" s="48">
        <f t="shared" si="59"/>
        <v>6</v>
      </c>
      <c r="O290" s="51">
        <f t="shared" ca="1" si="51"/>
        <v>8.1022168529269856E-2</v>
      </c>
      <c r="P290" s="51">
        <f t="shared" ca="1" si="52"/>
        <v>55.207467621778775</v>
      </c>
      <c r="Q290" s="55">
        <f t="shared" ca="1" si="60"/>
        <v>8.1022168529273131E-2</v>
      </c>
    </row>
    <row r="291" spans="1:17" x14ac:dyDescent="0.25">
      <c r="A291" s="48">
        <v>245</v>
      </c>
      <c r="B291" s="48">
        <f t="shared" ca="1" si="47"/>
        <v>0.83499999999999996</v>
      </c>
      <c r="C291" s="49">
        <f t="shared" si="53"/>
        <v>5</v>
      </c>
      <c r="D291" s="51">
        <f t="shared" ca="1" si="48"/>
        <v>3.6064710826256334E-2</v>
      </c>
      <c r="E291" s="51">
        <f t="shared" ca="1" si="54"/>
        <v>55.162510164075762</v>
      </c>
      <c r="F291" s="48">
        <f t="shared" ca="1" si="55"/>
        <v>1</v>
      </c>
      <c r="G291" s="48">
        <f ca="1">COUNTIF($P$47:P301,"&lt;"&amp;E291)</f>
        <v>243</v>
      </c>
      <c r="H291" s="48">
        <f t="shared" ca="1" si="56"/>
        <v>0</v>
      </c>
      <c r="I291" s="48" t="str">
        <f t="shared" ca="1" si="57"/>
        <v>Ocu</v>
      </c>
      <c r="J291" s="52">
        <f t="shared" ca="1" si="49"/>
        <v>2</v>
      </c>
      <c r="K291" s="53">
        <f t="shared" ca="1" si="46"/>
        <v>4.4957457703013404E-2</v>
      </c>
      <c r="L291" s="54">
        <f t="shared" ca="1" si="58"/>
        <v>55.207467621778775</v>
      </c>
      <c r="M291" s="48">
        <f t="shared" ca="1" si="50"/>
        <v>0.33200000000000002</v>
      </c>
      <c r="N291" s="48">
        <f t="shared" si="59"/>
        <v>6</v>
      </c>
      <c r="O291" s="51">
        <f t="shared" ca="1" si="51"/>
        <v>0.18377005167760807</v>
      </c>
      <c r="P291" s="51">
        <f t="shared" ca="1" si="52"/>
        <v>55.391237673456381</v>
      </c>
      <c r="Q291" s="55">
        <f t="shared" ca="1" si="60"/>
        <v>0.2287275093806187</v>
      </c>
    </row>
    <row r="292" spans="1:17" x14ac:dyDescent="0.25">
      <c r="A292" s="48">
        <v>246</v>
      </c>
      <c r="B292" s="48">
        <f t="shared" ca="1" si="47"/>
        <v>0.41399999999999998</v>
      </c>
      <c r="C292" s="49">
        <f t="shared" si="53"/>
        <v>5</v>
      </c>
      <c r="D292" s="51">
        <f t="shared" ca="1" si="48"/>
        <v>0.17637786103136455</v>
      </c>
      <c r="E292" s="51">
        <f t="shared" ca="1" si="54"/>
        <v>55.338888025107124</v>
      </c>
      <c r="F292" s="48">
        <f t="shared" ca="1" si="55"/>
        <v>1</v>
      </c>
      <c r="G292" s="48">
        <f ca="1">COUNTIF($P$47:P302,"&lt;"&amp;E292)</f>
        <v>244</v>
      </c>
      <c r="H292" s="48">
        <f t="shared" ca="1" si="56"/>
        <v>1</v>
      </c>
      <c r="I292" s="48" t="str">
        <f t="shared" ca="1" si="57"/>
        <v>Ocu</v>
      </c>
      <c r="J292" s="52">
        <f t="shared" ca="1" si="49"/>
        <v>2</v>
      </c>
      <c r="K292" s="53">
        <f t="shared" ca="1" si="46"/>
        <v>5.2349648349256483E-2</v>
      </c>
      <c r="L292" s="54">
        <f t="shared" ca="1" si="58"/>
        <v>55.391237673456381</v>
      </c>
      <c r="M292" s="48">
        <f t="shared" ca="1" si="50"/>
        <v>4.2000000000000003E-2</v>
      </c>
      <c r="N292" s="48">
        <f t="shared" si="59"/>
        <v>6</v>
      </c>
      <c r="O292" s="51">
        <f t="shared" ca="1" si="51"/>
        <v>0.52834761011646136</v>
      </c>
      <c r="P292" s="51">
        <f t="shared" ca="1" si="52"/>
        <v>55.919585283572843</v>
      </c>
      <c r="Q292" s="55">
        <f t="shared" ca="1" si="60"/>
        <v>0.58069725846571885</v>
      </c>
    </row>
    <row r="293" spans="1:17" x14ac:dyDescent="0.25">
      <c r="A293" s="48">
        <v>247</v>
      </c>
      <c r="B293" s="48">
        <f t="shared" ca="1" si="47"/>
        <v>7.2999999999999995E-2</v>
      </c>
      <c r="C293" s="49">
        <f t="shared" si="53"/>
        <v>5</v>
      </c>
      <c r="D293" s="51">
        <f t="shared" ca="1" si="48"/>
        <v>0.52345916756674915</v>
      </c>
      <c r="E293" s="51">
        <f t="shared" ca="1" si="54"/>
        <v>55.862347192673873</v>
      </c>
      <c r="F293" s="48">
        <f t="shared" ca="1" si="55"/>
        <v>1</v>
      </c>
      <c r="G293" s="48">
        <f ca="1">COUNTIF($P$47:P303,"&lt;"&amp;E293)</f>
        <v>245</v>
      </c>
      <c r="H293" s="48">
        <f t="shared" ca="1" si="56"/>
        <v>1</v>
      </c>
      <c r="I293" s="48" t="str">
        <f t="shared" ca="1" si="57"/>
        <v>Ocu</v>
      </c>
      <c r="J293" s="52">
        <f t="shared" ca="1" si="49"/>
        <v>2</v>
      </c>
      <c r="K293" s="53">
        <f t="shared" ca="1" si="46"/>
        <v>5.7238090898970029E-2</v>
      </c>
      <c r="L293" s="54">
        <f t="shared" ca="1" si="58"/>
        <v>55.919585283572843</v>
      </c>
      <c r="M293" s="48">
        <f t="shared" ca="1" si="50"/>
        <v>0.505</v>
      </c>
      <c r="N293" s="48">
        <f t="shared" si="59"/>
        <v>6</v>
      </c>
      <c r="O293" s="51">
        <f t="shared" ca="1" si="51"/>
        <v>0.11386614161779619</v>
      </c>
      <c r="P293" s="51">
        <f t="shared" ca="1" si="52"/>
        <v>56.033451425190641</v>
      </c>
      <c r="Q293" s="55">
        <f t="shared" ca="1" si="60"/>
        <v>0.17110423251676821</v>
      </c>
    </row>
    <row r="294" spans="1:17" x14ac:dyDescent="0.25">
      <c r="A294" s="48">
        <v>248</v>
      </c>
      <c r="B294" s="48">
        <f t="shared" ca="1" si="47"/>
        <v>0.215</v>
      </c>
      <c r="C294" s="49">
        <f t="shared" si="53"/>
        <v>5</v>
      </c>
      <c r="D294" s="51">
        <f t="shared" ca="1" si="48"/>
        <v>0.3074234501708949</v>
      </c>
      <c r="E294" s="51">
        <f t="shared" ca="1" si="54"/>
        <v>56.169770642844767</v>
      </c>
      <c r="F294" s="48">
        <f t="shared" ca="1" si="55"/>
        <v>0</v>
      </c>
      <c r="G294" s="48">
        <f ca="1">COUNTIF($P$47:P304,"&lt;"&amp;E294)</f>
        <v>247</v>
      </c>
      <c r="H294" s="48">
        <f t="shared" ca="1" si="56"/>
        <v>2</v>
      </c>
      <c r="I294" s="48" t="str">
        <f t="shared" ca="1" si="57"/>
        <v>Des</v>
      </c>
      <c r="J294" s="52">
        <f t="shared" ca="1" si="49"/>
        <v>1</v>
      </c>
      <c r="K294" s="53">
        <f t="shared" ca="1" si="46"/>
        <v>0</v>
      </c>
      <c r="L294" s="54">
        <f t="shared" ca="1" si="58"/>
        <v>56.169770642844767</v>
      </c>
      <c r="M294" s="48">
        <f t="shared" ca="1" si="50"/>
        <v>0.185</v>
      </c>
      <c r="N294" s="48">
        <f t="shared" si="59"/>
        <v>6</v>
      </c>
      <c r="O294" s="51">
        <f t="shared" ca="1" si="51"/>
        <v>0.28123324231730201</v>
      </c>
      <c r="P294" s="51">
        <f t="shared" ca="1" si="52"/>
        <v>56.451003885162066</v>
      </c>
      <c r="Q294" s="55">
        <f t="shared" ca="1" si="60"/>
        <v>0.28123324231729896</v>
      </c>
    </row>
    <row r="295" spans="1:17" x14ac:dyDescent="0.25">
      <c r="A295" s="48">
        <v>249</v>
      </c>
      <c r="B295" s="48">
        <f t="shared" ca="1" si="47"/>
        <v>0.51</v>
      </c>
      <c r="C295" s="49">
        <f t="shared" si="53"/>
        <v>5</v>
      </c>
      <c r="D295" s="51">
        <f t="shared" ca="1" si="48"/>
        <v>0.1346689106527531</v>
      </c>
      <c r="E295" s="51">
        <f t="shared" ca="1" si="54"/>
        <v>56.304439553497524</v>
      </c>
      <c r="F295" s="48">
        <f t="shared" ca="1" si="55"/>
        <v>1</v>
      </c>
      <c r="G295" s="48">
        <f ca="1">COUNTIF($P$47:P305,"&lt;"&amp;E295)</f>
        <v>247</v>
      </c>
      <c r="H295" s="48">
        <f t="shared" ca="1" si="56"/>
        <v>0</v>
      </c>
      <c r="I295" s="48" t="str">
        <f t="shared" ca="1" si="57"/>
        <v>Ocu</v>
      </c>
      <c r="J295" s="52">
        <f t="shared" ca="1" si="49"/>
        <v>2</v>
      </c>
      <c r="K295" s="53">
        <f t="shared" ca="1" si="46"/>
        <v>0.14656433166454264</v>
      </c>
      <c r="L295" s="54">
        <f t="shared" ca="1" si="58"/>
        <v>56.451003885162066</v>
      </c>
      <c r="M295" s="48">
        <f t="shared" ca="1" si="50"/>
        <v>0.432</v>
      </c>
      <c r="N295" s="48">
        <f t="shared" si="59"/>
        <v>6</v>
      </c>
      <c r="O295" s="51">
        <f t="shared" ca="1" si="51"/>
        <v>0.13988828178967111</v>
      </c>
      <c r="P295" s="51">
        <f t="shared" ca="1" si="52"/>
        <v>56.59089216695174</v>
      </c>
      <c r="Q295" s="55">
        <f t="shared" ca="1" si="60"/>
        <v>0.28645261345421602</v>
      </c>
    </row>
    <row r="296" spans="1:17" x14ac:dyDescent="0.25">
      <c r="A296" s="48">
        <v>250</v>
      </c>
      <c r="B296" s="48">
        <f t="shared" ca="1" si="47"/>
        <v>0.48399999999999999</v>
      </c>
      <c r="C296" s="49">
        <f t="shared" si="53"/>
        <v>5</v>
      </c>
      <c r="D296" s="51">
        <f t="shared" ca="1" si="48"/>
        <v>0.14513407445310109</v>
      </c>
      <c r="E296" s="51">
        <f t="shared" ca="1" si="54"/>
        <v>56.449573627950627</v>
      </c>
      <c r="F296" s="48">
        <f t="shared" ca="1" si="55"/>
        <v>2</v>
      </c>
      <c r="G296" s="48">
        <f ca="1">COUNTIF($P$47:P306,"&lt;"&amp;E296)</f>
        <v>247</v>
      </c>
      <c r="H296" s="48">
        <f t="shared" ca="1" si="56"/>
        <v>0</v>
      </c>
      <c r="I296" s="48" t="str">
        <f t="shared" ca="1" si="57"/>
        <v>Ocu</v>
      </c>
      <c r="J296" s="52">
        <f t="shared" ca="1" si="49"/>
        <v>3</v>
      </c>
      <c r="K296" s="53">
        <f t="shared" ca="1" si="46"/>
        <v>0.14131853900111224</v>
      </c>
      <c r="L296" s="54">
        <f t="shared" ca="1" si="58"/>
        <v>56.59089216695174</v>
      </c>
      <c r="M296" s="48">
        <f t="shared" ca="1" si="50"/>
        <v>0.60899999999999999</v>
      </c>
      <c r="N296" s="48">
        <f t="shared" si="59"/>
        <v>6</v>
      </c>
      <c r="O296" s="51">
        <f t="shared" ca="1" si="51"/>
        <v>8.2656168545373332E-2</v>
      </c>
      <c r="P296" s="51">
        <f t="shared" ca="1" si="52"/>
        <v>56.673548335497117</v>
      </c>
      <c r="Q296" s="55">
        <f t="shared" ca="1" si="60"/>
        <v>0.22397470754648907</v>
      </c>
    </row>
    <row r="297" spans="1:17" x14ac:dyDescent="0.25">
      <c r="A297" s="48">
        <v>251</v>
      </c>
      <c r="B297" s="48">
        <f t="shared" ca="1" si="47"/>
        <v>0.60399999999999998</v>
      </c>
      <c r="C297" s="49">
        <f t="shared" si="53"/>
        <v>5</v>
      </c>
      <c r="D297" s="51">
        <f t="shared" ca="1" si="48"/>
        <v>0.10083621620946442</v>
      </c>
      <c r="E297" s="51">
        <f t="shared" ca="1" si="54"/>
        <v>56.550409844160093</v>
      </c>
      <c r="F297" s="48">
        <f t="shared" ca="1" si="55"/>
        <v>2</v>
      </c>
      <c r="G297" s="48">
        <f ca="1">COUNTIF($P$47:P307,"&lt;"&amp;E297)</f>
        <v>248</v>
      </c>
      <c r="H297" s="48">
        <f t="shared" ca="1" si="56"/>
        <v>1</v>
      </c>
      <c r="I297" s="48" t="str">
        <f t="shared" ca="1" si="57"/>
        <v>Ocu</v>
      </c>
      <c r="J297" s="52">
        <f t="shared" ca="1" si="49"/>
        <v>3</v>
      </c>
      <c r="K297" s="53">
        <f t="shared" ca="1" si="46"/>
        <v>0.12313849133702348</v>
      </c>
      <c r="L297" s="54">
        <f t="shared" ca="1" si="58"/>
        <v>56.673548335497117</v>
      </c>
      <c r="M297" s="48">
        <f t="shared" ca="1" si="50"/>
        <v>0.69699999999999995</v>
      </c>
      <c r="N297" s="48">
        <f t="shared" si="59"/>
        <v>6</v>
      </c>
      <c r="O297" s="51">
        <f t="shared" ca="1" si="51"/>
        <v>6.0161644703602205E-2</v>
      </c>
      <c r="P297" s="51">
        <f t="shared" ca="1" si="52"/>
        <v>56.733709980200722</v>
      </c>
      <c r="Q297" s="55">
        <f t="shared" ca="1" si="60"/>
        <v>0.18330013604062856</v>
      </c>
    </row>
    <row r="298" spans="1:17" x14ac:dyDescent="0.25">
      <c r="A298" s="48">
        <v>252</v>
      </c>
      <c r="B298" s="48">
        <f t="shared" ca="1" si="47"/>
        <v>0.60099999999999998</v>
      </c>
      <c r="C298" s="49">
        <f t="shared" si="53"/>
        <v>5</v>
      </c>
      <c r="D298" s="51">
        <f t="shared" ca="1" si="48"/>
        <v>0.1018320688893859</v>
      </c>
      <c r="E298" s="51">
        <f t="shared" ca="1" si="54"/>
        <v>56.65224191304948</v>
      </c>
      <c r="F298" s="48">
        <f t="shared" ca="1" si="55"/>
        <v>2</v>
      </c>
      <c r="G298" s="48">
        <f ca="1">COUNTIF($P$47:P308,"&lt;"&amp;E298)</f>
        <v>249</v>
      </c>
      <c r="H298" s="48">
        <f t="shared" ca="1" si="56"/>
        <v>1</v>
      </c>
      <c r="I298" s="48" t="str">
        <f t="shared" ca="1" si="57"/>
        <v>Ocu</v>
      </c>
      <c r="J298" s="52">
        <f t="shared" ca="1" si="49"/>
        <v>3</v>
      </c>
      <c r="K298" s="53">
        <f t="shared" ca="1" si="46"/>
        <v>8.1468067151241996E-2</v>
      </c>
      <c r="L298" s="54">
        <f t="shared" ca="1" si="58"/>
        <v>56.733709980200722</v>
      </c>
      <c r="M298" s="48">
        <f t="shared" ca="1" si="50"/>
        <v>0.56000000000000005</v>
      </c>
      <c r="N298" s="48">
        <f t="shared" si="59"/>
        <v>6</v>
      </c>
      <c r="O298" s="51">
        <f t="shared" ca="1" si="51"/>
        <v>9.6636415875490336E-2</v>
      </c>
      <c r="P298" s="51">
        <f t="shared" ca="1" si="52"/>
        <v>56.830346396076209</v>
      </c>
      <c r="Q298" s="55">
        <f t="shared" ca="1" si="60"/>
        <v>0.1781044830267291</v>
      </c>
    </row>
    <row r="299" spans="1:17" x14ac:dyDescent="0.25">
      <c r="A299" s="48">
        <v>253</v>
      </c>
      <c r="B299" s="48">
        <f t="shared" ca="1" si="47"/>
        <v>0.2</v>
      </c>
      <c r="C299" s="49">
        <f t="shared" si="53"/>
        <v>5</v>
      </c>
      <c r="D299" s="51">
        <f t="shared" ca="1" si="48"/>
        <v>0.32188758248682009</v>
      </c>
      <c r="E299" s="51">
        <f t="shared" ca="1" si="54"/>
        <v>56.974129495536303</v>
      </c>
      <c r="F299" s="48">
        <f t="shared" ca="1" si="55"/>
        <v>0</v>
      </c>
      <c r="G299" s="48">
        <f ca="1">COUNTIF($P$47:P309,"&lt;"&amp;E299)</f>
        <v>252</v>
      </c>
      <c r="H299" s="48">
        <f t="shared" ca="1" si="56"/>
        <v>3</v>
      </c>
      <c r="I299" s="48" t="str">
        <f t="shared" ca="1" si="57"/>
        <v>Des</v>
      </c>
      <c r="J299" s="52">
        <f t="shared" ca="1" si="49"/>
        <v>1</v>
      </c>
      <c r="K299" s="53">
        <f t="shared" ca="1" si="46"/>
        <v>0</v>
      </c>
      <c r="L299" s="54">
        <f t="shared" ca="1" si="58"/>
        <v>56.974129495536303</v>
      </c>
      <c r="M299" s="48">
        <f t="shared" ca="1" si="50"/>
        <v>0.33800000000000002</v>
      </c>
      <c r="N299" s="48">
        <f t="shared" si="59"/>
        <v>6</v>
      </c>
      <c r="O299" s="51">
        <f t="shared" ca="1" si="51"/>
        <v>0.18078489724985305</v>
      </c>
      <c r="P299" s="51">
        <f t="shared" ca="1" si="52"/>
        <v>57.154914392786154</v>
      </c>
      <c r="Q299" s="55">
        <f t="shared" ca="1" si="60"/>
        <v>0.18078489724985047</v>
      </c>
    </row>
    <row r="300" spans="1:17" x14ac:dyDescent="0.25">
      <c r="A300" s="48">
        <v>254</v>
      </c>
      <c r="B300" s="48">
        <f t="shared" ca="1" si="47"/>
        <v>0.75800000000000001</v>
      </c>
      <c r="C300" s="49">
        <f t="shared" si="53"/>
        <v>5</v>
      </c>
      <c r="D300" s="51">
        <f t="shared" ca="1" si="48"/>
        <v>5.5414378667953068E-2</v>
      </c>
      <c r="E300" s="51">
        <f t="shared" ca="1" si="54"/>
        <v>57.029543874204258</v>
      </c>
      <c r="F300" s="48">
        <f t="shared" ca="1" si="55"/>
        <v>1</v>
      </c>
      <c r="G300" s="48">
        <f ca="1">COUNTIF($P$47:P310,"&lt;"&amp;E300)</f>
        <v>252</v>
      </c>
      <c r="H300" s="48">
        <f t="shared" ca="1" si="56"/>
        <v>0</v>
      </c>
      <c r="I300" s="48" t="str">
        <f t="shared" ca="1" si="57"/>
        <v>Ocu</v>
      </c>
      <c r="J300" s="52">
        <f t="shared" ca="1" si="49"/>
        <v>2</v>
      </c>
      <c r="K300" s="53">
        <f t="shared" ca="1" si="46"/>
        <v>0.12537051858189585</v>
      </c>
      <c r="L300" s="54">
        <f t="shared" ca="1" si="58"/>
        <v>57.154914392786154</v>
      </c>
      <c r="M300" s="48">
        <f t="shared" ca="1" si="50"/>
        <v>2.8000000000000001E-2</v>
      </c>
      <c r="N300" s="48">
        <f t="shared" si="59"/>
        <v>6</v>
      </c>
      <c r="O300" s="51">
        <f t="shared" ca="1" si="51"/>
        <v>0.59592512813448884</v>
      </c>
      <c r="P300" s="51">
        <f t="shared" ca="1" si="52"/>
        <v>57.750839520920643</v>
      </c>
      <c r="Q300" s="55">
        <f t="shared" ca="1" si="60"/>
        <v>0.72129564671638491</v>
      </c>
    </row>
    <row r="301" spans="1:17" x14ac:dyDescent="0.25">
      <c r="A301" s="48">
        <v>255</v>
      </c>
      <c r="B301" s="48">
        <f t="shared" ca="1" si="47"/>
        <v>0.29299999999999998</v>
      </c>
      <c r="C301" s="49">
        <f t="shared" si="53"/>
        <v>5</v>
      </c>
      <c r="D301" s="51">
        <f t="shared" ca="1" si="48"/>
        <v>0.24551653399301399</v>
      </c>
      <c r="E301" s="51">
        <f t="shared" ca="1" si="54"/>
        <v>57.27506040819727</v>
      </c>
      <c r="F301" s="48">
        <f t="shared" ca="1" si="55"/>
        <v>1</v>
      </c>
      <c r="G301" s="48">
        <f ca="1">COUNTIF($P$47:P311,"&lt;"&amp;E301)</f>
        <v>253</v>
      </c>
      <c r="H301" s="48">
        <f t="shared" ca="1" si="56"/>
        <v>1</v>
      </c>
      <c r="I301" s="48" t="str">
        <f t="shared" ca="1" si="57"/>
        <v>Ocu</v>
      </c>
      <c r="J301" s="52">
        <f t="shared" ca="1" si="49"/>
        <v>2</v>
      </c>
      <c r="K301" s="53">
        <f t="shared" ca="1" si="46"/>
        <v>0.47577911272337303</v>
      </c>
      <c r="L301" s="54">
        <f t="shared" ca="1" si="58"/>
        <v>57.750839520920643</v>
      </c>
      <c r="M301" s="48">
        <f t="shared" ca="1" si="50"/>
        <v>0.57399999999999995</v>
      </c>
      <c r="N301" s="48">
        <f t="shared" si="59"/>
        <v>6</v>
      </c>
      <c r="O301" s="51">
        <f t="shared" ca="1" si="51"/>
        <v>9.252098044376178E-2</v>
      </c>
      <c r="P301" s="51">
        <f t="shared" ca="1" si="52"/>
        <v>57.843360501364401</v>
      </c>
      <c r="Q301" s="55">
        <f t="shared" ca="1" si="60"/>
        <v>0.56830009316713159</v>
      </c>
    </row>
    <row r="302" spans="1:17" x14ac:dyDescent="0.25">
      <c r="A302" s="48">
        <v>256</v>
      </c>
      <c r="B302" s="48">
        <f t="shared" ca="1" si="47"/>
        <v>0.99</v>
      </c>
      <c r="C302" s="49">
        <f t="shared" si="53"/>
        <v>5</v>
      </c>
      <c r="D302" s="51">
        <f t="shared" ca="1" si="48"/>
        <v>2.0100671707003015E-3</v>
      </c>
      <c r="E302" s="51">
        <f t="shared" ca="1" si="54"/>
        <v>57.277070475367971</v>
      </c>
      <c r="F302" s="48">
        <f t="shared" ca="1" si="55"/>
        <v>2</v>
      </c>
      <c r="G302" s="48">
        <f ca="1">COUNTIF($P$47:P312,"&lt;"&amp;E302)</f>
        <v>253</v>
      </c>
      <c r="H302" s="48">
        <f t="shared" ca="1" si="56"/>
        <v>0</v>
      </c>
      <c r="I302" s="48" t="str">
        <f t="shared" ca="1" si="57"/>
        <v>Ocu</v>
      </c>
      <c r="J302" s="52">
        <f t="shared" ca="1" si="49"/>
        <v>3</v>
      </c>
      <c r="K302" s="53">
        <f t="shared" ca="1" si="46"/>
        <v>0.5662900259964303</v>
      </c>
      <c r="L302" s="54">
        <f t="shared" ca="1" si="58"/>
        <v>57.843360501364401</v>
      </c>
      <c r="M302" s="48">
        <f t="shared" ca="1" si="50"/>
        <v>0.86599999999999999</v>
      </c>
      <c r="N302" s="48">
        <f t="shared" si="59"/>
        <v>6</v>
      </c>
      <c r="O302" s="51">
        <f t="shared" ca="1" si="51"/>
        <v>2.3978395069950302E-2</v>
      </c>
      <c r="P302" s="51">
        <f t="shared" ca="1" si="52"/>
        <v>57.867338896434354</v>
      </c>
      <c r="Q302" s="55">
        <f t="shared" ca="1" si="60"/>
        <v>0.59026842106638355</v>
      </c>
    </row>
    <row r="303" spans="1:17" x14ac:dyDescent="0.25">
      <c r="A303" s="48">
        <v>257</v>
      </c>
      <c r="B303" s="48">
        <f t="shared" ca="1" si="47"/>
        <v>0.32600000000000001</v>
      </c>
      <c r="C303" s="49">
        <f t="shared" si="53"/>
        <v>5</v>
      </c>
      <c r="D303" s="51">
        <f t="shared" ca="1" si="48"/>
        <v>0.22417157952308592</v>
      </c>
      <c r="E303" s="51">
        <f t="shared" ca="1" si="54"/>
        <v>57.501242054891058</v>
      </c>
      <c r="F303" s="48">
        <f t="shared" ca="1" si="55"/>
        <v>3</v>
      </c>
      <c r="G303" s="48">
        <f ca="1">COUNTIF($P$47:P313,"&lt;"&amp;E303)</f>
        <v>253</v>
      </c>
      <c r="H303" s="48">
        <f t="shared" ca="1" si="56"/>
        <v>0</v>
      </c>
      <c r="I303" s="48" t="str">
        <f t="shared" ca="1" si="57"/>
        <v>Ocu</v>
      </c>
      <c r="J303" s="52">
        <f t="shared" ca="1" si="49"/>
        <v>4</v>
      </c>
      <c r="K303" s="53">
        <f t="shared" ref="K303:K366" ca="1" si="61">L303-E303</f>
        <v>0.36609684154329614</v>
      </c>
      <c r="L303" s="54">
        <f t="shared" ca="1" si="58"/>
        <v>57.867338896434354</v>
      </c>
      <c r="M303" s="48">
        <f t="shared" ca="1" si="50"/>
        <v>0.66900000000000004</v>
      </c>
      <c r="N303" s="48">
        <f t="shared" si="59"/>
        <v>6</v>
      </c>
      <c r="O303" s="51">
        <f t="shared" ca="1" si="51"/>
        <v>6.6995203142318091E-2</v>
      </c>
      <c r="P303" s="51">
        <f t="shared" ca="1" si="52"/>
        <v>57.934334099576674</v>
      </c>
      <c r="Q303" s="55">
        <f t="shared" ca="1" si="60"/>
        <v>0.43309204468561546</v>
      </c>
    </row>
    <row r="304" spans="1:17" x14ac:dyDescent="0.25">
      <c r="A304" s="48">
        <v>258</v>
      </c>
      <c r="B304" s="48">
        <f t="shared" ref="B304:B367" ca="1" si="62">RANDBETWEEN(1,1000)/1000</f>
        <v>0.77200000000000002</v>
      </c>
      <c r="C304" s="49">
        <f t="shared" si="53"/>
        <v>5</v>
      </c>
      <c r="D304" s="51">
        <f t="shared" ref="D304:D367" ca="1" si="63">(1/C304)*(LN(1/B304))</f>
        <v>5.1754145791472167E-2</v>
      </c>
      <c r="E304" s="51">
        <f t="shared" ca="1" si="54"/>
        <v>57.552996200682529</v>
      </c>
      <c r="F304" s="48">
        <f t="shared" ca="1" si="55"/>
        <v>4</v>
      </c>
      <c r="G304" s="48">
        <f ca="1">COUNTIF($P$47:P314,"&lt;"&amp;E304)</f>
        <v>253</v>
      </c>
      <c r="H304" s="48">
        <f t="shared" ca="1" si="56"/>
        <v>0</v>
      </c>
      <c r="I304" s="48" t="str">
        <f t="shared" ca="1" si="57"/>
        <v>Ocu</v>
      </c>
      <c r="J304" s="52">
        <f t="shared" ref="J304:J367" ca="1" si="64">IF(I304="Des",1,IF(I304="Ocu",1+F304))</f>
        <v>5</v>
      </c>
      <c r="K304" s="53">
        <f t="shared" ca="1" si="61"/>
        <v>0.38133789889414516</v>
      </c>
      <c r="L304" s="54">
        <f t="shared" ca="1" si="58"/>
        <v>57.934334099576674</v>
      </c>
      <c r="M304" s="48">
        <f t="shared" ref="M304:M367" ca="1" si="65">RANDBETWEEN(1,1000)/1000</f>
        <v>0.14099999999999999</v>
      </c>
      <c r="N304" s="48">
        <f t="shared" si="59"/>
        <v>6</v>
      </c>
      <c r="O304" s="51">
        <f t="shared" ref="O304:O367" ca="1" si="66">(1/N304)*(LN(1/M304))</f>
        <v>0.32649923143399479</v>
      </c>
      <c r="P304" s="51">
        <f t="shared" ref="P304:P367" ca="1" si="67">+L304+O304</f>
        <v>58.260833331010666</v>
      </c>
      <c r="Q304" s="55">
        <f t="shared" ca="1" si="60"/>
        <v>0.70783713032813722</v>
      </c>
    </row>
    <row r="305" spans="1:17" x14ac:dyDescent="0.25">
      <c r="A305" s="48">
        <v>259</v>
      </c>
      <c r="B305" s="48">
        <f t="shared" ca="1" si="62"/>
        <v>0.14699999999999999</v>
      </c>
      <c r="C305" s="49">
        <f t="shared" ref="C305:C368" si="68">+C304</f>
        <v>5</v>
      </c>
      <c r="D305" s="51">
        <f t="shared" ca="1" si="63"/>
        <v>0.38346453844068018</v>
      </c>
      <c r="E305" s="51">
        <f t="shared" ref="E305:E368" ca="1" si="69">+D305+E304</f>
        <v>57.936460739123206</v>
      </c>
      <c r="F305" s="48">
        <f t="shared" ref="F305:F368" ca="1" si="70">+F304+1-(G305-G304)</f>
        <v>1</v>
      </c>
      <c r="G305" s="48">
        <f ca="1">COUNTIF($P$47:P315,"&lt;"&amp;E305)</f>
        <v>257</v>
      </c>
      <c r="H305" s="48">
        <f t="shared" ref="H305:H368" ca="1" si="71">+G305-G304</f>
        <v>4</v>
      </c>
      <c r="I305" s="48" t="str">
        <f t="shared" ref="I305:I368" ca="1" si="72">IF(E305&lt;P304,"Ocu","Des")</f>
        <v>Ocu</v>
      </c>
      <c r="J305" s="52">
        <f t="shared" ca="1" si="64"/>
        <v>2</v>
      </c>
      <c r="K305" s="53">
        <f t="shared" ca="1" si="61"/>
        <v>0.32437259188746026</v>
      </c>
      <c r="L305" s="54">
        <f t="shared" ref="L305:L368" ca="1" si="73">IF(I305="Des",E305,P304)</f>
        <v>58.260833331010666</v>
      </c>
      <c r="M305" s="48">
        <f t="shared" ca="1" si="65"/>
        <v>0.68799999999999994</v>
      </c>
      <c r="N305" s="48">
        <f t="shared" ref="N305:N368" si="74">+N304</f>
        <v>6</v>
      </c>
      <c r="O305" s="51">
        <f t="shared" ca="1" si="66"/>
        <v>6.2327740174798918E-2</v>
      </c>
      <c r="P305" s="51">
        <f t="shared" ca="1" si="67"/>
        <v>58.323161071185467</v>
      </c>
      <c r="Q305" s="55">
        <f t="shared" ca="1" si="60"/>
        <v>0.38670033206226151</v>
      </c>
    </row>
    <row r="306" spans="1:17" x14ac:dyDescent="0.25">
      <c r="A306" s="48">
        <v>260</v>
      </c>
      <c r="B306" s="48">
        <f t="shared" ca="1" si="62"/>
        <v>0.23200000000000001</v>
      </c>
      <c r="C306" s="49">
        <f t="shared" si="68"/>
        <v>5</v>
      </c>
      <c r="D306" s="51">
        <f t="shared" ca="1" si="63"/>
        <v>0.29220358146316538</v>
      </c>
      <c r="E306" s="51">
        <f t="shared" ca="1" si="69"/>
        <v>58.228664320586368</v>
      </c>
      <c r="F306" s="48">
        <f t="shared" ca="1" si="70"/>
        <v>2</v>
      </c>
      <c r="G306" s="48">
        <f ca="1">COUNTIF($P$47:P316,"&lt;"&amp;E306)</f>
        <v>257</v>
      </c>
      <c r="H306" s="48">
        <f t="shared" ca="1" si="71"/>
        <v>0</v>
      </c>
      <c r="I306" s="48" t="str">
        <f t="shared" ca="1" si="72"/>
        <v>Ocu</v>
      </c>
      <c r="J306" s="52">
        <f t="shared" ca="1" si="64"/>
        <v>3</v>
      </c>
      <c r="K306" s="53">
        <f t="shared" ca="1" si="61"/>
        <v>9.4496750599098789E-2</v>
      </c>
      <c r="L306" s="54">
        <f t="shared" ca="1" si="73"/>
        <v>58.323161071185467</v>
      </c>
      <c r="M306" s="48">
        <f t="shared" ca="1" si="65"/>
        <v>0.17100000000000001</v>
      </c>
      <c r="N306" s="48">
        <f t="shared" si="74"/>
        <v>6</v>
      </c>
      <c r="O306" s="51">
        <f t="shared" ca="1" si="66"/>
        <v>0.29434862041324616</v>
      </c>
      <c r="P306" s="51">
        <f t="shared" ca="1" si="67"/>
        <v>58.617509691598713</v>
      </c>
      <c r="Q306" s="55">
        <f t="shared" ref="Q306:Q369" ca="1" si="75">P306-E306</f>
        <v>0.38884537101234429</v>
      </c>
    </row>
    <row r="307" spans="1:17" x14ac:dyDescent="0.25">
      <c r="A307" s="48">
        <v>261</v>
      </c>
      <c r="B307" s="48">
        <f t="shared" ca="1" si="62"/>
        <v>0.70699999999999996</v>
      </c>
      <c r="C307" s="49">
        <f t="shared" si="68"/>
        <v>5</v>
      </c>
      <c r="D307" s="51">
        <f t="shared" ca="1" si="63"/>
        <v>6.9344922617112864E-2</v>
      </c>
      <c r="E307" s="51">
        <f t="shared" ca="1" si="69"/>
        <v>58.298009243203481</v>
      </c>
      <c r="F307" s="48">
        <f t="shared" ca="1" si="70"/>
        <v>2</v>
      </c>
      <c r="G307" s="48">
        <f ca="1">COUNTIF($P$47:P317,"&lt;"&amp;E307)</f>
        <v>258</v>
      </c>
      <c r="H307" s="48">
        <f t="shared" ca="1" si="71"/>
        <v>1</v>
      </c>
      <c r="I307" s="48" t="str">
        <f t="shared" ca="1" si="72"/>
        <v>Ocu</v>
      </c>
      <c r="J307" s="52">
        <f t="shared" ca="1" si="64"/>
        <v>3</v>
      </c>
      <c r="K307" s="53">
        <f t="shared" ca="1" si="61"/>
        <v>0.31950044839523173</v>
      </c>
      <c r="L307" s="54">
        <f t="shared" ca="1" si="73"/>
        <v>58.617509691598713</v>
      </c>
      <c r="M307" s="48">
        <f t="shared" ca="1" si="65"/>
        <v>4.7E-2</v>
      </c>
      <c r="N307" s="48">
        <f t="shared" si="74"/>
        <v>6</v>
      </c>
      <c r="O307" s="51">
        <f t="shared" ca="1" si="66"/>
        <v>0.5096012795453464</v>
      </c>
      <c r="P307" s="51">
        <f t="shared" ca="1" si="67"/>
        <v>59.127110971144056</v>
      </c>
      <c r="Q307" s="55">
        <f t="shared" ca="1" si="75"/>
        <v>0.82910172794057502</v>
      </c>
    </row>
    <row r="308" spans="1:17" x14ac:dyDescent="0.25">
      <c r="A308" s="48">
        <v>262</v>
      </c>
      <c r="B308" s="48">
        <f t="shared" ca="1" si="62"/>
        <v>0.157</v>
      </c>
      <c r="C308" s="49">
        <f t="shared" si="68"/>
        <v>5</v>
      </c>
      <c r="D308" s="51">
        <f t="shared" ca="1" si="63"/>
        <v>0.37030189472676583</v>
      </c>
      <c r="E308" s="51">
        <f t="shared" ca="1" si="69"/>
        <v>58.668311137930246</v>
      </c>
      <c r="F308" s="48">
        <f t="shared" ca="1" si="70"/>
        <v>1</v>
      </c>
      <c r="G308" s="48">
        <f ca="1">COUNTIF($P$47:P318,"&lt;"&amp;E308)</f>
        <v>260</v>
      </c>
      <c r="H308" s="48">
        <f t="shared" ca="1" si="71"/>
        <v>2</v>
      </c>
      <c r="I308" s="48" t="str">
        <f t="shared" ca="1" si="72"/>
        <v>Ocu</v>
      </c>
      <c r="J308" s="52">
        <f t="shared" ca="1" si="64"/>
        <v>2</v>
      </c>
      <c r="K308" s="53">
        <f t="shared" ca="1" si="61"/>
        <v>0.4587998332138099</v>
      </c>
      <c r="L308" s="54">
        <f t="shared" ca="1" si="73"/>
        <v>59.127110971144056</v>
      </c>
      <c r="M308" s="48">
        <f t="shared" ca="1" si="65"/>
        <v>0.45200000000000001</v>
      </c>
      <c r="N308" s="48">
        <f t="shared" si="74"/>
        <v>6</v>
      </c>
      <c r="O308" s="51">
        <f t="shared" ca="1" si="66"/>
        <v>0.13234551652498427</v>
      </c>
      <c r="P308" s="51">
        <f t="shared" ca="1" si="67"/>
        <v>59.259456487669041</v>
      </c>
      <c r="Q308" s="55">
        <f t="shared" ca="1" si="75"/>
        <v>0.59114534973879529</v>
      </c>
    </row>
    <row r="309" spans="1:17" x14ac:dyDescent="0.25">
      <c r="A309" s="48">
        <v>263</v>
      </c>
      <c r="B309" s="48">
        <f t="shared" ca="1" si="62"/>
        <v>0.90800000000000003</v>
      </c>
      <c r="C309" s="49">
        <f t="shared" si="68"/>
        <v>5</v>
      </c>
      <c r="D309" s="51">
        <f t="shared" ca="1" si="63"/>
        <v>1.9302180076168737E-2</v>
      </c>
      <c r="E309" s="51">
        <f t="shared" ca="1" si="69"/>
        <v>58.687613318006413</v>
      </c>
      <c r="F309" s="48">
        <f t="shared" ca="1" si="70"/>
        <v>2</v>
      </c>
      <c r="G309" s="48">
        <f ca="1">COUNTIF($P$47:P319,"&lt;"&amp;E309)</f>
        <v>260</v>
      </c>
      <c r="H309" s="48">
        <f t="shared" ca="1" si="71"/>
        <v>0</v>
      </c>
      <c r="I309" s="48" t="str">
        <f t="shared" ca="1" si="72"/>
        <v>Ocu</v>
      </c>
      <c r="J309" s="52">
        <f t="shared" ca="1" si="64"/>
        <v>3</v>
      </c>
      <c r="K309" s="53">
        <f t="shared" ca="1" si="61"/>
        <v>0.57184316966262827</v>
      </c>
      <c r="L309" s="54">
        <f t="shared" ca="1" si="73"/>
        <v>59.259456487669041</v>
      </c>
      <c r="M309" s="48">
        <f t="shared" ca="1" si="65"/>
        <v>0.93300000000000005</v>
      </c>
      <c r="N309" s="48">
        <f t="shared" si="74"/>
        <v>6</v>
      </c>
      <c r="O309" s="51">
        <f t="shared" ca="1" si="66"/>
        <v>1.1558346355798874E-2</v>
      </c>
      <c r="P309" s="51">
        <f t="shared" ca="1" si="67"/>
        <v>59.27101483402484</v>
      </c>
      <c r="Q309" s="55">
        <f t="shared" ca="1" si="75"/>
        <v>0.58340151601842649</v>
      </c>
    </row>
    <row r="310" spans="1:17" x14ac:dyDescent="0.25">
      <c r="A310" s="48">
        <v>264</v>
      </c>
      <c r="B310" s="48">
        <f t="shared" ca="1" si="62"/>
        <v>0.626</v>
      </c>
      <c r="C310" s="49">
        <f t="shared" si="68"/>
        <v>5</v>
      </c>
      <c r="D310" s="51">
        <f t="shared" ca="1" si="63"/>
        <v>9.3680981576407724E-2</v>
      </c>
      <c r="E310" s="51">
        <f t="shared" ca="1" si="69"/>
        <v>58.781294299582818</v>
      </c>
      <c r="F310" s="48">
        <f t="shared" ca="1" si="70"/>
        <v>3</v>
      </c>
      <c r="G310" s="48">
        <f ca="1">COUNTIF($P$47:P320,"&lt;"&amp;E310)</f>
        <v>260</v>
      </c>
      <c r="H310" s="48">
        <f t="shared" ca="1" si="71"/>
        <v>0</v>
      </c>
      <c r="I310" s="48" t="str">
        <f t="shared" ca="1" si="72"/>
        <v>Ocu</v>
      </c>
      <c r="J310" s="52">
        <f t="shared" ca="1" si="64"/>
        <v>4</v>
      </c>
      <c r="K310" s="53">
        <f t="shared" ca="1" si="61"/>
        <v>0.48972053444202146</v>
      </c>
      <c r="L310" s="54">
        <f t="shared" ca="1" si="73"/>
        <v>59.27101483402484</v>
      </c>
      <c r="M310" s="48">
        <f t="shared" ca="1" si="65"/>
        <v>0.159</v>
      </c>
      <c r="N310" s="48">
        <f t="shared" si="74"/>
        <v>6</v>
      </c>
      <c r="O310" s="51">
        <f t="shared" ca="1" si="66"/>
        <v>0.30647517946031755</v>
      </c>
      <c r="P310" s="51">
        <f t="shared" ca="1" si="67"/>
        <v>59.577490013485161</v>
      </c>
      <c r="Q310" s="55">
        <f t="shared" ca="1" si="75"/>
        <v>0.79619571390234256</v>
      </c>
    </row>
    <row r="311" spans="1:17" x14ac:dyDescent="0.25">
      <c r="A311" s="48">
        <v>265</v>
      </c>
      <c r="B311" s="48">
        <f t="shared" ca="1" si="62"/>
        <v>0.122</v>
      </c>
      <c r="C311" s="49">
        <f t="shared" si="68"/>
        <v>5</v>
      </c>
      <c r="D311" s="51">
        <f t="shared" ca="1" si="63"/>
        <v>0.42074684684977615</v>
      </c>
      <c r="E311" s="51">
        <f t="shared" ca="1" si="69"/>
        <v>59.202041146432592</v>
      </c>
      <c r="F311" s="48">
        <f t="shared" ca="1" si="70"/>
        <v>3</v>
      </c>
      <c r="G311" s="48">
        <f ca="1">COUNTIF($P$47:P321,"&lt;"&amp;E311)</f>
        <v>261</v>
      </c>
      <c r="H311" s="48">
        <f t="shared" ca="1" si="71"/>
        <v>1</v>
      </c>
      <c r="I311" s="48" t="str">
        <f t="shared" ca="1" si="72"/>
        <v>Ocu</v>
      </c>
      <c r="J311" s="52">
        <f t="shared" ca="1" si="64"/>
        <v>4</v>
      </c>
      <c r="K311" s="53">
        <f t="shared" ca="1" si="61"/>
        <v>0.37544886705256886</v>
      </c>
      <c r="L311" s="54">
        <f t="shared" ca="1" si="73"/>
        <v>59.577490013485161</v>
      </c>
      <c r="M311" s="48">
        <f t="shared" ca="1" si="65"/>
        <v>5.8000000000000003E-2</v>
      </c>
      <c r="N311" s="48">
        <f t="shared" si="74"/>
        <v>6</v>
      </c>
      <c r="O311" s="51">
        <f t="shared" ca="1" si="66"/>
        <v>0.47455204473928625</v>
      </c>
      <c r="P311" s="51">
        <f t="shared" ca="1" si="67"/>
        <v>60.052042058224444</v>
      </c>
      <c r="Q311" s="55">
        <f t="shared" ca="1" si="75"/>
        <v>0.85000091179185233</v>
      </c>
    </row>
    <row r="312" spans="1:17" x14ac:dyDescent="0.25">
      <c r="A312" s="48">
        <v>266</v>
      </c>
      <c r="B312" s="48">
        <f t="shared" ca="1" si="62"/>
        <v>0.628</v>
      </c>
      <c r="C312" s="49">
        <f t="shared" si="68"/>
        <v>5</v>
      </c>
      <c r="D312" s="51">
        <f t="shared" ca="1" si="63"/>
        <v>9.3043022502787689E-2</v>
      </c>
      <c r="E312" s="51">
        <f t="shared" ca="1" si="69"/>
        <v>59.295084168935382</v>
      </c>
      <c r="F312" s="48">
        <f t="shared" ca="1" si="70"/>
        <v>2</v>
      </c>
      <c r="G312" s="48">
        <f ca="1">COUNTIF($P$47:P322,"&lt;"&amp;E312)</f>
        <v>263</v>
      </c>
      <c r="H312" s="48">
        <f t="shared" ca="1" si="71"/>
        <v>2</v>
      </c>
      <c r="I312" s="48" t="str">
        <f t="shared" ca="1" si="72"/>
        <v>Ocu</v>
      </c>
      <c r="J312" s="52">
        <f t="shared" ca="1" si="64"/>
        <v>3</v>
      </c>
      <c r="K312" s="53">
        <f t="shared" ca="1" si="61"/>
        <v>0.75695788928906182</v>
      </c>
      <c r="L312" s="54">
        <f t="shared" ca="1" si="73"/>
        <v>60.052042058224444</v>
      </c>
      <c r="M312" s="48">
        <f t="shared" ca="1" si="65"/>
        <v>0.496</v>
      </c>
      <c r="N312" s="48">
        <f t="shared" si="74"/>
        <v>6</v>
      </c>
      <c r="O312" s="51">
        <f t="shared" ca="1" si="66"/>
        <v>0.11686322537620158</v>
      </c>
      <c r="P312" s="51">
        <f t="shared" ca="1" si="67"/>
        <v>60.168905283600644</v>
      </c>
      <c r="Q312" s="55">
        <f t="shared" ca="1" si="75"/>
        <v>0.87382111466526169</v>
      </c>
    </row>
    <row r="313" spans="1:17" x14ac:dyDescent="0.25">
      <c r="A313" s="48">
        <v>267</v>
      </c>
      <c r="B313" s="48">
        <f t="shared" ca="1" si="62"/>
        <v>0.89800000000000002</v>
      </c>
      <c r="C313" s="49">
        <f t="shared" si="68"/>
        <v>5</v>
      </c>
      <c r="D313" s="51">
        <f t="shared" ca="1" si="63"/>
        <v>2.1517042135987485E-2</v>
      </c>
      <c r="E313" s="51">
        <f t="shared" ca="1" si="69"/>
        <v>59.316601211071372</v>
      </c>
      <c r="F313" s="48">
        <f t="shared" ca="1" si="70"/>
        <v>3</v>
      </c>
      <c r="G313" s="48">
        <f ca="1">COUNTIF($P$47:P323,"&lt;"&amp;E313)</f>
        <v>263</v>
      </c>
      <c r="H313" s="48">
        <f t="shared" ca="1" si="71"/>
        <v>0</v>
      </c>
      <c r="I313" s="48" t="str">
        <f t="shared" ca="1" si="72"/>
        <v>Ocu</v>
      </c>
      <c r="J313" s="52">
        <f t="shared" ca="1" si="64"/>
        <v>4</v>
      </c>
      <c r="K313" s="53">
        <f t="shared" ca="1" si="61"/>
        <v>0.85230407252927165</v>
      </c>
      <c r="L313" s="54">
        <f t="shared" ca="1" si="73"/>
        <v>60.168905283600644</v>
      </c>
      <c r="M313" s="48">
        <f t="shared" ca="1" si="65"/>
        <v>0.39100000000000001</v>
      </c>
      <c r="N313" s="48">
        <f t="shared" si="74"/>
        <v>6</v>
      </c>
      <c r="O313" s="51">
        <f t="shared" ca="1" si="66"/>
        <v>0.15650795316612853</v>
      </c>
      <c r="P313" s="51">
        <f t="shared" ca="1" si="67"/>
        <v>60.325413236766771</v>
      </c>
      <c r="Q313" s="55">
        <f t="shared" ca="1" si="75"/>
        <v>1.0088120256953985</v>
      </c>
    </row>
    <row r="314" spans="1:17" x14ac:dyDescent="0.25">
      <c r="A314" s="48">
        <v>268</v>
      </c>
      <c r="B314" s="48">
        <f t="shared" ca="1" si="62"/>
        <v>0.65500000000000003</v>
      </c>
      <c r="C314" s="49">
        <f t="shared" si="68"/>
        <v>5</v>
      </c>
      <c r="D314" s="51">
        <f t="shared" ca="1" si="63"/>
        <v>8.4624008669377027E-2</v>
      </c>
      <c r="E314" s="51">
        <f t="shared" ca="1" si="69"/>
        <v>59.401225219740752</v>
      </c>
      <c r="F314" s="48">
        <f t="shared" ca="1" si="70"/>
        <v>4</v>
      </c>
      <c r="G314" s="48">
        <f ca="1">COUNTIF($P$47:P324,"&lt;"&amp;E314)</f>
        <v>263</v>
      </c>
      <c r="H314" s="48">
        <f t="shared" ca="1" si="71"/>
        <v>0</v>
      </c>
      <c r="I314" s="48" t="str">
        <f t="shared" ca="1" si="72"/>
        <v>Ocu</v>
      </c>
      <c r="J314" s="52">
        <f t="shared" ca="1" si="64"/>
        <v>5</v>
      </c>
      <c r="K314" s="53">
        <f t="shared" ca="1" si="61"/>
        <v>0.92418801702601883</v>
      </c>
      <c r="L314" s="54">
        <f t="shared" ca="1" si="73"/>
        <v>60.325413236766771</v>
      </c>
      <c r="M314" s="48">
        <f t="shared" ca="1" si="65"/>
        <v>0.59299999999999997</v>
      </c>
      <c r="N314" s="48">
        <f t="shared" si="74"/>
        <v>6</v>
      </c>
      <c r="O314" s="51">
        <f t="shared" ca="1" si="66"/>
        <v>8.709347999740194E-2</v>
      </c>
      <c r="P314" s="51">
        <f t="shared" ca="1" si="67"/>
        <v>60.41250671676417</v>
      </c>
      <c r="Q314" s="55">
        <f t="shared" ca="1" si="75"/>
        <v>1.0112814970234183</v>
      </c>
    </row>
    <row r="315" spans="1:17" x14ac:dyDescent="0.25">
      <c r="A315" s="48">
        <v>269</v>
      </c>
      <c r="B315" s="48">
        <f t="shared" ca="1" si="62"/>
        <v>0.67300000000000004</v>
      </c>
      <c r="C315" s="49">
        <f t="shared" si="68"/>
        <v>5</v>
      </c>
      <c r="D315" s="51">
        <f t="shared" ca="1" si="63"/>
        <v>7.9201989867481837E-2</v>
      </c>
      <c r="E315" s="51">
        <f t="shared" ca="1" si="69"/>
        <v>59.480427209608237</v>
      </c>
      <c r="F315" s="48">
        <f t="shared" ca="1" si="70"/>
        <v>5</v>
      </c>
      <c r="G315" s="48">
        <f ca="1">COUNTIF($P$47:P325,"&lt;"&amp;E315)</f>
        <v>263</v>
      </c>
      <c r="H315" s="48">
        <f t="shared" ca="1" si="71"/>
        <v>0</v>
      </c>
      <c r="I315" s="48" t="str">
        <f t="shared" ca="1" si="72"/>
        <v>Ocu</v>
      </c>
      <c r="J315" s="52">
        <f t="shared" ca="1" si="64"/>
        <v>6</v>
      </c>
      <c r="K315" s="53">
        <f t="shared" ca="1" si="61"/>
        <v>0.93207950715593313</v>
      </c>
      <c r="L315" s="54">
        <f t="shared" ca="1" si="73"/>
        <v>60.41250671676417</v>
      </c>
      <c r="M315" s="48">
        <f t="shared" ca="1" si="65"/>
        <v>0.125</v>
      </c>
      <c r="N315" s="48">
        <f t="shared" si="74"/>
        <v>6</v>
      </c>
      <c r="O315" s="51">
        <f t="shared" ca="1" si="66"/>
        <v>0.34657359027997259</v>
      </c>
      <c r="P315" s="51">
        <f t="shared" ca="1" si="67"/>
        <v>60.759080307044144</v>
      </c>
      <c r="Q315" s="55">
        <f t="shared" ca="1" si="75"/>
        <v>1.2786530974359067</v>
      </c>
    </row>
    <row r="316" spans="1:17" x14ac:dyDescent="0.25">
      <c r="A316" s="48">
        <v>270</v>
      </c>
      <c r="B316" s="48">
        <f t="shared" ca="1" si="62"/>
        <v>0.95599999999999996</v>
      </c>
      <c r="C316" s="49">
        <f t="shared" si="68"/>
        <v>5</v>
      </c>
      <c r="D316" s="51">
        <f t="shared" ca="1" si="63"/>
        <v>8.9994731861471455E-3</v>
      </c>
      <c r="E316" s="51">
        <f t="shared" ca="1" si="69"/>
        <v>59.489426682794381</v>
      </c>
      <c r="F316" s="48">
        <f t="shared" ca="1" si="70"/>
        <v>6</v>
      </c>
      <c r="G316" s="48">
        <f ca="1">COUNTIF($P$47:P326,"&lt;"&amp;E316)</f>
        <v>263</v>
      </c>
      <c r="H316" s="48">
        <f t="shared" ca="1" si="71"/>
        <v>0</v>
      </c>
      <c r="I316" s="48" t="str">
        <f t="shared" ca="1" si="72"/>
        <v>Ocu</v>
      </c>
      <c r="J316" s="52">
        <f t="shared" ca="1" si="64"/>
        <v>7</v>
      </c>
      <c r="K316" s="53">
        <f t="shared" ca="1" si="61"/>
        <v>1.2696536242497629</v>
      </c>
      <c r="L316" s="54">
        <f t="shared" ca="1" si="73"/>
        <v>60.759080307044144</v>
      </c>
      <c r="M316" s="48">
        <f t="shared" ca="1" si="65"/>
        <v>0.70199999999999996</v>
      </c>
      <c r="N316" s="48">
        <f t="shared" si="74"/>
        <v>6</v>
      </c>
      <c r="O316" s="51">
        <f t="shared" ca="1" si="66"/>
        <v>5.8970312492721007E-2</v>
      </c>
      <c r="P316" s="51">
        <f t="shared" ca="1" si="67"/>
        <v>60.818050619536862</v>
      </c>
      <c r="Q316" s="55">
        <f t="shared" ca="1" si="75"/>
        <v>1.3286239367424812</v>
      </c>
    </row>
    <row r="317" spans="1:17" x14ac:dyDescent="0.25">
      <c r="A317" s="48">
        <v>271</v>
      </c>
      <c r="B317" s="48">
        <f t="shared" ca="1" si="62"/>
        <v>0.28199999999999997</v>
      </c>
      <c r="C317" s="49">
        <f t="shared" si="68"/>
        <v>5</v>
      </c>
      <c r="D317" s="51">
        <f t="shared" ca="1" si="63"/>
        <v>0.25316964160880467</v>
      </c>
      <c r="E317" s="51">
        <f t="shared" ca="1" si="69"/>
        <v>59.742596324403188</v>
      </c>
      <c r="F317" s="48">
        <f t="shared" ca="1" si="70"/>
        <v>6</v>
      </c>
      <c r="G317" s="48">
        <f ca="1">COUNTIF($P$47:P327,"&lt;"&amp;E317)</f>
        <v>264</v>
      </c>
      <c r="H317" s="48">
        <f t="shared" ca="1" si="71"/>
        <v>1</v>
      </c>
      <c r="I317" s="48" t="str">
        <f t="shared" ca="1" si="72"/>
        <v>Ocu</v>
      </c>
      <c r="J317" s="52">
        <f t="shared" ca="1" si="64"/>
        <v>7</v>
      </c>
      <c r="K317" s="53">
        <f t="shared" ca="1" si="61"/>
        <v>1.0754542951336745</v>
      </c>
      <c r="L317" s="54">
        <f t="shared" ca="1" si="73"/>
        <v>60.818050619536862</v>
      </c>
      <c r="M317" s="48">
        <f t="shared" ca="1" si="65"/>
        <v>1.2E-2</v>
      </c>
      <c r="N317" s="48">
        <f t="shared" si="74"/>
        <v>6</v>
      </c>
      <c r="O317" s="51">
        <f t="shared" ca="1" si="66"/>
        <v>0.73714143819902278</v>
      </c>
      <c r="P317" s="51">
        <f t="shared" ca="1" si="67"/>
        <v>61.555192057735887</v>
      </c>
      <c r="Q317" s="55">
        <f t="shared" ca="1" si="75"/>
        <v>1.8125957333326994</v>
      </c>
    </row>
    <row r="318" spans="1:17" x14ac:dyDescent="0.25">
      <c r="A318" s="48">
        <v>272</v>
      </c>
      <c r="B318" s="48">
        <f t="shared" ca="1" si="62"/>
        <v>0.56299999999999994</v>
      </c>
      <c r="C318" s="49">
        <f t="shared" si="68"/>
        <v>5</v>
      </c>
      <c r="D318" s="51">
        <f t="shared" ca="1" si="63"/>
        <v>0.11489513016848936</v>
      </c>
      <c r="E318" s="51">
        <f t="shared" ca="1" si="69"/>
        <v>59.857491454571679</v>
      </c>
      <c r="F318" s="48">
        <f t="shared" ca="1" si="70"/>
        <v>7</v>
      </c>
      <c r="G318" s="48">
        <f ca="1">COUNTIF($P$47:P328,"&lt;"&amp;E318)</f>
        <v>264</v>
      </c>
      <c r="H318" s="48">
        <f t="shared" ca="1" si="71"/>
        <v>0</v>
      </c>
      <c r="I318" s="48" t="str">
        <f t="shared" ca="1" si="72"/>
        <v>Ocu</v>
      </c>
      <c r="J318" s="52">
        <f t="shared" ca="1" si="64"/>
        <v>8</v>
      </c>
      <c r="K318" s="53">
        <f t="shared" ca="1" si="61"/>
        <v>1.6977006031642077</v>
      </c>
      <c r="L318" s="54">
        <f t="shared" ca="1" si="73"/>
        <v>61.555192057735887</v>
      </c>
      <c r="M318" s="48">
        <f t="shared" ca="1" si="65"/>
        <v>0.28199999999999997</v>
      </c>
      <c r="N318" s="48">
        <f t="shared" si="74"/>
        <v>6</v>
      </c>
      <c r="O318" s="51">
        <f t="shared" ca="1" si="66"/>
        <v>0.21097470134067056</v>
      </c>
      <c r="P318" s="51">
        <f t="shared" ca="1" si="67"/>
        <v>61.766166759076555</v>
      </c>
      <c r="Q318" s="55">
        <f t="shared" ca="1" si="75"/>
        <v>1.9086753045048752</v>
      </c>
    </row>
    <row r="319" spans="1:17" x14ac:dyDescent="0.25">
      <c r="A319" s="48">
        <v>273</v>
      </c>
      <c r="B319" s="48">
        <f t="shared" ca="1" si="62"/>
        <v>0.96099999999999997</v>
      </c>
      <c r="C319" s="49">
        <f t="shared" si="68"/>
        <v>5</v>
      </c>
      <c r="D319" s="51">
        <f t="shared" ca="1" si="63"/>
        <v>7.9561740023689331E-3</v>
      </c>
      <c r="E319" s="51">
        <f t="shared" ca="1" si="69"/>
        <v>59.865447628574046</v>
      </c>
      <c r="F319" s="48">
        <f t="shared" ca="1" si="70"/>
        <v>8</v>
      </c>
      <c r="G319" s="48">
        <f ca="1">COUNTIF($P$47:P329,"&lt;"&amp;E319)</f>
        <v>264</v>
      </c>
      <c r="H319" s="48">
        <f t="shared" ca="1" si="71"/>
        <v>0</v>
      </c>
      <c r="I319" s="48" t="str">
        <f t="shared" ca="1" si="72"/>
        <v>Ocu</v>
      </c>
      <c r="J319" s="52">
        <f t="shared" ca="1" si="64"/>
        <v>9</v>
      </c>
      <c r="K319" s="53">
        <f t="shared" ca="1" si="61"/>
        <v>1.9007191305025088</v>
      </c>
      <c r="L319" s="54">
        <f t="shared" ca="1" si="73"/>
        <v>61.766166759076555</v>
      </c>
      <c r="M319" s="48">
        <f t="shared" ca="1" si="65"/>
        <v>6.4000000000000001E-2</v>
      </c>
      <c r="N319" s="48">
        <f t="shared" si="74"/>
        <v>6</v>
      </c>
      <c r="O319" s="51">
        <f t="shared" ca="1" si="66"/>
        <v>0.45814536593707755</v>
      </c>
      <c r="P319" s="51">
        <f t="shared" ca="1" si="67"/>
        <v>62.224312125013633</v>
      </c>
      <c r="Q319" s="55">
        <f t="shared" ca="1" si="75"/>
        <v>2.3588644964395868</v>
      </c>
    </row>
    <row r="320" spans="1:17" x14ac:dyDescent="0.25">
      <c r="A320" s="48">
        <v>274</v>
      </c>
      <c r="B320" s="48">
        <f t="shared" ca="1" si="62"/>
        <v>0.85899999999999999</v>
      </c>
      <c r="C320" s="49">
        <f t="shared" si="68"/>
        <v>5</v>
      </c>
      <c r="D320" s="51">
        <f t="shared" ca="1" si="63"/>
        <v>3.0397271399576355E-2</v>
      </c>
      <c r="E320" s="51">
        <f t="shared" ca="1" si="69"/>
        <v>59.895844899973625</v>
      </c>
      <c r="F320" s="48">
        <f t="shared" ca="1" si="70"/>
        <v>9</v>
      </c>
      <c r="G320" s="48">
        <f ca="1">COUNTIF($P$47:P330,"&lt;"&amp;E320)</f>
        <v>264</v>
      </c>
      <c r="H320" s="48">
        <f t="shared" ca="1" si="71"/>
        <v>0</v>
      </c>
      <c r="I320" s="48" t="str">
        <f t="shared" ca="1" si="72"/>
        <v>Ocu</v>
      </c>
      <c r="J320" s="52">
        <f t="shared" ca="1" si="64"/>
        <v>10</v>
      </c>
      <c r="K320" s="53">
        <f t="shared" ca="1" si="61"/>
        <v>2.3284672250400078</v>
      </c>
      <c r="L320" s="54">
        <f t="shared" ca="1" si="73"/>
        <v>62.224312125013633</v>
      </c>
      <c r="M320" s="48">
        <f t="shared" ca="1" si="65"/>
        <v>0.33100000000000002</v>
      </c>
      <c r="N320" s="48">
        <f t="shared" si="74"/>
        <v>6</v>
      </c>
      <c r="O320" s="51">
        <f t="shared" ca="1" si="66"/>
        <v>0.18427281726751235</v>
      </c>
      <c r="P320" s="51">
        <f t="shared" ca="1" si="67"/>
        <v>62.408584942281145</v>
      </c>
      <c r="Q320" s="55">
        <f t="shared" ca="1" si="75"/>
        <v>2.5127400423075201</v>
      </c>
    </row>
    <row r="321" spans="1:17" x14ac:dyDescent="0.25">
      <c r="A321" s="48">
        <v>275</v>
      </c>
      <c r="B321" s="48">
        <f t="shared" ca="1" si="62"/>
        <v>0.35</v>
      </c>
      <c r="C321" s="49">
        <f t="shared" si="68"/>
        <v>5</v>
      </c>
      <c r="D321" s="51">
        <f t="shared" ca="1" si="63"/>
        <v>0.20996442489973555</v>
      </c>
      <c r="E321" s="51">
        <f t="shared" ca="1" si="69"/>
        <v>60.105809324873363</v>
      </c>
      <c r="F321" s="48">
        <f t="shared" ca="1" si="70"/>
        <v>9</v>
      </c>
      <c r="G321" s="48">
        <f ca="1">COUNTIF($P$47:P331,"&lt;"&amp;E321)</f>
        <v>265</v>
      </c>
      <c r="H321" s="48">
        <f t="shared" ca="1" si="71"/>
        <v>1</v>
      </c>
      <c r="I321" s="48" t="str">
        <f t="shared" ca="1" si="72"/>
        <v>Ocu</v>
      </c>
      <c r="J321" s="52">
        <f t="shared" ca="1" si="64"/>
        <v>10</v>
      </c>
      <c r="K321" s="53">
        <f t="shared" ca="1" si="61"/>
        <v>2.3027756174077822</v>
      </c>
      <c r="L321" s="54">
        <f t="shared" ca="1" si="73"/>
        <v>62.408584942281145</v>
      </c>
      <c r="M321" s="48">
        <f t="shared" ca="1" si="65"/>
        <v>0.80200000000000005</v>
      </c>
      <c r="N321" s="48">
        <f t="shared" si="74"/>
        <v>6</v>
      </c>
      <c r="O321" s="51">
        <f t="shared" ca="1" si="66"/>
        <v>3.6774445185937067E-2</v>
      </c>
      <c r="P321" s="51">
        <f t="shared" ca="1" si="67"/>
        <v>62.445359387467079</v>
      </c>
      <c r="Q321" s="55">
        <f t="shared" ca="1" si="75"/>
        <v>2.339550062593716</v>
      </c>
    </row>
    <row r="322" spans="1:17" x14ac:dyDescent="0.25">
      <c r="A322" s="48">
        <v>276</v>
      </c>
      <c r="B322" s="48">
        <f t="shared" ca="1" si="62"/>
        <v>0.878</v>
      </c>
      <c r="C322" s="49">
        <f t="shared" si="68"/>
        <v>5</v>
      </c>
      <c r="D322" s="51">
        <f t="shared" ca="1" si="63"/>
        <v>2.6021737069404072E-2</v>
      </c>
      <c r="E322" s="51">
        <f t="shared" ca="1" si="69"/>
        <v>60.131831061942769</v>
      </c>
      <c r="F322" s="48">
        <f t="shared" ca="1" si="70"/>
        <v>10</v>
      </c>
      <c r="G322" s="48">
        <f ca="1">COUNTIF($P$47:P332,"&lt;"&amp;E322)</f>
        <v>265</v>
      </c>
      <c r="H322" s="48">
        <f t="shared" ca="1" si="71"/>
        <v>0</v>
      </c>
      <c r="I322" s="48" t="str">
        <f t="shared" ca="1" si="72"/>
        <v>Ocu</v>
      </c>
      <c r="J322" s="52">
        <f t="shared" ca="1" si="64"/>
        <v>11</v>
      </c>
      <c r="K322" s="53">
        <f t="shared" ca="1" si="61"/>
        <v>2.3135283255243095</v>
      </c>
      <c r="L322" s="54">
        <f t="shared" ca="1" si="73"/>
        <v>62.445359387467079</v>
      </c>
      <c r="M322" s="48">
        <f t="shared" ca="1" si="65"/>
        <v>0.39400000000000002</v>
      </c>
      <c r="N322" s="48">
        <f t="shared" si="74"/>
        <v>6</v>
      </c>
      <c r="O322" s="51">
        <f t="shared" ca="1" si="66"/>
        <v>0.15523406161403386</v>
      </c>
      <c r="P322" s="51">
        <f t="shared" ca="1" si="67"/>
        <v>62.60059344908111</v>
      </c>
      <c r="Q322" s="55">
        <f t="shared" ca="1" si="75"/>
        <v>2.4687623871383408</v>
      </c>
    </row>
    <row r="323" spans="1:17" x14ac:dyDescent="0.25">
      <c r="A323" s="48">
        <v>277</v>
      </c>
      <c r="B323" s="48">
        <f t="shared" ca="1" si="62"/>
        <v>0.315</v>
      </c>
      <c r="C323" s="49">
        <f t="shared" si="68"/>
        <v>5</v>
      </c>
      <c r="D323" s="51">
        <f t="shared" ca="1" si="63"/>
        <v>0.23103652803130081</v>
      </c>
      <c r="E323" s="51">
        <f t="shared" ca="1" si="69"/>
        <v>60.362867589974073</v>
      </c>
      <c r="F323" s="48">
        <f t="shared" ca="1" si="70"/>
        <v>9</v>
      </c>
      <c r="G323" s="48">
        <f ca="1">COUNTIF($P$47:P333,"&lt;"&amp;E323)</f>
        <v>267</v>
      </c>
      <c r="H323" s="48">
        <f t="shared" ca="1" si="71"/>
        <v>2</v>
      </c>
      <c r="I323" s="48" t="str">
        <f t="shared" ca="1" si="72"/>
        <v>Ocu</v>
      </c>
      <c r="J323" s="52">
        <f t="shared" ca="1" si="64"/>
        <v>10</v>
      </c>
      <c r="K323" s="53">
        <f t="shared" ca="1" si="61"/>
        <v>2.2377258591070373</v>
      </c>
      <c r="L323" s="54">
        <f t="shared" ca="1" si="73"/>
        <v>62.60059344908111</v>
      </c>
      <c r="M323" s="48">
        <f t="shared" ca="1" si="65"/>
        <v>0.313</v>
      </c>
      <c r="N323" s="48">
        <f t="shared" si="74"/>
        <v>6</v>
      </c>
      <c r="O323" s="51">
        <f t="shared" ca="1" si="66"/>
        <v>0.19359201474033064</v>
      </c>
      <c r="P323" s="51">
        <f t="shared" ca="1" si="67"/>
        <v>62.794185463821442</v>
      </c>
      <c r="Q323" s="55">
        <f t="shared" ca="1" si="75"/>
        <v>2.4313178738473695</v>
      </c>
    </row>
    <row r="324" spans="1:17" x14ac:dyDescent="0.25">
      <c r="A324" s="48">
        <v>278</v>
      </c>
      <c r="B324" s="48">
        <f t="shared" ca="1" si="62"/>
        <v>0.19700000000000001</v>
      </c>
      <c r="C324" s="49">
        <f t="shared" si="68"/>
        <v>5</v>
      </c>
      <c r="D324" s="51">
        <f t="shared" ca="1" si="63"/>
        <v>0.32491031004882975</v>
      </c>
      <c r="E324" s="51">
        <f t="shared" ca="1" si="69"/>
        <v>60.687777900022901</v>
      </c>
      <c r="F324" s="48">
        <f t="shared" ca="1" si="70"/>
        <v>9</v>
      </c>
      <c r="G324" s="48">
        <f ca="1">COUNTIF($P$47:P334,"&lt;"&amp;E324)</f>
        <v>268</v>
      </c>
      <c r="H324" s="48">
        <f t="shared" ca="1" si="71"/>
        <v>1</v>
      </c>
      <c r="I324" s="48" t="str">
        <f t="shared" ca="1" si="72"/>
        <v>Ocu</v>
      </c>
      <c r="J324" s="52">
        <f t="shared" ca="1" si="64"/>
        <v>10</v>
      </c>
      <c r="K324" s="53">
        <f t="shared" ca="1" si="61"/>
        <v>2.1064075637985411</v>
      </c>
      <c r="L324" s="54">
        <f t="shared" ca="1" si="73"/>
        <v>62.794185463821442</v>
      </c>
      <c r="M324" s="48">
        <f t="shared" ca="1" si="65"/>
        <v>8.6999999999999994E-2</v>
      </c>
      <c r="N324" s="48">
        <f t="shared" si="74"/>
        <v>6</v>
      </c>
      <c r="O324" s="51">
        <f t="shared" ca="1" si="66"/>
        <v>0.40697452672125889</v>
      </c>
      <c r="P324" s="51">
        <f t="shared" ca="1" si="67"/>
        <v>63.201159990542699</v>
      </c>
      <c r="Q324" s="55">
        <f t="shared" ca="1" si="75"/>
        <v>2.5133820905197979</v>
      </c>
    </row>
    <row r="325" spans="1:17" x14ac:dyDescent="0.25">
      <c r="A325" s="48">
        <v>279</v>
      </c>
      <c r="B325" s="48">
        <f t="shared" ca="1" si="62"/>
        <v>0.64</v>
      </c>
      <c r="C325" s="49">
        <f t="shared" si="68"/>
        <v>5</v>
      </c>
      <c r="D325" s="51">
        <f t="shared" ca="1" si="63"/>
        <v>8.9257420525683917E-2</v>
      </c>
      <c r="E325" s="51">
        <f t="shared" ca="1" si="69"/>
        <v>60.777035320548585</v>
      </c>
      <c r="F325" s="48">
        <f t="shared" ca="1" si="70"/>
        <v>9</v>
      </c>
      <c r="G325" s="48">
        <f ca="1">COUNTIF($P$47:P335,"&lt;"&amp;E325)</f>
        <v>269</v>
      </c>
      <c r="H325" s="48">
        <f t="shared" ca="1" si="71"/>
        <v>1</v>
      </c>
      <c r="I325" s="48" t="str">
        <f t="shared" ca="1" si="72"/>
        <v>Ocu</v>
      </c>
      <c r="J325" s="52">
        <f t="shared" ca="1" si="64"/>
        <v>10</v>
      </c>
      <c r="K325" s="53">
        <f t="shared" ca="1" si="61"/>
        <v>2.4241246699941144</v>
      </c>
      <c r="L325" s="54">
        <f t="shared" ca="1" si="73"/>
        <v>63.201159990542699</v>
      </c>
      <c r="M325" s="48">
        <f t="shared" ca="1" si="65"/>
        <v>0.40799999999999997</v>
      </c>
      <c r="N325" s="48">
        <f t="shared" si="74"/>
        <v>6</v>
      </c>
      <c r="O325" s="51">
        <f t="shared" ca="1" si="66"/>
        <v>0.14941468409632924</v>
      </c>
      <c r="P325" s="51">
        <f t="shared" ca="1" si="67"/>
        <v>63.350574674639027</v>
      </c>
      <c r="Q325" s="55">
        <f t="shared" ca="1" si="75"/>
        <v>2.5735393540904425</v>
      </c>
    </row>
    <row r="326" spans="1:17" x14ac:dyDescent="0.25">
      <c r="A326" s="48">
        <v>280</v>
      </c>
      <c r="B326" s="48">
        <f t="shared" ca="1" si="62"/>
        <v>0.95299999999999996</v>
      </c>
      <c r="C326" s="49">
        <f t="shared" si="68"/>
        <v>5</v>
      </c>
      <c r="D326" s="51">
        <f t="shared" ca="1" si="63"/>
        <v>9.6280750655870061E-3</v>
      </c>
      <c r="E326" s="51">
        <f t="shared" ca="1" si="69"/>
        <v>60.78666339561417</v>
      </c>
      <c r="F326" s="48">
        <f t="shared" ca="1" si="70"/>
        <v>10</v>
      </c>
      <c r="G326" s="48">
        <f ca="1">COUNTIF($P$47:P336,"&lt;"&amp;E326)</f>
        <v>269</v>
      </c>
      <c r="H326" s="48">
        <f t="shared" ca="1" si="71"/>
        <v>0</v>
      </c>
      <c r="I326" s="48" t="str">
        <f t="shared" ca="1" si="72"/>
        <v>Ocu</v>
      </c>
      <c r="J326" s="52">
        <f t="shared" ca="1" si="64"/>
        <v>11</v>
      </c>
      <c r="K326" s="53">
        <f t="shared" ca="1" si="61"/>
        <v>2.5639112790248575</v>
      </c>
      <c r="L326" s="54">
        <f t="shared" ca="1" si="73"/>
        <v>63.350574674639027</v>
      </c>
      <c r="M326" s="48">
        <f t="shared" ca="1" si="65"/>
        <v>0.36799999999999999</v>
      </c>
      <c r="N326" s="48">
        <f t="shared" si="74"/>
        <v>6</v>
      </c>
      <c r="O326" s="51">
        <f t="shared" ca="1" si="66"/>
        <v>0.16661205680220101</v>
      </c>
      <c r="P326" s="51">
        <f t="shared" ca="1" si="67"/>
        <v>63.517186731441228</v>
      </c>
      <c r="Q326" s="55">
        <f t="shared" ca="1" si="75"/>
        <v>2.7305233358270584</v>
      </c>
    </row>
    <row r="327" spans="1:17" x14ac:dyDescent="0.25">
      <c r="A327" s="48">
        <v>281</v>
      </c>
      <c r="B327" s="48">
        <f t="shared" ca="1" si="62"/>
        <v>0.35299999999999998</v>
      </c>
      <c r="C327" s="49">
        <f t="shared" si="68"/>
        <v>5</v>
      </c>
      <c r="D327" s="51">
        <f t="shared" ca="1" si="63"/>
        <v>0.20825744440976807</v>
      </c>
      <c r="E327" s="51">
        <f t="shared" ca="1" si="69"/>
        <v>60.994920840023937</v>
      </c>
      <c r="F327" s="48">
        <f t="shared" ca="1" si="70"/>
        <v>10</v>
      </c>
      <c r="G327" s="48">
        <f ca="1">COUNTIF($P$47:P337,"&lt;"&amp;E327)</f>
        <v>270</v>
      </c>
      <c r="H327" s="48">
        <f t="shared" ca="1" si="71"/>
        <v>1</v>
      </c>
      <c r="I327" s="48" t="str">
        <f t="shared" ca="1" si="72"/>
        <v>Ocu</v>
      </c>
      <c r="J327" s="52">
        <f t="shared" ca="1" si="64"/>
        <v>11</v>
      </c>
      <c r="K327" s="53">
        <f t="shared" ca="1" si="61"/>
        <v>2.5222658914172911</v>
      </c>
      <c r="L327" s="54">
        <f t="shared" ca="1" si="73"/>
        <v>63.517186731441228</v>
      </c>
      <c r="M327" s="48">
        <f t="shared" ca="1" si="65"/>
        <v>0.86899999999999999</v>
      </c>
      <c r="N327" s="48">
        <f t="shared" si="74"/>
        <v>6</v>
      </c>
      <c r="O327" s="51">
        <f t="shared" ca="1" si="66"/>
        <v>2.3402025619457496E-2</v>
      </c>
      <c r="P327" s="51">
        <f t="shared" ca="1" si="67"/>
        <v>63.540588757060682</v>
      </c>
      <c r="Q327" s="55">
        <f t="shared" ca="1" si="75"/>
        <v>2.5456679170367451</v>
      </c>
    </row>
    <row r="328" spans="1:17" x14ac:dyDescent="0.25">
      <c r="A328" s="48">
        <v>282</v>
      </c>
      <c r="B328" s="48">
        <f t="shared" ca="1" si="62"/>
        <v>0.70699999999999996</v>
      </c>
      <c r="C328" s="49">
        <f t="shared" si="68"/>
        <v>5</v>
      </c>
      <c r="D328" s="51">
        <f t="shared" ca="1" si="63"/>
        <v>6.9344922617112864E-2</v>
      </c>
      <c r="E328" s="51">
        <f t="shared" ca="1" si="69"/>
        <v>61.06426576264105</v>
      </c>
      <c r="F328" s="48">
        <f t="shared" ca="1" si="70"/>
        <v>11</v>
      </c>
      <c r="G328" s="48">
        <f ca="1">COUNTIF($P$47:P338,"&lt;"&amp;E328)</f>
        <v>270</v>
      </c>
      <c r="H328" s="48">
        <f t="shared" ca="1" si="71"/>
        <v>0</v>
      </c>
      <c r="I328" s="48" t="str">
        <f t="shared" ca="1" si="72"/>
        <v>Ocu</v>
      </c>
      <c r="J328" s="52">
        <f t="shared" ca="1" si="64"/>
        <v>12</v>
      </c>
      <c r="K328" s="53">
        <f t="shared" ca="1" si="61"/>
        <v>2.4763229944196326</v>
      </c>
      <c r="L328" s="54">
        <f t="shared" ca="1" si="73"/>
        <v>63.540588757060682</v>
      </c>
      <c r="M328" s="48">
        <f t="shared" ca="1" si="65"/>
        <v>0.997</v>
      </c>
      <c r="N328" s="48">
        <f t="shared" si="74"/>
        <v>6</v>
      </c>
      <c r="O328" s="51">
        <f t="shared" ca="1" si="66"/>
        <v>5.0075150338312036E-4</v>
      </c>
      <c r="P328" s="51">
        <f t="shared" ca="1" si="67"/>
        <v>63.541089508564063</v>
      </c>
      <c r="Q328" s="55">
        <f t="shared" ca="1" si="75"/>
        <v>2.4768237459230136</v>
      </c>
    </row>
    <row r="329" spans="1:17" x14ac:dyDescent="0.25">
      <c r="A329" s="48">
        <v>283</v>
      </c>
      <c r="B329" s="48">
        <f t="shared" ca="1" si="62"/>
        <v>0.50700000000000001</v>
      </c>
      <c r="C329" s="49">
        <f t="shared" si="68"/>
        <v>5</v>
      </c>
      <c r="D329" s="51">
        <f t="shared" ca="1" si="63"/>
        <v>0.13584885507819078</v>
      </c>
      <c r="E329" s="51">
        <f t="shared" ca="1" si="69"/>
        <v>61.200114617719244</v>
      </c>
      <c r="F329" s="48">
        <f t="shared" ca="1" si="70"/>
        <v>12</v>
      </c>
      <c r="G329" s="48">
        <f ca="1">COUNTIF($P$47:P339,"&lt;"&amp;E329)</f>
        <v>270</v>
      </c>
      <c r="H329" s="48">
        <f t="shared" ca="1" si="71"/>
        <v>0</v>
      </c>
      <c r="I329" s="48" t="str">
        <f t="shared" ca="1" si="72"/>
        <v>Ocu</v>
      </c>
      <c r="J329" s="52">
        <f t="shared" ca="1" si="64"/>
        <v>13</v>
      </c>
      <c r="K329" s="53">
        <f t="shared" ca="1" si="61"/>
        <v>2.3409748908448194</v>
      </c>
      <c r="L329" s="54">
        <f t="shared" ca="1" si="73"/>
        <v>63.541089508564063</v>
      </c>
      <c r="M329" s="48">
        <f t="shared" ca="1" si="65"/>
        <v>0.72599999999999998</v>
      </c>
      <c r="N329" s="48">
        <f t="shared" si="74"/>
        <v>6</v>
      </c>
      <c r="O329" s="51">
        <f t="shared" ca="1" si="66"/>
        <v>5.3367544026223512E-2</v>
      </c>
      <c r="P329" s="51">
        <f t="shared" ca="1" si="67"/>
        <v>63.594457052590286</v>
      </c>
      <c r="Q329" s="55">
        <f t="shared" ca="1" si="75"/>
        <v>2.3943424348710423</v>
      </c>
    </row>
    <row r="330" spans="1:17" x14ac:dyDescent="0.25">
      <c r="A330" s="48">
        <v>284</v>
      </c>
      <c r="B330" s="48">
        <f t="shared" ca="1" si="62"/>
        <v>0.16300000000000001</v>
      </c>
      <c r="C330" s="49">
        <f t="shared" si="68"/>
        <v>5</v>
      </c>
      <c r="D330" s="51">
        <f t="shared" ca="1" si="63"/>
        <v>0.36280101563507494</v>
      </c>
      <c r="E330" s="51">
        <f t="shared" ca="1" si="69"/>
        <v>61.562915633354322</v>
      </c>
      <c r="F330" s="48">
        <f t="shared" ca="1" si="70"/>
        <v>12</v>
      </c>
      <c r="G330" s="48">
        <f ca="1">COUNTIF($P$47:P340,"&lt;"&amp;E330)</f>
        <v>271</v>
      </c>
      <c r="H330" s="48">
        <f t="shared" ca="1" si="71"/>
        <v>1</v>
      </c>
      <c r="I330" s="48" t="str">
        <f t="shared" ca="1" si="72"/>
        <v>Ocu</v>
      </c>
      <c r="J330" s="52">
        <f t="shared" ca="1" si="64"/>
        <v>13</v>
      </c>
      <c r="K330" s="53">
        <f t="shared" ca="1" si="61"/>
        <v>2.031541419235964</v>
      </c>
      <c r="L330" s="54">
        <f t="shared" ca="1" si="73"/>
        <v>63.594457052590286</v>
      </c>
      <c r="M330" s="48">
        <f t="shared" ca="1" si="65"/>
        <v>0.379</v>
      </c>
      <c r="N330" s="48">
        <f t="shared" si="74"/>
        <v>6</v>
      </c>
      <c r="O330" s="51">
        <f t="shared" ca="1" si="66"/>
        <v>0.1617031789832851</v>
      </c>
      <c r="P330" s="51">
        <f t="shared" ca="1" si="67"/>
        <v>63.756160231573574</v>
      </c>
      <c r="Q330" s="55">
        <f t="shared" ca="1" si="75"/>
        <v>2.1932445982192519</v>
      </c>
    </row>
    <row r="331" spans="1:17" x14ac:dyDescent="0.25">
      <c r="A331" s="48">
        <v>285</v>
      </c>
      <c r="B331" s="48">
        <f t="shared" ca="1" si="62"/>
        <v>0.98299999999999998</v>
      </c>
      <c r="C331" s="49">
        <f t="shared" si="68"/>
        <v>5</v>
      </c>
      <c r="D331" s="51">
        <f t="shared" ca="1" si="63"/>
        <v>3.4292317669941171E-3</v>
      </c>
      <c r="E331" s="51">
        <f t="shared" ca="1" si="69"/>
        <v>61.566344865121316</v>
      </c>
      <c r="F331" s="48">
        <f t="shared" ca="1" si="70"/>
        <v>13</v>
      </c>
      <c r="G331" s="48">
        <f ca="1">COUNTIF($P$47:P341,"&lt;"&amp;E331)</f>
        <v>271</v>
      </c>
      <c r="H331" s="48">
        <f t="shared" ca="1" si="71"/>
        <v>0</v>
      </c>
      <c r="I331" s="48" t="str">
        <f t="shared" ca="1" si="72"/>
        <v>Ocu</v>
      </c>
      <c r="J331" s="52">
        <f t="shared" ca="1" si="64"/>
        <v>14</v>
      </c>
      <c r="K331" s="53">
        <f t="shared" ca="1" si="61"/>
        <v>2.1898153664522582</v>
      </c>
      <c r="L331" s="54">
        <f t="shared" ca="1" si="73"/>
        <v>63.756160231573574</v>
      </c>
      <c r="M331" s="48">
        <f t="shared" ca="1" si="65"/>
        <v>0.95899999999999996</v>
      </c>
      <c r="N331" s="48">
        <f t="shared" si="74"/>
        <v>6</v>
      </c>
      <c r="O331" s="51">
        <f t="shared" ca="1" si="66"/>
        <v>6.9773673497831486E-3</v>
      </c>
      <c r="P331" s="51">
        <f t="shared" ca="1" si="67"/>
        <v>63.763137598923358</v>
      </c>
      <c r="Q331" s="55">
        <f t="shared" ca="1" si="75"/>
        <v>2.1967927338020417</v>
      </c>
    </row>
    <row r="332" spans="1:17" x14ac:dyDescent="0.25">
      <c r="A332" s="48">
        <v>286</v>
      </c>
      <c r="B332" s="48">
        <f t="shared" ca="1" si="62"/>
        <v>0.16300000000000001</v>
      </c>
      <c r="C332" s="49">
        <f t="shared" si="68"/>
        <v>5</v>
      </c>
      <c r="D332" s="51">
        <f t="shared" ca="1" si="63"/>
        <v>0.36280101563507494</v>
      </c>
      <c r="E332" s="51">
        <f t="shared" ca="1" si="69"/>
        <v>61.929145880756394</v>
      </c>
      <c r="F332" s="48">
        <f t="shared" ca="1" si="70"/>
        <v>13</v>
      </c>
      <c r="G332" s="48">
        <f ca="1">COUNTIF($P$47:P342,"&lt;"&amp;E332)</f>
        <v>272</v>
      </c>
      <c r="H332" s="48">
        <f t="shared" ca="1" si="71"/>
        <v>1</v>
      </c>
      <c r="I332" s="48" t="str">
        <f t="shared" ca="1" si="72"/>
        <v>Ocu</v>
      </c>
      <c r="J332" s="52">
        <f t="shared" ca="1" si="64"/>
        <v>14</v>
      </c>
      <c r="K332" s="53">
        <f t="shared" ca="1" si="61"/>
        <v>1.8339917181669634</v>
      </c>
      <c r="L332" s="54">
        <f t="shared" ca="1" si="73"/>
        <v>63.763137598923358</v>
      </c>
      <c r="M332" s="48">
        <f t="shared" ca="1" si="65"/>
        <v>0.67600000000000005</v>
      </c>
      <c r="N332" s="48">
        <f t="shared" si="74"/>
        <v>6</v>
      </c>
      <c r="O332" s="51">
        <f t="shared" ca="1" si="66"/>
        <v>6.5260367156528831E-2</v>
      </c>
      <c r="P332" s="51">
        <f t="shared" ca="1" si="67"/>
        <v>63.828397966079883</v>
      </c>
      <c r="Q332" s="55">
        <f t="shared" ca="1" si="75"/>
        <v>1.8992520853234893</v>
      </c>
    </row>
    <row r="333" spans="1:17" x14ac:dyDescent="0.25">
      <c r="A333" s="48">
        <v>287</v>
      </c>
      <c r="B333" s="48">
        <f t="shared" ca="1" si="62"/>
        <v>0.104</v>
      </c>
      <c r="C333" s="49">
        <f t="shared" si="68"/>
        <v>5</v>
      </c>
      <c r="D333" s="51">
        <f t="shared" ca="1" si="63"/>
        <v>0.45267287596815287</v>
      </c>
      <c r="E333" s="51">
        <f t="shared" ca="1" si="69"/>
        <v>62.381818756724549</v>
      </c>
      <c r="F333" s="48">
        <f t="shared" ca="1" si="70"/>
        <v>13</v>
      </c>
      <c r="G333" s="48">
        <f ca="1">COUNTIF($P$47:P343,"&lt;"&amp;E333)</f>
        <v>273</v>
      </c>
      <c r="H333" s="48">
        <f t="shared" ca="1" si="71"/>
        <v>1</v>
      </c>
      <c r="I333" s="48" t="str">
        <f t="shared" ca="1" si="72"/>
        <v>Ocu</v>
      </c>
      <c r="J333" s="52">
        <f t="shared" ca="1" si="64"/>
        <v>14</v>
      </c>
      <c r="K333" s="53">
        <f t="shared" ca="1" si="61"/>
        <v>1.4465792093553347</v>
      </c>
      <c r="L333" s="54">
        <f t="shared" ca="1" si="73"/>
        <v>63.828397966079883</v>
      </c>
      <c r="M333" s="48">
        <f t="shared" ca="1" si="65"/>
        <v>0.377</v>
      </c>
      <c r="N333" s="48">
        <f t="shared" si="74"/>
        <v>6</v>
      </c>
      <c r="O333" s="51">
        <f t="shared" ca="1" si="66"/>
        <v>0.16258501525568769</v>
      </c>
      <c r="P333" s="51">
        <f t="shared" ca="1" si="67"/>
        <v>63.99098298133557</v>
      </c>
      <c r="Q333" s="55">
        <f t="shared" ca="1" si="75"/>
        <v>1.6091642246110212</v>
      </c>
    </row>
    <row r="334" spans="1:17" x14ac:dyDescent="0.25">
      <c r="A334" s="48">
        <v>288</v>
      </c>
      <c r="B334" s="48">
        <f t="shared" ca="1" si="62"/>
        <v>0.155</v>
      </c>
      <c r="C334" s="49">
        <f t="shared" si="68"/>
        <v>5</v>
      </c>
      <c r="D334" s="51">
        <f t="shared" ca="1" si="63"/>
        <v>0.3728660324125781</v>
      </c>
      <c r="E334" s="51">
        <f t="shared" ca="1" si="69"/>
        <v>62.75468478913713</v>
      </c>
      <c r="F334" s="48">
        <f t="shared" ca="1" si="70"/>
        <v>11</v>
      </c>
      <c r="G334" s="48">
        <f ca="1">COUNTIF($P$47:P344,"&lt;"&amp;E334)</f>
        <v>276</v>
      </c>
      <c r="H334" s="48">
        <f t="shared" ca="1" si="71"/>
        <v>3</v>
      </c>
      <c r="I334" s="48" t="str">
        <f t="shared" ca="1" si="72"/>
        <v>Ocu</v>
      </c>
      <c r="J334" s="52">
        <f t="shared" ca="1" si="64"/>
        <v>12</v>
      </c>
      <c r="K334" s="53">
        <f t="shared" ca="1" si="61"/>
        <v>1.2362981921984399</v>
      </c>
      <c r="L334" s="54">
        <f t="shared" ca="1" si="73"/>
        <v>63.99098298133557</v>
      </c>
      <c r="M334" s="48">
        <f t="shared" ca="1" si="65"/>
        <v>0.96899999999999997</v>
      </c>
      <c r="N334" s="48">
        <f t="shared" si="74"/>
        <v>6</v>
      </c>
      <c r="O334" s="51">
        <f t="shared" ca="1" si="66"/>
        <v>5.2484445152284811E-3</v>
      </c>
      <c r="P334" s="51">
        <f t="shared" ca="1" si="67"/>
        <v>63.996231425850802</v>
      </c>
      <c r="Q334" s="55">
        <f t="shared" ca="1" si="75"/>
        <v>1.2415466367136716</v>
      </c>
    </row>
    <row r="335" spans="1:17" x14ac:dyDescent="0.25">
      <c r="A335" s="48">
        <v>289</v>
      </c>
      <c r="B335" s="48">
        <f t="shared" ca="1" si="62"/>
        <v>0.11600000000000001</v>
      </c>
      <c r="C335" s="49">
        <f t="shared" si="68"/>
        <v>5</v>
      </c>
      <c r="D335" s="51">
        <f t="shared" ca="1" si="63"/>
        <v>0.43083301757515446</v>
      </c>
      <c r="E335" s="51">
        <f t="shared" ca="1" si="69"/>
        <v>63.185517806712284</v>
      </c>
      <c r="F335" s="48">
        <f t="shared" ca="1" si="70"/>
        <v>11</v>
      </c>
      <c r="G335" s="48">
        <f ca="1">COUNTIF($P$47:P345,"&lt;"&amp;E335)</f>
        <v>277</v>
      </c>
      <c r="H335" s="48">
        <f t="shared" ca="1" si="71"/>
        <v>1</v>
      </c>
      <c r="I335" s="48" t="str">
        <f t="shared" ca="1" si="72"/>
        <v>Ocu</v>
      </c>
      <c r="J335" s="52">
        <f t="shared" ca="1" si="64"/>
        <v>12</v>
      </c>
      <c r="K335" s="53">
        <f t="shared" ca="1" si="61"/>
        <v>0.81071361913851803</v>
      </c>
      <c r="L335" s="54">
        <f t="shared" ca="1" si="73"/>
        <v>63.996231425850802</v>
      </c>
      <c r="M335" s="48">
        <f t="shared" ca="1" si="65"/>
        <v>6.6000000000000003E-2</v>
      </c>
      <c r="N335" s="48">
        <f t="shared" si="74"/>
        <v>6</v>
      </c>
      <c r="O335" s="51">
        <f t="shared" ca="1" si="66"/>
        <v>0.45301675615928527</v>
      </c>
      <c r="P335" s="51">
        <f t="shared" ca="1" si="67"/>
        <v>64.449248182010081</v>
      </c>
      <c r="Q335" s="55">
        <f t="shared" ca="1" si="75"/>
        <v>1.2637303752977971</v>
      </c>
    </row>
    <row r="336" spans="1:17" x14ac:dyDescent="0.25">
      <c r="A336" s="48">
        <v>290</v>
      </c>
      <c r="B336" s="48">
        <f t="shared" ca="1" si="62"/>
        <v>0.96899999999999997</v>
      </c>
      <c r="C336" s="49">
        <f t="shared" si="68"/>
        <v>5</v>
      </c>
      <c r="D336" s="51">
        <f t="shared" ca="1" si="63"/>
        <v>6.2981334182741783E-3</v>
      </c>
      <c r="E336" s="51">
        <f t="shared" ca="1" si="69"/>
        <v>63.19181594013056</v>
      </c>
      <c r="F336" s="48">
        <f t="shared" ca="1" si="70"/>
        <v>12</v>
      </c>
      <c r="G336" s="48">
        <f ca="1">COUNTIF($P$47:P346,"&lt;"&amp;E336)</f>
        <v>277</v>
      </c>
      <c r="H336" s="48">
        <f t="shared" ca="1" si="71"/>
        <v>0</v>
      </c>
      <c r="I336" s="48" t="str">
        <f t="shared" ca="1" si="72"/>
        <v>Ocu</v>
      </c>
      <c r="J336" s="52">
        <f t="shared" ca="1" si="64"/>
        <v>13</v>
      </c>
      <c r="K336" s="53">
        <f t="shared" ca="1" si="61"/>
        <v>1.2574322418795205</v>
      </c>
      <c r="L336" s="54">
        <f t="shared" ca="1" si="73"/>
        <v>64.449248182010081</v>
      </c>
      <c r="M336" s="48">
        <f t="shared" ca="1" si="65"/>
        <v>0.245</v>
      </c>
      <c r="N336" s="48">
        <f t="shared" si="74"/>
        <v>6</v>
      </c>
      <c r="O336" s="51">
        <f t="shared" ca="1" si="66"/>
        <v>0.23441617807290166</v>
      </c>
      <c r="P336" s="51">
        <f t="shared" ca="1" si="67"/>
        <v>64.683664360082986</v>
      </c>
      <c r="Q336" s="55">
        <f t="shared" ca="1" si="75"/>
        <v>1.4918484199524258</v>
      </c>
    </row>
    <row r="337" spans="1:17" x14ac:dyDescent="0.25">
      <c r="A337" s="48">
        <v>291</v>
      </c>
      <c r="B337" s="48">
        <f t="shared" ca="1" si="62"/>
        <v>0.111</v>
      </c>
      <c r="C337" s="49">
        <f t="shared" si="68"/>
        <v>5</v>
      </c>
      <c r="D337" s="51">
        <f t="shared" ca="1" si="63"/>
        <v>0.43964501553396063</v>
      </c>
      <c r="E337" s="51">
        <f t="shared" ca="1" si="69"/>
        <v>63.631460955664522</v>
      </c>
      <c r="F337" s="48">
        <f t="shared" ca="1" si="70"/>
        <v>7</v>
      </c>
      <c r="G337" s="48">
        <f ca="1">COUNTIF($P$47:P347,"&lt;"&amp;E337)</f>
        <v>283</v>
      </c>
      <c r="H337" s="48">
        <f t="shared" ca="1" si="71"/>
        <v>6</v>
      </c>
      <c r="I337" s="48" t="str">
        <f t="shared" ca="1" si="72"/>
        <v>Ocu</v>
      </c>
      <c r="J337" s="52">
        <f t="shared" ca="1" si="64"/>
        <v>8</v>
      </c>
      <c r="K337" s="53">
        <f t="shared" ca="1" si="61"/>
        <v>1.0522034044184636</v>
      </c>
      <c r="L337" s="54">
        <f t="shared" ca="1" si="73"/>
        <v>64.683664360082986</v>
      </c>
      <c r="M337" s="48">
        <f t="shared" ca="1" si="65"/>
        <v>0.62</v>
      </c>
      <c r="N337" s="48">
        <f t="shared" si="74"/>
        <v>6</v>
      </c>
      <c r="O337" s="51">
        <f t="shared" ca="1" si="66"/>
        <v>7.9672633490499981E-2</v>
      </c>
      <c r="P337" s="51">
        <f t="shared" ca="1" si="67"/>
        <v>64.763336993573489</v>
      </c>
      <c r="Q337" s="55">
        <f t="shared" ca="1" si="75"/>
        <v>1.1318760379089667</v>
      </c>
    </row>
    <row r="338" spans="1:17" x14ac:dyDescent="0.25">
      <c r="A338" s="48">
        <v>292</v>
      </c>
      <c r="B338" s="48">
        <f t="shared" ca="1" si="62"/>
        <v>0.52</v>
      </c>
      <c r="C338" s="49">
        <f t="shared" si="68"/>
        <v>5</v>
      </c>
      <c r="D338" s="51">
        <f t="shared" ca="1" si="63"/>
        <v>0.1307852934813328</v>
      </c>
      <c r="E338" s="51">
        <f t="shared" ca="1" si="69"/>
        <v>63.762246249145853</v>
      </c>
      <c r="F338" s="48">
        <f t="shared" ca="1" si="70"/>
        <v>7</v>
      </c>
      <c r="G338" s="48">
        <f ca="1">COUNTIF($P$47:P348,"&lt;"&amp;E338)</f>
        <v>284</v>
      </c>
      <c r="H338" s="48">
        <f t="shared" ca="1" si="71"/>
        <v>1</v>
      </c>
      <c r="I338" s="48" t="str">
        <f t="shared" ca="1" si="72"/>
        <v>Ocu</v>
      </c>
      <c r="J338" s="52">
        <f t="shared" ca="1" si="64"/>
        <v>8</v>
      </c>
      <c r="K338" s="53">
        <f t="shared" ca="1" si="61"/>
        <v>1.0010907444276356</v>
      </c>
      <c r="L338" s="54">
        <f t="shared" ca="1" si="73"/>
        <v>64.763336993573489</v>
      </c>
      <c r="M338" s="48">
        <f t="shared" ca="1" si="65"/>
        <v>0.88300000000000001</v>
      </c>
      <c r="N338" s="48">
        <f t="shared" si="74"/>
        <v>6</v>
      </c>
      <c r="O338" s="51">
        <f t="shared" ca="1" si="66"/>
        <v>2.0738346396362843E-2</v>
      </c>
      <c r="P338" s="51">
        <f t="shared" ca="1" si="67"/>
        <v>64.784075339969846</v>
      </c>
      <c r="Q338" s="55">
        <f t="shared" ca="1" si="75"/>
        <v>1.0218290908239922</v>
      </c>
    </row>
    <row r="339" spans="1:17" x14ac:dyDescent="0.25">
      <c r="A339" s="48">
        <v>293</v>
      </c>
      <c r="B339" s="48">
        <f t="shared" ca="1" si="62"/>
        <v>0.94299999999999995</v>
      </c>
      <c r="C339" s="49">
        <f t="shared" si="68"/>
        <v>5</v>
      </c>
      <c r="D339" s="51">
        <f t="shared" ca="1" si="63"/>
        <v>1.1737799269735916E-2</v>
      </c>
      <c r="E339" s="51">
        <f t="shared" ca="1" si="69"/>
        <v>63.773984048415592</v>
      </c>
      <c r="F339" s="48">
        <f t="shared" ca="1" si="70"/>
        <v>7</v>
      </c>
      <c r="G339" s="48">
        <f ca="1">COUNTIF($P$47:P349,"&lt;"&amp;E339)</f>
        <v>285</v>
      </c>
      <c r="H339" s="48">
        <f t="shared" ca="1" si="71"/>
        <v>1</v>
      </c>
      <c r="I339" s="48" t="str">
        <f t="shared" ca="1" si="72"/>
        <v>Ocu</v>
      </c>
      <c r="J339" s="52">
        <f t="shared" ca="1" si="64"/>
        <v>8</v>
      </c>
      <c r="K339" s="53">
        <f t="shared" ca="1" si="61"/>
        <v>1.0100912915542537</v>
      </c>
      <c r="L339" s="54">
        <f t="shared" ca="1" si="73"/>
        <v>64.784075339969846</v>
      </c>
      <c r="M339" s="48">
        <f t="shared" ca="1" si="65"/>
        <v>0.27700000000000002</v>
      </c>
      <c r="N339" s="48">
        <f t="shared" si="74"/>
        <v>6</v>
      </c>
      <c r="O339" s="51">
        <f t="shared" ca="1" si="66"/>
        <v>0.21395629546579975</v>
      </c>
      <c r="P339" s="51">
        <f t="shared" ca="1" si="67"/>
        <v>64.998031635435652</v>
      </c>
      <c r="Q339" s="55">
        <f t="shared" ca="1" si="75"/>
        <v>1.2240475870200598</v>
      </c>
    </row>
    <row r="340" spans="1:17" x14ac:dyDescent="0.25">
      <c r="A340" s="48">
        <v>294</v>
      </c>
      <c r="B340" s="48">
        <f t="shared" ca="1" si="62"/>
        <v>0.86799999999999999</v>
      </c>
      <c r="C340" s="49">
        <f t="shared" si="68"/>
        <v>5</v>
      </c>
      <c r="D340" s="51">
        <f t="shared" ca="1" si="63"/>
        <v>2.8312712864357398E-2</v>
      </c>
      <c r="E340" s="51">
        <f t="shared" ca="1" si="69"/>
        <v>63.802296761279948</v>
      </c>
      <c r="F340" s="48">
        <f t="shared" ca="1" si="70"/>
        <v>8</v>
      </c>
      <c r="G340" s="48">
        <f ca="1">COUNTIF($P$47:P350,"&lt;"&amp;E340)</f>
        <v>285</v>
      </c>
      <c r="H340" s="48">
        <f t="shared" ca="1" si="71"/>
        <v>0</v>
      </c>
      <c r="I340" s="48" t="str">
        <f t="shared" ca="1" si="72"/>
        <v>Ocu</v>
      </c>
      <c r="J340" s="52">
        <f t="shared" ca="1" si="64"/>
        <v>9</v>
      </c>
      <c r="K340" s="53">
        <f t="shared" ca="1" si="61"/>
        <v>1.1957348741557041</v>
      </c>
      <c r="L340" s="54">
        <f t="shared" ca="1" si="73"/>
        <v>64.998031635435652</v>
      </c>
      <c r="M340" s="48">
        <f t="shared" ca="1" si="65"/>
        <v>0.80100000000000005</v>
      </c>
      <c r="N340" s="48">
        <f t="shared" si="74"/>
        <v>6</v>
      </c>
      <c r="O340" s="51">
        <f t="shared" ca="1" si="66"/>
        <v>3.6982388652296291E-2</v>
      </c>
      <c r="P340" s="51">
        <f t="shared" ca="1" si="67"/>
        <v>65.035014024087943</v>
      </c>
      <c r="Q340" s="55">
        <f t="shared" ca="1" si="75"/>
        <v>1.232717262807995</v>
      </c>
    </row>
    <row r="341" spans="1:17" x14ac:dyDescent="0.25">
      <c r="A341" s="48">
        <v>295</v>
      </c>
      <c r="B341" s="48">
        <f t="shared" ca="1" si="62"/>
        <v>0.26900000000000002</v>
      </c>
      <c r="C341" s="49">
        <f t="shared" si="68"/>
        <v>5</v>
      </c>
      <c r="D341" s="51">
        <f t="shared" ca="1" si="63"/>
        <v>0.26260877987605963</v>
      </c>
      <c r="E341" s="51">
        <f t="shared" ca="1" si="69"/>
        <v>64.064905541156008</v>
      </c>
      <c r="F341" s="48">
        <f t="shared" ca="1" si="70"/>
        <v>6</v>
      </c>
      <c r="G341" s="48">
        <f ca="1">COUNTIF($P$47:P351,"&lt;"&amp;E341)</f>
        <v>288</v>
      </c>
      <c r="H341" s="48">
        <f t="shared" ca="1" si="71"/>
        <v>3</v>
      </c>
      <c r="I341" s="48" t="str">
        <f t="shared" ca="1" si="72"/>
        <v>Ocu</v>
      </c>
      <c r="J341" s="52">
        <f t="shared" ca="1" si="64"/>
        <v>7</v>
      </c>
      <c r="K341" s="53">
        <f t="shared" ca="1" si="61"/>
        <v>0.97010848293193419</v>
      </c>
      <c r="L341" s="54">
        <f t="shared" ca="1" si="73"/>
        <v>65.035014024087943</v>
      </c>
      <c r="M341" s="48">
        <f t="shared" ca="1" si="65"/>
        <v>0.78</v>
      </c>
      <c r="N341" s="48">
        <f t="shared" si="74"/>
        <v>6</v>
      </c>
      <c r="O341" s="51">
        <f t="shared" ca="1" si="66"/>
        <v>4.1410226549749921E-2</v>
      </c>
      <c r="P341" s="51">
        <f t="shared" ca="1" si="67"/>
        <v>65.076424250637686</v>
      </c>
      <c r="Q341" s="55">
        <f t="shared" ca="1" si="75"/>
        <v>1.0115187094816775</v>
      </c>
    </row>
    <row r="342" spans="1:17" x14ac:dyDescent="0.25">
      <c r="A342" s="48">
        <v>296</v>
      </c>
      <c r="B342" s="48">
        <f t="shared" ca="1" si="62"/>
        <v>0.19700000000000001</v>
      </c>
      <c r="C342" s="49">
        <f t="shared" si="68"/>
        <v>5</v>
      </c>
      <c r="D342" s="51">
        <f t="shared" ca="1" si="63"/>
        <v>0.32491031004882975</v>
      </c>
      <c r="E342" s="51">
        <f t="shared" ca="1" si="69"/>
        <v>64.389815851204844</v>
      </c>
      <c r="F342" s="48">
        <f t="shared" ca="1" si="70"/>
        <v>7</v>
      </c>
      <c r="G342" s="48">
        <f ca="1">COUNTIF($P$47:P352,"&lt;"&amp;E342)</f>
        <v>288</v>
      </c>
      <c r="H342" s="48">
        <f t="shared" ca="1" si="71"/>
        <v>0</v>
      </c>
      <c r="I342" s="48" t="str">
        <f t="shared" ca="1" si="72"/>
        <v>Ocu</v>
      </c>
      <c r="J342" s="52">
        <f t="shared" ca="1" si="64"/>
        <v>8</v>
      </c>
      <c r="K342" s="53">
        <f t="shared" ca="1" si="61"/>
        <v>0.68660839943284202</v>
      </c>
      <c r="L342" s="54">
        <f t="shared" ca="1" si="73"/>
        <v>65.076424250637686</v>
      </c>
      <c r="M342" s="48">
        <f t="shared" ca="1" si="65"/>
        <v>7.2999999999999995E-2</v>
      </c>
      <c r="N342" s="48">
        <f t="shared" si="74"/>
        <v>6</v>
      </c>
      <c r="O342" s="51">
        <f t="shared" ca="1" si="66"/>
        <v>0.43621597297229098</v>
      </c>
      <c r="P342" s="51">
        <f t="shared" ca="1" si="67"/>
        <v>65.512640223609978</v>
      </c>
      <c r="Q342" s="55">
        <f t="shared" ca="1" si="75"/>
        <v>1.1228243724051339</v>
      </c>
    </row>
    <row r="343" spans="1:17" x14ac:dyDescent="0.25">
      <c r="A343" s="48">
        <v>297</v>
      </c>
      <c r="B343" s="48">
        <f t="shared" ca="1" si="62"/>
        <v>0.56200000000000006</v>
      </c>
      <c r="C343" s="49">
        <f t="shared" si="68"/>
        <v>5</v>
      </c>
      <c r="D343" s="51">
        <f t="shared" ca="1" si="63"/>
        <v>0.11525068581768919</v>
      </c>
      <c r="E343" s="51">
        <f t="shared" ca="1" si="69"/>
        <v>64.505066537022529</v>
      </c>
      <c r="F343" s="48">
        <f t="shared" ca="1" si="70"/>
        <v>7</v>
      </c>
      <c r="G343" s="48">
        <f ca="1">COUNTIF($P$47:P353,"&lt;"&amp;E343)</f>
        <v>289</v>
      </c>
      <c r="H343" s="48">
        <f t="shared" ca="1" si="71"/>
        <v>1</v>
      </c>
      <c r="I343" s="48" t="str">
        <f t="shared" ca="1" si="72"/>
        <v>Ocu</v>
      </c>
      <c r="J343" s="52">
        <f t="shared" ca="1" si="64"/>
        <v>8</v>
      </c>
      <c r="K343" s="53">
        <f t="shared" ca="1" si="61"/>
        <v>1.0075736865874489</v>
      </c>
      <c r="L343" s="54">
        <f t="shared" ca="1" si="73"/>
        <v>65.512640223609978</v>
      </c>
      <c r="M343" s="48">
        <f t="shared" ca="1" si="65"/>
        <v>0.92800000000000005</v>
      </c>
      <c r="N343" s="48">
        <f t="shared" si="74"/>
        <v>6</v>
      </c>
      <c r="O343" s="51">
        <f t="shared" ca="1" si="66"/>
        <v>1.2453924365989393E-2</v>
      </c>
      <c r="P343" s="51">
        <f t="shared" ca="1" si="67"/>
        <v>65.525094147975963</v>
      </c>
      <c r="Q343" s="55">
        <f t="shared" ca="1" si="75"/>
        <v>1.0200276109534343</v>
      </c>
    </row>
    <row r="344" spans="1:17" x14ac:dyDescent="0.25">
      <c r="A344" s="48">
        <v>298</v>
      </c>
      <c r="B344" s="48">
        <f t="shared" ca="1" si="62"/>
        <v>0.64100000000000001</v>
      </c>
      <c r="C344" s="49">
        <f t="shared" si="68"/>
        <v>5</v>
      </c>
      <c r="D344" s="51">
        <f t="shared" ca="1" si="63"/>
        <v>8.8945164412293401E-2</v>
      </c>
      <c r="E344" s="51">
        <f t="shared" ca="1" si="69"/>
        <v>64.594011701434823</v>
      </c>
      <c r="F344" s="48">
        <f t="shared" ca="1" si="70"/>
        <v>8</v>
      </c>
      <c r="G344" s="48">
        <f ca="1">COUNTIF($P$47:P354,"&lt;"&amp;E344)</f>
        <v>289</v>
      </c>
      <c r="H344" s="48">
        <f t="shared" ca="1" si="71"/>
        <v>0</v>
      </c>
      <c r="I344" s="48" t="str">
        <f t="shared" ca="1" si="72"/>
        <v>Ocu</v>
      </c>
      <c r="J344" s="52">
        <f t="shared" ca="1" si="64"/>
        <v>9</v>
      </c>
      <c r="K344" s="53">
        <f t="shared" ca="1" si="61"/>
        <v>0.93108244654114003</v>
      </c>
      <c r="L344" s="54">
        <f t="shared" ca="1" si="73"/>
        <v>65.525094147975963</v>
      </c>
      <c r="M344" s="48">
        <f t="shared" ca="1" si="65"/>
        <v>0.97499999999999998</v>
      </c>
      <c r="N344" s="48">
        <f t="shared" si="74"/>
        <v>6</v>
      </c>
      <c r="O344" s="51">
        <f t="shared" ca="1" si="66"/>
        <v>4.2196346640483336E-3</v>
      </c>
      <c r="P344" s="51">
        <f t="shared" ca="1" si="67"/>
        <v>65.529313782640017</v>
      </c>
      <c r="Q344" s="55">
        <f t="shared" ca="1" si="75"/>
        <v>0.93530208120519376</v>
      </c>
    </row>
    <row r="345" spans="1:17" x14ac:dyDescent="0.25">
      <c r="A345" s="48">
        <v>299</v>
      </c>
      <c r="B345" s="48">
        <f t="shared" ca="1" si="62"/>
        <v>0.78</v>
      </c>
      <c r="C345" s="49">
        <f t="shared" si="68"/>
        <v>5</v>
      </c>
      <c r="D345" s="51">
        <f t="shared" ca="1" si="63"/>
        <v>4.9692271859699912E-2</v>
      </c>
      <c r="E345" s="51">
        <f t="shared" ca="1" si="69"/>
        <v>64.643703973294521</v>
      </c>
      <c r="F345" s="48">
        <f t="shared" ca="1" si="70"/>
        <v>9</v>
      </c>
      <c r="G345" s="48">
        <f ca="1">COUNTIF($P$47:P355,"&lt;"&amp;E345)</f>
        <v>289</v>
      </c>
      <c r="H345" s="48">
        <f t="shared" ca="1" si="71"/>
        <v>0</v>
      </c>
      <c r="I345" s="48" t="str">
        <f t="shared" ca="1" si="72"/>
        <v>Ocu</v>
      </c>
      <c r="J345" s="52">
        <f t="shared" ca="1" si="64"/>
        <v>10</v>
      </c>
      <c r="K345" s="53">
        <f t="shared" ca="1" si="61"/>
        <v>0.88560980934549605</v>
      </c>
      <c r="L345" s="54">
        <f t="shared" ca="1" si="73"/>
        <v>65.529313782640017</v>
      </c>
      <c r="M345" s="48">
        <f t="shared" ca="1" si="65"/>
        <v>0.35099999999999998</v>
      </c>
      <c r="N345" s="48">
        <f t="shared" si="74"/>
        <v>6</v>
      </c>
      <c r="O345" s="51">
        <f t="shared" ca="1" si="66"/>
        <v>0.17449484258604522</v>
      </c>
      <c r="P345" s="51">
        <f t="shared" ca="1" si="67"/>
        <v>65.70380862522606</v>
      </c>
      <c r="Q345" s="55">
        <f t="shared" ca="1" si="75"/>
        <v>1.0601046519315389</v>
      </c>
    </row>
    <row r="346" spans="1:17" x14ac:dyDescent="0.25">
      <c r="A346" s="48">
        <v>300</v>
      </c>
      <c r="B346" s="48">
        <f t="shared" ca="1" si="62"/>
        <v>0.84199999999999997</v>
      </c>
      <c r="C346" s="49">
        <f t="shared" si="68"/>
        <v>5</v>
      </c>
      <c r="D346" s="51">
        <f t="shared" ca="1" si="63"/>
        <v>3.4395052947962058E-2</v>
      </c>
      <c r="E346" s="51">
        <f t="shared" ca="1" si="69"/>
        <v>64.678099026242478</v>
      </c>
      <c r="F346" s="48">
        <f t="shared" ca="1" si="70"/>
        <v>10</v>
      </c>
      <c r="G346" s="48">
        <f ca="1">COUNTIF($P$47:P356,"&lt;"&amp;E346)</f>
        <v>289</v>
      </c>
      <c r="H346" s="48">
        <f t="shared" ca="1" si="71"/>
        <v>0</v>
      </c>
      <c r="I346" s="48" t="str">
        <f t="shared" ca="1" si="72"/>
        <v>Ocu</v>
      </c>
      <c r="J346" s="52">
        <f t="shared" ca="1" si="64"/>
        <v>11</v>
      </c>
      <c r="K346" s="53">
        <f t="shared" ca="1" si="61"/>
        <v>1.0257095989835818</v>
      </c>
      <c r="L346" s="54">
        <f t="shared" ca="1" si="73"/>
        <v>65.70380862522606</v>
      </c>
      <c r="M346" s="48">
        <f t="shared" ca="1" si="65"/>
        <v>0.215</v>
      </c>
      <c r="N346" s="48">
        <f t="shared" si="74"/>
        <v>6</v>
      </c>
      <c r="O346" s="51">
        <f t="shared" ca="1" si="66"/>
        <v>0.25618620847574569</v>
      </c>
      <c r="P346" s="51">
        <f t="shared" ca="1" si="67"/>
        <v>65.959994833701799</v>
      </c>
      <c r="Q346" s="55">
        <f t="shared" ca="1" si="75"/>
        <v>1.2818958074593212</v>
      </c>
    </row>
    <row r="347" spans="1:17" x14ac:dyDescent="0.25">
      <c r="A347" s="48">
        <v>301</v>
      </c>
      <c r="B347" s="48">
        <f t="shared" ca="1" si="62"/>
        <v>0.124</v>
      </c>
      <c r="C347" s="49">
        <f t="shared" si="68"/>
        <v>5</v>
      </c>
      <c r="D347" s="51">
        <f t="shared" ca="1" si="63"/>
        <v>0.41749474267542008</v>
      </c>
      <c r="E347" s="51">
        <f t="shared" ca="1" si="69"/>
        <v>65.095593768917894</v>
      </c>
      <c r="F347" s="48">
        <f t="shared" ca="1" si="70"/>
        <v>5</v>
      </c>
      <c r="G347" s="48">
        <f ca="1">COUNTIF($P$47:P357,"&lt;"&amp;E347)</f>
        <v>295</v>
      </c>
      <c r="H347" s="48">
        <f t="shared" ca="1" si="71"/>
        <v>6</v>
      </c>
      <c r="I347" s="48" t="str">
        <f t="shared" ca="1" si="72"/>
        <v>Ocu</v>
      </c>
      <c r="J347" s="52">
        <f t="shared" ca="1" si="64"/>
        <v>6</v>
      </c>
      <c r="K347" s="53">
        <f t="shared" ca="1" si="61"/>
        <v>0.86440106478390533</v>
      </c>
      <c r="L347" s="54">
        <f t="shared" ca="1" si="73"/>
        <v>65.959994833701799</v>
      </c>
      <c r="M347" s="48">
        <f t="shared" ca="1" si="65"/>
        <v>0.14499999999999999</v>
      </c>
      <c r="N347" s="48">
        <f t="shared" si="74"/>
        <v>6</v>
      </c>
      <c r="O347" s="51">
        <f t="shared" ca="1" si="66"/>
        <v>0.32183692276026044</v>
      </c>
      <c r="P347" s="51">
        <f t="shared" ca="1" si="67"/>
        <v>66.281831756462054</v>
      </c>
      <c r="Q347" s="55">
        <f t="shared" ca="1" si="75"/>
        <v>1.1862379875441604</v>
      </c>
    </row>
    <row r="348" spans="1:17" x14ac:dyDescent="0.25">
      <c r="A348" s="48">
        <v>302</v>
      </c>
      <c r="B348" s="48">
        <f t="shared" ca="1" si="62"/>
        <v>0.12</v>
      </c>
      <c r="C348" s="49">
        <f t="shared" si="68"/>
        <v>5</v>
      </c>
      <c r="D348" s="51">
        <f t="shared" ca="1" si="63"/>
        <v>0.4240527072400182</v>
      </c>
      <c r="E348" s="51">
        <f t="shared" ca="1" si="69"/>
        <v>65.519646476157916</v>
      </c>
      <c r="F348" s="48">
        <f t="shared" ca="1" si="70"/>
        <v>5</v>
      </c>
      <c r="G348" s="48">
        <f ca="1">COUNTIF($P$47:P358,"&lt;"&amp;E348)</f>
        <v>296</v>
      </c>
      <c r="H348" s="48">
        <f t="shared" ca="1" si="71"/>
        <v>1</v>
      </c>
      <c r="I348" s="48" t="str">
        <f t="shared" ca="1" si="72"/>
        <v>Ocu</v>
      </c>
      <c r="J348" s="52">
        <f t="shared" ca="1" si="64"/>
        <v>6</v>
      </c>
      <c r="K348" s="53">
        <f t="shared" ca="1" si="61"/>
        <v>0.76218528030413779</v>
      </c>
      <c r="L348" s="54">
        <f t="shared" ca="1" si="73"/>
        <v>66.281831756462054</v>
      </c>
      <c r="M348" s="48">
        <f t="shared" ca="1" si="65"/>
        <v>0.26100000000000001</v>
      </c>
      <c r="N348" s="48">
        <f t="shared" si="74"/>
        <v>6</v>
      </c>
      <c r="O348" s="51">
        <f t="shared" ca="1" si="66"/>
        <v>0.22387247860990725</v>
      </c>
      <c r="P348" s="51">
        <f t="shared" ca="1" si="67"/>
        <v>66.50570423507196</v>
      </c>
      <c r="Q348" s="55">
        <f t="shared" ca="1" si="75"/>
        <v>0.98605775891404335</v>
      </c>
    </row>
    <row r="349" spans="1:17" x14ac:dyDescent="0.25">
      <c r="A349" s="48">
        <v>303</v>
      </c>
      <c r="B349" s="48">
        <f t="shared" ca="1" si="62"/>
        <v>7.4999999999999997E-2</v>
      </c>
      <c r="C349" s="49">
        <f t="shared" si="68"/>
        <v>5</v>
      </c>
      <c r="D349" s="51">
        <f t="shared" ca="1" si="63"/>
        <v>0.5180534330891654</v>
      </c>
      <c r="E349" s="51">
        <f t="shared" ca="1" si="69"/>
        <v>66.037699909247081</v>
      </c>
      <c r="F349" s="48">
        <f t="shared" ca="1" si="70"/>
        <v>2</v>
      </c>
      <c r="G349" s="48">
        <f ca="1">COUNTIF($P$47:P359,"&lt;"&amp;E349)</f>
        <v>300</v>
      </c>
      <c r="H349" s="48">
        <f t="shared" ca="1" si="71"/>
        <v>4</v>
      </c>
      <c r="I349" s="48" t="str">
        <f t="shared" ca="1" si="72"/>
        <v>Ocu</v>
      </c>
      <c r="J349" s="52">
        <f t="shared" ca="1" si="64"/>
        <v>3</v>
      </c>
      <c r="K349" s="53">
        <f t="shared" ca="1" si="61"/>
        <v>0.46800432582487872</v>
      </c>
      <c r="L349" s="54">
        <f t="shared" ca="1" si="73"/>
        <v>66.50570423507196</v>
      </c>
      <c r="M349" s="48">
        <f t="shared" ca="1" si="65"/>
        <v>0.93600000000000005</v>
      </c>
      <c r="N349" s="48">
        <f t="shared" si="74"/>
        <v>6</v>
      </c>
      <c r="O349" s="51">
        <f t="shared" ca="1" si="66"/>
        <v>1.1023300417424164E-2</v>
      </c>
      <c r="P349" s="51">
        <f t="shared" ca="1" si="67"/>
        <v>66.51672753548938</v>
      </c>
      <c r="Q349" s="55">
        <f t="shared" ca="1" si="75"/>
        <v>0.47902762624229922</v>
      </c>
    </row>
    <row r="350" spans="1:17" x14ac:dyDescent="0.25">
      <c r="A350" s="48">
        <v>304</v>
      </c>
      <c r="B350" s="48">
        <f t="shared" ca="1" si="62"/>
        <v>0.17799999999999999</v>
      </c>
      <c r="C350" s="49">
        <f t="shared" si="68"/>
        <v>5</v>
      </c>
      <c r="D350" s="51">
        <f t="shared" ca="1" si="63"/>
        <v>0.34519434573801044</v>
      </c>
      <c r="E350" s="51">
        <f t="shared" ca="1" si="69"/>
        <v>66.382894254985089</v>
      </c>
      <c r="F350" s="48">
        <f t="shared" ca="1" si="70"/>
        <v>2</v>
      </c>
      <c r="G350" s="48">
        <f ca="1">COUNTIF($P$47:P360,"&lt;"&amp;E350)</f>
        <v>301</v>
      </c>
      <c r="H350" s="48">
        <f t="shared" ca="1" si="71"/>
        <v>1</v>
      </c>
      <c r="I350" s="48" t="str">
        <f t="shared" ca="1" si="72"/>
        <v>Ocu</v>
      </c>
      <c r="J350" s="52">
        <f t="shared" ca="1" si="64"/>
        <v>3</v>
      </c>
      <c r="K350" s="53">
        <f t="shared" ca="1" si="61"/>
        <v>0.133833280504291</v>
      </c>
      <c r="L350" s="54">
        <f t="shared" ca="1" si="73"/>
        <v>66.51672753548938</v>
      </c>
      <c r="M350" s="48">
        <f t="shared" ca="1" si="65"/>
        <v>0.58699999999999997</v>
      </c>
      <c r="N350" s="48">
        <f t="shared" si="74"/>
        <v>6</v>
      </c>
      <c r="O350" s="51">
        <f t="shared" ca="1" si="66"/>
        <v>8.8788409859006767E-2</v>
      </c>
      <c r="P350" s="51">
        <f t="shared" ca="1" si="67"/>
        <v>66.605515945348387</v>
      </c>
      <c r="Q350" s="55">
        <f t="shared" ca="1" si="75"/>
        <v>0.22262169036329738</v>
      </c>
    </row>
    <row r="351" spans="1:17" x14ac:dyDescent="0.25">
      <c r="A351" s="48">
        <v>305</v>
      </c>
      <c r="B351" s="48">
        <f t="shared" ca="1" si="62"/>
        <v>0.377</v>
      </c>
      <c r="C351" s="49">
        <f t="shared" si="68"/>
        <v>5</v>
      </c>
      <c r="D351" s="51">
        <f t="shared" ca="1" si="63"/>
        <v>0.19510201830682528</v>
      </c>
      <c r="E351" s="51">
        <f t="shared" ca="1" si="69"/>
        <v>66.577996273291916</v>
      </c>
      <c r="F351" s="48">
        <f t="shared" ca="1" si="70"/>
        <v>1</v>
      </c>
      <c r="G351" s="48">
        <f ca="1">COUNTIF($P$47:P361,"&lt;"&amp;E351)</f>
        <v>303</v>
      </c>
      <c r="H351" s="48">
        <f t="shared" ca="1" si="71"/>
        <v>2</v>
      </c>
      <c r="I351" s="48" t="str">
        <f t="shared" ca="1" si="72"/>
        <v>Ocu</v>
      </c>
      <c r="J351" s="52">
        <f t="shared" ca="1" si="64"/>
        <v>2</v>
      </c>
      <c r="K351" s="53">
        <f t="shared" ca="1" si="61"/>
        <v>2.7519672056470768E-2</v>
      </c>
      <c r="L351" s="54">
        <f t="shared" ca="1" si="73"/>
        <v>66.605515945348387</v>
      </c>
      <c r="M351" s="48">
        <f t="shared" ca="1" si="65"/>
        <v>0.77200000000000002</v>
      </c>
      <c r="N351" s="48">
        <f t="shared" si="74"/>
        <v>6</v>
      </c>
      <c r="O351" s="51">
        <f t="shared" ca="1" si="66"/>
        <v>4.3128454826226799E-2</v>
      </c>
      <c r="P351" s="51">
        <f t="shared" ca="1" si="67"/>
        <v>66.648644400174618</v>
      </c>
      <c r="Q351" s="55">
        <f t="shared" ca="1" si="75"/>
        <v>7.0648126882701945E-2</v>
      </c>
    </row>
    <row r="352" spans="1:17" x14ac:dyDescent="0.25">
      <c r="A352" s="48">
        <v>306</v>
      </c>
      <c r="B352" s="48">
        <f t="shared" ca="1" si="62"/>
        <v>0.17399999999999999</v>
      </c>
      <c r="C352" s="49">
        <f t="shared" si="68"/>
        <v>5</v>
      </c>
      <c r="D352" s="51">
        <f t="shared" ca="1" si="63"/>
        <v>0.34973999595352168</v>
      </c>
      <c r="E352" s="51">
        <f t="shared" ca="1" si="69"/>
        <v>66.927736269245443</v>
      </c>
      <c r="F352" s="48">
        <f t="shared" ca="1" si="70"/>
        <v>0</v>
      </c>
      <c r="G352" s="48">
        <f ca="1">COUNTIF($P$47:P362,"&lt;"&amp;E352)</f>
        <v>305</v>
      </c>
      <c r="H352" s="48">
        <f t="shared" ca="1" si="71"/>
        <v>2</v>
      </c>
      <c r="I352" s="48" t="str">
        <f t="shared" ca="1" si="72"/>
        <v>Des</v>
      </c>
      <c r="J352" s="52">
        <f t="shared" ca="1" si="64"/>
        <v>1</v>
      </c>
      <c r="K352" s="53">
        <f t="shared" ca="1" si="61"/>
        <v>0</v>
      </c>
      <c r="L352" s="54">
        <f t="shared" ca="1" si="73"/>
        <v>66.927736269245443</v>
      </c>
      <c r="M352" s="48">
        <f t="shared" ca="1" si="65"/>
        <v>0.17899999999999999</v>
      </c>
      <c r="N352" s="48">
        <f t="shared" si="74"/>
        <v>6</v>
      </c>
      <c r="O352" s="51">
        <f t="shared" ca="1" si="66"/>
        <v>0.28672824552356369</v>
      </c>
      <c r="P352" s="51">
        <f t="shared" ca="1" si="67"/>
        <v>67.214464514769006</v>
      </c>
      <c r="Q352" s="55">
        <f t="shared" ca="1" si="75"/>
        <v>0.28672824552356246</v>
      </c>
    </row>
    <row r="353" spans="1:17" x14ac:dyDescent="0.25">
      <c r="A353" s="48">
        <v>307</v>
      </c>
      <c r="B353" s="48">
        <f t="shared" ca="1" si="62"/>
        <v>0.98</v>
      </c>
      <c r="C353" s="49">
        <f t="shared" si="68"/>
        <v>5</v>
      </c>
      <c r="D353" s="51">
        <f t="shared" ca="1" si="63"/>
        <v>4.040541463503894E-3</v>
      </c>
      <c r="E353" s="51">
        <f t="shared" ca="1" si="69"/>
        <v>66.931776810708953</v>
      </c>
      <c r="F353" s="48">
        <f t="shared" ca="1" si="70"/>
        <v>1</v>
      </c>
      <c r="G353" s="48">
        <f ca="1">COUNTIF($P$47:P363,"&lt;"&amp;E353)</f>
        <v>305</v>
      </c>
      <c r="H353" s="48">
        <f t="shared" ca="1" si="71"/>
        <v>0</v>
      </c>
      <c r="I353" s="48" t="str">
        <f t="shared" ca="1" si="72"/>
        <v>Ocu</v>
      </c>
      <c r="J353" s="52">
        <f t="shared" ca="1" si="64"/>
        <v>2</v>
      </c>
      <c r="K353" s="53">
        <f t="shared" ca="1" si="61"/>
        <v>0.28268770406005217</v>
      </c>
      <c r="L353" s="54">
        <f t="shared" ca="1" si="73"/>
        <v>67.214464514769006</v>
      </c>
      <c r="M353" s="48">
        <f t="shared" ca="1" si="65"/>
        <v>0.61199999999999999</v>
      </c>
      <c r="N353" s="48">
        <f t="shared" si="74"/>
        <v>6</v>
      </c>
      <c r="O353" s="51">
        <f t="shared" ca="1" si="66"/>
        <v>8.1837166078301826E-2</v>
      </c>
      <c r="P353" s="51">
        <f t="shared" ca="1" si="67"/>
        <v>67.296301680847307</v>
      </c>
      <c r="Q353" s="55">
        <f t="shared" ca="1" si="75"/>
        <v>0.36452487013835366</v>
      </c>
    </row>
    <row r="354" spans="1:17" x14ac:dyDescent="0.25">
      <c r="A354" s="48">
        <v>308</v>
      </c>
      <c r="B354" s="48">
        <f t="shared" ca="1" si="62"/>
        <v>0.46700000000000003</v>
      </c>
      <c r="C354" s="49">
        <f t="shared" si="68"/>
        <v>5</v>
      </c>
      <c r="D354" s="51">
        <f t="shared" ca="1" si="63"/>
        <v>0.15228520426264794</v>
      </c>
      <c r="E354" s="51">
        <f t="shared" ca="1" si="69"/>
        <v>67.084062014971607</v>
      </c>
      <c r="F354" s="48">
        <f t="shared" ca="1" si="70"/>
        <v>2</v>
      </c>
      <c r="G354" s="48">
        <f ca="1">COUNTIF($P$47:P364,"&lt;"&amp;E354)</f>
        <v>305</v>
      </c>
      <c r="H354" s="48">
        <f t="shared" ca="1" si="71"/>
        <v>0</v>
      </c>
      <c r="I354" s="48" t="str">
        <f t="shared" ca="1" si="72"/>
        <v>Ocu</v>
      </c>
      <c r="J354" s="52">
        <f t="shared" ca="1" si="64"/>
        <v>3</v>
      </c>
      <c r="K354" s="53">
        <f t="shared" ca="1" si="61"/>
        <v>0.21223966587569976</v>
      </c>
      <c r="L354" s="54">
        <f t="shared" ca="1" si="73"/>
        <v>67.296301680847307</v>
      </c>
      <c r="M354" s="48">
        <f t="shared" ca="1" si="65"/>
        <v>0.28599999999999998</v>
      </c>
      <c r="N354" s="48">
        <f t="shared" si="74"/>
        <v>6</v>
      </c>
      <c r="O354" s="51">
        <f t="shared" ca="1" si="66"/>
        <v>0.20862724469371408</v>
      </c>
      <c r="P354" s="51">
        <f t="shared" ca="1" si="67"/>
        <v>67.504928925541023</v>
      </c>
      <c r="Q354" s="55">
        <f t="shared" ca="1" si="75"/>
        <v>0.42086691056941561</v>
      </c>
    </row>
    <row r="355" spans="1:17" x14ac:dyDescent="0.25">
      <c r="A355" s="48">
        <v>309</v>
      </c>
      <c r="B355" s="48">
        <f t="shared" ca="1" si="62"/>
        <v>0.54900000000000004</v>
      </c>
      <c r="C355" s="49">
        <f t="shared" si="68"/>
        <v>5</v>
      </c>
      <c r="D355" s="51">
        <f t="shared" ca="1" si="63"/>
        <v>0.11993136749452127</v>
      </c>
      <c r="E355" s="51">
        <f t="shared" ca="1" si="69"/>
        <v>67.203993382466123</v>
      </c>
      <c r="F355" s="48">
        <f t="shared" ca="1" si="70"/>
        <v>3</v>
      </c>
      <c r="G355" s="48">
        <f ca="1">COUNTIF($P$47:P365,"&lt;"&amp;E355)</f>
        <v>305</v>
      </c>
      <c r="H355" s="48">
        <f t="shared" ca="1" si="71"/>
        <v>0</v>
      </c>
      <c r="I355" s="48" t="str">
        <f t="shared" ca="1" si="72"/>
        <v>Ocu</v>
      </c>
      <c r="J355" s="52">
        <f t="shared" ca="1" si="64"/>
        <v>4</v>
      </c>
      <c r="K355" s="53">
        <f t="shared" ca="1" si="61"/>
        <v>0.30093554307489967</v>
      </c>
      <c r="L355" s="54">
        <f t="shared" ca="1" si="73"/>
        <v>67.504928925541023</v>
      </c>
      <c r="M355" s="48">
        <f t="shared" ca="1" si="65"/>
        <v>0.93500000000000005</v>
      </c>
      <c r="N355" s="48">
        <f t="shared" si="74"/>
        <v>6</v>
      </c>
      <c r="O355" s="51">
        <f t="shared" ca="1" si="66"/>
        <v>1.1201458282241648E-2</v>
      </c>
      <c r="P355" s="51">
        <f t="shared" ca="1" si="67"/>
        <v>67.516130383823267</v>
      </c>
      <c r="Q355" s="55">
        <f t="shared" ca="1" si="75"/>
        <v>0.31213700135714362</v>
      </c>
    </row>
    <row r="356" spans="1:17" x14ac:dyDescent="0.25">
      <c r="A356" s="48">
        <v>310</v>
      </c>
      <c r="B356" s="48">
        <f t="shared" ca="1" si="62"/>
        <v>4.4999999999999998E-2</v>
      </c>
      <c r="C356" s="49">
        <f t="shared" si="68"/>
        <v>5</v>
      </c>
      <c r="D356" s="51">
        <f t="shared" ca="1" si="63"/>
        <v>0.62021855784236346</v>
      </c>
      <c r="E356" s="51">
        <f t="shared" ca="1" si="69"/>
        <v>67.824211940308487</v>
      </c>
      <c r="F356" s="48">
        <f t="shared" ca="1" si="70"/>
        <v>0</v>
      </c>
      <c r="G356" s="48">
        <f ca="1">COUNTIF($P$47:P366,"&lt;"&amp;E356)</f>
        <v>309</v>
      </c>
      <c r="H356" s="48">
        <f t="shared" ca="1" si="71"/>
        <v>4</v>
      </c>
      <c r="I356" s="48" t="str">
        <f t="shared" ca="1" si="72"/>
        <v>Des</v>
      </c>
      <c r="J356" s="52">
        <f t="shared" ca="1" si="64"/>
        <v>1</v>
      </c>
      <c r="K356" s="53">
        <f t="shared" ca="1" si="61"/>
        <v>0</v>
      </c>
      <c r="L356" s="54">
        <f t="shared" ca="1" si="73"/>
        <v>67.824211940308487</v>
      </c>
      <c r="M356" s="48">
        <f t="shared" ca="1" si="65"/>
        <v>0.24</v>
      </c>
      <c r="N356" s="48">
        <f t="shared" si="74"/>
        <v>6</v>
      </c>
      <c r="O356" s="51">
        <f t="shared" ca="1" si="66"/>
        <v>0.2378527259400243</v>
      </c>
      <c r="P356" s="51">
        <f t="shared" ca="1" si="67"/>
        <v>68.062064666248517</v>
      </c>
      <c r="Q356" s="55">
        <f t="shared" ca="1" si="75"/>
        <v>0.23785272594003004</v>
      </c>
    </row>
    <row r="357" spans="1:17" x14ac:dyDescent="0.25">
      <c r="A357" s="48">
        <v>311</v>
      </c>
      <c r="B357" s="48">
        <f t="shared" ca="1" si="62"/>
        <v>0.95699999999999996</v>
      </c>
      <c r="C357" s="49">
        <f t="shared" si="68"/>
        <v>5</v>
      </c>
      <c r="D357" s="51">
        <f t="shared" ca="1" si="63"/>
        <v>8.7903775058365535E-3</v>
      </c>
      <c r="E357" s="51">
        <f t="shared" ca="1" si="69"/>
        <v>67.833002317814319</v>
      </c>
      <c r="F357" s="48">
        <f t="shared" ca="1" si="70"/>
        <v>1</v>
      </c>
      <c r="G357" s="48">
        <f ca="1">COUNTIF($P$47:P367,"&lt;"&amp;E357)</f>
        <v>309</v>
      </c>
      <c r="H357" s="48">
        <f t="shared" ca="1" si="71"/>
        <v>0</v>
      </c>
      <c r="I357" s="48" t="str">
        <f t="shared" ca="1" si="72"/>
        <v>Ocu</v>
      </c>
      <c r="J357" s="52">
        <f t="shared" ca="1" si="64"/>
        <v>2</v>
      </c>
      <c r="K357" s="53">
        <f t="shared" ca="1" si="61"/>
        <v>0.22906234843419782</v>
      </c>
      <c r="L357" s="54">
        <f t="shared" ca="1" si="73"/>
        <v>68.062064666248517</v>
      </c>
      <c r="M357" s="48">
        <f t="shared" ca="1" si="65"/>
        <v>0.22500000000000001</v>
      </c>
      <c r="N357" s="48">
        <f t="shared" si="74"/>
        <v>6</v>
      </c>
      <c r="O357" s="51">
        <f t="shared" ca="1" si="66"/>
        <v>0.24860914612961948</v>
      </c>
      <c r="P357" s="51">
        <f t="shared" ca="1" si="67"/>
        <v>68.310673812378141</v>
      </c>
      <c r="Q357" s="55">
        <f t="shared" ca="1" si="75"/>
        <v>0.47767149456382185</v>
      </c>
    </row>
    <row r="358" spans="1:17" x14ac:dyDescent="0.25">
      <c r="A358" s="48">
        <v>312</v>
      </c>
      <c r="B358" s="48">
        <f t="shared" ca="1" si="62"/>
        <v>0.60299999999999998</v>
      </c>
      <c r="C358" s="49">
        <f t="shared" si="68"/>
        <v>5</v>
      </c>
      <c r="D358" s="51">
        <f t="shared" ca="1" si="63"/>
        <v>0.10116761645099033</v>
      </c>
      <c r="E358" s="51">
        <f t="shared" ca="1" si="69"/>
        <v>67.934169934265313</v>
      </c>
      <c r="F358" s="48">
        <f t="shared" ca="1" si="70"/>
        <v>2</v>
      </c>
      <c r="G358" s="48">
        <f ca="1">COUNTIF($P$47:P368,"&lt;"&amp;E358)</f>
        <v>309</v>
      </c>
      <c r="H358" s="48">
        <f t="shared" ca="1" si="71"/>
        <v>0</v>
      </c>
      <c r="I358" s="48" t="str">
        <f t="shared" ca="1" si="72"/>
        <v>Ocu</v>
      </c>
      <c r="J358" s="52">
        <f t="shared" ca="1" si="64"/>
        <v>3</v>
      </c>
      <c r="K358" s="53">
        <f t="shared" ca="1" si="61"/>
        <v>0.37650387811282826</v>
      </c>
      <c r="L358" s="54">
        <f t="shared" ca="1" si="73"/>
        <v>68.310673812378141</v>
      </c>
      <c r="M358" s="48">
        <f t="shared" ca="1" si="65"/>
        <v>0.90100000000000002</v>
      </c>
      <c r="N358" s="48">
        <f t="shared" si="74"/>
        <v>6</v>
      </c>
      <c r="O358" s="51">
        <f t="shared" ca="1" si="66"/>
        <v>1.7375003562299846E-2</v>
      </c>
      <c r="P358" s="51">
        <f t="shared" ca="1" si="67"/>
        <v>68.328048815940434</v>
      </c>
      <c r="Q358" s="55">
        <f t="shared" ca="1" si="75"/>
        <v>0.39387888167512131</v>
      </c>
    </row>
    <row r="359" spans="1:17" x14ac:dyDescent="0.25">
      <c r="A359" s="48">
        <v>313</v>
      </c>
      <c r="B359" s="48">
        <f t="shared" ca="1" si="62"/>
        <v>0.85599999999999998</v>
      </c>
      <c r="C359" s="49">
        <f t="shared" si="68"/>
        <v>5</v>
      </c>
      <c r="D359" s="51">
        <f t="shared" ca="1" si="63"/>
        <v>3.1096980568078993E-2</v>
      </c>
      <c r="E359" s="51">
        <f t="shared" ca="1" si="69"/>
        <v>67.965266914833393</v>
      </c>
      <c r="F359" s="48">
        <f t="shared" ca="1" si="70"/>
        <v>3</v>
      </c>
      <c r="G359" s="48">
        <f ca="1">COUNTIF($P$47:P369,"&lt;"&amp;E359)</f>
        <v>309</v>
      </c>
      <c r="H359" s="48">
        <f t="shared" ca="1" si="71"/>
        <v>0</v>
      </c>
      <c r="I359" s="48" t="str">
        <f t="shared" ca="1" si="72"/>
        <v>Ocu</v>
      </c>
      <c r="J359" s="52">
        <f t="shared" ca="1" si="64"/>
        <v>4</v>
      </c>
      <c r="K359" s="53">
        <f t="shared" ca="1" si="61"/>
        <v>0.36278190110704145</v>
      </c>
      <c r="L359" s="54">
        <f t="shared" ca="1" si="73"/>
        <v>68.328048815940434</v>
      </c>
      <c r="M359" s="48">
        <f t="shared" ca="1" si="65"/>
        <v>0.33900000000000002</v>
      </c>
      <c r="N359" s="48">
        <f t="shared" si="74"/>
        <v>6</v>
      </c>
      <c r="O359" s="51">
        <f t="shared" ca="1" si="66"/>
        <v>0.18029252860028111</v>
      </c>
      <c r="P359" s="51">
        <f t="shared" ca="1" si="67"/>
        <v>68.50834134454071</v>
      </c>
      <c r="Q359" s="55">
        <f t="shared" ca="1" si="75"/>
        <v>0.54307442970731756</v>
      </c>
    </row>
    <row r="360" spans="1:17" x14ac:dyDescent="0.25">
      <c r="A360" s="48">
        <v>314</v>
      </c>
      <c r="B360" s="48">
        <f t="shared" ca="1" si="62"/>
        <v>0.94599999999999995</v>
      </c>
      <c r="C360" s="49">
        <f t="shared" si="68"/>
        <v>5</v>
      </c>
      <c r="D360" s="51">
        <f t="shared" ca="1" si="63"/>
        <v>1.1102541986051753E-2</v>
      </c>
      <c r="E360" s="51">
        <f t="shared" ca="1" si="69"/>
        <v>67.976369456819441</v>
      </c>
      <c r="F360" s="48">
        <f t="shared" ca="1" si="70"/>
        <v>4</v>
      </c>
      <c r="G360" s="48">
        <f ca="1">COUNTIF($P$47:P370,"&lt;"&amp;E360)</f>
        <v>309</v>
      </c>
      <c r="H360" s="48">
        <f t="shared" ca="1" si="71"/>
        <v>0</v>
      </c>
      <c r="I360" s="48" t="str">
        <f t="shared" ca="1" si="72"/>
        <v>Ocu</v>
      </c>
      <c r="J360" s="52">
        <f t="shared" ca="1" si="64"/>
        <v>5</v>
      </c>
      <c r="K360" s="53">
        <f t="shared" ca="1" si="61"/>
        <v>0.53197188772126935</v>
      </c>
      <c r="L360" s="54">
        <f t="shared" ca="1" si="73"/>
        <v>68.50834134454071</v>
      </c>
      <c r="M360" s="48">
        <f t="shared" ca="1" si="65"/>
        <v>0.64800000000000002</v>
      </c>
      <c r="N360" s="48">
        <f t="shared" si="74"/>
        <v>6</v>
      </c>
      <c r="O360" s="51">
        <f t="shared" ca="1" si="66"/>
        <v>7.2310763771643721E-2</v>
      </c>
      <c r="P360" s="51">
        <f t="shared" ca="1" si="67"/>
        <v>68.58065210831235</v>
      </c>
      <c r="Q360" s="55">
        <f t="shared" ca="1" si="75"/>
        <v>0.60428265149290894</v>
      </c>
    </row>
    <row r="361" spans="1:17" x14ac:dyDescent="0.25">
      <c r="A361" s="48">
        <v>315</v>
      </c>
      <c r="B361" s="48">
        <f t="shared" ca="1" si="62"/>
        <v>0.93300000000000005</v>
      </c>
      <c r="C361" s="49">
        <f t="shared" si="68"/>
        <v>5</v>
      </c>
      <c r="D361" s="51">
        <f t="shared" ca="1" si="63"/>
        <v>1.3870015626958649E-2</v>
      </c>
      <c r="E361" s="51">
        <f t="shared" ca="1" si="69"/>
        <v>67.990239472446405</v>
      </c>
      <c r="F361" s="48">
        <f t="shared" ca="1" si="70"/>
        <v>5</v>
      </c>
      <c r="G361" s="48">
        <f ca="1">COUNTIF($P$47:P371,"&lt;"&amp;E361)</f>
        <v>309</v>
      </c>
      <c r="H361" s="48">
        <f t="shared" ca="1" si="71"/>
        <v>0</v>
      </c>
      <c r="I361" s="48" t="str">
        <f t="shared" ca="1" si="72"/>
        <v>Ocu</v>
      </c>
      <c r="J361" s="52">
        <f t="shared" ca="1" si="64"/>
        <v>6</v>
      </c>
      <c r="K361" s="53">
        <f t="shared" ca="1" si="61"/>
        <v>0.59041263586594539</v>
      </c>
      <c r="L361" s="54">
        <f t="shared" ca="1" si="73"/>
        <v>68.58065210831235</v>
      </c>
      <c r="M361" s="48">
        <f t="shared" ca="1" si="65"/>
        <v>0.77300000000000002</v>
      </c>
      <c r="N361" s="48">
        <f t="shared" si="74"/>
        <v>6</v>
      </c>
      <c r="O361" s="51">
        <f t="shared" ca="1" si="66"/>
        <v>4.2912705065785831E-2</v>
      </c>
      <c r="P361" s="51">
        <f t="shared" ca="1" si="67"/>
        <v>68.623564813378138</v>
      </c>
      <c r="Q361" s="55">
        <f t="shared" ca="1" si="75"/>
        <v>0.63332534093173365</v>
      </c>
    </row>
    <row r="362" spans="1:17" x14ac:dyDescent="0.25">
      <c r="A362" s="48">
        <v>316</v>
      </c>
      <c r="B362" s="48">
        <f t="shared" ca="1" si="62"/>
        <v>0.85199999999999998</v>
      </c>
      <c r="C362" s="49">
        <f t="shared" si="68"/>
        <v>5</v>
      </c>
      <c r="D362" s="51">
        <f t="shared" ca="1" si="63"/>
        <v>3.2033750430564271E-2</v>
      </c>
      <c r="E362" s="51">
        <f t="shared" ca="1" si="69"/>
        <v>68.022273222876976</v>
      </c>
      <c r="F362" s="48">
        <f t="shared" ca="1" si="70"/>
        <v>6</v>
      </c>
      <c r="G362" s="48">
        <f ca="1">COUNTIF($P$47:P372,"&lt;"&amp;E362)</f>
        <v>309</v>
      </c>
      <c r="H362" s="48">
        <f t="shared" ca="1" si="71"/>
        <v>0</v>
      </c>
      <c r="I362" s="48" t="str">
        <f t="shared" ca="1" si="72"/>
        <v>Ocu</v>
      </c>
      <c r="J362" s="52">
        <f t="shared" ca="1" si="64"/>
        <v>7</v>
      </c>
      <c r="K362" s="53">
        <f t="shared" ca="1" si="61"/>
        <v>0.60129159050116243</v>
      </c>
      <c r="L362" s="54">
        <f t="shared" ca="1" si="73"/>
        <v>68.623564813378138</v>
      </c>
      <c r="M362" s="48">
        <f t="shared" ca="1" si="65"/>
        <v>0.46500000000000002</v>
      </c>
      <c r="N362" s="48">
        <f t="shared" si="74"/>
        <v>6</v>
      </c>
      <c r="O362" s="51">
        <f t="shared" ca="1" si="66"/>
        <v>0.12761964556579677</v>
      </c>
      <c r="P362" s="51">
        <f t="shared" ca="1" si="67"/>
        <v>68.751184458943939</v>
      </c>
      <c r="Q362" s="55">
        <f t="shared" ca="1" si="75"/>
        <v>0.7289112360669634</v>
      </c>
    </row>
    <row r="363" spans="1:17" x14ac:dyDescent="0.25">
      <c r="A363" s="48">
        <v>317</v>
      </c>
      <c r="B363" s="48">
        <f t="shared" ca="1" si="62"/>
        <v>0.86599999999999999</v>
      </c>
      <c r="C363" s="49">
        <f t="shared" si="68"/>
        <v>5</v>
      </c>
      <c r="D363" s="51">
        <f t="shared" ca="1" si="63"/>
        <v>2.8774074083940365E-2</v>
      </c>
      <c r="E363" s="51">
        <f t="shared" ca="1" si="69"/>
        <v>68.051047296960917</v>
      </c>
      <c r="F363" s="48">
        <f t="shared" ca="1" si="70"/>
        <v>7</v>
      </c>
      <c r="G363" s="48">
        <f ca="1">COUNTIF($P$47:P373,"&lt;"&amp;E363)</f>
        <v>309</v>
      </c>
      <c r="H363" s="48">
        <f t="shared" ca="1" si="71"/>
        <v>0</v>
      </c>
      <c r="I363" s="48" t="str">
        <f t="shared" ca="1" si="72"/>
        <v>Ocu</v>
      </c>
      <c r="J363" s="52">
        <f t="shared" ca="1" si="64"/>
        <v>8</v>
      </c>
      <c r="K363" s="53">
        <f t="shared" ca="1" si="61"/>
        <v>0.70013716198302234</v>
      </c>
      <c r="L363" s="54">
        <f t="shared" ca="1" si="73"/>
        <v>68.751184458943939</v>
      </c>
      <c r="M363" s="48">
        <f t="shared" ca="1" si="65"/>
        <v>0.97699999999999998</v>
      </c>
      <c r="N363" s="48">
        <f t="shared" si="74"/>
        <v>6</v>
      </c>
      <c r="O363" s="51">
        <f t="shared" ca="1" si="66"/>
        <v>3.8781044898923778E-3</v>
      </c>
      <c r="P363" s="51">
        <f t="shared" ca="1" si="67"/>
        <v>68.755062563433825</v>
      </c>
      <c r="Q363" s="55">
        <f t="shared" ca="1" si="75"/>
        <v>0.7040152664729078</v>
      </c>
    </row>
    <row r="364" spans="1:17" x14ac:dyDescent="0.25">
      <c r="A364" s="48">
        <v>318</v>
      </c>
      <c r="B364" s="48">
        <f t="shared" ca="1" si="62"/>
        <v>0.36399999999999999</v>
      </c>
      <c r="C364" s="49">
        <f t="shared" si="68"/>
        <v>5</v>
      </c>
      <c r="D364" s="51">
        <f t="shared" ca="1" si="63"/>
        <v>0.2021202822690793</v>
      </c>
      <c r="E364" s="51">
        <f t="shared" ca="1" si="69"/>
        <v>68.253167579229995</v>
      </c>
      <c r="F364" s="48">
        <f t="shared" ca="1" si="70"/>
        <v>7</v>
      </c>
      <c r="G364" s="48">
        <f ca="1">COUNTIF($P$47:P374,"&lt;"&amp;E364)</f>
        <v>310</v>
      </c>
      <c r="H364" s="48">
        <f t="shared" ca="1" si="71"/>
        <v>1</v>
      </c>
      <c r="I364" s="48" t="str">
        <f t="shared" ca="1" si="72"/>
        <v>Ocu</v>
      </c>
      <c r="J364" s="52">
        <f t="shared" ca="1" si="64"/>
        <v>8</v>
      </c>
      <c r="K364" s="53">
        <f t="shared" ca="1" si="61"/>
        <v>0.50189498420382961</v>
      </c>
      <c r="L364" s="54">
        <f t="shared" ca="1" si="73"/>
        <v>68.755062563433825</v>
      </c>
      <c r="M364" s="48">
        <f t="shared" ca="1" si="65"/>
        <v>0.88400000000000001</v>
      </c>
      <c r="N364" s="48">
        <f t="shared" si="74"/>
        <v>6</v>
      </c>
      <c r="O364" s="51">
        <f t="shared" ca="1" si="66"/>
        <v>2.0549702724082266E-2</v>
      </c>
      <c r="P364" s="51">
        <f t="shared" ca="1" si="67"/>
        <v>68.775612266157907</v>
      </c>
      <c r="Q364" s="55">
        <f t="shared" ca="1" si="75"/>
        <v>0.52244468692791202</v>
      </c>
    </row>
    <row r="365" spans="1:17" x14ac:dyDescent="0.25">
      <c r="A365" s="48">
        <v>319</v>
      </c>
      <c r="B365" s="48">
        <f t="shared" ca="1" si="62"/>
        <v>0.435</v>
      </c>
      <c r="C365" s="49">
        <f t="shared" si="68"/>
        <v>5</v>
      </c>
      <c r="D365" s="51">
        <f t="shared" ca="1" si="63"/>
        <v>0.16648184957869061</v>
      </c>
      <c r="E365" s="51">
        <f t="shared" ca="1" si="69"/>
        <v>68.419649428808683</v>
      </c>
      <c r="F365" s="48">
        <f t="shared" ca="1" si="70"/>
        <v>6</v>
      </c>
      <c r="G365" s="48">
        <f ca="1">COUNTIF($P$47:P375,"&lt;"&amp;E365)</f>
        <v>312</v>
      </c>
      <c r="H365" s="48">
        <f t="shared" ca="1" si="71"/>
        <v>2</v>
      </c>
      <c r="I365" s="48" t="str">
        <f t="shared" ca="1" si="72"/>
        <v>Ocu</v>
      </c>
      <c r="J365" s="52">
        <f t="shared" ca="1" si="64"/>
        <v>7</v>
      </c>
      <c r="K365" s="53">
        <f t="shared" ca="1" si="61"/>
        <v>0.35596283734922451</v>
      </c>
      <c r="L365" s="54">
        <f t="shared" ca="1" si="73"/>
        <v>68.775612266157907</v>
      </c>
      <c r="M365" s="48">
        <f t="shared" ca="1" si="65"/>
        <v>0.222</v>
      </c>
      <c r="N365" s="48">
        <f t="shared" si="74"/>
        <v>6</v>
      </c>
      <c r="O365" s="51">
        <f t="shared" ca="1" si="66"/>
        <v>0.25084631618497627</v>
      </c>
      <c r="P365" s="51">
        <f t="shared" ca="1" si="67"/>
        <v>69.026458582342883</v>
      </c>
      <c r="Q365" s="55">
        <f t="shared" ca="1" si="75"/>
        <v>0.60680915353420062</v>
      </c>
    </row>
    <row r="366" spans="1:17" x14ac:dyDescent="0.25">
      <c r="A366" s="48">
        <v>320</v>
      </c>
      <c r="B366" s="48">
        <f t="shared" ca="1" si="62"/>
        <v>0.59899999999999998</v>
      </c>
      <c r="C366" s="49">
        <f t="shared" si="68"/>
        <v>5</v>
      </c>
      <c r="D366" s="51">
        <f t="shared" ca="1" si="63"/>
        <v>0.10249873617333755</v>
      </c>
      <c r="E366" s="51">
        <f t="shared" ca="1" si="69"/>
        <v>68.522148164982013</v>
      </c>
      <c r="F366" s="48">
        <f t="shared" ca="1" si="70"/>
        <v>6</v>
      </c>
      <c r="G366" s="48">
        <f ca="1">COUNTIF($P$47:P376,"&lt;"&amp;E366)</f>
        <v>313</v>
      </c>
      <c r="H366" s="48">
        <f t="shared" ca="1" si="71"/>
        <v>1</v>
      </c>
      <c r="I366" s="48" t="str">
        <f t="shared" ca="1" si="72"/>
        <v>Ocu</v>
      </c>
      <c r="J366" s="52">
        <f t="shared" ca="1" si="64"/>
        <v>7</v>
      </c>
      <c r="K366" s="53">
        <f t="shared" ca="1" si="61"/>
        <v>0.50431041736086968</v>
      </c>
      <c r="L366" s="54">
        <f t="shared" ca="1" si="73"/>
        <v>69.026458582342883</v>
      </c>
      <c r="M366" s="48">
        <f t="shared" ca="1" si="65"/>
        <v>0.70599999999999996</v>
      </c>
      <c r="N366" s="48">
        <f t="shared" si="74"/>
        <v>6</v>
      </c>
      <c r="O366" s="51">
        <f t="shared" ca="1" si="66"/>
        <v>5.8023340248149174E-2</v>
      </c>
      <c r="P366" s="51">
        <f t="shared" ca="1" si="67"/>
        <v>69.084481922591038</v>
      </c>
      <c r="Q366" s="55">
        <f t="shared" ca="1" si="75"/>
        <v>0.56233375760902504</v>
      </c>
    </row>
    <row r="367" spans="1:17" x14ac:dyDescent="0.25">
      <c r="A367" s="48">
        <v>321</v>
      </c>
      <c r="B367" s="48">
        <f t="shared" ca="1" si="62"/>
        <v>0.40400000000000003</v>
      </c>
      <c r="C367" s="49">
        <f t="shared" si="68"/>
        <v>5</v>
      </c>
      <c r="D367" s="51">
        <f t="shared" ca="1" si="63"/>
        <v>0.18126808020419741</v>
      </c>
      <c r="E367" s="51">
        <f t="shared" ca="1" si="69"/>
        <v>68.703416245186204</v>
      </c>
      <c r="F367" s="48">
        <f t="shared" ca="1" si="70"/>
        <v>5</v>
      </c>
      <c r="G367" s="48">
        <f ca="1">COUNTIF($P$47:P377,"&lt;"&amp;E367)</f>
        <v>315</v>
      </c>
      <c r="H367" s="48">
        <f t="shared" ca="1" si="71"/>
        <v>2</v>
      </c>
      <c r="I367" s="48" t="str">
        <f t="shared" ca="1" si="72"/>
        <v>Ocu</v>
      </c>
      <c r="J367" s="52">
        <f t="shared" ca="1" si="64"/>
        <v>6</v>
      </c>
      <c r="K367" s="53">
        <f t="shared" ref="K367:K430" ca="1" si="76">L367-E367</f>
        <v>0.38106567740483399</v>
      </c>
      <c r="L367" s="54">
        <f t="shared" ca="1" si="73"/>
        <v>69.084481922591038</v>
      </c>
      <c r="M367" s="48">
        <f t="shared" ca="1" si="65"/>
        <v>0.56299999999999994</v>
      </c>
      <c r="N367" s="48">
        <f t="shared" si="74"/>
        <v>6</v>
      </c>
      <c r="O367" s="51">
        <f t="shared" ca="1" si="66"/>
        <v>9.5745941807074464E-2</v>
      </c>
      <c r="P367" s="51">
        <f t="shared" ca="1" si="67"/>
        <v>69.18022786439812</v>
      </c>
      <c r="Q367" s="55">
        <f t="shared" ca="1" si="75"/>
        <v>0.47681161921191517</v>
      </c>
    </row>
    <row r="368" spans="1:17" x14ac:dyDescent="0.25">
      <c r="A368" s="48">
        <v>322</v>
      </c>
      <c r="B368" s="48">
        <f t="shared" ref="B368:B431" ca="1" si="77">RANDBETWEEN(1,1000)/1000</f>
        <v>0.67700000000000005</v>
      </c>
      <c r="C368" s="49">
        <f t="shared" si="68"/>
        <v>5</v>
      </c>
      <c r="D368" s="51">
        <f t="shared" ref="D368:D431" ca="1" si="78">(1/C368)*(LN(1/B368))</f>
        <v>7.8016801213972392E-2</v>
      </c>
      <c r="E368" s="51">
        <f t="shared" ca="1" si="69"/>
        <v>68.781433046400181</v>
      </c>
      <c r="F368" s="48">
        <f t="shared" ca="1" si="70"/>
        <v>3</v>
      </c>
      <c r="G368" s="48">
        <f ca="1">COUNTIF($P$47:P378,"&lt;"&amp;E368)</f>
        <v>318</v>
      </c>
      <c r="H368" s="48">
        <f t="shared" ca="1" si="71"/>
        <v>3</v>
      </c>
      <c r="I368" s="48" t="str">
        <f t="shared" ca="1" si="72"/>
        <v>Ocu</v>
      </c>
      <c r="J368" s="52">
        <f t="shared" ref="J368:J431" ca="1" si="79">IF(I368="Des",1,IF(I368="Ocu",1+F368))</f>
        <v>4</v>
      </c>
      <c r="K368" s="53">
        <f t="shared" ca="1" si="76"/>
        <v>0.39879481799793837</v>
      </c>
      <c r="L368" s="54">
        <f t="shared" ca="1" si="73"/>
        <v>69.18022786439812</v>
      </c>
      <c r="M368" s="48">
        <f t="shared" ref="M368:M431" ca="1" si="80">RANDBETWEEN(1,1000)/1000</f>
        <v>0.63700000000000001</v>
      </c>
      <c r="N368" s="48">
        <f t="shared" si="74"/>
        <v>6</v>
      </c>
      <c r="O368" s="51">
        <f t="shared" ref="O368:O431" ca="1" si="81">(1/N368)*(LN(1/M368))</f>
        <v>7.5164270568328945E-2</v>
      </c>
      <c r="P368" s="51">
        <f t="shared" ref="P368:P431" ca="1" si="82">+L368+O368</f>
        <v>69.255392134966442</v>
      </c>
      <c r="Q368" s="55">
        <f t="shared" ca="1" si="75"/>
        <v>0.47395908856626079</v>
      </c>
    </row>
    <row r="369" spans="1:17" x14ac:dyDescent="0.25">
      <c r="A369" s="48">
        <v>323</v>
      </c>
      <c r="B369" s="48">
        <f t="shared" ca="1" si="77"/>
        <v>0.435</v>
      </c>
      <c r="C369" s="49">
        <f t="shared" ref="C369:C432" si="83">+C368</f>
        <v>5</v>
      </c>
      <c r="D369" s="51">
        <f t="shared" ca="1" si="78"/>
        <v>0.16648184957869061</v>
      </c>
      <c r="E369" s="51">
        <f t="shared" ref="E369:E432" ca="1" si="84">+D369+E368</f>
        <v>68.947914895978869</v>
      </c>
      <c r="F369" s="48">
        <f t="shared" ref="F369:F432" ca="1" si="85">+F368+1-(G369-G368)</f>
        <v>4</v>
      </c>
      <c r="G369" s="48">
        <f ca="1">COUNTIF($P$47:P379,"&lt;"&amp;E369)</f>
        <v>318</v>
      </c>
      <c r="H369" s="48">
        <f t="shared" ref="H369:H432" ca="1" si="86">+G369-G368</f>
        <v>0</v>
      </c>
      <c r="I369" s="48" t="str">
        <f t="shared" ref="I369:I432" ca="1" si="87">IF(E369&lt;P368,"Ocu","Des")</f>
        <v>Ocu</v>
      </c>
      <c r="J369" s="52">
        <f t="shared" ca="1" si="79"/>
        <v>5</v>
      </c>
      <c r="K369" s="53">
        <f t="shared" ca="1" si="76"/>
        <v>0.30747723898757329</v>
      </c>
      <c r="L369" s="54">
        <f t="shared" ref="L369:L432" ca="1" si="88">IF(I369="Des",E369,P368)</f>
        <v>69.255392134966442</v>
      </c>
      <c r="M369" s="48">
        <f t="shared" ca="1" si="80"/>
        <v>0.58499999999999996</v>
      </c>
      <c r="N369" s="48">
        <f t="shared" ref="N369:N432" si="89">+N368</f>
        <v>6</v>
      </c>
      <c r="O369" s="51">
        <f t="shared" ca="1" si="81"/>
        <v>8.935723862504677E-2</v>
      </c>
      <c r="P369" s="51">
        <f t="shared" ca="1" si="82"/>
        <v>69.344749373591483</v>
      </c>
      <c r="Q369" s="55">
        <f t="shared" ca="1" si="75"/>
        <v>0.39683447761261448</v>
      </c>
    </row>
    <row r="370" spans="1:17" x14ac:dyDescent="0.25">
      <c r="A370" s="48">
        <v>324</v>
      </c>
      <c r="B370" s="48">
        <f t="shared" ca="1" si="77"/>
        <v>0.95899999999999996</v>
      </c>
      <c r="C370" s="49">
        <f t="shared" si="83"/>
        <v>5</v>
      </c>
      <c r="D370" s="51">
        <f t="shared" ca="1" si="78"/>
        <v>8.372840819739779E-3</v>
      </c>
      <c r="E370" s="51">
        <f t="shared" ca="1" si="84"/>
        <v>68.956287736798615</v>
      </c>
      <c r="F370" s="48">
        <f t="shared" ca="1" si="85"/>
        <v>5</v>
      </c>
      <c r="G370" s="48">
        <f ca="1">COUNTIF($P$47:P380,"&lt;"&amp;E370)</f>
        <v>318</v>
      </c>
      <c r="H370" s="48">
        <f t="shared" ca="1" si="86"/>
        <v>0</v>
      </c>
      <c r="I370" s="48" t="str">
        <f t="shared" ca="1" si="87"/>
        <v>Ocu</v>
      </c>
      <c r="J370" s="52">
        <f t="shared" ca="1" si="79"/>
        <v>6</v>
      </c>
      <c r="K370" s="53">
        <f t="shared" ca="1" si="76"/>
        <v>0.3884616367928686</v>
      </c>
      <c r="L370" s="54">
        <f t="shared" ca="1" si="88"/>
        <v>69.344749373591483</v>
      </c>
      <c r="M370" s="48">
        <f t="shared" ca="1" si="80"/>
        <v>0.70299999999999996</v>
      </c>
      <c r="N370" s="48">
        <f t="shared" si="89"/>
        <v>6</v>
      </c>
      <c r="O370" s="51">
        <f t="shared" ca="1" si="81"/>
        <v>5.873306452857871E-2</v>
      </c>
      <c r="P370" s="51">
        <f t="shared" ca="1" si="82"/>
        <v>69.403482438120065</v>
      </c>
      <c r="Q370" s="55">
        <f t="shared" ref="Q370:Q433" ca="1" si="90">P370-E370</f>
        <v>0.44719470132145034</v>
      </c>
    </row>
    <row r="371" spans="1:17" x14ac:dyDescent="0.25">
      <c r="A371" s="48">
        <v>325</v>
      </c>
      <c r="B371" s="48">
        <f t="shared" ca="1" si="77"/>
        <v>0.61699999999999999</v>
      </c>
      <c r="C371" s="49">
        <f t="shared" si="83"/>
        <v>5</v>
      </c>
      <c r="D371" s="51">
        <f t="shared" ca="1" si="78"/>
        <v>9.6577251015349849E-2</v>
      </c>
      <c r="E371" s="51">
        <f t="shared" ca="1" si="84"/>
        <v>69.052864987813962</v>
      </c>
      <c r="F371" s="48">
        <f t="shared" ca="1" si="85"/>
        <v>5</v>
      </c>
      <c r="G371" s="48">
        <f ca="1">COUNTIF($P$47:P381,"&lt;"&amp;E371)</f>
        <v>319</v>
      </c>
      <c r="H371" s="48">
        <f t="shared" ca="1" si="86"/>
        <v>1</v>
      </c>
      <c r="I371" s="48" t="str">
        <f t="shared" ca="1" si="87"/>
        <v>Ocu</v>
      </c>
      <c r="J371" s="52">
        <f t="shared" ca="1" si="79"/>
        <v>6</v>
      </c>
      <c r="K371" s="53">
        <f t="shared" ca="1" si="76"/>
        <v>0.35061745030610325</v>
      </c>
      <c r="L371" s="54">
        <f t="shared" ca="1" si="88"/>
        <v>69.403482438120065</v>
      </c>
      <c r="M371" s="48">
        <f t="shared" ca="1" si="80"/>
        <v>0.73699999999999999</v>
      </c>
      <c r="N371" s="48">
        <f t="shared" si="89"/>
        <v>6</v>
      </c>
      <c r="O371" s="51">
        <f t="shared" ca="1" si="81"/>
        <v>5.0861231132133408E-2</v>
      </c>
      <c r="P371" s="51">
        <f t="shared" ca="1" si="82"/>
        <v>69.454343669252196</v>
      </c>
      <c r="Q371" s="55">
        <f t="shared" ca="1" si="90"/>
        <v>0.40147868143823473</v>
      </c>
    </row>
    <row r="372" spans="1:17" x14ac:dyDescent="0.25">
      <c r="A372" s="48">
        <v>326</v>
      </c>
      <c r="B372" s="48">
        <f t="shared" ca="1" si="77"/>
        <v>0.85399999999999998</v>
      </c>
      <c r="C372" s="49">
        <f t="shared" si="83"/>
        <v>5</v>
      </c>
      <c r="D372" s="51">
        <f t="shared" ca="1" si="78"/>
        <v>3.1564817038713437E-2</v>
      </c>
      <c r="E372" s="51">
        <f t="shared" ca="1" si="84"/>
        <v>69.084429804852675</v>
      </c>
      <c r="F372" s="48">
        <f t="shared" ca="1" si="85"/>
        <v>6</v>
      </c>
      <c r="G372" s="48">
        <f ca="1">COUNTIF($P$47:P382,"&lt;"&amp;E372)</f>
        <v>319</v>
      </c>
      <c r="H372" s="48">
        <f t="shared" ca="1" si="86"/>
        <v>0</v>
      </c>
      <c r="I372" s="48" t="str">
        <f t="shared" ca="1" si="87"/>
        <v>Ocu</v>
      </c>
      <c r="J372" s="52">
        <f t="shared" ca="1" si="79"/>
        <v>7</v>
      </c>
      <c r="K372" s="53">
        <f t="shared" ca="1" si="76"/>
        <v>0.36991386439952123</v>
      </c>
      <c r="L372" s="54">
        <f t="shared" ca="1" si="88"/>
        <v>69.454343669252196</v>
      </c>
      <c r="M372" s="48">
        <f t="shared" ca="1" si="80"/>
        <v>0.92900000000000005</v>
      </c>
      <c r="N372" s="48">
        <f t="shared" si="89"/>
        <v>6</v>
      </c>
      <c r="O372" s="51">
        <f t="shared" ca="1" si="81"/>
        <v>1.2274423361383084E-2</v>
      </c>
      <c r="P372" s="51">
        <f t="shared" ca="1" si="82"/>
        <v>69.466618092613587</v>
      </c>
      <c r="Q372" s="55">
        <f t="shared" ca="1" si="90"/>
        <v>0.38218828776091129</v>
      </c>
    </row>
    <row r="373" spans="1:17" x14ac:dyDescent="0.25">
      <c r="A373" s="48">
        <v>327</v>
      </c>
      <c r="B373" s="48">
        <f t="shared" ca="1" si="77"/>
        <v>0.45500000000000002</v>
      </c>
      <c r="C373" s="49">
        <f t="shared" si="83"/>
        <v>5</v>
      </c>
      <c r="D373" s="51">
        <f t="shared" ca="1" si="78"/>
        <v>0.15749157200623731</v>
      </c>
      <c r="E373" s="51">
        <f t="shared" ca="1" si="84"/>
        <v>69.241921376858912</v>
      </c>
      <c r="F373" s="48">
        <f t="shared" ca="1" si="85"/>
        <v>5</v>
      </c>
      <c r="G373" s="48">
        <f ca="1">COUNTIF($P$47:P383,"&lt;"&amp;E373)</f>
        <v>321</v>
      </c>
      <c r="H373" s="48">
        <f t="shared" ca="1" si="86"/>
        <v>2</v>
      </c>
      <c r="I373" s="48" t="str">
        <f t="shared" ca="1" si="87"/>
        <v>Ocu</v>
      </c>
      <c r="J373" s="52">
        <f t="shared" ca="1" si="79"/>
        <v>6</v>
      </c>
      <c r="K373" s="53">
        <f t="shared" ca="1" si="76"/>
        <v>0.22469671575467487</v>
      </c>
      <c r="L373" s="54">
        <f t="shared" ca="1" si="88"/>
        <v>69.466618092613587</v>
      </c>
      <c r="M373" s="48">
        <f t="shared" ca="1" si="80"/>
        <v>0.93100000000000005</v>
      </c>
      <c r="N373" s="48">
        <f t="shared" si="89"/>
        <v>6</v>
      </c>
      <c r="O373" s="51">
        <f t="shared" ca="1" si="81"/>
        <v>1.1916000284178337E-2</v>
      </c>
      <c r="P373" s="51">
        <f t="shared" ca="1" si="82"/>
        <v>69.47853409289776</v>
      </c>
      <c r="Q373" s="55">
        <f t="shared" ca="1" si="90"/>
        <v>0.2366127160388487</v>
      </c>
    </row>
    <row r="374" spans="1:17" x14ac:dyDescent="0.25">
      <c r="A374" s="48">
        <v>328</v>
      </c>
      <c r="B374" s="48">
        <f t="shared" ca="1" si="77"/>
        <v>0.75600000000000001</v>
      </c>
      <c r="C374" s="49">
        <f t="shared" si="83"/>
        <v>5</v>
      </c>
      <c r="D374" s="51">
        <f t="shared" ca="1" si="78"/>
        <v>5.5942780560520822E-2</v>
      </c>
      <c r="E374" s="51">
        <f t="shared" ca="1" si="84"/>
        <v>69.297864157419426</v>
      </c>
      <c r="F374" s="48">
        <f t="shared" ca="1" si="85"/>
        <v>5</v>
      </c>
      <c r="G374" s="48">
        <f ca="1">COUNTIF($P$47:P384,"&lt;"&amp;E374)</f>
        <v>322</v>
      </c>
      <c r="H374" s="48">
        <f t="shared" ca="1" si="86"/>
        <v>1</v>
      </c>
      <c r="I374" s="48" t="str">
        <f t="shared" ca="1" si="87"/>
        <v>Ocu</v>
      </c>
      <c r="J374" s="52">
        <f t="shared" ca="1" si="79"/>
        <v>6</v>
      </c>
      <c r="K374" s="53">
        <f t="shared" ca="1" si="76"/>
        <v>0.18066993547833476</v>
      </c>
      <c r="L374" s="54">
        <f t="shared" ca="1" si="88"/>
        <v>69.47853409289776</v>
      </c>
      <c r="M374" s="48">
        <f t="shared" ca="1" si="80"/>
        <v>0.88700000000000001</v>
      </c>
      <c r="N374" s="48">
        <f t="shared" si="89"/>
        <v>6</v>
      </c>
      <c r="O374" s="51">
        <f t="shared" ca="1" si="81"/>
        <v>1.9985049445426249E-2</v>
      </c>
      <c r="P374" s="51">
        <f t="shared" ca="1" si="82"/>
        <v>69.498519142343184</v>
      </c>
      <c r="Q374" s="55">
        <f t="shared" ca="1" si="90"/>
        <v>0.20065498492375866</v>
      </c>
    </row>
    <row r="375" spans="1:17" x14ac:dyDescent="0.25">
      <c r="A375" s="48">
        <v>329</v>
      </c>
      <c r="B375" s="48">
        <f t="shared" ca="1" si="77"/>
        <v>0.439</v>
      </c>
      <c r="C375" s="49">
        <f t="shared" si="83"/>
        <v>5</v>
      </c>
      <c r="D375" s="51">
        <f t="shared" ca="1" si="78"/>
        <v>0.16465117318139313</v>
      </c>
      <c r="E375" s="51">
        <f t="shared" ca="1" si="84"/>
        <v>69.462515330600823</v>
      </c>
      <c r="F375" s="48">
        <f t="shared" ca="1" si="85"/>
        <v>3</v>
      </c>
      <c r="G375" s="48">
        <f ca="1">COUNTIF($P$47:P385,"&lt;"&amp;E375)</f>
        <v>325</v>
      </c>
      <c r="H375" s="48">
        <f t="shared" ca="1" si="86"/>
        <v>3</v>
      </c>
      <c r="I375" s="48" t="str">
        <f t="shared" ca="1" si="87"/>
        <v>Ocu</v>
      </c>
      <c r="J375" s="52">
        <f t="shared" ca="1" si="79"/>
        <v>4</v>
      </c>
      <c r="K375" s="53">
        <f t="shared" ca="1" si="76"/>
        <v>3.6003811742361336E-2</v>
      </c>
      <c r="L375" s="54">
        <f t="shared" ca="1" si="88"/>
        <v>69.498519142343184</v>
      </c>
      <c r="M375" s="48">
        <f t="shared" ca="1" si="80"/>
        <v>0.72599999999999998</v>
      </c>
      <c r="N375" s="48">
        <f t="shared" si="89"/>
        <v>6</v>
      </c>
      <c r="O375" s="51">
        <f t="shared" ca="1" si="81"/>
        <v>5.3367544026223512E-2</v>
      </c>
      <c r="P375" s="51">
        <f t="shared" ca="1" si="82"/>
        <v>69.551886686369414</v>
      </c>
      <c r="Q375" s="55">
        <f t="shared" ca="1" si="90"/>
        <v>8.9371355768591343E-2</v>
      </c>
    </row>
    <row r="376" spans="1:17" x14ac:dyDescent="0.25">
      <c r="A376" s="48">
        <v>330</v>
      </c>
      <c r="B376" s="48">
        <f t="shared" ca="1" si="77"/>
        <v>0.61899999999999999</v>
      </c>
      <c r="C376" s="49">
        <f t="shared" si="83"/>
        <v>5</v>
      </c>
      <c r="D376" s="51">
        <f t="shared" ca="1" si="78"/>
        <v>9.5930001259508207E-2</v>
      </c>
      <c r="E376" s="51">
        <f t="shared" ca="1" si="84"/>
        <v>69.558445331860327</v>
      </c>
      <c r="F376" s="48">
        <f t="shared" ca="1" si="85"/>
        <v>0</v>
      </c>
      <c r="G376" s="48">
        <f ca="1">COUNTIF($P$47:P386,"&lt;"&amp;E376)</f>
        <v>329</v>
      </c>
      <c r="H376" s="48">
        <f t="shared" ca="1" si="86"/>
        <v>4</v>
      </c>
      <c r="I376" s="48" t="str">
        <f t="shared" ca="1" si="87"/>
        <v>Des</v>
      </c>
      <c r="J376" s="52">
        <f t="shared" ca="1" si="79"/>
        <v>1</v>
      </c>
      <c r="K376" s="53">
        <f t="shared" ca="1" si="76"/>
        <v>0</v>
      </c>
      <c r="L376" s="54">
        <f t="shared" ca="1" si="88"/>
        <v>69.558445331860327</v>
      </c>
      <c r="M376" s="48">
        <f t="shared" ca="1" si="80"/>
        <v>0.877</v>
      </c>
      <c r="N376" s="48">
        <f t="shared" si="89"/>
        <v>6</v>
      </c>
      <c r="O376" s="51">
        <f t="shared" ca="1" si="81"/>
        <v>2.1874714434992337E-2</v>
      </c>
      <c r="P376" s="51">
        <f t="shared" ca="1" si="82"/>
        <v>69.580320046295313</v>
      </c>
      <c r="Q376" s="55">
        <f t="shared" ca="1" si="90"/>
        <v>2.1874714434986231E-2</v>
      </c>
    </row>
    <row r="377" spans="1:17" x14ac:dyDescent="0.25">
      <c r="A377" s="48">
        <v>331</v>
      </c>
      <c r="B377" s="48">
        <f t="shared" ca="1" si="77"/>
        <v>0.39900000000000002</v>
      </c>
      <c r="C377" s="49">
        <f t="shared" si="83"/>
        <v>5</v>
      </c>
      <c r="D377" s="51">
        <f t="shared" ca="1" si="78"/>
        <v>0.18375877241845473</v>
      </c>
      <c r="E377" s="51">
        <f t="shared" ca="1" si="84"/>
        <v>69.742204104278784</v>
      </c>
      <c r="F377" s="48">
        <f t="shared" ca="1" si="85"/>
        <v>0</v>
      </c>
      <c r="G377" s="48">
        <f ca="1">COUNTIF($P$47:P387,"&lt;"&amp;E377)</f>
        <v>330</v>
      </c>
      <c r="H377" s="48">
        <f t="shared" ca="1" si="86"/>
        <v>1</v>
      </c>
      <c r="I377" s="48" t="str">
        <f t="shared" ca="1" si="87"/>
        <v>Des</v>
      </c>
      <c r="J377" s="52">
        <f t="shared" ca="1" si="79"/>
        <v>1</v>
      </c>
      <c r="K377" s="53">
        <f t="shared" ca="1" si="76"/>
        <v>0</v>
      </c>
      <c r="L377" s="54">
        <f t="shared" ca="1" si="88"/>
        <v>69.742204104278784</v>
      </c>
      <c r="M377" s="48">
        <f t="shared" ca="1" si="80"/>
        <v>0.875</v>
      </c>
      <c r="N377" s="48">
        <f t="shared" si="89"/>
        <v>6</v>
      </c>
      <c r="O377" s="51">
        <f t="shared" ca="1" si="81"/>
        <v>2.2255232104087093E-2</v>
      </c>
      <c r="P377" s="51">
        <f t="shared" ca="1" si="82"/>
        <v>69.76445933638287</v>
      </c>
      <c r="Q377" s="55">
        <f t="shared" ca="1" si="90"/>
        <v>2.2255232104086531E-2</v>
      </c>
    </row>
    <row r="378" spans="1:17" x14ac:dyDescent="0.25">
      <c r="A378" s="48">
        <v>332</v>
      </c>
      <c r="B378" s="48">
        <f t="shared" ca="1" si="77"/>
        <v>0.48599999999999999</v>
      </c>
      <c r="C378" s="49">
        <f t="shared" si="83"/>
        <v>5</v>
      </c>
      <c r="D378" s="51">
        <f t="shared" ca="1" si="78"/>
        <v>0.14430933101632867</v>
      </c>
      <c r="E378" s="51">
        <f t="shared" ca="1" si="84"/>
        <v>69.886513435295115</v>
      </c>
      <c r="F378" s="48">
        <f t="shared" ca="1" si="85"/>
        <v>0</v>
      </c>
      <c r="G378" s="48">
        <f ca="1">COUNTIF($P$47:P388,"&lt;"&amp;E378)</f>
        <v>331</v>
      </c>
      <c r="H378" s="48">
        <f t="shared" ca="1" si="86"/>
        <v>1</v>
      </c>
      <c r="I378" s="48" t="str">
        <f t="shared" ca="1" si="87"/>
        <v>Des</v>
      </c>
      <c r="J378" s="52">
        <f t="shared" ca="1" si="79"/>
        <v>1</v>
      </c>
      <c r="K378" s="53">
        <f t="shared" ca="1" si="76"/>
        <v>0</v>
      </c>
      <c r="L378" s="54">
        <f t="shared" ca="1" si="88"/>
        <v>69.886513435295115</v>
      </c>
      <c r="M378" s="48">
        <f t="shared" ca="1" si="80"/>
        <v>0.41799999999999998</v>
      </c>
      <c r="N378" s="48">
        <f t="shared" si="89"/>
        <v>6</v>
      </c>
      <c r="O378" s="51">
        <f t="shared" ca="1" si="81"/>
        <v>0.14537897440956343</v>
      </c>
      <c r="P378" s="51">
        <f t="shared" ca="1" si="82"/>
        <v>70.031892409704682</v>
      </c>
      <c r="Q378" s="55">
        <f t="shared" ca="1" si="90"/>
        <v>0.14537897440956726</v>
      </c>
    </row>
    <row r="379" spans="1:17" x14ac:dyDescent="0.25">
      <c r="A379" s="48">
        <v>333</v>
      </c>
      <c r="B379" s="48">
        <f t="shared" ca="1" si="77"/>
        <v>0.45200000000000001</v>
      </c>
      <c r="C379" s="49">
        <f t="shared" si="83"/>
        <v>5</v>
      </c>
      <c r="D379" s="51">
        <f t="shared" ca="1" si="78"/>
        <v>0.15881461982998116</v>
      </c>
      <c r="E379" s="51">
        <f t="shared" ca="1" si="84"/>
        <v>70.045328055125097</v>
      </c>
      <c r="F379" s="48">
        <f t="shared" ca="1" si="85"/>
        <v>0</v>
      </c>
      <c r="G379" s="48">
        <f ca="1">COUNTIF($P$47:P389,"&lt;"&amp;E379)</f>
        <v>332</v>
      </c>
      <c r="H379" s="48">
        <f t="shared" ca="1" si="86"/>
        <v>1</v>
      </c>
      <c r="I379" s="48" t="str">
        <f t="shared" ca="1" si="87"/>
        <v>Des</v>
      </c>
      <c r="J379" s="52">
        <f t="shared" ca="1" si="79"/>
        <v>1</v>
      </c>
      <c r="K379" s="53">
        <f t="shared" ca="1" si="76"/>
        <v>0</v>
      </c>
      <c r="L379" s="54">
        <f t="shared" ca="1" si="88"/>
        <v>70.045328055125097</v>
      </c>
      <c r="M379" s="48">
        <f t="shared" ca="1" si="80"/>
        <v>0.95099999999999996</v>
      </c>
      <c r="N379" s="48">
        <f t="shared" si="89"/>
        <v>6</v>
      </c>
      <c r="O379" s="51">
        <f t="shared" ca="1" si="81"/>
        <v>8.3735360727911438E-3</v>
      </c>
      <c r="P379" s="51">
        <f t="shared" ca="1" si="82"/>
        <v>70.053701591197893</v>
      </c>
      <c r="Q379" s="55">
        <f t="shared" ca="1" si="90"/>
        <v>8.3735360727956731E-3</v>
      </c>
    </row>
    <row r="380" spans="1:17" x14ac:dyDescent="0.25">
      <c r="A380" s="48">
        <v>334</v>
      </c>
      <c r="B380" s="48">
        <f t="shared" ca="1" si="77"/>
        <v>0.68100000000000005</v>
      </c>
      <c r="C380" s="49">
        <f t="shared" si="83"/>
        <v>5</v>
      </c>
      <c r="D380" s="51">
        <f t="shared" ca="1" si="78"/>
        <v>7.683859456652492E-2</v>
      </c>
      <c r="E380" s="51">
        <f t="shared" ca="1" si="84"/>
        <v>70.122166649691621</v>
      </c>
      <c r="F380" s="48">
        <f t="shared" ca="1" si="85"/>
        <v>0</v>
      </c>
      <c r="G380" s="48">
        <f ca="1">COUNTIF($P$47:P390,"&lt;"&amp;E380)</f>
        <v>333</v>
      </c>
      <c r="H380" s="48">
        <f t="shared" ca="1" si="86"/>
        <v>1</v>
      </c>
      <c r="I380" s="48" t="str">
        <f t="shared" ca="1" si="87"/>
        <v>Des</v>
      </c>
      <c r="J380" s="52">
        <f t="shared" ca="1" si="79"/>
        <v>1</v>
      </c>
      <c r="K380" s="53">
        <f t="shared" ca="1" si="76"/>
        <v>0</v>
      </c>
      <c r="L380" s="54">
        <f t="shared" ca="1" si="88"/>
        <v>70.122166649691621</v>
      </c>
      <c r="M380" s="48">
        <f t="shared" ca="1" si="80"/>
        <v>0.95</v>
      </c>
      <c r="N380" s="48">
        <f t="shared" si="89"/>
        <v>6</v>
      </c>
      <c r="O380" s="51">
        <f t="shared" ca="1" si="81"/>
        <v>8.548882397925079E-3</v>
      </c>
      <c r="P380" s="51">
        <f t="shared" ca="1" si="82"/>
        <v>70.130715532089553</v>
      </c>
      <c r="Q380" s="55">
        <f t="shared" ca="1" si="90"/>
        <v>8.548882397931834E-3</v>
      </c>
    </row>
    <row r="381" spans="1:17" x14ac:dyDescent="0.25">
      <c r="A381" s="48">
        <v>335</v>
      </c>
      <c r="B381" s="48">
        <f t="shared" ca="1" si="77"/>
        <v>0.66200000000000003</v>
      </c>
      <c r="C381" s="49">
        <f t="shared" si="83"/>
        <v>5</v>
      </c>
      <c r="D381" s="51">
        <f t="shared" ca="1" si="78"/>
        <v>8.2497944609025764E-2</v>
      </c>
      <c r="E381" s="51">
        <f t="shared" ca="1" si="84"/>
        <v>70.204664594300652</v>
      </c>
      <c r="F381" s="48">
        <f t="shared" ca="1" si="85"/>
        <v>0</v>
      </c>
      <c r="G381" s="48">
        <f ca="1">COUNTIF($P$47:P391,"&lt;"&amp;E381)</f>
        <v>334</v>
      </c>
      <c r="H381" s="48">
        <f t="shared" ca="1" si="86"/>
        <v>1</v>
      </c>
      <c r="I381" s="48" t="str">
        <f t="shared" ca="1" si="87"/>
        <v>Des</v>
      </c>
      <c r="J381" s="52">
        <f t="shared" ca="1" si="79"/>
        <v>1</v>
      </c>
      <c r="K381" s="53">
        <f t="shared" ca="1" si="76"/>
        <v>0</v>
      </c>
      <c r="L381" s="54">
        <f t="shared" ca="1" si="88"/>
        <v>70.204664594300652</v>
      </c>
      <c r="M381" s="48">
        <f t="shared" ca="1" si="80"/>
        <v>0.88600000000000001</v>
      </c>
      <c r="N381" s="48">
        <f t="shared" si="89"/>
        <v>6</v>
      </c>
      <c r="O381" s="51">
        <f t="shared" ca="1" si="81"/>
        <v>2.0173054729509362E-2</v>
      </c>
      <c r="P381" s="51">
        <f t="shared" ca="1" si="82"/>
        <v>70.224837649030164</v>
      </c>
      <c r="Q381" s="55">
        <f t="shared" ca="1" si="90"/>
        <v>2.0173054729511364E-2</v>
      </c>
    </row>
    <row r="382" spans="1:17" x14ac:dyDescent="0.25">
      <c r="A382" s="48">
        <v>336</v>
      </c>
      <c r="B382" s="48">
        <f t="shared" ca="1" si="77"/>
        <v>0.26900000000000002</v>
      </c>
      <c r="C382" s="49">
        <f t="shared" si="83"/>
        <v>5</v>
      </c>
      <c r="D382" s="51">
        <f t="shared" ca="1" si="78"/>
        <v>0.26260877987605963</v>
      </c>
      <c r="E382" s="51">
        <f t="shared" ca="1" si="84"/>
        <v>70.467273374176713</v>
      </c>
      <c r="F382" s="48">
        <f t="shared" ca="1" si="85"/>
        <v>0</v>
      </c>
      <c r="G382" s="48">
        <f ca="1">COUNTIF($P$47:P392,"&lt;"&amp;E382)</f>
        <v>335</v>
      </c>
      <c r="H382" s="48">
        <f t="shared" ca="1" si="86"/>
        <v>1</v>
      </c>
      <c r="I382" s="48" t="str">
        <f t="shared" ca="1" si="87"/>
        <v>Des</v>
      </c>
      <c r="J382" s="52">
        <f t="shared" ca="1" si="79"/>
        <v>1</v>
      </c>
      <c r="K382" s="53">
        <f t="shared" ca="1" si="76"/>
        <v>0</v>
      </c>
      <c r="L382" s="54">
        <f t="shared" ca="1" si="88"/>
        <v>70.467273374176713</v>
      </c>
      <c r="M382" s="48">
        <f t="shared" ca="1" si="80"/>
        <v>0.94099999999999995</v>
      </c>
      <c r="N382" s="48">
        <f t="shared" si="89"/>
        <v>6</v>
      </c>
      <c r="O382" s="51">
        <f t="shared" ca="1" si="81"/>
        <v>1.0135356566126255E-2</v>
      </c>
      <c r="P382" s="51">
        <f t="shared" ca="1" si="82"/>
        <v>70.477408730742837</v>
      </c>
      <c r="Q382" s="55">
        <f t="shared" ca="1" si="90"/>
        <v>1.0135356566124187E-2</v>
      </c>
    </row>
    <row r="383" spans="1:17" x14ac:dyDescent="0.25">
      <c r="A383" s="48">
        <v>337</v>
      </c>
      <c r="B383" s="48">
        <f t="shared" ca="1" si="77"/>
        <v>0.48099999999999998</v>
      </c>
      <c r="C383" s="49">
        <f t="shared" si="83"/>
        <v>5</v>
      </c>
      <c r="D383" s="51">
        <f t="shared" ca="1" si="78"/>
        <v>0.1463776017752752</v>
      </c>
      <c r="E383" s="51">
        <f t="shared" ca="1" si="84"/>
        <v>70.613650975951984</v>
      </c>
      <c r="F383" s="48">
        <f t="shared" ca="1" si="85"/>
        <v>0</v>
      </c>
      <c r="G383" s="48">
        <f ca="1">COUNTIF($P$47:P393,"&lt;"&amp;E383)</f>
        <v>336</v>
      </c>
      <c r="H383" s="48">
        <f t="shared" ca="1" si="86"/>
        <v>1</v>
      </c>
      <c r="I383" s="48" t="str">
        <f t="shared" ca="1" si="87"/>
        <v>Des</v>
      </c>
      <c r="J383" s="52">
        <f t="shared" ca="1" si="79"/>
        <v>1</v>
      </c>
      <c r="K383" s="53">
        <f t="shared" ca="1" si="76"/>
        <v>0</v>
      </c>
      <c r="L383" s="54">
        <f t="shared" ca="1" si="88"/>
        <v>70.613650975951984</v>
      </c>
      <c r="M383" s="48">
        <f t="shared" ca="1" si="80"/>
        <v>0.187</v>
      </c>
      <c r="N383" s="48">
        <f t="shared" si="89"/>
        <v>6</v>
      </c>
      <c r="O383" s="51">
        <f t="shared" ca="1" si="81"/>
        <v>0.27944111035459174</v>
      </c>
      <c r="P383" s="51">
        <f t="shared" ca="1" si="82"/>
        <v>70.893092086306581</v>
      </c>
      <c r="Q383" s="55">
        <f t="shared" ca="1" si="90"/>
        <v>0.27944111035459684</v>
      </c>
    </row>
    <row r="384" spans="1:17" x14ac:dyDescent="0.25">
      <c r="A384" s="48">
        <v>338</v>
      </c>
      <c r="B384" s="48">
        <f t="shared" ca="1" si="77"/>
        <v>0.41599999999999998</v>
      </c>
      <c r="C384" s="49">
        <f t="shared" si="83"/>
        <v>5</v>
      </c>
      <c r="D384" s="51">
        <f t="shared" ca="1" si="78"/>
        <v>0.17541400374417476</v>
      </c>
      <c r="E384" s="51">
        <f t="shared" ca="1" si="84"/>
        <v>70.789064979696164</v>
      </c>
      <c r="F384" s="48">
        <f t="shared" ca="1" si="85"/>
        <v>1</v>
      </c>
      <c r="G384" s="48">
        <f ca="1">COUNTIF($P$47:P394,"&lt;"&amp;E384)</f>
        <v>336</v>
      </c>
      <c r="H384" s="48">
        <f t="shared" ca="1" si="86"/>
        <v>0</v>
      </c>
      <c r="I384" s="48" t="str">
        <f t="shared" ca="1" si="87"/>
        <v>Ocu</v>
      </c>
      <c r="J384" s="52">
        <f t="shared" ca="1" si="79"/>
        <v>2</v>
      </c>
      <c r="K384" s="53">
        <f t="shared" ca="1" si="76"/>
        <v>0.10402710661041681</v>
      </c>
      <c r="L384" s="54">
        <f t="shared" ca="1" si="88"/>
        <v>70.893092086306581</v>
      </c>
      <c r="M384" s="48">
        <f t="shared" ca="1" si="80"/>
        <v>0.379</v>
      </c>
      <c r="N384" s="48">
        <f t="shared" si="89"/>
        <v>6</v>
      </c>
      <c r="O384" s="51">
        <f t="shared" ca="1" si="81"/>
        <v>0.1617031789832851</v>
      </c>
      <c r="P384" s="51">
        <f t="shared" ca="1" si="82"/>
        <v>71.054795265289869</v>
      </c>
      <c r="Q384" s="55">
        <f t="shared" ca="1" si="90"/>
        <v>0.26573028559370471</v>
      </c>
    </row>
    <row r="385" spans="1:17" x14ac:dyDescent="0.25">
      <c r="A385" s="48">
        <v>339</v>
      </c>
      <c r="B385" s="48">
        <f t="shared" ca="1" si="77"/>
        <v>0.44700000000000001</v>
      </c>
      <c r="C385" s="49">
        <f t="shared" si="83"/>
        <v>5</v>
      </c>
      <c r="D385" s="51">
        <f t="shared" ca="1" si="78"/>
        <v>0.16103933687371366</v>
      </c>
      <c r="E385" s="51">
        <f t="shared" ca="1" si="84"/>
        <v>70.950104316569877</v>
      </c>
      <c r="F385" s="48">
        <f t="shared" ca="1" si="85"/>
        <v>1</v>
      </c>
      <c r="G385" s="48">
        <f ca="1">COUNTIF($P$47:P395,"&lt;"&amp;E385)</f>
        <v>337</v>
      </c>
      <c r="H385" s="48">
        <f t="shared" ca="1" si="86"/>
        <v>1</v>
      </c>
      <c r="I385" s="48" t="str">
        <f t="shared" ca="1" si="87"/>
        <v>Ocu</v>
      </c>
      <c r="J385" s="52">
        <f t="shared" ca="1" si="79"/>
        <v>2</v>
      </c>
      <c r="K385" s="53">
        <f t="shared" ca="1" si="76"/>
        <v>0.10469094871999118</v>
      </c>
      <c r="L385" s="54">
        <f t="shared" ca="1" si="88"/>
        <v>71.054795265289869</v>
      </c>
      <c r="M385" s="48">
        <f t="shared" ca="1" si="80"/>
        <v>0.33400000000000002</v>
      </c>
      <c r="N385" s="48">
        <f t="shared" si="89"/>
        <v>6</v>
      </c>
      <c r="O385" s="51">
        <f t="shared" ca="1" si="81"/>
        <v>0.18276904766757274</v>
      </c>
      <c r="P385" s="51">
        <f t="shared" ca="1" si="82"/>
        <v>71.237564312957446</v>
      </c>
      <c r="Q385" s="55">
        <f t="shared" ca="1" si="90"/>
        <v>0.28745999638756814</v>
      </c>
    </row>
    <row r="386" spans="1:17" x14ac:dyDescent="0.25">
      <c r="A386" s="48">
        <v>340</v>
      </c>
      <c r="B386" s="48">
        <f t="shared" ca="1" si="77"/>
        <v>0.96699999999999997</v>
      </c>
      <c r="C386" s="49">
        <f t="shared" si="83"/>
        <v>5</v>
      </c>
      <c r="D386" s="51">
        <f t="shared" ca="1" si="78"/>
        <v>6.7113567057685538E-3</v>
      </c>
      <c r="E386" s="51">
        <f t="shared" ca="1" si="84"/>
        <v>70.956815673275642</v>
      </c>
      <c r="F386" s="48">
        <f t="shared" ca="1" si="85"/>
        <v>2</v>
      </c>
      <c r="G386" s="48">
        <f ca="1">COUNTIF($P$47:P396,"&lt;"&amp;E386)</f>
        <v>337</v>
      </c>
      <c r="H386" s="48">
        <f t="shared" ca="1" si="86"/>
        <v>0</v>
      </c>
      <c r="I386" s="48" t="str">
        <f t="shared" ca="1" si="87"/>
        <v>Ocu</v>
      </c>
      <c r="J386" s="52">
        <f t="shared" ca="1" si="79"/>
        <v>3</v>
      </c>
      <c r="K386" s="53">
        <f t="shared" ca="1" si="76"/>
        <v>0.28074863968180352</v>
      </c>
      <c r="L386" s="54">
        <f t="shared" ca="1" si="88"/>
        <v>71.237564312957446</v>
      </c>
      <c r="M386" s="48">
        <f t="shared" ca="1" si="80"/>
        <v>0.69099999999999995</v>
      </c>
      <c r="N386" s="48">
        <f t="shared" si="89"/>
        <v>6</v>
      </c>
      <c r="O386" s="51">
        <f t="shared" ca="1" si="81"/>
        <v>6.1602575869077872E-2</v>
      </c>
      <c r="P386" s="51">
        <f t="shared" ca="1" si="82"/>
        <v>71.29916688882652</v>
      </c>
      <c r="Q386" s="55">
        <f t="shared" ca="1" si="90"/>
        <v>0.34235121555087744</v>
      </c>
    </row>
    <row r="387" spans="1:17" x14ac:dyDescent="0.25">
      <c r="A387" s="48">
        <v>341</v>
      </c>
      <c r="B387" s="48">
        <f t="shared" ca="1" si="77"/>
        <v>0.95399999999999996</v>
      </c>
      <c r="C387" s="49">
        <f t="shared" si="83"/>
        <v>5</v>
      </c>
      <c r="D387" s="51">
        <f t="shared" ca="1" si="78"/>
        <v>9.4183215067701193E-3</v>
      </c>
      <c r="E387" s="51">
        <f t="shared" ca="1" si="84"/>
        <v>70.966233994782414</v>
      </c>
      <c r="F387" s="48">
        <f t="shared" ca="1" si="85"/>
        <v>3</v>
      </c>
      <c r="G387" s="48">
        <f ca="1">COUNTIF($P$47:P397,"&lt;"&amp;E387)</f>
        <v>337</v>
      </c>
      <c r="H387" s="48">
        <f t="shared" ca="1" si="86"/>
        <v>0</v>
      </c>
      <c r="I387" s="48" t="str">
        <f t="shared" ca="1" si="87"/>
        <v>Ocu</v>
      </c>
      <c r="J387" s="52">
        <f t="shared" ca="1" si="79"/>
        <v>4</v>
      </c>
      <c r="K387" s="53">
        <f t="shared" ca="1" si="76"/>
        <v>0.33293289404410586</v>
      </c>
      <c r="L387" s="54">
        <f t="shared" ca="1" si="88"/>
        <v>71.29916688882652</v>
      </c>
      <c r="M387" s="48">
        <f t="shared" ca="1" si="80"/>
        <v>0.219</v>
      </c>
      <c r="N387" s="48">
        <f t="shared" si="89"/>
        <v>6</v>
      </c>
      <c r="O387" s="51">
        <f t="shared" ca="1" si="81"/>
        <v>0.25311392486093937</v>
      </c>
      <c r="P387" s="51">
        <f t="shared" ca="1" si="82"/>
        <v>71.55228081368746</v>
      </c>
      <c r="Q387" s="55">
        <f t="shared" ca="1" si="90"/>
        <v>0.58604681890504651</v>
      </c>
    </row>
    <row r="388" spans="1:17" x14ac:dyDescent="0.25">
      <c r="A388" s="48">
        <v>342</v>
      </c>
      <c r="B388" s="48">
        <f t="shared" ca="1" si="77"/>
        <v>0.99</v>
      </c>
      <c r="C388" s="49">
        <f t="shared" si="83"/>
        <v>5</v>
      </c>
      <c r="D388" s="51">
        <f t="shared" ca="1" si="78"/>
        <v>2.0100671707003015E-3</v>
      </c>
      <c r="E388" s="51">
        <f t="shared" ca="1" si="84"/>
        <v>70.968244061953115</v>
      </c>
      <c r="F388" s="48">
        <f t="shared" ca="1" si="85"/>
        <v>4</v>
      </c>
      <c r="G388" s="48">
        <f ca="1">COUNTIF($P$47:P398,"&lt;"&amp;E388)</f>
        <v>337</v>
      </c>
      <c r="H388" s="48">
        <f t="shared" ca="1" si="86"/>
        <v>0</v>
      </c>
      <c r="I388" s="48" t="str">
        <f t="shared" ca="1" si="87"/>
        <v>Ocu</v>
      </c>
      <c r="J388" s="52">
        <f t="shared" ca="1" si="79"/>
        <v>5</v>
      </c>
      <c r="K388" s="53">
        <f t="shared" ca="1" si="76"/>
        <v>0.58403675173434522</v>
      </c>
      <c r="L388" s="54">
        <f t="shared" ca="1" si="88"/>
        <v>71.55228081368746</v>
      </c>
      <c r="M388" s="48">
        <f t="shared" ca="1" si="80"/>
        <v>0.94399999999999995</v>
      </c>
      <c r="N388" s="48">
        <f t="shared" si="89"/>
        <v>6</v>
      </c>
      <c r="O388" s="51">
        <f t="shared" ca="1" si="81"/>
        <v>9.6048521394394033E-3</v>
      </c>
      <c r="P388" s="51">
        <f t="shared" ca="1" si="82"/>
        <v>71.561885665826907</v>
      </c>
      <c r="Q388" s="55">
        <f t="shared" ca="1" si="90"/>
        <v>0.59364160387379172</v>
      </c>
    </row>
    <row r="389" spans="1:17" x14ac:dyDescent="0.25">
      <c r="A389" s="48">
        <v>343</v>
      </c>
      <c r="B389" s="48">
        <f t="shared" ca="1" si="77"/>
        <v>0.56699999999999995</v>
      </c>
      <c r="C389" s="49">
        <f t="shared" si="83"/>
        <v>5</v>
      </c>
      <c r="D389" s="51">
        <f t="shared" ca="1" si="78"/>
        <v>0.113479195050877</v>
      </c>
      <c r="E389" s="51">
        <f t="shared" ca="1" si="84"/>
        <v>71.081723257003986</v>
      </c>
      <c r="F389" s="48">
        <f t="shared" ca="1" si="85"/>
        <v>4</v>
      </c>
      <c r="G389" s="48">
        <f ca="1">COUNTIF($P$47:P399,"&lt;"&amp;E389)</f>
        <v>338</v>
      </c>
      <c r="H389" s="48">
        <f t="shared" ca="1" si="86"/>
        <v>1</v>
      </c>
      <c r="I389" s="48" t="str">
        <f t="shared" ca="1" si="87"/>
        <v>Ocu</v>
      </c>
      <c r="J389" s="52">
        <f t="shared" ca="1" si="79"/>
        <v>5</v>
      </c>
      <c r="K389" s="53">
        <f t="shared" ca="1" si="76"/>
        <v>0.48016240882292038</v>
      </c>
      <c r="L389" s="54">
        <f t="shared" ca="1" si="88"/>
        <v>71.561885665826907</v>
      </c>
      <c r="M389" s="48">
        <f t="shared" ca="1" si="80"/>
        <v>0.495</v>
      </c>
      <c r="N389" s="48">
        <f t="shared" si="89"/>
        <v>6</v>
      </c>
      <c r="O389" s="51">
        <f t="shared" ca="1" si="81"/>
        <v>0.1171995860689078</v>
      </c>
      <c r="P389" s="51">
        <f t="shared" ca="1" si="82"/>
        <v>71.679085251895813</v>
      </c>
      <c r="Q389" s="55">
        <f t="shared" ca="1" si="90"/>
        <v>0.59736199489182695</v>
      </c>
    </row>
    <row r="390" spans="1:17" x14ac:dyDescent="0.25">
      <c r="A390" s="48">
        <v>344</v>
      </c>
      <c r="B390" s="48">
        <f t="shared" ca="1" si="77"/>
        <v>0.374</v>
      </c>
      <c r="C390" s="49">
        <f t="shared" si="83"/>
        <v>5</v>
      </c>
      <c r="D390" s="51">
        <f t="shared" ca="1" si="78"/>
        <v>0.19669989631352103</v>
      </c>
      <c r="E390" s="51">
        <f t="shared" ca="1" si="84"/>
        <v>71.278423153317505</v>
      </c>
      <c r="F390" s="48">
        <f t="shared" ca="1" si="85"/>
        <v>4</v>
      </c>
      <c r="G390" s="48">
        <f ca="1">COUNTIF($P$47:P400,"&lt;"&amp;E390)</f>
        <v>339</v>
      </c>
      <c r="H390" s="48">
        <f t="shared" ca="1" si="86"/>
        <v>1</v>
      </c>
      <c r="I390" s="48" t="str">
        <f t="shared" ca="1" si="87"/>
        <v>Ocu</v>
      </c>
      <c r="J390" s="52">
        <f t="shared" ca="1" si="79"/>
        <v>5</v>
      </c>
      <c r="K390" s="53">
        <f t="shared" ca="1" si="76"/>
        <v>0.4006620985783087</v>
      </c>
      <c r="L390" s="54">
        <f t="shared" ca="1" si="88"/>
        <v>71.679085251895813</v>
      </c>
      <c r="M390" s="48">
        <f t="shared" ca="1" si="80"/>
        <v>0.29199999999999998</v>
      </c>
      <c r="N390" s="48">
        <f t="shared" si="89"/>
        <v>6</v>
      </c>
      <c r="O390" s="51">
        <f t="shared" ca="1" si="81"/>
        <v>0.20516691278564259</v>
      </c>
      <c r="P390" s="51">
        <f t="shared" ca="1" si="82"/>
        <v>71.884252164681456</v>
      </c>
      <c r="Q390" s="55">
        <f t="shared" ca="1" si="90"/>
        <v>0.60582901136395151</v>
      </c>
    </row>
    <row r="391" spans="1:17" x14ac:dyDescent="0.25">
      <c r="A391" s="48">
        <v>345</v>
      </c>
      <c r="B391" s="48">
        <f t="shared" ca="1" si="77"/>
        <v>0.96699999999999997</v>
      </c>
      <c r="C391" s="49">
        <f t="shared" si="83"/>
        <v>5</v>
      </c>
      <c r="D391" s="51">
        <f t="shared" ca="1" si="78"/>
        <v>6.7113567057685538E-3</v>
      </c>
      <c r="E391" s="51">
        <f t="shared" ca="1" si="84"/>
        <v>71.285134510023269</v>
      </c>
      <c r="F391" s="48">
        <f t="shared" ca="1" si="85"/>
        <v>5</v>
      </c>
      <c r="G391" s="48">
        <f ca="1">COUNTIF($P$47:P401,"&lt;"&amp;E391)</f>
        <v>339</v>
      </c>
      <c r="H391" s="48">
        <f t="shared" ca="1" si="86"/>
        <v>0</v>
      </c>
      <c r="I391" s="48" t="str">
        <f t="shared" ca="1" si="87"/>
        <v>Ocu</v>
      </c>
      <c r="J391" s="52">
        <f t="shared" ca="1" si="79"/>
        <v>6</v>
      </c>
      <c r="K391" s="53">
        <f t="shared" ca="1" si="76"/>
        <v>0.59911765465818689</v>
      </c>
      <c r="L391" s="54">
        <f t="shared" ca="1" si="88"/>
        <v>71.884252164681456</v>
      </c>
      <c r="M391" s="48">
        <f t="shared" ca="1" si="80"/>
        <v>0.68500000000000005</v>
      </c>
      <c r="N391" s="48">
        <f t="shared" si="89"/>
        <v>6</v>
      </c>
      <c r="O391" s="51">
        <f t="shared" ca="1" si="81"/>
        <v>6.3056073453318623E-2</v>
      </c>
      <c r="P391" s="51">
        <f t="shared" ca="1" si="82"/>
        <v>71.947308238134781</v>
      </c>
      <c r="Q391" s="55">
        <f t="shared" ca="1" si="90"/>
        <v>0.66217372811151165</v>
      </c>
    </row>
    <row r="392" spans="1:17" x14ac:dyDescent="0.25">
      <c r="A392" s="48">
        <v>346</v>
      </c>
      <c r="B392" s="48">
        <f t="shared" ca="1" si="77"/>
        <v>0.19600000000000001</v>
      </c>
      <c r="C392" s="49">
        <f t="shared" si="83"/>
        <v>5</v>
      </c>
      <c r="D392" s="51">
        <f t="shared" ca="1" si="78"/>
        <v>0.325928123950324</v>
      </c>
      <c r="E392" s="51">
        <f t="shared" ca="1" si="84"/>
        <v>71.611062633973589</v>
      </c>
      <c r="F392" s="48">
        <f t="shared" ca="1" si="85"/>
        <v>3</v>
      </c>
      <c r="G392" s="48">
        <f ca="1">COUNTIF($P$47:P402,"&lt;"&amp;E392)</f>
        <v>342</v>
      </c>
      <c r="H392" s="48">
        <f t="shared" ca="1" si="86"/>
        <v>3</v>
      </c>
      <c r="I392" s="48" t="str">
        <f t="shared" ca="1" si="87"/>
        <v>Ocu</v>
      </c>
      <c r="J392" s="52">
        <f t="shared" ca="1" si="79"/>
        <v>4</v>
      </c>
      <c r="K392" s="53">
        <f t="shared" ca="1" si="76"/>
        <v>0.33624560416119209</v>
      </c>
      <c r="L392" s="54">
        <f t="shared" ca="1" si="88"/>
        <v>71.947308238134781</v>
      </c>
      <c r="M392" s="48">
        <f t="shared" ca="1" si="80"/>
        <v>0.13100000000000001</v>
      </c>
      <c r="N392" s="48">
        <f t="shared" si="89"/>
        <v>6</v>
      </c>
      <c r="O392" s="51">
        <f t="shared" ca="1" si="81"/>
        <v>0.33875965929683094</v>
      </c>
      <c r="P392" s="51">
        <f t="shared" ca="1" si="82"/>
        <v>72.286067897431607</v>
      </c>
      <c r="Q392" s="55">
        <f t="shared" ca="1" si="90"/>
        <v>0.67500526345801859</v>
      </c>
    </row>
    <row r="393" spans="1:17" x14ac:dyDescent="0.25">
      <c r="A393" s="48">
        <v>347</v>
      </c>
      <c r="B393" s="48">
        <f t="shared" ca="1" si="77"/>
        <v>0.255</v>
      </c>
      <c r="C393" s="49">
        <f t="shared" si="83"/>
        <v>5</v>
      </c>
      <c r="D393" s="51">
        <f t="shared" ca="1" si="78"/>
        <v>0.27329834676474218</v>
      </c>
      <c r="E393" s="51">
        <f t="shared" ca="1" si="84"/>
        <v>71.884360980738336</v>
      </c>
      <c r="F393" s="48">
        <f t="shared" ca="1" si="85"/>
        <v>2</v>
      </c>
      <c r="G393" s="48">
        <f ca="1">COUNTIF($P$47:P403,"&lt;"&amp;E393)</f>
        <v>344</v>
      </c>
      <c r="H393" s="48">
        <f t="shared" ca="1" si="86"/>
        <v>2</v>
      </c>
      <c r="I393" s="48" t="str">
        <f t="shared" ca="1" si="87"/>
        <v>Ocu</v>
      </c>
      <c r="J393" s="52">
        <f t="shared" ca="1" si="79"/>
        <v>3</v>
      </c>
      <c r="K393" s="53">
        <f t="shared" ca="1" si="76"/>
        <v>0.40170691669327141</v>
      </c>
      <c r="L393" s="54">
        <f t="shared" ca="1" si="88"/>
        <v>72.286067897431607</v>
      </c>
      <c r="M393" s="48">
        <f t="shared" ca="1" si="80"/>
        <v>0.90900000000000003</v>
      </c>
      <c r="N393" s="48">
        <f t="shared" si="89"/>
        <v>6</v>
      </c>
      <c r="O393" s="51">
        <f t="shared" ca="1" si="81"/>
        <v>1.5901697467443045E-2</v>
      </c>
      <c r="P393" s="51">
        <f t="shared" ca="1" si="82"/>
        <v>72.301969594899049</v>
      </c>
      <c r="Q393" s="55">
        <f t="shared" ca="1" si="90"/>
        <v>0.41760861416071293</v>
      </c>
    </row>
    <row r="394" spans="1:17" x14ac:dyDescent="0.25">
      <c r="A394" s="48">
        <v>348</v>
      </c>
      <c r="B394" s="48">
        <f t="shared" ca="1" si="77"/>
        <v>0.16600000000000001</v>
      </c>
      <c r="C394" s="49">
        <f t="shared" si="83"/>
        <v>5</v>
      </c>
      <c r="D394" s="51">
        <f t="shared" ca="1" si="78"/>
        <v>0.35915349812511876</v>
      </c>
      <c r="E394" s="51">
        <f t="shared" ca="1" si="84"/>
        <v>72.24351447886346</v>
      </c>
      <c r="F394" s="48">
        <f t="shared" ca="1" si="85"/>
        <v>2</v>
      </c>
      <c r="G394" s="48">
        <f ca="1">COUNTIF($P$47:P404,"&lt;"&amp;E394)</f>
        <v>345</v>
      </c>
      <c r="H394" s="48">
        <f t="shared" ca="1" si="86"/>
        <v>1</v>
      </c>
      <c r="I394" s="48" t="str">
        <f t="shared" ca="1" si="87"/>
        <v>Ocu</v>
      </c>
      <c r="J394" s="52">
        <f t="shared" ca="1" si="79"/>
        <v>3</v>
      </c>
      <c r="K394" s="53">
        <f t="shared" ca="1" si="76"/>
        <v>5.8455116035588617E-2</v>
      </c>
      <c r="L394" s="54">
        <f t="shared" ca="1" si="88"/>
        <v>72.301969594899049</v>
      </c>
      <c r="M394" s="48">
        <f t="shared" ca="1" si="80"/>
        <v>0.68</v>
      </c>
      <c r="N394" s="48">
        <f t="shared" si="89"/>
        <v>6</v>
      </c>
      <c r="O394" s="51">
        <f t="shared" ca="1" si="81"/>
        <v>6.4277080135330761E-2</v>
      </c>
      <c r="P394" s="51">
        <f t="shared" ca="1" si="82"/>
        <v>72.366246675034375</v>
      </c>
      <c r="Q394" s="55">
        <f t="shared" ca="1" si="90"/>
        <v>0.12273219617091513</v>
      </c>
    </row>
    <row r="395" spans="1:17" x14ac:dyDescent="0.25">
      <c r="A395" s="48">
        <v>349</v>
      </c>
      <c r="B395" s="48">
        <f t="shared" ca="1" si="77"/>
        <v>0.27</v>
      </c>
      <c r="C395" s="49">
        <f t="shared" si="83"/>
        <v>5</v>
      </c>
      <c r="D395" s="51">
        <f t="shared" ca="1" si="78"/>
        <v>0.26186666399675246</v>
      </c>
      <c r="E395" s="51">
        <f t="shared" ca="1" si="84"/>
        <v>72.505381142860216</v>
      </c>
      <c r="F395" s="48">
        <f t="shared" ca="1" si="85"/>
        <v>0</v>
      </c>
      <c r="G395" s="48">
        <f ca="1">COUNTIF($P$47:P405,"&lt;"&amp;E395)</f>
        <v>348</v>
      </c>
      <c r="H395" s="48">
        <f t="shared" ca="1" si="86"/>
        <v>3</v>
      </c>
      <c r="I395" s="48" t="str">
        <f t="shared" ca="1" si="87"/>
        <v>Des</v>
      </c>
      <c r="J395" s="52">
        <f t="shared" ca="1" si="79"/>
        <v>1</v>
      </c>
      <c r="K395" s="53">
        <f t="shared" ca="1" si="76"/>
        <v>0</v>
      </c>
      <c r="L395" s="54">
        <f t="shared" ca="1" si="88"/>
        <v>72.505381142860216</v>
      </c>
      <c r="M395" s="48">
        <f t="shared" ca="1" si="80"/>
        <v>0.67800000000000005</v>
      </c>
      <c r="N395" s="48">
        <f t="shared" si="89"/>
        <v>6</v>
      </c>
      <c r="O395" s="51">
        <f t="shared" ca="1" si="81"/>
        <v>6.47679985069569E-2</v>
      </c>
      <c r="P395" s="51">
        <f t="shared" ca="1" si="82"/>
        <v>72.570149141367168</v>
      </c>
      <c r="Q395" s="55">
        <f t="shared" ca="1" si="90"/>
        <v>6.4767998506951585E-2</v>
      </c>
    </row>
    <row r="396" spans="1:17" x14ac:dyDescent="0.25">
      <c r="A396" s="48">
        <v>350</v>
      </c>
      <c r="B396" s="48">
        <f t="shared" ca="1" si="77"/>
        <v>5.0000000000000001E-3</v>
      </c>
      <c r="C396" s="49">
        <f t="shared" si="83"/>
        <v>5</v>
      </c>
      <c r="D396" s="51">
        <f t="shared" ca="1" si="78"/>
        <v>1.0596634733096073</v>
      </c>
      <c r="E396" s="51">
        <f t="shared" ca="1" si="84"/>
        <v>73.565044616169828</v>
      </c>
      <c r="F396" s="48">
        <f t="shared" ca="1" si="85"/>
        <v>0</v>
      </c>
      <c r="G396" s="48">
        <f ca="1">COUNTIF($P$47:P406,"&lt;"&amp;E396)</f>
        <v>349</v>
      </c>
      <c r="H396" s="48">
        <f t="shared" ca="1" si="86"/>
        <v>1</v>
      </c>
      <c r="I396" s="48" t="str">
        <f t="shared" ca="1" si="87"/>
        <v>Des</v>
      </c>
      <c r="J396" s="52">
        <f t="shared" ca="1" si="79"/>
        <v>1</v>
      </c>
      <c r="K396" s="53">
        <f t="shared" ca="1" si="76"/>
        <v>0</v>
      </c>
      <c r="L396" s="54">
        <f t="shared" ca="1" si="88"/>
        <v>73.565044616169828</v>
      </c>
      <c r="M396" s="48">
        <f t="shared" ca="1" si="80"/>
        <v>0.41699999999999998</v>
      </c>
      <c r="N396" s="48">
        <f t="shared" si="89"/>
        <v>6</v>
      </c>
      <c r="O396" s="51">
        <f t="shared" ca="1" si="81"/>
        <v>0.14577817619722261</v>
      </c>
      <c r="P396" s="51">
        <f t="shared" ca="1" si="82"/>
        <v>73.710822792367054</v>
      </c>
      <c r="Q396" s="55">
        <f t="shared" ca="1" si="90"/>
        <v>0.14577817619722566</v>
      </c>
    </row>
    <row r="397" spans="1:17" x14ac:dyDescent="0.25">
      <c r="A397" s="48">
        <v>351</v>
      </c>
      <c r="B397" s="48">
        <f t="shared" ca="1" si="77"/>
        <v>0.65200000000000002</v>
      </c>
      <c r="C397" s="49">
        <f t="shared" si="83"/>
        <v>5</v>
      </c>
      <c r="D397" s="51">
        <f t="shared" ca="1" si="78"/>
        <v>8.5542143411096838E-2</v>
      </c>
      <c r="E397" s="51">
        <f t="shared" ca="1" si="84"/>
        <v>73.650586759580932</v>
      </c>
      <c r="F397" s="48">
        <f t="shared" ca="1" si="85"/>
        <v>1</v>
      </c>
      <c r="G397" s="48">
        <f ca="1">COUNTIF($P$47:P407,"&lt;"&amp;E397)</f>
        <v>349</v>
      </c>
      <c r="H397" s="48">
        <f t="shared" ca="1" si="86"/>
        <v>0</v>
      </c>
      <c r="I397" s="48" t="str">
        <f t="shared" ca="1" si="87"/>
        <v>Ocu</v>
      </c>
      <c r="J397" s="52">
        <f t="shared" ca="1" si="79"/>
        <v>2</v>
      </c>
      <c r="K397" s="53">
        <f t="shared" ca="1" si="76"/>
        <v>6.0236032786121996E-2</v>
      </c>
      <c r="L397" s="54">
        <f t="shared" ca="1" si="88"/>
        <v>73.710822792367054</v>
      </c>
      <c r="M397" s="48">
        <f t="shared" ca="1" si="80"/>
        <v>0.51800000000000002</v>
      </c>
      <c r="N397" s="48">
        <f t="shared" si="89"/>
        <v>6</v>
      </c>
      <c r="O397" s="51">
        <f t="shared" ca="1" si="81"/>
        <v>0.10963000612044232</v>
      </c>
      <c r="P397" s="51">
        <f t="shared" ca="1" si="82"/>
        <v>73.820452798487494</v>
      </c>
      <c r="Q397" s="55">
        <f t="shared" ca="1" si="90"/>
        <v>0.16986603890656227</v>
      </c>
    </row>
    <row r="398" spans="1:17" x14ac:dyDescent="0.25">
      <c r="A398" s="48">
        <v>352</v>
      </c>
      <c r="B398" s="48">
        <f t="shared" ca="1" si="77"/>
        <v>0.36899999999999999</v>
      </c>
      <c r="C398" s="49">
        <f t="shared" si="83"/>
        <v>5</v>
      </c>
      <c r="D398" s="51">
        <f t="shared" ca="1" si="78"/>
        <v>0.19939172698832197</v>
      </c>
      <c r="E398" s="51">
        <f t="shared" ca="1" si="84"/>
        <v>73.849978486569256</v>
      </c>
      <c r="F398" s="48">
        <f t="shared" ca="1" si="85"/>
        <v>0</v>
      </c>
      <c r="G398" s="48">
        <f ca="1">COUNTIF($P$47:P408,"&lt;"&amp;E398)</f>
        <v>351</v>
      </c>
      <c r="H398" s="48">
        <f t="shared" ca="1" si="86"/>
        <v>2</v>
      </c>
      <c r="I398" s="48" t="str">
        <f t="shared" ca="1" si="87"/>
        <v>Des</v>
      </c>
      <c r="J398" s="52">
        <f t="shared" ca="1" si="79"/>
        <v>1</v>
      </c>
      <c r="K398" s="53">
        <f t="shared" ca="1" si="76"/>
        <v>0</v>
      </c>
      <c r="L398" s="54">
        <f t="shared" ca="1" si="88"/>
        <v>73.849978486569256</v>
      </c>
      <c r="M398" s="48">
        <f t="shared" ca="1" si="80"/>
        <v>0.93</v>
      </c>
      <c r="N398" s="48">
        <f t="shared" si="89"/>
        <v>6</v>
      </c>
      <c r="O398" s="51">
        <f t="shared" ca="1" si="81"/>
        <v>1.2095115472472561E-2</v>
      </c>
      <c r="P398" s="51">
        <f t="shared" ca="1" si="82"/>
        <v>73.862073602041733</v>
      </c>
      <c r="Q398" s="55">
        <f t="shared" ca="1" si="90"/>
        <v>1.2095115472476436E-2</v>
      </c>
    </row>
    <row r="399" spans="1:17" x14ac:dyDescent="0.25">
      <c r="A399" s="48">
        <v>353</v>
      </c>
      <c r="B399" s="48">
        <f t="shared" ca="1" si="77"/>
        <v>0.91500000000000004</v>
      </c>
      <c r="C399" s="49">
        <f t="shared" si="83"/>
        <v>5</v>
      </c>
      <c r="D399" s="51">
        <f t="shared" ca="1" si="78"/>
        <v>1.7766242741323126E-2</v>
      </c>
      <c r="E399" s="51">
        <f t="shared" ca="1" si="84"/>
        <v>73.867744729310573</v>
      </c>
      <c r="F399" s="48">
        <f t="shared" ca="1" si="85"/>
        <v>0</v>
      </c>
      <c r="G399" s="48">
        <f ca="1">COUNTIF($P$47:P409,"&lt;"&amp;E399)</f>
        <v>352</v>
      </c>
      <c r="H399" s="48">
        <f t="shared" ca="1" si="86"/>
        <v>1</v>
      </c>
      <c r="I399" s="48" t="str">
        <f t="shared" ca="1" si="87"/>
        <v>Des</v>
      </c>
      <c r="J399" s="52">
        <f t="shared" ca="1" si="79"/>
        <v>1</v>
      </c>
      <c r="K399" s="53">
        <f t="shared" ca="1" si="76"/>
        <v>0</v>
      </c>
      <c r="L399" s="54">
        <f t="shared" ca="1" si="88"/>
        <v>73.867744729310573</v>
      </c>
      <c r="M399" s="48">
        <f t="shared" ca="1" si="80"/>
        <v>1.9E-2</v>
      </c>
      <c r="N399" s="48">
        <f t="shared" si="89"/>
        <v>6</v>
      </c>
      <c r="O399" s="51">
        <f t="shared" ca="1" si="81"/>
        <v>0.66055271663594939</v>
      </c>
      <c r="P399" s="51">
        <f t="shared" ca="1" si="82"/>
        <v>74.528297445946521</v>
      </c>
      <c r="Q399" s="55">
        <f t="shared" ca="1" si="90"/>
        <v>0.66055271663594795</v>
      </c>
    </row>
    <row r="400" spans="1:17" x14ac:dyDescent="0.25">
      <c r="A400" s="48">
        <v>354</v>
      </c>
      <c r="B400" s="48">
        <f t="shared" ca="1" si="77"/>
        <v>0.878</v>
      </c>
      <c r="C400" s="49">
        <f t="shared" si="83"/>
        <v>5</v>
      </c>
      <c r="D400" s="51">
        <f t="shared" ca="1" si="78"/>
        <v>2.6021737069404072E-2</v>
      </c>
      <c r="E400" s="51">
        <f t="shared" ca="1" si="84"/>
        <v>73.893766466379972</v>
      </c>
      <c r="F400" s="48">
        <f t="shared" ca="1" si="85"/>
        <v>1</v>
      </c>
      <c r="G400" s="48">
        <f ca="1">COUNTIF($P$47:P410,"&lt;"&amp;E400)</f>
        <v>352</v>
      </c>
      <c r="H400" s="48">
        <f t="shared" ca="1" si="86"/>
        <v>0</v>
      </c>
      <c r="I400" s="48" t="str">
        <f t="shared" ca="1" si="87"/>
        <v>Ocu</v>
      </c>
      <c r="J400" s="52">
        <f t="shared" ca="1" si="79"/>
        <v>2</v>
      </c>
      <c r="K400" s="53">
        <f t="shared" ca="1" si="76"/>
        <v>0.63453097956654858</v>
      </c>
      <c r="L400" s="54">
        <f t="shared" ca="1" si="88"/>
        <v>74.528297445946521</v>
      </c>
      <c r="M400" s="48">
        <f t="shared" ca="1" si="80"/>
        <v>0.88300000000000001</v>
      </c>
      <c r="N400" s="48">
        <f t="shared" si="89"/>
        <v>6</v>
      </c>
      <c r="O400" s="51">
        <f t="shared" ca="1" si="81"/>
        <v>2.0738346396362843E-2</v>
      </c>
      <c r="P400" s="51">
        <f t="shared" ca="1" si="82"/>
        <v>74.549035792342877</v>
      </c>
      <c r="Q400" s="55">
        <f t="shared" ca="1" si="90"/>
        <v>0.65526932596290521</v>
      </c>
    </row>
    <row r="401" spans="1:17" x14ac:dyDescent="0.25">
      <c r="A401" s="48">
        <v>355</v>
      </c>
      <c r="B401" s="48">
        <f t="shared" ca="1" si="77"/>
        <v>0.48899999999999999</v>
      </c>
      <c r="C401" s="49">
        <f t="shared" si="83"/>
        <v>5</v>
      </c>
      <c r="D401" s="51">
        <f t="shared" ca="1" si="78"/>
        <v>0.14307855790145302</v>
      </c>
      <c r="E401" s="51">
        <f t="shared" ca="1" si="84"/>
        <v>74.036845024281419</v>
      </c>
      <c r="F401" s="48">
        <f t="shared" ca="1" si="85"/>
        <v>2</v>
      </c>
      <c r="G401" s="48">
        <f ca="1">COUNTIF($P$47:P411,"&lt;"&amp;E401)</f>
        <v>352</v>
      </c>
      <c r="H401" s="48">
        <f t="shared" ca="1" si="86"/>
        <v>0</v>
      </c>
      <c r="I401" s="48" t="str">
        <f t="shared" ca="1" si="87"/>
        <v>Ocu</v>
      </c>
      <c r="J401" s="52">
        <f t="shared" ca="1" si="79"/>
        <v>3</v>
      </c>
      <c r="K401" s="53">
        <f t="shared" ca="1" si="76"/>
        <v>0.51219076806145836</v>
      </c>
      <c r="L401" s="54">
        <f t="shared" ca="1" si="88"/>
        <v>74.549035792342877</v>
      </c>
      <c r="M401" s="48">
        <f t="shared" ca="1" si="80"/>
        <v>0.53600000000000003</v>
      </c>
      <c r="N401" s="48">
        <f t="shared" si="89"/>
        <v>6</v>
      </c>
      <c r="O401" s="51">
        <f t="shared" ca="1" si="81"/>
        <v>0.1039368529852225</v>
      </c>
      <c r="P401" s="51">
        <f t="shared" ca="1" si="82"/>
        <v>74.652972645328106</v>
      </c>
      <c r="Q401" s="55">
        <f t="shared" ca="1" si="90"/>
        <v>0.61612762104668661</v>
      </c>
    </row>
    <row r="402" spans="1:17" x14ac:dyDescent="0.25">
      <c r="A402" s="48">
        <v>356</v>
      </c>
      <c r="B402" s="48">
        <f t="shared" ca="1" si="77"/>
        <v>0.89500000000000002</v>
      </c>
      <c r="C402" s="49">
        <f t="shared" si="83"/>
        <v>5</v>
      </c>
      <c r="D402" s="51">
        <f t="shared" ca="1" si="78"/>
        <v>2.2186312141456326E-2</v>
      </c>
      <c r="E402" s="51">
        <f t="shared" ca="1" si="84"/>
        <v>74.059031336422876</v>
      </c>
      <c r="F402" s="48">
        <f t="shared" ca="1" si="85"/>
        <v>3</v>
      </c>
      <c r="G402" s="48">
        <f ca="1">COUNTIF($P$47:P412,"&lt;"&amp;E402)</f>
        <v>352</v>
      </c>
      <c r="H402" s="48">
        <f t="shared" ca="1" si="86"/>
        <v>0</v>
      </c>
      <c r="I402" s="48" t="str">
        <f t="shared" ca="1" si="87"/>
        <v>Ocu</v>
      </c>
      <c r="J402" s="52">
        <f t="shared" ca="1" si="79"/>
        <v>4</v>
      </c>
      <c r="K402" s="53">
        <f t="shared" ca="1" si="76"/>
        <v>0.59394130890522945</v>
      </c>
      <c r="L402" s="54">
        <f t="shared" ca="1" si="88"/>
        <v>74.652972645328106</v>
      </c>
      <c r="M402" s="48">
        <f t="shared" ca="1" si="80"/>
        <v>0.85699999999999998</v>
      </c>
      <c r="N402" s="48">
        <f t="shared" si="89"/>
        <v>6</v>
      </c>
      <c r="O402" s="51">
        <f t="shared" ca="1" si="81"/>
        <v>2.5719560064059545E-2</v>
      </c>
      <c r="P402" s="51">
        <f t="shared" ca="1" si="82"/>
        <v>74.678692205392167</v>
      </c>
      <c r="Q402" s="55">
        <f t="shared" ca="1" si="90"/>
        <v>0.61966086896929085</v>
      </c>
    </row>
    <row r="403" spans="1:17" x14ac:dyDescent="0.25">
      <c r="A403" s="48">
        <v>357</v>
      </c>
      <c r="B403" s="48">
        <f t="shared" ca="1" si="77"/>
        <v>0.93200000000000005</v>
      </c>
      <c r="C403" s="49">
        <f t="shared" si="83"/>
        <v>5</v>
      </c>
      <c r="D403" s="51">
        <f t="shared" ca="1" si="78"/>
        <v>1.4084492859309159E-2</v>
      </c>
      <c r="E403" s="51">
        <f t="shared" ca="1" si="84"/>
        <v>74.073115829282187</v>
      </c>
      <c r="F403" s="48">
        <f t="shared" ca="1" si="85"/>
        <v>4</v>
      </c>
      <c r="G403" s="48">
        <f ca="1">COUNTIF($P$47:P413,"&lt;"&amp;E403)</f>
        <v>352</v>
      </c>
      <c r="H403" s="48">
        <f t="shared" ca="1" si="86"/>
        <v>0</v>
      </c>
      <c r="I403" s="48" t="str">
        <f t="shared" ca="1" si="87"/>
        <v>Ocu</v>
      </c>
      <c r="J403" s="52">
        <f t="shared" ca="1" si="79"/>
        <v>5</v>
      </c>
      <c r="K403" s="53">
        <f t="shared" ca="1" si="76"/>
        <v>0.60557637610997972</v>
      </c>
      <c r="L403" s="54">
        <f t="shared" ca="1" si="88"/>
        <v>74.678692205392167</v>
      </c>
      <c r="M403" s="48">
        <f t="shared" ca="1" si="80"/>
        <v>0.748</v>
      </c>
      <c r="N403" s="48">
        <f t="shared" si="89"/>
        <v>6</v>
      </c>
      <c r="O403" s="51">
        <f t="shared" ca="1" si="81"/>
        <v>4.8392050167943297E-2</v>
      </c>
      <c r="P403" s="51">
        <f t="shared" ca="1" si="82"/>
        <v>74.727084255560115</v>
      </c>
      <c r="Q403" s="55">
        <f t="shared" ca="1" si="90"/>
        <v>0.65396842627792751</v>
      </c>
    </row>
    <row r="404" spans="1:17" x14ac:dyDescent="0.25">
      <c r="A404" s="48">
        <v>358</v>
      </c>
      <c r="B404" s="48">
        <f t="shared" ca="1" si="77"/>
        <v>0.55000000000000004</v>
      </c>
      <c r="C404" s="49">
        <f t="shared" si="83"/>
        <v>5</v>
      </c>
      <c r="D404" s="51">
        <f t="shared" ca="1" si="78"/>
        <v>0.11956740015112409</v>
      </c>
      <c r="E404" s="51">
        <f t="shared" ca="1" si="84"/>
        <v>74.192683229433314</v>
      </c>
      <c r="F404" s="48">
        <f t="shared" ca="1" si="85"/>
        <v>5</v>
      </c>
      <c r="G404" s="48">
        <f ca="1">COUNTIF($P$47:P414,"&lt;"&amp;E404)</f>
        <v>352</v>
      </c>
      <c r="H404" s="48">
        <f t="shared" ca="1" si="86"/>
        <v>0</v>
      </c>
      <c r="I404" s="48" t="str">
        <f t="shared" ca="1" si="87"/>
        <v>Ocu</v>
      </c>
      <c r="J404" s="52">
        <f t="shared" ca="1" si="79"/>
        <v>6</v>
      </c>
      <c r="K404" s="53">
        <f t="shared" ca="1" si="76"/>
        <v>0.53440102612680107</v>
      </c>
      <c r="L404" s="54">
        <f t="shared" ca="1" si="88"/>
        <v>74.727084255560115</v>
      </c>
      <c r="M404" s="48">
        <f t="shared" ca="1" si="80"/>
        <v>0.61299999999999999</v>
      </c>
      <c r="N404" s="48">
        <f t="shared" si="89"/>
        <v>6</v>
      </c>
      <c r="O404" s="51">
        <f t="shared" ca="1" si="81"/>
        <v>8.1565057174320943E-2</v>
      </c>
      <c r="P404" s="51">
        <f t="shared" ca="1" si="82"/>
        <v>74.808649312734431</v>
      </c>
      <c r="Q404" s="55">
        <f t="shared" ca="1" si="90"/>
        <v>0.61596608330111735</v>
      </c>
    </row>
    <row r="405" spans="1:17" x14ac:dyDescent="0.25">
      <c r="A405" s="48">
        <v>359</v>
      </c>
      <c r="B405" s="48">
        <f t="shared" ca="1" si="77"/>
        <v>6.2E-2</v>
      </c>
      <c r="C405" s="49">
        <f t="shared" si="83"/>
        <v>5</v>
      </c>
      <c r="D405" s="51">
        <f t="shared" ca="1" si="78"/>
        <v>0.55612417878740916</v>
      </c>
      <c r="E405" s="51">
        <f t="shared" ca="1" si="84"/>
        <v>74.748807408220728</v>
      </c>
      <c r="F405" s="48">
        <f t="shared" ca="1" si="85"/>
        <v>1</v>
      </c>
      <c r="G405" s="48">
        <f ca="1">COUNTIF($P$47:P415,"&lt;"&amp;E405)</f>
        <v>357</v>
      </c>
      <c r="H405" s="48">
        <f t="shared" ca="1" si="86"/>
        <v>5</v>
      </c>
      <c r="I405" s="48" t="str">
        <f t="shared" ca="1" si="87"/>
        <v>Ocu</v>
      </c>
      <c r="J405" s="52">
        <f t="shared" ca="1" si="79"/>
        <v>2</v>
      </c>
      <c r="K405" s="53">
        <f t="shared" ca="1" si="76"/>
        <v>5.9841904513703525E-2</v>
      </c>
      <c r="L405" s="54">
        <f t="shared" ca="1" si="88"/>
        <v>74.808649312734431</v>
      </c>
      <c r="M405" s="48">
        <f t="shared" ca="1" si="80"/>
        <v>0.76500000000000001</v>
      </c>
      <c r="N405" s="48">
        <f t="shared" si="89"/>
        <v>6</v>
      </c>
      <c r="O405" s="51">
        <f t="shared" ca="1" si="81"/>
        <v>4.4646574192600208E-2</v>
      </c>
      <c r="P405" s="51">
        <f t="shared" ca="1" si="82"/>
        <v>74.853295886927029</v>
      </c>
      <c r="Q405" s="55">
        <f t="shared" ca="1" si="90"/>
        <v>0.10448847870630118</v>
      </c>
    </row>
    <row r="406" spans="1:17" x14ac:dyDescent="0.25">
      <c r="A406" s="48">
        <v>360</v>
      </c>
      <c r="B406" s="48">
        <f t="shared" ca="1" si="77"/>
        <v>0.55000000000000004</v>
      </c>
      <c r="C406" s="49">
        <f t="shared" si="83"/>
        <v>5</v>
      </c>
      <c r="D406" s="51">
        <f t="shared" ca="1" si="78"/>
        <v>0.11956740015112409</v>
      </c>
      <c r="E406" s="51">
        <f t="shared" ca="1" si="84"/>
        <v>74.868374808371854</v>
      </c>
      <c r="F406" s="48">
        <f t="shared" ca="1" si="85"/>
        <v>0</v>
      </c>
      <c r="G406" s="48">
        <f ca="1">COUNTIF($P$47:P416,"&lt;"&amp;E406)</f>
        <v>359</v>
      </c>
      <c r="H406" s="48">
        <f t="shared" ca="1" si="86"/>
        <v>2</v>
      </c>
      <c r="I406" s="48" t="str">
        <f t="shared" ca="1" si="87"/>
        <v>Des</v>
      </c>
      <c r="J406" s="52">
        <f t="shared" ca="1" si="79"/>
        <v>1</v>
      </c>
      <c r="K406" s="53">
        <f t="shared" ca="1" si="76"/>
        <v>0</v>
      </c>
      <c r="L406" s="54">
        <f t="shared" ca="1" si="88"/>
        <v>74.868374808371854</v>
      </c>
      <c r="M406" s="48">
        <f t="shared" ca="1" si="80"/>
        <v>0.24099999999999999</v>
      </c>
      <c r="N406" s="48">
        <f t="shared" si="89"/>
        <v>6</v>
      </c>
      <c r="O406" s="51">
        <f t="shared" ca="1" si="81"/>
        <v>0.23715972424858034</v>
      </c>
      <c r="P406" s="51">
        <f t="shared" ca="1" si="82"/>
        <v>75.105534532620439</v>
      </c>
      <c r="Q406" s="55">
        <f t="shared" ca="1" si="90"/>
        <v>0.23715972424858478</v>
      </c>
    </row>
    <row r="407" spans="1:17" x14ac:dyDescent="0.25">
      <c r="A407" s="48">
        <v>361</v>
      </c>
      <c r="B407" s="48">
        <f t="shared" ca="1" si="77"/>
        <v>0.14699999999999999</v>
      </c>
      <c r="C407" s="49">
        <f t="shared" si="83"/>
        <v>5</v>
      </c>
      <c r="D407" s="51">
        <f t="shared" ca="1" si="78"/>
        <v>0.38346453844068018</v>
      </c>
      <c r="E407" s="51">
        <f t="shared" ca="1" si="84"/>
        <v>75.251839346812531</v>
      </c>
      <c r="F407" s="48">
        <f t="shared" ca="1" si="85"/>
        <v>0</v>
      </c>
      <c r="G407" s="48">
        <f ca="1">COUNTIF($P$47:P417,"&lt;"&amp;E407)</f>
        <v>360</v>
      </c>
      <c r="H407" s="48">
        <f t="shared" ca="1" si="86"/>
        <v>1</v>
      </c>
      <c r="I407" s="48" t="str">
        <f t="shared" ca="1" si="87"/>
        <v>Des</v>
      </c>
      <c r="J407" s="52">
        <f t="shared" ca="1" si="79"/>
        <v>1</v>
      </c>
      <c r="K407" s="53">
        <f t="shared" ca="1" si="76"/>
        <v>0</v>
      </c>
      <c r="L407" s="54">
        <f t="shared" ca="1" si="88"/>
        <v>75.251839346812531</v>
      </c>
      <c r="M407" s="48">
        <f t="shared" ca="1" si="80"/>
        <v>0.26200000000000001</v>
      </c>
      <c r="N407" s="48">
        <f t="shared" si="89"/>
        <v>6</v>
      </c>
      <c r="O407" s="51">
        <f t="shared" ca="1" si="81"/>
        <v>0.22323512920350666</v>
      </c>
      <c r="P407" s="51">
        <f t="shared" ca="1" si="82"/>
        <v>75.475074476016033</v>
      </c>
      <c r="Q407" s="55">
        <f t="shared" ca="1" si="90"/>
        <v>0.22323512920350197</v>
      </c>
    </row>
    <row r="408" spans="1:17" x14ac:dyDescent="0.25">
      <c r="A408" s="48">
        <v>362</v>
      </c>
      <c r="B408" s="48">
        <f t="shared" ca="1" si="77"/>
        <v>0.46700000000000003</v>
      </c>
      <c r="C408" s="49">
        <f t="shared" si="83"/>
        <v>5</v>
      </c>
      <c r="D408" s="51">
        <f t="shared" ca="1" si="78"/>
        <v>0.15228520426264794</v>
      </c>
      <c r="E408" s="51">
        <f t="shared" ca="1" si="84"/>
        <v>75.404124551075185</v>
      </c>
      <c r="F408" s="48">
        <f t="shared" ca="1" si="85"/>
        <v>1</v>
      </c>
      <c r="G408" s="48">
        <f ca="1">COUNTIF($P$47:P418,"&lt;"&amp;E408)</f>
        <v>360</v>
      </c>
      <c r="H408" s="48">
        <f t="shared" ca="1" si="86"/>
        <v>0</v>
      </c>
      <c r="I408" s="48" t="str">
        <f t="shared" ca="1" si="87"/>
        <v>Ocu</v>
      </c>
      <c r="J408" s="52">
        <f t="shared" ca="1" si="79"/>
        <v>2</v>
      </c>
      <c r="K408" s="53">
        <f t="shared" ca="1" si="76"/>
        <v>7.0949924940848064E-2</v>
      </c>
      <c r="L408" s="54">
        <f t="shared" ca="1" si="88"/>
        <v>75.475074476016033</v>
      </c>
      <c r="M408" s="48">
        <f t="shared" ca="1" si="80"/>
        <v>0.113</v>
      </c>
      <c r="N408" s="48">
        <f t="shared" si="89"/>
        <v>6</v>
      </c>
      <c r="O408" s="51">
        <f t="shared" ca="1" si="81"/>
        <v>0.36339457671163272</v>
      </c>
      <c r="P408" s="51">
        <f t="shared" ca="1" si="82"/>
        <v>75.83846905272766</v>
      </c>
      <c r="Q408" s="55">
        <f t="shared" ca="1" si="90"/>
        <v>0.4343445016524754</v>
      </c>
    </row>
    <row r="409" spans="1:17" x14ac:dyDescent="0.25">
      <c r="A409" s="48">
        <v>363</v>
      </c>
      <c r="B409" s="48">
        <f t="shared" ca="1" si="77"/>
        <v>9.5000000000000001E-2</v>
      </c>
      <c r="C409" s="49">
        <f t="shared" si="83"/>
        <v>5</v>
      </c>
      <c r="D409" s="51">
        <f t="shared" ca="1" si="78"/>
        <v>0.47077567747631932</v>
      </c>
      <c r="E409" s="51">
        <f t="shared" ca="1" si="84"/>
        <v>75.87490022855151</v>
      </c>
      <c r="F409" s="48">
        <f t="shared" ca="1" si="85"/>
        <v>0</v>
      </c>
      <c r="G409" s="48">
        <f ca="1">COUNTIF($P$47:P419,"&lt;"&amp;E409)</f>
        <v>362</v>
      </c>
      <c r="H409" s="48">
        <f t="shared" ca="1" si="86"/>
        <v>2</v>
      </c>
      <c r="I409" s="48" t="str">
        <f t="shared" ca="1" si="87"/>
        <v>Des</v>
      </c>
      <c r="J409" s="52">
        <f t="shared" ca="1" si="79"/>
        <v>1</v>
      </c>
      <c r="K409" s="53">
        <f t="shared" ca="1" si="76"/>
        <v>0</v>
      </c>
      <c r="L409" s="54">
        <f t="shared" ca="1" si="88"/>
        <v>75.87490022855151</v>
      </c>
      <c r="M409" s="48">
        <f t="shared" ca="1" si="80"/>
        <v>0.77900000000000003</v>
      </c>
      <c r="N409" s="48">
        <f t="shared" si="89"/>
        <v>6</v>
      </c>
      <c r="O409" s="51">
        <f t="shared" ca="1" si="81"/>
        <v>4.1624038851898137E-2</v>
      </c>
      <c r="P409" s="51">
        <f t="shared" ca="1" si="82"/>
        <v>75.916524267403403</v>
      </c>
      <c r="Q409" s="55">
        <f t="shared" ca="1" si="90"/>
        <v>4.1624038851892919E-2</v>
      </c>
    </row>
    <row r="410" spans="1:17" x14ac:dyDescent="0.25">
      <c r="A410" s="48">
        <v>364</v>
      </c>
      <c r="B410" s="48">
        <f t="shared" ca="1" si="77"/>
        <v>0.51100000000000001</v>
      </c>
      <c r="C410" s="49">
        <f t="shared" si="83"/>
        <v>5</v>
      </c>
      <c r="D410" s="51">
        <f t="shared" ca="1" si="78"/>
        <v>0.1342771377556865</v>
      </c>
      <c r="E410" s="51">
        <f t="shared" ca="1" si="84"/>
        <v>76.009177366307199</v>
      </c>
      <c r="F410" s="48">
        <f t="shared" ca="1" si="85"/>
        <v>0</v>
      </c>
      <c r="G410" s="48">
        <f ca="1">COUNTIF($P$47:P420,"&lt;"&amp;E410)</f>
        <v>363</v>
      </c>
      <c r="H410" s="48">
        <f t="shared" ca="1" si="86"/>
        <v>1</v>
      </c>
      <c r="I410" s="48" t="str">
        <f t="shared" ca="1" si="87"/>
        <v>Des</v>
      </c>
      <c r="J410" s="52">
        <f t="shared" ca="1" si="79"/>
        <v>1</v>
      </c>
      <c r="K410" s="53">
        <f t="shared" ca="1" si="76"/>
        <v>0</v>
      </c>
      <c r="L410" s="54">
        <f t="shared" ca="1" si="88"/>
        <v>76.009177366307199</v>
      </c>
      <c r="M410" s="48">
        <f t="shared" ca="1" si="80"/>
        <v>0.46600000000000003</v>
      </c>
      <c r="N410" s="48">
        <f t="shared" si="89"/>
        <v>6</v>
      </c>
      <c r="O410" s="51">
        <f t="shared" ca="1" si="81"/>
        <v>0.12726160747608184</v>
      </c>
      <c r="P410" s="51">
        <f t="shared" ca="1" si="82"/>
        <v>76.136438973783285</v>
      </c>
      <c r="Q410" s="55">
        <f t="shared" ca="1" si="90"/>
        <v>0.12726160747608617</v>
      </c>
    </row>
    <row r="411" spans="1:17" x14ac:dyDescent="0.25">
      <c r="A411" s="48">
        <v>365</v>
      </c>
      <c r="B411" s="48">
        <f t="shared" ca="1" si="77"/>
        <v>0.38800000000000001</v>
      </c>
      <c r="C411" s="49">
        <f t="shared" si="83"/>
        <v>5</v>
      </c>
      <c r="D411" s="51">
        <f t="shared" ca="1" si="78"/>
        <v>0.18934998787177271</v>
      </c>
      <c r="E411" s="51">
        <f t="shared" ca="1" si="84"/>
        <v>76.198527354178978</v>
      </c>
      <c r="F411" s="48">
        <f t="shared" ca="1" si="85"/>
        <v>0</v>
      </c>
      <c r="G411" s="48">
        <f ca="1">COUNTIF($P$47:P421,"&lt;"&amp;E411)</f>
        <v>364</v>
      </c>
      <c r="H411" s="48">
        <f t="shared" ca="1" si="86"/>
        <v>1</v>
      </c>
      <c r="I411" s="48" t="str">
        <f t="shared" ca="1" si="87"/>
        <v>Des</v>
      </c>
      <c r="J411" s="52">
        <f t="shared" ca="1" si="79"/>
        <v>1</v>
      </c>
      <c r="K411" s="53">
        <f t="shared" ca="1" si="76"/>
        <v>0</v>
      </c>
      <c r="L411" s="54">
        <f t="shared" ca="1" si="88"/>
        <v>76.198527354178978</v>
      </c>
      <c r="M411" s="48">
        <f t="shared" ca="1" si="80"/>
        <v>0.25600000000000001</v>
      </c>
      <c r="N411" s="48">
        <f t="shared" si="89"/>
        <v>6</v>
      </c>
      <c r="O411" s="51">
        <f t="shared" ca="1" si="81"/>
        <v>0.22709630575042908</v>
      </c>
      <c r="P411" s="51">
        <f t="shared" ca="1" si="82"/>
        <v>76.425623659929414</v>
      </c>
      <c r="Q411" s="55">
        <f t="shared" ca="1" si="90"/>
        <v>0.22709630575043604</v>
      </c>
    </row>
    <row r="412" spans="1:17" x14ac:dyDescent="0.25">
      <c r="A412" s="48">
        <v>366</v>
      </c>
      <c r="B412" s="48">
        <f t="shared" ca="1" si="77"/>
        <v>0.58799999999999997</v>
      </c>
      <c r="C412" s="49">
        <f t="shared" si="83"/>
        <v>5</v>
      </c>
      <c r="D412" s="51">
        <f t="shared" ca="1" si="78"/>
        <v>0.10620566621670205</v>
      </c>
      <c r="E412" s="51">
        <f t="shared" ca="1" si="84"/>
        <v>76.304733020395673</v>
      </c>
      <c r="F412" s="48">
        <f t="shared" ca="1" si="85"/>
        <v>1</v>
      </c>
      <c r="G412" s="48">
        <f ca="1">COUNTIF($P$47:P422,"&lt;"&amp;E412)</f>
        <v>364</v>
      </c>
      <c r="H412" s="48">
        <f t="shared" ca="1" si="86"/>
        <v>0</v>
      </c>
      <c r="I412" s="48" t="str">
        <f t="shared" ca="1" si="87"/>
        <v>Ocu</v>
      </c>
      <c r="J412" s="52">
        <f t="shared" ca="1" si="79"/>
        <v>2</v>
      </c>
      <c r="K412" s="53">
        <f t="shared" ca="1" si="76"/>
        <v>0.1208906395337408</v>
      </c>
      <c r="L412" s="54">
        <f t="shared" ca="1" si="88"/>
        <v>76.425623659929414</v>
      </c>
      <c r="M412" s="48">
        <f t="shared" ca="1" si="80"/>
        <v>7.9000000000000001E-2</v>
      </c>
      <c r="N412" s="48">
        <f t="shared" si="89"/>
        <v>6</v>
      </c>
      <c r="O412" s="51">
        <f t="shared" ca="1" si="81"/>
        <v>0.42305123775251929</v>
      </c>
      <c r="P412" s="51">
        <f t="shared" ca="1" si="82"/>
        <v>76.848674897681931</v>
      </c>
      <c r="Q412" s="55">
        <f t="shared" ca="1" si="90"/>
        <v>0.54394187728625809</v>
      </c>
    </row>
    <row r="413" spans="1:17" x14ac:dyDescent="0.25">
      <c r="A413" s="48">
        <v>367</v>
      </c>
      <c r="B413" s="48">
        <f t="shared" ca="1" si="77"/>
        <v>0.72099999999999997</v>
      </c>
      <c r="C413" s="49">
        <f t="shared" si="83"/>
        <v>5</v>
      </c>
      <c r="D413" s="51">
        <f t="shared" ca="1" si="78"/>
        <v>6.5423228339437603E-2</v>
      </c>
      <c r="E413" s="51">
        <f t="shared" ca="1" si="84"/>
        <v>76.370156248735114</v>
      </c>
      <c r="F413" s="48">
        <f t="shared" ca="1" si="85"/>
        <v>2</v>
      </c>
      <c r="G413" s="48">
        <f ca="1">COUNTIF($P$47:P423,"&lt;"&amp;E413)</f>
        <v>364</v>
      </c>
      <c r="H413" s="48">
        <f t="shared" ca="1" si="86"/>
        <v>0</v>
      </c>
      <c r="I413" s="48" t="str">
        <f t="shared" ca="1" si="87"/>
        <v>Ocu</v>
      </c>
      <c r="J413" s="52">
        <f t="shared" ca="1" si="79"/>
        <v>3</v>
      </c>
      <c r="K413" s="53">
        <f t="shared" ca="1" si="76"/>
        <v>0.47851864894681739</v>
      </c>
      <c r="L413" s="54">
        <f t="shared" ca="1" si="88"/>
        <v>76.848674897681931</v>
      </c>
      <c r="M413" s="48">
        <f t="shared" ca="1" si="80"/>
        <v>0.51600000000000001</v>
      </c>
      <c r="N413" s="48">
        <f t="shared" si="89"/>
        <v>6</v>
      </c>
      <c r="O413" s="51">
        <f t="shared" ca="1" si="81"/>
        <v>0.11027475225009571</v>
      </c>
      <c r="P413" s="51">
        <f t="shared" ca="1" si="82"/>
        <v>76.958949649932023</v>
      </c>
      <c r="Q413" s="55">
        <f t="shared" ca="1" si="90"/>
        <v>0.58879340119690937</v>
      </c>
    </row>
    <row r="414" spans="1:17" x14ac:dyDescent="0.25">
      <c r="A414" s="48">
        <v>368</v>
      </c>
      <c r="B414" s="48">
        <f t="shared" ca="1" si="77"/>
        <v>0.80700000000000005</v>
      </c>
      <c r="C414" s="49">
        <f t="shared" si="83"/>
        <v>5</v>
      </c>
      <c r="D414" s="51">
        <f t="shared" ca="1" si="78"/>
        <v>4.2886322142437643E-2</v>
      </c>
      <c r="E414" s="51">
        <f t="shared" ca="1" si="84"/>
        <v>76.41304257087755</v>
      </c>
      <c r="F414" s="48">
        <f t="shared" ca="1" si="85"/>
        <v>3</v>
      </c>
      <c r="G414" s="48">
        <f ca="1">COUNTIF($P$47:P424,"&lt;"&amp;E414)</f>
        <v>364</v>
      </c>
      <c r="H414" s="48">
        <f t="shared" ca="1" si="86"/>
        <v>0</v>
      </c>
      <c r="I414" s="48" t="str">
        <f t="shared" ca="1" si="87"/>
        <v>Ocu</v>
      </c>
      <c r="J414" s="52">
        <f t="shared" ca="1" si="79"/>
        <v>4</v>
      </c>
      <c r="K414" s="53">
        <f t="shared" ca="1" si="76"/>
        <v>0.54590707905447289</v>
      </c>
      <c r="L414" s="54">
        <f t="shared" ca="1" si="88"/>
        <v>76.958949649932023</v>
      </c>
      <c r="M414" s="48">
        <f t="shared" ca="1" si="80"/>
        <v>0.41</v>
      </c>
      <c r="N414" s="48">
        <f t="shared" si="89"/>
        <v>6</v>
      </c>
      <c r="O414" s="51">
        <f t="shared" ca="1" si="81"/>
        <v>0.14859968654729724</v>
      </c>
      <c r="P414" s="51">
        <f t="shared" ca="1" si="82"/>
        <v>77.107549336479323</v>
      </c>
      <c r="Q414" s="55">
        <f t="shared" ca="1" si="90"/>
        <v>0.69450676560177271</v>
      </c>
    </row>
    <row r="415" spans="1:17" x14ac:dyDescent="0.25">
      <c r="A415" s="48">
        <v>369</v>
      </c>
      <c r="B415" s="48">
        <f t="shared" ca="1" si="77"/>
        <v>0.126</v>
      </c>
      <c r="C415" s="49">
        <f t="shared" si="83"/>
        <v>5</v>
      </c>
      <c r="D415" s="51">
        <f t="shared" ca="1" si="78"/>
        <v>0.41429467440613188</v>
      </c>
      <c r="E415" s="51">
        <f t="shared" ca="1" si="84"/>
        <v>76.827337245283687</v>
      </c>
      <c r="F415" s="48">
        <f t="shared" ca="1" si="85"/>
        <v>3</v>
      </c>
      <c r="G415" s="48">
        <f ca="1">COUNTIF($P$47:P425,"&lt;"&amp;E415)</f>
        <v>365</v>
      </c>
      <c r="H415" s="48">
        <f t="shared" ca="1" si="86"/>
        <v>1</v>
      </c>
      <c r="I415" s="48" t="str">
        <f t="shared" ca="1" si="87"/>
        <v>Ocu</v>
      </c>
      <c r="J415" s="52">
        <f t="shared" ca="1" si="79"/>
        <v>4</v>
      </c>
      <c r="K415" s="53">
        <f t="shared" ca="1" si="76"/>
        <v>0.2802120911956365</v>
      </c>
      <c r="L415" s="54">
        <f t="shared" ca="1" si="88"/>
        <v>77.107549336479323</v>
      </c>
      <c r="M415" s="48">
        <f t="shared" ca="1" si="80"/>
        <v>0.44900000000000001</v>
      </c>
      <c r="N415" s="48">
        <f t="shared" si="89"/>
        <v>6</v>
      </c>
      <c r="O415" s="51">
        <f t="shared" ca="1" si="81"/>
        <v>0.13345539853998045</v>
      </c>
      <c r="P415" s="51">
        <f t="shared" ca="1" si="82"/>
        <v>77.241004735019303</v>
      </c>
      <c r="Q415" s="55">
        <f t="shared" ca="1" si="90"/>
        <v>0.41366748973561585</v>
      </c>
    </row>
    <row r="416" spans="1:17" x14ac:dyDescent="0.25">
      <c r="A416" s="48">
        <v>370</v>
      </c>
      <c r="B416" s="48">
        <f t="shared" ca="1" si="77"/>
        <v>0.09</v>
      </c>
      <c r="C416" s="49">
        <f t="shared" si="83"/>
        <v>5</v>
      </c>
      <c r="D416" s="51">
        <f t="shared" ca="1" si="78"/>
        <v>0.48158912173037438</v>
      </c>
      <c r="E416" s="51">
        <f t="shared" ca="1" si="84"/>
        <v>77.308926367014067</v>
      </c>
      <c r="F416" s="48">
        <f t="shared" ca="1" si="85"/>
        <v>0</v>
      </c>
      <c r="G416" s="48">
        <f ca="1">COUNTIF($P$47:P426,"&lt;"&amp;E416)</f>
        <v>369</v>
      </c>
      <c r="H416" s="48">
        <f t="shared" ca="1" si="86"/>
        <v>4</v>
      </c>
      <c r="I416" s="48" t="str">
        <f t="shared" ca="1" si="87"/>
        <v>Des</v>
      </c>
      <c r="J416" s="52">
        <f t="shared" ca="1" si="79"/>
        <v>1</v>
      </c>
      <c r="K416" s="53">
        <f t="shared" ca="1" si="76"/>
        <v>0</v>
      </c>
      <c r="L416" s="54">
        <f t="shared" ca="1" si="88"/>
        <v>77.308926367014067</v>
      </c>
      <c r="M416" s="48">
        <f t="shared" ca="1" si="80"/>
        <v>0.33700000000000002</v>
      </c>
      <c r="N416" s="48">
        <f t="shared" si="89"/>
        <v>6</v>
      </c>
      <c r="O416" s="51">
        <f t="shared" ca="1" si="81"/>
        <v>0.18127872477162921</v>
      </c>
      <c r="P416" s="51">
        <f t="shared" ca="1" si="82"/>
        <v>77.490205091785697</v>
      </c>
      <c r="Q416" s="55">
        <f t="shared" ca="1" si="90"/>
        <v>0.1812787247716301</v>
      </c>
    </row>
    <row r="417" spans="1:17" x14ac:dyDescent="0.25">
      <c r="A417" s="48">
        <v>371</v>
      </c>
      <c r="B417" s="48">
        <f t="shared" ca="1" si="77"/>
        <v>0.309</v>
      </c>
      <c r="C417" s="49">
        <f t="shared" si="83"/>
        <v>5</v>
      </c>
      <c r="D417" s="51">
        <f t="shared" ca="1" si="78"/>
        <v>0.23488280041687834</v>
      </c>
      <c r="E417" s="51">
        <f t="shared" ca="1" si="84"/>
        <v>77.54380916743095</v>
      </c>
      <c r="F417" s="48">
        <f t="shared" ca="1" si="85"/>
        <v>0</v>
      </c>
      <c r="G417" s="48">
        <f ca="1">COUNTIF($P$47:P427,"&lt;"&amp;E417)</f>
        <v>370</v>
      </c>
      <c r="H417" s="48">
        <f t="shared" ca="1" si="86"/>
        <v>1</v>
      </c>
      <c r="I417" s="48" t="str">
        <f t="shared" ca="1" si="87"/>
        <v>Des</v>
      </c>
      <c r="J417" s="52">
        <f t="shared" ca="1" si="79"/>
        <v>1</v>
      </c>
      <c r="K417" s="53">
        <f t="shared" ca="1" si="76"/>
        <v>0</v>
      </c>
      <c r="L417" s="54">
        <f t="shared" ca="1" si="88"/>
        <v>77.54380916743095</v>
      </c>
      <c r="M417" s="48">
        <f t="shared" ca="1" si="80"/>
        <v>0.95299999999999996</v>
      </c>
      <c r="N417" s="48">
        <f t="shared" si="89"/>
        <v>6</v>
      </c>
      <c r="O417" s="51">
        <f t="shared" ca="1" si="81"/>
        <v>8.0233958879891709E-3</v>
      </c>
      <c r="P417" s="51">
        <f t="shared" ca="1" si="82"/>
        <v>77.551832563318939</v>
      </c>
      <c r="Q417" s="55">
        <f t="shared" ca="1" si="90"/>
        <v>8.0233958879887268E-3</v>
      </c>
    </row>
    <row r="418" spans="1:17" x14ac:dyDescent="0.25">
      <c r="A418" s="48">
        <v>372</v>
      </c>
      <c r="B418" s="48">
        <f t="shared" ca="1" si="77"/>
        <v>0.45200000000000001</v>
      </c>
      <c r="C418" s="49">
        <f t="shared" si="83"/>
        <v>5</v>
      </c>
      <c r="D418" s="51">
        <f t="shared" ca="1" si="78"/>
        <v>0.15881461982998116</v>
      </c>
      <c r="E418" s="51">
        <f t="shared" ca="1" si="84"/>
        <v>77.702623787260933</v>
      </c>
      <c r="F418" s="48">
        <f t="shared" ca="1" si="85"/>
        <v>0</v>
      </c>
      <c r="G418" s="48">
        <f ca="1">COUNTIF($P$47:P428,"&lt;"&amp;E418)</f>
        <v>371</v>
      </c>
      <c r="H418" s="48">
        <f t="shared" ca="1" si="86"/>
        <v>1</v>
      </c>
      <c r="I418" s="48" t="str">
        <f t="shared" ca="1" si="87"/>
        <v>Des</v>
      </c>
      <c r="J418" s="52">
        <f t="shared" ca="1" si="79"/>
        <v>1</v>
      </c>
      <c r="K418" s="53">
        <f t="shared" ca="1" si="76"/>
        <v>0</v>
      </c>
      <c r="L418" s="54">
        <f t="shared" ca="1" si="88"/>
        <v>77.702623787260933</v>
      </c>
      <c r="M418" s="48">
        <f t="shared" ca="1" si="80"/>
        <v>0.21099999999999999</v>
      </c>
      <c r="N418" s="48">
        <f t="shared" si="89"/>
        <v>6</v>
      </c>
      <c r="O418" s="51">
        <f t="shared" ca="1" si="81"/>
        <v>0.25931619091767844</v>
      </c>
      <c r="P418" s="51">
        <f t="shared" ca="1" si="82"/>
        <v>77.961939978178606</v>
      </c>
      <c r="Q418" s="55">
        <f t="shared" ca="1" si="90"/>
        <v>0.25931619091767288</v>
      </c>
    </row>
    <row r="419" spans="1:17" x14ac:dyDescent="0.25">
      <c r="A419" s="48">
        <v>373</v>
      </c>
      <c r="B419" s="48">
        <f t="shared" ca="1" si="77"/>
        <v>0.94599999999999995</v>
      </c>
      <c r="C419" s="49">
        <f t="shared" si="83"/>
        <v>5</v>
      </c>
      <c r="D419" s="51">
        <f t="shared" ca="1" si="78"/>
        <v>1.1102541986051753E-2</v>
      </c>
      <c r="E419" s="51">
        <f t="shared" ca="1" si="84"/>
        <v>77.713726329246981</v>
      </c>
      <c r="F419" s="48">
        <f t="shared" ca="1" si="85"/>
        <v>1</v>
      </c>
      <c r="G419" s="48">
        <f ca="1">COUNTIF($P$47:P429,"&lt;"&amp;E419)</f>
        <v>371</v>
      </c>
      <c r="H419" s="48">
        <f t="shared" ca="1" si="86"/>
        <v>0</v>
      </c>
      <c r="I419" s="48" t="str">
        <f t="shared" ca="1" si="87"/>
        <v>Ocu</v>
      </c>
      <c r="J419" s="52">
        <f t="shared" ca="1" si="79"/>
        <v>2</v>
      </c>
      <c r="K419" s="53">
        <f t="shared" ca="1" si="76"/>
        <v>0.24821364893162468</v>
      </c>
      <c r="L419" s="54">
        <f t="shared" ca="1" si="88"/>
        <v>77.961939978178606</v>
      </c>
      <c r="M419" s="48">
        <f t="shared" ca="1" si="80"/>
        <v>0.85699999999999998</v>
      </c>
      <c r="N419" s="48">
        <f t="shared" si="89"/>
        <v>6</v>
      </c>
      <c r="O419" s="51">
        <f t="shared" ca="1" si="81"/>
        <v>2.5719560064059545E-2</v>
      </c>
      <c r="P419" s="51">
        <f t="shared" ca="1" si="82"/>
        <v>77.987659538242667</v>
      </c>
      <c r="Q419" s="55">
        <f t="shared" ca="1" si="90"/>
        <v>0.27393320899568607</v>
      </c>
    </row>
    <row r="420" spans="1:17" x14ac:dyDescent="0.25">
      <c r="A420" s="48">
        <v>374</v>
      </c>
      <c r="B420" s="48">
        <f t="shared" ca="1" si="77"/>
        <v>0.254</v>
      </c>
      <c r="C420" s="49">
        <f t="shared" si="83"/>
        <v>5</v>
      </c>
      <c r="D420" s="51">
        <f t="shared" ca="1" si="78"/>
        <v>0.27408420239272008</v>
      </c>
      <c r="E420" s="51">
        <f t="shared" ca="1" si="84"/>
        <v>77.987810531639695</v>
      </c>
      <c r="F420" s="48">
        <f t="shared" ca="1" si="85"/>
        <v>0</v>
      </c>
      <c r="G420" s="48">
        <f ca="1">COUNTIF($P$47:P430,"&lt;"&amp;E420)</f>
        <v>373</v>
      </c>
      <c r="H420" s="48">
        <f t="shared" ca="1" si="86"/>
        <v>2</v>
      </c>
      <c r="I420" s="48" t="str">
        <f t="shared" ca="1" si="87"/>
        <v>Des</v>
      </c>
      <c r="J420" s="52">
        <f t="shared" ca="1" si="79"/>
        <v>1</v>
      </c>
      <c r="K420" s="53">
        <f t="shared" ca="1" si="76"/>
        <v>0</v>
      </c>
      <c r="L420" s="54">
        <f t="shared" ca="1" si="88"/>
        <v>77.987810531639695</v>
      </c>
      <c r="M420" s="48">
        <f t="shared" ca="1" si="80"/>
        <v>0.56399999999999995</v>
      </c>
      <c r="N420" s="48">
        <f t="shared" si="89"/>
        <v>6</v>
      </c>
      <c r="O420" s="51">
        <f t="shared" ca="1" si="81"/>
        <v>9.5450171247346366E-2</v>
      </c>
      <c r="P420" s="51">
        <f t="shared" ca="1" si="82"/>
        <v>78.083260702887046</v>
      </c>
      <c r="Q420" s="55">
        <f t="shared" ca="1" si="90"/>
        <v>9.5450171247350113E-2</v>
      </c>
    </row>
    <row r="421" spans="1:17" x14ac:dyDescent="0.25">
      <c r="A421" s="48">
        <v>375</v>
      </c>
      <c r="B421" s="48">
        <f t="shared" ca="1" si="77"/>
        <v>0.221</v>
      </c>
      <c r="C421" s="49">
        <f t="shared" si="83"/>
        <v>5</v>
      </c>
      <c r="D421" s="51">
        <f t="shared" ca="1" si="78"/>
        <v>0.30191851549287685</v>
      </c>
      <c r="E421" s="51">
        <f t="shared" ca="1" si="84"/>
        <v>78.289729047132568</v>
      </c>
      <c r="F421" s="48">
        <f t="shared" ca="1" si="85"/>
        <v>0</v>
      </c>
      <c r="G421" s="48">
        <f ca="1">COUNTIF($P$47:P431,"&lt;"&amp;E421)</f>
        <v>374</v>
      </c>
      <c r="H421" s="48">
        <f t="shared" ca="1" si="86"/>
        <v>1</v>
      </c>
      <c r="I421" s="48" t="str">
        <f t="shared" ca="1" si="87"/>
        <v>Des</v>
      </c>
      <c r="J421" s="52">
        <f t="shared" ca="1" si="79"/>
        <v>1</v>
      </c>
      <c r="K421" s="53">
        <f t="shared" ca="1" si="76"/>
        <v>0</v>
      </c>
      <c r="L421" s="54">
        <f t="shared" ca="1" si="88"/>
        <v>78.289729047132568</v>
      </c>
      <c r="M421" s="48">
        <f t="shared" ca="1" si="80"/>
        <v>0.63900000000000001</v>
      </c>
      <c r="N421" s="48">
        <f t="shared" si="89"/>
        <v>6</v>
      </c>
      <c r="O421" s="51">
        <f t="shared" ca="1" si="81"/>
        <v>7.4641804100767026E-2</v>
      </c>
      <c r="P421" s="51">
        <f t="shared" ca="1" si="82"/>
        <v>78.364370851233332</v>
      </c>
      <c r="Q421" s="55">
        <f t="shared" ca="1" si="90"/>
        <v>7.4641804100764375E-2</v>
      </c>
    </row>
    <row r="422" spans="1:17" x14ac:dyDescent="0.25">
      <c r="A422" s="48">
        <v>376</v>
      </c>
      <c r="B422" s="48">
        <f t="shared" ca="1" si="77"/>
        <v>0.26500000000000001</v>
      </c>
      <c r="C422" s="49">
        <f t="shared" si="83"/>
        <v>5</v>
      </c>
      <c r="D422" s="51">
        <f t="shared" ca="1" si="78"/>
        <v>0.26560509059918297</v>
      </c>
      <c r="E422" s="51">
        <f t="shared" ca="1" si="84"/>
        <v>78.555334137731748</v>
      </c>
      <c r="F422" s="48">
        <f t="shared" ca="1" si="85"/>
        <v>0</v>
      </c>
      <c r="G422" s="48">
        <f ca="1">COUNTIF($P$47:P432,"&lt;"&amp;E422)</f>
        <v>375</v>
      </c>
      <c r="H422" s="48">
        <f t="shared" ca="1" si="86"/>
        <v>1</v>
      </c>
      <c r="I422" s="48" t="str">
        <f t="shared" ca="1" si="87"/>
        <v>Des</v>
      </c>
      <c r="J422" s="52">
        <f t="shared" ca="1" si="79"/>
        <v>1</v>
      </c>
      <c r="K422" s="53">
        <f t="shared" ca="1" si="76"/>
        <v>0</v>
      </c>
      <c r="L422" s="54">
        <f t="shared" ca="1" si="88"/>
        <v>78.555334137731748</v>
      </c>
      <c r="M422" s="48">
        <f t="shared" ca="1" si="80"/>
        <v>0.11</v>
      </c>
      <c r="N422" s="48">
        <f t="shared" si="89"/>
        <v>6</v>
      </c>
      <c r="O422" s="51">
        <f t="shared" ca="1" si="81"/>
        <v>0.36787915219828682</v>
      </c>
      <c r="P422" s="51">
        <f t="shared" ca="1" si="82"/>
        <v>78.923213289930032</v>
      </c>
      <c r="Q422" s="55">
        <f t="shared" ca="1" si="90"/>
        <v>0.36787915219828449</v>
      </c>
    </row>
    <row r="423" spans="1:17" x14ac:dyDescent="0.25">
      <c r="A423" s="48">
        <v>377</v>
      </c>
      <c r="B423" s="48">
        <f t="shared" ca="1" si="77"/>
        <v>0.14099999999999999</v>
      </c>
      <c r="C423" s="49">
        <f t="shared" si="83"/>
        <v>5</v>
      </c>
      <c r="D423" s="51">
        <f t="shared" ca="1" si="78"/>
        <v>0.39179907772079381</v>
      </c>
      <c r="E423" s="51">
        <f t="shared" ca="1" si="84"/>
        <v>78.947133215452538</v>
      </c>
      <c r="F423" s="48">
        <f t="shared" ca="1" si="85"/>
        <v>0</v>
      </c>
      <c r="G423" s="48">
        <f ca="1">COUNTIF($P$47:P433,"&lt;"&amp;E423)</f>
        <v>376</v>
      </c>
      <c r="H423" s="48">
        <f t="shared" ca="1" si="86"/>
        <v>1</v>
      </c>
      <c r="I423" s="48" t="str">
        <f t="shared" ca="1" si="87"/>
        <v>Des</v>
      </c>
      <c r="J423" s="52">
        <f t="shared" ca="1" si="79"/>
        <v>1</v>
      </c>
      <c r="K423" s="53">
        <f t="shared" ca="1" si="76"/>
        <v>0</v>
      </c>
      <c r="L423" s="54">
        <f t="shared" ca="1" si="88"/>
        <v>78.947133215452538</v>
      </c>
      <c r="M423" s="48">
        <f t="shared" ca="1" si="80"/>
        <v>0.53800000000000003</v>
      </c>
      <c r="N423" s="48">
        <f t="shared" si="89"/>
        <v>6</v>
      </c>
      <c r="O423" s="51">
        <f t="shared" ca="1" si="81"/>
        <v>0.10331611980339209</v>
      </c>
      <c r="P423" s="51">
        <f t="shared" ca="1" si="82"/>
        <v>79.050449335255934</v>
      </c>
      <c r="Q423" s="55">
        <f t="shared" ca="1" si="90"/>
        <v>0.10331611980339517</v>
      </c>
    </row>
    <row r="424" spans="1:17" x14ac:dyDescent="0.25">
      <c r="A424" s="48">
        <v>378</v>
      </c>
      <c r="B424" s="48">
        <f t="shared" ca="1" si="77"/>
        <v>0.46300000000000002</v>
      </c>
      <c r="C424" s="49">
        <f t="shared" si="83"/>
        <v>5</v>
      </c>
      <c r="D424" s="51">
        <f t="shared" ca="1" si="78"/>
        <v>0.15400564497918059</v>
      </c>
      <c r="E424" s="51">
        <f t="shared" ca="1" si="84"/>
        <v>79.101138860431718</v>
      </c>
      <c r="F424" s="48">
        <f t="shared" ca="1" si="85"/>
        <v>0</v>
      </c>
      <c r="G424" s="48">
        <f ca="1">COUNTIF($P$47:P434,"&lt;"&amp;E424)</f>
        <v>377</v>
      </c>
      <c r="H424" s="48">
        <f t="shared" ca="1" si="86"/>
        <v>1</v>
      </c>
      <c r="I424" s="48" t="str">
        <f t="shared" ca="1" si="87"/>
        <v>Des</v>
      </c>
      <c r="J424" s="52">
        <f t="shared" ca="1" si="79"/>
        <v>1</v>
      </c>
      <c r="K424" s="53">
        <f t="shared" ca="1" si="76"/>
        <v>0</v>
      </c>
      <c r="L424" s="54">
        <f t="shared" ca="1" si="88"/>
        <v>79.101138860431718</v>
      </c>
      <c r="M424" s="48">
        <f t="shared" ca="1" si="80"/>
        <v>0.999</v>
      </c>
      <c r="N424" s="48">
        <f t="shared" si="89"/>
        <v>6</v>
      </c>
      <c r="O424" s="51">
        <f t="shared" ca="1" si="81"/>
        <v>1.6675005559727032E-4</v>
      </c>
      <c r="P424" s="51">
        <f t="shared" ca="1" si="82"/>
        <v>79.101305610487316</v>
      </c>
      <c r="Q424" s="55">
        <f t="shared" ca="1" si="90"/>
        <v>1.6675005559818601E-4</v>
      </c>
    </row>
    <row r="425" spans="1:17" x14ac:dyDescent="0.25">
      <c r="A425" s="48">
        <v>379</v>
      </c>
      <c r="B425" s="48">
        <f t="shared" ca="1" si="77"/>
        <v>0.45900000000000002</v>
      </c>
      <c r="C425" s="49">
        <f t="shared" si="83"/>
        <v>5</v>
      </c>
      <c r="D425" s="51">
        <f t="shared" ca="1" si="78"/>
        <v>0.15574101378431837</v>
      </c>
      <c r="E425" s="51">
        <f t="shared" ca="1" si="84"/>
        <v>79.25687987421604</v>
      </c>
      <c r="F425" s="48">
        <f t="shared" ca="1" si="85"/>
        <v>0</v>
      </c>
      <c r="G425" s="48">
        <f ca="1">COUNTIF($P$47:P435,"&lt;"&amp;E425)</f>
        <v>378</v>
      </c>
      <c r="H425" s="48">
        <f t="shared" ca="1" si="86"/>
        <v>1</v>
      </c>
      <c r="I425" s="48" t="str">
        <f t="shared" ca="1" si="87"/>
        <v>Des</v>
      </c>
      <c r="J425" s="52">
        <f t="shared" ca="1" si="79"/>
        <v>1</v>
      </c>
      <c r="K425" s="53">
        <f t="shared" ca="1" si="76"/>
        <v>0</v>
      </c>
      <c r="L425" s="54">
        <f t="shared" ca="1" si="88"/>
        <v>79.25687987421604</v>
      </c>
      <c r="M425" s="48">
        <f t="shared" ca="1" si="80"/>
        <v>0.38100000000000001</v>
      </c>
      <c r="N425" s="48">
        <f t="shared" si="89"/>
        <v>6</v>
      </c>
      <c r="O425" s="51">
        <f t="shared" ca="1" si="81"/>
        <v>0.16082598397590603</v>
      </c>
      <c r="P425" s="51">
        <f t="shared" ca="1" si="82"/>
        <v>79.417705858191951</v>
      </c>
      <c r="Q425" s="55">
        <f t="shared" ca="1" si="90"/>
        <v>0.16082598397591141</v>
      </c>
    </row>
    <row r="426" spans="1:17" x14ac:dyDescent="0.25">
      <c r="A426" s="48">
        <v>380</v>
      </c>
      <c r="B426" s="48">
        <f t="shared" ca="1" si="77"/>
        <v>0.27900000000000003</v>
      </c>
      <c r="C426" s="49">
        <f t="shared" si="83"/>
        <v>5</v>
      </c>
      <c r="D426" s="51">
        <f t="shared" ca="1" si="78"/>
        <v>0.25530869943215428</v>
      </c>
      <c r="E426" s="51">
        <f t="shared" ca="1" si="84"/>
        <v>79.512188573648189</v>
      </c>
      <c r="F426" s="48">
        <f t="shared" ca="1" si="85"/>
        <v>0</v>
      </c>
      <c r="G426" s="48">
        <f ca="1">COUNTIF($P$47:P436,"&lt;"&amp;E426)</f>
        <v>379</v>
      </c>
      <c r="H426" s="48">
        <f t="shared" ca="1" si="86"/>
        <v>1</v>
      </c>
      <c r="I426" s="48" t="str">
        <f t="shared" ca="1" si="87"/>
        <v>Des</v>
      </c>
      <c r="J426" s="52">
        <f t="shared" ca="1" si="79"/>
        <v>1</v>
      </c>
      <c r="K426" s="53">
        <f t="shared" ca="1" si="76"/>
        <v>0</v>
      </c>
      <c r="L426" s="54">
        <f t="shared" ca="1" si="88"/>
        <v>79.512188573648189</v>
      </c>
      <c r="M426" s="48">
        <f t="shared" ca="1" si="80"/>
        <v>0.435</v>
      </c>
      <c r="N426" s="48">
        <f t="shared" si="89"/>
        <v>6</v>
      </c>
      <c r="O426" s="51">
        <f t="shared" ca="1" si="81"/>
        <v>0.13873487464890882</v>
      </c>
      <c r="P426" s="51">
        <f t="shared" ca="1" si="82"/>
        <v>79.650923448297092</v>
      </c>
      <c r="Q426" s="55">
        <f t="shared" ca="1" si="90"/>
        <v>0.13873487464890388</v>
      </c>
    </row>
    <row r="427" spans="1:17" x14ac:dyDescent="0.25">
      <c r="A427" s="48">
        <v>381</v>
      </c>
      <c r="B427" s="48">
        <f t="shared" ca="1" si="77"/>
        <v>0.84499999999999997</v>
      </c>
      <c r="C427" s="49">
        <f t="shared" si="83"/>
        <v>5</v>
      </c>
      <c r="D427" s="51">
        <f t="shared" ca="1" si="78"/>
        <v>3.3683730324992653E-2</v>
      </c>
      <c r="E427" s="51">
        <f t="shared" ca="1" si="84"/>
        <v>79.545872303973184</v>
      </c>
      <c r="F427" s="48">
        <f t="shared" ca="1" si="85"/>
        <v>1</v>
      </c>
      <c r="G427" s="48">
        <f ca="1">COUNTIF($P$47:P437,"&lt;"&amp;E427)</f>
        <v>379</v>
      </c>
      <c r="H427" s="48">
        <f t="shared" ca="1" si="86"/>
        <v>0</v>
      </c>
      <c r="I427" s="48" t="str">
        <f t="shared" ca="1" si="87"/>
        <v>Ocu</v>
      </c>
      <c r="J427" s="52">
        <f t="shared" ca="1" si="79"/>
        <v>2</v>
      </c>
      <c r="K427" s="53">
        <f t="shared" ca="1" si="76"/>
        <v>0.10505114432390883</v>
      </c>
      <c r="L427" s="54">
        <f t="shared" ca="1" si="88"/>
        <v>79.650923448297092</v>
      </c>
      <c r="M427" s="48">
        <f t="shared" ca="1" si="80"/>
        <v>0.80400000000000005</v>
      </c>
      <c r="N427" s="48">
        <f t="shared" si="89"/>
        <v>6</v>
      </c>
      <c r="O427" s="51">
        <f t="shared" ca="1" si="81"/>
        <v>3.6359334967195095E-2</v>
      </c>
      <c r="P427" s="51">
        <f t="shared" ca="1" si="82"/>
        <v>79.687282783264294</v>
      </c>
      <c r="Q427" s="55">
        <f t="shared" ca="1" si="90"/>
        <v>0.14141047929111039</v>
      </c>
    </row>
    <row r="428" spans="1:17" x14ac:dyDescent="0.25">
      <c r="A428" s="48">
        <v>382</v>
      </c>
      <c r="B428" s="48">
        <f t="shared" ca="1" si="77"/>
        <v>0.73899999999999999</v>
      </c>
      <c r="C428" s="49">
        <f t="shared" si="83"/>
        <v>5</v>
      </c>
      <c r="D428" s="51">
        <f t="shared" ca="1" si="78"/>
        <v>6.0491471606787042E-2</v>
      </c>
      <c r="E428" s="51">
        <f t="shared" ca="1" si="84"/>
        <v>79.606363775579965</v>
      </c>
      <c r="F428" s="48">
        <f t="shared" ca="1" si="85"/>
        <v>2</v>
      </c>
      <c r="G428" s="48">
        <f ca="1">COUNTIF($P$47:P438,"&lt;"&amp;E428)</f>
        <v>379</v>
      </c>
      <c r="H428" s="48">
        <f t="shared" ca="1" si="86"/>
        <v>0</v>
      </c>
      <c r="I428" s="48" t="str">
        <f t="shared" ca="1" si="87"/>
        <v>Ocu</v>
      </c>
      <c r="J428" s="52">
        <f t="shared" ca="1" si="79"/>
        <v>3</v>
      </c>
      <c r="K428" s="53">
        <f t="shared" ca="1" si="76"/>
        <v>8.0919007684329358E-2</v>
      </c>
      <c r="L428" s="54">
        <f t="shared" ca="1" si="88"/>
        <v>79.687282783264294</v>
      </c>
      <c r="M428" s="48">
        <f t="shared" ca="1" si="80"/>
        <v>0.245</v>
      </c>
      <c r="N428" s="48">
        <f t="shared" si="89"/>
        <v>6</v>
      </c>
      <c r="O428" s="51">
        <f t="shared" ca="1" si="81"/>
        <v>0.23441617807290166</v>
      </c>
      <c r="P428" s="51">
        <f t="shared" ca="1" si="82"/>
        <v>79.921698961337199</v>
      </c>
      <c r="Q428" s="55">
        <f t="shared" ca="1" si="90"/>
        <v>0.31533518575723463</v>
      </c>
    </row>
    <row r="429" spans="1:17" x14ac:dyDescent="0.25">
      <c r="A429" s="48">
        <v>383</v>
      </c>
      <c r="B429" s="48">
        <f t="shared" ca="1" si="77"/>
        <v>0.74299999999999999</v>
      </c>
      <c r="C429" s="49">
        <f t="shared" si="83"/>
        <v>5</v>
      </c>
      <c r="D429" s="51">
        <f t="shared" ca="1" si="78"/>
        <v>5.9411846852875566E-2</v>
      </c>
      <c r="E429" s="51">
        <f t="shared" ca="1" si="84"/>
        <v>79.665775622432847</v>
      </c>
      <c r="F429" s="48">
        <f t="shared" ca="1" si="85"/>
        <v>2</v>
      </c>
      <c r="G429" s="48">
        <f ca="1">COUNTIF($P$47:P439,"&lt;"&amp;E429)</f>
        <v>380</v>
      </c>
      <c r="H429" s="48">
        <f t="shared" ca="1" si="86"/>
        <v>1</v>
      </c>
      <c r="I429" s="48" t="str">
        <f t="shared" ca="1" si="87"/>
        <v>Ocu</v>
      </c>
      <c r="J429" s="52">
        <f t="shared" ca="1" si="79"/>
        <v>3</v>
      </c>
      <c r="K429" s="53">
        <f t="shared" ca="1" si="76"/>
        <v>0.2559233389043527</v>
      </c>
      <c r="L429" s="54">
        <f t="shared" ca="1" si="88"/>
        <v>79.921698961337199</v>
      </c>
      <c r="M429" s="48">
        <f t="shared" ca="1" si="80"/>
        <v>0.47899999999999998</v>
      </c>
      <c r="N429" s="48">
        <f t="shared" si="89"/>
        <v>6</v>
      </c>
      <c r="O429" s="51">
        <f t="shared" ca="1" si="81"/>
        <v>0.12267578026187032</v>
      </c>
      <c r="P429" s="51">
        <f t="shared" ca="1" si="82"/>
        <v>80.044374741599071</v>
      </c>
      <c r="Q429" s="55">
        <f t="shared" ca="1" si="90"/>
        <v>0.3785991191662248</v>
      </c>
    </row>
    <row r="430" spans="1:17" x14ac:dyDescent="0.25">
      <c r="A430" s="48">
        <v>384</v>
      </c>
      <c r="B430" s="48">
        <f t="shared" ca="1" si="77"/>
        <v>0.67700000000000005</v>
      </c>
      <c r="C430" s="49">
        <f t="shared" si="83"/>
        <v>5</v>
      </c>
      <c r="D430" s="51">
        <f t="shared" ca="1" si="78"/>
        <v>7.8016801213972392E-2</v>
      </c>
      <c r="E430" s="51">
        <f t="shared" ca="1" si="84"/>
        <v>79.743792423646823</v>
      </c>
      <c r="F430" s="48">
        <f t="shared" ca="1" si="85"/>
        <v>2</v>
      </c>
      <c r="G430" s="48">
        <f ca="1">COUNTIF($P$47:P440,"&lt;"&amp;E430)</f>
        <v>381</v>
      </c>
      <c r="H430" s="48">
        <f t="shared" ca="1" si="86"/>
        <v>1</v>
      </c>
      <c r="I430" s="48" t="str">
        <f t="shared" ca="1" si="87"/>
        <v>Ocu</v>
      </c>
      <c r="J430" s="52">
        <f t="shared" ca="1" si="79"/>
        <v>3</v>
      </c>
      <c r="K430" s="53">
        <f t="shared" ca="1" si="76"/>
        <v>0.30058231795224799</v>
      </c>
      <c r="L430" s="54">
        <f t="shared" ca="1" si="88"/>
        <v>80.044374741599071</v>
      </c>
      <c r="M430" s="48">
        <f t="shared" ca="1" si="80"/>
        <v>4.7E-2</v>
      </c>
      <c r="N430" s="48">
        <f t="shared" si="89"/>
        <v>6</v>
      </c>
      <c r="O430" s="51">
        <f t="shared" ca="1" si="81"/>
        <v>0.5096012795453464</v>
      </c>
      <c r="P430" s="51">
        <f t="shared" ca="1" si="82"/>
        <v>80.553976021144422</v>
      </c>
      <c r="Q430" s="55">
        <f t="shared" ca="1" si="90"/>
        <v>0.81018359749759838</v>
      </c>
    </row>
    <row r="431" spans="1:17" x14ac:dyDescent="0.25">
      <c r="A431" s="48">
        <v>385</v>
      </c>
      <c r="B431" s="48">
        <f t="shared" ca="1" si="77"/>
        <v>0.36</v>
      </c>
      <c r="C431" s="49">
        <f t="shared" si="83"/>
        <v>5</v>
      </c>
      <c r="D431" s="51">
        <f t="shared" ca="1" si="78"/>
        <v>0.20433024950639625</v>
      </c>
      <c r="E431" s="51">
        <f t="shared" ca="1" si="84"/>
        <v>79.948122673153222</v>
      </c>
      <c r="F431" s="48">
        <f t="shared" ca="1" si="85"/>
        <v>2</v>
      </c>
      <c r="G431" s="48">
        <f ca="1">COUNTIF($P$47:P441,"&lt;"&amp;E431)</f>
        <v>382</v>
      </c>
      <c r="H431" s="48">
        <f t="shared" ca="1" si="86"/>
        <v>1</v>
      </c>
      <c r="I431" s="48" t="str">
        <f t="shared" ca="1" si="87"/>
        <v>Ocu</v>
      </c>
      <c r="J431" s="52">
        <f t="shared" ca="1" si="79"/>
        <v>3</v>
      </c>
      <c r="K431" s="53">
        <f t="shared" ref="K431:K494" ca="1" si="91">L431-E431</f>
        <v>0.60585334799120005</v>
      </c>
      <c r="L431" s="54">
        <f t="shared" ca="1" si="88"/>
        <v>80.553976021144422</v>
      </c>
      <c r="M431" s="48">
        <f t="shared" ca="1" si="80"/>
        <v>0.61299999999999999</v>
      </c>
      <c r="N431" s="48">
        <f t="shared" si="89"/>
        <v>6</v>
      </c>
      <c r="O431" s="51">
        <f t="shared" ca="1" si="81"/>
        <v>8.1565057174320943E-2</v>
      </c>
      <c r="P431" s="51">
        <f t="shared" ca="1" si="82"/>
        <v>80.635541078318738</v>
      </c>
      <c r="Q431" s="55">
        <f t="shared" ca="1" si="90"/>
        <v>0.68741840516551633</v>
      </c>
    </row>
    <row r="432" spans="1:17" x14ac:dyDescent="0.25">
      <c r="A432" s="48">
        <v>386</v>
      </c>
      <c r="B432" s="48">
        <f t="shared" ref="B432:B495" ca="1" si="92">RANDBETWEEN(1,1000)/1000</f>
        <v>0.97</v>
      </c>
      <c r="C432" s="49">
        <f t="shared" si="83"/>
        <v>5</v>
      </c>
      <c r="D432" s="51">
        <f t="shared" ref="D432:D495" ca="1" si="93">(1/C432)*(LN(1/B432))</f>
        <v>6.0918414969417314E-3</v>
      </c>
      <c r="E432" s="51">
        <f t="shared" ca="1" si="84"/>
        <v>79.954214514650161</v>
      </c>
      <c r="F432" s="48">
        <f t="shared" ca="1" si="85"/>
        <v>3</v>
      </c>
      <c r="G432" s="48">
        <f ca="1">COUNTIF($P$47:P442,"&lt;"&amp;E432)</f>
        <v>382</v>
      </c>
      <c r="H432" s="48">
        <f t="shared" ca="1" si="86"/>
        <v>0</v>
      </c>
      <c r="I432" s="48" t="str">
        <f t="shared" ca="1" si="87"/>
        <v>Ocu</v>
      </c>
      <c r="J432" s="52">
        <f t="shared" ref="J432:J495" ca="1" si="94">IF(I432="Des",1,IF(I432="Ocu",1+F432))</f>
        <v>4</v>
      </c>
      <c r="K432" s="53">
        <f t="shared" ca="1" si="91"/>
        <v>0.68132656366857702</v>
      </c>
      <c r="L432" s="54">
        <f t="shared" ca="1" si="88"/>
        <v>80.635541078318738</v>
      </c>
      <c r="M432" s="48">
        <f t="shared" ref="M432:M495" ca="1" si="95">RANDBETWEEN(1,1000)/1000</f>
        <v>0.51500000000000001</v>
      </c>
      <c r="N432" s="48">
        <f t="shared" si="89"/>
        <v>6</v>
      </c>
      <c r="O432" s="51">
        <f t="shared" ref="O432:O495" ca="1" si="96">(1/N432)*(LN(1/M432))</f>
        <v>0.11059806305306681</v>
      </c>
      <c r="P432" s="51">
        <f t="shared" ref="P432:P495" ca="1" si="97">+L432+O432</f>
        <v>80.746139141371799</v>
      </c>
      <c r="Q432" s="55">
        <f t="shared" ca="1" si="90"/>
        <v>0.79192462672163799</v>
      </c>
    </row>
    <row r="433" spans="1:17" x14ac:dyDescent="0.25">
      <c r="A433" s="48">
        <v>387</v>
      </c>
      <c r="B433" s="48">
        <f t="shared" ca="1" si="92"/>
        <v>7.8E-2</v>
      </c>
      <c r="C433" s="49">
        <f t="shared" ref="C433:C496" si="98">+C432</f>
        <v>5</v>
      </c>
      <c r="D433" s="51">
        <f t="shared" ca="1" si="93"/>
        <v>0.51020929045850916</v>
      </c>
      <c r="E433" s="51">
        <f t="shared" ref="E433:E496" ca="1" si="99">+D433+E432</f>
        <v>80.464423805108666</v>
      </c>
      <c r="F433" s="48">
        <f t="shared" ref="F433:F496" ca="1" si="100">+F432+1-(G433-G432)</f>
        <v>3</v>
      </c>
      <c r="G433" s="48">
        <f ca="1">COUNTIF($P$47:P443,"&lt;"&amp;E433)</f>
        <v>383</v>
      </c>
      <c r="H433" s="48">
        <f t="shared" ref="H433:H496" ca="1" si="101">+G433-G432</f>
        <v>1</v>
      </c>
      <c r="I433" s="48" t="str">
        <f t="shared" ref="I433:I496" ca="1" si="102">IF(E433&lt;P432,"Ocu","Des")</f>
        <v>Ocu</v>
      </c>
      <c r="J433" s="52">
        <f t="shared" ca="1" si="94"/>
        <v>4</v>
      </c>
      <c r="K433" s="53">
        <f t="shared" ca="1" si="91"/>
        <v>0.28171533626313305</v>
      </c>
      <c r="L433" s="54">
        <f t="shared" ref="L433:L496" ca="1" si="103">IF(I433="Des",E433,P432)</f>
        <v>80.746139141371799</v>
      </c>
      <c r="M433" s="48">
        <f t="shared" ca="1" si="95"/>
        <v>0.34399999999999997</v>
      </c>
      <c r="N433" s="48">
        <f t="shared" ref="N433:N496" si="104">+N432</f>
        <v>6</v>
      </c>
      <c r="O433" s="51">
        <f t="shared" ca="1" si="96"/>
        <v>0.17785227026812314</v>
      </c>
      <c r="P433" s="51">
        <f t="shared" ca="1" si="97"/>
        <v>80.923991411639918</v>
      </c>
      <c r="Q433" s="55">
        <f t="shared" ca="1" si="90"/>
        <v>0.45956760653125173</v>
      </c>
    </row>
    <row r="434" spans="1:17" x14ac:dyDescent="0.25">
      <c r="A434" s="48">
        <v>388</v>
      </c>
      <c r="B434" s="48">
        <f t="shared" ca="1" si="92"/>
        <v>0.73699999999999999</v>
      </c>
      <c r="C434" s="49">
        <f t="shared" si="98"/>
        <v>5</v>
      </c>
      <c r="D434" s="51">
        <f t="shared" ca="1" si="93"/>
        <v>6.1033477358560101E-2</v>
      </c>
      <c r="E434" s="51">
        <f t="shared" ca="1" si="99"/>
        <v>80.525457282467229</v>
      </c>
      <c r="F434" s="48">
        <f t="shared" ca="1" si="100"/>
        <v>4</v>
      </c>
      <c r="G434" s="48">
        <f ca="1">COUNTIF($P$47:P444,"&lt;"&amp;E434)</f>
        <v>383</v>
      </c>
      <c r="H434" s="48">
        <f t="shared" ca="1" si="101"/>
        <v>0</v>
      </c>
      <c r="I434" s="48" t="str">
        <f t="shared" ca="1" si="102"/>
        <v>Ocu</v>
      </c>
      <c r="J434" s="52">
        <f t="shared" ca="1" si="94"/>
        <v>5</v>
      </c>
      <c r="K434" s="53">
        <f t="shared" ca="1" si="91"/>
        <v>0.39853412917268827</v>
      </c>
      <c r="L434" s="54">
        <f t="shared" ca="1" si="103"/>
        <v>80.923991411639918</v>
      </c>
      <c r="M434" s="48">
        <f t="shared" ca="1" si="95"/>
        <v>0.89700000000000002</v>
      </c>
      <c r="N434" s="48">
        <f t="shared" si="104"/>
        <v>6</v>
      </c>
      <c r="O434" s="51">
        <f t="shared" ca="1" si="96"/>
        <v>1.8116569487223486E-2</v>
      </c>
      <c r="P434" s="51">
        <f t="shared" ca="1" si="97"/>
        <v>80.942107981127137</v>
      </c>
      <c r="Q434" s="55">
        <f t="shared" ref="Q434:Q497" ca="1" si="105">P434-E434</f>
        <v>0.41665069865990745</v>
      </c>
    </row>
    <row r="435" spans="1:17" x14ac:dyDescent="0.25">
      <c r="A435" s="48">
        <v>389</v>
      </c>
      <c r="B435" s="48">
        <f t="shared" ca="1" si="92"/>
        <v>0.80700000000000005</v>
      </c>
      <c r="C435" s="49">
        <f t="shared" si="98"/>
        <v>5</v>
      </c>
      <c r="D435" s="51">
        <f t="shared" ca="1" si="93"/>
        <v>4.2886322142437643E-2</v>
      </c>
      <c r="E435" s="51">
        <f t="shared" ca="1" si="99"/>
        <v>80.568343604609666</v>
      </c>
      <c r="F435" s="48">
        <f t="shared" ca="1" si="100"/>
        <v>4</v>
      </c>
      <c r="G435" s="48">
        <f ca="1">COUNTIF($P$47:P445,"&lt;"&amp;E435)</f>
        <v>384</v>
      </c>
      <c r="H435" s="48">
        <f t="shared" ca="1" si="101"/>
        <v>1</v>
      </c>
      <c r="I435" s="48" t="str">
        <f t="shared" ca="1" si="102"/>
        <v>Ocu</v>
      </c>
      <c r="J435" s="52">
        <f t="shared" ca="1" si="94"/>
        <v>5</v>
      </c>
      <c r="K435" s="53">
        <f t="shared" ca="1" si="91"/>
        <v>0.37376437651747096</v>
      </c>
      <c r="L435" s="54">
        <f t="shared" ca="1" si="103"/>
        <v>80.942107981127137</v>
      </c>
      <c r="M435" s="48">
        <f t="shared" ca="1" si="95"/>
        <v>0.85399999999999998</v>
      </c>
      <c r="N435" s="48">
        <f t="shared" si="104"/>
        <v>6</v>
      </c>
      <c r="O435" s="51">
        <f t="shared" ca="1" si="96"/>
        <v>2.6304014198927861E-2</v>
      </c>
      <c r="P435" s="51">
        <f t="shared" ca="1" si="97"/>
        <v>80.968411995326065</v>
      </c>
      <c r="Q435" s="55">
        <f t="shared" ca="1" si="105"/>
        <v>0.40006839071639888</v>
      </c>
    </row>
    <row r="436" spans="1:17" x14ac:dyDescent="0.25">
      <c r="A436" s="48">
        <v>390</v>
      </c>
      <c r="B436" s="48">
        <f t="shared" ca="1" si="92"/>
        <v>1</v>
      </c>
      <c r="C436" s="49">
        <f t="shared" si="98"/>
        <v>5</v>
      </c>
      <c r="D436" s="51">
        <f t="shared" ca="1" si="93"/>
        <v>0</v>
      </c>
      <c r="E436" s="51">
        <f t="shared" ca="1" si="99"/>
        <v>80.568343604609666</v>
      </c>
      <c r="F436" s="48">
        <f t="shared" ca="1" si="100"/>
        <v>5</v>
      </c>
      <c r="G436" s="48">
        <f ca="1">COUNTIF($P$47:P446,"&lt;"&amp;E436)</f>
        <v>384</v>
      </c>
      <c r="H436" s="48">
        <f t="shared" ca="1" si="101"/>
        <v>0</v>
      </c>
      <c r="I436" s="48" t="str">
        <f t="shared" ca="1" si="102"/>
        <v>Ocu</v>
      </c>
      <c r="J436" s="52">
        <f t="shared" ca="1" si="94"/>
        <v>6</v>
      </c>
      <c r="K436" s="53">
        <f t="shared" ca="1" si="91"/>
        <v>0.40006839071639888</v>
      </c>
      <c r="L436" s="54">
        <f t="shared" ca="1" si="103"/>
        <v>80.968411995326065</v>
      </c>
      <c r="M436" s="48">
        <f t="shared" ca="1" si="95"/>
        <v>0.81899999999999995</v>
      </c>
      <c r="N436" s="48">
        <f t="shared" si="104"/>
        <v>6</v>
      </c>
      <c r="O436" s="51">
        <f t="shared" ca="1" si="96"/>
        <v>3.3278532521511285E-2</v>
      </c>
      <c r="P436" s="51">
        <f t="shared" ca="1" si="97"/>
        <v>81.001690527847572</v>
      </c>
      <c r="Q436" s="55">
        <f t="shared" ca="1" si="105"/>
        <v>0.43334692323790591</v>
      </c>
    </row>
    <row r="437" spans="1:17" x14ac:dyDescent="0.25">
      <c r="A437" s="48">
        <v>391</v>
      </c>
      <c r="B437" s="48">
        <f t="shared" ca="1" si="92"/>
        <v>0.40300000000000002</v>
      </c>
      <c r="C437" s="49">
        <f t="shared" si="98"/>
        <v>5</v>
      </c>
      <c r="D437" s="51">
        <f t="shared" ca="1" si="93"/>
        <v>0.18176374340709081</v>
      </c>
      <c r="E437" s="51">
        <f t="shared" ca="1" si="99"/>
        <v>80.750107348016755</v>
      </c>
      <c r="F437" s="48">
        <f t="shared" ca="1" si="100"/>
        <v>4</v>
      </c>
      <c r="G437" s="48">
        <f ca="1">COUNTIF($P$47:P447,"&lt;"&amp;E437)</f>
        <v>386</v>
      </c>
      <c r="H437" s="48">
        <f t="shared" ca="1" si="101"/>
        <v>2</v>
      </c>
      <c r="I437" s="48" t="str">
        <f t="shared" ca="1" si="102"/>
        <v>Ocu</v>
      </c>
      <c r="J437" s="52">
        <f t="shared" ca="1" si="94"/>
        <v>5</v>
      </c>
      <c r="K437" s="53">
        <f t="shared" ca="1" si="91"/>
        <v>0.25158317983081702</v>
      </c>
      <c r="L437" s="54">
        <f t="shared" ca="1" si="103"/>
        <v>81.001690527847572</v>
      </c>
      <c r="M437" s="48">
        <f t="shared" ca="1" si="95"/>
        <v>0.57599999999999996</v>
      </c>
      <c r="N437" s="48">
        <f t="shared" si="104"/>
        <v>6</v>
      </c>
      <c r="O437" s="51">
        <f t="shared" ca="1" si="96"/>
        <v>9.1941269714374302E-2</v>
      </c>
      <c r="P437" s="51">
        <f t="shared" ca="1" si="97"/>
        <v>81.09363179756194</v>
      </c>
      <c r="Q437" s="55">
        <f t="shared" ca="1" si="105"/>
        <v>0.34352444954518546</v>
      </c>
    </row>
    <row r="438" spans="1:17" x14ac:dyDescent="0.25">
      <c r="A438" s="48">
        <v>392</v>
      </c>
      <c r="B438" s="48">
        <f t="shared" ca="1" si="92"/>
        <v>0.81100000000000005</v>
      </c>
      <c r="C438" s="49">
        <f t="shared" si="98"/>
        <v>5</v>
      </c>
      <c r="D438" s="51">
        <f t="shared" ca="1" si="93"/>
        <v>4.18974449733448E-2</v>
      </c>
      <c r="E438" s="51">
        <f t="shared" ca="1" si="99"/>
        <v>80.792004792990099</v>
      </c>
      <c r="F438" s="48">
        <f t="shared" ca="1" si="100"/>
        <v>5</v>
      </c>
      <c r="G438" s="48">
        <f ca="1">COUNTIF($P$47:P448,"&lt;"&amp;E438)</f>
        <v>386</v>
      </c>
      <c r="H438" s="48">
        <f t="shared" ca="1" si="101"/>
        <v>0</v>
      </c>
      <c r="I438" s="48" t="str">
        <f t="shared" ca="1" si="102"/>
        <v>Ocu</v>
      </c>
      <c r="J438" s="52">
        <f t="shared" ca="1" si="94"/>
        <v>6</v>
      </c>
      <c r="K438" s="53">
        <f t="shared" ca="1" si="91"/>
        <v>0.30162700457184144</v>
      </c>
      <c r="L438" s="54">
        <f t="shared" ca="1" si="103"/>
        <v>81.09363179756194</v>
      </c>
      <c r="M438" s="48">
        <f t="shared" ca="1" si="95"/>
        <v>0.82</v>
      </c>
      <c r="N438" s="48">
        <f t="shared" si="104"/>
        <v>6</v>
      </c>
      <c r="O438" s="51">
        <f t="shared" ca="1" si="96"/>
        <v>3.3075156453973034E-2</v>
      </c>
      <c r="P438" s="51">
        <f t="shared" ca="1" si="97"/>
        <v>81.126706954015916</v>
      </c>
      <c r="Q438" s="55">
        <f t="shared" ca="1" si="105"/>
        <v>0.33470216102581674</v>
      </c>
    </row>
    <row r="439" spans="1:17" x14ac:dyDescent="0.25">
      <c r="A439" s="48">
        <v>393</v>
      </c>
      <c r="B439" s="48">
        <f t="shared" ca="1" si="92"/>
        <v>2.5000000000000001E-2</v>
      </c>
      <c r="C439" s="49">
        <f t="shared" si="98"/>
        <v>5</v>
      </c>
      <c r="D439" s="51">
        <f t="shared" ca="1" si="93"/>
        <v>0.73777589082278727</v>
      </c>
      <c r="E439" s="51">
        <f t="shared" ca="1" si="99"/>
        <v>81.529780683812888</v>
      </c>
      <c r="F439" s="48">
        <f t="shared" ca="1" si="100"/>
        <v>0</v>
      </c>
      <c r="G439" s="48">
        <f ca="1">COUNTIF($P$47:P449,"&lt;"&amp;E439)</f>
        <v>392</v>
      </c>
      <c r="H439" s="48">
        <f t="shared" ca="1" si="101"/>
        <v>6</v>
      </c>
      <c r="I439" s="48" t="str">
        <f t="shared" ca="1" si="102"/>
        <v>Des</v>
      </c>
      <c r="J439" s="52">
        <f t="shared" ca="1" si="94"/>
        <v>1</v>
      </c>
      <c r="K439" s="53">
        <f t="shared" ca="1" si="91"/>
        <v>0</v>
      </c>
      <c r="L439" s="54">
        <f t="shared" ca="1" si="103"/>
        <v>81.529780683812888</v>
      </c>
      <c r="M439" s="48">
        <f t="shared" ca="1" si="95"/>
        <v>0.56799999999999995</v>
      </c>
      <c r="N439" s="48">
        <f t="shared" si="104"/>
        <v>6</v>
      </c>
      <c r="O439" s="51">
        <f t="shared" ca="1" si="96"/>
        <v>9.427231004349762E-2</v>
      </c>
      <c r="P439" s="51">
        <f t="shared" ca="1" si="97"/>
        <v>81.624052993856381</v>
      </c>
      <c r="Q439" s="55">
        <f t="shared" ca="1" si="105"/>
        <v>9.4272310043493235E-2</v>
      </c>
    </row>
    <row r="440" spans="1:17" x14ac:dyDescent="0.25">
      <c r="A440" s="48">
        <v>394</v>
      </c>
      <c r="B440" s="48">
        <f t="shared" ca="1" si="92"/>
        <v>0.96099999999999997</v>
      </c>
      <c r="C440" s="49">
        <f t="shared" si="98"/>
        <v>5</v>
      </c>
      <c r="D440" s="51">
        <f t="shared" ca="1" si="93"/>
        <v>7.9561740023689331E-3</v>
      </c>
      <c r="E440" s="51">
        <f t="shared" ca="1" si="99"/>
        <v>81.537736857815261</v>
      </c>
      <c r="F440" s="48">
        <f t="shared" ca="1" si="100"/>
        <v>1</v>
      </c>
      <c r="G440" s="48">
        <f ca="1">COUNTIF($P$47:P450,"&lt;"&amp;E440)</f>
        <v>392</v>
      </c>
      <c r="H440" s="48">
        <f t="shared" ca="1" si="101"/>
        <v>0</v>
      </c>
      <c r="I440" s="48" t="str">
        <f t="shared" ca="1" si="102"/>
        <v>Ocu</v>
      </c>
      <c r="J440" s="52">
        <f t="shared" ca="1" si="94"/>
        <v>2</v>
      </c>
      <c r="K440" s="53">
        <f t="shared" ca="1" si="91"/>
        <v>8.6316136041119762E-2</v>
      </c>
      <c r="L440" s="54">
        <f t="shared" ca="1" si="103"/>
        <v>81.624052993856381</v>
      </c>
      <c r="M440" s="48">
        <f t="shared" ca="1" si="95"/>
        <v>0.95299999999999996</v>
      </c>
      <c r="N440" s="48">
        <f t="shared" si="104"/>
        <v>6</v>
      </c>
      <c r="O440" s="51">
        <f t="shared" ca="1" si="96"/>
        <v>8.0233958879891709E-3</v>
      </c>
      <c r="P440" s="51">
        <f t="shared" ca="1" si="97"/>
        <v>81.63207638974437</v>
      </c>
      <c r="Q440" s="55">
        <f t="shared" ca="1" si="105"/>
        <v>9.4339531929108489E-2</v>
      </c>
    </row>
    <row r="441" spans="1:17" x14ac:dyDescent="0.25">
      <c r="A441" s="48">
        <v>395</v>
      </c>
      <c r="B441" s="48">
        <f t="shared" ca="1" si="92"/>
        <v>0.47199999999999998</v>
      </c>
      <c r="C441" s="49">
        <f t="shared" si="98"/>
        <v>5</v>
      </c>
      <c r="D441" s="51">
        <f t="shared" ca="1" si="93"/>
        <v>0.15015525867931634</v>
      </c>
      <c r="E441" s="51">
        <f t="shared" ca="1" si="99"/>
        <v>81.687892116494581</v>
      </c>
      <c r="F441" s="48">
        <f t="shared" ca="1" si="100"/>
        <v>0</v>
      </c>
      <c r="G441" s="48">
        <f ca="1">COUNTIF($P$47:P451,"&lt;"&amp;E441)</f>
        <v>394</v>
      </c>
      <c r="H441" s="48">
        <f t="shared" ca="1" si="101"/>
        <v>2</v>
      </c>
      <c r="I441" s="48" t="str">
        <f t="shared" ca="1" si="102"/>
        <v>Des</v>
      </c>
      <c r="J441" s="52">
        <f t="shared" ca="1" si="94"/>
        <v>1</v>
      </c>
      <c r="K441" s="53">
        <f t="shared" ca="1" si="91"/>
        <v>0</v>
      </c>
      <c r="L441" s="54">
        <f t="shared" ca="1" si="103"/>
        <v>81.687892116494581</v>
      </c>
      <c r="M441" s="48">
        <f t="shared" ca="1" si="95"/>
        <v>0.57599999999999996</v>
      </c>
      <c r="N441" s="48">
        <f t="shared" si="104"/>
        <v>6</v>
      </c>
      <c r="O441" s="51">
        <f t="shared" ca="1" si="96"/>
        <v>9.1941269714374302E-2</v>
      </c>
      <c r="P441" s="51">
        <f t="shared" ca="1" si="97"/>
        <v>81.779833386208949</v>
      </c>
      <c r="Q441" s="55">
        <f t="shared" ca="1" si="105"/>
        <v>9.1941269714368445E-2</v>
      </c>
    </row>
    <row r="442" spans="1:17" x14ac:dyDescent="0.25">
      <c r="A442" s="48">
        <v>396</v>
      </c>
      <c r="B442" s="48">
        <f t="shared" ca="1" si="92"/>
        <v>0.16300000000000001</v>
      </c>
      <c r="C442" s="49">
        <f t="shared" si="98"/>
        <v>5</v>
      </c>
      <c r="D442" s="51">
        <f t="shared" ca="1" si="93"/>
        <v>0.36280101563507494</v>
      </c>
      <c r="E442" s="51">
        <f t="shared" ca="1" si="99"/>
        <v>82.050693132129652</v>
      </c>
      <c r="F442" s="48">
        <f t="shared" ca="1" si="100"/>
        <v>0</v>
      </c>
      <c r="G442" s="48">
        <f ca="1">COUNTIF($P$47:P452,"&lt;"&amp;E442)</f>
        <v>395</v>
      </c>
      <c r="H442" s="48">
        <f t="shared" ca="1" si="101"/>
        <v>1</v>
      </c>
      <c r="I442" s="48" t="str">
        <f t="shared" ca="1" si="102"/>
        <v>Des</v>
      </c>
      <c r="J442" s="52">
        <f t="shared" ca="1" si="94"/>
        <v>1</v>
      </c>
      <c r="K442" s="53">
        <f t="shared" ca="1" si="91"/>
        <v>0</v>
      </c>
      <c r="L442" s="54">
        <f t="shared" ca="1" si="103"/>
        <v>82.050693132129652</v>
      </c>
      <c r="M442" s="48">
        <f t="shared" ca="1" si="95"/>
        <v>0.503</v>
      </c>
      <c r="N442" s="48">
        <f t="shared" si="104"/>
        <v>6</v>
      </c>
      <c r="O442" s="51">
        <f t="shared" ca="1" si="96"/>
        <v>0.11452751814706631</v>
      </c>
      <c r="P442" s="51">
        <f t="shared" ca="1" si="97"/>
        <v>82.165220650276723</v>
      </c>
      <c r="Q442" s="55">
        <f t="shared" ca="1" si="105"/>
        <v>0.11452751814707085</v>
      </c>
    </row>
    <row r="443" spans="1:17" x14ac:dyDescent="0.25">
      <c r="A443" s="48">
        <v>397</v>
      </c>
      <c r="B443" s="48">
        <f t="shared" ca="1" si="92"/>
        <v>0.76800000000000002</v>
      </c>
      <c r="C443" s="49">
        <f t="shared" si="98"/>
        <v>5</v>
      </c>
      <c r="D443" s="51">
        <f t="shared" ca="1" si="93"/>
        <v>5.2793109166892976E-2</v>
      </c>
      <c r="E443" s="51">
        <f t="shared" ca="1" si="99"/>
        <v>82.103486241296551</v>
      </c>
      <c r="F443" s="48">
        <f t="shared" ca="1" si="100"/>
        <v>1</v>
      </c>
      <c r="G443" s="48">
        <f ca="1">COUNTIF($P$47:P453,"&lt;"&amp;E443)</f>
        <v>395</v>
      </c>
      <c r="H443" s="48">
        <f t="shared" ca="1" si="101"/>
        <v>0</v>
      </c>
      <c r="I443" s="48" t="str">
        <f t="shared" ca="1" si="102"/>
        <v>Ocu</v>
      </c>
      <c r="J443" s="52">
        <f t="shared" ca="1" si="94"/>
        <v>2</v>
      </c>
      <c r="K443" s="53">
        <f t="shared" ca="1" si="91"/>
        <v>6.1734408980171906E-2</v>
      </c>
      <c r="L443" s="54">
        <f t="shared" ca="1" si="103"/>
        <v>82.165220650276723</v>
      </c>
      <c r="M443" s="48">
        <f t="shared" ca="1" si="95"/>
        <v>0.58299999999999996</v>
      </c>
      <c r="N443" s="48">
        <f t="shared" si="104"/>
        <v>6</v>
      </c>
      <c r="O443" s="51">
        <f t="shared" ca="1" si="96"/>
        <v>8.9928015438607456E-2</v>
      </c>
      <c r="P443" s="51">
        <f t="shared" ca="1" si="97"/>
        <v>82.255148665715325</v>
      </c>
      <c r="Q443" s="55">
        <f t="shared" ca="1" si="105"/>
        <v>0.15166242441877387</v>
      </c>
    </row>
    <row r="444" spans="1:17" x14ac:dyDescent="0.25">
      <c r="A444" s="48">
        <v>398</v>
      </c>
      <c r="B444" s="48">
        <f t="shared" ca="1" si="92"/>
        <v>0.93799999999999994</v>
      </c>
      <c r="C444" s="49">
        <f t="shared" si="98"/>
        <v>5</v>
      </c>
      <c r="D444" s="51">
        <f t="shared" ca="1" si="93"/>
        <v>1.2801065995182477E-2</v>
      </c>
      <c r="E444" s="51">
        <f t="shared" ca="1" si="99"/>
        <v>82.116287307291728</v>
      </c>
      <c r="F444" s="48">
        <f t="shared" ca="1" si="100"/>
        <v>2</v>
      </c>
      <c r="G444" s="48">
        <f ca="1">COUNTIF($P$47:P454,"&lt;"&amp;E444)</f>
        <v>395</v>
      </c>
      <c r="H444" s="48">
        <f t="shared" ca="1" si="101"/>
        <v>0</v>
      </c>
      <c r="I444" s="48" t="str">
        <f t="shared" ca="1" si="102"/>
        <v>Ocu</v>
      </c>
      <c r="J444" s="52">
        <f t="shared" ca="1" si="94"/>
        <v>3</v>
      </c>
      <c r="K444" s="53">
        <f t="shared" ca="1" si="91"/>
        <v>0.13886135842359693</v>
      </c>
      <c r="L444" s="54">
        <f t="shared" ca="1" si="103"/>
        <v>82.255148665715325</v>
      </c>
      <c r="M444" s="48">
        <f t="shared" ca="1" si="95"/>
        <v>0.625</v>
      </c>
      <c r="N444" s="48">
        <f t="shared" si="104"/>
        <v>6</v>
      </c>
      <c r="O444" s="51">
        <f t="shared" ca="1" si="96"/>
        <v>7.8333938207622605E-2</v>
      </c>
      <c r="P444" s="51">
        <f t="shared" ca="1" si="97"/>
        <v>82.333482603922945</v>
      </c>
      <c r="Q444" s="55">
        <f t="shared" ca="1" si="105"/>
        <v>0.21719529663121762</v>
      </c>
    </row>
    <row r="445" spans="1:17" x14ac:dyDescent="0.25">
      <c r="A445" s="48">
        <v>399</v>
      </c>
      <c r="B445" s="48">
        <f t="shared" ca="1" si="92"/>
        <v>0.40899999999999997</v>
      </c>
      <c r="C445" s="49">
        <f t="shared" si="98"/>
        <v>5</v>
      </c>
      <c r="D445" s="51">
        <f t="shared" ca="1" si="93"/>
        <v>0.17880802458786707</v>
      </c>
      <c r="E445" s="51">
        <f t="shared" ca="1" si="99"/>
        <v>82.295095331879594</v>
      </c>
      <c r="F445" s="48">
        <f t="shared" ca="1" si="100"/>
        <v>1</v>
      </c>
      <c r="G445" s="48">
        <f ca="1">COUNTIF($P$47:P455,"&lt;"&amp;E445)</f>
        <v>397</v>
      </c>
      <c r="H445" s="48">
        <f t="shared" ca="1" si="101"/>
        <v>2</v>
      </c>
      <c r="I445" s="48" t="str">
        <f t="shared" ca="1" si="102"/>
        <v>Ocu</v>
      </c>
      <c r="J445" s="52">
        <f t="shared" ca="1" si="94"/>
        <v>2</v>
      </c>
      <c r="K445" s="53">
        <f t="shared" ca="1" si="91"/>
        <v>3.8387272043351572E-2</v>
      </c>
      <c r="L445" s="54">
        <f t="shared" ca="1" si="103"/>
        <v>82.333482603922945</v>
      </c>
      <c r="M445" s="48">
        <f t="shared" ca="1" si="95"/>
        <v>0.46800000000000003</v>
      </c>
      <c r="N445" s="48">
        <f t="shared" si="104"/>
        <v>6</v>
      </c>
      <c r="O445" s="51">
        <f t="shared" ca="1" si="96"/>
        <v>0.12654783051074836</v>
      </c>
      <c r="P445" s="51">
        <f t="shared" ca="1" si="97"/>
        <v>82.460030434433691</v>
      </c>
      <c r="Q445" s="55">
        <f t="shared" ca="1" si="105"/>
        <v>0.1649351025540966</v>
      </c>
    </row>
    <row r="446" spans="1:17" x14ac:dyDescent="0.25">
      <c r="A446" s="48">
        <v>400</v>
      </c>
      <c r="B446" s="48">
        <f t="shared" ca="1" si="92"/>
        <v>0.124</v>
      </c>
      <c r="C446" s="49">
        <f t="shared" si="98"/>
        <v>5</v>
      </c>
      <c r="D446" s="51">
        <f t="shared" ca="1" si="93"/>
        <v>0.41749474267542008</v>
      </c>
      <c r="E446" s="51">
        <f t="shared" ca="1" si="99"/>
        <v>82.71259007455501</v>
      </c>
      <c r="F446" s="48">
        <f t="shared" ca="1" si="100"/>
        <v>0</v>
      </c>
      <c r="G446" s="48">
        <f ca="1">COUNTIF($P$47:P456,"&lt;"&amp;E446)</f>
        <v>399</v>
      </c>
      <c r="H446" s="48">
        <f t="shared" ca="1" si="101"/>
        <v>2</v>
      </c>
      <c r="I446" s="48" t="str">
        <f t="shared" ca="1" si="102"/>
        <v>Des</v>
      </c>
      <c r="J446" s="52">
        <f t="shared" ca="1" si="94"/>
        <v>1</v>
      </c>
      <c r="K446" s="53">
        <f t="shared" ca="1" si="91"/>
        <v>0</v>
      </c>
      <c r="L446" s="54">
        <f t="shared" ca="1" si="103"/>
        <v>82.71259007455501</v>
      </c>
      <c r="M446" s="48">
        <f t="shared" ca="1" si="95"/>
        <v>0.66500000000000004</v>
      </c>
      <c r="N446" s="48">
        <f t="shared" si="104"/>
        <v>6</v>
      </c>
      <c r="O446" s="51">
        <f t="shared" ca="1" si="96"/>
        <v>6.7994706387713807E-2</v>
      </c>
      <c r="P446" s="51">
        <f t="shared" ca="1" si="97"/>
        <v>82.780584780942718</v>
      </c>
      <c r="Q446" s="55">
        <f t="shared" ca="1" si="105"/>
        <v>6.7994706387707993E-2</v>
      </c>
    </row>
    <row r="447" spans="1:17" x14ac:dyDescent="0.25">
      <c r="A447" s="48">
        <v>401</v>
      </c>
      <c r="B447" s="48">
        <f t="shared" ca="1" si="92"/>
        <v>9.7000000000000003E-2</v>
      </c>
      <c r="C447" s="49">
        <f t="shared" si="98"/>
        <v>5</v>
      </c>
      <c r="D447" s="51">
        <f t="shared" ca="1" si="93"/>
        <v>0.46660886009575081</v>
      </c>
      <c r="E447" s="51">
        <f t="shared" ca="1" si="99"/>
        <v>83.179198934650756</v>
      </c>
      <c r="F447" s="48">
        <f t="shared" ca="1" si="100"/>
        <v>0</v>
      </c>
      <c r="G447" s="48">
        <f ca="1">COUNTIF($P$47:P457,"&lt;"&amp;E447)</f>
        <v>400</v>
      </c>
      <c r="H447" s="48">
        <f t="shared" ca="1" si="101"/>
        <v>1</v>
      </c>
      <c r="I447" s="48" t="str">
        <f t="shared" ca="1" si="102"/>
        <v>Des</v>
      </c>
      <c r="J447" s="52">
        <f t="shared" ca="1" si="94"/>
        <v>1</v>
      </c>
      <c r="K447" s="53">
        <f t="shared" ca="1" si="91"/>
        <v>0</v>
      </c>
      <c r="L447" s="54">
        <f t="shared" ca="1" si="103"/>
        <v>83.179198934650756</v>
      </c>
      <c r="M447" s="48">
        <f t="shared" ca="1" si="95"/>
        <v>0.28699999999999998</v>
      </c>
      <c r="N447" s="48">
        <f t="shared" si="104"/>
        <v>6</v>
      </c>
      <c r="O447" s="51">
        <f t="shared" ca="1" si="96"/>
        <v>0.208045510537086</v>
      </c>
      <c r="P447" s="51">
        <f t="shared" ca="1" si="97"/>
        <v>83.387244445187847</v>
      </c>
      <c r="Q447" s="55">
        <f t="shared" ca="1" si="105"/>
        <v>0.20804551053709019</v>
      </c>
    </row>
    <row r="448" spans="1:17" x14ac:dyDescent="0.25">
      <c r="A448" s="48">
        <v>402</v>
      </c>
      <c r="B448" s="48">
        <f t="shared" ca="1" si="92"/>
        <v>0.17499999999999999</v>
      </c>
      <c r="C448" s="49">
        <f t="shared" si="98"/>
        <v>5</v>
      </c>
      <c r="D448" s="51">
        <f t="shared" ca="1" si="93"/>
        <v>0.34859386101172463</v>
      </c>
      <c r="E448" s="51">
        <f t="shared" ca="1" si="99"/>
        <v>83.527792795662478</v>
      </c>
      <c r="F448" s="48">
        <f t="shared" ca="1" si="100"/>
        <v>0</v>
      </c>
      <c r="G448" s="48">
        <f ca="1">COUNTIF($P$47:P458,"&lt;"&amp;E448)</f>
        <v>401</v>
      </c>
      <c r="H448" s="48">
        <f t="shared" ca="1" si="101"/>
        <v>1</v>
      </c>
      <c r="I448" s="48" t="str">
        <f t="shared" ca="1" si="102"/>
        <v>Des</v>
      </c>
      <c r="J448" s="52">
        <f t="shared" ca="1" si="94"/>
        <v>1</v>
      </c>
      <c r="K448" s="53">
        <f t="shared" ca="1" si="91"/>
        <v>0</v>
      </c>
      <c r="L448" s="54">
        <f t="shared" ca="1" si="103"/>
        <v>83.527792795662478</v>
      </c>
      <c r="M448" s="48">
        <f t="shared" ca="1" si="95"/>
        <v>0.82199999999999995</v>
      </c>
      <c r="N448" s="48">
        <f t="shared" si="104"/>
        <v>6</v>
      </c>
      <c r="O448" s="51">
        <f t="shared" ca="1" si="96"/>
        <v>3.2669147320992867E-2</v>
      </c>
      <c r="P448" s="51">
        <f t="shared" ca="1" si="97"/>
        <v>83.560461942983466</v>
      </c>
      <c r="Q448" s="55">
        <f t="shared" ca="1" si="105"/>
        <v>3.266914732098769E-2</v>
      </c>
    </row>
    <row r="449" spans="1:17" x14ac:dyDescent="0.25">
      <c r="A449" s="48">
        <v>403</v>
      </c>
      <c r="B449" s="48">
        <f t="shared" ca="1" si="92"/>
        <v>0.71099999999999997</v>
      </c>
      <c r="C449" s="49">
        <f t="shared" si="98"/>
        <v>5</v>
      </c>
      <c r="D449" s="51">
        <f t="shared" ca="1" si="93"/>
        <v>6.8216569835779242E-2</v>
      </c>
      <c r="E449" s="51">
        <f t="shared" ca="1" si="99"/>
        <v>83.596009365498261</v>
      </c>
      <c r="F449" s="48">
        <f t="shared" ca="1" si="100"/>
        <v>0</v>
      </c>
      <c r="G449" s="48">
        <f ca="1">COUNTIF($P$47:P459,"&lt;"&amp;E449)</f>
        <v>402</v>
      </c>
      <c r="H449" s="48">
        <f t="shared" ca="1" si="101"/>
        <v>1</v>
      </c>
      <c r="I449" s="48" t="str">
        <f t="shared" ca="1" si="102"/>
        <v>Des</v>
      </c>
      <c r="J449" s="52">
        <f t="shared" ca="1" si="94"/>
        <v>1</v>
      </c>
      <c r="K449" s="53">
        <f t="shared" ca="1" si="91"/>
        <v>0</v>
      </c>
      <c r="L449" s="54">
        <f t="shared" ca="1" si="103"/>
        <v>83.596009365498261</v>
      </c>
      <c r="M449" s="48">
        <f t="shared" ca="1" si="95"/>
        <v>0.29399999999999998</v>
      </c>
      <c r="N449" s="48">
        <f t="shared" si="104"/>
        <v>6</v>
      </c>
      <c r="O449" s="51">
        <f t="shared" ca="1" si="96"/>
        <v>0.20402925194057592</v>
      </c>
      <c r="P449" s="51">
        <f t="shared" ca="1" si="97"/>
        <v>83.800038617438844</v>
      </c>
      <c r="Q449" s="55">
        <f t="shared" ca="1" si="105"/>
        <v>0.20402925194058241</v>
      </c>
    </row>
    <row r="450" spans="1:17" x14ac:dyDescent="0.25">
      <c r="A450" s="48">
        <v>404</v>
      </c>
      <c r="B450" s="48">
        <f t="shared" ca="1" si="92"/>
        <v>3.3000000000000002E-2</v>
      </c>
      <c r="C450" s="49">
        <f t="shared" si="98"/>
        <v>5</v>
      </c>
      <c r="D450" s="51">
        <f t="shared" ca="1" si="93"/>
        <v>0.68224954350313138</v>
      </c>
      <c r="E450" s="51">
        <f t="shared" ca="1" si="99"/>
        <v>84.278258909001394</v>
      </c>
      <c r="F450" s="48">
        <f t="shared" ca="1" si="100"/>
        <v>0</v>
      </c>
      <c r="G450" s="48">
        <f ca="1">COUNTIF($P$47:P460,"&lt;"&amp;E450)</f>
        <v>403</v>
      </c>
      <c r="H450" s="48">
        <f t="shared" ca="1" si="101"/>
        <v>1</v>
      </c>
      <c r="I450" s="48" t="str">
        <f t="shared" ca="1" si="102"/>
        <v>Des</v>
      </c>
      <c r="J450" s="52">
        <f t="shared" ca="1" si="94"/>
        <v>1</v>
      </c>
      <c r="K450" s="53">
        <f t="shared" ca="1" si="91"/>
        <v>0</v>
      </c>
      <c r="L450" s="54">
        <f t="shared" ca="1" si="103"/>
        <v>84.278258909001394</v>
      </c>
      <c r="M450" s="48">
        <f t="shared" ca="1" si="95"/>
        <v>0.53400000000000003</v>
      </c>
      <c r="N450" s="48">
        <f t="shared" si="104"/>
        <v>6</v>
      </c>
      <c r="O450" s="51">
        <f t="shared" ca="1" si="96"/>
        <v>0.10455990667032369</v>
      </c>
      <c r="P450" s="51">
        <f t="shared" ca="1" si="97"/>
        <v>84.382818815671712</v>
      </c>
      <c r="Q450" s="55">
        <f t="shared" ca="1" si="105"/>
        <v>0.10455990667031756</v>
      </c>
    </row>
    <row r="451" spans="1:17" x14ac:dyDescent="0.25">
      <c r="A451" s="48">
        <v>405</v>
      </c>
      <c r="B451" s="48">
        <f t="shared" ca="1" si="92"/>
        <v>0.10100000000000001</v>
      </c>
      <c r="C451" s="49">
        <f t="shared" si="98"/>
        <v>5</v>
      </c>
      <c r="D451" s="51">
        <f t="shared" ca="1" si="93"/>
        <v>0.45852695242817554</v>
      </c>
      <c r="E451" s="51">
        <f t="shared" ca="1" si="99"/>
        <v>84.736785861429567</v>
      </c>
      <c r="F451" s="48">
        <f t="shared" ca="1" si="100"/>
        <v>0</v>
      </c>
      <c r="G451" s="48">
        <f ca="1">COUNTIF($P$47:P461,"&lt;"&amp;E451)</f>
        <v>404</v>
      </c>
      <c r="H451" s="48">
        <f t="shared" ca="1" si="101"/>
        <v>1</v>
      </c>
      <c r="I451" s="48" t="str">
        <f t="shared" ca="1" si="102"/>
        <v>Des</v>
      </c>
      <c r="J451" s="52">
        <f t="shared" ca="1" si="94"/>
        <v>1</v>
      </c>
      <c r="K451" s="53">
        <f t="shared" ca="1" si="91"/>
        <v>0</v>
      </c>
      <c r="L451" s="54">
        <f t="shared" ca="1" si="103"/>
        <v>84.736785861429567</v>
      </c>
      <c r="M451" s="48">
        <f t="shared" ca="1" si="95"/>
        <v>0.25600000000000001</v>
      </c>
      <c r="N451" s="48">
        <f t="shared" si="104"/>
        <v>6</v>
      </c>
      <c r="O451" s="51">
        <f t="shared" ca="1" si="96"/>
        <v>0.22709630575042908</v>
      </c>
      <c r="P451" s="51">
        <f t="shared" ca="1" si="97"/>
        <v>84.963882167180003</v>
      </c>
      <c r="Q451" s="55">
        <f t="shared" ca="1" si="105"/>
        <v>0.22709630575043604</v>
      </c>
    </row>
    <row r="452" spans="1:17" x14ac:dyDescent="0.25">
      <c r="A452" s="48">
        <v>406</v>
      </c>
      <c r="B452" s="48">
        <f t="shared" ca="1" si="92"/>
        <v>0.69599999999999995</v>
      </c>
      <c r="C452" s="49">
        <f t="shared" si="98"/>
        <v>5</v>
      </c>
      <c r="D452" s="51">
        <f t="shared" ca="1" si="93"/>
        <v>7.2481123729543503E-2</v>
      </c>
      <c r="E452" s="51">
        <f t="shared" ca="1" si="99"/>
        <v>84.809266985159113</v>
      </c>
      <c r="F452" s="48">
        <f t="shared" ca="1" si="100"/>
        <v>1</v>
      </c>
      <c r="G452" s="48">
        <f ca="1">COUNTIF($P$47:P462,"&lt;"&amp;E452)</f>
        <v>404</v>
      </c>
      <c r="H452" s="48">
        <f t="shared" ca="1" si="101"/>
        <v>0</v>
      </c>
      <c r="I452" s="48" t="str">
        <f t="shared" ca="1" si="102"/>
        <v>Ocu</v>
      </c>
      <c r="J452" s="52">
        <f t="shared" ca="1" si="94"/>
        <v>2</v>
      </c>
      <c r="K452" s="53">
        <f t="shared" ca="1" si="91"/>
        <v>0.15461518202089053</v>
      </c>
      <c r="L452" s="54">
        <f t="shared" ca="1" si="103"/>
        <v>84.963882167180003</v>
      </c>
      <c r="M452" s="48">
        <f t="shared" ca="1" si="95"/>
        <v>0.91800000000000004</v>
      </c>
      <c r="N452" s="48">
        <f t="shared" si="104"/>
        <v>6</v>
      </c>
      <c r="O452" s="51">
        <f t="shared" ca="1" si="96"/>
        <v>1.4259648060274428E-2</v>
      </c>
      <c r="P452" s="51">
        <f t="shared" ca="1" si="97"/>
        <v>84.978141815240278</v>
      </c>
      <c r="Q452" s="55">
        <f t="shared" ca="1" si="105"/>
        <v>0.16887483008116533</v>
      </c>
    </row>
    <row r="453" spans="1:17" x14ac:dyDescent="0.25">
      <c r="A453" s="48">
        <v>407</v>
      </c>
      <c r="B453" s="48">
        <f t="shared" ca="1" si="92"/>
        <v>0.68100000000000005</v>
      </c>
      <c r="C453" s="49">
        <f t="shared" si="98"/>
        <v>5</v>
      </c>
      <c r="D453" s="51">
        <f t="shared" ca="1" si="93"/>
        <v>7.683859456652492E-2</v>
      </c>
      <c r="E453" s="51">
        <f t="shared" ca="1" si="99"/>
        <v>84.886105579725637</v>
      </c>
      <c r="F453" s="48">
        <f t="shared" ca="1" si="100"/>
        <v>2</v>
      </c>
      <c r="G453" s="48">
        <f ca="1">COUNTIF($P$47:P463,"&lt;"&amp;E453)</f>
        <v>404</v>
      </c>
      <c r="H453" s="48">
        <f t="shared" ca="1" si="101"/>
        <v>0</v>
      </c>
      <c r="I453" s="48" t="str">
        <f t="shared" ca="1" si="102"/>
        <v>Ocu</v>
      </c>
      <c r="J453" s="52">
        <f t="shared" ca="1" si="94"/>
        <v>3</v>
      </c>
      <c r="K453" s="53">
        <f t="shared" ca="1" si="91"/>
        <v>9.2036235514640907E-2</v>
      </c>
      <c r="L453" s="54">
        <f t="shared" ca="1" si="103"/>
        <v>84.978141815240278</v>
      </c>
      <c r="M453" s="48">
        <f t="shared" ca="1" si="95"/>
        <v>0.98199999999999998</v>
      </c>
      <c r="N453" s="48">
        <f t="shared" si="104"/>
        <v>6</v>
      </c>
      <c r="O453" s="51">
        <f t="shared" ca="1" si="96"/>
        <v>3.0273284379451868E-3</v>
      </c>
      <c r="P453" s="51">
        <f t="shared" ca="1" si="97"/>
        <v>84.98116914367823</v>
      </c>
      <c r="Q453" s="55">
        <f t="shared" ca="1" si="105"/>
        <v>9.5063563952592744E-2</v>
      </c>
    </row>
    <row r="454" spans="1:17" x14ac:dyDescent="0.25">
      <c r="A454" s="48">
        <v>408</v>
      </c>
      <c r="B454" s="48">
        <f t="shared" ca="1" si="92"/>
        <v>0.65200000000000002</v>
      </c>
      <c r="C454" s="49">
        <f t="shared" si="98"/>
        <v>5</v>
      </c>
      <c r="D454" s="51">
        <f t="shared" ca="1" si="93"/>
        <v>8.5542143411096838E-2</v>
      </c>
      <c r="E454" s="51">
        <f t="shared" ca="1" si="99"/>
        <v>84.971647723136741</v>
      </c>
      <c r="F454" s="48">
        <f t="shared" ca="1" si="100"/>
        <v>2</v>
      </c>
      <c r="G454" s="48">
        <f ca="1">COUNTIF($P$47:P464,"&lt;"&amp;E454)</f>
        <v>405</v>
      </c>
      <c r="H454" s="48">
        <f t="shared" ca="1" si="101"/>
        <v>1</v>
      </c>
      <c r="I454" s="48" t="str">
        <f t="shared" ca="1" si="102"/>
        <v>Ocu</v>
      </c>
      <c r="J454" s="52">
        <f t="shared" ca="1" si="94"/>
        <v>3</v>
      </c>
      <c r="K454" s="53">
        <f t="shared" ca="1" si="91"/>
        <v>9.5214205414890785E-3</v>
      </c>
      <c r="L454" s="54">
        <f t="shared" ca="1" si="103"/>
        <v>84.98116914367823</v>
      </c>
      <c r="M454" s="48">
        <f t="shared" ca="1" si="95"/>
        <v>0.106</v>
      </c>
      <c r="N454" s="48">
        <f t="shared" si="104"/>
        <v>6</v>
      </c>
      <c r="O454" s="51">
        <f t="shared" ca="1" si="96"/>
        <v>0.37405269747834496</v>
      </c>
      <c r="P454" s="51">
        <f t="shared" ca="1" si="97"/>
        <v>85.355221841156578</v>
      </c>
      <c r="Q454" s="55">
        <f t="shared" ca="1" si="105"/>
        <v>0.38357411801983687</v>
      </c>
    </row>
    <row r="455" spans="1:17" x14ac:dyDescent="0.25">
      <c r="A455" s="48">
        <v>409</v>
      </c>
      <c r="B455" s="48">
        <f t="shared" ca="1" si="92"/>
        <v>0.53300000000000003</v>
      </c>
      <c r="C455" s="49">
        <f t="shared" si="98"/>
        <v>5</v>
      </c>
      <c r="D455" s="51">
        <f t="shared" ca="1" si="93"/>
        <v>0.1258467709632585</v>
      </c>
      <c r="E455" s="51">
        <f t="shared" ca="1" si="99"/>
        <v>85.097494494100005</v>
      </c>
      <c r="F455" s="48">
        <f t="shared" ca="1" si="100"/>
        <v>1</v>
      </c>
      <c r="G455" s="48">
        <f ca="1">COUNTIF($P$47:P465,"&lt;"&amp;E455)</f>
        <v>407</v>
      </c>
      <c r="H455" s="48">
        <f t="shared" ca="1" si="101"/>
        <v>2</v>
      </c>
      <c r="I455" s="48" t="str">
        <f t="shared" ca="1" si="102"/>
        <v>Ocu</v>
      </c>
      <c r="J455" s="52">
        <f t="shared" ca="1" si="94"/>
        <v>2</v>
      </c>
      <c r="K455" s="53">
        <f t="shared" ca="1" si="91"/>
        <v>0.25772734705657285</v>
      </c>
      <c r="L455" s="54">
        <f t="shared" ca="1" si="103"/>
        <v>85.355221841156578</v>
      </c>
      <c r="M455" s="48">
        <f t="shared" ca="1" si="95"/>
        <v>0.26200000000000001</v>
      </c>
      <c r="N455" s="48">
        <f t="shared" si="104"/>
        <v>6</v>
      </c>
      <c r="O455" s="51">
        <f t="shared" ca="1" si="96"/>
        <v>0.22323512920350666</v>
      </c>
      <c r="P455" s="51">
        <f t="shared" ca="1" si="97"/>
        <v>85.578456970360079</v>
      </c>
      <c r="Q455" s="55">
        <f t="shared" ca="1" si="105"/>
        <v>0.48096247626007482</v>
      </c>
    </row>
    <row r="456" spans="1:17" x14ac:dyDescent="0.25">
      <c r="A456" s="48">
        <v>410</v>
      </c>
      <c r="B456" s="48">
        <f t="shared" ca="1" si="92"/>
        <v>0.89200000000000002</v>
      </c>
      <c r="C456" s="49">
        <f t="shared" si="98"/>
        <v>5</v>
      </c>
      <c r="D456" s="51">
        <f t="shared" ca="1" si="93"/>
        <v>2.2857829280425519E-2</v>
      </c>
      <c r="E456" s="51">
        <f t="shared" ca="1" si="99"/>
        <v>85.12035232338043</v>
      </c>
      <c r="F456" s="48">
        <f t="shared" ca="1" si="100"/>
        <v>2</v>
      </c>
      <c r="G456" s="48">
        <f ca="1">COUNTIF($P$47:P466,"&lt;"&amp;E456)</f>
        <v>407</v>
      </c>
      <c r="H456" s="48">
        <f t="shared" ca="1" si="101"/>
        <v>0</v>
      </c>
      <c r="I456" s="48" t="str">
        <f t="shared" ca="1" si="102"/>
        <v>Ocu</v>
      </c>
      <c r="J456" s="52">
        <f t="shared" ca="1" si="94"/>
        <v>3</v>
      </c>
      <c r="K456" s="53">
        <f t="shared" ca="1" si="91"/>
        <v>0.45810464697964903</v>
      </c>
      <c r="L456" s="54">
        <f t="shared" ca="1" si="103"/>
        <v>85.578456970360079</v>
      </c>
      <c r="M456" s="48">
        <f t="shared" ca="1" si="95"/>
        <v>0.59199999999999997</v>
      </c>
      <c r="N456" s="48">
        <f t="shared" si="104"/>
        <v>6</v>
      </c>
      <c r="O456" s="51">
        <f t="shared" ca="1" si="96"/>
        <v>8.7374774016355239E-2</v>
      </c>
      <c r="P456" s="51">
        <f t="shared" ca="1" si="97"/>
        <v>85.665831744376433</v>
      </c>
      <c r="Q456" s="55">
        <f t="shared" ca="1" si="105"/>
        <v>0.54547942099600277</v>
      </c>
    </row>
    <row r="457" spans="1:17" x14ac:dyDescent="0.25">
      <c r="A457" s="48">
        <v>411</v>
      </c>
      <c r="B457" s="48">
        <f t="shared" ca="1" si="92"/>
        <v>9.9000000000000005E-2</v>
      </c>
      <c r="C457" s="49">
        <f t="shared" si="98"/>
        <v>5</v>
      </c>
      <c r="D457" s="51">
        <f t="shared" ca="1" si="93"/>
        <v>0.46252708576950941</v>
      </c>
      <c r="E457" s="51">
        <f t="shared" ca="1" si="99"/>
        <v>85.582879409149939</v>
      </c>
      <c r="F457" s="48">
        <f t="shared" ca="1" si="100"/>
        <v>1</v>
      </c>
      <c r="G457" s="48">
        <f ca="1">COUNTIF($P$47:P467,"&lt;"&amp;E457)</f>
        <v>409</v>
      </c>
      <c r="H457" s="48">
        <f t="shared" ca="1" si="101"/>
        <v>2</v>
      </c>
      <c r="I457" s="48" t="str">
        <f t="shared" ca="1" si="102"/>
        <v>Ocu</v>
      </c>
      <c r="J457" s="52">
        <f t="shared" ca="1" si="94"/>
        <v>2</v>
      </c>
      <c r="K457" s="53">
        <f t="shared" ca="1" si="91"/>
        <v>8.2952335226494256E-2</v>
      </c>
      <c r="L457" s="54">
        <f t="shared" ca="1" si="103"/>
        <v>85.665831744376433</v>
      </c>
      <c r="M457" s="48">
        <f t="shared" ca="1" si="95"/>
        <v>0.58499999999999996</v>
      </c>
      <c r="N457" s="48">
        <f t="shared" si="104"/>
        <v>6</v>
      </c>
      <c r="O457" s="51">
        <f t="shared" ca="1" si="96"/>
        <v>8.935723862504677E-2</v>
      </c>
      <c r="P457" s="51">
        <f t="shared" ca="1" si="97"/>
        <v>85.755188983001474</v>
      </c>
      <c r="Q457" s="55">
        <f t="shared" ca="1" si="105"/>
        <v>0.17230957385153545</v>
      </c>
    </row>
    <row r="458" spans="1:17" x14ac:dyDescent="0.25">
      <c r="A458" s="48">
        <v>412</v>
      </c>
      <c r="B458" s="48">
        <f t="shared" ca="1" si="92"/>
        <v>0.34899999999999998</v>
      </c>
      <c r="C458" s="49">
        <f t="shared" si="98"/>
        <v>5</v>
      </c>
      <c r="D458" s="51">
        <f t="shared" ca="1" si="93"/>
        <v>0.21053667135594198</v>
      </c>
      <c r="E458" s="51">
        <f t="shared" ca="1" si="99"/>
        <v>85.793416080505878</v>
      </c>
      <c r="F458" s="48">
        <f t="shared" ca="1" si="100"/>
        <v>0</v>
      </c>
      <c r="G458" s="48">
        <f ca="1">COUNTIF($P$47:P468,"&lt;"&amp;E458)</f>
        <v>411</v>
      </c>
      <c r="H458" s="48">
        <f t="shared" ca="1" si="101"/>
        <v>2</v>
      </c>
      <c r="I458" s="48" t="str">
        <f t="shared" ca="1" si="102"/>
        <v>Des</v>
      </c>
      <c r="J458" s="52">
        <f t="shared" ca="1" si="94"/>
        <v>1</v>
      </c>
      <c r="K458" s="53">
        <f t="shared" ca="1" si="91"/>
        <v>0</v>
      </c>
      <c r="L458" s="54">
        <f t="shared" ca="1" si="103"/>
        <v>85.793416080505878</v>
      </c>
      <c r="M458" s="48">
        <f t="shared" ca="1" si="95"/>
        <v>0.51800000000000002</v>
      </c>
      <c r="N458" s="48">
        <f t="shared" si="104"/>
        <v>6</v>
      </c>
      <c r="O458" s="51">
        <f t="shared" ca="1" si="96"/>
        <v>0.10963000612044232</v>
      </c>
      <c r="P458" s="51">
        <f t="shared" ca="1" si="97"/>
        <v>85.903046086626318</v>
      </c>
      <c r="Q458" s="55">
        <f t="shared" ca="1" si="105"/>
        <v>0.10963000612044027</v>
      </c>
    </row>
    <row r="459" spans="1:17" x14ac:dyDescent="0.25">
      <c r="A459" s="48">
        <v>413</v>
      </c>
      <c r="B459" s="48">
        <f t="shared" ca="1" si="92"/>
        <v>0.14000000000000001</v>
      </c>
      <c r="C459" s="49">
        <f t="shared" si="98"/>
        <v>5</v>
      </c>
      <c r="D459" s="51">
        <f t="shared" ca="1" si="93"/>
        <v>0.39322257127456656</v>
      </c>
      <c r="E459" s="51">
        <f t="shared" ca="1" si="99"/>
        <v>86.186638651780441</v>
      </c>
      <c r="F459" s="48">
        <f t="shared" ca="1" si="100"/>
        <v>0</v>
      </c>
      <c r="G459" s="48">
        <f ca="1">COUNTIF($P$47:P469,"&lt;"&amp;E459)</f>
        <v>412</v>
      </c>
      <c r="H459" s="48">
        <f t="shared" ca="1" si="101"/>
        <v>1</v>
      </c>
      <c r="I459" s="48" t="str">
        <f t="shared" ca="1" si="102"/>
        <v>Des</v>
      </c>
      <c r="J459" s="52">
        <f t="shared" ca="1" si="94"/>
        <v>1</v>
      </c>
      <c r="K459" s="53">
        <f t="shared" ca="1" si="91"/>
        <v>0</v>
      </c>
      <c r="L459" s="54">
        <f t="shared" ca="1" si="103"/>
        <v>86.186638651780441</v>
      </c>
      <c r="M459" s="48">
        <f t="shared" ca="1" si="95"/>
        <v>0.86499999999999999</v>
      </c>
      <c r="N459" s="48">
        <f t="shared" si="104"/>
        <v>6</v>
      </c>
      <c r="O459" s="51">
        <f t="shared" ca="1" si="96"/>
        <v>2.4170962008376297E-2</v>
      </c>
      <c r="P459" s="51">
        <f t="shared" ca="1" si="97"/>
        <v>86.210809613788811</v>
      </c>
      <c r="Q459" s="55">
        <f t="shared" ca="1" si="105"/>
        <v>2.4170962008369656E-2</v>
      </c>
    </row>
    <row r="460" spans="1:17" x14ac:dyDescent="0.25">
      <c r="A460" s="48">
        <v>414</v>
      </c>
      <c r="B460" s="48">
        <f t="shared" ca="1" si="92"/>
        <v>0.83399999999999996</v>
      </c>
      <c r="C460" s="49">
        <f t="shared" si="98"/>
        <v>5</v>
      </c>
      <c r="D460" s="51">
        <f t="shared" ca="1" si="93"/>
        <v>3.6304375324678076E-2</v>
      </c>
      <c r="E460" s="51">
        <f t="shared" ca="1" si="99"/>
        <v>86.222943027105117</v>
      </c>
      <c r="F460" s="48">
        <f t="shared" ca="1" si="100"/>
        <v>0</v>
      </c>
      <c r="G460" s="48">
        <f ca="1">COUNTIF($P$47:P470,"&lt;"&amp;E460)</f>
        <v>413</v>
      </c>
      <c r="H460" s="48">
        <f t="shared" ca="1" si="101"/>
        <v>1</v>
      </c>
      <c r="I460" s="48" t="str">
        <f t="shared" ca="1" si="102"/>
        <v>Des</v>
      </c>
      <c r="J460" s="52">
        <f t="shared" ca="1" si="94"/>
        <v>1</v>
      </c>
      <c r="K460" s="53">
        <f t="shared" ca="1" si="91"/>
        <v>0</v>
      </c>
      <c r="L460" s="54">
        <f t="shared" ca="1" si="103"/>
        <v>86.222943027105117</v>
      </c>
      <c r="M460" s="48">
        <f t="shared" ca="1" si="95"/>
        <v>0.308</v>
      </c>
      <c r="N460" s="48">
        <f t="shared" si="104"/>
        <v>6</v>
      </c>
      <c r="O460" s="51">
        <f t="shared" ca="1" si="96"/>
        <v>0.19627591600142708</v>
      </c>
      <c r="P460" s="51">
        <f t="shared" ca="1" si="97"/>
        <v>86.419218943106543</v>
      </c>
      <c r="Q460" s="55">
        <f t="shared" ca="1" si="105"/>
        <v>0.1962759160014258</v>
      </c>
    </row>
    <row r="461" spans="1:17" x14ac:dyDescent="0.25">
      <c r="A461" s="48">
        <v>415</v>
      </c>
      <c r="B461" s="48">
        <f t="shared" ca="1" si="92"/>
        <v>0.16400000000000001</v>
      </c>
      <c r="C461" s="49">
        <f t="shared" si="98"/>
        <v>5</v>
      </c>
      <c r="D461" s="51">
        <f t="shared" ca="1" si="93"/>
        <v>0.36157777023158777</v>
      </c>
      <c r="E461" s="51">
        <f t="shared" ca="1" si="99"/>
        <v>86.584520797336708</v>
      </c>
      <c r="F461" s="48">
        <f t="shared" ca="1" si="100"/>
        <v>0</v>
      </c>
      <c r="G461" s="48">
        <f ca="1">COUNTIF($P$47:P471,"&lt;"&amp;E461)</f>
        <v>414</v>
      </c>
      <c r="H461" s="48">
        <f t="shared" ca="1" si="101"/>
        <v>1</v>
      </c>
      <c r="I461" s="48" t="str">
        <f t="shared" ca="1" si="102"/>
        <v>Des</v>
      </c>
      <c r="J461" s="52">
        <f t="shared" ca="1" si="94"/>
        <v>1</v>
      </c>
      <c r="K461" s="53">
        <f t="shared" ca="1" si="91"/>
        <v>0</v>
      </c>
      <c r="L461" s="54">
        <f t="shared" ca="1" si="103"/>
        <v>86.584520797336708</v>
      </c>
      <c r="M461" s="48">
        <f t="shared" ca="1" si="95"/>
        <v>0.13800000000000001</v>
      </c>
      <c r="N461" s="48">
        <f t="shared" si="104"/>
        <v>6</v>
      </c>
      <c r="O461" s="51">
        <f t="shared" ca="1" si="96"/>
        <v>0.33008359897082201</v>
      </c>
      <c r="P461" s="51">
        <f t="shared" ca="1" si="97"/>
        <v>86.914604396307524</v>
      </c>
      <c r="Q461" s="55">
        <f t="shared" ca="1" si="105"/>
        <v>0.33008359897081618</v>
      </c>
    </row>
    <row r="462" spans="1:17" x14ac:dyDescent="0.25">
      <c r="A462" s="48">
        <v>416</v>
      </c>
      <c r="B462" s="48">
        <f t="shared" ca="1" si="92"/>
        <v>0.91900000000000004</v>
      </c>
      <c r="C462" s="49">
        <f t="shared" si="98"/>
        <v>5</v>
      </c>
      <c r="D462" s="51">
        <f t="shared" ca="1" si="93"/>
        <v>1.6893831325289994E-2</v>
      </c>
      <c r="E462" s="51">
        <f t="shared" ca="1" si="99"/>
        <v>86.601414628661999</v>
      </c>
      <c r="F462" s="48">
        <f t="shared" ca="1" si="100"/>
        <v>1</v>
      </c>
      <c r="G462" s="48">
        <f ca="1">COUNTIF($P$47:P472,"&lt;"&amp;E462)</f>
        <v>414</v>
      </c>
      <c r="H462" s="48">
        <f t="shared" ca="1" si="101"/>
        <v>0</v>
      </c>
      <c r="I462" s="48" t="str">
        <f t="shared" ca="1" si="102"/>
        <v>Ocu</v>
      </c>
      <c r="J462" s="52">
        <f t="shared" ca="1" si="94"/>
        <v>2</v>
      </c>
      <c r="K462" s="53">
        <f t="shared" ca="1" si="91"/>
        <v>0.31318976764552531</v>
      </c>
      <c r="L462" s="54">
        <f t="shared" ca="1" si="103"/>
        <v>86.914604396307524</v>
      </c>
      <c r="M462" s="48">
        <f t="shared" ca="1" si="95"/>
        <v>2.8000000000000001E-2</v>
      </c>
      <c r="N462" s="48">
        <f t="shared" si="104"/>
        <v>6</v>
      </c>
      <c r="O462" s="51">
        <f t="shared" ca="1" si="96"/>
        <v>0.59592512813448884</v>
      </c>
      <c r="P462" s="51">
        <f t="shared" ca="1" si="97"/>
        <v>87.510529524442006</v>
      </c>
      <c r="Q462" s="55">
        <f t="shared" ca="1" si="105"/>
        <v>0.90911489578000726</v>
      </c>
    </row>
    <row r="463" spans="1:17" x14ac:dyDescent="0.25">
      <c r="A463" s="48">
        <v>417</v>
      </c>
      <c r="B463" s="48">
        <f t="shared" ca="1" si="92"/>
        <v>0.14000000000000001</v>
      </c>
      <c r="C463" s="49">
        <f t="shared" si="98"/>
        <v>5</v>
      </c>
      <c r="D463" s="51">
        <f t="shared" ca="1" si="93"/>
        <v>0.39322257127456656</v>
      </c>
      <c r="E463" s="51">
        <f t="shared" ca="1" si="99"/>
        <v>86.994637199936562</v>
      </c>
      <c r="F463" s="48">
        <f t="shared" ca="1" si="100"/>
        <v>1</v>
      </c>
      <c r="G463" s="48">
        <f ca="1">COUNTIF($P$47:P473,"&lt;"&amp;E463)</f>
        <v>415</v>
      </c>
      <c r="H463" s="48">
        <f t="shared" ca="1" si="101"/>
        <v>1</v>
      </c>
      <c r="I463" s="48" t="str">
        <f t="shared" ca="1" si="102"/>
        <v>Ocu</v>
      </c>
      <c r="J463" s="52">
        <f t="shared" ca="1" si="94"/>
        <v>2</v>
      </c>
      <c r="K463" s="53">
        <f t="shared" ca="1" si="91"/>
        <v>0.51589232450544387</v>
      </c>
      <c r="L463" s="54">
        <f t="shared" ca="1" si="103"/>
        <v>87.510529524442006</v>
      </c>
      <c r="M463" s="48">
        <f t="shared" ca="1" si="95"/>
        <v>0.60899999999999999</v>
      </c>
      <c r="N463" s="48">
        <f t="shared" si="104"/>
        <v>6</v>
      </c>
      <c r="O463" s="51">
        <f t="shared" ca="1" si="96"/>
        <v>8.2656168545373332E-2</v>
      </c>
      <c r="P463" s="51">
        <f t="shared" ca="1" si="97"/>
        <v>87.593185692987376</v>
      </c>
      <c r="Q463" s="55">
        <f t="shared" ca="1" si="105"/>
        <v>0.59854849305081359</v>
      </c>
    </row>
    <row r="464" spans="1:17" x14ac:dyDescent="0.25">
      <c r="A464" s="48">
        <v>418</v>
      </c>
      <c r="B464" s="48">
        <f t="shared" ca="1" si="92"/>
        <v>0.60799999999999998</v>
      </c>
      <c r="C464" s="49">
        <f t="shared" si="98"/>
        <v>5</v>
      </c>
      <c r="D464" s="51">
        <f t="shared" ca="1" si="93"/>
        <v>9.9516079403194027E-2</v>
      </c>
      <c r="E464" s="51">
        <f t="shared" ca="1" si="99"/>
        <v>87.09415327933975</v>
      </c>
      <c r="F464" s="48">
        <f t="shared" ca="1" si="100"/>
        <v>2</v>
      </c>
      <c r="G464" s="48">
        <f ca="1">COUNTIF($P$47:P474,"&lt;"&amp;E464)</f>
        <v>415</v>
      </c>
      <c r="H464" s="48">
        <f t="shared" ca="1" si="101"/>
        <v>0</v>
      </c>
      <c r="I464" s="48" t="str">
        <f t="shared" ca="1" si="102"/>
        <v>Ocu</v>
      </c>
      <c r="J464" s="52">
        <f t="shared" ca="1" si="94"/>
        <v>3</v>
      </c>
      <c r="K464" s="53">
        <f t="shared" ca="1" si="91"/>
        <v>0.49903241364762607</v>
      </c>
      <c r="L464" s="54">
        <f t="shared" ca="1" si="103"/>
        <v>87.593185692987376</v>
      </c>
      <c r="M464" s="48">
        <f t="shared" ca="1" si="95"/>
        <v>0.78900000000000003</v>
      </c>
      <c r="N464" s="48">
        <f t="shared" si="104"/>
        <v>6</v>
      </c>
      <c r="O464" s="51">
        <f t="shared" ca="1" si="96"/>
        <v>3.9498159689377116E-2</v>
      </c>
      <c r="P464" s="51">
        <f t="shared" ca="1" si="97"/>
        <v>87.632683852676749</v>
      </c>
      <c r="Q464" s="55">
        <f t="shared" ca="1" si="105"/>
        <v>0.53853057333699894</v>
      </c>
    </row>
    <row r="465" spans="1:17" x14ac:dyDescent="0.25">
      <c r="A465" s="48">
        <v>419</v>
      </c>
      <c r="B465" s="48">
        <f t="shared" ca="1" si="92"/>
        <v>0.97699999999999998</v>
      </c>
      <c r="C465" s="49">
        <f t="shared" si="98"/>
        <v>5</v>
      </c>
      <c r="D465" s="51">
        <f t="shared" ca="1" si="93"/>
        <v>4.6537253878708535E-3</v>
      </c>
      <c r="E465" s="51">
        <f t="shared" ca="1" si="99"/>
        <v>87.098807004727618</v>
      </c>
      <c r="F465" s="48">
        <f t="shared" ca="1" si="100"/>
        <v>3</v>
      </c>
      <c r="G465" s="48">
        <f ca="1">COUNTIF($P$47:P475,"&lt;"&amp;E465)</f>
        <v>415</v>
      </c>
      <c r="H465" s="48">
        <f t="shared" ca="1" si="101"/>
        <v>0</v>
      </c>
      <c r="I465" s="48" t="str">
        <f t="shared" ca="1" si="102"/>
        <v>Ocu</v>
      </c>
      <c r="J465" s="52">
        <f t="shared" ca="1" si="94"/>
        <v>4</v>
      </c>
      <c r="K465" s="53">
        <f t="shared" ca="1" si="91"/>
        <v>0.53387684794913071</v>
      </c>
      <c r="L465" s="54">
        <f t="shared" ca="1" si="103"/>
        <v>87.632683852676749</v>
      </c>
      <c r="M465" s="48">
        <f t="shared" ca="1" si="95"/>
        <v>0.61899999999999999</v>
      </c>
      <c r="N465" s="48">
        <f t="shared" si="104"/>
        <v>6</v>
      </c>
      <c r="O465" s="51">
        <f t="shared" ca="1" si="96"/>
        <v>7.9941667716256826E-2</v>
      </c>
      <c r="P465" s="51">
        <f t="shared" ca="1" si="97"/>
        <v>87.712625520393004</v>
      </c>
      <c r="Q465" s="55">
        <f t="shared" ca="1" si="105"/>
        <v>0.61381851566538614</v>
      </c>
    </row>
    <row r="466" spans="1:17" x14ac:dyDescent="0.25">
      <c r="A466" s="48">
        <v>420</v>
      </c>
      <c r="B466" s="48">
        <f t="shared" ca="1" si="92"/>
        <v>0.40799999999999997</v>
      </c>
      <c r="C466" s="49">
        <f t="shared" si="98"/>
        <v>5</v>
      </c>
      <c r="D466" s="51">
        <f t="shared" ca="1" si="93"/>
        <v>0.17929762091559509</v>
      </c>
      <c r="E466" s="51">
        <f t="shared" ca="1" si="99"/>
        <v>87.278104625643209</v>
      </c>
      <c r="F466" s="48">
        <f t="shared" ca="1" si="100"/>
        <v>4</v>
      </c>
      <c r="G466" s="48">
        <f ca="1">COUNTIF($P$47:P476,"&lt;"&amp;E466)</f>
        <v>415</v>
      </c>
      <c r="H466" s="48">
        <f t="shared" ca="1" si="101"/>
        <v>0</v>
      </c>
      <c r="I466" s="48" t="str">
        <f t="shared" ca="1" si="102"/>
        <v>Ocu</v>
      </c>
      <c r="J466" s="52">
        <f t="shared" ca="1" si="94"/>
        <v>5</v>
      </c>
      <c r="K466" s="53">
        <f t="shared" ca="1" si="91"/>
        <v>0.43452089474979516</v>
      </c>
      <c r="L466" s="54">
        <f t="shared" ca="1" si="103"/>
        <v>87.712625520393004</v>
      </c>
      <c r="M466" s="48">
        <f t="shared" ca="1" si="95"/>
        <v>0.498</v>
      </c>
      <c r="N466" s="48">
        <f t="shared" si="104"/>
        <v>6</v>
      </c>
      <c r="O466" s="51">
        <f t="shared" ca="1" si="96"/>
        <v>0.11619253365958068</v>
      </c>
      <c r="P466" s="51">
        <f t="shared" ca="1" si="97"/>
        <v>87.82881805405259</v>
      </c>
      <c r="Q466" s="55">
        <f t="shared" ca="1" si="105"/>
        <v>0.55071342840938087</v>
      </c>
    </row>
    <row r="467" spans="1:17" x14ac:dyDescent="0.25">
      <c r="A467" s="48">
        <v>421</v>
      </c>
      <c r="B467" s="48">
        <f t="shared" ca="1" si="92"/>
        <v>0.85599999999999998</v>
      </c>
      <c r="C467" s="49">
        <f t="shared" si="98"/>
        <v>5</v>
      </c>
      <c r="D467" s="51">
        <f t="shared" ca="1" si="93"/>
        <v>3.1096980568078993E-2</v>
      </c>
      <c r="E467" s="51">
        <f t="shared" ca="1" si="99"/>
        <v>87.309201606211289</v>
      </c>
      <c r="F467" s="48">
        <f t="shared" ca="1" si="100"/>
        <v>5</v>
      </c>
      <c r="G467" s="48">
        <f ca="1">COUNTIF($P$47:P477,"&lt;"&amp;E467)</f>
        <v>415</v>
      </c>
      <c r="H467" s="48">
        <f t="shared" ca="1" si="101"/>
        <v>0</v>
      </c>
      <c r="I467" s="48" t="str">
        <f t="shared" ca="1" si="102"/>
        <v>Ocu</v>
      </c>
      <c r="J467" s="52">
        <f t="shared" ca="1" si="94"/>
        <v>6</v>
      </c>
      <c r="K467" s="53">
        <f t="shared" ca="1" si="91"/>
        <v>0.51961644784130101</v>
      </c>
      <c r="L467" s="54">
        <f t="shared" ca="1" si="103"/>
        <v>87.82881805405259</v>
      </c>
      <c r="M467" s="48">
        <f t="shared" ca="1" si="95"/>
        <v>0.47599999999999998</v>
      </c>
      <c r="N467" s="48">
        <f t="shared" si="104"/>
        <v>6</v>
      </c>
      <c r="O467" s="51">
        <f t="shared" ca="1" si="96"/>
        <v>0.12372290412511951</v>
      </c>
      <c r="P467" s="51">
        <f t="shared" ca="1" si="97"/>
        <v>87.952540958177707</v>
      </c>
      <c r="Q467" s="55">
        <f t="shared" ca="1" si="105"/>
        <v>0.64333935196641789</v>
      </c>
    </row>
    <row r="468" spans="1:17" x14ac:dyDescent="0.25">
      <c r="A468" s="48">
        <v>422</v>
      </c>
      <c r="B468" s="48">
        <f t="shared" ca="1" si="92"/>
        <v>4.3999999999999997E-2</v>
      </c>
      <c r="C468" s="49">
        <f t="shared" si="98"/>
        <v>5</v>
      </c>
      <c r="D468" s="51">
        <f t="shared" ca="1" si="93"/>
        <v>0.6247131290127752</v>
      </c>
      <c r="E468" s="51">
        <f t="shared" ca="1" si="99"/>
        <v>87.933914735224064</v>
      </c>
      <c r="F468" s="48">
        <f t="shared" ca="1" si="100"/>
        <v>1</v>
      </c>
      <c r="G468" s="48">
        <f ca="1">COUNTIF($P$47:P478,"&lt;"&amp;E468)</f>
        <v>420</v>
      </c>
      <c r="H468" s="48">
        <f t="shared" ca="1" si="101"/>
        <v>5</v>
      </c>
      <c r="I468" s="48" t="str">
        <f t="shared" ca="1" si="102"/>
        <v>Ocu</v>
      </c>
      <c r="J468" s="52">
        <f t="shared" ca="1" si="94"/>
        <v>2</v>
      </c>
      <c r="K468" s="53">
        <f t="shared" ca="1" si="91"/>
        <v>1.8626222953642468E-2</v>
      </c>
      <c r="L468" s="54">
        <f t="shared" ca="1" si="103"/>
        <v>87.952540958177707</v>
      </c>
      <c r="M468" s="48">
        <f t="shared" ca="1" si="95"/>
        <v>0.57199999999999995</v>
      </c>
      <c r="N468" s="48">
        <f t="shared" si="104"/>
        <v>6</v>
      </c>
      <c r="O468" s="51">
        <f t="shared" ca="1" si="96"/>
        <v>9.3102714600389852E-2</v>
      </c>
      <c r="P468" s="51">
        <f t="shared" ca="1" si="97"/>
        <v>88.045643672778098</v>
      </c>
      <c r="Q468" s="55">
        <f t="shared" ca="1" si="105"/>
        <v>0.11172893755403379</v>
      </c>
    </row>
    <row r="469" spans="1:17" x14ac:dyDescent="0.25">
      <c r="A469" s="48">
        <v>423</v>
      </c>
      <c r="B469" s="48">
        <f t="shared" ca="1" si="92"/>
        <v>0.85299999999999998</v>
      </c>
      <c r="C469" s="49">
        <f t="shared" si="98"/>
        <v>5</v>
      </c>
      <c r="D469" s="51">
        <f t="shared" ca="1" si="93"/>
        <v>3.17991462980916E-2</v>
      </c>
      <c r="E469" s="51">
        <f t="shared" ca="1" si="99"/>
        <v>87.965713881522163</v>
      </c>
      <c r="F469" s="48">
        <f t="shared" ca="1" si="100"/>
        <v>1</v>
      </c>
      <c r="G469" s="48">
        <f ca="1">COUNTIF($P$47:P479,"&lt;"&amp;E469)</f>
        <v>421</v>
      </c>
      <c r="H469" s="48">
        <f t="shared" ca="1" si="101"/>
        <v>1</v>
      </c>
      <c r="I469" s="48" t="str">
        <f t="shared" ca="1" si="102"/>
        <v>Ocu</v>
      </c>
      <c r="J469" s="52">
        <f t="shared" ca="1" si="94"/>
        <v>2</v>
      </c>
      <c r="K469" s="53">
        <f t="shared" ca="1" si="91"/>
        <v>7.9929791255935356E-2</v>
      </c>
      <c r="L469" s="54">
        <f t="shared" ca="1" si="103"/>
        <v>88.045643672778098</v>
      </c>
      <c r="M469" s="48">
        <f t="shared" ca="1" si="95"/>
        <v>0.72599999999999998</v>
      </c>
      <c r="N469" s="48">
        <f t="shared" si="104"/>
        <v>6</v>
      </c>
      <c r="O469" s="51">
        <f t="shared" ca="1" si="96"/>
        <v>5.3367544026223512E-2</v>
      </c>
      <c r="P469" s="51">
        <f t="shared" ca="1" si="97"/>
        <v>88.099011216804328</v>
      </c>
      <c r="Q469" s="55">
        <f t="shared" ca="1" si="105"/>
        <v>0.13329733528216536</v>
      </c>
    </row>
    <row r="470" spans="1:17" x14ac:dyDescent="0.25">
      <c r="A470" s="48">
        <v>424</v>
      </c>
      <c r="B470" s="48">
        <f t="shared" ca="1" si="92"/>
        <v>0.92</v>
      </c>
      <c r="C470" s="49">
        <f t="shared" si="98"/>
        <v>5</v>
      </c>
      <c r="D470" s="51">
        <f t="shared" ca="1" si="93"/>
        <v>1.66763217878102E-2</v>
      </c>
      <c r="E470" s="51">
        <f t="shared" ca="1" si="99"/>
        <v>87.982390203309976</v>
      </c>
      <c r="F470" s="48">
        <f t="shared" ca="1" si="100"/>
        <v>2</v>
      </c>
      <c r="G470" s="48">
        <f ca="1">COUNTIF($P$47:P480,"&lt;"&amp;E470)</f>
        <v>421</v>
      </c>
      <c r="H470" s="48">
        <f t="shared" ca="1" si="101"/>
        <v>0</v>
      </c>
      <c r="I470" s="48" t="str">
        <f t="shared" ca="1" si="102"/>
        <v>Ocu</v>
      </c>
      <c r="J470" s="52">
        <f t="shared" ca="1" si="94"/>
        <v>3</v>
      </c>
      <c r="K470" s="53">
        <f t="shared" ca="1" si="91"/>
        <v>0.11662101349435261</v>
      </c>
      <c r="L470" s="54">
        <f t="shared" ca="1" si="103"/>
        <v>88.099011216804328</v>
      </c>
      <c r="M470" s="48">
        <f t="shared" ca="1" si="95"/>
        <v>0.94</v>
      </c>
      <c r="N470" s="48">
        <f t="shared" si="104"/>
        <v>6</v>
      </c>
      <c r="O470" s="51">
        <f t="shared" ca="1" si="96"/>
        <v>1.0312567286347909E-2</v>
      </c>
      <c r="P470" s="51">
        <f t="shared" ca="1" si="97"/>
        <v>88.109323784090677</v>
      </c>
      <c r="Q470" s="55">
        <f t="shared" ca="1" si="105"/>
        <v>0.12693358078070105</v>
      </c>
    </row>
    <row r="471" spans="1:17" x14ac:dyDescent="0.25">
      <c r="A471" s="48">
        <v>425</v>
      </c>
      <c r="B471" s="48">
        <f t="shared" ca="1" si="92"/>
        <v>0.73399999999999999</v>
      </c>
      <c r="C471" s="49">
        <f t="shared" si="98"/>
        <v>5</v>
      </c>
      <c r="D471" s="51">
        <f t="shared" ca="1" si="93"/>
        <v>6.1849250073524313E-2</v>
      </c>
      <c r="E471" s="51">
        <f t="shared" ca="1" si="99"/>
        <v>88.044239453383497</v>
      </c>
      <c r="F471" s="48">
        <f t="shared" ca="1" si="100"/>
        <v>3</v>
      </c>
      <c r="G471" s="48">
        <f ca="1">COUNTIF($P$47:P481,"&lt;"&amp;E471)</f>
        <v>421</v>
      </c>
      <c r="H471" s="48">
        <f t="shared" ca="1" si="101"/>
        <v>0</v>
      </c>
      <c r="I471" s="48" t="str">
        <f t="shared" ca="1" si="102"/>
        <v>Ocu</v>
      </c>
      <c r="J471" s="52">
        <f t="shared" ca="1" si="94"/>
        <v>4</v>
      </c>
      <c r="K471" s="53">
        <f t="shared" ca="1" si="91"/>
        <v>6.5084330707179561E-2</v>
      </c>
      <c r="L471" s="54">
        <f t="shared" ca="1" si="103"/>
        <v>88.109323784090677</v>
      </c>
      <c r="M471" s="48">
        <f t="shared" ca="1" si="95"/>
        <v>0.74199999999999999</v>
      </c>
      <c r="N471" s="48">
        <f t="shared" si="104"/>
        <v>6</v>
      </c>
      <c r="O471" s="51">
        <f t="shared" ca="1" si="96"/>
        <v>4.9734339302459421E-2</v>
      </c>
      <c r="P471" s="51">
        <f t="shared" ca="1" si="97"/>
        <v>88.159058123393137</v>
      </c>
      <c r="Q471" s="55">
        <f t="shared" ca="1" si="105"/>
        <v>0.1148186700096403</v>
      </c>
    </row>
    <row r="472" spans="1:17" x14ac:dyDescent="0.25">
      <c r="A472" s="48">
        <v>426</v>
      </c>
      <c r="B472" s="48">
        <f t="shared" ca="1" si="92"/>
        <v>0.60099999999999998</v>
      </c>
      <c r="C472" s="49">
        <f t="shared" si="98"/>
        <v>5</v>
      </c>
      <c r="D472" s="51">
        <f t="shared" ca="1" si="93"/>
        <v>0.1018320688893859</v>
      </c>
      <c r="E472" s="51">
        <f t="shared" ca="1" si="99"/>
        <v>88.146071522272877</v>
      </c>
      <c r="F472" s="48">
        <f t="shared" ca="1" si="100"/>
        <v>1</v>
      </c>
      <c r="G472" s="48">
        <f ca="1">COUNTIF($P$47:P482,"&lt;"&amp;E472)</f>
        <v>424</v>
      </c>
      <c r="H472" s="48">
        <f t="shared" ca="1" si="101"/>
        <v>3</v>
      </c>
      <c r="I472" s="48" t="str">
        <f t="shared" ca="1" si="102"/>
        <v>Ocu</v>
      </c>
      <c r="J472" s="52">
        <f t="shared" ca="1" si="94"/>
        <v>2</v>
      </c>
      <c r="K472" s="53">
        <f t="shared" ca="1" si="91"/>
        <v>1.2986601120260843E-2</v>
      </c>
      <c r="L472" s="54">
        <f t="shared" ca="1" si="103"/>
        <v>88.159058123393137</v>
      </c>
      <c r="M472" s="48">
        <f t="shared" ca="1" si="95"/>
        <v>0.61599999999999999</v>
      </c>
      <c r="N472" s="48">
        <f t="shared" si="104"/>
        <v>6</v>
      </c>
      <c r="O472" s="51">
        <f t="shared" ca="1" si="96"/>
        <v>8.075138590810288E-2</v>
      </c>
      <c r="P472" s="51">
        <f t="shared" ca="1" si="97"/>
        <v>88.239809509301239</v>
      </c>
      <c r="Q472" s="55">
        <f t="shared" ca="1" si="105"/>
        <v>9.3737987028362113E-2</v>
      </c>
    </row>
    <row r="473" spans="1:17" x14ac:dyDescent="0.25">
      <c r="A473" s="48">
        <v>427</v>
      </c>
      <c r="B473" s="48">
        <f t="shared" ca="1" si="92"/>
        <v>0.56100000000000005</v>
      </c>
      <c r="C473" s="49">
        <f t="shared" si="98"/>
        <v>5</v>
      </c>
      <c r="D473" s="51">
        <f t="shared" ca="1" si="93"/>
        <v>0.11560687469188811</v>
      </c>
      <c r="E473" s="51">
        <f t="shared" ca="1" si="99"/>
        <v>88.261678396964768</v>
      </c>
      <c r="F473" s="48">
        <f t="shared" ca="1" si="100"/>
        <v>0</v>
      </c>
      <c r="G473" s="48">
        <f ca="1">COUNTIF($P$47:P483,"&lt;"&amp;E473)</f>
        <v>426</v>
      </c>
      <c r="H473" s="48">
        <f t="shared" ca="1" si="101"/>
        <v>2</v>
      </c>
      <c r="I473" s="48" t="str">
        <f t="shared" ca="1" si="102"/>
        <v>Des</v>
      </c>
      <c r="J473" s="52">
        <f t="shared" ca="1" si="94"/>
        <v>1</v>
      </c>
      <c r="K473" s="53">
        <f t="shared" ca="1" si="91"/>
        <v>0</v>
      </c>
      <c r="L473" s="54">
        <f t="shared" ca="1" si="103"/>
        <v>88.261678396964768</v>
      </c>
      <c r="M473" s="48">
        <f t="shared" ca="1" si="95"/>
        <v>0.98199999999999998</v>
      </c>
      <c r="N473" s="48">
        <f t="shared" si="104"/>
        <v>6</v>
      </c>
      <c r="O473" s="51">
        <f t="shared" ca="1" si="96"/>
        <v>3.0273284379451868E-3</v>
      </c>
      <c r="P473" s="51">
        <f t="shared" ca="1" si="97"/>
        <v>88.26470572540272</v>
      </c>
      <c r="Q473" s="55">
        <f t="shared" ca="1" si="105"/>
        <v>3.0273284379518373E-3</v>
      </c>
    </row>
    <row r="474" spans="1:17" x14ac:dyDescent="0.25">
      <c r="A474" s="48">
        <v>428</v>
      </c>
      <c r="B474" s="48">
        <f t="shared" ca="1" si="92"/>
        <v>0.38500000000000001</v>
      </c>
      <c r="C474" s="49">
        <f t="shared" si="98"/>
        <v>5</v>
      </c>
      <c r="D474" s="51">
        <f t="shared" ca="1" si="93"/>
        <v>0.19090238893887057</v>
      </c>
      <c r="E474" s="51">
        <f t="shared" ca="1" si="99"/>
        <v>88.452580785903635</v>
      </c>
      <c r="F474" s="48">
        <f t="shared" ca="1" si="100"/>
        <v>0</v>
      </c>
      <c r="G474" s="48">
        <f ca="1">COUNTIF($P$47:P484,"&lt;"&amp;E474)</f>
        <v>427</v>
      </c>
      <c r="H474" s="48">
        <f t="shared" ca="1" si="101"/>
        <v>1</v>
      </c>
      <c r="I474" s="48" t="str">
        <f t="shared" ca="1" si="102"/>
        <v>Des</v>
      </c>
      <c r="J474" s="52">
        <f t="shared" ca="1" si="94"/>
        <v>1</v>
      </c>
      <c r="K474" s="53">
        <f t="shared" ca="1" si="91"/>
        <v>0</v>
      </c>
      <c r="L474" s="54">
        <f t="shared" ca="1" si="103"/>
        <v>88.452580785903635</v>
      </c>
      <c r="M474" s="48">
        <f t="shared" ca="1" si="95"/>
        <v>0.33300000000000002</v>
      </c>
      <c r="N474" s="48">
        <f t="shared" si="104"/>
        <v>6</v>
      </c>
      <c r="O474" s="51">
        <f t="shared" ca="1" si="96"/>
        <v>0.18326879816694885</v>
      </c>
      <c r="P474" s="51">
        <f t="shared" ca="1" si="97"/>
        <v>88.635849584070584</v>
      </c>
      <c r="Q474" s="55">
        <f t="shared" ca="1" si="105"/>
        <v>0.18326879816694941</v>
      </c>
    </row>
    <row r="475" spans="1:17" x14ac:dyDescent="0.25">
      <c r="A475" s="48">
        <v>429</v>
      </c>
      <c r="B475" s="48">
        <f t="shared" ca="1" si="92"/>
        <v>0.39100000000000001</v>
      </c>
      <c r="C475" s="49">
        <f t="shared" si="98"/>
        <v>5</v>
      </c>
      <c r="D475" s="51">
        <f t="shared" ca="1" si="93"/>
        <v>0.18780954379935427</v>
      </c>
      <c r="E475" s="51">
        <f t="shared" ca="1" si="99"/>
        <v>88.640390329702996</v>
      </c>
      <c r="F475" s="48">
        <f t="shared" ca="1" si="100"/>
        <v>0</v>
      </c>
      <c r="G475" s="48">
        <f ca="1">COUNTIF($P$47:P485,"&lt;"&amp;E475)</f>
        <v>428</v>
      </c>
      <c r="H475" s="48">
        <f t="shared" ca="1" si="101"/>
        <v>1</v>
      </c>
      <c r="I475" s="48" t="str">
        <f t="shared" ca="1" si="102"/>
        <v>Des</v>
      </c>
      <c r="J475" s="52">
        <f t="shared" ca="1" si="94"/>
        <v>1</v>
      </c>
      <c r="K475" s="53">
        <f t="shared" ca="1" si="91"/>
        <v>0</v>
      </c>
      <c r="L475" s="54">
        <f t="shared" ca="1" si="103"/>
        <v>88.640390329702996</v>
      </c>
      <c r="M475" s="48">
        <f t="shared" ca="1" si="95"/>
        <v>0.187</v>
      </c>
      <c r="N475" s="48">
        <f t="shared" si="104"/>
        <v>6</v>
      </c>
      <c r="O475" s="51">
        <f t="shared" ca="1" si="96"/>
        <v>0.27944111035459174</v>
      </c>
      <c r="P475" s="51">
        <f t="shared" ca="1" si="97"/>
        <v>88.919831440057592</v>
      </c>
      <c r="Q475" s="55">
        <f t="shared" ca="1" si="105"/>
        <v>0.27944111035459684</v>
      </c>
    </row>
    <row r="476" spans="1:17" x14ac:dyDescent="0.25">
      <c r="A476" s="48">
        <v>430</v>
      </c>
      <c r="B476" s="48">
        <f t="shared" ca="1" si="92"/>
        <v>0.375</v>
      </c>
      <c r="C476" s="49">
        <f t="shared" si="98"/>
        <v>5</v>
      </c>
      <c r="D476" s="51">
        <f t="shared" ca="1" si="93"/>
        <v>0.19616585060234526</v>
      </c>
      <c r="E476" s="51">
        <f t="shared" ca="1" si="99"/>
        <v>88.836556180305337</v>
      </c>
      <c r="F476" s="48">
        <f t="shared" ca="1" si="100"/>
        <v>1</v>
      </c>
      <c r="G476" s="48">
        <f ca="1">COUNTIF($P$47:P486,"&lt;"&amp;E476)</f>
        <v>428</v>
      </c>
      <c r="H476" s="48">
        <f t="shared" ca="1" si="101"/>
        <v>0</v>
      </c>
      <c r="I476" s="48" t="str">
        <f t="shared" ca="1" si="102"/>
        <v>Ocu</v>
      </c>
      <c r="J476" s="52">
        <f t="shared" ca="1" si="94"/>
        <v>2</v>
      </c>
      <c r="K476" s="53">
        <f t="shared" ca="1" si="91"/>
        <v>8.3275259752255693E-2</v>
      </c>
      <c r="L476" s="54">
        <f t="shared" ca="1" si="103"/>
        <v>88.919831440057592</v>
      </c>
      <c r="M476" s="48">
        <f t="shared" ca="1" si="95"/>
        <v>0.622</v>
      </c>
      <c r="N476" s="48">
        <f t="shared" si="104"/>
        <v>6</v>
      </c>
      <c r="O476" s="51">
        <f t="shared" ca="1" si="96"/>
        <v>7.9135864373826248E-2</v>
      </c>
      <c r="P476" s="51">
        <f t="shared" ca="1" si="97"/>
        <v>88.998967304431417</v>
      </c>
      <c r="Q476" s="55">
        <f t="shared" ca="1" si="105"/>
        <v>0.16241112412608061</v>
      </c>
    </row>
    <row r="477" spans="1:17" x14ac:dyDescent="0.25">
      <c r="A477" s="48">
        <v>431</v>
      </c>
      <c r="B477" s="48">
        <f t="shared" ca="1" si="92"/>
        <v>0.98399999999999999</v>
      </c>
      <c r="C477" s="49">
        <f t="shared" si="98"/>
        <v>5</v>
      </c>
      <c r="D477" s="51">
        <f t="shared" ca="1" si="93"/>
        <v>3.2258763859767435E-3</v>
      </c>
      <c r="E477" s="51">
        <f t="shared" ca="1" si="99"/>
        <v>88.83978205669132</v>
      </c>
      <c r="F477" s="48">
        <f t="shared" ca="1" si="100"/>
        <v>2</v>
      </c>
      <c r="G477" s="48">
        <f ca="1">COUNTIF($P$47:P487,"&lt;"&amp;E477)</f>
        <v>428</v>
      </c>
      <c r="H477" s="48">
        <f t="shared" ca="1" si="101"/>
        <v>0</v>
      </c>
      <c r="I477" s="48" t="str">
        <f t="shared" ca="1" si="102"/>
        <v>Ocu</v>
      </c>
      <c r="J477" s="52">
        <f t="shared" ca="1" si="94"/>
        <v>3</v>
      </c>
      <c r="K477" s="53">
        <f t="shared" ca="1" si="91"/>
        <v>0.15918524774009768</v>
      </c>
      <c r="L477" s="54">
        <f t="shared" ca="1" si="103"/>
        <v>88.998967304431417</v>
      </c>
      <c r="M477" s="48">
        <f t="shared" ca="1" si="95"/>
        <v>0.96</v>
      </c>
      <c r="N477" s="48">
        <f t="shared" si="104"/>
        <v>6</v>
      </c>
      <c r="O477" s="51">
        <f t="shared" ca="1" si="96"/>
        <v>6.8036657533758664E-3</v>
      </c>
      <c r="P477" s="51">
        <f t="shared" ca="1" si="97"/>
        <v>89.005770970184798</v>
      </c>
      <c r="Q477" s="55">
        <f t="shared" ca="1" si="105"/>
        <v>0.16598891349347866</v>
      </c>
    </row>
    <row r="478" spans="1:17" x14ac:dyDescent="0.25">
      <c r="A478" s="48">
        <v>432</v>
      </c>
      <c r="B478" s="48">
        <f t="shared" ca="1" si="92"/>
        <v>0.72299999999999998</v>
      </c>
      <c r="C478" s="49">
        <f t="shared" si="98"/>
        <v>5</v>
      </c>
      <c r="D478" s="51">
        <f t="shared" ca="1" si="93"/>
        <v>6.4869211364674481E-2</v>
      </c>
      <c r="E478" s="51">
        <f t="shared" ca="1" si="99"/>
        <v>88.904651268056</v>
      </c>
      <c r="F478" s="48">
        <f t="shared" ca="1" si="100"/>
        <v>3</v>
      </c>
      <c r="G478" s="48">
        <f ca="1">COUNTIF($P$47:P488,"&lt;"&amp;E478)</f>
        <v>428</v>
      </c>
      <c r="H478" s="48">
        <f t="shared" ca="1" si="101"/>
        <v>0</v>
      </c>
      <c r="I478" s="48" t="str">
        <f t="shared" ca="1" si="102"/>
        <v>Ocu</v>
      </c>
      <c r="J478" s="52">
        <f t="shared" ca="1" si="94"/>
        <v>4</v>
      </c>
      <c r="K478" s="53">
        <f t="shared" ca="1" si="91"/>
        <v>0.10111970212879839</v>
      </c>
      <c r="L478" s="54">
        <f t="shared" ca="1" si="103"/>
        <v>89.005770970184798</v>
      </c>
      <c r="M478" s="48">
        <f t="shared" ca="1" si="95"/>
        <v>0.54300000000000004</v>
      </c>
      <c r="N478" s="48">
        <f t="shared" si="104"/>
        <v>6</v>
      </c>
      <c r="O478" s="51">
        <f t="shared" ca="1" si="96"/>
        <v>0.1017743265080336</v>
      </c>
      <c r="P478" s="51">
        <f t="shared" ca="1" si="97"/>
        <v>89.107545296692834</v>
      </c>
      <c r="Q478" s="55">
        <f t="shared" ca="1" si="105"/>
        <v>0.20289402863683392</v>
      </c>
    </row>
    <row r="479" spans="1:17" x14ac:dyDescent="0.25">
      <c r="A479" s="48">
        <v>433</v>
      </c>
      <c r="B479" s="48">
        <f t="shared" ca="1" si="92"/>
        <v>0.115</v>
      </c>
      <c r="C479" s="49">
        <f t="shared" si="98"/>
        <v>5</v>
      </c>
      <c r="D479" s="51">
        <f t="shared" ca="1" si="93"/>
        <v>0.43256463012377744</v>
      </c>
      <c r="E479" s="51">
        <f t="shared" ca="1" si="99"/>
        <v>89.337215898179778</v>
      </c>
      <c r="F479" s="48">
        <f t="shared" ca="1" si="100"/>
        <v>0</v>
      </c>
      <c r="G479" s="48">
        <f ca="1">COUNTIF($P$47:P489,"&lt;"&amp;E479)</f>
        <v>432</v>
      </c>
      <c r="H479" s="48">
        <f t="shared" ca="1" si="101"/>
        <v>4</v>
      </c>
      <c r="I479" s="48" t="str">
        <f t="shared" ca="1" si="102"/>
        <v>Des</v>
      </c>
      <c r="J479" s="52">
        <f t="shared" ca="1" si="94"/>
        <v>1</v>
      </c>
      <c r="K479" s="53">
        <f t="shared" ca="1" si="91"/>
        <v>0</v>
      </c>
      <c r="L479" s="54">
        <f t="shared" ca="1" si="103"/>
        <v>89.337215898179778</v>
      </c>
      <c r="M479" s="48">
        <f t="shared" ca="1" si="95"/>
        <v>0.38800000000000001</v>
      </c>
      <c r="N479" s="48">
        <f t="shared" si="104"/>
        <v>6</v>
      </c>
      <c r="O479" s="51">
        <f t="shared" ca="1" si="96"/>
        <v>0.15779165655981059</v>
      </c>
      <c r="P479" s="51">
        <f t="shared" ca="1" si="97"/>
        <v>89.495007554739587</v>
      </c>
      <c r="Q479" s="55">
        <f t="shared" ca="1" si="105"/>
        <v>0.15779165655980876</v>
      </c>
    </row>
    <row r="480" spans="1:17" x14ac:dyDescent="0.25">
      <c r="A480" s="48">
        <v>434</v>
      </c>
      <c r="B480" s="48">
        <f t="shared" ca="1" si="92"/>
        <v>0.64100000000000001</v>
      </c>
      <c r="C480" s="49">
        <f t="shared" si="98"/>
        <v>5</v>
      </c>
      <c r="D480" s="51">
        <f t="shared" ca="1" si="93"/>
        <v>8.8945164412293401E-2</v>
      </c>
      <c r="E480" s="51">
        <f t="shared" ca="1" si="99"/>
        <v>89.426161062592072</v>
      </c>
      <c r="F480" s="48">
        <f t="shared" ca="1" si="100"/>
        <v>1</v>
      </c>
      <c r="G480" s="48">
        <f ca="1">COUNTIF($P$47:P490,"&lt;"&amp;E480)</f>
        <v>432</v>
      </c>
      <c r="H480" s="48">
        <f t="shared" ca="1" si="101"/>
        <v>0</v>
      </c>
      <c r="I480" s="48" t="str">
        <f t="shared" ca="1" si="102"/>
        <v>Ocu</v>
      </c>
      <c r="J480" s="52">
        <f t="shared" ca="1" si="94"/>
        <v>2</v>
      </c>
      <c r="K480" s="53">
        <f t="shared" ca="1" si="91"/>
        <v>6.8846492147514482E-2</v>
      </c>
      <c r="L480" s="54">
        <f t="shared" ca="1" si="103"/>
        <v>89.495007554739587</v>
      </c>
      <c r="M480" s="48">
        <f t="shared" ca="1" si="95"/>
        <v>0.222</v>
      </c>
      <c r="N480" s="48">
        <f t="shared" si="104"/>
        <v>6</v>
      </c>
      <c r="O480" s="51">
        <f t="shared" ca="1" si="96"/>
        <v>0.25084631618497627</v>
      </c>
      <c r="P480" s="51">
        <f t="shared" ca="1" si="97"/>
        <v>89.745853870924563</v>
      </c>
      <c r="Q480" s="55">
        <f t="shared" ca="1" si="105"/>
        <v>0.31969280833249059</v>
      </c>
    </row>
    <row r="481" spans="1:17" x14ac:dyDescent="0.25">
      <c r="A481" s="48">
        <v>435</v>
      </c>
      <c r="B481" s="48">
        <f t="shared" ca="1" si="92"/>
        <v>0.34100000000000003</v>
      </c>
      <c r="C481" s="49">
        <f t="shared" si="98"/>
        <v>5</v>
      </c>
      <c r="D481" s="51">
        <f t="shared" ca="1" si="93"/>
        <v>0.21517456033972404</v>
      </c>
      <c r="E481" s="51">
        <f t="shared" ca="1" si="99"/>
        <v>89.641335622931791</v>
      </c>
      <c r="F481" s="48">
        <f t="shared" ca="1" si="100"/>
        <v>1</v>
      </c>
      <c r="G481" s="48">
        <f ca="1">COUNTIF($P$47:P491,"&lt;"&amp;E481)</f>
        <v>433</v>
      </c>
      <c r="H481" s="48">
        <f t="shared" ca="1" si="101"/>
        <v>1</v>
      </c>
      <c r="I481" s="48" t="str">
        <f t="shared" ca="1" si="102"/>
        <v>Ocu</v>
      </c>
      <c r="J481" s="52">
        <f t="shared" ca="1" si="94"/>
        <v>2</v>
      </c>
      <c r="K481" s="53">
        <f t="shared" ca="1" si="91"/>
        <v>0.10451824799277176</v>
      </c>
      <c r="L481" s="54">
        <f t="shared" ca="1" si="103"/>
        <v>89.745853870924563</v>
      </c>
      <c r="M481" s="48">
        <f t="shared" ca="1" si="95"/>
        <v>0.06</v>
      </c>
      <c r="N481" s="48">
        <f t="shared" si="104"/>
        <v>6</v>
      </c>
      <c r="O481" s="51">
        <f t="shared" ca="1" si="96"/>
        <v>0.46890178612667271</v>
      </c>
      <c r="P481" s="51">
        <f t="shared" ca="1" si="97"/>
        <v>90.214755657051242</v>
      </c>
      <c r="Q481" s="55">
        <f t="shared" ca="1" si="105"/>
        <v>0.57342003411945086</v>
      </c>
    </row>
    <row r="482" spans="1:17" x14ac:dyDescent="0.25">
      <c r="A482" s="48">
        <v>436</v>
      </c>
      <c r="B482" s="48">
        <f t="shared" ca="1" si="92"/>
        <v>0.33500000000000002</v>
      </c>
      <c r="C482" s="49">
        <f t="shared" si="98"/>
        <v>5</v>
      </c>
      <c r="D482" s="51">
        <f t="shared" ca="1" si="93"/>
        <v>0.21872494943141413</v>
      </c>
      <c r="E482" s="51">
        <f t="shared" ca="1" si="99"/>
        <v>89.86006057236321</v>
      </c>
      <c r="F482" s="48">
        <f t="shared" ca="1" si="100"/>
        <v>1</v>
      </c>
      <c r="G482" s="48">
        <f ca="1">COUNTIF($P$47:P492,"&lt;"&amp;E482)</f>
        <v>434</v>
      </c>
      <c r="H482" s="48">
        <f t="shared" ca="1" si="101"/>
        <v>1</v>
      </c>
      <c r="I482" s="48" t="str">
        <f t="shared" ca="1" si="102"/>
        <v>Ocu</v>
      </c>
      <c r="J482" s="52">
        <f t="shared" ca="1" si="94"/>
        <v>2</v>
      </c>
      <c r="K482" s="53">
        <f t="shared" ca="1" si="91"/>
        <v>0.35469508468803213</v>
      </c>
      <c r="L482" s="54">
        <f t="shared" ca="1" si="103"/>
        <v>90.214755657051242</v>
      </c>
      <c r="M482" s="48">
        <f t="shared" ca="1" si="95"/>
        <v>0.113</v>
      </c>
      <c r="N482" s="48">
        <f t="shared" si="104"/>
        <v>6</v>
      </c>
      <c r="O482" s="51">
        <f t="shared" ca="1" si="96"/>
        <v>0.36339457671163272</v>
      </c>
      <c r="P482" s="51">
        <f t="shared" ca="1" si="97"/>
        <v>90.578150233762869</v>
      </c>
      <c r="Q482" s="55">
        <f t="shared" ca="1" si="105"/>
        <v>0.71808966139965946</v>
      </c>
    </row>
    <row r="483" spans="1:17" x14ac:dyDescent="0.25">
      <c r="A483" s="48">
        <v>437</v>
      </c>
      <c r="B483" s="48">
        <f t="shared" ca="1" si="92"/>
        <v>0.70499999999999996</v>
      </c>
      <c r="C483" s="49">
        <f t="shared" si="98"/>
        <v>5</v>
      </c>
      <c r="D483" s="51">
        <f t="shared" ca="1" si="93"/>
        <v>6.9911495233973692E-2</v>
      </c>
      <c r="E483" s="51">
        <f t="shared" ca="1" si="99"/>
        <v>89.929972067597177</v>
      </c>
      <c r="F483" s="48">
        <f t="shared" ca="1" si="100"/>
        <v>2</v>
      </c>
      <c r="G483" s="48">
        <f ca="1">COUNTIF($P$47:P493,"&lt;"&amp;E483)</f>
        <v>434</v>
      </c>
      <c r="H483" s="48">
        <f t="shared" ca="1" si="101"/>
        <v>0</v>
      </c>
      <c r="I483" s="48" t="str">
        <f t="shared" ca="1" si="102"/>
        <v>Ocu</v>
      </c>
      <c r="J483" s="52">
        <f t="shared" ca="1" si="94"/>
        <v>3</v>
      </c>
      <c r="K483" s="53">
        <f t="shared" ca="1" si="91"/>
        <v>0.64817816616569246</v>
      </c>
      <c r="L483" s="54">
        <f t="shared" ca="1" si="103"/>
        <v>90.578150233762869</v>
      </c>
      <c r="M483" s="48">
        <f t="shared" ca="1" si="95"/>
        <v>0.81100000000000005</v>
      </c>
      <c r="N483" s="48">
        <f t="shared" si="104"/>
        <v>6</v>
      </c>
      <c r="O483" s="51">
        <f t="shared" ca="1" si="96"/>
        <v>3.4914537477787333E-2</v>
      </c>
      <c r="P483" s="51">
        <f t="shared" ca="1" si="97"/>
        <v>90.613064771240659</v>
      </c>
      <c r="Q483" s="55">
        <f t="shared" ca="1" si="105"/>
        <v>0.68309270364348151</v>
      </c>
    </row>
    <row r="484" spans="1:17" x14ac:dyDescent="0.25">
      <c r="A484" s="48">
        <v>438</v>
      </c>
      <c r="B484" s="48">
        <f t="shared" ca="1" si="92"/>
        <v>0.77600000000000002</v>
      </c>
      <c r="C484" s="49">
        <f t="shared" si="98"/>
        <v>5</v>
      </c>
      <c r="D484" s="51">
        <f t="shared" ca="1" si="93"/>
        <v>5.0720551759783641E-2</v>
      </c>
      <c r="E484" s="51">
        <f t="shared" ca="1" si="99"/>
        <v>89.980692619356958</v>
      </c>
      <c r="F484" s="48">
        <f t="shared" ca="1" si="100"/>
        <v>3</v>
      </c>
      <c r="G484" s="48">
        <f ca="1">COUNTIF($P$47:P494,"&lt;"&amp;E484)</f>
        <v>434</v>
      </c>
      <c r="H484" s="48">
        <f t="shared" ca="1" si="101"/>
        <v>0</v>
      </c>
      <c r="I484" s="48" t="str">
        <f t="shared" ca="1" si="102"/>
        <v>Ocu</v>
      </c>
      <c r="J484" s="52">
        <f t="shared" ca="1" si="94"/>
        <v>4</v>
      </c>
      <c r="K484" s="53">
        <f t="shared" ca="1" si="91"/>
        <v>0.63237215188370044</v>
      </c>
      <c r="L484" s="54">
        <f t="shared" ca="1" si="103"/>
        <v>90.613064771240659</v>
      </c>
      <c r="M484" s="48">
        <f t="shared" ca="1" si="95"/>
        <v>0.60099999999999998</v>
      </c>
      <c r="N484" s="48">
        <f t="shared" si="104"/>
        <v>6</v>
      </c>
      <c r="O484" s="51">
        <f t="shared" ca="1" si="96"/>
        <v>8.4860057407821571E-2</v>
      </c>
      <c r="P484" s="51">
        <f t="shared" ca="1" si="97"/>
        <v>90.697924828648482</v>
      </c>
      <c r="Q484" s="55">
        <f t="shared" ca="1" si="105"/>
        <v>0.71723220929152376</v>
      </c>
    </row>
    <row r="485" spans="1:17" x14ac:dyDescent="0.25">
      <c r="A485" s="48">
        <v>439</v>
      </c>
      <c r="B485" s="48">
        <f t="shared" ca="1" si="92"/>
        <v>0.85499999999999998</v>
      </c>
      <c r="C485" s="49">
        <f t="shared" si="98"/>
        <v>5</v>
      </c>
      <c r="D485" s="51">
        <f t="shared" ca="1" si="93"/>
        <v>3.1330762009075357E-2</v>
      </c>
      <c r="E485" s="51">
        <f t="shared" ca="1" si="99"/>
        <v>90.012023381366035</v>
      </c>
      <c r="F485" s="48">
        <f t="shared" ca="1" si="100"/>
        <v>4</v>
      </c>
      <c r="G485" s="48">
        <f ca="1">COUNTIF($P$47:P495,"&lt;"&amp;E485)</f>
        <v>434</v>
      </c>
      <c r="H485" s="48">
        <f t="shared" ca="1" si="101"/>
        <v>0</v>
      </c>
      <c r="I485" s="48" t="str">
        <f t="shared" ca="1" si="102"/>
        <v>Ocu</v>
      </c>
      <c r="J485" s="52">
        <f t="shared" ca="1" si="94"/>
        <v>5</v>
      </c>
      <c r="K485" s="53">
        <f t="shared" ca="1" si="91"/>
        <v>0.68590144728244695</v>
      </c>
      <c r="L485" s="54">
        <f t="shared" ca="1" si="103"/>
        <v>90.697924828648482</v>
      </c>
      <c r="M485" s="48">
        <f t="shared" ca="1" si="95"/>
        <v>0.47699999999999998</v>
      </c>
      <c r="N485" s="48">
        <f t="shared" si="104"/>
        <v>6</v>
      </c>
      <c r="O485" s="51">
        <f t="shared" ca="1" si="96"/>
        <v>0.12337313134896596</v>
      </c>
      <c r="P485" s="51">
        <f t="shared" ca="1" si="97"/>
        <v>90.821297959997452</v>
      </c>
      <c r="Q485" s="55">
        <f t="shared" ca="1" si="105"/>
        <v>0.80927457863141683</v>
      </c>
    </row>
    <row r="486" spans="1:17" x14ac:dyDescent="0.25">
      <c r="A486" s="48">
        <v>440</v>
      </c>
      <c r="B486" s="48">
        <f t="shared" ca="1" si="92"/>
        <v>0.85799999999999998</v>
      </c>
      <c r="C486" s="49">
        <f t="shared" si="98"/>
        <v>5</v>
      </c>
      <c r="D486" s="51">
        <f t="shared" ca="1" si="93"/>
        <v>3.0630235898834964E-2</v>
      </c>
      <c r="E486" s="51">
        <f t="shared" ca="1" si="99"/>
        <v>90.042653617264875</v>
      </c>
      <c r="F486" s="48">
        <f t="shared" ca="1" si="100"/>
        <v>5</v>
      </c>
      <c r="G486" s="48">
        <f ca="1">COUNTIF($P$47:P496,"&lt;"&amp;E486)</f>
        <v>434</v>
      </c>
      <c r="H486" s="48">
        <f t="shared" ca="1" si="101"/>
        <v>0</v>
      </c>
      <c r="I486" s="48" t="str">
        <f t="shared" ca="1" si="102"/>
        <v>Ocu</v>
      </c>
      <c r="J486" s="52">
        <f t="shared" ca="1" si="94"/>
        <v>6</v>
      </c>
      <c r="K486" s="53">
        <f t="shared" ca="1" si="91"/>
        <v>0.77864434273257643</v>
      </c>
      <c r="L486" s="54">
        <f t="shared" ca="1" si="103"/>
        <v>90.821297959997452</v>
      </c>
      <c r="M486" s="48">
        <f t="shared" ca="1" si="95"/>
        <v>0.69</v>
      </c>
      <c r="N486" s="48">
        <f t="shared" si="104"/>
        <v>6</v>
      </c>
      <c r="O486" s="51">
        <f t="shared" ca="1" si="96"/>
        <v>6.1843946898472016E-2</v>
      </c>
      <c r="P486" s="51">
        <f t="shared" ca="1" si="97"/>
        <v>90.883141906895929</v>
      </c>
      <c r="Q486" s="55">
        <f t="shared" ca="1" si="105"/>
        <v>0.84048828963105393</v>
      </c>
    </row>
    <row r="487" spans="1:17" x14ac:dyDescent="0.25">
      <c r="A487" s="48">
        <v>441</v>
      </c>
      <c r="B487" s="48">
        <f t="shared" ca="1" si="92"/>
        <v>0.56599999999999995</v>
      </c>
      <c r="C487" s="49">
        <f t="shared" si="98"/>
        <v>5</v>
      </c>
      <c r="D487" s="51">
        <f t="shared" ca="1" si="93"/>
        <v>0.11383224015579084</v>
      </c>
      <c r="E487" s="51">
        <f t="shared" ca="1" si="99"/>
        <v>90.156485857420662</v>
      </c>
      <c r="F487" s="48">
        <f t="shared" ca="1" si="100"/>
        <v>6</v>
      </c>
      <c r="G487" s="48">
        <f ca="1">COUNTIF($P$47:P497,"&lt;"&amp;E487)</f>
        <v>434</v>
      </c>
      <c r="H487" s="48">
        <f t="shared" ca="1" si="101"/>
        <v>0</v>
      </c>
      <c r="I487" s="48" t="str">
        <f t="shared" ca="1" si="102"/>
        <v>Ocu</v>
      </c>
      <c r="J487" s="52">
        <f t="shared" ca="1" si="94"/>
        <v>7</v>
      </c>
      <c r="K487" s="53">
        <f t="shared" ca="1" si="91"/>
        <v>0.72665604947526674</v>
      </c>
      <c r="L487" s="54">
        <f t="shared" ca="1" si="103"/>
        <v>90.883141906895929</v>
      </c>
      <c r="M487" s="48">
        <f t="shared" ca="1" si="95"/>
        <v>3.5999999999999997E-2</v>
      </c>
      <c r="N487" s="48">
        <f t="shared" si="104"/>
        <v>6</v>
      </c>
      <c r="O487" s="51">
        <f t="shared" ca="1" si="96"/>
        <v>0.55403939008767111</v>
      </c>
      <c r="P487" s="51">
        <f t="shared" ca="1" si="97"/>
        <v>91.437181296983596</v>
      </c>
      <c r="Q487" s="55">
        <f t="shared" ca="1" si="105"/>
        <v>1.2806954395629333</v>
      </c>
    </row>
    <row r="488" spans="1:17" x14ac:dyDescent="0.25">
      <c r="A488" s="48">
        <v>442</v>
      </c>
      <c r="B488" s="48">
        <f t="shared" ca="1" si="92"/>
        <v>0.245</v>
      </c>
      <c r="C488" s="49">
        <f t="shared" si="98"/>
        <v>5</v>
      </c>
      <c r="D488" s="51">
        <f t="shared" ca="1" si="93"/>
        <v>0.28129941368748201</v>
      </c>
      <c r="E488" s="51">
        <f t="shared" ca="1" si="99"/>
        <v>90.43778527110814</v>
      </c>
      <c r="F488" s="48">
        <f t="shared" ca="1" si="100"/>
        <v>6</v>
      </c>
      <c r="G488" s="48">
        <f ca="1">COUNTIF($P$47:P498,"&lt;"&amp;E488)</f>
        <v>435</v>
      </c>
      <c r="H488" s="48">
        <f t="shared" ca="1" si="101"/>
        <v>1</v>
      </c>
      <c r="I488" s="48" t="str">
        <f t="shared" ca="1" si="102"/>
        <v>Ocu</v>
      </c>
      <c r="J488" s="52">
        <f t="shared" ca="1" si="94"/>
        <v>7</v>
      </c>
      <c r="K488" s="53">
        <f t="shared" ca="1" si="91"/>
        <v>0.99939602587545551</v>
      </c>
      <c r="L488" s="54">
        <f t="shared" ca="1" si="103"/>
        <v>91.437181296983596</v>
      </c>
      <c r="M488" s="48">
        <f t="shared" ca="1" si="95"/>
        <v>0.45200000000000001</v>
      </c>
      <c r="N488" s="48">
        <f t="shared" si="104"/>
        <v>6</v>
      </c>
      <c r="O488" s="51">
        <f t="shared" ca="1" si="96"/>
        <v>0.13234551652498427</v>
      </c>
      <c r="P488" s="51">
        <f t="shared" ca="1" si="97"/>
        <v>91.569526813508574</v>
      </c>
      <c r="Q488" s="55">
        <f t="shared" ca="1" si="105"/>
        <v>1.1317415424004338</v>
      </c>
    </row>
    <row r="489" spans="1:17" x14ac:dyDescent="0.25">
      <c r="A489" s="48">
        <v>443</v>
      </c>
      <c r="B489" s="48">
        <f t="shared" ca="1" si="92"/>
        <v>0.25800000000000001</v>
      </c>
      <c r="C489" s="49">
        <f t="shared" si="98"/>
        <v>5</v>
      </c>
      <c r="D489" s="51">
        <f t="shared" ca="1" si="93"/>
        <v>0.27095913881210393</v>
      </c>
      <c r="E489" s="51">
        <f t="shared" ca="1" si="99"/>
        <v>90.708744409920243</v>
      </c>
      <c r="F489" s="48">
        <f t="shared" ca="1" si="100"/>
        <v>4</v>
      </c>
      <c r="G489" s="48">
        <f ca="1">COUNTIF($P$47:P499,"&lt;"&amp;E489)</f>
        <v>438</v>
      </c>
      <c r="H489" s="48">
        <f t="shared" ca="1" si="101"/>
        <v>3</v>
      </c>
      <c r="I489" s="48" t="str">
        <f t="shared" ca="1" si="102"/>
        <v>Ocu</v>
      </c>
      <c r="J489" s="52">
        <f t="shared" ca="1" si="94"/>
        <v>5</v>
      </c>
      <c r="K489" s="53">
        <f t="shared" ca="1" si="91"/>
        <v>0.86078240358833114</v>
      </c>
      <c r="L489" s="54">
        <f t="shared" ca="1" si="103"/>
        <v>91.569526813508574</v>
      </c>
      <c r="M489" s="48">
        <f t="shared" ca="1" si="95"/>
        <v>0.751</v>
      </c>
      <c r="N489" s="48">
        <f t="shared" si="104"/>
        <v>6</v>
      </c>
      <c r="O489" s="51">
        <f t="shared" ca="1" si="96"/>
        <v>4.7724937869667063E-2</v>
      </c>
      <c r="P489" s="51">
        <f t="shared" ca="1" si="97"/>
        <v>91.617251751378248</v>
      </c>
      <c r="Q489" s="55">
        <f t="shared" ca="1" si="105"/>
        <v>0.90850734145800516</v>
      </c>
    </row>
    <row r="490" spans="1:17" x14ac:dyDescent="0.25">
      <c r="A490" s="48">
        <v>444</v>
      </c>
      <c r="B490" s="48">
        <f t="shared" ca="1" si="92"/>
        <v>0.64200000000000002</v>
      </c>
      <c r="C490" s="49">
        <f t="shared" si="98"/>
        <v>5</v>
      </c>
      <c r="D490" s="51">
        <f t="shared" ca="1" si="93"/>
        <v>8.8633395058435177E-2</v>
      </c>
      <c r="E490" s="51">
        <f t="shared" ca="1" si="99"/>
        <v>90.79737780497868</v>
      </c>
      <c r="F490" s="48">
        <f t="shared" ca="1" si="100"/>
        <v>5</v>
      </c>
      <c r="G490" s="48">
        <f ca="1">COUNTIF($P$47:P500,"&lt;"&amp;E490)</f>
        <v>438</v>
      </c>
      <c r="H490" s="48">
        <f t="shared" ca="1" si="101"/>
        <v>0</v>
      </c>
      <c r="I490" s="48" t="str">
        <f t="shared" ca="1" si="102"/>
        <v>Ocu</v>
      </c>
      <c r="J490" s="52">
        <f t="shared" ca="1" si="94"/>
        <v>6</v>
      </c>
      <c r="K490" s="53">
        <f t="shared" ca="1" si="91"/>
        <v>0.8198739463995679</v>
      </c>
      <c r="L490" s="54">
        <f t="shared" ca="1" si="103"/>
        <v>91.617251751378248</v>
      </c>
      <c r="M490" s="48">
        <f t="shared" ca="1" si="95"/>
        <v>0.85099999999999998</v>
      </c>
      <c r="N490" s="48">
        <f t="shared" si="104"/>
        <v>6</v>
      </c>
      <c r="O490" s="51">
        <f t="shared" ca="1" si="96"/>
        <v>2.6890525068127145E-2</v>
      </c>
      <c r="P490" s="51">
        <f t="shared" ca="1" si="97"/>
        <v>91.644142276446374</v>
      </c>
      <c r="Q490" s="55">
        <f t="shared" ca="1" si="105"/>
        <v>0.84676447146769362</v>
      </c>
    </row>
    <row r="491" spans="1:17" x14ac:dyDescent="0.25">
      <c r="A491" s="48">
        <v>445</v>
      </c>
      <c r="B491" s="48">
        <f t="shared" ca="1" si="92"/>
        <v>0.18</v>
      </c>
      <c r="C491" s="49">
        <f t="shared" si="98"/>
        <v>5</v>
      </c>
      <c r="D491" s="51">
        <f t="shared" ca="1" si="93"/>
        <v>0.34295968561838536</v>
      </c>
      <c r="E491" s="51">
        <f t="shared" ca="1" si="99"/>
        <v>91.140337490597062</v>
      </c>
      <c r="F491" s="48">
        <f t="shared" ca="1" si="100"/>
        <v>4</v>
      </c>
      <c r="G491" s="48">
        <f ca="1">COUNTIF($P$47:P501,"&lt;"&amp;E491)</f>
        <v>440</v>
      </c>
      <c r="H491" s="48">
        <f t="shared" ca="1" si="101"/>
        <v>2</v>
      </c>
      <c r="I491" s="48" t="str">
        <f t="shared" ca="1" si="102"/>
        <v>Ocu</v>
      </c>
      <c r="J491" s="52">
        <f t="shared" ca="1" si="94"/>
        <v>5</v>
      </c>
      <c r="K491" s="53">
        <f t="shared" ca="1" si="91"/>
        <v>0.50380478584931154</v>
      </c>
      <c r="L491" s="54">
        <f t="shared" ca="1" si="103"/>
        <v>91.644142276446374</v>
      </c>
      <c r="M491" s="48">
        <f t="shared" ca="1" si="95"/>
        <v>0.114</v>
      </c>
      <c r="N491" s="48">
        <f t="shared" si="104"/>
        <v>6</v>
      </c>
      <c r="O491" s="51">
        <f t="shared" ca="1" si="96"/>
        <v>0.36192613843127358</v>
      </c>
      <c r="P491" s="51">
        <f t="shared" ca="1" si="97"/>
        <v>92.006068414877646</v>
      </c>
      <c r="Q491" s="55">
        <f t="shared" ca="1" si="105"/>
        <v>0.86573092428058374</v>
      </c>
    </row>
    <row r="492" spans="1:17" x14ac:dyDescent="0.25">
      <c r="A492" s="48">
        <v>446</v>
      </c>
      <c r="B492" s="48">
        <f t="shared" ca="1" si="92"/>
        <v>0.70799999999999996</v>
      </c>
      <c r="C492" s="49">
        <f t="shared" si="98"/>
        <v>5</v>
      </c>
      <c r="D492" s="51">
        <f t="shared" ca="1" si="93"/>
        <v>6.9062237057683482E-2</v>
      </c>
      <c r="E492" s="51">
        <f t="shared" ca="1" si="99"/>
        <v>91.209399727654741</v>
      </c>
      <c r="F492" s="48">
        <f t="shared" ca="1" si="100"/>
        <v>5</v>
      </c>
      <c r="G492" s="48">
        <f ca="1">COUNTIF($P$47:P502,"&lt;"&amp;E492)</f>
        <v>440</v>
      </c>
      <c r="H492" s="48">
        <f t="shared" ca="1" si="101"/>
        <v>0</v>
      </c>
      <c r="I492" s="48" t="str">
        <f t="shared" ca="1" si="102"/>
        <v>Ocu</v>
      </c>
      <c r="J492" s="52">
        <f t="shared" ca="1" si="94"/>
        <v>6</v>
      </c>
      <c r="K492" s="53">
        <f t="shared" ca="1" si="91"/>
        <v>0.79666868722290474</v>
      </c>
      <c r="L492" s="54">
        <f t="shared" ca="1" si="103"/>
        <v>92.006068414877646</v>
      </c>
      <c r="M492" s="48">
        <f t="shared" ca="1" si="95"/>
        <v>0.28699999999999998</v>
      </c>
      <c r="N492" s="48">
        <f t="shared" si="104"/>
        <v>6</v>
      </c>
      <c r="O492" s="51">
        <f t="shared" ca="1" si="96"/>
        <v>0.208045510537086</v>
      </c>
      <c r="P492" s="51">
        <f t="shared" ca="1" si="97"/>
        <v>92.214113925414736</v>
      </c>
      <c r="Q492" s="55">
        <f t="shared" ca="1" si="105"/>
        <v>1.0047141977599949</v>
      </c>
    </row>
    <row r="493" spans="1:17" x14ac:dyDescent="0.25">
      <c r="A493" s="48">
        <v>447</v>
      </c>
      <c r="B493" s="48">
        <f t="shared" ca="1" si="92"/>
        <v>0.53100000000000003</v>
      </c>
      <c r="C493" s="49">
        <f t="shared" si="98"/>
        <v>5</v>
      </c>
      <c r="D493" s="51">
        <f t="shared" ca="1" si="93"/>
        <v>0.12659865154803965</v>
      </c>
      <c r="E493" s="51">
        <f t="shared" ca="1" si="99"/>
        <v>91.335998379202778</v>
      </c>
      <c r="F493" s="48">
        <f t="shared" ca="1" si="100"/>
        <v>6</v>
      </c>
      <c r="G493" s="48">
        <f ca="1">COUNTIF($P$47:P503,"&lt;"&amp;E493)</f>
        <v>440</v>
      </c>
      <c r="H493" s="48">
        <f t="shared" ca="1" si="101"/>
        <v>0</v>
      </c>
      <c r="I493" s="48" t="str">
        <f t="shared" ca="1" si="102"/>
        <v>Ocu</v>
      </c>
      <c r="J493" s="52">
        <f t="shared" ca="1" si="94"/>
        <v>7</v>
      </c>
      <c r="K493" s="53">
        <f t="shared" ca="1" si="91"/>
        <v>0.87811554621195853</v>
      </c>
      <c r="L493" s="54">
        <f t="shared" ca="1" si="103"/>
        <v>92.214113925414736</v>
      </c>
      <c r="M493" s="48">
        <f t="shared" ca="1" si="95"/>
        <v>0.57099999999999995</v>
      </c>
      <c r="N493" s="48">
        <f t="shared" si="104"/>
        <v>6</v>
      </c>
      <c r="O493" s="51">
        <f t="shared" ca="1" si="96"/>
        <v>9.3394344887687802E-2</v>
      </c>
      <c r="P493" s="51">
        <f t="shared" ca="1" si="97"/>
        <v>92.307508270302421</v>
      </c>
      <c r="Q493" s="55">
        <f t="shared" ca="1" si="105"/>
        <v>0.97150989109964314</v>
      </c>
    </row>
    <row r="494" spans="1:17" x14ac:dyDescent="0.25">
      <c r="A494" s="48">
        <v>448</v>
      </c>
      <c r="B494" s="48">
        <f t="shared" ca="1" si="92"/>
        <v>0.86699999999999999</v>
      </c>
      <c r="C494" s="49">
        <f t="shared" si="98"/>
        <v>5</v>
      </c>
      <c r="D494" s="51">
        <f t="shared" ca="1" si="93"/>
        <v>2.8543260440319053E-2</v>
      </c>
      <c r="E494" s="51">
        <f t="shared" ca="1" si="99"/>
        <v>91.364541639643093</v>
      </c>
      <c r="F494" s="48">
        <f t="shared" ca="1" si="100"/>
        <v>7</v>
      </c>
      <c r="G494" s="48">
        <f ca="1">COUNTIF($P$47:P504,"&lt;"&amp;E494)</f>
        <v>440</v>
      </c>
      <c r="H494" s="48">
        <f t="shared" ca="1" si="101"/>
        <v>0</v>
      </c>
      <c r="I494" s="48" t="str">
        <f t="shared" ca="1" si="102"/>
        <v>Ocu</v>
      </c>
      <c r="J494" s="52">
        <f t="shared" ca="1" si="94"/>
        <v>8</v>
      </c>
      <c r="K494" s="53">
        <f t="shared" ca="1" si="91"/>
        <v>0.94296663065932762</v>
      </c>
      <c r="L494" s="54">
        <f t="shared" ca="1" si="103"/>
        <v>92.307508270302421</v>
      </c>
      <c r="M494" s="48">
        <f t="shared" ca="1" si="95"/>
        <v>0.32</v>
      </c>
      <c r="N494" s="48">
        <f t="shared" si="104"/>
        <v>6</v>
      </c>
      <c r="O494" s="51">
        <f t="shared" ca="1" si="96"/>
        <v>0.18990571386472746</v>
      </c>
      <c r="P494" s="51">
        <f t="shared" ca="1" si="97"/>
        <v>92.497413984167153</v>
      </c>
      <c r="Q494" s="55">
        <f t="shared" ca="1" si="105"/>
        <v>1.1328723445240598</v>
      </c>
    </row>
    <row r="495" spans="1:17" x14ac:dyDescent="0.25">
      <c r="A495" s="48">
        <v>449</v>
      </c>
      <c r="B495" s="48">
        <f t="shared" ca="1" si="92"/>
        <v>2.8000000000000001E-2</v>
      </c>
      <c r="C495" s="49">
        <f t="shared" si="98"/>
        <v>5</v>
      </c>
      <c r="D495" s="51">
        <f t="shared" ca="1" si="93"/>
        <v>0.71511015376138665</v>
      </c>
      <c r="E495" s="51">
        <f t="shared" ca="1" si="99"/>
        <v>92.07965179340448</v>
      </c>
      <c r="F495" s="48">
        <f t="shared" ca="1" si="100"/>
        <v>3</v>
      </c>
      <c r="G495" s="48">
        <f ca="1">COUNTIF($P$47:P505,"&lt;"&amp;E495)</f>
        <v>445</v>
      </c>
      <c r="H495" s="48">
        <f t="shared" ca="1" si="101"/>
        <v>5</v>
      </c>
      <c r="I495" s="48" t="str">
        <f t="shared" ca="1" si="102"/>
        <v>Ocu</v>
      </c>
      <c r="J495" s="52">
        <f t="shared" ca="1" si="94"/>
        <v>4</v>
      </c>
      <c r="K495" s="53">
        <f t="shared" ref="K495:K546" ca="1" si="106">L495-E495</f>
        <v>0.41776219076267296</v>
      </c>
      <c r="L495" s="54">
        <f t="shared" ca="1" si="103"/>
        <v>92.497413984167153</v>
      </c>
      <c r="M495" s="48">
        <f t="shared" ca="1" si="95"/>
        <v>9.8000000000000004E-2</v>
      </c>
      <c r="N495" s="48">
        <f t="shared" si="104"/>
        <v>6</v>
      </c>
      <c r="O495" s="51">
        <f t="shared" ca="1" si="96"/>
        <v>0.38713130005192747</v>
      </c>
      <c r="P495" s="51">
        <f t="shared" ca="1" si="97"/>
        <v>92.884545284219087</v>
      </c>
      <c r="Q495" s="55">
        <f t="shared" ca="1" si="105"/>
        <v>0.80489349081460659</v>
      </c>
    </row>
    <row r="496" spans="1:17" x14ac:dyDescent="0.25">
      <c r="A496" s="48">
        <v>450</v>
      </c>
      <c r="B496" s="48">
        <f t="shared" ref="B496:B546" ca="1" si="107">RANDBETWEEN(1,1000)/1000</f>
        <v>0.14399999999999999</v>
      </c>
      <c r="C496" s="49">
        <f t="shared" si="98"/>
        <v>5</v>
      </c>
      <c r="D496" s="51">
        <f t="shared" ref="D496:D546" ca="1" si="108">(1/C496)*(LN(1/B496))</f>
        <v>0.38758839588122734</v>
      </c>
      <c r="E496" s="51">
        <f t="shared" ca="1" si="99"/>
        <v>92.467240189285704</v>
      </c>
      <c r="F496" s="48">
        <f t="shared" ca="1" si="100"/>
        <v>2</v>
      </c>
      <c r="G496" s="48">
        <f ca="1">COUNTIF($P$47:P506,"&lt;"&amp;E496)</f>
        <v>447</v>
      </c>
      <c r="H496" s="48">
        <f t="shared" ca="1" si="101"/>
        <v>2</v>
      </c>
      <c r="I496" s="48" t="str">
        <f t="shared" ca="1" si="102"/>
        <v>Ocu</v>
      </c>
      <c r="J496" s="52">
        <f t="shared" ref="J496:J546" ca="1" si="109">IF(I496="Des",1,IF(I496="Ocu",1+F496))</f>
        <v>3</v>
      </c>
      <c r="K496" s="53">
        <f t="shared" ca="1" si="106"/>
        <v>0.41730509493338275</v>
      </c>
      <c r="L496" s="54">
        <f t="shared" ca="1" si="103"/>
        <v>92.884545284219087</v>
      </c>
      <c r="M496" s="48">
        <f t="shared" ref="M496:M546" ca="1" si="110">RANDBETWEEN(1,1000)/1000</f>
        <v>0.76200000000000001</v>
      </c>
      <c r="N496" s="48">
        <f t="shared" si="104"/>
        <v>6</v>
      </c>
      <c r="O496" s="51">
        <f t="shared" ref="O496:O546" ca="1" si="111">(1/N496)*(LN(1/M496))</f>
        <v>4.5301453882581805E-2</v>
      </c>
      <c r="P496" s="51">
        <f t="shared" ref="P496:P546" ca="1" si="112">+L496+O496</f>
        <v>92.929846738101674</v>
      </c>
      <c r="Q496" s="55">
        <f t="shared" ca="1" si="105"/>
        <v>0.46260654881596963</v>
      </c>
    </row>
    <row r="497" spans="1:17" x14ac:dyDescent="0.25">
      <c r="A497" s="48">
        <v>451</v>
      </c>
      <c r="B497" s="48">
        <f t="shared" ca="1" si="107"/>
        <v>0.53600000000000003</v>
      </c>
      <c r="C497" s="49">
        <f t="shared" ref="C497:C546" si="113">+C496</f>
        <v>5</v>
      </c>
      <c r="D497" s="51">
        <f t="shared" ca="1" si="108"/>
        <v>0.12472422358226701</v>
      </c>
      <c r="E497" s="51">
        <f t="shared" ref="E497:E546" ca="1" si="114">+D497+E496</f>
        <v>92.591964412867966</v>
      </c>
      <c r="F497" s="48">
        <f t="shared" ref="F497:F546" ca="1" si="115">+F496+1-(G497-G496)</f>
        <v>2</v>
      </c>
      <c r="G497" s="48">
        <f ca="1">COUNTIF($P$47:P507,"&lt;"&amp;E497)</f>
        <v>448</v>
      </c>
      <c r="H497" s="48">
        <f t="shared" ref="H497:H546" ca="1" si="116">+G497-G496</f>
        <v>1</v>
      </c>
      <c r="I497" s="48" t="str">
        <f t="shared" ref="I497:I546" ca="1" si="117">IF(E497&lt;P496,"Ocu","Des")</f>
        <v>Ocu</v>
      </c>
      <c r="J497" s="52">
        <f t="shared" ca="1" si="109"/>
        <v>3</v>
      </c>
      <c r="K497" s="53">
        <f t="shared" ca="1" si="106"/>
        <v>0.33788232523370709</v>
      </c>
      <c r="L497" s="54">
        <f t="shared" ref="L497:L546" ca="1" si="118">IF(I497="Des",E497,P496)</f>
        <v>92.929846738101674</v>
      </c>
      <c r="M497" s="48">
        <f t="shared" ca="1" si="110"/>
        <v>0.121</v>
      </c>
      <c r="N497" s="48">
        <f t="shared" ref="N497:N546" si="119">+N496</f>
        <v>6</v>
      </c>
      <c r="O497" s="51">
        <f t="shared" ca="1" si="111"/>
        <v>0.35199412223089932</v>
      </c>
      <c r="P497" s="51">
        <f t="shared" ca="1" si="112"/>
        <v>93.281840860332579</v>
      </c>
      <c r="Q497" s="55">
        <f t="shared" ca="1" si="105"/>
        <v>0.68987644746461285</v>
      </c>
    </row>
    <row r="498" spans="1:17" x14ac:dyDescent="0.25">
      <c r="A498" s="48">
        <v>452</v>
      </c>
      <c r="B498" s="48">
        <f t="shared" ca="1" si="107"/>
        <v>0.5</v>
      </c>
      <c r="C498" s="49">
        <f t="shared" si="113"/>
        <v>5</v>
      </c>
      <c r="D498" s="51">
        <f t="shared" ca="1" si="108"/>
        <v>0.13862943611198905</v>
      </c>
      <c r="E498" s="51">
        <f t="shared" ca="1" si="114"/>
        <v>92.73059384897995</v>
      </c>
      <c r="F498" s="48">
        <f t="shared" ca="1" si="115"/>
        <v>3</v>
      </c>
      <c r="G498" s="48">
        <f ca="1">COUNTIF($P$47:P508,"&lt;"&amp;E498)</f>
        <v>448</v>
      </c>
      <c r="H498" s="48">
        <f t="shared" ca="1" si="116"/>
        <v>0</v>
      </c>
      <c r="I498" s="48" t="str">
        <f t="shared" ca="1" si="117"/>
        <v>Ocu</v>
      </c>
      <c r="J498" s="52">
        <f t="shared" ca="1" si="109"/>
        <v>4</v>
      </c>
      <c r="K498" s="53">
        <f t="shared" ca="1" si="106"/>
        <v>0.5512470113526291</v>
      </c>
      <c r="L498" s="54">
        <f t="shared" ca="1" si="118"/>
        <v>93.281840860332579</v>
      </c>
      <c r="M498" s="48">
        <f t="shared" ca="1" si="110"/>
        <v>0.99399999999999999</v>
      </c>
      <c r="N498" s="48">
        <f t="shared" si="119"/>
        <v>6</v>
      </c>
      <c r="O498" s="51">
        <f t="shared" ca="1" si="111"/>
        <v>1.0030120542604908E-3</v>
      </c>
      <c r="P498" s="51">
        <f t="shared" ca="1" si="112"/>
        <v>93.282843872386835</v>
      </c>
      <c r="Q498" s="55">
        <f t="shared" ref="Q498:Q546" ca="1" si="120">P498-E498</f>
        <v>0.55225002340688434</v>
      </c>
    </row>
    <row r="499" spans="1:17" x14ac:dyDescent="0.25">
      <c r="A499" s="48">
        <v>453</v>
      </c>
      <c r="B499" s="48">
        <f t="shared" ca="1" si="107"/>
        <v>0.77800000000000002</v>
      </c>
      <c r="C499" s="49">
        <f t="shared" si="113"/>
        <v>5</v>
      </c>
      <c r="D499" s="51">
        <f t="shared" ca="1" si="108"/>
        <v>5.0205750960749099E-2</v>
      </c>
      <c r="E499" s="51">
        <f t="shared" ca="1" si="114"/>
        <v>92.780799599940693</v>
      </c>
      <c r="F499" s="48">
        <f t="shared" ca="1" si="115"/>
        <v>4</v>
      </c>
      <c r="G499" s="48">
        <f ca="1">COUNTIF($P$47:P509,"&lt;"&amp;E499)</f>
        <v>448</v>
      </c>
      <c r="H499" s="48">
        <f t="shared" ca="1" si="116"/>
        <v>0</v>
      </c>
      <c r="I499" s="48" t="str">
        <f t="shared" ca="1" si="117"/>
        <v>Ocu</v>
      </c>
      <c r="J499" s="52">
        <f t="shared" ca="1" si="109"/>
        <v>5</v>
      </c>
      <c r="K499" s="53">
        <f t="shared" ca="1" si="106"/>
        <v>0.5020442724461418</v>
      </c>
      <c r="L499" s="54">
        <f t="shared" ca="1" si="118"/>
        <v>93.282843872386835</v>
      </c>
      <c r="M499" s="48">
        <f t="shared" ca="1" si="110"/>
        <v>0.47</v>
      </c>
      <c r="N499" s="48">
        <f t="shared" si="119"/>
        <v>6</v>
      </c>
      <c r="O499" s="51">
        <f t="shared" ca="1" si="111"/>
        <v>0.12583709737967214</v>
      </c>
      <c r="P499" s="51">
        <f t="shared" ca="1" si="112"/>
        <v>93.408680969766507</v>
      </c>
      <c r="Q499" s="55">
        <f t="shared" ca="1" si="120"/>
        <v>0.62788136982581477</v>
      </c>
    </row>
    <row r="500" spans="1:17" x14ac:dyDescent="0.25">
      <c r="A500" s="48">
        <v>454</v>
      </c>
      <c r="B500" s="48">
        <f t="shared" ca="1" si="107"/>
        <v>0.90300000000000002</v>
      </c>
      <c r="C500" s="49">
        <f t="shared" si="113"/>
        <v>5</v>
      </c>
      <c r="D500" s="51">
        <f t="shared" ca="1" si="108"/>
        <v>2.040654511303033E-2</v>
      </c>
      <c r="E500" s="51">
        <f t="shared" ca="1" si="114"/>
        <v>92.801206145053726</v>
      </c>
      <c r="F500" s="48">
        <f t="shared" ca="1" si="115"/>
        <v>5</v>
      </c>
      <c r="G500" s="48">
        <f ca="1">COUNTIF($P$47:P510,"&lt;"&amp;E500)</f>
        <v>448</v>
      </c>
      <c r="H500" s="48">
        <f t="shared" ca="1" si="116"/>
        <v>0</v>
      </c>
      <c r="I500" s="48" t="str">
        <f t="shared" ca="1" si="117"/>
        <v>Ocu</v>
      </c>
      <c r="J500" s="52">
        <f t="shared" ca="1" si="109"/>
        <v>6</v>
      </c>
      <c r="K500" s="53">
        <f t="shared" ca="1" si="106"/>
        <v>0.60747482471278147</v>
      </c>
      <c r="L500" s="54">
        <f t="shared" ca="1" si="118"/>
        <v>93.408680969766507</v>
      </c>
      <c r="M500" s="48">
        <f t="shared" ca="1" si="110"/>
        <v>0.41</v>
      </c>
      <c r="N500" s="48">
        <f t="shared" si="119"/>
        <v>6</v>
      </c>
      <c r="O500" s="51">
        <f t="shared" ca="1" si="111"/>
        <v>0.14859968654729724</v>
      </c>
      <c r="P500" s="51">
        <f t="shared" ca="1" si="112"/>
        <v>93.557280656313807</v>
      </c>
      <c r="Q500" s="55">
        <f t="shared" ca="1" si="120"/>
        <v>0.75607451126008129</v>
      </c>
    </row>
    <row r="501" spans="1:17" x14ac:dyDescent="0.25">
      <c r="A501" s="48">
        <v>455</v>
      </c>
      <c r="B501" s="48">
        <f t="shared" ca="1" si="107"/>
        <v>0.39400000000000002</v>
      </c>
      <c r="C501" s="49">
        <f t="shared" si="113"/>
        <v>5</v>
      </c>
      <c r="D501" s="51">
        <f t="shared" ca="1" si="108"/>
        <v>0.18628087393684067</v>
      </c>
      <c r="E501" s="51">
        <f t="shared" ca="1" si="114"/>
        <v>92.987487018990564</v>
      </c>
      <c r="F501" s="48">
        <f t="shared" ca="1" si="115"/>
        <v>4</v>
      </c>
      <c r="G501" s="48">
        <f ca="1">COUNTIF($P$47:P511,"&lt;"&amp;E501)</f>
        <v>450</v>
      </c>
      <c r="H501" s="48">
        <f t="shared" ca="1" si="116"/>
        <v>2</v>
      </c>
      <c r="I501" s="48" t="str">
        <f t="shared" ca="1" si="117"/>
        <v>Ocu</v>
      </c>
      <c r="J501" s="52">
        <f t="shared" ca="1" si="109"/>
        <v>5</v>
      </c>
      <c r="K501" s="53">
        <f t="shared" ca="1" si="106"/>
        <v>0.56979363732324373</v>
      </c>
      <c r="L501" s="54">
        <f t="shared" ca="1" si="118"/>
        <v>93.557280656313807</v>
      </c>
      <c r="M501" s="48">
        <f t="shared" ca="1" si="110"/>
        <v>0.26500000000000001</v>
      </c>
      <c r="N501" s="48">
        <f t="shared" si="119"/>
        <v>6</v>
      </c>
      <c r="O501" s="51">
        <f t="shared" ca="1" si="111"/>
        <v>0.22133757549931912</v>
      </c>
      <c r="P501" s="51">
        <f t="shared" ca="1" si="112"/>
        <v>93.778618231813127</v>
      </c>
      <c r="Q501" s="55">
        <f t="shared" ca="1" si="120"/>
        <v>0.79113121282256316</v>
      </c>
    </row>
    <row r="502" spans="1:17" x14ac:dyDescent="0.25">
      <c r="A502" s="48">
        <v>456</v>
      </c>
      <c r="B502" s="48">
        <f t="shared" ca="1" si="107"/>
        <v>0.502</v>
      </c>
      <c r="C502" s="49">
        <f t="shared" si="113"/>
        <v>5</v>
      </c>
      <c r="D502" s="51">
        <f t="shared" ca="1" si="108"/>
        <v>0.13783103185808157</v>
      </c>
      <c r="E502" s="51">
        <f t="shared" ca="1" si="114"/>
        <v>93.125318050848648</v>
      </c>
      <c r="F502" s="48">
        <f t="shared" ca="1" si="115"/>
        <v>5</v>
      </c>
      <c r="G502" s="48">
        <f ca="1">COUNTIF($P$47:P512,"&lt;"&amp;E502)</f>
        <v>450</v>
      </c>
      <c r="H502" s="48">
        <f t="shared" ca="1" si="116"/>
        <v>0</v>
      </c>
      <c r="I502" s="48" t="str">
        <f t="shared" ca="1" si="117"/>
        <v>Ocu</v>
      </c>
      <c r="J502" s="52">
        <f t="shared" ca="1" si="109"/>
        <v>6</v>
      </c>
      <c r="K502" s="53">
        <f t="shared" ca="1" si="106"/>
        <v>0.65330018096447873</v>
      </c>
      <c r="L502" s="54">
        <f t="shared" ca="1" si="118"/>
        <v>93.778618231813127</v>
      </c>
      <c r="M502" s="48">
        <f t="shared" ca="1" si="110"/>
        <v>0.92</v>
      </c>
      <c r="N502" s="48">
        <f t="shared" si="119"/>
        <v>6</v>
      </c>
      <c r="O502" s="51">
        <f t="shared" ca="1" si="111"/>
        <v>1.3896934823175167E-2</v>
      </c>
      <c r="P502" s="51">
        <f t="shared" ca="1" si="112"/>
        <v>93.792515166636306</v>
      </c>
      <c r="Q502" s="55">
        <f t="shared" ca="1" si="120"/>
        <v>0.66719711578765839</v>
      </c>
    </row>
    <row r="503" spans="1:17" x14ac:dyDescent="0.25">
      <c r="A503" s="48">
        <v>457</v>
      </c>
      <c r="B503" s="48">
        <f t="shared" ca="1" si="107"/>
        <v>0.93100000000000005</v>
      </c>
      <c r="C503" s="49">
        <f t="shared" si="113"/>
        <v>5</v>
      </c>
      <c r="D503" s="51">
        <f t="shared" ca="1" si="108"/>
        <v>1.4299200341014005E-2</v>
      </c>
      <c r="E503" s="51">
        <f t="shared" ca="1" si="114"/>
        <v>93.139617251189662</v>
      </c>
      <c r="F503" s="48">
        <f t="shared" ca="1" si="115"/>
        <v>6</v>
      </c>
      <c r="G503" s="48">
        <f ca="1">COUNTIF($P$47:P513,"&lt;"&amp;E503)</f>
        <v>450</v>
      </c>
      <c r="H503" s="48">
        <f t="shared" ca="1" si="116"/>
        <v>0</v>
      </c>
      <c r="I503" s="48" t="str">
        <f t="shared" ca="1" si="117"/>
        <v>Ocu</v>
      </c>
      <c r="J503" s="52">
        <f t="shared" ca="1" si="109"/>
        <v>7</v>
      </c>
      <c r="K503" s="53">
        <f t="shared" ca="1" si="106"/>
        <v>0.65289791544664411</v>
      </c>
      <c r="L503" s="54">
        <f t="shared" ca="1" si="118"/>
        <v>93.792515166636306</v>
      </c>
      <c r="M503" s="48">
        <f t="shared" ca="1" si="110"/>
        <v>0.25600000000000001</v>
      </c>
      <c r="N503" s="48">
        <f t="shared" si="119"/>
        <v>6</v>
      </c>
      <c r="O503" s="51">
        <f t="shared" ca="1" si="111"/>
        <v>0.22709630575042908</v>
      </c>
      <c r="P503" s="51">
        <f t="shared" ca="1" si="112"/>
        <v>94.019611472386742</v>
      </c>
      <c r="Q503" s="55">
        <f t="shared" ca="1" si="120"/>
        <v>0.87999422119708015</v>
      </c>
    </row>
    <row r="504" spans="1:17" x14ac:dyDescent="0.25">
      <c r="A504" s="48">
        <v>458</v>
      </c>
      <c r="B504" s="48">
        <f t="shared" ca="1" si="107"/>
        <v>0.81499999999999995</v>
      </c>
      <c r="C504" s="49">
        <f t="shared" si="113"/>
        <v>5</v>
      </c>
      <c r="D504" s="51">
        <f t="shared" ca="1" si="108"/>
        <v>4.091343314825488E-2</v>
      </c>
      <c r="E504" s="51">
        <f t="shared" ca="1" si="114"/>
        <v>93.180530684337924</v>
      </c>
      <c r="F504" s="48">
        <f t="shared" ca="1" si="115"/>
        <v>7</v>
      </c>
      <c r="G504" s="48">
        <f ca="1">COUNTIF($P$47:P514,"&lt;"&amp;E504)</f>
        <v>450</v>
      </c>
      <c r="H504" s="48">
        <f t="shared" ca="1" si="116"/>
        <v>0</v>
      </c>
      <c r="I504" s="48" t="str">
        <f t="shared" ca="1" si="117"/>
        <v>Ocu</v>
      </c>
      <c r="J504" s="52">
        <f t="shared" ca="1" si="109"/>
        <v>8</v>
      </c>
      <c r="K504" s="53">
        <f t="shared" ca="1" si="106"/>
        <v>0.83908078804881825</v>
      </c>
      <c r="L504" s="54">
        <f t="shared" ca="1" si="118"/>
        <v>94.019611472386742</v>
      </c>
      <c r="M504" s="48">
        <f t="shared" ca="1" si="110"/>
        <v>0.432</v>
      </c>
      <c r="N504" s="48">
        <f t="shared" si="119"/>
        <v>6</v>
      </c>
      <c r="O504" s="51">
        <f t="shared" ca="1" si="111"/>
        <v>0.13988828178967111</v>
      </c>
      <c r="P504" s="51">
        <f t="shared" ca="1" si="112"/>
        <v>94.159499754176409</v>
      </c>
      <c r="Q504" s="55">
        <f t="shared" ca="1" si="120"/>
        <v>0.97896906983848453</v>
      </c>
    </row>
    <row r="505" spans="1:17" x14ac:dyDescent="0.25">
      <c r="A505" s="48">
        <v>459</v>
      </c>
      <c r="B505" s="48">
        <f t="shared" ca="1" si="107"/>
        <v>4.3999999999999997E-2</v>
      </c>
      <c r="C505" s="49">
        <f t="shared" si="113"/>
        <v>5</v>
      </c>
      <c r="D505" s="51">
        <f t="shared" ca="1" si="108"/>
        <v>0.6247131290127752</v>
      </c>
      <c r="E505" s="51">
        <f t="shared" ca="1" si="114"/>
        <v>93.8052438133507</v>
      </c>
      <c r="F505" s="48">
        <f t="shared" ca="1" si="115"/>
        <v>2</v>
      </c>
      <c r="G505" s="48">
        <f ca="1">COUNTIF($P$47:P515,"&lt;"&amp;E505)</f>
        <v>456</v>
      </c>
      <c r="H505" s="48">
        <f t="shared" ca="1" si="116"/>
        <v>6</v>
      </c>
      <c r="I505" s="48" t="str">
        <f t="shared" ca="1" si="117"/>
        <v>Ocu</v>
      </c>
      <c r="J505" s="52">
        <f t="shared" ca="1" si="109"/>
        <v>3</v>
      </c>
      <c r="K505" s="53">
        <f t="shared" ca="1" si="106"/>
        <v>0.3542559408257091</v>
      </c>
      <c r="L505" s="54">
        <f t="shared" ca="1" si="118"/>
        <v>94.159499754176409</v>
      </c>
      <c r="M505" s="48">
        <f t="shared" ca="1" si="110"/>
        <v>0.42099999999999999</v>
      </c>
      <c r="N505" s="48">
        <f t="shared" si="119"/>
        <v>6</v>
      </c>
      <c r="O505" s="51">
        <f t="shared" ca="1" si="111"/>
        <v>0.14418707421662591</v>
      </c>
      <c r="P505" s="51">
        <f t="shared" ca="1" si="112"/>
        <v>94.30368682839304</v>
      </c>
      <c r="Q505" s="55">
        <f t="shared" ca="1" si="120"/>
        <v>0.49844301504234068</v>
      </c>
    </row>
    <row r="506" spans="1:17" x14ac:dyDescent="0.25">
      <c r="A506" s="48">
        <v>460</v>
      </c>
      <c r="B506" s="48">
        <f t="shared" ca="1" si="107"/>
        <v>0.68600000000000005</v>
      </c>
      <c r="C506" s="49">
        <f t="shared" si="113"/>
        <v>5</v>
      </c>
      <c r="D506" s="51">
        <f t="shared" ca="1" si="108"/>
        <v>7.5375530251250364E-2</v>
      </c>
      <c r="E506" s="51">
        <f t="shared" ca="1" si="114"/>
        <v>93.88061934360195</v>
      </c>
      <c r="F506" s="48">
        <f t="shared" ca="1" si="115"/>
        <v>3</v>
      </c>
      <c r="G506" s="48">
        <f ca="1">COUNTIF($P$47:P516,"&lt;"&amp;E506)</f>
        <v>456</v>
      </c>
      <c r="H506" s="48">
        <f t="shared" ca="1" si="116"/>
        <v>0</v>
      </c>
      <c r="I506" s="48" t="str">
        <f t="shared" ca="1" si="117"/>
        <v>Ocu</v>
      </c>
      <c r="J506" s="52">
        <f t="shared" ca="1" si="109"/>
        <v>4</v>
      </c>
      <c r="K506" s="53">
        <f t="shared" ca="1" si="106"/>
        <v>0.42306748479109046</v>
      </c>
      <c r="L506" s="54">
        <f t="shared" ca="1" si="118"/>
        <v>94.30368682839304</v>
      </c>
      <c r="M506" s="48">
        <f t="shared" ca="1" si="110"/>
        <v>0.83799999999999997</v>
      </c>
      <c r="N506" s="48">
        <f t="shared" si="119"/>
        <v>6</v>
      </c>
      <c r="O506" s="51">
        <f t="shared" ca="1" si="111"/>
        <v>2.9456196416675687E-2</v>
      </c>
      <c r="P506" s="51">
        <f t="shared" ca="1" si="112"/>
        <v>94.333143024809715</v>
      </c>
      <c r="Q506" s="55">
        <f t="shared" ca="1" si="120"/>
        <v>0.45252368120776509</v>
      </c>
    </row>
    <row r="507" spans="1:17" x14ac:dyDescent="0.25">
      <c r="A507" s="48">
        <v>461</v>
      </c>
      <c r="B507" s="48">
        <f t="shared" ca="1" si="107"/>
        <v>0.61499999999999999</v>
      </c>
      <c r="C507" s="49">
        <f t="shared" si="113"/>
        <v>5</v>
      </c>
      <c r="D507" s="51">
        <f t="shared" ca="1" si="108"/>
        <v>9.7226602235123832E-2</v>
      </c>
      <c r="E507" s="51">
        <f t="shared" ca="1" si="114"/>
        <v>93.977845945837075</v>
      </c>
      <c r="F507" s="48">
        <f t="shared" ca="1" si="115"/>
        <v>4</v>
      </c>
      <c r="G507" s="48">
        <f ca="1">COUNTIF($P$47:P517,"&lt;"&amp;E507)</f>
        <v>456</v>
      </c>
      <c r="H507" s="48">
        <f t="shared" ca="1" si="116"/>
        <v>0</v>
      </c>
      <c r="I507" s="48" t="str">
        <f t="shared" ca="1" si="117"/>
        <v>Ocu</v>
      </c>
      <c r="J507" s="52">
        <f t="shared" ca="1" si="109"/>
        <v>5</v>
      </c>
      <c r="K507" s="53">
        <f t="shared" ca="1" si="106"/>
        <v>0.35529707897264018</v>
      </c>
      <c r="L507" s="54">
        <f t="shared" ca="1" si="118"/>
        <v>94.333143024809715</v>
      </c>
      <c r="M507" s="48">
        <f t="shared" ca="1" si="110"/>
        <v>0.71399999999999997</v>
      </c>
      <c r="N507" s="48">
        <f t="shared" si="119"/>
        <v>6</v>
      </c>
      <c r="O507" s="51">
        <f t="shared" ca="1" si="111"/>
        <v>5.6145386107092118E-2</v>
      </c>
      <c r="P507" s="51">
        <f t="shared" ca="1" si="112"/>
        <v>94.389288410916805</v>
      </c>
      <c r="Q507" s="55">
        <f t="shared" ca="1" si="120"/>
        <v>0.41144246507973037</v>
      </c>
    </row>
    <row r="508" spans="1:17" x14ac:dyDescent="0.25">
      <c r="A508" s="48">
        <v>462</v>
      </c>
      <c r="B508" s="48">
        <f t="shared" ca="1" si="107"/>
        <v>0.71799999999999997</v>
      </c>
      <c r="C508" s="49">
        <f t="shared" si="113"/>
        <v>5</v>
      </c>
      <c r="D508" s="51">
        <f t="shared" ca="1" si="108"/>
        <v>6.6257141986782592E-2</v>
      </c>
      <c r="E508" s="51">
        <f t="shared" ca="1" si="114"/>
        <v>94.044103087823856</v>
      </c>
      <c r="F508" s="48">
        <f t="shared" ca="1" si="115"/>
        <v>4</v>
      </c>
      <c r="G508" s="48">
        <f ca="1">COUNTIF($P$47:P518,"&lt;"&amp;E508)</f>
        <v>457</v>
      </c>
      <c r="H508" s="48">
        <f t="shared" ca="1" si="116"/>
        <v>1</v>
      </c>
      <c r="I508" s="48" t="str">
        <f t="shared" ca="1" si="117"/>
        <v>Ocu</v>
      </c>
      <c r="J508" s="52">
        <f t="shared" ca="1" si="109"/>
        <v>5</v>
      </c>
      <c r="K508" s="53">
        <f t="shared" ca="1" si="106"/>
        <v>0.34518532309294869</v>
      </c>
      <c r="L508" s="54">
        <f t="shared" ca="1" si="118"/>
        <v>94.389288410916805</v>
      </c>
      <c r="M508" s="48">
        <f t="shared" ca="1" si="110"/>
        <v>0.84099999999999997</v>
      </c>
      <c r="N508" s="48">
        <f t="shared" si="119"/>
        <v>6</v>
      </c>
      <c r="O508" s="51">
        <f t="shared" ca="1" si="111"/>
        <v>2.8860603168198169E-2</v>
      </c>
      <c r="P508" s="51">
        <f t="shared" ca="1" si="112"/>
        <v>94.418149014085003</v>
      </c>
      <c r="Q508" s="55">
        <f t="shared" ca="1" si="120"/>
        <v>0.37404592626114663</v>
      </c>
    </row>
    <row r="509" spans="1:17" x14ac:dyDescent="0.25">
      <c r="A509" s="48">
        <v>463</v>
      </c>
      <c r="B509" s="48">
        <f t="shared" ca="1" si="107"/>
        <v>0.19</v>
      </c>
      <c r="C509" s="49">
        <f t="shared" si="113"/>
        <v>5</v>
      </c>
      <c r="D509" s="51">
        <f t="shared" ca="1" si="108"/>
        <v>0.33214624136433019</v>
      </c>
      <c r="E509" s="51">
        <f t="shared" ca="1" si="114"/>
        <v>94.376249329188184</v>
      </c>
      <c r="F509" s="48">
        <f t="shared" ca="1" si="115"/>
        <v>2</v>
      </c>
      <c r="G509" s="48">
        <f ca="1">COUNTIF($P$47:P519,"&lt;"&amp;E509)</f>
        <v>460</v>
      </c>
      <c r="H509" s="48">
        <f t="shared" ca="1" si="116"/>
        <v>3</v>
      </c>
      <c r="I509" s="48" t="str">
        <f t="shared" ca="1" si="117"/>
        <v>Ocu</v>
      </c>
      <c r="J509" s="52">
        <f t="shared" ca="1" si="109"/>
        <v>3</v>
      </c>
      <c r="K509" s="53">
        <f t="shared" ca="1" si="106"/>
        <v>4.1899684896819167E-2</v>
      </c>
      <c r="L509" s="54">
        <f t="shared" ca="1" si="118"/>
        <v>94.418149014085003</v>
      </c>
      <c r="M509" s="48">
        <f t="shared" ca="1" si="110"/>
        <v>3.5000000000000003E-2</v>
      </c>
      <c r="N509" s="48">
        <f t="shared" si="119"/>
        <v>6</v>
      </c>
      <c r="O509" s="51">
        <f t="shared" ca="1" si="111"/>
        <v>0.55873453624878722</v>
      </c>
      <c r="P509" s="51">
        <f t="shared" ca="1" si="112"/>
        <v>94.976883550333795</v>
      </c>
      <c r="Q509" s="55">
        <f t="shared" ca="1" si="120"/>
        <v>0.60063422114561149</v>
      </c>
    </row>
    <row r="510" spans="1:17" x14ac:dyDescent="0.25">
      <c r="A510" s="48">
        <v>464</v>
      </c>
      <c r="B510" s="48">
        <f t="shared" ca="1" si="107"/>
        <v>0.94</v>
      </c>
      <c r="C510" s="49">
        <f t="shared" si="113"/>
        <v>5</v>
      </c>
      <c r="D510" s="51">
        <f t="shared" ca="1" si="108"/>
        <v>1.2375080743617491E-2</v>
      </c>
      <c r="E510" s="51">
        <f t="shared" ca="1" si="114"/>
        <v>94.388624409931808</v>
      </c>
      <c r="F510" s="48">
        <f t="shared" ca="1" si="115"/>
        <v>3</v>
      </c>
      <c r="G510" s="48">
        <f ca="1">COUNTIF($P$47:P520,"&lt;"&amp;E510)</f>
        <v>460</v>
      </c>
      <c r="H510" s="48">
        <f t="shared" ca="1" si="116"/>
        <v>0</v>
      </c>
      <c r="I510" s="48" t="str">
        <f t="shared" ca="1" si="117"/>
        <v>Ocu</v>
      </c>
      <c r="J510" s="52">
        <f t="shared" ca="1" si="109"/>
        <v>4</v>
      </c>
      <c r="K510" s="53">
        <f t="shared" ca="1" si="106"/>
        <v>0.58825914040198768</v>
      </c>
      <c r="L510" s="54">
        <f t="shared" ca="1" si="118"/>
        <v>94.976883550333795</v>
      </c>
      <c r="M510" s="48">
        <f t="shared" ca="1" si="110"/>
        <v>0.58299999999999996</v>
      </c>
      <c r="N510" s="48">
        <f t="shared" si="119"/>
        <v>6</v>
      </c>
      <c r="O510" s="51">
        <f t="shared" ca="1" si="111"/>
        <v>8.9928015438607456E-2</v>
      </c>
      <c r="P510" s="51">
        <f t="shared" ca="1" si="112"/>
        <v>95.066811565772397</v>
      </c>
      <c r="Q510" s="55">
        <f t="shared" ca="1" si="120"/>
        <v>0.67818715584058964</v>
      </c>
    </row>
    <row r="511" spans="1:17" x14ac:dyDescent="0.25">
      <c r="A511" s="48">
        <v>465</v>
      </c>
      <c r="B511" s="48">
        <f t="shared" ca="1" si="107"/>
        <v>0.53100000000000003</v>
      </c>
      <c r="C511" s="49">
        <f t="shared" si="113"/>
        <v>5</v>
      </c>
      <c r="D511" s="51">
        <f t="shared" ca="1" si="108"/>
        <v>0.12659865154803965</v>
      </c>
      <c r="E511" s="51">
        <f t="shared" ca="1" si="114"/>
        <v>94.515223061479844</v>
      </c>
      <c r="F511" s="48">
        <f t="shared" ca="1" si="115"/>
        <v>2</v>
      </c>
      <c r="G511" s="48">
        <f ca="1">COUNTIF($P$47:P521,"&lt;"&amp;E511)</f>
        <v>462</v>
      </c>
      <c r="H511" s="48">
        <f t="shared" ca="1" si="116"/>
        <v>2</v>
      </c>
      <c r="I511" s="48" t="str">
        <f t="shared" ca="1" si="117"/>
        <v>Ocu</v>
      </c>
      <c r="J511" s="52">
        <f t="shared" ca="1" si="109"/>
        <v>3</v>
      </c>
      <c r="K511" s="53">
        <f t="shared" ca="1" si="106"/>
        <v>0.55158850429255324</v>
      </c>
      <c r="L511" s="54">
        <f t="shared" ca="1" si="118"/>
        <v>95.066811565772397</v>
      </c>
      <c r="M511" s="48">
        <f t="shared" ca="1" si="110"/>
        <v>0.17100000000000001</v>
      </c>
      <c r="N511" s="48">
        <f t="shared" si="119"/>
        <v>6</v>
      </c>
      <c r="O511" s="51">
        <f t="shared" ca="1" si="111"/>
        <v>0.29434862041324616</v>
      </c>
      <c r="P511" s="51">
        <f t="shared" ca="1" si="112"/>
        <v>95.361160186185643</v>
      </c>
      <c r="Q511" s="55">
        <f t="shared" ca="1" si="120"/>
        <v>0.84593712470579874</v>
      </c>
    </row>
    <row r="512" spans="1:17" x14ac:dyDescent="0.25">
      <c r="A512" s="48">
        <v>466</v>
      </c>
      <c r="B512" s="48">
        <f t="shared" ca="1" si="107"/>
        <v>0.34200000000000003</v>
      </c>
      <c r="C512" s="49">
        <f t="shared" si="113"/>
        <v>5</v>
      </c>
      <c r="D512" s="51">
        <f t="shared" ca="1" si="108"/>
        <v>0.21458890838390637</v>
      </c>
      <c r="E512" s="51">
        <f t="shared" ca="1" si="114"/>
        <v>94.729811969863746</v>
      </c>
      <c r="F512" s="48">
        <f t="shared" ca="1" si="115"/>
        <v>3</v>
      </c>
      <c r="G512" s="48">
        <f ca="1">COUNTIF($P$47:P522,"&lt;"&amp;E512)</f>
        <v>462</v>
      </c>
      <c r="H512" s="48">
        <f t="shared" ca="1" si="116"/>
        <v>0</v>
      </c>
      <c r="I512" s="48" t="str">
        <f t="shared" ca="1" si="117"/>
        <v>Ocu</v>
      </c>
      <c r="J512" s="52">
        <f t="shared" ca="1" si="109"/>
        <v>4</v>
      </c>
      <c r="K512" s="53">
        <f t="shared" ca="1" si="106"/>
        <v>0.63134821632189642</v>
      </c>
      <c r="L512" s="54">
        <f t="shared" ca="1" si="118"/>
        <v>95.361160186185643</v>
      </c>
      <c r="M512" s="48">
        <f t="shared" ca="1" si="110"/>
        <v>0.13400000000000001</v>
      </c>
      <c r="N512" s="48">
        <f t="shared" si="119"/>
        <v>6</v>
      </c>
      <c r="O512" s="51">
        <f t="shared" ca="1" si="111"/>
        <v>0.33498591317187093</v>
      </c>
      <c r="P512" s="51">
        <f t="shared" ca="1" si="112"/>
        <v>95.69614609935752</v>
      </c>
      <c r="Q512" s="55">
        <f t="shared" ca="1" si="120"/>
        <v>0.96633412949377373</v>
      </c>
    </row>
    <row r="513" spans="1:17" x14ac:dyDescent="0.25">
      <c r="A513" s="48">
        <v>467</v>
      </c>
      <c r="B513" s="48">
        <f t="shared" ca="1" si="107"/>
        <v>0.216</v>
      </c>
      <c r="C513" s="49">
        <f t="shared" si="113"/>
        <v>5</v>
      </c>
      <c r="D513" s="51">
        <f t="shared" ca="1" si="108"/>
        <v>0.30649537425959444</v>
      </c>
      <c r="E513" s="51">
        <f t="shared" ca="1" si="114"/>
        <v>95.036307344123344</v>
      </c>
      <c r="F513" s="48">
        <f t="shared" ca="1" si="115"/>
        <v>3</v>
      </c>
      <c r="G513" s="48">
        <f ca="1">COUNTIF($P$47:P523,"&lt;"&amp;E513)</f>
        <v>463</v>
      </c>
      <c r="H513" s="48">
        <f t="shared" ca="1" si="116"/>
        <v>1</v>
      </c>
      <c r="I513" s="48" t="str">
        <f t="shared" ca="1" si="117"/>
        <v>Ocu</v>
      </c>
      <c r="J513" s="52">
        <f t="shared" ca="1" si="109"/>
        <v>4</v>
      </c>
      <c r="K513" s="53">
        <f t="shared" ca="1" si="106"/>
        <v>0.65983875523417623</v>
      </c>
      <c r="L513" s="54">
        <f t="shared" ca="1" si="118"/>
        <v>95.69614609935752</v>
      </c>
      <c r="M513" s="48">
        <f t="shared" ca="1" si="110"/>
        <v>0.28199999999999997</v>
      </c>
      <c r="N513" s="48">
        <f t="shared" si="119"/>
        <v>6</v>
      </c>
      <c r="O513" s="51">
        <f t="shared" ca="1" si="111"/>
        <v>0.21097470134067056</v>
      </c>
      <c r="P513" s="51">
        <f t="shared" ca="1" si="112"/>
        <v>95.907120800698195</v>
      </c>
      <c r="Q513" s="55">
        <f t="shared" ca="1" si="120"/>
        <v>0.87081345657485087</v>
      </c>
    </row>
    <row r="514" spans="1:17" x14ac:dyDescent="0.25">
      <c r="A514" s="48">
        <v>468</v>
      </c>
      <c r="B514" s="48">
        <f t="shared" ca="1" si="107"/>
        <v>0.83299999999999996</v>
      </c>
      <c r="C514" s="49">
        <f t="shared" si="113"/>
        <v>5</v>
      </c>
      <c r="D514" s="51">
        <f t="shared" ca="1" si="108"/>
        <v>3.6544327363058897E-2</v>
      </c>
      <c r="E514" s="51">
        <f t="shared" ca="1" si="114"/>
        <v>95.072851671486404</v>
      </c>
      <c r="F514" s="48">
        <f t="shared" ca="1" si="115"/>
        <v>3</v>
      </c>
      <c r="G514" s="48">
        <f ca="1">COUNTIF($P$47:P524,"&lt;"&amp;E514)</f>
        <v>464</v>
      </c>
      <c r="H514" s="48">
        <f t="shared" ca="1" si="116"/>
        <v>1</v>
      </c>
      <c r="I514" s="48" t="str">
        <f t="shared" ca="1" si="117"/>
        <v>Ocu</v>
      </c>
      <c r="J514" s="52">
        <f t="shared" ca="1" si="109"/>
        <v>4</v>
      </c>
      <c r="K514" s="53">
        <f t="shared" ca="1" si="106"/>
        <v>0.83426912921179053</v>
      </c>
      <c r="L514" s="54">
        <f t="shared" ca="1" si="118"/>
        <v>95.907120800698195</v>
      </c>
      <c r="M514" s="48">
        <f t="shared" ca="1" si="110"/>
        <v>0.39500000000000002</v>
      </c>
      <c r="N514" s="48">
        <f t="shared" si="119"/>
        <v>6</v>
      </c>
      <c r="O514" s="51">
        <f t="shared" ca="1" si="111"/>
        <v>0.15481158568016917</v>
      </c>
      <c r="P514" s="51">
        <f t="shared" ca="1" si="112"/>
        <v>96.061932386378359</v>
      </c>
      <c r="Q514" s="55">
        <f t="shared" ca="1" si="120"/>
        <v>0.98908071489195493</v>
      </c>
    </row>
    <row r="515" spans="1:17" x14ac:dyDescent="0.25">
      <c r="A515" s="48">
        <v>469</v>
      </c>
      <c r="B515" s="48">
        <f t="shared" ca="1" si="107"/>
        <v>0.13300000000000001</v>
      </c>
      <c r="C515" s="49">
        <f t="shared" si="113"/>
        <v>5</v>
      </c>
      <c r="D515" s="51">
        <f t="shared" ca="1" si="108"/>
        <v>0.40348123015207665</v>
      </c>
      <c r="E515" s="51">
        <f t="shared" ca="1" si="114"/>
        <v>95.476332901638486</v>
      </c>
      <c r="F515" s="48">
        <f t="shared" ca="1" si="115"/>
        <v>3</v>
      </c>
      <c r="G515" s="48">
        <f ca="1">COUNTIF($P$47:P525,"&lt;"&amp;E515)</f>
        <v>465</v>
      </c>
      <c r="H515" s="48">
        <f t="shared" ca="1" si="116"/>
        <v>1</v>
      </c>
      <c r="I515" s="48" t="str">
        <f t="shared" ca="1" si="117"/>
        <v>Ocu</v>
      </c>
      <c r="J515" s="52">
        <f t="shared" ca="1" si="109"/>
        <v>4</v>
      </c>
      <c r="K515" s="53">
        <f t="shared" ca="1" si="106"/>
        <v>0.58559948473987333</v>
      </c>
      <c r="L515" s="54">
        <f t="shared" ca="1" si="118"/>
        <v>96.061932386378359</v>
      </c>
      <c r="M515" s="48">
        <f t="shared" ca="1" si="110"/>
        <v>0.98</v>
      </c>
      <c r="N515" s="48">
        <f t="shared" si="119"/>
        <v>6</v>
      </c>
      <c r="O515" s="51">
        <f t="shared" ca="1" si="111"/>
        <v>3.3671178862532446E-3</v>
      </c>
      <c r="P515" s="51">
        <f t="shared" ca="1" si="112"/>
        <v>96.065299504264615</v>
      </c>
      <c r="Q515" s="55">
        <f t="shared" ca="1" si="120"/>
        <v>0.58896660262612954</v>
      </c>
    </row>
    <row r="516" spans="1:17" x14ac:dyDescent="0.25">
      <c r="A516" s="48">
        <v>470</v>
      </c>
      <c r="B516" s="48">
        <f t="shared" ca="1" si="107"/>
        <v>0.89100000000000001</v>
      </c>
      <c r="C516" s="49">
        <f t="shared" si="113"/>
        <v>5</v>
      </c>
      <c r="D516" s="51">
        <f t="shared" ca="1" si="108"/>
        <v>2.3082170302265548E-2</v>
      </c>
      <c r="E516" s="51">
        <f t="shared" ca="1" si="114"/>
        <v>95.499415071940746</v>
      </c>
      <c r="F516" s="48">
        <f t="shared" ca="1" si="115"/>
        <v>4</v>
      </c>
      <c r="G516" s="48">
        <f ca="1">COUNTIF($P$47:P526,"&lt;"&amp;E516)</f>
        <v>465</v>
      </c>
      <c r="H516" s="48">
        <f t="shared" ca="1" si="116"/>
        <v>0</v>
      </c>
      <c r="I516" s="48" t="str">
        <f t="shared" ca="1" si="117"/>
        <v>Ocu</v>
      </c>
      <c r="J516" s="52">
        <f t="shared" ca="1" si="109"/>
        <v>5</v>
      </c>
      <c r="K516" s="53">
        <f t="shared" ca="1" si="106"/>
        <v>0.56588443232386965</v>
      </c>
      <c r="L516" s="54">
        <f t="shared" ca="1" si="118"/>
        <v>96.065299504264615</v>
      </c>
      <c r="M516" s="48">
        <f t="shared" ca="1" si="110"/>
        <v>0.82899999999999996</v>
      </c>
      <c r="N516" s="48">
        <f t="shared" si="119"/>
        <v>6</v>
      </c>
      <c r="O516" s="51">
        <f t="shared" ca="1" si="111"/>
        <v>3.1255853974473696E-2</v>
      </c>
      <c r="P516" s="51">
        <f t="shared" ca="1" si="112"/>
        <v>96.096555358239087</v>
      </c>
      <c r="Q516" s="55">
        <f t="shared" ca="1" si="120"/>
        <v>0.59714028629834104</v>
      </c>
    </row>
    <row r="517" spans="1:17" x14ac:dyDescent="0.25">
      <c r="A517" s="48">
        <v>471</v>
      </c>
      <c r="B517" s="48">
        <f t="shared" ca="1" si="107"/>
        <v>1.2E-2</v>
      </c>
      <c r="C517" s="49">
        <f t="shared" si="113"/>
        <v>5</v>
      </c>
      <c r="D517" s="51">
        <f t="shared" ca="1" si="108"/>
        <v>0.88456972583882743</v>
      </c>
      <c r="E517" s="51">
        <f t="shared" ca="1" si="114"/>
        <v>96.383984797779576</v>
      </c>
      <c r="F517" s="48">
        <f t="shared" ca="1" si="115"/>
        <v>0</v>
      </c>
      <c r="G517" s="48">
        <f ca="1">COUNTIF($P$47:P527,"&lt;"&amp;E517)</f>
        <v>470</v>
      </c>
      <c r="H517" s="48">
        <f t="shared" ca="1" si="116"/>
        <v>5</v>
      </c>
      <c r="I517" s="48" t="str">
        <f t="shared" ca="1" si="117"/>
        <v>Des</v>
      </c>
      <c r="J517" s="52">
        <f t="shared" ca="1" si="109"/>
        <v>1</v>
      </c>
      <c r="K517" s="53">
        <f t="shared" ca="1" si="106"/>
        <v>0</v>
      </c>
      <c r="L517" s="54">
        <f t="shared" ca="1" si="118"/>
        <v>96.383984797779576</v>
      </c>
      <c r="M517" s="48">
        <f t="shared" ca="1" si="110"/>
        <v>0.40699999999999997</v>
      </c>
      <c r="N517" s="48">
        <f t="shared" si="119"/>
        <v>6</v>
      </c>
      <c r="O517" s="51">
        <f t="shared" ca="1" si="111"/>
        <v>0.14982368225659037</v>
      </c>
      <c r="P517" s="51">
        <f t="shared" ca="1" si="112"/>
        <v>96.533808480036171</v>
      </c>
      <c r="Q517" s="55">
        <f t="shared" ca="1" si="120"/>
        <v>0.1498236822565957</v>
      </c>
    </row>
    <row r="518" spans="1:17" x14ac:dyDescent="0.25">
      <c r="A518" s="48">
        <v>472</v>
      </c>
      <c r="B518" s="48">
        <f t="shared" ca="1" si="107"/>
        <v>0.98</v>
      </c>
      <c r="C518" s="49">
        <f t="shared" si="113"/>
        <v>5</v>
      </c>
      <c r="D518" s="51">
        <f t="shared" ca="1" si="108"/>
        <v>4.040541463503894E-3</v>
      </c>
      <c r="E518" s="51">
        <f t="shared" ca="1" si="114"/>
        <v>96.388025339243086</v>
      </c>
      <c r="F518" s="48">
        <f t="shared" ca="1" si="115"/>
        <v>1</v>
      </c>
      <c r="G518" s="48">
        <f ca="1">COUNTIF($P$47:P528,"&lt;"&amp;E518)</f>
        <v>470</v>
      </c>
      <c r="H518" s="48">
        <f t="shared" ca="1" si="116"/>
        <v>0</v>
      </c>
      <c r="I518" s="48" t="str">
        <f t="shared" ca="1" si="117"/>
        <v>Ocu</v>
      </c>
      <c r="J518" s="52">
        <f t="shared" ca="1" si="109"/>
        <v>2</v>
      </c>
      <c r="K518" s="53">
        <f t="shared" ca="1" si="106"/>
        <v>0.14578314079308541</v>
      </c>
      <c r="L518" s="54">
        <f t="shared" ca="1" si="118"/>
        <v>96.533808480036171</v>
      </c>
      <c r="M518" s="48">
        <f t="shared" ca="1" si="110"/>
        <v>0.75800000000000001</v>
      </c>
      <c r="N518" s="48">
        <f t="shared" si="119"/>
        <v>6</v>
      </c>
      <c r="O518" s="51">
        <f t="shared" ca="1" si="111"/>
        <v>4.6178648889960885E-2</v>
      </c>
      <c r="P518" s="51">
        <f t="shared" ca="1" si="112"/>
        <v>96.579987128926135</v>
      </c>
      <c r="Q518" s="55">
        <f t="shared" ca="1" si="120"/>
        <v>0.19196178968304878</v>
      </c>
    </row>
    <row r="519" spans="1:17" x14ac:dyDescent="0.25">
      <c r="A519" s="48">
        <v>473</v>
      </c>
      <c r="B519" s="48">
        <f t="shared" ca="1" si="107"/>
        <v>0.57999999999999996</v>
      </c>
      <c r="C519" s="49">
        <f t="shared" si="113"/>
        <v>5</v>
      </c>
      <c r="D519" s="51">
        <f t="shared" ca="1" si="108"/>
        <v>0.10894543508833443</v>
      </c>
      <c r="E519" s="51">
        <f t="shared" ca="1" si="114"/>
        <v>96.496970774331416</v>
      </c>
      <c r="F519" s="48">
        <f t="shared" ca="1" si="115"/>
        <v>2</v>
      </c>
      <c r="G519" s="48">
        <f ca="1">COUNTIF($P$47:P529,"&lt;"&amp;E519)</f>
        <v>470</v>
      </c>
      <c r="H519" s="48">
        <f t="shared" ca="1" si="116"/>
        <v>0</v>
      </c>
      <c r="I519" s="48" t="str">
        <f t="shared" ca="1" si="117"/>
        <v>Ocu</v>
      </c>
      <c r="J519" s="52">
        <f t="shared" ca="1" si="109"/>
        <v>3</v>
      </c>
      <c r="K519" s="53">
        <f t="shared" ca="1" si="106"/>
        <v>8.3016354594718678E-2</v>
      </c>
      <c r="L519" s="54">
        <f t="shared" ca="1" si="118"/>
        <v>96.579987128926135</v>
      </c>
      <c r="M519" s="48">
        <f t="shared" ca="1" si="110"/>
        <v>5.2999999999999999E-2</v>
      </c>
      <c r="N519" s="48">
        <f t="shared" si="119"/>
        <v>6</v>
      </c>
      <c r="O519" s="51">
        <f t="shared" ca="1" si="111"/>
        <v>0.48957722757166922</v>
      </c>
      <c r="P519" s="51">
        <f t="shared" ca="1" si="112"/>
        <v>97.069564356497807</v>
      </c>
      <c r="Q519" s="55">
        <f t="shared" ca="1" si="120"/>
        <v>0.572593582166391</v>
      </c>
    </row>
    <row r="520" spans="1:17" x14ac:dyDescent="0.25">
      <c r="A520" s="48">
        <v>474</v>
      </c>
      <c r="B520" s="48">
        <f t="shared" ca="1" si="107"/>
        <v>0.71</v>
      </c>
      <c r="C520" s="49">
        <f t="shared" si="113"/>
        <v>5</v>
      </c>
      <c r="D520" s="51">
        <f t="shared" ca="1" si="108"/>
        <v>6.8498061789355205E-2</v>
      </c>
      <c r="E520" s="51">
        <f t="shared" ca="1" si="114"/>
        <v>96.565468836120772</v>
      </c>
      <c r="F520" s="48">
        <f t="shared" ca="1" si="115"/>
        <v>2</v>
      </c>
      <c r="G520" s="48">
        <f ca="1">COUNTIF($P$47:P530,"&lt;"&amp;E520)</f>
        <v>471</v>
      </c>
      <c r="H520" s="48">
        <f t="shared" ca="1" si="116"/>
        <v>1</v>
      </c>
      <c r="I520" s="48" t="str">
        <f t="shared" ca="1" si="117"/>
        <v>Ocu</v>
      </c>
      <c r="J520" s="52">
        <f t="shared" ca="1" si="109"/>
        <v>3</v>
      </c>
      <c r="K520" s="53">
        <f t="shared" ca="1" si="106"/>
        <v>0.5040955203770352</v>
      </c>
      <c r="L520" s="54">
        <f t="shared" ca="1" si="118"/>
        <v>97.069564356497807</v>
      </c>
      <c r="M520" s="48">
        <f t="shared" ca="1" si="110"/>
        <v>7.4999999999999997E-2</v>
      </c>
      <c r="N520" s="48">
        <f t="shared" si="119"/>
        <v>6</v>
      </c>
      <c r="O520" s="51">
        <f t="shared" ca="1" si="111"/>
        <v>0.4317111942409711</v>
      </c>
      <c r="P520" s="51">
        <f t="shared" ca="1" si="112"/>
        <v>97.501275550738782</v>
      </c>
      <c r="Q520" s="55">
        <f t="shared" ca="1" si="120"/>
        <v>0.93580671461801046</v>
      </c>
    </row>
    <row r="521" spans="1:17" x14ac:dyDescent="0.25">
      <c r="A521" s="48">
        <v>475</v>
      </c>
      <c r="B521" s="48">
        <f t="shared" ca="1" si="107"/>
        <v>0.83499999999999996</v>
      </c>
      <c r="C521" s="49">
        <f t="shared" si="113"/>
        <v>5</v>
      </c>
      <c r="D521" s="51">
        <f t="shared" ca="1" si="108"/>
        <v>3.6064710826256334E-2</v>
      </c>
      <c r="E521" s="51">
        <f t="shared" ca="1" si="114"/>
        <v>96.601533546947024</v>
      </c>
      <c r="F521" s="48">
        <f t="shared" ca="1" si="115"/>
        <v>2</v>
      </c>
      <c r="G521" s="48">
        <f ca="1">COUNTIF($P$47:P531,"&lt;"&amp;E521)</f>
        <v>472</v>
      </c>
      <c r="H521" s="48">
        <f t="shared" ca="1" si="116"/>
        <v>1</v>
      </c>
      <c r="I521" s="48" t="str">
        <f t="shared" ca="1" si="117"/>
        <v>Ocu</v>
      </c>
      <c r="J521" s="52">
        <f t="shared" ca="1" si="109"/>
        <v>3</v>
      </c>
      <c r="K521" s="53">
        <f t="shared" ca="1" si="106"/>
        <v>0.89974200379175784</v>
      </c>
      <c r="L521" s="54">
        <f t="shared" ca="1" si="118"/>
        <v>97.501275550738782</v>
      </c>
      <c r="M521" s="48">
        <f t="shared" ca="1" si="110"/>
        <v>0.224</v>
      </c>
      <c r="N521" s="48">
        <f t="shared" si="119"/>
        <v>6</v>
      </c>
      <c r="O521" s="51">
        <f t="shared" ca="1" si="111"/>
        <v>0.24935153785451619</v>
      </c>
      <c r="P521" s="51">
        <f t="shared" ca="1" si="112"/>
        <v>97.750627088593305</v>
      </c>
      <c r="Q521" s="55">
        <f t="shared" ca="1" si="120"/>
        <v>1.1490935416462804</v>
      </c>
    </row>
    <row r="522" spans="1:17" x14ac:dyDescent="0.25">
      <c r="A522" s="48">
        <v>476</v>
      </c>
      <c r="B522" s="48">
        <f t="shared" ca="1" si="107"/>
        <v>0.88400000000000001</v>
      </c>
      <c r="C522" s="49">
        <f t="shared" si="113"/>
        <v>5</v>
      </c>
      <c r="D522" s="51">
        <f t="shared" ca="1" si="108"/>
        <v>2.4659643268898721E-2</v>
      </c>
      <c r="E522" s="51">
        <f t="shared" ca="1" si="114"/>
        <v>96.626193190215929</v>
      </c>
      <c r="F522" s="48">
        <f t="shared" ca="1" si="115"/>
        <v>3</v>
      </c>
      <c r="G522" s="48">
        <f ca="1">COUNTIF($P$47:P532,"&lt;"&amp;E522)</f>
        <v>472</v>
      </c>
      <c r="H522" s="48">
        <f t="shared" ca="1" si="116"/>
        <v>0</v>
      </c>
      <c r="I522" s="48" t="str">
        <f t="shared" ca="1" si="117"/>
        <v>Ocu</v>
      </c>
      <c r="J522" s="52">
        <f t="shared" ca="1" si="109"/>
        <v>4</v>
      </c>
      <c r="K522" s="53">
        <f t="shared" ca="1" si="106"/>
        <v>1.1244338983773758</v>
      </c>
      <c r="L522" s="54">
        <f t="shared" ca="1" si="118"/>
        <v>97.750627088593305</v>
      </c>
      <c r="M522" s="48">
        <f t="shared" ca="1" si="110"/>
        <v>0.71399999999999997</v>
      </c>
      <c r="N522" s="48">
        <f t="shared" si="119"/>
        <v>6</v>
      </c>
      <c r="O522" s="51">
        <f t="shared" ca="1" si="111"/>
        <v>5.6145386107092118E-2</v>
      </c>
      <c r="P522" s="51">
        <f t="shared" ca="1" si="112"/>
        <v>97.806772474700395</v>
      </c>
      <c r="Q522" s="55">
        <f t="shared" ca="1" si="120"/>
        <v>1.180579284484466</v>
      </c>
    </row>
    <row r="523" spans="1:17" x14ac:dyDescent="0.25">
      <c r="A523" s="48">
        <v>477</v>
      </c>
      <c r="B523" s="48">
        <f t="shared" ca="1" si="107"/>
        <v>0.2</v>
      </c>
      <c r="C523" s="49">
        <f t="shared" si="113"/>
        <v>5</v>
      </c>
      <c r="D523" s="51">
        <f t="shared" ca="1" si="108"/>
        <v>0.32188758248682009</v>
      </c>
      <c r="E523" s="51">
        <f t="shared" ca="1" si="114"/>
        <v>96.948080772702752</v>
      </c>
      <c r="F523" s="48">
        <f t="shared" ca="1" si="115"/>
        <v>4</v>
      </c>
      <c r="G523" s="48">
        <f ca="1">COUNTIF($P$47:P533,"&lt;"&amp;E523)</f>
        <v>472</v>
      </c>
      <c r="H523" s="48">
        <f t="shared" ca="1" si="116"/>
        <v>0</v>
      </c>
      <c r="I523" s="48" t="str">
        <f t="shared" ca="1" si="117"/>
        <v>Ocu</v>
      </c>
      <c r="J523" s="52">
        <f t="shared" ca="1" si="109"/>
        <v>5</v>
      </c>
      <c r="K523" s="53">
        <f t="shared" ca="1" si="106"/>
        <v>0.85869170199764255</v>
      </c>
      <c r="L523" s="54">
        <f t="shared" ca="1" si="118"/>
        <v>97.806772474700395</v>
      </c>
      <c r="M523" s="48">
        <f t="shared" ca="1" si="110"/>
        <v>0.53900000000000003</v>
      </c>
      <c r="N523" s="48">
        <f t="shared" si="119"/>
        <v>6</v>
      </c>
      <c r="O523" s="51">
        <f t="shared" ca="1" si="111"/>
        <v>0.10300661801218998</v>
      </c>
      <c r="P523" s="51">
        <f t="shared" ca="1" si="112"/>
        <v>97.909779092712583</v>
      </c>
      <c r="Q523" s="55">
        <f t="shared" ca="1" si="120"/>
        <v>0.96169832000983035</v>
      </c>
    </row>
    <row r="524" spans="1:17" x14ac:dyDescent="0.25">
      <c r="A524" s="48">
        <v>478</v>
      </c>
      <c r="B524" s="48">
        <f t="shared" ca="1" si="107"/>
        <v>3.9E-2</v>
      </c>
      <c r="C524" s="49">
        <f t="shared" si="113"/>
        <v>5</v>
      </c>
      <c r="D524" s="51">
        <f t="shared" ca="1" si="108"/>
        <v>0.64883872657049813</v>
      </c>
      <c r="E524" s="51">
        <f t="shared" ca="1" si="114"/>
        <v>97.596919499273255</v>
      </c>
      <c r="F524" s="48">
        <f t="shared" ca="1" si="115"/>
        <v>3</v>
      </c>
      <c r="G524" s="48">
        <f ca="1">COUNTIF($P$47:P534,"&lt;"&amp;E524)</f>
        <v>474</v>
      </c>
      <c r="H524" s="48">
        <f t="shared" ca="1" si="116"/>
        <v>2</v>
      </c>
      <c r="I524" s="48" t="str">
        <f t="shared" ca="1" si="117"/>
        <v>Ocu</v>
      </c>
      <c r="J524" s="52">
        <f t="shared" ca="1" si="109"/>
        <v>4</v>
      </c>
      <c r="K524" s="53">
        <f t="shared" ca="1" si="106"/>
        <v>0.31285959343932745</v>
      </c>
      <c r="L524" s="54">
        <f t="shared" ca="1" si="118"/>
        <v>97.909779092712583</v>
      </c>
      <c r="M524" s="48">
        <f t="shared" ca="1" si="110"/>
        <v>0.65600000000000003</v>
      </c>
      <c r="N524" s="48">
        <f t="shared" si="119"/>
        <v>6</v>
      </c>
      <c r="O524" s="51">
        <f t="shared" ca="1" si="111"/>
        <v>7.0265748339674666E-2</v>
      </c>
      <c r="P524" s="51">
        <f t="shared" ca="1" si="112"/>
        <v>97.980044841052262</v>
      </c>
      <c r="Q524" s="55">
        <f t="shared" ca="1" si="120"/>
        <v>0.38312534177900659</v>
      </c>
    </row>
    <row r="525" spans="1:17" x14ac:dyDescent="0.25">
      <c r="A525" s="48">
        <v>479</v>
      </c>
      <c r="B525" s="48">
        <f t="shared" ca="1" si="107"/>
        <v>0.82799999999999996</v>
      </c>
      <c r="C525" s="49">
        <f t="shared" si="113"/>
        <v>5</v>
      </c>
      <c r="D525" s="51">
        <f t="shared" ca="1" si="108"/>
        <v>3.7748424919375481E-2</v>
      </c>
      <c r="E525" s="51">
        <f t="shared" ca="1" si="114"/>
        <v>97.634667924192627</v>
      </c>
      <c r="F525" s="48">
        <f t="shared" ca="1" si="115"/>
        <v>4</v>
      </c>
      <c r="G525" s="48">
        <f ca="1">COUNTIF($P$47:P535,"&lt;"&amp;E525)</f>
        <v>474</v>
      </c>
      <c r="H525" s="48">
        <f t="shared" ca="1" si="116"/>
        <v>0</v>
      </c>
      <c r="I525" s="48" t="str">
        <f t="shared" ca="1" si="117"/>
        <v>Ocu</v>
      </c>
      <c r="J525" s="52">
        <f t="shared" ca="1" si="109"/>
        <v>5</v>
      </c>
      <c r="K525" s="53">
        <f t="shared" ca="1" si="106"/>
        <v>0.34537691685963523</v>
      </c>
      <c r="L525" s="54">
        <f t="shared" ca="1" si="118"/>
        <v>97.980044841052262</v>
      </c>
      <c r="M525" s="48">
        <f t="shared" ca="1" si="110"/>
        <v>0.245</v>
      </c>
      <c r="N525" s="48">
        <f t="shared" si="119"/>
        <v>6</v>
      </c>
      <c r="O525" s="51">
        <f t="shared" ca="1" si="111"/>
        <v>0.23441617807290166</v>
      </c>
      <c r="P525" s="51">
        <f t="shared" ca="1" si="112"/>
        <v>98.214461019125167</v>
      </c>
      <c r="Q525" s="55">
        <f t="shared" ca="1" si="120"/>
        <v>0.5797930949325405</v>
      </c>
    </row>
    <row r="526" spans="1:17" x14ac:dyDescent="0.25">
      <c r="A526" s="48">
        <v>480</v>
      </c>
      <c r="B526" s="48">
        <f t="shared" ca="1" si="107"/>
        <v>0.16500000000000001</v>
      </c>
      <c r="C526" s="49">
        <f t="shared" si="113"/>
        <v>5</v>
      </c>
      <c r="D526" s="51">
        <f t="shared" ca="1" si="108"/>
        <v>0.36036196101631135</v>
      </c>
      <c r="E526" s="51">
        <f t="shared" ca="1" si="114"/>
        <v>97.995029885208936</v>
      </c>
      <c r="F526" s="48">
        <f t="shared" ca="1" si="115"/>
        <v>1</v>
      </c>
      <c r="G526" s="48">
        <f ca="1">COUNTIF($P$47:P536,"&lt;"&amp;E526)</f>
        <v>478</v>
      </c>
      <c r="H526" s="48">
        <f t="shared" ca="1" si="116"/>
        <v>4</v>
      </c>
      <c r="I526" s="48" t="str">
        <f t="shared" ca="1" si="117"/>
        <v>Ocu</v>
      </c>
      <c r="J526" s="52">
        <f t="shared" ca="1" si="109"/>
        <v>2</v>
      </c>
      <c r="K526" s="53">
        <f t="shared" ca="1" si="106"/>
        <v>0.21943113391623115</v>
      </c>
      <c r="L526" s="54">
        <f t="shared" ca="1" si="118"/>
        <v>98.214461019125167</v>
      </c>
      <c r="M526" s="48">
        <f t="shared" ca="1" si="110"/>
        <v>0.29399999999999998</v>
      </c>
      <c r="N526" s="48">
        <f t="shared" si="119"/>
        <v>6</v>
      </c>
      <c r="O526" s="51">
        <f t="shared" ca="1" si="111"/>
        <v>0.20402925194057592</v>
      </c>
      <c r="P526" s="51">
        <f t="shared" ca="1" si="112"/>
        <v>98.41849027106575</v>
      </c>
      <c r="Q526" s="55">
        <f t="shared" ca="1" si="120"/>
        <v>0.42346038585681356</v>
      </c>
    </row>
    <row r="527" spans="1:17" x14ac:dyDescent="0.25">
      <c r="A527" s="48">
        <v>481</v>
      </c>
      <c r="B527" s="48">
        <f t="shared" ca="1" si="107"/>
        <v>0.53300000000000003</v>
      </c>
      <c r="C527" s="49">
        <f t="shared" si="113"/>
        <v>5</v>
      </c>
      <c r="D527" s="51">
        <f t="shared" ca="1" si="108"/>
        <v>0.1258467709632585</v>
      </c>
      <c r="E527" s="51">
        <f t="shared" ca="1" si="114"/>
        <v>98.1208766561722</v>
      </c>
      <c r="F527" s="48">
        <f t="shared" ca="1" si="115"/>
        <v>2</v>
      </c>
      <c r="G527" s="48">
        <f ca="1">COUNTIF($P$47:P537,"&lt;"&amp;E527)</f>
        <v>478</v>
      </c>
      <c r="H527" s="48">
        <f t="shared" ca="1" si="116"/>
        <v>0</v>
      </c>
      <c r="I527" s="48" t="str">
        <f t="shared" ca="1" si="117"/>
        <v>Ocu</v>
      </c>
      <c r="J527" s="52">
        <f t="shared" ca="1" si="109"/>
        <v>3</v>
      </c>
      <c r="K527" s="53">
        <f t="shared" ca="1" si="106"/>
        <v>0.29761361489354954</v>
      </c>
      <c r="L527" s="54">
        <f t="shared" ca="1" si="118"/>
        <v>98.41849027106575</v>
      </c>
      <c r="M527" s="48">
        <f t="shared" ca="1" si="110"/>
        <v>0.48299999999999998</v>
      </c>
      <c r="N527" s="48">
        <f t="shared" si="119"/>
        <v>6</v>
      </c>
      <c r="O527" s="51">
        <f t="shared" ca="1" si="111"/>
        <v>0.12128977088826072</v>
      </c>
      <c r="P527" s="51">
        <f t="shared" ca="1" si="112"/>
        <v>98.539780041954003</v>
      </c>
      <c r="Q527" s="55">
        <f t="shared" ca="1" si="120"/>
        <v>0.41890338578180319</v>
      </c>
    </row>
    <row r="528" spans="1:17" x14ac:dyDescent="0.25">
      <c r="A528" s="48">
        <v>482</v>
      </c>
      <c r="B528" s="48">
        <f t="shared" ca="1" si="107"/>
        <v>0.311</v>
      </c>
      <c r="C528" s="49">
        <f t="shared" si="113"/>
        <v>5</v>
      </c>
      <c r="D528" s="51">
        <f t="shared" ca="1" si="108"/>
        <v>0.23359247336058059</v>
      </c>
      <c r="E528" s="51">
        <f t="shared" ca="1" si="114"/>
        <v>98.354469129532774</v>
      </c>
      <c r="F528" s="48">
        <f t="shared" ca="1" si="115"/>
        <v>2</v>
      </c>
      <c r="G528" s="48">
        <f ca="1">COUNTIF($P$47:P538,"&lt;"&amp;E528)</f>
        <v>479</v>
      </c>
      <c r="H528" s="48">
        <f t="shared" ca="1" si="116"/>
        <v>1</v>
      </c>
      <c r="I528" s="48" t="str">
        <f t="shared" ca="1" si="117"/>
        <v>Ocu</v>
      </c>
      <c r="J528" s="52">
        <f t="shared" ca="1" si="109"/>
        <v>3</v>
      </c>
      <c r="K528" s="53">
        <f t="shared" ca="1" si="106"/>
        <v>0.18531091242122955</v>
      </c>
      <c r="L528" s="54">
        <f t="shared" ca="1" si="118"/>
        <v>98.539780041954003</v>
      </c>
      <c r="M528" s="48">
        <f t="shared" ca="1" si="110"/>
        <v>0.93300000000000005</v>
      </c>
      <c r="N528" s="48">
        <f t="shared" si="119"/>
        <v>6</v>
      </c>
      <c r="O528" s="51">
        <f t="shared" ca="1" si="111"/>
        <v>1.1558346355798874E-2</v>
      </c>
      <c r="P528" s="51">
        <f t="shared" ca="1" si="112"/>
        <v>98.551338388309802</v>
      </c>
      <c r="Q528" s="55">
        <f t="shared" ca="1" si="120"/>
        <v>0.19686925877702777</v>
      </c>
    </row>
    <row r="529" spans="1:17" x14ac:dyDescent="0.25">
      <c r="A529" s="48">
        <v>483</v>
      </c>
      <c r="B529" s="48">
        <f t="shared" ca="1" si="107"/>
        <v>0.59899999999999998</v>
      </c>
      <c r="C529" s="49">
        <f t="shared" si="113"/>
        <v>5</v>
      </c>
      <c r="D529" s="51">
        <f t="shared" ca="1" si="108"/>
        <v>0.10249873617333755</v>
      </c>
      <c r="E529" s="51">
        <f t="shared" ca="1" si="114"/>
        <v>98.456967865706105</v>
      </c>
      <c r="F529" s="48">
        <f t="shared" ca="1" si="115"/>
        <v>2</v>
      </c>
      <c r="G529" s="48">
        <f ca="1">COUNTIF($P$47:P539,"&lt;"&amp;E529)</f>
        <v>480</v>
      </c>
      <c r="H529" s="48">
        <f t="shared" ca="1" si="116"/>
        <v>1</v>
      </c>
      <c r="I529" s="48" t="str">
        <f t="shared" ca="1" si="117"/>
        <v>Ocu</v>
      </c>
      <c r="J529" s="52">
        <f t="shared" ca="1" si="109"/>
        <v>3</v>
      </c>
      <c r="K529" s="53">
        <f t="shared" ca="1" si="106"/>
        <v>9.4370522603696827E-2</v>
      </c>
      <c r="L529" s="54">
        <f t="shared" ca="1" si="118"/>
        <v>98.551338388309802</v>
      </c>
      <c r="M529" s="48">
        <f t="shared" ca="1" si="110"/>
        <v>0.88600000000000001</v>
      </c>
      <c r="N529" s="48">
        <f t="shared" si="119"/>
        <v>6</v>
      </c>
      <c r="O529" s="51">
        <f t="shared" ca="1" si="111"/>
        <v>2.0173054729509362E-2</v>
      </c>
      <c r="P529" s="51">
        <f t="shared" ca="1" si="112"/>
        <v>98.571511443039313</v>
      </c>
      <c r="Q529" s="55">
        <f t="shared" ca="1" si="120"/>
        <v>0.11454357733320819</v>
      </c>
    </row>
    <row r="530" spans="1:17" x14ac:dyDescent="0.25">
      <c r="A530" s="48">
        <v>484</v>
      </c>
      <c r="B530" s="48">
        <f t="shared" ca="1" si="107"/>
        <v>0.86199999999999999</v>
      </c>
      <c r="C530" s="49">
        <f t="shared" si="113"/>
        <v>5</v>
      </c>
      <c r="D530" s="51">
        <f t="shared" ca="1" si="108"/>
        <v>2.9700001663688792E-2</v>
      </c>
      <c r="E530" s="51">
        <f t="shared" ca="1" si="114"/>
        <v>98.486667867369789</v>
      </c>
      <c r="F530" s="48">
        <f t="shared" ca="1" si="115"/>
        <v>3</v>
      </c>
      <c r="G530" s="48">
        <f ca="1">COUNTIF($P$47:P540,"&lt;"&amp;E530)</f>
        <v>480</v>
      </c>
      <c r="H530" s="48">
        <f t="shared" ca="1" si="116"/>
        <v>0</v>
      </c>
      <c r="I530" s="48" t="str">
        <f t="shared" ca="1" si="117"/>
        <v>Ocu</v>
      </c>
      <c r="J530" s="52">
        <f t="shared" ca="1" si="109"/>
        <v>4</v>
      </c>
      <c r="K530" s="53">
        <f t="shared" ca="1" si="106"/>
        <v>8.484357566952383E-2</v>
      </c>
      <c r="L530" s="54">
        <f t="shared" ca="1" si="118"/>
        <v>98.571511443039313</v>
      </c>
      <c r="M530" s="48">
        <f t="shared" ca="1" si="110"/>
        <v>0.69899999999999995</v>
      </c>
      <c r="N530" s="48">
        <f t="shared" si="119"/>
        <v>6</v>
      </c>
      <c r="O530" s="51">
        <f t="shared" ca="1" si="111"/>
        <v>5.9684089458054486E-2</v>
      </c>
      <c r="P530" s="51">
        <f t="shared" ca="1" si="112"/>
        <v>98.631195532497372</v>
      </c>
      <c r="Q530" s="55">
        <f t="shared" ca="1" si="120"/>
        <v>0.1445276651275833</v>
      </c>
    </row>
    <row r="531" spans="1:17" x14ac:dyDescent="0.25">
      <c r="A531" s="48">
        <v>485</v>
      </c>
      <c r="B531" s="48">
        <f t="shared" ca="1" si="107"/>
        <v>4.4999999999999998E-2</v>
      </c>
      <c r="C531" s="49">
        <f t="shared" si="113"/>
        <v>5</v>
      </c>
      <c r="D531" s="51">
        <f t="shared" ca="1" si="108"/>
        <v>0.62021855784236346</v>
      </c>
      <c r="E531" s="51">
        <f t="shared" ca="1" si="114"/>
        <v>99.106886425212153</v>
      </c>
      <c r="F531" s="48">
        <f t="shared" ca="1" si="115"/>
        <v>0</v>
      </c>
      <c r="G531" s="48">
        <f ca="1">COUNTIF($P$47:P541,"&lt;"&amp;E531)</f>
        <v>484</v>
      </c>
      <c r="H531" s="48">
        <f t="shared" ca="1" si="116"/>
        <v>4</v>
      </c>
      <c r="I531" s="48" t="str">
        <f t="shared" ca="1" si="117"/>
        <v>Des</v>
      </c>
      <c r="J531" s="52">
        <f t="shared" ca="1" si="109"/>
        <v>1</v>
      </c>
      <c r="K531" s="53">
        <f t="shared" ca="1" si="106"/>
        <v>0</v>
      </c>
      <c r="L531" s="54">
        <f t="shared" ca="1" si="118"/>
        <v>99.106886425212153</v>
      </c>
      <c r="M531" s="48">
        <f t="shared" ca="1" si="110"/>
        <v>0.76200000000000001</v>
      </c>
      <c r="N531" s="48">
        <f t="shared" si="119"/>
        <v>6</v>
      </c>
      <c r="O531" s="51">
        <f t="shared" ca="1" si="111"/>
        <v>4.5301453882581805E-2</v>
      </c>
      <c r="P531" s="51">
        <f t="shared" ca="1" si="112"/>
        <v>99.15218787909474</v>
      </c>
      <c r="Q531" s="55">
        <f t="shared" ca="1" si="120"/>
        <v>4.5301453882586884E-2</v>
      </c>
    </row>
    <row r="532" spans="1:17" x14ac:dyDescent="0.25">
      <c r="A532" s="48">
        <v>486</v>
      </c>
      <c r="B532" s="48">
        <f t="shared" ca="1" si="107"/>
        <v>0.98199999999999998</v>
      </c>
      <c r="C532" s="49">
        <f t="shared" si="113"/>
        <v>5</v>
      </c>
      <c r="D532" s="51">
        <f t="shared" ca="1" si="108"/>
        <v>3.6327941255342245E-3</v>
      </c>
      <c r="E532" s="51">
        <f t="shared" ca="1" si="114"/>
        <v>99.110519219337689</v>
      </c>
      <c r="F532" s="48">
        <f t="shared" ca="1" si="115"/>
        <v>1</v>
      </c>
      <c r="G532" s="48">
        <f ca="1">COUNTIF($P$47:P542,"&lt;"&amp;E532)</f>
        <v>484</v>
      </c>
      <c r="H532" s="48">
        <f t="shared" ca="1" si="116"/>
        <v>0</v>
      </c>
      <c r="I532" s="48" t="str">
        <f t="shared" ca="1" si="117"/>
        <v>Ocu</v>
      </c>
      <c r="J532" s="52">
        <f t="shared" ca="1" si="109"/>
        <v>2</v>
      </c>
      <c r="K532" s="53">
        <f t="shared" ca="1" si="106"/>
        <v>4.1668659757050364E-2</v>
      </c>
      <c r="L532" s="54">
        <f t="shared" ca="1" si="118"/>
        <v>99.15218787909474</v>
      </c>
      <c r="M532" s="48">
        <f t="shared" ca="1" si="110"/>
        <v>0.35399999999999998</v>
      </c>
      <c r="N532" s="48">
        <f t="shared" si="119"/>
        <v>6</v>
      </c>
      <c r="O532" s="51">
        <f t="shared" ca="1" si="111"/>
        <v>0.17307639430806043</v>
      </c>
      <c r="P532" s="51">
        <f t="shared" ca="1" si="112"/>
        <v>99.325264273402794</v>
      </c>
      <c r="Q532" s="55">
        <f t="shared" ca="1" si="120"/>
        <v>0.21474505406510502</v>
      </c>
    </row>
    <row r="533" spans="1:17" x14ac:dyDescent="0.25">
      <c r="A533" s="48">
        <v>487</v>
      </c>
      <c r="B533" s="48">
        <f t="shared" ca="1" si="107"/>
        <v>0.92200000000000004</v>
      </c>
      <c r="C533" s="49">
        <f t="shared" si="113"/>
        <v>5</v>
      </c>
      <c r="D533" s="51">
        <f t="shared" ca="1" si="108"/>
        <v>1.6242011085108653E-2</v>
      </c>
      <c r="E533" s="51">
        <f t="shared" ca="1" si="114"/>
        <v>99.126761230422801</v>
      </c>
      <c r="F533" s="48">
        <f t="shared" ca="1" si="115"/>
        <v>2</v>
      </c>
      <c r="G533" s="48">
        <f ca="1">COUNTIF($P$47:P543,"&lt;"&amp;E533)</f>
        <v>484</v>
      </c>
      <c r="H533" s="48">
        <f t="shared" ca="1" si="116"/>
        <v>0</v>
      </c>
      <c r="I533" s="48" t="str">
        <f t="shared" ca="1" si="117"/>
        <v>Ocu</v>
      </c>
      <c r="J533" s="52">
        <f t="shared" ca="1" si="109"/>
        <v>3</v>
      </c>
      <c r="K533" s="53">
        <f t="shared" ca="1" si="106"/>
        <v>0.19850304297999344</v>
      </c>
      <c r="L533" s="54">
        <f t="shared" ca="1" si="118"/>
        <v>99.325264273402794</v>
      </c>
      <c r="M533" s="48">
        <f t="shared" ca="1" si="110"/>
        <v>0.70099999999999996</v>
      </c>
      <c r="N533" s="48">
        <f t="shared" si="119"/>
        <v>6</v>
      </c>
      <c r="O533" s="51">
        <f t="shared" ca="1" si="111"/>
        <v>5.9207898657924488E-2</v>
      </c>
      <c r="P533" s="51">
        <f t="shared" ca="1" si="112"/>
        <v>99.384472172060725</v>
      </c>
      <c r="Q533" s="55">
        <f t="shared" ca="1" si="120"/>
        <v>0.25771094163792441</v>
      </c>
    </row>
    <row r="534" spans="1:17" x14ac:dyDescent="0.25">
      <c r="A534" s="48">
        <v>488</v>
      </c>
      <c r="B534" s="48">
        <f t="shared" ca="1" si="107"/>
        <v>0.34100000000000003</v>
      </c>
      <c r="C534" s="49">
        <f t="shared" si="113"/>
        <v>5</v>
      </c>
      <c r="D534" s="51">
        <f t="shared" ca="1" si="108"/>
        <v>0.21517456033972404</v>
      </c>
      <c r="E534" s="51">
        <f t="shared" ca="1" si="114"/>
        <v>99.34193579076252</v>
      </c>
      <c r="F534" s="48">
        <f t="shared" ca="1" si="115"/>
        <v>1</v>
      </c>
      <c r="G534" s="48">
        <f ca="1">COUNTIF($P$47:P544,"&lt;"&amp;E534)</f>
        <v>486</v>
      </c>
      <c r="H534" s="48">
        <f t="shared" ca="1" si="116"/>
        <v>2</v>
      </c>
      <c r="I534" s="48" t="str">
        <f t="shared" ca="1" si="117"/>
        <v>Ocu</v>
      </c>
      <c r="J534" s="52">
        <f t="shared" ca="1" si="109"/>
        <v>2</v>
      </c>
      <c r="K534" s="53">
        <f t="shared" ca="1" si="106"/>
        <v>4.2536381298205583E-2</v>
      </c>
      <c r="L534" s="54">
        <f t="shared" ca="1" si="118"/>
        <v>99.384472172060725</v>
      </c>
      <c r="M534" s="48">
        <f t="shared" ca="1" si="110"/>
        <v>8.4000000000000005E-2</v>
      </c>
      <c r="N534" s="48">
        <f t="shared" si="119"/>
        <v>6</v>
      </c>
      <c r="O534" s="51">
        <f t="shared" ca="1" si="111"/>
        <v>0.41282308002313722</v>
      </c>
      <c r="P534" s="51">
        <f t="shared" ca="1" si="112"/>
        <v>99.797295252083856</v>
      </c>
      <c r="Q534" s="55">
        <f t="shared" ca="1" si="120"/>
        <v>0.45535946132133631</v>
      </c>
    </row>
    <row r="535" spans="1:17" x14ac:dyDescent="0.25">
      <c r="A535" s="48">
        <v>489</v>
      </c>
      <c r="B535" s="48">
        <f t="shared" ca="1" si="107"/>
        <v>0.252</v>
      </c>
      <c r="C535" s="49">
        <f t="shared" si="113"/>
        <v>5</v>
      </c>
      <c r="D535" s="51">
        <f t="shared" ca="1" si="108"/>
        <v>0.27566523829414274</v>
      </c>
      <c r="E535" s="51">
        <f t="shared" ca="1" si="114"/>
        <v>99.617601029056658</v>
      </c>
      <c r="F535" s="48">
        <f t="shared" ca="1" si="115"/>
        <v>1</v>
      </c>
      <c r="G535" s="48">
        <f ca="1">COUNTIF($P$47:P545,"&lt;"&amp;E535)</f>
        <v>487</v>
      </c>
      <c r="H535" s="48">
        <f t="shared" ca="1" si="116"/>
        <v>1</v>
      </c>
      <c r="I535" s="48" t="str">
        <f t="shared" ca="1" si="117"/>
        <v>Ocu</v>
      </c>
      <c r="J535" s="52">
        <f t="shared" ca="1" si="109"/>
        <v>2</v>
      </c>
      <c r="K535" s="53">
        <f t="shared" ca="1" si="106"/>
        <v>0.17969422302719806</v>
      </c>
      <c r="L535" s="54">
        <f t="shared" ca="1" si="118"/>
        <v>99.797295252083856</v>
      </c>
      <c r="M535" s="48">
        <f t="shared" ca="1" si="110"/>
        <v>0.94399999999999995</v>
      </c>
      <c r="N535" s="48">
        <f t="shared" si="119"/>
        <v>6</v>
      </c>
      <c r="O535" s="51">
        <f t="shared" ca="1" si="111"/>
        <v>9.6048521394394033E-3</v>
      </c>
      <c r="P535" s="51">
        <f t="shared" ca="1" si="112"/>
        <v>99.806900104223303</v>
      </c>
      <c r="Q535" s="55">
        <f t="shared" ca="1" si="120"/>
        <v>0.18929907516664457</v>
      </c>
    </row>
    <row r="536" spans="1:17" x14ac:dyDescent="0.25">
      <c r="A536" s="48">
        <v>490</v>
      </c>
      <c r="B536" s="48">
        <f t="shared" ca="1" si="107"/>
        <v>0.309</v>
      </c>
      <c r="C536" s="49">
        <f t="shared" si="113"/>
        <v>5</v>
      </c>
      <c r="D536" s="51">
        <f t="shared" ca="1" si="108"/>
        <v>0.23488280041687834</v>
      </c>
      <c r="E536" s="51">
        <f t="shared" ca="1" si="114"/>
        <v>99.852483829473542</v>
      </c>
      <c r="F536" s="48">
        <f t="shared" ca="1" si="115"/>
        <v>0</v>
      </c>
      <c r="G536" s="48">
        <f ca="1">COUNTIF($P$47:P546,"&lt;"&amp;E536)</f>
        <v>489</v>
      </c>
      <c r="H536" s="48">
        <f t="shared" ca="1" si="116"/>
        <v>2</v>
      </c>
      <c r="I536" s="48" t="str">
        <f t="shared" ca="1" si="117"/>
        <v>Des</v>
      </c>
      <c r="J536" s="52">
        <f t="shared" ca="1" si="109"/>
        <v>1</v>
      </c>
      <c r="K536" s="53">
        <f t="shared" ca="1" si="106"/>
        <v>0</v>
      </c>
      <c r="L536" s="54">
        <f t="shared" ca="1" si="118"/>
        <v>99.852483829473542</v>
      </c>
      <c r="M536" s="48">
        <f t="shared" ca="1" si="110"/>
        <v>4.2000000000000003E-2</v>
      </c>
      <c r="N536" s="48">
        <f t="shared" si="119"/>
        <v>6</v>
      </c>
      <c r="O536" s="51">
        <f t="shared" ca="1" si="111"/>
        <v>0.52834761011646136</v>
      </c>
      <c r="P536" s="51">
        <f t="shared" ca="1" si="112"/>
        <v>100.38083143959</v>
      </c>
      <c r="Q536" s="55">
        <f t="shared" ca="1" si="120"/>
        <v>0.52834761011645526</v>
      </c>
    </row>
    <row r="537" spans="1:17" x14ac:dyDescent="0.25">
      <c r="A537" s="48">
        <v>491</v>
      </c>
      <c r="B537" s="48">
        <f t="shared" ca="1" si="107"/>
        <v>0.92800000000000005</v>
      </c>
      <c r="C537" s="49">
        <f t="shared" si="113"/>
        <v>5</v>
      </c>
      <c r="D537" s="51">
        <f t="shared" ca="1" si="108"/>
        <v>1.4944709239187275E-2</v>
      </c>
      <c r="E537" s="51">
        <f t="shared" ca="1" si="114"/>
        <v>99.86742853871273</v>
      </c>
      <c r="F537" s="48">
        <f t="shared" ca="1" si="115"/>
        <v>1</v>
      </c>
      <c r="G537" s="48">
        <f ca="1">COUNTIF($P$47:P547,"&lt;"&amp;E537)</f>
        <v>489</v>
      </c>
      <c r="H537" s="48">
        <f t="shared" ca="1" si="116"/>
        <v>0</v>
      </c>
      <c r="I537" s="48" t="str">
        <f t="shared" ca="1" si="117"/>
        <v>Ocu</v>
      </c>
      <c r="J537" s="52">
        <f t="shared" ca="1" si="109"/>
        <v>2</v>
      </c>
      <c r="K537" s="53">
        <f t="shared" ca="1" si="106"/>
        <v>0.51340290087726714</v>
      </c>
      <c r="L537" s="54">
        <f t="shared" ca="1" si="118"/>
        <v>100.38083143959</v>
      </c>
      <c r="M537" s="48">
        <f t="shared" ca="1" si="110"/>
        <v>0.96699999999999997</v>
      </c>
      <c r="N537" s="48">
        <f t="shared" si="119"/>
        <v>6</v>
      </c>
      <c r="O537" s="51">
        <f t="shared" ca="1" si="111"/>
        <v>5.5927972548071277E-3</v>
      </c>
      <c r="P537" s="51">
        <f t="shared" ca="1" si="112"/>
        <v>100.3864242368448</v>
      </c>
      <c r="Q537" s="55">
        <f t="shared" ca="1" si="120"/>
        <v>0.51899569813207336</v>
      </c>
    </row>
    <row r="538" spans="1:17" x14ac:dyDescent="0.25">
      <c r="A538" s="48">
        <v>492</v>
      </c>
      <c r="B538" s="48">
        <f t="shared" ca="1" si="107"/>
        <v>0.26500000000000001</v>
      </c>
      <c r="C538" s="49">
        <f t="shared" si="113"/>
        <v>5</v>
      </c>
      <c r="D538" s="51">
        <f t="shared" ca="1" si="108"/>
        <v>0.26560509059918297</v>
      </c>
      <c r="E538" s="51">
        <f t="shared" ca="1" si="114"/>
        <v>100.13303362931191</v>
      </c>
      <c r="F538" s="48">
        <f t="shared" ca="1" si="115"/>
        <v>2</v>
      </c>
      <c r="G538" s="48">
        <f ca="1">COUNTIF($P$47:P548,"&lt;"&amp;E538)</f>
        <v>489</v>
      </c>
      <c r="H538" s="48">
        <f t="shared" ca="1" si="116"/>
        <v>0</v>
      </c>
      <c r="I538" s="48" t="str">
        <f t="shared" ca="1" si="117"/>
        <v>Ocu</v>
      </c>
      <c r="J538" s="52">
        <f t="shared" ca="1" si="109"/>
        <v>3</v>
      </c>
      <c r="K538" s="53">
        <f t="shared" ca="1" si="106"/>
        <v>0.25339060753289289</v>
      </c>
      <c r="L538" s="54">
        <f t="shared" ca="1" si="118"/>
        <v>100.3864242368448</v>
      </c>
      <c r="M538" s="48">
        <f t="shared" ca="1" si="110"/>
        <v>0.219</v>
      </c>
      <c r="N538" s="48">
        <f t="shared" si="119"/>
        <v>6</v>
      </c>
      <c r="O538" s="51">
        <f t="shared" ca="1" si="111"/>
        <v>0.25311392486093937</v>
      </c>
      <c r="P538" s="51">
        <f t="shared" ca="1" si="112"/>
        <v>100.63953816170574</v>
      </c>
      <c r="Q538" s="55">
        <f t="shared" ca="1" si="120"/>
        <v>0.50650453239383353</v>
      </c>
    </row>
    <row r="539" spans="1:17" x14ac:dyDescent="0.25">
      <c r="A539" s="48">
        <v>493</v>
      </c>
      <c r="B539" s="48">
        <f t="shared" ca="1" si="107"/>
        <v>0.42099999999999999</v>
      </c>
      <c r="C539" s="49">
        <f t="shared" si="113"/>
        <v>5</v>
      </c>
      <c r="D539" s="51">
        <f t="shared" ca="1" si="108"/>
        <v>0.17302448905995113</v>
      </c>
      <c r="E539" s="51">
        <f t="shared" ca="1" si="114"/>
        <v>100.30605811837187</v>
      </c>
      <c r="F539" s="48">
        <f t="shared" ca="1" si="115"/>
        <v>3</v>
      </c>
      <c r="G539" s="48">
        <f ca="1">COUNTIF($P$47:P549,"&lt;"&amp;E539)</f>
        <v>489</v>
      </c>
      <c r="H539" s="48">
        <f t="shared" ca="1" si="116"/>
        <v>0</v>
      </c>
      <c r="I539" s="48" t="str">
        <f t="shared" ca="1" si="117"/>
        <v>Ocu</v>
      </c>
      <c r="J539" s="52">
        <f t="shared" ca="1" si="109"/>
        <v>4</v>
      </c>
      <c r="K539" s="53">
        <f t="shared" ca="1" si="106"/>
        <v>0.33348004333387848</v>
      </c>
      <c r="L539" s="54">
        <f t="shared" ca="1" si="118"/>
        <v>100.63953816170574</v>
      </c>
      <c r="M539" s="48">
        <f t="shared" ca="1" si="110"/>
        <v>0.86099999999999999</v>
      </c>
      <c r="N539" s="48">
        <f t="shared" si="119"/>
        <v>6</v>
      </c>
      <c r="O539" s="51">
        <f t="shared" ca="1" si="111"/>
        <v>2.4943462425734378E-2</v>
      </c>
      <c r="P539" s="51">
        <f t="shared" ca="1" si="112"/>
        <v>100.66448162413148</v>
      </c>
      <c r="Q539" s="55">
        <f t="shared" ca="1" si="120"/>
        <v>0.35842350575961746</v>
      </c>
    </row>
    <row r="540" spans="1:17" x14ac:dyDescent="0.25">
      <c r="A540" s="48">
        <v>494</v>
      </c>
      <c r="B540" s="48">
        <f t="shared" ca="1" si="107"/>
        <v>0.96199999999999997</v>
      </c>
      <c r="C540" s="49">
        <f t="shared" si="113"/>
        <v>5</v>
      </c>
      <c r="D540" s="51">
        <f t="shared" ca="1" si="108"/>
        <v>7.7481656632861235E-3</v>
      </c>
      <c r="E540" s="51">
        <f t="shared" ca="1" si="114"/>
        <v>100.31380628403515</v>
      </c>
      <c r="F540" s="48">
        <f t="shared" ca="1" si="115"/>
        <v>4</v>
      </c>
      <c r="G540" s="48">
        <f ca="1">COUNTIF($P$47:P550,"&lt;"&amp;E540)</f>
        <v>489</v>
      </c>
      <c r="H540" s="48">
        <f t="shared" ca="1" si="116"/>
        <v>0</v>
      </c>
      <c r="I540" s="48" t="str">
        <f t="shared" ca="1" si="117"/>
        <v>Ocu</v>
      </c>
      <c r="J540" s="52">
        <f t="shared" ca="1" si="109"/>
        <v>5</v>
      </c>
      <c r="K540" s="53">
        <f t="shared" ca="1" si="106"/>
        <v>0.3506753400963305</v>
      </c>
      <c r="L540" s="54">
        <f t="shared" ca="1" si="118"/>
        <v>100.66448162413148</v>
      </c>
      <c r="M540" s="48">
        <f t="shared" ca="1" si="110"/>
        <v>0.81200000000000006</v>
      </c>
      <c r="N540" s="48">
        <f t="shared" si="119"/>
        <v>6</v>
      </c>
      <c r="O540" s="51">
        <f t="shared" ca="1" si="111"/>
        <v>3.470915647007649E-2</v>
      </c>
      <c r="P540" s="51">
        <f t="shared" ca="1" si="112"/>
        <v>100.69919078060155</v>
      </c>
      <c r="Q540" s="55">
        <f t="shared" ca="1" si="120"/>
        <v>0.38538449656640239</v>
      </c>
    </row>
    <row r="541" spans="1:17" x14ac:dyDescent="0.25">
      <c r="A541" s="48">
        <v>495</v>
      </c>
      <c r="B541" s="48">
        <f t="shared" ca="1" si="107"/>
        <v>0.30399999999999999</v>
      </c>
      <c r="C541" s="49">
        <f t="shared" si="113"/>
        <v>5</v>
      </c>
      <c r="D541" s="51">
        <f t="shared" ca="1" si="108"/>
        <v>0.23814551551518309</v>
      </c>
      <c r="E541" s="51">
        <f t="shared" ca="1" si="114"/>
        <v>100.55195179955034</v>
      </c>
      <c r="F541" s="48">
        <f t="shared" ca="1" si="115"/>
        <v>3</v>
      </c>
      <c r="G541" s="48">
        <f ca="1">COUNTIF($P$47:P551,"&lt;"&amp;E541)</f>
        <v>491</v>
      </c>
      <c r="H541" s="48">
        <f t="shared" ca="1" si="116"/>
        <v>2</v>
      </c>
      <c r="I541" s="48" t="str">
        <f t="shared" ca="1" si="117"/>
        <v>Ocu</v>
      </c>
      <c r="J541" s="52">
        <f t="shared" ca="1" si="109"/>
        <v>4</v>
      </c>
      <c r="K541" s="53">
        <f t="shared" ca="1" si="106"/>
        <v>0.14723898105121691</v>
      </c>
      <c r="L541" s="54">
        <f t="shared" ca="1" si="118"/>
        <v>100.69919078060155</v>
      </c>
      <c r="M541" s="48">
        <f t="shared" ca="1" si="110"/>
        <v>6.4000000000000001E-2</v>
      </c>
      <c r="N541" s="48">
        <f t="shared" si="119"/>
        <v>6</v>
      </c>
      <c r="O541" s="51">
        <f t="shared" ca="1" si="111"/>
        <v>0.45814536593707755</v>
      </c>
      <c r="P541" s="51">
        <f t="shared" ca="1" si="112"/>
        <v>101.15733614653863</v>
      </c>
      <c r="Q541" s="55">
        <f t="shared" ca="1" si="120"/>
        <v>0.6053843469882878</v>
      </c>
    </row>
    <row r="542" spans="1:17" x14ac:dyDescent="0.25">
      <c r="A542" s="48">
        <v>496</v>
      </c>
      <c r="B542" s="48">
        <f t="shared" ca="1" si="107"/>
        <v>0.57799999999999996</v>
      </c>
      <c r="C542" s="49">
        <f t="shared" si="113"/>
        <v>5</v>
      </c>
      <c r="D542" s="51">
        <f t="shared" ca="1" si="108"/>
        <v>0.10963628206195193</v>
      </c>
      <c r="E542" s="51">
        <f t="shared" ca="1" si="114"/>
        <v>100.66158808161229</v>
      </c>
      <c r="F542" s="48">
        <f t="shared" ca="1" si="115"/>
        <v>3</v>
      </c>
      <c r="G542" s="48">
        <f ca="1">COUNTIF($P$47:P552,"&lt;"&amp;E542)</f>
        <v>492</v>
      </c>
      <c r="H542" s="48">
        <f t="shared" ca="1" si="116"/>
        <v>1</v>
      </c>
      <c r="I542" s="48" t="str">
        <f t="shared" ca="1" si="117"/>
        <v>Ocu</v>
      </c>
      <c r="J542" s="52">
        <f t="shared" ca="1" si="109"/>
        <v>4</v>
      </c>
      <c r="K542" s="53">
        <f t="shared" ca="1" si="106"/>
        <v>0.49574806492633172</v>
      </c>
      <c r="L542" s="54">
        <f t="shared" ca="1" si="118"/>
        <v>101.15733614653863</v>
      </c>
      <c r="M542" s="48">
        <f t="shared" ca="1" si="110"/>
        <v>0.36599999999999999</v>
      </c>
      <c r="N542" s="48">
        <f t="shared" si="119"/>
        <v>6</v>
      </c>
      <c r="O542" s="51">
        <f t="shared" ca="1" si="111"/>
        <v>0.16752032426346178</v>
      </c>
      <c r="P542" s="51">
        <f t="shared" ca="1" si="112"/>
        <v>101.32485647080209</v>
      </c>
      <c r="Q542" s="55">
        <f t="shared" ca="1" si="120"/>
        <v>0.66326838918979547</v>
      </c>
    </row>
    <row r="543" spans="1:17" x14ac:dyDescent="0.25">
      <c r="A543" s="48">
        <v>497</v>
      </c>
      <c r="B543" s="48">
        <f t="shared" ca="1" si="107"/>
        <v>0.97899999999999998</v>
      </c>
      <c r="C543" s="49">
        <f t="shared" si="113"/>
        <v>5</v>
      </c>
      <c r="D543" s="51">
        <f t="shared" ca="1" si="108"/>
        <v>4.244727290325317E-3</v>
      </c>
      <c r="E543" s="51">
        <f t="shared" ca="1" si="114"/>
        <v>100.66583280890262</v>
      </c>
      <c r="F543" s="48">
        <f t="shared" ca="1" si="115"/>
        <v>3</v>
      </c>
      <c r="G543" s="48">
        <f ca="1">COUNTIF($P$47:P553,"&lt;"&amp;E543)</f>
        <v>493</v>
      </c>
      <c r="H543" s="48">
        <f t="shared" ca="1" si="116"/>
        <v>1</v>
      </c>
      <c r="I543" s="48" t="str">
        <f t="shared" ca="1" si="117"/>
        <v>Ocu</v>
      </c>
      <c r="J543" s="52">
        <f t="shared" ca="1" si="109"/>
        <v>4</v>
      </c>
      <c r="K543" s="53">
        <f t="shared" ca="1" si="106"/>
        <v>0.65902366189946804</v>
      </c>
      <c r="L543" s="54">
        <f t="shared" ca="1" si="118"/>
        <v>101.32485647080209</v>
      </c>
      <c r="M543" s="48">
        <f t="shared" ca="1" si="110"/>
        <v>0.38200000000000001</v>
      </c>
      <c r="N543" s="48">
        <f t="shared" si="119"/>
        <v>6</v>
      </c>
      <c r="O543" s="51">
        <f t="shared" ca="1" si="111"/>
        <v>0.16038911172926029</v>
      </c>
      <c r="P543" s="51">
        <f t="shared" ca="1" si="112"/>
        <v>101.48524558253135</v>
      </c>
      <c r="Q543" s="55">
        <f t="shared" ca="1" si="120"/>
        <v>0.81941277362872711</v>
      </c>
    </row>
    <row r="544" spans="1:17" x14ac:dyDescent="0.25">
      <c r="A544" s="48">
        <v>498</v>
      </c>
      <c r="B544" s="48">
        <f t="shared" ca="1" si="107"/>
        <v>0.17399999999999999</v>
      </c>
      <c r="C544" s="49">
        <f t="shared" si="113"/>
        <v>5</v>
      </c>
      <c r="D544" s="51">
        <f t="shared" ca="1" si="108"/>
        <v>0.34973999595352168</v>
      </c>
      <c r="E544" s="51">
        <f t="shared" ca="1" si="114"/>
        <v>101.01557280485615</v>
      </c>
      <c r="F544" s="48">
        <f t="shared" ca="1" si="115"/>
        <v>3</v>
      </c>
      <c r="G544" s="48">
        <f ca="1">COUNTIF($P$47:P554,"&lt;"&amp;E544)</f>
        <v>494</v>
      </c>
      <c r="H544" s="48">
        <f t="shared" ca="1" si="116"/>
        <v>1</v>
      </c>
      <c r="I544" s="48" t="str">
        <f t="shared" ca="1" si="117"/>
        <v>Ocu</v>
      </c>
      <c r="J544" s="52">
        <f t="shared" ca="1" si="109"/>
        <v>4</v>
      </c>
      <c r="K544" s="53">
        <f t="shared" ca="1" si="106"/>
        <v>0.46967277767519988</v>
      </c>
      <c r="L544" s="54">
        <f t="shared" ca="1" si="118"/>
        <v>101.48524558253135</v>
      </c>
      <c r="M544" s="48">
        <f t="shared" ca="1" si="110"/>
        <v>8.8999999999999996E-2</v>
      </c>
      <c r="N544" s="48">
        <f t="shared" si="119"/>
        <v>6</v>
      </c>
      <c r="O544" s="51">
        <f t="shared" ca="1" si="111"/>
        <v>0.40318648487499953</v>
      </c>
      <c r="P544" s="51">
        <f t="shared" ca="1" si="112"/>
        <v>101.88843206740634</v>
      </c>
      <c r="Q544" s="55">
        <f t="shared" ca="1" si="120"/>
        <v>0.87285926255019319</v>
      </c>
    </row>
    <row r="545" spans="1:17" x14ac:dyDescent="0.25">
      <c r="A545" s="48">
        <v>499</v>
      </c>
      <c r="B545" s="48">
        <f t="shared" ca="1" si="107"/>
        <v>0.21</v>
      </c>
      <c r="C545" s="49">
        <f t="shared" si="113"/>
        <v>5</v>
      </c>
      <c r="D545" s="51">
        <f t="shared" ca="1" si="108"/>
        <v>0.31212954965293371</v>
      </c>
      <c r="E545" s="51">
        <f t="shared" ca="1" si="114"/>
        <v>101.32770235450909</v>
      </c>
      <c r="F545" s="48">
        <f t="shared" ca="1" si="115"/>
        <v>2</v>
      </c>
      <c r="G545" s="48">
        <f ca="1">COUNTIF($P$47:P555,"&lt;"&amp;E545)</f>
        <v>496</v>
      </c>
      <c r="H545" s="48">
        <f t="shared" ca="1" si="116"/>
        <v>2</v>
      </c>
      <c r="I545" s="48" t="str">
        <f t="shared" ca="1" si="117"/>
        <v>Ocu</v>
      </c>
      <c r="J545" s="52">
        <f t="shared" ca="1" si="109"/>
        <v>3</v>
      </c>
      <c r="K545" s="53">
        <f t="shared" ca="1" si="106"/>
        <v>0.56072971289725615</v>
      </c>
      <c r="L545" s="54">
        <f t="shared" ca="1" si="118"/>
        <v>101.88843206740634</v>
      </c>
      <c r="M545" s="48">
        <f t="shared" ca="1" si="110"/>
        <v>0.59699999999999998</v>
      </c>
      <c r="N545" s="48">
        <f t="shared" si="119"/>
        <v>6</v>
      </c>
      <c r="O545" s="51">
        <f t="shared" ca="1" si="111"/>
        <v>8.5973027598255827E-2</v>
      </c>
      <c r="P545" s="51">
        <f t="shared" ca="1" si="112"/>
        <v>101.9744050950046</v>
      </c>
      <c r="Q545" s="55">
        <f t="shared" ca="1" si="120"/>
        <v>0.64670274049551324</v>
      </c>
    </row>
    <row r="546" spans="1:17" x14ac:dyDescent="0.25">
      <c r="A546" s="48">
        <v>500</v>
      </c>
      <c r="B546" s="48">
        <f t="shared" ca="1" si="107"/>
        <v>0.52200000000000002</v>
      </c>
      <c r="C546" s="49">
        <f t="shared" si="113"/>
        <v>5</v>
      </c>
      <c r="D546" s="51">
        <f t="shared" ca="1" si="108"/>
        <v>0.13001753821989967</v>
      </c>
      <c r="E546" s="51">
        <f t="shared" ca="1" si="114"/>
        <v>101.45771989272899</v>
      </c>
      <c r="F546" s="48">
        <f t="shared" ca="1" si="115"/>
        <v>3</v>
      </c>
      <c r="G546" s="48">
        <f ca="1">COUNTIF($P$47:P556,"&lt;"&amp;E546)</f>
        <v>496</v>
      </c>
      <c r="H546" s="48">
        <f t="shared" ca="1" si="116"/>
        <v>0</v>
      </c>
      <c r="I546" s="48" t="str">
        <f t="shared" ca="1" si="117"/>
        <v>Ocu</v>
      </c>
      <c r="J546" s="52">
        <f t="shared" ca="1" si="109"/>
        <v>4</v>
      </c>
      <c r="K546" s="53">
        <f t="shared" ca="1" si="106"/>
        <v>0.51668520227561032</v>
      </c>
      <c r="L546" s="54">
        <f t="shared" ca="1" si="118"/>
        <v>101.9744050950046</v>
      </c>
      <c r="M546" s="48">
        <f t="shared" ca="1" si="110"/>
        <v>0.76200000000000001</v>
      </c>
      <c r="N546" s="48">
        <f t="shared" si="119"/>
        <v>6</v>
      </c>
      <c r="O546" s="51">
        <f t="shared" ca="1" si="111"/>
        <v>4.5301453882581805E-2</v>
      </c>
      <c r="P546" s="51">
        <f t="shared" ca="1" si="112"/>
        <v>102.01970654888719</v>
      </c>
      <c r="Q546" s="55">
        <f t="shared" ca="1" si="120"/>
        <v>0.56198665615819721</v>
      </c>
    </row>
  </sheetData>
  <mergeCells count="2">
    <mergeCell ref="B4:J4"/>
    <mergeCell ref="B31:J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DF51-C7D5-4F29-BDC9-1F251569C9E2}">
  <dimension ref="A2:I33"/>
  <sheetViews>
    <sheetView topLeftCell="A18" workbookViewId="0">
      <selection activeCell="G38" sqref="G38"/>
    </sheetView>
  </sheetViews>
  <sheetFormatPr baseColWidth="10" defaultRowHeight="15" x14ac:dyDescent="0.25"/>
  <sheetData>
    <row r="2" spans="1:9" ht="18" x14ac:dyDescent="0.25">
      <c r="B2" s="41" t="s">
        <v>94</v>
      </c>
    </row>
    <row r="4" spans="1:9" ht="48" customHeight="1" x14ac:dyDescent="0.25">
      <c r="B4" s="67" t="s">
        <v>104</v>
      </c>
      <c r="C4" s="67"/>
      <c r="D4" s="67"/>
      <c r="E4" s="67"/>
      <c r="F4" s="67"/>
      <c r="G4" s="67"/>
      <c r="H4" s="67"/>
      <c r="I4" s="67"/>
    </row>
    <row r="5" spans="1:9" ht="18" x14ac:dyDescent="0.25">
      <c r="B5" s="2"/>
    </row>
    <row r="6" spans="1:9" ht="15.75" thickBot="1" x14ac:dyDescent="0.3">
      <c r="A6" s="18"/>
      <c r="B6" s="37" t="s">
        <v>33</v>
      </c>
      <c r="C6" s="18"/>
    </row>
    <row r="7" spans="1:9" ht="15.75" thickBot="1" x14ac:dyDescent="0.3">
      <c r="A7" s="28" t="s">
        <v>61</v>
      </c>
      <c r="B7" s="18" t="s">
        <v>97</v>
      </c>
      <c r="C7" s="18"/>
    </row>
    <row r="8" spans="1:9" ht="15.75" thickBot="1" x14ac:dyDescent="0.3">
      <c r="A8" s="28" t="s">
        <v>39</v>
      </c>
      <c r="B8" s="38" t="s">
        <v>103</v>
      </c>
      <c r="C8" s="16"/>
    </row>
    <row r="9" spans="1:9" x14ac:dyDescent="0.25">
      <c r="A9" s="35"/>
      <c r="B9" s="59" t="s">
        <v>107</v>
      </c>
      <c r="C9" s="16"/>
    </row>
    <row r="10" spans="1:9" x14ac:dyDescent="0.25">
      <c r="B10" s="29"/>
      <c r="C10" s="18"/>
    </row>
    <row r="11" spans="1:9" x14ac:dyDescent="0.25">
      <c r="B11" s="34" t="s">
        <v>51</v>
      </c>
      <c r="C11" s="18"/>
    </row>
    <row r="12" spans="1:9" x14ac:dyDescent="0.25">
      <c r="B12" s="18" t="s">
        <v>52</v>
      </c>
      <c r="C12" s="18" t="s">
        <v>98</v>
      </c>
    </row>
    <row r="13" spans="1:9" x14ac:dyDescent="0.25">
      <c r="B13" s="18" t="s">
        <v>36</v>
      </c>
      <c r="C13" s="18"/>
    </row>
    <row r="14" spans="1:9" x14ac:dyDescent="0.25">
      <c r="B14" s="1"/>
    </row>
    <row r="15" spans="1:9" x14ac:dyDescent="0.25">
      <c r="B15" s="1"/>
      <c r="D15">
        <v>0.2</v>
      </c>
      <c r="F15">
        <v>0.2</v>
      </c>
      <c r="G15">
        <v>0.2</v>
      </c>
    </row>
    <row r="19" spans="4:8" x14ac:dyDescent="0.25">
      <c r="D19">
        <v>0.05</v>
      </c>
      <c r="F19">
        <v>0.05</v>
      </c>
      <c r="G19">
        <v>0.05</v>
      </c>
    </row>
    <row r="21" spans="4:8" x14ac:dyDescent="0.25">
      <c r="G21">
        <f>1/(1+(0.2/0.05)+(POWER(0.2/0.05,2))+(POWER(0.2/0.05,3)))</f>
        <v>1.1764705882352941E-2</v>
      </c>
    </row>
    <row r="26" spans="4:8" x14ac:dyDescent="0.25">
      <c r="F26" t="s">
        <v>99</v>
      </c>
      <c r="G26">
        <f>+G21*(0.2/0.05)</f>
        <v>4.7058823529411764E-2</v>
      </c>
    </row>
    <row r="27" spans="4:8" x14ac:dyDescent="0.25">
      <c r="F27" t="s">
        <v>100</v>
      </c>
      <c r="G27">
        <f>+G26*(0.2/0.05)</f>
        <v>0.18823529411764706</v>
      </c>
    </row>
    <row r="28" spans="4:8" x14ac:dyDescent="0.25">
      <c r="F28" t="s">
        <v>101</v>
      </c>
      <c r="G28">
        <f>+G27*(0.2/0.05)</f>
        <v>0.75294117647058822</v>
      </c>
    </row>
    <row r="30" spans="4:8" x14ac:dyDescent="0.25">
      <c r="F30" t="s">
        <v>102</v>
      </c>
      <c r="G30" s="40">
        <f>(0*G21)+(1*G26)+(2*G27)+(3*G28)</f>
        <v>2.6823529411764704</v>
      </c>
    </row>
    <row r="32" spans="4:8" x14ac:dyDescent="0.25">
      <c r="G32">
        <f>+G30/0.2</f>
        <v>13.411764705882351</v>
      </c>
      <c r="H32" t="s">
        <v>105</v>
      </c>
    </row>
    <row r="33" spans="7:8" x14ac:dyDescent="0.25">
      <c r="G33" s="60">
        <f>+G32*8</f>
        <v>107.29411764705881</v>
      </c>
      <c r="H33" t="s">
        <v>106</v>
      </c>
    </row>
  </sheetData>
  <mergeCells count="1">
    <mergeCell ref="B4: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Punto 1</vt:lpstr>
      <vt:lpstr>Punto 2</vt:lpstr>
      <vt:lpstr>Punto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Benevenia</dc:creator>
  <cp:lastModifiedBy>Florencia Benevenia</cp:lastModifiedBy>
  <dcterms:created xsi:type="dcterms:W3CDTF">2025-06-18T20:46:07Z</dcterms:created>
  <dcterms:modified xsi:type="dcterms:W3CDTF">2025-06-29T23:51:10Z</dcterms:modified>
</cp:coreProperties>
</file>