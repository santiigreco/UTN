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3C40C9BE-284B-480E-A3EF-C9983CB13D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1" sheetId="3" r:id="rId1"/>
    <sheet name="P2" sheetId="1" r:id="rId2"/>
    <sheet name="P3" sheetId="2" r:id="rId3"/>
    <sheet name="P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H9" i="1"/>
  <c r="H8" i="1"/>
  <c r="H7" i="1"/>
  <c r="H6" i="1"/>
  <c r="C15" i="1"/>
  <c r="C14" i="1"/>
  <c r="C13" i="1"/>
  <c r="C12" i="1"/>
  <c r="C11" i="1"/>
  <c r="C10" i="1"/>
  <c r="C9" i="1"/>
  <c r="C8" i="1"/>
  <c r="C7" i="1"/>
  <c r="C6" i="1"/>
  <c r="G3" i="3"/>
  <c r="G2" i="3"/>
  <c r="I11" i="3" s="1"/>
  <c r="E23" i="3"/>
  <c r="E20" i="3" s="1"/>
  <c r="E17" i="3" s="1"/>
  <c r="E15" i="3" s="1"/>
  <c r="E10" i="3"/>
  <c r="E13" i="3" s="1"/>
  <c r="I14" i="3" l="1"/>
  <c r="C11" i="2" a="1"/>
  <c r="C11" i="2" s="1"/>
  <c r="E7" i="2"/>
  <c r="B6" i="2" a="1"/>
  <c r="B6" i="2" s="1"/>
  <c r="D6" i="1"/>
  <c r="F6" i="1" l="1"/>
  <c r="I6" i="1" s="1"/>
  <c r="D7" i="1"/>
  <c r="D8" i="1" l="1"/>
  <c r="F7" i="1"/>
  <c r="E7" i="1" s="1"/>
  <c r="E6" i="1"/>
  <c r="I7" i="1" l="1"/>
  <c r="D9" i="1"/>
  <c r="D10" i="1" s="1"/>
  <c r="F8" i="1"/>
  <c r="I8" i="1"/>
  <c r="D11" i="1" l="1"/>
  <c r="F10" i="1"/>
  <c r="F9" i="1"/>
  <c r="I9" i="1"/>
  <c r="E8" i="1"/>
  <c r="D12" i="1" l="1"/>
  <c r="F11" i="1"/>
  <c r="I10" i="1"/>
  <c r="E9" i="1"/>
  <c r="D13" i="1" l="1"/>
  <c r="F12" i="1"/>
  <c r="I11" i="1"/>
  <c r="E10" i="1"/>
  <c r="D14" i="1" l="1"/>
  <c r="F13" i="1"/>
  <c r="I12" i="1"/>
  <c r="E11" i="1"/>
  <c r="D15" i="1" l="1"/>
  <c r="F15" i="1" s="1"/>
  <c r="F14" i="1"/>
  <c r="I13" i="1"/>
  <c r="E12" i="1"/>
  <c r="I14" i="1" l="1"/>
  <c r="E13" i="1"/>
  <c r="E14" i="1" l="1"/>
  <c r="E15" i="1" l="1"/>
  <c r="E17" i="1" s="1"/>
  <c r="I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<sst xmlns="http://schemas.openxmlformats.org/spreadsheetml/2006/main" count="64" uniqueCount="46">
  <si>
    <t>Nro de Llegada</t>
  </si>
  <si>
    <t>Tiempo de Espera</t>
  </si>
  <si>
    <t>Momento en que es atendido</t>
  </si>
  <si>
    <t>Promedio</t>
  </si>
  <si>
    <t>Salidas</t>
  </si>
  <si>
    <t>Llegadas</t>
  </si>
  <si>
    <t>clientes/hora</t>
  </si>
  <si>
    <t>Llegada (minutos)</t>
  </si>
  <si>
    <t>Momento de Arribo (minutos)</t>
  </si>
  <si>
    <t>Momento de Salida</t>
  </si>
  <si>
    <t>Nro Aleatorio 1</t>
  </si>
  <si>
    <t>Nro Aleatorio 2</t>
  </si>
  <si>
    <t>Tiempo de Atención</t>
  </si>
  <si>
    <t>Voto Elecciones Pasadas</t>
  </si>
  <si>
    <t>Intención de voto actual</t>
  </si>
  <si>
    <t>% vota por Candidato 1</t>
  </si>
  <si>
    <t>% vota por Candidato 2</t>
  </si>
  <si>
    <t>% vota por Candidato 3</t>
  </si>
  <si>
    <t>V1</t>
  </si>
  <si>
    <t>V0</t>
  </si>
  <si>
    <t>Vendedor =</t>
  </si>
  <si>
    <t>Cliente =</t>
  </si>
  <si>
    <t>K = 1</t>
  </si>
  <si>
    <t>K = 2</t>
  </si>
  <si>
    <r>
      <t xml:space="preserve">L = Lc + </t>
    </r>
    <r>
      <rPr>
        <sz val="14"/>
        <color rgb="FF000000"/>
        <rFont val="Symbol"/>
        <family val="1"/>
        <charset val="2"/>
      </rPr>
      <t>r</t>
    </r>
  </si>
  <si>
    <t>ro</t>
  </si>
  <si>
    <t>minutos</t>
  </si>
  <si>
    <t>Actividad</t>
  </si>
  <si>
    <t>Duración</t>
  </si>
  <si>
    <t>Predecesoras</t>
  </si>
  <si>
    <t>A</t>
  </si>
  <si>
    <t>B</t>
  </si>
  <si>
    <t>C</t>
  </si>
  <si>
    <t>D</t>
  </si>
  <si>
    <t>A, B</t>
  </si>
  <si>
    <t>E</t>
  </si>
  <si>
    <t>F</t>
  </si>
  <si>
    <t>G</t>
  </si>
  <si>
    <t>A, E</t>
  </si>
  <si>
    <t>H</t>
  </si>
  <si>
    <t>I</t>
  </si>
  <si>
    <t>C, D</t>
  </si>
  <si>
    <t>Tiempo Final Proyecto 22 semanas</t>
  </si>
  <si>
    <t>sit. 1/1/21</t>
  </si>
  <si>
    <t>sit. 1/1/22</t>
  </si>
  <si>
    <t>sit. 1/1/23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</si>
</sst>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Symbol"/>
      <family val="1"/>
      <charset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5EF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0" xfId="0" applyFill="1"/>
    <xf numFmtId="164" fontId="0" fillId="0" borderId="0" xfId="0" applyNumberFormat="1"/>
    <xf numFmtId="0" fontId="2" fillId="0" borderId="0" xfId="0" applyFont="1" applyAlignment="1">
      <alignment horizontal="center"/>
    </xf>
    <xf numFmtId="2" fontId="5" fillId="0" borderId="0" xfId="0" applyNumberFormat="1" applyFont="1" applyAlignment="1">
      <alignment horizontal="right"/>
    </xf>
    <xf numFmtId="164" fontId="0" fillId="0" borderId="1" xfId="0" applyNumberFormat="1" applyBorder="1"/>
    <xf numFmtId="2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 wrapText="1" readingOrder="1"/>
    </xf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6</xdr:row>
      <xdr:rowOff>76200</xdr:rowOff>
    </xdr:from>
    <xdr:to>
      <xdr:col>4</xdr:col>
      <xdr:colOff>838200</xdr:colOff>
      <xdr:row>7</xdr:row>
      <xdr:rowOff>180975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BA07306-4B1F-EDE3-3F6A-8A8FC92A7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86050" y="1219200"/>
          <a:ext cx="14001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409575</xdr:colOff>
      <xdr:row>8</xdr:row>
      <xdr:rowOff>95250</xdr:rowOff>
    </xdr:from>
    <xdr:to>
      <xdr:col>3</xdr:col>
      <xdr:colOff>762000</xdr:colOff>
      <xdr:row>11</xdr:row>
      <xdr:rowOff>19050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8AD46C3-4408-5C57-C220-EE64DB00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71575" y="1619250"/>
          <a:ext cx="19812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161925</xdr:colOff>
      <xdr:row>18</xdr:row>
      <xdr:rowOff>28575</xdr:rowOff>
    </xdr:from>
    <xdr:to>
      <xdr:col>3</xdr:col>
      <xdr:colOff>628650</xdr:colOff>
      <xdr:row>21</xdr:row>
      <xdr:rowOff>19050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C7AD187D-46BE-BBE4-9733-160879E6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3925" y="3505200"/>
          <a:ext cx="20955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22</xdr:row>
      <xdr:rowOff>0</xdr:rowOff>
    </xdr:from>
    <xdr:to>
      <xdr:col>3</xdr:col>
      <xdr:colOff>714375</xdr:colOff>
      <xdr:row>25</xdr:row>
      <xdr:rowOff>114300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E88FD48A-4743-4AD3-BB85-B6B585A35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225" y="4238625"/>
          <a:ext cx="282892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257175</xdr:colOff>
      <xdr:row>9</xdr:row>
      <xdr:rowOff>114300</xdr:rowOff>
    </xdr:from>
    <xdr:to>
      <xdr:col>8</xdr:col>
      <xdr:colOff>361950</xdr:colOff>
      <xdr:row>12</xdr:row>
      <xdr:rowOff>104775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11EF0D9E-6831-E667-B3FF-C941DB689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133975" y="1828800"/>
          <a:ext cx="16287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57150</xdr:colOff>
      <xdr:row>12</xdr:row>
      <xdr:rowOff>104775</xdr:rowOff>
    </xdr:from>
    <xdr:to>
      <xdr:col>8</xdr:col>
      <xdr:colOff>9525</xdr:colOff>
      <xdr:row>15</xdr:row>
      <xdr:rowOff>95250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1B3B470-FB34-411F-A620-59D6A8A62F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r="56140"/>
        <a:stretch/>
      </xdr:blipFill>
      <xdr:spPr bwMode="auto">
        <a:xfrm>
          <a:off x="5695950" y="2390775"/>
          <a:ext cx="7143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0</xdr:rowOff>
    </xdr:from>
    <xdr:to>
      <xdr:col>4</xdr:col>
      <xdr:colOff>1085850</xdr:colOff>
      <xdr:row>2</xdr:row>
      <xdr:rowOff>9525</xdr:rowOff>
    </xdr:to>
    <xdr:sp macro="" textlink="">
      <xdr:nvSpPr>
        <xdr:cNvPr id="2" name="Corchetes 1">
          <a:extLst>
            <a:ext uri="{FF2B5EF4-FFF2-40B4-BE49-F238E27FC236}">
              <a16:creationId xmlns:a16="http://schemas.microsoft.com/office/drawing/2014/main" id="{583CDB48-8917-E21D-358B-0AFF42EF1129}"/>
            </a:ext>
          </a:extLst>
        </xdr:cNvPr>
        <xdr:cNvSpPr/>
      </xdr:nvSpPr>
      <xdr:spPr>
        <a:xfrm>
          <a:off x="2428875" y="190500"/>
          <a:ext cx="2914650" cy="20002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9</xdr:row>
      <xdr:rowOff>180975</xdr:rowOff>
    </xdr:from>
    <xdr:to>
      <xdr:col>4</xdr:col>
      <xdr:colOff>1019175</xdr:colOff>
      <xdr:row>11</xdr:row>
      <xdr:rowOff>0</xdr:rowOff>
    </xdr:to>
    <xdr:sp macro="" textlink="">
      <xdr:nvSpPr>
        <xdr:cNvPr id="3" name="Corchetes 2">
          <a:extLst>
            <a:ext uri="{FF2B5EF4-FFF2-40B4-BE49-F238E27FC236}">
              <a16:creationId xmlns:a16="http://schemas.microsoft.com/office/drawing/2014/main" id="{82848800-FCA4-407D-AAD7-5F7BC4ED4CD9}"/>
            </a:ext>
          </a:extLst>
        </xdr:cNvPr>
        <xdr:cNvSpPr/>
      </xdr:nvSpPr>
      <xdr:spPr>
        <a:xfrm>
          <a:off x="2362200" y="2085975"/>
          <a:ext cx="2914650" cy="20002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114300</xdr:colOff>
      <xdr:row>6</xdr:row>
      <xdr:rowOff>85725</xdr:rowOff>
    </xdr:from>
    <xdr:to>
      <xdr:col>13</xdr:col>
      <xdr:colOff>152400</xdr:colOff>
      <xdr:row>10</xdr:row>
      <xdr:rowOff>38100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6205D47-7106-5204-D768-DCD48425B89F}"/>
            </a:ext>
          </a:extLst>
        </xdr:cNvPr>
        <xdr:cNvSpPr/>
      </xdr:nvSpPr>
      <xdr:spPr>
        <a:xfrm>
          <a:off x="8496300" y="3838575"/>
          <a:ext cx="800100" cy="714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85725</xdr:colOff>
      <xdr:row>4</xdr:row>
      <xdr:rowOff>80963</xdr:rowOff>
    </xdr:from>
    <xdr:to>
      <xdr:col>12</xdr:col>
      <xdr:colOff>231472</xdr:colOff>
      <xdr:row>6</xdr:row>
      <xdr:rowOff>190343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B3F2890-5F00-C3F5-77E6-8EFBFB932CBE}"/>
            </a:ext>
          </a:extLst>
        </xdr:cNvPr>
        <xdr:cNvCxnSpPr>
          <a:stCxn id="5" idx="6"/>
          <a:endCxn id="2" idx="1"/>
        </xdr:cNvCxnSpPr>
      </xdr:nvCxnSpPr>
      <xdr:spPr>
        <a:xfrm>
          <a:off x="6943725" y="3452813"/>
          <a:ext cx="1669747" cy="490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2</xdr:row>
      <xdr:rowOff>104775</xdr:rowOff>
    </xdr:from>
    <xdr:to>
      <xdr:col>10</xdr:col>
      <xdr:colOff>85725</xdr:colOff>
      <xdr:row>6</xdr:row>
      <xdr:rowOff>57150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89DE19E6-8046-473E-AB85-A8F3BF6DD57A}"/>
            </a:ext>
          </a:extLst>
        </xdr:cNvPr>
        <xdr:cNvSpPr/>
      </xdr:nvSpPr>
      <xdr:spPr>
        <a:xfrm>
          <a:off x="6143625" y="1381125"/>
          <a:ext cx="800100" cy="714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466725</xdr:colOff>
      <xdr:row>1</xdr:row>
      <xdr:rowOff>166688</xdr:rowOff>
    </xdr:from>
    <xdr:to>
      <xdr:col>9</xdr:col>
      <xdr:colOff>47625</xdr:colOff>
      <xdr:row>4</xdr:row>
      <xdr:rowOff>80963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884EAB9F-B28F-4020-BA39-2B1EF4AA7F75}"/>
            </a:ext>
          </a:extLst>
        </xdr:cNvPr>
        <xdr:cNvCxnSpPr>
          <a:stCxn id="60" idx="6"/>
          <a:endCxn id="5" idx="2"/>
        </xdr:cNvCxnSpPr>
      </xdr:nvCxnSpPr>
      <xdr:spPr>
        <a:xfrm>
          <a:off x="5038725" y="2967038"/>
          <a:ext cx="110490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4</xdr:row>
      <xdr:rowOff>80963</xdr:rowOff>
    </xdr:from>
    <xdr:to>
      <xdr:col>9</xdr:col>
      <xdr:colOff>47625</xdr:colOff>
      <xdr:row>6</xdr:row>
      <xdr:rowOff>90488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FB50A66F-B133-46CD-8442-F9F943D672E3}"/>
            </a:ext>
          </a:extLst>
        </xdr:cNvPr>
        <xdr:cNvCxnSpPr>
          <a:stCxn id="33" idx="6"/>
          <a:endCxn id="5" idx="2"/>
        </xdr:cNvCxnSpPr>
      </xdr:nvCxnSpPr>
      <xdr:spPr>
        <a:xfrm flipV="1">
          <a:off x="5048250" y="3452813"/>
          <a:ext cx="1095375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9</xdr:row>
      <xdr:rowOff>123982</xdr:rowOff>
    </xdr:from>
    <xdr:to>
      <xdr:col>12</xdr:col>
      <xdr:colOff>231472</xdr:colOff>
      <xdr:row>16</xdr:row>
      <xdr:rowOff>176213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86755DB8-34B9-4480-AA6A-8D6623DE5B4A}"/>
            </a:ext>
          </a:extLst>
        </xdr:cNvPr>
        <xdr:cNvCxnSpPr>
          <a:stCxn id="15" idx="6"/>
          <a:endCxn id="2" idx="3"/>
        </xdr:cNvCxnSpPr>
      </xdr:nvCxnSpPr>
      <xdr:spPr>
        <a:xfrm flipV="1">
          <a:off x="5162550" y="4448332"/>
          <a:ext cx="3450922" cy="13857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552450</xdr:colOff>
      <xdr:row>15</xdr:row>
      <xdr:rowOff>9525</xdr:rowOff>
    </xdr:from>
    <xdr:to>
      <xdr:col>7</xdr:col>
      <xdr:colOff>590550</xdr:colOff>
      <xdr:row>18</xdr:row>
      <xdr:rowOff>152400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FC8CB588-58FE-443A-8700-F4A8FD07180E}"/>
            </a:ext>
          </a:extLst>
        </xdr:cNvPr>
        <xdr:cNvSpPr/>
      </xdr:nvSpPr>
      <xdr:spPr>
        <a:xfrm>
          <a:off x="4362450" y="5476875"/>
          <a:ext cx="800100" cy="714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180975</xdr:colOff>
      <xdr:row>9</xdr:row>
      <xdr:rowOff>161925</xdr:rowOff>
    </xdr:from>
    <xdr:to>
      <xdr:col>6</xdr:col>
      <xdr:colOff>552450</xdr:colOff>
      <xdr:row>16</xdr:row>
      <xdr:rowOff>176213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E09E8E3A-5CC2-4E92-8368-4B65F64BC2AD}"/>
            </a:ext>
          </a:extLst>
        </xdr:cNvPr>
        <xdr:cNvCxnSpPr>
          <a:cxnSpLocks/>
          <a:stCxn id="89" idx="4"/>
          <a:endCxn id="15" idx="2"/>
        </xdr:cNvCxnSpPr>
      </xdr:nvCxnSpPr>
      <xdr:spPr>
        <a:xfrm>
          <a:off x="2466975" y="4486275"/>
          <a:ext cx="1895475" cy="1347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8</xdr:row>
      <xdr:rowOff>61913</xdr:rowOff>
    </xdr:from>
    <xdr:to>
      <xdr:col>12</xdr:col>
      <xdr:colOff>114300</xdr:colOff>
      <xdr:row>11</xdr:row>
      <xdr:rowOff>23813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970EF6DE-EF21-40C2-8AED-0CBA2F883E10}"/>
            </a:ext>
          </a:extLst>
        </xdr:cNvPr>
        <xdr:cNvCxnSpPr>
          <a:stCxn id="47" idx="6"/>
          <a:endCxn id="2" idx="2"/>
        </xdr:cNvCxnSpPr>
      </xdr:nvCxnSpPr>
      <xdr:spPr>
        <a:xfrm flipV="1">
          <a:off x="6162675" y="4195763"/>
          <a:ext cx="2333625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9</xdr:row>
      <xdr:rowOff>57150</xdr:rowOff>
    </xdr:from>
    <xdr:to>
      <xdr:col>7</xdr:col>
      <xdr:colOff>495300</xdr:colOff>
      <xdr:row>12</xdr:row>
      <xdr:rowOff>180975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653F18C0-C2AB-4932-901B-48743086F9D8}"/>
            </a:ext>
          </a:extLst>
        </xdr:cNvPr>
        <xdr:cNvSpPr/>
      </xdr:nvSpPr>
      <xdr:spPr>
        <a:xfrm>
          <a:off x="4267200" y="4381500"/>
          <a:ext cx="800100" cy="695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581025</xdr:colOff>
      <xdr:row>7</xdr:row>
      <xdr:rowOff>185738</xdr:rowOff>
    </xdr:from>
    <xdr:to>
      <xdr:col>6</xdr:col>
      <xdr:colOff>457200</xdr:colOff>
      <xdr:row>11</xdr:row>
      <xdr:rowOff>23813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A9354423-04F4-4DA3-A59B-E36AB859ECAB}"/>
            </a:ext>
          </a:extLst>
        </xdr:cNvPr>
        <xdr:cNvCxnSpPr>
          <a:stCxn id="89" idx="6"/>
          <a:endCxn id="18" idx="2"/>
        </xdr:cNvCxnSpPr>
      </xdr:nvCxnSpPr>
      <xdr:spPr>
        <a:xfrm>
          <a:off x="2867025" y="4129088"/>
          <a:ext cx="1400175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12</xdr:row>
      <xdr:rowOff>79147</xdr:rowOff>
    </xdr:from>
    <xdr:to>
      <xdr:col>8</xdr:col>
      <xdr:colOff>145747</xdr:colOff>
      <xdr:row>15</xdr:row>
      <xdr:rowOff>9525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DA703D88-650C-4949-A4C7-159AAB1BD561}"/>
            </a:ext>
          </a:extLst>
        </xdr:cNvPr>
        <xdr:cNvCxnSpPr>
          <a:cxnSpLocks/>
          <a:stCxn id="15" idx="0"/>
          <a:endCxn id="47" idx="3"/>
        </xdr:cNvCxnSpPr>
      </xdr:nvCxnSpPr>
      <xdr:spPr>
        <a:xfrm flipV="1">
          <a:off x="4762500" y="4974997"/>
          <a:ext cx="717247" cy="50187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15</xdr:row>
      <xdr:rowOff>42863</xdr:rowOff>
    </xdr:from>
    <xdr:to>
      <xdr:col>11</xdr:col>
      <xdr:colOff>533400</xdr:colOff>
      <xdr:row>16</xdr:row>
      <xdr:rowOff>176213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19F4AA62-0E0A-4056-A9A7-B7DE386C20AA}"/>
            </a:ext>
          </a:extLst>
        </xdr:cNvPr>
        <xdr:cNvCxnSpPr>
          <a:stCxn id="15" idx="6"/>
          <a:endCxn id="82" idx="2"/>
        </xdr:cNvCxnSpPr>
      </xdr:nvCxnSpPr>
      <xdr:spPr>
        <a:xfrm flipV="1">
          <a:off x="5162550" y="5510213"/>
          <a:ext cx="29908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4</xdr:row>
      <xdr:rowOff>123825</xdr:rowOff>
    </xdr:from>
    <xdr:to>
      <xdr:col>7</xdr:col>
      <xdr:colOff>476250</xdr:colOff>
      <xdr:row>8</xdr:row>
      <xdr:rowOff>57150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69B0C7BC-11CC-4A19-9B52-EA2AAD1A4325}"/>
            </a:ext>
          </a:extLst>
        </xdr:cNvPr>
        <xdr:cNvSpPr/>
      </xdr:nvSpPr>
      <xdr:spPr>
        <a:xfrm>
          <a:off x="4248150" y="3495675"/>
          <a:ext cx="800100" cy="695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180975</xdr:colOff>
      <xdr:row>1</xdr:row>
      <xdr:rowOff>166688</xdr:rowOff>
    </xdr:from>
    <xdr:to>
      <xdr:col>6</xdr:col>
      <xdr:colOff>428625</xdr:colOff>
      <xdr:row>6</xdr:row>
      <xdr:rowOff>19050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8EBAB0DA-EECE-4586-806B-C72A803160B0}"/>
            </a:ext>
          </a:extLst>
        </xdr:cNvPr>
        <xdr:cNvCxnSpPr>
          <a:stCxn id="89" idx="0"/>
          <a:endCxn id="60" idx="2"/>
        </xdr:cNvCxnSpPr>
      </xdr:nvCxnSpPr>
      <xdr:spPr>
        <a:xfrm flipV="1">
          <a:off x="2466975" y="2967038"/>
          <a:ext cx="1771650" cy="8048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8</xdr:row>
      <xdr:rowOff>57150</xdr:rowOff>
    </xdr:from>
    <xdr:to>
      <xdr:col>7</xdr:col>
      <xdr:colOff>95250</xdr:colOff>
      <xdr:row>9</xdr:row>
      <xdr:rowOff>57150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B01D0C0B-3D88-4151-B50B-17C222D3C458}"/>
            </a:ext>
          </a:extLst>
        </xdr:cNvPr>
        <xdr:cNvCxnSpPr>
          <a:stCxn id="18" idx="0"/>
          <a:endCxn id="33" idx="4"/>
        </xdr:cNvCxnSpPr>
      </xdr:nvCxnSpPr>
      <xdr:spPr>
        <a:xfrm flipH="1" flipV="1">
          <a:off x="4648200" y="4191000"/>
          <a:ext cx="19050" cy="1905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9</xdr:row>
      <xdr:rowOff>57150</xdr:rowOff>
    </xdr:from>
    <xdr:to>
      <xdr:col>9</xdr:col>
      <xdr:colOff>66675</xdr:colOff>
      <xdr:row>12</xdr:row>
      <xdr:rowOff>180975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6C218A75-956E-4814-B6A7-F3857A6F9638}"/>
            </a:ext>
          </a:extLst>
        </xdr:cNvPr>
        <xdr:cNvSpPr/>
      </xdr:nvSpPr>
      <xdr:spPr>
        <a:xfrm>
          <a:off x="5362575" y="4381500"/>
          <a:ext cx="800100" cy="695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495300</xdr:colOff>
      <xdr:row>11</xdr:row>
      <xdr:rowOff>23813</xdr:rowOff>
    </xdr:from>
    <xdr:to>
      <xdr:col>8</xdr:col>
      <xdr:colOff>28575</xdr:colOff>
      <xdr:row>11</xdr:row>
      <xdr:rowOff>23813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FC981B38-9DD0-48BF-96E7-EB3BAC125FFA}"/>
            </a:ext>
          </a:extLst>
        </xdr:cNvPr>
        <xdr:cNvCxnSpPr>
          <a:stCxn id="18" idx="6"/>
          <a:endCxn id="47" idx="2"/>
        </xdr:cNvCxnSpPr>
      </xdr:nvCxnSpPr>
      <xdr:spPr>
        <a:xfrm>
          <a:off x="5067300" y="4729163"/>
          <a:ext cx="295275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0</xdr:row>
      <xdr:rowOff>9525</xdr:rowOff>
    </xdr:from>
    <xdr:to>
      <xdr:col>7</xdr:col>
      <xdr:colOff>466725</xdr:colOff>
      <xdr:row>3</xdr:row>
      <xdr:rowOff>133350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2640D51-C282-43A7-9F85-5082C743BEF5}"/>
            </a:ext>
          </a:extLst>
        </xdr:cNvPr>
        <xdr:cNvSpPr/>
      </xdr:nvSpPr>
      <xdr:spPr>
        <a:xfrm>
          <a:off x="4238625" y="2619375"/>
          <a:ext cx="800100" cy="695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66675</xdr:colOff>
      <xdr:row>3</xdr:row>
      <xdr:rowOff>133350</xdr:rowOff>
    </xdr:from>
    <xdr:to>
      <xdr:col>7</xdr:col>
      <xdr:colOff>76200</xdr:colOff>
      <xdr:row>4</xdr:row>
      <xdr:rowOff>123825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F1188B2F-8D33-4AF1-8BA9-E01BD3255D2C}"/>
            </a:ext>
          </a:extLst>
        </xdr:cNvPr>
        <xdr:cNvCxnSpPr>
          <a:stCxn id="60" idx="4"/>
          <a:endCxn id="33" idx="0"/>
        </xdr:cNvCxnSpPr>
      </xdr:nvCxnSpPr>
      <xdr:spPr>
        <a:xfrm>
          <a:off x="4638675" y="3314700"/>
          <a:ext cx="9525" cy="1809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13</xdr:row>
      <xdr:rowOff>66675</xdr:rowOff>
    </xdr:from>
    <xdr:to>
      <xdr:col>12</xdr:col>
      <xdr:colOff>571500</xdr:colOff>
      <xdr:row>17</xdr:row>
      <xdr:rowOff>19050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0C4A7E96-8E01-4297-908D-E2E64536E4CF}"/>
            </a:ext>
          </a:extLst>
        </xdr:cNvPr>
        <xdr:cNvSpPr/>
      </xdr:nvSpPr>
      <xdr:spPr>
        <a:xfrm>
          <a:off x="8153400" y="5153025"/>
          <a:ext cx="800100" cy="714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171450</xdr:colOff>
      <xdr:row>10</xdr:row>
      <xdr:rowOff>38100</xdr:rowOff>
    </xdr:from>
    <xdr:to>
      <xdr:col>12</xdr:col>
      <xdr:colOff>514350</xdr:colOff>
      <xdr:row>13</xdr:row>
      <xdr:rowOff>66675</xdr:rowOff>
    </xdr:to>
    <xdr:cxnSp macro="">
      <xdr:nvCxnSpPr>
        <xdr:cNvPr id="85" name="Conector recto de flecha 84">
          <a:extLst>
            <a:ext uri="{FF2B5EF4-FFF2-40B4-BE49-F238E27FC236}">
              <a16:creationId xmlns:a16="http://schemas.microsoft.com/office/drawing/2014/main" id="{E70CDBFE-6D8C-43E2-B310-93ADDB692075}"/>
            </a:ext>
          </a:extLst>
        </xdr:cNvPr>
        <xdr:cNvCxnSpPr>
          <a:cxnSpLocks/>
          <a:stCxn id="82" idx="0"/>
          <a:endCxn id="2" idx="4"/>
        </xdr:cNvCxnSpPr>
      </xdr:nvCxnSpPr>
      <xdr:spPr>
        <a:xfrm flipV="1">
          <a:off x="9315450" y="2076450"/>
          <a:ext cx="342900" cy="6000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542925</xdr:colOff>
      <xdr:row>6</xdr:row>
      <xdr:rowOff>19050</xdr:rowOff>
    </xdr:from>
    <xdr:to>
      <xdr:col>4</xdr:col>
      <xdr:colOff>581025</xdr:colOff>
      <xdr:row>9</xdr:row>
      <xdr:rowOff>161925</xdr:rowOff>
    </xdr:to>
    <xdr:sp macro="" textlink="">
      <xdr:nvSpPr>
        <xdr:cNvPr id="89" name="Elipse 88">
          <a:extLst>
            <a:ext uri="{FF2B5EF4-FFF2-40B4-BE49-F238E27FC236}">
              <a16:creationId xmlns:a16="http://schemas.microsoft.com/office/drawing/2014/main" id="{47A81C4D-C9BF-4BFA-99AF-2DC47A6AABED}"/>
            </a:ext>
          </a:extLst>
        </xdr:cNvPr>
        <xdr:cNvSpPr/>
      </xdr:nvSpPr>
      <xdr:spPr>
        <a:xfrm>
          <a:off x="2066925" y="3771900"/>
          <a:ext cx="800100" cy="714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4"/>
  <sheetViews>
    <sheetView showGridLines="0" tabSelected="1" workbookViewId="0">
      <selection activeCell="C2" sqref="C2"/>
    </sheetView>
  </sheetViews>
  <sheetFormatPr baseColWidth="10" defaultRowHeight="15" x14ac:dyDescent="0.25"/>
  <cols>
    <col min="3" max="3" width="13" bestFit="1" customWidth="1"/>
    <col min="4" max="4" width="12.85546875" bestFit="1" customWidth="1"/>
    <col min="5" max="5" width="13" bestFit="1" customWidth="1"/>
  </cols>
  <sheetData>
    <row r="1" spans="2:10" x14ac:dyDescent="0.25">
      <c r="F1" s="24" t="s">
        <v>25</v>
      </c>
      <c r="G1" s="24"/>
    </row>
    <row r="2" spans="2:10" x14ac:dyDescent="0.25">
      <c r="B2" t="s">
        <v>5</v>
      </c>
      <c r="C2" s="11"/>
      <c r="D2" t="s">
        <v>6</v>
      </c>
      <c r="F2" s="7">
        <v>1</v>
      </c>
      <c r="G2" s="7">
        <f>+C2/C3</f>
        <v>0</v>
      </c>
    </row>
    <row r="3" spans="2:10" x14ac:dyDescent="0.25">
      <c r="B3" t="s">
        <v>4</v>
      </c>
      <c r="C3">
        <v>10</v>
      </c>
      <c r="D3" t="s">
        <v>6</v>
      </c>
      <c r="F3" s="7">
        <v>2</v>
      </c>
      <c r="G3" s="7">
        <f>+C2/(C3*2)</f>
        <v>0</v>
      </c>
    </row>
    <row r="5" spans="2:10" x14ac:dyDescent="0.25">
      <c r="B5" t="s">
        <v>20</v>
      </c>
      <c r="C5" s="12">
        <v>150000</v>
      </c>
    </row>
    <row r="6" spans="2:10" x14ac:dyDescent="0.25">
      <c r="B6" t="s">
        <v>21</v>
      </c>
      <c r="C6" s="12">
        <v>50000</v>
      </c>
    </row>
    <row r="10" spans="2:10" x14ac:dyDescent="0.25">
      <c r="E10" s="13">
        <f>+C2/(C3-C2)</f>
        <v>0</v>
      </c>
    </row>
    <row r="11" spans="2:10" x14ac:dyDescent="0.25">
      <c r="I11" s="3">
        <f>60*(G2/(C3*(1-G2)))</f>
        <v>0</v>
      </c>
      <c r="J11" t="s">
        <v>26</v>
      </c>
    </row>
    <row r="12" spans="2:10" x14ac:dyDescent="0.25">
      <c r="I12" s="3"/>
    </row>
    <row r="13" spans="2:10" x14ac:dyDescent="0.25">
      <c r="D13" s="1" t="s">
        <v>22</v>
      </c>
      <c r="E13" s="15">
        <f>+(E10*C6)+C5</f>
        <v>150000</v>
      </c>
      <c r="I13" s="3"/>
    </row>
    <row r="14" spans="2:10" x14ac:dyDescent="0.25">
      <c r="D14" s="5"/>
      <c r="I14" s="3" t="e">
        <f>60*(E20/C2)</f>
        <v>#DIV/0!</v>
      </c>
      <c r="J14" t="s">
        <v>26</v>
      </c>
    </row>
    <row r="15" spans="2:10" x14ac:dyDescent="0.25">
      <c r="D15" s="1" t="s">
        <v>23</v>
      </c>
      <c r="E15" s="15">
        <f>+(E17*C6)+(2*C5)</f>
        <v>300000</v>
      </c>
    </row>
    <row r="16" spans="2:10" x14ac:dyDescent="0.25">
      <c r="E16" s="14"/>
    </row>
    <row r="17" spans="3:6" ht="18.75" x14ac:dyDescent="0.3">
      <c r="C17" s="18" t="s">
        <v>24</v>
      </c>
      <c r="E17" s="16">
        <f>+E20+(C2/(C3*2))</f>
        <v>0</v>
      </c>
    </row>
    <row r="18" spans="3:6" x14ac:dyDescent="0.25">
      <c r="E18" s="16"/>
    </row>
    <row r="19" spans="3:6" x14ac:dyDescent="0.25">
      <c r="E19" s="16"/>
    </row>
    <row r="20" spans="3:6" x14ac:dyDescent="0.25">
      <c r="E20" s="16">
        <f>(((C2/C3)^2*C2*C3)/(2*C3-C2)^2)*E23</f>
        <v>0</v>
      </c>
    </row>
    <row r="21" spans="3:6" x14ac:dyDescent="0.25">
      <c r="E21" s="17"/>
    </row>
    <row r="22" spans="3:6" x14ac:dyDescent="0.25">
      <c r="E22" s="17"/>
      <c r="F22" s="14"/>
    </row>
    <row r="23" spans="3:6" x14ac:dyDescent="0.25">
      <c r="E23" s="16">
        <f>1/(1+(C2/C3)+((C2/C3)^2)/2*(2*C3/(2*C3-C2)))</f>
        <v>1</v>
      </c>
      <c r="F23" s="14"/>
    </row>
    <row r="24" spans="3:6" x14ac:dyDescent="0.25">
      <c r="F24" s="14"/>
    </row>
  </sheetData>
  <mergeCells count="1">
    <mergeCell ref="F1:G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"/>
  <sheetViews>
    <sheetView showGridLines="0" zoomScale="110" zoomScaleNormal="110" workbookViewId="0">
      <selection activeCell="B2" sqref="B2"/>
    </sheetView>
  </sheetViews>
  <sheetFormatPr baseColWidth="10" defaultColWidth="11.5703125" defaultRowHeight="15" x14ac:dyDescent="0.25"/>
  <cols>
    <col min="1" max="1" width="14.140625" bestFit="1" customWidth="1"/>
    <col min="2" max="2" width="14.42578125" bestFit="1" customWidth="1"/>
    <col min="3" max="3" width="17" bestFit="1" customWidth="1"/>
    <col min="4" max="4" width="28" bestFit="1" customWidth="1"/>
    <col min="5" max="5" width="16.85546875" bestFit="1" customWidth="1"/>
    <col min="6" max="6" width="27.5703125" bestFit="1" customWidth="1"/>
    <col min="7" max="7" width="14.42578125" bestFit="1" customWidth="1"/>
    <col min="8" max="8" width="19" bestFit="1" customWidth="1"/>
    <col min="9" max="9" width="18.28515625" bestFit="1" customWidth="1"/>
  </cols>
  <sheetData>
    <row r="2" spans="1:9" x14ac:dyDescent="0.25">
      <c r="A2" t="s">
        <v>5</v>
      </c>
      <c r="B2" s="11"/>
      <c r="C2" t="s">
        <v>6</v>
      </c>
    </row>
    <row r="3" spans="1:9" x14ac:dyDescent="0.25">
      <c r="A3" t="s">
        <v>4</v>
      </c>
      <c r="B3">
        <v>10</v>
      </c>
      <c r="C3" t="s">
        <v>6</v>
      </c>
    </row>
    <row r="5" spans="1:9" x14ac:dyDescent="0.25">
      <c r="A5" s="1" t="s">
        <v>0</v>
      </c>
      <c r="B5" s="1" t="s">
        <v>10</v>
      </c>
      <c r="C5" s="2" t="s">
        <v>7</v>
      </c>
      <c r="D5" s="2" t="s">
        <v>8</v>
      </c>
      <c r="E5" s="2" t="s">
        <v>1</v>
      </c>
      <c r="F5" s="2" t="s">
        <v>2</v>
      </c>
      <c r="G5" s="1" t="s">
        <v>11</v>
      </c>
      <c r="H5" s="1" t="s">
        <v>12</v>
      </c>
      <c r="I5" s="2" t="s">
        <v>9</v>
      </c>
    </row>
    <row r="6" spans="1:9" x14ac:dyDescent="0.25">
      <c r="A6" s="1">
        <v>1</v>
      </c>
      <c r="B6" s="1">
        <v>0.7</v>
      </c>
      <c r="C6" s="1" t="e">
        <f>+(1/$B$2)*(LN(1/B6))*60</f>
        <v>#DIV/0!</v>
      </c>
      <c r="D6" s="1" t="e">
        <f>+C6</f>
        <v>#DIV/0!</v>
      </c>
      <c r="E6" s="1" t="e">
        <f t="shared" ref="E6:E15" si="0">+F6-D6</f>
        <v>#DIV/0!</v>
      </c>
      <c r="F6" s="1" t="e">
        <f>+D6</f>
        <v>#DIV/0!</v>
      </c>
      <c r="G6" s="1">
        <v>0.05</v>
      </c>
      <c r="H6" s="19">
        <f>+(1/$B$3)*(LN(1/G6))*60</f>
        <v>17.974393641323946</v>
      </c>
      <c r="I6" s="1" t="e">
        <f>+H6+F6</f>
        <v>#DIV/0!</v>
      </c>
    </row>
    <row r="7" spans="1:9" x14ac:dyDescent="0.25">
      <c r="A7" s="1">
        <v>2</v>
      </c>
      <c r="B7" s="1">
        <v>0.5</v>
      </c>
      <c r="C7" s="19" t="e">
        <f t="shared" ref="C7:C15" si="1">+(1/$B$2)*(LN(1/B7))*60</f>
        <v>#DIV/0!</v>
      </c>
      <c r="D7" s="1" t="e">
        <f>+D6+C7</f>
        <v>#DIV/0!</v>
      </c>
      <c r="E7" s="1" t="e">
        <f>+F7-D7</f>
        <v>#DIV/0!</v>
      </c>
      <c r="F7" s="1" t="e">
        <f>+MAX(D7,I6)</f>
        <v>#DIV/0!</v>
      </c>
      <c r="G7" s="1"/>
      <c r="H7" s="19" t="e">
        <f t="shared" ref="H7:H15" si="2">+(1/$B$3)*(LN(1/G7))*60</f>
        <v>#DIV/0!</v>
      </c>
      <c r="I7" s="1" t="e">
        <f t="shared" ref="I7:I15" si="3">+H7+F7</f>
        <v>#DIV/0!</v>
      </c>
    </row>
    <row r="8" spans="1:9" x14ac:dyDescent="0.25">
      <c r="A8" s="1">
        <v>3</v>
      </c>
      <c r="B8" s="1">
        <v>0.1</v>
      </c>
      <c r="C8" s="19" t="e">
        <f t="shared" si="1"/>
        <v>#DIV/0!</v>
      </c>
      <c r="D8" s="1" t="e">
        <f t="shared" ref="D8:D15" si="4">+D7+C8</f>
        <v>#DIV/0!</v>
      </c>
      <c r="E8" s="1" t="e">
        <f t="shared" si="0"/>
        <v>#DIV/0!</v>
      </c>
      <c r="F8" s="23" t="e">
        <f t="shared" ref="F8:F15" si="5">+MAX(D8,I7)</f>
        <v>#DIV/0!</v>
      </c>
      <c r="G8" s="1"/>
      <c r="H8" s="19" t="e">
        <f t="shared" si="2"/>
        <v>#DIV/0!</v>
      </c>
      <c r="I8" s="1" t="e">
        <f t="shared" si="3"/>
        <v>#DIV/0!</v>
      </c>
    </row>
    <row r="9" spans="1:9" x14ac:dyDescent="0.25">
      <c r="A9" s="1">
        <v>4</v>
      </c>
      <c r="B9" s="1">
        <v>0.7</v>
      </c>
      <c r="C9" s="19" t="e">
        <f t="shared" si="1"/>
        <v>#DIV/0!</v>
      </c>
      <c r="D9" s="1" t="e">
        <f t="shared" si="4"/>
        <v>#DIV/0!</v>
      </c>
      <c r="E9" s="1" t="e">
        <f t="shared" si="0"/>
        <v>#DIV/0!</v>
      </c>
      <c r="F9" s="23" t="e">
        <f t="shared" si="5"/>
        <v>#DIV/0!</v>
      </c>
      <c r="G9" s="1"/>
      <c r="H9" s="19" t="e">
        <f t="shared" si="2"/>
        <v>#DIV/0!</v>
      </c>
      <c r="I9" s="1" t="e">
        <f t="shared" si="3"/>
        <v>#DIV/0!</v>
      </c>
    </row>
    <row r="10" spans="1:9" x14ac:dyDescent="0.25">
      <c r="A10" s="1">
        <v>5</v>
      </c>
      <c r="B10" s="1"/>
      <c r="C10" s="19" t="e">
        <f t="shared" si="1"/>
        <v>#DIV/0!</v>
      </c>
      <c r="D10" s="1" t="e">
        <f t="shared" si="4"/>
        <v>#DIV/0!</v>
      </c>
      <c r="E10" s="1" t="e">
        <f t="shared" si="0"/>
        <v>#DIV/0!</v>
      </c>
      <c r="F10" s="23" t="e">
        <f t="shared" si="5"/>
        <v>#DIV/0!</v>
      </c>
      <c r="G10" s="1"/>
      <c r="H10" s="19" t="e">
        <f t="shared" si="2"/>
        <v>#DIV/0!</v>
      </c>
      <c r="I10" s="1" t="e">
        <f t="shared" si="3"/>
        <v>#DIV/0!</v>
      </c>
    </row>
    <row r="11" spans="1:9" x14ac:dyDescent="0.25">
      <c r="A11" s="1">
        <v>6</v>
      </c>
      <c r="B11" s="1"/>
      <c r="C11" s="19" t="e">
        <f t="shared" si="1"/>
        <v>#DIV/0!</v>
      </c>
      <c r="D11" s="1" t="e">
        <f t="shared" si="4"/>
        <v>#DIV/0!</v>
      </c>
      <c r="E11" s="1" t="e">
        <f t="shared" si="0"/>
        <v>#DIV/0!</v>
      </c>
      <c r="F11" s="23" t="e">
        <f t="shared" si="5"/>
        <v>#DIV/0!</v>
      </c>
      <c r="G11" s="1"/>
      <c r="H11" s="19" t="e">
        <f t="shared" si="2"/>
        <v>#DIV/0!</v>
      </c>
      <c r="I11" s="1" t="e">
        <f t="shared" si="3"/>
        <v>#DIV/0!</v>
      </c>
    </row>
    <row r="12" spans="1:9" x14ac:dyDescent="0.25">
      <c r="A12" s="1">
        <v>7</v>
      </c>
      <c r="B12" s="1"/>
      <c r="C12" s="19" t="e">
        <f t="shared" si="1"/>
        <v>#DIV/0!</v>
      </c>
      <c r="D12" s="1" t="e">
        <f t="shared" si="4"/>
        <v>#DIV/0!</v>
      </c>
      <c r="E12" s="1" t="e">
        <f t="shared" si="0"/>
        <v>#DIV/0!</v>
      </c>
      <c r="F12" s="23" t="e">
        <f t="shared" si="5"/>
        <v>#DIV/0!</v>
      </c>
      <c r="G12" s="1"/>
      <c r="H12" s="19" t="e">
        <f t="shared" si="2"/>
        <v>#DIV/0!</v>
      </c>
      <c r="I12" s="1" t="e">
        <f t="shared" si="3"/>
        <v>#DIV/0!</v>
      </c>
    </row>
    <row r="13" spans="1:9" x14ac:dyDescent="0.25">
      <c r="A13" s="1">
        <v>8</v>
      </c>
      <c r="B13" s="1"/>
      <c r="C13" s="19" t="e">
        <f t="shared" si="1"/>
        <v>#DIV/0!</v>
      </c>
      <c r="D13" s="1" t="e">
        <f t="shared" si="4"/>
        <v>#DIV/0!</v>
      </c>
      <c r="E13" s="1" t="e">
        <f t="shared" si="0"/>
        <v>#DIV/0!</v>
      </c>
      <c r="F13" s="23" t="e">
        <f t="shared" si="5"/>
        <v>#DIV/0!</v>
      </c>
      <c r="G13" s="1"/>
      <c r="H13" s="19" t="e">
        <f t="shared" si="2"/>
        <v>#DIV/0!</v>
      </c>
      <c r="I13" s="1" t="e">
        <f t="shared" si="3"/>
        <v>#DIV/0!</v>
      </c>
    </row>
    <row r="14" spans="1:9" x14ac:dyDescent="0.25">
      <c r="A14" s="1">
        <v>9</v>
      </c>
      <c r="B14" s="1"/>
      <c r="C14" s="19" t="e">
        <f t="shared" si="1"/>
        <v>#DIV/0!</v>
      </c>
      <c r="D14" s="1" t="e">
        <f t="shared" si="4"/>
        <v>#DIV/0!</v>
      </c>
      <c r="E14" s="1" t="e">
        <f t="shared" si="0"/>
        <v>#DIV/0!</v>
      </c>
      <c r="F14" s="23" t="e">
        <f t="shared" si="5"/>
        <v>#DIV/0!</v>
      </c>
      <c r="G14" s="1"/>
      <c r="H14" s="19" t="e">
        <f t="shared" si="2"/>
        <v>#DIV/0!</v>
      </c>
      <c r="I14" s="1" t="e">
        <f t="shared" si="3"/>
        <v>#DIV/0!</v>
      </c>
    </row>
    <row r="15" spans="1:9" x14ac:dyDescent="0.25">
      <c r="A15" s="1">
        <v>10</v>
      </c>
      <c r="B15" s="1"/>
      <c r="C15" s="19" t="e">
        <f t="shared" si="1"/>
        <v>#DIV/0!</v>
      </c>
      <c r="D15" s="1" t="e">
        <f t="shared" si="4"/>
        <v>#DIV/0!</v>
      </c>
      <c r="E15" s="1" t="e">
        <f t="shared" si="0"/>
        <v>#DIV/0!</v>
      </c>
      <c r="F15" s="23" t="e">
        <f t="shared" si="5"/>
        <v>#DIV/0!</v>
      </c>
      <c r="G15" s="1"/>
      <c r="H15" s="19" t="e">
        <f t="shared" si="2"/>
        <v>#DIV/0!</v>
      </c>
      <c r="I15" s="1" t="e">
        <f t="shared" si="3"/>
        <v>#DIV/0!</v>
      </c>
    </row>
    <row r="17" spans="4:5" x14ac:dyDescent="0.25">
      <c r="D17" s="3" t="s">
        <v>3</v>
      </c>
      <c r="E17" s="4" t="e">
        <f>+AVERAGE(E6:E15)</f>
        <v>#DIV/0!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1"/>
  <sheetViews>
    <sheetView showGridLines="0" workbookViewId="0"/>
  </sheetViews>
  <sheetFormatPr baseColWidth="10" defaultRowHeight="15" x14ac:dyDescent="0.25"/>
  <cols>
    <col min="2" max="2" width="22.7109375" bestFit="1" customWidth="1"/>
    <col min="3" max="3" width="15.140625" customWidth="1"/>
    <col min="4" max="4" width="14.5703125" customWidth="1"/>
    <col min="5" max="5" width="17.140625" customWidth="1"/>
  </cols>
  <sheetData>
    <row r="2" spans="2:13" x14ac:dyDescent="0.25">
      <c r="B2" s="3" t="s">
        <v>19</v>
      </c>
      <c r="C2" s="5">
        <v>0.45</v>
      </c>
      <c r="D2" s="5">
        <v>0.22</v>
      </c>
      <c r="E2" s="5">
        <v>0.33</v>
      </c>
    </row>
    <row r="4" spans="2:13" x14ac:dyDescent="0.25">
      <c r="B4" s="25" t="s">
        <v>13</v>
      </c>
      <c r="C4" s="24" t="s">
        <v>14</v>
      </c>
      <c r="D4" s="24"/>
      <c r="E4" s="24"/>
    </row>
    <row r="5" spans="2:13" ht="30" x14ac:dyDescent="0.25">
      <c r="B5" s="25"/>
      <c r="C5" s="6" t="s">
        <v>15</v>
      </c>
      <c r="D5" s="6" t="s">
        <v>16</v>
      </c>
      <c r="E5" s="6" t="s">
        <v>17</v>
      </c>
    </row>
    <row r="6" spans="2:13" x14ac:dyDescent="0.25">
      <c r="B6" s="1" t="str" cm="1">
        <f t="array" ref="B6:B8">+TRANSPOSE(C5:E5)</f>
        <v>% vota por Candidato 1</v>
      </c>
      <c r="C6" s="1">
        <v>0.6</v>
      </c>
      <c r="D6" s="1">
        <v>0.15</v>
      </c>
      <c r="E6" s="1">
        <v>0.25</v>
      </c>
      <c r="G6" t="s">
        <v>43</v>
      </c>
      <c r="H6" s="26">
        <v>44561</v>
      </c>
      <c r="I6">
        <v>1</v>
      </c>
      <c r="K6">
        <v>2021</v>
      </c>
      <c r="L6">
        <v>2022</v>
      </c>
      <c r="M6">
        <v>1</v>
      </c>
    </row>
    <row r="7" spans="2:13" x14ac:dyDescent="0.25">
      <c r="B7" s="1" t="str">
        <v>% vota por Candidato 2</v>
      </c>
      <c r="C7" s="1">
        <v>0.2</v>
      </c>
      <c r="D7" s="10"/>
      <c r="E7" s="8">
        <f>0.8-D7</f>
        <v>0.8</v>
      </c>
      <c r="G7" t="s">
        <v>44</v>
      </c>
      <c r="H7" s="26">
        <v>44926</v>
      </c>
      <c r="I7">
        <v>2</v>
      </c>
      <c r="K7">
        <v>2022</v>
      </c>
      <c r="L7">
        <v>2023</v>
      </c>
      <c r="M7">
        <v>2</v>
      </c>
    </row>
    <row r="8" spans="2:13" x14ac:dyDescent="0.25">
      <c r="B8" s="1" t="str">
        <v>% vota por Candidato 3</v>
      </c>
      <c r="C8" s="1">
        <v>0.1</v>
      </c>
      <c r="D8" s="1">
        <v>0.1</v>
      </c>
      <c r="E8" s="1">
        <v>0.8</v>
      </c>
      <c r="G8" t="s">
        <v>45</v>
      </c>
      <c r="H8" s="26">
        <v>45291</v>
      </c>
      <c r="I8">
        <v>3</v>
      </c>
    </row>
    <row r="10" spans="2:13" x14ac:dyDescent="0.25">
      <c r="C10" s="9"/>
    </row>
    <row r="11" spans="2:13" x14ac:dyDescent="0.25">
      <c r="B11" s="3" t="s">
        <v>18</v>
      </c>
      <c r="C11" s="5" t="e" cm="1">
        <f t="array" ref="C11">+MMULT(C2:E2,C6:E8)</f>
        <v>#VALUE!</v>
      </c>
      <c r="D11" s="5"/>
      <c r="E11" s="5"/>
    </row>
  </sheetData>
  <mergeCells count="2">
    <mergeCell ref="B4:B5"/>
    <mergeCell ref="C4:E4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5B89-16B7-4E24-862C-7D33296D8E89}">
  <dimension ref="A1:M20"/>
  <sheetViews>
    <sheetView showGridLines="0" workbookViewId="0">
      <selection activeCell="J9" sqref="J9"/>
    </sheetView>
  </sheetViews>
  <sheetFormatPr baseColWidth="10" defaultRowHeight="15" x14ac:dyDescent="0.25"/>
  <sheetData>
    <row r="1" spans="1:13" ht="25.5" x14ac:dyDescent="0.25">
      <c r="A1" s="20" t="s">
        <v>27</v>
      </c>
      <c r="B1" s="20" t="s">
        <v>28</v>
      </c>
      <c r="C1" s="20" t="s">
        <v>29</v>
      </c>
    </row>
    <row r="2" spans="1:13" x14ac:dyDescent="0.25">
      <c r="A2" s="20" t="s">
        <v>30</v>
      </c>
      <c r="B2" s="21">
        <v>10</v>
      </c>
      <c r="C2" s="21"/>
    </row>
    <row r="3" spans="1:13" x14ac:dyDescent="0.25">
      <c r="A3" s="20" t="s">
        <v>31</v>
      </c>
      <c r="B3" s="21">
        <v>8</v>
      </c>
      <c r="C3" s="21"/>
      <c r="I3" t="s">
        <v>32</v>
      </c>
    </row>
    <row r="4" spans="1:13" x14ac:dyDescent="0.25">
      <c r="A4" s="20" t="s">
        <v>32</v>
      </c>
      <c r="B4" s="21">
        <v>5</v>
      </c>
      <c r="C4" s="21" t="s">
        <v>31</v>
      </c>
      <c r="K4" s="5"/>
    </row>
    <row r="5" spans="1:13" x14ac:dyDescent="0.25">
      <c r="A5" s="20" t="s">
        <v>33</v>
      </c>
      <c r="B5" s="21">
        <v>4</v>
      </c>
      <c r="C5" s="21" t="s">
        <v>34</v>
      </c>
      <c r="E5" s="5" t="s">
        <v>31</v>
      </c>
    </row>
    <row r="6" spans="1:13" x14ac:dyDescent="0.25">
      <c r="A6" s="20" t="s">
        <v>35</v>
      </c>
      <c r="B6" s="21">
        <v>12</v>
      </c>
      <c r="C6" s="21"/>
      <c r="L6" s="5" t="s">
        <v>40</v>
      </c>
    </row>
    <row r="7" spans="1:13" x14ac:dyDescent="0.25">
      <c r="A7" s="20" t="s">
        <v>36</v>
      </c>
      <c r="B7" s="21">
        <v>6</v>
      </c>
      <c r="C7" s="21" t="s">
        <v>35</v>
      </c>
      <c r="I7" t="s">
        <v>33</v>
      </c>
    </row>
    <row r="8" spans="1:13" x14ac:dyDescent="0.25">
      <c r="A8" s="20" t="s">
        <v>37</v>
      </c>
      <c r="B8" s="21">
        <v>7</v>
      </c>
      <c r="C8" s="21" t="s">
        <v>38</v>
      </c>
    </row>
    <row r="9" spans="1:13" x14ac:dyDescent="0.25">
      <c r="A9" s="20" t="s">
        <v>39</v>
      </c>
      <c r="B9" s="21">
        <v>9</v>
      </c>
      <c r="C9" s="21" t="s">
        <v>35</v>
      </c>
      <c r="F9" s="5" t="s">
        <v>30</v>
      </c>
      <c r="J9" s="5"/>
    </row>
    <row r="10" spans="1:13" x14ac:dyDescent="0.25">
      <c r="A10" s="20" t="s">
        <v>40</v>
      </c>
      <c r="B10" s="21">
        <v>8</v>
      </c>
      <c r="C10" s="21" t="s">
        <v>41</v>
      </c>
      <c r="K10" s="5"/>
      <c r="L10" t="s">
        <v>37</v>
      </c>
    </row>
    <row r="11" spans="1:13" x14ac:dyDescent="0.25">
      <c r="F11" s="5"/>
      <c r="M11" t="s">
        <v>39</v>
      </c>
    </row>
    <row r="13" spans="1:13" x14ac:dyDescent="0.25">
      <c r="A13" s="22" t="s">
        <v>42</v>
      </c>
    </row>
    <row r="15" spans="1:13" x14ac:dyDescent="0.25">
      <c r="L15" t="s">
        <v>36</v>
      </c>
    </row>
    <row r="16" spans="1:13" x14ac:dyDescent="0.25">
      <c r="G16" t="s">
        <v>35</v>
      </c>
      <c r="I16" s="5"/>
    </row>
    <row r="17" spans="9:9" x14ac:dyDescent="0.25">
      <c r="I17" s="3"/>
    </row>
    <row r="20" spans="9:9" x14ac:dyDescent="0.25">
      <c r="I20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2022-07-02T13:28:56Z</dcterms:modified>
</cp:coreProperties>
</file>