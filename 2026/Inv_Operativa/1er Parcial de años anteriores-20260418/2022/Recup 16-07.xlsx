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fa_me\Downloads\"/>
    </mc:Choice>
  </mc:AlternateContent>
  <xr:revisionPtr revIDLastSave="0" documentId="13_ncr:1_{9C313917-5ED9-41E9-A33E-9C71400C5F4B}" xr6:coauthVersionLast="47" xr6:coauthVersionMax="47" xr10:uidLastSave="{00000000-0000-0000-0000-000000000000}"/>
  <bookViews>
    <workbookView xWindow="-120" yWindow="-120" windowWidth="20730" windowHeight="11040" xr2:uid="{6140D69F-1546-4A75-9F48-36DE82C65610}"/>
  </bookViews>
  <sheets>
    <sheet name="Program Proy" sheetId="1" r:id="rId1"/>
    <sheet name="Markov" sheetId="2" r:id="rId2"/>
    <sheet name="Filas de espera" sheetId="3" r:id="rId3"/>
    <sheet name="Simulacio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4" i="4" l="1"/>
  <c r="B3" i="3"/>
  <c r="B6" i="3" s="1"/>
  <c r="B13" i="3"/>
  <c r="B5" i="4" l="1"/>
  <c r="B14" i="3"/>
  <c r="B16" i="3" s="1"/>
  <c r="B17" i="3" s="1"/>
  <c r="B19" i="3" s="1"/>
  <c r="B10" i="3"/>
  <c r="B4" i="3"/>
  <c r="B5" i="3" s="1"/>
  <c r="B7" i="3"/>
  <c r="B20" i="3" l="1"/>
  <c r="D20" i="3" s="1"/>
  <c r="D19" i="3"/>
  <c r="B21" i="3"/>
  <c r="B15" i="3"/>
  <c r="B18" i="3" s="1"/>
  <c r="B8" i="3"/>
  <c r="D8" i="3" s="1"/>
  <c r="B9" i="3"/>
  <c r="D9" i="3" s="1"/>
</calcChain>
</file>

<file path=xl/sharedStrings.xml><?xml version="1.0" encoding="utf-8"?>
<sst xmlns="http://schemas.openxmlformats.org/spreadsheetml/2006/main" count="98" uniqueCount="64">
  <si>
    <t>A</t>
  </si>
  <si>
    <t>B</t>
  </si>
  <si>
    <t>C</t>
  </si>
  <si>
    <t>D</t>
  </si>
  <si>
    <t>E</t>
  </si>
  <si>
    <t>F</t>
  </si>
  <si>
    <t>G</t>
  </si>
  <si>
    <t>H</t>
  </si>
  <si>
    <t>I</t>
  </si>
  <si>
    <t>J</t>
  </si>
  <si>
    <t>K</t>
  </si>
  <si>
    <t>-</t>
  </si>
  <si>
    <t>D, E</t>
  </si>
  <si>
    <t>F, G</t>
  </si>
  <si>
    <t>H, I</t>
  </si>
  <si>
    <t>Tarea</t>
  </si>
  <si>
    <t>Precedida por:</t>
  </si>
  <si>
    <t>Duración</t>
  </si>
  <si>
    <t>Teórico:</t>
  </si>
  <si>
    <t>Esperar autorización del gobierno para demoler un inmueble</t>
  </si>
  <si>
    <t>Haber recibido la autorización recien</t>
  </si>
  <si>
    <t>¿Cuáles de los siguientes pueden ser considerados tareas? Justificar</t>
  </si>
  <si>
    <t>Dejar secando el pegamento de los rodamientos</t>
  </si>
  <si>
    <t>Mover una caja de un lugar a otro</t>
  </si>
  <si>
    <t>Construir el edificio 3 de un complejo con 25 edificios</t>
  </si>
  <si>
    <t>En una cuenta de instagram de una importante fábrica de alfajores, los usuarios algunas veces dan like, otras comentan y otras no hacen ninguna de las dos en cada uno de los posteos.
Se descubrió que la probabilidad de que hagan cada una de estas interacciones viene dada únicamente por su interacción en el posteo anterior.</t>
  </si>
  <si>
    <t>Like</t>
  </si>
  <si>
    <t>Comentario</t>
  </si>
  <si>
    <t>Ninguna</t>
  </si>
  <si>
    <t>Si el posteo anterior es el número 428 de la cuenta, cuál será la probabilidad de que una persona que no hizo una interacción en ese posteo, no haga tampoco ninguna interacción en el posteo número 431?</t>
  </si>
  <si>
    <t>Cuáles son las principales diferencias entre una cadena de Markov y un Proceso de Markov? Dar 3 ejemplos en los que se podrían utilizar cadenas de Markov.</t>
  </si>
  <si>
    <t>Lambda</t>
  </si>
  <si>
    <t>Clientes/hora</t>
  </si>
  <si>
    <t>Mu</t>
  </si>
  <si>
    <t>Ro</t>
  </si>
  <si>
    <t>Po</t>
  </si>
  <si>
    <t>Lq</t>
  </si>
  <si>
    <t>Clientes</t>
  </si>
  <si>
    <t>L</t>
  </si>
  <si>
    <t>Wq</t>
  </si>
  <si>
    <t>Horas</t>
  </si>
  <si>
    <t>Minutos</t>
  </si>
  <si>
    <t>W</t>
  </si>
  <si>
    <t>Pw</t>
  </si>
  <si>
    <t>Servidores</t>
  </si>
  <si>
    <t>El dueño de una distribuidora esta analizando si agregar una segunda plataforma de descarga a su depósito principal y los contrató como consultores. Como dato nos aporta que los camiones a descargar llegan a razón de X clientes/hora y que la capacidad de atención de la planta es de 5+X/2 clientes/hora. Siendo X el último número de su legajo (si es 0, considere 1), ¿que desición recomendaría tomar?</t>
  </si>
  <si>
    <t>El dueño de la misma distribuidora nos plantea ahora que para su desición la espera promedio debe ser menor a 2 camiones. Simule durante 10 corridas y plantee sus conclusiones sobre el caso.</t>
  </si>
  <si>
    <t>Teorico</t>
  </si>
  <si>
    <t>Mencione y explique brevemente los supuestos utilizados en un caso de filas de espera.</t>
  </si>
  <si>
    <t>Llegadas</t>
  </si>
  <si>
    <t>clientes/hora</t>
  </si>
  <si>
    <t>Salidas</t>
  </si>
  <si>
    <t>Nro de Llegada</t>
  </si>
  <si>
    <t>Nro Aleatorio 1</t>
  </si>
  <si>
    <t>Llegada (minutos)</t>
  </si>
  <si>
    <t>Momento de Arribo (minutos)</t>
  </si>
  <si>
    <t>Momento en que es atendido</t>
  </si>
  <si>
    <t>Nro Aleatorio 2</t>
  </si>
  <si>
    <t>Tiempo de Atención</t>
  </si>
  <si>
    <t>Momento de Salida</t>
  </si>
  <si>
    <t>Promedio</t>
  </si>
  <si>
    <t>Tamaño fila</t>
  </si>
  <si>
    <t>Indique si la siguiente afirmaión es verdadera o falsa y justifique:</t>
  </si>
  <si>
    <t>La matríz insumo-producto refleja las interacciones microeconómicas realizadas entre los distintos sectores económicos e industriales de un país.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</si>
</sst>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0" fillId="0" borderId="0" xfId="0" applyAlignment="1">
      <alignment horizontal="left" wrapText="1"/>
    </xf>
    <xf numFmtId="0" fontId="0" fillId="0" borderId="0" xfId="0" applyAlignment="1">
      <alignment wrapText="1"/>
    </xf>
    <xf numFmtId="2" fontId="0" fillId="0" borderId="4" xfId="0" applyNumberFormat="1" applyFont="1" applyBorder="1" applyAlignment="1">
      <alignment horizontal="right" wrapText="1"/>
    </xf>
    <xf numFmtId="2" fontId="0" fillId="0" borderId="4" xfId="0" applyNumberFormat="1" applyFont="1" applyBorder="1" applyAlignment="1">
      <alignment wrapText="1"/>
    </xf>
    <xf numFmtId="2" fontId="2" fillId="0" borderId="4" xfId="0" applyNumberFormat="1" applyFont="1" applyBorder="1"/>
    <xf numFmtId="0" fontId="1" fillId="0" borderId="0" xfId="0" applyFont="1" applyBorder="1" applyAlignment="1">
      <alignment wrapText="1"/>
    </xf>
    <xf numFmtId="0" fontId="0" fillId="0" borderId="0" xfId="0" applyFont="1" applyBorder="1" applyAlignment="1">
      <alignment horizontal="center" vertical="center" wrapText="1"/>
    </xf>
    <xf numFmtId="0" fontId="0" fillId="0" borderId="0" xfId="0" applyAlignment="1">
      <alignment horizontal="center" wrapText="1"/>
    </xf>
    <xf numFmtId="0" fontId="0" fillId="0" borderId="0" xfId="0" applyAlignment="1">
      <alignment horizontal="right" wrapText="1"/>
    </xf>
    <xf numFmtId="0" fontId="0" fillId="0" borderId="1" xfId="0" applyBorder="1" applyAlignment="1">
      <alignment wrapText="1"/>
    </xf>
    <xf numFmtId="0" fontId="0" fillId="0" borderId="2" xfId="0" applyBorder="1" applyAlignment="1">
      <alignment horizontal="center" wrapText="1"/>
    </xf>
    <xf numFmtId="0" fontId="0" fillId="0" borderId="3" xfId="0" applyBorder="1" applyAlignment="1">
      <alignment horizontal="center" wrapText="1"/>
    </xf>
    <xf numFmtId="0" fontId="0" fillId="2" borderId="0" xfId="0" applyFill="1" applyAlignment="1">
      <alignment horizontal="center" wrapText="1"/>
    </xf>
    <xf numFmtId="0" fontId="0" fillId="0" borderId="0" xfId="0" applyFill="1" applyBorder="1" applyAlignment="1">
      <alignment horizontal="center" wrapText="1"/>
    </xf>
    <xf numFmtId="2" fontId="0" fillId="0" borderId="0" xfId="0" applyNumberFormat="1" applyAlignment="1">
      <alignment horizontal="right" wrapText="1"/>
    </xf>
    <xf numFmtId="2" fontId="0" fillId="2" borderId="4" xfId="0" applyNumberFormat="1" applyFont="1" applyFill="1" applyBorder="1" applyAlignment="1">
      <alignment horizontal="right" wrapText="1"/>
    </xf>
    <xf numFmtId="2" fontId="0" fillId="0" borderId="0" xfId="0" applyNumberFormat="1" applyFill="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5</xdr:col>
      <xdr:colOff>76200</xdr:colOff>
      <xdr:row>5</xdr:row>
      <xdr:rowOff>161925</xdr:rowOff>
    </xdr:from>
    <xdr:to>
      <xdr:col>6</xdr:col>
      <xdr:colOff>9525</xdr:colOff>
      <xdr:row>9</xdr:row>
      <xdr:rowOff>85725</xdr:rowOff>
    </xdr:to>
    <xdr:sp macro="" textlink="">
      <xdr:nvSpPr>
        <xdr:cNvPr id="2" name="Elipse 1">
          <a:extLst>
            <a:ext uri="{FF2B5EF4-FFF2-40B4-BE49-F238E27FC236}">
              <a16:creationId xmlns:a16="http://schemas.microsoft.com/office/drawing/2014/main" id="{4D8949AA-78EA-C269-3824-A93CA8ED0B61}"/>
            </a:ext>
          </a:extLst>
        </xdr:cNvPr>
        <xdr:cNvSpPr/>
      </xdr:nvSpPr>
      <xdr:spPr>
        <a:xfrm>
          <a:off x="4048125" y="1114425"/>
          <a:ext cx="695325" cy="68580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AR" sz="1100"/>
        </a:p>
      </xdr:txBody>
    </xdr:sp>
    <xdr:clientData/>
  </xdr:twoCellAnchor>
  <xdr:twoCellAnchor>
    <xdr:from>
      <xdr:col>7</xdr:col>
      <xdr:colOff>180975</xdr:colOff>
      <xdr:row>0</xdr:row>
      <xdr:rowOff>133350</xdr:rowOff>
    </xdr:from>
    <xdr:to>
      <xdr:col>8</xdr:col>
      <xdr:colOff>114300</xdr:colOff>
      <xdr:row>4</xdr:row>
      <xdr:rowOff>57150</xdr:rowOff>
    </xdr:to>
    <xdr:sp macro="" textlink="">
      <xdr:nvSpPr>
        <xdr:cNvPr id="3" name="Elipse 2">
          <a:extLst>
            <a:ext uri="{FF2B5EF4-FFF2-40B4-BE49-F238E27FC236}">
              <a16:creationId xmlns:a16="http://schemas.microsoft.com/office/drawing/2014/main" id="{0AFB3CAC-F9AD-4DEE-81E9-B933D3A69989}"/>
            </a:ext>
          </a:extLst>
        </xdr:cNvPr>
        <xdr:cNvSpPr/>
      </xdr:nvSpPr>
      <xdr:spPr>
        <a:xfrm>
          <a:off x="5676900" y="133350"/>
          <a:ext cx="695325" cy="68580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AR" sz="1100"/>
        </a:p>
      </xdr:txBody>
    </xdr:sp>
    <xdr:clientData/>
  </xdr:twoCellAnchor>
  <xdr:twoCellAnchor>
    <xdr:from>
      <xdr:col>7</xdr:col>
      <xdr:colOff>200025</xdr:colOff>
      <xdr:row>5</xdr:row>
      <xdr:rowOff>123825</xdr:rowOff>
    </xdr:from>
    <xdr:to>
      <xdr:col>8</xdr:col>
      <xdr:colOff>133350</xdr:colOff>
      <xdr:row>9</xdr:row>
      <xdr:rowOff>47625</xdr:rowOff>
    </xdr:to>
    <xdr:sp macro="" textlink="">
      <xdr:nvSpPr>
        <xdr:cNvPr id="4" name="Elipse 3">
          <a:extLst>
            <a:ext uri="{FF2B5EF4-FFF2-40B4-BE49-F238E27FC236}">
              <a16:creationId xmlns:a16="http://schemas.microsoft.com/office/drawing/2014/main" id="{447623DD-1929-4727-AACA-4AEBA600732B}"/>
            </a:ext>
          </a:extLst>
        </xdr:cNvPr>
        <xdr:cNvSpPr/>
      </xdr:nvSpPr>
      <xdr:spPr>
        <a:xfrm>
          <a:off x="5695950" y="1076325"/>
          <a:ext cx="695325" cy="68580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AR" sz="1100"/>
        </a:p>
      </xdr:txBody>
    </xdr:sp>
    <xdr:clientData/>
  </xdr:twoCellAnchor>
  <xdr:twoCellAnchor>
    <xdr:from>
      <xdr:col>7</xdr:col>
      <xdr:colOff>238125</xdr:colOff>
      <xdr:row>10</xdr:row>
      <xdr:rowOff>171450</xdr:rowOff>
    </xdr:from>
    <xdr:to>
      <xdr:col>8</xdr:col>
      <xdr:colOff>171450</xdr:colOff>
      <xdr:row>14</xdr:row>
      <xdr:rowOff>95250</xdr:rowOff>
    </xdr:to>
    <xdr:sp macro="" textlink="">
      <xdr:nvSpPr>
        <xdr:cNvPr id="5" name="Elipse 4">
          <a:extLst>
            <a:ext uri="{FF2B5EF4-FFF2-40B4-BE49-F238E27FC236}">
              <a16:creationId xmlns:a16="http://schemas.microsoft.com/office/drawing/2014/main" id="{07BB9895-914C-441A-A8E5-3E8FD67E7C3E}"/>
            </a:ext>
          </a:extLst>
        </xdr:cNvPr>
        <xdr:cNvSpPr/>
      </xdr:nvSpPr>
      <xdr:spPr>
        <a:xfrm>
          <a:off x="5734050" y="2076450"/>
          <a:ext cx="695325" cy="68580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AR" sz="1100"/>
        </a:p>
      </xdr:txBody>
    </xdr:sp>
    <xdr:clientData/>
  </xdr:twoCellAnchor>
  <xdr:twoCellAnchor>
    <xdr:from>
      <xdr:col>9</xdr:col>
      <xdr:colOff>742950</xdr:colOff>
      <xdr:row>8</xdr:row>
      <xdr:rowOff>123825</xdr:rowOff>
    </xdr:from>
    <xdr:to>
      <xdr:col>10</xdr:col>
      <xdr:colOff>676275</xdr:colOff>
      <xdr:row>12</xdr:row>
      <xdr:rowOff>47625</xdr:rowOff>
    </xdr:to>
    <xdr:sp macro="" textlink="">
      <xdr:nvSpPr>
        <xdr:cNvPr id="6" name="Elipse 5">
          <a:extLst>
            <a:ext uri="{FF2B5EF4-FFF2-40B4-BE49-F238E27FC236}">
              <a16:creationId xmlns:a16="http://schemas.microsoft.com/office/drawing/2014/main" id="{3138F687-C2DC-4A63-B8B6-3801097D7751}"/>
            </a:ext>
          </a:extLst>
        </xdr:cNvPr>
        <xdr:cNvSpPr/>
      </xdr:nvSpPr>
      <xdr:spPr>
        <a:xfrm>
          <a:off x="7762875" y="1647825"/>
          <a:ext cx="695325" cy="68580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AR" sz="1100"/>
        </a:p>
      </xdr:txBody>
    </xdr:sp>
    <xdr:clientData/>
  </xdr:twoCellAnchor>
  <xdr:twoCellAnchor>
    <xdr:from>
      <xdr:col>9</xdr:col>
      <xdr:colOff>676275</xdr:colOff>
      <xdr:row>3</xdr:row>
      <xdr:rowOff>19050</xdr:rowOff>
    </xdr:from>
    <xdr:to>
      <xdr:col>10</xdr:col>
      <xdr:colOff>609600</xdr:colOff>
      <xdr:row>6</xdr:row>
      <xdr:rowOff>133350</xdr:rowOff>
    </xdr:to>
    <xdr:sp macro="" textlink="">
      <xdr:nvSpPr>
        <xdr:cNvPr id="7" name="Elipse 6">
          <a:extLst>
            <a:ext uri="{FF2B5EF4-FFF2-40B4-BE49-F238E27FC236}">
              <a16:creationId xmlns:a16="http://schemas.microsoft.com/office/drawing/2014/main" id="{CB1AE6B1-2862-48A6-A979-38A9F82E651C}"/>
            </a:ext>
          </a:extLst>
        </xdr:cNvPr>
        <xdr:cNvSpPr/>
      </xdr:nvSpPr>
      <xdr:spPr>
        <a:xfrm>
          <a:off x="7696200" y="590550"/>
          <a:ext cx="695325" cy="68580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AR" sz="1100"/>
        </a:p>
      </xdr:txBody>
    </xdr:sp>
    <xdr:clientData/>
  </xdr:twoCellAnchor>
  <xdr:twoCellAnchor>
    <xdr:from>
      <xdr:col>12</xdr:col>
      <xdr:colOff>276225</xdr:colOff>
      <xdr:row>6</xdr:row>
      <xdr:rowOff>19050</xdr:rowOff>
    </xdr:from>
    <xdr:to>
      <xdr:col>13</xdr:col>
      <xdr:colOff>209550</xdr:colOff>
      <xdr:row>9</xdr:row>
      <xdr:rowOff>133350</xdr:rowOff>
    </xdr:to>
    <xdr:sp macro="" textlink="">
      <xdr:nvSpPr>
        <xdr:cNvPr id="8" name="Elipse 7">
          <a:extLst>
            <a:ext uri="{FF2B5EF4-FFF2-40B4-BE49-F238E27FC236}">
              <a16:creationId xmlns:a16="http://schemas.microsoft.com/office/drawing/2014/main" id="{9488BAFC-4F8B-42F0-BFBC-40938AADA775}"/>
            </a:ext>
          </a:extLst>
        </xdr:cNvPr>
        <xdr:cNvSpPr/>
      </xdr:nvSpPr>
      <xdr:spPr>
        <a:xfrm>
          <a:off x="9582150" y="1162050"/>
          <a:ext cx="695325" cy="68580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AR" sz="1100"/>
        </a:p>
      </xdr:txBody>
    </xdr:sp>
    <xdr:clientData/>
  </xdr:twoCellAnchor>
  <xdr:twoCellAnchor>
    <xdr:from>
      <xdr:col>14</xdr:col>
      <xdr:colOff>390525</xdr:colOff>
      <xdr:row>6</xdr:row>
      <xdr:rowOff>0</xdr:rowOff>
    </xdr:from>
    <xdr:to>
      <xdr:col>15</xdr:col>
      <xdr:colOff>323850</xdr:colOff>
      <xdr:row>9</xdr:row>
      <xdr:rowOff>114300</xdr:rowOff>
    </xdr:to>
    <xdr:sp macro="" textlink="">
      <xdr:nvSpPr>
        <xdr:cNvPr id="9" name="Elipse 8">
          <a:extLst>
            <a:ext uri="{FF2B5EF4-FFF2-40B4-BE49-F238E27FC236}">
              <a16:creationId xmlns:a16="http://schemas.microsoft.com/office/drawing/2014/main" id="{C22930EF-CA30-433C-AD54-83D62673D617}"/>
            </a:ext>
          </a:extLst>
        </xdr:cNvPr>
        <xdr:cNvSpPr/>
      </xdr:nvSpPr>
      <xdr:spPr>
        <a:xfrm>
          <a:off x="11220450" y="1143000"/>
          <a:ext cx="695325" cy="685800"/>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s-AR" sz="1100"/>
        </a:p>
      </xdr:txBody>
    </xdr:sp>
    <xdr:clientData/>
  </xdr:twoCellAnchor>
  <xdr:twoCellAnchor>
    <xdr:from>
      <xdr:col>5</xdr:col>
      <xdr:colOff>669697</xdr:colOff>
      <xdr:row>2</xdr:row>
      <xdr:rowOff>95250</xdr:rowOff>
    </xdr:from>
    <xdr:to>
      <xdr:col>7</xdr:col>
      <xdr:colOff>180975</xdr:colOff>
      <xdr:row>6</xdr:row>
      <xdr:rowOff>71858</xdr:rowOff>
    </xdr:to>
    <xdr:cxnSp macro="">
      <xdr:nvCxnSpPr>
        <xdr:cNvPr id="11" name="Conector recto de flecha 10">
          <a:extLst>
            <a:ext uri="{FF2B5EF4-FFF2-40B4-BE49-F238E27FC236}">
              <a16:creationId xmlns:a16="http://schemas.microsoft.com/office/drawing/2014/main" id="{91F6F16F-BE4D-3601-A962-818BB07A8D69}"/>
            </a:ext>
          </a:extLst>
        </xdr:cNvPr>
        <xdr:cNvCxnSpPr>
          <a:stCxn id="2" idx="7"/>
          <a:endCxn id="3" idx="2"/>
        </xdr:cNvCxnSpPr>
      </xdr:nvCxnSpPr>
      <xdr:spPr>
        <a:xfrm flipV="1">
          <a:off x="4641622" y="476250"/>
          <a:ext cx="1035278" cy="7386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7</xdr:row>
      <xdr:rowOff>85725</xdr:rowOff>
    </xdr:from>
    <xdr:to>
      <xdr:col>7</xdr:col>
      <xdr:colOff>200025</xdr:colOff>
      <xdr:row>7</xdr:row>
      <xdr:rowOff>123825</xdr:rowOff>
    </xdr:to>
    <xdr:cxnSp macro="">
      <xdr:nvCxnSpPr>
        <xdr:cNvPr id="12" name="Conector recto de flecha 11">
          <a:extLst>
            <a:ext uri="{FF2B5EF4-FFF2-40B4-BE49-F238E27FC236}">
              <a16:creationId xmlns:a16="http://schemas.microsoft.com/office/drawing/2014/main" id="{54AA0F4E-60B5-41E8-B6DC-34B45D7227E8}"/>
            </a:ext>
          </a:extLst>
        </xdr:cNvPr>
        <xdr:cNvCxnSpPr>
          <a:stCxn id="2" idx="6"/>
          <a:endCxn id="4" idx="2"/>
        </xdr:cNvCxnSpPr>
      </xdr:nvCxnSpPr>
      <xdr:spPr>
        <a:xfrm flipV="1">
          <a:off x="4743450" y="1419225"/>
          <a:ext cx="952500" cy="38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669697</xdr:colOff>
      <xdr:row>8</xdr:row>
      <xdr:rowOff>175792</xdr:rowOff>
    </xdr:from>
    <xdr:to>
      <xdr:col>7</xdr:col>
      <xdr:colOff>238125</xdr:colOff>
      <xdr:row>12</xdr:row>
      <xdr:rowOff>133350</xdr:rowOff>
    </xdr:to>
    <xdr:cxnSp macro="">
      <xdr:nvCxnSpPr>
        <xdr:cNvPr id="15" name="Conector recto de flecha 14">
          <a:extLst>
            <a:ext uri="{FF2B5EF4-FFF2-40B4-BE49-F238E27FC236}">
              <a16:creationId xmlns:a16="http://schemas.microsoft.com/office/drawing/2014/main" id="{4A1D508D-5AF7-4A33-B377-64AAEE6F5BFB}"/>
            </a:ext>
          </a:extLst>
        </xdr:cNvPr>
        <xdr:cNvCxnSpPr>
          <a:stCxn id="2" idx="5"/>
          <a:endCxn id="5" idx="2"/>
        </xdr:cNvCxnSpPr>
      </xdr:nvCxnSpPr>
      <xdr:spPr>
        <a:xfrm>
          <a:off x="4641622" y="1699792"/>
          <a:ext cx="1092428" cy="7195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114300</xdr:colOff>
      <xdr:row>2</xdr:row>
      <xdr:rowOff>95250</xdr:rowOff>
    </xdr:from>
    <xdr:to>
      <xdr:col>9</xdr:col>
      <xdr:colOff>676275</xdr:colOff>
      <xdr:row>4</xdr:row>
      <xdr:rowOff>171450</xdr:rowOff>
    </xdr:to>
    <xdr:cxnSp macro="">
      <xdr:nvCxnSpPr>
        <xdr:cNvPr id="18" name="Conector recto de flecha 17">
          <a:extLst>
            <a:ext uri="{FF2B5EF4-FFF2-40B4-BE49-F238E27FC236}">
              <a16:creationId xmlns:a16="http://schemas.microsoft.com/office/drawing/2014/main" id="{CBA53EDE-62F4-4100-A5D4-516234DEB56A}"/>
            </a:ext>
          </a:extLst>
        </xdr:cNvPr>
        <xdr:cNvCxnSpPr>
          <a:stCxn id="3" idx="6"/>
          <a:endCxn id="7" idx="2"/>
        </xdr:cNvCxnSpPr>
      </xdr:nvCxnSpPr>
      <xdr:spPr>
        <a:xfrm>
          <a:off x="6372225" y="476250"/>
          <a:ext cx="1323975" cy="457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6</xdr:row>
      <xdr:rowOff>32917</xdr:rowOff>
    </xdr:from>
    <xdr:to>
      <xdr:col>10</xdr:col>
      <xdr:colOff>16103</xdr:colOff>
      <xdr:row>7</xdr:row>
      <xdr:rowOff>85725</xdr:rowOff>
    </xdr:to>
    <xdr:cxnSp macro="">
      <xdr:nvCxnSpPr>
        <xdr:cNvPr id="21" name="Conector recto de flecha 20">
          <a:extLst>
            <a:ext uri="{FF2B5EF4-FFF2-40B4-BE49-F238E27FC236}">
              <a16:creationId xmlns:a16="http://schemas.microsoft.com/office/drawing/2014/main" id="{C1F3F1CE-2123-43C5-A5E4-6DCBB76BE34D}"/>
            </a:ext>
          </a:extLst>
        </xdr:cNvPr>
        <xdr:cNvCxnSpPr>
          <a:stCxn id="4" idx="6"/>
          <a:endCxn id="7" idx="3"/>
        </xdr:cNvCxnSpPr>
      </xdr:nvCxnSpPr>
      <xdr:spPr>
        <a:xfrm flipV="1">
          <a:off x="6391275" y="1175917"/>
          <a:ext cx="1406753" cy="2433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31522</xdr:colOff>
      <xdr:row>8</xdr:row>
      <xdr:rowOff>137692</xdr:rowOff>
    </xdr:from>
    <xdr:to>
      <xdr:col>9</xdr:col>
      <xdr:colOff>742950</xdr:colOff>
      <xdr:row>10</xdr:row>
      <xdr:rowOff>85725</xdr:rowOff>
    </xdr:to>
    <xdr:cxnSp macro="">
      <xdr:nvCxnSpPr>
        <xdr:cNvPr id="24" name="Conector recto de flecha 23">
          <a:extLst>
            <a:ext uri="{FF2B5EF4-FFF2-40B4-BE49-F238E27FC236}">
              <a16:creationId xmlns:a16="http://schemas.microsoft.com/office/drawing/2014/main" id="{D7B01692-D2BE-4E3B-9B51-932FF6BCDE52}"/>
            </a:ext>
          </a:extLst>
        </xdr:cNvPr>
        <xdr:cNvCxnSpPr>
          <a:stCxn id="4" idx="5"/>
          <a:endCxn id="6" idx="2"/>
        </xdr:cNvCxnSpPr>
      </xdr:nvCxnSpPr>
      <xdr:spPr>
        <a:xfrm>
          <a:off x="6289447" y="1661692"/>
          <a:ext cx="1473428" cy="3290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171450</xdr:colOff>
      <xdr:row>11</xdr:row>
      <xdr:rowOff>137692</xdr:rowOff>
    </xdr:from>
    <xdr:to>
      <xdr:col>10</xdr:col>
      <xdr:colOff>82778</xdr:colOff>
      <xdr:row>12</xdr:row>
      <xdr:rowOff>133350</xdr:rowOff>
    </xdr:to>
    <xdr:cxnSp macro="">
      <xdr:nvCxnSpPr>
        <xdr:cNvPr id="27" name="Conector recto de flecha 26">
          <a:extLst>
            <a:ext uri="{FF2B5EF4-FFF2-40B4-BE49-F238E27FC236}">
              <a16:creationId xmlns:a16="http://schemas.microsoft.com/office/drawing/2014/main" id="{CE8DC73F-11CA-4D11-9289-EDE582414E79}"/>
            </a:ext>
          </a:extLst>
        </xdr:cNvPr>
        <xdr:cNvCxnSpPr>
          <a:stCxn id="5" idx="6"/>
          <a:endCxn id="6" idx="3"/>
        </xdr:cNvCxnSpPr>
      </xdr:nvCxnSpPr>
      <xdr:spPr>
        <a:xfrm flipV="1">
          <a:off x="6429375" y="2233192"/>
          <a:ext cx="1435328" cy="1861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609600</xdr:colOff>
      <xdr:row>4</xdr:row>
      <xdr:rowOff>171450</xdr:rowOff>
    </xdr:from>
    <xdr:to>
      <xdr:col>14</xdr:col>
      <xdr:colOff>492353</xdr:colOff>
      <xdr:row>6</xdr:row>
      <xdr:rowOff>100433</xdr:rowOff>
    </xdr:to>
    <xdr:cxnSp macro="">
      <xdr:nvCxnSpPr>
        <xdr:cNvPr id="30" name="Conector recto de flecha 29">
          <a:extLst>
            <a:ext uri="{FF2B5EF4-FFF2-40B4-BE49-F238E27FC236}">
              <a16:creationId xmlns:a16="http://schemas.microsoft.com/office/drawing/2014/main" id="{E04F69A5-1638-4FD6-9978-DA34E4533115}"/>
            </a:ext>
          </a:extLst>
        </xdr:cNvPr>
        <xdr:cNvCxnSpPr>
          <a:stCxn id="7" idx="6"/>
          <a:endCxn id="9" idx="1"/>
        </xdr:cNvCxnSpPr>
      </xdr:nvCxnSpPr>
      <xdr:spPr>
        <a:xfrm>
          <a:off x="8391525" y="933450"/>
          <a:ext cx="2930753" cy="3099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507772</xdr:colOff>
      <xdr:row>6</xdr:row>
      <xdr:rowOff>32917</xdr:rowOff>
    </xdr:from>
    <xdr:to>
      <xdr:col>12</xdr:col>
      <xdr:colOff>276225</xdr:colOff>
      <xdr:row>7</xdr:row>
      <xdr:rowOff>171450</xdr:rowOff>
    </xdr:to>
    <xdr:cxnSp macro="">
      <xdr:nvCxnSpPr>
        <xdr:cNvPr id="33" name="Conector recto de flecha 32">
          <a:extLst>
            <a:ext uri="{FF2B5EF4-FFF2-40B4-BE49-F238E27FC236}">
              <a16:creationId xmlns:a16="http://schemas.microsoft.com/office/drawing/2014/main" id="{36D4BFAC-612D-4AFF-8367-7E9439DD25EF}"/>
            </a:ext>
          </a:extLst>
        </xdr:cNvPr>
        <xdr:cNvCxnSpPr>
          <a:stCxn id="7" idx="5"/>
          <a:endCxn id="8" idx="2"/>
        </xdr:cNvCxnSpPr>
      </xdr:nvCxnSpPr>
      <xdr:spPr>
        <a:xfrm>
          <a:off x="8289697" y="1175917"/>
          <a:ext cx="1292453" cy="3290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676275</xdr:colOff>
      <xdr:row>9</xdr:row>
      <xdr:rowOff>32917</xdr:rowOff>
    </xdr:from>
    <xdr:to>
      <xdr:col>12</xdr:col>
      <xdr:colOff>378053</xdr:colOff>
      <xdr:row>10</xdr:row>
      <xdr:rowOff>85725</xdr:rowOff>
    </xdr:to>
    <xdr:cxnSp macro="">
      <xdr:nvCxnSpPr>
        <xdr:cNvPr id="36" name="Conector recto de flecha 35">
          <a:extLst>
            <a:ext uri="{FF2B5EF4-FFF2-40B4-BE49-F238E27FC236}">
              <a16:creationId xmlns:a16="http://schemas.microsoft.com/office/drawing/2014/main" id="{7EB42562-5E52-4B86-B625-3CE34D14278F}"/>
            </a:ext>
          </a:extLst>
        </xdr:cNvPr>
        <xdr:cNvCxnSpPr>
          <a:stCxn id="6" idx="6"/>
          <a:endCxn id="8" idx="3"/>
        </xdr:cNvCxnSpPr>
      </xdr:nvCxnSpPr>
      <xdr:spPr>
        <a:xfrm flipV="1">
          <a:off x="8458200" y="1747417"/>
          <a:ext cx="1225778" cy="2433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209550</xdr:colOff>
      <xdr:row>7</xdr:row>
      <xdr:rowOff>152400</xdr:rowOff>
    </xdr:from>
    <xdr:to>
      <xdr:col>14</xdr:col>
      <xdr:colOff>390525</xdr:colOff>
      <xdr:row>7</xdr:row>
      <xdr:rowOff>171450</xdr:rowOff>
    </xdr:to>
    <xdr:cxnSp macro="">
      <xdr:nvCxnSpPr>
        <xdr:cNvPr id="39" name="Conector recto de flecha 38">
          <a:extLst>
            <a:ext uri="{FF2B5EF4-FFF2-40B4-BE49-F238E27FC236}">
              <a16:creationId xmlns:a16="http://schemas.microsoft.com/office/drawing/2014/main" id="{29FE8122-EDB2-4CBB-A79C-5D8C6DFFEAC8}"/>
            </a:ext>
          </a:extLst>
        </xdr:cNvPr>
        <xdr:cNvCxnSpPr>
          <a:stCxn id="8" idx="6"/>
          <a:endCxn id="9" idx="2"/>
        </xdr:cNvCxnSpPr>
      </xdr:nvCxnSpPr>
      <xdr:spPr>
        <a:xfrm flipV="1">
          <a:off x="10277475" y="1485900"/>
          <a:ext cx="942975"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257175</xdr:colOff>
      <xdr:row>3</xdr:row>
      <xdr:rowOff>133350</xdr:rowOff>
    </xdr:from>
    <xdr:ext cx="266291" cy="264560"/>
    <xdr:sp macro="" textlink="">
      <xdr:nvSpPr>
        <xdr:cNvPr id="42" name="CuadroTexto 41">
          <a:extLst>
            <a:ext uri="{FF2B5EF4-FFF2-40B4-BE49-F238E27FC236}">
              <a16:creationId xmlns:a16="http://schemas.microsoft.com/office/drawing/2014/main" id="{04DD0463-C2CF-CE59-6ACA-32F8E21E7497}"/>
            </a:ext>
          </a:extLst>
        </xdr:cNvPr>
        <xdr:cNvSpPr txBox="1"/>
      </xdr:nvSpPr>
      <xdr:spPr>
        <a:xfrm>
          <a:off x="4991100" y="704850"/>
          <a:ext cx="2662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AR" sz="1100"/>
            <a:t>A</a:t>
          </a:r>
        </a:p>
      </xdr:txBody>
    </xdr:sp>
    <xdr:clientData/>
  </xdr:oneCellAnchor>
  <xdr:oneCellAnchor>
    <xdr:from>
      <xdr:col>8</xdr:col>
      <xdr:colOff>628650</xdr:colOff>
      <xdr:row>5</xdr:row>
      <xdr:rowOff>76200</xdr:rowOff>
    </xdr:from>
    <xdr:ext cx="253531" cy="264560"/>
    <xdr:sp macro="" textlink="">
      <xdr:nvSpPr>
        <xdr:cNvPr id="43" name="CuadroTexto 42">
          <a:extLst>
            <a:ext uri="{FF2B5EF4-FFF2-40B4-BE49-F238E27FC236}">
              <a16:creationId xmlns:a16="http://schemas.microsoft.com/office/drawing/2014/main" id="{D10A0064-1ADD-4F8C-BB3B-545F6708E525}"/>
            </a:ext>
          </a:extLst>
        </xdr:cNvPr>
        <xdr:cNvSpPr txBox="1"/>
      </xdr:nvSpPr>
      <xdr:spPr>
        <a:xfrm>
          <a:off x="6886575" y="1028700"/>
          <a:ext cx="2535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AR" sz="1100"/>
            <a:t>E</a:t>
          </a:r>
        </a:p>
      </xdr:txBody>
    </xdr:sp>
    <xdr:clientData/>
  </xdr:oneCellAnchor>
  <xdr:oneCellAnchor>
    <xdr:from>
      <xdr:col>6</xdr:col>
      <xdr:colOff>523875</xdr:colOff>
      <xdr:row>9</xdr:row>
      <xdr:rowOff>152400</xdr:rowOff>
    </xdr:from>
    <xdr:ext cx="266291" cy="264560"/>
    <xdr:sp macro="" textlink="">
      <xdr:nvSpPr>
        <xdr:cNvPr id="44" name="CuadroTexto 43">
          <a:extLst>
            <a:ext uri="{FF2B5EF4-FFF2-40B4-BE49-F238E27FC236}">
              <a16:creationId xmlns:a16="http://schemas.microsoft.com/office/drawing/2014/main" id="{69CE76AA-B1D8-448F-A491-5274E9EB4EA7}"/>
            </a:ext>
          </a:extLst>
        </xdr:cNvPr>
        <xdr:cNvSpPr txBox="1"/>
      </xdr:nvSpPr>
      <xdr:spPr>
        <a:xfrm>
          <a:off x="5257800" y="1866900"/>
          <a:ext cx="2662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AR" sz="1100"/>
            <a:t>C</a:t>
          </a:r>
        </a:p>
      </xdr:txBody>
    </xdr:sp>
    <xdr:clientData/>
  </xdr:oneCellAnchor>
  <xdr:oneCellAnchor>
    <xdr:from>
      <xdr:col>8</xdr:col>
      <xdr:colOff>600075</xdr:colOff>
      <xdr:row>10</xdr:row>
      <xdr:rowOff>152400</xdr:rowOff>
    </xdr:from>
    <xdr:ext cx="273665" cy="264560"/>
    <xdr:sp macro="" textlink="">
      <xdr:nvSpPr>
        <xdr:cNvPr id="45" name="CuadroTexto 44">
          <a:extLst>
            <a:ext uri="{FF2B5EF4-FFF2-40B4-BE49-F238E27FC236}">
              <a16:creationId xmlns:a16="http://schemas.microsoft.com/office/drawing/2014/main" id="{03014E90-F1AB-4001-89AE-DE09257C8C2F}"/>
            </a:ext>
          </a:extLst>
        </xdr:cNvPr>
        <xdr:cNvSpPr txBox="1"/>
      </xdr:nvSpPr>
      <xdr:spPr>
        <a:xfrm>
          <a:off x="6858000" y="2057400"/>
          <a:ext cx="27366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AR" sz="1100"/>
            <a:t>G</a:t>
          </a:r>
        </a:p>
      </xdr:txBody>
    </xdr:sp>
    <xdr:clientData/>
  </xdr:oneCellAnchor>
  <xdr:oneCellAnchor>
    <xdr:from>
      <xdr:col>8</xdr:col>
      <xdr:colOff>752475</xdr:colOff>
      <xdr:row>8</xdr:row>
      <xdr:rowOff>47625</xdr:rowOff>
    </xdr:from>
    <xdr:ext cx="249492" cy="264560"/>
    <xdr:sp macro="" textlink="">
      <xdr:nvSpPr>
        <xdr:cNvPr id="46" name="CuadroTexto 45">
          <a:extLst>
            <a:ext uri="{FF2B5EF4-FFF2-40B4-BE49-F238E27FC236}">
              <a16:creationId xmlns:a16="http://schemas.microsoft.com/office/drawing/2014/main" id="{59D3C1D3-49FD-4754-8376-93A2AA92FF0D}"/>
            </a:ext>
          </a:extLst>
        </xdr:cNvPr>
        <xdr:cNvSpPr txBox="1"/>
      </xdr:nvSpPr>
      <xdr:spPr>
        <a:xfrm>
          <a:off x="7010400" y="1571625"/>
          <a:ext cx="2494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AR" sz="1100"/>
            <a:t>F</a:t>
          </a:r>
        </a:p>
      </xdr:txBody>
    </xdr:sp>
    <xdr:clientData/>
  </xdr:oneCellAnchor>
  <xdr:oneCellAnchor>
    <xdr:from>
      <xdr:col>8</xdr:col>
      <xdr:colOff>638175</xdr:colOff>
      <xdr:row>2</xdr:row>
      <xdr:rowOff>28575</xdr:rowOff>
    </xdr:from>
    <xdr:ext cx="271485" cy="264560"/>
    <xdr:sp macro="" textlink="">
      <xdr:nvSpPr>
        <xdr:cNvPr id="47" name="CuadroTexto 46">
          <a:extLst>
            <a:ext uri="{FF2B5EF4-FFF2-40B4-BE49-F238E27FC236}">
              <a16:creationId xmlns:a16="http://schemas.microsoft.com/office/drawing/2014/main" id="{8A0DC96A-2DE4-4FE2-A3DE-D75A78ABC698}"/>
            </a:ext>
          </a:extLst>
        </xdr:cNvPr>
        <xdr:cNvSpPr txBox="1"/>
      </xdr:nvSpPr>
      <xdr:spPr>
        <a:xfrm>
          <a:off x="6896100" y="409575"/>
          <a:ext cx="2714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AR" sz="1100"/>
            <a:t>D</a:t>
          </a:r>
        </a:p>
      </xdr:txBody>
    </xdr:sp>
    <xdr:clientData/>
  </xdr:oneCellAnchor>
  <xdr:oneCellAnchor>
    <xdr:from>
      <xdr:col>11</xdr:col>
      <xdr:colOff>228600</xdr:colOff>
      <xdr:row>10</xdr:row>
      <xdr:rowOff>38100</xdr:rowOff>
    </xdr:from>
    <xdr:ext cx="220188" cy="264560"/>
    <xdr:sp macro="" textlink="">
      <xdr:nvSpPr>
        <xdr:cNvPr id="48" name="CuadroTexto 47">
          <a:extLst>
            <a:ext uri="{FF2B5EF4-FFF2-40B4-BE49-F238E27FC236}">
              <a16:creationId xmlns:a16="http://schemas.microsoft.com/office/drawing/2014/main" id="{E6EB1184-3DFB-4D92-98E1-31AF9456C90C}"/>
            </a:ext>
          </a:extLst>
        </xdr:cNvPr>
        <xdr:cNvSpPr txBox="1"/>
      </xdr:nvSpPr>
      <xdr:spPr>
        <a:xfrm>
          <a:off x="8772525" y="1943100"/>
          <a:ext cx="2201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AR" sz="1100"/>
            <a:t>I</a:t>
          </a:r>
        </a:p>
      </xdr:txBody>
    </xdr:sp>
    <xdr:clientData/>
  </xdr:oneCellAnchor>
  <xdr:oneCellAnchor>
    <xdr:from>
      <xdr:col>11</xdr:col>
      <xdr:colOff>295275</xdr:colOff>
      <xdr:row>5</xdr:row>
      <xdr:rowOff>142875</xdr:rowOff>
    </xdr:from>
    <xdr:ext cx="272575" cy="264560"/>
    <xdr:sp macro="" textlink="">
      <xdr:nvSpPr>
        <xdr:cNvPr id="49" name="CuadroTexto 48">
          <a:extLst>
            <a:ext uri="{FF2B5EF4-FFF2-40B4-BE49-F238E27FC236}">
              <a16:creationId xmlns:a16="http://schemas.microsoft.com/office/drawing/2014/main" id="{9453F968-9DDB-48BD-90AD-3BD7CAE89B84}"/>
            </a:ext>
          </a:extLst>
        </xdr:cNvPr>
        <xdr:cNvSpPr txBox="1"/>
      </xdr:nvSpPr>
      <xdr:spPr>
        <a:xfrm>
          <a:off x="8839200" y="1095375"/>
          <a:ext cx="2725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AR" sz="1100"/>
            <a:t>H</a:t>
          </a:r>
        </a:p>
      </xdr:txBody>
    </xdr:sp>
    <xdr:clientData/>
  </xdr:oneCellAnchor>
  <xdr:oneCellAnchor>
    <xdr:from>
      <xdr:col>12</xdr:col>
      <xdr:colOff>638175</xdr:colOff>
      <xdr:row>4</xdr:row>
      <xdr:rowOff>38100</xdr:rowOff>
    </xdr:from>
    <xdr:ext cx="229615" cy="264560"/>
    <xdr:sp macro="" textlink="">
      <xdr:nvSpPr>
        <xdr:cNvPr id="50" name="CuadroTexto 49">
          <a:extLst>
            <a:ext uri="{FF2B5EF4-FFF2-40B4-BE49-F238E27FC236}">
              <a16:creationId xmlns:a16="http://schemas.microsoft.com/office/drawing/2014/main" id="{9A3A4B05-8088-4F83-9B9D-B8B53780CC65}"/>
            </a:ext>
          </a:extLst>
        </xdr:cNvPr>
        <xdr:cNvSpPr txBox="1"/>
      </xdr:nvSpPr>
      <xdr:spPr>
        <a:xfrm>
          <a:off x="9944100" y="800100"/>
          <a:ext cx="2296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AR" sz="1100"/>
            <a:t>J</a:t>
          </a:r>
        </a:p>
      </xdr:txBody>
    </xdr:sp>
    <xdr:clientData/>
  </xdr:oneCellAnchor>
  <xdr:oneCellAnchor>
    <xdr:from>
      <xdr:col>13</xdr:col>
      <xdr:colOff>571500</xdr:colOff>
      <xdr:row>7</xdr:row>
      <xdr:rowOff>161925</xdr:rowOff>
    </xdr:from>
    <xdr:ext cx="266291" cy="264560"/>
    <xdr:sp macro="" textlink="">
      <xdr:nvSpPr>
        <xdr:cNvPr id="51" name="CuadroTexto 50">
          <a:extLst>
            <a:ext uri="{FF2B5EF4-FFF2-40B4-BE49-F238E27FC236}">
              <a16:creationId xmlns:a16="http://schemas.microsoft.com/office/drawing/2014/main" id="{0D6C4FEB-DA5E-4CB4-8D3E-F87546F0B32A}"/>
            </a:ext>
          </a:extLst>
        </xdr:cNvPr>
        <xdr:cNvSpPr txBox="1"/>
      </xdr:nvSpPr>
      <xdr:spPr>
        <a:xfrm>
          <a:off x="10639425" y="1495425"/>
          <a:ext cx="2662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AR" sz="1100"/>
            <a:t>K</a:t>
          </a:r>
        </a:p>
      </xdr:txBody>
    </xdr:sp>
    <xdr:clientData/>
  </xdr:oneCellAnchor>
  <xdr:oneCellAnchor>
    <xdr:from>
      <xdr:col>6</xdr:col>
      <xdr:colOff>390525</xdr:colOff>
      <xdr:row>6</xdr:row>
      <xdr:rowOff>28575</xdr:rowOff>
    </xdr:from>
    <xdr:ext cx="266291" cy="264560"/>
    <xdr:sp macro="" textlink="">
      <xdr:nvSpPr>
        <xdr:cNvPr id="52" name="CuadroTexto 51">
          <a:extLst>
            <a:ext uri="{FF2B5EF4-FFF2-40B4-BE49-F238E27FC236}">
              <a16:creationId xmlns:a16="http://schemas.microsoft.com/office/drawing/2014/main" id="{B32B3AA4-CDC4-46D9-B6F8-52028DCBDA66}"/>
            </a:ext>
          </a:extLst>
        </xdr:cNvPr>
        <xdr:cNvSpPr txBox="1"/>
      </xdr:nvSpPr>
      <xdr:spPr>
        <a:xfrm>
          <a:off x="5124450" y="1171575"/>
          <a:ext cx="2662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AR" sz="1100"/>
            <a:t>B</a:t>
          </a:r>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2068F-D1D0-44B9-A253-4253A8FD5695}">
  <dimension ref="A2:C22"/>
  <sheetViews>
    <sheetView tabSelected="1" workbookViewId="0">
      <selection activeCell="A23" sqref="A23"/>
    </sheetView>
  </sheetViews>
  <sheetFormatPr baseColWidth="10" defaultRowHeight="15" x14ac:dyDescent="0.25"/>
  <cols>
    <col min="2" max="2" width="13.85546875" bestFit="1" customWidth="1"/>
  </cols>
  <sheetData>
    <row r="2" spans="1:3" x14ac:dyDescent="0.25">
      <c r="A2" t="s">
        <v>15</v>
      </c>
      <c r="B2" t="s">
        <v>16</v>
      </c>
      <c r="C2" t="s">
        <v>17</v>
      </c>
    </row>
    <row r="3" spans="1:3" x14ac:dyDescent="0.25">
      <c r="A3" t="s">
        <v>0</v>
      </c>
      <c r="B3" t="s">
        <v>11</v>
      </c>
      <c r="C3">
        <v>4</v>
      </c>
    </row>
    <row r="4" spans="1:3" x14ac:dyDescent="0.25">
      <c r="A4" t="s">
        <v>1</v>
      </c>
      <c r="B4" t="s">
        <v>11</v>
      </c>
      <c r="C4">
        <v>5</v>
      </c>
    </row>
    <row r="5" spans="1:3" x14ac:dyDescent="0.25">
      <c r="A5" t="s">
        <v>2</v>
      </c>
      <c r="B5" t="s">
        <v>11</v>
      </c>
      <c r="C5">
        <v>12</v>
      </c>
    </row>
    <row r="6" spans="1:3" x14ac:dyDescent="0.25">
      <c r="A6" t="s">
        <v>3</v>
      </c>
      <c r="B6" t="s">
        <v>0</v>
      </c>
      <c r="C6">
        <v>2</v>
      </c>
    </row>
    <row r="7" spans="1:3" x14ac:dyDescent="0.25">
      <c r="A7" t="s">
        <v>4</v>
      </c>
      <c r="B7" t="s">
        <v>1</v>
      </c>
      <c r="C7">
        <v>7</v>
      </c>
    </row>
    <row r="8" spans="1:3" x14ac:dyDescent="0.25">
      <c r="A8" t="s">
        <v>5</v>
      </c>
      <c r="B8" t="s">
        <v>1</v>
      </c>
      <c r="C8">
        <v>8</v>
      </c>
    </row>
    <row r="9" spans="1:3" x14ac:dyDescent="0.25">
      <c r="A9" t="s">
        <v>6</v>
      </c>
      <c r="B9" t="s">
        <v>2</v>
      </c>
      <c r="C9">
        <v>9</v>
      </c>
    </row>
    <row r="10" spans="1:3" x14ac:dyDescent="0.25">
      <c r="A10" t="s">
        <v>7</v>
      </c>
      <c r="B10" t="s">
        <v>12</v>
      </c>
      <c r="C10">
        <v>8</v>
      </c>
    </row>
    <row r="11" spans="1:3" x14ac:dyDescent="0.25">
      <c r="A11" t="s">
        <v>8</v>
      </c>
      <c r="B11" t="s">
        <v>13</v>
      </c>
      <c r="C11">
        <v>13</v>
      </c>
    </row>
    <row r="12" spans="1:3" x14ac:dyDescent="0.25">
      <c r="A12" t="s">
        <v>9</v>
      </c>
      <c r="B12" t="s">
        <v>12</v>
      </c>
      <c r="C12">
        <v>5</v>
      </c>
    </row>
    <row r="13" spans="1:3" x14ac:dyDescent="0.25">
      <c r="A13" t="s">
        <v>10</v>
      </c>
      <c r="B13" t="s">
        <v>14</v>
      </c>
      <c r="C13">
        <v>10</v>
      </c>
    </row>
    <row r="16" spans="1:3" x14ac:dyDescent="0.25">
      <c r="A16" t="s">
        <v>18</v>
      </c>
    </row>
    <row r="17" spans="1:1" x14ac:dyDescent="0.25">
      <c r="A17" t="s">
        <v>21</v>
      </c>
    </row>
    <row r="18" spans="1:1" x14ac:dyDescent="0.25">
      <c r="A18" t="s">
        <v>19</v>
      </c>
    </row>
    <row r="19" spans="1:1" x14ac:dyDescent="0.25">
      <c r="A19" t="s">
        <v>20</v>
      </c>
    </row>
    <row r="20" spans="1:1" x14ac:dyDescent="0.25">
      <c r="A20" t="s">
        <v>22</v>
      </c>
    </row>
    <row r="21" spans="1:1" x14ac:dyDescent="0.25">
      <c r="A21" t="s">
        <v>23</v>
      </c>
    </row>
    <row r="22" spans="1:1" x14ac:dyDescent="0.25">
      <c r="A22" t="s">
        <v>24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730B5-DBB3-48E3-80E5-B7F4EA9ED1F3}">
  <dimension ref="A1:M11"/>
  <sheetViews>
    <sheetView workbookViewId="0">
      <selection activeCell="A12" sqref="A12"/>
    </sheetView>
  </sheetViews>
  <sheetFormatPr baseColWidth="10" defaultRowHeight="15" x14ac:dyDescent="0.25"/>
  <sheetData>
    <row r="1" spans="1:13" ht="82.5" customHeight="1" x14ac:dyDescent="0.25">
      <c r="A1" s="1" t="s">
        <v>25</v>
      </c>
      <c r="B1" s="1"/>
      <c r="C1" s="1"/>
      <c r="D1" s="1"/>
      <c r="E1" s="1"/>
      <c r="F1" s="1"/>
      <c r="G1" s="1"/>
      <c r="H1" s="1"/>
      <c r="I1" s="1"/>
      <c r="J1" s="1"/>
      <c r="K1" s="1"/>
      <c r="L1" s="1"/>
      <c r="M1" s="1"/>
    </row>
    <row r="3" spans="1:13" x14ac:dyDescent="0.25">
      <c r="B3" t="s">
        <v>26</v>
      </c>
      <c r="C3" t="s">
        <v>27</v>
      </c>
      <c r="D3" t="s">
        <v>28</v>
      </c>
    </row>
    <row r="4" spans="1:13" x14ac:dyDescent="0.25">
      <c r="A4" t="s">
        <v>26</v>
      </c>
      <c r="B4">
        <v>0</v>
      </c>
      <c r="C4">
        <v>0.5</v>
      </c>
      <c r="D4">
        <v>0.5</v>
      </c>
    </row>
    <row r="5" spans="1:13" x14ac:dyDescent="0.25">
      <c r="A5" t="s">
        <v>27</v>
      </c>
      <c r="B5">
        <v>0.5</v>
      </c>
      <c r="C5">
        <v>0.3</v>
      </c>
      <c r="D5">
        <v>0.2</v>
      </c>
    </row>
    <row r="6" spans="1:13" x14ac:dyDescent="0.25">
      <c r="A6" t="s">
        <v>28</v>
      </c>
      <c r="B6">
        <v>0.8</v>
      </c>
      <c r="C6">
        <v>0.1</v>
      </c>
      <c r="D6">
        <v>0.1</v>
      </c>
    </row>
    <row r="8" spans="1:13" x14ac:dyDescent="0.25">
      <c r="A8" t="s">
        <v>29</v>
      </c>
    </row>
    <row r="10" spans="1:13" x14ac:dyDescent="0.25">
      <c r="A10" t="s">
        <v>18</v>
      </c>
    </row>
    <row r="11" spans="1:13" x14ac:dyDescent="0.25">
      <c r="A11" t="s">
        <v>30</v>
      </c>
    </row>
  </sheetData>
  <mergeCells count="1">
    <mergeCell ref="A1:M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F115F-872C-4C27-BE39-102FBE46892B}">
  <dimension ref="A1:K21"/>
  <sheetViews>
    <sheetView workbookViewId="0">
      <selection activeCell="B2" sqref="B2"/>
    </sheetView>
  </sheetViews>
  <sheetFormatPr baseColWidth="10" defaultRowHeight="15" x14ac:dyDescent="0.25"/>
  <cols>
    <col min="1" max="1" width="10.42578125" bestFit="1" customWidth="1"/>
    <col min="2" max="2" width="5.5703125" bestFit="1" customWidth="1"/>
    <col min="3" max="3" width="13.140625" bestFit="1" customWidth="1"/>
    <col min="4" max="4" width="6.5703125" bestFit="1" customWidth="1"/>
    <col min="5" max="5" width="8.28515625" bestFit="1" customWidth="1"/>
  </cols>
  <sheetData>
    <row r="1" spans="1:11" ht="60" customHeight="1" x14ac:dyDescent="0.25">
      <c r="A1" s="7" t="s">
        <v>45</v>
      </c>
      <c r="B1" s="7"/>
      <c r="C1" s="7"/>
      <c r="D1" s="7"/>
      <c r="E1" s="7"/>
      <c r="F1" s="7"/>
      <c r="G1" s="7"/>
      <c r="H1" s="7"/>
      <c r="I1" s="7"/>
      <c r="J1" s="7"/>
      <c r="K1" s="7"/>
    </row>
    <row r="2" spans="1:11" x14ac:dyDescent="0.25">
      <c r="A2" s="3" t="s">
        <v>31</v>
      </c>
      <c r="B2" s="16"/>
      <c r="C2" s="4" t="s">
        <v>32</v>
      </c>
      <c r="D2" s="4"/>
      <c r="E2" s="4"/>
    </row>
    <row r="3" spans="1:11" x14ac:dyDescent="0.25">
      <c r="A3" s="3" t="s">
        <v>33</v>
      </c>
      <c r="B3" s="3">
        <f>5+B2/2</f>
        <v>5</v>
      </c>
      <c r="C3" s="4" t="s">
        <v>32</v>
      </c>
      <c r="D3" s="4"/>
      <c r="E3" s="4"/>
    </row>
    <row r="4" spans="1:11" x14ac:dyDescent="0.25">
      <c r="A4" s="3" t="s">
        <v>34</v>
      </c>
      <c r="B4" s="5">
        <f>B2/B3</f>
        <v>0</v>
      </c>
      <c r="C4" s="4"/>
      <c r="D4" s="4"/>
      <c r="E4" s="4"/>
    </row>
    <row r="5" spans="1:11" x14ac:dyDescent="0.25">
      <c r="A5" s="3" t="s">
        <v>35</v>
      </c>
      <c r="B5" s="5">
        <f>1-B4</f>
        <v>1</v>
      </c>
      <c r="C5" s="4"/>
      <c r="D5" s="4"/>
      <c r="E5" s="4"/>
    </row>
    <row r="6" spans="1:11" x14ac:dyDescent="0.25">
      <c r="A6" s="3" t="s">
        <v>36</v>
      </c>
      <c r="B6" s="5">
        <f>B2*B2/(B3*(B3-B2))</f>
        <v>0</v>
      </c>
      <c r="C6" s="4" t="s">
        <v>37</v>
      </c>
      <c r="D6" s="4"/>
      <c r="E6" s="4"/>
    </row>
    <row r="7" spans="1:11" x14ac:dyDescent="0.25">
      <c r="A7" s="3" t="s">
        <v>38</v>
      </c>
      <c r="B7" s="5">
        <f>B2/(B3-B2)</f>
        <v>0</v>
      </c>
      <c r="C7" s="4" t="s">
        <v>37</v>
      </c>
      <c r="D7" s="4"/>
      <c r="E7" s="4"/>
    </row>
    <row r="8" spans="1:11" x14ac:dyDescent="0.25">
      <c r="A8" s="3" t="s">
        <v>39</v>
      </c>
      <c r="B8" s="5">
        <f>B4/(B3*(1-B4))</f>
        <v>0</v>
      </c>
      <c r="C8" s="4" t="s">
        <v>40</v>
      </c>
      <c r="D8" s="3">
        <f>B8*60</f>
        <v>0</v>
      </c>
      <c r="E8" s="4" t="s">
        <v>41</v>
      </c>
      <c r="H8" t="s">
        <v>47</v>
      </c>
    </row>
    <row r="9" spans="1:11" x14ac:dyDescent="0.25">
      <c r="A9" s="3" t="s">
        <v>42</v>
      </c>
      <c r="B9" s="5">
        <f>1/(B3*(1-B4))</f>
        <v>0.2</v>
      </c>
      <c r="C9" s="4" t="s">
        <v>40</v>
      </c>
      <c r="D9" s="3">
        <f>B9*60</f>
        <v>12</v>
      </c>
      <c r="E9" s="4" t="s">
        <v>41</v>
      </c>
      <c r="H9" t="s">
        <v>48</v>
      </c>
    </row>
    <row r="10" spans="1:11" x14ac:dyDescent="0.25">
      <c r="A10" s="3" t="s">
        <v>43</v>
      </c>
      <c r="B10" s="5">
        <f>B2/B3</f>
        <v>0</v>
      </c>
      <c r="C10" s="4"/>
      <c r="D10" s="4"/>
      <c r="E10" s="4"/>
    </row>
    <row r="11" spans="1:11" x14ac:dyDescent="0.25">
      <c r="A11" s="6"/>
      <c r="B11" s="6"/>
      <c r="C11" s="6"/>
      <c r="D11" s="6"/>
      <c r="E11" s="6"/>
    </row>
    <row r="12" spans="1:11" x14ac:dyDescent="0.25">
      <c r="A12" s="3" t="s">
        <v>44</v>
      </c>
      <c r="B12" s="3">
        <v>2</v>
      </c>
      <c r="C12" s="4"/>
      <c r="D12" s="4"/>
      <c r="E12" s="4"/>
    </row>
    <row r="13" spans="1:11" x14ac:dyDescent="0.25">
      <c r="A13" s="3" t="s">
        <v>31</v>
      </c>
      <c r="B13" s="3">
        <f>B2</f>
        <v>0</v>
      </c>
      <c r="C13" s="4" t="s">
        <v>32</v>
      </c>
      <c r="D13" s="4"/>
      <c r="E13" s="4"/>
    </row>
    <row r="14" spans="1:11" x14ac:dyDescent="0.25">
      <c r="A14" s="3" t="s">
        <v>33</v>
      </c>
      <c r="B14" s="3">
        <f>B3</f>
        <v>5</v>
      </c>
      <c r="C14" s="4" t="s">
        <v>32</v>
      </c>
      <c r="D14" s="4"/>
      <c r="E14" s="4"/>
    </row>
    <row r="15" spans="1:11" x14ac:dyDescent="0.25">
      <c r="A15" s="3" t="s">
        <v>34</v>
      </c>
      <c r="B15" s="5">
        <f>B13/(B12*B14)</f>
        <v>0</v>
      </c>
      <c r="C15" s="4"/>
      <c r="D15" s="4"/>
      <c r="E15" s="4"/>
    </row>
    <row r="16" spans="1:11" x14ac:dyDescent="0.25">
      <c r="A16" s="3" t="s">
        <v>35</v>
      </c>
      <c r="B16" s="5">
        <f>1/(1+(B13/B14)+((B13/B14)^2)/2*(2*B14/(2*B14-B13)))</f>
        <v>1</v>
      </c>
      <c r="C16" s="4"/>
      <c r="D16" s="4"/>
      <c r="E16" s="4"/>
    </row>
    <row r="17" spans="1:5" x14ac:dyDescent="0.25">
      <c r="A17" s="3" t="s">
        <v>36</v>
      </c>
      <c r="B17" s="5">
        <f>(((B13/B14)^2*B13*B14)/(2*B14-B13)^2)*B16</f>
        <v>0</v>
      </c>
      <c r="C17" s="4" t="s">
        <v>37</v>
      </c>
      <c r="D17" s="4"/>
      <c r="E17" s="4"/>
    </row>
    <row r="18" spans="1:5" x14ac:dyDescent="0.25">
      <c r="A18" s="3" t="s">
        <v>38</v>
      </c>
      <c r="B18" s="5">
        <f>B17+B15</f>
        <v>0</v>
      </c>
      <c r="C18" s="4" t="s">
        <v>37</v>
      </c>
      <c r="D18" s="4"/>
      <c r="E18" s="4"/>
    </row>
    <row r="19" spans="1:5" x14ac:dyDescent="0.25">
      <c r="A19" s="3" t="s">
        <v>39</v>
      </c>
      <c r="B19" s="5" t="e">
        <f>B17/B13</f>
        <v>#DIV/0!</v>
      </c>
      <c r="C19" s="4" t="s">
        <v>40</v>
      </c>
      <c r="D19" s="3" t="e">
        <f>B19*60</f>
        <v>#DIV/0!</v>
      </c>
      <c r="E19" s="4" t="s">
        <v>41</v>
      </c>
    </row>
    <row r="20" spans="1:5" x14ac:dyDescent="0.25">
      <c r="A20" s="3" t="s">
        <v>42</v>
      </c>
      <c r="B20" s="5" t="e">
        <f>B19+1/B14</f>
        <v>#DIV/0!</v>
      </c>
      <c r="C20" s="4" t="s">
        <v>40</v>
      </c>
      <c r="D20" s="3" t="e">
        <f>B20*60</f>
        <v>#DIV/0!</v>
      </c>
      <c r="E20" s="4" t="s">
        <v>41</v>
      </c>
    </row>
    <row r="21" spans="1:5" x14ac:dyDescent="0.25">
      <c r="A21" s="3" t="s">
        <v>43</v>
      </c>
      <c r="B21" s="5">
        <f>1/2*(B13/B14)^2*((2*B14)/(2*B14-B13))*B16</f>
        <v>0</v>
      </c>
      <c r="C21" s="4"/>
      <c r="D21" s="4"/>
      <c r="E21" s="4"/>
    </row>
  </sheetData>
  <mergeCells count="1">
    <mergeCell ref="A1:K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8F12E-41B7-4DF6-A3D0-B759473F1091}">
  <dimension ref="A1:P19"/>
  <sheetViews>
    <sheetView workbookViewId="0">
      <selection activeCell="B5" sqref="B5"/>
    </sheetView>
  </sheetViews>
  <sheetFormatPr baseColWidth="10" defaultRowHeight="15" x14ac:dyDescent="0.25"/>
  <cols>
    <col min="2" max="2" width="11" customWidth="1"/>
    <col min="3" max="3" width="13.5703125" customWidth="1"/>
  </cols>
  <sheetData>
    <row r="1" spans="1:16" ht="32.25" customHeight="1" x14ac:dyDescent="0.25">
      <c r="A1" s="8" t="s">
        <v>46</v>
      </c>
      <c r="B1" s="8"/>
      <c r="C1" s="8"/>
      <c r="D1" s="8"/>
      <c r="E1" s="8"/>
      <c r="F1" s="8"/>
      <c r="G1" s="8"/>
      <c r="H1" s="8"/>
      <c r="I1" s="8"/>
      <c r="J1" s="8"/>
      <c r="K1" s="8"/>
    </row>
    <row r="3" spans="1:16" x14ac:dyDescent="0.25">
      <c r="A3" s="2"/>
      <c r="B3" s="2"/>
      <c r="C3" s="2"/>
      <c r="D3" s="2"/>
      <c r="E3" s="2"/>
      <c r="F3" s="2"/>
      <c r="G3" s="2"/>
      <c r="H3" s="2"/>
      <c r="I3" s="2"/>
    </row>
    <row r="4" spans="1:16" ht="30" x14ac:dyDescent="0.25">
      <c r="A4" s="2" t="s">
        <v>49</v>
      </c>
      <c r="B4" s="17">
        <f>'Filas de espera'!B2</f>
        <v>0</v>
      </c>
      <c r="C4" s="2" t="s">
        <v>50</v>
      </c>
      <c r="D4" s="2"/>
      <c r="E4" s="2"/>
      <c r="F4" s="2"/>
      <c r="G4" s="2"/>
      <c r="H4" s="2"/>
      <c r="I4" s="2"/>
    </row>
    <row r="5" spans="1:16" ht="30" x14ac:dyDescent="0.25">
      <c r="A5" s="2" t="s">
        <v>51</v>
      </c>
      <c r="B5" s="15">
        <f>'Filas de espera'!B3</f>
        <v>5</v>
      </c>
      <c r="C5" s="2" t="s">
        <v>50</v>
      </c>
      <c r="D5" s="2"/>
      <c r="E5" s="2"/>
      <c r="F5" s="2"/>
      <c r="G5" s="2"/>
      <c r="H5" s="2"/>
      <c r="I5" s="2"/>
      <c r="L5" t="s">
        <v>47</v>
      </c>
    </row>
    <row r="6" spans="1:16" ht="15.75" thickBot="1" x14ac:dyDescent="0.3">
      <c r="A6" s="10"/>
      <c r="B6" s="10"/>
      <c r="C6" s="10"/>
      <c r="D6" s="10"/>
      <c r="E6" s="10"/>
      <c r="F6" s="10"/>
      <c r="G6" s="10"/>
      <c r="H6" s="10"/>
      <c r="I6" s="10"/>
      <c r="L6" t="s">
        <v>62</v>
      </c>
    </row>
    <row r="7" spans="1:16" ht="48" customHeight="1" thickBot="1" x14ac:dyDescent="0.3">
      <c r="A7" s="11" t="s">
        <v>52</v>
      </c>
      <c r="B7" s="12" t="s">
        <v>53</v>
      </c>
      <c r="C7" s="12" t="s">
        <v>54</v>
      </c>
      <c r="D7" s="12" t="s">
        <v>55</v>
      </c>
      <c r="E7" s="12" t="s">
        <v>61</v>
      </c>
      <c r="F7" s="12" t="s">
        <v>56</v>
      </c>
      <c r="G7" s="12" t="s">
        <v>57</v>
      </c>
      <c r="H7" s="12" t="s">
        <v>58</v>
      </c>
      <c r="I7" s="12" t="s">
        <v>59</v>
      </c>
      <c r="L7" s="14" t="s">
        <v>63</v>
      </c>
      <c r="M7" s="14"/>
      <c r="N7" s="14"/>
      <c r="O7" s="14"/>
      <c r="P7" s="14"/>
    </row>
    <row r="8" spans="1:16" ht="15.75" thickBot="1" x14ac:dyDescent="0.3">
      <c r="A8" s="11">
        <v>1</v>
      </c>
      <c r="B8" s="12">
        <v>0.3</v>
      </c>
      <c r="C8" s="12">
        <v>8.0299999999999994</v>
      </c>
      <c r="D8" s="12">
        <v>8.0299999999999994</v>
      </c>
      <c r="E8" s="12">
        <v>0</v>
      </c>
      <c r="F8" s="12">
        <v>8.0299999999999994</v>
      </c>
      <c r="G8" s="12">
        <v>0.4</v>
      </c>
      <c r="H8" s="12">
        <v>5.5</v>
      </c>
      <c r="I8" s="12">
        <v>13.52</v>
      </c>
    </row>
    <row r="9" spans="1:16" ht="15.75" thickBot="1" x14ac:dyDescent="0.3">
      <c r="A9" s="11">
        <v>2</v>
      </c>
      <c r="B9" s="12">
        <v>0.7</v>
      </c>
      <c r="C9" s="12">
        <v>2.38</v>
      </c>
      <c r="D9" s="12">
        <v>10.4</v>
      </c>
      <c r="E9" s="12">
        <v>3.12</v>
      </c>
      <c r="F9" s="12">
        <v>13.52</v>
      </c>
      <c r="G9" s="12">
        <v>0.8</v>
      </c>
      <c r="H9" s="12">
        <v>1.34</v>
      </c>
      <c r="I9" s="12">
        <v>14.86</v>
      </c>
    </row>
    <row r="10" spans="1:16" ht="15.75" thickBot="1" x14ac:dyDescent="0.3">
      <c r="A10" s="11">
        <v>3</v>
      </c>
      <c r="B10" s="12">
        <v>0.2</v>
      </c>
      <c r="C10" s="12">
        <v>10.73</v>
      </c>
      <c r="D10" s="12">
        <v>21.13</v>
      </c>
      <c r="E10" s="12">
        <v>0</v>
      </c>
      <c r="F10" s="12">
        <v>21.13</v>
      </c>
      <c r="G10" s="12">
        <v>0.2</v>
      </c>
      <c r="H10" s="12">
        <v>9.66</v>
      </c>
      <c r="I10" s="12">
        <v>30.79</v>
      </c>
    </row>
    <row r="11" spans="1:16" ht="15.75" thickBot="1" x14ac:dyDescent="0.3">
      <c r="A11" s="11">
        <v>4</v>
      </c>
      <c r="B11" s="12">
        <v>0.5</v>
      </c>
      <c r="C11" s="12">
        <v>4.62</v>
      </c>
      <c r="D11" s="12">
        <v>25.75</v>
      </c>
      <c r="E11" s="12">
        <v>5.04</v>
      </c>
      <c r="F11" s="12">
        <v>30.79</v>
      </c>
      <c r="G11" s="12">
        <v>0.5</v>
      </c>
      <c r="H11" s="12">
        <v>4.16</v>
      </c>
      <c r="I11" s="12">
        <v>34.950000000000003</v>
      </c>
    </row>
    <row r="12" spans="1:16" ht="15.75" thickBot="1" x14ac:dyDescent="0.3">
      <c r="A12" s="11">
        <v>5</v>
      </c>
      <c r="B12" s="12">
        <v>0.01</v>
      </c>
      <c r="C12" s="12">
        <v>30.7</v>
      </c>
      <c r="D12" s="12">
        <v>56.46</v>
      </c>
      <c r="E12" s="12">
        <v>0</v>
      </c>
      <c r="F12" s="12">
        <v>56.46</v>
      </c>
      <c r="G12" s="12">
        <v>0.1</v>
      </c>
      <c r="H12" s="12">
        <v>13.82</v>
      </c>
      <c r="I12" s="12">
        <v>70.27</v>
      </c>
    </row>
    <row r="13" spans="1:16" ht="15.75" thickBot="1" x14ac:dyDescent="0.3">
      <c r="A13" s="11">
        <v>6</v>
      </c>
      <c r="B13" s="12">
        <v>0.1</v>
      </c>
      <c r="C13" s="12">
        <v>15.35</v>
      </c>
      <c r="D13" s="12">
        <v>71.81</v>
      </c>
      <c r="E13" s="12">
        <v>0</v>
      </c>
      <c r="F13" s="12">
        <v>71.81</v>
      </c>
      <c r="G13" s="12">
        <v>0.7</v>
      </c>
      <c r="H13" s="12">
        <v>2.14</v>
      </c>
      <c r="I13" s="12">
        <v>73.95</v>
      </c>
    </row>
    <row r="14" spans="1:16" ht="15.75" thickBot="1" x14ac:dyDescent="0.3">
      <c r="A14" s="11">
        <v>7</v>
      </c>
      <c r="B14" s="12">
        <v>0.9</v>
      </c>
      <c r="C14" s="12">
        <v>0.7</v>
      </c>
      <c r="D14" s="12">
        <v>72.510000000000005</v>
      </c>
      <c r="E14" s="12">
        <v>1.44</v>
      </c>
      <c r="F14" s="12">
        <v>73.95</v>
      </c>
      <c r="G14" s="12">
        <v>0.08</v>
      </c>
      <c r="H14" s="12">
        <v>15.15</v>
      </c>
      <c r="I14" s="12">
        <v>89.1</v>
      </c>
    </row>
    <row r="15" spans="1:16" ht="15.75" thickBot="1" x14ac:dyDescent="0.3">
      <c r="A15" s="11">
        <v>8</v>
      </c>
      <c r="B15" s="12">
        <v>0.4</v>
      </c>
      <c r="C15" s="12">
        <v>6.11</v>
      </c>
      <c r="D15" s="12">
        <v>78.62</v>
      </c>
      <c r="E15" s="12">
        <v>10.48</v>
      </c>
      <c r="F15" s="12">
        <v>89.1</v>
      </c>
      <c r="G15" s="12">
        <v>0.3</v>
      </c>
      <c r="H15" s="12">
        <v>7.22</v>
      </c>
      <c r="I15" s="12">
        <v>96.32</v>
      </c>
    </row>
    <row r="16" spans="1:16" ht="15.75" thickBot="1" x14ac:dyDescent="0.3">
      <c r="A16" s="11">
        <v>9</v>
      </c>
      <c r="B16" s="12">
        <v>0.35</v>
      </c>
      <c r="C16" s="12">
        <v>7</v>
      </c>
      <c r="D16" s="12">
        <v>85.62</v>
      </c>
      <c r="E16" s="12">
        <v>10.71</v>
      </c>
      <c r="F16" s="12">
        <v>96.32</v>
      </c>
      <c r="G16" s="12">
        <v>0.9</v>
      </c>
      <c r="H16" s="12">
        <v>0.63</v>
      </c>
      <c r="I16" s="12">
        <v>96.96</v>
      </c>
    </row>
    <row r="17" spans="1:9" ht="15.75" thickBot="1" x14ac:dyDescent="0.3">
      <c r="A17" s="11">
        <v>10</v>
      </c>
      <c r="B17" s="12">
        <v>0.8</v>
      </c>
      <c r="C17" s="12">
        <v>1.49</v>
      </c>
      <c r="D17" s="12">
        <v>87.1</v>
      </c>
      <c r="E17" s="12">
        <v>9.85</v>
      </c>
      <c r="F17" s="12">
        <v>96.96</v>
      </c>
      <c r="G17" s="12">
        <v>0.4</v>
      </c>
      <c r="H17" s="12">
        <v>5.5</v>
      </c>
      <c r="I17" s="12">
        <v>102.45</v>
      </c>
    </row>
    <row r="18" spans="1:9" x14ac:dyDescent="0.25">
      <c r="A18" s="2"/>
      <c r="B18" s="2"/>
      <c r="C18" s="2"/>
      <c r="D18" s="2"/>
      <c r="E18" s="2"/>
      <c r="F18" s="2"/>
      <c r="G18" s="2"/>
      <c r="H18" s="2"/>
      <c r="I18" s="2"/>
    </row>
    <row r="19" spans="1:9" x14ac:dyDescent="0.25">
      <c r="A19" s="2"/>
      <c r="B19" s="2"/>
      <c r="C19" s="2"/>
      <c r="D19" s="9" t="s">
        <v>60</v>
      </c>
      <c r="E19" s="13">
        <v>4.0599999999999996</v>
      </c>
      <c r="F19" s="2"/>
      <c r="G19" s="2"/>
      <c r="H19" s="2"/>
      <c r="I19" s="2"/>
    </row>
  </sheetData>
  <mergeCells count="2">
    <mergeCell ref="A1:K1"/>
    <mergeCell ref="L7:P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Program Proy</vt:lpstr>
      <vt:lpstr>Markov</vt:lpstr>
      <vt:lpstr>Filas de espera</vt:lpstr>
      <vt:lpstr>Simulacion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facu medina</cp:lastModifiedBy>
  <dcterms:created xsi:type="dcterms:W3CDTF">2022-07-15T17:38:50Z</dcterms:created>
  <dcterms:modified xsi:type="dcterms:W3CDTF">2022-07-15T23:03:26Z</dcterms:modified>
</cp:coreProperties>
</file>