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FlorenciaBenevenia\Documents\Trabajo\Investigación Operativa\2022\9.- Recuperatorio Febrero\"/>
    </mc:Choice>
  </mc:AlternateContent>
  <xr:revisionPtr revIDLastSave="0" documentId="13_ncr:1_{314C0F92-42F0-4C53-AC34-1393F76A8AD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Teoría" sheetId="1" r:id="rId1"/>
    <sheet name="P2 bis" sheetId="5" state="hidden" r:id="rId2"/>
    <sheet name="P1" sheetId="3" r:id="rId3"/>
    <sheet name="P2" sheetId="7" r:id="rId4"/>
    <sheet name="P3" sheetId="8" r:id="rId5"/>
    <sheet name="P4" sheetId="6" r:id="rId6"/>
  </sheets>
  <definedNames>
    <definedName name="solver_adj" localSheetId="3" hidden="1">'P2'!$B$2:$B$3</definedName>
    <definedName name="solver_adj" localSheetId="1" hidden="1">'P2 bis'!$B$2:$B$4</definedName>
    <definedName name="solver_cvg" localSheetId="3" hidden="1">0.0001</definedName>
    <definedName name="solver_cvg" localSheetId="1" hidden="1">0.0001</definedName>
    <definedName name="solver_drv" localSheetId="3" hidden="1">1</definedName>
    <definedName name="solver_drv" localSheetId="1" hidden="1">1</definedName>
    <definedName name="solver_eng" localSheetId="3" hidden="1">1</definedName>
    <definedName name="solver_eng" localSheetId="1" hidden="1">1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2147483647</definedName>
    <definedName name="solver_lhs1" localSheetId="3" hidden="1">'P2'!$B$5</definedName>
    <definedName name="solver_lhs1" localSheetId="1" hidden="1">'P2 bis'!$B$6</definedName>
    <definedName name="solver_lhs2" localSheetId="3" hidden="1">'P2'!$B$6</definedName>
    <definedName name="solver_lhs2" localSheetId="1" hidden="1">'P2 bis'!$B$7</definedName>
    <definedName name="solver_lhs3" localSheetId="3" hidden="1">'P2'!#REF!</definedName>
    <definedName name="solver_lhs3" localSheetId="1" hidden="1">'P2 bis'!$B$8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0.075</definedName>
    <definedName name="solver_mrt" localSheetId="1" hidden="1">0.075</definedName>
    <definedName name="solver_msl" localSheetId="3" hidden="1">2</definedName>
    <definedName name="solver_msl" localSheetId="1" hidden="1">2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od" localSheetId="1" hidden="1">2147483647</definedName>
    <definedName name="solver_num" localSheetId="3" hidden="1">2</definedName>
    <definedName name="solver_num" localSheetId="1" hidden="1">3</definedName>
    <definedName name="solver_nwt" localSheetId="3" hidden="1">1</definedName>
    <definedName name="solver_nwt" localSheetId="1" hidden="1">1</definedName>
    <definedName name="solver_opt" localSheetId="3" hidden="1">'P2'!$B$8</definedName>
    <definedName name="solver_opt" localSheetId="1" hidden="1">'P2 bis'!$B$10</definedName>
    <definedName name="solver_pre" localSheetId="3" hidden="1">0.000001</definedName>
    <definedName name="solver_pre" localSheetId="1" hidden="1">0.000001</definedName>
    <definedName name="solver_rbv" localSheetId="3" hidden="1">1</definedName>
    <definedName name="solver_rbv" localSheetId="1" hidden="1">1</definedName>
    <definedName name="solver_rel1" localSheetId="3" hidden="1">3</definedName>
    <definedName name="solver_rel1" localSheetId="1" hidden="1">1</definedName>
    <definedName name="solver_rel2" localSheetId="3" hidden="1">3</definedName>
    <definedName name="solver_rel2" localSheetId="1" hidden="1">1</definedName>
    <definedName name="solver_rel3" localSheetId="3" hidden="1">1</definedName>
    <definedName name="solver_rel3" localSheetId="1" hidden="1">1</definedName>
    <definedName name="solver_rhs1" localSheetId="3" hidden="1">'P2'!$A$5</definedName>
    <definedName name="solver_rhs1" localSheetId="1" hidden="1">'P2 bis'!$A$6</definedName>
    <definedName name="solver_rhs2" localSheetId="3" hidden="1">'P2'!$A$6</definedName>
    <definedName name="solver_rhs2" localSheetId="1" hidden="1">'P2 bis'!$A$7</definedName>
    <definedName name="solver_rhs3" localSheetId="3" hidden="1">'P2'!#REF!</definedName>
    <definedName name="solver_rhs3" localSheetId="1" hidden="1">'P2 bis'!$A$8</definedName>
    <definedName name="solver_rlx" localSheetId="3" hidden="1">2</definedName>
    <definedName name="solver_rlx" localSheetId="1" hidden="1">2</definedName>
    <definedName name="solver_rsd" localSheetId="3" hidden="1">0</definedName>
    <definedName name="solver_rsd" localSheetId="1" hidden="1">0</definedName>
    <definedName name="solver_scl" localSheetId="3" hidden="1">1</definedName>
    <definedName name="solver_scl" localSheetId="1" hidden="1">1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2147483647</definedName>
    <definedName name="solver_tol" localSheetId="3" hidden="1">0.01</definedName>
    <definedName name="solver_tol" localSheetId="1" hidden="1">0.01</definedName>
    <definedName name="solver_typ" localSheetId="3" hidden="1">2</definedName>
    <definedName name="solver_typ" localSheetId="1" hidden="1">1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E3" i="8" s="1"/>
  <c r="I3" i="8" s="1"/>
  <c r="E2" i="8"/>
  <c r="B2" i="8"/>
  <c r="E26" i="7"/>
  <c r="E25" i="7"/>
  <c r="C19" i="7" a="1"/>
  <c r="C19" i="7" s="1"/>
  <c r="C15" i="7" a="1"/>
  <c r="C15" i="7" s="1"/>
  <c r="C11" i="7" a="1"/>
  <c r="C11" i="7" s="1"/>
  <c r="F12" i="3"/>
  <c r="F11" i="3"/>
  <c r="F10" i="3"/>
  <c r="F9" i="3"/>
  <c r="F8" i="3"/>
  <c r="F7" i="3"/>
  <c r="F6" i="3"/>
  <c r="F5" i="3"/>
  <c r="F4" i="3"/>
  <c r="F3" i="3"/>
  <c r="F2" i="3"/>
  <c r="E12" i="3"/>
  <c r="E11" i="3"/>
  <c r="E10" i="3"/>
  <c r="E9" i="3"/>
  <c r="E8" i="3"/>
  <c r="E7" i="3"/>
  <c r="E6" i="3"/>
  <c r="E5" i="3"/>
  <c r="E4" i="3"/>
  <c r="E3" i="3"/>
  <c r="E2" i="3"/>
  <c r="D12" i="3"/>
  <c r="D11" i="3"/>
  <c r="D10" i="3"/>
  <c r="D9" i="3"/>
  <c r="D8" i="3"/>
  <c r="D7" i="3"/>
  <c r="D6" i="3"/>
  <c r="D5" i="3"/>
  <c r="D3" i="3"/>
  <c r="D4" i="3"/>
  <c r="D2" i="3"/>
  <c r="C7" i="7" a="1"/>
  <c r="C7" i="7" s="1"/>
  <c r="G11" i="8" l="1"/>
  <c r="I2" i="8"/>
  <c r="G8" i="8"/>
  <c r="G5" i="8" s="1"/>
  <c r="H15" i="6" l="1"/>
  <c r="C15" i="6"/>
  <c r="H14" i="6"/>
  <c r="C14" i="6"/>
  <c r="H13" i="6"/>
  <c r="C13" i="6"/>
  <c r="H12" i="6"/>
  <c r="C12" i="6"/>
  <c r="H11" i="6"/>
  <c r="C11" i="6"/>
  <c r="B8" i="5"/>
  <c r="B7" i="5"/>
  <c r="B6" i="5"/>
  <c r="B10" i="5"/>
  <c r="C6" i="6"/>
  <c r="D6" i="6" s="1"/>
  <c r="H6" i="6"/>
  <c r="C7" i="6"/>
  <c r="H7" i="6"/>
  <c r="C8" i="6"/>
  <c r="H8" i="6"/>
  <c r="C9" i="6"/>
  <c r="H9" i="6"/>
  <c r="C10" i="6"/>
  <c r="H10" i="6"/>
  <c r="F6" i="6" l="1"/>
  <c r="E6" i="6" s="1"/>
  <c r="E17" i="6" s="1"/>
  <c r="D7" i="6"/>
  <c r="F7" i="6" l="1"/>
  <c r="D8" i="6"/>
  <c r="I6" i="6"/>
  <c r="E7" i="6" l="1"/>
  <c r="I7" i="6"/>
  <c r="D9" i="6"/>
  <c r="F8" i="6"/>
  <c r="F9" i="6" l="1"/>
  <c r="D10" i="6"/>
  <c r="D11" i="6" s="1"/>
  <c r="E8" i="6"/>
  <c r="I8" i="6"/>
  <c r="D12" i="6" l="1"/>
  <c r="F11" i="6"/>
  <c r="F10" i="6"/>
  <c r="E9" i="6"/>
  <c r="I9" i="6"/>
  <c r="E11" i="6" l="1"/>
  <c r="I11" i="6"/>
  <c r="D13" i="6"/>
  <c r="F12" i="6"/>
  <c r="E10" i="6"/>
  <c r="I10" i="6"/>
  <c r="E12" i="6" l="1"/>
  <c r="I12" i="6"/>
  <c r="F13" i="6"/>
  <c r="D14" i="6"/>
  <c r="E13" i="6" l="1"/>
  <c r="I13" i="6"/>
  <c r="D15" i="6"/>
  <c r="F15" i="6" s="1"/>
  <c r="F14" i="6"/>
  <c r="E15" i="6" l="1"/>
  <c r="I15" i="6"/>
  <c r="I14" i="6"/>
  <c r="E1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<sst xmlns="http://schemas.openxmlformats.org/spreadsheetml/2006/main" count="92" uniqueCount="63">
  <si>
    <t>X</t>
  </si>
  <si>
    <t>A</t>
  </si>
  <si>
    <t>B</t>
  </si>
  <si>
    <t>C</t>
  </si>
  <si>
    <t>D</t>
  </si>
  <si>
    <t>E</t>
  </si>
  <si>
    <t>F</t>
  </si>
  <si>
    <t>Y</t>
  </si>
  <si>
    <t>Z</t>
  </si>
  <si>
    <t>1a</t>
  </si>
  <si>
    <t>1b</t>
  </si>
  <si>
    <t>1c</t>
  </si>
  <si>
    <t>1d</t>
  </si>
  <si>
    <t>Promedio</t>
  </si>
  <si>
    <t>Momento de Salida</t>
  </si>
  <si>
    <t>Nro Aleatorio 2</t>
  </si>
  <si>
    <t>Momento en que es atendido</t>
  </si>
  <si>
    <t>Tiempo de Espera</t>
  </si>
  <si>
    <t>Momento de Arribo (minutos)</t>
  </si>
  <si>
    <t>Llegada (minutos)</t>
  </si>
  <si>
    <t>Nro Aleatorio 1</t>
  </si>
  <si>
    <t>Nro de Llegada</t>
  </si>
  <si>
    <t>clientes/hora</t>
  </si>
  <si>
    <t>Atención</t>
  </si>
  <si>
    <t>Llegadas</t>
  </si>
  <si>
    <t>Tiempo de Atención (minutos)</t>
  </si>
  <si>
    <t>Solver</t>
  </si>
  <si>
    <t>Iteración 1</t>
  </si>
  <si>
    <t>Iteración 2 - Optima</t>
  </si>
  <si>
    <t>Actividad</t>
  </si>
  <si>
    <t>Predecesor</t>
  </si>
  <si>
    <t>Duración</t>
  </si>
  <si>
    <t>-</t>
  </si>
  <si>
    <t>ro</t>
  </si>
  <si>
    <t>Salidas</t>
  </si>
  <si>
    <r>
      <t xml:space="preserve">L = Lc + </t>
    </r>
    <r>
      <rPr>
        <sz val="14"/>
        <color rgb="FF000000"/>
        <rFont val="Symbol"/>
        <family val="1"/>
        <charset val="2"/>
      </rPr>
      <t>r</t>
    </r>
  </si>
  <si>
    <t>Solo puede haber un nodo inicial y un nodo final</t>
  </si>
  <si>
    <t>Existen Juegos Estáticos como "piedra, papel, tijera"</t>
  </si>
  <si>
    <t>G</t>
  </si>
  <si>
    <t>H</t>
  </si>
  <si>
    <t>I</t>
  </si>
  <si>
    <t>J</t>
  </si>
  <si>
    <t>K</t>
  </si>
  <si>
    <t>F, G</t>
  </si>
  <si>
    <t>D, H</t>
  </si>
  <si>
    <t>MT</t>
  </si>
  <si>
    <t>ML</t>
  </si>
  <si>
    <t>MI</t>
  </si>
  <si>
    <t>Ruta Crítica?</t>
  </si>
  <si>
    <t>Sí</t>
  </si>
  <si>
    <t>Critico</t>
  </si>
  <si>
    <t>Serio</t>
  </si>
  <si>
    <t>Estable</t>
  </si>
  <si>
    <t>P2</t>
  </si>
  <si>
    <t>P4</t>
  </si>
  <si>
    <t>P16</t>
  </si>
  <si>
    <t>P256</t>
  </si>
  <si>
    <t>Camas Inicial</t>
  </si>
  <si>
    <t>Camas Disponibles</t>
  </si>
  <si>
    <t>Camas Reservadas para Críticos</t>
  </si>
  <si>
    <t>4 camas</t>
  </si>
  <si>
    <t>Ta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</si>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</sst>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000000"/>
      <name val="Calibri"/>
      <family val="2"/>
    </font>
    <font>
      <sz val="14"/>
      <color rgb="FF000000"/>
      <name val="Symbol"/>
      <family val="1"/>
      <charset val="2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0" borderId="0" xfId="1" applyNumberFormat="1" applyFont="1"/>
    <xf numFmtId="0" fontId="0" fillId="0" borderId="1" xfId="0" applyBorder="1"/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 readingOrder="1"/>
    </xf>
    <xf numFmtId="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2" fontId="0" fillId="0" borderId="0" xfId="0" applyNumberFormat="1"/>
    <xf numFmtId="0" fontId="8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0" fillId="5" borderId="1" xfId="0" applyFill="1" applyBorder="1"/>
    <xf numFmtId="2" fontId="4" fillId="5" borderId="0" xfId="0" applyNumberFormat="1" applyFont="1" applyFill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38100</xdr:rowOff>
    </xdr:from>
    <xdr:to>
      <xdr:col>10</xdr:col>
      <xdr:colOff>38100</xdr:colOff>
      <xdr:row>14</xdr:row>
      <xdr:rowOff>97815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E86E5F-28FF-7297-ECC4-FD323E5BC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38100"/>
          <a:ext cx="5876925" cy="272671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666750</xdr:colOff>
      <xdr:row>2</xdr:row>
      <xdr:rowOff>19050</xdr:rowOff>
    </xdr:from>
    <xdr:to>
      <xdr:col>15</xdr:col>
      <xdr:colOff>399607</xdr:colOff>
      <xdr:row>9</xdr:row>
      <xdr:rowOff>76026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E59626-ACE8-C720-C895-5D482A87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2825" y="400050"/>
          <a:ext cx="3542857" cy="139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15</xdr:col>
      <xdr:colOff>409143</xdr:colOff>
      <xdr:row>18</xdr:row>
      <xdr:rowOff>47452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1F3336-78FF-09D0-CE02-C8E24EB8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8075" y="2095500"/>
          <a:ext cx="3457143" cy="13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6</xdr:row>
      <xdr:rowOff>142876</xdr:rowOff>
    </xdr:from>
    <xdr:to>
      <xdr:col>13</xdr:col>
      <xdr:colOff>714375</xdr:colOff>
      <xdr:row>9</xdr:row>
      <xdr:rowOff>47626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31D4A15E-6093-AE01-0301-6793A9485B92}"/>
            </a:ext>
          </a:extLst>
        </xdr:cNvPr>
        <xdr:cNvGrpSpPr/>
      </xdr:nvGrpSpPr>
      <xdr:grpSpPr>
        <a:xfrm>
          <a:off x="10125075" y="1285876"/>
          <a:ext cx="495300" cy="476250"/>
          <a:chOff x="8134350" y="304800"/>
          <a:chExt cx="647700" cy="657225"/>
        </a:xfrm>
      </xdr:grpSpPr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4CAEFDA4-4217-1B37-BE3F-9163D943B9E6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4</a:t>
            </a:r>
          </a:p>
        </xdr:txBody>
      </xdr: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DF5F739A-5205-5E8B-A84B-658E5EF73AC8}"/>
              </a:ext>
            </a:extLst>
          </xdr:cNvPr>
          <xdr:cNvCxnSpPr>
            <a:stCxn id="4" idx="0"/>
            <a:endCxn id="4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1672E8AC-6BDF-20F1-307F-B1DC17FD2297}"/>
              </a:ext>
            </a:extLst>
          </xdr:cNvPr>
          <xdr:cNvCxnSpPr>
            <a:stCxn id="4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714375</xdr:colOff>
      <xdr:row>8</xdr:row>
      <xdr:rowOff>1</xdr:rowOff>
    </xdr:from>
    <xdr:to>
      <xdr:col>14</xdr:col>
      <xdr:colOff>739285</xdr:colOff>
      <xdr:row>11</xdr:row>
      <xdr:rowOff>41171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AEA9D3B4-56DC-EC42-859B-E80CC66C2270}"/>
            </a:ext>
          </a:extLst>
        </xdr:cNvPr>
        <xdr:cNvCxnSpPr>
          <a:stCxn id="4" idx="6"/>
          <a:endCxn id="79" idx="1"/>
        </xdr:cNvCxnSpPr>
      </xdr:nvCxnSpPr>
      <xdr:spPr>
        <a:xfrm>
          <a:off x="10620375" y="1524001"/>
          <a:ext cx="786910" cy="6126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7</xdr:row>
      <xdr:rowOff>180976</xdr:rowOff>
    </xdr:from>
    <xdr:to>
      <xdr:col>13</xdr:col>
      <xdr:colOff>219075</xdr:colOff>
      <xdr:row>8</xdr:row>
      <xdr:rowOff>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C744AA8C-0F9C-4DFF-B252-3A4D670FF8AE}"/>
            </a:ext>
          </a:extLst>
        </xdr:cNvPr>
        <xdr:cNvCxnSpPr>
          <a:stCxn id="56" idx="6"/>
          <a:endCxn id="4" idx="2"/>
        </xdr:cNvCxnSpPr>
      </xdr:nvCxnSpPr>
      <xdr:spPr>
        <a:xfrm>
          <a:off x="9391650" y="1514476"/>
          <a:ext cx="7334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9</xdr:row>
      <xdr:rowOff>47626</xdr:rowOff>
    </xdr:from>
    <xdr:to>
      <xdr:col>13</xdr:col>
      <xdr:colOff>466725</xdr:colOff>
      <xdr:row>11</xdr:row>
      <xdr:rowOff>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83104F64-B1C4-405F-A1D8-C1F4EB8C50DB}"/>
            </a:ext>
          </a:extLst>
        </xdr:cNvPr>
        <xdr:cNvCxnSpPr>
          <a:stCxn id="30" idx="0"/>
          <a:endCxn id="4" idx="4"/>
        </xdr:cNvCxnSpPr>
      </xdr:nvCxnSpPr>
      <xdr:spPr>
        <a:xfrm flipV="1">
          <a:off x="9991725" y="1762126"/>
          <a:ext cx="381000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15</xdr:row>
      <xdr:rowOff>142876</xdr:rowOff>
    </xdr:from>
    <xdr:to>
      <xdr:col>13</xdr:col>
      <xdr:colOff>714375</xdr:colOff>
      <xdr:row>18</xdr:row>
      <xdr:rowOff>47626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EC685CDC-F1F3-43F9-8F38-99E61A075FB7}"/>
            </a:ext>
          </a:extLst>
        </xdr:cNvPr>
        <xdr:cNvGrpSpPr/>
      </xdr:nvGrpSpPr>
      <xdr:grpSpPr>
        <a:xfrm>
          <a:off x="10125075" y="3000376"/>
          <a:ext cx="495300" cy="476250"/>
          <a:chOff x="8134350" y="304800"/>
          <a:chExt cx="647700" cy="657225"/>
        </a:xfrm>
      </xdr:grpSpPr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FE87C195-CC7B-62EB-29D6-CB66843C2F7F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7</a:t>
            </a:r>
          </a:p>
        </xdr:txBody>
      </xdr:sp>
      <xdr:cxnSp macro="">
        <xdr:nvCxnSpPr>
          <xdr:cNvPr id="24" name="Conector recto 23">
            <a:extLst>
              <a:ext uri="{FF2B5EF4-FFF2-40B4-BE49-F238E27FC236}">
                <a16:creationId xmlns:a16="http://schemas.microsoft.com/office/drawing/2014/main" id="{A4310346-D6DD-8836-D89D-B6C21BF43E22}"/>
              </a:ext>
            </a:extLst>
          </xdr:cNvPr>
          <xdr:cNvCxnSpPr>
            <a:stCxn id="23" idx="0"/>
            <a:endCxn id="23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C59D4652-41BA-8B66-77C5-E0AFE8AACA57}"/>
              </a:ext>
            </a:extLst>
          </xdr:cNvPr>
          <xdr:cNvCxnSpPr>
            <a:stCxn id="23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714375</xdr:colOff>
      <xdr:row>12</xdr:row>
      <xdr:rowOff>187431</xdr:rowOff>
    </xdr:from>
    <xdr:to>
      <xdr:col>14</xdr:col>
      <xdr:colOff>739285</xdr:colOff>
      <xdr:row>17</xdr:row>
      <xdr:rowOff>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76C325AF-F010-4171-B6E0-45A56BCFADBA}"/>
            </a:ext>
          </a:extLst>
        </xdr:cNvPr>
        <xdr:cNvCxnSpPr>
          <a:stCxn id="23" idx="6"/>
          <a:endCxn id="79" idx="3"/>
        </xdr:cNvCxnSpPr>
      </xdr:nvCxnSpPr>
      <xdr:spPr>
        <a:xfrm flipV="1">
          <a:off x="10620375" y="2473431"/>
          <a:ext cx="786910" cy="765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361950</xdr:colOff>
      <xdr:row>17</xdr:row>
      <xdr:rowOff>1</xdr:rowOff>
    </xdr:from>
    <xdr:to>
      <xdr:col>13</xdr:col>
      <xdr:colOff>219075</xdr:colOff>
      <xdr:row>17</xdr:row>
      <xdr:rowOff>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3EBC3895-D1C6-4C46-87EF-1887F818F17E}"/>
            </a:ext>
          </a:extLst>
        </xdr:cNvPr>
        <xdr:cNvCxnSpPr>
          <a:stCxn id="46" idx="6"/>
          <a:endCxn id="23" idx="2"/>
        </xdr:cNvCxnSpPr>
      </xdr:nvCxnSpPr>
      <xdr:spPr>
        <a:xfrm>
          <a:off x="9505950" y="3238501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13</xdr:row>
      <xdr:rowOff>95251</xdr:rowOff>
    </xdr:from>
    <xdr:to>
      <xdr:col>13</xdr:col>
      <xdr:colOff>291610</xdr:colOff>
      <xdr:row>16</xdr:row>
      <xdr:rowOff>22121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70CD43BD-8854-464C-AFF4-BFE36FA63D0E}"/>
            </a:ext>
          </a:extLst>
        </xdr:cNvPr>
        <xdr:cNvCxnSpPr>
          <a:stCxn id="30" idx="4"/>
          <a:endCxn id="23" idx="1"/>
        </xdr:cNvCxnSpPr>
      </xdr:nvCxnSpPr>
      <xdr:spPr>
        <a:xfrm>
          <a:off x="9991725" y="2571751"/>
          <a:ext cx="205885" cy="498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11</xdr:row>
      <xdr:rowOff>1</xdr:rowOff>
    </xdr:from>
    <xdr:to>
      <xdr:col>13</xdr:col>
      <xdr:colOff>333375</xdr:colOff>
      <xdr:row>13</xdr:row>
      <xdr:rowOff>95251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D58775E5-E8D7-4A70-B224-B08A48B66E40}"/>
            </a:ext>
          </a:extLst>
        </xdr:cNvPr>
        <xdr:cNvGrpSpPr/>
      </xdr:nvGrpSpPr>
      <xdr:grpSpPr>
        <a:xfrm>
          <a:off x="9744075" y="2095501"/>
          <a:ext cx="495300" cy="476250"/>
          <a:chOff x="8134350" y="304800"/>
          <a:chExt cx="647700" cy="657225"/>
        </a:xfrm>
      </xdr:grpSpPr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D6DAD0E0-E017-88D6-A710-0DBA54FA3DEE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5</a:t>
            </a:r>
          </a:p>
        </xdr:txBody>
      </xdr:sp>
      <xdr:cxnSp macro="">
        <xdr:nvCxnSpPr>
          <xdr:cNvPr id="31" name="Conector recto 30">
            <a:extLst>
              <a:ext uri="{FF2B5EF4-FFF2-40B4-BE49-F238E27FC236}">
                <a16:creationId xmlns:a16="http://schemas.microsoft.com/office/drawing/2014/main" id="{F1EFA8F4-22B3-951D-1997-DEB033FDB97D}"/>
              </a:ext>
            </a:extLst>
          </xdr:cNvPr>
          <xdr:cNvCxnSpPr>
            <a:stCxn id="30" idx="0"/>
            <a:endCxn id="30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cto 31">
            <a:extLst>
              <a:ext uri="{FF2B5EF4-FFF2-40B4-BE49-F238E27FC236}">
                <a16:creationId xmlns:a16="http://schemas.microsoft.com/office/drawing/2014/main" id="{E204301B-C1E2-1FAC-D67C-CE6C01A5738B}"/>
              </a:ext>
            </a:extLst>
          </xdr:cNvPr>
          <xdr:cNvCxnSpPr>
            <a:stCxn id="30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333375</xdr:colOff>
      <xdr:row>12</xdr:row>
      <xdr:rowOff>19051</xdr:rowOff>
    </xdr:from>
    <xdr:to>
      <xdr:col>14</xdr:col>
      <xdr:colOff>666750</xdr:colOff>
      <xdr:row>12</xdr:row>
      <xdr:rowOff>47626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A2F27A2-2B67-468C-9428-67473FA11453}"/>
            </a:ext>
          </a:extLst>
        </xdr:cNvPr>
        <xdr:cNvCxnSpPr>
          <a:stCxn id="30" idx="6"/>
          <a:endCxn id="79" idx="2"/>
        </xdr:cNvCxnSpPr>
      </xdr:nvCxnSpPr>
      <xdr:spPr>
        <a:xfrm flipV="1">
          <a:off x="10239375" y="2305051"/>
          <a:ext cx="10953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12</xdr:row>
      <xdr:rowOff>47626</xdr:rowOff>
    </xdr:from>
    <xdr:to>
      <xdr:col>12</xdr:col>
      <xdr:colOff>600075</xdr:colOff>
      <xdr:row>15</xdr:row>
      <xdr:rowOff>142876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EDE92655-BE4B-409F-99E3-1440409C038D}"/>
            </a:ext>
          </a:extLst>
        </xdr:cNvPr>
        <xdr:cNvCxnSpPr>
          <a:stCxn id="46" idx="0"/>
          <a:endCxn id="30" idx="2"/>
        </xdr:cNvCxnSpPr>
      </xdr:nvCxnSpPr>
      <xdr:spPr>
        <a:xfrm flipV="1">
          <a:off x="9258300" y="2333626"/>
          <a:ext cx="485775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628650</xdr:colOff>
      <xdr:row>15</xdr:row>
      <xdr:rowOff>142876</xdr:rowOff>
    </xdr:from>
    <xdr:to>
      <xdr:col>12</xdr:col>
      <xdr:colOff>361950</xdr:colOff>
      <xdr:row>18</xdr:row>
      <xdr:rowOff>47626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D80123B1-F4FB-4CF6-9BBB-3E675CD45B49}"/>
            </a:ext>
          </a:extLst>
        </xdr:cNvPr>
        <xdr:cNvGrpSpPr/>
      </xdr:nvGrpSpPr>
      <xdr:grpSpPr>
        <a:xfrm>
          <a:off x="9010650" y="3000376"/>
          <a:ext cx="495300" cy="476250"/>
          <a:chOff x="8134350" y="304800"/>
          <a:chExt cx="647700" cy="657225"/>
        </a:xfrm>
      </xdr:grpSpPr>
      <xdr:sp macro="" textlink="">
        <xdr:nvSpPr>
          <xdr:cNvPr id="46" name="Elipse 45">
            <a:extLst>
              <a:ext uri="{FF2B5EF4-FFF2-40B4-BE49-F238E27FC236}">
                <a16:creationId xmlns:a16="http://schemas.microsoft.com/office/drawing/2014/main" id="{B364F2F7-43F2-2142-7BC7-29F4CF5B1997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6</a:t>
            </a:r>
          </a:p>
        </xdr:txBody>
      </xdr: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AB0B9A12-F6ED-2587-5693-A728127E8117}"/>
              </a:ext>
            </a:extLst>
          </xdr:cNvPr>
          <xdr:cNvCxnSpPr>
            <a:stCxn id="46" idx="0"/>
            <a:endCxn id="46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ector recto 47">
            <a:extLst>
              <a:ext uri="{FF2B5EF4-FFF2-40B4-BE49-F238E27FC236}">
                <a16:creationId xmlns:a16="http://schemas.microsoft.com/office/drawing/2014/main" id="{50BA82BF-2230-A5E3-2ABB-E5C77AC4F230}"/>
              </a:ext>
            </a:extLst>
          </xdr:cNvPr>
          <xdr:cNvCxnSpPr>
            <a:stCxn id="46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247650</xdr:colOff>
      <xdr:row>12</xdr:row>
      <xdr:rowOff>180976</xdr:rowOff>
    </xdr:from>
    <xdr:to>
      <xdr:col>11</xdr:col>
      <xdr:colOff>628650</xdr:colOff>
      <xdr:row>17</xdr:row>
      <xdr:rowOff>1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B6A72F81-1EA4-479E-9112-010942D4FDA6}"/>
            </a:ext>
          </a:extLst>
        </xdr:cNvPr>
        <xdr:cNvCxnSpPr>
          <a:stCxn id="73" idx="4"/>
          <a:endCxn id="46" idx="2"/>
        </xdr:cNvCxnSpPr>
      </xdr:nvCxnSpPr>
      <xdr:spPr>
        <a:xfrm>
          <a:off x="7105650" y="2466976"/>
          <a:ext cx="190500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6</xdr:row>
      <xdr:rowOff>133351</xdr:rowOff>
    </xdr:from>
    <xdr:to>
      <xdr:col>12</xdr:col>
      <xdr:colOff>247650</xdr:colOff>
      <xdr:row>9</xdr:row>
      <xdr:rowOff>38101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0364A9AC-053D-4827-95FD-A06390F63B3E}"/>
            </a:ext>
          </a:extLst>
        </xdr:cNvPr>
        <xdr:cNvGrpSpPr/>
      </xdr:nvGrpSpPr>
      <xdr:grpSpPr>
        <a:xfrm>
          <a:off x="8896350" y="1276351"/>
          <a:ext cx="495300" cy="476250"/>
          <a:chOff x="8134350" y="304800"/>
          <a:chExt cx="647700" cy="657225"/>
        </a:xfrm>
      </xdr:grpSpPr>
      <xdr:sp macro="" textlink="">
        <xdr:nvSpPr>
          <xdr:cNvPr id="56" name="Elipse 55">
            <a:extLst>
              <a:ext uri="{FF2B5EF4-FFF2-40B4-BE49-F238E27FC236}">
                <a16:creationId xmlns:a16="http://schemas.microsoft.com/office/drawing/2014/main" id="{08A5906C-D480-638A-7170-A6448C4F010A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3</a:t>
            </a:r>
          </a:p>
        </xdr:txBody>
      </xdr:sp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CFF9968F-A82A-D52A-AB0D-DC7CE6E10F75}"/>
              </a:ext>
            </a:extLst>
          </xdr:cNvPr>
          <xdr:cNvCxnSpPr>
            <a:stCxn id="56" idx="0"/>
            <a:endCxn id="56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930702BD-BD3F-1865-7423-5FE460921CD7}"/>
              </a:ext>
            </a:extLst>
          </xdr:cNvPr>
          <xdr:cNvCxnSpPr>
            <a:stCxn id="56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752475</xdr:colOff>
      <xdr:row>7</xdr:row>
      <xdr:rowOff>180976</xdr:rowOff>
    </xdr:from>
    <xdr:to>
      <xdr:col>11</xdr:col>
      <xdr:colOff>514350</xdr:colOff>
      <xdr:row>9</xdr:row>
      <xdr:rowOff>123826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7C2D02D4-ABF4-4C29-A5CB-3FBC34210DA8}"/>
            </a:ext>
          </a:extLst>
        </xdr:cNvPr>
        <xdr:cNvCxnSpPr>
          <a:stCxn id="65" idx="6"/>
          <a:endCxn id="56" idx="2"/>
        </xdr:cNvCxnSpPr>
      </xdr:nvCxnSpPr>
      <xdr:spPr>
        <a:xfrm flipV="1">
          <a:off x="8372475" y="1514476"/>
          <a:ext cx="5238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257175</xdr:colOff>
      <xdr:row>8</xdr:row>
      <xdr:rowOff>76201</xdr:rowOff>
    </xdr:from>
    <xdr:to>
      <xdr:col>10</xdr:col>
      <xdr:colOff>752475</xdr:colOff>
      <xdr:row>10</xdr:row>
      <xdr:rowOff>171451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9C1DCB6C-9CE5-48A4-B769-83D2B7A51E3E}"/>
            </a:ext>
          </a:extLst>
        </xdr:cNvPr>
        <xdr:cNvGrpSpPr/>
      </xdr:nvGrpSpPr>
      <xdr:grpSpPr>
        <a:xfrm>
          <a:off x="7877175" y="1600201"/>
          <a:ext cx="495300" cy="476250"/>
          <a:chOff x="8134350" y="304800"/>
          <a:chExt cx="647700" cy="657225"/>
        </a:xfrm>
      </xdr:grpSpPr>
      <xdr:sp macro="" textlink="">
        <xdr:nvSpPr>
          <xdr:cNvPr id="65" name="Elipse 64">
            <a:extLst>
              <a:ext uri="{FF2B5EF4-FFF2-40B4-BE49-F238E27FC236}">
                <a16:creationId xmlns:a16="http://schemas.microsoft.com/office/drawing/2014/main" id="{F3B43055-E9D6-B15D-2DA5-13771577DC40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2</a:t>
            </a:r>
          </a:p>
        </xdr:txBody>
      </xdr:sp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DEFDDD3A-12DC-812D-EFBE-D83DF9B1FBC6}"/>
              </a:ext>
            </a:extLst>
          </xdr:cNvPr>
          <xdr:cNvCxnSpPr>
            <a:stCxn id="65" idx="0"/>
            <a:endCxn id="65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D38641F9-C08A-D753-0BBD-882D29B57AC3}"/>
              </a:ext>
            </a:extLst>
          </xdr:cNvPr>
          <xdr:cNvCxnSpPr>
            <a:stCxn id="65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495300</xdr:colOff>
      <xdr:row>10</xdr:row>
      <xdr:rowOff>101706</xdr:rowOff>
    </xdr:from>
    <xdr:to>
      <xdr:col>10</xdr:col>
      <xdr:colOff>329710</xdr:colOff>
      <xdr:row>11</xdr:row>
      <xdr:rowOff>133351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CD18562B-FCAE-4A30-B05E-3298E3BBAB34}"/>
            </a:ext>
          </a:extLst>
        </xdr:cNvPr>
        <xdr:cNvCxnSpPr>
          <a:stCxn id="73" idx="6"/>
          <a:endCxn id="65" idx="3"/>
        </xdr:cNvCxnSpPr>
      </xdr:nvCxnSpPr>
      <xdr:spPr>
        <a:xfrm flipV="1">
          <a:off x="7353300" y="2006706"/>
          <a:ext cx="596410" cy="222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85726</xdr:rowOff>
    </xdr:from>
    <xdr:to>
      <xdr:col>9</xdr:col>
      <xdr:colOff>495300</xdr:colOff>
      <xdr:row>12</xdr:row>
      <xdr:rowOff>180976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606DA30A-B5B7-4945-8058-202BCD7888A9}"/>
            </a:ext>
          </a:extLst>
        </xdr:cNvPr>
        <xdr:cNvGrpSpPr/>
      </xdr:nvGrpSpPr>
      <xdr:grpSpPr>
        <a:xfrm>
          <a:off x="6858000" y="1990726"/>
          <a:ext cx="495300" cy="476250"/>
          <a:chOff x="8134350" y="304800"/>
          <a:chExt cx="647700" cy="657225"/>
        </a:xfrm>
      </xdr:grpSpPr>
      <xdr:sp macro="" textlink="">
        <xdr:nvSpPr>
          <xdr:cNvPr id="73" name="Elipse 72">
            <a:extLst>
              <a:ext uri="{FF2B5EF4-FFF2-40B4-BE49-F238E27FC236}">
                <a16:creationId xmlns:a16="http://schemas.microsoft.com/office/drawing/2014/main" id="{48F55E09-E855-7172-CF23-8828AFB78354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1</a:t>
            </a:r>
          </a:p>
        </xdr:txBody>
      </xdr:sp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5147E565-F570-95D7-7EFD-330EDBFA82AD}"/>
              </a:ext>
            </a:extLst>
          </xdr:cNvPr>
          <xdr:cNvCxnSpPr>
            <a:stCxn id="73" idx="0"/>
            <a:endCxn id="73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cto 74">
            <a:extLst>
              <a:ext uri="{FF2B5EF4-FFF2-40B4-BE49-F238E27FC236}">
                <a16:creationId xmlns:a16="http://schemas.microsoft.com/office/drawing/2014/main" id="{6372E310-C647-B585-2F7D-00D208BCEF5D}"/>
              </a:ext>
            </a:extLst>
          </xdr:cNvPr>
          <xdr:cNvCxnSpPr>
            <a:stCxn id="73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666750</xdr:colOff>
      <xdr:row>10</xdr:row>
      <xdr:rowOff>161926</xdr:rowOff>
    </xdr:from>
    <xdr:to>
      <xdr:col>15</xdr:col>
      <xdr:colOff>400050</xdr:colOff>
      <xdr:row>13</xdr:row>
      <xdr:rowOff>66676</xdr:rowOff>
    </xdr:to>
    <xdr:grpSp>
      <xdr:nvGrpSpPr>
        <xdr:cNvPr id="78" name="Grupo 77">
          <a:extLst>
            <a:ext uri="{FF2B5EF4-FFF2-40B4-BE49-F238E27FC236}">
              <a16:creationId xmlns:a16="http://schemas.microsoft.com/office/drawing/2014/main" id="{7379CABB-B6F1-414F-A746-EC606CB9AD9D}"/>
            </a:ext>
          </a:extLst>
        </xdr:cNvPr>
        <xdr:cNvGrpSpPr/>
      </xdr:nvGrpSpPr>
      <xdr:grpSpPr>
        <a:xfrm>
          <a:off x="11334750" y="2066926"/>
          <a:ext cx="495300" cy="476250"/>
          <a:chOff x="8134350" y="304800"/>
          <a:chExt cx="647700" cy="657225"/>
        </a:xfrm>
      </xdr:grpSpPr>
      <xdr:sp macro="" textlink="">
        <xdr:nvSpPr>
          <xdr:cNvPr id="79" name="Elipse 78">
            <a:extLst>
              <a:ext uri="{FF2B5EF4-FFF2-40B4-BE49-F238E27FC236}">
                <a16:creationId xmlns:a16="http://schemas.microsoft.com/office/drawing/2014/main" id="{55F2962E-6A34-6FA5-F79B-74DCAE3B9705}"/>
              </a:ext>
            </a:extLst>
          </xdr:cNvPr>
          <xdr:cNvSpPr/>
        </xdr:nvSpPr>
        <xdr:spPr>
          <a:xfrm>
            <a:off x="8134350" y="304800"/>
            <a:ext cx="647700" cy="657225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s-AR" sz="1100"/>
              <a:t>8</a:t>
            </a:r>
          </a:p>
        </xdr:txBody>
      </xdr:sp>
      <xdr:cxnSp macro="">
        <xdr:nvCxnSpPr>
          <xdr:cNvPr id="80" name="Conector recto 79">
            <a:extLst>
              <a:ext uri="{FF2B5EF4-FFF2-40B4-BE49-F238E27FC236}">
                <a16:creationId xmlns:a16="http://schemas.microsoft.com/office/drawing/2014/main" id="{F383C60B-F6D8-2B6F-8DC4-7ADD0A233C5C}"/>
              </a:ext>
            </a:extLst>
          </xdr:cNvPr>
          <xdr:cNvCxnSpPr>
            <a:stCxn id="79" idx="0"/>
            <a:endCxn id="79" idx="4"/>
          </xdr:cNvCxnSpPr>
        </xdr:nvCxnSpPr>
        <xdr:spPr>
          <a:xfrm>
            <a:off x="8458200" y="304800"/>
            <a:ext cx="0" cy="6572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Conector recto 80">
            <a:extLst>
              <a:ext uri="{FF2B5EF4-FFF2-40B4-BE49-F238E27FC236}">
                <a16:creationId xmlns:a16="http://schemas.microsoft.com/office/drawing/2014/main" id="{BFA33187-D059-426B-F2E1-C12448B7F020}"/>
              </a:ext>
            </a:extLst>
          </xdr:cNvPr>
          <xdr:cNvCxnSpPr>
            <a:stCxn id="79" idx="6"/>
          </xdr:cNvCxnSpPr>
        </xdr:nvCxnSpPr>
        <xdr:spPr>
          <a:xfrm flipH="1">
            <a:off x="8458200" y="633413"/>
            <a:ext cx="323850" cy="1428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238125</xdr:colOff>
      <xdr:row>10</xdr:row>
      <xdr:rowOff>122465</xdr:rowOff>
    </xdr:from>
    <xdr:ext cx="243143" cy="233205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0953A5B2-0A48-16BD-DC65-0E69AB9007B0}"/>
            </a:ext>
          </a:extLst>
        </xdr:cNvPr>
        <xdr:cNvSpPr txBox="1"/>
      </xdr:nvSpPr>
      <xdr:spPr>
        <a:xfrm>
          <a:off x="7096125" y="2027465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0</a:t>
          </a:r>
          <a:endParaRPr lang="es-AR" sz="1100"/>
        </a:p>
      </xdr:txBody>
    </xdr:sp>
    <xdr:clientData/>
  </xdr:oneCellAnchor>
  <xdr:oneCellAnchor>
    <xdr:from>
      <xdr:col>9</xdr:col>
      <xdr:colOff>234042</xdr:colOff>
      <xdr:row>11</xdr:row>
      <xdr:rowOff>125186</xdr:rowOff>
    </xdr:from>
    <xdr:ext cx="243143" cy="233205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3C87EA6B-B5FD-4981-A899-58C6227D416B}"/>
            </a:ext>
          </a:extLst>
        </xdr:cNvPr>
        <xdr:cNvSpPr txBox="1"/>
      </xdr:nvSpPr>
      <xdr:spPr>
        <a:xfrm>
          <a:off x="7092042" y="2220686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0</a:t>
          </a:r>
          <a:endParaRPr lang="es-AR" sz="1100"/>
        </a:p>
      </xdr:txBody>
    </xdr:sp>
    <xdr:clientData/>
  </xdr:oneCellAnchor>
  <xdr:oneCellAnchor>
    <xdr:from>
      <xdr:col>10</xdr:col>
      <xdr:colOff>476250</xdr:colOff>
      <xdr:row>8</xdr:row>
      <xdr:rowOff>122465</xdr:rowOff>
    </xdr:from>
    <xdr:ext cx="243143" cy="233205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FC240597-4D38-4A60-8A35-67DB06495C58}"/>
            </a:ext>
          </a:extLst>
        </xdr:cNvPr>
        <xdr:cNvSpPr txBox="1"/>
      </xdr:nvSpPr>
      <xdr:spPr>
        <a:xfrm>
          <a:off x="8096250" y="1646465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4</a:t>
          </a:r>
          <a:endParaRPr lang="es-AR" sz="1100"/>
        </a:p>
      </xdr:txBody>
    </xdr:sp>
    <xdr:clientData/>
  </xdr:oneCellAnchor>
  <xdr:oneCellAnchor>
    <xdr:from>
      <xdr:col>11</xdr:col>
      <xdr:colOff>742950</xdr:colOff>
      <xdr:row>6</xdr:row>
      <xdr:rowOff>161926</xdr:rowOff>
    </xdr:from>
    <xdr:ext cx="243143" cy="233205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A2C68918-AE19-40F2-B73F-C01D6C5968A8}"/>
            </a:ext>
          </a:extLst>
        </xdr:cNvPr>
        <xdr:cNvSpPr txBox="1"/>
      </xdr:nvSpPr>
      <xdr:spPr>
        <a:xfrm>
          <a:off x="9124950" y="1304926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6</a:t>
          </a:r>
          <a:endParaRPr lang="es-AR" sz="1100"/>
        </a:p>
      </xdr:txBody>
    </xdr:sp>
    <xdr:clientData/>
  </xdr:oneCellAnchor>
  <xdr:oneCellAnchor>
    <xdr:from>
      <xdr:col>12</xdr:col>
      <xdr:colOff>95250</xdr:colOff>
      <xdr:row>16</xdr:row>
      <xdr:rowOff>1</xdr:rowOff>
    </xdr:from>
    <xdr:ext cx="243143" cy="233205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15438A95-A185-4C71-80A9-9A89BEDD9F11}"/>
            </a:ext>
          </a:extLst>
        </xdr:cNvPr>
        <xdr:cNvSpPr txBox="1"/>
      </xdr:nvSpPr>
      <xdr:spPr>
        <a:xfrm>
          <a:off x="9239250" y="3048001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3</a:t>
          </a:r>
          <a:endParaRPr lang="es-AR" sz="1100"/>
        </a:p>
      </xdr:txBody>
    </xdr:sp>
    <xdr:clientData/>
  </xdr:oneCellAnchor>
  <xdr:oneCellAnchor>
    <xdr:from>
      <xdr:col>13</xdr:col>
      <xdr:colOff>38100</xdr:colOff>
      <xdr:row>11</xdr:row>
      <xdr:rowOff>19051</xdr:rowOff>
    </xdr:from>
    <xdr:ext cx="301621" cy="233205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06EBA37-BB30-4A7B-9E47-EE4B90DF47A0}"/>
            </a:ext>
          </a:extLst>
        </xdr:cNvPr>
        <xdr:cNvSpPr txBox="1"/>
      </xdr:nvSpPr>
      <xdr:spPr>
        <a:xfrm>
          <a:off x="9944100" y="2114551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10</a:t>
          </a:r>
          <a:endParaRPr lang="es-AR" sz="1100"/>
        </a:p>
      </xdr:txBody>
    </xdr:sp>
    <xdr:clientData/>
  </xdr:oneCellAnchor>
  <xdr:oneCellAnchor>
    <xdr:from>
      <xdr:col>13</xdr:col>
      <xdr:colOff>419100</xdr:colOff>
      <xdr:row>7</xdr:row>
      <xdr:rowOff>0</xdr:rowOff>
    </xdr:from>
    <xdr:ext cx="301621" cy="233205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497B0902-8700-4429-882B-58256A835066}"/>
            </a:ext>
          </a:extLst>
        </xdr:cNvPr>
        <xdr:cNvSpPr txBox="1"/>
      </xdr:nvSpPr>
      <xdr:spPr>
        <a:xfrm>
          <a:off x="10325100" y="1333500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12</a:t>
          </a:r>
          <a:endParaRPr lang="es-AR" sz="1100"/>
        </a:p>
      </xdr:txBody>
    </xdr:sp>
    <xdr:clientData/>
  </xdr:oneCellAnchor>
  <xdr:oneCellAnchor>
    <xdr:from>
      <xdr:col>13</xdr:col>
      <xdr:colOff>428625</xdr:colOff>
      <xdr:row>16</xdr:row>
      <xdr:rowOff>0</xdr:rowOff>
    </xdr:from>
    <xdr:ext cx="301621" cy="233205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3FECF4B7-6908-48C9-B326-D3F2EEA35E5E}"/>
            </a:ext>
          </a:extLst>
        </xdr:cNvPr>
        <xdr:cNvSpPr txBox="1"/>
      </xdr:nvSpPr>
      <xdr:spPr>
        <a:xfrm>
          <a:off x="10334625" y="3048000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12</a:t>
          </a:r>
          <a:endParaRPr lang="es-AR" sz="1100"/>
        </a:p>
      </xdr:txBody>
    </xdr:sp>
    <xdr:clientData/>
  </xdr:oneCellAnchor>
  <xdr:oneCellAnchor>
    <xdr:from>
      <xdr:col>15</xdr:col>
      <xdr:colOff>114300</xdr:colOff>
      <xdr:row>11</xdr:row>
      <xdr:rowOff>9525</xdr:rowOff>
    </xdr:from>
    <xdr:ext cx="301621" cy="233205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C5960283-448D-46F5-8F8C-4F2A1E4EA64E}"/>
            </a:ext>
          </a:extLst>
        </xdr:cNvPr>
        <xdr:cNvSpPr txBox="1"/>
      </xdr:nvSpPr>
      <xdr:spPr>
        <a:xfrm>
          <a:off x="11544300" y="2105025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18</a:t>
          </a:r>
          <a:endParaRPr lang="es-AR" sz="1100"/>
        </a:p>
      </xdr:txBody>
    </xdr:sp>
    <xdr:clientData/>
  </xdr:oneCellAnchor>
  <xdr:oneCellAnchor>
    <xdr:from>
      <xdr:col>15</xdr:col>
      <xdr:colOff>114300</xdr:colOff>
      <xdr:row>12</xdr:row>
      <xdr:rowOff>9525</xdr:rowOff>
    </xdr:from>
    <xdr:ext cx="301621" cy="233205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D89F0746-5D74-45C6-BB55-64913DCAAF67}"/>
            </a:ext>
          </a:extLst>
        </xdr:cNvPr>
        <xdr:cNvSpPr txBox="1"/>
      </xdr:nvSpPr>
      <xdr:spPr>
        <a:xfrm>
          <a:off x="11544300" y="2295525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18</a:t>
          </a:r>
          <a:endParaRPr lang="es-AR" sz="1100"/>
        </a:p>
      </xdr:txBody>
    </xdr:sp>
    <xdr:clientData/>
  </xdr:oneCellAnchor>
  <xdr:oneCellAnchor>
    <xdr:from>
      <xdr:col>13</xdr:col>
      <xdr:colOff>428625</xdr:colOff>
      <xdr:row>16</xdr:row>
      <xdr:rowOff>180975</xdr:rowOff>
    </xdr:from>
    <xdr:ext cx="301621" cy="233205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13C436C5-6BD2-4DF2-9F40-13626F965F0E}"/>
            </a:ext>
          </a:extLst>
        </xdr:cNvPr>
        <xdr:cNvSpPr txBox="1"/>
      </xdr:nvSpPr>
      <xdr:spPr>
        <a:xfrm>
          <a:off x="10334625" y="3228975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14</a:t>
          </a:r>
          <a:endParaRPr lang="es-AR" sz="1100"/>
        </a:p>
      </xdr:txBody>
    </xdr:sp>
    <xdr:clientData/>
  </xdr:oneCellAnchor>
  <xdr:oneCellAnchor>
    <xdr:from>
      <xdr:col>13</xdr:col>
      <xdr:colOff>38100</xdr:colOff>
      <xdr:row>12</xdr:row>
      <xdr:rowOff>38100</xdr:rowOff>
    </xdr:from>
    <xdr:ext cx="301621" cy="233205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D33A1B3E-90A6-41E9-9F7E-621AB1FD0A47}"/>
            </a:ext>
          </a:extLst>
        </xdr:cNvPr>
        <xdr:cNvSpPr txBox="1"/>
      </xdr:nvSpPr>
      <xdr:spPr>
        <a:xfrm>
          <a:off x="9944100" y="2324100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10</a:t>
          </a:r>
          <a:endParaRPr lang="es-AR" sz="1100"/>
        </a:p>
      </xdr:txBody>
    </xdr:sp>
    <xdr:clientData/>
  </xdr:oneCellAnchor>
  <xdr:oneCellAnchor>
    <xdr:from>
      <xdr:col>13</xdr:col>
      <xdr:colOff>428625</xdr:colOff>
      <xdr:row>7</xdr:row>
      <xdr:rowOff>180975</xdr:rowOff>
    </xdr:from>
    <xdr:ext cx="301621" cy="233205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E6822F09-6FB9-4A59-BF83-0F31EB36C883}"/>
            </a:ext>
          </a:extLst>
        </xdr:cNvPr>
        <xdr:cNvSpPr txBox="1"/>
      </xdr:nvSpPr>
      <xdr:spPr>
        <a:xfrm>
          <a:off x="10334625" y="1514475"/>
          <a:ext cx="30162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13</a:t>
          </a:r>
          <a:endParaRPr lang="es-AR" sz="1100"/>
        </a:p>
      </xdr:txBody>
    </xdr:sp>
    <xdr:clientData/>
  </xdr:oneCellAnchor>
  <xdr:oneCellAnchor>
    <xdr:from>
      <xdr:col>12</xdr:col>
      <xdr:colOff>95250</xdr:colOff>
      <xdr:row>17</xdr:row>
      <xdr:rowOff>0</xdr:rowOff>
    </xdr:from>
    <xdr:ext cx="256160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E77497DC-DE61-4C46-AB4A-D8C6A79C49C6}"/>
            </a:ext>
          </a:extLst>
        </xdr:cNvPr>
        <xdr:cNvSpPr txBox="1"/>
      </xdr:nvSpPr>
      <xdr:spPr>
        <a:xfrm>
          <a:off x="9239250" y="32385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3</a:t>
          </a:r>
        </a:p>
      </xdr:txBody>
    </xdr:sp>
    <xdr:clientData/>
  </xdr:oneCellAnchor>
  <xdr:oneCellAnchor>
    <xdr:from>
      <xdr:col>11</xdr:col>
      <xdr:colOff>742950</xdr:colOff>
      <xdr:row>7</xdr:row>
      <xdr:rowOff>180975</xdr:rowOff>
    </xdr:from>
    <xdr:ext cx="243143" cy="233205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C764304D-5947-4B36-A121-E8641C8454B6}"/>
            </a:ext>
          </a:extLst>
        </xdr:cNvPr>
        <xdr:cNvSpPr txBox="1"/>
      </xdr:nvSpPr>
      <xdr:spPr>
        <a:xfrm>
          <a:off x="9124950" y="1514475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6</a:t>
          </a:r>
          <a:endParaRPr lang="es-AR" sz="1100"/>
        </a:p>
      </xdr:txBody>
    </xdr:sp>
    <xdr:clientData/>
  </xdr:oneCellAnchor>
  <xdr:oneCellAnchor>
    <xdr:from>
      <xdr:col>10</xdr:col>
      <xdr:colOff>485775</xdr:colOff>
      <xdr:row>9</xdr:row>
      <xdr:rowOff>104775</xdr:rowOff>
    </xdr:from>
    <xdr:ext cx="243143" cy="233205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CC0DE02D-0390-45C7-91D4-90984300F8AD}"/>
            </a:ext>
          </a:extLst>
        </xdr:cNvPr>
        <xdr:cNvSpPr txBox="1"/>
      </xdr:nvSpPr>
      <xdr:spPr>
        <a:xfrm>
          <a:off x="8105775" y="1819275"/>
          <a:ext cx="2431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900"/>
            <a:t>4</a:t>
          </a:r>
          <a:endParaRPr lang="es-A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6</xdr:row>
      <xdr:rowOff>28575</xdr:rowOff>
    </xdr:from>
    <xdr:to>
      <xdr:col>5</xdr:col>
      <xdr:colOff>733425</xdr:colOff>
      <xdr:row>9</xdr:row>
      <xdr:rowOff>19050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A9D2243C-6D0D-4EE3-9367-9C129747B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3925" y="3505200"/>
          <a:ext cx="20955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9</xdr:row>
      <xdr:rowOff>123825</xdr:rowOff>
    </xdr:from>
    <xdr:to>
      <xdr:col>4</xdr:col>
      <xdr:colOff>695325</xdr:colOff>
      <xdr:row>13</xdr:row>
      <xdr:rowOff>47625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7367ADC7-D5EE-4DEE-B83D-7279811D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" y="4171950"/>
          <a:ext cx="30289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showGridLines="0" workbookViewId="0">
      <selection activeCell="C4" sqref="C4"/>
    </sheetView>
  </sheetViews>
  <sheetFormatPr baseColWidth="10" defaultColWidth="9.140625" defaultRowHeight="15" x14ac:dyDescent="0.25"/>
  <cols>
    <col min="3" max="3" width="11.85546875" bestFit="1" customWidth="1"/>
  </cols>
  <sheetData>
    <row r="2" spans="2:4" x14ac:dyDescent="0.25">
      <c r="B2" s="2" t="s">
        <v>9</v>
      </c>
      <c r="C2" t="b">
        <v>1</v>
      </c>
    </row>
    <row r="3" spans="2:4" x14ac:dyDescent="0.25">
      <c r="B3" s="2" t="s">
        <v>10</v>
      </c>
      <c r="C3" t="b">
        <v>0</v>
      </c>
      <c r="D3" t="s">
        <v>36</v>
      </c>
    </row>
    <row r="4" spans="2:4" x14ac:dyDescent="0.25">
      <c r="B4" s="2" t="s">
        <v>11</v>
      </c>
      <c r="C4" t="b">
        <v>0</v>
      </c>
      <c r="D4" t="s">
        <v>37</v>
      </c>
    </row>
    <row r="5" spans="2:4" x14ac:dyDescent="0.25">
      <c r="B5" s="2" t="s">
        <v>12</v>
      </c>
      <c r="C5" t="b">
        <v>1</v>
      </c>
    </row>
    <row r="6" spans="2:4" x14ac:dyDescent="0.25">
      <c r="B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384D-B6A4-4349-9A8E-CA394057398F}">
  <dimension ref="A1:L11"/>
  <sheetViews>
    <sheetView showGridLines="0" workbookViewId="0">
      <selection activeCell="M20" sqref="M20"/>
    </sheetView>
  </sheetViews>
  <sheetFormatPr baseColWidth="10" defaultRowHeight="15" x14ac:dyDescent="0.25"/>
  <cols>
    <col min="1" max="1" width="4" bestFit="1" customWidth="1"/>
    <col min="2" max="2" width="5" bestFit="1" customWidth="1"/>
  </cols>
  <sheetData>
    <row r="1" spans="1:12" x14ac:dyDescent="0.25">
      <c r="A1" s="13" t="s">
        <v>26</v>
      </c>
      <c r="B1" s="13"/>
    </row>
    <row r="2" spans="1:12" x14ac:dyDescent="0.25">
      <c r="A2" t="s">
        <v>0</v>
      </c>
      <c r="B2">
        <v>0</v>
      </c>
      <c r="L2" t="s">
        <v>27</v>
      </c>
    </row>
    <row r="3" spans="1:12" x14ac:dyDescent="0.25">
      <c r="A3" t="s">
        <v>7</v>
      </c>
      <c r="B3">
        <v>100</v>
      </c>
    </row>
    <row r="4" spans="1:12" x14ac:dyDescent="0.25">
      <c r="A4" t="s">
        <v>8</v>
      </c>
      <c r="B4">
        <v>229.99999999999997</v>
      </c>
    </row>
    <row r="6" spans="1:12" x14ac:dyDescent="0.25">
      <c r="A6">
        <v>430</v>
      </c>
      <c r="B6">
        <f>+B2+2*B3+B4</f>
        <v>430</v>
      </c>
    </row>
    <row r="7" spans="1:12" x14ac:dyDescent="0.25">
      <c r="A7">
        <v>460</v>
      </c>
      <c r="B7">
        <f>3*B2+2*B4</f>
        <v>459.99999999999994</v>
      </c>
    </row>
    <row r="8" spans="1:12" x14ac:dyDescent="0.25">
      <c r="A8">
        <v>420</v>
      </c>
      <c r="B8">
        <f>B2+4*B3</f>
        <v>400</v>
      </c>
    </row>
    <row r="10" spans="1:12" x14ac:dyDescent="0.25">
      <c r="A10" t="s">
        <v>8</v>
      </c>
      <c r="B10">
        <f>3*B2+B3*2+B4*5</f>
        <v>1349.9999999999998</v>
      </c>
    </row>
    <row r="11" spans="1:12" x14ac:dyDescent="0.25">
      <c r="L11" t="s">
        <v>28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6A92-966C-4B8E-A13B-CACF4133C119}">
  <dimension ref="A1:Q19"/>
  <sheetViews>
    <sheetView showGridLines="0" zoomScaleNormal="100" workbookViewId="0">
      <selection activeCell="E16" sqref="E15:E16"/>
    </sheetView>
  </sheetViews>
  <sheetFormatPr baseColWidth="10" defaultRowHeight="15" x14ac:dyDescent="0.25"/>
  <sheetData>
    <row r="1" spans="1:17" x14ac:dyDescent="0.25">
      <c r="A1" s="6" t="s">
        <v>29</v>
      </c>
      <c r="B1" s="6" t="s">
        <v>30</v>
      </c>
      <c r="C1" s="6" t="s">
        <v>31</v>
      </c>
      <c r="D1" s="24" t="s">
        <v>45</v>
      </c>
      <c r="E1" s="24" t="s">
        <v>46</v>
      </c>
      <c r="F1" s="24" t="s">
        <v>47</v>
      </c>
      <c r="G1" s="24" t="s">
        <v>48</v>
      </c>
      <c r="N1" s="2"/>
    </row>
    <row r="2" spans="1:17" x14ac:dyDescent="0.25">
      <c r="A2" s="15" t="s">
        <v>1</v>
      </c>
      <c r="B2" s="1" t="s">
        <v>32</v>
      </c>
      <c r="C2" s="1">
        <v>4</v>
      </c>
      <c r="D2" s="25">
        <f>4-0-4</f>
        <v>0</v>
      </c>
      <c r="E2" s="25">
        <f>4-0-4</f>
        <v>0</v>
      </c>
      <c r="F2" s="25">
        <f>4-0-4</f>
        <v>0</v>
      </c>
      <c r="G2" s="8"/>
    </row>
    <row r="3" spans="1:17" x14ac:dyDescent="0.25">
      <c r="A3" s="15" t="s">
        <v>2</v>
      </c>
      <c r="B3" s="1" t="s">
        <v>32</v>
      </c>
      <c r="C3" s="1">
        <v>3</v>
      </c>
      <c r="D3" s="25">
        <f>3-0-3</f>
        <v>0</v>
      </c>
      <c r="E3" s="25">
        <f>3-0-3</f>
        <v>0</v>
      </c>
      <c r="F3" s="25">
        <f>3-0-3</f>
        <v>0</v>
      </c>
      <c r="G3" s="1" t="s">
        <v>49</v>
      </c>
    </row>
    <row r="4" spans="1:17" x14ac:dyDescent="0.25">
      <c r="A4" s="15" t="s">
        <v>3</v>
      </c>
      <c r="B4" s="1" t="s">
        <v>1</v>
      </c>
      <c r="C4" s="1">
        <v>2</v>
      </c>
      <c r="D4" s="25">
        <f>6-4-2</f>
        <v>0</v>
      </c>
      <c r="E4" s="25">
        <f>6-4-2</f>
        <v>0</v>
      </c>
      <c r="F4" s="25">
        <f>6-4-2</f>
        <v>0</v>
      </c>
      <c r="G4" s="8"/>
    </row>
    <row r="5" spans="1:17" x14ac:dyDescent="0.25">
      <c r="A5" s="15" t="s">
        <v>4</v>
      </c>
      <c r="B5" s="1" t="s">
        <v>3</v>
      </c>
      <c r="C5" s="1">
        <v>6</v>
      </c>
      <c r="D5" s="1">
        <f>13-6-6</f>
        <v>1</v>
      </c>
      <c r="E5" s="1">
        <f>12-6-1</f>
        <v>5</v>
      </c>
      <c r="F5" s="1">
        <f>12-6-6</f>
        <v>0</v>
      </c>
      <c r="G5" s="8"/>
      <c r="M5" s="4"/>
    </row>
    <row r="6" spans="1:17" x14ac:dyDescent="0.25">
      <c r="A6" s="15" t="s">
        <v>5</v>
      </c>
      <c r="B6" s="1" t="s">
        <v>2</v>
      </c>
      <c r="C6" s="1">
        <v>7</v>
      </c>
      <c r="D6" s="25">
        <f>10-3-7</f>
        <v>0</v>
      </c>
      <c r="E6" s="25">
        <f>10-3-7</f>
        <v>0</v>
      </c>
      <c r="F6" s="25">
        <f>10-3-7</f>
        <v>0</v>
      </c>
      <c r="G6" s="1" t="s">
        <v>49</v>
      </c>
    </row>
    <row r="7" spans="1:17" x14ac:dyDescent="0.25">
      <c r="A7" s="15" t="s">
        <v>6</v>
      </c>
      <c r="B7" s="1" t="s">
        <v>2</v>
      </c>
      <c r="C7" s="1">
        <v>4</v>
      </c>
      <c r="D7" s="1">
        <f>14-3-4</f>
        <v>7</v>
      </c>
      <c r="E7" s="1">
        <f>12-3-4</f>
        <v>5</v>
      </c>
      <c r="F7" s="1">
        <f>12-3-4</f>
        <v>5</v>
      </c>
      <c r="G7" s="8"/>
      <c r="J7" s="17"/>
      <c r="K7" s="17"/>
      <c r="L7" s="17"/>
      <c r="M7" s="18"/>
      <c r="N7" s="22"/>
      <c r="O7" s="17"/>
      <c r="P7" s="17"/>
    </row>
    <row r="8" spans="1:17" x14ac:dyDescent="0.25">
      <c r="A8" s="15" t="s">
        <v>38</v>
      </c>
      <c r="B8" s="15" t="s">
        <v>5</v>
      </c>
      <c r="C8" s="1">
        <v>2</v>
      </c>
      <c r="D8" s="1">
        <f>14-10-2</f>
        <v>2</v>
      </c>
      <c r="E8" s="1">
        <f>12-10-2</f>
        <v>0</v>
      </c>
      <c r="F8" s="1">
        <f>12-10-2</f>
        <v>0</v>
      </c>
      <c r="G8" s="8"/>
      <c r="J8" s="19"/>
      <c r="K8" s="17"/>
      <c r="L8" s="17"/>
      <c r="M8" s="19" t="s">
        <v>4</v>
      </c>
      <c r="N8" s="17"/>
      <c r="O8" s="19"/>
      <c r="P8" s="20"/>
    </row>
    <row r="9" spans="1:17" x14ac:dyDescent="0.25">
      <c r="A9" s="15" t="s">
        <v>39</v>
      </c>
      <c r="B9" s="15" t="s">
        <v>5</v>
      </c>
      <c r="C9" s="1">
        <v>1</v>
      </c>
      <c r="D9" s="1">
        <f>13-10-1</f>
        <v>2</v>
      </c>
      <c r="E9" s="1">
        <f>12-10-1</f>
        <v>1</v>
      </c>
      <c r="F9" s="1">
        <f>12-10-1</f>
        <v>1</v>
      </c>
      <c r="G9" s="1"/>
      <c r="J9" s="17"/>
      <c r="K9" s="17"/>
      <c r="L9" s="17" t="s">
        <v>3</v>
      </c>
      <c r="M9" s="19"/>
      <c r="N9" s="17"/>
      <c r="O9" s="17"/>
      <c r="P9" s="17"/>
    </row>
    <row r="10" spans="1:17" x14ac:dyDescent="0.25">
      <c r="A10" s="15" t="s">
        <v>40</v>
      </c>
      <c r="B10" s="15" t="s">
        <v>5</v>
      </c>
      <c r="C10" s="1">
        <v>8</v>
      </c>
      <c r="D10" s="25">
        <f>18-10-8</f>
        <v>0</v>
      </c>
      <c r="E10" s="25">
        <f>18-10-8</f>
        <v>0</v>
      </c>
      <c r="F10" s="25">
        <f>18-10-8</f>
        <v>0</v>
      </c>
      <c r="G10" s="1" t="s">
        <v>49</v>
      </c>
      <c r="J10" s="17"/>
      <c r="K10" s="17"/>
      <c r="L10" s="17"/>
      <c r="M10" s="18"/>
      <c r="N10" s="22"/>
      <c r="O10" s="19" t="s">
        <v>41</v>
      </c>
      <c r="P10" s="17"/>
    </row>
    <row r="11" spans="1:17" x14ac:dyDescent="0.25">
      <c r="A11" s="15" t="s">
        <v>41</v>
      </c>
      <c r="B11" s="15" t="s">
        <v>44</v>
      </c>
      <c r="C11" s="1">
        <v>5</v>
      </c>
      <c r="D11" s="1">
        <f>18-12-5</f>
        <v>1</v>
      </c>
      <c r="E11" s="1">
        <f>18-12-5</f>
        <v>1</v>
      </c>
      <c r="F11" s="1">
        <f>18-13-5</f>
        <v>0</v>
      </c>
      <c r="G11" s="8"/>
      <c r="J11" s="18" t="s">
        <v>1</v>
      </c>
      <c r="K11" s="17"/>
      <c r="L11" s="17"/>
      <c r="M11" s="17"/>
      <c r="N11" s="17" t="s">
        <v>39</v>
      </c>
      <c r="O11" s="17"/>
      <c r="P11" s="17"/>
    </row>
    <row r="12" spans="1:17" x14ac:dyDescent="0.25">
      <c r="A12" s="15" t="s">
        <v>42</v>
      </c>
      <c r="B12" s="15" t="s">
        <v>43</v>
      </c>
      <c r="C12" s="1">
        <v>4</v>
      </c>
      <c r="D12" s="1">
        <f>18-12-4</f>
        <v>2</v>
      </c>
      <c r="E12" s="1">
        <f>18-12-4</f>
        <v>2</v>
      </c>
      <c r="F12" s="1">
        <f>18-14-4</f>
        <v>0</v>
      </c>
      <c r="G12" s="8"/>
      <c r="J12" s="17"/>
      <c r="K12" s="17"/>
      <c r="L12" s="17"/>
      <c r="M12" s="17"/>
      <c r="N12" s="19" t="s">
        <v>40</v>
      </c>
      <c r="O12" s="17"/>
      <c r="P12" s="17"/>
    </row>
    <row r="13" spans="1:17" x14ac:dyDescent="0.25">
      <c r="J13" s="17"/>
      <c r="K13" s="17"/>
      <c r="L13" s="17"/>
      <c r="M13" s="17"/>
      <c r="N13" s="18"/>
      <c r="O13" s="17"/>
      <c r="P13" s="19"/>
    </row>
    <row r="14" spans="1:17" x14ac:dyDescent="0.25">
      <c r="B14" s="4"/>
      <c r="J14" s="17"/>
      <c r="K14" s="17"/>
      <c r="L14" s="17"/>
      <c r="M14" s="19" t="s">
        <v>5</v>
      </c>
      <c r="N14" s="19"/>
      <c r="O14" s="17"/>
      <c r="P14" s="17"/>
      <c r="Q14" s="16"/>
    </row>
    <row r="15" spans="1:17" x14ac:dyDescent="0.25">
      <c r="C15" s="7"/>
      <c r="J15" s="17"/>
      <c r="K15" s="17"/>
      <c r="L15" s="17"/>
      <c r="M15" s="17"/>
      <c r="N15" s="21" t="s">
        <v>38</v>
      </c>
      <c r="O15" s="17"/>
      <c r="P15" s="17"/>
    </row>
    <row r="16" spans="1:17" x14ac:dyDescent="0.25">
      <c r="J16" s="17"/>
      <c r="K16" s="17"/>
      <c r="L16" s="21" t="s">
        <v>2</v>
      </c>
      <c r="M16" s="18"/>
      <c r="N16" s="22"/>
      <c r="O16" s="19" t="s">
        <v>42</v>
      </c>
      <c r="P16" s="17"/>
    </row>
    <row r="17" spans="10:16" x14ac:dyDescent="0.25">
      <c r="J17" s="17"/>
      <c r="K17" s="17"/>
      <c r="L17" s="17"/>
      <c r="M17" s="18" t="s">
        <v>6</v>
      </c>
      <c r="N17" s="17"/>
      <c r="O17" s="19"/>
      <c r="P17" s="20"/>
    </row>
    <row r="18" spans="10:16" x14ac:dyDescent="0.25">
      <c r="J18" s="17"/>
      <c r="K18" s="17"/>
      <c r="L18" s="17"/>
      <c r="M18" s="19"/>
      <c r="N18" s="23"/>
      <c r="O18" s="17"/>
      <c r="P18" s="17"/>
    </row>
    <row r="19" spans="10:16" x14ac:dyDescent="0.25">
      <c r="J19" s="17"/>
      <c r="K19" s="17"/>
      <c r="L19" s="17"/>
      <c r="M19" s="18"/>
      <c r="N19" s="17"/>
      <c r="O19" s="17"/>
      <c r="P19" s="17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06EC-8797-407C-9352-5A4CCFB30DBF}">
  <dimension ref="A1:I26"/>
  <sheetViews>
    <sheetView showGridLines="0" topLeftCell="A8" workbookViewId="0">
      <selection activeCell="F26" sqref="F26"/>
    </sheetView>
  </sheetViews>
  <sheetFormatPr baseColWidth="10" defaultRowHeight="15" x14ac:dyDescent="0.25"/>
  <cols>
    <col min="1" max="1" width="5" bestFit="1" customWidth="1"/>
    <col min="2" max="2" width="10.7109375" bestFit="1" customWidth="1"/>
    <col min="5" max="5" width="12" bestFit="1" customWidth="1"/>
  </cols>
  <sheetData>
    <row r="1" spans="1:9" x14ac:dyDescent="0.25">
      <c r="A1" s="13"/>
      <c r="B1" s="13"/>
    </row>
    <row r="2" spans="1:9" x14ac:dyDescent="0.25">
      <c r="B2" s="2"/>
      <c r="C2" s="2" t="s">
        <v>50</v>
      </c>
      <c r="D2" s="2" t="s">
        <v>51</v>
      </c>
      <c r="E2" s="2" t="s">
        <v>52</v>
      </c>
    </row>
    <row r="3" spans="1:9" x14ac:dyDescent="0.25">
      <c r="B3" s="2" t="s">
        <v>50</v>
      </c>
      <c r="C3" s="1">
        <v>0.65</v>
      </c>
      <c r="D3" s="1">
        <v>0.3</v>
      </c>
      <c r="E3" s="1">
        <v>0.05</v>
      </c>
    </row>
    <row r="4" spans="1:9" x14ac:dyDescent="0.25">
      <c r="B4" s="2" t="s">
        <v>51</v>
      </c>
      <c r="C4" s="1">
        <v>0.15</v>
      </c>
      <c r="D4" s="1">
        <v>0.6</v>
      </c>
      <c r="E4" s="1">
        <v>0.25</v>
      </c>
      <c r="G4" s="2"/>
      <c r="H4" s="2"/>
      <c r="I4" s="2"/>
    </row>
    <row r="5" spans="1:9" x14ac:dyDescent="0.25">
      <c r="B5" s="2" t="s">
        <v>52</v>
      </c>
      <c r="C5" s="1">
        <v>0.05</v>
      </c>
      <c r="D5" s="1">
        <v>0.15</v>
      </c>
      <c r="E5" s="1">
        <v>0.8</v>
      </c>
      <c r="G5" s="2"/>
      <c r="H5" s="2"/>
      <c r="I5" s="2"/>
    </row>
    <row r="7" spans="1:9" x14ac:dyDescent="0.25">
      <c r="B7" s="2" t="s">
        <v>53</v>
      </c>
      <c r="C7" s="1" cm="1">
        <f t="array" ref="C7:E9">+MMULT(C3:E5,C3:E5)</f>
        <v>0.47000000000000003</v>
      </c>
      <c r="D7" s="1">
        <v>0.38250000000000001</v>
      </c>
      <c r="E7" s="1">
        <v>0.14750000000000002</v>
      </c>
    </row>
    <row r="8" spans="1:9" x14ac:dyDescent="0.25">
      <c r="C8" s="1">
        <v>0.2</v>
      </c>
      <c r="D8" s="1">
        <v>0.44249999999999995</v>
      </c>
      <c r="E8" s="1">
        <v>0.35750000000000004</v>
      </c>
    </row>
    <row r="9" spans="1:9" x14ac:dyDescent="0.25">
      <c r="C9" s="1">
        <v>9.5000000000000001E-2</v>
      </c>
      <c r="D9" s="1">
        <v>0.22499999999999998</v>
      </c>
      <c r="E9" s="1">
        <v>0.68000000000000016</v>
      </c>
    </row>
    <row r="10" spans="1:9" x14ac:dyDescent="0.25">
      <c r="G10" s="2"/>
      <c r="H10" s="2"/>
      <c r="I10" s="2"/>
    </row>
    <row r="11" spans="1:9" x14ac:dyDescent="0.25">
      <c r="B11" s="2" t="s">
        <v>54</v>
      </c>
      <c r="C11" s="1" cm="1">
        <f t="array" ref="C11:E13">+MMULT(_xlfn.ANCHORARRAY(C7),C7:E9)</f>
        <v>0.31141250000000004</v>
      </c>
      <c r="D11" s="1">
        <v>0.38221875</v>
      </c>
      <c r="E11" s="1">
        <v>0.30636875000000008</v>
      </c>
    </row>
    <row r="12" spans="1:9" x14ac:dyDescent="0.25">
      <c r="C12" s="1">
        <v>0.2164625</v>
      </c>
      <c r="D12" s="1">
        <v>0.35274374999999997</v>
      </c>
      <c r="E12" s="1">
        <v>0.43079375000000009</v>
      </c>
    </row>
    <row r="13" spans="1:9" x14ac:dyDescent="0.25">
      <c r="C13" s="1">
        <v>0.15425000000000003</v>
      </c>
      <c r="D13" s="1">
        <v>0.28890000000000005</v>
      </c>
      <c r="E13" s="1">
        <v>0.55685000000000018</v>
      </c>
    </row>
    <row r="15" spans="1:9" x14ac:dyDescent="0.25">
      <c r="B15" s="2" t="s">
        <v>55</v>
      </c>
      <c r="C15" s="1" cm="1">
        <f t="array" ref="C15:E17">+MMULT(_xlfn.ANCHORARRAY(C11),C11:E13)</f>
        <v>0.22697115101562504</v>
      </c>
      <c r="D15" s="1">
        <v>0.34236290355468757</v>
      </c>
      <c r="E15" s="1">
        <v>0.43066594542968767</v>
      </c>
    </row>
    <row r="16" spans="1:9" x14ac:dyDescent="0.25">
      <c r="C16" s="1">
        <v>0.21021485820312502</v>
      </c>
      <c r="D16" s="1">
        <v>0.33162049371093749</v>
      </c>
      <c r="E16" s="1">
        <v>0.45816464808593765</v>
      </c>
    </row>
    <row r="17" spans="2:6" x14ac:dyDescent="0.25">
      <c r="C17" s="1">
        <v>0.19646550687500006</v>
      </c>
      <c r="D17" s="1">
        <v>0.32173887656250011</v>
      </c>
      <c r="E17" s="1">
        <v>0.48179561656250025</v>
      </c>
    </row>
    <row r="19" spans="2:6" x14ac:dyDescent="0.25">
      <c r="B19" s="2" t="s">
        <v>56</v>
      </c>
      <c r="C19" s="26" cm="1">
        <f t="array" ref="C19:E21">+MMULT(_xlfn.ANCHORARRAY(C15),C15:E17)</f>
        <v>0.20809667588076119</v>
      </c>
      <c r="D19" s="26">
        <v>0.32980303484624912</v>
      </c>
      <c r="E19" s="26">
        <v>0.46210028927299024</v>
      </c>
    </row>
    <row r="20" spans="2:6" x14ac:dyDescent="0.25">
      <c r="C20" s="26">
        <v>0.20743781320805449</v>
      </c>
      <c r="D20" s="26">
        <v>0.32935130022966752</v>
      </c>
      <c r="E20" s="26">
        <v>0.46321088656227838</v>
      </c>
    </row>
    <row r="21" spans="2:6" x14ac:dyDescent="0.25">
      <c r="C21" s="26">
        <v>0.20688251456341045</v>
      </c>
      <c r="D21" s="26">
        <v>0.32897008687928297</v>
      </c>
      <c r="E21" s="26">
        <v>0.46414739855730724</v>
      </c>
    </row>
    <row r="24" spans="2:6" x14ac:dyDescent="0.25">
      <c r="D24" s="4" t="s">
        <v>57</v>
      </c>
      <c r="E24" s="2">
        <v>24</v>
      </c>
    </row>
    <row r="25" spans="2:6" x14ac:dyDescent="0.25">
      <c r="D25" s="4" t="s">
        <v>58</v>
      </c>
      <c r="E25" s="2">
        <f>+E24*0.75</f>
        <v>18</v>
      </c>
    </row>
    <row r="26" spans="2:6" x14ac:dyDescent="0.25">
      <c r="D26" s="4" t="s">
        <v>59</v>
      </c>
      <c r="E26" s="29">
        <f>+E25*C21</f>
        <v>3.7238852621413878</v>
      </c>
      <c r="F26" s="28" t="s">
        <v>60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BBE3-C808-408A-A76F-7B92699A6DCA}">
  <dimension ref="A1:I12"/>
  <sheetViews>
    <sheetView showGridLines="0" tabSelected="1" workbookViewId="0">
      <selection activeCell="G9" sqref="G9"/>
    </sheetView>
  </sheetViews>
  <sheetFormatPr baseColWidth="10" defaultRowHeight="15" x14ac:dyDescent="0.25"/>
  <cols>
    <col min="3" max="3" width="3.7109375" customWidth="1"/>
    <col min="5" max="5" width="13" bestFit="1" customWidth="1"/>
    <col min="6" max="6" width="12.85546875" bestFit="1" customWidth="1"/>
    <col min="7" max="7" width="13" bestFit="1" customWidth="1"/>
  </cols>
  <sheetData>
    <row r="1" spans="1:9" x14ac:dyDescent="0.25">
      <c r="H1" s="14" t="s">
        <v>33</v>
      </c>
      <c r="I1" s="14"/>
    </row>
    <row r="2" spans="1:9" x14ac:dyDescent="0.25">
      <c r="A2" s="2" t="s">
        <v>61</v>
      </c>
      <c r="B2" s="2">
        <f>240/60</f>
        <v>4</v>
      </c>
      <c r="D2" t="s">
        <v>24</v>
      </c>
      <c r="E2">
        <f>60/B2</f>
        <v>15</v>
      </c>
      <c r="F2" t="s">
        <v>22</v>
      </c>
      <c r="H2" s="8">
        <v>1</v>
      </c>
      <c r="I2" s="8">
        <f>+E2/E3</f>
        <v>1.0833333333333333</v>
      </c>
    </row>
    <row r="3" spans="1:9" x14ac:dyDescent="0.25">
      <c r="A3" s="2" t="s">
        <v>62</v>
      </c>
      <c r="B3" s="2">
        <f>260/60</f>
        <v>4.333333333333333</v>
      </c>
      <c r="D3" t="s">
        <v>34</v>
      </c>
      <c r="E3" s="27">
        <f>60/B3</f>
        <v>13.846153846153847</v>
      </c>
      <c r="F3" t="s">
        <v>22</v>
      </c>
      <c r="H3" s="30">
        <v>2</v>
      </c>
      <c r="I3" s="30">
        <f>+E2/(E3*2)</f>
        <v>0.54166666666666663</v>
      </c>
    </row>
    <row r="4" spans="1:9" x14ac:dyDescent="0.25">
      <c r="G4" s="9"/>
    </row>
    <row r="5" spans="1:9" ht="18.75" x14ac:dyDescent="0.3">
      <c r="E5" s="10" t="s">
        <v>35</v>
      </c>
      <c r="G5" s="31">
        <f>+G8+(E2/(E3*2))</f>
        <v>0.99150286650286645</v>
      </c>
    </row>
    <row r="6" spans="1:9" x14ac:dyDescent="0.25">
      <c r="G6" s="11"/>
    </row>
    <row r="7" spans="1:9" x14ac:dyDescent="0.25">
      <c r="G7" s="11"/>
    </row>
    <row r="8" spans="1:9" x14ac:dyDescent="0.25">
      <c r="G8" s="31">
        <f>(((E2/E3)^2*E2*E3)/(2*E3-E2)^2)*G11</f>
        <v>0.44983619983619977</v>
      </c>
    </row>
    <row r="9" spans="1:9" x14ac:dyDescent="0.25">
      <c r="G9" s="12"/>
    </row>
    <row r="10" spans="1:9" x14ac:dyDescent="0.25">
      <c r="G10" s="12"/>
      <c r="H10" s="9"/>
    </row>
    <row r="11" spans="1:9" x14ac:dyDescent="0.25">
      <c r="G11" s="11">
        <f>1/(1+(E2/E3)+((E2/E3)^2)/2*(2*E3/(2*E3-E2)))</f>
        <v>0.29729729729729731</v>
      </c>
      <c r="H11" s="9"/>
    </row>
    <row r="12" spans="1:9" x14ac:dyDescent="0.25">
      <c r="H12" s="9"/>
    </row>
  </sheetData>
  <mergeCells count="1">
    <mergeCell ref="H1:I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475C-31B0-4427-B439-FF637500C698}">
  <dimension ref="A2:I17"/>
  <sheetViews>
    <sheetView showGridLines="0" zoomScale="110" zoomScaleNormal="110" workbookViewId="0">
      <selection activeCell="E17" sqref="E17"/>
    </sheetView>
  </sheetViews>
  <sheetFormatPr baseColWidth="10" defaultColWidth="11.5703125" defaultRowHeight="15" x14ac:dyDescent="0.25"/>
  <cols>
    <col min="1" max="1" width="14.140625" bestFit="1" customWidth="1"/>
    <col min="2" max="2" width="14.42578125" bestFit="1" customWidth="1"/>
    <col min="3" max="3" width="17" bestFit="1" customWidth="1"/>
    <col min="4" max="4" width="28" bestFit="1" customWidth="1"/>
    <col min="5" max="5" width="16.85546875" bestFit="1" customWidth="1"/>
    <col min="6" max="6" width="27.5703125" bestFit="1" customWidth="1"/>
    <col min="7" max="7" width="14.42578125" bestFit="1" customWidth="1"/>
    <col min="8" max="8" width="28.42578125" bestFit="1" customWidth="1"/>
    <col min="9" max="9" width="18.28515625" bestFit="1" customWidth="1"/>
  </cols>
  <sheetData>
    <row r="2" spans="1:9" x14ac:dyDescent="0.25">
      <c r="A2" t="s">
        <v>24</v>
      </c>
      <c r="B2" s="2">
        <v>6</v>
      </c>
      <c r="C2" t="s">
        <v>22</v>
      </c>
    </row>
    <row r="3" spans="1:9" x14ac:dyDescent="0.25">
      <c r="A3" t="s">
        <v>23</v>
      </c>
      <c r="B3" s="2">
        <v>8</v>
      </c>
      <c r="C3" t="s">
        <v>22</v>
      </c>
    </row>
    <row r="5" spans="1:9" x14ac:dyDescent="0.25">
      <c r="A5" s="1" t="s">
        <v>21</v>
      </c>
      <c r="B5" s="1" t="s">
        <v>20</v>
      </c>
      <c r="C5" s="5" t="s">
        <v>19</v>
      </c>
      <c r="D5" s="5" t="s">
        <v>18</v>
      </c>
      <c r="E5" s="5" t="s">
        <v>17</v>
      </c>
      <c r="F5" s="5" t="s">
        <v>16</v>
      </c>
      <c r="G5" s="1" t="s">
        <v>15</v>
      </c>
      <c r="H5" s="1" t="s">
        <v>25</v>
      </c>
      <c r="I5" s="5" t="s">
        <v>14</v>
      </c>
    </row>
    <row r="6" spans="1:9" x14ac:dyDescent="0.25">
      <c r="A6" s="1">
        <v>1</v>
      </c>
      <c r="B6" s="1"/>
      <c r="C6" s="1" t="e">
        <f t="shared" ref="C6:C10" si="0">+(1/$B$2)*(LN(1/B6))*60</f>
        <v>#DIV/0!</v>
      </c>
      <c r="D6" s="1" t="e">
        <f>+C6</f>
        <v>#DIV/0!</v>
      </c>
      <c r="E6" s="1" t="e">
        <f t="shared" ref="E6:E10" si="1">+F6-D6</f>
        <v>#DIV/0!</v>
      </c>
      <c r="F6" s="1" t="e">
        <f>+D6</f>
        <v>#DIV/0!</v>
      </c>
      <c r="G6" s="1"/>
      <c r="H6" s="1" t="e">
        <f t="shared" ref="H6:H10" si="2">+(1/$B$3)*(LN(1/G6))*60</f>
        <v>#DIV/0!</v>
      </c>
      <c r="I6" s="1" t="e">
        <f t="shared" ref="I6:I10" si="3">+H6+F6</f>
        <v>#DIV/0!</v>
      </c>
    </row>
    <row r="7" spans="1:9" x14ac:dyDescent="0.25">
      <c r="A7" s="1">
        <v>2</v>
      </c>
      <c r="B7" s="1"/>
      <c r="C7" s="1" t="e">
        <f t="shared" si="0"/>
        <v>#DIV/0!</v>
      </c>
      <c r="D7" s="1" t="e">
        <f t="shared" ref="D7:D10" si="4">+D6+C7</f>
        <v>#DIV/0!</v>
      </c>
      <c r="E7" s="1" t="e">
        <f t="shared" si="1"/>
        <v>#DIV/0!</v>
      </c>
      <c r="F7" s="1" t="e">
        <f t="shared" ref="F7:F10" si="5">+MAX(D7,I6)</f>
        <v>#DIV/0!</v>
      </c>
      <c r="G7" s="1"/>
      <c r="H7" s="1" t="e">
        <f t="shared" si="2"/>
        <v>#DIV/0!</v>
      </c>
      <c r="I7" s="1" t="e">
        <f t="shared" si="3"/>
        <v>#DIV/0!</v>
      </c>
    </row>
    <row r="8" spans="1:9" x14ac:dyDescent="0.25">
      <c r="A8" s="1">
        <v>3</v>
      </c>
      <c r="B8" s="1"/>
      <c r="C8" s="1" t="e">
        <f t="shared" si="0"/>
        <v>#DIV/0!</v>
      </c>
      <c r="D8" s="1" t="e">
        <f t="shared" si="4"/>
        <v>#DIV/0!</v>
      </c>
      <c r="E8" s="1" t="e">
        <f t="shared" si="1"/>
        <v>#DIV/0!</v>
      </c>
      <c r="F8" s="1" t="e">
        <f t="shared" si="5"/>
        <v>#DIV/0!</v>
      </c>
      <c r="G8" s="1"/>
      <c r="H8" s="1" t="e">
        <f t="shared" si="2"/>
        <v>#DIV/0!</v>
      </c>
      <c r="I8" s="1" t="e">
        <f t="shared" si="3"/>
        <v>#DIV/0!</v>
      </c>
    </row>
    <row r="9" spans="1:9" x14ac:dyDescent="0.25">
      <c r="A9" s="1">
        <v>4</v>
      </c>
      <c r="B9" s="1"/>
      <c r="C9" s="1" t="e">
        <f t="shared" si="0"/>
        <v>#DIV/0!</v>
      </c>
      <c r="D9" s="1" t="e">
        <f t="shared" si="4"/>
        <v>#DIV/0!</v>
      </c>
      <c r="E9" s="1" t="e">
        <f t="shared" si="1"/>
        <v>#DIV/0!</v>
      </c>
      <c r="F9" s="1" t="e">
        <f t="shared" si="5"/>
        <v>#DIV/0!</v>
      </c>
      <c r="G9" s="1"/>
      <c r="H9" s="1" t="e">
        <f t="shared" si="2"/>
        <v>#DIV/0!</v>
      </c>
      <c r="I9" s="1" t="e">
        <f t="shared" si="3"/>
        <v>#DIV/0!</v>
      </c>
    </row>
    <row r="10" spans="1:9" x14ac:dyDescent="0.25">
      <c r="A10" s="1">
        <v>5</v>
      </c>
      <c r="B10" s="1"/>
      <c r="C10" s="1" t="e">
        <f t="shared" si="0"/>
        <v>#DIV/0!</v>
      </c>
      <c r="D10" s="1" t="e">
        <f t="shared" si="4"/>
        <v>#DIV/0!</v>
      </c>
      <c r="E10" s="1" t="e">
        <f t="shared" si="1"/>
        <v>#DIV/0!</v>
      </c>
      <c r="F10" s="1" t="e">
        <f t="shared" si="5"/>
        <v>#DIV/0!</v>
      </c>
      <c r="G10" s="1"/>
      <c r="H10" s="1" t="e">
        <f t="shared" si="2"/>
        <v>#DIV/0!</v>
      </c>
      <c r="I10" s="1" t="e">
        <f t="shared" si="3"/>
        <v>#DIV/0!</v>
      </c>
    </row>
    <row r="11" spans="1:9" x14ac:dyDescent="0.25">
      <c r="A11" s="1">
        <v>6</v>
      </c>
      <c r="B11" s="1"/>
      <c r="C11" s="1" t="e">
        <f t="shared" ref="C11:C15" si="6">+(1/$B$2)*(LN(1/B11))*60</f>
        <v>#DIV/0!</v>
      </c>
      <c r="D11" s="1" t="e">
        <f t="shared" ref="D11:D15" si="7">+D10+C11</f>
        <v>#DIV/0!</v>
      </c>
      <c r="E11" s="1" t="e">
        <f t="shared" ref="E11:E15" si="8">+F11-D11</f>
        <v>#DIV/0!</v>
      </c>
      <c r="F11" s="1" t="e">
        <f t="shared" ref="F11:F15" si="9">+MAX(D11,I10)</f>
        <v>#DIV/0!</v>
      </c>
      <c r="G11" s="1"/>
      <c r="H11" s="1" t="e">
        <f t="shared" ref="H11:H15" si="10">+(1/$B$3)*(LN(1/G11))*60</f>
        <v>#DIV/0!</v>
      </c>
      <c r="I11" s="1" t="e">
        <f t="shared" ref="I11:I15" si="11">+H11+F11</f>
        <v>#DIV/0!</v>
      </c>
    </row>
    <row r="12" spans="1:9" x14ac:dyDescent="0.25">
      <c r="A12" s="1">
        <v>7</v>
      </c>
      <c r="B12" s="1"/>
      <c r="C12" s="1" t="e">
        <f t="shared" si="6"/>
        <v>#DIV/0!</v>
      </c>
      <c r="D12" s="1" t="e">
        <f t="shared" si="7"/>
        <v>#DIV/0!</v>
      </c>
      <c r="E12" s="1" t="e">
        <f t="shared" si="8"/>
        <v>#DIV/0!</v>
      </c>
      <c r="F12" s="1" t="e">
        <f t="shared" si="9"/>
        <v>#DIV/0!</v>
      </c>
      <c r="G12" s="1"/>
      <c r="H12" s="1" t="e">
        <f t="shared" si="10"/>
        <v>#DIV/0!</v>
      </c>
      <c r="I12" s="1" t="e">
        <f t="shared" si="11"/>
        <v>#DIV/0!</v>
      </c>
    </row>
    <row r="13" spans="1:9" x14ac:dyDescent="0.25">
      <c r="A13" s="1">
        <v>8</v>
      </c>
      <c r="B13" s="1"/>
      <c r="C13" s="1" t="e">
        <f t="shared" si="6"/>
        <v>#DIV/0!</v>
      </c>
      <c r="D13" s="1" t="e">
        <f t="shared" si="7"/>
        <v>#DIV/0!</v>
      </c>
      <c r="E13" s="1" t="e">
        <f t="shared" si="8"/>
        <v>#DIV/0!</v>
      </c>
      <c r="F13" s="1" t="e">
        <f t="shared" si="9"/>
        <v>#DIV/0!</v>
      </c>
      <c r="G13" s="1"/>
      <c r="H13" s="1" t="e">
        <f t="shared" si="10"/>
        <v>#DIV/0!</v>
      </c>
      <c r="I13" s="1" t="e">
        <f t="shared" si="11"/>
        <v>#DIV/0!</v>
      </c>
    </row>
    <row r="14" spans="1:9" x14ac:dyDescent="0.25">
      <c r="A14" s="1">
        <v>9</v>
      </c>
      <c r="B14" s="1"/>
      <c r="C14" s="1" t="e">
        <f t="shared" si="6"/>
        <v>#DIV/0!</v>
      </c>
      <c r="D14" s="1" t="e">
        <f t="shared" si="7"/>
        <v>#DIV/0!</v>
      </c>
      <c r="E14" s="1" t="e">
        <f t="shared" si="8"/>
        <v>#DIV/0!</v>
      </c>
      <c r="F14" s="1" t="e">
        <f t="shared" si="9"/>
        <v>#DIV/0!</v>
      </c>
      <c r="G14" s="1"/>
      <c r="H14" s="1" t="e">
        <f t="shared" si="10"/>
        <v>#DIV/0!</v>
      </c>
      <c r="I14" s="1" t="e">
        <f t="shared" si="11"/>
        <v>#DIV/0!</v>
      </c>
    </row>
    <row r="15" spans="1:9" x14ac:dyDescent="0.25">
      <c r="A15" s="1">
        <v>10</v>
      </c>
      <c r="B15" s="1"/>
      <c r="C15" s="1" t="e">
        <f t="shared" si="6"/>
        <v>#DIV/0!</v>
      </c>
      <c r="D15" s="1" t="e">
        <f t="shared" si="7"/>
        <v>#DIV/0!</v>
      </c>
      <c r="E15" s="1" t="e">
        <f t="shared" si="8"/>
        <v>#DIV/0!</v>
      </c>
      <c r="F15" s="1" t="e">
        <f t="shared" si="9"/>
        <v>#DIV/0!</v>
      </c>
      <c r="G15" s="1"/>
      <c r="H15" s="1" t="e">
        <f t="shared" si="10"/>
        <v>#DIV/0!</v>
      </c>
      <c r="I15" s="1" t="e">
        <f t="shared" si="11"/>
        <v>#DIV/0!</v>
      </c>
    </row>
    <row r="17" spans="4:5" x14ac:dyDescent="0.25">
      <c r="D17" s="4" t="s">
        <v>13</v>
      </c>
      <c r="E17" s="3" t="e">
        <f>+AVERAGE(E6:E10)</f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Teoría</vt:lpstr>
      <vt:lpstr>P2 bis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Benevenia</dc:creator>
  <cp:lastModifiedBy>Florencia Benevenia</cp:lastModifiedBy>
  <dcterms:created xsi:type="dcterms:W3CDTF">2015-06-05T18:19:34Z</dcterms:created>
  <dcterms:modified xsi:type="dcterms:W3CDTF">2023-02-26T22:36:07Z</dcterms:modified>
</cp:coreProperties>
</file>