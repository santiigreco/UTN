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1165CEE4-6CE8-4886-B540-D019A16502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oría" sheetId="5" r:id="rId1"/>
    <sheet name="P1" sheetId="2" r:id="rId2"/>
    <sheet name="P2" sheetId="3" r:id="rId3"/>
    <sheet name="P3" sheetId="1" r:id="rId4"/>
    <sheet name="P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2" i="1" l="1"/>
  <c r="B24" i="2" a="1"/>
  <c r="B24" i="2" s="1"/>
  <c r="B20" i="2" a="1"/>
  <c r="B20" i="2" s="1"/>
  <c r="B13" i="2" a="1"/>
  <c r="B13" i="2" s="1"/>
  <c r="B9" i="2" a="1"/>
  <c r="B9" i="2" s="1"/>
  <c r="J8" i="1"/>
  <c r="J7" i="1"/>
  <c r="J6" i="1"/>
  <c r="J10" i="1"/>
  <c r="C6" i="1"/>
  <c r="J9" i="1" l="1"/>
  <c r="C9" i="1"/>
  <c r="C10" i="1"/>
  <c r="C7" i="1"/>
  <c r="D6" i="1"/>
  <c r="H6" i="1" s="1"/>
  <c r="C8" i="1"/>
  <c r="F6" i="1" l="1"/>
  <c r="K6" i="1"/>
  <c r="D7" i="1"/>
  <c r="H7" i="1" s="1"/>
  <c r="F7" i="1" l="1"/>
  <c r="D8" i="1"/>
  <c r="K7" i="1" l="1"/>
  <c r="H8" i="1" s="1"/>
  <c r="K8" i="1" s="1"/>
  <c r="D9" i="1"/>
  <c r="D10" i="1" s="1"/>
  <c r="H9" i="1" l="1"/>
  <c r="K9" i="1" s="1"/>
  <c r="H10" i="1" s="1"/>
  <c r="F8" i="1"/>
  <c r="K10" i="1" l="1"/>
  <c r="F9" i="1"/>
  <c r="F1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<sst xmlns="http://schemas.openxmlformats.org/spreadsheetml/2006/main" count="36" uniqueCount="29">
  <si>
    <t>Nro de Llegada</t>
  </si>
  <si>
    <t>Tiempo de Espera</t>
  </si>
  <si>
    <t>Momento en que es atendido</t>
  </si>
  <si>
    <t>Salidas</t>
  </si>
  <si>
    <t>Llegadas</t>
  </si>
  <si>
    <t>Momento de Salida</t>
  </si>
  <si>
    <t>Nro Aleatorio 1</t>
  </si>
  <si>
    <t>Nro Aleatorio 2</t>
  </si>
  <si>
    <t>Tiempo de Atención</t>
  </si>
  <si>
    <t>Llegada (horas)</t>
  </si>
  <si>
    <t>Momento de Arribo (horas)</t>
  </si>
  <si>
    <t>PB</t>
  </si>
  <si>
    <t>P1</t>
  </si>
  <si>
    <t>P2</t>
  </si>
  <si>
    <t>i)</t>
  </si>
  <si>
    <t>M^2</t>
  </si>
  <si>
    <t>M^4</t>
  </si>
  <si>
    <t>Q veces que va al 1er piso</t>
  </si>
  <si>
    <t>ii)</t>
  </si>
  <si>
    <t>M^16</t>
  </si>
  <si>
    <t>M^8</t>
  </si>
  <si>
    <t>El segundo tiene un menor desvío estándar y se seleccionaría en caso de querer minimizar el riesgo. Implica menor
dispersión alrededor del tiempo estimado de finalización.</t>
  </si>
  <si>
    <t>No, para asegurar el estado estacionario es necesario que la cadena sea ergódica: aperiódica e irreducible. Si la cadena
no es ergódica, no se asegura el estacionario, lo que no quiere decir que no pueda existir.</t>
  </si>
  <si>
    <t>Falso, hay juegos estáticos</t>
  </si>
  <si>
    <t>clientes/hora</t>
  </si>
  <si>
    <t>Q clientes esperando</t>
  </si>
  <si>
    <t>Q clientes en sistema</t>
  </si>
  <si>
    <t>Promedio de espera</t>
  </si>
  <si>
    <t>Explicar MIP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</si>
</sst>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 applyAlignment="1">
      <alignment horizontal="center"/>
    </xf>
    <xf numFmtId="10" fontId="0" fillId="0" borderId="0" xfId="0" applyNumberFormat="1" applyAlignment="1">
      <alignment horizontal="center"/>
    </xf>
    <xf numFmtId="9" fontId="2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2</xdr:row>
      <xdr:rowOff>0</xdr:rowOff>
    </xdr:from>
    <xdr:to>
      <xdr:col>4</xdr:col>
      <xdr:colOff>0</xdr:colOff>
      <xdr:row>5</xdr:row>
      <xdr:rowOff>57150</xdr:rowOff>
    </xdr:to>
    <xdr:sp macro="" textlink="">
      <xdr:nvSpPr>
        <xdr:cNvPr id="4" name="Corchetes 3">
          <a:extLst>
            <a:ext uri="{FF2B5EF4-FFF2-40B4-BE49-F238E27FC236}">
              <a16:creationId xmlns:a16="http://schemas.microsoft.com/office/drawing/2014/main" id="{CFE552C1-235D-F9D1-AB7A-1D89ECDF0DD8}"/>
            </a:ext>
          </a:extLst>
        </xdr:cNvPr>
        <xdr:cNvSpPr/>
      </xdr:nvSpPr>
      <xdr:spPr>
        <a:xfrm>
          <a:off x="704850" y="381000"/>
          <a:ext cx="3114675" cy="628650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9525</xdr:colOff>
      <xdr:row>7</xdr:row>
      <xdr:rowOff>171450</xdr:rowOff>
    </xdr:from>
    <xdr:to>
      <xdr:col>4</xdr:col>
      <xdr:colOff>66675</xdr:colOff>
      <xdr:row>11</xdr:row>
      <xdr:rowOff>38100</xdr:rowOff>
    </xdr:to>
    <xdr:sp macro="" textlink="">
      <xdr:nvSpPr>
        <xdr:cNvPr id="5" name="Corchetes 4">
          <a:extLst>
            <a:ext uri="{FF2B5EF4-FFF2-40B4-BE49-F238E27FC236}">
              <a16:creationId xmlns:a16="http://schemas.microsoft.com/office/drawing/2014/main" id="{27BE161E-0F75-457F-94D1-4E35AC438BE5}"/>
            </a:ext>
          </a:extLst>
        </xdr:cNvPr>
        <xdr:cNvSpPr/>
      </xdr:nvSpPr>
      <xdr:spPr>
        <a:xfrm>
          <a:off x="771525" y="1504950"/>
          <a:ext cx="3114675" cy="628650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9525</xdr:colOff>
      <xdr:row>11</xdr:row>
      <xdr:rowOff>171450</xdr:rowOff>
    </xdr:from>
    <xdr:to>
      <xdr:col>4</xdr:col>
      <xdr:colOff>66675</xdr:colOff>
      <xdr:row>15</xdr:row>
      <xdr:rowOff>38100</xdr:rowOff>
    </xdr:to>
    <xdr:sp macro="" textlink="">
      <xdr:nvSpPr>
        <xdr:cNvPr id="6" name="Corchetes 5">
          <a:extLst>
            <a:ext uri="{FF2B5EF4-FFF2-40B4-BE49-F238E27FC236}">
              <a16:creationId xmlns:a16="http://schemas.microsoft.com/office/drawing/2014/main" id="{C36E25A3-A6F4-4F4C-9056-F98821E3DAF9}"/>
            </a:ext>
          </a:extLst>
        </xdr:cNvPr>
        <xdr:cNvSpPr/>
      </xdr:nvSpPr>
      <xdr:spPr>
        <a:xfrm>
          <a:off x="771525" y="1504950"/>
          <a:ext cx="3114675" cy="628650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9525</xdr:colOff>
      <xdr:row>18</xdr:row>
      <xdr:rowOff>171450</xdr:rowOff>
    </xdr:from>
    <xdr:to>
      <xdr:col>4</xdr:col>
      <xdr:colOff>66675</xdr:colOff>
      <xdr:row>22</xdr:row>
      <xdr:rowOff>38100</xdr:rowOff>
    </xdr:to>
    <xdr:sp macro="" textlink="">
      <xdr:nvSpPr>
        <xdr:cNvPr id="8" name="Corchetes 7">
          <a:extLst>
            <a:ext uri="{FF2B5EF4-FFF2-40B4-BE49-F238E27FC236}">
              <a16:creationId xmlns:a16="http://schemas.microsoft.com/office/drawing/2014/main" id="{6CCB8B7C-3443-4764-95DE-8AB3DBFD20AB}"/>
            </a:ext>
          </a:extLst>
        </xdr:cNvPr>
        <xdr:cNvSpPr/>
      </xdr:nvSpPr>
      <xdr:spPr>
        <a:xfrm>
          <a:off x="771525" y="1504950"/>
          <a:ext cx="3114675" cy="628650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9525</xdr:colOff>
      <xdr:row>22</xdr:row>
      <xdr:rowOff>171450</xdr:rowOff>
    </xdr:from>
    <xdr:to>
      <xdr:col>4</xdr:col>
      <xdr:colOff>66675</xdr:colOff>
      <xdr:row>26</xdr:row>
      <xdr:rowOff>38100</xdr:rowOff>
    </xdr:to>
    <xdr:sp macro="" textlink="">
      <xdr:nvSpPr>
        <xdr:cNvPr id="9" name="Corchetes 8">
          <a:extLst>
            <a:ext uri="{FF2B5EF4-FFF2-40B4-BE49-F238E27FC236}">
              <a16:creationId xmlns:a16="http://schemas.microsoft.com/office/drawing/2014/main" id="{99436E1B-C1F1-49A1-8D37-4B2BBEFC938A}"/>
            </a:ext>
          </a:extLst>
        </xdr:cNvPr>
        <xdr:cNvSpPr/>
      </xdr:nvSpPr>
      <xdr:spPr>
        <a:xfrm>
          <a:off x="771525" y="3600450"/>
          <a:ext cx="3114675" cy="628650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6</xdr:col>
      <xdr:colOff>190000</xdr:colOff>
      <xdr:row>11</xdr:row>
      <xdr:rowOff>47429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C6B500-5A96-7A5F-3F61-9371B713F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0" y="571500"/>
          <a:ext cx="4000000" cy="15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1</xdr:row>
      <xdr:rowOff>0</xdr:rowOff>
    </xdr:from>
    <xdr:to>
      <xdr:col>6</xdr:col>
      <xdr:colOff>646870</xdr:colOff>
      <xdr:row>19</xdr:row>
      <xdr:rowOff>142421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38AEF2-A2F1-F628-383B-1060BA060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190500"/>
          <a:ext cx="6638095" cy="36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5BA0-B0DA-4E3F-A10B-5917D19A3548}">
  <dimension ref="A1:B4"/>
  <sheetViews>
    <sheetView tabSelected="1" workbookViewId="0">
      <selection activeCell="B5" sqref="B5"/>
    </sheetView>
  </sheetViews>
  <sheetFormatPr baseColWidth="10" defaultRowHeight="15" x14ac:dyDescent="0.25"/>
  <sheetData>
    <row r="1" spans="1:2" x14ac:dyDescent="0.25">
      <c r="A1">
        <v>1</v>
      </c>
      <c r="B1" s="5" t="s">
        <v>21</v>
      </c>
    </row>
    <row r="2" spans="1:2" x14ac:dyDescent="0.25">
      <c r="A2">
        <v>2</v>
      </c>
      <c r="B2" s="5" t="s">
        <v>22</v>
      </c>
    </row>
    <row r="3" spans="1:2" x14ac:dyDescent="0.25">
      <c r="A3">
        <v>3</v>
      </c>
      <c r="B3" t="s">
        <v>23</v>
      </c>
    </row>
    <row r="4" spans="1:2" x14ac:dyDescent="0.25">
      <c r="A4">
        <v>4</v>
      </c>
      <c r="B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9"/>
  <sheetViews>
    <sheetView showGridLines="0" topLeftCell="A11" workbookViewId="0">
      <selection activeCell="E24" sqref="E24"/>
    </sheetView>
  </sheetViews>
  <sheetFormatPr baseColWidth="10" defaultRowHeight="15" x14ac:dyDescent="0.25"/>
  <cols>
    <col min="2" max="2" width="16.140625" customWidth="1"/>
    <col min="3" max="3" width="15.140625" customWidth="1"/>
    <col min="4" max="4" width="14.5703125" customWidth="1"/>
    <col min="5" max="5" width="17.140625" customWidth="1"/>
  </cols>
  <sheetData>
    <row r="2" spans="1:5" x14ac:dyDescent="0.25">
      <c r="B2" s="4" t="s">
        <v>11</v>
      </c>
      <c r="C2" s="4" t="s">
        <v>12</v>
      </c>
      <c r="D2" s="4" t="s">
        <v>13</v>
      </c>
      <c r="E2" s="4"/>
    </row>
    <row r="3" spans="1:5" x14ac:dyDescent="0.25">
      <c r="A3" s="4" t="s">
        <v>11</v>
      </c>
      <c r="B3" s="4">
        <v>0</v>
      </c>
      <c r="C3" s="4">
        <v>0.3</v>
      </c>
      <c r="D3" s="4">
        <v>0.7</v>
      </c>
    </row>
    <row r="4" spans="1:5" x14ac:dyDescent="0.25">
      <c r="A4" s="4" t="s">
        <v>12</v>
      </c>
      <c r="B4" s="4">
        <v>0.6</v>
      </c>
      <c r="C4" s="4">
        <v>0</v>
      </c>
      <c r="D4" s="4">
        <v>0.4</v>
      </c>
    </row>
    <row r="5" spans="1:5" x14ac:dyDescent="0.25">
      <c r="A5" s="4" t="s">
        <v>13</v>
      </c>
      <c r="B5" s="4">
        <v>0.5</v>
      </c>
      <c r="C5" s="4">
        <v>0.5</v>
      </c>
      <c r="D5" s="4">
        <v>0</v>
      </c>
    </row>
    <row r="8" spans="1:5" x14ac:dyDescent="0.25">
      <c r="A8" s="4" t="s">
        <v>14</v>
      </c>
    </row>
    <row r="9" spans="1:5" x14ac:dyDescent="0.25">
      <c r="A9" s="4" t="s">
        <v>15</v>
      </c>
      <c r="B9" s="4" cm="1">
        <f t="array" ref="B9:D11">+MMULT(B3:D5,B3:D5)</f>
        <v>0.53</v>
      </c>
      <c r="C9" s="4">
        <v>0.35</v>
      </c>
      <c r="D9" s="4">
        <v>0.12</v>
      </c>
    </row>
    <row r="10" spans="1:5" x14ac:dyDescent="0.25">
      <c r="B10" s="4">
        <v>0.2</v>
      </c>
      <c r="C10" s="4">
        <v>0.38</v>
      </c>
      <c r="D10" s="4">
        <v>0.42</v>
      </c>
    </row>
    <row r="11" spans="1:5" x14ac:dyDescent="0.25">
      <c r="B11" s="4">
        <v>0.3</v>
      </c>
      <c r="C11" s="4">
        <v>0.15</v>
      </c>
      <c r="D11" s="4">
        <v>0.55000000000000004</v>
      </c>
    </row>
    <row r="13" spans="1:5" x14ac:dyDescent="0.25">
      <c r="A13" s="4" t="s">
        <v>16</v>
      </c>
      <c r="B13" s="4" cm="1">
        <f t="array" ref="B13:D15">+MMULT(_xlfn.ANCHORARRAY(B9),_xlfn.ANCHORARRAY(B9))</f>
        <v>0.38690000000000002</v>
      </c>
      <c r="C13" s="6">
        <v>0.33650000000000002</v>
      </c>
      <c r="D13" s="4">
        <v>0.27660000000000001</v>
      </c>
    </row>
    <row r="14" spans="1:5" x14ac:dyDescent="0.25">
      <c r="B14" s="4">
        <v>0.30800000000000005</v>
      </c>
      <c r="C14" s="4">
        <v>0.27739999999999998</v>
      </c>
      <c r="D14" s="4">
        <v>0.41459999999999997</v>
      </c>
    </row>
    <row r="15" spans="1:5" x14ac:dyDescent="0.25">
      <c r="B15" s="4">
        <v>0.35399999999999998</v>
      </c>
      <c r="C15" s="6">
        <v>0.2445</v>
      </c>
      <c r="D15" s="4">
        <v>0.40150000000000008</v>
      </c>
    </row>
    <row r="17" spans="1:4" x14ac:dyDescent="0.25">
      <c r="B17" s="3" t="s">
        <v>17</v>
      </c>
      <c r="C17" s="7">
        <v>0.58099999999999996</v>
      </c>
      <c r="D17" s="4"/>
    </row>
    <row r="18" spans="1:4" x14ac:dyDescent="0.25">
      <c r="A18" s="3"/>
      <c r="B18" s="4"/>
      <c r="C18" s="4"/>
      <c r="D18" s="4"/>
    </row>
    <row r="19" spans="1:4" x14ac:dyDescent="0.25">
      <c r="A19" s="4" t="s">
        <v>18</v>
      </c>
    </row>
    <row r="20" spans="1:4" x14ac:dyDescent="0.25">
      <c r="A20" s="4" t="s">
        <v>20</v>
      </c>
      <c r="B20" s="4" cm="1">
        <f t="array" ref="B20:D22">+MMULT(_xlfn.ANCHORARRAY(B13),_xlfn.ANCHORARRAY(B13))</f>
        <v>0.35125001000000006</v>
      </c>
      <c r="C20" s="4">
        <v>0.29116565</v>
      </c>
      <c r="D20" s="4">
        <v>0.35758434</v>
      </c>
    </row>
    <row r="21" spans="1:4" x14ac:dyDescent="0.25">
      <c r="B21" s="4">
        <v>0.35137280000000004</v>
      </c>
      <c r="C21" s="4">
        <v>0.28196246000000003</v>
      </c>
      <c r="D21" s="4">
        <v>0.36666474000000004</v>
      </c>
    </row>
    <row r="22" spans="1:4" x14ac:dyDescent="0.25">
      <c r="B22" s="4">
        <v>0.35439960000000004</v>
      </c>
      <c r="C22" s="4">
        <v>0.28511205000000001</v>
      </c>
      <c r="D22" s="4">
        <v>0.36048835000000007</v>
      </c>
    </row>
    <row r="24" spans="1:4" x14ac:dyDescent="0.25">
      <c r="A24" s="4" t="s">
        <v>19</v>
      </c>
      <c r="B24" s="4" cm="1">
        <f t="array" ref="B24:D26">+MMULT(_xlfn.ANCHORARRAY(B20),_xlfn.ANCHORARRAY(B20))</f>
        <v>0.3524120062915842</v>
      </c>
      <c r="C24" s="4">
        <v>0.2863213246409525</v>
      </c>
      <c r="D24" s="4">
        <v>0.36126666906746341</v>
      </c>
    </row>
    <row r="25" spans="1:4" x14ac:dyDescent="0.25">
      <c r="B25" s="4">
        <v>0.3524394757689201</v>
      </c>
      <c r="C25" s="4">
        <v>0.28635105423768864</v>
      </c>
      <c r="D25" s="4">
        <v>0.36120946999339149</v>
      </c>
    </row>
    <row r="26" spans="1:4" x14ac:dyDescent="0.25">
      <c r="B26" s="4">
        <v>0.35242040941089608</v>
      </c>
      <c r="C26" s="4">
        <v>0.28635945735700052</v>
      </c>
      <c r="D26" s="4">
        <v>0.36122013323210356</v>
      </c>
    </row>
    <row r="28" spans="1:4" x14ac:dyDescent="0.25">
      <c r="B28" s="4" t="s">
        <v>11</v>
      </c>
      <c r="C28" s="4" t="s">
        <v>12</v>
      </c>
      <c r="D28" s="4" t="s">
        <v>13</v>
      </c>
    </row>
    <row r="29" spans="1:4" x14ac:dyDescent="0.25">
      <c r="B29" s="8">
        <v>0.35</v>
      </c>
      <c r="C29" s="8">
        <v>0.28999999999999998</v>
      </c>
      <c r="D29" s="8">
        <v>0.36</v>
      </c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B17"/>
  <sheetViews>
    <sheetView showGridLines="0" workbookViewId="0">
      <selection activeCell="L7" sqref="L7"/>
    </sheetView>
  </sheetViews>
  <sheetFormatPr baseColWidth="10" defaultRowHeight="15" x14ac:dyDescent="0.25"/>
  <sheetData>
    <row r="14" spans="2:2" x14ac:dyDescent="0.25">
      <c r="B14" s="3"/>
    </row>
    <row r="15" spans="2:2" x14ac:dyDescent="0.25">
      <c r="B15" s="3"/>
    </row>
    <row r="16" spans="2:2" x14ac:dyDescent="0.25">
      <c r="B16" s="3"/>
    </row>
    <row r="17" spans="2:2" x14ac:dyDescent="0.25">
      <c r="B17" s="3"/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2"/>
  <sheetViews>
    <sheetView showGridLines="0" zoomScale="110" zoomScaleNormal="110" workbookViewId="0">
      <selection activeCell="F12" sqref="F12"/>
    </sheetView>
  </sheetViews>
  <sheetFormatPr baseColWidth="10" defaultColWidth="11.5703125" defaultRowHeight="15" x14ac:dyDescent="0.25"/>
  <cols>
    <col min="1" max="1" width="14.140625" bestFit="1" customWidth="1"/>
    <col min="2" max="2" width="18.42578125" bestFit="1" customWidth="1"/>
    <col min="3" max="3" width="25.85546875" bestFit="1" customWidth="1"/>
    <col min="4" max="4" width="28" bestFit="1" customWidth="1"/>
    <col min="5" max="5" width="20" bestFit="1" customWidth="1"/>
    <col min="6" max="6" width="22.85546875" bestFit="1" customWidth="1"/>
    <col min="7" max="7" width="22.85546875" customWidth="1"/>
    <col min="8" max="8" width="27.5703125" bestFit="1" customWidth="1"/>
    <col min="9" max="9" width="14.42578125" bestFit="1" customWidth="1"/>
    <col min="10" max="10" width="19" bestFit="1" customWidth="1"/>
    <col min="11" max="11" width="18.28515625" bestFit="1" customWidth="1"/>
  </cols>
  <sheetData>
    <row r="2" spans="1:11" x14ac:dyDescent="0.25">
      <c r="A2" t="s">
        <v>4</v>
      </c>
      <c r="B2">
        <v>5</v>
      </c>
      <c r="C2" t="s">
        <v>24</v>
      </c>
    </row>
    <row r="3" spans="1:11" x14ac:dyDescent="0.25">
      <c r="A3" t="s">
        <v>3</v>
      </c>
      <c r="B3">
        <v>8</v>
      </c>
      <c r="C3" t="s">
        <v>24</v>
      </c>
    </row>
    <row r="5" spans="1:11" x14ac:dyDescent="0.25">
      <c r="A5" s="1" t="s">
        <v>0</v>
      </c>
      <c r="B5" s="1" t="s">
        <v>6</v>
      </c>
      <c r="C5" s="2" t="s">
        <v>9</v>
      </c>
      <c r="D5" s="2" t="s">
        <v>10</v>
      </c>
      <c r="E5" s="2" t="s">
        <v>25</v>
      </c>
      <c r="F5" s="2" t="s">
        <v>1</v>
      </c>
      <c r="G5" s="2" t="s">
        <v>26</v>
      </c>
      <c r="H5" s="2" t="s">
        <v>2</v>
      </c>
      <c r="I5" s="1" t="s">
        <v>7</v>
      </c>
      <c r="J5" s="1" t="s">
        <v>8</v>
      </c>
      <c r="K5" s="2" t="s">
        <v>5</v>
      </c>
    </row>
    <row r="6" spans="1:11" x14ac:dyDescent="0.25">
      <c r="A6" s="1">
        <v>1</v>
      </c>
      <c r="B6" s="1"/>
      <c r="C6" s="1" t="e">
        <f>+(1/$B$2)*(LN(1/B6))</f>
        <v>#DIV/0!</v>
      </c>
      <c r="D6" s="1" t="e">
        <f>+C6</f>
        <v>#DIV/0!</v>
      </c>
      <c r="E6" s="1"/>
      <c r="F6" s="1" t="e">
        <f>+H6-D6</f>
        <v>#DIV/0!</v>
      </c>
      <c r="G6" s="1"/>
      <c r="H6" s="1" t="e">
        <f>+D6</f>
        <v>#DIV/0!</v>
      </c>
      <c r="I6" s="1"/>
      <c r="J6" s="1" t="e">
        <f>+(1/$B$3)*(LN(1/I6))</f>
        <v>#DIV/0!</v>
      </c>
      <c r="K6" s="1" t="e">
        <f>+J6+H6</f>
        <v>#DIV/0!</v>
      </c>
    </row>
    <row r="7" spans="1:11" x14ac:dyDescent="0.25">
      <c r="A7" s="1">
        <v>2</v>
      </c>
      <c r="B7" s="1"/>
      <c r="C7" s="1" t="e">
        <f t="shared" ref="C7:C10" si="0">+(1/$B$2)*(LN(1/B7))</f>
        <v>#DIV/0!</v>
      </c>
      <c r="D7" s="1" t="e">
        <f>+D6+C7</f>
        <v>#DIV/0!</v>
      </c>
      <c r="E7" s="1"/>
      <c r="F7" s="1" t="e">
        <f>+H7-D7</f>
        <v>#DIV/0!</v>
      </c>
      <c r="G7" s="1"/>
      <c r="H7" s="1" t="e">
        <f>+MAX(D7,K6)</f>
        <v>#DIV/0!</v>
      </c>
      <c r="I7" s="1"/>
      <c r="J7" s="1" t="e">
        <f t="shared" ref="J7:J10" si="1">+(1/$B$3)*(LN(1/I7))</f>
        <v>#DIV/0!</v>
      </c>
      <c r="K7" s="1" t="e">
        <f t="shared" ref="K7:K10" si="2">+J7+H7</f>
        <v>#DIV/0!</v>
      </c>
    </row>
    <row r="8" spans="1:11" x14ac:dyDescent="0.25">
      <c r="A8" s="1">
        <v>3</v>
      </c>
      <c r="B8" s="1"/>
      <c r="C8" s="1" t="e">
        <f t="shared" si="0"/>
        <v>#DIV/0!</v>
      </c>
      <c r="D8" s="1" t="e">
        <f t="shared" ref="D8:D10" si="3">+D7+C8</f>
        <v>#DIV/0!</v>
      </c>
      <c r="E8" s="1"/>
      <c r="F8" s="1" t="e">
        <f>+H8-D8</f>
        <v>#DIV/0!</v>
      </c>
      <c r="G8" s="1"/>
      <c r="H8" s="1" t="e">
        <f>+MAX(D8,K7)</f>
        <v>#DIV/0!</v>
      </c>
      <c r="I8" s="1"/>
      <c r="J8" s="1" t="e">
        <f t="shared" si="1"/>
        <v>#DIV/0!</v>
      </c>
      <c r="K8" s="1" t="e">
        <f t="shared" si="2"/>
        <v>#DIV/0!</v>
      </c>
    </row>
    <row r="9" spans="1:11" x14ac:dyDescent="0.25">
      <c r="A9" s="1">
        <v>4</v>
      </c>
      <c r="B9" s="1"/>
      <c r="C9" s="1" t="e">
        <f t="shared" si="0"/>
        <v>#DIV/0!</v>
      </c>
      <c r="D9" s="1" t="e">
        <f t="shared" si="3"/>
        <v>#DIV/0!</v>
      </c>
      <c r="E9" s="1"/>
      <c r="F9" s="1" t="e">
        <f>+H9-D9</f>
        <v>#DIV/0!</v>
      </c>
      <c r="G9" s="1"/>
      <c r="H9" s="1" t="e">
        <f>+MAX(D9,K8)</f>
        <v>#DIV/0!</v>
      </c>
      <c r="I9" s="1"/>
      <c r="J9" s="1" t="e">
        <f t="shared" si="1"/>
        <v>#DIV/0!</v>
      </c>
      <c r="K9" s="1" t="e">
        <f t="shared" si="2"/>
        <v>#DIV/0!</v>
      </c>
    </row>
    <row r="10" spans="1:11" x14ac:dyDescent="0.25">
      <c r="A10" s="1">
        <v>5</v>
      </c>
      <c r="B10" s="1"/>
      <c r="C10" s="1" t="e">
        <f t="shared" si="0"/>
        <v>#DIV/0!</v>
      </c>
      <c r="D10" s="1" t="e">
        <f t="shared" si="3"/>
        <v>#DIV/0!</v>
      </c>
      <c r="E10" s="1"/>
      <c r="F10" s="1" t="e">
        <f>+H10-D10</f>
        <v>#DIV/0!</v>
      </c>
      <c r="G10" s="1"/>
      <c r="H10" s="1" t="e">
        <f>+MAX(D10,K9)</f>
        <v>#DIV/0!</v>
      </c>
      <c r="I10" s="1"/>
      <c r="J10" s="1" t="e">
        <f t="shared" si="1"/>
        <v>#DIV/0!</v>
      </c>
      <c r="K10" s="1" t="e">
        <f t="shared" si="2"/>
        <v>#DIV/0!</v>
      </c>
    </row>
    <row r="12" spans="1:11" x14ac:dyDescent="0.25">
      <c r="E12" t="s">
        <v>27</v>
      </c>
      <c r="F12" s="9" t="e">
        <f>+AVERAGE(F6:F10)</f>
        <v>#DIV/0!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5B89-16B7-4E24-862C-7D33296D8E89}">
  <dimension ref="A12:A17"/>
  <sheetViews>
    <sheetView showGridLines="0" workbookViewId="0"/>
  </sheetViews>
  <sheetFormatPr baseColWidth="10" defaultRowHeight="15" x14ac:dyDescent="0.25"/>
  <cols>
    <col min="2" max="2" width="38.85546875" customWidth="1"/>
  </cols>
  <sheetData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Teoría</vt:lpstr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2024-07-08T00:07:10Z</dcterms:modified>
</cp:coreProperties>
</file>