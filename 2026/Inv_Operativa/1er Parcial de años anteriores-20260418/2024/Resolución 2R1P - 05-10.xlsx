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71D35363-6FE5-4813-B26A-939965A94D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oría" sheetId="5" r:id="rId1"/>
    <sheet name="P1" sheetId="2" r:id="rId2"/>
    <sheet name="P2" sheetId="3" r:id="rId3"/>
    <sheet name="P3" sheetId="1" r:id="rId4"/>
    <sheet name="P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10" i="1"/>
  <c r="C6" i="1"/>
  <c r="J9" i="1" l="1"/>
  <c r="C9" i="1"/>
  <c r="C10" i="1"/>
  <c r="C7" i="1"/>
  <c r="D6" i="1"/>
  <c r="H6" i="1" s="1"/>
  <c r="C8" i="1"/>
  <c r="F6" i="1" l="1"/>
  <c r="K6" i="1"/>
  <c r="D7" i="1"/>
  <c r="H7" i="1" s="1"/>
  <c r="F7" i="1" l="1"/>
  <c r="D8" i="1"/>
  <c r="K7" i="1" l="1"/>
  <c r="H8" i="1" s="1"/>
  <c r="K8" i="1" s="1"/>
  <c r="D9" i="1"/>
  <c r="D10" i="1" s="1"/>
  <c r="H9" i="1" l="1"/>
  <c r="K9" i="1" s="1"/>
  <c r="H10" i="1" s="1"/>
  <c r="F8" i="1"/>
  <c r="K10" i="1" l="1"/>
  <c r="F9" i="1"/>
  <c r="F10" i="1" l="1"/>
  <c r="F12" i="1" s="1"/>
</calcChain>
</file>

<file path=xl/sharedStrings.xml><?xml version="1.0" encoding="utf-8"?>
<sst xmlns="http://schemas.openxmlformats.org/spreadsheetml/2006/main" count="71" uniqueCount="66">
  <si>
    <t>Nro de Llegada</t>
  </si>
  <si>
    <t>Tiempo de Espera</t>
  </si>
  <si>
    <t>Momento en que es atendido</t>
  </si>
  <si>
    <t>Salidas</t>
  </si>
  <si>
    <t>Llegadas</t>
  </si>
  <si>
    <t>Momento de Salida</t>
  </si>
  <si>
    <t>Nro Aleatorio 1</t>
  </si>
  <si>
    <t>Nro Aleatorio 2</t>
  </si>
  <si>
    <t>Tiempo de Atención</t>
  </si>
  <si>
    <t>Llegada (horas)</t>
  </si>
  <si>
    <t>Momento de Arribo (horas)</t>
  </si>
  <si>
    <t>clientes/hora</t>
  </si>
  <si>
    <t>Q clientes esperando</t>
  </si>
  <si>
    <t>Q clientes en sistema</t>
  </si>
  <si>
    <t>Promedio de espera</t>
  </si>
  <si>
    <t>Explicar Matriz de Transiciones en MIP</t>
  </si>
  <si>
    <t>Explicar diferencias entre J. Cooperativos y no cooperativos</t>
  </si>
  <si>
    <t>Tarea</t>
  </si>
  <si>
    <t>ti</t>
  </si>
  <si>
    <t>Prec</t>
  </si>
  <si>
    <t>FeTa</t>
  </si>
  <si>
    <t>Fete</t>
  </si>
  <si>
    <t>Mf</t>
  </si>
  <si>
    <t>A</t>
  </si>
  <si>
    <t>B</t>
  </si>
  <si>
    <t>C</t>
  </si>
  <si>
    <t>D</t>
  </si>
  <si>
    <t>A-B</t>
  </si>
  <si>
    <t>E</t>
  </si>
  <si>
    <t>F</t>
  </si>
  <si>
    <t>C-D</t>
  </si>
  <si>
    <t>G</t>
  </si>
  <si>
    <t>H</t>
  </si>
  <si>
    <t>I</t>
  </si>
  <si>
    <t>F-G</t>
  </si>
  <si>
    <t>Datos:</t>
  </si>
  <si>
    <t>Paso 1: Cálculo de los parámetros</t>
  </si>
  <si>
    <t>Donde:</t>
  </si>
  <si>
    <t>Calculamos cada término:</t>
  </si>
  <si>
    <t>Ahora sumamos:</t>
  </si>
  <si>
    <t>Sustituyendo los valores:</t>
  </si>
  <si>
    <t>Sustituyendo:</t>
  </si>
  <si>
    <t>Tasa de llegada (λ): 10 clientes por hora.</t>
  </si>
  <si>
    <t>Tasa de servicio (μ): 6 clientes por hora por servidor.</t>
  </si>
  <si>
    <t>Número de servidores (k): 2.</t>
  </si>
  <si>
    <r>
      <t>1. Tasa de servicio total</t>
    </r>
    <r>
      <rPr>
        <sz val="11"/>
        <color theme="1"/>
        <rFont val="Calibri"/>
        <family val="2"/>
        <scheme val="minor"/>
      </rPr>
      <t xml:space="preserve"> (μtotal):</t>
    </r>
  </si>
  <si>
    <t>μtotal=c×μ=2×6=12 clientes por hora</t>
  </si>
  <si>
    <r>
      <t>2. Tasa de utilización (ρ)</t>
    </r>
    <r>
      <rPr>
        <sz val="11"/>
        <color theme="1"/>
        <rFont val="Calibri"/>
        <family val="2"/>
        <scheme val="minor"/>
      </rPr>
      <t>:</t>
    </r>
  </si>
  <si>
    <t>ρ=λ*μtotal=10*12≈0.8333</t>
  </si>
  <si>
    <t>Paso 2: Calculo de P0​ (probabilidad de que no haya clientes en el sistema)</t>
  </si>
  <si>
    <t>La probabilidad de que no haya clientes en el sistema para el modelo M/M/2 se calcula usando la siguiente fórmula:</t>
  </si>
  <si>
    <t>λ/μ=10/6≈1.6667</t>
  </si>
  <si>
    <t>Para n=0: (1.6667)^0/0!=1</t>
  </si>
  <si>
    <t>Para n=1: (1.6667)^1/1!≈1.6667</t>
  </si>
  <si>
    <t>Para n=2: (1.6667)^2/2!≈1.3889</t>
  </si>
  <si>
    <t>Suma hasta n=1:</t>
  </si>
  <si>
    <t>1+1.6667+1.3889≈4.0556</t>
  </si>
  <si>
    <t>Para c=2:</t>
  </si>
  <si>
    <t>(1.6667)^2/2!(1−0.8333)≈8.3333</t>
  </si>
  <si>
    <t>P0=1/4.0556+8.3333≈0.0807</t>
  </si>
  <si>
    <t>Paso 3: Calculo de L (número promedio de clientes en el sistema)</t>
  </si>
  <si>
    <t>La fórmula para L es:</t>
  </si>
  <si>
    <t>L=10/6+(((1.6667)^2)*0.0807)/2(1−0.8333)=2,3405</t>
  </si>
  <si>
    <t>Paso 4: Calculo de W (tiempo promedio en el sistema)</t>
  </si>
  <si>
    <t>La fórmula para W es:</t>
  </si>
  <si>
    <t>W≈2.3405/10≈0.2341 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</si>
</sst>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5</xdr:col>
      <xdr:colOff>247248</xdr:colOff>
      <xdr:row>7</xdr:row>
      <xdr:rowOff>47482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D66C19-55D2-0419-F740-52B488F71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38125"/>
          <a:ext cx="3219048" cy="11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1</xdr:row>
      <xdr:rowOff>95250</xdr:rowOff>
    </xdr:from>
    <xdr:to>
      <xdr:col>9</xdr:col>
      <xdr:colOff>171093</xdr:colOff>
      <xdr:row>8</xdr:row>
      <xdr:rowOff>95083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91088C-4D58-2C68-2DDA-3334EE4CD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0" y="285750"/>
          <a:ext cx="2857143" cy="1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10</xdr:row>
      <xdr:rowOff>152400</xdr:rowOff>
    </xdr:from>
    <xdr:to>
      <xdr:col>8</xdr:col>
      <xdr:colOff>675556</xdr:colOff>
      <xdr:row>25</xdr:row>
      <xdr:rowOff>85376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BFD12D-08D9-9C57-D1C5-03FECA4D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9175" y="2057400"/>
          <a:ext cx="5752381" cy="27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95250</xdr:rowOff>
    </xdr:from>
    <xdr:to>
      <xdr:col>5</xdr:col>
      <xdr:colOff>342414</xdr:colOff>
      <xdr:row>14</xdr:row>
      <xdr:rowOff>66369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C69014-70B9-C3C6-C40F-E1CF6D57F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85750"/>
          <a:ext cx="3885714" cy="24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1</xdr:row>
      <xdr:rowOff>19050</xdr:rowOff>
    </xdr:from>
    <xdr:to>
      <xdr:col>14</xdr:col>
      <xdr:colOff>332599</xdr:colOff>
      <xdr:row>15</xdr:row>
      <xdr:rowOff>180611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D5F403-32A8-6F6B-72E1-249FC18F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219075"/>
          <a:ext cx="6209524" cy="29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19</xdr:row>
      <xdr:rowOff>47625</xdr:rowOff>
    </xdr:from>
    <xdr:to>
      <xdr:col>1</xdr:col>
      <xdr:colOff>1638026</xdr:colOff>
      <xdr:row>22</xdr:row>
      <xdr:rowOff>190411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23457C-0CB7-DF8B-A472-729CBEE79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3762375"/>
          <a:ext cx="2190476" cy="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47</xdr:row>
      <xdr:rowOff>180975</xdr:rowOff>
    </xdr:from>
    <xdr:to>
      <xdr:col>1</xdr:col>
      <xdr:colOff>2142929</xdr:colOff>
      <xdr:row>51</xdr:row>
      <xdr:rowOff>95165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3240B7-F83E-8FB8-99AF-BB2011925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9267825"/>
          <a:ext cx="1571429" cy="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58</xdr:row>
      <xdr:rowOff>57150</xdr:rowOff>
    </xdr:from>
    <xdr:to>
      <xdr:col>1</xdr:col>
      <xdr:colOff>1542938</xdr:colOff>
      <xdr:row>61</xdr:row>
      <xdr:rowOff>76126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1EDC070-D95B-2B43-EDB9-7AA9F905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700" y="11277600"/>
          <a:ext cx="895238" cy="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5BA0-B0DA-4E3F-A10B-5917D19A3548}">
  <dimension ref="A1:B29"/>
  <sheetViews>
    <sheetView tabSelected="1" topLeftCell="A9" workbookViewId="0">
      <selection activeCell="A16" sqref="A16"/>
    </sheetView>
  </sheetViews>
  <sheetFormatPr baseColWidth="10" defaultRowHeight="15" x14ac:dyDescent="0.25"/>
  <sheetData>
    <row r="1" spans="1:1" x14ac:dyDescent="0.25">
      <c r="A1">
        <v>1</v>
      </c>
    </row>
    <row r="11" spans="1:1" x14ac:dyDescent="0.25">
      <c r="A11">
        <v>2</v>
      </c>
    </row>
    <row r="28" spans="1:2" x14ac:dyDescent="0.25">
      <c r="A28">
        <v>3</v>
      </c>
      <c r="B28" t="s">
        <v>16</v>
      </c>
    </row>
    <row r="29" spans="1:2" x14ac:dyDescent="0.25">
      <c r="A29">
        <v>4</v>
      </c>
      <c r="B29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C19" sqref="C19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selection sqref="A1:B10"/>
    </sheetView>
  </sheetViews>
  <sheetFormatPr baseColWidth="10" defaultRowHeight="15" x14ac:dyDescent="0.25"/>
  <sheetData>
    <row r="1" spans="1:6" ht="15.75" thickBot="1" x14ac:dyDescent="0.3">
      <c r="A1" s="5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spans="1:6" ht="15.75" thickBot="1" x14ac:dyDescent="0.3">
      <c r="A2" s="7" t="s">
        <v>23</v>
      </c>
      <c r="B2" s="8">
        <v>5</v>
      </c>
      <c r="C2" s="9"/>
      <c r="D2" s="8">
        <v>5</v>
      </c>
      <c r="E2" s="8">
        <v>0</v>
      </c>
      <c r="F2" s="8">
        <v>1</v>
      </c>
    </row>
    <row r="3" spans="1:6" ht="15.75" thickBot="1" x14ac:dyDescent="0.3">
      <c r="A3" s="7" t="s">
        <v>24</v>
      </c>
      <c r="B3" s="8">
        <v>4</v>
      </c>
      <c r="C3" s="9"/>
      <c r="D3" s="8">
        <v>5</v>
      </c>
      <c r="E3" s="8">
        <v>0</v>
      </c>
      <c r="F3" s="10">
        <v>0</v>
      </c>
    </row>
    <row r="4" spans="1:6" ht="15.75" thickBot="1" x14ac:dyDescent="0.3">
      <c r="A4" s="7" t="s">
        <v>25</v>
      </c>
      <c r="B4" s="8">
        <v>3</v>
      </c>
      <c r="C4" s="8" t="s">
        <v>24</v>
      </c>
      <c r="D4" s="8">
        <v>9</v>
      </c>
      <c r="E4" s="8">
        <v>5</v>
      </c>
      <c r="F4" s="8">
        <v>1</v>
      </c>
    </row>
    <row r="5" spans="1:6" ht="15.75" thickBot="1" x14ac:dyDescent="0.3">
      <c r="A5" s="7" t="s">
        <v>26</v>
      </c>
      <c r="B5" s="8">
        <v>4</v>
      </c>
      <c r="C5" s="8" t="s">
        <v>27</v>
      </c>
      <c r="D5" s="8">
        <v>9</v>
      </c>
      <c r="E5" s="8">
        <v>5</v>
      </c>
      <c r="F5" s="10">
        <v>0</v>
      </c>
    </row>
    <row r="6" spans="1:6" ht="15.75" thickBot="1" x14ac:dyDescent="0.3">
      <c r="A6" s="7" t="s">
        <v>28</v>
      </c>
      <c r="B6" s="8">
        <v>5</v>
      </c>
      <c r="C6" s="8" t="s">
        <v>27</v>
      </c>
      <c r="D6" s="8">
        <v>10</v>
      </c>
      <c r="E6" s="8">
        <v>5</v>
      </c>
      <c r="F6" s="10">
        <v>0</v>
      </c>
    </row>
    <row r="7" spans="1:6" ht="15.75" thickBot="1" x14ac:dyDescent="0.3">
      <c r="A7" s="7" t="s">
        <v>29</v>
      </c>
      <c r="B7" s="8">
        <v>1</v>
      </c>
      <c r="C7" s="8" t="s">
        <v>30</v>
      </c>
      <c r="D7" s="8">
        <v>12</v>
      </c>
      <c r="E7" s="8">
        <v>9</v>
      </c>
      <c r="F7" s="8">
        <v>2</v>
      </c>
    </row>
    <row r="8" spans="1:6" ht="15.75" thickBot="1" x14ac:dyDescent="0.3">
      <c r="A8" s="7" t="s">
        <v>31</v>
      </c>
      <c r="B8" s="8">
        <v>2</v>
      </c>
      <c r="C8" s="8" t="s">
        <v>28</v>
      </c>
      <c r="D8" s="8">
        <v>12</v>
      </c>
      <c r="E8" s="8">
        <v>10</v>
      </c>
      <c r="F8" s="10">
        <v>0</v>
      </c>
    </row>
    <row r="9" spans="1:6" ht="15.75" thickBot="1" x14ac:dyDescent="0.3">
      <c r="A9" s="7" t="s">
        <v>32</v>
      </c>
      <c r="B9" s="8">
        <v>7</v>
      </c>
      <c r="C9" s="8" t="s">
        <v>30</v>
      </c>
      <c r="D9" s="8">
        <v>16</v>
      </c>
      <c r="E9" s="8">
        <v>9</v>
      </c>
      <c r="F9" s="10">
        <v>0</v>
      </c>
    </row>
    <row r="10" spans="1:6" ht="15.75" thickBot="1" x14ac:dyDescent="0.3">
      <c r="A10" s="7" t="s">
        <v>33</v>
      </c>
      <c r="B10" s="8">
        <v>4</v>
      </c>
      <c r="C10" s="8" t="s">
        <v>34</v>
      </c>
      <c r="D10" s="8">
        <v>16</v>
      </c>
      <c r="E10" s="8">
        <v>12</v>
      </c>
      <c r="F10" s="10">
        <v>0</v>
      </c>
    </row>
    <row r="14" spans="1:6" x14ac:dyDescent="0.25">
      <c r="B14" s="3"/>
    </row>
    <row r="15" spans="1:6" x14ac:dyDescent="0.25">
      <c r="B15" s="3"/>
    </row>
    <row r="16" spans="1:6" x14ac:dyDescent="0.25">
      <c r="B16" s="3"/>
    </row>
    <row r="17" spans="2:2" x14ac:dyDescent="0.25">
      <c r="B17" s="3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"/>
  <sheetViews>
    <sheetView showGridLines="0" zoomScale="110" zoomScaleNormal="110" workbookViewId="0">
      <selection activeCell="A6" sqref="A6"/>
    </sheetView>
  </sheetViews>
  <sheetFormatPr baseColWidth="10" defaultColWidth="11.5703125" defaultRowHeight="15" x14ac:dyDescent="0.25"/>
  <cols>
    <col min="1" max="1" width="14.140625" bestFit="1" customWidth="1"/>
    <col min="2" max="2" width="18.42578125" bestFit="1" customWidth="1"/>
    <col min="3" max="3" width="25.85546875" bestFit="1" customWidth="1"/>
    <col min="4" max="4" width="28" bestFit="1" customWidth="1"/>
    <col min="5" max="5" width="20" bestFit="1" customWidth="1"/>
    <col min="6" max="6" width="22.85546875" bestFit="1" customWidth="1"/>
    <col min="7" max="7" width="22.85546875" customWidth="1"/>
    <col min="8" max="8" width="27.5703125" bestFit="1" customWidth="1"/>
    <col min="9" max="9" width="14.42578125" bestFit="1" customWidth="1"/>
    <col min="10" max="10" width="19" bestFit="1" customWidth="1"/>
    <col min="11" max="11" width="18.28515625" bestFit="1" customWidth="1"/>
  </cols>
  <sheetData>
    <row r="2" spans="1:11" x14ac:dyDescent="0.25">
      <c r="A2" t="s">
        <v>4</v>
      </c>
      <c r="B2">
        <v>12</v>
      </c>
      <c r="C2" t="s">
        <v>11</v>
      </c>
    </row>
    <row r="3" spans="1:11" x14ac:dyDescent="0.25">
      <c r="A3" t="s">
        <v>3</v>
      </c>
      <c r="B3">
        <v>10</v>
      </c>
      <c r="C3" t="s">
        <v>11</v>
      </c>
    </row>
    <row r="5" spans="1:11" x14ac:dyDescent="0.25">
      <c r="A5" s="1" t="s">
        <v>0</v>
      </c>
      <c r="B5" s="1" t="s">
        <v>6</v>
      </c>
      <c r="C5" s="2" t="s">
        <v>9</v>
      </c>
      <c r="D5" s="2" t="s">
        <v>10</v>
      </c>
      <c r="E5" s="2" t="s">
        <v>12</v>
      </c>
      <c r="F5" s="2" t="s">
        <v>1</v>
      </c>
      <c r="G5" s="2" t="s">
        <v>13</v>
      </c>
      <c r="H5" s="2" t="s">
        <v>2</v>
      </c>
      <c r="I5" s="1" t="s">
        <v>7</v>
      </c>
      <c r="J5" s="1" t="s">
        <v>8</v>
      </c>
      <c r="K5" s="2" t="s">
        <v>5</v>
      </c>
    </row>
    <row r="6" spans="1:11" x14ac:dyDescent="0.25">
      <c r="A6" s="1">
        <v>1</v>
      </c>
      <c r="B6" s="1"/>
      <c r="C6" s="1" t="e">
        <f>+(1/$B$2)*(LN(1/B6))</f>
        <v>#DIV/0!</v>
      </c>
      <c r="D6" s="1" t="e">
        <f>+C6</f>
        <v>#DIV/0!</v>
      </c>
      <c r="E6" s="1"/>
      <c r="F6" s="1" t="e">
        <f>+H6-D6</f>
        <v>#DIV/0!</v>
      </c>
      <c r="G6" s="1"/>
      <c r="H6" s="1" t="e">
        <f>+D6</f>
        <v>#DIV/0!</v>
      </c>
      <c r="I6" s="1"/>
      <c r="J6" s="1" t="e">
        <f>+(1/$B$3)*(LN(1/I6))</f>
        <v>#DIV/0!</v>
      </c>
      <c r="K6" s="1" t="e">
        <f>+J6+H6</f>
        <v>#DIV/0!</v>
      </c>
    </row>
    <row r="7" spans="1:11" x14ac:dyDescent="0.25">
      <c r="A7" s="1">
        <v>2</v>
      </c>
      <c r="B7" s="1"/>
      <c r="C7" s="1" t="e">
        <f t="shared" ref="C7:C10" si="0">+(1/$B$2)*(LN(1/B7))</f>
        <v>#DIV/0!</v>
      </c>
      <c r="D7" s="1" t="e">
        <f>+D6+C7</f>
        <v>#DIV/0!</v>
      </c>
      <c r="E7" s="1"/>
      <c r="F7" s="1" t="e">
        <f>+H7-D7</f>
        <v>#DIV/0!</v>
      </c>
      <c r="G7" s="1"/>
      <c r="H7" s="1" t="e">
        <f>+MAX(D7,K6)</f>
        <v>#DIV/0!</v>
      </c>
      <c r="I7" s="1"/>
      <c r="J7" s="1" t="e">
        <f t="shared" ref="J7:J10" si="1">+(1/$B$3)*(LN(1/I7))</f>
        <v>#DIV/0!</v>
      </c>
      <c r="K7" s="1" t="e">
        <f t="shared" ref="K7:K10" si="2">+J7+H7</f>
        <v>#DIV/0!</v>
      </c>
    </row>
    <row r="8" spans="1:11" x14ac:dyDescent="0.25">
      <c r="A8" s="1">
        <v>3</v>
      </c>
      <c r="B8" s="1"/>
      <c r="C8" s="1" t="e">
        <f t="shared" si="0"/>
        <v>#DIV/0!</v>
      </c>
      <c r="D8" s="1" t="e">
        <f t="shared" ref="D8:D10" si="3">+D7+C8</f>
        <v>#DIV/0!</v>
      </c>
      <c r="E8" s="1"/>
      <c r="F8" s="1" t="e">
        <f>+H8-D8</f>
        <v>#DIV/0!</v>
      </c>
      <c r="G8" s="1"/>
      <c r="H8" s="1" t="e">
        <f>+MAX(D8,K7)</f>
        <v>#DIV/0!</v>
      </c>
      <c r="I8" s="1"/>
      <c r="J8" s="1" t="e">
        <f t="shared" si="1"/>
        <v>#DIV/0!</v>
      </c>
      <c r="K8" s="1" t="e">
        <f t="shared" si="2"/>
        <v>#DIV/0!</v>
      </c>
    </row>
    <row r="9" spans="1:11" x14ac:dyDescent="0.25">
      <c r="A9" s="1">
        <v>4</v>
      </c>
      <c r="B9" s="1"/>
      <c r="C9" s="1" t="e">
        <f t="shared" si="0"/>
        <v>#DIV/0!</v>
      </c>
      <c r="D9" s="1" t="e">
        <f t="shared" si="3"/>
        <v>#DIV/0!</v>
      </c>
      <c r="E9" s="1"/>
      <c r="F9" s="1" t="e">
        <f>+H9-D9</f>
        <v>#DIV/0!</v>
      </c>
      <c r="G9" s="1"/>
      <c r="H9" s="1" t="e">
        <f>+MAX(D9,K8)</f>
        <v>#DIV/0!</v>
      </c>
      <c r="I9" s="1"/>
      <c r="J9" s="1" t="e">
        <f t="shared" si="1"/>
        <v>#DIV/0!</v>
      </c>
      <c r="K9" s="1" t="e">
        <f t="shared" si="2"/>
        <v>#DIV/0!</v>
      </c>
    </row>
    <row r="10" spans="1:11" x14ac:dyDescent="0.25">
      <c r="A10" s="1">
        <v>5</v>
      </c>
      <c r="B10" s="1"/>
      <c r="C10" s="1" t="e">
        <f t="shared" si="0"/>
        <v>#DIV/0!</v>
      </c>
      <c r="D10" s="1" t="e">
        <f t="shared" si="3"/>
        <v>#DIV/0!</v>
      </c>
      <c r="E10" s="1"/>
      <c r="F10" s="1" t="e">
        <f>+H10-D10</f>
        <v>#DIV/0!</v>
      </c>
      <c r="G10" s="1"/>
      <c r="H10" s="1" t="e">
        <f>+MAX(D10,K9)</f>
        <v>#DIV/0!</v>
      </c>
      <c r="I10" s="1"/>
      <c r="J10" s="1" t="e">
        <f t="shared" si="1"/>
        <v>#DIV/0!</v>
      </c>
      <c r="K10" s="1" t="e">
        <f t="shared" si="2"/>
        <v>#DIV/0!</v>
      </c>
    </row>
    <row r="12" spans="1:11" x14ac:dyDescent="0.25">
      <c r="E12" t="s">
        <v>14</v>
      </c>
      <c r="F12" s="4" t="e">
        <f>+AVERAGE(F6:F10)</f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:A71"/>
  <sheetViews>
    <sheetView showGridLines="0" topLeftCell="A15" workbookViewId="0">
      <selection activeCell="A35" sqref="A35"/>
    </sheetView>
  </sheetViews>
  <sheetFormatPr baseColWidth="10" defaultRowHeight="15" x14ac:dyDescent="0.25"/>
  <cols>
    <col min="2" max="2" width="38.85546875" customWidth="1"/>
  </cols>
  <sheetData>
    <row r="1" spans="1:1" x14ac:dyDescent="0.25">
      <c r="A1" s="11" t="s">
        <v>35</v>
      </c>
    </row>
    <row r="2" spans="1:1" x14ac:dyDescent="0.25">
      <c r="A2" s="12"/>
    </row>
    <row r="3" spans="1:1" x14ac:dyDescent="0.25">
      <c r="A3" s="12" t="s">
        <v>42</v>
      </c>
    </row>
    <row r="4" spans="1:1" x14ac:dyDescent="0.25">
      <c r="A4" s="12" t="s">
        <v>43</v>
      </c>
    </row>
    <row r="5" spans="1:1" x14ac:dyDescent="0.25">
      <c r="A5" s="12" t="s">
        <v>44</v>
      </c>
    </row>
    <row r="7" spans="1:1" ht="18" x14ac:dyDescent="0.25">
      <c r="A7" s="13" t="s">
        <v>36</v>
      </c>
    </row>
    <row r="8" spans="1:1" x14ac:dyDescent="0.25">
      <c r="A8" s="12"/>
    </row>
    <row r="9" spans="1:1" x14ac:dyDescent="0.25">
      <c r="A9" s="14" t="s">
        <v>45</v>
      </c>
    </row>
    <row r="10" spans="1:1" x14ac:dyDescent="0.25">
      <c r="A10" s="12"/>
    </row>
    <row r="11" spans="1:1" x14ac:dyDescent="0.25">
      <c r="A11" s="12" t="s">
        <v>46</v>
      </c>
    </row>
    <row r="12" spans="1:1" ht="15.75" customHeight="1" x14ac:dyDescent="0.25">
      <c r="A12" s="12"/>
    </row>
    <row r="13" spans="1:1" ht="15.75" customHeight="1" x14ac:dyDescent="0.25">
      <c r="A13" s="14" t="s">
        <v>47</v>
      </c>
    </row>
    <row r="14" spans="1:1" ht="15.75" customHeight="1" x14ac:dyDescent="0.25">
      <c r="A14" s="12"/>
    </row>
    <row r="15" spans="1:1" ht="15.75" customHeight="1" x14ac:dyDescent="0.25">
      <c r="A15" s="12" t="s">
        <v>48</v>
      </c>
    </row>
    <row r="16" spans="1:1" ht="15.75" customHeight="1" x14ac:dyDescent="0.25"/>
    <row r="17" spans="1:1" ht="15.75" customHeight="1" x14ac:dyDescent="0.25">
      <c r="A17" s="13" t="s">
        <v>49</v>
      </c>
    </row>
    <row r="19" spans="1:1" x14ac:dyDescent="0.25">
      <c r="A19" t="s">
        <v>50</v>
      </c>
    </row>
    <row r="25" spans="1:1" x14ac:dyDescent="0.25">
      <c r="A25" t="s">
        <v>37</v>
      </c>
    </row>
    <row r="26" spans="1:1" x14ac:dyDescent="0.25">
      <c r="A26" s="12"/>
    </row>
    <row r="27" spans="1:1" x14ac:dyDescent="0.25">
      <c r="A27" s="12" t="s">
        <v>51</v>
      </c>
    </row>
    <row r="29" spans="1:1" x14ac:dyDescent="0.25">
      <c r="A29" t="s">
        <v>38</v>
      </c>
    </row>
    <row r="30" spans="1:1" x14ac:dyDescent="0.25">
      <c r="A30" s="12"/>
    </row>
    <row r="31" spans="1:1" x14ac:dyDescent="0.25">
      <c r="A31" s="12" t="s">
        <v>52</v>
      </c>
    </row>
    <row r="32" spans="1:1" x14ac:dyDescent="0.25">
      <c r="A32" s="12" t="s">
        <v>53</v>
      </c>
    </row>
    <row r="33" spans="1:1" x14ac:dyDescent="0.25">
      <c r="A33" s="12" t="s">
        <v>54</v>
      </c>
    </row>
    <row r="35" spans="1:1" x14ac:dyDescent="0.25">
      <c r="A35" t="s">
        <v>55</v>
      </c>
    </row>
    <row r="37" spans="1:1" x14ac:dyDescent="0.25">
      <c r="A37" t="s">
        <v>56</v>
      </c>
    </row>
    <row r="39" spans="1:1" x14ac:dyDescent="0.25">
      <c r="A39" t="s">
        <v>57</v>
      </c>
    </row>
    <row r="41" spans="1:1" x14ac:dyDescent="0.25">
      <c r="A41" t="s">
        <v>58</v>
      </c>
    </row>
    <row r="43" spans="1:1" x14ac:dyDescent="0.25">
      <c r="A43" t="s">
        <v>39</v>
      </c>
    </row>
    <row r="45" spans="1:1" x14ac:dyDescent="0.25">
      <c r="A45" t="s">
        <v>59</v>
      </c>
    </row>
    <row r="47" spans="1:1" ht="18" x14ac:dyDescent="0.25">
      <c r="A47" s="13" t="s">
        <v>60</v>
      </c>
    </row>
    <row r="49" spans="1:1" x14ac:dyDescent="0.25">
      <c r="A49" t="s">
        <v>61</v>
      </c>
    </row>
    <row r="53" spans="1:1" x14ac:dyDescent="0.25">
      <c r="A53" t="s">
        <v>40</v>
      </c>
    </row>
    <row r="55" spans="1:1" x14ac:dyDescent="0.25">
      <c r="A55" t="s">
        <v>62</v>
      </c>
    </row>
    <row r="57" spans="1:1" ht="18" x14ac:dyDescent="0.25">
      <c r="A57" s="13" t="s">
        <v>63</v>
      </c>
    </row>
    <row r="59" spans="1:1" x14ac:dyDescent="0.25">
      <c r="A59" t="s">
        <v>64</v>
      </c>
    </row>
    <row r="63" spans="1:1" x14ac:dyDescent="0.25">
      <c r="A63" t="s">
        <v>41</v>
      </c>
    </row>
    <row r="65" spans="1:1" x14ac:dyDescent="0.25">
      <c r="A65" t="s">
        <v>65</v>
      </c>
    </row>
    <row r="67" spans="1:1" ht="18" x14ac:dyDescent="0.25">
      <c r="A67" s="13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Teoría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2024-10-05T14:38:28Z</dcterms:modified>
</cp:coreProperties>
</file>