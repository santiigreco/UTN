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70C03246-9B22-4ADC-B63A-684D41B7BBA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1.1" sheetId="3" r:id="rId1"/>
    <sheet name="P1.2" sheetId="1" r:id="rId2"/>
    <sheet name="P2" sheetId="2" r:id="rId3"/>
    <sheet name="P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" l="1"/>
  <c r="K6" i="1"/>
  <c r="J10" i="1"/>
  <c r="J9" i="1"/>
  <c r="J8" i="1"/>
  <c r="J7" i="1"/>
  <c r="J6" i="1"/>
  <c r="B3" i="1"/>
  <c r="B2" i="1"/>
  <c r="C6" i="1" s="1"/>
  <c r="C2" i="3"/>
  <c r="D14" i="3"/>
  <c r="D18" i="3" s="1"/>
  <c r="D8" i="3"/>
  <c r="D11" i="3" s="1"/>
  <c r="G2" i="3"/>
  <c r="D6" i="3" s="1"/>
  <c r="C9" i="1" l="1"/>
  <c r="C10" i="1"/>
  <c r="C7" i="1"/>
  <c r="D6" i="1"/>
  <c r="H6" i="1" s="1"/>
  <c r="F6" i="1" s="1"/>
  <c r="C8" i="1"/>
  <c r="D7" i="1" l="1"/>
  <c r="F7" i="1" l="1"/>
  <c r="D8" i="1"/>
  <c r="K7" i="1" l="1"/>
  <c r="H8" i="1" s="1"/>
  <c r="K8" i="1" s="1"/>
  <c r="D9" i="1"/>
  <c r="D10" i="1" s="1"/>
  <c r="H9" i="1" l="1"/>
  <c r="K9" i="1" s="1"/>
  <c r="H10" i="1" s="1"/>
  <c r="F8" i="1"/>
  <c r="K10" i="1" l="1"/>
  <c r="F9" i="1"/>
  <c r="F10" i="1" l="1"/>
</calcChain>
</file>

<file path=xl/sharedStrings.xml><?xml version="1.0" encoding="utf-8"?>
<sst xmlns="http://schemas.openxmlformats.org/spreadsheetml/2006/main" count="51" uniqueCount="34">
  <si>
    <t>Nro de Llegada</t>
  </si>
  <si>
    <t>Tiempo de Espera</t>
  </si>
  <si>
    <t>Momento en que es atendido</t>
  </si>
  <si>
    <t>Salidas</t>
  </si>
  <si>
    <t>Llegadas</t>
  </si>
  <si>
    <t>Momento de Salida</t>
  </si>
  <si>
    <t>Nro Aleatorio 1</t>
  </si>
  <si>
    <t>Nro Aleatorio 2</t>
  </si>
  <si>
    <t>Tiempo de Atención</t>
  </si>
  <si>
    <t>ro</t>
  </si>
  <si>
    <t>A</t>
  </si>
  <si>
    <t>B</t>
  </si>
  <si>
    <t>C</t>
  </si>
  <si>
    <t>D</t>
  </si>
  <si>
    <t>E</t>
  </si>
  <si>
    <t>F</t>
  </si>
  <si>
    <t>horas</t>
  </si>
  <si>
    <t>equipos/hora</t>
  </si>
  <si>
    <t>equipos</t>
  </si>
  <si>
    <t>Llegada (horas)</t>
  </si>
  <si>
    <t>Momento de Arribo (horas)</t>
  </si>
  <si>
    <t>Q equipos esperando</t>
  </si>
  <si>
    <t>Q equipos en sistema</t>
  </si>
  <si>
    <t>Tarea</t>
  </si>
  <si>
    <t>Descripción</t>
  </si>
  <si>
    <t>Tiempo de la Tarea</t>
  </si>
  <si>
    <t>Predecesor</t>
  </si>
  <si>
    <t>Crear un boceto</t>
  </si>
  <si>
    <t>Escribir un borrador</t>
  </si>
  <si>
    <t>Editar y crear el borrador final</t>
  </si>
  <si>
    <t>Diseñar el contenido visual</t>
  </si>
  <si>
    <t>Agregar animaciones al contenido visual</t>
  </si>
  <si>
    <t>Subir publicación</t>
  </si>
  <si>
    <t>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</si>
</sst>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2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 wrapText="1" readingOrder="1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justify" vertical="center"/>
    </xf>
    <xf numFmtId="0" fontId="0" fillId="0" borderId="0" xfId="0" applyAlignme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12</xdr:row>
      <xdr:rowOff>161925</xdr:rowOff>
    </xdr:from>
    <xdr:to>
      <xdr:col>2</xdr:col>
      <xdr:colOff>733425</xdr:colOff>
      <xdr:row>15</xdr:row>
      <xdr:rowOff>85725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8AD46C3-4408-5C57-C220-EE64DB00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447925"/>
          <a:ext cx="19812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266700</xdr:colOff>
      <xdr:row>9</xdr:row>
      <xdr:rowOff>152400</xdr:rowOff>
    </xdr:from>
    <xdr:to>
      <xdr:col>2</xdr:col>
      <xdr:colOff>219075</xdr:colOff>
      <xdr:row>12</xdr:row>
      <xdr:rowOff>142875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1B3B470-FB34-411F-A620-59D6A8A62F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r="56140"/>
        <a:stretch/>
      </xdr:blipFill>
      <xdr:spPr bwMode="auto">
        <a:xfrm>
          <a:off x="1028700" y="1866900"/>
          <a:ext cx="7143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466725</xdr:colOff>
      <xdr:row>4</xdr:row>
      <xdr:rowOff>161925</xdr:rowOff>
    </xdr:from>
    <xdr:to>
      <xdr:col>2</xdr:col>
      <xdr:colOff>476154</xdr:colOff>
      <xdr:row>6</xdr:row>
      <xdr:rowOff>47592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0F7F2B2-3343-23ED-2D58-C57AE3D2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8725" y="923925"/>
          <a:ext cx="771429" cy="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6</xdr:row>
      <xdr:rowOff>142875</xdr:rowOff>
    </xdr:from>
    <xdr:to>
      <xdr:col>2</xdr:col>
      <xdr:colOff>533217</xdr:colOff>
      <xdr:row>8</xdr:row>
      <xdr:rowOff>171399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33376B7-35D3-D1D3-3C2D-8B70CD41F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1285875"/>
          <a:ext cx="1466667" cy="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16</xdr:row>
      <xdr:rowOff>142875</xdr:rowOff>
    </xdr:from>
    <xdr:to>
      <xdr:col>3</xdr:col>
      <xdr:colOff>66386</xdr:colOff>
      <xdr:row>18</xdr:row>
      <xdr:rowOff>190446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267DCBA-908B-04CE-5B8E-9756F1C1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3190875"/>
          <a:ext cx="2314286" cy="4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132087</xdr:colOff>
      <xdr:row>27</xdr:row>
      <xdr:rowOff>56524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764FC5-A768-2C5B-122E-C135F425E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0104762" cy="5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12</xdr:col>
      <xdr:colOff>322563</xdr:colOff>
      <xdr:row>54</xdr:row>
      <xdr:rowOff>56524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308A70-A859-087D-D44B-6CC917F3B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334000"/>
          <a:ext cx="10295238" cy="50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12</xdr:row>
      <xdr:rowOff>47625</xdr:rowOff>
    </xdr:from>
    <xdr:to>
      <xdr:col>9</xdr:col>
      <xdr:colOff>685800</xdr:colOff>
      <xdr:row>15</xdr:row>
      <xdr:rowOff>161925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51F0654-D666-DBCF-6DF9-5F4C60D9266B}"/>
            </a:ext>
          </a:extLst>
        </xdr:cNvPr>
        <xdr:cNvSpPr/>
      </xdr:nvSpPr>
      <xdr:spPr>
        <a:xfrm>
          <a:off x="8639175" y="2590800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685800</xdr:colOff>
      <xdr:row>14</xdr:row>
      <xdr:rowOff>9525</xdr:rowOff>
    </xdr:from>
    <xdr:to>
      <xdr:col>10</xdr:col>
      <xdr:colOff>552450</xdr:colOff>
      <xdr:row>14</xdr:row>
      <xdr:rowOff>19050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5D0FCA9E-0D35-9C4D-84A8-43EBCBB5389A}"/>
            </a:ext>
          </a:extLst>
        </xdr:cNvPr>
        <xdr:cNvCxnSpPr>
          <a:stCxn id="2" idx="6"/>
          <a:endCxn id="43" idx="2"/>
        </xdr:cNvCxnSpPr>
      </xdr:nvCxnSpPr>
      <xdr:spPr>
        <a:xfrm>
          <a:off x="9372600" y="2933700"/>
          <a:ext cx="628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11</xdr:row>
      <xdr:rowOff>0</xdr:rowOff>
    </xdr:from>
    <xdr:to>
      <xdr:col>8</xdr:col>
      <xdr:colOff>714375</xdr:colOff>
      <xdr:row>14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E4C729C-88B9-470E-AC2B-0E0F687CA33B}"/>
            </a:ext>
          </a:extLst>
        </xdr:cNvPr>
        <xdr:cNvCxnSpPr>
          <a:stCxn id="19" idx="6"/>
          <a:endCxn id="2" idx="2"/>
        </xdr:cNvCxnSpPr>
      </xdr:nvCxnSpPr>
      <xdr:spPr>
        <a:xfrm>
          <a:off x="7658100" y="2352675"/>
          <a:ext cx="981075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17</xdr:row>
      <xdr:rowOff>38100</xdr:rowOff>
    </xdr:from>
    <xdr:to>
      <xdr:col>6</xdr:col>
      <xdr:colOff>514350</xdr:colOff>
      <xdr:row>17</xdr:row>
      <xdr:rowOff>47625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D205B00-81DE-42DE-990C-26EA75C8A69A}"/>
            </a:ext>
          </a:extLst>
        </xdr:cNvPr>
        <xdr:cNvCxnSpPr>
          <a:stCxn id="32" idx="6"/>
          <a:endCxn id="13" idx="2"/>
        </xdr:cNvCxnSpPr>
      </xdr:nvCxnSpPr>
      <xdr:spPr>
        <a:xfrm flipV="1">
          <a:off x="6076950" y="3533775"/>
          <a:ext cx="8382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14</xdr:row>
      <xdr:rowOff>9525</xdr:rowOff>
    </xdr:from>
    <xdr:to>
      <xdr:col>8</xdr:col>
      <xdr:colOff>714375</xdr:colOff>
      <xdr:row>17</xdr:row>
      <xdr:rowOff>38100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52B54E51-E687-4D88-B059-9B5106EDFDAE}"/>
            </a:ext>
          </a:extLst>
        </xdr:cNvPr>
        <xdr:cNvCxnSpPr>
          <a:stCxn id="13" idx="6"/>
          <a:endCxn id="2" idx="2"/>
        </xdr:cNvCxnSpPr>
      </xdr:nvCxnSpPr>
      <xdr:spPr>
        <a:xfrm flipV="1">
          <a:off x="7648575" y="2933700"/>
          <a:ext cx="99060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15</xdr:row>
      <xdr:rowOff>76200</xdr:rowOff>
    </xdr:from>
    <xdr:to>
      <xdr:col>7</xdr:col>
      <xdr:colOff>485775</xdr:colOff>
      <xdr:row>19</xdr:row>
      <xdr:rowOff>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0C001BF-8B02-423D-B447-27DE5A0B375E}"/>
            </a:ext>
          </a:extLst>
        </xdr:cNvPr>
        <xdr:cNvSpPr/>
      </xdr:nvSpPr>
      <xdr:spPr>
        <a:xfrm>
          <a:off x="6915150" y="3190875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523875</xdr:colOff>
      <xdr:row>9</xdr:row>
      <xdr:rowOff>38100</xdr:rowOff>
    </xdr:from>
    <xdr:to>
      <xdr:col>7</xdr:col>
      <xdr:colOff>495300</xdr:colOff>
      <xdr:row>12</xdr:row>
      <xdr:rowOff>152400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3CEFC67-6B59-4132-95C9-7B5C80916454}"/>
            </a:ext>
          </a:extLst>
        </xdr:cNvPr>
        <xdr:cNvSpPr/>
      </xdr:nvSpPr>
      <xdr:spPr>
        <a:xfrm>
          <a:off x="6924675" y="2009775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438150</xdr:colOff>
      <xdr:row>11</xdr:row>
      <xdr:rowOff>0</xdr:rowOff>
    </xdr:from>
    <xdr:to>
      <xdr:col>6</xdr:col>
      <xdr:colOff>523875</xdr:colOff>
      <xdr:row>11</xdr:row>
      <xdr:rowOff>38100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BF9FE212-19F8-4478-8061-9D5FE079F1B6}"/>
            </a:ext>
          </a:extLst>
        </xdr:cNvPr>
        <xdr:cNvCxnSpPr>
          <a:stCxn id="36" idx="6"/>
          <a:endCxn id="19" idx="2"/>
        </xdr:cNvCxnSpPr>
      </xdr:nvCxnSpPr>
      <xdr:spPr>
        <a:xfrm flipV="1">
          <a:off x="6076950" y="2352675"/>
          <a:ext cx="847725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71438</xdr:colOff>
      <xdr:row>12</xdr:row>
      <xdr:rowOff>152400</xdr:rowOff>
    </xdr:from>
    <xdr:to>
      <xdr:col>7</xdr:col>
      <xdr:colOff>128588</xdr:colOff>
      <xdr:row>15</xdr:row>
      <xdr:rowOff>85725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7C55DDD6-2855-4B9C-9F1F-81B6F2432422}"/>
            </a:ext>
          </a:extLst>
        </xdr:cNvPr>
        <xdr:cNvCxnSpPr>
          <a:stCxn id="19" idx="4"/>
          <a:endCxn id="32" idx="0"/>
        </xdr:cNvCxnSpPr>
      </xdr:nvCxnSpPr>
      <xdr:spPr>
        <a:xfrm flipH="1">
          <a:off x="5710238" y="2695575"/>
          <a:ext cx="1581150" cy="5048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11</xdr:row>
      <xdr:rowOff>38100</xdr:rowOff>
    </xdr:from>
    <xdr:to>
      <xdr:col>4</xdr:col>
      <xdr:colOff>466725</xdr:colOff>
      <xdr:row>11</xdr:row>
      <xdr:rowOff>38100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1A3EFD9E-15D9-4B04-86D1-119C36B5A941}"/>
            </a:ext>
          </a:extLst>
        </xdr:cNvPr>
        <xdr:cNvCxnSpPr>
          <a:stCxn id="40" idx="6"/>
          <a:endCxn id="36" idx="2"/>
        </xdr:cNvCxnSpPr>
      </xdr:nvCxnSpPr>
      <xdr:spPr>
        <a:xfrm>
          <a:off x="4600575" y="2390775"/>
          <a:ext cx="742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15</xdr:row>
      <xdr:rowOff>85725</xdr:rowOff>
    </xdr:from>
    <xdr:to>
      <xdr:col>5</xdr:col>
      <xdr:colOff>438150</xdr:colOff>
      <xdr:row>19</xdr:row>
      <xdr:rowOff>9525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87006A41-0334-4BD6-BCC2-CEFE91347EDE}"/>
            </a:ext>
          </a:extLst>
        </xdr:cNvPr>
        <xdr:cNvSpPr/>
      </xdr:nvSpPr>
      <xdr:spPr>
        <a:xfrm>
          <a:off x="5343525" y="3200400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466725</xdr:colOff>
      <xdr:row>9</xdr:row>
      <xdr:rowOff>76200</xdr:rowOff>
    </xdr:from>
    <xdr:to>
      <xdr:col>5</xdr:col>
      <xdr:colOff>438150</xdr:colOff>
      <xdr:row>13</xdr:row>
      <xdr:rowOff>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5C1621A3-52A7-4F21-965D-5DFC86DB7FBA}"/>
            </a:ext>
          </a:extLst>
        </xdr:cNvPr>
        <xdr:cNvSpPr/>
      </xdr:nvSpPr>
      <xdr:spPr>
        <a:xfrm>
          <a:off x="5343525" y="2047875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514350</xdr:colOff>
      <xdr:row>9</xdr:row>
      <xdr:rowOff>76200</xdr:rowOff>
    </xdr:from>
    <xdr:to>
      <xdr:col>3</xdr:col>
      <xdr:colOff>485775</xdr:colOff>
      <xdr:row>13</xdr:row>
      <xdr:rowOff>0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87DD79E3-C545-4193-8F46-8AA2F3AF5578}"/>
            </a:ext>
          </a:extLst>
        </xdr:cNvPr>
        <xdr:cNvSpPr/>
      </xdr:nvSpPr>
      <xdr:spPr>
        <a:xfrm>
          <a:off x="3867150" y="2047875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552450</xdr:colOff>
      <xdr:row>12</xdr:row>
      <xdr:rowOff>57150</xdr:rowOff>
    </xdr:from>
    <xdr:to>
      <xdr:col>11</xdr:col>
      <xdr:colOff>523875</xdr:colOff>
      <xdr:row>15</xdr:row>
      <xdr:rowOff>171450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51C4D8B6-074E-4B26-A2E2-66B0CFF1831E}"/>
            </a:ext>
          </a:extLst>
        </xdr:cNvPr>
        <xdr:cNvSpPr/>
      </xdr:nvSpPr>
      <xdr:spPr>
        <a:xfrm>
          <a:off x="10001250" y="2600325"/>
          <a:ext cx="733425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7"/>
  <sheetViews>
    <sheetView showGridLines="0" workbookViewId="0">
      <selection activeCell="E1" sqref="E1"/>
    </sheetView>
  </sheetViews>
  <sheetFormatPr baseColWidth="10" defaultRowHeight="15" x14ac:dyDescent="0.25"/>
  <cols>
    <col min="3" max="3" width="13" bestFit="1" customWidth="1"/>
    <col min="4" max="4" width="12.85546875" bestFit="1" customWidth="1"/>
    <col min="5" max="5" width="13" bestFit="1" customWidth="1"/>
  </cols>
  <sheetData>
    <row r="1" spans="2:9" x14ac:dyDescent="0.25">
      <c r="F1" s="12" t="s">
        <v>9</v>
      </c>
      <c r="G1" s="12"/>
    </row>
    <row r="2" spans="2:9" x14ac:dyDescent="0.25">
      <c r="B2" t="s">
        <v>4</v>
      </c>
      <c r="C2">
        <f>10/8</f>
        <v>1.25</v>
      </c>
      <c r="D2" t="s">
        <v>17</v>
      </c>
      <c r="F2" s="5">
        <v>1</v>
      </c>
      <c r="G2" s="5">
        <f>+C2/C3</f>
        <v>0.625</v>
      </c>
    </row>
    <row r="3" spans="2:9" x14ac:dyDescent="0.25">
      <c r="B3" t="s">
        <v>3</v>
      </c>
      <c r="C3">
        <v>2</v>
      </c>
      <c r="D3" t="s">
        <v>17</v>
      </c>
    </row>
    <row r="6" spans="2:9" x14ac:dyDescent="0.25">
      <c r="D6" s="10">
        <f>1-G2</f>
        <v>0.375</v>
      </c>
    </row>
    <row r="7" spans="2:9" x14ac:dyDescent="0.25">
      <c r="D7" s="4"/>
    </row>
    <row r="8" spans="2:9" x14ac:dyDescent="0.25">
      <c r="D8" s="11">
        <f>+(C2^2)/(C3*(C3-C2))</f>
        <v>1.0416666666666667</v>
      </c>
      <c r="E8" t="s">
        <v>18</v>
      </c>
    </row>
    <row r="11" spans="2:9" x14ac:dyDescent="0.25">
      <c r="D11" s="11">
        <f>+D8/C2</f>
        <v>0.83333333333333337</v>
      </c>
      <c r="E11" t="s">
        <v>16</v>
      </c>
    </row>
    <row r="14" spans="2:9" x14ac:dyDescent="0.25">
      <c r="D14" s="4">
        <f>+C2/(C3-C2)</f>
        <v>1.6666666666666667</v>
      </c>
      <c r="E14" t="s">
        <v>18</v>
      </c>
      <c r="I14" s="3"/>
    </row>
    <row r="15" spans="2:9" x14ac:dyDescent="0.25">
      <c r="I15" s="3"/>
    </row>
    <row r="16" spans="2:9" x14ac:dyDescent="0.25">
      <c r="D16" s="6"/>
      <c r="E16" s="6"/>
      <c r="I16" s="3"/>
    </row>
    <row r="17" spans="3:9" x14ac:dyDescent="0.25">
      <c r="D17" s="4"/>
      <c r="I17" s="3"/>
    </row>
    <row r="18" spans="3:9" x14ac:dyDescent="0.25">
      <c r="D18" s="4">
        <f>+D14/C2</f>
        <v>1.3333333333333335</v>
      </c>
      <c r="E18" t="s">
        <v>16</v>
      </c>
    </row>
    <row r="19" spans="3:9" x14ac:dyDescent="0.25">
      <c r="E19" s="6"/>
    </row>
    <row r="20" spans="3:9" ht="18.75" x14ac:dyDescent="0.3">
      <c r="C20" s="9"/>
      <c r="E20" s="7"/>
    </row>
    <row r="21" spans="3:9" x14ac:dyDescent="0.25">
      <c r="E21" s="7"/>
    </row>
    <row r="22" spans="3:9" x14ac:dyDescent="0.25">
      <c r="E22" s="7"/>
    </row>
    <row r="23" spans="3:9" x14ac:dyDescent="0.25">
      <c r="E23" s="7"/>
    </row>
    <row r="24" spans="3:9" x14ac:dyDescent="0.25">
      <c r="E24" s="8"/>
    </row>
    <row r="25" spans="3:9" x14ac:dyDescent="0.25">
      <c r="E25" s="8"/>
      <c r="F25" s="6"/>
    </row>
    <row r="26" spans="3:9" x14ac:dyDescent="0.25">
      <c r="E26" s="7"/>
      <c r="F26" s="6"/>
    </row>
    <row r="27" spans="3:9" x14ac:dyDescent="0.25">
      <c r="F27" s="6"/>
    </row>
  </sheetData>
  <mergeCells count="1">
    <mergeCell ref="F1:G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"/>
  <sheetViews>
    <sheetView showGridLines="0" zoomScale="110" zoomScaleNormal="110" workbookViewId="0">
      <selection activeCell="A8" sqref="A8"/>
    </sheetView>
  </sheetViews>
  <sheetFormatPr baseColWidth="10" defaultColWidth="11.5703125" defaultRowHeight="15" x14ac:dyDescent="0.25"/>
  <cols>
    <col min="1" max="1" width="14.140625" bestFit="1" customWidth="1"/>
    <col min="2" max="2" width="18.42578125" bestFit="1" customWidth="1"/>
    <col min="3" max="3" width="25.85546875" bestFit="1" customWidth="1"/>
    <col min="4" max="4" width="28" bestFit="1" customWidth="1"/>
    <col min="5" max="5" width="20" bestFit="1" customWidth="1"/>
    <col min="6" max="6" width="22.85546875" bestFit="1" customWidth="1"/>
    <col min="7" max="7" width="22.85546875" customWidth="1"/>
    <col min="8" max="8" width="27.5703125" bestFit="1" customWidth="1"/>
    <col min="9" max="9" width="14.42578125" bestFit="1" customWidth="1"/>
    <col min="10" max="10" width="19" bestFit="1" customWidth="1"/>
    <col min="11" max="11" width="18.28515625" bestFit="1" customWidth="1"/>
  </cols>
  <sheetData>
    <row r="2" spans="1:11" x14ac:dyDescent="0.25">
      <c r="A2" t="s">
        <v>4</v>
      </c>
      <c r="B2">
        <f>+'P1.1'!C2</f>
        <v>1.25</v>
      </c>
      <c r="C2" t="s">
        <v>17</v>
      </c>
    </row>
    <row r="3" spans="1:11" x14ac:dyDescent="0.25">
      <c r="A3" t="s">
        <v>3</v>
      </c>
      <c r="B3">
        <f>+'P1.1'!C3</f>
        <v>2</v>
      </c>
      <c r="C3" t="s">
        <v>17</v>
      </c>
    </row>
    <row r="5" spans="1:11" x14ac:dyDescent="0.25">
      <c r="A5" s="1" t="s">
        <v>0</v>
      </c>
      <c r="B5" s="1" t="s">
        <v>6</v>
      </c>
      <c r="C5" s="2" t="s">
        <v>19</v>
      </c>
      <c r="D5" s="2" t="s">
        <v>20</v>
      </c>
      <c r="E5" s="2" t="s">
        <v>21</v>
      </c>
      <c r="F5" s="2" t="s">
        <v>1</v>
      </c>
      <c r="G5" s="2" t="s">
        <v>22</v>
      </c>
      <c r="H5" s="2" t="s">
        <v>2</v>
      </c>
      <c r="I5" s="1" t="s">
        <v>7</v>
      </c>
      <c r="J5" s="1" t="s">
        <v>8</v>
      </c>
      <c r="K5" s="2" t="s">
        <v>5</v>
      </c>
    </row>
    <row r="6" spans="1:11" x14ac:dyDescent="0.25">
      <c r="A6" s="1">
        <v>1</v>
      </c>
      <c r="B6" s="1"/>
      <c r="C6" s="1" t="e">
        <f>+(1/$B$2)*(LN(1/B6))</f>
        <v>#DIV/0!</v>
      </c>
      <c r="D6" s="1" t="e">
        <f>+C6</f>
        <v>#DIV/0!</v>
      </c>
      <c r="E6" s="1"/>
      <c r="F6" s="1" t="e">
        <f>+H6-D6</f>
        <v>#DIV/0!</v>
      </c>
      <c r="G6" s="1"/>
      <c r="H6" s="1" t="e">
        <f>+D6</f>
        <v>#DIV/0!</v>
      </c>
      <c r="I6" s="1"/>
      <c r="J6" s="1" t="e">
        <f>+(1/$B$3)*(LN(1/I6))</f>
        <v>#DIV/0!</v>
      </c>
      <c r="K6" s="1" t="e">
        <f>+J6+H6</f>
        <v>#DIV/0!</v>
      </c>
    </row>
    <row r="7" spans="1:11" x14ac:dyDescent="0.25">
      <c r="A7" s="1">
        <v>2</v>
      </c>
      <c r="B7" s="1"/>
      <c r="C7" s="1" t="e">
        <f t="shared" ref="C7:C10" si="0">+(1/$B$2)*(LN(1/B7))</f>
        <v>#DIV/0!</v>
      </c>
      <c r="D7" s="1" t="e">
        <f>+D6+C7</f>
        <v>#DIV/0!</v>
      </c>
      <c r="E7" s="1"/>
      <c r="F7" s="1" t="e">
        <f>+H7-D7</f>
        <v>#DIV/0!</v>
      </c>
      <c r="G7" s="1"/>
      <c r="H7" s="1" t="e">
        <f>+MAX(D7,K6)</f>
        <v>#DIV/0!</v>
      </c>
      <c r="I7" s="1"/>
      <c r="J7" s="1" t="e">
        <f t="shared" ref="J7:J10" si="1">+(1/$B$3)*(LN(1/I7))</f>
        <v>#DIV/0!</v>
      </c>
      <c r="K7" s="1" t="e">
        <f t="shared" ref="K7:K10" si="2">+J7+H7</f>
        <v>#DIV/0!</v>
      </c>
    </row>
    <row r="8" spans="1:11" x14ac:dyDescent="0.25">
      <c r="A8" s="1">
        <v>3</v>
      </c>
      <c r="B8" s="1"/>
      <c r="C8" s="1" t="e">
        <f t="shared" si="0"/>
        <v>#DIV/0!</v>
      </c>
      <c r="D8" s="1" t="e">
        <f t="shared" ref="D8:D10" si="3">+D7+C8</f>
        <v>#DIV/0!</v>
      </c>
      <c r="E8" s="1"/>
      <c r="F8" s="1" t="e">
        <f>+H8-D8</f>
        <v>#DIV/0!</v>
      </c>
      <c r="G8" s="1"/>
      <c r="H8" s="1" t="e">
        <f>+MAX(D8,K7)</f>
        <v>#DIV/0!</v>
      </c>
      <c r="I8" s="1"/>
      <c r="J8" s="1" t="e">
        <f t="shared" si="1"/>
        <v>#DIV/0!</v>
      </c>
      <c r="K8" s="1" t="e">
        <f t="shared" si="2"/>
        <v>#DIV/0!</v>
      </c>
    </row>
    <row r="9" spans="1:11" x14ac:dyDescent="0.25">
      <c r="A9" s="1">
        <v>4</v>
      </c>
      <c r="B9" s="1"/>
      <c r="C9" s="1" t="e">
        <f t="shared" si="0"/>
        <v>#DIV/0!</v>
      </c>
      <c r="D9" s="1" t="e">
        <f t="shared" si="3"/>
        <v>#DIV/0!</v>
      </c>
      <c r="E9" s="1"/>
      <c r="F9" s="1" t="e">
        <f>+H9-D9</f>
        <v>#DIV/0!</v>
      </c>
      <c r="G9" s="1"/>
      <c r="H9" s="1" t="e">
        <f>+MAX(D9,K8)</f>
        <v>#DIV/0!</v>
      </c>
      <c r="I9" s="1"/>
      <c r="J9" s="1" t="e">
        <f t="shared" si="1"/>
        <v>#DIV/0!</v>
      </c>
      <c r="K9" s="1" t="e">
        <f t="shared" si="2"/>
        <v>#DIV/0!</v>
      </c>
    </row>
    <row r="10" spans="1:11" x14ac:dyDescent="0.25">
      <c r="A10" s="1">
        <v>5</v>
      </c>
      <c r="B10" s="1"/>
      <c r="C10" s="1" t="e">
        <f t="shared" si="0"/>
        <v>#DIV/0!</v>
      </c>
      <c r="D10" s="1" t="e">
        <f t="shared" si="3"/>
        <v>#DIV/0!</v>
      </c>
      <c r="E10" s="1"/>
      <c r="F10" s="1" t="e">
        <f>+H10-D10</f>
        <v>#DIV/0!</v>
      </c>
      <c r="G10" s="1"/>
      <c r="H10" s="1" t="e">
        <f>+MAX(D10,K9)</f>
        <v>#DIV/0!</v>
      </c>
      <c r="I10" s="1"/>
      <c r="J10" s="1" t="e">
        <f t="shared" si="1"/>
        <v>#DIV/0!</v>
      </c>
      <c r="K10" s="1" t="e">
        <f t="shared" si="2"/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"/>
  <sheetViews>
    <sheetView showGridLines="0" workbookViewId="0"/>
  </sheetViews>
  <sheetFormatPr baseColWidth="10" defaultRowHeight="15" x14ac:dyDescent="0.25"/>
  <cols>
    <col min="2" max="2" width="22.7109375" bestFit="1" customWidth="1"/>
    <col min="3" max="3" width="15.140625" customWidth="1"/>
    <col min="4" max="4" width="14.5703125" customWidth="1"/>
    <col min="5" max="5" width="17.140625" customWidth="1"/>
  </cols>
  <sheetData>
    <row r="2" spans="2:5" x14ac:dyDescent="0.25">
      <c r="B2" s="3"/>
      <c r="C2" s="4"/>
      <c r="D2" s="4"/>
      <c r="E2" s="4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:K17"/>
  <sheetViews>
    <sheetView showGridLines="0" tabSelected="1" workbookViewId="0"/>
  </sheetViews>
  <sheetFormatPr baseColWidth="10" defaultRowHeight="15" x14ac:dyDescent="0.25"/>
  <cols>
    <col min="2" max="2" width="38.85546875" style="19" customWidth="1"/>
  </cols>
  <sheetData>
    <row r="1" spans="1:11" ht="30.75" thickBot="1" x14ac:dyDescent="0.3">
      <c r="A1" s="13" t="s">
        <v>23</v>
      </c>
      <c r="B1" s="17" t="s">
        <v>24</v>
      </c>
      <c r="C1" s="14" t="s">
        <v>25</v>
      </c>
      <c r="D1" s="14" t="s">
        <v>26</v>
      </c>
    </row>
    <row r="2" spans="1:11" ht="15.75" thickBot="1" x14ac:dyDescent="0.3">
      <c r="A2" s="15" t="s">
        <v>10</v>
      </c>
      <c r="B2" s="18" t="s">
        <v>27</v>
      </c>
      <c r="C2" s="16">
        <v>1</v>
      </c>
      <c r="D2" s="16"/>
    </row>
    <row r="3" spans="1:11" ht="15.75" thickBot="1" x14ac:dyDescent="0.3">
      <c r="A3" s="15" t="s">
        <v>11</v>
      </c>
      <c r="B3" s="18" t="s">
        <v>28</v>
      </c>
      <c r="C3" s="16">
        <v>5</v>
      </c>
      <c r="D3" s="16" t="s">
        <v>10</v>
      </c>
    </row>
    <row r="4" spans="1:11" ht="15.75" thickBot="1" x14ac:dyDescent="0.3">
      <c r="A4" s="15" t="s">
        <v>12</v>
      </c>
      <c r="B4" s="18" t="s">
        <v>29</v>
      </c>
      <c r="C4" s="16">
        <v>2</v>
      </c>
      <c r="D4" s="16" t="s">
        <v>11</v>
      </c>
    </row>
    <row r="5" spans="1:11" ht="15.75" thickBot="1" x14ac:dyDescent="0.3">
      <c r="A5" s="15" t="s">
        <v>13</v>
      </c>
      <c r="B5" s="18" t="s">
        <v>30</v>
      </c>
      <c r="C5" s="16">
        <v>4</v>
      </c>
      <c r="D5" s="16" t="s">
        <v>11</v>
      </c>
    </row>
    <row r="6" spans="1:11" ht="15.75" thickBot="1" x14ac:dyDescent="0.3">
      <c r="A6" s="15" t="s">
        <v>14</v>
      </c>
      <c r="B6" s="18" t="s">
        <v>31</v>
      </c>
      <c r="C6" s="16">
        <v>2</v>
      </c>
      <c r="D6" s="16" t="s">
        <v>12</v>
      </c>
    </row>
    <row r="7" spans="1:11" ht="15.75" thickBot="1" x14ac:dyDescent="0.3">
      <c r="A7" s="15" t="s">
        <v>15</v>
      </c>
      <c r="B7" s="18" t="s">
        <v>32</v>
      </c>
      <c r="C7" s="16">
        <v>1</v>
      </c>
      <c r="D7" s="16" t="s">
        <v>33</v>
      </c>
    </row>
    <row r="11" spans="1:11" x14ac:dyDescent="0.25">
      <c r="E11" t="s">
        <v>10</v>
      </c>
      <c r="G11" t="s">
        <v>11</v>
      </c>
    </row>
    <row r="13" spans="1:11" x14ac:dyDescent="0.25">
      <c r="A13" s="4"/>
      <c r="I13" t="s">
        <v>13</v>
      </c>
    </row>
    <row r="14" spans="1:11" x14ac:dyDescent="0.25">
      <c r="A14" s="3"/>
      <c r="K14" t="s">
        <v>15</v>
      </c>
    </row>
    <row r="16" spans="1:11" x14ac:dyDescent="0.25">
      <c r="I16" t="s">
        <v>14</v>
      </c>
    </row>
    <row r="17" spans="1:7" x14ac:dyDescent="0.25">
      <c r="A17" s="4"/>
      <c r="G17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P1.1</vt:lpstr>
      <vt:lpstr>P1.2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2024-06-28T01:33:00Z</dcterms:modified>
</cp:coreProperties>
</file>