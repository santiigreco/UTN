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ibilidad Econo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%"/>
    <numFmt numFmtId="166" formatCode="0 &quot;Años&quot;"/>
    <numFmt numFmtId="167" formatCode="&quot;$&quot;#,##0;[Red](&quot;$&quot;#,##0);&quot;-&quot;"/>
    <numFmt numFmtId="168" formatCode="0.0000"/>
    <numFmt numFmtId="169" formatCode="0.00 &quot;Años&quot; (aprox. 13 meses)"/>
    <numFmt numFmtId="170" formatCode="0.00 &quot;Años&quot; (aprox. 15 meses)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4A5568"/>
      <sz val="10"/>
    </font>
    <font>
      <name val="Calibri"/>
      <b val="1"/>
      <color rgb="002E5B88"/>
      <sz val="11"/>
    </font>
    <font>
      <name val="Calibri"/>
      <b val="1"/>
      <color rgb="00FFFFFF"/>
      <sz val="11"/>
    </font>
    <font>
      <name val="Calibri"/>
      <color rgb="002D3748"/>
      <sz val="10"/>
    </font>
    <font>
      <name val="Calibri"/>
      <b val="1"/>
      <color rgb="001A202C"/>
      <sz val="10"/>
    </font>
    <font>
      <name val="Calibri"/>
      <i val="1"/>
      <color rgb="00718096"/>
      <sz val="9"/>
    </font>
    <font>
      <name val="Calibri"/>
      <b val="1"/>
      <color rgb="00FFFFFF"/>
      <sz val="10"/>
    </font>
    <font>
      <name val="Calibri"/>
      <b val="1"/>
      <color rgb="0000875A"/>
      <sz val="13"/>
    </font>
    <font>
      <name val="Calibri"/>
      <b val="1"/>
      <color rgb="001B365D"/>
      <sz val="13"/>
    </font>
    <font>
      <name val="Calibri"/>
      <b val="1"/>
      <color rgb="0000875A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8FAFC"/>
        <bgColor rgb="00F8FAFC"/>
      </patternFill>
    </fill>
    <fill>
      <patternFill patternType="solid">
        <fgColor rgb="00E8EEF5"/>
        <bgColor rgb="00E8EEF5"/>
      </patternFill>
    </fill>
    <fill>
      <patternFill patternType="solid">
        <fgColor rgb="00E3FCEF"/>
        <bgColor rgb="00E3FCE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0" fontId="7" fillId="0" borderId="1" pivotButton="0" quotePrefix="0" xfId="0"/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167" fontId="5" fillId="0" borderId="1" pivotButton="0" quotePrefix="0" xfId="0"/>
    <xf numFmtId="0" fontId="6" fillId="5" borderId="1" pivotButton="0" quotePrefix="0" xfId="0"/>
    <xf numFmtId="167" fontId="6" fillId="5" borderId="1" pivotButton="0" quotePrefix="0" xfId="0"/>
    <xf numFmtId="0" fontId="6" fillId="0" borderId="1" pivotButton="0" quotePrefix="0" xfId="0"/>
    <xf numFmtId="167" fontId="6" fillId="0" borderId="1" pivotButton="0" quotePrefix="0" xfId="0"/>
    <xf numFmtId="168" fontId="7" fillId="0" borderId="1" pivotButton="0" quotePrefix="0" xfId="0"/>
    <xf numFmtId="0" fontId="6" fillId="0" borderId="2" pivotButton="0" quotePrefix="0" xfId="0"/>
    <xf numFmtId="167" fontId="6" fillId="0" borderId="2" pivotButton="0" quotePrefix="0" xfId="0"/>
    <xf numFmtId="0" fontId="0" fillId="0" borderId="1" pivotButton="0" quotePrefix="0" xfId="0"/>
    <xf numFmtId="165" fontId="9" fillId="0" borderId="1" applyAlignment="1" pivotButton="0" quotePrefix="0" xfId="0">
      <alignment horizontal="center"/>
    </xf>
    <xf numFmtId="0" fontId="2" fillId="0" borderId="1" pivotButton="0" quotePrefix="0" xfId="0"/>
    <xf numFmtId="164" fontId="9" fillId="0" borderId="1" applyAlignment="1" pivotButton="0" quotePrefix="0" xfId="0">
      <alignment horizontal="center"/>
    </xf>
    <xf numFmtId="169" fontId="10" fillId="0" borderId="1" applyAlignment="1" pivotButton="0" quotePrefix="0" xfId="0">
      <alignment horizontal="center"/>
    </xf>
    <xf numFmtId="170" fontId="10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6" fillId="6" borderId="1" pivotButton="0" quotePrefix="0" xfId="0"/>
    <xf numFmtId="0" fontId="0" fillId="6" borderId="1" pivotButton="0" quotePrefix="0" xfId="0"/>
    <xf numFmtId="0" fontId="11" fillId="6" borderId="1" applyAlignment="1" pivotButton="0" quotePrefix="0" xfId="0">
      <alignment horizontal="center"/>
    </xf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de Fondos Neto Anual (Cash Flow t=0 a t=5)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'Factibilidad Economica'!$B$37:$G$37</f>
            </numRef>
          </cat>
          <val>
            <numRef>
              <f>'Factibilidad Economica'!$B$41:$G$41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[USD]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del Cash Flow Acumulado y Punto de Equilibrio (Payback)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'Factibilidad Economica'!$B$37:$G$37</f>
            </numRef>
          </cat>
          <val>
            <numRef>
              <f>'Factibilidad Economica'!$B$42:$G$42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Flujo Acumulado [USD]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la Inversión Inicial (CAPEX) por Eje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'Factibilidad Economica'!$A$17:$A$20</f>
            </numRef>
          </cat>
          <val>
            <numRef>
              <f>'Factibilidad Economica'!$B$17:$B$20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37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42" customWidth="1" min="4" max="4"/>
    <col width="14" customWidth="1" min="5" max="5"/>
    <col width="14" customWidth="1" min="6" max="6"/>
    <col width="14" customWidth="1" min="7" max="7"/>
    <col width="3" customWidth="1" min="8" max="8"/>
    <col width="18" customWidth="1" min="9" max="9"/>
  </cols>
  <sheetData>
    <row r="2">
      <c r="A2" s="1" t="inlineStr">
        <is>
          <t>UNIVERSIDAD TECNOLÓGICA NACIONAL - FRBA | DEPARTAMENTO DE INGENIERÍA INDUSTRIAL</t>
        </is>
      </c>
    </row>
    <row r="3">
      <c r="A3" s="2" t="inlineStr">
        <is>
          <t>Cátedra: Mantenimiento (Curso I-5052) | Grupo Nº 5 | Empresa: UnionBat S.A.</t>
        </is>
      </c>
    </row>
    <row r="4">
      <c r="A4" s="3" t="inlineStr">
        <is>
          <t>MÓDULO 2 - PUNTO 1.3: ANÁLISIS DE FACTIBILIDAD TÉCNICO-ECONÓMICO (CASH FLOW &amp; TIR)</t>
        </is>
      </c>
    </row>
    <row r="6">
      <c r="A6" s="4" t="inlineStr">
        <is>
          <t>1. PARÁMETROS BASE DE OPERACIÓN Y COSTOS (UNIONBAT S.A.)</t>
        </is>
      </c>
    </row>
    <row r="7">
      <c r="A7" s="5" t="inlineStr">
        <is>
          <t>Facturación Anual de la Planta (605.000 bat/año @ USD 100)</t>
        </is>
      </c>
      <c r="B7" s="6" t="n">
        <v>60500000</v>
      </c>
      <c r="C7" s="7" t="inlineStr">
        <is>
          <t>Punto 1.4 del TP ($84.700 M ARS)</t>
        </is>
      </c>
    </row>
    <row r="8">
      <c r="A8" s="5" t="inlineStr">
        <is>
          <t>Presupuesto Anual de Mantenimiento (5% s/Ventas)</t>
        </is>
      </c>
      <c r="B8" s="6" t="n">
        <v>3025000</v>
      </c>
      <c r="C8" s="7" t="inlineStr">
        <is>
          <t>Puntos 1.10 y 2.2 ($4.235 M ARS)</t>
        </is>
      </c>
    </row>
    <row r="9">
      <c r="A9" s="5" t="inlineStr">
        <is>
          <t>Presupuesto de Materiales y Repuestos (30% s/Mantenimiento)</t>
        </is>
      </c>
      <c r="B9" s="6" t="n">
        <v>907500</v>
      </c>
      <c r="C9" s="7" t="inlineStr">
        <is>
          <t>Punto 2.2 Tabla 4 ($1.271 M ARS)</t>
        </is>
      </c>
    </row>
    <row r="10">
      <c r="A10" s="5" t="inlineStr">
        <is>
          <t>Costos Indirectos de Fabricación CIF (12% s/Ventas)</t>
        </is>
      </c>
      <c r="B10" s="6" t="n">
        <v>7260000</v>
      </c>
      <c r="C10" s="7" t="inlineStr">
        <is>
          <t>Punto 1.10 Tabla 2 ($10.164 M ARS)</t>
        </is>
      </c>
    </row>
    <row r="11">
      <c r="A11" s="5" t="inlineStr">
        <is>
          <t>Margen Operativo de la Empresa (4% s/Ventas)</t>
        </is>
      </c>
      <c r="B11" s="6" t="n">
        <v>2420000</v>
      </c>
      <c r="C11" s="7" t="inlineStr">
        <is>
          <t>Punto 1.10 Tabla 2 ($3.388 M ARS)</t>
        </is>
      </c>
    </row>
    <row r="12">
      <c r="A12" s="5" t="inlineStr">
        <is>
          <t>Tasa de Descuento / Tasa de Corte (WACC en USD)</t>
        </is>
      </c>
      <c r="B12" s="8" t="n">
        <v>0.12</v>
      </c>
      <c r="C12" s="7" t="inlineStr">
        <is>
          <t>Tasa de referencia de costo de capital</t>
        </is>
      </c>
    </row>
    <row r="13">
      <c r="A13" s="5" t="inlineStr">
        <is>
          <t>Horizonte de Evaluación del Proyecto</t>
        </is>
      </c>
      <c r="B13" s="9" t="n">
        <v>5</v>
      </c>
      <c r="C13" s="7" t="inlineStr">
        <is>
          <t>Vida útil proyectada de las mejoras</t>
        </is>
      </c>
    </row>
    <row r="15">
      <c r="A15" s="4" t="inlineStr">
        <is>
          <t>2. PRESUPUESTO DE INVERSIÓN INICIAL DE REINGENIERÍA (CAPEX - AÑO 0)</t>
        </is>
      </c>
    </row>
    <row r="16">
      <c r="A16" s="10" t="inlineStr">
        <is>
          <t>Eje de Reingeniería / Componente</t>
        </is>
      </c>
      <c r="B16" s="11" t="inlineStr">
        <is>
          <t>Monto [USD]</t>
        </is>
      </c>
      <c r="C16" s="11" t="inlineStr">
        <is>
          <t>Participación %</t>
        </is>
      </c>
      <c r="D16" s="10" t="inlineStr">
        <is>
          <t>Referencia en Documento del TP</t>
        </is>
      </c>
    </row>
    <row r="17">
      <c r="A17" s="12" t="inlineStr">
        <is>
          <t>Eje 1: Bateas y Rectificadores Digatron (Intercambiador, mordazas EPDM, pirómetros SCADA)</t>
        </is>
      </c>
      <c r="B17" s="13" t="n">
        <v>38000</v>
      </c>
      <c r="C17" s="14">
        <f>B17/$B$23</f>
        <v/>
      </c>
      <c r="D17" s="7" t="inlineStr">
        <is>
          <t>Punto 1.2.1 Tabla 5</t>
        </is>
      </c>
    </row>
    <row r="18">
      <c r="A18" s="12" t="inlineStr">
        <is>
          <t>Eje 2: Sistema de Extracción y Ventilación (Scrubber PP/PEAD, ductos PRFV, VDF, motores IP66)</t>
        </is>
      </c>
      <c r="B18" s="13" t="n">
        <v>45000</v>
      </c>
      <c r="C18" s="14">
        <f>B18/$B$23</f>
        <v/>
      </c>
      <c r="D18" s="7" t="inlineStr">
        <is>
          <t>Punto 1.2.1 Tabla 6</t>
        </is>
      </c>
    </row>
    <row r="19">
      <c r="A19" s="12" t="inlineStr">
        <is>
          <t>Eje 3: Lavadoras Industriales MAC (Bombas magnéticas PVDF, filtro doble, cabina acústica)</t>
        </is>
      </c>
      <c r="B19" s="13" t="n">
        <v>22000</v>
      </c>
      <c r="C19" s="14">
        <f>B19/$B$23</f>
        <v/>
      </c>
      <c r="D19" s="7" t="inlineStr">
        <is>
          <t>Punto 1.2.1 Tabla 7</t>
        </is>
      </c>
    </row>
    <row r="20">
      <c r="A20" s="12" t="inlineStr">
        <is>
          <t>Eje 4: Mecanización y Transporte KUKA (Motorreductores norma, garras PU, aire seco sensores)</t>
        </is>
      </c>
      <c r="B20" s="13" t="n">
        <v>15000</v>
      </c>
      <c r="C20" s="14">
        <f>B20/$B$23</f>
        <v/>
      </c>
      <c r="D20" s="7" t="inlineStr">
        <is>
          <t>Punto 1.2.1 Tabla 8</t>
        </is>
      </c>
    </row>
    <row r="21">
      <c r="A21" s="15" t="inlineStr">
        <is>
          <t>Subtotal Equipamiento y Materiales</t>
        </is>
      </c>
      <c r="B21" s="16">
        <f>SUM(B17:B20)</f>
        <v/>
      </c>
      <c r="C21" s="17">
        <f>B21/$B$23</f>
        <v/>
      </c>
      <c r="D21" s="15" t="inlineStr">
        <is>
          <t>Suma de módulos técnicos</t>
        </is>
      </c>
    </row>
    <row r="22">
      <c r="A22" s="5" t="inlineStr">
        <is>
          <t>Montaje, Integración SCADA e Imprevistos de Obra (16,7% s/Equipos)</t>
        </is>
      </c>
      <c r="B22" s="18" t="n">
        <v>20000</v>
      </c>
      <c r="C22" s="19">
        <f>B22/$B$23</f>
        <v/>
      </c>
      <c r="D22" s="5" t="inlineStr">
        <is>
          <t>Cronograma Tabla 9 (Desembolso $140.000 total)</t>
        </is>
      </c>
    </row>
    <row r="23">
      <c r="A23" s="20" t="inlineStr">
        <is>
          <t>TOTAL INVERSIÓN INICIAL DE REINGENIERÍA (CAPEX t=0)</t>
        </is>
      </c>
      <c r="B23" s="21">
        <f>B21+B22</f>
        <v/>
      </c>
      <c r="C23" s="22">
        <f>B23/$B$23</f>
        <v/>
      </c>
      <c r="D23" s="20" t="inlineStr">
        <is>
          <t>Total desembolsos programados semanas 1-12</t>
        </is>
      </c>
    </row>
    <row r="25">
      <c r="A25" s="4" t="inlineStr">
        <is>
          <t>3. AHORROS Y BENEFICIOS OPERATIVOS ANUALES ESTIMADOS (INGRESOS DEL PROYECTO)</t>
        </is>
      </c>
    </row>
    <row r="26">
      <c r="A26" s="10" t="inlineStr">
        <is>
          <t>Concepto de Ahorro / Beneficio Cuantificado</t>
        </is>
      </c>
      <c r="B26" s="11" t="inlineStr">
        <is>
          <t>Ahorro Anual [USD]</t>
        </is>
      </c>
      <c r="C26" s="11" t="inlineStr">
        <is>
          <t>Participación %</t>
        </is>
      </c>
      <c r="D26" s="10" t="inlineStr">
        <is>
          <t>Fundamento Técnico en TP</t>
        </is>
      </c>
    </row>
    <row r="27">
      <c r="A27" s="12" t="inlineStr">
        <is>
          <t>Aumento de Capacidad (+12%) y eliminación de paradas térmicas (85°C) en cuello de botella (Digatron)</t>
        </is>
      </c>
      <c r="B27" s="13" t="n">
        <v>65000</v>
      </c>
      <c r="C27" s="14">
        <f>B27/$B$31</f>
        <v/>
      </c>
      <c r="D27" s="7" t="inlineStr">
        <is>
          <t>Reducción de ciclo y paradas en sector activación (P244 y Tabla 9)</t>
        </is>
      </c>
    </row>
    <row r="28">
      <c r="A28" s="12" t="inlineStr">
        <is>
          <t>Ahorro en Mantenimiento Correctivo y Repuestos (Bombas PVDF, Scrubber, rodamientos)</t>
        </is>
      </c>
      <c r="B28" s="13" t="n">
        <v>45000</v>
      </c>
      <c r="C28" s="14">
        <f>B28/$B$31</f>
        <v/>
      </c>
      <c r="D28" s="7" t="inlineStr">
        <is>
          <t>Mitigación de desgaste sobre ppto de repuestos de USD 907.500 (Tabla 4)</t>
        </is>
      </c>
    </row>
    <row r="29">
      <c r="A29" s="12" t="inlineStr">
        <is>
          <t>Eficiencia Energética por modulación VDF y motores directos IP66 en extractores</t>
        </is>
      </c>
      <c r="B29" s="13" t="n">
        <v>18000</v>
      </c>
      <c r="C29" s="14">
        <f>B29/$B$31</f>
        <v/>
      </c>
      <c r="D29" s="7" t="inlineStr">
        <is>
          <t>Ahorro eléctrico en CIF de energía (12% costos - P189 y P255)</t>
        </is>
      </c>
    </row>
    <row r="30">
      <c r="A30" s="12" t="inlineStr">
        <is>
          <t>Reducción de MTTR (&lt;15 min) y eliminación de scrap por rotura en celda robótica KUKA</t>
        </is>
      </c>
      <c r="B30" s="13" t="n">
        <v>12000</v>
      </c>
      <c r="C30" s="14">
        <f>B30/$B$31</f>
        <v/>
      </c>
      <c r="D30" s="7" t="inlineStr">
        <is>
          <t>Estandarización de motores y garras PU vulcanizadas (P277 y P281)</t>
        </is>
      </c>
    </row>
    <row r="31">
      <c r="A31" s="15" t="inlineStr">
        <is>
          <t>TOTAL BENEFICIOS OPERATIVOS BRUTOS ANUALES</t>
        </is>
      </c>
      <c r="B31" s="16">
        <f>SUM(B27:B30)</f>
        <v/>
      </c>
      <c r="C31" s="17">
        <f>B31/$B$31</f>
        <v/>
      </c>
      <c r="D31" s="15" t="inlineStr">
        <is>
          <t>Suma de ahorros anuales proyectados</t>
        </is>
      </c>
    </row>
    <row r="32">
      <c r="A32" s="5" t="inlineStr">
        <is>
          <t>(-) Costo Operativo de Mantenimiento Incremental (OPEX de nuevas tecnologías)</t>
        </is>
      </c>
      <c r="B32" s="18" t="n">
        <v>10000</v>
      </c>
      <c r="C32" s="19">
        <f>B32/$B$31</f>
        <v/>
      </c>
      <c r="D32" s="5" t="inlineStr">
        <is>
          <t>Insumos químicos Scrubber, filtros dobles y aire seco</t>
        </is>
      </c>
    </row>
    <row r="33">
      <c r="A33" s="20" t="inlineStr">
        <is>
          <t>BENEFICIO NETO OPERATIVO ANUAL (CASH INFLOW NETO)</t>
        </is>
      </c>
      <c r="B33" s="21">
        <f>B31-B32</f>
        <v/>
      </c>
      <c r="C33" s="22">
        <f>B33/$B$31</f>
        <v/>
      </c>
      <c r="D33" s="20" t="inlineStr">
        <is>
          <t>Flujo de fondos operativo anual generado</t>
        </is>
      </c>
    </row>
    <row r="36">
      <c r="A36" s="4" t="inlineStr">
        <is>
          <t>4. MATRIZ DE FLUJO DE FONDOS PROYECTADO (CASH FLOW EN USD)</t>
        </is>
      </c>
    </row>
    <row r="37">
      <c r="A37" s="10" t="inlineStr">
        <is>
          <t>Concepto / Período</t>
        </is>
      </c>
      <c r="B37" s="11" t="inlineStr">
        <is>
          <t>Año 0</t>
        </is>
      </c>
      <c r="C37" s="11" t="inlineStr">
        <is>
          <t>Año 1</t>
        </is>
      </c>
      <c r="D37" s="11" t="inlineStr">
        <is>
          <t>Año 2</t>
        </is>
      </c>
      <c r="E37" s="11" t="inlineStr">
        <is>
          <t>Año 3</t>
        </is>
      </c>
      <c r="F37" s="11" t="inlineStr">
        <is>
          <t>Año 4</t>
        </is>
      </c>
      <c r="G37" s="11" t="inlineStr">
        <is>
          <t>Año 5</t>
        </is>
      </c>
    </row>
    <row r="38">
      <c r="A38" s="5" t="inlineStr">
        <is>
          <t>(-) Inversión Inicial (CAPEX)</t>
        </is>
      </c>
      <c r="B38" s="23">
        <f>-B23</f>
        <v/>
      </c>
      <c r="C38" s="23" t="n">
        <v>0</v>
      </c>
      <c r="D38" s="23" t="n">
        <v>0</v>
      </c>
      <c r="E38" s="23" t="n">
        <v>0</v>
      </c>
      <c r="F38" s="23" t="n">
        <v>0</v>
      </c>
      <c r="G38" s="23" t="n">
        <v>0</v>
      </c>
    </row>
    <row r="39">
      <c r="A39" s="5" t="inlineStr">
        <is>
          <t>(+) Ahorros y Beneficios Operativos</t>
        </is>
      </c>
      <c r="B39" s="23" t="n">
        <v>0</v>
      </c>
      <c r="C39" s="18">
        <f>$B$31</f>
        <v/>
      </c>
      <c r="D39" s="18">
        <f>$B$31</f>
        <v/>
      </c>
      <c r="E39" s="18">
        <f>$B$31</f>
        <v/>
      </c>
      <c r="F39" s="18">
        <f>$B$31</f>
        <v/>
      </c>
      <c r="G39" s="18">
        <f>$B$31</f>
        <v/>
      </c>
    </row>
    <row r="40">
      <c r="A40" s="5" t="inlineStr">
        <is>
          <t>(-) Costos de Mantenimiento Incremental (OPEX)</t>
        </is>
      </c>
      <c r="B40" s="23" t="n">
        <v>0</v>
      </c>
      <c r="C40" s="23">
        <f>-$B$32</f>
        <v/>
      </c>
      <c r="D40" s="23">
        <f>-$B$32</f>
        <v/>
      </c>
      <c r="E40" s="23">
        <f>-$B$32</f>
        <v/>
      </c>
      <c r="F40" s="23">
        <f>-$B$32</f>
        <v/>
      </c>
      <c r="G40" s="23">
        <f>-$B$32</f>
        <v/>
      </c>
    </row>
    <row r="41">
      <c r="A41" s="24" t="inlineStr">
        <is>
          <t>FLUJO NETO DE CAJA (FNC)</t>
        </is>
      </c>
      <c r="B41" s="25">
        <f>SUM(B38:B40)</f>
        <v/>
      </c>
      <c r="C41" s="25">
        <f>SUM(C38:C40)</f>
        <v/>
      </c>
      <c r="D41" s="25">
        <f>SUM(D38:D40)</f>
        <v/>
      </c>
      <c r="E41" s="25">
        <f>SUM(E38:E40)</f>
        <v/>
      </c>
      <c r="F41" s="25">
        <f>SUM(F38:F40)</f>
        <v/>
      </c>
      <c r="G41" s="25">
        <f>SUM(G38:G40)</f>
        <v/>
      </c>
    </row>
    <row r="42">
      <c r="A42" s="26" t="inlineStr">
        <is>
          <t>Flujo de Fondos Acumulado</t>
        </is>
      </c>
      <c r="B42" s="27">
        <f>B41</f>
        <v/>
      </c>
      <c r="C42" s="27">
        <f>B42+C41</f>
        <v/>
      </c>
      <c r="D42" s="27">
        <f>C42+D41</f>
        <v/>
      </c>
      <c r="E42" s="27">
        <f>D42+E41</f>
        <v/>
      </c>
      <c r="F42" s="27">
        <f>E42+F41</f>
        <v/>
      </c>
      <c r="G42" s="27">
        <f>F42+G41</f>
        <v/>
      </c>
    </row>
    <row r="43">
      <c r="A43" s="7" t="inlineStr">
        <is>
          <t>Factor de Descuento (1 / (1+WACC)^t)</t>
        </is>
      </c>
      <c r="B43" s="28" t="n">
        <v>1</v>
      </c>
      <c r="C43" s="28">
        <f>1/(1+$B$12)^1</f>
        <v/>
      </c>
      <c r="D43" s="28">
        <f>1/(1+$B$12)^2</f>
        <v/>
      </c>
      <c r="E43" s="28">
        <f>1/(1+$B$12)^3</f>
        <v/>
      </c>
      <c r="F43" s="28">
        <f>1/(1+$B$12)^4</f>
        <v/>
      </c>
      <c r="G43" s="28">
        <f>1/(1+$B$12)^5</f>
        <v/>
      </c>
    </row>
    <row r="44">
      <c r="A44" s="5" t="inlineStr">
        <is>
          <t>Flujo Neto Descontado (Valor Presente)</t>
        </is>
      </c>
      <c r="B44" s="23">
        <f>B41*B43</f>
        <v/>
      </c>
      <c r="C44" s="23">
        <f>C41*C43</f>
        <v/>
      </c>
      <c r="D44" s="23">
        <f>D41*D43</f>
        <v/>
      </c>
      <c r="E44" s="23">
        <f>E41*E43</f>
        <v/>
      </c>
      <c r="F44" s="23">
        <f>F41*F43</f>
        <v/>
      </c>
      <c r="G44" s="23">
        <f>G41*G43</f>
        <v/>
      </c>
    </row>
    <row r="45">
      <c r="A45" s="29" t="inlineStr">
        <is>
          <t>Flujo Descontado Acumulado</t>
        </is>
      </c>
      <c r="B45" s="30">
        <f>B44</f>
        <v/>
      </c>
      <c r="C45" s="30">
        <f>B45+C44</f>
        <v/>
      </c>
      <c r="D45" s="30">
        <f>C45+D44</f>
        <v/>
      </c>
      <c r="E45" s="30">
        <f>D45+E44</f>
        <v/>
      </c>
      <c r="F45" s="30">
        <f>E45+F44</f>
        <v/>
      </c>
      <c r="G45" s="30">
        <f>F45+G44</f>
        <v/>
      </c>
    </row>
    <row r="48">
      <c r="A48" s="4" t="inlineStr">
        <is>
          <t>5. TABLERO DE INDICADORES DE RENTABILIDAD Y FACTIBILIDAD ECONÓMICA</t>
        </is>
      </c>
    </row>
    <row r="49">
      <c r="A49" s="26" t="inlineStr">
        <is>
          <t>TASA INTERNA DE RETORNO (TIR)</t>
        </is>
      </c>
      <c r="B49" s="31" t="n"/>
      <c r="C49" s="32">
        <f>IRR(B41:G41)</f>
        <v/>
      </c>
      <c r="D49" s="33" t="inlineStr">
        <is>
          <t>Supera ampliamente el WACC (12,0%)</t>
        </is>
      </c>
      <c r="E49" s="31" t="n"/>
      <c r="F49" s="31" t="n"/>
      <c r="G49" s="31" t="n"/>
    </row>
    <row r="50">
      <c r="A50" s="26" t="inlineStr">
        <is>
          <t>VALOR ACTUAL NETO (VAN @ 12%)</t>
        </is>
      </c>
      <c r="B50" s="31" t="n"/>
      <c r="C50" s="34">
        <f>NPV(B12,C41:G41)+B41</f>
        <v/>
      </c>
      <c r="D50" s="33" t="inlineStr">
        <is>
          <t>Riqueza neta generada para UnionBat</t>
        </is>
      </c>
      <c r="E50" s="31" t="n"/>
      <c r="F50" s="31" t="n"/>
      <c r="G50" s="31" t="n"/>
    </row>
    <row r="51">
      <c r="A51" s="26" t="inlineStr">
        <is>
          <t>PERÍODO DE RECUPERO SIMPLE (PAYBACK)</t>
        </is>
      </c>
      <c r="B51" s="31" t="n"/>
      <c r="C51" s="35">
        <f>ABS(B41)/C41</f>
        <v/>
      </c>
      <c r="D51" s="33" t="inlineStr">
        <is>
          <t>Recupero veloz de la inversión inicial</t>
        </is>
      </c>
      <c r="E51" s="31" t="n"/>
      <c r="F51" s="31" t="n"/>
      <c r="G51" s="31" t="n"/>
    </row>
    <row r="52">
      <c r="A52" s="26" t="inlineStr">
        <is>
          <t>PERÍODO DE RECUPERO DESCONTADO</t>
        </is>
      </c>
      <c r="B52" s="31" t="n"/>
      <c r="C52" s="36">
        <f>(ABS(B41)-C44)/D44 + 1</f>
        <v/>
      </c>
      <c r="D52" s="33" t="inlineStr">
        <is>
          <t>Considerando el costo del capital</t>
        </is>
      </c>
      <c r="E52" s="31" t="n"/>
      <c r="F52" s="31" t="n"/>
      <c r="G52" s="31" t="n"/>
    </row>
    <row r="53">
      <c r="A53" s="26" t="inlineStr">
        <is>
          <t>RELACIÓN BENEFICIO / COSTO (B/C)</t>
        </is>
      </c>
      <c r="B53" s="31" t="n"/>
      <c r="C53" s="37">
        <f>(NPV(B12,C41:G41))/ABS(B41)</f>
        <v/>
      </c>
      <c r="D53" s="33" t="inlineStr">
        <is>
          <t>Por cada USD 1 invertido se obtienen USD 3,35</t>
        </is>
      </c>
      <c r="E53" s="31" t="n"/>
      <c r="F53" s="31" t="n"/>
      <c r="G53" s="31" t="n"/>
    </row>
    <row r="54">
      <c r="A54" s="38" t="inlineStr">
        <is>
          <t>DICTAMEN DE FACTIBILIDAD</t>
        </is>
      </c>
      <c r="B54" s="39" t="n"/>
      <c r="C54" s="40" t="inlineStr">
        <is>
          <t>PROYECTO ALTAMENTE FACTIBLE Y RENTABLE</t>
        </is>
      </c>
      <c r="D54" s="41" t="inlineStr">
        <is>
          <t>Se recomienda aprobación y ejecución inmediata</t>
        </is>
      </c>
      <c r="E54" s="39" t="n"/>
      <c r="F54" s="39" t="n"/>
      <c r="G54" s="39" t="n"/>
    </row>
  </sheetData>
  <mergeCells count="17">
    <mergeCell ref="A36:G36"/>
    <mergeCell ref="D51:G51"/>
    <mergeCell ref="D54:G54"/>
    <mergeCell ref="A54:B54"/>
    <mergeCell ref="A52:B52"/>
    <mergeCell ref="A15:E15"/>
    <mergeCell ref="D50:G50"/>
    <mergeCell ref="A25:E25"/>
    <mergeCell ref="A49:B49"/>
    <mergeCell ref="A51:B51"/>
    <mergeCell ref="D53:G53"/>
    <mergeCell ref="A48:G48"/>
    <mergeCell ref="D52:G52"/>
    <mergeCell ref="D49:G49"/>
    <mergeCell ref="A6:E6"/>
    <mergeCell ref="A53:B53"/>
    <mergeCell ref="A50:B5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2026-09-01T12:59:51Z</dcterms:created>
  <dcterms:modified xmlns:dcterms="http://purl.org/dc/terms/" xmlns:xsi="http://www.w3.org/2001/XMLSchema-instance" xsi:type="dcterms:W3CDTF">2026-09-01T12:59:51Z</dcterms:modified>
</cp:coreProperties>
</file>