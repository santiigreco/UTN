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HP-PROBOOK\Desktop\Control de Gestión\"/>
    </mc:Choice>
  </mc:AlternateContent>
  <xr:revisionPtr revIDLastSave="0" documentId="13_ncr:1_{5C46D08D-CE16-4B77-88D8-F5BF4143D655}" xr6:coauthVersionLast="47" xr6:coauthVersionMax="47" xr10:uidLastSave="{00000000-0000-0000-0000-000000000000}"/>
  <bookViews>
    <workbookView xWindow="-110" yWindow="-110" windowWidth="19420" windowHeight="10300" tabRatio="599" firstSheet="12" activeTab="22" xr2:uid="{00000000-000D-0000-FFFF-FFFF00000000}"/>
  </bookViews>
  <sheets>
    <sheet name="EJ 1" sheetId="1" r:id="rId1"/>
    <sheet name="EJ 2" sheetId="2" r:id="rId2"/>
    <sheet name="EJ 3" sheetId="3" r:id="rId3"/>
    <sheet name="EJ 4" sheetId="4" r:id="rId4"/>
    <sheet name="EJ 5" sheetId="5" r:id="rId5"/>
    <sheet name="EJ 6" sheetId="6" r:id="rId6"/>
    <sheet name="EJ 7" sheetId="7" r:id="rId7"/>
    <sheet name="EJ 8" sheetId="8" r:id="rId8"/>
    <sheet name="EJ 9" sheetId="9" r:id="rId9"/>
    <sheet name="EJ 10" sheetId="10" r:id="rId10"/>
    <sheet name="EJ 11" sheetId="11" r:id="rId11"/>
    <sheet name="EJ 12" sheetId="12" r:id="rId12"/>
    <sheet name="EJ 13" sheetId="13" r:id="rId13"/>
    <sheet name="EJ 14" sheetId="14" r:id="rId14"/>
    <sheet name="EJ 15" sheetId="15" r:id="rId15"/>
    <sheet name="EJ 16" sheetId="16" r:id="rId16"/>
    <sheet name="EJ 17" sheetId="17" r:id="rId17"/>
    <sheet name="EJ 18" sheetId="18" r:id="rId18"/>
    <sheet name="EJ 19" sheetId="19" r:id="rId19"/>
    <sheet name="EJ 20" sheetId="21" r:id="rId20"/>
    <sheet name="EJ 21" sheetId="22" r:id="rId21"/>
    <sheet name="EJ REPASO" sheetId="23" r:id="rId22"/>
    <sheet name="EJ REPASO 2" sheetId="24" r:id="rId23"/>
    <sheet name="Hoja1" sheetId="25"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6" i="24" l="1"/>
  <c r="B250" i="24"/>
  <c r="D257" i="24"/>
  <c r="B254" i="24"/>
  <c r="D249" i="24"/>
  <c r="D248" i="24"/>
  <c r="D247" i="24"/>
  <c r="B249" i="24"/>
  <c r="I214" i="24"/>
  <c r="I212" i="24"/>
  <c r="B248" i="24"/>
  <c r="D258" i="24"/>
  <c r="B252" i="24"/>
  <c r="B256" i="24" s="1"/>
  <c r="D251" i="24"/>
  <c r="D246" i="24"/>
  <c r="C197" i="24"/>
  <c r="D197" i="24"/>
  <c r="C196" i="24"/>
  <c r="D196" i="24"/>
  <c r="B197" i="24"/>
  <c r="B196" i="24"/>
  <c r="C198" i="24"/>
  <c r="D198" i="24"/>
  <c r="C194" i="24"/>
  <c r="D194" i="24"/>
  <c r="B194" i="24"/>
  <c r="C115" i="24"/>
  <c r="D115" i="24"/>
  <c r="B115" i="24"/>
  <c r="C219" i="24"/>
  <c r="C222" i="24" s="1"/>
  <c r="B193" i="24" s="1"/>
  <c r="D241" i="24"/>
  <c r="B235" i="24"/>
  <c r="D234" i="24"/>
  <c r="D229" i="24"/>
  <c r="B207" i="24"/>
  <c r="G206" i="24"/>
  <c r="G207" i="24" s="1"/>
  <c r="F206" i="24"/>
  <c r="E206" i="24"/>
  <c r="F205" i="24"/>
  <c r="E205" i="24"/>
  <c r="D205" i="24"/>
  <c r="E204" i="24"/>
  <c r="D204" i="24"/>
  <c r="C204" i="24"/>
  <c r="C207" i="24" s="1"/>
  <c r="B189" i="24" s="1"/>
  <c r="C162" i="24"/>
  <c r="D162" i="24"/>
  <c r="B162" i="24"/>
  <c r="C149" i="24"/>
  <c r="C150" i="24" s="1"/>
  <c r="C151" i="24" s="1"/>
  <c r="D149" i="24"/>
  <c r="D150" i="24" s="1"/>
  <c r="D151" i="24" s="1"/>
  <c r="B149" i="24"/>
  <c r="B150" i="24" s="1"/>
  <c r="B50" i="24"/>
  <c r="C101" i="24"/>
  <c r="D101" i="24"/>
  <c r="D106" i="24" s="1"/>
  <c r="B101" i="24"/>
  <c r="B106" i="24" s="1"/>
  <c r="E97" i="24"/>
  <c r="E96" i="24"/>
  <c r="C98" i="24"/>
  <c r="D98" i="24"/>
  <c r="B98" i="24"/>
  <c r="E76" i="24"/>
  <c r="E77" i="24"/>
  <c r="C78" i="24"/>
  <c r="D78" i="24"/>
  <c r="B78" i="24"/>
  <c r="B85" i="24"/>
  <c r="D88" i="24" s="1"/>
  <c r="C16" i="24"/>
  <c r="C17" i="24" s="1"/>
  <c r="D16" i="24"/>
  <c r="D17" i="24" s="1"/>
  <c r="B16" i="24"/>
  <c r="B17" i="24" s="1"/>
  <c r="C8" i="24"/>
  <c r="D8" i="24"/>
  <c r="B8" i="24"/>
  <c r="C5" i="24"/>
  <c r="D5" i="24"/>
  <c r="B5" i="24"/>
  <c r="C4" i="24"/>
  <c r="C10" i="24" s="1"/>
  <c r="D4" i="24"/>
  <c r="D10" i="24" s="1"/>
  <c r="B4" i="24"/>
  <c r="B10" i="24" s="1"/>
  <c r="C43" i="11"/>
  <c r="B43" i="11"/>
  <c r="D42" i="11"/>
  <c r="D41" i="11"/>
  <c r="C41" i="11"/>
  <c r="C42" i="11"/>
  <c r="B42" i="11"/>
  <c r="B41" i="11"/>
  <c r="F36" i="11"/>
  <c r="E36" i="11"/>
  <c r="G35" i="11"/>
  <c r="F35" i="11"/>
  <c r="E35" i="11"/>
  <c r="H22" i="11"/>
  <c r="I22" i="11" s="1"/>
  <c r="F32" i="11" s="1"/>
  <c r="H21" i="11"/>
  <c r="I21" i="11" s="1"/>
  <c r="E32" i="11" s="1"/>
  <c r="G22" i="11"/>
  <c r="G21" i="11"/>
  <c r="D254" i="24" l="1"/>
  <c r="D259" i="24" s="1"/>
  <c r="B198" i="24"/>
  <c r="D207" i="24"/>
  <c r="C189" i="24" s="1"/>
  <c r="D237" i="24"/>
  <c r="D242" i="24" s="1"/>
  <c r="F207" i="24"/>
  <c r="E207" i="24"/>
  <c r="D189" i="24" s="1"/>
  <c r="E150" i="24"/>
  <c r="E149" i="24"/>
  <c r="B151" i="24"/>
  <c r="B89" i="24"/>
  <c r="B142" i="24"/>
  <c r="B90" i="24"/>
  <c r="C142" i="24"/>
  <c r="D90" i="24"/>
  <c r="D142" i="24"/>
  <c r="C90" i="24"/>
  <c r="D89" i="24"/>
  <c r="D91" i="24" s="1"/>
  <c r="E98" i="24"/>
  <c r="C121" i="24" s="1"/>
  <c r="B164" i="24"/>
  <c r="E162" i="24"/>
  <c r="C164" i="24"/>
  <c r="D164" i="24"/>
  <c r="B102" i="24"/>
  <c r="B107" i="24" s="1"/>
  <c r="B108" i="24" s="1"/>
  <c r="B112" i="24" s="1"/>
  <c r="C88" i="24"/>
  <c r="D102" i="24"/>
  <c r="D107" i="24" s="1"/>
  <c r="D108" i="24" s="1"/>
  <c r="D112" i="24" s="1"/>
  <c r="E101" i="24"/>
  <c r="C89" i="24"/>
  <c r="D82" i="24"/>
  <c r="D166" i="24" s="1"/>
  <c r="B88" i="24"/>
  <c r="C102" i="24"/>
  <c r="C107" i="24" s="1"/>
  <c r="C106" i="24"/>
  <c r="C103" i="24"/>
  <c r="B82" i="24"/>
  <c r="B166" i="24" s="1"/>
  <c r="C82" i="24"/>
  <c r="C166" i="24" s="1"/>
  <c r="C169" i="24" s="1"/>
  <c r="E78" i="24"/>
  <c r="B80" i="24"/>
  <c r="B111" i="24" s="1"/>
  <c r="C80" i="24"/>
  <c r="C111" i="24" s="1"/>
  <c r="D80" i="24"/>
  <c r="D111" i="24" s="1"/>
  <c r="B81" i="24"/>
  <c r="B153" i="24" s="1"/>
  <c r="D81" i="24"/>
  <c r="D153" i="24" s="1"/>
  <c r="D156" i="24" s="1"/>
  <c r="C81" i="24"/>
  <c r="C153" i="24" s="1"/>
  <c r="C154" i="24" s="1"/>
  <c r="D177" i="24" s="1"/>
  <c r="B11" i="24"/>
  <c r="D11" i="24"/>
  <c r="C11" i="24"/>
  <c r="C12" i="24" s="1"/>
  <c r="D174" i="24" s="1"/>
  <c r="B12" i="24"/>
  <c r="C174" i="24" s="1"/>
  <c r="D12" i="24"/>
  <c r="E174" i="24" s="1"/>
  <c r="D18" i="24"/>
  <c r="D19" i="24" s="1"/>
  <c r="D136" i="24" s="1"/>
  <c r="E17" i="24"/>
  <c r="C18" i="24"/>
  <c r="B19" i="24"/>
  <c r="E16" i="24"/>
  <c r="A72" i="19"/>
  <c r="A68" i="19"/>
  <c r="J50" i="22"/>
  <c r="D39" i="21"/>
  <c r="C108" i="24" l="1"/>
  <c r="C112" i="24" s="1"/>
  <c r="F174" i="24"/>
  <c r="D167" i="24"/>
  <c r="E178" i="24" s="1"/>
  <c r="C91" i="24"/>
  <c r="E89" i="24"/>
  <c r="E153" i="24"/>
  <c r="B156" i="24"/>
  <c r="E166" i="24"/>
  <c r="D103" i="24"/>
  <c r="B169" i="24"/>
  <c r="D154" i="24"/>
  <c r="E177" i="24" s="1"/>
  <c r="D169" i="24"/>
  <c r="E90" i="24"/>
  <c r="E142" i="24"/>
  <c r="B103" i="24"/>
  <c r="C156" i="24"/>
  <c r="C167" i="24"/>
  <c r="D178" i="24" s="1"/>
  <c r="B154" i="24"/>
  <c r="C177" i="24" s="1"/>
  <c r="E151" i="24"/>
  <c r="E107" i="24"/>
  <c r="B91" i="24"/>
  <c r="E91" i="24" s="1"/>
  <c r="B167" i="24"/>
  <c r="C178" i="24" s="1"/>
  <c r="E164" i="24"/>
  <c r="E163" i="24"/>
  <c r="B55" i="24"/>
  <c r="B62" i="24" s="1"/>
  <c r="B71" i="24" s="1"/>
  <c r="B136" i="24"/>
  <c r="D113" i="24"/>
  <c r="E112" i="24"/>
  <c r="C113" i="24"/>
  <c r="E111" i="24"/>
  <c r="B113" i="24"/>
  <c r="E82" i="24"/>
  <c r="E108" i="24"/>
  <c r="E102" i="24"/>
  <c r="E106" i="24"/>
  <c r="E88" i="24"/>
  <c r="E18" i="24"/>
  <c r="E81" i="24"/>
  <c r="D83" i="24"/>
  <c r="C83" i="24"/>
  <c r="E80" i="24"/>
  <c r="E122" i="24" s="1"/>
  <c r="B83" i="24"/>
  <c r="D23" i="24"/>
  <c r="D28" i="24" s="1"/>
  <c r="D32" i="24" s="1"/>
  <c r="D55" i="24"/>
  <c r="B23" i="24"/>
  <c r="C19" i="24"/>
  <c r="C136" i="24" s="1"/>
  <c r="I71" i="23"/>
  <c r="J71" i="23"/>
  <c r="H71" i="23"/>
  <c r="I70" i="23"/>
  <c r="J70" i="23"/>
  <c r="H70" i="23"/>
  <c r="I69" i="23"/>
  <c r="J69" i="23"/>
  <c r="I68" i="23"/>
  <c r="J68" i="23"/>
  <c r="H69" i="23"/>
  <c r="H68" i="23"/>
  <c r="I67" i="23"/>
  <c r="J67" i="23"/>
  <c r="H67" i="23"/>
  <c r="B71" i="23"/>
  <c r="B70" i="23"/>
  <c r="D69" i="23"/>
  <c r="C69" i="23"/>
  <c r="D68" i="23"/>
  <c r="C68" i="23"/>
  <c r="B69" i="23"/>
  <c r="B68" i="23"/>
  <c r="B67" i="23"/>
  <c r="B66" i="23"/>
  <c r="B60" i="23"/>
  <c r="C59" i="23"/>
  <c r="C60" i="23" s="1"/>
  <c r="C66" i="23" s="1"/>
  <c r="C67" i="23" s="1"/>
  <c r="C70" i="23" s="1"/>
  <c r="C71" i="23" s="1"/>
  <c r="D59" i="23"/>
  <c r="D60" i="23" s="1"/>
  <c r="D66" i="23" s="1"/>
  <c r="D67" i="23" s="1"/>
  <c r="D70" i="23" s="1"/>
  <c r="D71" i="23" s="1"/>
  <c r="B59" i="23"/>
  <c r="C58" i="23"/>
  <c r="D58" i="23"/>
  <c r="B58" i="23"/>
  <c r="C57" i="23"/>
  <c r="D57" i="23"/>
  <c r="B57" i="23"/>
  <c r="D46" i="23"/>
  <c r="C46" i="23"/>
  <c r="C48" i="23" s="1"/>
  <c r="C53" i="23" s="1"/>
  <c r="B46" i="23"/>
  <c r="C49" i="23"/>
  <c r="D49" i="23"/>
  <c r="B49" i="23"/>
  <c r="D38" i="23"/>
  <c r="D31" i="23"/>
  <c r="D26" i="23"/>
  <c r="B32" i="23"/>
  <c r="B26" i="23"/>
  <c r="H13" i="23"/>
  <c r="H14" i="23" s="1"/>
  <c r="H11" i="23"/>
  <c r="H12" i="23" s="1"/>
  <c r="I5" i="23"/>
  <c r="H5" i="23"/>
  <c r="I4" i="23"/>
  <c r="H4" i="23"/>
  <c r="H10" i="23"/>
  <c r="H9" i="23"/>
  <c r="C15" i="23"/>
  <c r="B15" i="23"/>
  <c r="C3" i="23"/>
  <c r="D3" i="23"/>
  <c r="B3" i="23"/>
  <c r="B10" i="23"/>
  <c r="C47" i="23" s="1"/>
  <c r="C6" i="23"/>
  <c r="D6" i="23"/>
  <c r="B6" i="23"/>
  <c r="C5" i="23"/>
  <c r="D5" i="23"/>
  <c r="B5" i="23"/>
  <c r="B87" i="22"/>
  <c r="B86" i="22"/>
  <c r="B85" i="22"/>
  <c r="B84" i="22"/>
  <c r="B74" i="22"/>
  <c r="B82" i="22"/>
  <c r="B81" i="22"/>
  <c r="B51" i="16"/>
  <c r="D61" i="22"/>
  <c r="B75" i="22" s="1"/>
  <c r="D55" i="22"/>
  <c r="C29" i="22"/>
  <c r="D29" i="22"/>
  <c r="E29" i="22"/>
  <c r="C30" i="22"/>
  <c r="D30" i="22"/>
  <c r="E30" i="22"/>
  <c r="B30" i="22"/>
  <c r="D60" i="22" s="1"/>
  <c r="B29" i="22"/>
  <c r="D59" i="22" s="1"/>
  <c r="B40" i="22"/>
  <c r="G40" i="22" s="1"/>
  <c r="B39" i="22"/>
  <c r="F39" i="22" s="1"/>
  <c r="J37" i="22" s="1"/>
  <c r="B72" i="22" s="1"/>
  <c r="B38" i="22"/>
  <c r="E38" i="22" s="1"/>
  <c r="B37" i="22"/>
  <c r="D37" i="22" s="1"/>
  <c r="B24" i="22"/>
  <c r="C7" i="22"/>
  <c r="B47" i="22" s="1"/>
  <c r="D7" i="22"/>
  <c r="B48" i="22" s="1"/>
  <c r="F47" i="22" s="1"/>
  <c r="B80" i="22" s="1"/>
  <c r="E7" i="22"/>
  <c r="B49" i="22" s="1"/>
  <c r="G48" i="22" s="1"/>
  <c r="G50" i="22" s="1"/>
  <c r="B7" i="22"/>
  <c r="B46" i="22" s="1"/>
  <c r="B29" i="14"/>
  <c r="B28" i="14"/>
  <c r="B25" i="14"/>
  <c r="G25" i="14"/>
  <c r="G23" i="14"/>
  <c r="C97" i="21"/>
  <c r="C86" i="21"/>
  <c r="D72" i="21"/>
  <c r="C87" i="21" s="1"/>
  <c r="E40" i="21"/>
  <c r="F40" i="21"/>
  <c r="C93" i="21" s="1"/>
  <c r="D40" i="21"/>
  <c r="C40" i="21"/>
  <c r="D66" i="21"/>
  <c r="C41" i="21"/>
  <c r="D41" i="21"/>
  <c r="E41" i="21"/>
  <c r="F41" i="21"/>
  <c r="B41" i="21"/>
  <c r="D70" i="21" s="1"/>
  <c r="C42" i="21"/>
  <c r="D42" i="21"/>
  <c r="E42" i="21"/>
  <c r="F42" i="21"/>
  <c r="B42" i="21"/>
  <c r="D71" i="21" s="1"/>
  <c r="I62" i="21"/>
  <c r="C14" i="21"/>
  <c r="B58" i="21" s="1"/>
  <c r="D14" i="21"/>
  <c r="B59" i="21" s="1"/>
  <c r="F59" i="21" s="1"/>
  <c r="E14" i="21"/>
  <c r="B60" i="21" s="1"/>
  <c r="E60" i="21" s="1"/>
  <c r="F14" i="21"/>
  <c r="B61" i="21" s="1"/>
  <c r="H61" i="21" s="1"/>
  <c r="B14" i="21"/>
  <c r="B52" i="21"/>
  <c r="G52" i="21" s="1"/>
  <c r="B51" i="21"/>
  <c r="G51" i="21" s="1"/>
  <c r="H51" i="21" s="1"/>
  <c r="B50" i="21"/>
  <c r="F50" i="21" s="1"/>
  <c r="G50" i="21" s="1"/>
  <c r="B49" i="21"/>
  <c r="D49" i="21" s="1"/>
  <c r="B48" i="21"/>
  <c r="D48" i="21" s="1"/>
  <c r="B35" i="21"/>
  <c r="C20" i="21"/>
  <c r="D53" i="19"/>
  <c r="D59" i="19"/>
  <c r="B29" i="19"/>
  <c r="D58" i="19" s="1"/>
  <c r="C29" i="19"/>
  <c r="D29" i="19"/>
  <c r="E29" i="19"/>
  <c r="C28" i="19"/>
  <c r="D28" i="19"/>
  <c r="E28" i="19"/>
  <c r="B28" i="19"/>
  <c r="D57" i="19" s="1"/>
  <c r="I6" i="19"/>
  <c r="B46" i="19" s="1"/>
  <c r="J6" i="19"/>
  <c r="B47" i="19" s="1"/>
  <c r="K6" i="19"/>
  <c r="B48" i="19" s="1"/>
  <c r="H6" i="19"/>
  <c r="B45" i="19" s="1"/>
  <c r="B39" i="19"/>
  <c r="G39" i="19" s="1"/>
  <c r="B38" i="19"/>
  <c r="G38" i="19" s="1"/>
  <c r="B37" i="19"/>
  <c r="F37" i="19" s="1"/>
  <c r="B36" i="19"/>
  <c r="E36" i="19" s="1"/>
  <c r="B23" i="19"/>
  <c r="C125" i="18"/>
  <c r="C124" i="18"/>
  <c r="C123" i="18"/>
  <c r="C122" i="18"/>
  <c r="C120" i="18"/>
  <c r="C119" i="18"/>
  <c r="C117" i="18"/>
  <c r="C110" i="18"/>
  <c r="C111" i="18"/>
  <c r="B120" i="18"/>
  <c r="B113" i="18"/>
  <c r="B125" i="18" s="1"/>
  <c r="D98" i="18"/>
  <c r="D97" i="18"/>
  <c r="D96" i="18"/>
  <c r="C112" i="18" s="1"/>
  <c r="D95" i="18"/>
  <c r="D94" i="18"/>
  <c r="D90" i="18"/>
  <c r="B86" i="18"/>
  <c r="D101" i="18" s="1"/>
  <c r="F71" i="18"/>
  <c r="E71" i="18"/>
  <c r="D99" i="18" s="1"/>
  <c r="C70" i="18"/>
  <c r="C76" i="18" s="1"/>
  <c r="D70" i="18"/>
  <c r="D76" i="18" s="1"/>
  <c r="E70" i="18"/>
  <c r="B70" i="18"/>
  <c r="B76" i="18" s="1"/>
  <c r="B57" i="18"/>
  <c r="G57" i="18" s="1"/>
  <c r="G62" i="18" s="1"/>
  <c r="D67" i="18" s="1"/>
  <c r="B58" i="18"/>
  <c r="H58" i="18" s="1"/>
  <c r="H62" i="18" s="1"/>
  <c r="E67" i="18" s="1"/>
  <c r="B59" i="18"/>
  <c r="B60" i="18"/>
  <c r="J60" i="18" s="1"/>
  <c r="B61" i="18"/>
  <c r="C109" i="18" s="1"/>
  <c r="B56" i="18"/>
  <c r="F56" i="18" s="1"/>
  <c r="F62" i="18" s="1"/>
  <c r="C67" i="18" s="1"/>
  <c r="B55" i="18"/>
  <c r="E55" i="18" s="1"/>
  <c r="E62" i="18" s="1"/>
  <c r="B67" i="18" s="1"/>
  <c r="B68" i="18" s="1"/>
  <c r="B54" i="18"/>
  <c r="D54" i="18" s="1"/>
  <c r="D62" i="18" s="1"/>
  <c r="C62" i="18"/>
  <c r="C44" i="18"/>
  <c r="C43" i="18"/>
  <c r="C41" i="18"/>
  <c r="J48" i="18" s="1"/>
  <c r="C40" i="18"/>
  <c r="I48" i="18" s="1"/>
  <c r="K49" i="18" s="1"/>
  <c r="C39" i="18"/>
  <c r="H48" i="18" s="1"/>
  <c r="C38" i="18"/>
  <c r="G48" i="18" s="1"/>
  <c r="C37" i="18"/>
  <c r="F48" i="18" s="1"/>
  <c r="C36" i="18"/>
  <c r="C35" i="18"/>
  <c r="B26" i="18"/>
  <c r="B21" i="18"/>
  <c r="B31" i="18" s="1"/>
  <c r="C21" i="17"/>
  <c r="C20" i="17"/>
  <c r="C19" i="17"/>
  <c r="C18" i="17"/>
  <c r="C16" i="17"/>
  <c r="C15" i="17"/>
  <c r="C10" i="17"/>
  <c r="C7" i="17"/>
  <c r="C8" i="17"/>
  <c r="C9" i="17"/>
  <c r="D73" i="16"/>
  <c r="D74" i="16"/>
  <c r="D72" i="16"/>
  <c r="D71" i="16"/>
  <c r="D70" i="16"/>
  <c r="D69" i="16"/>
  <c r="D65" i="16"/>
  <c r="D66" i="16"/>
  <c r="D67" i="16" s="1"/>
  <c r="D76" i="16" s="1"/>
  <c r="G56" i="16"/>
  <c r="F56" i="16"/>
  <c r="E56" i="16"/>
  <c r="D56" i="16"/>
  <c r="C56" i="16"/>
  <c r="B56" i="16"/>
  <c r="B46" i="16"/>
  <c r="M45" i="16"/>
  <c r="M46" i="16" s="1"/>
  <c r="L45" i="16"/>
  <c r="K45" i="16"/>
  <c r="L44" i="16"/>
  <c r="K44" i="16"/>
  <c r="J44" i="16"/>
  <c r="K43" i="16"/>
  <c r="J43" i="16"/>
  <c r="I43" i="16"/>
  <c r="J42" i="16"/>
  <c r="I42" i="16"/>
  <c r="H42" i="16"/>
  <c r="I41" i="16"/>
  <c r="H41" i="16"/>
  <c r="G41" i="16"/>
  <c r="H40" i="16"/>
  <c r="G40" i="16"/>
  <c r="F40" i="16"/>
  <c r="G39" i="16"/>
  <c r="F39" i="16"/>
  <c r="E39" i="16"/>
  <c r="F38" i="16"/>
  <c r="E38" i="16"/>
  <c r="D38" i="16"/>
  <c r="E37" i="16"/>
  <c r="D37" i="16"/>
  <c r="C37" i="16"/>
  <c r="C46" i="16" s="1"/>
  <c r="F27" i="16"/>
  <c r="H27" i="16" s="1"/>
  <c r="E26" i="16"/>
  <c r="E33" i="16" s="1"/>
  <c r="G26" i="16"/>
  <c r="F25" i="16"/>
  <c r="D25" i="16"/>
  <c r="D33" i="16" s="1"/>
  <c r="B33" i="16"/>
  <c r="K32" i="16"/>
  <c r="M32" i="16" s="1"/>
  <c r="M33" i="16" s="1"/>
  <c r="J31" i="16"/>
  <c r="L31" i="16" s="1"/>
  <c r="L33" i="16" s="1"/>
  <c r="I30" i="16"/>
  <c r="H29" i="16"/>
  <c r="J29" i="16" s="1"/>
  <c r="G28" i="16"/>
  <c r="I28" i="16" s="1"/>
  <c r="C24" i="16"/>
  <c r="C33" i="16" s="1"/>
  <c r="C3" i="16"/>
  <c r="C2" i="16"/>
  <c r="C7" i="16"/>
  <c r="C8" i="16"/>
  <c r="C9" i="16"/>
  <c r="C10" i="16"/>
  <c r="C11" i="16"/>
  <c r="C12" i="16"/>
  <c r="C6" i="16"/>
  <c r="D66" i="15"/>
  <c r="D63" i="15"/>
  <c r="D62" i="15"/>
  <c r="D61" i="15"/>
  <c r="D60" i="15"/>
  <c r="D59" i="15"/>
  <c r="D64" i="15"/>
  <c r="H39" i="15"/>
  <c r="D57" i="15"/>
  <c r="D56" i="15"/>
  <c r="D55" i="15"/>
  <c r="H44" i="15"/>
  <c r="H36" i="15"/>
  <c r="G35" i="15"/>
  <c r="F35" i="15"/>
  <c r="E35" i="15"/>
  <c r="D35" i="15"/>
  <c r="C35" i="15"/>
  <c r="D50" i="15"/>
  <c r="G39" i="15"/>
  <c r="F39" i="15"/>
  <c r="E39" i="15"/>
  <c r="D39" i="15"/>
  <c r="C39" i="15"/>
  <c r="B39" i="15"/>
  <c r="C3" i="15"/>
  <c r="C49" i="15" s="1"/>
  <c r="E50" i="15" s="1"/>
  <c r="B38" i="15" s="1"/>
  <c r="C2" i="15"/>
  <c r="C7" i="15"/>
  <c r="E49" i="15" s="1"/>
  <c r="G50" i="15" s="1"/>
  <c r="D38" i="15" s="1"/>
  <c r="D44" i="15" s="1"/>
  <c r="C8" i="15"/>
  <c r="F49" i="15" s="1"/>
  <c r="H50" i="15" s="1"/>
  <c r="E38" i="15" s="1"/>
  <c r="C9" i="15"/>
  <c r="G49" i="15" s="1"/>
  <c r="I50" i="15" s="1"/>
  <c r="F38" i="15" s="1"/>
  <c r="F44" i="15" s="1"/>
  <c r="C10" i="15"/>
  <c r="H49" i="15" s="1"/>
  <c r="J50" i="15" s="1"/>
  <c r="G38" i="15" s="1"/>
  <c r="G44" i="15" s="1"/>
  <c r="C11" i="15"/>
  <c r="I49" i="15" s="1"/>
  <c r="K50" i="15" s="1"/>
  <c r="C6" i="15"/>
  <c r="D49" i="15" s="1"/>
  <c r="F50" i="15" s="1"/>
  <c r="C38" i="15" s="1"/>
  <c r="B35" i="15"/>
  <c r="B34" i="15"/>
  <c r="B34" i="14"/>
  <c r="B39" i="14"/>
  <c r="B27" i="14"/>
  <c r="B26" i="14"/>
  <c r="E11" i="14"/>
  <c r="B14" i="14" s="1"/>
  <c r="E10" i="14"/>
  <c r="B37" i="13"/>
  <c r="B38" i="13"/>
  <c r="B40" i="13"/>
  <c r="B46" i="13"/>
  <c r="B39" i="13"/>
  <c r="B30" i="13"/>
  <c r="B29" i="13"/>
  <c r="B28" i="13"/>
  <c r="B27" i="13"/>
  <c r="B26" i="13"/>
  <c r="B25" i="13"/>
  <c r="B12" i="13"/>
  <c r="B19" i="13"/>
  <c r="B18" i="13"/>
  <c r="B10" i="13"/>
  <c r="B9" i="13"/>
  <c r="B57" i="12"/>
  <c r="B56" i="12"/>
  <c r="B55" i="12"/>
  <c r="B46" i="12"/>
  <c r="B48" i="12"/>
  <c r="B47" i="12"/>
  <c r="B45" i="12"/>
  <c r="B44" i="12"/>
  <c r="B43" i="12"/>
  <c r="B38" i="12"/>
  <c r="B36" i="12"/>
  <c r="B37" i="12"/>
  <c r="B35" i="12"/>
  <c r="C30" i="12"/>
  <c r="B29" i="12"/>
  <c r="A29" i="12"/>
  <c r="B28" i="12"/>
  <c r="A28" i="12"/>
  <c r="B27" i="12"/>
  <c r="A27" i="12"/>
  <c r="C12" i="12"/>
  <c r="C11" i="12"/>
  <c r="B13" i="12"/>
  <c r="B7" i="12"/>
  <c r="C31" i="11"/>
  <c r="G32" i="11"/>
  <c r="G30" i="11"/>
  <c r="D31" i="11" s="1"/>
  <c r="D33" i="11" s="1"/>
  <c r="F28" i="11"/>
  <c r="E28" i="11"/>
  <c r="G28" i="11" s="1"/>
  <c r="D28" i="11"/>
  <c r="C28" i="11"/>
  <c r="H18" i="10"/>
  <c r="H19" i="10"/>
  <c r="H20" i="10"/>
  <c r="H17" i="10"/>
  <c r="D19" i="10"/>
  <c r="E19" i="10"/>
  <c r="F19" i="10"/>
  <c r="G19" i="10"/>
  <c r="D18" i="10"/>
  <c r="E18" i="10"/>
  <c r="F18" i="10"/>
  <c r="G18" i="10"/>
  <c r="D17" i="10"/>
  <c r="E17" i="10"/>
  <c r="F17" i="10"/>
  <c r="G17" i="10"/>
  <c r="C19" i="10"/>
  <c r="C18" i="10"/>
  <c r="C17" i="10"/>
  <c r="B18" i="10"/>
  <c r="B19" i="10"/>
  <c r="B17" i="10"/>
  <c r="C20" i="10"/>
  <c r="C21" i="10" s="1"/>
  <c r="D27" i="9"/>
  <c r="E27" i="9"/>
  <c r="F27" i="9"/>
  <c r="G27" i="9"/>
  <c r="C27" i="9"/>
  <c r="D26" i="9"/>
  <c r="E26" i="9"/>
  <c r="F26" i="9"/>
  <c r="G26" i="9"/>
  <c r="C26" i="9"/>
  <c r="G23" i="9"/>
  <c r="B34" i="9" s="1"/>
  <c r="C34" i="9" s="1"/>
  <c r="D34" i="9" s="1"/>
  <c r="G24" i="9" s="1"/>
  <c r="F23" i="9"/>
  <c r="B33" i="9" s="1"/>
  <c r="C33" i="9" s="1"/>
  <c r="D33" i="9" s="1"/>
  <c r="F24" i="9" s="1"/>
  <c r="E23" i="9"/>
  <c r="B32" i="9" s="1"/>
  <c r="C32" i="9" s="1"/>
  <c r="D32" i="9" s="1"/>
  <c r="E24" i="9" s="1"/>
  <c r="D23" i="9"/>
  <c r="B31" i="9" s="1"/>
  <c r="C31" i="9" s="1"/>
  <c r="D31" i="9" s="1"/>
  <c r="D24" i="9" s="1"/>
  <c r="C23" i="9"/>
  <c r="B30" i="9" s="1"/>
  <c r="C30" i="9" s="1"/>
  <c r="D30" i="9" s="1"/>
  <c r="C24" i="9" s="1"/>
  <c r="B23" i="9"/>
  <c r="H20" i="8"/>
  <c r="H21" i="8"/>
  <c r="H22" i="8"/>
  <c r="H23" i="8"/>
  <c r="H19" i="8"/>
  <c r="D24" i="8"/>
  <c r="E24" i="8"/>
  <c r="F24" i="8"/>
  <c r="G24" i="8"/>
  <c r="C24" i="8"/>
  <c r="B23" i="8"/>
  <c r="D23" i="8"/>
  <c r="E23" i="8"/>
  <c r="F23" i="8"/>
  <c r="G23" i="8"/>
  <c r="C23" i="8"/>
  <c r="D22" i="8"/>
  <c r="E22" i="8"/>
  <c r="F22" i="8"/>
  <c r="G22" i="8"/>
  <c r="C22" i="8"/>
  <c r="D21" i="8"/>
  <c r="E21" i="8"/>
  <c r="F21" i="8"/>
  <c r="G21" i="8"/>
  <c r="C21" i="8"/>
  <c r="D20" i="8"/>
  <c r="E20" i="8"/>
  <c r="F20" i="8"/>
  <c r="G20" i="8"/>
  <c r="C20" i="8"/>
  <c r="D19" i="8"/>
  <c r="E19" i="8"/>
  <c r="F19" i="8"/>
  <c r="G19" i="8"/>
  <c r="C19" i="8"/>
  <c r="B18" i="7"/>
  <c r="B19" i="7"/>
  <c r="B20" i="7"/>
  <c r="C17" i="7"/>
  <c r="C18" i="7"/>
  <c r="C19" i="7"/>
  <c r="C20" i="7"/>
  <c r="B17" i="7"/>
  <c r="G20" i="6"/>
  <c r="E20" i="6"/>
  <c r="G17" i="6"/>
  <c r="G18" i="6"/>
  <c r="G19" i="6"/>
  <c r="G16" i="6"/>
  <c r="E17" i="6"/>
  <c r="E18" i="6"/>
  <c r="E19" i="6"/>
  <c r="E16" i="6"/>
  <c r="B17" i="6"/>
  <c r="B18" i="6"/>
  <c r="C18" i="6" s="1"/>
  <c r="B19" i="6"/>
  <c r="C19" i="6" s="1"/>
  <c r="B16" i="6"/>
  <c r="C16" i="6" s="1"/>
  <c r="C17" i="6"/>
  <c r="E18" i="5"/>
  <c r="E19" i="5"/>
  <c r="E17" i="5"/>
  <c r="D18" i="5"/>
  <c r="D17" i="5"/>
  <c r="G11" i="5"/>
  <c r="G12" i="5"/>
  <c r="G10" i="5"/>
  <c r="F11" i="5"/>
  <c r="F10" i="5"/>
  <c r="C17" i="4"/>
  <c r="D17" i="4"/>
  <c r="B17" i="4"/>
  <c r="D16" i="4"/>
  <c r="C16" i="4"/>
  <c r="B16" i="4"/>
  <c r="D14" i="4"/>
  <c r="C14" i="4"/>
  <c r="B14" i="4"/>
  <c r="D15" i="4"/>
  <c r="C15" i="4"/>
  <c r="B15" i="4"/>
  <c r="H9" i="4"/>
  <c r="H8" i="4"/>
  <c r="H7" i="4"/>
  <c r="G8" i="4"/>
  <c r="G9" i="4"/>
  <c r="G7" i="4"/>
  <c r="F9" i="4"/>
  <c r="F8" i="4"/>
  <c r="F7" i="4"/>
  <c r="C42" i="2"/>
  <c r="B42" i="2"/>
  <c r="B46" i="2"/>
  <c r="B45" i="2"/>
  <c r="B44" i="2"/>
  <c r="C27" i="2"/>
  <c r="C33" i="2"/>
  <c r="C32" i="2"/>
  <c r="J9" i="2"/>
  <c r="J8" i="2"/>
  <c r="I9" i="2"/>
  <c r="I8" i="2"/>
  <c r="B33" i="2"/>
  <c r="B32" i="2"/>
  <c r="C17" i="3"/>
  <c r="D17" i="3"/>
  <c r="B17" i="3"/>
  <c r="D16" i="3"/>
  <c r="C16" i="3"/>
  <c r="B16" i="3"/>
  <c r="D15" i="3"/>
  <c r="C15" i="3"/>
  <c r="B15" i="3"/>
  <c r="D14" i="3"/>
  <c r="C14" i="3"/>
  <c r="B14" i="3"/>
  <c r="F9" i="3"/>
  <c r="F8" i="3"/>
  <c r="F7" i="3"/>
  <c r="B37" i="2"/>
  <c r="C37" i="2"/>
  <c r="C36" i="2"/>
  <c r="C24" i="2"/>
  <c r="B24" i="2"/>
  <c r="B28" i="2" s="1"/>
  <c r="B23" i="2"/>
  <c r="C18" i="2"/>
  <c r="C20" i="2" s="1"/>
  <c r="C28" i="2" s="1"/>
  <c r="B18" i="2"/>
  <c r="B20" i="2" s="1"/>
  <c r="B36" i="2"/>
  <c r="B40" i="2" s="1"/>
  <c r="D22" i="1"/>
  <c r="D21" i="1"/>
  <c r="C22" i="1"/>
  <c r="C21" i="1"/>
  <c r="C18" i="1"/>
  <c r="C26" i="1" s="1"/>
  <c r="C17" i="1"/>
  <c r="C25" i="1" s="1"/>
  <c r="C24" i="1" s="1"/>
  <c r="D16" i="1"/>
  <c r="D18" i="1" s="1"/>
  <c r="D26" i="1" s="1"/>
  <c r="C16" i="1"/>
  <c r="B22" i="1"/>
  <c r="B21" i="1"/>
  <c r="B18" i="1"/>
  <c r="B26" i="1" s="1"/>
  <c r="B17" i="1"/>
  <c r="B25" i="1" s="1"/>
  <c r="B24" i="1" s="1"/>
  <c r="F178" i="24" l="1"/>
  <c r="F177" i="24"/>
  <c r="E169" i="24"/>
  <c r="E113" i="24"/>
  <c r="E103" i="24"/>
  <c r="D121" i="24" s="1"/>
  <c r="B61" i="24"/>
  <c r="B60" i="24" s="1"/>
  <c r="E156" i="24"/>
  <c r="E167" i="24"/>
  <c r="E154" i="24"/>
  <c r="B70" i="24"/>
  <c r="B69" i="24" s="1"/>
  <c r="E136" i="24"/>
  <c r="E121" i="24"/>
  <c r="D122" i="24"/>
  <c r="D124" i="24" s="1"/>
  <c r="C122" i="24"/>
  <c r="C124" i="24" s="1"/>
  <c r="E83" i="24"/>
  <c r="D29" i="24"/>
  <c r="D40" i="24" s="1"/>
  <c r="C23" i="24"/>
  <c r="E23" i="24" s="1"/>
  <c r="C55" i="24"/>
  <c r="D61" i="24"/>
  <c r="D62" i="24"/>
  <c r="D71" i="24" s="1"/>
  <c r="D33" i="24"/>
  <c r="E19" i="24"/>
  <c r="B29" i="24"/>
  <c r="B28" i="24"/>
  <c r="F31" i="11"/>
  <c r="E31" i="11"/>
  <c r="F47" i="19"/>
  <c r="K45" i="19" s="1"/>
  <c r="K48" i="19"/>
  <c r="B47" i="23"/>
  <c r="B48" i="23" s="1"/>
  <c r="B53" i="23" s="1"/>
  <c r="D47" i="23"/>
  <c r="D48" i="23" s="1"/>
  <c r="D53" i="23" s="1"/>
  <c r="B36" i="23"/>
  <c r="F33" i="11"/>
  <c r="F34" i="11" s="1"/>
  <c r="E33" i="11"/>
  <c r="E34" i="11" s="1"/>
  <c r="D34" i="23"/>
  <c r="D39" i="23" s="1"/>
  <c r="J48" i="22"/>
  <c r="B73" i="22" s="1"/>
  <c r="E46" i="22"/>
  <c r="D56" i="22"/>
  <c r="D57" i="22" s="1"/>
  <c r="D62" i="22" s="1"/>
  <c r="D63" i="22" s="1"/>
  <c r="D65" i="22" s="1"/>
  <c r="D47" i="22"/>
  <c r="D50" i="22" s="1"/>
  <c r="C28" i="22" s="1"/>
  <c r="C31" i="22" s="1"/>
  <c r="C46" i="22"/>
  <c r="C50" i="22" s="1"/>
  <c r="B28" i="22" s="1"/>
  <c r="B31" i="22" s="1"/>
  <c r="E48" i="22"/>
  <c r="C37" i="22"/>
  <c r="C41" i="22" s="1"/>
  <c r="B25" i="22" s="1"/>
  <c r="B26" i="22" s="1"/>
  <c r="E39" i="22"/>
  <c r="D38" i="22"/>
  <c r="F40" i="22"/>
  <c r="F41" i="22" s="1"/>
  <c r="E25" i="22" s="1"/>
  <c r="E41" i="22"/>
  <c r="D25" i="22" s="1"/>
  <c r="G41" i="22"/>
  <c r="B41" i="22"/>
  <c r="D41" i="22"/>
  <c r="C25" i="22" s="1"/>
  <c r="E50" i="22"/>
  <c r="D28" i="22" s="1"/>
  <c r="D31" i="22" s="1"/>
  <c r="F50" i="22"/>
  <c r="E28" i="22" s="1"/>
  <c r="E31" i="22" s="1"/>
  <c r="B50" i="22"/>
  <c r="B24" i="14"/>
  <c r="B18" i="14"/>
  <c r="B19" i="14" s="1"/>
  <c r="B5" i="14"/>
  <c r="B4" i="14"/>
  <c r="D73" i="21"/>
  <c r="C84" i="21"/>
  <c r="E49" i="21"/>
  <c r="F49" i="21" s="1"/>
  <c r="C85" i="21"/>
  <c r="D53" i="21"/>
  <c r="C36" i="21" s="1"/>
  <c r="D67" i="21"/>
  <c r="D68" i="21" s="1"/>
  <c r="G60" i="21"/>
  <c r="C92" i="21" s="1"/>
  <c r="C58" i="21"/>
  <c r="C62" i="21" s="1"/>
  <c r="B39" i="21" s="1"/>
  <c r="B43" i="21" s="1"/>
  <c r="E58" i="21"/>
  <c r="E62" i="21" s="1"/>
  <c r="D43" i="21" s="1"/>
  <c r="C48" i="21"/>
  <c r="C53" i="21" s="1"/>
  <c r="B36" i="21" s="1"/>
  <c r="B37" i="21" s="1"/>
  <c r="H52" i="21"/>
  <c r="I52" i="21" s="1"/>
  <c r="I53" i="21" s="1"/>
  <c r="G53" i="21"/>
  <c r="F36" i="21" s="1"/>
  <c r="F61" i="21"/>
  <c r="F62" i="21" s="1"/>
  <c r="E39" i="21" s="1"/>
  <c r="E43" i="21" s="1"/>
  <c r="G62" i="21"/>
  <c r="F39" i="21" s="1"/>
  <c r="F43" i="21" s="1"/>
  <c r="H62" i="21"/>
  <c r="E48" i="21"/>
  <c r="B62" i="21"/>
  <c r="E50" i="21"/>
  <c r="F51" i="21"/>
  <c r="D59" i="21"/>
  <c r="B53" i="21"/>
  <c r="E47" i="19"/>
  <c r="D54" i="19"/>
  <c r="D55" i="19" s="1"/>
  <c r="D60" i="19" s="1"/>
  <c r="D45" i="19"/>
  <c r="C45" i="19"/>
  <c r="E46" i="19"/>
  <c r="E49" i="19" s="1"/>
  <c r="D27" i="19" s="1"/>
  <c r="D30" i="19" s="1"/>
  <c r="D46" i="19"/>
  <c r="G40" i="19"/>
  <c r="F49" i="19"/>
  <c r="G49" i="19"/>
  <c r="B49" i="19"/>
  <c r="C49" i="19"/>
  <c r="B27" i="19" s="1"/>
  <c r="B30" i="19" s="1"/>
  <c r="C36" i="19"/>
  <c r="C40" i="19" s="1"/>
  <c r="B24" i="19" s="1"/>
  <c r="B25" i="19" s="1"/>
  <c r="B31" i="19" s="1"/>
  <c r="C23" i="19" s="1"/>
  <c r="D36" i="19"/>
  <c r="D37" i="19"/>
  <c r="E37" i="19"/>
  <c r="E38" i="19"/>
  <c r="F38" i="19"/>
  <c r="K36" i="19" s="1"/>
  <c r="F39" i="19"/>
  <c r="H39" i="19"/>
  <c r="H40" i="19" s="1"/>
  <c r="B40" i="19"/>
  <c r="C113" i="18"/>
  <c r="E76" i="18"/>
  <c r="D91" i="18"/>
  <c r="B77" i="18"/>
  <c r="C66" i="18" s="1"/>
  <c r="C68" i="18" s="1"/>
  <c r="C77" i="18" s="1"/>
  <c r="D66" i="18" s="1"/>
  <c r="D68" i="18" s="1"/>
  <c r="D77" i="18" s="1"/>
  <c r="E66" i="18" s="1"/>
  <c r="E68" i="18" s="1"/>
  <c r="E77" i="18" s="1"/>
  <c r="F66" i="18" s="1"/>
  <c r="D92" i="18"/>
  <c r="D103" i="18" s="1"/>
  <c r="I49" i="18"/>
  <c r="F70" i="18" s="1"/>
  <c r="F76" i="18" s="1"/>
  <c r="J49" i="18"/>
  <c r="G70" i="18" s="1"/>
  <c r="G76" i="18" s="1"/>
  <c r="J62" i="18"/>
  <c r="G67" i="18" s="1"/>
  <c r="I59" i="18"/>
  <c r="I62" i="18" s="1"/>
  <c r="F67" i="18" s="1"/>
  <c r="L46" i="16"/>
  <c r="G46" i="16"/>
  <c r="D52" i="16" s="1"/>
  <c r="F33" i="16"/>
  <c r="D46" i="16"/>
  <c r="H46" i="16"/>
  <c r="E52" i="16" s="1"/>
  <c r="J46" i="16"/>
  <c r="G52" i="16" s="1"/>
  <c r="E46" i="16"/>
  <c r="B52" i="16" s="1"/>
  <c r="B53" i="16" s="1"/>
  <c r="K46" i="16"/>
  <c r="G33" i="16"/>
  <c r="F46" i="16"/>
  <c r="C52" i="16" s="1"/>
  <c r="I46" i="16"/>
  <c r="F52" i="16" s="1"/>
  <c r="N45" i="16"/>
  <c r="I33" i="16"/>
  <c r="J33" i="16"/>
  <c r="K33" i="16"/>
  <c r="G55" i="16" s="1"/>
  <c r="H33" i="16"/>
  <c r="D55" i="16" s="1"/>
  <c r="C44" i="15"/>
  <c r="E44" i="15"/>
  <c r="B44" i="15"/>
  <c r="B36" i="15"/>
  <c r="B20" i="13"/>
  <c r="G20" i="10"/>
  <c r="G21" i="10" s="1"/>
  <c r="F20" i="10"/>
  <c r="F21" i="10" s="1"/>
  <c r="E20" i="10"/>
  <c r="E21" i="10" s="1"/>
  <c r="D20" i="10"/>
  <c r="D21" i="10" s="1"/>
  <c r="H21" i="10"/>
  <c r="E18" i="7"/>
  <c r="G18" i="7" s="1"/>
  <c r="E17" i="7"/>
  <c r="G17" i="7" s="1"/>
  <c r="E19" i="7"/>
  <c r="G19" i="7" s="1"/>
  <c r="E20" i="7"/>
  <c r="G20" i="7" s="1"/>
  <c r="C41" i="2"/>
  <c r="C40" i="2"/>
  <c r="C39" i="2" s="1"/>
  <c r="B41" i="2"/>
  <c r="B39" i="2" s="1"/>
  <c r="B19" i="2"/>
  <c r="C19" i="2"/>
  <c r="D17" i="1"/>
  <c r="D25" i="1" s="1"/>
  <c r="D24" i="1" s="1"/>
  <c r="B133" i="24" l="1"/>
  <c r="B219" i="24"/>
  <c r="C29" i="24"/>
  <c r="E29" i="24" s="1"/>
  <c r="C28" i="24"/>
  <c r="C32" i="24" s="1"/>
  <c r="C33" i="24" s="1"/>
  <c r="D34" i="24" s="1"/>
  <c r="D35" i="24" s="1"/>
  <c r="D37" i="24" s="1"/>
  <c r="D70" i="24"/>
  <c r="D27" i="24"/>
  <c r="E124" i="24"/>
  <c r="D69" i="24"/>
  <c r="D60" i="24"/>
  <c r="C61" i="24"/>
  <c r="C62" i="24"/>
  <c r="B27" i="24"/>
  <c r="B40" i="24"/>
  <c r="D41" i="24"/>
  <c r="D49" i="24" s="1"/>
  <c r="B32" i="24"/>
  <c r="E27" i="19"/>
  <c r="E30" i="19" s="1"/>
  <c r="F53" i="21"/>
  <c r="E36" i="21" s="1"/>
  <c r="H53" i="21"/>
  <c r="D74" i="21"/>
  <c r="D75" i="21" s="1"/>
  <c r="C94" i="21" s="1"/>
  <c r="C95" i="21" s="1"/>
  <c r="G34" i="11"/>
  <c r="B32" i="22"/>
  <c r="C24" i="22" s="1"/>
  <c r="C26" i="22" s="1"/>
  <c r="C32" i="22" s="1"/>
  <c r="D24" i="22" s="1"/>
  <c r="D26" i="22" s="1"/>
  <c r="D32" i="22" s="1"/>
  <c r="G24" i="14"/>
  <c r="G27" i="14" s="1"/>
  <c r="G29" i="14" s="1"/>
  <c r="B33" i="14"/>
  <c r="B44" i="21"/>
  <c r="C35" i="21" s="1"/>
  <c r="C37" i="21" s="1"/>
  <c r="E53" i="21"/>
  <c r="D36" i="21" s="1"/>
  <c r="D62" i="21"/>
  <c r="C39" i="21" s="1"/>
  <c r="C43" i="21" s="1"/>
  <c r="C44" i="21" s="1"/>
  <c r="D35" i="21" s="1"/>
  <c r="D37" i="21" s="1"/>
  <c r="D44" i="21" s="1"/>
  <c r="E35" i="21" s="1"/>
  <c r="E37" i="21" s="1"/>
  <c r="E44" i="21" s="1"/>
  <c r="D62" i="19"/>
  <c r="D64" i="19" s="1"/>
  <c r="F40" i="19"/>
  <c r="E24" i="19" s="1"/>
  <c r="D49" i="19"/>
  <c r="C27" i="19" s="1"/>
  <c r="C30" i="19" s="1"/>
  <c r="D40" i="19"/>
  <c r="C24" i="19" s="1"/>
  <c r="C25" i="19" s="1"/>
  <c r="E40" i="19"/>
  <c r="D24" i="19" s="1"/>
  <c r="F68" i="18"/>
  <c r="F77" i="18" s="1"/>
  <c r="G66" i="18" s="1"/>
  <c r="G68" i="18" s="1"/>
  <c r="G77" i="18" s="1"/>
  <c r="D61" i="16"/>
  <c r="C55" i="16"/>
  <c r="G61" i="16"/>
  <c r="F55" i="16"/>
  <c r="F61" i="16"/>
  <c r="E55" i="16"/>
  <c r="C61" i="16"/>
  <c r="B55" i="16"/>
  <c r="B61" i="16" s="1"/>
  <c r="B62" i="16" s="1"/>
  <c r="C51" i="16" s="1"/>
  <c r="C53" i="16" s="1"/>
  <c r="C62" i="16" s="1"/>
  <c r="D51" i="16" s="1"/>
  <c r="D53" i="16" s="1"/>
  <c r="D62" i="16" s="1"/>
  <c r="E51" i="16" s="1"/>
  <c r="E53" i="16" s="1"/>
  <c r="E62" i="16" s="1"/>
  <c r="F51" i="16" s="1"/>
  <c r="F53" i="16" s="1"/>
  <c r="F62" i="16" s="1"/>
  <c r="G51" i="16" s="1"/>
  <c r="G53" i="16" s="1"/>
  <c r="G62" i="16" s="1"/>
  <c r="C6" i="17" s="1"/>
  <c r="C11" i="17" s="1"/>
  <c r="E61" i="16"/>
  <c r="B45" i="15"/>
  <c r="C34" i="15" s="1"/>
  <c r="C36" i="15" s="1"/>
  <c r="C45" i="15" s="1"/>
  <c r="D34" i="15" s="1"/>
  <c r="D36" i="15" s="1"/>
  <c r="D45" i="15" s="1"/>
  <c r="E34" i="15" s="1"/>
  <c r="E36" i="15" s="1"/>
  <c r="E45" i="15" s="1"/>
  <c r="F34" i="15" s="1"/>
  <c r="F36" i="15" s="1"/>
  <c r="F45" i="15" s="1"/>
  <c r="G34" i="15" s="1"/>
  <c r="G36" i="15" s="1"/>
  <c r="G45" i="15" s="1"/>
  <c r="C26" i="2"/>
  <c r="B27" i="2"/>
  <c r="B26" i="2" s="1"/>
  <c r="D133" i="24" l="1"/>
  <c r="B221" i="24"/>
  <c r="F222" i="24" s="1"/>
  <c r="D220" i="24"/>
  <c r="D222" i="24" s="1"/>
  <c r="C193" i="24" s="1"/>
  <c r="C27" i="24"/>
  <c r="C40" i="24"/>
  <c r="E40" i="24" s="1"/>
  <c r="E28" i="24"/>
  <c r="C70" i="24"/>
  <c r="E70" i="24" s="1"/>
  <c r="E62" i="24"/>
  <c r="D126" i="24" s="1"/>
  <c r="D127" i="24" s="1"/>
  <c r="C71" i="24"/>
  <c r="E71" i="24" s="1"/>
  <c r="C60" i="24"/>
  <c r="E60" i="24" s="1"/>
  <c r="E61" i="24"/>
  <c r="C126" i="24" s="1"/>
  <c r="B33" i="24"/>
  <c r="E32" i="24"/>
  <c r="E27" i="24"/>
  <c r="C41" i="24"/>
  <c r="B41" i="24"/>
  <c r="B43" i="24" s="1"/>
  <c r="D77" i="21"/>
  <c r="C98" i="21" s="1"/>
  <c r="C99" i="21" s="1"/>
  <c r="C100" i="21" s="1"/>
  <c r="E24" i="22"/>
  <c r="E26" i="22" s="1"/>
  <c r="E32" i="22" s="1"/>
  <c r="B71" i="22"/>
  <c r="B76" i="22" s="1"/>
  <c r="F35" i="21"/>
  <c r="F37" i="21" s="1"/>
  <c r="F44" i="21" s="1"/>
  <c r="C83" i="21"/>
  <c r="C88" i="21" s="1"/>
  <c r="C31" i="19"/>
  <c r="D23" i="19" s="1"/>
  <c r="D25" i="19" s="1"/>
  <c r="D31" i="19" s="1"/>
  <c r="E23" i="19" s="1"/>
  <c r="E25" i="19" s="1"/>
  <c r="E31" i="19" s="1"/>
  <c r="D42" i="24" l="1"/>
  <c r="D50" i="24" s="1"/>
  <c r="C49" i="24"/>
  <c r="E41" i="24"/>
  <c r="B49" i="24"/>
  <c r="E126" i="24"/>
  <c r="C127" i="24"/>
  <c r="C69" i="24"/>
  <c r="B220" i="24" s="1"/>
  <c r="C42" i="24"/>
  <c r="E33" i="24"/>
  <c r="C34" i="24"/>
  <c r="B35" i="24"/>
  <c r="B45" i="24"/>
  <c r="E42" i="24"/>
  <c r="D43" i="24"/>
  <c r="D45" i="24" s="1"/>
  <c r="D51" i="24" s="1"/>
  <c r="E221" i="24" l="1"/>
  <c r="E222" i="24" s="1"/>
  <c r="D193" i="24" s="1"/>
  <c r="B222" i="24"/>
  <c r="E49" i="24"/>
  <c r="D48" i="24"/>
  <c r="D132" i="24" s="1"/>
  <c r="B213" i="24"/>
  <c r="B134" i="24"/>
  <c r="D134" i="24"/>
  <c r="C134" i="24"/>
  <c r="E69" i="24"/>
  <c r="C133" i="24"/>
  <c r="E133" i="24" s="1"/>
  <c r="C43" i="24"/>
  <c r="C45" i="24" s="1"/>
  <c r="E45" i="24" s="1"/>
  <c r="C50" i="24"/>
  <c r="E50" i="24" s="1"/>
  <c r="B37" i="24"/>
  <c r="B51" i="24" s="1"/>
  <c r="E34" i="24"/>
  <c r="C35" i="24"/>
  <c r="C37" i="24" s="1"/>
  <c r="D135" i="24" l="1"/>
  <c r="D137" i="24" s="1"/>
  <c r="D143" i="24" s="1"/>
  <c r="D144" i="24" s="1"/>
  <c r="E175" i="24" s="1"/>
  <c r="E176" i="24" s="1"/>
  <c r="E179" i="24" s="1"/>
  <c r="E180" i="24" s="1"/>
  <c r="E181" i="24" s="1"/>
  <c r="E182" i="24" s="1"/>
  <c r="F213" i="24"/>
  <c r="E213" i="24"/>
  <c r="B48" i="24"/>
  <c r="B211" i="24"/>
  <c r="E43" i="24"/>
  <c r="E134" i="24"/>
  <c r="E35" i="24"/>
  <c r="E37" i="24"/>
  <c r="C51" i="24"/>
  <c r="B212" i="24" s="1"/>
  <c r="D212" i="24" l="1"/>
  <c r="E212" i="24"/>
  <c r="E214" i="24" s="1"/>
  <c r="D192" i="24" s="1"/>
  <c r="D211" i="24"/>
  <c r="C211" i="24"/>
  <c r="F214" i="24"/>
  <c r="B214" i="24"/>
  <c r="C214" i="24"/>
  <c r="B192" i="24" s="1"/>
  <c r="B132" i="24"/>
  <c r="B135" i="24" s="1"/>
  <c r="B137" i="24" s="1"/>
  <c r="B143" i="24" s="1"/>
  <c r="B144" i="24" s="1"/>
  <c r="C175" i="24" s="1"/>
  <c r="E51" i="24"/>
  <c r="C48" i="24"/>
  <c r="C132" i="24" s="1"/>
  <c r="D214" i="24" l="1"/>
  <c r="C192" i="24" s="1"/>
  <c r="E48" i="24"/>
  <c r="C176" i="24"/>
  <c r="C135" i="24"/>
  <c r="E132" i="24"/>
  <c r="C179" i="24" l="1"/>
  <c r="E135" i="24"/>
  <c r="C137" i="24"/>
  <c r="C180" i="24" l="1"/>
  <c r="E137" i="24"/>
  <c r="C143" i="24"/>
  <c r="C181" i="24" l="1"/>
  <c r="C144" i="24"/>
  <c r="E143" i="24"/>
  <c r="E144" i="24" l="1"/>
  <c r="D175" i="24"/>
  <c r="C182" i="24"/>
  <c r="D176" i="24" l="1"/>
  <c r="F175" i="24"/>
  <c r="D179" i="24" l="1"/>
  <c r="F176" i="24"/>
  <c r="D180" i="24" l="1"/>
  <c r="F179" i="24"/>
  <c r="D181" i="24" l="1"/>
  <c r="F181" i="24" s="1"/>
  <c r="F180" i="24"/>
  <c r="D182" i="24" l="1"/>
  <c r="F182" i="24" s="1"/>
  <c r="B187" i="24"/>
  <c r="B190" i="24" s="1"/>
  <c r="B199" i="24" s="1"/>
  <c r="C187" i="24" s="1"/>
  <c r="C190" i="24" s="1"/>
  <c r="C199" i="24" s="1"/>
  <c r="D187" i="24" s="1"/>
  <c r="D190" i="24" s="1"/>
  <c r="D199" i="24" s="1"/>
  <c r="B247" i="24" s="1"/>
  <c r="B229" i="24"/>
  <c r="B239" i="24" s="1"/>
</calcChain>
</file>

<file path=xl/sharedStrings.xml><?xml version="1.0" encoding="utf-8"?>
<sst xmlns="http://schemas.openxmlformats.org/spreadsheetml/2006/main" count="1553" uniqueCount="487">
  <si>
    <t>EJERCICIO 1</t>
  </si>
  <si>
    <t>Producto</t>
  </si>
  <si>
    <t>Ventas estimadas</t>
  </si>
  <si>
    <t>Región (participación)</t>
  </si>
  <si>
    <t>Norte</t>
  </si>
  <si>
    <t>Sur</t>
  </si>
  <si>
    <t>Región (precio de vta)</t>
  </si>
  <si>
    <t>A</t>
  </si>
  <si>
    <t>B</t>
  </si>
  <si>
    <t>C</t>
  </si>
  <si>
    <t>Realizar el presupuesto de ventas</t>
  </si>
  <si>
    <t>PRODUCTO A</t>
  </si>
  <si>
    <t>Unidades</t>
  </si>
  <si>
    <t>Región Norte</t>
  </si>
  <si>
    <t>Región Sur</t>
  </si>
  <si>
    <t>Precio de venta</t>
  </si>
  <si>
    <t>Importes</t>
  </si>
  <si>
    <t>PRODUCTO B</t>
  </si>
  <si>
    <t>PRODUCTO C</t>
  </si>
  <si>
    <t>EJERCICIO 2</t>
  </si>
  <si>
    <t>Participación distribuidores</t>
  </si>
  <si>
    <t>Distribuidores (precio de vta)</t>
  </si>
  <si>
    <t>Precio de venta C.F</t>
  </si>
  <si>
    <t>Precio de venta DIST.</t>
  </si>
  <si>
    <t>Importes (C.F)</t>
  </si>
  <si>
    <t>Importes (DIST)</t>
  </si>
  <si>
    <t>Consumidores finales</t>
  </si>
  <si>
    <t>Distribuidores</t>
  </si>
  <si>
    <t>EJERCICIO 3</t>
  </si>
  <si>
    <t>PRODUCTO</t>
  </si>
  <si>
    <t>Crecimiento anual de volumen de ventas</t>
  </si>
  <si>
    <t>Vol. Ventas año anterior</t>
  </si>
  <si>
    <t>Inv. Inicial</t>
  </si>
  <si>
    <t>Inv final</t>
  </si>
  <si>
    <t>Inv final (*)</t>
  </si>
  <si>
    <t>* Sobre las ventas pronosticadas del próximo año</t>
  </si>
  <si>
    <t xml:space="preserve">Ventas </t>
  </si>
  <si>
    <t>Volumen de ventas</t>
  </si>
  <si>
    <t>Inventario final</t>
  </si>
  <si>
    <t>Inventario inicial</t>
  </si>
  <si>
    <t>Producción requerida</t>
  </si>
  <si>
    <t>OK</t>
  </si>
  <si>
    <t>Total región norte</t>
  </si>
  <si>
    <t>Total región sur</t>
  </si>
  <si>
    <t>Total</t>
  </si>
  <si>
    <t>EJERCICIO 4</t>
  </si>
  <si>
    <t>1,5</t>
  </si>
  <si>
    <t>Inv final (*) m</t>
  </si>
  <si>
    <t>* meses de venta promedio del proximo año</t>
  </si>
  <si>
    <t>Ventas promedios mensuales</t>
  </si>
  <si>
    <t>EJERCICIO 5</t>
  </si>
  <si>
    <t>* Sobre las ventas pronosticadas del proximo año</t>
  </si>
  <si>
    <t>Ventas</t>
  </si>
  <si>
    <t>Inv inicial</t>
  </si>
  <si>
    <t>EJERCICIO 6</t>
  </si>
  <si>
    <t xml:space="preserve">Producto </t>
  </si>
  <si>
    <t>Crec. Anual de Vol. de vtas.</t>
  </si>
  <si>
    <t>Vol. Vtas. año ant.</t>
  </si>
  <si>
    <t>Costo de adquisición</t>
  </si>
  <si>
    <t>D</t>
  </si>
  <si>
    <t>Inv. Final (*)</t>
  </si>
  <si>
    <t>Costo total</t>
  </si>
  <si>
    <t>EJERCICIO 7</t>
  </si>
  <si>
    <t>Rotación</t>
  </si>
  <si>
    <t>EJERCICIO 8</t>
  </si>
  <si>
    <t>Producción prevista</t>
  </si>
  <si>
    <t>Insumos utilizados (estandar x unidad a producir)</t>
  </si>
  <si>
    <t>Costo unitario</t>
  </si>
  <si>
    <t>Costo por producto</t>
  </si>
  <si>
    <t>EJERCICIO 9</t>
  </si>
  <si>
    <t>Consumos promedio</t>
  </si>
  <si>
    <t>MP</t>
  </si>
  <si>
    <t>Consumos total</t>
  </si>
  <si>
    <t>MP a comprar</t>
  </si>
  <si>
    <t>Presupuesto</t>
  </si>
  <si>
    <t>EJERCICIO 10</t>
  </si>
  <si>
    <t>Etapa 1</t>
  </si>
  <si>
    <t>Etapa 2</t>
  </si>
  <si>
    <t>Etapa 3</t>
  </si>
  <si>
    <t>Etapa 4</t>
  </si>
  <si>
    <t>Etapa 5</t>
  </si>
  <si>
    <t>Leche</t>
  </si>
  <si>
    <t>Queso</t>
  </si>
  <si>
    <t>Crema</t>
  </si>
  <si>
    <t>Costo por hr MOD</t>
  </si>
  <si>
    <t>Producción anual (KG)</t>
  </si>
  <si>
    <t>Tiempos (horas cada 1000 unidades producidas)</t>
  </si>
  <si>
    <t>Costo hs</t>
  </si>
  <si>
    <t>Cantidad a producir</t>
  </si>
  <si>
    <t>Total por producto</t>
  </si>
  <si>
    <t>PRODUCCIÓN</t>
  </si>
  <si>
    <t>Presupuesto CIF</t>
  </si>
  <si>
    <t>Base de actividad</t>
  </si>
  <si>
    <t>Std HM A</t>
  </si>
  <si>
    <t>Std HM B</t>
  </si>
  <si>
    <t>Empleados</t>
  </si>
  <si>
    <t>Dpto. Prod 1</t>
  </si>
  <si>
    <t>Dpto. Prod 2</t>
  </si>
  <si>
    <t>Dpto. Servicios Grales</t>
  </si>
  <si>
    <t>Dpto. De mantenimiento</t>
  </si>
  <si>
    <t>HM</t>
  </si>
  <si>
    <t># emp</t>
  </si>
  <si>
    <t>Hs de mant</t>
  </si>
  <si>
    <t>Costos Dptos Directos</t>
  </si>
  <si>
    <t>Ref</t>
  </si>
  <si>
    <t>Asignaciones</t>
  </si>
  <si>
    <t>Generales</t>
  </si>
  <si>
    <t>Hs mantenimiento</t>
  </si>
  <si>
    <t>Mantenimiento</t>
  </si>
  <si>
    <t>Proyección ventas anuales</t>
  </si>
  <si>
    <t>Inv. Inicial PT</t>
  </si>
  <si>
    <t>Inv. Final PT</t>
  </si>
  <si>
    <t>Stock inicial MP</t>
  </si>
  <si>
    <t>kg</t>
  </si>
  <si>
    <t>Stock final MP</t>
  </si>
  <si>
    <t>Ventas distribuidores</t>
  </si>
  <si>
    <t>Ventas clientes finales</t>
  </si>
  <si>
    <t>Costo std. Producto</t>
  </si>
  <si>
    <t>Costo de mp</t>
  </si>
  <si>
    <t>el kg</t>
  </si>
  <si>
    <t>MP por producto</t>
  </si>
  <si>
    <t>unidades</t>
  </si>
  <si>
    <t>Precio de vta Dist</t>
  </si>
  <si>
    <t>Precio de vta clientes f</t>
  </si>
  <si>
    <t>por unidad</t>
  </si>
  <si>
    <t>unidad</t>
  </si>
  <si>
    <t>Gastos com y admin</t>
  </si>
  <si>
    <t>PRESUPUESTO DE VENTAS</t>
  </si>
  <si>
    <t>Clientes Finales</t>
  </si>
  <si>
    <t>PRESUPUESTO DE PRODUCCIÓN</t>
  </si>
  <si>
    <t>PRESUPUESTO DE COMPRA DE MP</t>
  </si>
  <si>
    <t>MP requerida</t>
  </si>
  <si>
    <t>Stock final</t>
  </si>
  <si>
    <t>Stock inicial</t>
  </si>
  <si>
    <t>Compra de MP</t>
  </si>
  <si>
    <t>Presupuesto compra MP</t>
  </si>
  <si>
    <t>PRESUPUESTO DE MOD</t>
  </si>
  <si>
    <t>UTILIDAD BRUTA PROYECTADA</t>
  </si>
  <si>
    <t>Utilidad bruta = ventas - costo de la mercadería vendida</t>
  </si>
  <si>
    <t>CMV</t>
  </si>
  <si>
    <t>Utilidad bruta</t>
  </si>
  <si>
    <t>Consumo std. MP</t>
  </si>
  <si>
    <t>kg/unidad</t>
  </si>
  <si>
    <t>Costo MP</t>
  </si>
  <si>
    <t>Stock MP inicial</t>
  </si>
  <si>
    <t>Stock MP final</t>
  </si>
  <si>
    <t>Utilidad Bruta</t>
  </si>
  <si>
    <t>Precio de vta PT</t>
  </si>
  <si>
    <t>Unidades Vendidas</t>
  </si>
  <si>
    <t>Precio</t>
  </si>
  <si>
    <t>Unidades vendidas</t>
  </si>
  <si>
    <t>Inv. Final</t>
  </si>
  <si>
    <t>Como no hay turnos ni hs de MOD, uso el cuadro que sale del H.</t>
  </si>
  <si>
    <t>Costo de MP</t>
  </si>
  <si>
    <t>Costo de MOD</t>
  </si>
  <si>
    <t>Costo CIF</t>
  </si>
  <si>
    <t>Costo de producción</t>
  </si>
  <si>
    <t>CMV = Costo total producción +Inv final PT- Inv. Inicial PT</t>
  </si>
  <si>
    <t>CMV= Ventas - Utilidad bruta</t>
  </si>
  <si>
    <t>por producto</t>
  </si>
  <si>
    <t>Inv inicial PT</t>
  </si>
  <si>
    <t>10% producción requerida</t>
  </si>
  <si>
    <t>8% producción requerida</t>
  </si>
  <si>
    <t>Hs MOD</t>
  </si>
  <si>
    <t>hs/PT</t>
  </si>
  <si>
    <t>Tarifa MOD</t>
  </si>
  <si>
    <t>$/hs</t>
  </si>
  <si>
    <t>Precio MP</t>
  </si>
  <si>
    <t>GIF</t>
  </si>
  <si>
    <t>Inv final PT</t>
  </si>
  <si>
    <t>Producción requerida = ventas + inv final PT -Inventario inicial</t>
  </si>
  <si>
    <t>X= ventas +0,08*X-0,1*X</t>
  </si>
  <si>
    <t>Ventas= X - 0,08X+0,1X</t>
  </si>
  <si>
    <t>X</t>
  </si>
  <si>
    <t>PRESUPUESTO MOD</t>
  </si>
  <si>
    <t>Hs necesarias MOD</t>
  </si>
  <si>
    <t>Presupuesto MOD</t>
  </si>
  <si>
    <t>PRESUPUESTO COMPRA DE MP</t>
  </si>
  <si>
    <t>Costo MOD</t>
  </si>
  <si>
    <t>CIF</t>
  </si>
  <si>
    <t>CMV = Costo total de producción + Inv inicial de PT - Inv final de PT</t>
  </si>
  <si>
    <t>No tengo el $ del PT</t>
  </si>
  <si>
    <t>Costo unitario MOD</t>
  </si>
  <si>
    <t>Costo unitario de producción</t>
  </si>
  <si>
    <t>Ventas Reales</t>
  </si>
  <si>
    <t>Enero</t>
  </si>
  <si>
    <t>Febrero</t>
  </si>
  <si>
    <t>Ventas presupuestadas</t>
  </si>
  <si>
    <t>Marzo</t>
  </si>
  <si>
    <t>Abril</t>
  </si>
  <si>
    <t>Mayo</t>
  </si>
  <si>
    <t>Junio</t>
  </si>
  <si>
    <t>Julio</t>
  </si>
  <si>
    <t>Agosto</t>
  </si>
  <si>
    <t>Existencia de mcs por 30 días, compra con 1 mes de anticipación</t>
  </si>
  <si>
    <t>Cobranzas:</t>
  </si>
  <si>
    <t>Vende a crédito a 30 días</t>
  </si>
  <si>
    <t>Compra a crédito a 60 días</t>
  </si>
  <si>
    <t>Gastos mensuales</t>
  </si>
  <si>
    <t>Sueldos</t>
  </si>
  <si>
    <t>Alquileres</t>
  </si>
  <si>
    <t>Amortizaciones</t>
  </si>
  <si>
    <t>Servicios</t>
  </si>
  <si>
    <t>Seguros</t>
  </si>
  <si>
    <t>Comisiones a vendedores se pagan en el mes de la venta, 10% sobre ventas</t>
  </si>
  <si>
    <t>Saldo final de caja al 28 de feb es $10000</t>
  </si>
  <si>
    <t>Compro</t>
  </si>
  <si>
    <t>Vendo</t>
  </si>
  <si>
    <t>Pago a 60 días</t>
  </si>
  <si>
    <t>Cobro a 30 días</t>
  </si>
  <si>
    <t xml:space="preserve">Enero </t>
  </si>
  <si>
    <t xml:space="preserve">Marzo </t>
  </si>
  <si>
    <t>Septiembre</t>
  </si>
  <si>
    <t>Octubre</t>
  </si>
  <si>
    <t>Noviembre</t>
  </si>
  <si>
    <t>Diciembre</t>
  </si>
  <si>
    <t>ESTADO DE FLUJO DE EFECTIVO PROYECTADO</t>
  </si>
  <si>
    <t>Saldo de caja inicial</t>
  </si>
  <si>
    <t>Cobranzas a clientes</t>
  </si>
  <si>
    <t>Efectivo disponible</t>
  </si>
  <si>
    <t>Fuentes de salida</t>
  </si>
  <si>
    <t>Pagos</t>
  </si>
  <si>
    <t>Total salidas de efectivo</t>
  </si>
  <si>
    <t>SALDO DE CAJA FINAL</t>
  </si>
  <si>
    <t>Compro a</t>
  </si>
  <si>
    <t>Margen de utilidad del 100% sobre el costo: significa que si compre a $10, me salio $5</t>
  </si>
  <si>
    <t>Comisiones</t>
  </si>
  <si>
    <t>Compra MP</t>
  </si>
  <si>
    <t>Pago MP</t>
  </si>
  <si>
    <t>Tener en cuenta que se compra con 1 mes de anticipación, se paga a 60 días</t>
  </si>
  <si>
    <t>Al ser financiero NO SE TIENEN EN CUENTA LAS AMORTIZACIONES!</t>
  </si>
  <si>
    <t>Fuentes de entrada</t>
  </si>
  <si>
    <t>Utilidad neta del semestre</t>
  </si>
  <si>
    <t>Ventas reales</t>
  </si>
  <si>
    <t>Margen de utilidad del 160% sobre el costo</t>
  </si>
  <si>
    <t>Compra con 1 mes de anticipación</t>
  </si>
  <si>
    <t>Política de pago: 50% al contado y 50% a 60 días</t>
  </si>
  <si>
    <t>Politica de cobranzas: 40% al contado, 30% a 30 días y 30% a 60 días</t>
  </si>
  <si>
    <t>Comisiones a los vendedores en el mes de las ventas y son del 4% sobre las mismas</t>
  </si>
  <si>
    <t>Caja final al 31 de diciembre es $25.000</t>
  </si>
  <si>
    <t>Costo</t>
  </si>
  <si>
    <t>Ut. Bruta</t>
  </si>
  <si>
    <t>Utilidad neta</t>
  </si>
  <si>
    <t xml:space="preserve">Noviembre </t>
  </si>
  <si>
    <t>Compras</t>
  </si>
  <si>
    <t>Totales</t>
  </si>
  <si>
    <t>Cobros</t>
  </si>
  <si>
    <t>c</t>
  </si>
  <si>
    <t>Se compra con 1 mes de anticipación</t>
  </si>
  <si>
    <t>De acuerdo al siguiente balance al 31 de diciembre de la empresa analizada en el ejercicio anterior, realizar el balance proyectado al 30 de junio.</t>
  </si>
  <si>
    <t>BALANCE AL 31-12</t>
  </si>
  <si>
    <t>ACTIVO</t>
  </si>
  <si>
    <t>Caja</t>
  </si>
  <si>
    <t>Deudores por ventas</t>
  </si>
  <si>
    <t>Bienes de uso</t>
  </si>
  <si>
    <t>Amortización acumulada bienes de uso</t>
  </si>
  <si>
    <t>TOTAL ACTIVO</t>
  </si>
  <si>
    <t>PASIVO</t>
  </si>
  <si>
    <t>TOTAL PASIVO</t>
  </si>
  <si>
    <t>PATRIMONIO NETO</t>
  </si>
  <si>
    <t>Capital</t>
  </si>
  <si>
    <t>Resultados Acumulados</t>
  </si>
  <si>
    <t>TOTAL PN</t>
  </si>
  <si>
    <t>PASIVO + PN</t>
  </si>
  <si>
    <t>PASIVO Y PN</t>
  </si>
  <si>
    <t>Proveedores</t>
  </si>
  <si>
    <t>Mercaderías</t>
  </si>
  <si>
    <t>Al 31-12</t>
  </si>
  <si>
    <t>Al 31-06</t>
  </si>
  <si>
    <t>Minimo de caja de $4000 al finalizar cada mes del período presupuestado (marzo-agosto)</t>
  </si>
  <si>
    <t>En caso de estar por debajo se buscará financiamiento externo con TNA del 24% (intereses pagaderos a mes vencido)</t>
  </si>
  <si>
    <t>Con el Balance al 28 de febrero, presupuestar la caja del semestre, el R. eco del periodo y B. proyectado al 31-08</t>
  </si>
  <si>
    <t>Al 29-02</t>
  </si>
  <si>
    <t>ESTADO DE RESULTADOS PROYECTADO</t>
  </si>
  <si>
    <t>PRESUPUESTO DE CAJA MARZO - AGOSTO</t>
  </si>
  <si>
    <t>Paga MP a 60 días, se compra lo del mes siguiente</t>
  </si>
  <si>
    <t>Cobra ventas a 30 días</t>
  </si>
  <si>
    <t>En agosto el saldo es negativo, por lo que busco financiamiento externo</t>
  </si>
  <si>
    <t>El total en caja debe ser 4000, debo pedir plata</t>
  </si>
  <si>
    <t>La diferencia que necesito es de 3000 +4000, es decir 7000</t>
  </si>
  <si>
    <t>7000=X-X*0,24/12</t>
  </si>
  <si>
    <t>PRESTAMO</t>
  </si>
  <si>
    <t>Intereses Prestamo</t>
  </si>
  <si>
    <t>BALANCE PROYECTADO AL 31-08</t>
  </si>
  <si>
    <t>AL 31-08</t>
  </si>
  <si>
    <t>Prestamo</t>
  </si>
  <si>
    <t>Intereses prestamo</t>
  </si>
  <si>
    <t>Efectivo</t>
  </si>
  <si>
    <t xml:space="preserve">B.U </t>
  </si>
  <si>
    <t>Gastos admin</t>
  </si>
  <si>
    <t>Gastos comer</t>
  </si>
  <si>
    <t>Imp a las Gcias</t>
  </si>
  <si>
    <t>Ut. Bruta s/vtas</t>
  </si>
  <si>
    <t>Compra mercaderías con un mes de anticipación. La Mc de enero se compra excepcionalmente en enero</t>
  </si>
  <si>
    <t>Política de pago de Mcs: 60% contado y 40% a 30 días</t>
  </si>
  <si>
    <t>Política de cobranzas: 50% contado, 30% a 30 días y 20% a 60 días.</t>
  </si>
  <si>
    <t>PRESUPUESTO DE EFECTIVO</t>
  </si>
  <si>
    <t>Aporte de los socios en enero</t>
  </si>
  <si>
    <t>Ut bruta</t>
  </si>
  <si>
    <t>Ut bruta= Ventas - CMV</t>
  </si>
  <si>
    <t>CMV = Ventas - Ventas*Ut bruta</t>
  </si>
  <si>
    <t>Pagos de MP</t>
  </si>
  <si>
    <t>G. Admin</t>
  </si>
  <si>
    <t>G. Comer</t>
  </si>
  <si>
    <t>Saldo final al 31-03</t>
  </si>
  <si>
    <t>RESULTADO NETO PARA EL 1° TRIMESTRE</t>
  </si>
  <si>
    <t>G admin</t>
  </si>
  <si>
    <t>G comer</t>
  </si>
  <si>
    <t>Utilidad a/imp</t>
  </si>
  <si>
    <t>Impuestos</t>
  </si>
  <si>
    <t>SALDO DE CREDITOS POR VENTAS PROYECTADO AL 31 DE MARZO</t>
  </si>
  <si>
    <t>SALDO DE DEUDA CON PROVEEDORES AL 31 DE MARZO</t>
  </si>
  <si>
    <t>La empresa MNO terminó el año con la siguiente situación patrimonial</t>
  </si>
  <si>
    <t>Resultados acumulados</t>
  </si>
  <si>
    <t>Amort. B.U</t>
  </si>
  <si>
    <t>B.U</t>
  </si>
  <si>
    <t>Mcs</t>
  </si>
  <si>
    <t>Deudores x vtas</t>
  </si>
  <si>
    <t>G. comer</t>
  </si>
  <si>
    <t>Datos:</t>
  </si>
  <si>
    <t>Mg utilidad s/costo</t>
  </si>
  <si>
    <t>Inventarios</t>
  </si>
  <si>
    <t>30 días</t>
  </si>
  <si>
    <t>Política de cobros: contado 40%, 30% a 30 días y 30% a 60 días</t>
  </si>
  <si>
    <t>Política de pagos: contado 70%, 30% a 60 días.</t>
  </si>
  <si>
    <t>El saldo de créditos por ventas al 31-12 se estima cobrar en febrero su totalidad</t>
  </si>
  <si>
    <t>El saldo total de deuda con proveedores al 31-12 se estima pagar en marzo</t>
  </si>
  <si>
    <t>Los gastos se pagan en el mes de devengamiento</t>
  </si>
  <si>
    <t>Comisiones vendedor</t>
  </si>
  <si>
    <t>Se pagan al mes siguiente de la venta</t>
  </si>
  <si>
    <t>Impuesto a las G.</t>
  </si>
  <si>
    <t>Determinar el balance proyectado al 30 de abril</t>
  </si>
  <si>
    <t>PRESUPUESTO DE EFECTIVO PROYECTADO</t>
  </si>
  <si>
    <t>Utilidad neta del cuatrimestre</t>
  </si>
  <si>
    <t>Ut a/IIGG</t>
  </si>
  <si>
    <t>IIGG</t>
  </si>
  <si>
    <t>BALANCE PROYECTADO AL 31-04</t>
  </si>
  <si>
    <t>AL 31-04</t>
  </si>
  <si>
    <t>Comisiones a pagar</t>
  </si>
  <si>
    <t>IIGG a pagar</t>
  </si>
  <si>
    <t>Tengo un error en alguna parte del activo</t>
  </si>
  <si>
    <t>Costo unitario GIF</t>
  </si>
  <si>
    <t>Costo unitario MP</t>
  </si>
  <si>
    <t>MP para 1 unidad</t>
  </si>
  <si>
    <t>5$/kg</t>
  </si>
  <si>
    <t>45 $</t>
  </si>
  <si>
    <t>[kg]</t>
  </si>
  <si>
    <t>Aporte socios en enero</t>
  </si>
  <si>
    <t>BU</t>
  </si>
  <si>
    <t>Compra de Mcs con 1 mes de anticipación. La mercadería en enero se compra ese mismo mes excepción.</t>
  </si>
  <si>
    <t>Política de cobranzas: 30% contado y 70% a 30 días</t>
  </si>
  <si>
    <t>Política de pago de mcs: 40% al contado y 60% a 60 días</t>
  </si>
  <si>
    <t>IIGG devengado</t>
  </si>
  <si>
    <t>Si el saldo de caja supera los $2.000.000 los excedentes se depositan a PF</t>
  </si>
  <si>
    <t>TNA</t>
  </si>
  <si>
    <t>Determinar el balance proyectado al 31 de marzo</t>
  </si>
  <si>
    <t>Créditos al 31-03</t>
  </si>
  <si>
    <t>Mcs al 31-03</t>
  </si>
  <si>
    <t>Provs al 31-03</t>
  </si>
  <si>
    <t>Utilidad neta del trimestre</t>
  </si>
  <si>
    <t>BALANCE PROYECTADO AL 31-03</t>
  </si>
  <si>
    <t>Cordoba</t>
  </si>
  <si>
    <t>Bs As</t>
  </si>
  <si>
    <t>Precio de Vta</t>
  </si>
  <si>
    <t>Inv final (PT)</t>
  </si>
  <si>
    <t>Inv inicial (PT)</t>
  </si>
  <si>
    <t>MP A</t>
  </si>
  <si>
    <t>MP B</t>
  </si>
  <si>
    <t>PT</t>
  </si>
  <si>
    <t>Inv inicial MP</t>
  </si>
  <si>
    <t>Inv final MP</t>
  </si>
  <si>
    <t>Depto 1</t>
  </si>
  <si>
    <t>Depto 2</t>
  </si>
  <si>
    <t>Hs MOD/PT</t>
  </si>
  <si>
    <t>$/hr</t>
  </si>
  <si>
    <t xml:space="preserve">Gastos generales </t>
  </si>
  <si>
    <t>Mensual</t>
  </si>
  <si>
    <t>Se distribuye según m2</t>
  </si>
  <si>
    <t>CIF mensual</t>
  </si>
  <si>
    <t>Amort CIF</t>
  </si>
  <si>
    <t>Producción</t>
  </si>
  <si>
    <t>Comer</t>
  </si>
  <si>
    <t>Admin</t>
  </si>
  <si>
    <t>m2</t>
  </si>
  <si>
    <t>Amort G. Comer</t>
  </si>
  <si>
    <t>Amort. G.G</t>
  </si>
  <si>
    <t>Amort. G.Adm</t>
  </si>
  <si>
    <t>Política de cobranzas: 50% contado, 25% a 30 días y 25% a 60 días. El saldo anterior de créditos se prevé cobrar en enero</t>
  </si>
  <si>
    <t>Política de pago de MP: 80% al conatdo y 20% a 30 días. El saldo anterior de proveedores se prevé pagar en enero</t>
  </si>
  <si>
    <t>Los sueldos de MOD se pagan a mes vencido. Los gastos en su mes de devengamiento.</t>
  </si>
  <si>
    <t>Durante el trimestre el único pago a realizar por IMPUESTOS es de $150.000 en febrero</t>
  </si>
  <si>
    <t>Activo corriente</t>
  </si>
  <si>
    <t>Activo no corriente</t>
  </si>
  <si>
    <t>Pasivo corriente</t>
  </si>
  <si>
    <t>Pasivo no corriente</t>
  </si>
  <si>
    <t>TOTAL PASIVO + PN</t>
  </si>
  <si>
    <t>Créditos por ventas</t>
  </si>
  <si>
    <t>Inventario MP</t>
  </si>
  <si>
    <t>Inventario PT</t>
  </si>
  <si>
    <t>Otros</t>
  </si>
  <si>
    <t>Propiedad, planta, equipo</t>
  </si>
  <si>
    <t>Depreciación acum.</t>
  </si>
  <si>
    <t>Sueldos a pagar</t>
  </si>
  <si>
    <t>Docs a pagar</t>
  </si>
  <si>
    <t>Capital social</t>
  </si>
  <si>
    <t>Utilidades ret.</t>
  </si>
  <si>
    <t>Ventas Bs As</t>
  </si>
  <si>
    <t>Ventas Cba</t>
  </si>
  <si>
    <t>Ventas Bs. As</t>
  </si>
  <si>
    <t>Total ventas</t>
  </si>
  <si>
    <t>MP requerida A</t>
  </si>
  <si>
    <t>MATERIA PRIMA A</t>
  </si>
  <si>
    <t>MATERIA PRIMA B</t>
  </si>
  <si>
    <t>Deudores por ventas al 31/3</t>
  </si>
  <si>
    <t>Proveedores al 31/3</t>
  </si>
  <si>
    <t>Mercaderías al 31/3</t>
  </si>
  <si>
    <t>Total HM A</t>
  </si>
  <si>
    <t>Total HM B</t>
  </si>
  <si>
    <t>Total Hr.
Maquina</t>
  </si>
  <si>
    <t>CUOTA CIF por HM</t>
  </si>
  <si>
    <t>HM deptos</t>
  </si>
  <si>
    <t>Std HM</t>
  </si>
  <si>
    <t>CIF POR PRODUCTO</t>
  </si>
  <si>
    <t>Ventas Cordoba</t>
  </si>
  <si>
    <t>Ventas totales</t>
  </si>
  <si>
    <t>Cba</t>
  </si>
  <si>
    <t>PROGRAMA DE PRODUCCIÓN</t>
  </si>
  <si>
    <t>Inventario Final</t>
  </si>
  <si>
    <t>Producción req.</t>
  </si>
  <si>
    <t>PRESUPUESTO DE MATERIAS PRIMAS</t>
  </si>
  <si>
    <t>Material A</t>
  </si>
  <si>
    <t>Material B</t>
  </si>
  <si>
    <t>MP Requerida</t>
  </si>
  <si>
    <t>Compras MP</t>
  </si>
  <si>
    <t>Inv Final</t>
  </si>
  <si>
    <t>Unidades a prod</t>
  </si>
  <si>
    <t>HH necesarias</t>
  </si>
  <si>
    <t>Costo por HH</t>
  </si>
  <si>
    <t>PRESUPUESTO DE GASTOS COMUNES</t>
  </si>
  <si>
    <t>Gastos comunes</t>
  </si>
  <si>
    <t>Asignación por m2</t>
  </si>
  <si>
    <t>Producción (250m2)</t>
  </si>
  <si>
    <t>Comer (100m2)</t>
  </si>
  <si>
    <t>Admin (150m2)</t>
  </si>
  <si>
    <t>Total m2</t>
  </si>
  <si>
    <t>Erogable</t>
  </si>
  <si>
    <t>Erogable (sin amort)</t>
  </si>
  <si>
    <t>PRESUPUESTO CIF</t>
  </si>
  <si>
    <t>Servicios generales</t>
  </si>
  <si>
    <t>Total deptos</t>
  </si>
  <si>
    <t>Total CIF</t>
  </si>
  <si>
    <t>Total gastos comunes</t>
  </si>
  <si>
    <t>DETERMINACIÓN CUOTA DE CIF</t>
  </si>
  <si>
    <t>Depto producción</t>
  </si>
  <si>
    <t>Gastos deptos</t>
  </si>
  <si>
    <t xml:space="preserve">Asignación </t>
  </si>
  <si>
    <t>HH MOD</t>
  </si>
  <si>
    <t>Cuota CIF por HH</t>
  </si>
  <si>
    <t>PRESUPUESTO DE COSTOS</t>
  </si>
  <si>
    <t>Unidades de producción</t>
  </si>
  <si>
    <t>Costo unitario PT</t>
  </si>
  <si>
    <t>Costo de la mercadería vendida</t>
  </si>
  <si>
    <t>Unidades de venta</t>
  </si>
  <si>
    <t>Costo unitario pt</t>
  </si>
  <si>
    <t>PRESUPUESTO GASTOS DE COMERCIALIZACIÓN</t>
  </si>
  <si>
    <t>Gastos de comer.</t>
  </si>
  <si>
    <t>Asignación G. Comunes</t>
  </si>
  <si>
    <t>Total G. Comercialización</t>
  </si>
  <si>
    <t>PRESUPUESTO GASTOS DE ADMINISTRACIÓN</t>
  </si>
  <si>
    <t>Gastos de admin</t>
  </si>
  <si>
    <t>Total G. Administración</t>
  </si>
  <si>
    <t>Utilidad operativa</t>
  </si>
  <si>
    <t>Utilidad antes de impuestos</t>
  </si>
  <si>
    <t>Impuesto a la renta</t>
  </si>
  <si>
    <t>Mano de obra</t>
  </si>
  <si>
    <t>Pagos x compra MP</t>
  </si>
  <si>
    <t>Gastos indirectos de fab.</t>
  </si>
  <si>
    <t>G. Administración</t>
  </si>
  <si>
    <t>G. Comercialización</t>
  </si>
  <si>
    <r>
      <t xml:space="preserve">Politica de cobranzas: </t>
    </r>
    <r>
      <rPr>
        <sz val="11"/>
        <color theme="1"/>
        <rFont val="Calibri"/>
        <family val="2"/>
        <scheme val="minor"/>
      </rPr>
      <t>50% contado, 25% a 30 días y 25% a 60 días. El saldo anterior de CxV se prevé cobrar en Enero</t>
    </r>
  </si>
  <si>
    <r>
      <t xml:space="preserve">Política de pago de MP: </t>
    </r>
    <r>
      <rPr>
        <sz val="11"/>
        <color theme="1"/>
        <rFont val="Calibri"/>
        <family val="2"/>
        <scheme val="minor"/>
      </rPr>
      <t>80% contado y 20% a 30 días. El saldo anterior de proveedores se prevé pagar en Enero</t>
    </r>
  </si>
  <si>
    <t>Pago de sueldos: a mes vencido. Saldo anterior en enero</t>
  </si>
  <si>
    <t>SUELDOS X PAGAR</t>
  </si>
  <si>
    <t>Total CIF erogable</t>
  </si>
  <si>
    <t>BALANCE AL 31-03</t>
  </si>
  <si>
    <t>Proveedores al 31-03</t>
  </si>
  <si>
    <t>Mercaderías al 31-03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</si>
</sst>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8" formatCode="&quot;$&quot;#,##0.00;[Red]\-&quot;$&quot;#,##0.00"/>
    <numFmt numFmtId="44" formatCode="_-&quot;$&quot;* #,##0.00_-;\-&quot;$&quot;* #,##0.00_-;_-&quot;$&quot;* &quot;-&quot;??_-;_-@_-"/>
    <numFmt numFmtId="164" formatCode="_-&quot;$&quot;\ * #,##0.00_-;\-&quot;$&quot;\ * #,##0.00_-;_-&quot;$&quot;\ * &quot;-&quot;??_-;_-@"/>
    <numFmt numFmtId="165" formatCode="0.0"/>
    <numFmt numFmtId="166" formatCode="_-[$$-80A]* #,##0.00_-;\-[$$-80A]* #,##0.00_-;_-[$$-80A]*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b/>
      <sz val="11"/>
      <name val="Calibri"/>
      <family val="2"/>
    </font>
    <font>
      <sz val="8"/>
      <name val="Calibri"/>
      <family val="2"/>
      <scheme val="minor"/>
    </font>
    <font>
      <sz val="11"/>
      <color rgb="FFFF0000"/>
      <name val="Calibri"/>
      <family val="2"/>
      <scheme val="minor"/>
    </font>
    <font>
      <b/>
      <u/>
      <sz val="11"/>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2">
    <xf numFmtId="0" fontId="0" fillId="0" borderId="0" xfId="0"/>
    <xf numFmtId="0" fontId="2" fillId="0" borderId="0" xfId="0" applyFont="1"/>
    <xf numFmtId="0" fontId="0" fillId="0" borderId="1" xfId="0" applyBorder="1"/>
    <xf numFmtId="44" fontId="0" fillId="0" borderId="1" xfId="1" applyFont="1" applyBorder="1" applyAlignment="1">
      <alignment horizontal="center"/>
    </xf>
    <xf numFmtId="9" fontId="0" fillId="0" borderId="1" xfId="2" applyFont="1" applyBorder="1" applyAlignment="1"/>
    <xf numFmtId="44" fontId="0" fillId="0" borderId="1" xfId="1" applyFont="1" applyBorder="1" applyAlignment="1"/>
    <xf numFmtId="0" fontId="0" fillId="0" borderId="1" xfId="0" applyBorder="1" applyAlignment="1">
      <alignment horizontal="center"/>
    </xf>
    <xf numFmtId="9" fontId="0" fillId="0" borderId="1" xfId="2" applyFont="1" applyBorder="1" applyAlignment="1">
      <alignment horizontal="center"/>
    </xf>
    <xf numFmtId="0" fontId="2" fillId="0" borderId="1" xfId="0" applyFont="1" applyBorder="1" applyAlignment="1">
      <alignment horizontal="center"/>
    </xf>
    <xf numFmtId="0" fontId="2" fillId="2" borderId="1" xfId="0" applyFont="1" applyFill="1" applyBorder="1" applyAlignment="1">
      <alignment horizontal="center"/>
    </xf>
    <xf numFmtId="0" fontId="2" fillId="0" borderId="0" xfId="0" applyFont="1" applyFill="1" applyBorder="1" applyAlignment="1">
      <alignment horizontal="left"/>
    </xf>
    <xf numFmtId="0" fontId="0" fillId="0" borderId="0" xfId="0" applyFill="1" applyAlignment="1">
      <alignment horizontal="left"/>
    </xf>
    <xf numFmtId="44" fontId="0" fillId="0" borderId="1" xfId="0" applyNumberFormat="1" applyBorder="1"/>
    <xf numFmtId="44" fontId="0" fillId="0" borderId="0" xfId="0" applyNumberFormat="1"/>
    <xf numFmtId="0" fontId="2" fillId="0" borderId="1" xfId="0" applyFont="1" applyBorder="1" applyAlignment="1"/>
    <xf numFmtId="44" fontId="0" fillId="0" borderId="1" xfId="0" applyNumberFormat="1" applyBorder="1" applyAlignment="1">
      <alignment horizontal="center"/>
    </xf>
    <xf numFmtId="0" fontId="2" fillId="0" borderId="1" xfId="0" applyFont="1" applyFill="1" applyBorder="1" applyAlignment="1">
      <alignment horizontal="center"/>
    </xf>
    <xf numFmtId="0" fontId="2" fillId="3" borderId="1" xfId="0" applyFont="1" applyFill="1" applyBorder="1" applyAlignment="1">
      <alignment horizontal="center"/>
    </xf>
    <xf numFmtId="44" fontId="0" fillId="3" borderId="1" xfId="0" applyNumberFormat="1" applyFill="1" applyBorder="1" applyAlignment="1">
      <alignment horizontal="center"/>
    </xf>
    <xf numFmtId="0" fontId="2" fillId="2" borderId="1" xfId="0" applyFont="1" applyFill="1" applyBorder="1" applyAlignment="1">
      <alignment horizontal="center" wrapText="1"/>
    </xf>
    <xf numFmtId="0" fontId="0" fillId="0" borderId="1" xfId="0" applyFont="1" applyBorder="1" applyAlignment="1">
      <alignment horizontal="center"/>
    </xf>
    <xf numFmtId="0" fontId="0" fillId="0" borderId="0" xfId="0" applyAlignment="1">
      <alignment wrapText="1"/>
    </xf>
    <xf numFmtId="0" fontId="2" fillId="0" borderId="1" xfId="0" applyFont="1" applyBorder="1"/>
    <xf numFmtId="0" fontId="0" fillId="0" borderId="1" xfId="0" applyBorder="1" applyAlignment="1">
      <alignment horizontal="center" wrapText="1"/>
    </xf>
    <xf numFmtId="0" fontId="2" fillId="0" borderId="1" xfId="0" applyFont="1" applyBorder="1" applyAlignment="1">
      <alignment horizontal="center" wrapText="1"/>
    </xf>
    <xf numFmtId="0" fontId="0" fillId="0" borderId="0" xfId="0" applyFont="1" applyFill="1" applyBorder="1"/>
    <xf numFmtId="0" fontId="0" fillId="0" borderId="0" xfId="0" applyFont="1" applyFill="1"/>
    <xf numFmtId="0" fontId="2" fillId="5" borderId="1" xfId="0" applyFont="1" applyFill="1" applyBorder="1" applyAlignment="1">
      <alignment horizontal="center" wrapText="1"/>
    </xf>
    <xf numFmtId="0" fontId="0" fillId="5" borderId="1" xfId="0" applyFill="1" applyBorder="1" applyAlignment="1">
      <alignment horizontal="center"/>
    </xf>
    <xf numFmtId="0" fontId="2" fillId="3" borderId="1" xfId="0" applyFont="1" applyFill="1" applyBorder="1" applyAlignment="1">
      <alignment horizontal="center" wrapText="1"/>
    </xf>
    <xf numFmtId="0" fontId="0" fillId="3" borderId="1" xfId="0" applyFill="1" applyBorder="1"/>
    <xf numFmtId="0" fontId="2" fillId="6" borderId="0" xfId="0" applyFont="1" applyFill="1" applyAlignment="1">
      <alignment horizontal="center"/>
    </xf>
    <xf numFmtId="0" fontId="2" fillId="6" borderId="1" xfId="0" applyFont="1" applyFill="1" applyBorder="1" applyAlignment="1">
      <alignment horizontal="center"/>
    </xf>
    <xf numFmtId="44" fontId="0" fillId="6" borderId="1" xfId="0" applyNumberFormat="1" applyFill="1" applyBorder="1"/>
    <xf numFmtId="2" fontId="0" fillId="0" borderId="1" xfId="2" applyNumberFormat="1" applyFont="1" applyBorder="1" applyAlignment="1">
      <alignment horizontal="center"/>
    </xf>
    <xf numFmtId="0" fontId="0" fillId="0" borderId="0" xfId="0" applyFont="1" applyFill="1" applyBorder="1" applyAlignment="1">
      <alignment horizontal="left"/>
    </xf>
    <xf numFmtId="0" fontId="0" fillId="0" borderId="0" xfId="0" applyFont="1" applyFill="1" applyAlignment="1">
      <alignment horizontal="left"/>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2" fontId="0" fillId="5" borderId="1" xfId="0" applyNumberFormat="1" applyFill="1" applyBorder="1" applyAlignment="1">
      <alignment horizontal="center"/>
    </xf>
    <xf numFmtId="2" fontId="0" fillId="0" borderId="1" xfId="0" applyNumberFormat="1" applyBorder="1"/>
    <xf numFmtId="0" fontId="2" fillId="4" borderId="1" xfId="0" applyFont="1" applyFill="1" applyBorder="1" applyAlignment="1">
      <alignment horizontal="center" wrapText="1"/>
    </xf>
    <xf numFmtId="0" fontId="0" fillId="4" borderId="1" xfId="0" applyFill="1" applyBorder="1"/>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9" fontId="3" fillId="0" borderId="1" xfId="0" applyNumberFormat="1" applyFont="1" applyBorder="1" applyAlignment="1">
      <alignment horizontal="center" vertical="center" wrapText="1"/>
    </xf>
    <xf numFmtId="4"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0" xfId="0" applyFont="1" applyFill="1" applyBorder="1" applyAlignment="1">
      <alignment horizontal="left" vertical="center"/>
    </xf>
    <xf numFmtId="4" fontId="0" fillId="0" borderId="1" xfId="0" applyNumberFormat="1" applyBorder="1"/>
    <xf numFmtId="4" fontId="0" fillId="6" borderId="1" xfId="0" applyNumberFormat="1" applyFill="1" applyBorder="1"/>
    <xf numFmtId="1" fontId="3" fillId="0" borderId="1" xfId="0" applyNumberFormat="1" applyFont="1" applyBorder="1" applyAlignment="1">
      <alignment horizontal="center" vertical="center" wrapText="1"/>
    </xf>
    <xf numFmtId="0" fontId="0" fillId="0" borderId="1" xfId="0" applyBorder="1" applyAlignment="1">
      <alignment horizontal="center" vertical="center"/>
    </xf>
    <xf numFmtId="2" fontId="0" fillId="0" borderId="1" xfId="0" applyNumberFormat="1" applyBorder="1" applyAlignment="1">
      <alignment horizontal="center" vertical="center"/>
    </xf>
    <xf numFmtId="166" fontId="0" fillId="0" borderId="1" xfId="0" applyNumberFormat="1" applyFill="1" applyBorder="1" applyAlignment="1">
      <alignment horizontal="center" vertical="center"/>
    </xf>
    <xf numFmtId="0" fontId="2" fillId="2" borderId="1" xfId="0" applyFont="1" applyFill="1" applyBorder="1" applyAlignment="1">
      <alignment horizontal="center" vertical="center"/>
    </xf>
    <xf numFmtId="166" fontId="0" fillId="0" borderId="1" xfId="0" applyNumberFormat="1" applyBorder="1"/>
    <xf numFmtId="166" fontId="0" fillId="6" borderId="1" xfId="0" applyNumberFormat="1" applyFill="1" applyBorder="1"/>
    <xf numFmtId="2" fontId="0" fillId="0" borderId="1" xfId="0" applyNumberFormat="1" applyBorder="1" applyAlignment="1">
      <alignment horizontal="center" wrapText="1"/>
    </xf>
    <xf numFmtId="165" fontId="0" fillId="0" borderId="1" xfId="0" applyNumberFormat="1" applyBorder="1" applyAlignment="1">
      <alignment horizontal="center" wrapText="1"/>
    </xf>
    <xf numFmtId="165" fontId="0" fillId="0" borderId="1" xfId="0" applyNumberFormat="1" applyBorder="1"/>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44" fontId="2" fillId="6" borderId="1" xfId="0" applyNumberFormat="1" applyFont="1" applyFill="1" applyBorder="1"/>
    <xf numFmtId="0" fontId="2"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vertical="center"/>
    </xf>
    <xf numFmtId="0" fontId="0" fillId="0" borderId="1" xfId="0" applyBorder="1" applyAlignment="1">
      <alignment wrapText="1"/>
    </xf>
    <xf numFmtId="0" fontId="2" fillId="0" borderId="1" xfId="0" applyFont="1" applyBorder="1" applyAlignment="1">
      <alignment wrapText="1"/>
    </xf>
    <xf numFmtId="0" fontId="0" fillId="0" borderId="0" xfId="0" applyBorder="1"/>
    <xf numFmtId="44" fontId="0" fillId="0" borderId="0" xfId="0" applyNumberFormat="1" applyBorder="1"/>
    <xf numFmtId="0" fontId="2" fillId="0" borderId="0" xfId="0" applyFont="1" applyFill="1" applyBorder="1" applyAlignment="1">
      <alignment wrapText="1"/>
    </xf>
    <xf numFmtId="0" fontId="2" fillId="0" borderId="1" xfId="0" applyFont="1" applyBorder="1" applyAlignment="1">
      <alignment horizontal="center" vertical="center" wrapText="1"/>
    </xf>
    <xf numFmtId="44" fontId="0" fillId="0" borderId="1" xfId="1"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Fill="1" applyBorder="1" applyAlignment="1">
      <alignment horizontal="center" vertical="center" wrapText="1"/>
    </xf>
    <xf numFmtId="44" fontId="0" fillId="0" borderId="1" xfId="0" applyNumberFormat="1" applyBorder="1" applyAlignment="1">
      <alignment horizontal="center" vertical="center"/>
    </xf>
    <xf numFmtId="0" fontId="0" fillId="0" borderId="0" xfId="0" applyAlignment="1">
      <alignment horizontal="center" vertical="center"/>
    </xf>
    <xf numFmtId="0" fontId="0" fillId="5" borderId="1" xfId="0" applyFill="1" applyBorder="1" applyAlignment="1">
      <alignment horizontal="center" vertical="center"/>
    </xf>
    <xf numFmtId="0" fontId="2" fillId="0" borderId="1" xfId="0" applyFont="1" applyFill="1" applyBorder="1" applyAlignment="1">
      <alignment horizontal="center" vertical="center"/>
    </xf>
    <xf numFmtId="0" fontId="2" fillId="0" borderId="0" xfId="0" applyFont="1" applyFill="1" applyBorder="1" applyAlignment="1">
      <alignment horizontal="center" vertical="center"/>
    </xf>
    <xf numFmtId="0" fontId="0" fillId="0" borderId="0" xfId="0" applyAlignment="1">
      <alignment horizontal="center" vertical="center" wrapText="1"/>
    </xf>
    <xf numFmtId="9" fontId="0" fillId="0" borderId="0" xfId="0" applyNumberFormat="1"/>
    <xf numFmtId="6" fontId="0" fillId="0" borderId="0" xfId="0" applyNumberFormat="1"/>
    <xf numFmtId="0" fontId="0" fillId="0" borderId="0" xfId="0" applyAlignment="1">
      <alignment horizontal="center" wrapText="1"/>
    </xf>
    <xf numFmtId="9" fontId="0" fillId="0" borderId="1" xfId="0" applyNumberFormat="1" applyBorder="1"/>
    <xf numFmtId="6" fontId="0" fillId="0" borderId="1" xfId="0" applyNumberFormat="1" applyBorder="1"/>
    <xf numFmtId="44" fontId="0" fillId="0" borderId="1" xfId="1" applyFont="1" applyBorder="1"/>
    <xf numFmtId="6" fontId="0" fillId="0" borderId="1" xfId="0" applyNumberFormat="1" applyFill="1" applyBorder="1"/>
    <xf numFmtId="44" fontId="0" fillId="0" borderId="0" xfId="1" applyFont="1"/>
    <xf numFmtId="44" fontId="0" fillId="0" borderId="1" xfId="1" applyFont="1" applyBorder="1" applyAlignment="1">
      <alignment horizontal="center" vertical="center"/>
    </xf>
    <xf numFmtId="44" fontId="0" fillId="0" borderId="5" xfId="0" applyNumberFormat="1" applyBorder="1"/>
    <xf numFmtId="0" fontId="0" fillId="2" borderId="1" xfId="0" applyFill="1" applyBorder="1"/>
    <xf numFmtId="0" fontId="2" fillId="2" borderId="1" xfId="0" applyFont="1" applyFill="1" applyBorder="1"/>
    <xf numFmtId="44" fontId="2" fillId="2" borderId="1" xfId="0" applyNumberFormat="1" applyFont="1" applyFill="1" applyBorder="1"/>
    <xf numFmtId="0" fontId="2" fillId="3" borderId="0" xfId="0" applyFont="1" applyFill="1"/>
    <xf numFmtId="0" fontId="0" fillId="3" borderId="0" xfId="0" applyFill="1"/>
    <xf numFmtId="6" fontId="0" fillId="2" borderId="1" xfId="0" applyNumberFormat="1" applyFill="1" applyBorder="1"/>
    <xf numFmtId="6" fontId="0" fillId="2" borderId="1" xfId="0" applyNumberFormat="1" applyFill="1" applyBorder="1" applyAlignment="1">
      <alignment horizontal="center" vertical="center"/>
    </xf>
    <xf numFmtId="0" fontId="0" fillId="0" borderId="1" xfId="0" applyFill="1" applyBorder="1" applyAlignment="1">
      <alignment horizontal="center"/>
    </xf>
    <xf numFmtId="8" fontId="0" fillId="0" borderId="1" xfId="0" applyNumberFormat="1" applyBorder="1"/>
    <xf numFmtId="6" fontId="0" fillId="0" borderId="1" xfId="0" applyNumberFormat="1" applyBorder="1" applyAlignment="1">
      <alignment horizontal="center"/>
    </xf>
    <xf numFmtId="8" fontId="0" fillId="0" borderId="1" xfId="0" applyNumberFormat="1" applyBorder="1" applyAlignment="1">
      <alignment horizontal="center"/>
    </xf>
    <xf numFmtId="8" fontId="0" fillId="2" borderId="1" xfId="0" applyNumberFormat="1" applyFill="1" applyBorder="1"/>
    <xf numFmtId="0" fontId="2" fillId="0" borderId="0" xfId="0" applyFont="1" applyFill="1" applyAlignment="1">
      <alignment horizontal="center"/>
    </xf>
    <xf numFmtId="0" fontId="0" fillId="0" borderId="0" xfId="0" applyAlignment="1">
      <alignment horizontal="left"/>
    </xf>
    <xf numFmtId="0" fontId="2" fillId="0" borderId="1" xfId="0" applyFont="1" applyFill="1" applyBorder="1"/>
    <xf numFmtId="0" fontId="2" fillId="0" borderId="0" xfId="0" applyFont="1" applyFill="1" applyBorder="1"/>
    <xf numFmtId="0" fontId="0" fillId="0" borderId="0" xfId="0" applyFill="1" applyBorder="1"/>
    <xf numFmtId="0" fontId="0" fillId="0" borderId="1" xfId="0" applyFont="1" applyFill="1" applyBorder="1"/>
    <xf numFmtId="0" fontId="2" fillId="5" borderId="1" xfId="0" applyFont="1" applyFill="1" applyBorder="1"/>
    <xf numFmtId="0" fontId="0" fillId="5" borderId="1" xfId="0" applyFill="1" applyBorder="1"/>
    <xf numFmtId="0" fontId="2" fillId="0" borderId="2" xfId="0" applyFont="1" applyFill="1" applyBorder="1"/>
    <xf numFmtId="44" fontId="0" fillId="5" borderId="1" xfId="1" applyFont="1" applyFill="1" applyBorder="1" applyAlignment="1">
      <alignment horizontal="center"/>
    </xf>
    <xf numFmtId="0" fontId="7" fillId="0" borderId="1" xfId="0" applyFont="1" applyFill="1" applyBorder="1"/>
    <xf numFmtId="0" fontId="7" fillId="0" borderId="1" xfId="0" applyFont="1" applyBorder="1"/>
    <xf numFmtId="44" fontId="2" fillId="2" borderId="1" xfId="1" applyFont="1" applyFill="1" applyBorder="1" applyAlignment="1">
      <alignment horizontal="center"/>
    </xf>
    <xf numFmtId="44" fontId="6" fillId="0" borderId="0" xfId="0" applyNumberFormat="1" applyFont="1"/>
    <xf numFmtId="0" fontId="2" fillId="0" borderId="2" xfId="0" applyFont="1" applyBorder="1"/>
    <xf numFmtId="0" fontId="0" fillId="0" borderId="1" xfId="0" applyFont="1" applyBorder="1"/>
    <xf numFmtId="0" fontId="2" fillId="0" borderId="0" xfId="0" applyFont="1" applyBorder="1"/>
    <xf numFmtId="44" fontId="0" fillId="3" borderId="1" xfId="0" applyNumberFormat="1" applyFill="1" applyBorder="1"/>
    <xf numFmtId="44" fontId="2" fillId="5" borderId="1" xfId="1" applyFont="1" applyFill="1" applyBorder="1"/>
    <xf numFmtId="44" fontId="0" fillId="7" borderId="1" xfId="1" applyFont="1" applyFill="1" applyBorder="1" applyAlignment="1">
      <alignment horizontal="center"/>
    </xf>
    <xf numFmtId="44" fontId="0" fillId="8" borderId="1" xfId="1" applyFont="1" applyFill="1" applyBorder="1" applyAlignment="1">
      <alignment horizontal="center"/>
    </xf>
    <xf numFmtId="0" fontId="0" fillId="8" borderId="0" xfId="0" applyFill="1"/>
    <xf numFmtId="44" fontId="0" fillId="0" borderId="0" xfId="0" applyNumberFormat="1" applyFill="1" applyBorder="1"/>
    <xf numFmtId="44" fontId="0" fillId="0" borderId="0" xfId="1" applyFont="1" applyBorder="1" applyAlignment="1">
      <alignment horizontal="center"/>
    </xf>
    <xf numFmtId="0" fontId="0" fillId="0" borderId="0" xfId="0" applyFill="1"/>
    <xf numFmtId="44" fontId="0" fillId="0" borderId="1" xfId="1" applyFont="1" applyFill="1" applyBorder="1"/>
    <xf numFmtId="9" fontId="0" fillId="0" borderId="1" xfId="0" applyNumberFormat="1" applyBorder="1" applyAlignment="1">
      <alignment horizontal="center"/>
    </xf>
    <xf numFmtId="44" fontId="0" fillId="5" borderId="1" xfId="0" applyNumberFormat="1" applyFill="1" applyBorder="1"/>
    <xf numFmtId="0" fontId="2" fillId="6" borderId="0" xfId="0" applyFont="1" applyFill="1"/>
    <xf numFmtId="0" fontId="0" fillId="0" borderId="8" xfId="0" applyBorder="1"/>
    <xf numFmtId="0" fontId="0" fillId="6" borderId="1" xfId="0" applyFill="1" applyBorder="1" applyAlignment="1">
      <alignment wrapText="1"/>
    </xf>
    <xf numFmtId="8" fontId="0" fillId="6" borderId="1" xfId="0" applyNumberFormat="1" applyFill="1" applyBorder="1"/>
    <xf numFmtId="0" fontId="0" fillId="6" borderId="1" xfId="0" applyFill="1" applyBorder="1"/>
    <xf numFmtId="44" fontId="0" fillId="6" borderId="1" xfId="1" applyFont="1" applyFill="1" applyBorder="1"/>
    <xf numFmtId="6" fontId="0" fillId="6" borderId="1" xfId="0" applyNumberFormat="1" applyFill="1" applyBorder="1"/>
    <xf numFmtId="0" fontId="2" fillId="6" borderId="1" xfId="0" applyFont="1" applyFill="1" applyBorder="1"/>
    <xf numFmtId="9" fontId="0" fillId="0" borderId="0" xfId="0" applyNumberFormat="1" applyBorder="1"/>
    <xf numFmtId="16" fontId="2" fillId="0" borderId="1" xfId="0" applyNumberFormat="1" applyFont="1" applyBorder="1" applyAlignment="1">
      <alignment horizontal="center"/>
    </xf>
    <xf numFmtId="44" fontId="0" fillId="0" borderId="0" xfId="1" applyFont="1" applyBorder="1"/>
    <xf numFmtId="0" fontId="2" fillId="0" borderId="0" xfId="0" applyFont="1" applyFill="1"/>
    <xf numFmtId="0" fontId="2" fillId="4" borderId="1" xfId="0" applyFont="1" applyFill="1" applyBorder="1" applyAlignment="1">
      <alignment horizontal="center"/>
    </xf>
    <xf numFmtId="0" fontId="0" fillId="4" borderId="1" xfId="0" applyFill="1" applyBorder="1" applyAlignment="1">
      <alignment horizontal="center"/>
    </xf>
    <xf numFmtId="44" fontId="0" fillId="4" borderId="1" xfId="0" applyNumberFormat="1" applyFill="1" applyBorder="1" applyAlignment="1">
      <alignment horizontal="center"/>
    </xf>
    <xf numFmtId="0" fontId="2" fillId="4" borderId="1" xfId="0" applyFont="1" applyFill="1" applyBorder="1" applyAlignment="1">
      <alignment horizontal="center" vertical="center"/>
    </xf>
    <xf numFmtId="6" fontId="0" fillId="4" borderId="1" xfId="0" applyNumberFormat="1" applyFill="1" applyBorder="1" applyAlignment="1">
      <alignment horizontal="center" vertical="center"/>
    </xf>
    <xf numFmtId="0" fontId="0" fillId="6" borderId="0" xfId="0" applyFill="1"/>
    <xf numFmtId="44" fontId="0" fillId="4" borderId="1" xfId="1" applyFont="1" applyFill="1" applyBorder="1"/>
    <xf numFmtId="0" fontId="0" fillId="4" borderId="1" xfId="0" applyFill="1" applyBorder="1" applyAlignment="1">
      <alignment horizontal="center" wrapText="1"/>
    </xf>
    <xf numFmtId="44" fontId="0" fillId="4" borderId="1" xfId="0" applyNumberFormat="1" applyFill="1" applyBorder="1"/>
    <xf numFmtId="0" fontId="0" fillId="0" borderId="1" xfId="0" applyNumberFormat="1" applyBorder="1"/>
    <xf numFmtId="44" fontId="2" fillId="2" borderId="1" xfId="1" applyFont="1" applyFill="1" applyBorder="1"/>
    <xf numFmtId="44" fontId="2" fillId="2" borderId="1" xfId="0" applyNumberFormat="1" applyFont="1" applyFill="1" applyBorder="1" applyAlignment="1">
      <alignment horizontal="center"/>
    </xf>
    <xf numFmtId="44" fontId="2" fillId="2" borderId="1" xfId="0" applyNumberFormat="1"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0" fillId="0" borderId="1" xfId="0" applyBorder="1" applyAlignment="1"/>
    <xf numFmtId="0" fontId="0" fillId="0" borderId="0" xfId="0" applyAlignment="1"/>
    <xf numFmtId="0" fontId="2" fillId="0" borderId="3" xfId="0" applyFont="1" applyFill="1" applyBorder="1" applyAlignment="1">
      <alignment horizontal="center"/>
    </xf>
    <xf numFmtId="0" fontId="0" fillId="0" borderId="9" xfId="0" applyFont="1" applyFill="1" applyBorder="1"/>
    <xf numFmtId="0" fontId="0" fillId="0" borderId="6" xfId="0" applyBorder="1"/>
    <xf numFmtId="44" fontId="0" fillId="0" borderId="6" xfId="1" applyFont="1" applyBorder="1"/>
    <xf numFmtId="0" fontId="0" fillId="0" borderId="1" xfId="1" applyNumberFormat="1" applyFont="1" applyBorder="1"/>
    <xf numFmtId="0" fontId="2" fillId="4" borderId="1" xfId="0" applyFont="1" applyFill="1" applyBorder="1"/>
    <xf numFmtId="44" fontId="0" fillId="0" borderId="1" xfId="0" applyNumberFormat="1" applyFont="1" applyBorder="1"/>
    <xf numFmtId="44" fontId="2" fillId="4" borderId="1" xfId="0" applyNumberFormat="1" applyFont="1" applyFill="1" applyBorder="1"/>
    <xf numFmtId="44" fontId="2" fillId="4" borderId="1" xfId="1" applyFont="1" applyFill="1" applyBorder="1"/>
    <xf numFmtId="44" fontId="0" fillId="0" borderId="1" xfId="0" applyNumberFormat="1" applyFont="1" applyFill="1" applyBorder="1"/>
    <xf numFmtId="0" fontId="2" fillId="2" borderId="1" xfId="0" applyFont="1" applyFill="1" applyBorder="1" applyAlignment="1">
      <alignment horizontal="center"/>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4" borderId="2" xfId="0" applyFont="1" applyFill="1" applyBorder="1" applyAlignment="1">
      <alignment horizontal="center"/>
    </xf>
    <xf numFmtId="0" fontId="2" fillId="4" borderId="4" xfId="0" applyFont="1" applyFill="1" applyBorder="1" applyAlignment="1">
      <alignment horizontal="center"/>
    </xf>
    <xf numFmtId="0" fontId="2" fillId="4" borderId="3" xfId="0" applyFont="1" applyFill="1" applyBorder="1" applyAlignment="1">
      <alignment horizontal="center"/>
    </xf>
    <xf numFmtId="0" fontId="2" fillId="2" borderId="1" xfId="0" applyFont="1" applyFill="1" applyBorder="1" applyAlignment="1">
      <alignment horizont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wrapText="1"/>
    </xf>
    <xf numFmtId="0" fontId="2" fillId="0" borderId="1" xfId="0" applyFont="1" applyBorder="1" applyAlignment="1">
      <alignment horizontal="center"/>
    </xf>
    <xf numFmtId="0" fontId="2" fillId="3" borderId="0" xfId="0" applyFont="1" applyFill="1" applyAlignment="1">
      <alignment horizontal="center"/>
    </xf>
    <xf numFmtId="0" fontId="2" fillId="3" borderId="7" xfId="0" applyFont="1" applyFill="1" applyBorder="1" applyAlignment="1">
      <alignment horizontal="center"/>
    </xf>
    <xf numFmtId="0" fontId="2" fillId="3" borderId="0" xfId="0" applyFont="1" applyFill="1" applyBorder="1" applyAlignment="1">
      <alignment horizontal="center"/>
    </xf>
    <xf numFmtId="0" fontId="2" fillId="5" borderId="1" xfId="0" applyFont="1" applyFill="1" applyBorder="1" applyAlignment="1">
      <alignment horizontal="center"/>
    </xf>
    <xf numFmtId="0" fontId="0" fillId="0" borderId="1" xfId="0" applyBorder="1" applyAlignment="1">
      <alignment horizontal="center"/>
    </xf>
    <xf numFmtId="44" fontId="0" fillId="3" borderId="1" xfId="1" applyFont="1" applyFill="1" applyBorder="1"/>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12700</xdr:colOff>
      <xdr:row>1</xdr:row>
      <xdr:rowOff>25400</xdr:rowOff>
    </xdr:from>
    <xdr:to>
      <xdr:col>9</xdr:col>
      <xdr:colOff>12700</xdr:colOff>
      <xdr:row>4</xdr:row>
      <xdr:rowOff>152400</xdr:rowOff>
    </xdr:to>
    <xdr:sp macro="" textlink="">
      <xdr:nvSpPr>
        <xdr:cNvPr id="2" name="CuadroTexto 1">
          <a:extLst>
            <a:ext uri="{FF2B5EF4-FFF2-40B4-BE49-F238E27FC236}">
              <a16:creationId xmlns:a16="http://schemas.microsoft.com/office/drawing/2014/main" id="{1E731A87-72EF-4931-B16B-4F148382D414}"/>
            </a:ext>
          </a:extLst>
        </xdr:cNvPr>
        <xdr:cNvSpPr txBox="1"/>
      </xdr:nvSpPr>
      <xdr:spPr>
        <a:xfrm>
          <a:off x="12700" y="209550"/>
          <a:ext cx="5486400" cy="6794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Compañía ABC vende tres productos: el producto A, el producto B y el producto C; que se distribuyen en dos regiones de ventas – la región Norte y la región Sur. Se han desarrollado los siguientes datos para el próximo año a presupuestar: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54429</xdr:colOff>
      <xdr:row>4</xdr:row>
      <xdr:rowOff>0</xdr:rowOff>
    </xdr:to>
    <xdr:sp macro="" textlink="">
      <xdr:nvSpPr>
        <xdr:cNvPr id="2" name="CuadroTexto 1">
          <a:extLst>
            <a:ext uri="{FF2B5EF4-FFF2-40B4-BE49-F238E27FC236}">
              <a16:creationId xmlns:a16="http://schemas.microsoft.com/office/drawing/2014/main" id="{0EDC9E7F-87FE-4982-ACF1-871ECA47C77C}"/>
            </a:ext>
          </a:extLst>
        </xdr:cNvPr>
        <xdr:cNvSpPr txBox="1"/>
      </xdr:nvSpPr>
      <xdr:spPr>
        <a:xfrm>
          <a:off x="0" y="181429"/>
          <a:ext cx="7683500" cy="54428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empresa BCD dispone de dos productos para la venta. Su mercado objetivo consta de dos regiones – la región Norte y la región Sur – y a su vez dos tipos de clientes: Distribuidores y Consumidores finales. </a:t>
          </a:r>
          <a:endParaRPr lang="en-US" sz="1100"/>
        </a:p>
      </xdr:txBody>
    </xdr:sp>
    <xdr:clientData/>
  </xdr:twoCellAnchor>
  <xdr:twoCellAnchor>
    <xdr:from>
      <xdr:col>0</xdr:col>
      <xdr:colOff>0</xdr:colOff>
      <xdr:row>10</xdr:row>
      <xdr:rowOff>7055</xdr:rowOff>
    </xdr:from>
    <xdr:to>
      <xdr:col>10</xdr:col>
      <xdr:colOff>27215</xdr:colOff>
      <xdr:row>14</xdr:row>
      <xdr:rowOff>0</xdr:rowOff>
    </xdr:to>
    <xdr:sp macro="" textlink="">
      <xdr:nvSpPr>
        <xdr:cNvPr id="3" name="CuadroTexto 2">
          <a:extLst>
            <a:ext uri="{FF2B5EF4-FFF2-40B4-BE49-F238E27FC236}">
              <a16:creationId xmlns:a16="http://schemas.microsoft.com/office/drawing/2014/main" id="{83CB57D3-22B3-4101-9C47-F0DA5B4F5D6D}"/>
            </a:ext>
          </a:extLst>
        </xdr:cNvPr>
        <xdr:cNvSpPr txBox="1"/>
      </xdr:nvSpPr>
      <xdr:spPr>
        <a:xfrm>
          <a:off x="0" y="2020912"/>
          <a:ext cx="7656286" cy="71865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t>Se estima que por las condiciones de mercado, el precio para distribuidores será 18% menor a los consumidores finales para le producto A y 21% para el producto B. Determinar el presupuesto de ventas con apertura por región y tipo de cliente para el próximo año.</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76200</xdr:colOff>
      <xdr:row>4</xdr:row>
      <xdr:rowOff>0</xdr:rowOff>
    </xdr:to>
    <xdr:sp macro="" textlink="">
      <xdr:nvSpPr>
        <xdr:cNvPr id="2" name="CuadroTexto 1">
          <a:extLst>
            <a:ext uri="{FF2B5EF4-FFF2-40B4-BE49-F238E27FC236}">
              <a16:creationId xmlns:a16="http://schemas.microsoft.com/office/drawing/2014/main" id="{99839D5A-0059-4D5E-9894-92C18BAEF6BE}"/>
            </a:ext>
          </a:extLst>
        </xdr:cNvPr>
        <xdr:cNvSpPr txBox="1"/>
      </xdr:nvSpPr>
      <xdr:spPr>
        <a:xfrm>
          <a:off x="0" y="184150"/>
          <a:ext cx="3886200" cy="5524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De acuerdo a los siguientes datos de la empresa CDE, determinar el programa de producción para cada uno de los productos.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736600</xdr:colOff>
      <xdr:row>4</xdr:row>
      <xdr:rowOff>0</xdr:rowOff>
    </xdr:to>
    <xdr:sp macro="" textlink="">
      <xdr:nvSpPr>
        <xdr:cNvPr id="2" name="CuadroTexto 1">
          <a:extLst>
            <a:ext uri="{FF2B5EF4-FFF2-40B4-BE49-F238E27FC236}">
              <a16:creationId xmlns:a16="http://schemas.microsoft.com/office/drawing/2014/main" id="{0441A1FF-BCAC-4863-A38C-3228FFE291AD}"/>
            </a:ext>
          </a:extLst>
        </xdr:cNvPr>
        <xdr:cNvSpPr txBox="1"/>
      </xdr:nvSpPr>
      <xdr:spPr>
        <a:xfrm>
          <a:off x="0" y="184150"/>
          <a:ext cx="5308600" cy="5524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compañía DEF está en pleno proceso presupuestario. De acuerdo a los siguientes datos para los productos A, B y C determinar el programa de producción del próximo año. </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101600</xdr:rowOff>
    </xdr:from>
    <xdr:to>
      <xdr:col>7</xdr:col>
      <xdr:colOff>362656</xdr:colOff>
      <xdr:row>6</xdr:row>
      <xdr:rowOff>152400</xdr:rowOff>
    </xdr:to>
    <xdr:sp macro="" textlink="">
      <xdr:nvSpPr>
        <xdr:cNvPr id="2" name="CuadroTexto 1">
          <a:extLst>
            <a:ext uri="{FF2B5EF4-FFF2-40B4-BE49-F238E27FC236}">
              <a16:creationId xmlns:a16="http://schemas.microsoft.com/office/drawing/2014/main" id="{66C480FB-E43A-4CF7-84F5-F9CD037423FE}"/>
            </a:ext>
          </a:extLst>
        </xdr:cNvPr>
        <xdr:cNvSpPr txBox="1"/>
      </xdr:nvSpPr>
      <xdr:spPr>
        <a:xfrm>
          <a:off x="0" y="285750"/>
          <a:ext cx="5696656" cy="9715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empresa EFG está presupuestando las operaciones del próximo año. Luego de un análisis de mercado y de sus propias capacidades, definieron los incrementos en el volumen de venta de los productos A y B respecto del año anterior. Además, se planificó lanzar un nuevo producto con un volumen de ventas de 2.000 unidades anuales. Contamos con los siguientes datos para realizar el programa de producción del próximo año: </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76200</xdr:rowOff>
    </xdr:from>
    <xdr:to>
      <xdr:col>6</xdr:col>
      <xdr:colOff>641350</xdr:colOff>
      <xdr:row>5</xdr:row>
      <xdr:rowOff>31750</xdr:rowOff>
    </xdr:to>
    <xdr:sp macro="" textlink="">
      <xdr:nvSpPr>
        <xdr:cNvPr id="2" name="CuadroTexto 1">
          <a:extLst>
            <a:ext uri="{FF2B5EF4-FFF2-40B4-BE49-F238E27FC236}">
              <a16:creationId xmlns:a16="http://schemas.microsoft.com/office/drawing/2014/main" id="{8D037AD6-2EB2-46CC-B576-699EB12BF93C}"/>
            </a:ext>
          </a:extLst>
        </xdr:cNvPr>
        <xdr:cNvSpPr txBox="1"/>
      </xdr:nvSpPr>
      <xdr:spPr>
        <a:xfrm>
          <a:off x="0" y="260350"/>
          <a:ext cx="5213350" cy="6921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FGH es una empresa comercial que se dedica a la reventa de mercaderías. Dentro de su catálogo dispone de 4 productos: A, B, C y D. En función a los siguientes datos, determinar el presupuesto anual de compras en cantidades y costos.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133350</xdr:colOff>
      <xdr:row>7</xdr:row>
      <xdr:rowOff>44450</xdr:rowOff>
    </xdr:to>
    <xdr:sp macro="" textlink="">
      <xdr:nvSpPr>
        <xdr:cNvPr id="2" name="CuadroTexto 1">
          <a:extLst>
            <a:ext uri="{FF2B5EF4-FFF2-40B4-BE49-F238E27FC236}">
              <a16:creationId xmlns:a16="http://schemas.microsoft.com/office/drawing/2014/main" id="{BE0905A1-DA0E-461A-9B09-49A8ABAC50A5}"/>
            </a:ext>
          </a:extLst>
        </xdr:cNvPr>
        <xdr:cNvSpPr txBox="1"/>
      </xdr:nvSpPr>
      <xdr:spPr>
        <a:xfrm>
          <a:off x="0" y="368300"/>
          <a:ext cx="6229350" cy="9652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empresa FGH del ejercicio anterior, replanteó sus proyecciones de inventario final considerando el nivel de rotación en días respecto del volumen de ventas del año anterior. Las estimaciones de rotación son 45 días para el producto A, 30 días para el producto B, 60 días para el producto C y 15 días para el producto D. Con estos nuevos parámetros, determinar el presupuesto anual de compras en cantidades y costos. </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723899</xdr:colOff>
      <xdr:row>5</xdr:row>
      <xdr:rowOff>38100</xdr:rowOff>
    </xdr:to>
    <xdr:sp macro="" textlink="">
      <xdr:nvSpPr>
        <xdr:cNvPr id="2" name="CuadroTexto 1">
          <a:extLst>
            <a:ext uri="{FF2B5EF4-FFF2-40B4-BE49-F238E27FC236}">
              <a16:creationId xmlns:a16="http://schemas.microsoft.com/office/drawing/2014/main" id="{9AFC4C31-5B3C-42AB-9A65-6BE547F07F1A}"/>
            </a:ext>
          </a:extLst>
        </xdr:cNvPr>
        <xdr:cNvSpPr txBox="1"/>
      </xdr:nvSpPr>
      <xdr:spPr>
        <a:xfrm>
          <a:off x="0" y="184150"/>
          <a:ext cx="5295899" cy="7747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compañía GHI produce 4 productos que destina a la venta en el mercado interno. Para tal fin, en sus diversos procesos productivos utiliza 5 materias primas. En función a los siguientes datos, realizar el presupuesto de consumo de materia prima en cantidades y costo. </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xdr:colOff>
      <xdr:row>1</xdr:row>
      <xdr:rowOff>0</xdr:rowOff>
    </xdr:from>
    <xdr:to>
      <xdr:col>7</xdr:col>
      <xdr:colOff>361951</xdr:colOff>
      <xdr:row>7</xdr:row>
      <xdr:rowOff>95250</xdr:rowOff>
    </xdr:to>
    <xdr:sp macro="" textlink="">
      <xdr:nvSpPr>
        <xdr:cNvPr id="2" name="CuadroTexto 1">
          <a:extLst>
            <a:ext uri="{FF2B5EF4-FFF2-40B4-BE49-F238E27FC236}">
              <a16:creationId xmlns:a16="http://schemas.microsoft.com/office/drawing/2014/main" id="{3EDBDD36-C892-4197-9186-734761C2C817}"/>
            </a:ext>
          </a:extLst>
        </xdr:cNvPr>
        <xdr:cNvSpPr txBox="1"/>
      </xdr:nvSpPr>
      <xdr:spPr>
        <a:xfrm>
          <a:off x="1" y="184150"/>
          <a:ext cx="5695950" cy="12001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empresa GHI del ejercicio anterior necesita realizar el presupuesto de compras de materia primas (en cantidades y costos). Para tal fin, se relevó las cantidades de materia prima que conforman el inventario inicial en el almacén: 30.000 de la materia prima 1, 1.000.000 de la materia prima 2, 5.000.000 de la materia prima 3, 20.000 de la materia prima 4 y 30.000 de la materia prima 5. Respecto de las proyecciones de inventario final, se estima mantener en existencias dos meses de consumo promedio. ¿Cuál es el presupuesto anual de compras?</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107950</xdr:rowOff>
    </xdr:from>
    <xdr:to>
      <xdr:col>7</xdr:col>
      <xdr:colOff>38100</xdr:colOff>
      <xdr:row>5</xdr:row>
      <xdr:rowOff>114300</xdr:rowOff>
    </xdr:to>
    <xdr:sp macro="" textlink="">
      <xdr:nvSpPr>
        <xdr:cNvPr id="2" name="CuadroTexto 1">
          <a:extLst>
            <a:ext uri="{FF2B5EF4-FFF2-40B4-BE49-F238E27FC236}">
              <a16:creationId xmlns:a16="http://schemas.microsoft.com/office/drawing/2014/main" id="{25B4A236-4995-4642-B84D-FF5E6DEDB28D}"/>
            </a:ext>
          </a:extLst>
        </xdr:cNvPr>
        <xdr:cNvSpPr txBox="1"/>
      </xdr:nvSpPr>
      <xdr:spPr>
        <a:xfrm>
          <a:off x="0" y="292100"/>
          <a:ext cx="5372100" cy="7429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Para el próximo año, la empresa HIJ requiere presupuestar los costos de mano de obra directa. Realizar el presupuesto en tiempos y costos teniendo en cuenta los siguientes datos presupuestados para el siguiente año:</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xdr:colOff>
      <xdr:row>1</xdr:row>
      <xdr:rowOff>-1</xdr:rowOff>
    </xdr:from>
    <xdr:to>
      <xdr:col>7</xdr:col>
      <xdr:colOff>7937</xdr:colOff>
      <xdr:row>5</xdr:row>
      <xdr:rowOff>117928</xdr:rowOff>
    </xdr:to>
    <xdr:sp macro="" textlink="">
      <xdr:nvSpPr>
        <xdr:cNvPr id="2" name="CuadroTexto 1">
          <a:extLst>
            <a:ext uri="{FF2B5EF4-FFF2-40B4-BE49-F238E27FC236}">
              <a16:creationId xmlns:a16="http://schemas.microsoft.com/office/drawing/2014/main" id="{399EE16B-7E1B-4ABA-837A-031C8A6C4246}"/>
            </a:ext>
          </a:extLst>
        </xdr:cNvPr>
        <xdr:cNvSpPr txBox="1"/>
      </xdr:nvSpPr>
      <xdr:spPr>
        <a:xfrm>
          <a:off x="1" y="182562"/>
          <a:ext cx="7334249" cy="84817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La empresa IJK estima producir el próximo año 50.000 unidades del producto A y 80.000 unidades del producto B. En su estructura dispone de dos departamentos productivos y dos departamentos de servicios. El departamento de mantenimiento que sirve a los dos departamentos productivos y el departamento de servicios generales que sirve a los otros 3 departamentos.</a:t>
          </a:r>
          <a:endParaRPr lang="en-US" sz="1100" b="1"/>
        </a:p>
      </xdr:txBody>
    </xdr:sp>
    <xdr:clientData/>
  </xdr:twoCellAnchor>
  <xdr:twoCellAnchor>
    <xdr:from>
      <xdr:col>0</xdr:col>
      <xdr:colOff>1</xdr:colOff>
      <xdr:row>11</xdr:row>
      <xdr:rowOff>0</xdr:rowOff>
    </xdr:from>
    <xdr:to>
      <xdr:col>6</xdr:col>
      <xdr:colOff>484188</xdr:colOff>
      <xdr:row>17</xdr:row>
      <xdr:rowOff>55562</xdr:rowOff>
    </xdr:to>
    <xdr:sp macro="" textlink="">
      <xdr:nvSpPr>
        <xdr:cNvPr id="3" name="CuadroTexto 2">
          <a:extLst>
            <a:ext uri="{FF2B5EF4-FFF2-40B4-BE49-F238E27FC236}">
              <a16:creationId xmlns:a16="http://schemas.microsoft.com/office/drawing/2014/main" id="{ADDEA667-E413-4F5B-9368-3E266DE34F91}"/>
            </a:ext>
          </a:extLst>
        </xdr:cNvPr>
        <xdr:cNvSpPr txBox="1"/>
      </xdr:nvSpPr>
      <xdr:spPr>
        <a:xfrm>
          <a:off x="1" y="2008188"/>
          <a:ext cx="7048500" cy="115093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Las horas de mantenimiento se estiman en función a las horas máquina (HM) de cada departamento productivo. Por cada 100 HM del departamento 1 se requieren 2 horas de mantenimiento, mientras que en el departamento 2 la relación es 4 horas cada 100 HM. </a:t>
          </a:r>
        </a:p>
        <a:p>
          <a:r>
            <a:rPr lang="en-US" b="1"/>
            <a:t>Los costos del departamento de servicios generales se asignan a los demás departamento en función a la cantidad de empleados. </a:t>
          </a:r>
        </a:p>
        <a:p>
          <a:r>
            <a:rPr lang="en-US" b="1"/>
            <a:t>Presupuestar las cuotas de CIF para cada departamente productivo y la asignación de CIF unitaria a cada producto. </a:t>
          </a:r>
          <a:endParaRPr lang="en-US" sz="1100" b="1"/>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103188</xdr:rowOff>
    </xdr:from>
    <xdr:to>
      <xdr:col>8</xdr:col>
      <xdr:colOff>714375</xdr:colOff>
      <xdr:row>2</xdr:row>
      <xdr:rowOff>174626</xdr:rowOff>
    </xdr:to>
    <xdr:sp macro="" textlink="">
      <xdr:nvSpPr>
        <xdr:cNvPr id="2" name="CuadroTexto 1">
          <a:extLst>
            <a:ext uri="{FF2B5EF4-FFF2-40B4-BE49-F238E27FC236}">
              <a16:creationId xmlns:a16="http://schemas.microsoft.com/office/drawing/2014/main" id="{A518DFDE-F090-4BFF-A591-54BC97384575}"/>
            </a:ext>
          </a:extLst>
        </xdr:cNvPr>
        <xdr:cNvSpPr txBox="1"/>
      </xdr:nvSpPr>
      <xdr:spPr>
        <a:xfrm>
          <a:off x="0" y="103188"/>
          <a:ext cx="6810375" cy="43656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La empresa JKL, fabrica y vende un único producto, para el cual emplea una sola materia prima. En medio de su proceso de presupuestación anual, obtenemos los siguientes datos:</a:t>
          </a:r>
          <a:endParaRPr lang="en-US" sz="1100" b="1"/>
        </a:p>
      </xdr:txBody>
    </xdr:sp>
    <xdr:clientData/>
  </xdr:twoCellAnchor>
  <xdr:twoCellAnchor editAs="oneCell">
    <xdr:from>
      <xdr:col>4</xdr:col>
      <xdr:colOff>7938</xdr:colOff>
      <xdr:row>50</xdr:row>
      <xdr:rowOff>79375</xdr:rowOff>
    </xdr:from>
    <xdr:to>
      <xdr:col>7</xdr:col>
      <xdr:colOff>494100</xdr:colOff>
      <xdr:row>54</xdr:row>
      <xdr:rowOff>120758</xdr:rowOff>
    </xdr:to>
    <xdr:pic>
      <xdr:nvPicPr>
        <xdr:cNvPr id="3" name="Imagen 2">
          <a:extLst>
            <a:ext uri="{FF2B5EF4-FFF2-40B4-BE49-F238E27FC236}">
              <a16:creationId xmlns:a16="http://schemas.microsoft.com/office/drawing/2014/main" id="{25405FD1-8482-4E83-9B09-D94A807FDC04}"/>
            </a:ext>
          </a:extLst>
        </xdr:cNvPr>
        <xdr:cNvPicPr>
          <a:picLocks noChangeAspect="1"/>
        </xdr:cNvPicPr>
      </xdr:nvPicPr>
      <xdr:blipFill>
        <a:blip xmlns:r="http://schemas.openxmlformats.org/officeDocument/2006/relationships" r:embed="rId1"/>
        <a:stretch>
          <a:fillRect/>
        </a:stretch>
      </xdr:blipFill>
      <xdr:spPr>
        <a:xfrm>
          <a:off x="4730751" y="9525000"/>
          <a:ext cx="2772162" cy="7716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2</xdr:row>
      <xdr:rowOff>68263</xdr:rowOff>
    </xdr:to>
    <xdr:sp macro="" textlink="">
      <xdr:nvSpPr>
        <xdr:cNvPr id="2" name="CuadroTexto 1">
          <a:extLst>
            <a:ext uri="{FF2B5EF4-FFF2-40B4-BE49-F238E27FC236}">
              <a16:creationId xmlns:a16="http://schemas.microsoft.com/office/drawing/2014/main" id="{20B36BD5-A812-419C-A028-F2D13B049F17}"/>
            </a:ext>
          </a:extLst>
        </xdr:cNvPr>
        <xdr:cNvSpPr txBox="1"/>
      </xdr:nvSpPr>
      <xdr:spPr>
        <a:xfrm>
          <a:off x="0" y="0"/>
          <a:ext cx="6096000" cy="4311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La empresa KLM, fabrica y vende un único producto, para el cual emplea una sola materia prima. En medio de su proceso de presupuestación anual, obtenemos los siguientes datos:</a:t>
          </a:r>
          <a:endParaRPr lang="en-US" sz="1100" b="1"/>
        </a:p>
      </xdr:txBody>
    </xdr:sp>
    <xdr:clientData/>
  </xdr:twoCellAnchor>
  <xdr:twoCellAnchor editAs="oneCell">
    <xdr:from>
      <xdr:col>3</xdr:col>
      <xdr:colOff>133350</xdr:colOff>
      <xdr:row>15</xdr:row>
      <xdr:rowOff>69694</xdr:rowOff>
    </xdr:from>
    <xdr:to>
      <xdr:col>5</xdr:col>
      <xdr:colOff>311474</xdr:colOff>
      <xdr:row>19</xdr:row>
      <xdr:rowOff>79517</xdr:rowOff>
    </xdr:to>
    <xdr:pic>
      <xdr:nvPicPr>
        <xdr:cNvPr id="3" name="Imagen 2">
          <a:extLst>
            <a:ext uri="{FF2B5EF4-FFF2-40B4-BE49-F238E27FC236}">
              <a16:creationId xmlns:a16="http://schemas.microsoft.com/office/drawing/2014/main" id="{81A38183-6F1F-4D41-BA01-8C454F816B6C}"/>
            </a:ext>
          </a:extLst>
        </xdr:cNvPr>
        <xdr:cNvPicPr>
          <a:picLocks noChangeAspect="1"/>
        </xdr:cNvPicPr>
      </xdr:nvPicPr>
      <xdr:blipFill>
        <a:blip xmlns:r="http://schemas.openxmlformats.org/officeDocument/2006/relationships" r:embed="rId1"/>
        <a:stretch>
          <a:fillRect/>
        </a:stretch>
      </xdr:blipFill>
      <xdr:spPr>
        <a:xfrm>
          <a:off x="3429000" y="2831944"/>
          <a:ext cx="1702124" cy="746423"/>
        </a:xfrm>
        <a:prstGeom prst="rect">
          <a:avLst/>
        </a:prstGeom>
      </xdr:spPr>
    </xdr:pic>
    <xdr:clientData/>
  </xdr:twoCellAnchor>
  <xdr:twoCellAnchor editAs="oneCell">
    <xdr:from>
      <xdr:col>3</xdr:col>
      <xdr:colOff>450850</xdr:colOff>
      <xdr:row>32</xdr:row>
      <xdr:rowOff>44450</xdr:rowOff>
    </xdr:from>
    <xdr:to>
      <xdr:col>5</xdr:col>
      <xdr:colOff>346273</xdr:colOff>
      <xdr:row>39</xdr:row>
      <xdr:rowOff>98612</xdr:rowOff>
    </xdr:to>
    <xdr:pic>
      <xdr:nvPicPr>
        <xdr:cNvPr id="4" name="Imagen 3">
          <a:extLst>
            <a:ext uri="{FF2B5EF4-FFF2-40B4-BE49-F238E27FC236}">
              <a16:creationId xmlns:a16="http://schemas.microsoft.com/office/drawing/2014/main" id="{9B974D5D-E400-43CA-8E22-588C1E7CCF94}"/>
            </a:ext>
          </a:extLst>
        </xdr:cNvPr>
        <xdr:cNvPicPr>
          <a:picLocks noChangeAspect="1"/>
        </xdr:cNvPicPr>
      </xdr:nvPicPr>
      <xdr:blipFill>
        <a:blip xmlns:r="http://schemas.openxmlformats.org/officeDocument/2006/relationships" r:embed="rId2"/>
        <a:stretch>
          <a:fillRect/>
        </a:stretch>
      </xdr:blipFill>
      <xdr:spPr>
        <a:xfrm>
          <a:off x="3746500" y="5937250"/>
          <a:ext cx="1419423" cy="1343212"/>
        </a:xfrm>
        <a:prstGeom prst="rect">
          <a:avLst/>
        </a:prstGeom>
      </xdr:spPr>
    </xdr:pic>
    <xdr:clientData/>
  </xdr:twoCellAnchor>
  <xdr:twoCellAnchor editAs="oneCell">
    <xdr:from>
      <xdr:col>3</xdr:col>
      <xdr:colOff>247650</xdr:colOff>
      <xdr:row>42</xdr:row>
      <xdr:rowOff>82551</xdr:rowOff>
    </xdr:from>
    <xdr:to>
      <xdr:col>6</xdr:col>
      <xdr:colOff>215900</xdr:colOff>
      <xdr:row>45</xdr:row>
      <xdr:rowOff>157573</xdr:rowOff>
    </xdr:to>
    <xdr:pic>
      <xdr:nvPicPr>
        <xdr:cNvPr id="5" name="Imagen 4">
          <a:extLst>
            <a:ext uri="{FF2B5EF4-FFF2-40B4-BE49-F238E27FC236}">
              <a16:creationId xmlns:a16="http://schemas.microsoft.com/office/drawing/2014/main" id="{C84359A3-9B31-457B-9116-7A307AE3FF8B}"/>
            </a:ext>
          </a:extLst>
        </xdr:cNvPr>
        <xdr:cNvPicPr>
          <a:picLocks noChangeAspect="1"/>
        </xdr:cNvPicPr>
      </xdr:nvPicPr>
      <xdr:blipFill>
        <a:blip xmlns:r="http://schemas.openxmlformats.org/officeDocument/2006/relationships" r:embed="rId3"/>
        <a:stretch>
          <a:fillRect/>
        </a:stretch>
      </xdr:blipFill>
      <xdr:spPr>
        <a:xfrm>
          <a:off x="3543300" y="7816851"/>
          <a:ext cx="2254250" cy="62747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12700</xdr:colOff>
      <xdr:row>2</xdr:row>
      <xdr:rowOff>68263</xdr:rowOff>
    </xdr:to>
    <xdr:sp macro="" textlink="">
      <xdr:nvSpPr>
        <xdr:cNvPr id="2" name="CuadroTexto 1">
          <a:extLst>
            <a:ext uri="{FF2B5EF4-FFF2-40B4-BE49-F238E27FC236}">
              <a16:creationId xmlns:a16="http://schemas.microsoft.com/office/drawing/2014/main" id="{8301BA46-2509-4301-A6BE-77866DBE4316}"/>
            </a:ext>
          </a:extLst>
        </xdr:cNvPr>
        <xdr:cNvSpPr txBox="1"/>
      </xdr:nvSpPr>
      <xdr:spPr>
        <a:xfrm>
          <a:off x="0" y="0"/>
          <a:ext cx="6108700" cy="43656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La empresa LMN, fabrica y vende un único producto, para el cual emplea una sola materia prima. En medio de su proceso de presupuestación anual, obtenemos los siguientes datos:</a:t>
          </a:r>
          <a:endParaRPr lang="en-US" sz="1100" b="1"/>
        </a:p>
      </xdr:txBody>
    </xdr:sp>
    <xdr:clientData/>
  </xdr:twoCellAnchor>
  <xdr:twoCellAnchor editAs="oneCell">
    <xdr:from>
      <xdr:col>5</xdr:col>
      <xdr:colOff>609600</xdr:colOff>
      <xdr:row>7</xdr:row>
      <xdr:rowOff>88900</xdr:rowOff>
    </xdr:from>
    <xdr:to>
      <xdr:col>6</xdr:col>
      <xdr:colOff>444824</xdr:colOff>
      <xdr:row>11</xdr:row>
      <xdr:rowOff>98723</xdr:rowOff>
    </xdr:to>
    <xdr:pic>
      <xdr:nvPicPr>
        <xdr:cNvPr id="3" name="Imagen 2">
          <a:extLst>
            <a:ext uri="{FF2B5EF4-FFF2-40B4-BE49-F238E27FC236}">
              <a16:creationId xmlns:a16="http://schemas.microsoft.com/office/drawing/2014/main" id="{C833A02E-EE21-4B92-BD15-04258853B013}"/>
            </a:ext>
          </a:extLst>
        </xdr:cNvPr>
        <xdr:cNvPicPr>
          <a:picLocks noChangeAspect="1"/>
        </xdr:cNvPicPr>
      </xdr:nvPicPr>
      <xdr:blipFill>
        <a:blip xmlns:r="http://schemas.openxmlformats.org/officeDocument/2006/relationships" r:embed="rId1"/>
        <a:stretch>
          <a:fillRect/>
        </a:stretch>
      </xdr:blipFill>
      <xdr:spPr>
        <a:xfrm>
          <a:off x="5073650" y="2482850"/>
          <a:ext cx="1702124" cy="746423"/>
        </a:xfrm>
        <a:prstGeom prst="rect">
          <a:avLst/>
        </a:prstGeom>
      </xdr:spPr>
    </xdr:pic>
    <xdr:clientData/>
  </xdr:twoCellAnchor>
  <xdr:twoCellAnchor editAs="oneCell">
    <xdr:from>
      <xdr:col>3</xdr:col>
      <xdr:colOff>50800</xdr:colOff>
      <xdr:row>14</xdr:row>
      <xdr:rowOff>107950</xdr:rowOff>
    </xdr:from>
    <xdr:to>
      <xdr:col>5</xdr:col>
      <xdr:colOff>1480111</xdr:colOff>
      <xdr:row>19</xdr:row>
      <xdr:rowOff>121047</xdr:rowOff>
    </xdr:to>
    <xdr:pic>
      <xdr:nvPicPr>
        <xdr:cNvPr id="4" name="Imagen 3">
          <a:extLst>
            <a:ext uri="{FF2B5EF4-FFF2-40B4-BE49-F238E27FC236}">
              <a16:creationId xmlns:a16="http://schemas.microsoft.com/office/drawing/2014/main" id="{27B55FDB-C2FD-4EC6-808A-B3B3AA985DF8}"/>
            </a:ext>
          </a:extLst>
        </xdr:cNvPr>
        <xdr:cNvPicPr>
          <a:picLocks noChangeAspect="1"/>
        </xdr:cNvPicPr>
      </xdr:nvPicPr>
      <xdr:blipFill>
        <a:blip xmlns:r="http://schemas.openxmlformats.org/officeDocument/2006/relationships" r:embed="rId2"/>
        <a:stretch>
          <a:fillRect/>
        </a:stretch>
      </xdr:blipFill>
      <xdr:spPr>
        <a:xfrm>
          <a:off x="2889250" y="2686050"/>
          <a:ext cx="3054911" cy="933847"/>
        </a:xfrm>
        <a:prstGeom prst="rect">
          <a:avLst/>
        </a:prstGeom>
      </xdr:spPr>
    </xdr:pic>
    <xdr:clientData/>
  </xdr:twoCellAnchor>
  <xdr:twoCellAnchor editAs="oneCell">
    <xdr:from>
      <xdr:col>3</xdr:col>
      <xdr:colOff>114300</xdr:colOff>
      <xdr:row>29</xdr:row>
      <xdr:rowOff>177800</xdr:rowOff>
    </xdr:from>
    <xdr:to>
      <xdr:col>4</xdr:col>
      <xdr:colOff>565333</xdr:colOff>
      <xdr:row>36</xdr:row>
      <xdr:rowOff>127173</xdr:rowOff>
    </xdr:to>
    <xdr:pic>
      <xdr:nvPicPr>
        <xdr:cNvPr id="5" name="Imagen 4">
          <a:extLst>
            <a:ext uri="{FF2B5EF4-FFF2-40B4-BE49-F238E27FC236}">
              <a16:creationId xmlns:a16="http://schemas.microsoft.com/office/drawing/2014/main" id="{F5E8B3BC-9EA1-41C4-A3BA-4D74F4BA71BF}"/>
            </a:ext>
          </a:extLst>
        </xdr:cNvPr>
        <xdr:cNvPicPr>
          <a:picLocks noChangeAspect="1"/>
        </xdr:cNvPicPr>
      </xdr:nvPicPr>
      <xdr:blipFill>
        <a:blip xmlns:r="http://schemas.openxmlformats.org/officeDocument/2006/relationships" r:embed="rId3"/>
        <a:stretch>
          <a:fillRect/>
        </a:stretch>
      </xdr:blipFill>
      <xdr:spPr>
        <a:xfrm>
          <a:off x="3346450" y="5518150"/>
          <a:ext cx="1314633" cy="123842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56</xdr:row>
      <xdr:rowOff>139701</xdr:rowOff>
    </xdr:from>
    <xdr:to>
      <xdr:col>1</xdr:col>
      <xdr:colOff>606425</xdr:colOff>
      <xdr:row>66</xdr:row>
      <xdr:rowOff>122812</xdr:rowOff>
    </xdr:to>
    <xdr:pic>
      <xdr:nvPicPr>
        <xdr:cNvPr id="2" name="Imagen 1">
          <a:extLst>
            <a:ext uri="{FF2B5EF4-FFF2-40B4-BE49-F238E27FC236}">
              <a16:creationId xmlns:a16="http://schemas.microsoft.com/office/drawing/2014/main" id="{FBB47019-3C17-446B-A3CD-7885E9FE24E5}"/>
            </a:ext>
          </a:extLst>
        </xdr:cNvPr>
        <xdr:cNvPicPr>
          <a:picLocks noChangeAspect="1"/>
        </xdr:cNvPicPr>
      </xdr:nvPicPr>
      <xdr:blipFill>
        <a:blip xmlns:r="http://schemas.openxmlformats.org/officeDocument/2006/relationships" r:embed="rId1"/>
        <a:stretch>
          <a:fillRect/>
        </a:stretch>
      </xdr:blipFill>
      <xdr:spPr>
        <a:xfrm>
          <a:off x="0" y="10452101"/>
          <a:ext cx="2159000" cy="18214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66</xdr:row>
      <xdr:rowOff>139701</xdr:rowOff>
    </xdr:from>
    <xdr:to>
      <xdr:col>1</xdr:col>
      <xdr:colOff>628650</xdr:colOff>
      <xdr:row>76</xdr:row>
      <xdr:rowOff>119637</xdr:rowOff>
    </xdr:to>
    <xdr:pic>
      <xdr:nvPicPr>
        <xdr:cNvPr id="2" name="Imagen 1">
          <a:extLst>
            <a:ext uri="{FF2B5EF4-FFF2-40B4-BE49-F238E27FC236}">
              <a16:creationId xmlns:a16="http://schemas.microsoft.com/office/drawing/2014/main" id="{59DFF1A4-F586-4B37-BC32-8C65E1EF1AE0}"/>
            </a:ext>
          </a:extLst>
        </xdr:cNvPr>
        <xdr:cNvPicPr>
          <a:picLocks noChangeAspect="1"/>
        </xdr:cNvPicPr>
      </xdr:nvPicPr>
      <xdr:blipFill>
        <a:blip xmlns:r="http://schemas.openxmlformats.org/officeDocument/2006/relationships" r:embed="rId1"/>
        <a:stretch>
          <a:fillRect/>
        </a:stretch>
      </xdr:blipFill>
      <xdr:spPr>
        <a:xfrm>
          <a:off x="0" y="10452101"/>
          <a:ext cx="2159000" cy="18214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152400</xdr:colOff>
      <xdr:row>2</xdr:row>
      <xdr:rowOff>107950</xdr:rowOff>
    </xdr:to>
    <xdr:sp macro="" textlink="">
      <xdr:nvSpPr>
        <xdr:cNvPr id="2" name="CuadroTexto 1">
          <a:extLst>
            <a:ext uri="{FF2B5EF4-FFF2-40B4-BE49-F238E27FC236}">
              <a16:creationId xmlns:a16="http://schemas.microsoft.com/office/drawing/2014/main" id="{C22D7130-3CBA-4B30-9497-BD9A64EDF8C8}"/>
            </a:ext>
          </a:extLst>
        </xdr:cNvPr>
        <xdr:cNvSpPr txBox="1"/>
      </xdr:nvSpPr>
      <xdr:spPr>
        <a:xfrm>
          <a:off x="0" y="0"/>
          <a:ext cx="6248400" cy="4762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La empresa analizada en el ejercicio nro 15 revisó sus proyecciones de ventas y determinó que las en el período Junio-Septiembre </a:t>
          </a:r>
          <a:endParaRPr lang="en-US" sz="1100" b="1"/>
        </a:p>
      </xdr:txBody>
    </xdr:sp>
    <xdr:clientData/>
  </xdr:twoCellAnchor>
  <xdr:twoCellAnchor editAs="oneCell">
    <xdr:from>
      <xdr:col>0</xdr:col>
      <xdr:colOff>0</xdr:colOff>
      <xdr:row>91</xdr:row>
      <xdr:rowOff>139701</xdr:rowOff>
    </xdr:from>
    <xdr:to>
      <xdr:col>0</xdr:col>
      <xdr:colOff>2159000</xdr:colOff>
      <xdr:row>101</xdr:row>
      <xdr:rowOff>119637</xdr:rowOff>
    </xdr:to>
    <xdr:pic>
      <xdr:nvPicPr>
        <xdr:cNvPr id="3" name="Imagen 2">
          <a:extLst>
            <a:ext uri="{FF2B5EF4-FFF2-40B4-BE49-F238E27FC236}">
              <a16:creationId xmlns:a16="http://schemas.microsoft.com/office/drawing/2014/main" id="{032D741F-BB00-45AD-B706-C10EF438DB60}"/>
            </a:ext>
          </a:extLst>
        </xdr:cNvPr>
        <xdr:cNvPicPr>
          <a:picLocks noChangeAspect="1"/>
        </xdr:cNvPicPr>
      </xdr:nvPicPr>
      <xdr:blipFill>
        <a:blip xmlns:r="http://schemas.openxmlformats.org/officeDocument/2006/relationships" r:embed="rId1"/>
        <a:stretch>
          <a:fillRect/>
        </a:stretch>
      </xdr:blipFill>
      <xdr:spPr>
        <a:xfrm>
          <a:off x="0" y="12484101"/>
          <a:ext cx="2159000" cy="18214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31750</xdr:colOff>
      <xdr:row>51</xdr:row>
      <xdr:rowOff>158751</xdr:rowOff>
    </xdr:from>
    <xdr:to>
      <xdr:col>1</xdr:col>
      <xdr:colOff>781050</xdr:colOff>
      <xdr:row>61</xdr:row>
      <xdr:rowOff>138687</xdr:rowOff>
    </xdr:to>
    <xdr:pic>
      <xdr:nvPicPr>
        <xdr:cNvPr id="2" name="Imagen 1">
          <a:extLst>
            <a:ext uri="{FF2B5EF4-FFF2-40B4-BE49-F238E27FC236}">
              <a16:creationId xmlns:a16="http://schemas.microsoft.com/office/drawing/2014/main" id="{C729BFAF-DA2D-4434-A9D5-5CDCFDA8681A}"/>
            </a:ext>
          </a:extLst>
        </xdr:cNvPr>
        <xdr:cNvPicPr>
          <a:picLocks noChangeAspect="1"/>
        </xdr:cNvPicPr>
      </xdr:nvPicPr>
      <xdr:blipFill>
        <a:blip xmlns:r="http://schemas.openxmlformats.org/officeDocument/2006/relationships" r:embed="rId1"/>
        <a:stretch>
          <a:fillRect/>
        </a:stretch>
      </xdr:blipFill>
      <xdr:spPr>
        <a:xfrm>
          <a:off x="31750" y="9550401"/>
          <a:ext cx="2159000" cy="18214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67</xdr:row>
      <xdr:rowOff>139701</xdr:rowOff>
    </xdr:from>
    <xdr:to>
      <xdr:col>1</xdr:col>
      <xdr:colOff>720725</xdr:colOff>
      <xdr:row>77</xdr:row>
      <xdr:rowOff>129163</xdr:rowOff>
    </xdr:to>
    <xdr:pic>
      <xdr:nvPicPr>
        <xdr:cNvPr id="2" name="Imagen 1">
          <a:extLst>
            <a:ext uri="{FF2B5EF4-FFF2-40B4-BE49-F238E27FC236}">
              <a16:creationId xmlns:a16="http://schemas.microsoft.com/office/drawing/2014/main" id="{927A707D-1C82-49C4-9BBA-A95E419AB7A0}"/>
            </a:ext>
          </a:extLst>
        </xdr:cNvPr>
        <xdr:cNvPicPr>
          <a:picLocks noChangeAspect="1"/>
        </xdr:cNvPicPr>
      </xdr:nvPicPr>
      <xdr:blipFill>
        <a:blip xmlns:r="http://schemas.openxmlformats.org/officeDocument/2006/relationships" r:embed="rId1"/>
        <a:stretch>
          <a:fillRect/>
        </a:stretch>
      </xdr:blipFill>
      <xdr:spPr>
        <a:xfrm>
          <a:off x="0" y="16897351"/>
          <a:ext cx="2159000" cy="18214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19050</xdr:colOff>
      <xdr:row>55</xdr:row>
      <xdr:rowOff>101601</xdr:rowOff>
    </xdr:from>
    <xdr:to>
      <xdr:col>1</xdr:col>
      <xdr:colOff>263525</xdr:colOff>
      <xdr:row>65</xdr:row>
      <xdr:rowOff>91062</xdr:rowOff>
    </xdr:to>
    <xdr:pic>
      <xdr:nvPicPr>
        <xdr:cNvPr id="2" name="Imagen 1">
          <a:extLst>
            <a:ext uri="{FF2B5EF4-FFF2-40B4-BE49-F238E27FC236}">
              <a16:creationId xmlns:a16="http://schemas.microsoft.com/office/drawing/2014/main" id="{A857D860-F5F2-4023-9D5F-CF0D9495AD66}"/>
            </a:ext>
          </a:extLst>
        </xdr:cNvPr>
        <xdr:cNvPicPr>
          <a:picLocks noChangeAspect="1"/>
        </xdr:cNvPicPr>
      </xdr:nvPicPr>
      <xdr:blipFill>
        <a:blip xmlns:r="http://schemas.openxmlformats.org/officeDocument/2006/relationships" r:embed="rId1"/>
        <a:stretch>
          <a:fillRect/>
        </a:stretch>
      </xdr:blipFill>
      <xdr:spPr>
        <a:xfrm>
          <a:off x="19050" y="10229851"/>
          <a:ext cx="2159000" cy="18214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766529</xdr:colOff>
      <xdr:row>72</xdr:row>
      <xdr:rowOff>127000</xdr:rowOff>
    </xdr:from>
    <xdr:to>
      <xdr:col>5</xdr:col>
      <xdr:colOff>378386</xdr:colOff>
      <xdr:row>77</xdr:row>
      <xdr:rowOff>76597</xdr:rowOff>
    </xdr:to>
    <xdr:pic>
      <xdr:nvPicPr>
        <xdr:cNvPr id="4" name="Imagen 3">
          <a:extLst>
            <a:ext uri="{FF2B5EF4-FFF2-40B4-BE49-F238E27FC236}">
              <a16:creationId xmlns:a16="http://schemas.microsoft.com/office/drawing/2014/main" id="{865CA8A7-B5D6-41B0-9639-9B1D4A67A180}"/>
            </a:ext>
          </a:extLst>
        </xdr:cNvPr>
        <xdr:cNvPicPr>
          <a:picLocks noChangeAspect="1"/>
        </xdr:cNvPicPr>
      </xdr:nvPicPr>
      <xdr:blipFill>
        <a:blip xmlns:r="http://schemas.openxmlformats.org/officeDocument/2006/relationships" r:embed="rId1"/>
        <a:stretch>
          <a:fillRect/>
        </a:stretch>
      </xdr:blipFill>
      <xdr:spPr>
        <a:xfrm>
          <a:off x="3503379" y="13569950"/>
          <a:ext cx="2847182" cy="870347"/>
        </a:xfrm>
        <a:prstGeom prst="rect">
          <a:avLst/>
        </a:prstGeom>
      </xdr:spPr>
    </xdr:pic>
    <xdr:clientData/>
  </xdr:twoCellAnchor>
</xdr:wsDr>
</file>

<file path=xl/theme/theme1.xml><?xml version="1.0" encoding="utf-8"?>
<a:theme xmlns:a="http://schemas.openxmlformats.org/drawingml/2006/main" name="Office Them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workbookViewId="0">
      <selection activeCell="E24" sqref="E24"/>
    </sheetView>
  </sheetViews>
  <sheetFormatPr baseColWidth="10" defaultColWidth="8.7265625" defaultRowHeight="14.5" x14ac:dyDescent="0.35"/>
  <cols>
    <col min="1" max="1" width="13.26953125" customWidth="1"/>
    <col min="2" max="2" width="14.81640625" customWidth="1"/>
    <col min="3" max="3" width="14.1796875" customWidth="1"/>
    <col min="4" max="4" width="12.54296875" customWidth="1"/>
    <col min="6" max="6" width="10.1796875" customWidth="1"/>
  </cols>
  <sheetData>
    <row r="1" spans="1:6" x14ac:dyDescent="0.35">
      <c r="A1" s="1" t="s">
        <v>0</v>
      </c>
    </row>
    <row r="7" spans="1:6" x14ac:dyDescent="0.35">
      <c r="A7" s="172" t="s">
        <v>1</v>
      </c>
      <c r="B7" s="172" t="s">
        <v>2</v>
      </c>
      <c r="C7" s="172" t="s">
        <v>3</v>
      </c>
      <c r="D7" s="172"/>
      <c r="E7" s="172" t="s">
        <v>6</v>
      </c>
      <c r="F7" s="172"/>
    </row>
    <row r="8" spans="1:6" x14ac:dyDescent="0.35">
      <c r="A8" s="172"/>
      <c r="B8" s="172"/>
      <c r="C8" s="9" t="s">
        <v>4</v>
      </c>
      <c r="D8" s="9" t="s">
        <v>5</v>
      </c>
      <c r="E8" s="9" t="s">
        <v>4</v>
      </c>
      <c r="F8" s="9" t="s">
        <v>5</v>
      </c>
    </row>
    <row r="9" spans="1:6" x14ac:dyDescent="0.35">
      <c r="A9" s="9" t="s">
        <v>7</v>
      </c>
      <c r="B9" s="6">
        <v>12000</v>
      </c>
      <c r="C9" s="7">
        <v>0.5</v>
      </c>
      <c r="D9" s="7">
        <v>0.5</v>
      </c>
      <c r="E9" s="5">
        <v>15</v>
      </c>
      <c r="F9" s="5">
        <v>16.5</v>
      </c>
    </row>
    <row r="10" spans="1:6" x14ac:dyDescent="0.35">
      <c r="A10" s="9" t="s">
        <v>8</v>
      </c>
      <c r="B10" s="6">
        <v>15000</v>
      </c>
      <c r="C10" s="7">
        <v>0.4</v>
      </c>
      <c r="D10" s="7">
        <v>0.6</v>
      </c>
      <c r="E10" s="5">
        <v>24</v>
      </c>
      <c r="F10" s="5">
        <v>27</v>
      </c>
    </row>
    <row r="11" spans="1:6" x14ac:dyDescent="0.35">
      <c r="A11" s="9" t="s">
        <v>9</v>
      </c>
      <c r="B11" s="6">
        <v>22000</v>
      </c>
      <c r="C11" s="7">
        <v>0.7</v>
      </c>
      <c r="D11" s="7">
        <v>0.3</v>
      </c>
      <c r="E11" s="5">
        <v>12.5</v>
      </c>
      <c r="F11" s="5">
        <v>14</v>
      </c>
    </row>
    <row r="13" spans="1:6" x14ac:dyDescent="0.35">
      <c r="A13" s="10" t="s">
        <v>10</v>
      </c>
      <c r="B13" s="11"/>
    </row>
    <row r="15" spans="1:6" x14ac:dyDescent="0.35">
      <c r="A15" s="2"/>
      <c r="B15" s="14" t="s">
        <v>11</v>
      </c>
      <c r="C15" s="14" t="s">
        <v>17</v>
      </c>
      <c r="D15" s="14" t="s">
        <v>18</v>
      </c>
    </row>
    <row r="16" spans="1:6" x14ac:dyDescent="0.35">
      <c r="A16" s="8" t="s">
        <v>12</v>
      </c>
      <c r="B16" s="6">
        <v>12000</v>
      </c>
      <c r="C16" s="2">
        <f>B10</f>
        <v>15000</v>
      </c>
      <c r="D16" s="2">
        <f>B11</f>
        <v>22000</v>
      </c>
    </row>
    <row r="17" spans="1:5" x14ac:dyDescent="0.35">
      <c r="A17" s="8" t="s">
        <v>13</v>
      </c>
      <c r="B17" s="6">
        <f>B16*C9</f>
        <v>6000</v>
      </c>
      <c r="C17" s="2">
        <f>C16*C10</f>
        <v>6000</v>
      </c>
      <c r="D17" s="2">
        <f>D16*C11</f>
        <v>15399.999999999998</v>
      </c>
    </row>
    <row r="18" spans="1:5" x14ac:dyDescent="0.35">
      <c r="A18" s="8" t="s">
        <v>14</v>
      </c>
      <c r="B18" s="6">
        <f>B16*D9</f>
        <v>6000</v>
      </c>
      <c r="C18" s="2">
        <f>B10*D10</f>
        <v>9000</v>
      </c>
      <c r="D18" s="2">
        <f>D16*D11</f>
        <v>6600</v>
      </c>
    </row>
    <row r="19" spans="1:5" x14ac:dyDescent="0.35">
      <c r="A19" s="8"/>
      <c r="B19" s="6"/>
      <c r="C19" s="2"/>
      <c r="D19" s="2"/>
    </row>
    <row r="20" spans="1:5" x14ac:dyDescent="0.35">
      <c r="A20" s="8" t="s">
        <v>15</v>
      </c>
      <c r="B20" s="6"/>
      <c r="C20" s="2"/>
      <c r="D20" s="2"/>
    </row>
    <row r="21" spans="1:5" x14ac:dyDescent="0.35">
      <c r="A21" s="8" t="s">
        <v>13</v>
      </c>
      <c r="B21" s="15">
        <f>E9</f>
        <v>15</v>
      </c>
      <c r="C21" s="12">
        <f>E10</f>
        <v>24</v>
      </c>
      <c r="D21" s="12">
        <f>E11</f>
        <v>12.5</v>
      </c>
    </row>
    <row r="22" spans="1:5" x14ac:dyDescent="0.35">
      <c r="A22" s="8" t="s">
        <v>14</v>
      </c>
      <c r="B22" s="15">
        <f>F9</f>
        <v>16.5</v>
      </c>
      <c r="C22" s="12">
        <f>F10</f>
        <v>27</v>
      </c>
      <c r="D22" s="12">
        <f>F11</f>
        <v>14</v>
      </c>
    </row>
    <row r="23" spans="1:5" x14ac:dyDescent="0.35">
      <c r="A23" s="8"/>
      <c r="B23" s="6"/>
      <c r="C23" s="2"/>
      <c r="D23" s="2"/>
    </row>
    <row r="24" spans="1:5" x14ac:dyDescent="0.35">
      <c r="A24" s="17" t="s">
        <v>16</v>
      </c>
      <c r="B24" s="18">
        <f>SUM(B25:B26)</f>
        <v>189000</v>
      </c>
      <c r="C24" s="18">
        <f>SUM(C25:C26)</f>
        <v>387000</v>
      </c>
      <c r="D24" s="18">
        <f>SUM(D25:D26)</f>
        <v>284900</v>
      </c>
      <c r="E24" s="31" t="s">
        <v>41</v>
      </c>
    </row>
    <row r="25" spans="1:5" x14ac:dyDescent="0.35">
      <c r="A25" s="8" t="s">
        <v>13</v>
      </c>
      <c r="B25" s="15">
        <f t="shared" ref="B25:D26" si="0">B17*B21</f>
        <v>90000</v>
      </c>
      <c r="C25" s="12">
        <f t="shared" si="0"/>
        <v>144000</v>
      </c>
      <c r="D25" s="12">
        <f t="shared" si="0"/>
        <v>192499.99999999997</v>
      </c>
    </row>
    <row r="26" spans="1:5" x14ac:dyDescent="0.35">
      <c r="A26" s="8" t="s">
        <v>14</v>
      </c>
      <c r="B26" s="15">
        <f t="shared" si="0"/>
        <v>99000</v>
      </c>
      <c r="C26" s="12">
        <f t="shared" si="0"/>
        <v>243000</v>
      </c>
      <c r="D26" s="12">
        <f t="shared" si="0"/>
        <v>92400</v>
      </c>
    </row>
  </sheetData>
  <mergeCells count="4">
    <mergeCell ref="A7:A8"/>
    <mergeCell ref="B7:B8"/>
    <mergeCell ref="C7:D7"/>
    <mergeCell ref="E7:F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3858-2514-4E0F-9345-AB955D818564}">
  <dimension ref="A1:J46"/>
  <sheetViews>
    <sheetView topLeftCell="A31" zoomScale="80" zoomScaleNormal="80" workbookViewId="0">
      <selection activeCell="C45" sqref="C45"/>
    </sheetView>
  </sheetViews>
  <sheetFormatPr baseColWidth="10" defaultRowHeight="14.5" x14ac:dyDescent="0.35"/>
  <cols>
    <col min="1" max="1" width="18.26953125" customWidth="1"/>
    <col min="2" max="2" width="14.26953125" customWidth="1"/>
    <col min="3" max="3" width="15.453125" customWidth="1"/>
    <col min="7" max="7" width="19.54296875" customWidth="1"/>
    <col min="8" max="8" width="15.453125" customWidth="1"/>
    <col min="9" max="9" width="15.1796875" customWidth="1"/>
    <col min="11" max="11" width="21.26953125" customWidth="1"/>
    <col min="12" max="12" width="15.453125" customWidth="1"/>
    <col min="13" max="13" width="17.1796875" customWidth="1"/>
  </cols>
  <sheetData>
    <row r="1" spans="1:10" x14ac:dyDescent="0.35">
      <c r="A1" s="1" t="s">
        <v>19</v>
      </c>
    </row>
    <row r="6" spans="1:10" ht="30" customHeight="1" x14ac:dyDescent="0.35">
      <c r="A6" s="178" t="s">
        <v>1</v>
      </c>
      <c r="B6" s="178" t="s">
        <v>2</v>
      </c>
      <c r="C6" s="178" t="s">
        <v>3</v>
      </c>
      <c r="D6" s="178"/>
      <c r="E6" s="178" t="s">
        <v>6</v>
      </c>
      <c r="F6" s="178"/>
      <c r="G6" s="178" t="s">
        <v>20</v>
      </c>
      <c r="H6" s="178"/>
      <c r="I6" s="173" t="s">
        <v>21</v>
      </c>
      <c r="J6" s="174"/>
    </row>
    <row r="7" spans="1:10" x14ac:dyDescent="0.35">
      <c r="A7" s="178"/>
      <c r="B7" s="178"/>
      <c r="C7" s="19" t="s">
        <v>4</v>
      </c>
      <c r="D7" s="19" t="s">
        <v>5</v>
      </c>
      <c r="E7" s="19" t="s">
        <v>4</v>
      </c>
      <c r="F7" s="19" t="s">
        <v>5</v>
      </c>
      <c r="G7" s="19" t="s">
        <v>4</v>
      </c>
      <c r="H7" s="19" t="s">
        <v>5</v>
      </c>
      <c r="I7" s="19" t="s">
        <v>4</v>
      </c>
      <c r="J7" s="19" t="s">
        <v>5</v>
      </c>
    </row>
    <row r="8" spans="1:10" x14ac:dyDescent="0.35">
      <c r="A8" s="9" t="s">
        <v>7</v>
      </c>
      <c r="B8" s="6">
        <v>35000</v>
      </c>
      <c r="C8" s="7">
        <v>0.5</v>
      </c>
      <c r="D8" s="7">
        <v>0.5</v>
      </c>
      <c r="E8" s="5">
        <v>23</v>
      </c>
      <c r="F8" s="5">
        <v>22</v>
      </c>
      <c r="G8" s="4">
        <v>0.2</v>
      </c>
      <c r="H8" s="4">
        <v>0.25</v>
      </c>
      <c r="I8" s="5">
        <f>E8-E8*(1-0.18)</f>
        <v>4.139999999999997</v>
      </c>
      <c r="J8" s="5">
        <f>F8-F8*(1-0.18)</f>
        <v>3.9599999999999973</v>
      </c>
    </row>
    <row r="9" spans="1:10" x14ac:dyDescent="0.35">
      <c r="A9" s="9" t="s">
        <v>8</v>
      </c>
      <c r="B9" s="6">
        <v>52000</v>
      </c>
      <c r="C9" s="7">
        <v>0.6</v>
      </c>
      <c r="D9" s="7">
        <v>0.4</v>
      </c>
      <c r="E9" s="5">
        <v>31</v>
      </c>
      <c r="F9" s="5">
        <v>33</v>
      </c>
      <c r="G9" s="4">
        <v>0.3</v>
      </c>
      <c r="H9" s="4">
        <v>0.15</v>
      </c>
      <c r="I9" s="5">
        <f>E9-E9*(1-0.21)</f>
        <v>6.509999999999998</v>
      </c>
      <c r="J9" s="5">
        <f>F9-F9*(1-0.21)</f>
        <v>6.93</v>
      </c>
    </row>
    <row r="16" spans="1:10" x14ac:dyDescent="0.35">
      <c r="A16" s="2"/>
      <c r="B16" s="14" t="s">
        <v>11</v>
      </c>
      <c r="C16" s="14" t="s">
        <v>17</v>
      </c>
    </row>
    <row r="17" spans="1:3" x14ac:dyDescent="0.35">
      <c r="A17" s="175" t="s">
        <v>26</v>
      </c>
      <c r="B17" s="176"/>
      <c r="C17" s="177"/>
    </row>
    <row r="18" spans="1:3" x14ac:dyDescent="0.35">
      <c r="A18" s="8" t="s">
        <v>12</v>
      </c>
      <c r="B18" s="6">
        <f>B8</f>
        <v>35000</v>
      </c>
      <c r="C18" s="2">
        <f>B9</f>
        <v>52000</v>
      </c>
    </row>
    <row r="19" spans="1:3" x14ac:dyDescent="0.35">
      <c r="A19" s="8" t="s">
        <v>13</v>
      </c>
      <c r="B19" s="6">
        <f>B18*C8</f>
        <v>17500</v>
      </c>
      <c r="C19" s="2">
        <f>C18*C9</f>
        <v>31200</v>
      </c>
    </row>
    <row r="20" spans="1:3" x14ac:dyDescent="0.35">
      <c r="A20" s="8" t="s">
        <v>14</v>
      </c>
      <c r="B20" s="6">
        <f>B18*D8</f>
        <v>17500</v>
      </c>
      <c r="C20" s="2">
        <f>C18*D9</f>
        <v>20800</v>
      </c>
    </row>
    <row r="21" spans="1:3" x14ac:dyDescent="0.35">
      <c r="A21" s="8"/>
      <c r="B21" s="6"/>
      <c r="C21" s="2"/>
    </row>
    <row r="22" spans="1:3" x14ac:dyDescent="0.35">
      <c r="A22" s="8" t="s">
        <v>22</v>
      </c>
      <c r="B22" s="6"/>
      <c r="C22" s="2"/>
    </row>
    <row r="23" spans="1:3" x14ac:dyDescent="0.35">
      <c r="A23" s="8" t="s">
        <v>13</v>
      </c>
      <c r="B23" s="15">
        <f>E8</f>
        <v>23</v>
      </c>
      <c r="C23" s="12">
        <v>31</v>
      </c>
    </row>
    <row r="24" spans="1:3" x14ac:dyDescent="0.35">
      <c r="A24" s="8" t="s">
        <v>14</v>
      </c>
      <c r="B24" s="15">
        <f>F8</f>
        <v>22</v>
      </c>
      <c r="C24" s="12">
        <f>F9</f>
        <v>33</v>
      </c>
    </row>
    <row r="25" spans="1:3" x14ac:dyDescent="0.35">
      <c r="A25" s="8"/>
      <c r="B25" s="15"/>
      <c r="C25" s="12"/>
    </row>
    <row r="26" spans="1:3" x14ac:dyDescent="0.35">
      <c r="A26" s="17" t="s">
        <v>24</v>
      </c>
      <c r="B26" s="18">
        <f>SUM(B27:B28)</f>
        <v>787500</v>
      </c>
      <c r="C26" s="18">
        <f>SUM(C27:C28)</f>
        <v>1653600</v>
      </c>
    </row>
    <row r="27" spans="1:3" x14ac:dyDescent="0.35">
      <c r="A27" s="8" t="s">
        <v>13</v>
      </c>
      <c r="B27" s="15">
        <f>B19*B23</f>
        <v>402500</v>
      </c>
      <c r="C27" s="12">
        <f>C19*C23</f>
        <v>967200</v>
      </c>
    </row>
    <row r="28" spans="1:3" x14ac:dyDescent="0.35">
      <c r="A28" s="8" t="s">
        <v>14</v>
      </c>
      <c r="B28" s="15">
        <f>B20*B24</f>
        <v>385000</v>
      </c>
      <c r="C28" s="12">
        <f>C20*C24</f>
        <v>686400</v>
      </c>
    </row>
    <row r="29" spans="1:3" x14ac:dyDescent="0.35">
      <c r="A29" s="8"/>
      <c r="B29" s="15"/>
      <c r="C29" s="12"/>
    </row>
    <row r="30" spans="1:3" x14ac:dyDescent="0.35">
      <c r="A30" s="175" t="s">
        <v>27</v>
      </c>
      <c r="B30" s="176"/>
      <c r="C30" s="177"/>
    </row>
    <row r="31" spans="1:3" x14ac:dyDescent="0.35">
      <c r="A31" s="8" t="s">
        <v>12</v>
      </c>
      <c r="B31" s="6">
        <v>35000</v>
      </c>
      <c r="C31" s="2">
        <v>52000</v>
      </c>
    </row>
    <row r="32" spans="1:3" x14ac:dyDescent="0.35">
      <c r="A32" s="8" t="s">
        <v>13</v>
      </c>
      <c r="B32" s="6">
        <f>B31*G8*D8</f>
        <v>3500</v>
      </c>
      <c r="C32" s="2">
        <f>C31*G9*C9</f>
        <v>9360</v>
      </c>
    </row>
    <row r="33" spans="1:4" x14ac:dyDescent="0.35">
      <c r="A33" s="8" t="s">
        <v>14</v>
      </c>
      <c r="B33" s="6">
        <f>B31*H8*D8</f>
        <v>4375</v>
      </c>
      <c r="C33" s="2">
        <f>C31*H9*D9</f>
        <v>3120</v>
      </c>
    </row>
    <row r="34" spans="1:4" x14ac:dyDescent="0.35">
      <c r="A34" s="8"/>
      <c r="B34" s="6"/>
      <c r="C34" s="2"/>
    </row>
    <row r="35" spans="1:4" x14ac:dyDescent="0.35">
      <c r="A35" s="8" t="s">
        <v>23</v>
      </c>
      <c r="B35" s="15"/>
      <c r="C35" s="12"/>
    </row>
    <row r="36" spans="1:4" x14ac:dyDescent="0.35">
      <c r="A36" s="8" t="s">
        <v>13</v>
      </c>
      <c r="B36" s="15">
        <f>I8</f>
        <v>4.139999999999997</v>
      </c>
      <c r="C36" s="12">
        <f>I9</f>
        <v>6.509999999999998</v>
      </c>
    </row>
    <row r="37" spans="1:4" x14ac:dyDescent="0.35">
      <c r="A37" s="8" t="s">
        <v>14</v>
      </c>
      <c r="B37" s="15">
        <f>J8</f>
        <v>3.9599999999999973</v>
      </c>
      <c r="C37" s="12">
        <f>J9</f>
        <v>6.93</v>
      </c>
    </row>
    <row r="38" spans="1:4" x14ac:dyDescent="0.35">
      <c r="A38" s="8"/>
      <c r="B38" s="6"/>
      <c r="C38" s="2"/>
    </row>
    <row r="39" spans="1:4" x14ac:dyDescent="0.35">
      <c r="A39" s="17" t="s">
        <v>25</v>
      </c>
      <c r="B39" s="18">
        <f>SUM(B40:B41)</f>
        <v>31814.999999999978</v>
      </c>
      <c r="C39" s="18">
        <f>SUM(C40:C41)</f>
        <v>82555.199999999983</v>
      </c>
    </row>
    <row r="40" spans="1:4" x14ac:dyDescent="0.35">
      <c r="A40" s="8" t="s">
        <v>13</v>
      </c>
      <c r="B40" s="15">
        <f>B32*B36</f>
        <v>14489.999999999989</v>
      </c>
      <c r="C40" s="12">
        <f>C32*C36</f>
        <v>60933.599999999984</v>
      </c>
    </row>
    <row r="41" spans="1:4" x14ac:dyDescent="0.35">
      <c r="A41" s="8" t="s">
        <v>14</v>
      </c>
      <c r="B41" s="15">
        <f>B33*B37</f>
        <v>17324.999999999989</v>
      </c>
      <c r="C41" s="12">
        <f>C33*C37</f>
        <v>21621.599999999999</v>
      </c>
    </row>
    <row r="42" spans="1:4" x14ac:dyDescent="0.35">
      <c r="A42" s="32" t="s">
        <v>44</v>
      </c>
      <c r="B42" s="33">
        <f>B26-B39</f>
        <v>755685</v>
      </c>
      <c r="C42" s="33">
        <f>C26-C39</f>
        <v>1571044.8</v>
      </c>
      <c r="D42" s="31" t="s">
        <v>41</v>
      </c>
    </row>
    <row r="43" spans="1:4" x14ac:dyDescent="0.35">
      <c r="A43" s="13"/>
      <c r="B43" s="13"/>
    </row>
    <row r="44" spans="1:4" x14ac:dyDescent="0.35">
      <c r="A44" s="16" t="s">
        <v>42</v>
      </c>
      <c r="B44" s="12">
        <f>B27+C27-B40-C40</f>
        <v>1294276.3999999999</v>
      </c>
    </row>
    <row r="45" spans="1:4" x14ac:dyDescent="0.35">
      <c r="A45" s="16" t="s">
        <v>43</v>
      </c>
      <c r="B45" s="12">
        <f>B28+C28-B41-C41</f>
        <v>1032453.4</v>
      </c>
    </row>
    <row r="46" spans="1:4" x14ac:dyDescent="0.35">
      <c r="A46" s="32" t="s">
        <v>44</v>
      </c>
      <c r="B46" s="33">
        <f>B44+B45</f>
        <v>2326729.7999999998</v>
      </c>
      <c r="C46" s="31" t="s">
        <v>41</v>
      </c>
    </row>
  </sheetData>
  <mergeCells count="8">
    <mergeCell ref="I6:J6"/>
    <mergeCell ref="A17:C17"/>
    <mergeCell ref="A30:C30"/>
    <mergeCell ref="A6:A7"/>
    <mergeCell ref="B6:B7"/>
    <mergeCell ref="C6:D6"/>
    <mergeCell ref="E6:F6"/>
    <mergeCell ref="G6:H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8E7D-FA9A-44AF-A523-9D03E384C559}">
  <dimension ref="A1:F17"/>
  <sheetViews>
    <sheetView workbookViewId="0"/>
  </sheetViews>
  <sheetFormatPr baseColWidth="10" defaultRowHeight="14.5" x14ac:dyDescent="0.35"/>
  <cols>
    <col min="1" max="1" width="15.1796875" customWidth="1"/>
    <col min="2" max="2" width="15" customWidth="1"/>
  </cols>
  <sheetData>
    <row r="1" spans="1:6" x14ac:dyDescent="0.35">
      <c r="A1" s="1" t="s">
        <v>28</v>
      </c>
    </row>
    <row r="6" spans="1:6" ht="58" x14ac:dyDescent="0.35">
      <c r="A6" s="9" t="s">
        <v>29</v>
      </c>
      <c r="B6" s="19" t="s">
        <v>30</v>
      </c>
      <c r="C6" s="19" t="s">
        <v>31</v>
      </c>
      <c r="D6" s="19" t="s">
        <v>32</v>
      </c>
      <c r="E6" s="19" t="s">
        <v>34</v>
      </c>
      <c r="F6" s="27" t="s">
        <v>36</v>
      </c>
    </row>
    <row r="7" spans="1:6" x14ac:dyDescent="0.35">
      <c r="A7" s="9" t="s">
        <v>7</v>
      </c>
      <c r="B7" s="7">
        <v>0.05</v>
      </c>
      <c r="C7" s="6">
        <v>2400</v>
      </c>
      <c r="D7" s="6">
        <v>300</v>
      </c>
      <c r="E7" s="7">
        <v>0.25</v>
      </c>
      <c r="F7" s="28">
        <f>C7*(1+B7)</f>
        <v>2520</v>
      </c>
    </row>
    <row r="8" spans="1:6" x14ac:dyDescent="0.35">
      <c r="A8" s="9" t="s">
        <v>8</v>
      </c>
      <c r="B8" s="7">
        <v>0.08</v>
      </c>
      <c r="C8" s="6">
        <v>3200</v>
      </c>
      <c r="D8" s="6">
        <v>500</v>
      </c>
      <c r="E8" s="7">
        <v>0.25</v>
      </c>
      <c r="F8" s="28">
        <f>C8*(1+B8)</f>
        <v>3456</v>
      </c>
    </row>
    <row r="9" spans="1:6" x14ac:dyDescent="0.35">
      <c r="A9" s="9" t="s">
        <v>9</v>
      </c>
      <c r="B9" s="7">
        <v>0.12</v>
      </c>
      <c r="C9" s="6">
        <v>3750</v>
      </c>
      <c r="D9" s="6">
        <v>800</v>
      </c>
      <c r="E9" s="7">
        <v>0.25</v>
      </c>
      <c r="F9" s="28">
        <f>C9*(1+B9)</f>
        <v>4200</v>
      </c>
    </row>
    <row r="11" spans="1:6" x14ac:dyDescent="0.35">
      <c r="A11" s="25" t="s">
        <v>35</v>
      </c>
      <c r="B11" s="26"/>
      <c r="C11" s="26"/>
    </row>
    <row r="13" spans="1:6" x14ac:dyDescent="0.35">
      <c r="A13" s="2"/>
      <c r="B13" s="22" t="s">
        <v>7</v>
      </c>
      <c r="C13" s="22" t="s">
        <v>8</v>
      </c>
      <c r="D13" s="22" t="s">
        <v>9</v>
      </c>
    </row>
    <row r="14" spans="1:6" ht="29" x14ac:dyDescent="0.35">
      <c r="A14" s="24" t="s">
        <v>37</v>
      </c>
      <c r="B14" s="2">
        <f>F7</f>
        <v>2520</v>
      </c>
      <c r="C14" s="2">
        <f>F8</f>
        <v>3456</v>
      </c>
      <c r="D14" s="2">
        <f>F9</f>
        <v>4200</v>
      </c>
    </row>
    <row r="15" spans="1:6" x14ac:dyDescent="0.35">
      <c r="A15" s="24" t="s">
        <v>38</v>
      </c>
      <c r="B15" s="2">
        <f>F7*E7</f>
        <v>630</v>
      </c>
      <c r="C15" s="2">
        <f>F8*E8</f>
        <v>864</v>
      </c>
      <c r="D15" s="2">
        <f>F9*E9</f>
        <v>1050</v>
      </c>
    </row>
    <row r="16" spans="1:6" x14ac:dyDescent="0.35">
      <c r="A16" s="24" t="s">
        <v>39</v>
      </c>
      <c r="B16" s="2">
        <f>D7</f>
        <v>300</v>
      </c>
      <c r="C16" s="2">
        <f>D8</f>
        <v>500</v>
      </c>
      <c r="D16" s="2">
        <f>D9</f>
        <v>800</v>
      </c>
    </row>
    <row r="17" spans="1:5" ht="29" x14ac:dyDescent="0.35">
      <c r="A17" s="29" t="s">
        <v>40</v>
      </c>
      <c r="B17" s="30">
        <f>B14+B15-B16</f>
        <v>2850</v>
      </c>
      <c r="C17" s="30">
        <f>C14+C15-C16</f>
        <v>3820</v>
      </c>
      <c r="D17" s="30">
        <f>D14+D15-D16</f>
        <v>4450</v>
      </c>
      <c r="E17" s="31" t="s">
        <v>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94D5-7D4F-47F4-B871-294AA32B0FDA}">
  <dimension ref="A1:H17"/>
  <sheetViews>
    <sheetView zoomScale="90" zoomScaleNormal="90" workbookViewId="0">
      <selection activeCell="E1" sqref="E1"/>
    </sheetView>
  </sheetViews>
  <sheetFormatPr baseColWidth="10" defaultRowHeight="14.5" x14ac:dyDescent="0.35"/>
  <cols>
    <col min="2" max="2" width="14.453125" customWidth="1"/>
    <col min="5" max="5" width="13" customWidth="1"/>
  </cols>
  <sheetData>
    <row r="1" spans="1:8" x14ac:dyDescent="0.35">
      <c r="A1" s="1" t="s">
        <v>45</v>
      </c>
    </row>
    <row r="6" spans="1:8" ht="58" x14ac:dyDescent="0.35">
      <c r="A6" s="38" t="s">
        <v>29</v>
      </c>
      <c r="B6" s="37" t="s">
        <v>30</v>
      </c>
      <c r="C6" s="37" t="s">
        <v>31</v>
      </c>
      <c r="D6" s="37" t="s">
        <v>32</v>
      </c>
      <c r="E6" s="37" t="s">
        <v>47</v>
      </c>
      <c r="F6" s="27" t="s">
        <v>36</v>
      </c>
      <c r="G6" s="27" t="s">
        <v>49</v>
      </c>
      <c r="H6" s="27" t="s">
        <v>38</v>
      </c>
    </row>
    <row r="7" spans="1:8" x14ac:dyDescent="0.35">
      <c r="A7" s="9" t="s">
        <v>7</v>
      </c>
      <c r="B7" s="7">
        <v>0.05</v>
      </c>
      <c r="C7" s="6">
        <v>2400</v>
      </c>
      <c r="D7" s="6">
        <v>300</v>
      </c>
      <c r="E7" s="34">
        <v>2</v>
      </c>
      <c r="F7" s="28">
        <f>C7*(1+B7)</f>
        <v>2520</v>
      </c>
      <c r="G7" s="28">
        <f>F7/12</f>
        <v>210</v>
      </c>
      <c r="H7" s="28">
        <f>G7*E7</f>
        <v>420</v>
      </c>
    </row>
    <row r="8" spans="1:8" x14ac:dyDescent="0.35">
      <c r="A8" s="9" t="s">
        <v>8</v>
      </c>
      <c r="B8" s="7">
        <v>0.08</v>
      </c>
      <c r="C8" s="6">
        <v>3200</v>
      </c>
      <c r="D8" s="6">
        <v>500</v>
      </c>
      <c r="E8" s="34" t="s">
        <v>46</v>
      </c>
      <c r="F8" s="28">
        <f>C8*(1+B8)</f>
        <v>3456</v>
      </c>
      <c r="G8" s="39">
        <f>F8/12</f>
        <v>288</v>
      </c>
      <c r="H8" s="39">
        <f>288*1.5</f>
        <v>432</v>
      </c>
    </row>
    <row r="9" spans="1:8" x14ac:dyDescent="0.35">
      <c r="A9" s="9" t="s">
        <v>9</v>
      </c>
      <c r="B9" s="7">
        <v>0.12</v>
      </c>
      <c r="C9" s="6">
        <v>3750</v>
      </c>
      <c r="D9" s="6">
        <v>800</v>
      </c>
      <c r="E9" s="34">
        <v>1</v>
      </c>
      <c r="F9" s="28">
        <f>C9*(1+B9)</f>
        <v>4200</v>
      </c>
      <c r="G9" s="28">
        <f>F9/12</f>
        <v>350</v>
      </c>
      <c r="H9" s="28">
        <f>G9</f>
        <v>350</v>
      </c>
    </row>
    <row r="11" spans="1:8" x14ac:dyDescent="0.35">
      <c r="A11" s="35" t="s">
        <v>48</v>
      </c>
      <c r="B11" s="36"/>
    </row>
    <row r="13" spans="1:8" x14ac:dyDescent="0.35">
      <c r="A13" s="2"/>
      <c r="B13" s="8" t="s">
        <v>7</v>
      </c>
      <c r="C13" s="8" t="s">
        <v>8</v>
      </c>
      <c r="D13" s="8" t="s">
        <v>9</v>
      </c>
    </row>
    <row r="14" spans="1:8" ht="29" x14ac:dyDescent="0.35">
      <c r="A14" s="24" t="s">
        <v>37</v>
      </c>
      <c r="B14" s="2">
        <f>F7</f>
        <v>2520</v>
      </c>
      <c r="C14" s="2">
        <f>F8</f>
        <v>3456</v>
      </c>
      <c r="D14" s="2">
        <f>F9</f>
        <v>4200</v>
      </c>
    </row>
    <row r="15" spans="1:8" ht="29" x14ac:dyDescent="0.35">
      <c r="A15" s="24" t="s">
        <v>38</v>
      </c>
      <c r="B15" s="2">
        <f>H7</f>
        <v>420</v>
      </c>
      <c r="C15" s="40">
        <f>H8</f>
        <v>432</v>
      </c>
      <c r="D15" s="2">
        <f>H9</f>
        <v>350</v>
      </c>
    </row>
    <row r="16" spans="1:8" ht="29" x14ac:dyDescent="0.35">
      <c r="A16" s="24" t="s">
        <v>39</v>
      </c>
      <c r="B16" s="2">
        <f>D7</f>
        <v>300</v>
      </c>
      <c r="C16" s="2">
        <f>D8</f>
        <v>500</v>
      </c>
      <c r="D16" s="2">
        <f>D9</f>
        <v>800</v>
      </c>
    </row>
    <row r="17" spans="1:5" ht="29" x14ac:dyDescent="0.35">
      <c r="A17" s="29" t="s">
        <v>40</v>
      </c>
      <c r="B17" s="30">
        <f>B14+B15-B16</f>
        <v>2640</v>
      </c>
      <c r="C17" s="30">
        <f>C14+C15-C16</f>
        <v>3388</v>
      </c>
      <c r="D17" s="30">
        <f>D14+D15-D16</f>
        <v>3750</v>
      </c>
      <c r="E17" s="31" t="s">
        <v>41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9FD5-4703-4A31-902C-154F2B4BFE46}">
  <dimension ref="A1:G19"/>
  <sheetViews>
    <sheetView topLeftCell="A19" workbookViewId="0">
      <selection activeCell="F17" sqref="F17"/>
    </sheetView>
  </sheetViews>
  <sheetFormatPr baseColWidth="10" defaultRowHeight="14.5" x14ac:dyDescent="0.35"/>
  <sheetData>
    <row r="1" spans="1:7" x14ac:dyDescent="0.35">
      <c r="A1" s="1" t="s">
        <v>50</v>
      </c>
    </row>
    <row r="9" spans="1:7" ht="58" x14ac:dyDescent="0.35">
      <c r="A9" s="9" t="s">
        <v>29</v>
      </c>
      <c r="B9" s="19" t="s">
        <v>30</v>
      </c>
      <c r="C9" s="19" t="s">
        <v>31</v>
      </c>
      <c r="D9" s="19" t="s">
        <v>32</v>
      </c>
      <c r="E9" s="19" t="s">
        <v>34</v>
      </c>
      <c r="F9" s="41" t="s">
        <v>52</v>
      </c>
      <c r="G9" s="41" t="s">
        <v>33</v>
      </c>
    </row>
    <row r="10" spans="1:7" x14ac:dyDescent="0.35">
      <c r="A10" s="9" t="s">
        <v>7</v>
      </c>
      <c r="B10" s="7">
        <v>0.03</v>
      </c>
      <c r="C10" s="6">
        <v>2400</v>
      </c>
      <c r="D10" s="6">
        <v>300</v>
      </c>
      <c r="E10" s="7">
        <v>0.25</v>
      </c>
      <c r="F10" s="42">
        <f>C10*(1+B10)</f>
        <v>2472</v>
      </c>
      <c r="G10" s="42">
        <f>F10*E10</f>
        <v>618</v>
      </c>
    </row>
    <row r="11" spans="1:7" x14ac:dyDescent="0.35">
      <c r="A11" s="9" t="s">
        <v>8</v>
      </c>
      <c r="B11" s="7">
        <v>0.05</v>
      </c>
      <c r="C11" s="6">
        <v>3200</v>
      </c>
      <c r="D11" s="6">
        <v>500</v>
      </c>
      <c r="E11" s="7">
        <v>0.15</v>
      </c>
      <c r="F11" s="42">
        <f>C11*(1+B11)</f>
        <v>3360</v>
      </c>
      <c r="G11" s="42">
        <f>F11*E11</f>
        <v>504</v>
      </c>
    </row>
    <row r="12" spans="1:7" x14ac:dyDescent="0.35">
      <c r="A12" s="9" t="s">
        <v>9</v>
      </c>
      <c r="B12" s="7"/>
      <c r="C12" s="6"/>
      <c r="D12" s="6"/>
      <c r="E12" s="7">
        <v>0.2</v>
      </c>
      <c r="F12" s="42">
        <v>2000</v>
      </c>
      <c r="G12" s="42">
        <f>F12*E12</f>
        <v>400</v>
      </c>
    </row>
    <row r="14" spans="1:7" x14ac:dyDescent="0.35">
      <c r="A14" s="35" t="s">
        <v>51</v>
      </c>
    </row>
    <row r="16" spans="1:7" ht="29" x14ac:dyDescent="0.35">
      <c r="A16" s="24" t="s">
        <v>29</v>
      </c>
      <c r="B16" s="24" t="s">
        <v>52</v>
      </c>
      <c r="C16" s="24" t="s">
        <v>33</v>
      </c>
      <c r="D16" s="24" t="s">
        <v>53</v>
      </c>
      <c r="E16" s="19" t="s">
        <v>40</v>
      </c>
      <c r="F16" s="21"/>
    </row>
    <row r="17" spans="1:6" x14ac:dyDescent="0.35">
      <c r="A17" s="24" t="s">
        <v>7</v>
      </c>
      <c r="B17" s="23">
        <v>2472</v>
      </c>
      <c r="C17" s="23">
        <v>618</v>
      </c>
      <c r="D17" s="23">
        <f>D10</f>
        <v>300</v>
      </c>
      <c r="E17" s="43">
        <f>B17+C17-D17</f>
        <v>2790</v>
      </c>
      <c r="F17" s="31" t="s">
        <v>41</v>
      </c>
    </row>
    <row r="18" spans="1:6" x14ac:dyDescent="0.35">
      <c r="A18" s="24" t="s">
        <v>8</v>
      </c>
      <c r="B18" s="23">
        <v>3360</v>
      </c>
      <c r="C18" s="23">
        <v>504</v>
      </c>
      <c r="D18" s="23">
        <f>D11</f>
        <v>500</v>
      </c>
      <c r="E18" s="43">
        <f>B18+C18-D18</f>
        <v>3364</v>
      </c>
      <c r="F18" s="31" t="s">
        <v>41</v>
      </c>
    </row>
    <row r="19" spans="1:6" x14ac:dyDescent="0.35">
      <c r="A19" s="24" t="s">
        <v>9</v>
      </c>
      <c r="B19" s="23">
        <v>2000</v>
      </c>
      <c r="C19" s="23">
        <v>400</v>
      </c>
      <c r="D19" s="23">
        <v>0</v>
      </c>
      <c r="E19" s="43">
        <f>B19+C19-D19</f>
        <v>2400</v>
      </c>
      <c r="F19" s="31" t="s">
        <v>41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4667-0481-49E3-81F6-35E5DD980481}">
  <dimension ref="A1:H20"/>
  <sheetViews>
    <sheetView topLeftCell="A4" workbookViewId="0">
      <selection activeCell="A15" sqref="A15:G19"/>
    </sheetView>
  </sheetViews>
  <sheetFormatPr baseColWidth="10" defaultRowHeight="14.5" x14ac:dyDescent="0.35"/>
  <cols>
    <col min="2" max="2" width="18.1796875" customWidth="1"/>
    <col min="3" max="3" width="15.453125" customWidth="1"/>
    <col min="4" max="4" width="13.81640625" customWidth="1"/>
    <col min="7" max="7" width="13" customWidth="1"/>
  </cols>
  <sheetData>
    <row r="1" spans="1:7" x14ac:dyDescent="0.35">
      <c r="A1" s="1" t="s">
        <v>54</v>
      </c>
    </row>
    <row r="7" spans="1:7" ht="29" x14ac:dyDescent="0.35">
      <c r="A7" s="44" t="s">
        <v>55</v>
      </c>
      <c r="B7" s="44" t="s">
        <v>56</v>
      </c>
      <c r="C7" s="44" t="s">
        <v>57</v>
      </c>
      <c r="D7" s="44" t="s">
        <v>32</v>
      </c>
      <c r="E7" s="44" t="s">
        <v>60</v>
      </c>
      <c r="F7" s="44" t="s">
        <v>58</v>
      </c>
    </row>
    <row r="8" spans="1:7" x14ac:dyDescent="0.35">
      <c r="A8" s="44" t="s">
        <v>7</v>
      </c>
      <c r="B8" s="45">
        <v>0.03</v>
      </c>
      <c r="C8" s="46">
        <v>12000</v>
      </c>
      <c r="D8" s="46">
        <v>1500</v>
      </c>
      <c r="E8" s="45">
        <v>0.1</v>
      </c>
      <c r="F8" s="47">
        <v>1.3</v>
      </c>
    </row>
    <row r="9" spans="1:7" x14ac:dyDescent="0.35">
      <c r="A9" s="44" t="s">
        <v>8</v>
      </c>
      <c r="B9" s="45">
        <v>0.05</v>
      </c>
      <c r="C9" s="46">
        <v>16000</v>
      </c>
      <c r="D9" s="46">
        <v>1300</v>
      </c>
      <c r="E9" s="45">
        <v>0.1</v>
      </c>
      <c r="F9" s="47">
        <v>2.6</v>
      </c>
    </row>
    <row r="10" spans="1:7" x14ac:dyDescent="0.35">
      <c r="A10" s="44" t="s">
        <v>9</v>
      </c>
      <c r="B10" s="45">
        <v>7.4999999999999997E-2</v>
      </c>
      <c r="C10" s="46">
        <v>8000</v>
      </c>
      <c r="D10" s="46">
        <v>1400</v>
      </c>
      <c r="E10" s="45">
        <v>0.2</v>
      </c>
      <c r="F10" s="47">
        <v>6.35</v>
      </c>
    </row>
    <row r="11" spans="1:7" x14ac:dyDescent="0.35">
      <c r="A11" s="44" t="s">
        <v>59</v>
      </c>
      <c r="B11" s="45">
        <v>0.1</v>
      </c>
      <c r="C11" s="46">
        <v>20000</v>
      </c>
      <c r="D11" s="46">
        <v>850</v>
      </c>
      <c r="E11" s="45">
        <v>0.05</v>
      </c>
      <c r="F11" s="47">
        <v>4.8</v>
      </c>
    </row>
    <row r="13" spans="1:7" x14ac:dyDescent="0.35">
      <c r="A13" s="48" t="s">
        <v>51</v>
      </c>
    </row>
    <row r="15" spans="1:7" ht="29" x14ac:dyDescent="0.35">
      <c r="A15" s="44" t="s">
        <v>55</v>
      </c>
      <c r="B15" s="44" t="s">
        <v>52</v>
      </c>
      <c r="C15" s="44" t="s">
        <v>33</v>
      </c>
      <c r="D15" s="44" t="s">
        <v>32</v>
      </c>
      <c r="E15" s="44" t="s">
        <v>40</v>
      </c>
      <c r="F15" s="44" t="s">
        <v>58</v>
      </c>
      <c r="G15" s="44" t="s">
        <v>61</v>
      </c>
    </row>
    <row r="16" spans="1:7" x14ac:dyDescent="0.35">
      <c r="A16" s="44" t="s">
        <v>7</v>
      </c>
      <c r="B16" s="46">
        <f>C8*(1+B8)</f>
        <v>12360</v>
      </c>
      <c r="C16" s="46">
        <f>B16*E8</f>
        <v>1236</v>
      </c>
      <c r="D16" s="46">
        <v>1500</v>
      </c>
      <c r="E16" s="49">
        <f>B16+C16-D16</f>
        <v>12096</v>
      </c>
      <c r="F16" s="47">
        <v>1.3</v>
      </c>
      <c r="G16" s="12">
        <f>E16*F16</f>
        <v>15724.800000000001</v>
      </c>
    </row>
    <row r="17" spans="1:8" x14ac:dyDescent="0.35">
      <c r="A17" s="44" t="s">
        <v>8</v>
      </c>
      <c r="B17" s="46">
        <f>C9*(1+B9)</f>
        <v>16800</v>
      </c>
      <c r="C17" s="46">
        <f>B17*E9</f>
        <v>1680</v>
      </c>
      <c r="D17" s="46">
        <v>1300</v>
      </c>
      <c r="E17" s="49">
        <f>B17+C17-D17</f>
        <v>17180</v>
      </c>
      <c r="F17" s="47">
        <v>2.6</v>
      </c>
      <c r="G17" s="12">
        <f>E17*F17</f>
        <v>44668</v>
      </c>
    </row>
    <row r="18" spans="1:8" x14ac:dyDescent="0.35">
      <c r="A18" s="44" t="s">
        <v>9</v>
      </c>
      <c r="B18" s="46">
        <f>C10*(1+B10)</f>
        <v>8600</v>
      </c>
      <c r="C18" s="46">
        <f>B18*E10</f>
        <v>1720</v>
      </c>
      <c r="D18" s="46">
        <v>1400</v>
      </c>
      <c r="E18" s="49">
        <f>B18+C18-D18</f>
        <v>8920</v>
      </c>
      <c r="F18" s="47">
        <v>6.35</v>
      </c>
      <c r="G18" s="12">
        <f>E18*F18</f>
        <v>56642</v>
      </c>
    </row>
    <row r="19" spans="1:8" x14ac:dyDescent="0.35">
      <c r="A19" s="44" t="s">
        <v>59</v>
      </c>
      <c r="B19" s="46">
        <f>C11*(1+B11)</f>
        <v>22000</v>
      </c>
      <c r="C19" s="46">
        <f>B19*E11</f>
        <v>1100</v>
      </c>
      <c r="D19" s="46">
        <v>850</v>
      </c>
      <c r="E19" s="49">
        <f>B19+C19-D19</f>
        <v>22250</v>
      </c>
      <c r="F19" s="47">
        <v>4.8</v>
      </c>
      <c r="G19" s="12">
        <f>E19*F19</f>
        <v>106800</v>
      </c>
    </row>
    <row r="20" spans="1:8" x14ac:dyDescent="0.35">
      <c r="E20" s="50">
        <f>SUM(E16:E19)</f>
        <v>60446</v>
      </c>
      <c r="F20" s="31" t="s">
        <v>41</v>
      </c>
      <c r="G20" s="33">
        <f>SUM(G16:G19)</f>
        <v>223834.8</v>
      </c>
      <c r="H20" s="31" t="s">
        <v>41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1EE9-88D7-479E-9A48-CAB2ECD66ADC}">
  <dimension ref="A1:G20"/>
  <sheetViews>
    <sheetView topLeftCell="A10" zoomScale="90" zoomScaleNormal="90" workbookViewId="0">
      <selection activeCell="F17" sqref="F17"/>
    </sheetView>
  </sheetViews>
  <sheetFormatPr baseColWidth="10" defaultRowHeight="14.5" x14ac:dyDescent="0.35"/>
  <cols>
    <col min="7" max="7" width="14.7265625" customWidth="1"/>
  </cols>
  <sheetData>
    <row r="1" spans="1:7" x14ac:dyDescent="0.35">
      <c r="A1" s="1" t="s">
        <v>62</v>
      </c>
    </row>
    <row r="9" spans="1:7" ht="43.5" x14ac:dyDescent="0.35">
      <c r="A9" s="44" t="s">
        <v>55</v>
      </c>
      <c r="B9" s="44" t="s">
        <v>56</v>
      </c>
      <c r="C9" s="44" t="s">
        <v>57</v>
      </c>
      <c r="D9" s="44" t="s">
        <v>32</v>
      </c>
      <c r="E9" s="44" t="s">
        <v>60</v>
      </c>
      <c r="F9" s="44" t="s">
        <v>58</v>
      </c>
      <c r="G9" s="44" t="s">
        <v>63</v>
      </c>
    </row>
    <row r="10" spans="1:7" x14ac:dyDescent="0.35">
      <c r="A10" s="44" t="s">
        <v>7</v>
      </c>
      <c r="B10" s="45">
        <v>0.03</v>
      </c>
      <c r="C10" s="46">
        <v>12000</v>
      </c>
      <c r="D10" s="46">
        <v>1500</v>
      </c>
      <c r="E10" s="45">
        <v>0.1</v>
      </c>
      <c r="F10" s="47">
        <v>1.3</v>
      </c>
      <c r="G10" s="51">
        <v>45</v>
      </c>
    </row>
    <row r="11" spans="1:7" x14ac:dyDescent="0.35">
      <c r="A11" s="44" t="s">
        <v>8</v>
      </c>
      <c r="B11" s="45">
        <v>0.05</v>
      </c>
      <c r="C11" s="46">
        <v>16000</v>
      </c>
      <c r="D11" s="46">
        <v>1300</v>
      </c>
      <c r="E11" s="45">
        <v>0.1</v>
      </c>
      <c r="F11" s="47">
        <v>2.6</v>
      </c>
      <c r="G11" s="51">
        <v>30</v>
      </c>
    </row>
    <row r="12" spans="1:7" x14ac:dyDescent="0.35">
      <c r="A12" s="44" t="s">
        <v>9</v>
      </c>
      <c r="B12" s="45">
        <v>7.4999999999999997E-2</v>
      </c>
      <c r="C12" s="46">
        <v>8000</v>
      </c>
      <c r="D12" s="46">
        <v>1400</v>
      </c>
      <c r="E12" s="45">
        <v>0.2</v>
      </c>
      <c r="F12" s="47">
        <v>6.35</v>
      </c>
      <c r="G12" s="51">
        <v>60</v>
      </c>
    </row>
    <row r="13" spans="1:7" x14ac:dyDescent="0.35">
      <c r="A13" s="44" t="s">
        <v>59</v>
      </c>
      <c r="B13" s="45">
        <v>0.1</v>
      </c>
      <c r="C13" s="46">
        <v>20000</v>
      </c>
      <c r="D13" s="46">
        <v>850</v>
      </c>
      <c r="E13" s="45">
        <v>0.05</v>
      </c>
      <c r="F13" s="47">
        <v>4.8</v>
      </c>
      <c r="G13" s="51">
        <v>15</v>
      </c>
    </row>
    <row r="16" spans="1:7" ht="29" x14ac:dyDescent="0.35">
      <c r="A16" s="44" t="s">
        <v>55</v>
      </c>
      <c r="B16" s="44" t="s">
        <v>52</v>
      </c>
      <c r="C16" s="44" t="s">
        <v>33</v>
      </c>
      <c r="D16" s="44" t="s">
        <v>32</v>
      </c>
      <c r="E16" s="44" t="s">
        <v>40</v>
      </c>
      <c r="F16" s="44" t="s">
        <v>58</v>
      </c>
      <c r="G16" s="44" t="s">
        <v>61</v>
      </c>
    </row>
    <row r="17" spans="1:7" x14ac:dyDescent="0.35">
      <c r="A17" s="44" t="s">
        <v>7</v>
      </c>
      <c r="B17" s="46">
        <f>C10*(1+B10)</f>
        <v>12360</v>
      </c>
      <c r="C17" s="46">
        <f>C10/365*G10</f>
        <v>1479.4520547945208</v>
      </c>
      <c r="D17" s="46">
        <v>1500</v>
      </c>
      <c r="E17" s="49">
        <f>B17+C17-D17</f>
        <v>12339.452054794521</v>
      </c>
      <c r="F17" s="47">
        <v>1.3</v>
      </c>
      <c r="G17" s="12">
        <f>E17*F17</f>
        <v>16041.287671232878</v>
      </c>
    </row>
    <row r="18" spans="1:7" x14ac:dyDescent="0.35">
      <c r="A18" s="44" t="s">
        <v>8</v>
      </c>
      <c r="B18" s="46">
        <f>C11*(1+B11)</f>
        <v>16800</v>
      </c>
      <c r="C18" s="46">
        <f>C11/360*G11</f>
        <v>1333.3333333333333</v>
      </c>
      <c r="D18" s="46">
        <v>1300</v>
      </c>
      <c r="E18" s="49">
        <f>B18+C18-D18</f>
        <v>16833.333333333332</v>
      </c>
      <c r="F18" s="47">
        <v>2.6</v>
      </c>
      <c r="G18" s="12">
        <f>E18*F18</f>
        <v>43766.666666666664</v>
      </c>
    </row>
    <row r="19" spans="1:7" x14ac:dyDescent="0.35">
      <c r="A19" s="44" t="s">
        <v>9</v>
      </c>
      <c r="B19" s="46">
        <f>C12*(1+B12)</f>
        <v>8600</v>
      </c>
      <c r="C19" s="46">
        <f>C12/360*G12</f>
        <v>1333.3333333333333</v>
      </c>
      <c r="D19" s="46">
        <v>1400</v>
      </c>
      <c r="E19" s="49">
        <f>B19+C19-D19</f>
        <v>8533.3333333333339</v>
      </c>
      <c r="F19" s="47">
        <v>6.35</v>
      </c>
      <c r="G19" s="12">
        <f>E19*F19</f>
        <v>54186.666666666664</v>
      </c>
    </row>
    <row r="20" spans="1:7" x14ac:dyDescent="0.35">
      <c r="A20" s="44" t="s">
        <v>59</v>
      </c>
      <c r="B20" s="46">
        <f>C13*(1+B13)</f>
        <v>22000</v>
      </c>
      <c r="C20" s="46">
        <f>C13/360*G13</f>
        <v>833.33333333333337</v>
      </c>
      <c r="D20" s="46">
        <v>850</v>
      </c>
      <c r="E20" s="49">
        <f>B20+C20-D20</f>
        <v>21983.333333333332</v>
      </c>
      <c r="F20" s="47">
        <v>4.8</v>
      </c>
      <c r="G20" s="12">
        <f>E20*F20</f>
        <v>105519.99999999999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A5CB-E6FA-4E65-A391-CA750D6119BF}">
  <dimension ref="A1:I24"/>
  <sheetViews>
    <sheetView workbookViewId="0">
      <selection activeCell="I20" sqref="I20"/>
    </sheetView>
  </sheetViews>
  <sheetFormatPr baseColWidth="10" defaultRowHeight="14.5" x14ac:dyDescent="0.35"/>
  <cols>
    <col min="2" max="2" width="12.1796875" customWidth="1"/>
    <col min="3" max="3" width="13.54296875" bestFit="1" customWidth="1"/>
    <col min="4" max="6" width="14.54296875" bestFit="1" customWidth="1"/>
    <col min="7" max="7" width="13.54296875" bestFit="1" customWidth="1"/>
    <col min="8" max="8" width="17.54296875" customWidth="1"/>
  </cols>
  <sheetData>
    <row r="1" spans="1:7" x14ac:dyDescent="0.35">
      <c r="A1" s="1" t="s">
        <v>64</v>
      </c>
    </row>
    <row r="8" spans="1:7" x14ac:dyDescent="0.35">
      <c r="A8" s="181" t="s">
        <v>1</v>
      </c>
      <c r="B8" s="182" t="s">
        <v>65</v>
      </c>
      <c r="C8" s="181" t="s">
        <v>66</v>
      </c>
      <c r="D8" s="181"/>
      <c r="E8" s="181"/>
      <c r="F8" s="181"/>
      <c r="G8" s="181"/>
    </row>
    <row r="9" spans="1:7" x14ac:dyDescent="0.35">
      <c r="A9" s="181"/>
      <c r="B9" s="182"/>
      <c r="C9" s="38">
        <v>1</v>
      </c>
      <c r="D9" s="38">
        <v>2</v>
      </c>
      <c r="E9" s="38">
        <v>3</v>
      </c>
      <c r="F9" s="38">
        <v>4</v>
      </c>
      <c r="G9" s="38">
        <v>5</v>
      </c>
    </row>
    <row r="10" spans="1:7" x14ac:dyDescent="0.35">
      <c r="A10" s="38" t="s">
        <v>7</v>
      </c>
      <c r="B10" s="52">
        <v>75000</v>
      </c>
      <c r="C10" s="52">
        <v>1.5</v>
      </c>
      <c r="D10" s="52">
        <v>50</v>
      </c>
      <c r="E10" s="52">
        <v>120</v>
      </c>
      <c r="F10" s="52">
        <v>2</v>
      </c>
      <c r="G10" s="52">
        <v>1</v>
      </c>
    </row>
    <row r="11" spans="1:7" x14ac:dyDescent="0.35">
      <c r="A11" s="38" t="s">
        <v>8</v>
      </c>
      <c r="B11" s="52">
        <v>20000</v>
      </c>
      <c r="C11" s="52">
        <v>0.8</v>
      </c>
      <c r="D11" s="52">
        <v>40</v>
      </c>
      <c r="E11" s="52">
        <v>150</v>
      </c>
      <c r="F11" s="52">
        <v>2.5</v>
      </c>
      <c r="G11" s="52"/>
    </row>
    <row r="12" spans="1:7" x14ac:dyDescent="0.35">
      <c r="A12" s="38" t="s">
        <v>9</v>
      </c>
      <c r="B12" s="52">
        <v>45000</v>
      </c>
      <c r="C12" s="52">
        <v>2</v>
      </c>
      <c r="D12" s="52">
        <v>30</v>
      </c>
      <c r="E12" s="52">
        <v>100</v>
      </c>
      <c r="F12" s="52"/>
      <c r="G12" s="52">
        <v>1.5</v>
      </c>
    </row>
    <row r="13" spans="1:7" x14ac:dyDescent="0.35">
      <c r="A13" s="38" t="s">
        <v>59</v>
      </c>
      <c r="B13" s="52">
        <v>30000</v>
      </c>
      <c r="C13" s="52">
        <v>1</v>
      </c>
      <c r="D13" s="52">
        <v>70</v>
      </c>
      <c r="E13" s="52">
        <v>120</v>
      </c>
      <c r="F13" s="53">
        <v>1.5</v>
      </c>
      <c r="G13" s="52"/>
    </row>
    <row r="14" spans="1:7" x14ac:dyDescent="0.35">
      <c r="A14" s="183" t="s">
        <v>67</v>
      </c>
      <c r="B14" s="183"/>
      <c r="C14" s="54">
        <v>30</v>
      </c>
      <c r="D14" s="54">
        <v>10</v>
      </c>
      <c r="E14" s="54">
        <v>4.5</v>
      </c>
      <c r="F14" s="54">
        <v>125</v>
      </c>
      <c r="G14" s="54">
        <v>56</v>
      </c>
    </row>
    <row r="17" spans="1:9" x14ac:dyDescent="0.35">
      <c r="A17" s="181" t="s">
        <v>1</v>
      </c>
      <c r="B17" s="182" t="s">
        <v>65</v>
      </c>
      <c r="C17" s="181">
        <v>1</v>
      </c>
      <c r="D17" s="181">
        <v>2</v>
      </c>
      <c r="E17" s="181">
        <v>3</v>
      </c>
      <c r="F17" s="181">
        <v>4</v>
      </c>
      <c r="G17" s="179">
        <v>5</v>
      </c>
      <c r="H17" s="172" t="s">
        <v>68</v>
      </c>
    </row>
    <row r="18" spans="1:9" x14ac:dyDescent="0.35">
      <c r="A18" s="181"/>
      <c r="B18" s="182"/>
      <c r="C18" s="181"/>
      <c r="D18" s="181"/>
      <c r="E18" s="181"/>
      <c r="F18" s="181"/>
      <c r="G18" s="180"/>
      <c r="H18" s="172"/>
    </row>
    <row r="19" spans="1:9" x14ac:dyDescent="0.35">
      <c r="A19" s="38" t="s">
        <v>7</v>
      </c>
      <c r="B19" s="52">
        <v>75000</v>
      </c>
      <c r="C19" s="2">
        <f>$B$19*C10</f>
        <v>112500</v>
      </c>
      <c r="D19" s="2">
        <f>$B$19*D10</f>
        <v>3750000</v>
      </c>
      <c r="E19" s="2">
        <f>$B$19*E10</f>
        <v>9000000</v>
      </c>
      <c r="F19" s="2">
        <f>$B$19*F10</f>
        <v>150000</v>
      </c>
      <c r="G19" s="2">
        <f>$B$19*G10</f>
        <v>75000</v>
      </c>
      <c r="H19" s="57">
        <f>C19*$C$14+D19*$D$14+E19*$E$14+F19*$F$14+G19*$G$14</f>
        <v>104325000</v>
      </c>
      <c r="I19" s="32" t="s">
        <v>41</v>
      </c>
    </row>
    <row r="20" spans="1:9" x14ac:dyDescent="0.35">
      <c r="A20" s="38" t="s">
        <v>8</v>
      </c>
      <c r="B20" s="52">
        <v>20000</v>
      </c>
      <c r="C20" s="2">
        <f>$B$20*C11</f>
        <v>16000</v>
      </c>
      <c r="D20" s="2">
        <f>$B$20*D11</f>
        <v>800000</v>
      </c>
      <c r="E20" s="2">
        <f>$B$20*E11</f>
        <v>3000000</v>
      </c>
      <c r="F20" s="2">
        <f>$B$20*F11</f>
        <v>50000</v>
      </c>
      <c r="G20" s="2">
        <f>$B$20*G11</f>
        <v>0</v>
      </c>
      <c r="H20" s="57">
        <f>C20*$C$14+D20*$D$14+E20*$E$14+F20*$F$14+G20*$G$14</f>
        <v>28230000</v>
      </c>
      <c r="I20" s="32" t="s">
        <v>41</v>
      </c>
    </row>
    <row r="21" spans="1:9" x14ac:dyDescent="0.35">
      <c r="A21" s="38" t="s">
        <v>9</v>
      </c>
      <c r="B21" s="52">
        <v>45000</v>
      </c>
      <c r="C21" s="2">
        <f>$B$21*C12</f>
        <v>90000</v>
      </c>
      <c r="D21" s="2">
        <f>$B$21*D12</f>
        <v>1350000</v>
      </c>
      <c r="E21" s="2">
        <f>$B$21*E12</f>
        <v>4500000</v>
      </c>
      <c r="F21" s="2">
        <f>$B$21*F12</f>
        <v>0</v>
      </c>
      <c r="G21" s="2">
        <f>$B$21*G12</f>
        <v>67500</v>
      </c>
      <c r="H21" s="57">
        <f>C21*$C$14+D21*$D$14+E21*$E$14+F21*$F$14+G21*$G$14</f>
        <v>40230000</v>
      </c>
      <c r="I21" s="32" t="s">
        <v>41</v>
      </c>
    </row>
    <row r="22" spans="1:9" x14ac:dyDescent="0.35">
      <c r="A22" s="38" t="s">
        <v>59</v>
      </c>
      <c r="B22" s="52">
        <v>30000</v>
      </c>
      <c r="C22" s="2">
        <f>$B$22*C13</f>
        <v>30000</v>
      </c>
      <c r="D22" s="2">
        <f>$B$22*D13</f>
        <v>2100000</v>
      </c>
      <c r="E22" s="2">
        <f>$B$22*E13</f>
        <v>3600000</v>
      </c>
      <c r="F22" s="2">
        <f>$B$22*F13</f>
        <v>45000</v>
      </c>
      <c r="G22" s="2">
        <f>$B$22*G13</f>
        <v>0</v>
      </c>
      <c r="H22" s="57">
        <f>C22*$C$14+D22*$D$14+E22*$E$14+F22*$F$14+G22*$G$14</f>
        <v>43725000</v>
      </c>
      <c r="I22" s="32" t="s">
        <v>41</v>
      </c>
    </row>
    <row r="23" spans="1:9" x14ac:dyDescent="0.35">
      <c r="A23" s="38" t="s">
        <v>44</v>
      </c>
      <c r="B23" s="6">
        <f t="shared" ref="B23:G23" si="0">SUM(B19:B22)</f>
        <v>170000</v>
      </c>
      <c r="C23" s="2">
        <f t="shared" si="0"/>
        <v>248500</v>
      </c>
      <c r="D23" s="2">
        <f t="shared" si="0"/>
        <v>8000000</v>
      </c>
      <c r="E23" s="2">
        <f t="shared" si="0"/>
        <v>20100000</v>
      </c>
      <c r="F23" s="2">
        <f t="shared" si="0"/>
        <v>245000</v>
      </c>
      <c r="G23" s="2">
        <f t="shared" si="0"/>
        <v>142500</v>
      </c>
      <c r="H23" s="57">
        <f>C23*$C$14+D23*$D$14+E23*$E$14+F23*$F$14+G23*$G$14</f>
        <v>216510000</v>
      </c>
      <c r="I23" s="32" t="s">
        <v>41</v>
      </c>
    </row>
    <row r="24" spans="1:9" x14ac:dyDescent="0.35">
      <c r="A24" s="38" t="s">
        <v>61</v>
      </c>
      <c r="B24" s="2"/>
      <c r="C24" s="56">
        <f>C23*C14</f>
        <v>7455000</v>
      </c>
      <c r="D24" s="56">
        <f>D23*D14</f>
        <v>80000000</v>
      </c>
      <c r="E24" s="56">
        <f>E23*E14</f>
        <v>90450000</v>
      </c>
      <c r="F24" s="56">
        <f>F23*F14</f>
        <v>30625000</v>
      </c>
      <c r="G24" s="56">
        <f>G23*G14</f>
        <v>7980000</v>
      </c>
    </row>
  </sheetData>
  <mergeCells count="12">
    <mergeCell ref="G17:G18"/>
    <mergeCell ref="H17:H18"/>
    <mergeCell ref="A8:A9"/>
    <mergeCell ref="B8:B9"/>
    <mergeCell ref="C8:G8"/>
    <mergeCell ref="A14:B14"/>
    <mergeCell ref="A17:A18"/>
    <mergeCell ref="B17:B18"/>
    <mergeCell ref="C17:C18"/>
    <mergeCell ref="D17:D18"/>
    <mergeCell ref="E17:E18"/>
    <mergeCell ref="F17:F1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3925-E50D-4A9E-8B0D-1BE1E2B484CB}">
  <dimension ref="A1:H34"/>
  <sheetViews>
    <sheetView workbookViewId="0">
      <selection activeCell="H27" sqref="H27"/>
    </sheetView>
  </sheetViews>
  <sheetFormatPr baseColWidth="10" defaultRowHeight="14.5" x14ac:dyDescent="0.35"/>
  <cols>
    <col min="1" max="1" width="14.81640625" customWidth="1"/>
    <col min="3" max="3" width="13.54296875" bestFit="1" customWidth="1"/>
    <col min="4" max="6" width="14.54296875" bestFit="1" customWidth="1"/>
    <col min="7" max="7" width="13.54296875" bestFit="1" customWidth="1"/>
  </cols>
  <sheetData>
    <row r="1" spans="1:7" x14ac:dyDescent="0.35">
      <c r="A1" s="1" t="s">
        <v>69</v>
      </c>
    </row>
    <row r="10" spans="1:7" x14ac:dyDescent="0.35">
      <c r="A10" s="181" t="s">
        <v>1</v>
      </c>
      <c r="B10" s="182" t="s">
        <v>65</v>
      </c>
      <c r="C10" s="181" t="s">
        <v>66</v>
      </c>
      <c r="D10" s="181"/>
      <c r="E10" s="181"/>
      <c r="F10" s="181"/>
      <c r="G10" s="181"/>
    </row>
    <row r="11" spans="1:7" x14ac:dyDescent="0.35">
      <c r="A11" s="181"/>
      <c r="B11" s="182"/>
      <c r="C11" s="38">
        <v>1</v>
      </c>
      <c r="D11" s="38">
        <v>2</v>
      </c>
      <c r="E11" s="38">
        <v>3</v>
      </c>
      <c r="F11" s="38">
        <v>4</v>
      </c>
      <c r="G11" s="38">
        <v>5</v>
      </c>
    </row>
    <row r="12" spans="1:7" x14ac:dyDescent="0.35">
      <c r="A12" s="38" t="s">
        <v>7</v>
      </c>
      <c r="B12" s="52">
        <v>75000</v>
      </c>
      <c r="C12" s="52">
        <v>1.5</v>
      </c>
      <c r="D12" s="52">
        <v>50</v>
      </c>
      <c r="E12" s="52">
        <v>120</v>
      </c>
      <c r="F12" s="52">
        <v>2</v>
      </c>
      <c r="G12" s="52">
        <v>1</v>
      </c>
    </row>
    <row r="13" spans="1:7" x14ac:dyDescent="0.35">
      <c r="A13" s="38" t="s">
        <v>8</v>
      </c>
      <c r="B13" s="52">
        <v>20000</v>
      </c>
      <c r="C13" s="52">
        <v>0.8</v>
      </c>
      <c r="D13" s="52">
        <v>40</v>
      </c>
      <c r="E13" s="52">
        <v>150</v>
      </c>
      <c r="F13" s="52">
        <v>2.5</v>
      </c>
      <c r="G13" s="52"/>
    </row>
    <row r="14" spans="1:7" x14ac:dyDescent="0.35">
      <c r="A14" s="38" t="s">
        <v>9</v>
      </c>
      <c r="B14" s="52">
        <v>45000</v>
      </c>
      <c r="C14" s="52">
        <v>2</v>
      </c>
      <c r="D14" s="52">
        <v>30</v>
      </c>
      <c r="E14" s="52">
        <v>100</v>
      </c>
      <c r="F14" s="52"/>
      <c r="G14" s="52">
        <v>1.5</v>
      </c>
    </row>
    <row r="15" spans="1:7" x14ac:dyDescent="0.35">
      <c r="A15" s="38" t="s">
        <v>59</v>
      </c>
      <c r="B15" s="52">
        <v>30000</v>
      </c>
      <c r="C15" s="52">
        <v>1</v>
      </c>
      <c r="D15" s="52">
        <v>70</v>
      </c>
      <c r="E15" s="52">
        <v>120</v>
      </c>
      <c r="F15" s="53">
        <v>1.5</v>
      </c>
      <c r="G15" s="52"/>
    </row>
    <row r="16" spans="1:7" x14ac:dyDescent="0.35">
      <c r="A16" s="183" t="s">
        <v>67</v>
      </c>
      <c r="B16" s="183"/>
      <c r="C16" s="54">
        <v>30</v>
      </c>
      <c r="D16" s="54">
        <v>10</v>
      </c>
      <c r="E16" s="54">
        <v>4.5</v>
      </c>
      <c r="F16" s="54">
        <v>125</v>
      </c>
      <c r="G16" s="54">
        <v>56</v>
      </c>
    </row>
    <row r="18" spans="1:8" ht="29" x14ac:dyDescent="0.35">
      <c r="A18" s="37" t="s">
        <v>1</v>
      </c>
      <c r="B18" s="37" t="s">
        <v>65</v>
      </c>
      <c r="C18" s="37">
        <v>1</v>
      </c>
      <c r="D18" s="37">
        <v>2</v>
      </c>
      <c r="E18" s="37">
        <v>3</v>
      </c>
      <c r="F18" s="37">
        <v>4</v>
      </c>
      <c r="G18" s="37">
        <v>5</v>
      </c>
    </row>
    <row r="19" spans="1:8" x14ac:dyDescent="0.35">
      <c r="A19" s="38" t="s">
        <v>7</v>
      </c>
      <c r="B19" s="6">
        <v>75000</v>
      </c>
      <c r="C19" s="6">
        <v>112500</v>
      </c>
      <c r="D19" s="6">
        <v>3750000</v>
      </c>
      <c r="E19" s="6">
        <v>9000000</v>
      </c>
      <c r="F19" s="6">
        <v>150000</v>
      </c>
      <c r="G19" s="6">
        <v>75000</v>
      </c>
    </row>
    <row r="20" spans="1:8" x14ac:dyDescent="0.35">
      <c r="A20" s="38" t="s">
        <v>8</v>
      </c>
      <c r="B20" s="6">
        <v>20000</v>
      </c>
      <c r="C20" s="6">
        <v>16000</v>
      </c>
      <c r="D20" s="6">
        <v>800000</v>
      </c>
      <c r="E20" s="6">
        <v>3000000</v>
      </c>
      <c r="F20" s="6">
        <v>50000</v>
      </c>
      <c r="G20" s="6">
        <v>0</v>
      </c>
    </row>
    <row r="21" spans="1:8" x14ac:dyDescent="0.35">
      <c r="A21" s="38" t="s">
        <v>9</v>
      </c>
      <c r="B21" s="6">
        <v>45000</v>
      </c>
      <c r="C21" s="6">
        <v>90000</v>
      </c>
      <c r="D21" s="6">
        <v>1350000</v>
      </c>
      <c r="E21" s="6">
        <v>4500000</v>
      </c>
      <c r="F21" s="6">
        <v>0</v>
      </c>
      <c r="G21" s="6">
        <v>67500</v>
      </c>
    </row>
    <row r="22" spans="1:8" x14ac:dyDescent="0.35">
      <c r="A22" s="38" t="s">
        <v>59</v>
      </c>
      <c r="B22" s="6">
        <v>30000</v>
      </c>
      <c r="C22" s="6">
        <v>30000</v>
      </c>
      <c r="D22" s="6">
        <v>2100000</v>
      </c>
      <c r="E22" s="6">
        <v>3600000</v>
      </c>
      <c r="F22" s="6">
        <v>45000</v>
      </c>
      <c r="G22" s="6">
        <v>0</v>
      </c>
    </row>
    <row r="23" spans="1:8" x14ac:dyDescent="0.35">
      <c r="A23" s="38" t="s">
        <v>44</v>
      </c>
      <c r="B23" s="6">
        <f t="shared" ref="B23:G23" si="0">SUM(B19:B22)</f>
        <v>170000</v>
      </c>
      <c r="C23" s="2">
        <f t="shared" si="0"/>
        <v>248500</v>
      </c>
      <c r="D23" s="2">
        <f t="shared" si="0"/>
        <v>8000000</v>
      </c>
      <c r="E23" s="2">
        <f t="shared" si="0"/>
        <v>20100000</v>
      </c>
      <c r="F23" s="2">
        <f t="shared" si="0"/>
        <v>245000</v>
      </c>
      <c r="G23" s="2">
        <f t="shared" si="0"/>
        <v>142500</v>
      </c>
    </row>
    <row r="24" spans="1:8" x14ac:dyDescent="0.35">
      <c r="A24" s="38" t="s">
        <v>38</v>
      </c>
      <c r="B24" s="40"/>
      <c r="C24" s="40">
        <f>+D30</f>
        <v>41416.666666666664</v>
      </c>
      <c r="D24" s="60">
        <f>+D31</f>
        <v>1333333.3333333333</v>
      </c>
      <c r="E24" s="2">
        <f>+D32</f>
        <v>3350000</v>
      </c>
      <c r="F24" s="2">
        <f>+D33</f>
        <v>40833.333333333336</v>
      </c>
      <c r="G24" s="2">
        <f>+D34</f>
        <v>23750</v>
      </c>
    </row>
    <row r="25" spans="1:8" x14ac:dyDescent="0.35">
      <c r="A25" s="38" t="s">
        <v>39</v>
      </c>
      <c r="B25" s="2"/>
      <c r="C25" s="2">
        <v>30000</v>
      </c>
      <c r="D25" s="2">
        <v>1000000</v>
      </c>
      <c r="E25" s="2">
        <v>5000000</v>
      </c>
      <c r="F25" s="2">
        <v>20000</v>
      </c>
      <c r="G25" s="2">
        <v>30000</v>
      </c>
    </row>
    <row r="26" spans="1:8" x14ac:dyDescent="0.35">
      <c r="A26" s="38" t="s">
        <v>73</v>
      </c>
      <c r="B26" s="2"/>
      <c r="C26" s="40">
        <f>C23+C24-C25</f>
        <v>259916.66666666669</v>
      </c>
      <c r="D26" s="40">
        <f>D23+D24-D25</f>
        <v>8333333.333333334</v>
      </c>
      <c r="E26" s="40">
        <f>E23+E24-E25</f>
        <v>18450000</v>
      </c>
      <c r="F26" s="40">
        <f>F23+F24-F25</f>
        <v>265833.33333333331</v>
      </c>
      <c r="G26" s="40">
        <f>G23+G24-G25</f>
        <v>136250</v>
      </c>
    </row>
    <row r="27" spans="1:8" x14ac:dyDescent="0.35">
      <c r="A27" s="38" t="s">
        <v>74</v>
      </c>
      <c r="B27" s="2"/>
      <c r="C27" s="57">
        <f>C26*C16</f>
        <v>7797500.0000000009</v>
      </c>
      <c r="D27" s="57">
        <f>D26*D16</f>
        <v>83333333.333333343</v>
      </c>
      <c r="E27" s="57">
        <f>E26*E16</f>
        <v>83025000</v>
      </c>
      <c r="F27" s="57">
        <f>F26*F16</f>
        <v>33229166.666666664</v>
      </c>
      <c r="G27" s="57">
        <f>G26*G16</f>
        <v>7630000</v>
      </c>
      <c r="H27" s="32" t="s">
        <v>41</v>
      </c>
    </row>
    <row r="29" spans="1:8" ht="29" x14ac:dyDescent="0.35">
      <c r="A29" s="61" t="s">
        <v>71</v>
      </c>
      <c r="B29" s="62" t="s">
        <v>72</v>
      </c>
      <c r="C29" s="62" t="s">
        <v>70</v>
      </c>
      <c r="D29" s="27" t="s">
        <v>38</v>
      </c>
    </row>
    <row r="30" spans="1:8" x14ac:dyDescent="0.35">
      <c r="A30" s="61">
        <v>1</v>
      </c>
      <c r="B30" s="52">
        <f>C23</f>
        <v>248500</v>
      </c>
      <c r="C30" s="52">
        <f>B30/12</f>
        <v>20708.333333333332</v>
      </c>
      <c r="D30" s="58">
        <f>C30*2</f>
        <v>41416.666666666664</v>
      </c>
    </row>
    <row r="31" spans="1:8" x14ac:dyDescent="0.35">
      <c r="A31" s="61">
        <v>2</v>
      </c>
      <c r="B31" s="52">
        <f>D23</f>
        <v>8000000</v>
      </c>
      <c r="C31" s="52">
        <f>B31/12</f>
        <v>666666.66666666663</v>
      </c>
      <c r="D31" s="59">
        <f>C31*2</f>
        <v>1333333.3333333333</v>
      </c>
    </row>
    <row r="32" spans="1:8" x14ac:dyDescent="0.35">
      <c r="A32" s="61">
        <v>3</v>
      </c>
      <c r="B32" s="52">
        <f>E23</f>
        <v>20100000</v>
      </c>
      <c r="C32" s="52">
        <f>B32/12</f>
        <v>1675000</v>
      </c>
      <c r="D32" s="23">
        <f>C32*2</f>
        <v>3350000</v>
      </c>
    </row>
    <row r="33" spans="1:4" x14ac:dyDescent="0.35">
      <c r="A33" s="61">
        <v>4</v>
      </c>
      <c r="B33" s="52">
        <f>F23</f>
        <v>245000</v>
      </c>
      <c r="C33" s="52">
        <f>B33/12</f>
        <v>20416.666666666668</v>
      </c>
      <c r="D33" s="23">
        <f>C33*2</f>
        <v>40833.333333333336</v>
      </c>
    </row>
    <row r="34" spans="1:4" x14ac:dyDescent="0.35">
      <c r="A34" s="61">
        <v>5</v>
      </c>
      <c r="B34" s="52">
        <f>G23</f>
        <v>142500</v>
      </c>
      <c r="C34" s="52">
        <f>B34/12</f>
        <v>11875</v>
      </c>
      <c r="D34" s="23">
        <f>C34*2</f>
        <v>23750</v>
      </c>
    </row>
  </sheetData>
  <mergeCells count="4">
    <mergeCell ref="A10:A11"/>
    <mergeCell ref="B10:B11"/>
    <mergeCell ref="C10:G10"/>
    <mergeCell ref="A16:B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51D06-E5A7-403E-877A-CF1F5B500CFB}">
  <dimension ref="A1:I21"/>
  <sheetViews>
    <sheetView zoomScale="80" zoomScaleNormal="80" workbookViewId="0">
      <selection activeCell="M20" sqref="M20"/>
    </sheetView>
  </sheetViews>
  <sheetFormatPr baseColWidth="10" defaultRowHeight="14.5" x14ac:dyDescent="0.35"/>
  <cols>
    <col min="1" max="1" width="16.1796875" bestFit="1" customWidth="1"/>
    <col min="2" max="2" width="18.453125" bestFit="1" customWidth="1"/>
    <col min="3" max="3" width="18.7265625" bestFit="1" customWidth="1"/>
    <col min="4" max="6" width="17.453125" bestFit="1" customWidth="1"/>
    <col min="7" max="7" width="18.453125" bestFit="1" customWidth="1"/>
    <col min="8" max="8" width="15.1796875" bestFit="1" customWidth="1"/>
  </cols>
  <sheetData>
    <row r="1" spans="1:8" x14ac:dyDescent="0.35">
      <c r="A1" s="1" t="s">
        <v>75</v>
      </c>
    </row>
    <row r="8" spans="1:8" x14ac:dyDescent="0.35">
      <c r="A8" s="185" t="s">
        <v>1</v>
      </c>
      <c r="B8" s="185" t="s">
        <v>86</v>
      </c>
      <c r="C8" s="185"/>
      <c r="D8" s="185"/>
      <c r="E8" s="185"/>
      <c r="F8" s="185"/>
      <c r="G8" s="184" t="s">
        <v>85</v>
      </c>
    </row>
    <row r="9" spans="1:8" x14ac:dyDescent="0.35">
      <c r="A9" s="185"/>
      <c r="B9" s="8" t="s">
        <v>76</v>
      </c>
      <c r="C9" s="8" t="s">
        <v>77</v>
      </c>
      <c r="D9" s="8" t="s">
        <v>78</v>
      </c>
      <c r="E9" s="8" t="s">
        <v>79</v>
      </c>
      <c r="F9" s="8" t="s">
        <v>80</v>
      </c>
      <c r="G9" s="184"/>
    </row>
    <row r="10" spans="1:8" x14ac:dyDescent="0.35">
      <c r="A10" s="8" t="s">
        <v>81</v>
      </c>
      <c r="B10" s="6">
        <v>2</v>
      </c>
      <c r="C10" s="6">
        <v>1.5</v>
      </c>
      <c r="D10" s="6">
        <v>0.5</v>
      </c>
      <c r="E10" s="6">
        <v>1</v>
      </c>
      <c r="F10" s="6"/>
      <c r="G10" s="6">
        <v>1350000</v>
      </c>
    </row>
    <row r="11" spans="1:8" x14ac:dyDescent="0.35">
      <c r="A11" s="8" t="s">
        <v>82</v>
      </c>
      <c r="B11" s="6">
        <v>1</v>
      </c>
      <c r="C11" s="6">
        <v>0.5</v>
      </c>
      <c r="D11" s="6">
        <v>2</v>
      </c>
      <c r="E11" s="6"/>
      <c r="F11" s="6">
        <v>1</v>
      </c>
      <c r="G11" s="6">
        <v>400000</v>
      </c>
    </row>
    <row r="12" spans="1:8" x14ac:dyDescent="0.35">
      <c r="A12" s="8" t="s">
        <v>83</v>
      </c>
      <c r="B12" s="6">
        <v>1.5</v>
      </c>
      <c r="C12" s="6">
        <v>1</v>
      </c>
      <c r="D12" s="6"/>
      <c r="E12" s="6">
        <v>2</v>
      </c>
      <c r="F12" s="6">
        <v>0.5</v>
      </c>
      <c r="G12" s="6">
        <v>750000</v>
      </c>
    </row>
    <row r="13" spans="1:8" x14ac:dyDescent="0.35">
      <c r="A13" s="16" t="s">
        <v>84</v>
      </c>
      <c r="B13" s="3">
        <v>3000</v>
      </c>
      <c r="C13" s="3">
        <v>3250</v>
      </c>
      <c r="D13" s="3">
        <v>2750</v>
      </c>
      <c r="E13" s="3">
        <v>3000</v>
      </c>
      <c r="F13" s="3">
        <v>3500</v>
      </c>
      <c r="G13" s="6"/>
    </row>
    <row r="15" spans="1:8" x14ac:dyDescent="0.35">
      <c r="A15" s="185" t="s">
        <v>1</v>
      </c>
      <c r="B15" s="185" t="s">
        <v>88</v>
      </c>
      <c r="C15" s="185" t="s">
        <v>86</v>
      </c>
      <c r="D15" s="185"/>
      <c r="E15" s="185"/>
      <c r="F15" s="185"/>
      <c r="G15" s="185"/>
      <c r="H15" s="184" t="s">
        <v>89</v>
      </c>
    </row>
    <row r="16" spans="1:8" x14ac:dyDescent="0.35">
      <c r="A16" s="185"/>
      <c r="B16" s="185"/>
      <c r="C16" s="8" t="s">
        <v>76</v>
      </c>
      <c r="D16" s="8" t="s">
        <v>77</v>
      </c>
      <c r="E16" s="8" t="s">
        <v>78</v>
      </c>
      <c r="F16" s="8" t="s">
        <v>79</v>
      </c>
      <c r="G16" s="8" t="s">
        <v>80</v>
      </c>
      <c r="H16" s="184"/>
    </row>
    <row r="17" spans="1:9" x14ac:dyDescent="0.35">
      <c r="A17" s="8" t="s">
        <v>81</v>
      </c>
      <c r="B17" s="20">
        <f>G10/1000</f>
        <v>1350</v>
      </c>
      <c r="C17" s="6">
        <f>B10*$B$17</f>
        <v>2700</v>
      </c>
      <c r="D17" s="6">
        <f>C10*$B$17</f>
        <v>2025</v>
      </c>
      <c r="E17" s="6">
        <f>D10*$B$17</f>
        <v>675</v>
      </c>
      <c r="F17" s="6">
        <f>E10*$B$17</f>
        <v>1350</v>
      </c>
      <c r="G17" s="6">
        <f>F10*$B$17</f>
        <v>0</v>
      </c>
      <c r="H17" s="63">
        <f>+C17*$B$13+D17*$C$13+E17*$D$13+F17*$E$13+G17*$F$13</f>
        <v>20587500</v>
      </c>
      <c r="I17" s="32" t="s">
        <v>41</v>
      </c>
    </row>
    <row r="18" spans="1:9" x14ac:dyDescent="0.35">
      <c r="A18" s="8" t="s">
        <v>82</v>
      </c>
      <c r="B18" s="20">
        <f>G11/1000</f>
        <v>400</v>
      </c>
      <c r="C18" s="6">
        <f>B11*$B$18</f>
        <v>400</v>
      </c>
      <c r="D18" s="6">
        <f>C11*$B$18</f>
        <v>200</v>
      </c>
      <c r="E18" s="6">
        <f>D11*$B$18</f>
        <v>800</v>
      </c>
      <c r="F18" s="6">
        <f>E11*$B$18</f>
        <v>0</v>
      </c>
      <c r="G18" s="6">
        <f>F11*$B$18</f>
        <v>400</v>
      </c>
      <c r="H18" s="63">
        <f>+C18*$B$13+D18*$C$13+E18*$D$13+F18*$E$13+G18*$F$13</f>
        <v>5450000</v>
      </c>
      <c r="I18" s="32" t="s">
        <v>41</v>
      </c>
    </row>
    <row r="19" spans="1:9" x14ac:dyDescent="0.35">
      <c r="A19" s="8" t="s">
        <v>83</v>
      </c>
      <c r="B19" s="20">
        <f>G12/1000</f>
        <v>750</v>
      </c>
      <c r="C19" s="6">
        <f>B12*$B$19</f>
        <v>1125</v>
      </c>
      <c r="D19" s="6">
        <f>C12*$B$19</f>
        <v>750</v>
      </c>
      <c r="E19" s="6">
        <f>D12*$B$19</f>
        <v>0</v>
      </c>
      <c r="F19" s="6">
        <f>E12*$B$19</f>
        <v>1500</v>
      </c>
      <c r="G19" s="6">
        <f>F12*$B$19</f>
        <v>375</v>
      </c>
      <c r="H19" s="63">
        <f>+C19*$B$13+D19*$C$13+E19*$D$13+F19*$E$13+G19*$F$13</f>
        <v>11625000</v>
      </c>
      <c r="I19" s="32" t="s">
        <v>41</v>
      </c>
    </row>
    <row r="20" spans="1:9" x14ac:dyDescent="0.35">
      <c r="A20" s="16" t="s">
        <v>44</v>
      </c>
      <c r="B20" s="8"/>
      <c r="C20" s="6">
        <f>SUM(C17:C19)</f>
        <v>4225</v>
      </c>
      <c r="D20" s="6">
        <f>SUM(D17:D19)</f>
        <v>2975</v>
      </c>
      <c r="E20" s="6">
        <f>SUM(E17:E19)</f>
        <v>1475</v>
      </c>
      <c r="F20" s="6">
        <f>SUM(F17:F19)</f>
        <v>2850</v>
      </c>
      <c r="G20" s="6">
        <f>SUM(G17:G19)</f>
        <v>775</v>
      </c>
      <c r="H20" s="12">
        <f>+C20*$B$13+D20*$C$13+E20*$D$13+F20*$E$13+G20*$F$13</f>
        <v>37662500</v>
      </c>
    </row>
    <row r="21" spans="1:9" x14ac:dyDescent="0.35">
      <c r="A21" s="16" t="s">
        <v>87</v>
      </c>
      <c r="B21" s="16"/>
      <c r="C21" s="12">
        <f>C20*B13</f>
        <v>12675000</v>
      </c>
      <c r="D21" s="12">
        <f>D20*C13</f>
        <v>9668750</v>
      </c>
      <c r="E21" s="12">
        <f>E20*D13</f>
        <v>4056250</v>
      </c>
      <c r="F21" s="12">
        <f>F20*E13</f>
        <v>8550000</v>
      </c>
      <c r="G21" s="12">
        <f>G20*F13</f>
        <v>2712500</v>
      </c>
      <c r="H21" s="12">
        <f>SUM(C21:G21)</f>
        <v>37662500</v>
      </c>
    </row>
  </sheetData>
  <mergeCells count="7">
    <mergeCell ref="H15:H16"/>
    <mergeCell ref="A8:A9"/>
    <mergeCell ref="B8:F8"/>
    <mergeCell ref="G8:G9"/>
    <mergeCell ref="A15:A16"/>
    <mergeCell ref="C15:G15"/>
    <mergeCell ref="B15:B16"/>
  </mergeCells>
  <phoneticPr fontId="5"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D85E-FADF-480E-94DA-908693EA2DC8}">
  <dimension ref="A8:I43"/>
  <sheetViews>
    <sheetView topLeftCell="A18" zoomScale="70" zoomScaleNormal="70" workbookViewId="0">
      <selection activeCell="F35" sqref="F35"/>
    </sheetView>
  </sheetViews>
  <sheetFormatPr baseColWidth="10" defaultRowHeight="14.5" x14ac:dyDescent="0.35"/>
  <cols>
    <col min="1" max="1" width="20" customWidth="1"/>
    <col min="2" max="2" width="17.453125" customWidth="1"/>
    <col min="3" max="3" width="17.1796875" customWidth="1"/>
    <col min="4" max="4" width="15.453125" customWidth="1"/>
    <col min="5" max="5" width="15.1796875" customWidth="1"/>
    <col min="6" max="6" width="14.1796875" bestFit="1" customWidth="1"/>
    <col min="7" max="7" width="15.1796875" customWidth="1"/>
  </cols>
  <sheetData>
    <row r="8" spans="1:2" x14ac:dyDescent="0.35">
      <c r="A8" s="66" t="s">
        <v>29</v>
      </c>
      <c r="B8" s="66" t="s">
        <v>90</v>
      </c>
    </row>
    <row r="9" spans="1:2" x14ac:dyDescent="0.35">
      <c r="A9" s="66" t="s">
        <v>7</v>
      </c>
      <c r="B9" s="52">
        <v>50000</v>
      </c>
    </row>
    <row r="10" spans="1:2" x14ac:dyDescent="0.35">
      <c r="A10" s="66" t="s">
        <v>8</v>
      </c>
      <c r="B10" s="52">
        <v>80000</v>
      </c>
    </row>
    <row r="20" spans="1:9" ht="29" x14ac:dyDescent="0.35">
      <c r="A20" s="68"/>
      <c r="B20" s="72" t="s">
        <v>91</v>
      </c>
      <c r="C20" s="72" t="s">
        <v>92</v>
      </c>
      <c r="D20" s="72" t="s">
        <v>93</v>
      </c>
      <c r="E20" s="72" t="s">
        <v>94</v>
      </c>
      <c r="F20" s="72" t="s">
        <v>95</v>
      </c>
      <c r="G20" s="66" t="s">
        <v>416</v>
      </c>
      <c r="H20" s="66" t="s">
        <v>417</v>
      </c>
      <c r="I20" s="68" t="s">
        <v>418</v>
      </c>
    </row>
    <row r="21" spans="1:9" x14ac:dyDescent="0.35">
      <c r="A21" s="68" t="s">
        <v>96</v>
      </c>
      <c r="B21" s="73">
        <v>765000</v>
      </c>
      <c r="C21" s="74" t="s">
        <v>100</v>
      </c>
      <c r="D21" s="74">
        <v>4</v>
      </c>
      <c r="E21" s="74">
        <v>3</v>
      </c>
      <c r="F21" s="74">
        <v>40</v>
      </c>
      <c r="G21" s="2">
        <f>+D21*$B$9</f>
        <v>200000</v>
      </c>
      <c r="H21" s="2">
        <f>+E21*$B$10</f>
        <v>240000</v>
      </c>
      <c r="I21" s="2">
        <f>+((H21+G21)*2)/100</f>
        <v>8800</v>
      </c>
    </row>
    <row r="22" spans="1:9" x14ac:dyDescent="0.35">
      <c r="A22" s="68" t="s">
        <v>97</v>
      </c>
      <c r="B22" s="73">
        <v>420000</v>
      </c>
      <c r="C22" s="74" t="s">
        <v>100</v>
      </c>
      <c r="D22" s="74">
        <v>2.5</v>
      </c>
      <c r="E22" s="74">
        <v>1</v>
      </c>
      <c r="F22" s="74">
        <v>25</v>
      </c>
      <c r="G22" s="2">
        <f>+D22*$B$9</f>
        <v>125000</v>
      </c>
      <c r="H22" s="2">
        <f>+E22*$B$10</f>
        <v>80000</v>
      </c>
      <c r="I22" s="2">
        <f>+((H22+G22)*4)/100</f>
        <v>8200</v>
      </c>
    </row>
    <row r="23" spans="1:9" x14ac:dyDescent="0.35">
      <c r="A23" s="68" t="s">
        <v>98</v>
      </c>
      <c r="B23" s="73">
        <v>80000</v>
      </c>
      <c r="C23" s="74" t="s">
        <v>101</v>
      </c>
      <c r="D23" s="74"/>
      <c r="E23" s="74"/>
      <c r="F23" s="74">
        <v>10</v>
      </c>
      <c r="G23" s="2"/>
      <c r="H23" s="2"/>
      <c r="I23" s="2"/>
    </row>
    <row r="24" spans="1:9" ht="29" x14ac:dyDescent="0.35">
      <c r="A24" s="68" t="s">
        <v>99</v>
      </c>
      <c r="B24" s="73">
        <v>175000</v>
      </c>
      <c r="C24" s="74" t="s">
        <v>102</v>
      </c>
      <c r="D24" s="74"/>
      <c r="E24" s="74"/>
      <c r="F24" s="74">
        <v>5</v>
      </c>
      <c r="G24" s="2"/>
      <c r="H24" s="2"/>
      <c r="I24" s="2"/>
    </row>
    <row r="26" spans="1:9" x14ac:dyDescent="0.35">
      <c r="A26" s="71" t="s">
        <v>11</v>
      </c>
    </row>
    <row r="27" spans="1:9" ht="29" x14ac:dyDescent="0.35">
      <c r="A27" s="52"/>
      <c r="B27" s="66" t="s">
        <v>104</v>
      </c>
      <c r="C27" s="72" t="s">
        <v>98</v>
      </c>
      <c r="D27" s="72" t="s">
        <v>99</v>
      </c>
      <c r="E27" s="72" t="s">
        <v>96</v>
      </c>
      <c r="F27" s="72" t="s">
        <v>97</v>
      </c>
      <c r="G27" s="75" t="s">
        <v>61</v>
      </c>
    </row>
    <row r="28" spans="1:9" x14ac:dyDescent="0.35">
      <c r="A28" s="66" t="s">
        <v>103</v>
      </c>
      <c r="B28" s="52"/>
      <c r="C28" s="76">
        <f>B23</f>
        <v>80000</v>
      </c>
      <c r="D28" s="76">
        <f>B24</f>
        <v>175000</v>
      </c>
      <c r="E28" s="76">
        <f>B21</f>
        <v>765000</v>
      </c>
      <c r="F28" s="76">
        <f>B22</f>
        <v>420000</v>
      </c>
      <c r="G28" s="76">
        <f>SUM(C28:F28)</f>
        <v>1440000</v>
      </c>
    </row>
    <row r="29" spans="1:9" x14ac:dyDescent="0.35">
      <c r="A29" s="66" t="s">
        <v>105</v>
      </c>
      <c r="B29" s="52"/>
      <c r="C29" s="52"/>
      <c r="D29" s="52"/>
      <c r="E29" s="52"/>
      <c r="F29" s="52"/>
      <c r="G29" s="52"/>
    </row>
    <row r="30" spans="1:9" x14ac:dyDescent="0.35">
      <c r="A30" s="66"/>
      <c r="B30" s="78" t="s">
        <v>95</v>
      </c>
      <c r="C30" s="78"/>
      <c r="D30" s="78">
        <v>5</v>
      </c>
      <c r="E30" s="78">
        <v>40</v>
      </c>
      <c r="F30" s="78">
        <v>25</v>
      </c>
      <c r="G30" s="78">
        <f>SUM(C30:F30)</f>
        <v>70</v>
      </c>
    </row>
    <row r="31" spans="1:9" x14ac:dyDescent="0.35">
      <c r="A31" s="66" t="s">
        <v>106</v>
      </c>
      <c r="B31" s="52"/>
      <c r="C31" s="76">
        <f>C28</f>
        <v>80000</v>
      </c>
      <c r="D31" s="76">
        <f>$C$31*D30/$G$30</f>
        <v>5714.2857142857147</v>
      </c>
      <c r="E31" s="76">
        <f>$C$31*E30/$G$30</f>
        <v>45714.285714285717</v>
      </c>
      <c r="F31" s="76">
        <f>$C$31*F30/$G$30</f>
        <v>28571.428571428572</v>
      </c>
      <c r="G31" s="52"/>
    </row>
    <row r="32" spans="1:9" x14ac:dyDescent="0.35">
      <c r="A32" s="66"/>
      <c r="B32" s="78" t="s">
        <v>107</v>
      </c>
      <c r="C32" s="78"/>
      <c r="D32" s="78"/>
      <c r="E32" s="78">
        <f>+I21</f>
        <v>8800</v>
      </c>
      <c r="F32" s="78">
        <f>+I22</f>
        <v>8200</v>
      </c>
      <c r="G32" s="78">
        <f>E32+F32</f>
        <v>17000</v>
      </c>
    </row>
    <row r="33" spans="1:7" x14ac:dyDescent="0.35">
      <c r="A33" s="79" t="s">
        <v>108</v>
      </c>
      <c r="B33" s="52"/>
      <c r="C33" s="52"/>
      <c r="D33" s="76">
        <f>D28+D31</f>
        <v>180714.28571428571</v>
      </c>
      <c r="E33" s="76">
        <f>$D$33*E32/$G$32</f>
        <v>93546.218487394945</v>
      </c>
      <c r="F33" s="76">
        <f>$D$33*F32/$G$32</f>
        <v>87168.067226890766</v>
      </c>
      <c r="G33" s="52"/>
    </row>
    <row r="34" spans="1:7" x14ac:dyDescent="0.35">
      <c r="A34" s="79" t="s">
        <v>44</v>
      </c>
      <c r="B34" s="2"/>
      <c r="C34" s="2"/>
      <c r="D34" s="2"/>
      <c r="E34" s="12">
        <f>E28+E31+E33</f>
        <v>904260.50420168065</v>
      </c>
      <c r="F34" s="12">
        <f>F28+F31+F33</f>
        <v>535739.49579831935</v>
      </c>
      <c r="G34" s="12">
        <f>SUM(E34:F34)</f>
        <v>1440000</v>
      </c>
    </row>
    <row r="35" spans="1:7" x14ac:dyDescent="0.35">
      <c r="A35" s="79" t="s">
        <v>420</v>
      </c>
      <c r="B35" s="2"/>
      <c r="C35" s="2"/>
      <c r="E35" s="2">
        <f>+G21+H21</f>
        <v>440000</v>
      </c>
      <c r="F35" s="153">
        <f>+G22+H22</f>
        <v>205000</v>
      </c>
      <c r="G35" s="12">
        <f>+F35+E35</f>
        <v>645000</v>
      </c>
    </row>
    <row r="36" spans="1:7" x14ac:dyDescent="0.35">
      <c r="A36" s="64" t="s">
        <v>419</v>
      </c>
      <c r="B36" s="92"/>
      <c r="C36" s="92"/>
      <c r="D36" s="92"/>
      <c r="E36" s="154">
        <f>+E34/E35</f>
        <v>2.0551375095492741</v>
      </c>
      <c r="F36" s="154">
        <f>+F34/F35</f>
        <v>2.6133633941381431</v>
      </c>
      <c r="G36" s="92"/>
    </row>
    <row r="37" spans="1:7" x14ac:dyDescent="0.35">
      <c r="A37" s="80"/>
    </row>
    <row r="38" spans="1:7" x14ac:dyDescent="0.35">
      <c r="E38" s="13"/>
      <c r="F38" s="13"/>
    </row>
    <row r="39" spans="1:7" x14ac:dyDescent="0.35">
      <c r="A39" s="2"/>
      <c r="B39" s="185" t="s">
        <v>421</v>
      </c>
      <c r="C39" s="185"/>
    </row>
    <row r="40" spans="1:7" x14ac:dyDescent="0.35">
      <c r="A40" s="22" t="s">
        <v>1</v>
      </c>
      <c r="B40" s="65" t="s">
        <v>7</v>
      </c>
      <c r="C40" s="65" t="s">
        <v>8</v>
      </c>
      <c r="D40" s="64" t="s">
        <v>419</v>
      </c>
    </row>
    <row r="41" spans="1:7" x14ac:dyDescent="0.35">
      <c r="A41" s="22" t="s">
        <v>371</v>
      </c>
      <c r="B41" s="6">
        <f>+D21</f>
        <v>4</v>
      </c>
      <c r="C41" s="6">
        <f>+E21</f>
        <v>3</v>
      </c>
      <c r="D41" s="156">
        <f>+E36</f>
        <v>2.0551375095492741</v>
      </c>
    </row>
    <row r="42" spans="1:7" x14ac:dyDescent="0.35">
      <c r="A42" s="22" t="s">
        <v>372</v>
      </c>
      <c r="B42" s="6">
        <f>+D22</f>
        <v>2.5</v>
      </c>
      <c r="C42" s="6">
        <f>+E22</f>
        <v>1</v>
      </c>
      <c r="D42" s="156">
        <f>+F36</f>
        <v>2.6133633941381431</v>
      </c>
    </row>
    <row r="43" spans="1:7" x14ac:dyDescent="0.35">
      <c r="A43" s="93" t="s">
        <v>422</v>
      </c>
      <c r="B43" s="155">
        <f>+(B41*$D$41)+(B42*$D$42)</f>
        <v>14.753958523542455</v>
      </c>
      <c r="C43" s="155">
        <f>+(C41*$D$41)+(C42*$D$42)</f>
        <v>8.7787759227859645</v>
      </c>
    </row>
  </sheetData>
  <mergeCells count="1">
    <mergeCell ref="B39:C39"/>
  </mergeCells>
  <phoneticPr fontId="5" type="noConversion"/>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A786B-5748-41C4-A867-0ED5DDADD163}">
  <dimension ref="A5:D57"/>
  <sheetViews>
    <sheetView topLeftCell="A44" zoomScale="80" zoomScaleNormal="80" workbookViewId="0">
      <selection activeCell="G69" sqref="G69"/>
    </sheetView>
  </sheetViews>
  <sheetFormatPr baseColWidth="10" defaultRowHeight="14.5" x14ac:dyDescent="0.35"/>
  <cols>
    <col min="1" max="1" width="24" bestFit="1" customWidth="1"/>
    <col min="2" max="2" width="17.54296875" customWidth="1"/>
    <col min="3" max="3" width="15.1796875" bestFit="1" customWidth="1"/>
  </cols>
  <sheetData>
    <row r="5" spans="1:4" x14ac:dyDescent="0.35">
      <c r="A5" s="72" t="s">
        <v>109</v>
      </c>
      <c r="B5" s="74">
        <v>504000</v>
      </c>
      <c r="C5" s="23" t="s">
        <v>121</v>
      </c>
    </row>
    <row r="6" spans="1:4" x14ac:dyDescent="0.35">
      <c r="A6" s="72" t="s">
        <v>110</v>
      </c>
      <c r="B6" s="74">
        <v>12000</v>
      </c>
      <c r="C6" s="23" t="s">
        <v>121</v>
      </c>
    </row>
    <row r="7" spans="1:4" ht="25" customHeight="1" x14ac:dyDescent="0.35">
      <c r="A7" s="72" t="s">
        <v>111</v>
      </c>
      <c r="B7" s="6">
        <f>(B5/12)*0.8</f>
        <v>33600</v>
      </c>
      <c r="C7" s="23" t="s">
        <v>121</v>
      </c>
      <c r="D7" s="77"/>
    </row>
    <row r="8" spans="1:4" x14ac:dyDescent="0.35">
      <c r="A8" s="72" t="s">
        <v>112</v>
      </c>
      <c r="B8" s="6">
        <v>85000</v>
      </c>
      <c r="C8" s="6" t="s">
        <v>113</v>
      </c>
    </row>
    <row r="9" spans="1:4" x14ac:dyDescent="0.35">
      <c r="A9" s="72" t="s">
        <v>114</v>
      </c>
      <c r="B9" s="74">
        <v>15000</v>
      </c>
      <c r="C9" s="23" t="s">
        <v>113</v>
      </c>
    </row>
    <row r="10" spans="1:4" x14ac:dyDescent="0.35">
      <c r="A10" s="81"/>
      <c r="B10" s="81"/>
      <c r="C10" s="84"/>
    </row>
    <row r="11" spans="1:4" x14ac:dyDescent="0.35">
      <c r="A11" s="72" t="s">
        <v>115</v>
      </c>
      <c r="B11" s="85">
        <v>0.7</v>
      </c>
      <c r="C11" s="40">
        <f>B5*B11</f>
        <v>352800</v>
      </c>
      <c r="D11" t="s">
        <v>121</v>
      </c>
    </row>
    <row r="12" spans="1:4" x14ac:dyDescent="0.35">
      <c r="A12" s="72" t="s">
        <v>116</v>
      </c>
      <c r="B12" s="85">
        <v>0.3</v>
      </c>
      <c r="C12" s="40">
        <f>B5*B12</f>
        <v>151200</v>
      </c>
      <c r="D12" t="s">
        <v>121</v>
      </c>
    </row>
    <row r="13" spans="1:4" x14ac:dyDescent="0.35">
      <c r="A13" s="72" t="s">
        <v>122</v>
      </c>
      <c r="B13" s="87">
        <f>B14*0.8</f>
        <v>36</v>
      </c>
      <c r="C13" s="86" t="s">
        <v>124</v>
      </c>
    </row>
    <row r="14" spans="1:4" x14ac:dyDescent="0.35">
      <c r="A14" s="72" t="s">
        <v>123</v>
      </c>
      <c r="B14" s="87">
        <v>45</v>
      </c>
      <c r="C14" s="86" t="s">
        <v>124</v>
      </c>
    </row>
    <row r="15" spans="1:4" x14ac:dyDescent="0.35">
      <c r="A15" s="81"/>
      <c r="B15" s="82"/>
      <c r="C15" s="83"/>
    </row>
    <row r="16" spans="1:4" x14ac:dyDescent="0.35">
      <c r="A16" s="81"/>
      <c r="B16" s="82"/>
      <c r="C16" s="83"/>
    </row>
    <row r="17" spans="1:3" x14ac:dyDescent="0.35">
      <c r="A17" s="72" t="s">
        <v>117</v>
      </c>
      <c r="B17" s="86">
        <v>15</v>
      </c>
      <c r="C17" s="2" t="s">
        <v>125</v>
      </c>
    </row>
    <row r="18" spans="1:3" x14ac:dyDescent="0.35">
      <c r="A18" s="72" t="s">
        <v>118</v>
      </c>
      <c r="B18" s="86">
        <v>7</v>
      </c>
      <c r="C18" s="2" t="s">
        <v>119</v>
      </c>
    </row>
    <row r="19" spans="1:3" x14ac:dyDescent="0.35">
      <c r="A19" s="72" t="s">
        <v>120</v>
      </c>
      <c r="B19" s="2">
        <v>1.2</v>
      </c>
      <c r="C19" s="88" t="s">
        <v>113</v>
      </c>
    </row>
    <row r="21" spans="1:3" x14ac:dyDescent="0.35">
      <c r="A21" s="75" t="s">
        <v>126</v>
      </c>
      <c r="B21" s="87">
        <v>3650000</v>
      </c>
    </row>
    <row r="24" spans="1:3" x14ac:dyDescent="0.35">
      <c r="A24" s="186" t="s">
        <v>127</v>
      </c>
      <c r="B24" s="186"/>
      <c r="C24" s="186"/>
    </row>
    <row r="26" spans="1:3" x14ac:dyDescent="0.35">
      <c r="A26" s="8" t="s">
        <v>27</v>
      </c>
      <c r="B26" s="8" t="s">
        <v>128</v>
      </c>
    </row>
    <row r="27" spans="1:3" x14ac:dyDescent="0.35">
      <c r="A27" s="53">
        <f>C11</f>
        <v>352800</v>
      </c>
      <c r="B27" s="53">
        <f>C12</f>
        <v>151200</v>
      </c>
    </row>
    <row r="28" spans="1:3" x14ac:dyDescent="0.35">
      <c r="A28" s="76">
        <f>B13</f>
        <v>36</v>
      </c>
      <c r="B28" s="90">
        <f>B14</f>
        <v>45</v>
      </c>
    </row>
    <row r="29" spans="1:3" x14ac:dyDescent="0.35">
      <c r="A29" s="12">
        <f>A27*A28</f>
        <v>12700800</v>
      </c>
      <c r="B29" s="91">
        <f>B27*B28</f>
        <v>6804000</v>
      </c>
    </row>
    <row r="30" spans="1:3" x14ac:dyDescent="0.35">
      <c r="B30" s="93" t="s">
        <v>44</v>
      </c>
      <c r="C30" s="94">
        <f>B29+A29</f>
        <v>19504800</v>
      </c>
    </row>
    <row r="33" spans="1:3" x14ac:dyDescent="0.35">
      <c r="A33" s="186" t="s">
        <v>129</v>
      </c>
      <c r="B33" s="186"/>
      <c r="C33" s="186"/>
    </row>
    <row r="35" spans="1:3" x14ac:dyDescent="0.35">
      <c r="A35" s="8" t="s">
        <v>37</v>
      </c>
      <c r="B35" s="6">
        <f>B5</f>
        <v>504000</v>
      </c>
    </row>
    <row r="36" spans="1:3" x14ac:dyDescent="0.35">
      <c r="A36" s="8" t="s">
        <v>33</v>
      </c>
      <c r="B36" s="6">
        <f>B7</f>
        <v>33600</v>
      </c>
    </row>
    <row r="37" spans="1:3" x14ac:dyDescent="0.35">
      <c r="A37" s="8" t="s">
        <v>53</v>
      </c>
      <c r="B37" s="6">
        <f>B6</f>
        <v>12000</v>
      </c>
    </row>
    <row r="38" spans="1:3" x14ac:dyDescent="0.35">
      <c r="A38" s="8" t="s">
        <v>40</v>
      </c>
      <c r="B38" s="6">
        <f>B35+B36-B37</f>
        <v>525600</v>
      </c>
    </row>
    <row r="41" spans="1:3" x14ac:dyDescent="0.35">
      <c r="A41" s="186" t="s">
        <v>130</v>
      </c>
      <c r="B41" s="186"/>
      <c r="C41" s="186"/>
    </row>
    <row r="43" spans="1:3" x14ac:dyDescent="0.35">
      <c r="A43" s="66" t="s">
        <v>40</v>
      </c>
      <c r="B43" s="52">
        <f>B38</f>
        <v>525600</v>
      </c>
      <c r="C43" t="s">
        <v>121</v>
      </c>
    </row>
    <row r="44" spans="1:3" x14ac:dyDescent="0.35">
      <c r="A44" s="66" t="s">
        <v>131</v>
      </c>
      <c r="B44" s="52">
        <f>B43*B19</f>
        <v>630720</v>
      </c>
      <c r="C44" t="s">
        <v>113</v>
      </c>
    </row>
    <row r="45" spans="1:3" x14ac:dyDescent="0.35">
      <c r="A45" s="66" t="s">
        <v>132</v>
      </c>
      <c r="B45" s="52">
        <f>B9</f>
        <v>15000</v>
      </c>
      <c r="C45" t="s">
        <v>113</v>
      </c>
    </row>
    <row r="46" spans="1:3" x14ac:dyDescent="0.35">
      <c r="A46" s="66" t="s">
        <v>133</v>
      </c>
      <c r="B46" s="52">
        <f>B8</f>
        <v>85000</v>
      </c>
      <c r="C46" t="s">
        <v>113</v>
      </c>
    </row>
    <row r="47" spans="1:3" x14ac:dyDescent="0.35">
      <c r="A47" s="66" t="s">
        <v>134</v>
      </c>
      <c r="B47" s="52">
        <f>B44+B45-B46</f>
        <v>560720</v>
      </c>
      <c r="C47" t="s">
        <v>113</v>
      </c>
    </row>
    <row r="48" spans="1:3" x14ac:dyDescent="0.35">
      <c r="A48" s="55" t="s">
        <v>135</v>
      </c>
      <c r="B48" s="98">
        <f>B47*B18</f>
        <v>3925040</v>
      </c>
    </row>
    <row r="51" spans="1:3" x14ac:dyDescent="0.35">
      <c r="A51" s="186" t="s">
        <v>137</v>
      </c>
      <c r="B51" s="186"/>
      <c r="C51" s="186"/>
    </row>
    <row r="53" spans="1:3" x14ac:dyDescent="0.35">
      <c r="A53" t="s">
        <v>138</v>
      </c>
    </row>
    <row r="55" spans="1:3" x14ac:dyDescent="0.35">
      <c r="A55" s="22" t="s">
        <v>52</v>
      </c>
      <c r="B55" s="12">
        <f>C30</f>
        <v>19504800</v>
      </c>
    </row>
    <row r="56" spans="1:3" x14ac:dyDescent="0.35">
      <c r="A56" s="22" t="s">
        <v>139</v>
      </c>
      <c r="B56" s="86">
        <f>B5*B17</f>
        <v>7560000</v>
      </c>
    </row>
    <row r="57" spans="1:3" x14ac:dyDescent="0.35">
      <c r="A57" s="93" t="s">
        <v>140</v>
      </c>
      <c r="B57" s="97">
        <f>+B55-B56</f>
        <v>11944800</v>
      </c>
    </row>
  </sheetData>
  <mergeCells count="4">
    <mergeCell ref="A24:C24"/>
    <mergeCell ref="A33:C33"/>
    <mergeCell ref="A41:C41"/>
    <mergeCell ref="A51:C5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8FAD-44AC-40F0-B95B-1B12D81BBF8C}">
  <dimension ref="A4:C46"/>
  <sheetViews>
    <sheetView zoomScaleNormal="100" workbookViewId="0">
      <selection activeCell="B12" sqref="B12"/>
    </sheetView>
  </sheetViews>
  <sheetFormatPr baseColWidth="10" defaultRowHeight="14.5" x14ac:dyDescent="0.35"/>
  <cols>
    <col min="1" max="1" width="23" bestFit="1" customWidth="1"/>
    <col min="2" max="2" width="13.26953125" bestFit="1" customWidth="1"/>
  </cols>
  <sheetData>
    <row r="4" spans="1:3" x14ac:dyDescent="0.35">
      <c r="A4" s="66" t="s">
        <v>110</v>
      </c>
      <c r="B4" s="52">
        <v>2200</v>
      </c>
      <c r="C4" s="6" t="s">
        <v>121</v>
      </c>
    </row>
    <row r="5" spans="1:3" x14ac:dyDescent="0.35">
      <c r="A5" s="66" t="s">
        <v>111</v>
      </c>
      <c r="B5" s="6">
        <v>1500</v>
      </c>
      <c r="C5" s="6" t="s">
        <v>121</v>
      </c>
    </row>
    <row r="6" spans="1:3" x14ac:dyDescent="0.35">
      <c r="A6" s="79" t="s">
        <v>40</v>
      </c>
      <c r="B6" s="6">
        <v>28700</v>
      </c>
      <c r="C6" s="99" t="s">
        <v>121</v>
      </c>
    </row>
    <row r="7" spans="1:3" x14ac:dyDescent="0.35">
      <c r="A7" s="79" t="s">
        <v>141</v>
      </c>
      <c r="B7" s="6">
        <v>3</v>
      </c>
      <c r="C7" s="99" t="s">
        <v>142</v>
      </c>
    </row>
    <row r="8" spans="1:3" x14ac:dyDescent="0.35">
      <c r="A8" s="79" t="s">
        <v>143</v>
      </c>
      <c r="B8" s="101">
        <v>12</v>
      </c>
      <c r="C8" s="99" t="s">
        <v>119</v>
      </c>
    </row>
    <row r="9" spans="1:3" x14ac:dyDescent="0.35">
      <c r="A9" s="79" t="s">
        <v>144</v>
      </c>
      <c r="B9" s="6">
        <f>B6*B7*0.1</f>
        <v>8610</v>
      </c>
      <c r="C9" s="99" t="s">
        <v>113</v>
      </c>
    </row>
    <row r="10" spans="1:3" x14ac:dyDescent="0.35">
      <c r="A10" s="79" t="s">
        <v>145</v>
      </c>
      <c r="B10" s="6">
        <f>B6*B7*0.15</f>
        <v>12915</v>
      </c>
      <c r="C10" s="99" t="s">
        <v>113</v>
      </c>
    </row>
    <row r="11" spans="1:3" x14ac:dyDescent="0.35">
      <c r="A11" s="79" t="s">
        <v>146</v>
      </c>
      <c r="B11" s="101">
        <v>216</v>
      </c>
      <c r="C11" s="2" t="s">
        <v>159</v>
      </c>
    </row>
    <row r="12" spans="1:3" x14ac:dyDescent="0.35">
      <c r="A12" s="79" t="s">
        <v>147</v>
      </c>
      <c r="B12" s="102">
        <f>B11*1/0.6</f>
        <v>360</v>
      </c>
      <c r="C12" s="2"/>
    </row>
    <row r="13" spans="1:3" x14ac:dyDescent="0.35">
      <c r="A13" s="79" t="s">
        <v>91</v>
      </c>
      <c r="B13" s="3">
        <v>229600</v>
      </c>
      <c r="C13" s="2"/>
    </row>
    <row r="16" spans="1:3" x14ac:dyDescent="0.35">
      <c r="A16" s="186" t="s">
        <v>127</v>
      </c>
      <c r="B16" s="186"/>
      <c r="C16" s="186"/>
    </row>
    <row r="17" spans="1:3" x14ac:dyDescent="0.35">
      <c r="A17" s="104"/>
      <c r="B17" s="104"/>
      <c r="C17" s="104"/>
    </row>
    <row r="18" spans="1:3" x14ac:dyDescent="0.35">
      <c r="A18" s="22" t="s">
        <v>148</v>
      </c>
      <c r="B18" s="2">
        <f>B6+B4-B5</f>
        <v>29400</v>
      </c>
    </row>
    <row r="19" spans="1:3" x14ac:dyDescent="0.35">
      <c r="A19" s="22" t="s">
        <v>149</v>
      </c>
      <c r="B19" s="100">
        <f>B12</f>
        <v>360</v>
      </c>
    </row>
    <row r="20" spans="1:3" x14ac:dyDescent="0.35">
      <c r="A20" s="93" t="s">
        <v>44</v>
      </c>
      <c r="B20" s="103">
        <f>B18*B19</f>
        <v>10584000</v>
      </c>
    </row>
    <row r="23" spans="1:3" x14ac:dyDescent="0.35">
      <c r="A23" s="186" t="s">
        <v>130</v>
      </c>
      <c r="B23" s="186"/>
      <c r="C23" s="186"/>
    </row>
    <row r="25" spans="1:3" x14ac:dyDescent="0.35">
      <c r="A25" s="22" t="s">
        <v>40</v>
      </c>
      <c r="B25" s="2">
        <f>B6</f>
        <v>28700</v>
      </c>
    </row>
    <row r="26" spans="1:3" x14ac:dyDescent="0.35">
      <c r="A26" s="22" t="s">
        <v>131</v>
      </c>
      <c r="B26" s="2">
        <f>B6*B7</f>
        <v>86100</v>
      </c>
    </row>
    <row r="27" spans="1:3" x14ac:dyDescent="0.35">
      <c r="A27" s="22" t="s">
        <v>151</v>
      </c>
      <c r="B27" s="2">
        <f>B10</f>
        <v>12915</v>
      </c>
    </row>
    <row r="28" spans="1:3" x14ac:dyDescent="0.35">
      <c r="A28" s="22" t="s">
        <v>32</v>
      </c>
      <c r="B28" s="2">
        <f>B9</f>
        <v>8610</v>
      </c>
    </row>
    <row r="29" spans="1:3" x14ac:dyDescent="0.35">
      <c r="A29" s="22" t="s">
        <v>73</v>
      </c>
      <c r="B29" s="2">
        <f>B26+B27-B28</f>
        <v>90405</v>
      </c>
    </row>
    <row r="30" spans="1:3" x14ac:dyDescent="0.35">
      <c r="A30" s="93" t="s">
        <v>135</v>
      </c>
      <c r="B30" s="97">
        <f>B29*B8</f>
        <v>1084860</v>
      </c>
    </row>
    <row r="33" spans="1:3" x14ac:dyDescent="0.35">
      <c r="A33" s="186" t="s">
        <v>136</v>
      </c>
      <c r="B33" s="186"/>
      <c r="C33" s="186"/>
    </row>
    <row r="35" spans="1:3" x14ac:dyDescent="0.35">
      <c r="A35" t="s">
        <v>152</v>
      </c>
    </row>
    <row r="37" spans="1:3" x14ac:dyDescent="0.35">
      <c r="A37" s="22" t="s">
        <v>153</v>
      </c>
      <c r="B37" s="86">
        <f>B25*B8*B7</f>
        <v>1033200</v>
      </c>
    </row>
    <row r="38" spans="1:3" x14ac:dyDescent="0.35">
      <c r="A38" s="93" t="s">
        <v>154</v>
      </c>
      <c r="B38" s="103">
        <f>B40-B39-B37</f>
        <v>2870000</v>
      </c>
    </row>
    <row r="39" spans="1:3" x14ac:dyDescent="0.35">
      <c r="A39" s="22" t="s">
        <v>155</v>
      </c>
      <c r="B39" s="12">
        <f>B13</f>
        <v>229600</v>
      </c>
    </row>
    <row r="40" spans="1:3" x14ac:dyDescent="0.35">
      <c r="A40" s="22" t="s">
        <v>156</v>
      </c>
      <c r="B40" s="100">
        <f>B25*(B12-B11)</f>
        <v>4132800</v>
      </c>
    </row>
    <row r="42" spans="1:3" x14ac:dyDescent="0.35">
      <c r="A42" s="186" t="s">
        <v>139</v>
      </c>
      <c r="B42" s="186"/>
      <c r="C42" s="186"/>
    </row>
    <row r="43" spans="1:3" x14ac:dyDescent="0.35">
      <c r="A43" t="s">
        <v>157</v>
      </c>
    </row>
    <row r="45" spans="1:3" x14ac:dyDescent="0.35">
      <c r="A45" t="s">
        <v>158</v>
      </c>
    </row>
    <row r="46" spans="1:3" x14ac:dyDescent="0.35">
      <c r="A46" s="93" t="s">
        <v>139</v>
      </c>
      <c r="B46" s="103">
        <f>B20-B18*B11</f>
        <v>4233600</v>
      </c>
    </row>
  </sheetData>
  <mergeCells count="4">
    <mergeCell ref="A16:C16"/>
    <mergeCell ref="A23:C23"/>
    <mergeCell ref="A33:C33"/>
    <mergeCell ref="A42:C4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3050-1252-4403-B980-A43F61C6BBE3}">
  <dimension ref="A4:K40"/>
  <sheetViews>
    <sheetView workbookViewId="0">
      <selection activeCell="B1" sqref="B1"/>
    </sheetView>
  </sheetViews>
  <sheetFormatPr baseColWidth="10" defaultRowHeight="14.5" x14ac:dyDescent="0.35"/>
  <cols>
    <col min="1" max="1" width="24.453125" customWidth="1"/>
    <col min="4" max="4" width="12.453125" customWidth="1"/>
    <col min="6" max="6" width="26.7265625" customWidth="1"/>
  </cols>
  <sheetData>
    <row r="4" spans="1:6" x14ac:dyDescent="0.35">
      <c r="A4" s="22" t="s">
        <v>160</v>
      </c>
      <c r="B4" s="2">
        <f>B14*0.1</f>
        <v>5000</v>
      </c>
      <c r="C4" t="s">
        <v>161</v>
      </c>
    </row>
    <row r="5" spans="1:6" x14ac:dyDescent="0.35">
      <c r="A5" s="22" t="s">
        <v>169</v>
      </c>
      <c r="B5" s="2">
        <f>B14*0.08</f>
        <v>4000</v>
      </c>
      <c r="C5" t="s">
        <v>162</v>
      </c>
    </row>
    <row r="6" spans="1:6" x14ac:dyDescent="0.35">
      <c r="A6" s="22" t="s">
        <v>150</v>
      </c>
      <c r="B6" s="2">
        <v>51000</v>
      </c>
      <c r="C6" t="s">
        <v>121</v>
      </c>
    </row>
    <row r="7" spans="1:6" x14ac:dyDescent="0.35">
      <c r="A7" s="22" t="s">
        <v>163</v>
      </c>
      <c r="B7" s="2">
        <v>2.5</v>
      </c>
      <c r="C7" t="s">
        <v>164</v>
      </c>
      <c r="D7" t="s">
        <v>170</v>
      </c>
    </row>
    <row r="8" spans="1:6" x14ac:dyDescent="0.35">
      <c r="A8" s="22" t="s">
        <v>165</v>
      </c>
      <c r="B8" s="86">
        <v>30</v>
      </c>
      <c r="C8" t="s">
        <v>166</v>
      </c>
      <c r="D8" t="s">
        <v>171</v>
      </c>
    </row>
    <row r="9" spans="1:6" x14ac:dyDescent="0.35">
      <c r="A9" s="22" t="s">
        <v>112</v>
      </c>
      <c r="B9" s="2">
        <v>6000</v>
      </c>
      <c r="C9" t="s">
        <v>113</v>
      </c>
      <c r="D9" t="s">
        <v>172</v>
      </c>
    </row>
    <row r="10" spans="1:6" x14ac:dyDescent="0.35">
      <c r="A10" s="22" t="s">
        <v>114</v>
      </c>
      <c r="B10" s="2">
        <v>4000</v>
      </c>
      <c r="C10" t="s">
        <v>113</v>
      </c>
      <c r="D10" t="s">
        <v>36</v>
      </c>
      <c r="E10" s="105">
        <f>1-0.08+0.1</f>
        <v>1.02</v>
      </c>
      <c r="F10" t="s">
        <v>173</v>
      </c>
    </row>
    <row r="11" spans="1:6" x14ac:dyDescent="0.35">
      <c r="A11" s="22" t="s">
        <v>167</v>
      </c>
      <c r="B11" s="86">
        <v>5</v>
      </c>
      <c r="C11" t="s">
        <v>119</v>
      </c>
      <c r="D11" s="92" t="s">
        <v>173</v>
      </c>
      <c r="E11" s="92">
        <f>B6/1.02</f>
        <v>50000</v>
      </c>
    </row>
    <row r="12" spans="1:6" x14ac:dyDescent="0.35">
      <c r="A12" s="22" t="s">
        <v>139</v>
      </c>
      <c r="B12" s="86">
        <v>7650000</v>
      </c>
    </row>
    <row r="13" spans="1:6" x14ac:dyDescent="0.35">
      <c r="A13" s="22" t="s">
        <v>168</v>
      </c>
      <c r="B13" s="86">
        <v>1500000</v>
      </c>
    </row>
    <row r="14" spans="1:6" x14ac:dyDescent="0.35">
      <c r="A14" s="106" t="s">
        <v>40</v>
      </c>
      <c r="B14" s="2">
        <f>E11</f>
        <v>50000</v>
      </c>
    </row>
    <row r="16" spans="1:6" x14ac:dyDescent="0.35">
      <c r="A16" s="186" t="s">
        <v>174</v>
      </c>
      <c r="B16" s="186"/>
    </row>
    <row r="18" spans="1:11" x14ac:dyDescent="0.35">
      <c r="A18" s="106" t="s">
        <v>175</v>
      </c>
      <c r="B18" s="2">
        <f>B14*B7</f>
        <v>125000</v>
      </c>
    </row>
    <row r="19" spans="1:11" x14ac:dyDescent="0.35">
      <c r="A19" s="93" t="s">
        <v>176</v>
      </c>
      <c r="B19" s="97">
        <f>B8*B18</f>
        <v>3750000</v>
      </c>
    </row>
    <row r="22" spans="1:11" x14ac:dyDescent="0.35">
      <c r="A22" s="186" t="s">
        <v>177</v>
      </c>
      <c r="B22" s="186"/>
      <c r="C22" s="186"/>
    </row>
    <row r="23" spans="1:11" x14ac:dyDescent="0.35">
      <c r="F23" s="134" t="s">
        <v>183</v>
      </c>
      <c r="G23" s="135">
        <f>B12/B6</f>
        <v>150</v>
      </c>
    </row>
    <row r="24" spans="1:11" x14ac:dyDescent="0.35">
      <c r="A24" s="22" t="s">
        <v>40</v>
      </c>
      <c r="B24" s="2">
        <f>B14</f>
        <v>50000</v>
      </c>
      <c r="F24" s="136" t="s">
        <v>182</v>
      </c>
      <c r="G24" s="137">
        <f>+B19/B14</f>
        <v>75</v>
      </c>
    </row>
    <row r="25" spans="1:11" x14ac:dyDescent="0.35">
      <c r="A25" s="22" t="s">
        <v>131</v>
      </c>
      <c r="B25" s="2">
        <f>+G29*B24</f>
        <v>450000</v>
      </c>
      <c r="F25" s="136" t="s">
        <v>341</v>
      </c>
      <c r="G25" s="138">
        <f>B13/50000</f>
        <v>30</v>
      </c>
    </row>
    <row r="26" spans="1:11" x14ac:dyDescent="0.35">
      <c r="A26" s="22" t="s">
        <v>151</v>
      </c>
      <c r="B26" s="2">
        <f>B10</f>
        <v>4000</v>
      </c>
    </row>
    <row r="27" spans="1:11" x14ac:dyDescent="0.35">
      <c r="A27" s="22" t="s">
        <v>32</v>
      </c>
      <c r="B27" s="2">
        <f>B9</f>
        <v>6000</v>
      </c>
      <c r="F27" s="136" t="s">
        <v>342</v>
      </c>
      <c r="G27" s="135">
        <f>G23-G24-G25</f>
        <v>45</v>
      </c>
    </row>
    <row r="28" spans="1:11" x14ac:dyDescent="0.35">
      <c r="A28" s="22" t="s">
        <v>73</v>
      </c>
      <c r="B28" s="2">
        <f>+B25+B26-B27</f>
        <v>448000</v>
      </c>
    </row>
    <row r="29" spans="1:11" x14ac:dyDescent="0.35">
      <c r="A29" s="139" t="s">
        <v>135</v>
      </c>
      <c r="B29" s="138">
        <f>+B28*B11</f>
        <v>2240000</v>
      </c>
      <c r="F29" s="136" t="s">
        <v>343</v>
      </c>
      <c r="G29" s="136">
        <f>G27/B11</f>
        <v>9</v>
      </c>
      <c r="H29" s="136" t="s">
        <v>113</v>
      </c>
      <c r="J29" t="s">
        <v>345</v>
      </c>
      <c r="K29" t="s">
        <v>346</v>
      </c>
    </row>
    <row r="30" spans="1:11" x14ac:dyDescent="0.35">
      <c r="J30" s="133" t="s">
        <v>344</v>
      </c>
    </row>
    <row r="32" spans="1:11" x14ac:dyDescent="0.35">
      <c r="A32" t="s">
        <v>143</v>
      </c>
    </row>
    <row r="33" spans="1:2" x14ac:dyDescent="0.35">
      <c r="A33" t="s">
        <v>178</v>
      </c>
      <c r="B33" s="83">
        <f>B19</f>
        <v>3750000</v>
      </c>
    </row>
    <row r="34" spans="1:2" x14ac:dyDescent="0.35">
      <c r="A34" t="s">
        <v>179</v>
      </c>
      <c r="B34" s="83">
        <f>B13</f>
        <v>1500000</v>
      </c>
    </row>
    <row r="36" spans="1:2" x14ac:dyDescent="0.35">
      <c r="A36" t="s">
        <v>156</v>
      </c>
    </row>
    <row r="38" spans="1:2" x14ac:dyDescent="0.35">
      <c r="A38" t="s">
        <v>180</v>
      </c>
    </row>
    <row r="39" spans="1:2" x14ac:dyDescent="0.35">
      <c r="A39" s="2" t="s">
        <v>139</v>
      </c>
      <c r="B39" s="86">
        <f>B12</f>
        <v>7650000</v>
      </c>
    </row>
    <row r="40" spans="1:2" x14ac:dyDescent="0.35">
      <c r="A40" s="108" t="s">
        <v>181</v>
      </c>
    </row>
  </sheetData>
  <mergeCells count="2">
    <mergeCell ref="A16:B16"/>
    <mergeCell ref="A22:C2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987B1-1EC5-4992-9796-6C82617C4412}">
  <dimension ref="A1:K66"/>
  <sheetViews>
    <sheetView workbookViewId="0">
      <selection activeCell="C6" sqref="C6"/>
    </sheetView>
  </sheetViews>
  <sheetFormatPr baseColWidth="10" defaultRowHeight="14.5" x14ac:dyDescent="0.35"/>
  <cols>
    <col min="1" max="1" width="22.26953125" customWidth="1"/>
    <col min="2" max="2" width="12.1796875" bestFit="1" customWidth="1"/>
    <col min="3" max="3" width="13.81640625" customWidth="1"/>
    <col min="4" max="4" width="13.453125" customWidth="1"/>
    <col min="5" max="5" width="12.81640625" customWidth="1"/>
    <col min="6" max="7" width="11.1796875" bestFit="1" customWidth="1"/>
    <col min="8" max="8" width="12.1796875" bestFit="1" customWidth="1"/>
  </cols>
  <sheetData>
    <row r="1" spans="1:4" x14ac:dyDescent="0.35">
      <c r="A1" s="1" t="s">
        <v>184</v>
      </c>
    </row>
    <row r="2" spans="1:4" x14ac:dyDescent="0.35">
      <c r="A2" s="22" t="s">
        <v>185</v>
      </c>
      <c r="B2" s="87">
        <v>50000</v>
      </c>
      <c r="C2" s="12">
        <f>B2/2</f>
        <v>25000</v>
      </c>
      <c r="D2" t="s">
        <v>225</v>
      </c>
    </row>
    <row r="3" spans="1:4" x14ac:dyDescent="0.35">
      <c r="A3" s="22" t="s">
        <v>186</v>
      </c>
      <c r="B3" s="87">
        <v>70000</v>
      </c>
      <c r="C3" s="12">
        <f>B3/2</f>
        <v>35000</v>
      </c>
      <c r="D3" t="s">
        <v>194</v>
      </c>
    </row>
    <row r="5" spans="1:4" x14ac:dyDescent="0.35">
      <c r="A5" s="22" t="s">
        <v>187</v>
      </c>
      <c r="B5" s="8" t="s">
        <v>207</v>
      </c>
      <c r="C5" s="8" t="s">
        <v>224</v>
      </c>
      <c r="D5" t="s">
        <v>195</v>
      </c>
    </row>
    <row r="6" spans="1:4" x14ac:dyDescent="0.35">
      <c r="A6" s="112" t="s">
        <v>188</v>
      </c>
      <c r="B6" s="6">
        <v>65000</v>
      </c>
      <c r="C6" s="6">
        <f t="shared" ref="C6:C11" si="0">B6/2</f>
        <v>32500</v>
      </c>
      <c r="D6" t="s">
        <v>196</v>
      </c>
    </row>
    <row r="7" spans="1:4" x14ac:dyDescent="0.35">
      <c r="A7" s="112" t="s">
        <v>189</v>
      </c>
      <c r="B7" s="6">
        <v>50000</v>
      </c>
      <c r="C7" s="6">
        <f t="shared" si="0"/>
        <v>25000</v>
      </c>
      <c r="D7" t="s">
        <v>197</v>
      </c>
    </row>
    <row r="8" spans="1:4" x14ac:dyDescent="0.35">
      <c r="A8" s="112" t="s">
        <v>190</v>
      </c>
      <c r="B8" s="6">
        <v>65000</v>
      </c>
      <c r="C8" s="6">
        <f t="shared" si="0"/>
        <v>32500</v>
      </c>
    </row>
    <row r="9" spans="1:4" x14ac:dyDescent="0.35">
      <c r="A9" s="112" t="s">
        <v>191</v>
      </c>
      <c r="B9" s="6">
        <v>75000</v>
      </c>
      <c r="C9" s="6">
        <f t="shared" si="0"/>
        <v>37500</v>
      </c>
      <c r="D9" t="s">
        <v>204</v>
      </c>
    </row>
    <row r="10" spans="1:4" x14ac:dyDescent="0.35">
      <c r="A10" s="112" t="s">
        <v>192</v>
      </c>
      <c r="B10" s="6">
        <v>60000</v>
      </c>
      <c r="C10" s="6">
        <f t="shared" si="0"/>
        <v>30000</v>
      </c>
    </row>
    <row r="11" spans="1:4" x14ac:dyDescent="0.35">
      <c r="A11" s="112" t="s">
        <v>193</v>
      </c>
      <c r="B11" s="6">
        <v>70000</v>
      </c>
      <c r="C11" s="6">
        <f t="shared" si="0"/>
        <v>35000</v>
      </c>
      <c r="D11" t="s">
        <v>205</v>
      </c>
    </row>
    <row r="12" spans="1:4" x14ac:dyDescent="0.35">
      <c r="D12">
        <v>10000</v>
      </c>
    </row>
    <row r="13" spans="1:4" x14ac:dyDescent="0.35">
      <c r="A13" s="1" t="s">
        <v>198</v>
      </c>
    </row>
    <row r="14" spans="1:4" x14ac:dyDescent="0.35">
      <c r="A14" s="22" t="s">
        <v>199</v>
      </c>
      <c r="B14" s="6">
        <v>20000</v>
      </c>
    </row>
    <row r="15" spans="1:4" x14ac:dyDescent="0.35">
      <c r="A15" s="106" t="s">
        <v>200</v>
      </c>
      <c r="B15" s="6">
        <v>4000</v>
      </c>
    </row>
    <row r="16" spans="1:4" x14ac:dyDescent="0.35">
      <c r="A16" s="106" t="s">
        <v>201</v>
      </c>
      <c r="B16" s="6">
        <v>1000</v>
      </c>
    </row>
    <row r="17" spans="1:7" x14ac:dyDescent="0.35">
      <c r="A17" s="106" t="s">
        <v>202</v>
      </c>
      <c r="B17" s="6">
        <v>1000</v>
      </c>
    </row>
    <row r="18" spans="1:7" x14ac:dyDescent="0.35">
      <c r="A18" s="106" t="s">
        <v>203</v>
      </c>
      <c r="B18" s="6">
        <v>500</v>
      </c>
    </row>
    <row r="20" spans="1:7" x14ac:dyDescent="0.35">
      <c r="A20" s="106" t="s">
        <v>206</v>
      </c>
      <c r="B20" s="8" t="s">
        <v>207</v>
      </c>
      <c r="C20" s="8" t="s">
        <v>208</v>
      </c>
      <c r="D20" s="8" t="s">
        <v>209</v>
      </c>
      <c r="F20" s="185" t="s">
        <v>187</v>
      </c>
      <c r="G20" s="185"/>
    </row>
    <row r="21" spans="1:7" x14ac:dyDescent="0.35">
      <c r="A21" s="109" t="s">
        <v>210</v>
      </c>
      <c r="B21" s="6" t="s">
        <v>186</v>
      </c>
      <c r="C21" s="6" t="s">
        <v>188</v>
      </c>
      <c r="D21" s="6" t="s">
        <v>211</v>
      </c>
      <c r="F21" s="106" t="s">
        <v>188</v>
      </c>
      <c r="G21" s="2">
        <v>65000</v>
      </c>
    </row>
    <row r="22" spans="1:7" x14ac:dyDescent="0.35">
      <c r="A22" s="109" t="s">
        <v>186</v>
      </c>
      <c r="B22" s="6" t="s">
        <v>188</v>
      </c>
      <c r="C22" s="6" t="s">
        <v>189</v>
      </c>
      <c r="D22" s="6" t="s">
        <v>189</v>
      </c>
      <c r="F22" s="106" t="s">
        <v>189</v>
      </c>
      <c r="G22" s="2">
        <v>50000</v>
      </c>
    </row>
    <row r="23" spans="1:7" x14ac:dyDescent="0.35">
      <c r="A23" s="109" t="s">
        <v>188</v>
      </c>
      <c r="B23" s="6" t="s">
        <v>189</v>
      </c>
      <c r="C23" s="6" t="s">
        <v>190</v>
      </c>
      <c r="D23" s="6" t="s">
        <v>190</v>
      </c>
      <c r="F23" s="106" t="s">
        <v>190</v>
      </c>
      <c r="G23" s="2">
        <v>65000</v>
      </c>
    </row>
    <row r="24" spans="1:7" x14ac:dyDescent="0.35">
      <c r="A24" s="109" t="s">
        <v>189</v>
      </c>
      <c r="B24" s="6" t="s">
        <v>190</v>
      </c>
      <c r="C24" s="6" t="s">
        <v>191</v>
      </c>
      <c r="D24" s="6" t="s">
        <v>191</v>
      </c>
      <c r="F24" s="106" t="s">
        <v>191</v>
      </c>
      <c r="G24" s="2">
        <v>75000</v>
      </c>
    </row>
    <row r="25" spans="1:7" x14ac:dyDescent="0.35">
      <c r="A25" s="109" t="s">
        <v>190</v>
      </c>
      <c r="B25" s="6" t="s">
        <v>191</v>
      </c>
      <c r="C25" s="6" t="s">
        <v>192</v>
      </c>
      <c r="D25" s="6" t="s">
        <v>192</v>
      </c>
      <c r="F25" s="106" t="s">
        <v>192</v>
      </c>
      <c r="G25" s="2">
        <v>60000</v>
      </c>
    </row>
    <row r="26" spans="1:7" x14ac:dyDescent="0.35">
      <c r="A26" s="109" t="s">
        <v>191</v>
      </c>
      <c r="B26" s="6" t="s">
        <v>192</v>
      </c>
      <c r="C26" s="6" t="s">
        <v>193</v>
      </c>
      <c r="D26" s="6" t="s">
        <v>193</v>
      </c>
      <c r="F26" s="106" t="s">
        <v>193</v>
      </c>
      <c r="G26" s="2">
        <v>70000</v>
      </c>
    </row>
    <row r="27" spans="1:7" x14ac:dyDescent="0.35">
      <c r="A27" s="109" t="s">
        <v>192</v>
      </c>
      <c r="B27" s="6" t="s">
        <v>193</v>
      </c>
      <c r="C27" s="6" t="s">
        <v>212</v>
      </c>
      <c r="D27" s="6" t="s">
        <v>212</v>
      </c>
    </row>
    <row r="28" spans="1:7" x14ac:dyDescent="0.35">
      <c r="A28" s="109" t="s">
        <v>193</v>
      </c>
      <c r="B28" s="6" t="s">
        <v>212</v>
      </c>
      <c r="C28" s="6" t="s">
        <v>213</v>
      </c>
      <c r="D28" s="6" t="s">
        <v>213</v>
      </c>
    </row>
    <row r="30" spans="1:7" x14ac:dyDescent="0.35">
      <c r="A30" s="1" t="s">
        <v>216</v>
      </c>
    </row>
    <row r="32" spans="1:7" x14ac:dyDescent="0.35">
      <c r="A32" s="2" t="s">
        <v>247</v>
      </c>
      <c r="B32" s="22" t="s">
        <v>188</v>
      </c>
      <c r="C32" s="22" t="s">
        <v>189</v>
      </c>
      <c r="D32" s="22" t="s">
        <v>190</v>
      </c>
      <c r="E32" s="22" t="s">
        <v>191</v>
      </c>
      <c r="F32" s="22" t="s">
        <v>192</v>
      </c>
      <c r="G32" s="22" t="s">
        <v>193</v>
      </c>
    </row>
    <row r="33" spans="1:11" x14ac:dyDescent="0.35">
      <c r="A33" s="115" t="s">
        <v>231</v>
      </c>
      <c r="B33" s="2"/>
      <c r="C33" s="2"/>
      <c r="D33" s="2"/>
      <c r="E33" s="2"/>
      <c r="F33" s="2"/>
      <c r="G33" s="2"/>
    </row>
    <row r="34" spans="1:11" x14ac:dyDescent="0.35">
      <c r="A34" s="22" t="s">
        <v>217</v>
      </c>
      <c r="B34" s="3">
        <f>D12</f>
        <v>10000</v>
      </c>
      <c r="C34" s="3">
        <f>B45</f>
        <v>13000</v>
      </c>
      <c r="D34" s="3">
        <f>C45</f>
        <v>15000</v>
      </c>
      <c r="E34" s="3">
        <f>D45</f>
        <v>8000</v>
      </c>
      <c r="F34" s="3">
        <f>E45</f>
        <v>7500</v>
      </c>
      <c r="G34" s="3">
        <f>F45</f>
        <v>13500</v>
      </c>
    </row>
    <row r="35" spans="1:11" x14ac:dyDescent="0.35">
      <c r="A35" s="22" t="s">
        <v>218</v>
      </c>
      <c r="B35" s="3">
        <f>B3</f>
        <v>70000</v>
      </c>
      <c r="C35" s="3">
        <f>B6</f>
        <v>65000</v>
      </c>
      <c r="D35" s="3">
        <f>B7</f>
        <v>50000</v>
      </c>
      <c r="E35" s="3">
        <f>B8</f>
        <v>65000</v>
      </c>
      <c r="F35" s="3">
        <f>B9</f>
        <v>75000</v>
      </c>
      <c r="G35" s="3">
        <f>B10</f>
        <v>60000</v>
      </c>
    </row>
    <row r="36" spans="1:11" x14ac:dyDescent="0.35">
      <c r="A36" s="110" t="s">
        <v>219</v>
      </c>
      <c r="B36" s="113">
        <f t="shared" ref="B36:G36" si="1">SUM(B34:B35)</f>
        <v>80000</v>
      </c>
      <c r="C36" s="113">
        <f t="shared" si="1"/>
        <v>78000</v>
      </c>
      <c r="D36" s="113">
        <f t="shared" si="1"/>
        <v>65000</v>
      </c>
      <c r="E36" s="113">
        <f t="shared" si="1"/>
        <v>73000</v>
      </c>
      <c r="F36" s="113">
        <f t="shared" si="1"/>
        <v>82500</v>
      </c>
      <c r="G36" s="113">
        <f t="shared" si="1"/>
        <v>73500</v>
      </c>
      <c r="H36" s="13">
        <f>SUM(B36:G36)</f>
        <v>452000</v>
      </c>
    </row>
    <row r="37" spans="1:11" x14ac:dyDescent="0.35">
      <c r="A37" s="114" t="s">
        <v>220</v>
      </c>
      <c r="B37" s="3"/>
      <c r="C37" s="3"/>
      <c r="D37" s="3"/>
      <c r="E37" s="3"/>
      <c r="F37" s="3"/>
      <c r="G37" s="3"/>
    </row>
    <row r="38" spans="1:11" x14ac:dyDescent="0.35">
      <c r="A38" s="106" t="s">
        <v>221</v>
      </c>
      <c r="B38" s="3">
        <f t="shared" ref="B38:G38" si="2">E50</f>
        <v>35000</v>
      </c>
      <c r="C38" s="3">
        <f t="shared" si="2"/>
        <v>32500</v>
      </c>
      <c r="D38" s="3">
        <f t="shared" si="2"/>
        <v>25000</v>
      </c>
      <c r="E38" s="3">
        <f t="shared" si="2"/>
        <v>32500</v>
      </c>
      <c r="F38" s="3">
        <f t="shared" si="2"/>
        <v>37500</v>
      </c>
      <c r="G38" s="3">
        <f t="shared" si="2"/>
        <v>30000</v>
      </c>
    </row>
    <row r="39" spans="1:11" x14ac:dyDescent="0.35">
      <c r="A39" s="106" t="s">
        <v>226</v>
      </c>
      <c r="B39" s="3">
        <f>B6*0.1</f>
        <v>6500</v>
      </c>
      <c r="C39" s="3">
        <f>B7*0.1</f>
        <v>5000</v>
      </c>
      <c r="D39" s="3">
        <f>B8*0.1</f>
        <v>6500</v>
      </c>
      <c r="E39" s="3">
        <f>B9*0.1</f>
        <v>7500</v>
      </c>
      <c r="F39" s="3">
        <f>B10*0.1</f>
        <v>6000</v>
      </c>
      <c r="G39" s="3">
        <f>B11*0.1</f>
        <v>7000</v>
      </c>
      <c r="H39" s="13">
        <f>SUM(B39:G39)</f>
        <v>38500</v>
      </c>
    </row>
    <row r="40" spans="1:11" x14ac:dyDescent="0.35">
      <c r="A40" s="22" t="s">
        <v>199</v>
      </c>
      <c r="B40" s="3">
        <v>20000</v>
      </c>
      <c r="C40" s="3">
        <v>20000</v>
      </c>
      <c r="D40" s="3">
        <v>20000</v>
      </c>
      <c r="E40" s="3">
        <v>20000</v>
      </c>
      <c r="F40" s="3">
        <v>20000</v>
      </c>
      <c r="G40" s="3">
        <v>20000</v>
      </c>
    </row>
    <row r="41" spans="1:11" x14ac:dyDescent="0.35">
      <c r="A41" s="106" t="s">
        <v>200</v>
      </c>
      <c r="B41" s="3">
        <v>4000</v>
      </c>
      <c r="C41" s="3">
        <v>4000</v>
      </c>
      <c r="D41" s="3">
        <v>4000</v>
      </c>
      <c r="E41" s="3">
        <v>4000</v>
      </c>
      <c r="F41" s="3">
        <v>4000</v>
      </c>
      <c r="G41" s="3">
        <v>4000</v>
      </c>
    </row>
    <row r="42" spans="1:11" x14ac:dyDescent="0.35">
      <c r="A42" s="106" t="s">
        <v>202</v>
      </c>
      <c r="B42" s="3">
        <v>1000</v>
      </c>
      <c r="C42" s="3">
        <v>1000</v>
      </c>
      <c r="D42" s="3">
        <v>1000</v>
      </c>
      <c r="E42" s="3">
        <v>1000</v>
      </c>
      <c r="F42" s="3">
        <v>1000</v>
      </c>
      <c r="G42" s="3">
        <v>1000</v>
      </c>
    </row>
    <row r="43" spans="1:11" x14ac:dyDescent="0.35">
      <c r="A43" s="106" t="s">
        <v>203</v>
      </c>
      <c r="B43" s="3">
        <v>500</v>
      </c>
      <c r="C43" s="3">
        <v>500</v>
      </c>
      <c r="D43" s="3">
        <v>500</v>
      </c>
      <c r="E43" s="3">
        <v>500</v>
      </c>
      <c r="F43" s="3">
        <v>500</v>
      </c>
      <c r="G43" s="3">
        <v>500</v>
      </c>
    </row>
    <row r="44" spans="1:11" x14ac:dyDescent="0.35">
      <c r="A44" s="110" t="s">
        <v>222</v>
      </c>
      <c r="B44" s="113">
        <f t="shared" ref="B44:G44" si="3">-SUM(B38:B43)</f>
        <v>-67000</v>
      </c>
      <c r="C44" s="113">
        <f t="shared" si="3"/>
        <v>-63000</v>
      </c>
      <c r="D44" s="113">
        <f t="shared" si="3"/>
        <v>-57000</v>
      </c>
      <c r="E44" s="113">
        <f t="shared" si="3"/>
        <v>-65500</v>
      </c>
      <c r="F44" s="113">
        <f t="shared" si="3"/>
        <v>-69000</v>
      </c>
      <c r="G44" s="113">
        <f t="shared" si="3"/>
        <v>-62500</v>
      </c>
      <c r="H44" s="13">
        <f>SUM(B44:G44)</f>
        <v>-384000</v>
      </c>
    </row>
    <row r="45" spans="1:11" x14ac:dyDescent="0.35">
      <c r="A45" s="106" t="s">
        <v>223</v>
      </c>
      <c r="B45" s="3">
        <f t="shared" ref="B45:G45" si="4">B36+B44</f>
        <v>13000</v>
      </c>
      <c r="C45" s="3">
        <f t="shared" si="4"/>
        <v>15000</v>
      </c>
      <c r="D45" s="3">
        <f t="shared" si="4"/>
        <v>8000</v>
      </c>
      <c r="E45" s="3">
        <f t="shared" si="4"/>
        <v>7500</v>
      </c>
      <c r="F45" s="3">
        <f t="shared" si="4"/>
        <v>13500</v>
      </c>
      <c r="G45" s="116">
        <f t="shared" si="4"/>
        <v>11000</v>
      </c>
    </row>
    <row r="48" spans="1:11" x14ac:dyDescent="0.35">
      <c r="A48" s="2"/>
      <c r="B48" s="22" t="s">
        <v>215</v>
      </c>
      <c r="C48" s="22" t="s">
        <v>185</v>
      </c>
      <c r="D48" s="22" t="s">
        <v>186</v>
      </c>
      <c r="E48" s="22" t="s">
        <v>188</v>
      </c>
      <c r="F48" s="22" t="s">
        <v>189</v>
      </c>
      <c r="G48" s="22" t="s">
        <v>190</v>
      </c>
      <c r="H48" s="22" t="s">
        <v>191</v>
      </c>
      <c r="I48" s="22" t="s">
        <v>192</v>
      </c>
      <c r="J48" s="22" t="s">
        <v>193</v>
      </c>
      <c r="K48" s="22" t="s">
        <v>212</v>
      </c>
    </row>
    <row r="49" spans="1:11" x14ac:dyDescent="0.35">
      <c r="A49" s="8" t="s">
        <v>227</v>
      </c>
      <c r="B49" s="87">
        <v>25000</v>
      </c>
      <c r="C49" s="12">
        <f>C3</f>
        <v>35000</v>
      </c>
      <c r="D49" s="2">
        <f>C6</f>
        <v>32500</v>
      </c>
      <c r="E49" s="2">
        <f>C7</f>
        <v>25000</v>
      </c>
      <c r="F49" s="2">
        <f>C8</f>
        <v>32500</v>
      </c>
      <c r="G49" s="2">
        <f>C9</f>
        <v>37500</v>
      </c>
      <c r="H49" s="2">
        <f>C10</f>
        <v>30000</v>
      </c>
      <c r="I49" s="2">
        <f>C11</f>
        <v>35000</v>
      </c>
      <c r="J49" s="2">
        <v>0</v>
      </c>
      <c r="K49" s="2">
        <v>0</v>
      </c>
    </row>
    <row r="50" spans="1:11" x14ac:dyDescent="0.35">
      <c r="A50" s="8" t="s">
        <v>228</v>
      </c>
      <c r="B50" s="2">
        <v>0</v>
      </c>
      <c r="C50" s="2">
        <v>0</v>
      </c>
      <c r="D50" s="12">
        <f t="shared" ref="D50:K50" si="5">B49</f>
        <v>25000</v>
      </c>
      <c r="E50" s="12">
        <f t="shared" si="5"/>
        <v>35000</v>
      </c>
      <c r="F50" s="2">
        <f t="shared" si="5"/>
        <v>32500</v>
      </c>
      <c r="G50" s="2">
        <f t="shared" si="5"/>
        <v>25000</v>
      </c>
      <c r="H50" s="2">
        <f t="shared" si="5"/>
        <v>32500</v>
      </c>
      <c r="I50" s="2">
        <f t="shared" si="5"/>
        <v>37500</v>
      </c>
      <c r="J50" s="2">
        <f t="shared" si="5"/>
        <v>30000</v>
      </c>
      <c r="K50" s="2">
        <f t="shared" si="5"/>
        <v>35000</v>
      </c>
    </row>
    <row r="52" spans="1:11" x14ac:dyDescent="0.35">
      <c r="A52" t="s">
        <v>229</v>
      </c>
    </row>
    <row r="53" spans="1:11" x14ac:dyDescent="0.35">
      <c r="A53" t="s">
        <v>230</v>
      </c>
    </row>
    <row r="55" spans="1:11" x14ac:dyDescent="0.35">
      <c r="A55" t="s">
        <v>232</v>
      </c>
      <c r="B55" s="117"/>
      <c r="C55" s="2" t="s">
        <v>52</v>
      </c>
      <c r="D55" s="2">
        <f>SUM(B6:B11)</f>
        <v>385000</v>
      </c>
    </row>
    <row r="56" spans="1:11" x14ac:dyDescent="0.35">
      <c r="C56" s="2" t="s">
        <v>139</v>
      </c>
      <c r="D56" s="2">
        <f>SUM(C6:C11)</f>
        <v>192500</v>
      </c>
    </row>
    <row r="57" spans="1:11" x14ac:dyDescent="0.35">
      <c r="C57" s="110" t="s">
        <v>241</v>
      </c>
      <c r="D57" s="110">
        <f>D55-D56</f>
        <v>192500</v>
      </c>
    </row>
    <row r="59" spans="1:11" x14ac:dyDescent="0.35">
      <c r="C59" s="22" t="s">
        <v>199</v>
      </c>
      <c r="D59" s="6">
        <f>20000*6</f>
        <v>120000</v>
      </c>
    </row>
    <row r="60" spans="1:11" x14ac:dyDescent="0.35">
      <c r="C60" s="106" t="s">
        <v>200</v>
      </c>
      <c r="D60" s="6">
        <f>6*4000</f>
        <v>24000</v>
      </c>
    </row>
    <row r="61" spans="1:11" x14ac:dyDescent="0.35">
      <c r="C61" s="106" t="s">
        <v>201</v>
      </c>
      <c r="D61" s="6">
        <f>6*1000</f>
        <v>6000</v>
      </c>
    </row>
    <row r="62" spans="1:11" x14ac:dyDescent="0.35">
      <c r="C62" s="106" t="s">
        <v>202</v>
      </c>
      <c r="D62" s="6">
        <f>6*1000</f>
        <v>6000</v>
      </c>
    </row>
    <row r="63" spans="1:11" x14ac:dyDescent="0.35">
      <c r="C63" s="106" t="s">
        <v>203</v>
      </c>
      <c r="D63" s="6">
        <f>6*500</f>
        <v>3000</v>
      </c>
    </row>
    <row r="64" spans="1:11" x14ac:dyDescent="0.35">
      <c r="C64" s="106" t="s">
        <v>226</v>
      </c>
      <c r="D64" s="12">
        <f>H39</f>
        <v>38500</v>
      </c>
    </row>
    <row r="66" spans="3:4" x14ac:dyDescent="0.35">
      <c r="C66" s="110" t="s">
        <v>242</v>
      </c>
      <c r="D66" s="111">
        <f>D57-SUM(D59:D64)</f>
        <v>-5000</v>
      </c>
    </row>
  </sheetData>
  <mergeCells count="1">
    <mergeCell ref="F20:G20"/>
  </mergeCells>
  <phoneticPr fontId="5"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EBCE3-3BDE-4B41-B066-BF123B0E61DF}">
  <dimension ref="A1:O76"/>
  <sheetViews>
    <sheetView topLeftCell="A5" workbookViewId="0">
      <selection activeCell="C6" sqref="C6"/>
    </sheetView>
  </sheetViews>
  <sheetFormatPr baseColWidth="10" defaultRowHeight="14.5" x14ac:dyDescent="0.35"/>
  <cols>
    <col min="1" max="1" width="21.81640625" customWidth="1"/>
    <col min="2" max="3" width="14" customWidth="1"/>
    <col min="4" max="4" width="14.453125" customWidth="1"/>
    <col min="5" max="5" width="16" bestFit="1" customWidth="1"/>
    <col min="6" max="11" width="12.1796875" bestFit="1" customWidth="1"/>
    <col min="12" max="13" width="11.1796875" bestFit="1" customWidth="1"/>
    <col min="14" max="14" width="13.54296875" bestFit="1" customWidth="1"/>
  </cols>
  <sheetData>
    <row r="1" spans="1:6" x14ac:dyDescent="0.35">
      <c r="B1" s="8" t="s">
        <v>233</v>
      </c>
      <c r="C1" s="8" t="s">
        <v>240</v>
      </c>
    </row>
    <row r="2" spans="1:6" x14ac:dyDescent="0.35">
      <c r="A2" s="22" t="s">
        <v>214</v>
      </c>
      <c r="B2" s="87">
        <v>85000</v>
      </c>
      <c r="C2" s="12">
        <f>B2/(1+1.6)</f>
        <v>32692.307692307691</v>
      </c>
    </row>
    <row r="3" spans="1:6" x14ac:dyDescent="0.35">
      <c r="A3" s="22" t="s">
        <v>215</v>
      </c>
      <c r="B3" s="87">
        <v>140000</v>
      </c>
      <c r="C3" s="12">
        <f>B3/(1+1.6)</f>
        <v>53846.153846153844</v>
      </c>
    </row>
    <row r="5" spans="1:6" ht="43.5" x14ac:dyDescent="0.35">
      <c r="B5" s="72" t="s">
        <v>187</v>
      </c>
      <c r="C5" s="8" t="s">
        <v>240</v>
      </c>
      <c r="E5" s="1" t="s">
        <v>198</v>
      </c>
    </row>
    <row r="6" spans="1:6" x14ac:dyDescent="0.35">
      <c r="A6" s="118" t="s">
        <v>185</v>
      </c>
      <c r="B6" s="87">
        <v>120000</v>
      </c>
      <c r="C6" s="12">
        <f>B6/(1+1.6)</f>
        <v>46153.846153846149</v>
      </c>
      <c r="E6" s="22" t="s">
        <v>199</v>
      </c>
      <c r="F6" s="87">
        <v>55000</v>
      </c>
    </row>
    <row r="7" spans="1:6" x14ac:dyDescent="0.35">
      <c r="A7" s="118" t="s">
        <v>186</v>
      </c>
      <c r="B7" s="87">
        <v>100000</v>
      </c>
      <c r="C7" s="12">
        <f t="shared" ref="C7:C12" si="0">B7/(1+1.6)</f>
        <v>38461.538461538461</v>
      </c>
      <c r="E7" s="22" t="s">
        <v>200</v>
      </c>
      <c r="F7" s="87">
        <v>6000</v>
      </c>
    </row>
    <row r="8" spans="1:6" x14ac:dyDescent="0.35">
      <c r="A8" s="118" t="s">
        <v>188</v>
      </c>
      <c r="B8" s="87">
        <v>130000</v>
      </c>
      <c r="C8" s="12">
        <f t="shared" si="0"/>
        <v>50000</v>
      </c>
      <c r="E8" s="22" t="s">
        <v>201</v>
      </c>
      <c r="F8" s="87">
        <v>2000</v>
      </c>
    </row>
    <row r="9" spans="1:6" x14ac:dyDescent="0.35">
      <c r="A9" s="118" t="s">
        <v>189</v>
      </c>
      <c r="B9" s="87">
        <v>90000</v>
      </c>
      <c r="C9" s="12">
        <f t="shared" si="0"/>
        <v>34615.384615384617</v>
      </c>
      <c r="E9" s="22" t="s">
        <v>202</v>
      </c>
      <c r="F9" s="87">
        <v>1000</v>
      </c>
    </row>
    <row r="10" spans="1:6" ht="15" customHeight="1" x14ac:dyDescent="0.35">
      <c r="A10" s="118" t="s">
        <v>190</v>
      </c>
      <c r="B10" s="87">
        <v>140000</v>
      </c>
      <c r="C10" s="12">
        <f t="shared" si="0"/>
        <v>53846.153846153844</v>
      </c>
      <c r="E10" s="22" t="s">
        <v>203</v>
      </c>
      <c r="F10" s="87">
        <v>500</v>
      </c>
    </row>
    <row r="11" spans="1:6" x14ac:dyDescent="0.35">
      <c r="A11" s="118" t="s">
        <v>191</v>
      </c>
      <c r="B11" s="87">
        <v>110000</v>
      </c>
      <c r="C11" s="12">
        <f t="shared" si="0"/>
        <v>42307.692307692305</v>
      </c>
    </row>
    <row r="12" spans="1:6" x14ac:dyDescent="0.35">
      <c r="A12" s="118" t="s">
        <v>192</v>
      </c>
      <c r="B12" s="87">
        <v>100000</v>
      </c>
      <c r="C12" s="12">
        <f t="shared" si="0"/>
        <v>38461.538461538461</v>
      </c>
    </row>
    <row r="14" spans="1:6" x14ac:dyDescent="0.35">
      <c r="A14" s="25" t="s">
        <v>234</v>
      </c>
    </row>
    <row r="15" spans="1:6" x14ac:dyDescent="0.35">
      <c r="A15" s="25" t="s">
        <v>235</v>
      </c>
    </row>
    <row r="16" spans="1:6" x14ac:dyDescent="0.35">
      <c r="A16" s="25" t="s">
        <v>237</v>
      </c>
    </row>
    <row r="17" spans="1:13" x14ac:dyDescent="0.35">
      <c r="A17" s="25" t="s">
        <v>236</v>
      </c>
    </row>
    <row r="18" spans="1:13" x14ac:dyDescent="0.35">
      <c r="A18" s="25" t="s">
        <v>238</v>
      </c>
    </row>
    <row r="19" spans="1:13" x14ac:dyDescent="0.35">
      <c r="A19" s="25" t="s">
        <v>239</v>
      </c>
      <c r="C19">
        <v>25000</v>
      </c>
    </row>
    <row r="20" spans="1:13" x14ac:dyDescent="0.35">
      <c r="A20" s="25"/>
    </row>
    <row r="21" spans="1:13" x14ac:dyDescent="0.35">
      <c r="A21" s="25" t="s">
        <v>248</v>
      </c>
    </row>
    <row r="22" spans="1:13" x14ac:dyDescent="0.35">
      <c r="A22" s="25" t="s">
        <v>236</v>
      </c>
    </row>
    <row r="23" spans="1:13" x14ac:dyDescent="0.35">
      <c r="A23" s="22" t="s">
        <v>244</v>
      </c>
      <c r="B23" s="2"/>
      <c r="C23" s="2" t="s">
        <v>213</v>
      </c>
      <c r="D23" s="66" t="s">
        <v>243</v>
      </c>
      <c r="E23" s="66" t="s">
        <v>215</v>
      </c>
      <c r="F23" s="66" t="s">
        <v>185</v>
      </c>
      <c r="G23" s="66" t="s">
        <v>186</v>
      </c>
      <c r="H23" s="66" t="s">
        <v>188</v>
      </c>
      <c r="I23" s="66" t="s">
        <v>189</v>
      </c>
      <c r="J23" s="66" t="s">
        <v>190</v>
      </c>
      <c r="K23" s="66" t="s">
        <v>191</v>
      </c>
      <c r="L23" s="66" t="s">
        <v>192</v>
      </c>
      <c r="M23" s="66" t="s">
        <v>193</v>
      </c>
    </row>
    <row r="24" spans="1:13" x14ac:dyDescent="0.35">
      <c r="A24" s="22" t="s">
        <v>214</v>
      </c>
      <c r="B24" s="87">
        <v>32692.307692307691</v>
      </c>
      <c r="C24" s="87">
        <f>B24/2</f>
        <v>16346.153846153846</v>
      </c>
      <c r="D24" s="87"/>
      <c r="E24" s="87">
        <v>16346.153846153846</v>
      </c>
      <c r="F24" s="87"/>
      <c r="G24" s="87"/>
      <c r="H24" s="87"/>
      <c r="I24" s="87"/>
      <c r="J24" s="87"/>
      <c r="K24" s="87"/>
      <c r="L24" s="87"/>
      <c r="M24" s="87"/>
    </row>
    <row r="25" spans="1:13" x14ac:dyDescent="0.35">
      <c r="A25" s="22" t="s">
        <v>215</v>
      </c>
      <c r="B25" s="87">
        <v>53846.153846153844</v>
      </c>
      <c r="C25" s="87"/>
      <c r="D25" s="87">
        <f>B25/2</f>
        <v>26923.076923076922</v>
      </c>
      <c r="E25" s="87"/>
      <c r="F25" s="87">
        <f>B25/2</f>
        <v>26923.076923076922</v>
      </c>
      <c r="G25" s="87"/>
      <c r="H25" s="87"/>
      <c r="I25" s="87"/>
      <c r="J25" s="87"/>
      <c r="K25" s="87"/>
      <c r="L25" s="87"/>
      <c r="M25" s="87"/>
    </row>
    <row r="26" spans="1:13" x14ac:dyDescent="0.35">
      <c r="A26" s="22" t="s">
        <v>185</v>
      </c>
      <c r="B26" s="87">
        <v>46153.846153846149</v>
      </c>
      <c r="C26" s="87"/>
      <c r="D26" s="87"/>
      <c r="E26" s="87">
        <f>B26/2</f>
        <v>23076.923076923074</v>
      </c>
      <c r="F26" s="87"/>
      <c r="G26" s="87">
        <f>B26/2</f>
        <v>23076.923076923074</v>
      </c>
      <c r="H26" s="87"/>
      <c r="I26" s="87"/>
      <c r="J26" s="87"/>
      <c r="K26" s="87"/>
      <c r="L26" s="87"/>
      <c r="M26" s="87"/>
    </row>
    <row r="27" spans="1:13" x14ac:dyDescent="0.35">
      <c r="A27" s="22" t="s">
        <v>186</v>
      </c>
      <c r="B27" s="87">
        <v>38461.538461538461</v>
      </c>
      <c r="C27" s="87"/>
      <c r="D27" s="87"/>
      <c r="E27" s="87"/>
      <c r="F27" s="87">
        <f>B27/2</f>
        <v>19230.76923076923</v>
      </c>
      <c r="G27" s="87"/>
      <c r="H27" s="87">
        <f>+F27</f>
        <v>19230.76923076923</v>
      </c>
      <c r="I27" s="87"/>
      <c r="J27" s="87"/>
      <c r="K27" s="87"/>
      <c r="L27" s="87"/>
      <c r="M27" s="87"/>
    </row>
    <row r="28" spans="1:13" x14ac:dyDescent="0.35">
      <c r="A28" s="22" t="s">
        <v>188</v>
      </c>
      <c r="B28" s="87">
        <v>50000</v>
      </c>
      <c r="C28" s="87"/>
      <c r="D28" s="87"/>
      <c r="E28" s="87"/>
      <c r="F28" s="87"/>
      <c r="G28" s="87">
        <f>+B28/2</f>
        <v>25000</v>
      </c>
      <c r="H28" s="87"/>
      <c r="I28" s="87">
        <f>+G28</f>
        <v>25000</v>
      </c>
      <c r="J28" s="87"/>
      <c r="K28" s="87"/>
      <c r="L28" s="87"/>
      <c r="M28" s="87"/>
    </row>
    <row r="29" spans="1:13" x14ac:dyDescent="0.35">
      <c r="A29" s="22" t="s">
        <v>189</v>
      </c>
      <c r="B29" s="87">
        <v>34615.384615384617</v>
      </c>
      <c r="C29" s="87"/>
      <c r="D29" s="87"/>
      <c r="E29" s="87"/>
      <c r="F29" s="87"/>
      <c r="G29" s="87"/>
      <c r="H29" s="87">
        <f>+B29/2</f>
        <v>17307.692307692309</v>
      </c>
      <c r="I29" s="87"/>
      <c r="J29" s="87">
        <f>H29</f>
        <v>17307.692307692309</v>
      </c>
      <c r="K29" s="87"/>
      <c r="L29" s="87"/>
      <c r="M29" s="87"/>
    </row>
    <row r="30" spans="1:13" x14ac:dyDescent="0.35">
      <c r="A30" s="22" t="s">
        <v>190</v>
      </c>
      <c r="B30" s="87">
        <v>53846.153846153844</v>
      </c>
      <c r="C30" s="87"/>
      <c r="D30" s="87"/>
      <c r="E30" s="87"/>
      <c r="F30" s="87"/>
      <c r="G30" s="87"/>
      <c r="H30" s="87"/>
      <c r="I30" s="87">
        <f>B30/2</f>
        <v>26923.076923076922</v>
      </c>
      <c r="J30" s="87"/>
      <c r="K30" s="87">
        <v>26923.076923076922</v>
      </c>
      <c r="L30" s="87"/>
      <c r="M30" s="87"/>
    </row>
    <row r="31" spans="1:13" x14ac:dyDescent="0.35">
      <c r="A31" s="22" t="s">
        <v>191</v>
      </c>
      <c r="B31" s="87">
        <v>42307.692307692305</v>
      </c>
      <c r="C31" s="87"/>
      <c r="D31" s="87"/>
      <c r="E31" s="87"/>
      <c r="F31" s="87"/>
      <c r="G31" s="87"/>
      <c r="H31" s="87"/>
      <c r="I31" s="87"/>
      <c r="J31" s="87">
        <f>B31/2</f>
        <v>21153.846153846152</v>
      </c>
      <c r="K31" s="87"/>
      <c r="L31" s="87">
        <f>J31</f>
        <v>21153.846153846152</v>
      </c>
      <c r="M31" s="87"/>
    </row>
    <row r="32" spans="1:13" x14ac:dyDescent="0.35">
      <c r="A32" s="22" t="s">
        <v>192</v>
      </c>
      <c r="B32" s="87">
        <v>38461.538461538461</v>
      </c>
      <c r="C32" s="87"/>
      <c r="D32" s="87"/>
      <c r="E32" s="87"/>
      <c r="F32" s="87"/>
      <c r="G32" s="87"/>
      <c r="H32" s="87"/>
      <c r="I32" s="87"/>
      <c r="J32" s="87"/>
      <c r="K32" s="87">
        <f>B32/2</f>
        <v>19230.76923076923</v>
      </c>
      <c r="L32" s="87"/>
      <c r="M32" s="87">
        <f>K32</f>
        <v>19230.76923076923</v>
      </c>
    </row>
    <row r="33" spans="1:15" x14ac:dyDescent="0.35">
      <c r="A33" s="22" t="s">
        <v>245</v>
      </c>
      <c r="B33" s="12">
        <f>SUM(B24:B32)</f>
        <v>390384.61538461538</v>
      </c>
      <c r="C33" s="12">
        <f t="shared" ref="C33:M33" si="1">SUM(C24:C32)</f>
        <v>16346.153846153846</v>
      </c>
      <c r="D33" s="12">
        <f t="shared" si="1"/>
        <v>26923.076923076922</v>
      </c>
      <c r="E33" s="12">
        <f t="shared" si="1"/>
        <v>39423.076923076922</v>
      </c>
      <c r="F33" s="12">
        <f t="shared" si="1"/>
        <v>46153.846153846156</v>
      </c>
      <c r="G33" s="12">
        <f t="shared" si="1"/>
        <v>48076.923076923078</v>
      </c>
      <c r="H33" s="12">
        <f t="shared" si="1"/>
        <v>36538.461538461539</v>
      </c>
      <c r="I33" s="12">
        <f t="shared" si="1"/>
        <v>51923.076923076922</v>
      </c>
      <c r="J33" s="12">
        <f t="shared" si="1"/>
        <v>38461.538461538461</v>
      </c>
      <c r="K33" s="12">
        <f t="shared" si="1"/>
        <v>46153.846153846156</v>
      </c>
      <c r="L33" s="12">
        <f t="shared" si="1"/>
        <v>21153.846153846152</v>
      </c>
      <c r="M33" s="12">
        <f t="shared" si="1"/>
        <v>19230.76923076923</v>
      </c>
      <c r="N33" s="13"/>
      <c r="O33" s="13"/>
    </row>
    <row r="34" spans="1:15" x14ac:dyDescent="0.35">
      <c r="A34" s="120"/>
      <c r="B34" s="70"/>
      <c r="C34" s="70"/>
      <c r="D34" s="70"/>
      <c r="E34" s="70"/>
      <c r="F34" s="70"/>
      <c r="G34" s="70"/>
      <c r="H34" s="70"/>
      <c r="I34" s="70"/>
      <c r="J34" s="70"/>
      <c r="K34" s="70"/>
      <c r="L34" s="70"/>
      <c r="M34" s="70"/>
      <c r="N34" s="13"/>
    </row>
    <row r="35" spans="1:15" x14ac:dyDescent="0.35">
      <c r="A35" s="25" t="s">
        <v>237</v>
      </c>
      <c r="B35" s="70"/>
      <c r="C35" s="70"/>
      <c r="D35" s="70"/>
      <c r="E35" s="70"/>
      <c r="F35" s="70"/>
      <c r="G35" s="70"/>
      <c r="H35" s="70"/>
      <c r="I35" s="70"/>
      <c r="J35" s="70"/>
      <c r="K35" s="70"/>
      <c r="L35" s="70"/>
      <c r="M35" s="70"/>
    </row>
    <row r="36" spans="1:15" x14ac:dyDescent="0.35">
      <c r="A36" s="22" t="s">
        <v>246</v>
      </c>
      <c r="B36" s="2"/>
      <c r="C36" s="66" t="s">
        <v>243</v>
      </c>
      <c r="D36" s="66" t="s">
        <v>215</v>
      </c>
      <c r="E36" s="66" t="s">
        <v>185</v>
      </c>
      <c r="F36" s="66" t="s">
        <v>186</v>
      </c>
      <c r="G36" s="66" t="s">
        <v>188</v>
      </c>
      <c r="H36" s="66" t="s">
        <v>189</v>
      </c>
      <c r="I36" s="66" t="s">
        <v>190</v>
      </c>
      <c r="J36" s="66" t="s">
        <v>191</v>
      </c>
      <c r="K36" s="66" t="s">
        <v>192</v>
      </c>
      <c r="L36" s="66" t="s">
        <v>193</v>
      </c>
      <c r="M36" s="66" t="s">
        <v>212</v>
      </c>
    </row>
    <row r="37" spans="1:15" x14ac:dyDescent="0.35">
      <c r="A37" s="22" t="s">
        <v>214</v>
      </c>
      <c r="B37" s="87">
        <v>85000</v>
      </c>
      <c r="C37" s="12">
        <f>B37*0.4</f>
        <v>34000</v>
      </c>
      <c r="D37" s="12">
        <f>B37*0.3</f>
        <v>25500</v>
      </c>
      <c r="E37" s="12">
        <f>B37*0.3</f>
        <v>25500</v>
      </c>
      <c r="F37" s="2"/>
      <c r="G37" s="2"/>
      <c r="H37" s="2"/>
      <c r="I37" s="2"/>
      <c r="J37" s="2"/>
      <c r="K37" s="2"/>
      <c r="L37" s="2"/>
      <c r="M37" s="2"/>
    </row>
    <row r="38" spans="1:15" x14ac:dyDescent="0.35">
      <c r="A38" s="22" t="s">
        <v>215</v>
      </c>
      <c r="B38" s="87">
        <v>140000</v>
      </c>
      <c r="C38" s="2"/>
      <c r="D38" s="12">
        <f>B38*0.4</f>
        <v>56000</v>
      </c>
      <c r="E38" s="12">
        <f>B38*0.3</f>
        <v>42000</v>
      </c>
      <c r="F38" s="12">
        <f>B38*0.3</f>
        <v>42000</v>
      </c>
      <c r="G38" s="2"/>
      <c r="H38" s="2"/>
      <c r="I38" s="2"/>
      <c r="J38" s="2"/>
      <c r="K38" s="2"/>
      <c r="L38" s="2"/>
      <c r="M38" s="2"/>
    </row>
    <row r="39" spans="1:15" x14ac:dyDescent="0.35">
      <c r="A39" s="22" t="s">
        <v>185</v>
      </c>
      <c r="B39" s="87">
        <v>120000</v>
      </c>
      <c r="C39" s="2"/>
      <c r="D39" s="2"/>
      <c r="E39" s="12">
        <f>B39*0.4</f>
        <v>48000</v>
      </c>
      <c r="F39" s="12">
        <f>B39*0.3</f>
        <v>36000</v>
      </c>
      <c r="G39" s="12">
        <f>B39*0.3</f>
        <v>36000</v>
      </c>
      <c r="H39" s="2"/>
      <c r="I39" s="2"/>
      <c r="J39" s="2"/>
      <c r="K39" s="2"/>
      <c r="L39" s="2"/>
      <c r="M39" s="2"/>
    </row>
    <row r="40" spans="1:15" x14ac:dyDescent="0.35">
      <c r="A40" s="22" t="s">
        <v>186</v>
      </c>
      <c r="B40" s="87">
        <v>100000</v>
      </c>
      <c r="C40" s="2"/>
      <c r="D40" s="2"/>
      <c r="E40" s="2"/>
      <c r="F40" s="12">
        <f>B40*0.4</f>
        <v>40000</v>
      </c>
      <c r="G40" s="12">
        <f>B40*0.3</f>
        <v>30000</v>
      </c>
      <c r="H40" s="12">
        <f>B40*0.3</f>
        <v>30000</v>
      </c>
      <c r="I40" s="2"/>
      <c r="J40" s="2"/>
      <c r="K40" s="2"/>
      <c r="L40" s="2"/>
      <c r="M40" s="2"/>
    </row>
    <row r="41" spans="1:15" x14ac:dyDescent="0.35">
      <c r="A41" s="22" t="s">
        <v>188</v>
      </c>
      <c r="B41" s="87">
        <v>130000</v>
      </c>
      <c r="C41" s="2"/>
      <c r="D41" s="2"/>
      <c r="E41" s="2"/>
      <c r="F41" s="2"/>
      <c r="G41" s="12">
        <f>B41*0.4</f>
        <v>52000</v>
      </c>
      <c r="H41" s="12">
        <f>B41*0.3</f>
        <v>39000</v>
      </c>
      <c r="I41" s="12">
        <f>B41*0.3</f>
        <v>39000</v>
      </c>
      <c r="J41" s="2"/>
      <c r="K41" s="2"/>
      <c r="L41" s="2"/>
      <c r="M41" s="2"/>
    </row>
    <row r="42" spans="1:15" x14ac:dyDescent="0.35">
      <c r="A42" s="22" t="s">
        <v>189</v>
      </c>
      <c r="B42" s="87">
        <v>90000</v>
      </c>
      <c r="C42" s="2"/>
      <c r="D42" s="2"/>
      <c r="E42" s="2"/>
      <c r="F42" s="2"/>
      <c r="G42" s="2"/>
      <c r="H42" s="12">
        <f>B42*0.4</f>
        <v>36000</v>
      </c>
      <c r="I42" s="12">
        <f>B42*0.3</f>
        <v>27000</v>
      </c>
      <c r="J42" s="12">
        <f>B42*0.3</f>
        <v>27000</v>
      </c>
      <c r="K42" s="2"/>
      <c r="L42" s="2"/>
      <c r="M42" s="2"/>
    </row>
    <row r="43" spans="1:15" x14ac:dyDescent="0.35">
      <c r="A43" s="22" t="s">
        <v>190</v>
      </c>
      <c r="B43" s="87">
        <v>140000</v>
      </c>
      <c r="C43" s="2"/>
      <c r="D43" s="2"/>
      <c r="E43" s="2"/>
      <c r="F43" s="2"/>
      <c r="G43" s="2"/>
      <c r="H43" s="2"/>
      <c r="I43" s="12">
        <f>B43*0.4</f>
        <v>56000</v>
      </c>
      <c r="J43" s="12">
        <f>B43*0.3</f>
        <v>42000</v>
      </c>
      <c r="K43" s="12">
        <f>B43*0.3</f>
        <v>42000</v>
      </c>
      <c r="L43" s="2"/>
      <c r="M43" s="2"/>
    </row>
    <row r="44" spans="1:15" x14ac:dyDescent="0.35">
      <c r="A44" s="22" t="s">
        <v>191</v>
      </c>
      <c r="B44" s="87">
        <v>110000</v>
      </c>
      <c r="C44" s="2"/>
      <c r="D44" s="2"/>
      <c r="E44" s="2"/>
      <c r="F44" s="2"/>
      <c r="G44" s="2"/>
      <c r="H44" s="2"/>
      <c r="I44" s="2"/>
      <c r="J44" s="12">
        <f>B44*0.4</f>
        <v>44000</v>
      </c>
      <c r="K44" s="12">
        <f>B44*0.3</f>
        <v>33000</v>
      </c>
      <c r="L44" s="12">
        <f>B44*0.3</f>
        <v>33000</v>
      </c>
      <c r="M44" s="2"/>
    </row>
    <row r="45" spans="1:15" x14ac:dyDescent="0.35">
      <c r="A45" s="22" t="s">
        <v>192</v>
      </c>
      <c r="B45" s="87">
        <v>100000</v>
      </c>
      <c r="C45" s="2"/>
      <c r="D45" s="2"/>
      <c r="E45" s="2"/>
      <c r="F45" s="2"/>
      <c r="G45" s="2"/>
      <c r="H45" s="2"/>
      <c r="I45" s="2"/>
      <c r="J45" s="2"/>
      <c r="K45" s="12">
        <f>B45*0.4</f>
        <v>40000</v>
      </c>
      <c r="L45" s="12">
        <f>B45*0.3</f>
        <v>30000</v>
      </c>
      <c r="M45" s="12">
        <f>B45*0.3</f>
        <v>30000</v>
      </c>
      <c r="N45" s="13">
        <f>+SUM(C46:M46)</f>
        <v>1015000</v>
      </c>
    </row>
    <row r="46" spans="1:15" x14ac:dyDescent="0.35">
      <c r="A46" s="22" t="s">
        <v>245</v>
      </c>
      <c r="B46" s="12">
        <f t="shared" ref="B46:M46" si="2">SUM(B37:B45)</f>
        <v>1015000</v>
      </c>
      <c r="C46" s="12">
        <f t="shared" si="2"/>
        <v>34000</v>
      </c>
      <c r="D46" s="12">
        <f t="shared" si="2"/>
        <v>81500</v>
      </c>
      <c r="E46" s="12">
        <f t="shared" si="2"/>
        <v>115500</v>
      </c>
      <c r="F46" s="12">
        <f t="shared" si="2"/>
        <v>118000</v>
      </c>
      <c r="G46" s="12">
        <f t="shared" si="2"/>
        <v>118000</v>
      </c>
      <c r="H46" s="12">
        <f t="shared" si="2"/>
        <v>105000</v>
      </c>
      <c r="I46" s="12">
        <f t="shared" si="2"/>
        <v>122000</v>
      </c>
      <c r="J46" s="12">
        <f t="shared" si="2"/>
        <v>113000</v>
      </c>
      <c r="K46" s="12">
        <f t="shared" si="2"/>
        <v>115000</v>
      </c>
      <c r="L46" s="12">
        <f t="shared" si="2"/>
        <v>63000</v>
      </c>
      <c r="M46" s="12">
        <f t="shared" si="2"/>
        <v>30000</v>
      </c>
    </row>
    <row r="49" spans="1:7" x14ac:dyDescent="0.35">
      <c r="A49" s="2" t="s">
        <v>247</v>
      </c>
      <c r="B49" s="22" t="s">
        <v>185</v>
      </c>
      <c r="C49" s="22" t="s">
        <v>186</v>
      </c>
      <c r="D49" s="22" t="s">
        <v>188</v>
      </c>
      <c r="E49" s="22" t="s">
        <v>189</v>
      </c>
      <c r="F49" s="22" t="s">
        <v>190</v>
      </c>
      <c r="G49" s="22" t="s">
        <v>191</v>
      </c>
    </row>
    <row r="50" spans="1:7" x14ac:dyDescent="0.35">
      <c r="A50" s="115" t="s">
        <v>231</v>
      </c>
      <c r="B50" s="2"/>
      <c r="C50" s="2"/>
      <c r="D50" s="2"/>
      <c r="E50" s="2"/>
      <c r="F50" s="2"/>
      <c r="G50" s="2"/>
    </row>
    <row r="51" spans="1:7" x14ac:dyDescent="0.35">
      <c r="A51" s="22" t="s">
        <v>217</v>
      </c>
      <c r="B51" s="3">
        <f>+C19</f>
        <v>25000</v>
      </c>
      <c r="C51" s="3">
        <f>+B62</f>
        <v>27046.153846153844</v>
      </c>
      <c r="D51" s="3">
        <f>+C62</f>
        <v>30469.230769230766</v>
      </c>
      <c r="E51" s="3">
        <f>+D62</f>
        <v>44230.76923076922</v>
      </c>
      <c r="F51" s="3">
        <f>+E62</f>
        <v>31207.692307692298</v>
      </c>
      <c r="G51" s="3">
        <f>+F62</f>
        <v>46646.153846153844</v>
      </c>
    </row>
    <row r="52" spans="1:7" x14ac:dyDescent="0.35">
      <c r="A52" s="22" t="s">
        <v>218</v>
      </c>
      <c r="B52" s="3">
        <f t="shared" ref="B52:G52" si="3">E46</f>
        <v>115500</v>
      </c>
      <c r="C52" s="3">
        <f t="shared" si="3"/>
        <v>118000</v>
      </c>
      <c r="D52" s="3">
        <f t="shared" si="3"/>
        <v>118000</v>
      </c>
      <c r="E52" s="3">
        <f t="shared" si="3"/>
        <v>105000</v>
      </c>
      <c r="F52" s="3">
        <f t="shared" si="3"/>
        <v>122000</v>
      </c>
      <c r="G52" s="3">
        <f t="shared" si="3"/>
        <v>113000</v>
      </c>
    </row>
    <row r="53" spans="1:7" x14ac:dyDescent="0.35">
      <c r="A53" s="110" t="s">
        <v>219</v>
      </c>
      <c r="B53" s="113">
        <f t="shared" ref="B53:G53" si="4">+SUM(B51:B52)</f>
        <v>140500</v>
      </c>
      <c r="C53" s="113">
        <f t="shared" si="4"/>
        <v>145046.15384615384</v>
      </c>
      <c r="D53" s="113">
        <f t="shared" si="4"/>
        <v>148469.23076923075</v>
      </c>
      <c r="E53" s="113">
        <f t="shared" si="4"/>
        <v>149230.76923076922</v>
      </c>
      <c r="F53" s="113">
        <f t="shared" si="4"/>
        <v>153207.69230769231</v>
      </c>
      <c r="G53" s="113">
        <f t="shared" si="4"/>
        <v>159646.15384615384</v>
      </c>
    </row>
    <row r="54" spans="1:7" x14ac:dyDescent="0.35">
      <c r="A54" s="114" t="s">
        <v>220</v>
      </c>
      <c r="B54" s="3"/>
      <c r="C54" s="3"/>
      <c r="D54" s="3"/>
      <c r="E54" s="3"/>
      <c r="F54" s="3"/>
      <c r="G54" s="3"/>
    </row>
    <row r="55" spans="1:7" x14ac:dyDescent="0.35">
      <c r="A55" s="106" t="s">
        <v>221</v>
      </c>
      <c r="B55" s="3">
        <f t="shared" ref="B55:G55" si="5">F33</f>
        <v>46153.846153846156</v>
      </c>
      <c r="C55" s="3">
        <f t="shared" si="5"/>
        <v>48076.923076923078</v>
      </c>
      <c r="D55" s="3">
        <f t="shared" si="5"/>
        <v>36538.461538461539</v>
      </c>
      <c r="E55" s="3">
        <f t="shared" si="5"/>
        <v>51923.076923076922</v>
      </c>
      <c r="F55" s="3">
        <f t="shared" si="5"/>
        <v>38461.538461538461</v>
      </c>
      <c r="G55" s="3">
        <f t="shared" si="5"/>
        <v>46153.846153846156</v>
      </c>
    </row>
    <row r="56" spans="1:7" x14ac:dyDescent="0.35">
      <c r="A56" s="106" t="s">
        <v>226</v>
      </c>
      <c r="B56" s="3">
        <f>B39*4%</f>
        <v>4800</v>
      </c>
      <c r="C56" s="3">
        <f>+B40*4%</f>
        <v>4000</v>
      </c>
      <c r="D56" s="3">
        <f>+B41*4%</f>
        <v>5200</v>
      </c>
      <c r="E56" s="3">
        <f>+B42*4%</f>
        <v>3600</v>
      </c>
      <c r="F56" s="3">
        <f>+B43*4%</f>
        <v>5600</v>
      </c>
      <c r="G56" s="3">
        <f>+B44*4%</f>
        <v>4400</v>
      </c>
    </row>
    <row r="57" spans="1:7" x14ac:dyDescent="0.35">
      <c r="A57" s="22" t="s">
        <v>199</v>
      </c>
      <c r="B57" s="87">
        <v>55000</v>
      </c>
      <c r="C57" s="87">
        <v>55000</v>
      </c>
      <c r="D57" s="87">
        <v>55000</v>
      </c>
      <c r="E57" s="87">
        <v>55000</v>
      </c>
      <c r="F57" s="87">
        <v>55000</v>
      </c>
      <c r="G57" s="87">
        <v>55000</v>
      </c>
    </row>
    <row r="58" spans="1:7" x14ac:dyDescent="0.35">
      <c r="A58" s="106" t="s">
        <v>200</v>
      </c>
      <c r="B58" s="87">
        <v>6000</v>
      </c>
      <c r="C58" s="87">
        <v>6000</v>
      </c>
      <c r="D58" s="87">
        <v>6000</v>
      </c>
      <c r="E58" s="87">
        <v>6000</v>
      </c>
      <c r="F58" s="87">
        <v>6000</v>
      </c>
      <c r="G58" s="87">
        <v>6000</v>
      </c>
    </row>
    <row r="59" spans="1:7" x14ac:dyDescent="0.35">
      <c r="A59" s="106" t="s">
        <v>202</v>
      </c>
      <c r="B59" s="87">
        <v>1000</v>
      </c>
      <c r="C59" s="87">
        <v>1000</v>
      </c>
      <c r="D59" s="87">
        <v>1000</v>
      </c>
      <c r="E59" s="87">
        <v>1000</v>
      </c>
      <c r="F59" s="87">
        <v>1000</v>
      </c>
      <c r="G59" s="87">
        <v>1000</v>
      </c>
    </row>
    <row r="60" spans="1:7" x14ac:dyDescent="0.35">
      <c r="A60" s="106" t="s">
        <v>203</v>
      </c>
      <c r="B60" s="87">
        <v>500</v>
      </c>
      <c r="C60" s="87">
        <v>500</v>
      </c>
      <c r="D60" s="87">
        <v>500</v>
      </c>
      <c r="E60" s="87">
        <v>500</v>
      </c>
      <c r="F60" s="87">
        <v>500</v>
      </c>
      <c r="G60" s="87">
        <v>500</v>
      </c>
    </row>
    <row r="61" spans="1:7" x14ac:dyDescent="0.35">
      <c r="A61" s="110" t="s">
        <v>222</v>
      </c>
      <c r="B61" s="113">
        <f t="shared" ref="B61:G61" si="6">+-SUM(B55:B60)</f>
        <v>-113453.84615384616</v>
      </c>
      <c r="C61" s="113">
        <f t="shared" si="6"/>
        <v>-114576.92307692308</v>
      </c>
      <c r="D61" s="113">
        <f t="shared" si="6"/>
        <v>-104238.46153846153</v>
      </c>
      <c r="E61" s="113">
        <f t="shared" si="6"/>
        <v>-118023.07692307692</v>
      </c>
      <c r="F61" s="113">
        <f t="shared" si="6"/>
        <v>-106561.53846153847</v>
      </c>
      <c r="G61" s="113">
        <f t="shared" si="6"/>
        <v>-113053.84615384616</v>
      </c>
    </row>
    <row r="62" spans="1:7" x14ac:dyDescent="0.35">
      <c r="A62" s="106" t="s">
        <v>223</v>
      </c>
      <c r="B62" s="12">
        <f t="shared" ref="B62:G62" si="7">+B53+B61</f>
        <v>27046.153846153844</v>
      </c>
      <c r="C62" s="12">
        <f t="shared" si="7"/>
        <v>30469.230769230766</v>
      </c>
      <c r="D62" s="12">
        <f t="shared" si="7"/>
        <v>44230.76923076922</v>
      </c>
      <c r="E62" s="12">
        <f t="shared" si="7"/>
        <v>31207.692307692298</v>
      </c>
      <c r="F62" s="12">
        <f t="shared" si="7"/>
        <v>46646.153846153844</v>
      </c>
      <c r="G62" s="121">
        <f t="shared" si="7"/>
        <v>46592.307692307688</v>
      </c>
    </row>
    <row r="65" spans="1:4" x14ac:dyDescent="0.35">
      <c r="A65" t="s">
        <v>232</v>
      </c>
      <c r="B65" s="117"/>
      <c r="C65" s="2" t="s">
        <v>52</v>
      </c>
      <c r="D65" s="12">
        <f>+SUM(B6:B11)</f>
        <v>690000</v>
      </c>
    </row>
    <row r="66" spans="1:4" x14ac:dyDescent="0.35">
      <c r="C66" s="2" t="s">
        <v>139</v>
      </c>
      <c r="D66" s="12">
        <f>SUM(C6:C11)</f>
        <v>265384.61538461538</v>
      </c>
    </row>
    <row r="67" spans="1:4" x14ac:dyDescent="0.35">
      <c r="C67" s="110" t="s">
        <v>241</v>
      </c>
      <c r="D67" s="122">
        <f>D65-D66</f>
        <v>424615.38461538462</v>
      </c>
    </row>
    <row r="69" spans="1:4" x14ac:dyDescent="0.35">
      <c r="C69" s="22" t="s">
        <v>199</v>
      </c>
      <c r="D69" s="15">
        <f>B57*6</f>
        <v>330000</v>
      </c>
    </row>
    <row r="70" spans="1:4" x14ac:dyDescent="0.35">
      <c r="C70" s="106" t="s">
        <v>200</v>
      </c>
      <c r="D70" s="15">
        <f>6*B58</f>
        <v>36000</v>
      </c>
    </row>
    <row r="71" spans="1:4" x14ac:dyDescent="0.35">
      <c r="C71" s="106" t="s">
        <v>201</v>
      </c>
      <c r="D71" s="15">
        <f>6*F8</f>
        <v>12000</v>
      </c>
    </row>
    <row r="72" spans="1:4" x14ac:dyDescent="0.35">
      <c r="C72" s="106" t="s">
        <v>202</v>
      </c>
      <c r="D72" s="15">
        <f>6*B59</f>
        <v>6000</v>
      </c>
    </row>
    <row r="73" spans="1:4" x14ac:dyDescent="0.35">
      <c r="C73" s="106" t="s">
        <v>203</v>
      </c>
      <c r="D73" s="3">
        <f>+B60*6</f>
        <v>3000</v>
      </c>
    </row>
    <row r="74" spans="1:4" x14ac:dyDescent="0.35">
      <c r="C74" s="106" t="s">
        <v>226</v>
      </c>
      <c r="D74" s="12">
        <f>SUM(B56:G56)</f>
        <v>27600</v>
      </c>
    </row>
    <row r="76" spans="1:4" x14ac:dyDescent="0.35">
      <c r="C76" s="110" t="s">
        <v>242</v>
      </c>
      <c r="D76" s="30">
        <f>D67-SUM(D69:D74)</f>
        <v>10015.384615384624</v>
      </c>
    </row>
  </sheetData>
  <phoneticPr fontId="5"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866-D0A3-4C8C-AB91-ACC09B4F9632}">
  <dimension ref="A1:K21"/>
  <sheetViews>
    <sheetView topLeftCell="A29" workbookViewId="0">
      <selection activeCell="E48" sqref="E48"/>
    </sheetView>
  </sheetViews>
  <sheetFormatPr baseColWidth="10" defaultRowHeight="14.5" x14ac:dyDescent="0.35"/>
  <cols>
    <col min="1" max="1" width="33.81640625" customWidth="1"/>
    <col min="2" max="2" width="13.1796875" customWidth="1"/>
    <col min="3" max="3" width="13.7265625" customWidth="1"/>
  </cols>
  <sheetData>
    <row r="1" spans="1:11" x14ac:dyDescent="0.35">
      <c r="A1" s="95" t="s">
        <v>249</v>
      </c>
      <c r="B1" s="95"/>
      <c r="C1" s="95"/>
      <c r="D1" s="95"/>
      <c r="E1" s="95"/>
      <c r="F1" s="95"/>
      <c r="G1" s="95"/>
      <c r="H1" s="95"/>
      <c r="I1" s="95"/>
      <c r="J1" s="95"/>
      <c r="K1" s="95"/>
    </row>
    <row r="3" spans="1:11" x14ac:dyDescent="0.35">
      <c r="A3" s="1" t="s">
        <v>250</v>
      </c>
    </row>
    <row r="5" spans="1:11" x14ac:dyDescent="0.35">
      <c r="A5" s="115" t="s">
        <v>251</v>
      </c>
      <c r="B5" s="22" t="s">
        <v>267</v>
      </c>
      <c r="C5" s="22" t="s">
        <v>268</v>
      </c>
    </row>
    <row r="6" spans="1:11" x14ac:dyDescent="0.35">
      <c r="A6" s="22" t="s">
        <v>252</v>
      </c>
      <c r="B6" s="87">
        <v>25000</v>
      </c>
      <c r="C6" s="12">
        <f>+'EJ 16'!G62</f>
        <v>46592.307692307688</v>
      </c>
    </row>
    <row r="7" spans="1:11" x14ac:dyDescent="0.35">
      <c r="A7" s="22" t="s">
        <v>253</v>
      </c>
      <c r="B7" s="87">
        <v>109500</v>
      </c>
      <c r="C7" s="12">
        <f>+'EJ 16'!K43+'EJ 16'!K44+'EJ 16'!L44</f>
        <v>108000</v>
      </c>
    </row>
    <row r="8" spans="1:11" x14ac:dyDescent="0.35">
      <c r="A8" s="22" t="s">
        <v>266</v>
      </c>
      <c r="B8" s="87">
        <v>46154</v>
      </c>
      <c r="C8" s="12">
        <f>+'EJ 16'!B32</f>
        <v>38461.538461538461</v>
      </c>
    </row>
    <row r="9" spans="1:11" x14ac:dyDescent="0.35">
      <c r="A9" s="22" t="s">
        <v>254</v>
      </c>
      <c r="B9" s="87">
        <v>150000</v>
      </c>
      <c r="C9" s="12">
        <f>+B9</f>
        <v>150000</v>
      </c>
    </row>
    <row r="10" spans="1:11" x14ac:dyDescent="0.35">
      <c r="A10" s="22" t="s">
        <v>255</v>
      </c>
      <c r="B10" s="87">
        <v>-30000</v>
      </c>
      <c r="C10" s="12">
        <f>+B10-'EJ 16'!D71</f>
        <v>-42000</v>
      </c>
    </row>
    <row r="11" spans="1:11" x14ac:dyDescent="0.35">
      <c r="A11" s="22" t="s">
        <v>256</v>
      </c>
      <c r="B11" s="87">
        <v>300654</v>
      </c>
      <c r="C11" s="121">
        <f>+SUM(C6:C10)</f>
        <v>301053.84615384613</v>
      </c>
    </row>
    <row r="12" spans="1:11" x14ac:dyDescent="0.35">
      <c r="A12" s="1"/>
      <c r="B12" s="89"/>
    </row>
    <row r="13" spans="1:11" x14ac:dyDescent="0.35">
      <c r="A13" s="115" t="s">
        <v>264</v>
      </c>
      <c r="B13" s="87"/>
      <c r="C13" s="2"/>
    </row>
    <row r="14" spans="1:11" x14ac:dyDescent="0.35">
      <c r="A14" s="22" t="s">
        <v>257</v>
      </c>
      <c r="B14" s="87"/>
      <c r="C14" s="2"/>
    </row>
    <row r="15" spans="1:11" x14ac:dyDescent="0.35">
      <c r="A15" s="22" t="s">
        <v>265</v>
      </c>
      <c r="B15" s="87">
        <v>50000</v>
      </c>
      <c r="C15" s="12">
        <f>+'EJ 16'!L31+'EJ 16'!M32</f>
        <v>40384.615384615383</v>
      </c>
    </row>
    <row r="16" spans="1:11" x14ac:dyDescent="0.35">
      <c r="A16" s="22" t="s">
        <v>258</v>
      </c>
      <c r="B16" s="87">
        <v>50000</v>
      </c>
      <c r="C16" s="12">
        <f>+C15</f>
        <v>40384.615384615383</v>
      </c>
    </row>
    <row r="17" spans="1:3" x14ac:dyDescent="0.35">
      <c r="A17" s="22" t="s">
        <v>259</v>
      </c>
      <c r="B17" s="87"/>
      <c r="C17" s="2"/>
    </row>
    <row r="18" spans="1:3" x14ac:dyDescent="0.35">
      <c r="A18" s="22" t="s">
        <v>260</v>
      </c>
      <c r="B18" s="87">
        <v>200000</v>
      </c>
      <c r="C18" s="12">
        <f>+B18</f>
        <v>200000</v>
      </c>
    </row>
    <row r="19" spans="1:3" x14ac:dyDescent="0.35">
      <c r="A19" s="22" t="s">
        <v>261</v>
      </c>
      <c r="B19" s="87">
        <v>50654</v>
      </c>
      <c r="C19" s="12">
        <f>+B19+'EJ 16'!D76</f>
        <v>60669.384615384624</v>
      </c>
    </row>
    <row r="20" spans="1:3" x14ac:dyDescent="0.35">
      <c r="A20" s="22" t="s">
        <v>262</v>
      </c>
      <c r="B20" s="87">
        <v>260654</v>
      </c>
      <c r="C20" s="12">
        <f>+SUM(C18:C19)</f>
        <v>260669.38461538462</v>
      </c>
    </row>
    <row r="21" spans="1:3" x14ac:dyDescent="0.35">
      <c r="A21" s="22" t="s">
        <v>263</v>
      </c>
      <c r="B21" s="87">
        <v>300654</v>
      </c>
      <c r="C21" s="121">
        <f>+C20+C16</f>
        <v>301054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CF9D-9158-4D66-9E1E-D363D40D8D6F}">
  <dimension ref="A4:L125"/>
  <sheetViews>
    <sheetView topLeftCell="A27" zoomScale="90" zoomScaleNormal="90" workbookViewId="0">
      <selection activeCell="C35" sqref="C35"/>
    </sheetView>
  </sheetViews>
  <sheetFormatPr baseColWidth="10" defaultRowHeight="14.5" x14ac:dyDescent="0.35"/>
  <cols>
    <col min="1" max="1" width="35.453125" customWidth="1"/>
    <col min="2" max="2" width="14.453125" customWidth="1"/>
    <col min="3" max="3" width="17.453125" customWidth="1"/>
    <col min="4" max="4" width="14.453125" customWidth="1"/>
    <col min="5" max="13" width="11.1796875" bestFit="1" customWidth="1"/>
  </cols>
  <sheetData>
    <row r="4" spans="1:2" x14ac:dyDescent="0.35">
      <c r="A4" s="1" t="s">
        <v>187</v>
      </c>
    </row>
    <row r="5" spans="1:2" x14ac:dyDescent="0.35">
      <c r="A5" s="22" t="s">
        <v>191</v>
      </c>
      <c r="B5" s="2">
        <v>50000</v>
      </c>
    </row>
    <row r="6" spans="1:2" x14ac:dyDescent="0.35">
      <c r="A6" s="22" t="s">
        <v>192</v>
      </c>
      <c r="B6" s="2">
        <v>50000</v>
      </c>
    </row>
    <row r="7" spans="1:2" x14ac:dyDescent="0.35">
      <c r="A7" s="22" t="s">
        <v>193</v>
      </c>
      <c r="B7" s="2">
        <v>70000</v>
      </c>
    </row>
    <row r="8" spans="1:2" x14ac:dyDescent="0.35">
      <c r="A8" s="22" t="s">
        <v>212</v>
      </c>
      <c r="B8" s="2">
        <v>60000</v>
      </c>
    </row>
    <row r="10" spans="1:2" x14ac:dyDescent="0.35">
      <c r="A10" s="107" t="s">
        <v>269</v>
      </c>
    </row>
    <row r="11" spans="1:2" x14ac:dyDescent="0.35">
      <c r="A11" s="107" t="s">
        <v>270</v>
      </c>
    </row>
    <row r="13" spans="1:2" x14ac:dyDescent="0.35">
      <c r="A13" s="107" t="s">
        <v>271</v>
      </c>
    </row>
    <row r="15" spans="1:2" x14ac:dyDescent="0.35">
      <c r="A15" s="115" t="s">
        <v>251</v>
      </c>
      <c r="B15" s="8" t="s">
        <v>272</v>
      </c>
    </row>
    <row r="16" spans="1:2" x14ac:dyDescent="0.35">
      <c r="A16" s="22" t="s">
        <v>252</v>
      </c>
      <c r="B16" s="87">
        <v>10000</v>
      </c>
    </row>
    <row r="17" spans="1:2" x14ac:dyDescent="0.35">
      <c r="A17" s="22" t="s">
        <v>253</v>
      </c>
      <c r="B17" s="87">
        <v>70000</v>
      </c>
    </row>
    <row r="18" spans="1:2" x14ac:dyDescent="0.35">
      <c r="A18" s="22" t="s">
        <v>266</v>
      </c>
      <c r="B18" s="87">
        <v>32500</v>
      </c>
    </row>
    <row r="19" spans="1:2" x14ac:dyDescent="0.35">
      <c r="A19" s="22" t="s">
        <v>254</v>
      </c>
      <c r="B19" s="87">
        <v>200000</v>
      </c>
    </row>
    <row r="20" spans="1:2" x14ac:dyDescent="0.35">
      <c r="A20" s="22" t="s">
        <v>255</v>
      </c>
      <c r="B20" s="87">
        <v>-8000</v>
      </c>
    </row>
    <row r="21" spans="1:2" x14ac:dyDescent="0.35">
      <c r="A21" s="22" t="s">
        <v>256</v>
      </c>
      <c r="B21" s="87">
        <f>SUM(B16:B20)</f>
        <v>304500</v>
      </c>
    </row>
    <row r="22" spans="1:2" x14ac:dyDescent="0.35">
      <c r="A22" s="1"/>
      <c r="B22" s="89"/>
    </row>
    <row r="23" spans="1:2" x14ac:dyDescent="0.35">
      <c r="A23" s="115" t="s">
        <v>264</v>
      </c>
      <c r="B23" s="87"/>
    </row>
    <row r="24" spans="1:2" x14ac:dyDescent="0.35">
      <c r="A24" s="22" t="s">
        <v>257</v>
      </c>
      <c r="B24" s="87"/>
    </row>
    <row r="25" spans="1:2" x14ac:dyDescent="0.35">
      <c r="A25" s="22" t="s">
        <v>265</v>
      </c>
      <c r="B25" s="87">
        <v>67500</v>
      </c>
    </row>
    <row r="26" spans="1:2" x14ac:dyDescent="0.35">
      <c r="A26" s="22" t="s">
        <v>258</v>
      </c>
      <c r="B26" s="87">
        <f>B25</f>
        <v>67500</v>
      </c>
    </row>
    <row r="27" spans="1:2" x14ac:dyDescent="0.35">
      <c r="A27" s="22" t="s">
        <v>259</v>
      </c>
      <c r="B27" s="87"/>
    </row>
    <row r="28" spans="1:2" x14ac:dyDescent="0.35">
      <c r="A28" s="22" t="s">
        <v>260</v>
      </c>
      <c r="B28" s="87">
        <v>200000</v>
      </c>
    </row>
    <row r="29" spans="1:2" x14ac:dyDescent="0.35">
      <c r="A29" s="22" t="s">
        <v>261</v>
      </c>
      <c r="B29" s="87">
        <v>37000</v>
      </c>
    </row>
    <row r="30" spans="1:2" x14ac:dyDescent="0.35">
      <c r="A30" s="22" t="s">
        <v>262</v>
      </c>
      <c r="B30" s="87">
        <v>237000</v>
      </c>
    </row>
    <row r="31" spans="1:2" x14ac:dyDescent="0.35">
      <c r="A31" s="22" t="s">
        <v>263</v>
      </c>
      <c r="B31" s="87">
        <f>B21</f>
        <v>304500</v>
      </c>
    </row>
    <row r="33" spans="1:11" x14ac:dyDescent="0.35">
      <c r="A33" s="95" t="s">
        <v>274</v>
      </c>
    </row>
    <row r="34" spans="1:11" x14ac:dyDescent="0.35">
      <c r="A34" s="22" t="s">
        <v>187</v>
      </c>
      <c r="B34" s="8" t="s">
        <v>207</v>
      </c>
      <c r="C34" s="8" t="s">
        <v>224</v>
      </c>
      <c r="D34" t="s">
        <v>195</v>
      </c>
    </row>
    <row r="35" spans="1:11" x14ac:dyDescent="0.35">
      <c r="A35" s="112" t="s">
        <v>188</v>
      </c>
      <c r="B35" s="52">
        <v>65000</v>
      </c>
      <c r="C35" s="52">
        <f>B35/2</f>
        <v>32500</v>
      </c>
      <c r="D35" t="s">
        <v>196</v>
      </c>
    </row>
    <row r="36" spans="1:11" x14ac:dyDescent="0.35">
      <c r="A36" s="112" t="s">
        <v>189</v>
      </c>
      <c r="B36" s="52">
        <v>50000</v>
      </c>
      <c r="C36" s="52">
        <f t="shared" ref="C36:C41" si="0">B36/2</f>
        <v>25000</v>
      </c>
      <c r="D36" t="s">
        <v>197</v>
      </c>
    </row>
    <row r="37" spans="1:11" x14ac:dyDescent="0.35">
      <c r="A37" s="112" t="s">
        <v>190</v>
      </c>
      <c r="B37" s="52">
        <v>65000</v>
      </c>
      <c r="C37" s="52">
        <f t="shared" si="0"/>
        <v>32500</v>
      </c>
    </row>
    <row r="38" spans="1:11" x14ac:dyDescent="0.35">
      <c r="A38" s="112" t="s">
        <v>191</v>
      </c>
      <c r="B38" s="52">
        <v>50000</v>
      </c>
      <c r="C38" s="52">
        <f t="shared" si="0"/>
        <v>25000</v>
      </c>
      <c r="D38" t="s">
        <v>204</v>
      </c>
    </row>
    <row r="39" spans="1:11" x14ac:dyDescent="0.35">
      <c r="A39" s="112" t="s">
        <v>192</v>
      </c>
      <c r="B39" s="52">
        <v>50000</v>
      </c>
      <c r="C39" s="52">
        <f t="shared" si="0"/>
        <v>25000</v>
      </c>
    </row>
    <row r="40" spans="1:11" x14ac:dyDescent="0.35">
      <c r="A40" s="112" t="s">
        <v>193</v>
      </c>
      <c r="B40" s="52">
        <v>70000</v>
      </c>
      <c r="C40" s="52">
        <f t="shared" si="0"/>
        <v>35000</v>
      </c>
      <c r="D40" t="s">
        <v>205</v>
      </c>
    </row>
    <row r="41" spans="1:11" x14ac:dyDescent="0.35">
      <c r="A41" s="112" t="s">
        <v>212</v>
      </c>
      <c r="B41" s="52">
        <v>60000</v>
      </c>
      <c r="C41" s="52">
        <f t="shared" si="0"/>
        <v>30000</v>
      </c>
      <c r="D41">
        <v>10000</v>
      </c>
    </row>
    <row r="43" spans="1:11" x14ac:dyDescent="0.35">
      <c r="A43" s="22" t="s">
        <v>185</v>
      </c>
      <c r="B43" s="87">
        <v>50000</v>
      </c>
      <c r="C43" s="12">
        <f>B43/2</f>
        <v>25000</v>
      </c>
    </row>
    <row r="44" spans="1:11" x14ac:dyDescent="0.35">
      <c r="A44" s="22" t="s">
        <v>186</v>
      </c>
      <c r="B44" s="87">
        <v>70000</v>
      </c>
      <c r="C44" s="12">
        <f>B44/2</f>
        <v>35000</v>
      </c>
    </row>
    <row r="46" spans="1:11" x14ac:dyDescent="0.35">
      <c r="A46" s="25" t="s">
        <v>275</v>
      </c>
    </row>
    <row r="47" spans="1:11" x14ac:dyDescent="0.35">
      <c r="A47" s="2"/>
      <c r="B47" s="22" t="s">
        <v>215</v>
      </c>
      <c r="C47" s="22" t="s">
        <v>185</v>
      </c>
      <c r="D47" s="22" t="s">
        <v>186</v>
      </c>
      <c r="E47" s="22" t="s">
        <v>188</v>
      </c>
      <c r="F47" s="22" t="s">
        <v>189</v>
      </c>
      <c r="G47" s="22" t="s">
        <v>190</v>
      </c>
      <c r="H47" s="22" t="s">
        <v>191</v>
      </c>
      <c r="I47" s="22" t="s">
        <v>192</v>
      </c>
      <c r="J47" s="22" t="s">
        <v>193</v>
      </c>
      <c r="K47" s="22" t="s">
        <v>212</v>
      </c>
    </row>
    <row r="48" spans="1:11" x14ac:dyDescent="0.35">
      <c r="A48" s="8" t="s">
        <v>227</v>
      </c>
      <c r="B48" s="87">
        <v>25000</v>
      </c>
      <c r="C48" s="12">
        <v>35000</v>
      </c>
      <c r="D48" s="2">
        <v>32500</v>
      </c>
      <c r="E48" s="2">
        <v>25000</v>
      </c>
      <c r="F48" s="2">
        <f>+C37</f>
        <v>32500</v>
      </c>
      <c r="G48" s="2">
        <f>+C38</f>
        <v>25000</v>
      </c>
      <c r="H48" s="2">
        <f>+C39</f>
        <v>25000</v>
      </c>
      <c r="I48" s="2">
        <f>+C40</f>
        <v>35000</v>
      </c>
      <c r="J48" s="2">
        <f>+C41</f>
        <v>30000</v>
      </c>
      <c r="K48" s="2">
        <v>0</v>
      </c>
    </row>
    <row r="49" spans="1:12" x14ac:dyDescent="0.35">
      <c r="A49" s="8" t="s">
        <v>228</v>
      </c>
      <c r="B49" s="2">
        <v>0</v>
      </c>
      <c r="C49" s="2">
        <v>0</v>
      </c>
      <c r="D49" s="12">
        <v>25000</v>
      </c>
      <c r="E49" s="12">
        <v>35000</v>
      </c>
      <c r="F49" s="2">
        <v>32500</v>
      </c>
      <c r="G49" s="2">
        <v>25000</v>
      </c>
      <c r="H49" s="2">
        <v>32500</v>
      </c>
      <c r="I49" s="2">
        <f>+G48</f>
        <v>25000</v>
      </c>
      <c r="J49" s="2">
        <f>+G48</f>
        <v>25000</v>
      </c>
      <c r="K49" s="2">
        <f>+I48</f>
        <v>35000</v>
      </c>
      <c r="L49">
        <v>30000</v>
      </c>
    </row>
    <row r="50" spans="1:12" x14ac:dyDescent="0.35">
      <c r="A50" s="25"/>
    </row>
    <row r="52" spans="1:12" x14ac:dyDescent="0.35">
      <c r="A52" s="107" t="s">
        <v>276</v>
      </c>
    </row>
    <row r="53" spans="1:12" x14ac:dyDescent="0.35">
      <c r="A53" s="22" t="s">
        <v>244</v>
      </c>
      <c r="B53" s="2"/>
      <c r="C53" s="66" t="s">
        <v>185</v>
      </c>
      <c r="D53" s="66" t="s">
        <v>186</v>
      </c>
      <c r="E53" s="66" t="s">
        <v>188</v>
      </c>
      <c r="F53" s="66" t="s">
        <v>189</v>
      </c>
      <c r="G53" s="66" t="s">
        <v>190</v>
      </c>
      <c r="H53" s="66" t="s">
        <v>191</v>
      </c>
      <c r="I53" s="66" t="s">
        <v>192</v>
      </c>
      <c r="J53" s="66" t="s">
        <v>193</v>
      </c>
    </row>
    <row r="54" spans="1:12" x14ac:dyDescent="0.35">
      <c r="A54" s="22" t="s">
        <v>185</v>
      </c>
      <c r="B54" s="87">
        <f>+B43</f>
        <v>50000</v>
      </c>
      <c r="C54" s="87"/>
      <c r="D54" s="13">
        <f>+B54</f>
        <v>50000</v>
      </c>
      <c r="E54" s="87"/>
      <c r="F54" s="87"/>
      <c r="G54" s="87"/>
      <c r="H54" s="87"/>
      <c r="I54" s="87"/>
      <c r="J54" s="87"/>
    </row>
    <row r="55" spans="1:12" x14ac:dyDescent="0.35">
      <c r="A55" s="22" t="s">
        <v>186</v>
      </c>
      <c r="B55" s="87">
        <f>+B44</f>
        <v>70000</v>
      </c>
      <c r="C55" s="87"/>
      <c r="D55" s="87"/>
      <c r="E55" s="87">
        <f>+B55</f>
        <v>70000</v>
      </c>
      <c r="F55" s="87"/>
      <c r="G55" s="87"/>
      <c r="H55" s="87"/>
      <c r="I55" s="87"/>
      <c r="J55" s="87"/>
    </row>
    <row r="56" spans="1:12" x14ac:dyDescent="0.35">
      <c r="A56" s="22" t="s">
        <v>188</v>
      </c>
      <c r="B56" s="87">
        <f t="shared" ref="B56:B61" si="1">+B35</f>
        <v>65000</v>
      </c>
      <c r="C56" s="87"/>
      <c r="D56" s="87"/>
      <c r="E56" s="87"/>
      <c r="F56" s="87">
        <f>+B56</f>
        <v>65000</v>
      </c>
      <c r="G56" s="87"/>
      <c r="H56" s="87"/>
      <c r="I56" s="87"/>
      <c r="J56" s="87"/>
    </row>
    <row r="57" spans="1:12" x14ac:dyDescent="0.35">
      <c r="A57" s="22" t="s">
        <v>189</v>
      </c>
      <c r="B57" s="87">
        <f t="shared" si="1"/>
        <v>50000</v>
      </c>
      <c r="C57" s="87"/>
      <c r="D57" s="87"/>
      <c r="E57" s="87"/>
      <c r="F57" s="87"/>
      <c r="G57" s="87">
        <f>+B57</f>
        <v>50000</v>
      </c>
      <c r="H57" s="87"/>
      <c r="I57" s="87"/>
      <c r="J57" s="87"/>
    </row>
    <row r="58" spans="1:12" x14ac:dyDescent="0.35">
      <c r="A58" s="22" t="s">
        <v>190</v>
      </c>
      <c r="B58" s="87">
        <f t="shared" si="1"/>
        <v>65000</v>
      </c>
      <c r="C58" s="87"/>
      <c r="D58" s="87"/>
      <c r="E58" s="87"/>
      <c r="F58" s="87"/>
      <c r="G58" s="87"/>
      <c r="H58" s="87">
        <f>+B58</f>
        <v>65000</v>
      </c>
      <c r="I58" s="87"/>
      <c r="J58" s="87"/>
    </row>
    <row r="59" spans="1:12" x14ac:dyDescent="0.35">
      <c r="A59" s="22" t="s">
        <v>191</v>
      </c>
      <c r="B59" s="87">
        <f t="shared" si="1"/>
        <v>50000</v>
      </c>
      <c r="C59" s="87"/>
      <c r="D59" s="87"/>
      <c r="E59" s="87"/>
      <c r="F59" s="87"/>
      <c r="G59" s="87"/>
      <c r="H59" s="87"/>
      <c r="I59" s="87">
        <f>+B59</f>
        <v>50000</v>
      </c>
      <c r="J59" s="87"/>
    </row>
    <row r="60" spans="1:12" x14ac:dyDescent="0.35">
      <c r="A60" s="22" t="s">
        <v>192</v>
      </c>
      <c r="B60" s="87">
        <f t="shared" si="1"/>
        <v>50000</v>
      </c>
      <c r="C60" s="87"/>
      <c r="D60" s="87"/>
      <c r="E60" s="87"/>
      <c r="F60" s="87"/>
      <c r="G60" s="87"/>
      <c r="H60" s="87"/>
      <c r="I60" s="87"/>
      <c r="J60" s="87">
        <f>+B60</f>
        <v>50000</v>
      </c>
    </row>
    <row r="61" spans="1:12" x14ac:dyDescent="0.35">
      <c r="A61" s="22" t="s">
        <v>193</v>
      </c>
      <c r="B61" s="87">
        <f t="shared" si="1"/>
        <v>70000</v>
      </c>
      <c r="C61" s="87"/>
      <c r="D61" s="87"/>
      <c r="E61" s="87"/>
      <c r="F61" s="87"/>
      <c r="G61" s="87"/>
      <c r="H61" s="87"/>
      <c r="I61" s="87"/>
      <c r="J61" s="87"/>
    </row>
    <row r="62" spans="1:12" x14ac:dyDescent="0.35">
      <c r="A62" s="22" t="s">
        <v>245</v>
      </c>
      <c r="B62" s="12"/>
      <c r="C62" s="12">
        <f t="shared" ref="C62:J62" si="2">+SUM(C54:C61)</f>
        <v>0</v>
      </c>
      <c r="D62" s="12">
        <f t="shared" si="2"/>
        <v>50000</v>
      </c>
      <c r="E62" s="12">
        <f t="shared" si="2"/>
        <v>70000</v>
      </c>
      <c r="F62" s="12">
        <f t="shared" si="2"/>
        <v>65000</v>
      </c>
      <c r="G62" s="12">
        <f t="shared" si="2"/>
        <v>50000</v>
      </c>
      <c r="H62" s="12">
        <f t="shared" si="2"/>
        <v>65000</v>
      </c>
      <c r="I62" s="12">
        <f t="shared" si="2"/>
        <v>50000</v>
      </c>
      <c r="J62" s="12">
        <f t="shared" si="2"/>
        <v>50000</v>
      </c>
    </row>
    <row r="64" spans="1:12" x14ac:dyDescent="0.35">
      <c r="A64" s="2"/>
      <c r="B64" s="22" t="s">
        <v>188</v>
      </c>
      <c r="C64" s="22" t="s">
        <v>189</v>
      </c>
      <c r="D64" s="22" t="s">
        <v>190</v>
      </c>
      <c r="E64" s="22" t="s">
        <v>191</v>
      </c>
      <c r="F64" s="22" t="s">
        <v>192</v>
      </c>
      <c r="G64" s="22" t="s">
        <v>193</v>
      </c>
    </row>
    <row r="65" spans="1:7" x14ac:dyDescent="0.35">
      <c r="A65" s="115" t="s">
        <v>231</v>
      </c>
      <c r="B65" s="2"/>
      <c r="C65" s="2"/>
      <c r="D65" s="2"/>
      <c r="E65" s="2"/>
      <c r="F65" s="2"/>
      <c r="G65" s="2"/>
    </row>
    <row r="66" spans="1:7" x14ac:dyDescent="0.35">
      <c r="A66" s="22" t="s">
        <v>217</v>
      </c>
      <c r="B66" s="3">
        <v>10000</v>
      </c>
      <c r="C66" s="3">
        <f>+B77</f>
        <v>13000</v>
      </c>
      <c r="D66" s="3">
        <f>+C77</f>
        <v>15000</v>
      </c>
      <c r="E66" s="3">
        <f>+D77</f>
        <v>8000</v>
      </c>
      <c r="F66" s="3">
        <f>+E77</f>
        <v>10000</v>
      </c>
      <c r="G66" s="3">
        <f>+F77</f>
        <v>4500</v>
      </c>
    </row>
    <row r="67" spans="1:7" x14ac:dyDescent="0.35">
      <c r="A67" s="22" t="s">
        <v>218</v>
      </c>
      <c r="B67" s="3">
        <f t="shared" ref="B67:G67" si="3">+E62</f>
        <v>70000</v>
      </c>
      <c r="C67" s="3">
        <f t="shared" si="3"/>
        <v>65000</v>
      </c>
      <c r="D67" s="3">
        <f t="shared" si="3"/>
        <v>50000</v>
      </c>
      <c r="E67" s="3">
        <f t="shared" si="3"/>
        <v>65000</v>
      </c>
      <c r="F67" s="3">
        <f t="shared" si="3"/>
        <v>50000</v>
      </c>
      <c r="G67" s="3">
        <f t="shared" si="3"/>
        <v>50000</v>
      </c>
    </row>
    <row r="68" spans="1:7" x14ac:dyDescent="0.35">
      <c r="A68" s="110" t="s">
        <v>219</v>
      </c>
      <c r="B68" s="113">
        <f t="shared" ref="B68:G68" si="4">+SUM(B66:B67)</f>
        <v>80000</v>
      </c>
      <c r="C68" s="113">
        <f t="shared" si="4"/>
        <v>78000</v>
      </c>
      <c r="D68" s="113">
        <f t="shared" si="4"/>
        <v>65000</v>
      </c>
      <c r="E68" s="113">
        <f t="shared" si="4"/>
        <v>73000</v>
      </c>
      <c r="F68" s="113">
        <f t="shared" si="4"/>
        <v>60000</v>
      </c>
      <c r="G68" s="113">
        <f t="shared" si="4"/>
        <v>54500</v>
      </c>
    </row>
    <row r="69" spans="1:7" x14ac:dyDescent="0.35">
      <c r="A69" s="114" t="s">
        <v>220</v>
      </c>
      <c r="B69" s="3"/>
      <c r="C69" s="3"/>
      <c r="D69" s="3"/>
      <c r="E69" s="3"/>
      <c r="F69" s="3"/>
      <c r="G69" s="3"/>
    </row>
    <row r="70" spans="1:7" x14ac:dyDescent="0.35">
      <c r="A70" s="106" t="s">
        <v>221</v>
      </c>
      <c r="B70" s="3">
        <f t="shared" ref="B70:G70" si="5">+E49</f>
        <v>35000</v>
      </c>
      <c r="C70" s="3">
        <f t="shared" si="5"/>
        <v>32500</v>
      </c>
      <c r="D70" s="3">
        <f t="shared" si="5"/>
        <v>25000</v>
      </c>
      <c r="E70" s="3">
        <f t="shared" si="5"/>
        <v>32500</v>
      </c>
      <c r="F70" s="3">
        <f t="shared" si="5"/>
        <v>25000</v>
      </c>
      <c r="G70" s="3">
        <f t="shared" si="5"/>
        <v>25000</v>
      </c>
    </row>
    <row r="71" spans="1:7" x14ac:dyDescent="0.35">
      <c r="A71" s="106" t="s">
        <v>226</v>
      </c>
      <c r="B71" s="3">
        <v>6500</v>
      </c>
      <c r="C71" s="3">
        <v>5000</v>
      </c>
      <c r="D71" s="3">
        <v>6500</v>
      </c>
      <c r="E71" s="3">
        <f>+B38*0.1</f>
        <v>5000</v>
      </c>
      <c r="F71" s="3">
        <f>+B39*0.1</f>
        <v>5000</v>
      </c>
      <c r="G71" s="3">
        <v>7000</v>
      </c>
    </row>
    <row r="72" spans="1:7" x14ac:dyDescent="0.35">
      <c r="A72" s="22" t="s">
        <v>199</v>
      </c>
      <c r="B72" s="3">
        <v>20000</v>
      </c>
      <c r="C72" s="3">
        <v>20000</v>
      </c>
      <c r="D72" s="3">
        <v>20000</v>
      </c>
      <c r="E72" s="3">
        <v>20000</v>
      </c>
      <c r="F72" s="3">
        <v>20000</v>
      </c>
      <c r="G72" s="3">
        <v>20000</v>
      </c>
    </row>
    <row r="73" spans="1:7" x14ac:dyDescent="0.35">
      <c r="A73" s="106" t="s">
        <v>200</v>
      </c>
      <c r="B73" s="3">
        <v>4000</v>
      </c>
      <c r="C73" s="3">
        <v>4000</v>
      </c>
      <c r="D73" s="3">
        <v>4000</v>
      </c>
      <c r="E73" s="3">
        <v>4000</v>
      </c>
      <c r="F73" s="3">
        <v>4000</v>
      </c>
      <c r="G73" s="3">
        <v>4000</v>
      </c>
    </row>
    <row r="74" spans="1:7" x14ac:dyDescent="0.35">
      <c r="A74" s="106" t="s">
        <v>202</v>
      </c>
      <c r="B74" s="3">
        <v>1000</v>
      </c>
      <c r="C74" s="3">
        <v>1000</v>
      </c>
      <c r="D74" s="3">
        <v>1000</v>
      </c>
      <c r="E74" s="3">
        <v>1000</v>
      </c>
      <c r="F74" s="3">
        <v>1000</v>
      </c>
      <c r="G74" s="3">
        <v>1000</v>
      </c>
    </row>
    <row r="75" spans="1:7" x14ac:dyDescent="0.35">
      <c r="A75" s="106" t="s">
        <v>203</v>
      </c>
      <c r="B75" s="3">
        <v>500</v>
      </c>
      <c r="C75" s="3">
        <v>500</v>
      </c>
      <c r="D75" s="3">
        <v>500</v>
      </c>
      <c r="E75" s="3">
        <v>500</v>
      </c>
      <c r="F75" s="3">
        <v>500</v>
      </c>
      <c r="G75" s="3">
        <v>500</v>
      </c>
    </row>
    <row r="76" spans="1:7" x14ac:dyDescent="0.35">
      <c r="A76" s="110" t="s">
        <v>222</v>
      </c>
      <c r="B76" s="113">
        <f t="shared" ref="B76:G76" si="6">+-SUM(B70:B75)</f>
        <v>-67000</v>
      </c>
      <c r="C76" s="113">
        <f t="shared" si="6"/>
        <v>-63000</v>
      </c>
      <c r="D76" s="113">
        <f t="shared" si="6"/>
        <v>-57000</v>
      </c>
      <c r="E76" s="113">
        <f t="shared" si="6"/>
        <v>-63000</v>
      </c>
      <c r="F76" s="113">
        <f t="shared" si="6"/>
        <v>-55500</v>
      </c>
      <c r="G76" s="113">
        <f t="shared" si="6"/>
        <v>-57500</v>
      </c>
    </row>
    <row r="77" spans="1:7" x14ac:dyDescent="0.35">
      <c r="A77" s="106" t="s">
        <v>223</v>
      </c>
      <c r="B77" s="3">
        <f t="shared" ref="B77:G77" si="7">+B68+B76</f>
        <v>13000</v>
      </c>
      <c r="C77" s="3">
        <f t="shared" si="7"/>
        <v>15000</v>
      </c>
      <c r="D77" s="3">
        <f t="shared" si="7"/>
        <v>8000</v>
      </c>
      <c r="E77" s="3">
        <f t="shared" si="7"/>
        <v>10000</v>
      </c>
      <c r="F77" s="3">
        <f t="shared" si="7"/>
        <v>4500</v>
      </c>
      <c r="G77" s="123">
        <f t="shared" si="7"/>
        <v>-3000</v>
      </c>
    </row>
    <row r="79" spans="1:7" x14ac:dyDescent="0.35">
      <c r="A79" s="107" t="s">
        <v>277</v>
      </c>
    </row>
    <row r="81" spans="1:4" x14ac:dyDescent="0.35">
      <c r="A81" t="s">
        <v>278</v>
      </c>
    </row>
    <row r="82" spans="1:4" x14ac:dyDescent="0.35">
      <c r="A82" t="s">
        <v>279</v>
      </c>
    </row>
    <row r="84" spans="1:4" x14ac:dyDescent="0.35">
      <c r="A84" t="s">
        <v>280</v>
      </c>
    </row>
    <row r="86" spans="1:4" x14ac:dyDescent="0.35">
      <c r="A86" s="22" t="s">
        <v>281</v>
      </c>
      <c r="B86" s="22">
        <f>7000/(1-0.24/12)</f>
        <v>7142.8571428571431</v>
      </c>
    </row>
    <row r="88" spans="1:4" x14ac:dyDescent="0.35">
      <c r="A88" s="95" t="s">
        <v>273</v>
      </c>
    </row>
    <row r="90" spans="1:4" x14ac:dyDescent="0.35">
      <c r="A90" t="s">
        <v>232</v>
      </c>
      <c r="B90" s="117"/>
      <c r="C90" s="2" t="s">
        <v>52</v>
      </c>
      <c r="D90" s="12">
        <f>+SUM(B35:B40)</f>
        <v>350000</v>
      </c>
    </row>
    <row r="91" spans="1:4" x14ac:dyDescent="0.35">
      <c r="C91" s="2" t="s">
        <v>139</v>
      </c>
      <c r="D91" s="12">
        <f>+SUM(C35:C40)</f>
        <v>175000</v>
      </c>
    </row>
    <row r="92" spans="1:4" x14ac:dyDescent="0.35">
      <c r="C92" s="110" t="s">
        <v>241</v>
      </c>
      <c r="D92" s="122">
        <f>D90-D91</f>
        <v>175000</v>
      </c>
    </row>
    <row r="94" spans="1:4" x14ac:dyDescent="0.35">
      <c r="C94" s="22" t="s">
        <v>199</v>
      </c>
      <c r="D94" s="15">
        <f>B72*6</f>
        <v>120000</v>
      </c>
    </row>
    <row r="95" spans="1:4" x14ac:dyDescent="0.35">
      <c r="C95" s="106" t="s">
        <v>200</v>
      </c>
      <c r="D95" s="15">
        <f>+B73*6</f>
        <v>24000</v>
      </c>
    </row>
    <row r="96" spans="1:4" x14ac:dyDescent="0.35">
      <c r="C96" s="106" t="s">
        <v>201</v>
      </c>
      <c r="D96" s="6">
        <f>6*1000</f>
        <v>6000</v>
      </c>
    </row>
    <row r="97" spans="1:4" x14ac:dyDescent="0.35">
      <c r="C97" s="106" t="s">
        <v>202</v>
      </c>
      <c r="D97" s="6">
        <f>6*1000</f>
        <v>6000</v>
      </c>
    </row>
    <row r="98" spans="1:4" x14ac:dyDescent="0.35">
      <c r="C98" s="106" t="s">
        <v>203</v>
      </c>
      <c r="D98" s="6">
        <f>6*500</f>
        <v>3000</v>
      </c>
    </row>
    <row r="99" spans="1:4" x14ac:dyDescent="0.35">
      <c r="C99" s="106" t="s">
        <v>226</v>
      </c>
      <c r="D99" s="12">
        <f>+SUM(B71:G71)</f>
        <v>35000</v>
      </c>
    </row>
    <row r="100" spans="1:4" x14ac:dyDescent="0.35">
      <c r="C100" s="107"/>
      <c r="D100" s="70"/>
    </row>
    <row r="101" spans="1:4" x14ac:dyDescent="0.35">
      <c r="C101" s="106" t="s">
        <v>282</v>
      </c>
      <c r="D101" s="12">
        <f>B86-7000</f>
        <v>142.85714285714312</v>
      </c>
    </row>
    <row r="103" spans="1:4" x14ac:dyDescent="0.35">
      <c r="C103" s="110" t="s">
        <v>242</v>
      </c>
      <c r="D103" s="121">
        <f>D92-SUM(D94:D99)-D101</f>
        <v>-19142.857142857145</v>
      </c>
    </row>
    <row r="105" spans="1:4" x14ac:dyDescent="0.35">
      <c r="A105" s="1" t="s">
        <v>283</v>
      </c>
    </row>
    <row r="107" spans="1:4" x14ac:dyDescent="0.35">
      <c r="A107" s="115" t="s">
        <v>251</v>
      </c>
      <c r="B107" s="8" t="s">
        <v>272</v>
      </c>
      <c r="C107" s="22" t="s">
        <v>284</v>
      </c>
    </row>
    <row r="108" spans="1:4" x14ac:dyDescent="0.35">
      <c r="A108" s="22" t="s">
        <v>252</v>
      </c>
      <c r="B108" s="87">
        <v>10000</v>
      </c>
      <c r="C108" s="87">
        <v>4000</v>
      </c>
    </row>
    <row r="109" spans="1:4" x14ac:dyDescent="0.35">
      <c r="A109" s="22" t="s">
        <v>253</v>
      </c>
      <c r="B109" s="87">
        <v>70000</v>
      </c>
      <c r="C109" s="87">
        <f>+B61</f>
        <v>70000</v>
      </c>
    </row>
    <row r="110" spans="1:4" x14ac:dyDescent="0.35">
      <c r="A110" s="22" t="s">
        <v>266</v>
      </c>
      <c r="B110" s="87">
        <v>32500</v>
      </c>
      <c r="C110" s="87">
        <f>+J48</f>
        <v>30000</v>
      </c>
    </row>
    <row r="111" spans="1:4" x14ac:dyDescent="0.35">
      <c r="A111" s="22" t="s">
        <v>254</v>
      </c>
      <c r="B111" s="87">
        <v>200000</v>
      </c>
      <c r="C111" s="87">
        <f>+B111</f>
        <v>200000</v>
      </c>
    </row>
    <row r="112" spans="1:4" x14ac:dyDescent="0.35">
      <c r="A112" s="22" t="s">
        <v>255</v>
      </c>
      <c r="B112" s="87">
        <v>-8000</v>
      </c>
      <c r="C112" s="87">
        <f>+B112-D96</f>
        <v>-14000</v>
      </c>
    </row>
    <row r="113" spans="1:3" x14ac:dyDescent="0.35">
      <c r="A113" s="22" t="s">
        <v>256</v>
      </c>
      <c r="B113" s="87">
        <f>SUM(B108:B112)</f>
        <v>304500</v>
      </c>
      <c r="C113" s="191">
        <f>+SUM(C108:C112)</f>
        <v>290000</v>
      </c>
    </row>
    <row r="114" spans="1:3" x14ac:dyDescent="0.35">
      <c r="A114" s="1"/>
      <c r="B114" s="89"/>
    </row>
    <row r="115" spans="1:3" x14ac:dyDescent="0.35">
      <c r="A115" s="115" t="s">
        <v>264</v>
      </c>
      <c r="B115" s="87"/>
      <c r="C115" s="2"/>
    </row>
    <row r="116" spans="1:3" x14ac:dyDescent="0.35">
      <c r="A116" s="22" t="s">
        <v>257</v>
      </c>
      <c r="B116" s="87"/>
      <c r="C116" s="2"/>
    </row>
    <row r="117" spans="1:3" x14ac:dyDescent="0.35">
      <c r="A117" s="22" t="s">
        <v>265</v>
      </c>
      <c r="B117" s="87">
        <v>67500</v>
      </c>
      <c r="C117" s="2">
        <f>+K49+L49</f>
        <v>65000</v>
      </c>
    </row>
    <row r="118" spans="1:3" x14ac:dyDescent="0.35">
      <c r="A118" s="22" t="s">
        <v>285</v>
      </c>
      <c r="B118" s="87"/>
      <c r="C118" s="2">
        <v>7000</v>
      </c>
    </row>
    <row r="119" spans="1:3" x14ac:dyDescent="0.35">
      <c r="A119" s="22" t="s">
        <v>286</v>
      </c>
      <c r="B119" s="87"/>
      <c r="C119" s="12">
        <f>+D101</f>
        <v>142.85714285714312</v>
      </c>
    </row>
    <row r="120" spans="1:3" x14ac:dyDescent="0.35">
      <c r="A120" s="22" t="s">
        <v>258</v>
      </c>
      <c r="B120" s="87">
        <f>B117</f>
        <v>67500</v>
      </c>
      <c r="C120" s="2">
        <f>SUM(C117:C119)</f>
        <v>72142.857142857145</v>
      </c>
    </row>
    <row r="121" spans="1:3" x14ac:dyDescent="0.35">
      <c r="A121" s="22" t="s">
        <v>259</v>
      </c>
      <c r="B121" s="87"/>
      <c r="C121" s="2"/>
    </row>
    <row r="122" spans="1:3" x14ac:dyDescent="0.35">
      <c r="A122" s="22" t="s">
        <v>260</v>
      </c>
      <c r="B122" s="87">
        <v>200000</v>
      </c>
      <c r="C122" s="12">
        <f>+B122</f>
        <v>200000</v>
      </c>
    </row>
    <row r="123" spans="1:3" x14ac:dyDescent="0.35">
      <c r="A123" s="22" t="s">
        <v>261</v>
      </c>
      <c r="B123" s="87">
        <v>37000</v>
      </c>
      <c r="C123" s="12">
        <f>+B123+D103</f>
        <v>17857.142857142855</v>
      </c>
    </row>
    <row r="124" spans="1:3" x14ac:dyDescent="0.35">
      <c r="A124" s="22" t="s">
        <v>262</v>
      </c>
      <c r="B124" s="87">
        <v>237000</v>
      </c>
      <c r="C124" s="12">
        <f>+SUM(C122:C123)</f>
        <v>217857.14285714284</v>
      </c>
    </row>
    <row r="125" spans="1:3" x14ac:dyDescent="0.35">
      <c r="A125" s="22" t="s">
        <v>263</v>
      </c>
      <c r="B125" s="87">
        <f>B113</f>
        <v>304500</v>
      </c>
      <c r="C125" s="121">
        <f>+C120+C124</f>
        <v>290000</v>
      </c>
    </row>
  </sheetData>
  <phoneticPr fontId="5"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75CB-BE30-4A50-A7B5-B6F4FA5D2038}">
  <dimension ref="A1:K72"/>
  <sheetViews>
    <sheetView workbookViewId="0">
      <selection activeCell="A6" sqref="A6"/>
    </sheetView>
  </sheetViews>
  <sheetFormatPr baseColWidth="10" defaultRowHeight="14.5" x14ac:dyDescent="0.35"/>
  <cols>
    <col min="1" max="1" width="20.1796875" customWidth="1"/>
    <col min="2" max="2" width="14.81640625" customWidth="1"/>
    <col min="3" max="3" width="13.54296875" customWidth="1"/>
    <col min="4" max="4" width="13.54296875" bestFit="1" customWidth="1"/>
    <col min="5" max="5" width="12.1796875" bestFit="1" customWidth="1"/>
    <col min="6" max="6" width="16.26953125" customWidth="1"/>
    <col min="7" max="7" width="14.54296875" customWidth="1"/>
    <col min="8" max="8" width="13.54296875" customWidth="1"/>
    <col min="9" max="9" width="12.453125" customWidth="1"/>
    <col min="10" max="10" width="18.81640625" customWidth="1"/>
    <col min="11" max="11" width="12.7265625" customWidth="1"/>
  </cols>
  <sheetData>
    <row r="1" spans="1:11" x14ac:dyDescent="0.35">
      <c r="A1" t="s">
        <v>297</v>
      </c>
    </row>
    <row r="2" spans="1:11" x14ac:dyDescent="0.35">
      <c r="A2" s="22" t="s">
        <v>287</v>
      </c>
      <c r="B2" s="119">
        <v>300000</v>
      </c>
    </row>
    <row r="3" spans="1:11" x14ac:dyDescent="0.35">
      <c r="A3" s="22" t="s">
        <v>288</v>
      </c>
      <c r="B3" s="119">
        <v>1500000</v>
      </c>
    </row>
    <row r="5" spans="1:11" x14ac:dyDescent="0.35">
      <c r="A5" s="2"/>
      <c r="B5" s="22" t="s">
        <v>185</v>
      </c>
      <c r="C5" s="22" t="s">
        <v>186</v>
      </c>
      <c r="D5" s="22" t="s">
        <v>188</v>
      </c>
      <c r="E5" s="22" t="s">
        <v>189</v>
      </c>
      <c r="G5" s="2"/>
      <c r="H5" s="22" t="s">
        <v>185</v>
      </c>
      <c r="I5" s="22" t="s">
        <v>186</v>
      </c>
      <c r="J5" s="22" t="s">
        <v>188</v>
      </c>
      <c r="K5" s="22" t="s">
        <v>189</v>
      </c>
    </row>
    <row r="6" spans="1:11" x14ac:dyDescent="0.35">
      <c r="A6" s="22" t="s">
        <v>52</v>
      </c>
      <c r="B6" s="87">
        <v>500000</v>
      </c>
      <c r="C6" s="87">
        <v>650000</v>
      </c>
      <c r="D6" s="87">
        <v>750000</v>
      </c>
      <c r="E6" s="87">
        <v>450000</v>
      </c>
      <c r="G6" s="22" t="s">
        <v>227</v>
      </c>
      <c r="H6" s="87">
        <f>B6-B6*$H$9</f>
        <v>75000</v>
      </c>
      <c r="I6" s="87">
        <f>C6-C6*$H$9</f>
        <v>97500</v>
      </c>
      <c r="J6" s="87">
        <f>D6-D6*$H$9</f>
        <v>112500</v>
      </c>
      <c r="K6" s="87">
        <f>E6-E6*$H$9</f>
        <v>67500</v>
      </c>
    </row>
    <row r="7" spans="1:11" x14ac:dyDescent="0.35">
      <c r="A7" s="22" t="s">
        <v>289</v>
      </c>
      <c r="B7" s="87">
        <v>150000</v>
      </c>
      <c r="C7" s="87">
        <v>150000</v>
      </c>
      <c r="D7" s="87">
        <v>150000</v>
      </c>
      <c r="E7" s="87">
        <v>150000</v>
      </c>
    </row>
    <row r="8" spans="1:11" x14ac:dyDescent="0.35">
      <c r="A8" s="22" t="s">
        <v>290</v>
      </c>
      <c r="B8" s="87">
        <v>220000</v>
      </c>
      <c r="C8" s="87">
        <v>220000</v>
      </c>
      <c r="D8" s="87">
        <v>220000</v>
      </c>
      <c r="E8" s="87">
        <v>220000</v>
      </c>
    </row>
    <row r="9" spans="1:11" x14ac:dyDescent="0.35">
      <c r="A9" s="22" t="s">
        <v>201</v>
      </c>
      <c r="B9" s="87">
        <v>8000</v>
      </c>
      <c r="C9" s="87">
        <v>8000</v>
      </c>
      <c r="D9" s="87">
        <v>8000</v>
      </c>
      <c r="E9" s="87">
        <v>8000</v>
      </c>
      <c r="G9" t="s">
        <v>298</v>
      </c>
      <c r="H9" s="82">
        <v>0.85</v>
      </c>
    </row>
    <row r="10" spans="1:11" x14ac:dyDescent="0.35">
      <c r="G10" t="s">
        <v>299</v>
      </c>
    </row>
    <row r="11" spans="1:11" x14ac:dyDescent="0.35">
      <c r="A11" s="68" t="s">
        <v>292</v>
      </c>
      <c r="B11" s="85">
        <v>0.85</v>
      </c>
      <c r="G11" t="s">
        <v>300</v>
      </c>
    </row>
    <row r="12" spans="1:11" x14ac:dyDescent="0.35">
      <c r="A12" s="22" t="s">
        <v>291</v>
      </c>
      <c r="B12" s="85">
        <v>0.35</v>
      </c>
    </row>
    <row r="14" spans="1:11" x14ac:dyDescent="0.35">
      <c r="A14" t="s">
        <v>293</v>
      </c>
    </row>
    <row r="16" spans="1:11" x14ac:dyDescent="0.35">
      <c r="A16" t="s">
        <v>294</v>
      </c>
    </row>
    <row r="17" spans="1:6" x14ac:dyDescent="0.35">
      <c r="A17" t="s">
        <v>295</v>
      </c>
    </row>
    <row r="19" spans="1:6" x14ac:dyDescent="0.35">
      <c r="A19" s="95" t="s">
        <v>296</v>
      </c>
      <c r="B19" s="96"/>
    </row>
    <row r="21" spans="1:6" x14ac:dyDescent="0.35">
      <c r="A21" s="2"/>
      <c r="B21" s="22" t="s">
        <v>185</v>
      </c>
      <c r="C21" s="22" t="s">
        <v>186</v>
      </c>
      <c r="D21" s="22" t="s">
        <v>188</v>
      </c>
      <c r="E21" s="22" t="s">
        <v>189</v>
      </c>
    </row>
    <row r="22" spans="1:6" x14ac:dyDescent="0.35">
      <c r="A22" s="115" t="s">
        <v>231</v>
      </c>
      <c r="B22" s="2"/>
      <c r="C22" s="2"/>
      <c r="D22" s="2"/>
      <c r="E22" s="2"/>
    </row>
    <row r="23" spans="1:6" x14ac:dyDescent="0.35">
      <c r="A23" s="22" t="s">
        <v>217</v>
      </c>
      <c r="B23" s="3">
        <f>B2</f>
        <v>300000</v>
      </c>
      <c r="C23" s="3">
        <f>+B31</f>
        <v>76500</v>
      </c>
      <c r="D23" s="3">
        <f>+C31</f>
        <v>45000</v>
      </c>
      <c r="E23" s="3">
        <f>+D31</f>
        <v>259500</v>
      </c>
    </row>
    <row r="24" spans="1:6" x14ac:dyDescent="0.35">
      <c r="A24" s="22" t="s">
        <v>218</v>
      </c>
      <c r="B24" s="3">
        <f>+C40</f>
        <v>250000</v>
      </c>
      <c r="C24" s="3">
        <f>+D40</f>
        <v>475000</v>
      </c>
      <c r="D24" s="3">
        <f>+E40</f>
        <v>670000</v>
      </c>
      <c r="E24" s="3">
        <f>+F40</f>
        <v>580000</v>
      </c>
    </row>
    <row r="25" spans="1:6" x14ac:dyDescent="0.35">
      <c r="A25" s="110" t="s">
        <v>219</v>
      </c>
      <c r="B25" s="113">
        <f>+SUM(B23:B24)</f>
        <v>550000</v>
      </c>
      <c r="C25" s="113">
        <f>+SUM(C23:C24)</f>
        <v>551500</v>
      </c>
      <c r="D25" s="113">
        <f>+SUM(D23:D24)</f>
        <v>715000</v>
      </c>
      <c r="E25" s="113">
        <f>+SUM(E23:E24)</f>
        <v>839500</v>
      </c>
    </row>
    <row r="26" spans="1:6" x14ac:dyDescent="0.35">
      <c r="A26" s="114" t="s">
        <v>220</v>
      </c>
      <c r="B26" s="3"/>
      <c r="C26" s="3"/>
      <c r="D26" s="3"/>
      <c r="E26" s="2"/>
    </row>
    <row r="27" spans="1:6" x14ac:dyDescent="0.35">
      <c r="A27" s="106" t="s">
        <v>221</v>
      </c>
      <c r="B27" s="3">
        <f>C49</f>
        <v>103500</v>
      </c>
      <c r="C27" s="3">
        <f>D49</f>
        <v>136500</v>
      </c>
      <c r="D27" s="3">
        <f>E49</f>
        <v>85500</v>
      </c>
      <c r="E27" s="3">
        <f>F49</f>
        <v>27000</v>
      </c>
    </row>
    <row r="28" spans="1:6" x14ac:dyDescent="0.35">
      <c r="A28" s="106" t="s">
        <v>302</v>
      </c>
      <c r="B28" s="3">
        <f>+B7</f>
        <v>150000</v>
      </c>
      <c r="C28" s="3">
        <f t="shared" ref="C28:E29" si="0">+C7</f>
        <v>150000</v>
      </c>
      <c r="D28" s="3">
        <f t="shared" si="0"/>
        <v>150000</v>
      </c>
      <c r="E28" s="3">
        <f t="shared" si="0"/>
        <v>150000</v>
      </c>
    </row>
    <row r="29" spans="1:6" x14ac:dyDescent="0.35">
      <c r="A29" s="22" t="s">
        <v>303</v>
      </c>
      <c r="B29" s="3">
        <f>+B8</f>
        <v>220000</v>
      </c>
      <c r="C29" s="3">
        <f t="shared" si="0"/>
        <v>220000</v>
      </c>
      <c r="D29" s="3">
        <f t="shared" si="0"/>
        <v>220000</v>
      </c>
      <c r="E29" s="3">
        <f t="shared" si="0"/>
        <v>220000</v>
      </c>
    </row>
    <row r="30" spans="1:6" x14ac:dyDescent="0.35">
      <c r="A30" s="110" t="s">
        <v>222</v>
      </c>
      <c r="B30" s="113">
        <f>+SUM(B27:B29)</f>
        <v>473500</v>
      </c>
      <c r="C30" s="113">
        <f>+SUM(C27:C29)</f>
        <v>506500</v>
      </c>
      <c r="D30" s="113">
        <f>+SUM(D27:D29)</f>
        <v>455500</v>
      </c>
      <c r="E30" s="113">
        <f>+SUM(E27:E29)</f>
        <v>397000</v>
      </c>
    </row>
    <row r="31" spans="1:6" x14ac:dyDescent="0.35">
      <c r="A31" s="106" t="s">
        <v>223</v>
      </c>
      <c r="B31" s="3">
        <f>+B25-B30</f>
        <v>76500</v>
      </c>
      <c r="C31" s="3">
        <f>+C25-C30</f>
        <v>45000</v>
      </c>
      <c r="D31" s="124">
        <f>+D25-D30</f>
        <v>259500</v>
      </c>
      <c r="E31" s="3">
        <f>+E25-E30</f>
        <v>442500</v>
      </c>
    </row>
    <row r="32" spans="1:6" x14ac:dyDescent="0.35">
      <c r="A32" s="107"/>
      <c r="B32" s="127"/>
      <c r="C32" s="127"/>
      <c r="D32" s="125" t="s">
        <v>304</v>
      </c>
      <c r="E32" s="127"/>
      <c r="F32" s="128"/>
    </row>
    <row r="34" spans="1:11" x14ac:dyDescent="0.35">
      <c r="A34" t="s">
        <v>295</v>
      </c>
    </row>
    <row r="35" spans="1:11" x14ac:dyDescent="0.35">
      <c r="A35" s="22" t="s">
        <v>246</v>
      </c>
      <c r="B35" s="2"/>
      <c r="C35" s="22" t="s">
        <v>185</v>
      </c>
      <c r="D35" s="22" t="s">
        <v>186</v>
      </c>
      <c r="E35" s="22" t="s">
        <v>188</v>
      </c>
      <c r="F35" s="22" t="s">
        <v>189</v>
      </c>
      <c r="G35" s="22" t="s">
        <v>190</v>
      </c>
      <c r="H35" s="22" t="s">
        <v>191</v>
      </c>
    </row>
    <row r="36" spans="1:11" ht="29" x14ac:dyDescent="0.35">
      <c r="A36" s="22" t="s">
        <v>185</v>
      </c>
      <c r="B36" s="87">
        <f>+B6</f>
        <v>500000</v>
      </c>
      <c r="C36" s="87">
        <f>+B36/2</f>
        <v>250000</v>
      </c>
      <c r="D36" s="87">
        <f>B36*0.3</f>
        <v>150000</v>
      </c>
      <c r="E36" s="87">
        <f>B36*0.2</f>
        <v>100000</v>
      </c>
      <c r="F36" s="87"/>
      <c r="G36" s="87"/>
      <c r="H36" s="87"/>
      <c r="J36" s="151" t="s">
        <v>413</v>
      </c>
      <c r="K36" s="152">
        <f>+F38+G38+F37</f>
        <v>505000</v>
      </c>
    </row>
    <row r="37" spans="1:11" x14ac:dyDescent="0.35">
      <c r="A37" s="22" t="s">
        <v>186</v>
      </c>
      <c r="B37" s="87">
        <f>+C6</f>
        <v>650000</v>
      </c>
      <c r="C37" s="87"/>
      <c r="D37" s="87">
        <f>+B37/2</f>
        <v>325000</v>
      </c>
      <c r="E37" s="87">
        <f>B37*0.3</f>
        <v>195000</v>
      </c>
      <c r="F37" s="150">
        <f>B37*0.2</f>
        <v>130000</v>
      </c>
      <c r="G37" s="87"/>
      <c r="H37" s="87"/>
    </row>
    <row r="38" spans="1:11" x14ac:dyDescent="0.35">
      <c r="A38" s="22" t="s">
        <v>188</v>
      </c>
      <c r="B38" s="87">
        <f>+D6</f>
        <v>750000</v>
      </c>
      <c r="C38" s="87"/>
      <c r="D38" s="87"/>
      <c r="E38" s="87">
        <f>+B38/2</f>
        <v>375000</v>
      </c>
      <c r="F38" s="150">
        <f>B38*0.3</f>
        <v>225000</v>
      </c>
      <c r="G38" s="150">
        <f>B38*0.2</f>
        <v>150000</v>
      </c>
      <c r="H38" s="87"/>
    </row>
    <row r="39" spans="1:11" x14ac:dyDescent="0.35">
      <c r="A39" s="22" t="s">
        <v>189</v>
      </c>
      <c r="B39" s="87">
        <f>+E6</f>
        <v>450000</v>
      </c>
      <c r="C39" s="87"/>
      <c r="D39" s="87"/>
      <c r="E39" s="87"/>
      <c r="F39" s="87">
        <f>+B39/2</f>
        <v>225000</v>
      </c>
      <c r="G39" s="87">
        <f>B39*0.3</f>
        <v>135000</v>
      </c>
      <c r="H39" s="87">
        <f>B39*0.2</f>
        <v>90000</v>
      </c>
    </row>
    <row r="40" spans="1:11" x14ac:dyDescent="0.35">
      <c r="A40" s="22" t="s">
        <v>245</v>
      </c>
      <c r="B40" s="12">
        <f t="shared" ref="B40:H40" si="1">SUM(B36:B39)</f>
        <v>2350000</v>
      </c>
      <c r="C40" s="12">
        <f t="shared" si="1"/>
        <v>250000</v>
      </c>
      <c r="D40" s="12">
        <f t="shared" si="1"/>
        <v>475000</v>
      </c>
      <c r="E40" s="12">
        <f t="shared" si="1"/>
        <v>670000</v>
      </c>
      <c r="F40" s="12">
        <f t="shared" si="1"/>
        <v>580000</v>
      </c>
      <c r="G40" s="12">
        <f t="shared" si="1"/>
        <v>285000</v>
      </c>
      <c r="H40" s="12">
        <f t="shared" si="1"/>
        <v>90000</v>
      </c>
    </row>
    <row r="42" spans="1:11" x14ac:dyDescent="0.35">
      <c r="E42" s="13"/>
      <c r="F42" s="13"/>
    </row>
    <row r="43" spans="1:11" x14ac:dyDescent="0.35">
      <c r="A43" t="s">
        <v>294</v>
      </c>
    </row>
    <row r="44" spans="1:11" x14ac:dyDescent="0.35">
      <c r="A44" s="22" t="s">
        <v>301</v>
      </c>
      <c r="B44" s="2"/>
      <c r="C44" s="8" t="s">
        <v>185</v>
      </c>
      <c r="D44" s="8" t="s">
        <v>186</v>
      </c>
      <c r="E44" s="8" t="s">
        <v>188</v>
      </c>
      <c r="F44" s="8" t="s">
        <v>189</v>
      </c>
      <c r="G44" s="66" t="s">
        <v>190</v>
      </c>
    </row>
    <row r="45" spans="1:11" x14ac:dyDescent="0.35">
      <c r="A45" s="22" t="s">
        <v>185</v>
      </c>
      <c r="B45" s="87">
        <f>+H6</f>
        <v>75000</v>
      </c>
      <c r="C45" s="87">
        <f>(+B45+B46)*0.6</f>
        <v>103500</v>
      </c>
      <c r="D45" s="87">
        <f>(+B45+B46)*0.4</f>
        <v>69000</v>
      </c>
      <c r="E45" s="87"/>
      <c r="F45" s="87"/>
      <c r="G45" s="87"/>
      <c r="J45" s="42" t="s">
        <v>414</v>
      </c>
      <c r="K45" s="152">
        <f>+F47</f>
        <v>27000</v>
      </c>
    </row>
    <row r="46" spans="1:11" x14ac:dyDescent="0.35">
      <c r="A46" s="22" t="s">
        <v>186</v>
      </c>
      <c r="B46" s="87">
        <f>+I6</f>
        <v>97500</v>
      </c>
      <c r="C46" s="87"/>
      <c r="D46" s="87">
        <f>+B47*0.6</f>
        <v>67500</v>
      </c>
      <c r="E46" s="87">
        <f>+B47*0.4</f>
        <v>45000</v>
      </c>
      <c r="F46" s="87"/>
      <c r="G46" s="87"/>
    </row>
    <row r="47" spans="1:11" x14ac:dyDescent="0.35">
      <c r="A47" s="22" t="s">
        <v>188</v>
      </c>
      <c r="B47" s="87">
        <f>+J6</f>
        <v>112500</v>
      </c>
      <c r="C47" s="87"/>
      <c r="D47" s="87"/>
      <c r="E47" s="87">
        <f>+B48*0.6</f>
        <v>40500</v>
      </c>
      <c r="F47" s="87">
        <f>+B48*0.4</f>
        <v>27000</v>
      </c>
      <c r="G47" s="87"/>
    </row>
    <row r="48" spans="1:11" x14ac:dyDescent="0.35">
      <c r="A48" s="22" t="s">
        <v>189</v>
      </c>
      <c r="B48" s="87">
        <f>+K6</f>
        <v>67500</v>
      </c>
      <c r="C48" s="87"/>
      <c r="D48" s="87"/>
      <c r="E48" s="87"/>
      <c r="F48" s="87"/>
      <c r="G48" s="87"/>
      <c r="J48" s="42" t="s">
        <v>415</v>
      </c>
      <c r="K48" s="152">
        <f>+B48</f>
        <v>67500</v>
      </c>
    </row>
    <row r="49" spans="1:7" x14ac:dyDescent="0.35">
      <c r="A49" s="22" t="s">
        <v>245</v>
      </c>
      <c r="B49" s="12">
        <f t="shared" ref="B49:G49" si="2">SUM(B45:B48)</f>
        <v>352500</v>
      </c>
      <c r="C49" s="12">
        <f t="shared" si="2"/>
        <v>103500</v>
      </c>
      <c r="D49" s="12">
        <f t="shared" si="2"/>
        <v>136500</v>
      </c>
      <c r="E49" s="12">
        <f t="shared" si="2"/>
        <v>85500</v>
      </c>
      <c r="F49" s="12">
        <f t="shared" si="2"/>
        <v>27000</v>
      </c>
      <c r="G49" s="12">
        <f t="shared" si="2"/>
        <v>0</v>
      </c>
    </row>
    <row r="51" spans="1:7" x14ac:dyDescent="0.35">
      <c r="A51" s="95" t="s">
        <v>305</v>
      </c>
      <c r="B51" s="96"/>
    </row>
    <row r="53" spans="1:7" x14ac:dyDescent="0.35">
      <c r="B53" s="117"/>
      <c r="C53" s="2" t="s">
        <v>52</v>
      </c>
      <c r="D53" s="12">
        <f>+SUM(B6:D6)</f>
        <v>1900000</v>
      </c>
    </row>
    <row r="54" spans="1:7" x14ac:dyDescent="0.35">
      <c r="C54" s="2" t="s">
        <v>139</v>
      </c>
      <c r="D54" s="12">
        <f>+SUM(H6:J6)</f>
        <v>285000</v>
      </c>
    </row>
    <row r="55" spans="1:7" x14ac:dyDescent="0.35">
      <c r="C55" s="110" t="s">
        <v>241</v>
      </c>
      <c r="D55" s="122">
        <f>D53-D54</f>
        <v>1615000</v>
      </c>
    </row>
    <row r="57" spans="1:7" x14ac:dyDescent="0.35">
      <c r="C57" s="106" t="s">
        <v>306</v>
      </c>
      <c r="D57" s="3">
        <f>+B28*3</f>
        <v>450000</v>
      </c>
    </row>
    <row r="58" spans="1:7" x14ac:dyDescent="0.35">
      <c r="C58" s="106" t="s">
        <v>307</v>
      </c>
      <c r="D58" s="12">
        <f>+B29*3</f>
        <v>660000</v>
      </c>
    </row>
    <row r="59" spans="1:7" x14ac:dyDescent="0.35">
      <c r="C59" s="106" t="s">
        <v>201</v>
      </c>
      <c r="D59" s="12">
        <f>+B9*3</f>
        <v>24000</v>
      </c>
    </row>
    <row r="60" spans="1:7" x14ac:dyDescent="0.35">
      <c r="C60" s="110" t="s">
        <v>308</v>
      </c>
      <c r="D60" s="12">
        <f>+D55-SUM(D57:D59)</f>
        <v>481000</v>
      </c>
    </row>
    <row r="61" spans="1:7" x14ac:dyDescent="0.35">
      <c r="C61" s="107"/>
      <c r="D61" s="126"/>
    </row>
    <row r="62" spans="1:7" x14ac:dyDescent="0.35">
      <c r="C62" s="106" t="s">
        <v>309</v>
      </c>
      <c r="D62" s="12">
        <f>-D60*0.35</f>
        <v>-168350</v>
      </c>
    </row>
    <row r="64" spans="1:7" x14ac:dyDescent="0.35">
      <c r="C64" s="110" t="s">
        <v>242</v>
      </c>
      <c r="D64" s="121">
        <f>+D60+D62</f>
        <v>312650</v>
      </c>
    </row>
    <row r="67" spans="1:4" x14ac:dyDescent="0.35">
      <c r="A67" s="95" t="s">
        <v>310</v>
      </c>
      <c r="B67" s="96"/>
      <c r="C67" s="96"/>
      <c r="D67" s="96"/>
    </row>
    <row r="68" spans="1:4" x14ac:dyDescent="0.35">
      <c r="A68" s="12">
        <f>+K36</f>
        <v>505000</v>
      </c>
    </row>
    <row r="70" spans="1:4" x14ac:dyDescent="0.35">
      <c r="A70" s="95" t="s">
        <v>311</v>
      </c>
      <c r="B70" s="96"/>
      <c r="C70" s="96"/>
    </row>
    <row r="72" spans="1:4" x14ac:dyDescent="0.35">
      <c r="A72" s="12">
        <f>+K45</f>
        <v>27000</v>
      </c>
    </row>
  </sheetData>
  <phoneticPr fontId="5" type="noConversion"/>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DAB11-2ED4-437E-8EF1-0A0C46AD9F48}">
  <dimension ref="A1:I100"/>
  <sheetViews>
    <sheetView zoomScale="80" zoomScaleNormal="80" workbookViewId="0">
      <selection activeCell="C1" sqref="C1"/>
    </sheetView>
  </sheetViews>
  <sheetFormatPr baseColWidth="10" defaultRowHeight="14.5" x14ac:dyDescent="0.35"/>
  <cols>
    <col min="1" max="1" width="20.54296875" customWidth="1"/>
    <col min="2" max="2" width="14.453125" bestFit="1" customWidth="1"/>
    <col min="3" max="3" width="19.1796875" customWidth="1"/>
    <col min="4" max="4" width="15.7265625" customWidth="1"/>
    <col min="5" max="5" width="18.7265625" customWidth="1"/>
    <col min="6" max="6" width="15.7265625" customWidth="1"/>
    <col min="7" max="7" width="14.54296875" customWidth="1"/>
    <col min="8" max="9" width="12.1796875" bestFit="1" customWidth="1"/>
  </cols>
  <sheetData>
    <row r="1" spans="1:6" x14ac:dyDescent="0.35">
      <c r="A1" t="s">
        <v>312</v>
      </c>
    </row>
    <row r="3" spans="1:6" x14ac:dyDescent="0.35">
      <c r="A3" s="115" t="s">
        <v>251</v>
      </c>
      <c r="B3" s="2"/>
      <c r="C3" s="115" t="s">
        <v>257</v>
      </c>
      <c r="D3" s="2"/>
    </row>
    <row r="4" spans="1:6" x14ac:dyDescent="0.35">
      <c r="A4" s="2" t="s">
        <v>252</v>
      </c>
      <c r="B4" s="87">
        <v>800000</v>
      </c>
      <c r="C4" s="2" t="s">
        <v>265</v>
      </c>
      <c r="D4" s="87">
        <v>628571</v>
      </c>
    </row>
    <row r="5" spans="1:6" x14ac:dyDescent="0.35">
      <c r="A5" s="2" t="s">
        <v>317</v>
      </c>
      <c r="B5" s="87">
        <v>600000</v>
      </c>
      <c r="C5" s="22" t="s">
        <v>258</v>
      </c>
      <c r="D5" s="87">
        <v>628571</v>
      </c>
    </row>
    <row r="6" spans="1:6" x14ac:dyDescent="0.35">
      <c r="A6" s="2" t="s">
        <v>316</v>
      </c>
      <c r="B6" s="87">
        <v>628571</v>
      </c>
      <c r="C6" s="115" t="s">
        <v>259</v>
      </c>
      <c r="D6" s="87"/>
    </row>
    <row r="7" spans="1:6" x14ac:dyDescent="0.35">
      <c r="A7" s="2" t="s">
        <v>315</v>
      </c>
      <c r="B7" s="87">
        <v>1500000</v>
      </c>
      <c r="C7" s="2" t="s">
        <v>260</v>
      </c>
      <c r="D7" s="87">
        <v>1500000</v>
      </c>
    </row>
    <row r="8" spans="1:6" x14ac:dyDescent="0.35">
      <c r="A8" s="2" t="s">
        <v>314</v>
      </c>
      <c r="B8" s="87">
        <v>-80000</v>
      </c>
      <c r="C8" s="2" t="s">
        <v>313</v>
      </c>
      <c r="D8" s="87">
        <v>1320000</v>
      </c>
    </row>
    <row r="9" spans="1:6" x14ac:dyDescent="0.35">
      <c r="A9" s="22" t="s">
        <v>256</v>
      </c>
      <c r="B9" s="87">
        <v>3448571</v>
      </c>
      <c r="C9" s="22" t="s">
        <v>262</v>
      </c>
      <c r="D9" s="87">
        <v>2820000</v>
      </c>
    </row>
    <row r="10" spans="1:6" x14ac:dyDescent="0.35">
      <c r="A10" s="2"/>
      <c r="B10" s="2"/>
      <c r="C10" s="22" t="s">
        <v>263</v>
      </c>
      <c r="D10" s="87">
        <v>3448571</v>
      </c>
    </row>
    <row r="12" spans="1:6" x14ac:dyDescent="0.35">
      <c r="A12" s="2"/>
      <c r="B12" s="8" t="s">
        <v>185</v>
      </c>
      <c r="C12" s="8" t="s">
        <v>186</v>
      </c>
      <c r="D12" s="8" t="s">
        <v>188</v>
      </c>
      <c r="E12" s="8" t="s">
        <v>189</v>
      </c>
      <c r="F12" s="8" t="s">
        <v>190</v>
      </c>
    </row>
    <row r="13" spans="1:6" x14ac:dyDescent="0.35">
      <c r="A13" s="8" t="s">
        <v>52</v>
      </c>
      <c r="B13" s="87">
        <v>1100000</v>
      </c>
      <c r="C13" s="87">
        <v>900000</v>
      </c>
      <c r="D13" s="129">
        <v>1400000</v>
      </c>
      <c r="E13" s="87">
        <v>1100000</v>
      </c>
      <c r="F13" s="87">
        <v>1300000</v>
      </c>
    </row>
    <row r="14" spans="1:6" x14ac:dyDescent="0.35">
      <c r="A14" s="8" t="s">
        <v>227</v>
      </c>
      <c r="B14" s="87">
        <f>+B13/(1+0.75)</f>
        <v>628571.42857142852</v>
      </c>
      <c r="C14" s="87">
        <f>+C13/(1+0.75)</f>
        <v>514285.71428571426</v>
      </c>
      <c r="D14" s="87">
        <f>+D13/(1+0.75)</f>
        <v>800000</v>
      </c>
      <c r="E14" s="87">
        <f>+E13/(1+0.75)</f>
        <v>628571.42857142852</v>
      </c>
      <c r="F14" s="87">
        <f>+F13/(1+0.75)</f>
        <v>742857.14285714284</v>
      </c>
    </row>
    <row r="15" spans="1:6" x14ac:dyDescent="0.35">
      <c r="A15" s="22" t="s">
        <v>318</v>
      </c>
      <c r="B15" s="87">
        <v>160000</v>
      </c>
      <c r="C15" s="87">
        <v>160000</v>
      </c>
      <c r="D15" s="87">
        <v>160000</v>
      </c>
      <c r="E15" s="87">
        <v>160000</v>
      </c>
      <c r="F15" s="87">
        <v>160000</v>
      </c>
    </row>
    <row r="16" spans="1:6" x14ac:dyDescent="0.35">
      <c r="A16" s="22" t="s">
        <v>306</v>
      </c>
      <c r="B16" s="87">
        <v>210000</v>
      </c>
      <c r="C16" s="87">
        <v>210000</v>
      </c>
      <c r="D16" s="87">
        <v>210000</v>
      </c>
      <c r="E16" s="87">
        <v>210000</v>
      </c>
      <c r="F16" s="87">
        <v>210000</v>
      </c>
    </row>
    <row r="17" spans="1:6" x14ac:dyDescent="0.35">
      <c r="A17" s="22" t="s">
        <v>201</v>
      </c>
      <c r="B17" s="129">
        <v>4000</v>
      </c>
      <c r="C17" s="129">
        <v>4000</v>
      </c>
      <c r="D17" s="129">
        <v>4000</v>
      </c>
      <c r="E17" s="129">
        <v>4000</v>
      </c>
      <c r="F17" s="129">
        <v>4000</v>
      </c>
    </row>
    <row r="19" spans="1:6" x14ac:dyDescent="0.35">
      <c r="A19" s="107" t="s">
        <v>319</v>
      </c>
    </row>
    <row r="20" spans="1:6" x14ac:dyDescent="0.35">
      <c r="A20" s="16" t="s">
        <v>320</v>
      </c>
      <c r="B20" s="130">
        <v>0.75</v>
      </c>
      <c r="C20">
        <f>1-0.75</f>
        <v>0.25</v>
      </c>
    </row>
    <row r="21" spans="1:6" x14ac:dyDescent="0.35">
      <c r="A21" s="16" t="s">
        <v>321</v>
      </c>
      <c r="B21" s="6" t="s">
        <v>322</v>
      </c>
    </row>
    <row r="22" spans="1:6" x14ac:dyDescent="0.35">
      <c r="A22" s="25" t="s">
        <v>323</v>
      </c>
    </row>
    <row r="23" spans="1:6" x14ac:dyDescent="0.35">
      <c r="A23" s="25" t="s">
        <v>324</v>
      </c>
    </row>
    <row r="24" spans="1:6" x14ac:dyDescent="0.35">
      <c r="A24" s="25" t="s">
        <v>325</v>
      </c>
    </row>
    <row r="25" spans="1:6" x14ac:dyDescent="0.35">
      <c r="A25" s="25" t="s">
        <v>326</v>
      </c>
    </row>
    <row r="26" spans="1:6" x14ac:dyDescent="0.35">
      <c r="A26" s="25" t="s">
        <v>327</v>
      </c>
    </row>
    <row r="27" spans="1:6" x14ac:dyDescent="0.35">
      <c r="A27" s="16" t="s">
        <v>328</v>
      </c>
      <c r="B27" s="130">
        <v>0.03</v>
      </c>
      <c r="C27" t="s">
        <v>329</v>
      </c>
    </row>
    <row r="28" spans="1:6" x14ac:dyDescent="0.35">
      <c r="A28" s="16" t="s">
        <v>330</v>
      </c>
      <c r="B28" s="130">
        <v>0.35</v>
      </c>
    </row>
    <row r="30" spans="1:6" x14ac:dyDescent="0.35">
      <c r="A30" t="s">
        <v>331</v>
      </c>
    </row>
    <row r="32" spans="1:6" x14ac:dyDescent="0.35">
      <c r="A32" s="1" t="s">
        <v>332</v>
      </c>
    </row>
    <row r="33" spans="1:9" x14ac:dyDescent="0.35">
      <c r="A33" s="2"/>
      <c r="B33" s="22" t="s">
        <v>185</v>
      </c>
      <c r="C33" s="22" t="s">
        <v>186</v>
      </c>
      <c r="D33" s="22" t="s">
        <v>188</v>
      </c>
      <c r="E33" s="22" t="s">
        <v>189</v>
      </c>
      <c r="F33" s="22" t="s">
        <v>190</v>
      </c>
    </row>
    <row r="34" spans="1:9" x14ac:dyDescent="0.35">
      <c r="A34" s="115" t="s">
        <v>231</v>
      </c>
      <c r="B34" s="2"/>
      <c r="C34" s="2"/>
      <c r="D34" s="2"/>
      <c r="E34" s="2"/>
      <c r="F34" s="2"/>
    </row>
    <row r="35" spans="1:9" x14ac:dyDescent="0.35">
      <c r="A35" s="22" t="s">
        <v>217</v>
      </c>
      <c r="B35" s="3">
        <f>+B4</f>
        <v>800000</v>
      </c>
      <c r="C35" s="3">
        <f>+B44</f>
        <v>510000</v>
      </c>
      <c r="D35" s="3">
        <f>+C44</f>
        <v>837000</v>
      </c>
      <c r="E35" s="3">
        <f>+D44</f>
        <v>377143.28571428591</v>
      </c>
      <c r="F35" s="3">
        <f>+E44</f>
        <v>335143.28571428591</v>
      </c>
    </row>
    <row r="36" spans="1:9" x14ac:dyDescent="0.35">
      <c r="A36" s="22" t="s">
        <v>218</v>
      </c>
      <c r="B36" s="3">
        <f>+C53</f>
        <v>440000</v>
      </c>
      <c r="C36" s="3">
        <f>+B5+D53</f>
        <v>1290000</v>
      </c>
      <c r="D36" s="3">
        <f>+E53</f>
        <v>1160000</v>
      </c>
      <c r="E36" s="3">
        <f>+F53</f>
        <v>1130000</v>
      </c>
      <c r="F36" s="3">
        <f>+G53</f>
        <v>1270000</v>
      </c>
    </row>
    <row r="37" spans="1:9" x14ac:dyDescent="0.35">
      <c r="A37" s="110" t="s">
        <v>219</v>
      </c>
      <c r="B37" s="113">
        <f>SUM(B35:B36)</f>
        <v>1240000</v>
      </c>
      <c r="C37" s="113">
        <f>SUM(C35:C36)</f>
        <v>1800000</v>
      </c>
      <c r="D37" s="113">
        <f>SUM(D35:D36)</f>
        <v>1997000</v>
      </c>
      <c r="E37" s="113">
        <f>SUM(E35:E36)</f>
        <v>1507143.2857142859</v>
      </c>
      <c r="F37" s="113">
        <f>SUM(F35:F36)</f>
        <v>1605143.2857142859</v>
      </c>
    </row>
    <row r="38" spans="1:9" x14ac:dyDescent="0.35">
      <c r="A38" s="114" t="s">
        <v>220</v>
      </c>
      <c r="B38" s="3"/>
      <c r="C38" s="3"/>
      <c r="D38" s="3"/>
      <c r="E38" s="2"/>
      <c r="F38" s="2"/>
    </row>
    <row r="39" spans="1:9" x14ac:dyDescent="0.35">
      <c r="A39" s="106" t="s">
        <v>221</v>
      </c>
      <c r="B39" s="3">
        <f>+C62</f>
        <v>359999.99999999994</v>
      </c>
      <c r="C39" s="3">
        <f>+D62</f>
        <v>560000</v>
      </c>
      <c r="D39" s="3">
        <f>+E62+D4</f>
        <v>1222856.7142857141</v>
      </c>
      <c r="E39" s="3">
        <f>+F62</f>
        <v>760000</v>
      </c>
      <c r="F39" s="3">
        <f>+G62</f>
        <v>188571.42857142855</v>
      </c>
    </row>
    <row r="40" spans="1:9" x14ac:dyDescent="0.35">
      <c r="A40" s="106" t="s">
        <v>226</v>
      </c>
      <c r="B40" s="3">
        <v>0</v>
      </c>
      <c r="C40" s="3">
        <f>+B13*$B$27</f>
        <v>33000</v>
      </c>
      <c r="D40" s="3">
        <f>+C13*$B$27</f>
        <v>27000</v>
      </c>
      <c r="E40" s="3">
        <f>+D13*$B$27</f>
        <v>42000</v>
      </c>
      <c r="F40" s="3">
        <f>+E13*$B$27</f>
        <v>33000</v>
      </c>
    </row>
    <row r="41" spans="1:9" x14ac:dyDescent="0.35">
      <c r="A41" s="106" t="s">
        <v>302</v>
      </c>
      <c r="B41" s="3">
        <f>+B16</f>
        <v>210000</v>
      </c>
      <c r="C41" s="3">
        <f>+C16</f>
        <v>210000</v>
      </c>
      <c r="D41" s="3">
        <f>+D16</f>
        <v>210000</v>
      </c>
      <c r="E41" s="3">
        <f>+E16</f>
        <v>210000</v>
      </c>
      <c r="F41" s="3">
        <f>+F16</f>
        <v>210000</v>
      </c>
    </row>
    <row r="42" spans="1:9" x14ac:dyDescent="0.35">
      <c r="A42" s="22" t="s">
        <v>303</v>
      </c>
      <c r="B42" s="3">
        <f>B15</f>
        <v>160000</v>
      </c>
      <c r="C42" s="3">
        <f>C15</f>
        <v>160000</v>
      </c>
      <c r="D42" s="3">
        <f>D15</f>
        <v>160000</v>
      </c>
      <c r="E42" s="3">
        <f>E15</f>
        <v>160000</v>
      </c>
      <c r="F42" s="3">
        <f>F15</f>
        <v>160000</v>
      </c>
    </row>
    <row r="43" spans="1:9" x14ac:dyDescent="0.35">
      <c r="A43" s="110" t="s">
        <v>222</v>
      </c>
      <c r="B43" s="113">
        <f>+SUM(B39:B42)</f>
        <v>730000</v>
      </c>
      <c r="C43" s="113">
        <f>+SUM(C39:C42)</f>
        <v>963000</v>
      </c>
      <c r="D43" s="113">
        <f>+SUM(D39:D42)</f>
        <v>1619856.7142857141</v>
      </c>
      <c r="E43" s="113">
        <f>+SUM(E39:E42)</f>
        <v>1172000</v>
      </c>
      <c r="F43" s="113">
        <f>+SUM(F39:F42)</f>
        <v>591571.42857142852</v>
      </c>
    </row>
    <row r="44" spans="1:9" x14ac:dyDescent="0.35">
      <c r="A44" s="106" t="s">
        <v>223</v>
      </c>
      <c r="B44" s="3">
        <f>+B37-B43</f>
        <v>510000</v>
      </c>
      <c r="C44" s="3">
        <f>+C37-C43</f>
        <v>837000</v>
      </c>
      <c r="D44" s="3">
        <f>+D37-D43</f>
        <v>377143.28571428591</v>
      </c>
      <c r="E44" s="124">
        <f>+E37-E43</f>
        <v>335143.28571428591</v>
      </c>
      <c r="F44" s="3">
        <f>+F37-F43</f>
        <v>1013571.8571428574</v>
      </c>
    </row>
    <row r="46" spans="1:9" x14ac:dyDescent="0.35">
      <c r="A46" s="25" t="s">
        <v>323</v>
      </c>
    </row>
    <row r="47" spans="1:9" x14ac:dyDescent="0.35">
      <c r="A47" s="22" t="s">
        <v>246</v>
      </c>
      <c r="B47" s="2"/>
      <c r="C47" s="22" t="s">
        <v>185</v>
      </c>
      <c r="D47" s="22" t="s">
        <v>186</v>
      </c>
      <c r="E47" s="22" t="s">
        <v>188</v>
      </c>
      <c r="F47" s="22" t="s">
        <v>189</v>
      </c>
      <c r="G47" s="22" t="s">
        <v>190</v>
      </c>
      <c r="H47" s="22" t="s">
        <v>191</v>
      </c>
      <c r="I47" s="22" t="s">
        <v>192</v>
      </c>
    </row>
    <row r="48" spans="1:9" x14ac:dyDescent="0.35">
      <c r="A48" s="22" t="s">
        <v>185</v>
      </c>
      <c r="B48" s="87">
        <f>+B13</f>
        <v>1100000</v>
      </c>
      <c r="C48" s="87">
        <f>+B48*0.4</f>
        <v>440000</v>
      </c>
      <c r="D48" s="87">
        <f>+B48*0.3</f>
        <v>330000</v>
      </c>
      <c r="E48" s="87">
        <f>+D48</f>
        <v>330000</v>
      </c>
      <c r="F48" s="87"/>
      <c r="G48" s="87"/>
      <c r="H48" s="87"/>
      <c r="I48" s="87"/>
    </row>
    <row r="49" spans="1:9" x14ac:dyDescent="0.35">
      <c r="A49" s="22" t="s">
        <v>186</v>
      </c>
      <c r="B49" s="87">
        <f>+C13</f>
        <v>900000</v>
      </c>
      <c r="C49" s="87"/>
      <c r="D49" s="87">
        <f>+B49*0.4</f>
        <v>360000</v>
      </c>
      <c r="E49" s="87">
        <f>+B49*0.3</f>
        <v>270000</v>
      </c>
      <c r="F49" s="87">
        <f>+E49</f>
        <v>270000</v>
      </c>
      <c r="G49" s="87"/>
      <c r="H49" s="87"/>
      <c r="I49" s="87"/>
    </row>
    <row r="50" spans="1:9" x14ac:dyDescent="0.35">
      <c r="A50" s="22" t="s">
        <v>188</v>
      </c>
      <c r="B50" s="87">
        <f>+D13</f>
        <v>1400000</v>
      </c>
      <c r="C50" s="87"/>
      <c r="D50" s="87"/>
      <c r="E50" s="87">
        <f>+B50*0.4</f>
        <v>560000</v>
      </c>
      <c r="F50" s="87">
        <f>+B50*0.3</f>
        <v>420000</v>
      </c>
      <c r="G50" s="87">
        <f>+F50</f>
        <v>420000</v>
      </c>
      <c r="H50" s="87"/>
      <c r="I50" s="87"/>
    </row>
    <row r="51" spans="1:9" x14ac:dyDescent="0.35">
      <c r="A51" s="22" t="s">
        <v>189</v>
      </c>
      <c r="B51" s="87">
        <f>+E13</f>
        <v>1100000</v>
      </c>
      <c r="C51" s="87"/>
      <c r="D51" s="87"/>
      <c r="E51" s="87"/>
      <c r="F51" s="87">
        <f>+B51*0.4</f>
        <v>440000</v>
      </c>
      <c r="G51" s="87">
        <f>+B51*0.3</f>
        <v>330000</v>
      </c>
      <c r="H51" s="87">
        <f>+G51</f>
        <v>330000</v>
      </c>
      <c r="I51" s="87"/>
    </row>
    <row r="52" spans="1:9" x14ac:dyDescent="0.35">
      <c r="A52" s="22" t="s">
        <v>190</v>
      </c>
      <c r="B52" s="87">
        <f>+F13</f>
        <v>1300000</v>
      </c>
      <c r="C52" s="87"/>
      <c r="D52" s="87"/>
      <c r="E52" s="87"/>
      <c r="F52" s="87"/>
      <c r="G52" s="87">
        <f>+B52*0.4</f>
        <v>520000</v>
      </c>
      <c r="H52" s="87">
        <f>+B52*0.3</f>
        <v>390000</v>
      </c>
      <c r="I52" s="12">
        <f>+H52</f>
        <v>390000</v>
      </c>
    </row>
    <row r="53" spans="1:9" x14ac:dyDescent="0.35">
      <c r="A53" s="22" t="s">
        <v>245</v>
      </c>
      <c r="B53" s="12">
        <f>SUM(B48:B51)</f>
        <v>4500000</v>
      </c>
      <c r="C53" s="12">
        <f>SUM(C48:C52)</f>
        <v>440000</v>
      </c>
      <c r="D53" s="12">
        <f t="shared" ref="D53:I53" si="0">SUM(D48:D52)</f>
        <v>690000</v>
      </c>
      <c r="E53" s="12">
        <f t="shared" si="0"/>
        <v>1160000</v>
      </c>
      <c r="F53" s="12">
        <f t="shared" si="0"/>
        <v>1130000</v>
      </c>
      <c r="G53" s="12">
        <f t="shared" si="0"/>
        <v>1270000</v>
      </c>
      <c r="H53" s="12">
        <f t="shared" si="0"/>
        <v>720000</v>
      </c>
      <c r="I53" s="12">
        <f t="shared" si="0"/>
        <v>390000</v>
      </c>
    </row>
    <row r="55" spans="1:9" x14ac:dyDescent="0.35">
      <c r="E55" s="13"/>
      <c r="F55" s="13"/>
    </row>
    <row r="56" spans="1:9" x14ac:dyDescent="0.35">
      <c r="A56" s="25" t="s">
        <v>324</v>
      </c>
    </row>
    <row r="57" spans="1:9" x14ac:dyDescent="0.35">
      <c r="A57" s="22" t="s">
        <v>301</v>
      </c>
      <c r="B57" s="2"/>
      <c r="C57" s="8" t="s">
        <v>185</v>
      </c>
      <c r="D57" s="8" t="s">
        <v>186</v>
      </c>
      <c r="E57" s="8" t="s">
        <v>188</v>
      </c>
      <c r="F57" s="8" t="s">
        <v>189</v>
      </c>
      <c r="G57" s="66" t="s">
        <v>190</v>
      </c>
      <c r="H57" s="66" t="s">
        <v>191</v>
      </c>
      <c r="I57" s="66" t="s">
        <v>192</v>
      </c>
    </row>
    <row r="58" spans="1:9" x14ac:dyDescent="0.35">
      <c r="A58" s="22" t="s">
        <v>186</v>
      </c>
      <c r="B58" s="87">
        <f>+C14</f>
        <v>514285.71428571426</v>
      </c>
      <c r="C58" s="87">
        <f>+B58*0.7</f>
        <v>359999.99999999994</v>
      </c>
      <c r="D58" s="87"/>
      <c r="E58" s="87">
        <f>+B58*0.3</f>
        <v>154285.71428571426</v>
      </c>
      <c r="F58" s="87"/>
      <c r="G58" s="87"/>
      <c r="H58" s="87"/>
      <c r="I58" s="87"/>
    </row>
    <row r="59" spans="1:9" x14ac:dyDescent="0.35">
      <c r="A59" s="22" t="s">
        <v>188</v>
      </c>
      <c r="B59" s="87">
        <f>+D14</f>
        <v>800000</v>
      </c>
      <c r="C59" s="87"/>
      <c r="D59" s="87">
        <f>+B59*0.7</f>
        <v>560000</v>
      </c>
      <c r="E59" s="87"/>
      <c r="F59" s="87">
        <f>+B59*0.3</f>
        <v>240000</v>
      </c>
      <c r="G59" s="87"/>
      <c r="H59" s="87"/>
      <c r="I59" s="87"/>
    </row>
    <row r="60" spans="1:9" x14ac:dyDescent="0.35">
      <c r="A60" s="22" t="s">
        <v>189</v>
      </c>
      <c r="B60" s="87">
        <f>+E14</f>
        <v>628571.42857142852</v>
      </c>
      <c r="C60" s="87"/>
      <c r="D60" s="87"/>
      <c r="E60" s="87">
        <f>+B60*0.7</f>
        <v>439999.99999999994</v>
      </c>
      <c r="F60" s="87"/>
      <c r="G60" s="87">
        <f>+B60*0.3</f>
        <v>188571.42857142855</v>
      </c>
      <c r="H60" s="87"/>
      <c r="I60" s="87"/>
    </row>
    <row r="61" spans="1:9" x14ac:dyDescent="0.35">
      <c r="A61" s="22" t="s">
        <v>190</v>
      </c>
      <c r="B61" s="87">
        <f>+F14</f>
        <v>742857.14285714284</v>
      </c>
      <c r="C61" s="87"/>
      <c r="D61" s="87"/>
      <c r="E61" s="87"/>
      <c r="F61" s="87">
        <f>+B61*0.7</f>
        <v>519999.99999999994</v>
      </c>
      <c r="G61" s="87"/>
      <c r="H61" s="87">
        <f>+B61*0.3</f>
        <v>222857.14285714284</v>
      </c>
      <c r="I61" s="87"/>
    </row>
    <row r="62" spans="1:9" x14ac:dyDescent="0.35">
      <c r="A62" s="22" t="s">
        <v>245</v>
      </c>
      <c r="B62" s="12">
        <f>SUM(B58:B60)</f>
        <v>1942857.1428571427</v>
      </c>
      <c r="C62" s="12">
        <f>SUM(C58:C60)</f>
        <v>359999.99999999994</v>
      </c>
      <c r="D62" s="12">
        <f>SUM(D58:D60)</f>
        <v>560000</v>
      </c>
      <c r="E62" s="12">
        <f>SUM(E58:E60)</f>
        <v>594285.7142857142</v>
      </c>
      <c r="F62" s="12">
        <f>SUM(F58:F61)</f>
        <v>760000</v>
      </c>
      <c r="G62" s="12">
        <f>SUM(G58:G60)</f>
        <v>188571.42857142855</v>
      </c>
      <c r="H62" s="12">
        <f>SUM(H58:H61)</f>
        <v>222857.14285714284</v>
      </c>
      <c r="I62" s="12">
        <f>SUM(I58:I60)</f>
        <v>0</v>
      </c>
    </row>
    <row r="63" spans="1:9" x14ac:dyDescent="0.35">
      <c r="F63" s="13"/>
    </row>
    <row r="64" spans="1:9" x14ac:dyDescent="0.35">
      <c r="A64" s="95" t="s">
        <v>273</v>
      </c>
      <c r="B64" s="96"/>
    </row>
    <row r="66" spans="1:4" x14ac:dyDescent="0.35">
      <c r="A66" t="s">
        <v>333</v>
      </c>
      <c r="B66" s="117"/>
      <c r="C66" s="2" t="s">
        <v>52</v>
      </c>
      <c r="D66" s="12">
        <f>+SUM(B13:E13)</f>
        <v>4500000</v>
      </c>
    </row>
    <row r="67" spans="1:4" x14ac:dyDescent="0.35">
      <c r="C67" s="2" t="s">
        <v>139</v>
      </c>
      <c r="D67" s="12">
        <f>+SUM(B14:E14)</f>
        <v>2571428.5714285714</v>
      </c>
    </row>
    <row r="68" spans="1:4" x14ac:dyDescent="0.35">
      <c r="C68" s="110" t="s">
        <v>241</v>
      </c>
      <c r="D68" s="122">
        <f>D66-D67</f>
        <v>1928571.4285714286</v>
      </c>
    </row>
    <row r="70" spans="1:4" x14ac:dyDescent="0.35">
      <c r="C70" s="22" t="s">
        <v>306</v>
      </c>
      <c r="D70" s="15">
        <f>+B41*4</f>
        <v>840000</v>
      </c>
    </row>
    <row r="71" spans="1:4" x14ac:dyDescent="0.35">
      <c r="C71" s="106" t="s">
        <v>307</v>
      </c>
      <c r="D71" s="15">
        <f>+B42*4</f>
        <v>640000</v>
      </c>
    </row>
    <row r="72" spans="1:4" x14ac:dyDescent="0.35">
      <c r="C72" s="106" t="s">
        <v>201</v>
      </c>
      <c r="D72" s="3">
        <f>+B17*4</f>
        <v>16000</v>
      </c>
    </row>
    <row r="73" spans="1:4" x14ac:dyDescent="0.35">
      <c r="C73" s="106" t="s">
        <v>226</v>
      </c>
      <c r="D73" s="3">
        <f>SUM(C40:F40)</f>
        <v>135000</v>
      </c>
    </row>
    <row r="74" spans="1:4" x14ac:dyDescent="0.35">
      <c r="C74" s="110" t="s">
        <v>334</v>
      </c>
      <c r="D74" s="131">
        <f>+D68-SUM(D70:D73)</f>
        <v>297571.42857142864</v>
      </c>
    </row>
    <row r="75" spans="1:4" x14ac:dyDescent="0.35">
      <c r="C75" s="106" t="s">
        <v>335</v>
      </c>
      <c r="D75" s="12">
        <f>-D74*0.35</f>
        <v>-104150.00000000001</v>
      </c>
    </row>
    <row r="77" spans="1:4" x14ac:dyDescent="0.35">
      <c r="C77" s="110" t="s">
        <v>242</v>
      </c>
      <c r="D77" s="121">
        <f>+SUM(D74+D75)</f>
        <v>193421.42857142864</v>
      </c>
    </row>
    <row r="80" spans="1:4" x14ac:dyDescent="0.35">
      <c r="A80" s="1" t="s">
        <v>336</v>
      </c>
    </row>
    <row r="82" spans="1:5" x14ac:dyDescent="0.35">
      <c r="A82" s="115" t="s">
        <v>251</v>
      </c>
      <c r="B82" s="8" t="s">
        <v>267</v>
      </c>
      <c r="C82" s="22" t="s">
        <v>337</v>
      </c>
    </row>
    <row r="83" spans="1:5" x14ac:dyDescent="0.35">
      <c r="A83" s="22" t="s">
        <v>252</v>
      </c>
      <c r="B83" s="87">
        <v>800000</v>
      </c>
      <c r="C83" s="137">
        <f>+E44</f>
        <v>335143.28571428591</v>
      </c>
      <c r="E83" t="s">
        <v>340</v>
      </c>
    </row>
    <row r="84" spans="1:5" x14ac:dyDescent="0.35">
      <c r="A84" s="22" t="s">
        <v>253</v>
      </c>
      <c r="B84" s="87">
        <v>600000</v>
      </c>
      <c r="C84" s="87">
        <f>+G50+G51+H51</f>
        <v>1080000</v>
      </c>
    </row>
    <row r="85" spans="1:5" x14ac:dyDescent="0.35">
      <c r="A85" s="22" t="s">
        <v>266</v>
      </c>
      <c r="B85" s="87">
        <v>628571</v>
      </c>
      <c r="C85" s="87">
        <f>+F14</f>
        <v>742857.14285714284</v>
      </c>
    </row>
    <row r="86" spans="1:5" x14ac:dyDescent="0.35">
      <c r="A86" s="22" t="s">
        <v>254</v>
      </c>
      <c r="B86" s="87">
        <v>1500000</v>
      </c>
      <c r="C86" s="87">
        <f>+B86</f>
        <v>1500000</v>
      </c>
    </row>
    <row r="87" spans="1:5" ht="43.5" x14ac:dyDescent="0.35">
      <c r="A87" s="68" t="s">
        <v>255</v>
      </c>
      <c r="B87" s="87">
        <v>-80000</v>
      </c>
      <c r="C87" s="87">
        <f>+B87-D72</f>
        <v>-96000</v>
      </c>
    </row>
    <row r="88" spans="1:5" x14ac:dyDescent="0.35">
      <c r="A88" s="22" t="s">
        <v>256</v>
      </c>
      <c r="B88" s="87">
        <v>3448571</v>
      </c>
      <c r="C88" s="137">
        <f>+SUM(C83:C87)</f>
        <v>3562000.4285714286</v>
      </c>
      <c r="D88" s="149" t="s">
        <v>41</v>
      </c>
    </row>
    <row r="89" spans="1:5" x14ac:dyDescent="0.35">
      <c r="A89" s="1"/>
      <c r="B89" s="89"/>
    </row>
    <row r="90" spans="1:5" x14ac:dyDescent="0.35">
      <c r="A90" s="115" t="s">
        <v>264</v>
      </c>
      <c r="B90" s="87"/>
      <c r="C90" s="2"/>
    </row>
    <row r="91" spans="1:5" x14ac:dyDescent="0.35">
      <c r="A91" s="22" t="s">
        <v>257</v>
      </c>
      <c r="B91" s="87"/>
      <c r="C91" s="2"/>
    </row>
    <row r="92" spans="1:5" x14ac:dyDescent="0.35">
      <c r="A92" s="22" t="s">
        <v>265</v>
      </c>
      <c r="B92" s="87">
        <v>628571</v>
      </c>
      <c r="C92" s="12">
        <f>+G60+H61</f>
        <v>411428.57142857136</v>
      </c>
    </row>
    <row r="93" spans="1:5" x14ac:dyDescent="0.35">
      <c r="A93" s="22" t="s">
        <v>338</v>
      </c>
      <c r="B93" s="87"/>
      <c r="C93" s="12">
        <f>+F40</f>
        <v>33000</v>
      </c>
    </row>
    <row r="94" spans="1:5" x14ac:dyDescent="0.35">
      <c r="A94" s="22" t="s">
        <v>339</v>
      </c>
      <c r="B94" s="87"/>
      <c r="C94" s="12">
        <f>-D75</f>
        <v>104150.00000000001</v>
      </c>
    </row>
    <row r="95" spans="1:5" x14ac:dyDescent="0.35">
      <c r="A95" s="22" t="s">
        <v>258</v>
      </c>
      <c r="B95" s="87">
        <v>628571</v>
      </c>
      <c r="C95" s="12">
        <f>+SUM(C92:C94)</f>
        <v>548578.57142857136</v>
      </c>
    </row>
    <row r="96" spans="1:5" x14ac:dyDescent="0.35">
      <c r="A96" s="22" t="s">
        <v>259</v>
      </c>
      <c r="B96" s="87"/>
      <c r="C96" s="2"/>
    </row>
    <row r="97" spans="1:4" x14ac:dyDescent="0.35">
      <c r="A97" s="22" t="s">
        <v>260</v>
      </c>
      <c r="B97" s="87">
        <v>1500000</v>
      </c>
      <c r="C97" s="12">
        <f>+B97</f>
        <v>1500000</v>
      </c>
    </row>
    <row r="98" spans="1:4" x14ac:dyDescent="0.35">
      <c r="A98" s="22" t="s">
        <v>261</v>
      </c>
      <c r="B98" s="87">
        <v>1320000</v>
      </c>
      <c r="C98" s="12">
        <f>+B98+D77</f>
        <v>1513421.4285714286</v>
      </c>
    </row>
    <row r="99" spans="1:4" x14ac:dyDescent="0.35">
      <c r="A99" s="22" t="s">
        <v>262</v>
      </c>
      <c r="B99" s="87">
        <v>2820000</v>
      </c>
      <c r="C99" s="12">
        <f>+C97+C98</f>
        <v>3013421.4285714286</v>
      </c>
    </row>
    <row r="100" spans="1:4" x14ac:dyDescent="0.35">
      <c r="A100" s="22" t="s">
        <v>263</v>
      </c>
      <c r="B100" s="87">
        <v>3448571</v>
      </c>
      <c r="C100" s="33">
        <f>+C95+C99</f>
        <v>3562000</v>
      </c>
      <c r="D100" s="132" t="s">
        <v>41</v>
      </c>
    </row>
  </sheetData>
  <phoneticPr fontId="5"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CB27-E43C-48BB-A13E-6740D139A141}">
  <dimension ref="A1:J87"/>
  <sheetViews>
    <sheetView topLeftCell="A7" workbookViewId="0">
      <selection activeCell="B26" sqref="B26"/>
    </sheetView>
  </sheetViews>
  <sheetFormatPr baseColWidth="10" defaultRowHeight="14.5" x14ac:dyDescent="0.35"/>
  <cols>
    <col min="1" max="1" width="27.453125" customWidth="1"/>
    <col min="2" max="2" width="15" customWidth="1"/>
    <col min="3" max="3" width="14.7265625" bestFit="1" customWidth="1"/>
    <col min="4" max="4" width="14.453125" bestFit="1" customWidth="1"/>
    <col min="5" max="5" width="14.26953125" bestFit="1" customWidth="1"/>
    <col min="6" max="7" width="13.54296875" bestFit="1" customWidth="1"/>
    <col min="9" max="9" width="15.54296875" customWidth="1"/>
    <col min="10" max="10" width="13.54296875" bestFit="1" customWidth="1"/>
  </cols>
  <sheetData>
    <row r="1" spans="1:7" x14ac:dyDescent="0.35">
      <c r="A1" s="1" t="s">
        <v>347</v>
      </c>
    </row>
    <row r="2" spans="1:7" x14ac:dyDescent="0.35">
      <c r="A2" s="22" t="s">
        <v>252</v>
      </c>
      <c r="B2" s="87">
        <v>1000000</v>
      </c>
    </row>
    <row r="3" spans="1:7" x14ac:dyDescent="0.35">
      <c r="A3" s="22" t="s">
        <v>348</v>
      </c>
      <c r="B3" s="87">
        <v>700000</v>
      </c>
    </row>
    <row r="5" spans="1:7" x14ac:dyDescent="0.35">
      <c r="A5" s="2"/>
      <c r="B5" s="22" t="s">
        <v>185</v>
      </c>
      <c r="C5" s="22" t="s">
        <v>186</v>
      </c>
      <c r="D5" s="22" t="s">
        <v>188</v>
      </c>
      <c r="E5" s="22" t="s">
        <v>189</v>
      </c>
    </row>
    <row r="6" spans="1:7" x14ac:dyDescent="0.35">
      <c r="A6" s="22" t="s">
        <v>52</v>
      </c>
      <c r="B6" s="87">
        <v>3400000</v>
      </c>
      <c r="C6" s="87">
        <v>2800000</v>
      </c>
      <c r="D6" s="87">
        <v>3100000</v>
      </c>
      <c r="E6" s="87">
        <v>4000000</v>
      </c>
    </row>
    <row r="7" spans="1:7" x14ac:dyDescent="0.35">
      <c r="A7" s="22" t="s">
        <v>153</v>
      </c>
      <c r="B7" s="87">
        <f>+B6*0.15</f>
        <v>510000</v>
      </c>
      <c r="C7" s="87">
        <f>+C6*0.15</f>
        <v>420000</v>
      </c>
      <c r="D7" s="87">
        <f>+D6*0.15</f>
        <v>465000</v>
      </c>
      <c r="E7" s="87">
        <f>+E6*0.15</f>
        <v>600000</v>
      </c>
    </row>
    <row r="8" spans="1:7" x14ac:dyDescent="0.35">
      <c r="A8" s="106" t="s">
        <v>302</v>
      </c>
      <c r="B8" s="87">
        <v>380000</v>
      </c>
      <c r="C8" s="87">
        <v>380000</v>
      </c>
      <c r="D8" s="87">
        <v>380000</v>
      </c>
      <c r="E8" s="87">
        <v>380000</v>
      </c>
    </row>
    <row r="9" spans="1:7" x14ac:dyDescent="0.35">
      <c r="A9" s="106" t="s">
        <v>303</v>
      </c>
      <c r="B9" s="87">
        <v>1250000</v>
      </c>
      <c r="C9" s="87">
        <v>1250000</v>
      </c>
      <c r="D9" s="87">
        <v>1250000</v>
      </c>
      <c r="E9" s="87">
        <v>1250000</v>
      </c>
    </row>
    <row r="10" spans="1:7" x14ac:dyDescent="0.35">
      <c r="A10" s="22" t="s">
        <v>201</v>
      </c>
      <c r="B10" s="87">
        <v>15000</v>
      </c>
      <c r="C10" s="87">
        <v>15000</v>
      </c>
      <c r="D10" s="87">
        <v>15000</v>
      </c>
      <c r="E10" s="87">
        <v>15000</v>
      </c>
    </row>
    <row r="12" spans="1:7" x14ac:dyDescent="0.35">
      <c r="A12" s="25" t="s">
        <v>349</v>
      </c>
    </row>
    <row r="13" spans="1:7" x14ac:dyDescent="0.35">
      <c r="A13" s="25" t="s">
        <v>350</v>
      </c>
    </row>
    <row r="14" spans="1:7" x14ac:dyDescent="0.35">
      <c r="A14" s="25" t="s">
        <v>351</v>
      </c>
    </row>
    <row r="15" spans="1:7" x14ac:dyDescent="0.35">
      <c r="A15" s="25" t="s">
        <v>353</v>
      </c>
      <c r="F15" s="2" t="s">
        <v>354</v>
      </c>
      <c r="G15" s="85">
        <v>0.36</v>
      </c>
    </row>
    <row r="16" spans="1:7" x14ac:dyDescent="0.35">
      <c r="A16" s="25"/>
      <c r="F16" s="69"/>
      <c r="G16" s="140"/>
    </row>
    <row r="17" spans="1:5" x14ac:dyDescent="0.35">
      <c r="A17" s="106" t="s">
        <v>352</v>
      </c>
      <c r="B17" s="85">
        <v>0.35</v>
      </c>
    </row>
    <row r="18" spans="1:5" x14ac:dyDescent="0.35">
      <c r="A18" s="106" t="s">
        <v>292</v>
      </c>
      <c r="B18" s="85">
        <v>0.85</v>
      </c>
    </row>
    <row r="20" spans="1:5" x14ac:dyDescent="0.35">
      <c r="A20" s="1" t="s">
        <v>355</v>
      </c>
    </row>
    <row r="22" spans="1:5" x14ac:dyDescent="0.35">
      <c r="A22" s="2"/>
      <c r="B22" s="22" t="s">
        <v>185</v>
      </c>
      <c r="C22" s="22" t="s">
        <v>186</v>
      </c>
      <c r="D22" s="22" t="s">
        <v>188</v>
      </c>
      <c r="E22" s="22" t="s">
        <v>189</v>
      </c>
    </row>
    <row r="23" spans="1:5" x14ac:dyDescent="0.35">
      <c r="A23" s="115" t="s">
        <v>231</v>
      </c>
      <c r="B23" s="2"/>
      <c r="C23" s="2"/>
      <c r="D23" s="2"/>
      <c r="E23" s="2"/>
    </row>
    <row r="24" spans="1:5" x14ac:dyDescent="0.35">
      <c r="A24" s="22" t="s">
        <v>217</v>
      </c>
      <c r="B24" s="3">
        <f>+B2</f>
        <v>1000000</v>
      </c>
      <c r="C24" s="3">
        <f>+B32</f>
        <v>18000</v>
      </c>
      <c r="D24" s="3">
        <f>+C32</f>
        <v>1422000</v>
      </c>
      <c r="E24" s="3">
        <f>+D32</f>
        <v>1884000</v>
      </c>
    </row>
    <row r="25" spans="1:5" x14ac:dyDescent="0.35">
      <c r="A25" s="22" t="s">
        <v>218</v>
      </c>
      <c r="B25" s="3">
        <f>+C41</f>
        <v>1020000</v>
      </c>
      <c r="C25" s="3">
        <f>+D41</f>
        <v>3220000</v>
      </c>
      <c r="D25" s="3">
        <f>+E41</f>
        <v>2890000</v>
      </c>
      <c r="E25" s="3">
        <f>+F41</f>
        <v>3370000</v>
      </c>
    </row>
    <row r="26" spans="1:5" x14ac:dyDescent="0.35">
      <c r="A26" s="110" t="s">
        <v>219</v>
      </c>
      <c r="B26" s="113">
        <f>SUM(B24:B25)</f>
        <v>2020000</v>
      </c>
      <c r="C26" s="113">
        <f>SUM(C24:C25)</f>
        <v>3238000</v>
      </c>
      <c r="D26" s="113">
        <f>SUM(D24:D25)</f>
        <v>4312000</v>
      </c>
      <c r="E26" s="113">
        <f>SUM(E24:E25)</f>
        <v>5254000</v>
      </c>
    </row>
    <row r="27" spans="1:5" x14ac:dyDescent="0.35">
      <c r="A27" s="114" t="s">
        <v>220</v>
      </c>
      <c r="B27" s="3"/>
      <c r="C27" s="3"/>
      <c r="D27" s="3"/>
      <c r="E27" s="2"/>
    </row>
    <row r="28" spans="1:5" x14ac:dyDescent="0.35">
      <c r="A28" s="106" t="s">
        <v>221</v>
      </c>
      <c r="B28" s="3">
        <f>+C50</f>
        <v>372000</v>
      </c>
      <c r="C28" s="3">
        <f>+D50</f>
        <v>186000</v>
      </c>
      <c r="D28" s="3">
        <f>+E50</f>
        <v>798000</v>
      </c>
      <c r="E28" s="3">
        <f>+F50</f>
        <v>279000</v>
      </c>
    </row>
    <row r="29" spans="1:5" x14ac:dyDescent="0.35">
      <c r="A29" s="106" t="s">
        <v>302</v>
      </c>
      <c r="B29" s="3">
        <f t="shared" ref="B29:E30" si="0">+B8</f>
        <v>380000</v>
      </c>
      <c r="C29" s="3">
        <f t="shared" si="0"/>
        <v>380000</v>
      </c>
      <c r="D29" s="3">
        <f t="shared" si="0"/>
        <v>380000</v>
      </c>
      <c r="E29" s="3">
        <f t="shared" si="0"/>
        <v>380000</v>
      </c>
    </row>
    <row r="30" spans="1:5" x14ac:dyDescent="0.35">
      <c r="A30" s="22" t="s">
        <v>303</v>
      </c>
      <c r="B30" s="3">
        <f t="shared" si="0"/>
        <v>1250000</v>
      </c>
      <c r="C30" s="3">
        <f t="shared" si="0"/>
        <v>1250000</v>
      </c>
      <c r="D30" s="3">
        <f t="shared" si="0"/>
        <v>1250000</v>
      </c>
      <c r="E30" s="3">
        <f t="shared" si="0"/>
        <v>1250000</v>
      </c>
    </row>
    <row r="31" spans="1:5" x14ac:dyDescent="0.35">
      <c r="A31" s="110" t="s">
        <v>222</v>
      </c>
      <c r="B31" s="113">
        <f>+SUM(B28:B30)</f>
        <v>2002000</v>
      </c>
      <c r="C31" s="113">
        <f>+SUM(C28:C30)</f>
        <v>1816000</v>
      </c>
      <c r="D31" s="113">
        <f>+SUM(D28:D30)</f>
        <v>2428000</v>
      </c>
      <c r="E31" s="113">
        <f>+SUM(E28:E30)</f>
        <v>1909000</v>
      </c>
    </row>
    <row r="32" spans="1:5" x14ac:dyDescent="0.35">
      <c r="A32" s="106" t="s">
        <v>223</v>
      </c>
      <c r="B32" s="3">
        <f>+B26-B31</f>
        <v>18000</v>
      </c>
      <c r="C32" s="3">
        <f>+C26-C31</f>
        <v>1422000</v>
      </c>
      <c r="D32" s="124">
        <f>+D26-D31</f>
        <v>1884000</v>
      </c>
      <c r="E32" s="3">
        <f>+E26-E31</f>
        <v>3345000</v>
      </c>
    </row>
    <row r="33" spans="1:10" x14ac:dyDescent="0.35">
      <c r="A33" s="107"/>
      <c r="B33" s="127"/>
      <c r="C33" s="127"/>
      <c r="D33" s="127"/>
      <c r="E33" s="127"/>
    </row>
    <row r="34" spans="1:10" x14ac:dyDescent="0.35">
      <c r="A34" s="107"/>
      <c r="B34" s="127"/>
      <c r="C34" s="127"/>
      <c r="D34" s="127"/>
      <c r="E34" s="127"/>
    </row>
    <row r="35" spans="1:10" x14ac:dyDescent="0.35">
      <c r="A35" s="25" t="s">
        <v>350</v>
      </c>
    </row>
    <row r="36" spans="1:10" x14ac:dyDescent="0.35">
      <c r="A36" s="22" t="s">
        <v>246</v>
      </c>
      <c r="B36" s="2"/>
      <c r="C36" s="22" t="s">
        <v>185</v>
      </c>
      <c r="D36" s="22" t="s">
        <v>186</v>
      </c>
      <c r="E36" s="22" t="s">
        <v>188</v>
      </c>
      <c r="F36" s="22" t="s">
        <v>189</v>
      </c>
      <c r="G36" s="22" t="s">
        <v>190</v>
      </c>
    </row>
    <row r="37" spans="1:10" x14ac:dyDescent="0.35">
      <c r="A37" s="22" t="s">
        <v>185</v>
      </c>
      <c r="B37" s="87">
        <f>+B6</f>
        <v>3400000</v>
      </c>
      <c r="C37" s="87">
        <f>+B37*0.3</f>
        <v>1020000</v>
      </c>
      <c r="D37" s="87">
        <f>+B37*0.7</f>
        <v>2380000</v>
      </c>
      <c r="E37" s="87"/>
      <c r="F37" s="87"/>
      <c r="G37" s="87"/>
      <c r="I37" s="2" t="s">
        <v>356</v>
      </c>
      <c r="J37" s="12">
        <f>+F39</f>
        <v>2170000</v>
      </c>
    </row>
    <row r="38" spans="1:10" x14ac:dyDescent="0.35">
      <c r="A38" s="22" t="s">
        <v>186</v>
      </c>
      <c r="B38" s="87">
        <f>+C6</f>
        <v>2800000</v>
      </c>
      <c r="C38" s="87"/>
      <c r="D38" s="87">
        <f>+B38*0.3</f>
        <v>840000</v>
      </c>
      <c r="E38" s="87">
        <f>+B38*0.7</f>
        <v>1959999.9999999998</v>
      </c>
      <c r="F38" s="87"/>
      <c r="G38" s="87"/>
    </row>
    <row r="39" spans="1:10" x14ac:dyDescent="0.35">
      <c r="A39" s="22" t="s">
        <v>188</v>
      </c>
      <c r="B39" s="87">
        <f>+D6</f>
        <v>3100000</v>
      </c>
      <c r="C39" s="87"/>
      <c r="D39" s="87"/>
      <c r="E39" s="87">
        <f>+B39*0.3</f>
        <v>930000</v>
      </c>
      <c r="F39" s="87">
        <f>+B39*0.7</f>
        <v>2170000</v>
      </c>
      <c r="G39" s="87"/>
    </row>
    <row r="40" spans="1:10" x14ac:dyDescent="0.35">
      <c r="A40" s="22" t="s">
        <v>189</v>
      </c>
      <c r="B40" s="87">
        <f>+E6</f>
        <v>4000000</v>
      </c>
      <c r="C40" s="87"/>
      <c r="D40" s="87"/>
      <c r="E40" s="87"/>
      <c r="F40" s="87">
        <f>+B40*0.3</f>
        <v>1200000</v>
      </c>
      <c r="G40" s="87">
        <f>+B40*0.7</f>
        <v>2800000</v>
      </c>
    </row>
    <row r="41" spans="1:10" x14ac:dyDescent="0.35">
      <c r="A41" s="22" t="s">
        <v>245</v>
      </c>
      <c r="B41" s="12">
        <f t="shared" ref="B41:G41" si="1">SUM(B37:B40)</f>
        <v>13300000</v>
      </c>
      <c r="C41" s="12">
        <f t="shared" si="1"/>
        <v>1020000</v>
      </c>
      <c r="D41" s="12">
        <f t="shared" si="1"/>
        <v>3220000</v>
      </c>
      <c r="E41" s="12">
        <f t="shared" si="1"/>
        <v>2890000</v>
      </c>
      <c r="F41" s="12">
        <f t="shared" si="1"/>
        <v>3370000</v>
      </c>
      <c r="G41" s="12">
        <f t="shared" si="1"/>
        <v>2800000</v>
      </c>
    </row>
    <row r="43" spans="1:10" x14ac:dyDescent="0.35">
      <c r="E43" s="13"/>
      <c r="F43" s="13"/>
    </row>
    <row r="44" spans="1:10" x14ac:dyDescent="0.35">
      <c r="A44" s="25" t="s">
        <v>351</v>
      </c>
    </row>
    <row r="45" spans="1:10" x14ac:dyDescent="0.35">
      <c r="A45" s="22" t="s">
        <v>301</v>
      </c>
      <c r="B45" s="2"/>
      <c r="C45" s="8" t="s">
        <v>185</v>
      </c>
      <c r="D45" s="8" t="s">
        <v>186</v>
      </c>
      <c r="E45" s="8" t="s">
        <v>188</v>
      </c>
      <c r="F45" s="8" t="s">
        <v>189</v>
      </c>
      <c r="G45" s="66" t="s">
        <v>190</v>
      </c>
    </row>
    <row r="46" spans="1:10" x14ac:dyDescent="0.35">
      <c r="A46" s="22" t="s">
        <v>185</v>
      </c>
      <c r="B46" s="87">
        <f>+B7</f>
        <v>510000</v>
      </c>
      <c r="C46" s="87">
        <f>+B46*0.4+B47*0.4</f>
        <v>372000</v>
      </c>
      <c r="D46" s="87"/>
      <c r="E46" s="87">
        <f>+B46*0.6+B47*0.6</f>
        <v>558000</v>
      </c>
      <c r="F46" s="87"/>
      <c r="G46" s="87"/>
    </row>
    <row r="47" spans="1:10" x14ac:dyDescent="0.35">
      <c r="A47" s="22" t="s">
        <v>186</v>
      </c>
      <c r="B47" s="87">
        <f>+C7</f>
        <v>420000</v>
      </c>
      <c r="C47" s="87"/>
      <c r="D47" s="87">
        <f>+B48*0.4</f>
        <v>186000</v>
      </c>
      <c r="E47" s="87"/>
      <c r="F47" s="87">
        <f>+B48*0.6</f>
        <v>279000</v>
      </c>
      <c r="G47" s="87"/>
    </row>
    <row r="48" spans="1:10" x14ac:dyDescent="0.35">
      <c r="A48" s="22" t="s">
        <v>188</v>
      </c>
      <c r="B48" s="87">
        <f>+D7</f>
        <v>465000</v>
      </c>
      <c r="C48" s="87"/>
      <c r="D48" s="87"/>
      <c r="E48" s="87">
        <f>+B49*0.4</f>
        <v>240000</v>
      </c>
      <c r="F48" s="87"/>
      <c r="G48" s="87">
        <f>+B49*0.6</f>
        <v>360000</v>
      </c>
      <c r="I48" s="2" t="s">
        <v>357</v>
      </c>
      <c r="J48" s="12">
        <f>+B49</f>
        <v>600000</v>
      </c>
    </row>
    <row r="49" spans="1:10" x14ac:dyDescent="0.35">
      <c r="A49" s="22" t="s">
        <v>189</v>
      </c>
      <c r="B49" s="87">
        <f>+E7</f>
        <v>600000</v>
      </c>
      <c r="C49" s="87"/>
      <c r="D49" s="87"/>
      <c r="E49" s="87"/>
      <c r="F49" s="87"/>
      <c r="G49" s="87"/>
    </row>
    <row r="50" spans="1:10" x14ac:dyDescent="0.35">
      <c r="A50" s="22" t="s">
        <v>245</v>
      </c>
      <c r="B50" s="12">
        <f t="shared" ref="B50:G50" si="2">SUM(B46:B49)</f>
        <v>1995000</v>
      </c>
      <c r="C50" s="12">
        <f t="shared" si="2"/>
        <v>372000</v>
      </c>
      <c r="D50" s="12">
        <f t="shared" si="2"/>
        <v>186000</v>
      </c>
      <c r="E50" s="12">
        <f t="shared" si="2"/>
        <v>798000</v>
      </c>
      <c r="F50" s="12">
        <f t="shared" si="2"/>
        <v>279000</v>
      </c>
      <c r="G50" s="12">
        <f t="shared" si="2"/>
        <v>360000</v>
      </c>
      <c r="I50" s="2" t="s">
        <v>358</v>
      </c>
      <c r="J50" s="12">
        <f>+F47+G48</f>
        <v>639000</v>
      </c>
    </row>
    <row r="53" spans="1:10" x14ac:dyDescent="0.35">
      <c r="A53" s="95" t="s">
        <v>273</v>
      </c>
      <c r="B53" s="96"/>
    </row>
    <row r="55" spans="1:10" x14ac:dyDescent="0.35">
      <c r="A55" t="s">
        <v>359</v>
      </c>
      <c r="B55" s="117"/>
      <c r="C55" s="2" t="s">
        <v>52</v>
      </c>
      <c r="D55" s="12">
        <f>+SUM(B6:D6)</f>
        <v>9300000</v>
      </c>
    </row>
    <row r="56" spans="1:10" x14ac:dyDescent="0.35">
      <c r="C56" s="2" t="s">
        <v>139</v>
      </c>
      <c r="D56" s="12">
        <f>+SUM(B7:D7)</f>
        <v>1395000</v>
      </c>
    </row>
    <row r="57" spans="1:10" x14ac:dyDescent="0.35">
      <c r="C57" s="110" t="s">
        <v>241</v>
      </c>
      <c r="D57" s="122">
        <f>D55-D56</f>
        <v>7905000</v>
      </c>
    </row>
    <row r="59" spans="1:10" x14ac:dyDescent="0.35">
      <c r="C59" s="22" t="s">
        <v>306</v>
      </c>
      <c r="D59" s="15">
        <f>B29*3</f>
        <v>1140000</v>
      </c>
    </row>
    <row r="60" spans="1:10" x14ac:dyDescent="0.35">
      <c r="C60" s="106" t="s">
        <v>307</v>
      </c>
      <c r="D60" s="15">
        <f>B30*3</f>
        <v>3750000</v>
      </c>
    </row>
    <row r="61" spans="1:10" x14ac:dyDescent="0.35">
      <c r="C61" s="106" t="s">
        <v>201</v>
      </c>
      <c r="D61" s="3">
        <f>+B10*3</f>
        <v>45000</v>
      </c>
    </row>
    <row r="62" spans="1:10" x14ac:dyDescent="0.35">
      <c r="C62" s="110" t="s">
        <v>334</v>
      </c>
      <c r="D62" s="131">
        <f>+D57-SUM(D59:D61)</f>
        <v>2970000</v>
      </c>
    </row>
    <row r="63" spans="1:10" x14ac:dyDescent="0.35">
      <c r="C63" s="106" t="s">
        <v>335</v>
      </c>
      <c r="D63" s="12">
        <f>-D62*0.35</f>
        <v>-1039499.9999999999</v>
      </c>
    </row>
    <row r="65" spans="1:4" x14ac:dyDescent="0.35">
      <c r="C65" s="110" t="s">
        <v>242</v>
      </c>
      <c r="D65" s="121">
        <f>+SUM(D62+D63)</f>
        <v>1930500</v>
      </c>
    </row>
    <row r="68" spans="1:4" x14ac:dyDescent="0.35">
      <c r="A68" s="95" t="s">
        <v>360</v>
      </c>
      <c r="B68" s="96"/>
    </row>
    <row r="70" spans="1:4" x14ac:dyDescent="0.35">
      <c r="A70" s="115" t="s">
        <v>251</v>
      </c>
      <c r="B70" s="141">
        <v>45382</v>
      </c>
    </row>
    <row r="71" spans="1:4" x14ac:dyDescent="0.35">
      <c r="A71" s="22" t="s">
        <v>252</v>
      </c>
      <c r="B71" s="87">
        <f>+D32</f>
        <v>1884000</v>
      </c>
    </row>
    <row r="72" spans="1:4" x14ac:dyDescent="0.35">
      <c r="A72" s="22" t="s">
        <v>253</v>
      </c>
      <c r="B72" s="87">
        <f>+J37</f>
        <v>2170000</v>
      </c>
    </row>
    <row r="73" spans="1:4" x14ac:dyDescent="0.35">
      <c r="A73" s="22" t="s">
        <v>266</v>
      </c>
      <c r="B73" s="87">
        <f>+J48</f>
        <v>600000</v>
      </c>
    </row>
    <row r="74" spans="1:4" x14ac:dyDescent="0.35">
      <c r="A74" s="22" t="s">
        <v>254</v>
      </c>
      <c r="B74" s="87">
        <f>+B3</f>
        <v>700000</v>
      </c>
    </row>
    <row r="75" spans="1:4" x14ac:dyDescent="0.35">
      <c r="A75" s="22" t="s">
        <v>255</v>
      </c>
      <c r="B75" s="87">
        <f>-D61</f>
        <v>-45000</v>
      </c>
    </row>
    <row r="76" spans="1:4" x14ac:dyDescent="0.35">
      <c r="A76" s="22" t="s">
        <v>256</v>
      </c>
      <c r="B76" s="137">
        <f>SUM(B71:B75)</f>
        <v>5309000</v>
      </c>
    </row>
    <row r="77" spans="1:4" x14ac:dyDescent="0.35">
      <c r="A77" s="1"/>
      <c r="B77" s="89"/>
    </row>
    <row r="78" spans="1:4" x14ac:dyDescent="0.35">
      <c r="A78" s="115" t="s">
        <v>264</v>
      </c>
      <c r="B78" s="87"/>
    </row>
    <row r="79" spans="1:4" x14ac:dyDescent="0.35">
      <c r="A79" s="22" t="s">
        <v>257</v>
      </c>
      <c r="B79" s="87"/>
    </row>
    <row r="80" spans="1:4" x14ac:dyDescent="0.35">
      <c r="A80" s="22" t="s">
        <v>265</v>
      </c>
      <c r="B80" s="87">
        <f>+J50</f>
        <v>639000</v>
      </c>
    </row>
    <row r="81" spans="1:2" x14ac:dyDescent="0.35">
      <c r="A81" s="22" t="s">
        <v>339</v>
      </c>
      <c r="B81" s="87">
        <f>-D63</f>
        <v>1039499.9999999999</v>
      </c>
    </row>
    <row r="82" spans="1:2" x14ac:dyDescent="0.35">
      <c r="A82" s="22" t="s">
        <v>258</v>
      </c>
      <c r="B82" s="87">
        <f>+SUM(B80:B81)</f>
        <v>1678500</v>
      </c>
    </row>
    <row r="83" spans="1:2" x14ac:dyDescent="0.35">
      <c r="A83" s="22" t="s">
        <v>259</v>
      </c>
      <c r="B83" s="87"/>
    </row>
    <row r="84" spans="1:2" x14ac:dyDescent="0.35">
      <c r="A84" s="22" t="s">
        <v>260</v>
      </c>
      <c r="B84" s="87">
        <f>+B2+B3</f>
        <v>1700000</v>
      </c>
    </row>
    <row r="85" spans="1:2" x14ac:dyDescent="0.35">
      <c r="A85" s="22" t="s">
        <v>261</v>
      </c>
      <c r="B85" s="87">
        <f>+D65</f>
        <v>1930500</v>
      </c>
    </row>
    <row r="86" spans="1:2" x14ac:dyDescent="0.35">
      <c r="A86" s="22" t="s">
        <v>262</v>
      </c>
      <c r="B86" s="87">
        <f>+B84+B85</f>
        <v>3630500</v>
      </c>
    </row>
    <row r="87" spans="1:2" x14ac:dyDescent="0.35">
      <c r="A87" s="22" t="s">
        <v>263</v>
      </c>
      <c r="B87" s="137">
        <f>B82+B86</f>
        <v>5309000</v>
      </c>
    </row>
  </sheetData>
  <phoneticPr fontId="5"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7F36-78B1-4918-A531-8612C0D15901}">
  <dimension ref="A1:M77"/>
  <sheetViews>
    <sheetView zoomScale="80" zoomScaleNormal="80" workbookViewId="0"/>
  </sheetViews>
  <sheetFormatPr baseColWidth="10" defaultRowHeight="14.5" x14ac:dyDescent="0.35"/>
  <cols>
    <col min="1" max="1" width="22.1796875" customWidth="1"/>
    <col min="2" max="2" width="17" customWidth="1"/>
    <col min="3" max="3" width="17.26953125" customWidth="1"/>
    <col min="4" max="4" width="18.1796875" customWidth="1"/>
    <col min="7" max="7" width="22.453125" customWidth="1"/>
    <col min="8" max="9" width="11.1796875" bestFit="1" customWidth="1"/>
  </cols>
  <sheetData>
    <row r="1" spans="1:13" x14ac:dyDescent="0.35">
      <c r="A1" s="2"/>
      <c r="B1" s="157" t="s">
        <v>185</v>
      </c>
      <c r="C1" s="157" t="s">
        <v>186</v>
      </c>
      <c r="D1" s="157" t="s">
        <v>188</v>
      </c>
      <c r="G1" s="160"/>
      <c r="H1" s="14" t="s">
        <v>371</v>
      </c>
      <c r="I1" s="14" t="s">
        <v>372</v>
      </c>
    </row>
    <row r="2" spans="1:13" x14ac:dyDescent="0.35">
      <c r="A2" s="8" t="s">
        <v>36</v>
      </c>
      <c r="B2" s="6">
        <v>30000</v>
      </c>
      <c r="C2" s="6">
        <v>40000</v>
      </c>
      <c r="D2" s="6">
        <v>60000</v>
      </c>
      <c r="E2" s="6" t="s">
        <v>121</v>
      </c>
      <c r="G2" s="14" t="s">
        <v>373</v>
      </c>
      <c r="H2" s="160">
        <v>0.5</v>
      </c>
      <c r="I2" s="160">
        <v>1</v>
      </c>
    </row>
    <row r="3" spans="1:13" x14ac:dyDescent="0.35">
      <c r="A3" s="8" t="s">
        <v>364</v>
      </c>
      <c r="B3" s="6">
        <f>+B2*0.5</f>
        <v>15000</v>
      </c>
      <c r="C3" s="6">
        <f>+C2*0.5</f>
        <v>20000</v>
      </c>
      <c r="D3" s="6">
        <f>+D2*0.5</f>
        <v>30000</v>
      </c>
      <c r="E3" s="6" t="s">
        <v>121</v>
      </c>
      <c r="G3" s="14" t="s">
        <v>374</v>
      </c>
      <c r="H3" s="5">
        <v>6</v>
      </c>
      <c r="I3" s="5">
        <v>5</v>
      </c>
    </row>
    <row r="4" spans="1:13" x14ac:dyDescent="0.35">
      <c r="A4" s="8" t="s">
        <v>365</v>
      </c>
      <c r="B4" s="6">
        <v>14000</v>
      </c>
      <c r="C4" s="6">
        <v>15000</v>
      </c>
      <c r="D4" s="6">
        <v>20000</v>
      </c>
      <c r="E4" s="6" t="s">
        <v>121</v>
      </c>
      <c r="G4" s="14" t="s">
        <v>378</v>
      </c>
      <c r="H4" s="5">
        <f>70000*0.9</f>
        <v>63000</v>
      </c>
      <c r="I4" s="5">
        <f>50000*(1-6%)</f>
        <v>47000</v>
      </c>
    </row>
    <row r="5" spans="1:13" x14ac:dyDescent="0.35">
      <c r="A5" s="8" t="s">
        <v>408</v>
      </c>
      <c r="B5" s="6">
        <f>+B2*0.6</f>
        <v>18000</v>
      </c>
      <c r="C5" s="6">
        <f>+C2*0.6</f>
        <v>24000</v>
      </c>
      <c r="D5" s="6">
        <f>+D2*0.6</f>
        <v>36000</v>
      </c>
      <c r="E5" s="6" t="s">
        <v>121</v>
      </c>
      <c r="G5" s="14" t="s">
        <v>379</v>
      </c>
      <c r="H5" s="5">
        <f>70000*0.1</f>
        <v>7000</v>
      </c>
      <c r="I5" s="5">
        <f>50000*0.06</f>
        <v>3000</v>
      </c>
    </row>
    <row r="6" spans="1:13" x14ac:dyDescent="0.35">
      <c r="A6" s="8" t="s">
        <v>423</v>
      </c>
      <c r="B6" s="6">
        <f>+B2*0.4</f>
        <v>12000</v>
      </c>
      <c r="C6" s="6">
        <f>+C2*0.4</f>
        <v>16000</v>
      </c>
      <c r="D6" s="6">
        <f>+D2*0.4</f>
        <v>24000</v>
      </c>
      <c r="E6" s="6" t="s">
        <v>121</v>
      </c>
      <c r="G6" s="120"/>
      <c r="H6" s="142"/>
      <c r="I6" s="142"/>
    </row>
    <row r="8" spans="1:13" x14ac:dyDescent="0.35">
      <c r="A8" s="2"/>
      <c r="B8" s="8" t="s">
        <v>363</v>
      </c>
      <c r="G8" s="2"/>
      <c r="H8" s="22" t="s">
        <v>376</v>
      </c>
      <c r="K8" s="2" t="s">
        <v>380</v>
      </c>
      <c r="L8" s="2">
        <v>250</v>
      </c>
      <c r="M8" s="2" t="s">
        <v>383</v>
      </c>
    </row>
    <row r="9" spans="1:13" x14ac:dyDescent="0.35">
      <c r="A9" s="8" t="s">
        <v>362</v>
      </c>
      <c r="B9" s="87">
        <v>70</v>
      </c>
      <c r="G9" s="22" t="s">
        <v>375</v>
      </c>
      <c r="H9" s="2">
        <f>50000*0.9</f>
        <v>45000</v>
      </c>
      <c r="I9" s="161" t="s">
        <v>377</v>
      </c>
      <c r="K9" s="2" t="s">
        <v>381</v>
      </c>
      <c r="L9" s="2">
        <v>100</v>
      </c>
      <c r="M9" s="2" t="s">
        <v>383</v>
      </c>
    </row>
    <row r="10" spans="1:13" x14ac:dyDescent="0.35">
      <c r="A10" s="16" t="s">
        <v>361</v>
      </c>
      <c r="B10" s="87">
        <f>+B9*(1+4%)</f>
        <v>72.8</v>
      </c>
      <c r="G10" s="106" t="s">
        <v>385</v>
      </c>
      <c r="H10" s="2">
        <f>50000*0.1</f>
        <v>5000</v>
      </c>
      <c r="K10" s="2" t="s">
        <v>382</v>
      </c>
      <c r="L10" s="2">
        <v>150</v>
      </c>
      <c r="M10" s="2" t="s">
        <v>383</v>
      </c>
    </row>
    <row r="11" spans="1:13" x14ac:dyDescent="0.35">
      <c r="G11" s="22" t="s">
        <v>306</v>
      </c>
      <c r="H11" s="2">
        <f>150000*(1-2%)</f>
        <v>147000</v>
      </c>
    </row>
    <row r="12" spans="1:13" x14ac:dyDescent="0.35">
      <c r="A12" s="22"/>
      <c r="B12" s="22" t="s">
        <v>366</v>
      </c>
      <c r="C12" s="22" t="s">
        <v>367</v>
      </c>
      <c r="G12" s="22" t="s">
        <v>386</v>
      </c>
      <c r="H12" s="2">
        <f>150000-H11</f>
        <v>3000</v>
      </c>
    </row>
    <row r="13" spans="1:13" x14ac:dyDescent="0.35">
      <c r="A13" s="22" t="s">
        <v>368</v>
      </c>
      <c r="B13" s="2">
        <v>2.5</v>
      </c>
      <c r="C13" s="2">
        <v>4</v>
      </c>
      <c r="G13" s="22" t="s">
        <v>303</v>
      </c>
      <c r="H13" s="2">
        <f>100000*0.95</f>
        <v>95000</v>
      </c>
    </row>
    <row r="14" spans="1:13" x14ac:dyDescent="0.35">
      <c r="A14" s="22" t="s">
        <v>369</v>
      </c>
      <c r="B14" s="2">
        <v>50000</v>
      </c>
      <c r="C14" s="2">
        <v>60000</v>
      </c>
      <c r="G14" s="22" t="s">
        <v>384</v>
      </c>
      <c r="H14" s="2">
        <f>100000-H13</f>
        <v>5000</v>
      </c>
    </row>
    <row r="15" spans="1:13" x14ac:dyDescent="0.35">
      <c r="A15" s="22" t="s">
        <v>370</v>
      </c>
      <c r="B15" s="2">
        <f>+B14/2</f>
        <v>25000</v>
      </c>
      <c r="C15" s="2">
        <f>+C14/2</f>
        <v>30000</v>
      </c>
    </row>
    <row r="16" spans="1:13" x14ac:dyDescent="0.35">
      <c r="A16" s="22" t="s">
        <v>240</v>
      </c>
      <c r="B16" s="100">
        <v>2.5</v>
      </c>
      <c r="C16" s="86">
        <v>6</v>
      </c>
    </row>
    <row r="18" spans="1:4" x14ac:dyDescent="0.35">
      <c r="A18" s="106" t="s">
        <v>335</v>
      </c>
      <c r="B18" s="85">
        <v>0.35</v>
      </c>
    </row>
    <row r="19" spans="1:4" x14ac:dyDescent="0.35">
      <c r="A19" s="107" t="s">
        <v>387</v>
      </c>
    </row>
    <row r="20" spans="1:4" x14ac:dyDescent="0.35">
      <c r="A20" s="107" t="s">
        <v>388</v>
      </c>
    </row>
    <row r="21" spans="1:4" x14ac:dyDescent="0.35">
      <c r="A21" s="107" t="s">
        <v>389</v>
      </c>
    </row>
    <row r="22" spans="1:4" x14ac:dyDescent="0.35">
      <c r="A22" s="107" t="s">
        <v>390</v>
      </c>
    </row>
    <row r="24" spans="1:4" x14ac:dyDescent="0.35">
      <c r="A24" s="1" t="s">
        <v>250</v>
      </c>
    </row>
    <row r="25" spans="1:4" x14ac:dyDescent="0.35">
      <c r="A25" s="115" t="s">
        <v>251</v>
      </c>
      <c r="B25" s="2"/>
      <c r="C25" s="115" t="s">
        <v>257</v>
      </c>
      <c r="D25" s="2"/>
    </row>
    <row r="26" spans="1:4" x14ac:dyDescent="0.35">
      <c r="A26" s="22" t="s">
        <v>391</v>
      </c>
      <c r="B26" s="87">
        <f>+SUM(B27:B31)</f>
        <v>2562212</v>
      </c>
      <c r="C26" s="22" t="s">
        <v>393</v>
      </c>
      <c r="D26" s="2">
        <f>+SUM(D27:D30)</f>
        <v>1100000</v>
      </c>
    </row>
    <row r="27" spans="1:4" x14ac:dyDescent="0.35">
      <c r="A27" s="2" t="s">
        <v>252</v>
      </c>
      <c r="B27" s="87">
        <v>1000000</v>
      </c>
      <c r="C27" s="2" t="s">
        <v>265</v>
      </c>
      <c r="D27" s="2">
        <v>450000</v>
      </c>
    </row>
    <row r="28" spans="1:4" x14ac:dyDescent="0.35">
      <c r="A28" s="2" t="s">
        <v>396</v>
      </c>
      <c r="B28" s="87">
        <v>500000</v>
      </c>
      <c r="C28" s="2" t="s">
        <v>402</v>
      </c>
      <c r="D28" s="2">
        <v>500000</v>
      </c>
    </row>
    <row r="29" spans="1:4" x14ac:dyDescent="0.35">
      <c r="A29" s="2" t="s">
        <v>397</v>
      </c>
      <c r="B29" s="87">
        <v>485000</v>
      </c>
      <c r="C29" s="2" t="s">
        <v>339</v>
      </c>
      <c r="D29" s="2">
        <v>150000</v>
      </c>
    </row>
    <row r="30" spans="1:4" x14ac:dyDescent="0.35">
      <c r="A30" s="2" t="s">
        <v>398</v>
      </c>
      <c r="B30" s="87">
        <v>577212</v>
      </c>
      <c r="C30" s="2" t="s">
        <v>399</v>
      </c>
      <c r="D30" s="2">
        <v>0</v>
      </c>
    </row>
    <row r="31" spans="1:4" x14ac:dyDescent="0.35">
      <c r="A31" s="2" t="s">
        <v>399</v>
      </c>
      <c r="B31" s="87">
        <v>0</v>
      </c>
      <c r="C31" s="22" t="s">
        <v>394</v>
      </c>
      <c r="D31" s="2">
        <f>+SUM(D32:D33)</f>
        <v>0</v>
      </c>
    </row>
    <row r="32" spans="1:4" x14ac:dyDescent="0.35">
      <c r="A32" s="22" t="s">
        <v>392</v>
      </c>
      <c r="B32" s="87">
        <f>+SUM(B33:B35)</f>
        <v>2300000</v>
      </c>
      <c r="C32" s="2" t="s">
        <v>403</v>
      </c>
      <c r="D32" s="2">
        <v>0</v>
      </c>
    </row>
    <row r="33" spans="1:5" ht="29" x14ac:dyDescent="0.35">
      <c r="A33" s="67" t="s">
        <v>400</v>
      </c>
      <c r="B33" s="87">
        <v>3000000</v>
      </c>
      <c r="C33" s="2" t="s">
        <v>399</v>
      </c>
      <c r="D33" s="2">
        <v>0</v>
      </c>
    </row>
    <row r="34" spans="1:5" x14ac:dyDescent="0.35">
      <c r="A34" s="2" t="s">
        <v>401</v>
      </c>
      <c r="B34" s="87">
        <v>-700000</v>
      </c>
      <c r="C34" s="22" t="s">
        <v>258</v>
      </c>
      <c r="D34" s="2">
        <f>+D31+D26</f>
        <v>1100000</v>
      </c>
    </row>
    <row r="35" spans="1:5" x14ac:dyDescent="0.35">
      <c r="A35" s="2" t="s">
        <v>399</v>
      </c>
      <c r="B35" s="87">
        <v>0</v>
      </c>
      <c r="C35" s="22" t="s">
        <v>259</v>
      </c>
      <c r="D35" s="2"/>
    </row>
    <row r="36" spans="1:5" x14ac:dyDescent="0.35">
      <c r="A36" s="22" t="s">
        <v>256</v>
      </c>
      <c r="B36" s="2">
        <f>+B26+B32</f>
        <v>4862212</v>
      </c>
      <c r="C36" s="2" t="s">
        <v>404</v>
      </c>
      <c r="D36" s="2">
        <v>2500000</v>
      </c>
    </row>
    <row r="37" spans="1:5" x14ac:dyDescent="0.35">
      <c r="C37" s="2" t="s">
        <v>405</v>
      </c>
      <c r="D37" s="2">
        <v>1262212</v>
      </c>
    </row>
    <row r="38" spans="1:5" x14ac:dyDescent="0.35">
      <c r="C38" s="68" t="s">
        <v>262</v>
      </c>
      <c r="D38" s="2">
        <f>+D36+D37</f>
        <v>3762212</v>
      </c>
    </row>
    <row r="39" spans="1:5" x14ac:dyDescent="0.35">
      <c r="C39" s="22" t="s">
        <v>395</v>
      </c>
      <c r="D39" s="2">
        <f>+D38+D34</f>
        <v>4862212</v>
      </c>
    </row>
    <row r="42" spans="1:5" x14ac:dyDescent="0.35">
      <c r="A42" s="2"/>
      <c r="B42" s="8" t="s">
        <v>185</v>
      </c>
      <c r="C42" s="8" t="s">
        <v>186</v>
      </c>
      <c r="D42" s="8" t="s">
        <v>188</v>
      </c>
    </row>
    <row r="43" spans="1:5" x14ac:dyDescent="0.35">
      <c r="A43" s="8" t="s">
        <v>36</v>
      </c>
      <c r="B43" s="6">
        <v>30000</v>
      </c>
      <c r="C43" s="6">
        <v>40000</v>
      </c>
      <c r="D43" s="6">
        <v>60000</v>
      </c>
      <c r="E43" t="s">
        <v>121</v>
      </c>
    </row>
    <row r="44" spans="1:5" x14ac:dyDescent="0.35">
      <c r="A44" s="8" t="s">
        <v>406</v>
      </c>
      <c r="B44" s="6">
        <v>18000</v>
      </c>
      <c r="C44" s="6">
        <v>24000</v>
      </c>
      <c r="D44" s="6">
        <v>36000</v>
      </c>
      <c r="E44" t="s">
        <v>121</v>
      </c>
    </row>
    <row r="45" spans="1:5" x14ac:dyDescent="0.35">
      <c r="A45" s="8" t="s">
        <v>407</v>
      </c>
      <c r="B45" s="6">
        <v>12000</v>
      </c>
      <c r="C45" s="6">
        <v>16000</v>
      </c>
      <c r="D45" s="6">
        <v>24000</v>
      </c>
      <c r="E45" t="s">
        <v>121</v>
      </c>
    </row>
    <row r="46" spans="1:5" x14ac:dyDescent="0.35">
      <c r="A46" s="8" t="s">
        <v>408</v>
      </c>
      <c r="B46" s="15">
        <f>+B44*$B$9</f>
        <v>1260000</v>
      </c>
      <c r="C46" s="15">
        <f>+C44*$B$9</f>
        <v>1680000</v>
      </c>
      <c r="D46" s="15">
        <f>+D44*$B$9</f>
        <v>2520000</v>
      </c>
    </row>
    <row r="47" spans="1:5" x14ac:dyDescent="0.35">
      <c r="A47" s="8" t="s">
        <v>407</v>
      </c>
      <c r="B47" s="15">
        <f>+B45*$B$10</f>
        <v>873600</v>
      </c>
      <c r="C47" s="15">
        <f>+C45*$B$10</f>
        <v>1164800</v>
      </c>
      <c r="D47" s="15">
        <f>+D45*$B$10</f>
        <v>1747200</v>
      </c>
    </row>
    <row r="48" spans="1:5" x14ac:dyDescent="0.35">
      <c r="A48" s="8" t="s">
        <v>409</v>
      </c>
      <c r="B48" s="15">
        <f>+B46+B47</f>
        <v>2133600</v>
      </c>
      <c r="C48" s="15">
        <f>+C46+C47</f>
        <v>2844800</v>
      </c>
      <c r="D48" s="15">
        <f>+D46+D47</f>
        <v>4267200</v>
      </c>
    </row>
    <row r="49" spans="1:7" x14ac:dyDescent="0.35">
      <c r="A49" s="8" t="s">
        <v>139</v>
      </c>
      <c r="B49" s="87">
        <f>+B43*$B$13*$B$16+B43*$C$13*$C$16</f>
        <v>907500</v>
      </c>
      <c r="C49" s="87">
        <f>+C43*$B$13*$B$16+C43*$C$13*$C$16</f>
        <v>1210000</v>
      </c>
      <c r="D49" s="87">
        <f>+D43*$B$13*$B$16+D43*$C$13*$C$16</f>
        <v>1815000</v>
      </c>
    </row>
    <row r="51" spans="1:7" x14ac:dyDescent="0.35">
      <c r="A51" s="187" t="s">
        <v>127</v>
      </c>
      <c r="B51" s="187"/>
    </row>
    <row r="52" spans="1:7" x14ac:dyDescent="0.35">
      <c r="A52" s="2"/>
      <c r="B52" s="8" t="s">
        <v>185</v>
      </c>
      <c r="C52" s="8" t="s">
        <v>186</v>
      </c>
      <c r="D52" s="8" t="s">
        <v>188</v>
      </c>
    </row>
    <row r="53" spans="1:7" x14ac:dyDescent="0.35">
      <c r="A53" s="144" t="s">
        <v>409</v>
      </c>
      <c r="B53" s="146">
        <f>+B48</f>
        <v>2133600</v>
      </c>
      <c r="C53" s="146">
        <f>+C48</f>
        <v>2844800</v>
      </c>
      <c r="D53" s="146">
        <f>+D48</f>
        <v>4267200</v>
      </c>
    </row>
    <row r="55" spans="1:7" x14ac:dyDescent="0.35">
      <c r="A55" s="186" t="s">
        <v>129</v>
      </c>
      <c r="B55" s="186"/>
    </row>
    <row r="56" spans="1:7" s="128" customFormat="1" x14ac:dyDescent="0.35">
      <c r="A56" s="143"/>
      <c r="B56" s="8" t="s">
        <v>185</v>
      </c>
      <c r="C56" s="8" t="s">
        <v>186</v>
      </c>
      <c r="D56" s="8" t="s">
        <v>188</v>
      </c>
    </row>
    <row r="57" spans="1:7" x14ac:dyDescent="0.35">
      <c r="A57" s="8" t="s">
        <v>37</v>
      </c>
      <c r="B57" s="6">
        <f>+B43</f>
        <v>30000</v>
      </c>
      <c r="C57" s="6">
        <f>+C43</f>
        <v>40000</v>
      </c>
      <c r="D57" s="6">
        <f>+D43</f>
        <v>60000</v>
      </c>
    </row>
    <row r="58" spans="1:7" x14ac:dyDescent="0.35">
      <c r="A58" s="8" t="s">
        <v>33</v>
      </c>
      <c r="B58" s="6">
        <f t="shared" ref="B58:D59" si="0">+B3</f>
        <v>15000</v>
      </c>
      <c r="C58" s="6">
        <f t="shared" si="0"/>
        <v>20000</v>
      </c>
      <c r="D58" s="6">
        <f t="shared" si="0"/>
        <v>30000</v>
      </c>
    </row>
    <row r="59" spans="1:7" x14ac:dyDescent="0.35">
      <c r="A59" s="8" t="s">
        <v>53</v>
      </c>
      <c r="B59" s="6">
        <f t="shared" si="0"/>
        <v>14000</v>
      </c>
      <c r="C59" s="6">
        <f t="shared" si="0"/>
        <v>15000</v>
      </c>
      <c r="D59" s="6">
        <f t="shared" si="0"/>
        <v>20000</v>
      </c>
    </row>
    <row r="60" spans="1:7" x14ac:dyDescent="0.35">
      <c r="A60" s="144" t="s">
        <v>40</v>
      </c>
      <c r="B60" s="145">
        <f>B57+B58-B59</f>
        <v>31000</v>
      </c>
      <c r="C60" s="145">
        <f>C57+C58-C59</f>
        <v>45000</v>
      </c>
      <c r="D60" s="145">
        <f>D57+D58-D59</f>
        <v>70000</v>
      </c>
    </row>
    <row r="62" spans="1:7" x14ac:dyDescent="0.35">
      <c r="A62" s="186" t="s">
        <v>130</v>
      </c>
      <c r="B62" s="186"/>
      <c r="C62" s="186"/>
    </row>
    <row r="63" spans="1:7" x14ac:dyDescent="0.35">
      <c r="A63" s="159" t="s">
        <v>411</v>
      </c>
      <c r="G63" s="159" t="s">
        <v>412</v>
      </c>
    </row>
    <row r="65" spans="1:10" x14ac:dyDescent="0.35">
      <c r="B65" s="8" t="s">
        <v>185</v>
      </c>
      <c r="C65" s="8" t="s">
        <v>186</v>
      </c>
      <c r="D65" s="8" t="s">
        <v>188</v>
      </c>
      <c r="H65" s="8" t="s">
        <v>185</v>
      </c>
      <c r="I65" s="8" t="s">
        <v>186</v>
      </c>
      <c r="J65" s="8" t="s">
        <v>188</v>
      </c>
    </row>
    <row r="66" spans="1:10" x14ac:dyDescent="0.35">
      <c r="A66" s="66" t="s">
        <v>40</v>
      </c>
      <c r="B66" s="52">
        <f>+B60</f>
        <v>31000</v>
      </c>
      <c r="C66" s="52">
        <f>+C60</f>
        <v>45000</v>
      </c>
      <c r="D66" s="52">
        <f>+D60</f>
        <v>70000</v>
      </c>
      <c r="G66" s="66" t="s">
        <v>40</v>
      </c>
      <c r="H66" s="52">
        <v>31000</v>
      </c>
      <c r="I66" s="52">
        <v>46000</v>
      </c>
      <c r="J66" s="52">
        <v>76000</v>
      </c>
    </row>
    <row r="67" spans="1:10" x14ac:dyDescent="0.35">
      <c r="A67" s="66" t="s">
        <v>410</v>
      </c>
      <c r="B67" s="52">
        <f>+B66*$B$13</f>
        <v>77500</v>
      </c>
      <c r="C67" s="52">
        <f>+C66*$B$13</f>
        <v>112500</v>
      </c>
      <c r="D67" s="52">
        <f>+D66*$B$13</f>
        <v>175000</v>
      </c>
      <c r="G67" s="66" t="s">
        <v>410</v>
      </c>
      <c r="H67" s="52">
        <f>+H66*$C$13</f>
        <v>124000</v>
      </c>
      <c r="I67" s="52">
        <f>+I66*$C$13</f>
        <v>184000</v>
      </c>
      <c r="J67" s="52">
        <f>+J66*$C$13</f>
        <v>304000</v>
      </c>
    </row>
    <row r="68" spans="1:10" x14ac:dyDescent="0.35">
      <c r="A68" s="66" t="s">
        <v>132</v>
      </c>
      <c r="B68" s="52">
        <f>+B15</f>
        <v>25000</v>
      </c>
      <c r="C68" s="52">
        <f>+B68</f>
        <v>25000</v>
      </c>
      <c r="D68" s="52">
        <f>+C68</f>
        <v>25000</v>
      </c>
      <c r="G68" s="66" t="s">
        <v>132</v>
      </c>
      <c r="H68" s="52">
        <f>+$C$15</f>
        <v>30000</v>
      </c>
      <c r="I68" s="52">
        <f>+$C$15</f>
        <v>30000</v>
      </c>
      <c r="J68" s="52">
        <f>+$C$15</f>
        <v>30000</v>
      </c>
    </row>
    <row r="69" spans="1:10" x14ac:dyDescent="0.35">
      <c r="A69" s="66" t="s">
        <v>133</v>
      </c>
      <c r="B69" s="52">
        <f>+B14</f>
        <v>50000</v>
      </c>
      <c r="C69" s="52">
        <f>B69</f>
        <v>50000</v>
      </c>
      <c r="D69" s="52">
        <f>+B69</f>
        <v>50000</v>
      </c>
      <c r="G69" s="66" t="s">
        <v>133</v>
      </c>
      <c r="H69" s="52">
        <f>+$C$14</f>
        <v>60000</v>
      </c>
      <c r="I69" s="52">
        <f>+$C$14</f>
        <v>60000</v>
      </c>
      <c r="J69" s="52">
        <f>+$C$14</f>
        <v>60000</v>
      </c>
    </row>
    <row r="70" spans="1:10" x14ac:dyDescent="0.35">
      <c r="A70" s="66" t="s">
        <v>134</v>
      </c>
      <c r="B70" s="52">
        <f>+B67+B68-B69</f>
        <v>52500</v>
      </c>
      <c r="C70" s="52">
        <f>+C67+C68-C69</f>
        <v>87500</v>
      </c>
      <c r="D70" s="52">
        <f>+D67+D68-D69</f>
        <v>150000</v>
      </c>
      <c r="G70" s="66" t="s">
        <v>134</v>
      </c>
      <c r="H70" s="52">
        <f>+H67+H68-H69</f>
        <v>94000</v>
      </c>
      <c r="I70" s="52">
        <f>+I67+I68-I69</f>
        <v>154000</v>
      </c>
      <c r="J70" s="52">
        <f>+J67+J68-J69</f>
        <v>274000</v>
      </c>
    </row>
    <row r="71" spans="1:10" x14ac:dyDescent="0.35">
      <c r="A71" s="147" t="s">
        <v>135</v>
      </c>
      <c r="B71" s="148">
        <f>+B70*$B$16</f>
        <v>131250</v>
      </c>
      <c r="C71" s="148">
        <f>+C70*$B$16</f>
        <v>218750</v>
      </c>
      <c r="D71" s="148">
        <f>+D70*$B$16</f>
        <v>375000</v>
      </c>
      <c r="G71" s="147" t="s">
        <v>135</v>
      </c>
      <c r="H71" s="148">
        <f>+H70*$C$16</f>
        <v>564000</v>
      </c>
      <c r="I71" s="148">
        <f>+I70*$C$16</f>
        <v>924000</v>
      </c>
      <c r="J71" s="148">
        <f>+J70*$C$16</f>
        <v>1644000</v>
      </c>
    </row>
    <row r="74" spans="1:10" x14ac:dyDescent="0.35">
      <c r="A74" s="186" t="s">
        <v>174</v>
      </c>
      <c r="B74" s="186"/>
    </row>
    <row r="76" spans="1:10" x14ac:dyDescent="0.35">
      <c r="A76" s="106" t="s">
        <v>175</v>
      </c>
      <c r="B76" s="2"/>
    </row>
    <row r="77" spans="1:10" x14ac:dyDescent="0.35">
      <c r="A77" s="93" t="s">
        <v>176</v>
      </c>
      <c r="B77" s="97"/>
    </row>
  </sheetData>
  <mergeCells count="4">
    <mergeCell ref="A51:B51"/>
    <mergeCell ref="A55:B55"/>
    <mergeCell ref="A62:C62"/>
    <mergeCell ref="A74:B7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EA16-0010-4258-B607-BE17058237B1}">
  <dimension ref="A1:I259"/>
  <sheetViews>
    <sheetView tabSelected="1" zoomScale="80" zoomScaleNormal="80" workbookViewId="0">
      <selection activeCell="D259" sqref="D259"/>
    </sheetView>
  </sheetViews>
  <sheetFormatPr baseColWidth="10" defaultRowHeight="14.5" x14ac:dyDescent="0.35"/>
  <cols>
    <col min="1" max="1" width="25.81640625" customWidth="1"/>
    <col min="2" max="2" width="16.1796875" customWidth="1"/>
    <col min="3" max="3" width="20.7265625" customWidth="1"/>
    <col min="4" max="4" width="17.54296875" customWidth="1"/>
    <col min="5" max="5" width="15.54296875" customWidth="1"/>
    <col min="6" max="6" width="18.1796875" customWidth="1"/>
    <col min="7" max="7" width="14.453125" customWidth="1"/>
    <col min="8" max="8" width="21" customWidth="1"/>
    <col min="9" max="9" width="14.81640625" bestFit="1" customWidth="1"/>
  </cols>
  <sheetData>
    <row r="1" spans="1:5" x14ac:dyDescent="0.35">
      <c r="A1" s="95" t="s">
        <v>127</v>
      </c>
    </row>
    <row r="2" spans="1:5" x14ac:dyDescent="0.35">
      <c r="A2" s="2"/>
      <c r="B2" s="158" t="s">
        <v>185</v>
      </c>
      <c r="C2" s="158" t="s">
        <v>186</v>
      </c>
      <c r="D2" s="158" t="s">
        <v>188</v>
      </c>
    </row>
    <row r="3" spans="1:5" x14ac:dyDescent="0.35">
      <c r="A3" s="22" t="s">
        <v>424</v>
      </c>
      <c r="B3" s="2">
        <v>30000</v>
      </c>
      <c r="C3" s="2">
        <v>40000</v>
      </c>
      <c r="D3" s="2">
        <v>60000</v>
      </c>
    </row>
    <row r="4" spans="1:5" x14ac:dyDescent="0.35">
      <c r="A4" s="22" t="s">
        <v>406</v>
      </c>
      <c r="B4" s="2">
        <f>+B3*0.6</f>
        <v>18000</v>
      </c>
      <c r="C4" s="2">
        <f>+C3*0.6</f>
        <v>24000</v>
      </c>
      <c r="D4" s="2">
        <f>+D3*0.6</f>
        <v>36000</v>
      </c>
    </row>
    <row r="5" spans="1:5" x14ac:dyDescent="0.35">
      <c r="A5" s="22" t="s">
        <v>407</v>
      </c>
      <c r="B5" s="2">
        <f>+B3*0.4</f>
        <v>12000</v>
      </c>
      <c r="C5" s="2">
        <f>+C3*0.4</f>
        <v>16000</v>
      </c>
      <c r="D5" s="2">
        <f>+D3*0.4</f>
        <v>24000</v>
      </c>
    </row>
    <row r="6" spans="1:5" x14ac:dyDescent="0.35">
      <c r="A6" s="189" t="s">
        <v>15</v>
      </c>
      <c r="B6" s="189"/>
      <c r="C6" s="189"/>
      <c r="D6" s="189"/>
    </row>
    <row r="7" spans="1:5" x14ac:dyDescent="0.35">
      <c r="A7" s="106" t="s">
        <v>362</v>
      </c>
      <c r="B7" s="2">
        <v>70</v>
      </c>
      <c r="C7" s="2">
        <v>70</v>
      </c>
      <c r="D7" s="2">
        <v>70</v>
      </c>
    </row>
    <row r="8" spans="1:5" x14ac:dyDescent="0.35">
      <c r="A8" s="106" t="s">
        <v>425</v>
      </c>
      <c r="B8" s="2">
        <f>+B7*(1+4%)</f>
        <v>72.8</v>
      </c>
      <c r="C8" s="2">
        <f>+C7*(1+4%)</f>
        <v>72.8</v>
      </c>
      <c r="D8" s="2">
        <f>+D7*(1+4%)</f>
        <v>72.8</v>
      </c>
    </row>
    <row r="9" spans="1:5" x14ac:dyDescent="0.35">
      <c r="A9" s="189" t="s">
        <v>16</v>
      </c>
      <c r="B9" s="189"/>
      <c r="C9" s="189"/>
      <c r="D9" s="189"/>
    </row>
    <row r="10" spans="1:5" x14ac:dyDescent="0.35">
      <c r="A10" s="106" t="s">
        <v>362</v>
      </c>
      <c r="B10" s="87">
        <f t="shared" ref="B10:D11" si="0">+B7*B4</f>
        <v>1260000</v>
      </c>
      <c r="C10" s="87">
        <f t="shared" si="0"/>
        <v>1680000</v>
      </c>
      <c r="D10" s="87">
        <f t="shared" si="0"/>
        <v>2520000</v>
      </c>
    </row>
    <row r="11" spans="1:5" x14ac:dyDescent="0.35">
      <c r="A11" s="106" t="s">
        <v>425</v>
      </c>
      <c r="B11" s="87">
        <f t="shared" si="0"/>
        <v>873600</v>
      </c>
      <c r="C11" s="87">
        <f t="shared" si="0"/>
        <v>1164800</v>
      </c>
      <c r="D11" s="87">
        <f t="shared" si="0"/>
        <v>1747200</v>
      </c>
    </row>
    <row r="12" spans="1:5" x14ac:dyDescent="0.35">
      <c r="A12" s="106" t="s">
        <v>44</v>
      </c>
      <c r="B12" s="87">
        <f>+B10+B11</f>
        <v>2133600</v>
      </c>
      <c r="C12" s="87">
        <f>+C10+C11</f>
        <v>2844800</v>
      </c>
      <c r="D12" s="87">
        <f>+D10+D11</f>
        <v>4267200</v>
      </c>
    </row>
    <row r="14" spans="1:5" x14ac:dyDescent="0.35">
      <c r="A14" s="187" t="s">
        <v>426</v>
      </c>
      <c r="B14" s="187"/>
    </row>
    <row r="15" spans="1:5" x14ac:dyDescent="0.35">
      <c r="A15" s="2"/>
      <c r="B15" s="158" t="s">
        <v>185</v>
      </c>
      <c r="C15" s="158" t="s">
        <v>186</v>
      </c>
      <c r="D15" s="158" t="s">
        <v>188</v>
      </c>
      <c r="E15" s="16" t="s">
        <v>44</v>
      </c>
    </row>
    <row r="16" spans="1:5" x14ac:dyDescent="0.35">
      <c r="A16" s="106" t="s">
        <v>52</v>
      </c>
      <c r="B16" s="2">
        <f>+B3</f>
        <v>30000</v>
      </c>
      <c r="C16" s="2">
        <f>+C3</f>
        <v>40000</v>
      </c>
      <c r="D16" s="2">
        <f>+D3</f>
        <v>60000</v>
      </c>
      <c r="E16" s="2">
        <f>+SUM(B16:D16)</f>
        <v>130000</v>
      </c>
    </row>
    <row r="17" spans="1:7" x14ac:dyDescent="0.35">
      <c r="A17" s="22" t="s">
        <v>427</v>
      </c>
      <c r="B17" s="2">
        <f>+B16*0.5</f>
        <v>15000</v>
      </c>
      <c r="C17" s="2">
        <f>+C16*0.5</f>
        <v>20000</v>
      </c>
      <c r="D17" s="2">
        <f>+D16*0.5</f>
        <v>30000</v>
      </c>
      <c r="E17" s="2">
        <f>+SUM(B17:D17)</f>
        <v>65000</v>
      </c>
    </row>
    <row r="18" spans="1:7" x14ac:dyDescent="0.35">
      <c r="A18" s="106" t="s">
        <v>39</v>
      </c>
      <c r="B18" s="2">
        <v>14000</v>
      </c>
      <c r="C18" s="2">
        <f>+B17</f>
        <v>15000</v>
      </c>
      <c r="D18" s="2">
        <f>+C17</f>
        <v>20000</v>
      </c>
      <c r="E18" s="2">
        <f>+SUM(B18:D18)</f>
        <v>49000</v>
      </c>
      <c r="G18" s="13"/>
    </row>
    <row r="19" spans="1:7" x14ac:dyDescent="0.35">
      <c r="A19" s="110" t="s">
        <v>428</v>
      </c>
      <c r="B19" s="111">
        <f>+B16+B17-B18</f>
        <v>31000</v>
      </c>
      <c r="C19" s="111">
        <f>+C16+C17-C18</f>
        <v>45000</v>
      </c>
      <c r="D19" s="111">
        <f>+D16+D17-D18</f>
        <v>70000</v>
      </c>
      <c r="E19" s="111">
        <f>+SUM(B19:D19)</f>
        <v>146000</v>
      </c>
    </row>
    <row r="21" spans="1:7" x14ac:dyDescent="0.35">
      <c r="A21" s="186" t="s">
        <v>429</v>
      </c>
      <c r="B21" s="186"/>
    </row>
    <row r="22" spans="1:7" x14ac:dyDescent="0.35">
      <c r="B22" s="158" t="s">
        <v>185</v>
      </c>
      <c r="C22" s="158" t="s">
        <v>186</v>
      </c>
      <c r="D22" s="158" t="s">
        <v>188</v>
      </c>
      <c r="E22" s="16" t="s">
        <v>44</v>
      </c>
    </row>
    <row r="23" spans="1:7" x14ac:dyDescent="0.35">
      <c r="A23" s="106" t="s">
        <v>428</v>
      </c>
      <c r="B23" s="2">
        <f>+B19</f>
        <v>31000</v>
      </c>
      <c r="C23" s="2">
        <f>+C19</f>
        <v>45000</v>
      </c>
      <c r="D23" s="2">
        <f>+D19</f>
        <v>70000</v>
      </c>
      <c r="E23" s="2">
        <f>+SUM(B23:D23)</f>
        <v>146000</v>
      </c>
    </row>
    <row r="24" spans="1:7" x14ac:dyDescent="0.35">
      <c r="A24" s="2" t="s">
        <v>430</v>
      </c>
      <c r="B24" s="2">
        <v>2.5</v>
      </c>
      <c r="C24" s="2">
        <v>2.5</v>
      </c>
      <c r="D24" s="2">
        <v>2.5</v>
      </c>
      <c r="E24" s="2"/>
    </row>
    <row r="25" spans="1:7" x14ac:dyDescent="0.35">
      <c r="A25" s="109" t="s">
        <v>431</v>
      </c>
      <c r="B25" s="2">
        <v>4</v>
      </c>
      <c r="C25" s="2">
        <v>4</v>
      </c>
      <c r="D25" s="2">
        <v>4</v>
      </c>
      <c r="E25" s="2"/>
    </row>
    <row r="27" spans="1:7" x14ac:dyDescent="0.35">
      <c r="A27" s="110" t="s">
        <v>131</v>
      </c>
      <c r="B27" s="111">
        <f>+B29+B28</f>
        <v>201500</v>
      </c>
      <c r="C27" s="111">
        <f>+C29+C28</f>
        <v>292500</v>
      </c>
      <c r="D27" s="111">
        <f>+D29+D28</f>
        <v>455000</v>
      </c>
      <c r="E27" s="111">
        <f>+SUM(B27:D27)</f>
        <v>949000</v>
      </c>
    </row>
    <row r="28" spans="1:7" x14ac:dyDescent="0.35">
      <c r="A28" s="2" t="s">
        <v>430</v>
      </c>
      <c r="B28" s="2">
        <f>+B23*B24</f>
        <v>77500</v>
      </c>
      <c r="C28" s="2">
        <f>+C23*C24</f>
        <v>112500</v>
      </c>
      <c r="D28" s="2">
        <f>+D23*D24</f>
        <v>175000</v>
      </c>
      <c r="E28" s="2">
        <f>+SUM(B28:D28)</f>
        <v>365000</v>
      </c>
    </row>
    <row r="29" spans="1:7" x14ac:dyDescent="0.35">
      <c r="A29" s="109" t="s">
        <v>431</v>
      </c>
      <c r="B29" s="2">
        <f>+B23*B25</f>
        <v>124000</v>
      </c>
      <c r="C29" s="2">
        <f>+C23*C25</f>
        <v>180000</v>
      </c>
      <c r="D29" s="2">
        <f>+D23*D25</f>
        <v>280000</v>
      </c>
      <c r="E29" s="2">
        <f>+SUM(B29:D29)</f>
        <v>584000</v>
      </c>
    </row>
    <row r="31" spans="1:7" x14ac:dyDescent="0.35">
      <c r="A31" s="22" t="s">
        <v>430</v>
      </c>
      <c r="B31" s="158" t="s">
        <v>185</v>
      </c>
      <c r="C31" s="158" t="s">
        <v>186</v>
      </c>
      <c r="D31" s="158" t="s">
        <v>188</v>
      </c>
      <c r="E31" s="16" t="s">
        <v>44</v>
      </c>
    </row>
    <row r="32" spans="1:7" x14ac:dyDescent="0.35">
      <c r="A32" s="2" t="s">
        <v>432</v>
      </c>
      <c r="B32" s="2">
        <f>+B28</f>
        <v>77500</v>
      </c>
      <c r="C32" s="2">
        <f>+C28</f>
        <v>112500</v>
      </c>
      <c r="D32" s="2">
        <f>+D28</f>
        <v>175000</v>
      </c>
      <c r="E32" s="2">
        <f>+SUM(B32:D32)</f>
        <v>365000</v>
      </c>
    </row>
    <row r="33" spans="1:5" x14ac:dyDescent="0.35">
      <c r="A33" s="2" t="s">
        <v>151</v>
      </c>
      <c r="B33" s="2">
        <f>+B32*0.5</f>
        <v>38750</v>
      </c>
      <c r="C33" s="2">
        <f>+C32*0.5</f>
        <v>56250</v>
      </c>
      <c r="D33" s="2">
        <f>+D32*0.5</f>
        <v>87500</v>
      </c>
      <c r="E33" s="2">
        <f>+SUM(B33:D33)</f>
        <v>182500</v>
      </c>
    </row>
    <row r="34" spans="1:5" x14ac:dyDescent="0.35">
      <c r="A34" s="2" t="s">
        <v>32</v>
      </c>
      <c r="B34" s="2">
        <v>50000</v>
      </c>
      <c r="C34" s="2">
        <f>+B33</f>
        <v>38750</v>
      </c>
      <c r="D34" s="2">
        <f>+C33</f>
        <v>56250</v>
      </c>
      <c r="E34" s="2">
        <f>+SUM(B34:D34)</f>
        <v>145000</v>
      </c>
    </row>
    <row r="35" spans="1:5" x14ac:dyDescent="0.35">
      <c r="A35" s="2" t="s">
        <v>73</v>
      </c>
      <c r="B35" s="2">
        <f>+B32+B33-B34</f>
        <v>66250</v>
      </c>
      <c r="C35" s="2">
        <f>+C32+C33-C34</f>
        <v>130000</v>
      </c>
      <c r="D35" s="2">
        <f>+D32+D33-D34</f>
        <v>206250</v>
      </c>
      <c r="E35" s="2">
        <f>+SUM(B35:D35)</f>
        <v>402500</v>
      </c>
    </row>
    <row r="36" spans="1:5" x14ac:dyDescent="0.35">
      <c r="A36" s="2" t="s">
        <v>67</v>
      </c>
      <c r="B36" s="87">
        <v>2.5</v>
      </c>
      <c r="C36" s="87">
        <v>2.5</v>
      </c>
      <c r="D36" s="87">
        <v>2.5</v>
      </c>
      <c r="E36" s="2"/>
    </row>
    <row r="37" spans="1:5" x14ac:dyDescent="0.35">
      <c r="A37" s="2" t="s">
        <v>433</v>
      </c>
      <c r="B37" s="12">
        <f>+B35*B36</f>
        <v>165625</v>
      </c>
      <c r="C37" s="12">
        <f>+C35*C36</f>
        <v>325000</v>
      </c>
      <c r="D37" s="12">
        <f>+D35*D36</f>
        <v>515625</v>
      </c>
      <c r="E37" s="87">
        <f>+SUM(B37:D37)</f>
        <v>1006250</v>
      </c>
    </row>
    <row r="39" spans="1:5" x14ac:dyDescent="0.35">
      <c r="A39" s="22" t="s">
        <v>431</v>
      </c>
      <c r="B39" s="158" t="s">
        <v>185</v>
      </c>
      <c r="C39" s="158" t="s">
        <v>186</v>
      </c>
      <c r="D39" s="158" t="s">
        <v>188</v>
      </c>
      <c r="E39" s="16" t="s">
        <v>44</v>
      </c>
    </row>
    <row r="40" spans="1:5" x14ac:dyDescent="0.35">
      <c r="A40" s="2" t="s">
        <v>432</v>
      </c>
      <c r="B40" s="2">
        <f>+B29</f>
        <v>124000</v>
      </c>
      <c r="C40" s="2">
        <f>+C29</f>
        <v>180000</v>
      </c>
      <c r="D40" s="2">
        <f>+D29</f>
        <v>280000</v>
      </c>
      <c r="E40" s="2">
        <f>+SUM(B40:D40)</f>
        <v>584000</v>
      </c>
    </row>
    <row r="41" spans="1:5" x14ac:dyDescent="0.35">
      <c r="A41" s="2" t="s">
        <v>151</v>
      </c>
      <c r="B41" s="2">
        <f>+B40*0.5</f>
        <v>62000</v>
      </c>
      <c r="C41" s="2">
        <f>+C40*0.5</f>
        <v>90000</v>
      </c>
      <c r="D41" s="2">
        <f>+D40*0.5</f>
        <v>140000</v>
      </c>
      <c r="E41" s="2">
        <f>+SUM(B41:D41)</f>
        <v>292000</v>
      </c>
    </row>
    <row r="42" spans="1:5" x14ac:dyDescent="0.35">
      <c r="A42" s="2" t="s">
        <v>32</v>
      </c>
      <c r="B42" s="2">
        <v>60000</v>
      </c>
      <c r="C42" s="2">
        <f>+B41</f>
        <v>62000</v>
      </c>
      <c r="D42" s="2">
        <f>+C41</f>
        <v>90000</v>
      </c>
      <c r="E42" s="2">
        <f>+SUM(B42:D42)</f>
        <v>212000</v>
      </c>
    </row>
    <row r="43" spans="1:5" x14ac:dyDescent="0.35">
      <c r="A43" s="2" t="s">
        <v>73</v>
      </c>
      <c r="B43" s="2">
        <f>+B40+B41-B42</f>
        <v>126000</v>
      </c>
      <c r="C43" s="2">
        <f>+C40+C41-C42</f>
        <v>208000</v>
      </c>
      <c r="D43" s="2">
        <f>+D40+D41-D42</f>
        <v>330000</v>
      </c>
      <c r="E43" s="2">
        <f>+SUM(B43:D43)</f>
        <v>664000</v>
      </c>
    </row>
    <row r="44" spans="1:5" x14ac:dyDescent="0.35">
      <c r="A44" s="2" t="s">
        <v>67</v>
      </c>
      <c r="B44" s="87">
        <v>6</v>
      </c>
      <c r="C44" s="87">
        <v>6</v>
      </c>
      <c r="D44" s="87">
        <v>6</v>
      </c>
      <c r="E44" s="2"/>
    </row>
    <row r="45" spans="1:5" x14ac:dyDescent="0.35">
      <c r="A45" s="2" t="s">
        <v>433</v>
      </c>
      <c r="B45" s="12">
        <f>+B43*B44</f>
        <v>756000</v>
      </c>
      <c r="C45" s="12">
        <f>+C43*C44</f>
        <v>1248000</v>
      </c>
      <c r="D45" s="12">
        <f>+D43*D44</f>
        <v>1980000</v>
      </c>
      <c r="E45" s="87">
        <f>+SUM(B45:D45)</f>
        <v>3984000</v>
      </c>
    </row>
    <row r="47" spans="1:5" x14ac:dyDescent="0.35">
      <c r="A47" s="2" t="s">
        <v>44</v>
      </c>
      <c r="B47" s="158" t="s">
        <v>185</v>
      </c>
      <c r="C47" s="158" t="s">
        <v>186</v>
      </c>
      <c r="D47" s="158" t="s">
        <v>188</v>
      </c>
      <c r="E47" s="16" t="s">
        <v>44</v>
      </c>
    </row>
    <row r="48" spans="1:5" x14ac:dyDescent="0.35">
      <c r="A48" s="167" t="s">
        <v>143</v>
      </c>
      <c r="B48" s="169">
        <f>+B51+B50-B49</f>
        <v>937750</v>
      </c>
      <c r="C48" s="169">
        <f>+C51+C50-C49</f>
        <v>1361250</v>
      </c>
      <c r="D48" s="169">
        <f>+D51+D50-D49</f>
        <v>2117500</v>
      </c>
      <c r="E48" s="170">
        <f>+SUM(B48:D48)</f>
        <v>4416500</v>
      </c>
    </row>
    <row r="49" spans="1:5" x14ac:dyDescent="0.35">
      <c r="A49" s="2" t="s">
        <v>434</v>
      </c>
      <c r="B49" s="12">
        <f>+B41*B44+B33*B36</f>
        <v>468875</v>
      </c>
      <c r="C49" s="12">
        <f>+C41*C44+C33*C36</f>
        <v>680625</v>
      </c>
      <c r="D49" s="12">
        <f>+D41*D44+D33*D36</f>
        <v>1058750</v>
      </c>
      <c r="E49" s="170">
        <f>+SUM(B49:D49)</f>
        <v>2208250</v>
      </c>
    </row>
    <row r="50" spans="1:5" x14ac:dyDescent="0.35">
      <c r="A50" s="2" t="s">
        <v>53</v>
      </c>
      <c r="B50" s="12">
        <f>+B42*B44+B34*B36</f>
        <v>485000</v>
      </c>
      <c r="C50" s="12">
        <f>+C42*C44+C34*C36</f>
        <v>468875</v>
      </c>
      <c r="D50" s="12">
        <f>+D42*D44+D34*D36</f>
        <v>680625</v>
      </c>
      <c r="E50" s="170">
        <f>+SUM(B50:D50)</f>
        <v>1634500</v>
      </c>
    </row>
    <row r="51" spans="1:5" x14ac:dyDescent="0.35">
      <c r="A51" s="167" t="s">
        <v>433</v>
      </c>
      <c r="B51" s="169">
        <f>+B45+B37</f>
        <v>921625</v>
      </c>
      <c r="C51" s="169">
        <f>+C45+C37</f>
        <v>1573000</v>
      </c>
      <c r="D51" s="169">
        <f>+D45+D37</f>
        <v>2495625</v>
      </c>
      <c r="E51" s="170">
        <f>+SUM(B51:D51)</f>
        <v>4990250</v>
      </c>
    </row>
    <row r="53" spans="1:5" x14ac:dyDescent="0.35">
      <c r="A53" s="187" t="s">
        <v>136</v>
      </c>
      <c r="B53" s="187"/>
    </row>
    <row r="54" spans="1:5" x14ac:dyDescent="0.35">
      <c r="A54" s="2"/>
      <c r="B54" s="158" t="s">
        <v>185</v>
      </c>
      <c r="C54" s="158" t="s">
        <v>186</v>
      </c>
      <c r="D54" s="158" t="s">
        <v>188</v>
      </c>
      <c r="E54" s="16" t="s">
        <v>44</v>
      </c>
    </row>
    <row r="55" spans="1:5" x14ac:dyDescent="0.35">
      <c r="A55" s="22" t="s">
        <v>435</v>
      </c>
      <c r="B55" s="2">
        <f>+B19</f>
        <v>31000</v>
      </c>
      <c r="C55" s="2">
        <f>+C19</f>
        <v>45000</v>
      </c>
      <c r="D55" s="2">
        <f>+D19</f>
        <v>70000</v>
      </c>
      <c r="E55" s="2"/>
    </row>
    <row r="56" spans="1:5" x14ac:dyDescent="0.35">
      <c r="A56" s="22" t="s">
        <v>371</v>
      </c>
      <c r="B56" s="2">
        <v>0.5</v>
      </c>
      <c r="C56" s="2">
        <v>0.5</v>
      </c>
      <c r="D56" s="2">
        <v>0.5</v>
      </c>
      <c r="E56" s="2"/>
    </row>
    <row r="57" spans="1:5" x14ac:dyDescent="0.35">
      <c r="A57" s="22" t="s">
        <v>372</v>
      </c>
      <c r="B57" s="2">
        <v>1</v>
      </c>
      <c r="C57" s="2">
        <v>1</v>
      </c>
      <c r="D57" s="2">
        <v>1</v>
      </c>
      <c r="E57" s="2"/>
    </row>
    <row r="58" spans="1:5" x14ac:dyDescent="0.35">
      <c r="A58" s="120"/>
      <c r="B58" s="69"/>
      <c r="C58" s="69"/>
      <c r="D58" s="69"/>
      <c r="E58" s="69"/>
    </row>
    <row r="59" spans="1:5" x14ac:dyDescent="0.35">
      <c r="B59" s="158" t="s">
        <v>185</v>
      </c>
      <c r="C59" s="158" t="s">
        <v>186</v>
      </c>
      <c r="D59" s="158" t="s">
        <v>188</v>
      </c>
      <c r="E59" s="16" t="s">
        <v>44</v>
      </c>
    </row>
    <row r="60" spans="1:5" x14ac:dyDescent="0.35">
      <c r="A60" s="22" t="s">
        <v>436</v>
      </c>
      <c r="B60" s="2">
        <f>+B61+B62</f>
        <v>46500</v>
      </c>
      <c r="C60" s="2">
        <f>+C61+C62</f>
        <v>67500</v>
      </c>
      <c r="D60" s="2">
        <f>+D61+D62</f>
        <v>105000</v>
      </c>
      <c r="E60" s="2">
        <f>+SUM(B60:D60)</f>
        <v>219000</v>
      </c>
    </row>
    <row r="61" spans="1:5" x14ac:dyDescent="0.35">
      <c r="A61" s="22" t="s">
        <v>371</v>
      </c>
      <c r="B61" s="2">
        <f>+B55*B56</f>
        <v>15500</v>
      </c>
      <c r="C61" s="2">
        <f>+C55*C56</f>
        <v>22500</v>
      </c>
      <c r="D61" s="2">
        <f>+D55*D56</f>
        <v>35000</v>
      </c>
      <c r="E61" s="2">
        <f>+SUM(B61:D61)</f>
        <v>73000</v>
      </c>
    </row>
    <row r="62" spans="1:5" x14ac:dyDescent="0.35">
      <c r="A62" s="22" t="s">
        <v>372</v>
      </c>
      <c r="B62" s="2">
        <f>+B55*B57</f>
        <v>31000</v>
      </c>
      <c r="C62" s="2">
        <f>+C55*C57</f>
        <v>45000</v>
      </c>
      <c r="D62" s="2">
        <f>+D55*D57</f>
        <v>70000</v>
      </c>
      <c r="E62" s="2">
        <f>+SUM(B62:D62)</f>
        <v>146000</v>
      </c>
    </row>
    <row r="64" spans="1:5" x14ac:dyDescent="0.35">
      <c r="A64" s="22" t="s">
        <v>437</v>
      </c>
      <c r="B64" s="2"/>
      <c r="C64" s="2"/>
      <c r="D64" s="2"/>
    </row>
    <row r="65" spans="1:5" x14ac:dyDescent="0.35">
      <c r="A65" s="22" t="s">
        <v>371</v>
      </c>
      <c r="B65" s="87">
        <v>6</v>
      </c>
      <c r="C65" s="87">
        <v>6</v>
      </c>
      <c r="D65" s="87">
        <v>6</v>
      </c>
    </row>
    <row r="66" spans="1:5" x14ac:dyDescent="0.35">
      <c r="A66" s="22" t="s">
        <v>372</v>
      </c>
      <c r="B66" s="87">
        <v>5</v>
      </c>
      <c r="C66" s="87">
        <v>5</v>
      </c>
      <c r="D66" s="87">
        <v>5</v>
      </c>
    </row>
    <row r="68" spans="1:5" x14ac:dyDescent="0.35">
      <c r="A68" s="2"/>
      <c r="B68" s="158" t="s">
        <v>185</v>
      </c>
      <c r="C68" s="158" t="s">
        <v>186</v>
      </c>
      <c r="D68" s="158" t="s">
        <v>188</v>
      </c>
      <c r="E68" s="16" t="s">
        <v>44</v>
      </c>
    </row>
    <row r="69" spans="1:5" x14ac:dyDescent="0.35">
      <c r="A69" s="106" t="s">
        <v>178</v>
      </c>
      <c r="B69" s="87">
        <f>+B70+B71</f>
        <v>248000</v>
      </c>
      <c r="C69" s="87">
        <f>+C70+C71</f>
        <v>360000</v>
      </c>
      <c r="D69" s="87">
        <f>+D70+D71</f>
        <v>560000</v>
      </c>
      <c r="E69" s="87">
        <f>+SUM(B69:D69)</f>
        <v>1168000</v>
      </c>
    </row>
    <row r="70" spans="1:5" x14ac:dyDescent="0.35">
      <c r="A70" s="106" t="s">
        <v>371</v>
      </c>
      <c r="B70" s="87">
        <f t="shared" ref="B70:D71" si="1">+B65*B61</f>
        <v>93000</v>
      </c>
      <c r="C70" s="87">
        <f t="shared" si="1"/>
        <v>135000</v>
      </c>
      <c r="D70" s="87">
        <f t="shared" si="1"/>
        <v>210000</v>
      </c>
      <c r="E70" s="87">
        <f>+SUM(B70:D70)</f>
        <v>438000</v>
      </c>
    </row>
    <row r="71" spans="1:5" x14ac:dyDescent="0.35">
      <c r="A71" s="106" t="s">
        <v>372</v>
      </c>
      <c r="B71" s="87">
        <f t="shared" si="1"/>
        <v>155000</v>
      </c>
      <c r="C71" s="87">
        <f t="shared" si="1"/>
        <v>225000</v>
      </c>
      <c r="D71" s="87">
        <f t="shared" si="1"/>
        <v>350000</v>
      </c>
      <c r="E71" s="87">
        <f>+SUM(B71:D71)</f>
        <v>730000</v>
      </c>
    </row>
    <row r="73" spans="1:5" x14ac:dyDescent="0.35">
      <c r="A73" s="186" t="s">
        <v>438</v>
      </c>
      <c r="B73" s="186"/>
    </row>
    <row r="75" spans="1:5" x14ac:dyDescent="0.35">
      <c r="A75" s="106" t="s">
        <v>439</v>
      </c>
      <c r="B75" s="158" t="s">
        <v>185</v>
      </c>
      <c r="C75" s="158" t="s">
        <v>186</v>
      </c>
      <c r="D75" s="158" t="s">
        <v>188</v>
      </c>
      <c r="E75" s="162" t="s">
        <v>44</v>
      </c>
    </row>
    <row r="76" spans="1:5" x14ac:dyDescent="0.35">
      <c r="A76" s="2" t="s">
        <v>448</v>
      </c>
      <c r="B76" s="87">
        <v>45000</v>
      </c>
      <c r="C76" s="87">
        <v>45000</v>
      </c>
      <c r="D76" s="87">
        <v>45000</v>
      </c>
      <c r="E76" s="12">
        <f>+SUM(B76:D76)</f>
        <v>135000</v>
      </c>
    </row>
    <row r="77" spans="1:5" x14ac:dyDescent="0.35">
      <c r="A77" s="109" t="s">
        <v>201</v>
      </c>
      <c r="B77" s="87">
        <v>5000</v>
      </c>
      <c r="C77" s="87">
        <v>5000</v>
      </c>
      <c r="D77" s="87">
        <v>5000</v>
      </c>
      <c r="E77" s="12">
        <f>+SUM(B77:D77)</f>
        <v>15000</v>
      </c>
    </row>
    <row r="78" spans="1:5" x14ac:dyDescent="0.35">
      <c r="A78" s="109" t="s">
        <v>44</v>
      </c>
      <c r="B78" s="87">
        <f>+B76+B77</f>
        <v>50000</v>
      </c>
      <c r="C78" s="87">
        <f>+C76+C77</f>
        <v>50000</v>
      </c>
      <c r="D78" s="87">
        <f>+D76+D77</f>
        <v>50000</v>
      </c>
      <c r="E78" s="12">
        <f>+SUM(B78:D78)</f>
        <v>150000</v>
      </c>
    </row>
    <row r="79" spans="1:5" x14ac:dyDescent="0.35">
      <c r="A79" s="109" t="s">
        <v>440</v>
      </c>
      <c r="B79" s="2"/>
      <c r="C79" s="2"/>
      <c r="D79" s="2"/>
      <c r="E79" s="12"/>
    </row>
    <row r="80" spans="1:5" x14ac:dyDescent="0.35">
      <c r="A80" s="109" t="s">
        <v>441</v>
      </c>
      <c r="B80" s="87">
        <f>+B78*250/$B$85</f>
        <v>25000</v>
      </c>
      <c r="C80" s="87">
        <f>+C78*250/$B$85</f>
        <v>25000</v>
      </c>
      <c r="D80" s="87">
        <f>+D78*250/$B$85</f>
        <v>25000</v>
      </c>
      <c r="E80" s="12">
        <f>+SUM(B80:D80)</f>
        <v>75000</v>
      </c>
    </row>
    <row r="81" spans="1:5" x14ac:dyDescent="0.35">
      <c r="A81" s="109" t="s">
        <v>442</v>
      </c>
      <c r="B81" s="87">
        <f>+B78*100/$B$85</f>
        <v>10000</v>
      </c>
      <c r="C81" s="87">
        <f>+C78*100/$B$85</f>
        <v>10000</v>
      </c>
      <c r="D81" s="87">
        <f>+D78*100/$B$85</f>
        <v>10000</v>
      </c>
      <c r="E81" s="12">
        <f>+SUM(B81:D81)</f>
        <v>30000</v>
      </c>
    </row>
    <row r="82" spans="1:5" x14ac:dyDescent="0.35">
      <c r="A82" s="109" t="s">
        <v>443</v>
      </c>
      <c r="B82" s="87">
        <f>+B78*150/$B$85</f>
        <v>15000</v>
      </c>
      <c r="C82" s="87">
        <f>+C78*150/$B$85</f>
        <v>15000</v>
      </c>
      <c r="D82" s="87">
        <f>+D78*150/$B$85</f>
        <v>15000</v>
      </c>
      <c r="E82" s="12">
        <f>+SUM(B82:D82)</f>
        <v>45000</v>
      </c>
    </row>
    <row r="83" spans="1:5" x14ac:dyDescent="0.35">
      <c r="A83" s="109" t="s">
        <v>44</v>
      </c>
      <c r="B83" s="87">
        <f>+SUM(B80:B82)</f>
        <v>50000</v>
      </c>
      <c r="C83" s="87">
        <f>+SUM(C80:C82)</f>
        <v>50000</v>
      </c>
      <c r="D83" s="87">
        <f>+SUM(D80:D82)</f>
        <v>50000</v>
      </c>
      <c r="E83" s="12">
        <f>+SUM(B83:D83)</f>
        <v>150000</v>
      </c>
    </row>
    <row r="84" spans="1:5" x14ac:dyDescent="0.35">
      <c r="A84" s="163"/>
      <c r="B84" s="165"/>
      <c r="C84" s="142"/>
      <c r="D84" s="142"/>
      <c r="E84" s="70"/>
    </row>
    <row r="85" spans="1:5" x14ac:dyDescent="0.35">
      <c r="A85" s="2" t="s">
        <v>444</v>
      </c>
      <c r="B85" s="164">
        <f>250+100+150</f>
        <v>500</v>
      </c>
    </row>
    <row r="87" spans="1:5" x14ac:dyDescent="0.35">
      <c r="A87" s="2" t="s">
        <v>446</v>
      </c>
      <c r="B87" s="158" t="s">
        <v>185</v>
      </c>
      <c r="C87" s="158" t="s">
        <v>186</v>
      </c>
      <c r="D87" s="158" t="s">
        <v>188</v>
      </c>
      <c r="E87" s="16" t="s">
        <v>44</v>
      </c>
    </row>
    <row r="88" spans="1:5" x14ac:dyDescent="0.35">
      <c r="A88" s="109" t="s">
        <v>441</v>
      </c>
      <c r="B88" s="87">
        <f>+B76*250/$B$85</f>
        <v>22500</v>
      </c>
      <c r="C88" s="87">
        <f>+C76*250/$B$85</f>
        <v>22500</v>
      </c>
      <c r="D88" s="87">
        <f>+D76*250/$B$85</f>
        <v>22500</v>
      </c>
      <c r="E88" s="12">
        <f>+SUM(B88:D88)</f>
        <v>67500</v>
      </c>
    </row>
    <row r="89" spans="1:5" x14ac:dyDescent="0.35">
      <c r="A89" s="109" t="s">
        <v>442</v>
      </c>
      <c r="B89" s="87">
        <f>+B76*100/$B$85</f>
        <v>9000</v>
      </c>
      <c r="C89" s="87">
        <f>+C76*100/$B$85</f>
        <v>9000</v>
      </c>
      <c r="D89" s="87">
        <f>+D76*100/$B$85</f>
        <v>9000</v>
      </c>
      <c r="E89" s="12">
        <f>+SUM(B89:D89)</f>
        <v>27000</v>
      </c>
    </row>
    <row r="90" spans="1:5" x14ac:dyDescent="0.35">
      <c r="A90" s="109" t="s">
        <v>443</v>
      </c>
      <c r="B90" s="87">
        <f>+B76*150/$B$85</f>
        <v>13500</v>
      </c>
      <c r="C90" s="87">
        <f>+C76*150/$B$85</f>
        <v>13500</v>
      </c>
      <c r="D90" s="87">
        <f>+D76*150/$B$85</f>
        <v>13500</v>
      </c>
      <c r="E90" s="12">
        <f>+SUM(B90:D90)</f>
        <v>40500</v>
      </c>
    </row>
    <row r="91" spans="1:5" x14ac:dyDescent="0.35">
      <c r="A91" s="109" t="s">
        <v>44</v>
      </c>
      <c r="B91" s="87">
        <f>+SUM(B88:B90)</f>
        <v>45000</v>
      </c>
      <c r="C91" s="87">
        <f>+SUM(C88:C90)</f>
        <v>45000</v>
      </c>
      <c r="D91" s="87">
        <f>+SUM(D88:D90)</f>
        <v>45000</v>
      </c>
      <c r="E91" s="12">
        <f>+SUM(B91:D91)</f>
        <v>135000</v>
      </c>
    </row>
    <row r="93" spans="1:5" x14ac:dyDescent="0.35">
      <c r="A93" s="186" t="s">
        <v>447</v>
      </c>
      <c r="B93" s="186"/>
    </row>
    <row r="95" spans="1:5" x14ac:dyDescent="0.35">
      <c r="A95" s="22" t="s">
        <v>371</v>
      </c>
      <c r="B95" s="158" t="s">
        <v>185</v>
      </c>
      <c r="C95" s="158" t="s">
        <v>186</v>
      </c>
      <c r="D95" s="158" t="s">
        <v>188</v>
      </c>
      <c r="E95" s="16" t="s">
        <v>44</v>
      </c>
    </row>
    <row r="96" spans="1:5" x14ac:dyDescent="0.35">
      <c r="A96" s="2" t="s">
        <v>202</v>
      </c>
      <c r="B96" s="87">
        <v>63000</v>
      </c>
      <c r="C96" s="87">
        <v>63000</v>
      </c>
      <c r="D96" s="87">
        <v>63000</v>
      </c>
      <c r="E96" s="87">
        <f>+SUM(B96:D96)</f>
        <v>189000</v>
      </c>
    </row>
    <row r="97" spans="1:5" x14ac:dyDescent="0.35">
      <c r="A97" s="109" t="s">
        <v>201</v>
      </c>
      <c r="B97" s="87">
        <v>7000</v>
      </c>
      <c r="C97" s="87">
        <v>7000</v>
      </c>
      <c r="D97" s="87">
        <v>7000</v>
      </c>
      <c r="E97" s="87">
        <f>+SUM(B97:D97)</f>
        <v>21000</v>
      </c>
    </row>
    <row r="98" spans="1:5" x14ac:dyDescent="0.35">
      <c r="A98" s="109" t="s">
        <v>44</v>
      </c>
      <c r="B98" s="87">
        <f>+B96+B97</f>
        <v>70000</v>
      </c>
      <c r="C98" s="87">
        <f>+C96+C97</f>
        <v>70000</v>
      </c>
      <c r="D98" s="87">
        <f>+D96+D97</f>
        <v>70000</v>
      </c>
      <c r="E98" s="87">
        <f>+SUM(B98:D98)</f>
        <v>210000</v>
      </c>
    </row>
    <row r="100" spans="1:5" x14ac:dyDescent="0.35">
      <c r="A100" s="22" t="s">
        <v>372</v>
      </c>
      <c r="B100" s="158" t="s">
        <v>185</v>
      </c>
      <c r="C100" s="158" t="s">
        <v>186</v>
      </c>
      <c r="D100" s="158" t="s">
        <v>188</v>
      </c>
      <c r="E100" s="16" t="s">
        <v>44</v>
      </c>
    </row>
    <row r="101" spans="1:5" x14ac:dyDescent="0.35">
      <c r="A101" s="2" t="s">
        <v>202</v>
      </c>
      <c r="B101" s="87">
        <f>50000*0.94</f>
        <v>47000</v>
      </c>
      <c r="C101" s="87">
        <f>50000*0.94</f>
        <v>47000</v>
      </c>
      <c r="D101" s="87">
        <f>50000*0.94</f>
        <v>47000</v>
      </c>
      <c r="E101" s="87">
        <f>+SUM(B101:D101)</f>
        <v>141000</v>
      </c>
    </row>
    <row r="102" spans="1:5" x14ac:dyDescent="0.35">
      <c r="A102" s="109" t="s">
        <v>201</v>
      </c>
      <c r="B102" s="87">
        <f>50000-B101</f>
        <v>3000</v>
      </c>
      <c r="C102" s="87">
        <f>50000-C101</f>
        <v>3000</v>
      </c>
      <c r="D102" s="87">
        <f>50000-D101</f>
        <v>3000</v>
      </c>
      <c r="E102" s="87">
        <f>+SUM(B102:D102)</f>
        <v>9000</v>
      </c>
    </row>
    <row r="103" spans="1:5" x14ac:dyDescent="0.35">
      <c r="A103" s="109" t="s">
        <v>44</v>
      </c>
      <c r="B103" s="87">
        <f>+B101+B102</f>
        <v>50000</v>
      </c>
      <c r="C103" s="87">
        <f>+C101+C102</f>
        <v>50000</v>
      </c>
      <c r="D103" s="87">
        <f>+D101+D102</f>
        <v>50000</v>
      </c>
      <c r="E103" s="87">
        <f>+SUM(B103:D103)</f>
        <v>150000</v>
      </c>
    </row>
    <row r="105" spans="1:5" x14ac:dyDescent="0.35">
      <c r="A105" s="22" t="s">
        <v>449</v>
      </c>
      <c r="B105" s="158" t="s">
        <v>185</v>
      </c>
      <c r="C105" s="158" t="s">
        <v>186</v>
      </c>
      <c r="D105" s="158" t="s">
        <v>188</v>
      </c>
      <c r="E105" s="16" t="s">
        <v>44</v>
      </c>
    </row>
    <row r="106" spans="1:5" x14ac:dyDescent="0.35">
      <c r="A106" s="119" t="s">
        <v>202</v>
      </c>
      <c r="B106" s="87">
        <f t="shared" ref="B106:D107" si="2">+B96+B101</f>
        <v>110000</v>
      </c>
      <c r="C106" s="87">
        <f t="shared" si="2"/>
        <v>110000</v>
      </c>
      <c r="D106" s="87">
        <f t="shared" si="2"/>
        <v>110000</v>
      </c>
      <c r="E106" s="87">
        <f>+SUM(B106:D106)</f>
        <v>330000</v>
      </c>
    </row>
    <row r="107" spans="1:5" x14ac:dyDescent="0.35">
      <c r="A107" s="119" t="s">
        <v>201</v>
      </c>
      <c r="B107" s="87">
        <f t="shared" si="2"/>
        <v>10000</v>
      </c>
      <c r="C107" s="87">
        <f t="shared" si="2"/>
        <v>10000</v>
      </c>
      <c r="D107" s="87">
        <f t="shared" si="2"/>
        <v>10000</v>
      </c>
      <c r="E107" s="87">
        <f>+SUM(B107:D107)</f>
        <v>30000</v>
      </c>
    </row>
    <row r="108" spans="1:5" x14ac:dyDescent="0.35">
      <c r="A108" s="119" t="s">
        <v>44</v>
      </c>
      <c r="B108" s="87">
        <f>+SUM(B106:B107)</f>
        <v>120000</v>
      </c>
      <c r="C108" s="87">
        <f>+SUM(C106:C107)</f>
        <v>120000</v>
      </c>
      <c r="D108" s="87">
        <f>+SUM(D106:D107)</f>
        <v>120000</v>
      </c>
      <c r="E108" s="87">
        <f>+SUM(B108:D108)</f>
        <v>360000</v>
      </c>
    </row>
    <row r="110" spans="1:5" x14ac:dyDescent="0.35">
      <c r="A110" s="2"/>
      <c r="B110" s="158" t="s">
        <v>185</v>
      </c>
      <c r="C110" s="158" t="s">
        <v>186</v>
      </c>
      <c r="D110" s="158" t="s">
        <v>188</v>
      </c>
      <c r="E110" s="16" t="s">
        <v>44</v>
      </c>
    </row>
    <row r="111" spans="1:5" x14ac:dyDescent="0.35">
      <c r="A111" s="2" t="s">
        <v>451</v>
      </c>
      <c r="B111" s="87">
        <f>+B80</f>
        <v>25000</v>
      </c>
      <c r="C111" s="87">
        <f>+C80</f>
        <v>25000</v>
      </c>
      <c r="D111" s="87">
        <f>+D80</f>
        <v>25000</v>
      </c>
      <c r="E111" s="87">
        <f>+SUM(B111:D111)</f>
        <v>75000</v>
      </c>
    </row>
    <row r="112" spans="1:5" x14ac:dyDescent="0.35">
      <c r="A112" s="2" t="s">
        <v>449</v>
      </c>
      <c r="B112" s="87">
        <f>+B108</f>
        <v>120000</v>
      </c>
      <c r="C112" s="87">
        <f>+C108</f>
        <v>120000</v>
      </c>
      <c r="D112" s="87">
        <f>+D108</f>
        <v>120000</v>
      </c>
      <c r="E112" s="87">
        <f>+SUM(B112:D112)</f>
        <v>360000</v>
      </c>
    </row>
    <row r="113" spans="1:5" x14ac:dyDescent="0.35">
      <c r="A113" s="167" t="s">
        <v>450</v>
      </c>
      <c r="B113" s="150">
        <f>+B111+B112</f>
        <v>145000</v>
      </c>
      <c r="C113" s="150">
        <f>+C111+C112</f>
        <v>145000</v>
      </c>
      <c r="D113" s="150">
        <f>+D111+D112</f>
        <v>145000</v>
      </c>
      <c r="E113" s="150">
        <f>+SUM(B113:D113)</f>
        <v>435000</v>
      </c>
    </row>
    <row r="115" spans="1:5" x14ac:dyDescent="0.35">
      <c r="A115" s="22" t="s">
        <v>483</v>
      </c>
      <c r="B115" s="12">
        <f>+B96+B101+B88</f>
        <v>132500</v>
      </c>
      <c r="C115" s="12">
        <f>+C96+C101+C88</f>
        <v>132500</v>
      </c>
      <c r="D115" s="12">
        <f>+D96+D101+D88</f>
        <v>132500</v>
      </c>
    </row>
    <row r="118" spans="1:5" x14ac:dyDescent="0.35">
      <c r="A118" s="187" t="s">
        <v>452</v>
      </c>
      <c r="B118" s="187"/>
    </row>
    <row r="119" spans="1:5" x14ac:dyDescent="0.35">
      <c r="A119" s="2"/>
      <c r="B119" s="2"/>
      <c r="C119" s="190" t="s">
        <v>453</v>
      </c>
      <c r="D119" s="190"/>
      <c r="E119" s="2"/>
    </row>
    <row r="120" spans="1:5" x14ac:dyDescent="0.35">
      <c r="A120" s="2"/>
      <c r="B120" s="2"/>
      <c r="C120" s="6" t="s">
        <v>371</v>
      </c>
      <c r="D120" s="6" t="s">
        <v>372</v>
      </c>
      <c r="E120" s="2" t="s">
        <v>44</v>
      </c>
    </row>
    <row r="121" spans="1:5" x14ac:dyDescent="0.35">
      <c r="A121" s="2" t="s">
        <v>454</v>
      </c>
      <c r="B121" s="2"/>
      <c r="C121" s="12">
        <f>+E98</f>
        <v>210000</v>
      </c>
      <c r="D121" s="12">
        <f>+E103</f>
        <v>150000</v>
      </c>
      <c r="E121" s="12">
        <f>+SUM(C121:D121)</f>
        <v>360000</v>
      </c>
    </row>
    <row r="122" spans="1:5" x14ac:dyDescent="0.35">
      <c r="A122" s="2" t="s">
        <v>439</v>
      </c>
      <c r="B122" s="2"/>
      <c r="C122" s="87">
        <f>+E122*C123/E123</f>
        <v>52500</v>
      </c>
      <c r="D122" s="87">
        <f>E122*D123/E123</f>
        <v>22500</v>
      </c>
      <c r="E122" s="12">
        <f>+E80</f>
        <v>75000</v>
      </c>
    </row>
    <row r="123" spans="1:5" x14ac:dyDescent="0.35">
      <c r="A123" s="2" t="s">
        <v>455</v>
      </c>
      <c r="B123" s="2" t="s">
        <v>383</v>
      </c>
      <c r="C123" s="2">
        <v>140</v>
      </c>
      <c r="D123" s="2">
        <v>60</v>
      </c>
      <c r="E123" s="6">
        <v>200</v>
      </c>
    </row>
    <row r="124" spans="1:5" x14ac:dyDescent="0.35">
      <c r="A124" s="2" t="s">
        <v>44</v>
      </c>
      <c r="B124" s="2"/>
      <c r="C124" s="12">
        <f>SUM(C121:C122)</f>
        <v>262500</v>
      </c>
      <c r="D124" s="12">
        <f>SUM(D121:D122)</f>
        <v>172500</v>
      </c>
      <c r="E124" s="12">
        <f>+SUM(C124:D124)</f>
        <v>435000</v>
      </c>
    </row>
    <row r="126" spans="1:5" x14ac:dyDescent="0.35">
      <c r="A126" s="2" t="s">
        <v>456</v>
      </c>
      <c r="B126" s="2"/>
      <c r="C126" s="153">
        <f>+E61</f>
        <v>73000</v>
      </c>
      <c r="D126" s="153">
        <f>+E62</f>
        <v>146000</v>
      </c>
      <c r="E126" s="166">
        <f>+C126+D126</f>
        <v>219000</v>
      </c>
    </row>
    <row r="127" spans="1:5" x14ac:dyDescent="0.35">
      <c r="A127" s="167" t="s">
        <v>457</v>
      </c>
      <c r="B127" s="2"/>
      <c r="C127" s="150">
        <f>+C124/C126</f>
        <v>3.595890410958904</v>
      </c>
      <c r="D127" s="150">
        <f>+D124/D126</f>
        <v>1.1815068493150684</v>
      </c>
      <c r="E127" s="2"/>
    </row>
    <row r="129" spans="1:5" x14ac:dyDescent="0.35">
      <c r="A129" s="187" t="s">
        <v>458</v>
      </c>
      <c r="B129" s="187"/>
    </row>
    <row r="130" spans="1:5" x14ac:dyDescent="0.35">
      <c r="A130" s="1" t="s">
        <v>156</v>
      </c>
    </row>
    <row r="131" spans="1:5" x14ac:dyDescent="0.35">
      <c r="A131" s="22"/>
      <c r="B131" s="158" t="s">
        <v>185</v>
      </c>
      <c r="C131" s="158" t="s">
        <v>186</v>
      </c>
      <c r="D131" s="158" t="s">
        <v>188</v>
      </c>
      <c r="E131" s="16" t="s">
        <v>44</v>
      </c>
    </row>
    <row r="132" spans="1:5" x14ac:dyDescent="0.35">
      <c r="A132" s="2" t="s">
        <v>153</v>
      </c>
      <c r="B132" s="12">
        <f>+B48</f>
        <v>937750</v>
      </c>
      <c r="C132" s="12">
        <f>+C48</f>
        <v>1361250</v>
      </c>
      <c r="D132" s="12">
        <f>+D48</f>
        <v>2117500</v>
      </c>
      <c r="E132" s="12">
        <f t="shared" ref="E132:E137" si="3">+SUM(B132:D132)</f>
        <v>4416500</v>
      </c>
    </row>
    <row r="133" spans="1:5" x14ac:dyDescent="0.35">
      <c r="A133" s="2" t="s">
        <v>154</v>
      </c>
      <c r="B133" s="12">
        <f>+B69</f>
        <v>248000</v>
      </c>
      <c r="C133" s="12">
        <f>+C69</f>
        <v>360000</v>
      </c>
      <c r="D133" s="12">
        <f>+D69</f>
        <v>560000</v>
      </c>
      <c r="E133" s="12">
        <f t="shared" si="3"/>
        <v>1168000</v>
      </c>
    </row>
    <row r="134" spans="1:5" x14ac:dyDescent="0.35">
      <c r="A134" s="2" t="s">
        <v>179</v>
      </c>
      <c r="B134" s="12">
        <f>+B61*$C$127+B62*$D$127</f>
        <v>92363.013698630122</v>
      </c>
      <c r="C134" s="12">
        <f>+C61*$C$127+C62*$D$127</f>
        <v>134075.34246575341</v>
      </c>
      <c r="D134" s="12">
        <f>+D61*$C$127+D62*$D$127</f>
        <v>208561.64383561641</v>
      </c>
      <c r="E134" s="12">
        <f t="shared" si="3"/>
        <v>434999.99999999994</v>
      </c>
    </row>
    <row r="135" spans="1:5" x14ac:dyDescent="0.35">
      <c r="A135" s="2" t="s">
        <v>61</v>
      </c>
      <c r="B135" s="12">
        <f>+SUM(B132:B134)</f>
        <v>1278113.01369863</v>
      </c>
      <c r="C135" s="12">
        <f>+SUM(C132:C134)</f>
        <v>1855325.3424657534</v>
      </c>
      <c r="D135" s="12">
        <f>+SUM(D132:D134)</f>
        <v>2886061.6438356163</v>
      </c>
      <c r="E135" s="12">
        <f t="shared" si="3"/>
        <v>6019500</v>
      </c>
    </row>
    <row r="136" spans="1:5" x14ac:dyDescent="0.35">
      <c r="A136" s="2" t="s">
        <v>459</v>
      </c>
      <c r="B136" s="2">
        <f>+B19</f>
        <v>31000</v>
      </c>
      <c r="C136" s="2">
        <f>+C19</f>
        <v>45000</v>
      </c>
      <c r="D136" s="2">
        <f>+D19</f>
        <v>70000</v>
      </c>
      <c r="E136" s="153">
        <f t="shared" si="3"/>
        <v>146000</v>
      </c>
    </row>
    <row r="137" spans="1:5" x14ac:dyDescent="0.35">
      <c r="A137" s="167" t="s">
        <v>460</v>
      </c>
      <c r="B137" s="150">
        <f>+B135/B136</f>
        <v>41.229452054794514</v>
      </c>
      <c r="C137" s="150">
        <f>+C135/C136</f>
        <v>41.229452054794521</v>
      </c>
      <c r="D137" s="150">
        <f>+D135/D136</f>
        <v>41.229452054794521</v>
      </c>
      <c r="E137" s="152">
        <f t="shared" si="3"/>
        <v>123.68835616438356</v>
      </c>
    </row>
    <row r="139" spans="1:5" x14ac:dyDescent="0.35">
      <c r="A139" s="1" t="s">
        <v>461</v>
      </c>
    </row>
    <row r="141" spans="1:5" x14ac:dyDescent="0.35">
      <c r="A141" s="22"/>
      <c r="B141" s="158" t="s">
        <v>185</v>
      </c>
      <c r="C141" s="158" t="s">
        <v>186</v>
      </c>
      <c r="D141" s="158" t="s">
        <v>188</v>
      </c>
      <c r="E141" s="16" t="s">
        <v>44</v>
      </c>
    </row>
    <row r="142" spans="1:5" x14ac:dyDescent="0.35">
      <c r="A142" s="22" t="s">
        <v>462</v>
      </c>
      <c r="B142" s="12">
        <f>+B16</f>
        <v>30000</v>
      </c>
      <c r="C142" s="12">
        <f>+C16</f>
        <v>40000</v>
      </c>
      <c r="D142" s="12">
        <f>+D16</f>
        <v>60000</v>
      </c>
      <c r="E142" s="12">
        <f>+SUM(B142:D142)</f>
        <v>130000</v>
      </c>
    </row>
    <row r="143" spans="1:5" x14ac:dyDescent="0.35">
      <c r="A143" s="22" t="s">
        <v>463</v>
      </c>
      <c r="B143" s="12">
        <f>+B137</f>
        <v>41.229452054794514</v>
      </c>
      <c r="C143" s="12">
        <f>+C137</f>
        <v>41.229452054794521</v>
      </c>
      <c r="D143" s="12">
        <f>+D137</f>
        <v>41.229452054794521</v>
      </c>
      <c r="E143" s="12">
        <f>+SUM(B143:D143)</f>
        <v>123.68835616438356</v>
      </c>
    </row>
    <row r="144" spans="1:5" x14ac:dyDescent="0.35">
      <c r="A144" s="167" t="s">
        <v>139</v>
      </c>
      <c r="B144" s="152">
        <f>+B142*B143</f>
        <v>1236883.5616438354</v>
      </c>
      <c r="C144" s="152">
        <f>+C142*C143</f>
        <v>1649178.0821917809</v>
      </c>
      <c r="D144" s="152">
        <f>+D142*D143</f>
        <v>2473767.1232876712</v>
      </c>
      <c r="E144" s="152">
        <f>+SUM(B144:D144)</f>
        <v>5359828.7671232875</v>
      </c>
    </row>
    <row r="146" spans="1:5" x14ac:dyDescent="0.35">
      <c r="A146" s="188" t="s">
        <v>464</v>
      </c>
      <c r="B146" s="188"/>
      <c r="C146" s="188"/>
    </row>
    <row r="148" spans="1:5" x14ac:dyDescent="0.35">
      <c r="A148" s="22" t="s">
        <v>465</v>
      </c>
      <c r="B148" s="158" t="s">
        <v>185</v>
      </c>
      <c r="C148" s="158" t="s">
        <v>186</v>
      </c>
      <c r="D148" s="158" t="s">
        <v>188</v>
      </c>
      <c r="E148" s="16" t="s">
        <v>44</v>
      </c>
    </row>
    <row r="149" spans="1:5" x14ac:dyDescent="0.35">
      <c r="A149" s="22" t="s">
        <v>199</v>
      </c>
      <c r="B149" s="2">
        <f>150000*0.98</f>
        <v>147000</v>
      </c>
      <c r="C149" s="2">
        <f>150000*0.98</f>
        <v>147000</v>
      </c>
      <c r="D149" s="2">
        <f>150000*0.98</f>
        <v>147000</v>
      </c>
      <c r="E149" s="12">
        <f>+SUM(B149:D149)</f>
        <v>441000</v>
      </c>
    </row>
    <row r="150" spans="1:5" x14ac:dyDescent="0.35">
      <c r="A150" s="22" t="s">
        <v>201</v>
      </c>
      <c r="B150" s="2">
        <f>150000-B149</f>
        <v>3000</v>
      </c>
      <c r="C150" s="2">
        <f>150000-C149</f>
        <v>3000</v>
      </c>
      <c r="D150" s="2">
        <f>150000-D149</f>
        <v>3000</v>
      </c>
      <c r="E150" s="12">
        <f>+SUM(B150:D150)</f>
        <v>9000</v>
      </c>
    </row>
    <row r="151" spans="1:5" x14ac:dyDescent="0.35">
      <c r="A151" s="106" t="s">
        <v>44</v>
      </c>
      <c r="B151" s="2">
        <f>+B150+B149</f>
        <v>150000</v>
      </c>
      <c r="C151" s="2">
        <f>+C150+C149</f>
        <v>150000</v>
      </c>
      <c r="D151" s="2">
        <f>+D150+D149</f>
        <v>150000</v>
      </c>
      <c r="E151" s="12">
        <f>+SUM(B151:D151)</f>
        <v>450000</v>
      </c>
    </row>
    <row r="153" spans="1:5" x14ac:dyDescent="0.35">
      <c r="A153" s="106" t="s">
        <v>466</v>
      </c>
      <c r="B153" s="12">
        <f>+B81</f>
        <v>10000</v>
      </c>
      <c r="C153" s="12">
        <f>+C81</f>
        <v>10000</v>
      </c>
      <c r="D153" s="12">
        <f>+D81</f>
        <v>10000</v>
      </c>
      <c r="E153" s="12">
        <f>+SUM(B153:D153)</f>
        <v>30000</v>
      </c>
    </row>
    <row r="154" spans="1:5" x14ac:dyDescent="0.35">
      <c r="A154" s="167" t="s">
        <v>467</v>
      </c>
      <c r="B154" s="152">
        <f>+B151+B153</f>
        <v>160000</v>
      </c>
      <c r="C154" s="152">
        <f>+C151+C153</f>
        <v>160000</v>
      </c>
      <c r="D154" s="152">
        <f>+D151+D153</f>
        <v>160000</v>
      </c>
      <c r="E154" s="152">
        <f>+SUM(B154:D154)</f>
        <v>480000</v>
      </c>
    </row>
    <row r="156" spans="1:5" x14ac:dyDescent="0.35">
      <c r="A156" s="106" t="s">
        <v>445</v>
      </c>
      <c r="B156" s="12">
        <f>+B149+B153</f>
        <v>157000</v>
      </c>
      <c r="C156" s="12">
        <f>+C149+C153</f>
        <v>157000</v>
      </c>
      <c r="D156" s="12">
        <f>+D149+D153</f>
        <v>157000</v>
      </c>
      <c r="E156" s="12">
        <f>+SUM(B156:D156)</f>
        <v>471000</v>
      </c>
    </row>
    <row r="159" spans="1:5" x14ac:dyDescent="0.35">
      <c r="A159" s="188" t="s">
        <v>468</v>
      </c>
      <c r="B159" s="188"/>
      <c r="C159" s="188"/>
    </row>
    <row r="161" spans="1:6" x14ac:dyDescent="0.35">
      <c r="A161" s="22" t="s">
        <v>469</v>
      </c>
      <c r="B161" s="158" t="s">
        <v>185</v>
      </c>
      <c r="C161" s="158" t="s">
        <v>186</v>
      </c>
      <c r="D161" s="158" t="s">
        <v>188</v>
      </c>
      <c r="E161" s="16" t="s">
        <v>44</v>
      </c>
    </row>
    <row r="162" spans="1:6" x14ac:dyDescent="0.35">
      <c r="A162" s="22" t="s">
        <v>199</v>
      </c>
      <c r="B162" s="2">
        <f>100000*0.95</f>
        <v>95000</v>
      </c>
      <c r="C162" s="2">
        <f>100000*0.95</f>
        <v>95000</v>
      </c>
      <c r="D162" s="2">
        <f>100000*0.95</f>
        <v>95000</v>
      </c>
      <c r="E162" s="12">
        <f>+SUM(B162:D162)</f>
        <v>285000</v>
      </c>
    </row>
    <row r="163" spans="1:6" x14ac:dyDescent="0.35">
      <c r="A163" s="22" t="s">
        <v>201</v>
      </c>
      <c r="B163" s="2">
        <v>5000</v>
      </c>
      <c r="C163" s="2">
        <v>5000</v>
      </c>
      <c r="D163" s="2">
        <v>5000</v>
      </c>
      <c r="E163" s="12">
        <f>+SUM(B163:D163)</f>
        <v>15000</v>
      </c>
    </row>
    <row r="164" spans="1:6" x14ac:dyDescent="0.35">
      <c r="A164" s="106" t="s">
        <v>44</v>
      </c>
      <c r="B164" s="2">
        <f>+B163+B162</f>
        <v>100000</v>
      </c>
      <c r="C164" s="2">
        <f>+C163+C162</f>
        <v>100000</v>
      </c>
      <c r="D164" s="2">
        <f>+D163+D162</f>
        <v>100000</v>
      </c>
      <c r="E164" s="12">
        <f>+SUM(B164:D164)</f>
        <v>300000</v>
      </c>
    </row>
    <row r="166" spans="1:6" x14ac:dyDescent="0.35">
      <c r="A166" s="106" t="s">
        <v>466</v>
      </c>
      <c r="B166" s="12">
        <f>+B82</f>
        <v>15000</v>
      </c>
      <c r="C166" s="12">
        <f>+C82</f>
        <v>15000</v>
      </c>
      <c r="D166" s="12">
        <f>+D82</f>
        <v>15000</v>
      </c>
      <c r="E166" s="12">
        <f>+SUM(B166:D166)</f>
        <v>45000</v>
      </c>
    </row>
    <row r="167" spans="1:6" x14ac:dyDescent="0.35">
      <c r="A167" s="167" t="s">
        <v>470</v>
      </c>
      <c r="B167" s="152">
        <f>+B164+B166</f>
        <v>115000</v>
      </c>
      <c r="C167" s="152">
        <f>+C164+C166</f>
        <v>115000</v>
      </c>
      <c r="D167" s="152">
        <f>+D164+D166</f>
        <v>115000</v>
      </c>
      <c r="E167" s="152">
        <f>+SUM(B167:D167)</f>
        <v>345000</v>
      </c>
    </row>
    <row r="169" spans="1:6" x14ac:dyDescent="0.35">
      <c r="A169" s="106" t="s">
        <v>445</v>
      </c>
      <c r="B169" s="12">
        <f>+B162+B166</f>
        <v>110000</v>
      </c>
      <c r="C169" s="12">
        <f>+C162+C166</f>
        <v>110000</v>
      </c>
      <c r="D169" s="12">
        <f>+D162+D166</f>
        <v>110000</v>
      </c>
      <c r="E169" s="12">
        <f>+SUM(B169:D169)</f>
        <v>330000</v>
      </c>
    </row>
    <row r="171" spans="1:6" x14ac:dyDescent="0.35">
      <c r="A171" s="188" t="s">
        <v>273</v>
      </c>
      <c r="B171" s="188"/>
      <c r="C171" s="188"/>
    </row>
    <row r="173" spans="1:6" x14ac:dyDescent="0.35">
      <c r="A173" s="2"/>
      <c r="B173" s="2"/>
      <c r="C173" s="158" t="s">
        <v>185</v>
      </c>
      <c r="D173" s="158" t="s">
        <v>186</v>
      </c>
      <c r="E173" s="158" t="s">
        <v>188</v>
      </c>
      <c r="F173" s="16" t="s">
        <v>44</v>
      </c>
    </row>
    <row r="174" spans="1:6" x14ac:dyDescent="0.35">
      <c r="A174" s="22" t="s">
        <v>52</v>
      </c>
      <c r="B174" s="22"/>
      <c r="C174" s="12">
        <f>+B12</f>
        <v>2133600</v>
      </c>
      <c r="D174" s="12">
        <f>+C12</f>
        <v>2844800</v>
      </c>
      <c r="E174" s="12">
        <f>+D12</f>
        <v>4267200</v>
      </c>
      <c r="F174" s="12">
        <f>+SUM(C174:E174)</f>
        <v>9245600</v>
      </c>
    </row>
    <row r="175" spans="1:6" x14ac:dyDescent="0.35">
      <c r="A175" s="22" t="s">
        <v>139</v>
      </c>
      <c r="B175" s="2"/>
      <c r="C175" s="12">
        <f>+B144</f>
        <v>1236883.5616438354</v>
      </c>
      <c r="D175" s="12">
        <f>+C144</f>
        <v>1649178.0821917809</v>
      </c>
      <c r="E175" s="12">
        <f>+D144</f>
        <v>2473767.1232876712</v>
      </c>
      <c r="F175" s="12">
        <f t="shared" ref="F175:F182" si="4">+SUM(C175:E175)</f>
        <v>5359828.7671232875</v>
      </c>
    </row>
    <row r="176" spans="1:6" x14ac:dyDescent="0.35">
      <c r="A176" s="22" t="s">
        <v>140</v>
      </c>
      <c r="B176" s="2"/>
      <c r="C176" s="12">
        <f>+C174-C175</f>
        <v>896716.43835616461</v>
      </c>
      <c r="D176" s="12">
        <f>+D174-D175</f>
        <v>1195621.9178082191</v>
      </c>
      <c r="E176" s="12">
        <f>+E174-E175</f>
        <v>1793432.8767123288</v>
      </c>
      <c r="F176" s="12">
        <f t="shared" si="4"/>
        <v>3885771.2328767125</v>
      </c>
    </row>
    <row r="177" spans="1:6" x14ac:dyDescent="0.35">
      <c r="A177" s="22" t="s">
        <v>303</v>
      </c>
      <c r="B177" s="2"/>
      <c r="C177" s="12">
        <f>+B154</f>
        <v>160000</v>
      </c>
      <c r="D177" s="12">
        <f>+C154</f>
        <v>160000</v>
      </c>
      <c r="E177" s="12">
        <f>+D154</f>
        <v>160000</v>
      </c>
      <c r="F177" s="12">
        <f t="shared" si="4"/>
        <v>480000</v>
      </c>
    </row>
    <row r="178" spans="1:6" x14ac:dyDescent="0.35">
      <c r="A178" s="22" t="s">
        <v>302</v>
      </c>
      <c r="B178" s="2"/>
      <c r="C178" s="12">
        <f>+B167</f>
        <v>115000</v>
      </c>
      <c r="D178" s="12">
        <f>+C167</f>
        <v>115000</v>
      </c>
      <c r="E178" s="12">
        <f>+D167</f>
        <v>115000</v>
      </c>
      <c r="F178" s="12">
        <f t="shared" si="4"/>
        <v>345000</v>
      </c>
    </row>
    <row r="179" spans="1:6" x14ac:dyDescent="0.35">
      <c r="A179" s="22" t="s">
        <v>471</v>
      </c>
      <c r="B179" s="2"/>
      <c r="C179" s="12">
        <f>+C176-C177-C178</f>
        <v>621716.43835616461</v>
      </c>
      <c r="D179" s="12">
        <f>+D176-D177-D178</f>
        <v>920621.91780821909</v>
      </c>
      <c r="E179" s="12">
        <f>+E176-E177-E178</f>
        <v>1518432.8767123288</v>
      </c>
      <c r="F179" s="12">
        <f t="shared" si="4"/>
        <v>3060771.2328767125</v>
      </c>
    </row>
    <row r="180" spans="1:6" x14ac:dyDescent="0.35">
      <c r="A180" s="22" t="s">
        <v>472</v>
      </c>
      <c r="C180" s="12">
        <f>+C179</f>
        <v>621716.43835616461</v>
      </c>
      <c r="D180" s="12">
        <f>+D179</f>
        <v>920621.91780821909</v>
      </c>
      <c r="E180" s="12">
        <f>+E179</f>
        <v>1518432.8767123288</v>
      </c>
      <c r="F180" s="12">
        <f t="shared" si="4"/>
        <v>3060771.2328767125</v>
      </c>
    </row>
    <row r="181" spans="1:6" x14ac:dyDescent="0.35">
      <c r="A181" s="22" t="s">
        <v>473</v>
      </c>
      <c r="B181" s="85">
        <v>0.3</v>
      </c>
      <c r="C181" s="87">
        <f>-C180*$B$181</f>
        <v>-186514.93150684939</v>
      </c>
      <c r="D181" s="87">
        <f>-D180*$B$181</f>
        <v>-276186.57534246572</v>
      </c>
      <c r="E181" s="87">
        <f>-E180*$B$181</f>
        <v>-455529.8630136986</v>
      </c>
      <c r="F181" s="12">
        <f t="shared" si="4"/>
        <v>-918231.36986301374</v>
      </c>
    </row>
    <row r="182" spans="1:6" x14ac:dyDescent="0.35">
      <c r="A182" s="167" t="s">
        <v>242</v>
      </c>
      <c r="B182" s="167"/>
      <c r="C182" s="169">
        <f>+C180+C181</f>
        <v>435201.50684931525</v>
      </c>
      <c r="D182" s="169">
        <f>+D180+D181</f>
        <v>644435.34246575343</v>
      </c>
      <c r="E182" s="169">
        <f>+E180+E181</f>
        <v>1062903.01369863</v>
      </c>
      <c r="F182" s="12">
        <f t="shared" si="4"/>
        <v>2142539.8630136987</v>
      </c>
    </row>
    <row r="184" spans="1:6" x14ac:dyDescent="0.35">
      <c r="A184" s="188" t="s">
        <v>216</v>
      </c>
      <c r="B184" s="188"/>
      <c r="C184" s="188"/>
    </row>
    <row r="186" spans="1:6" x14ac:dyDescent="0.35">
      <c r="B186" s="158" t="s">
        <v>185</v>
      </c>
      <c r="C186" s="158" t="s">
        <v>186</v>
      </c>
      <c r="D186" s="158" t="s">
        <v>188</v>
      </c>
      <c r="E186" s="16" t="s">
        <v>44</v>
      </c>
    </row>
    <row r="187" spans="1:6" x14ac:dyDescent="0.35">
      <c r="A187" s="22" t="s">
        <v>217</v>
      </c>
      <c r="B187" s="87">
        <f>+B230</f>
        <v>1000000</v>
      </c>
      <c r="C187" s="87">
        <f>+B199</f>
        <v>482500</v>
      </c>
      <c r="D187" s="87">
        <f>+C199</f>
        <v>200575</v>
      </c>
      <c r="E187" s="2"/>
    </row>
    <row r="188" spans="1:6" x14ac:dyDescent="0.35">
      <c r="A188" s="115" t="s">
        <v>231</v>
      </c>
      <c r="B188" s="87"/>
      <c r="C188" s="87"/>
      <c r="D188" s="87"/>
      <c r="E188" s="2"/>
    </row>
    <row r="189" spans="1:6" x14ac:dyDescent="0.35">
      <c r="A189" s="22" t="s">
        <v>218</v>
      </c>
      <c r="B189" s="87">
        <f>+C207+B231</f>
        <v>1566800</v>
      </c>
      <c r="C189" s="87">
        <f>+D207</f>
        <v>1955800</v>
      </c>
      <c r="D189" s="87">
        <f>+E207</f>
        <v>3378200</v>
      </c>
      <c r="E189" s="12"/>
    </row>
    <row r="190" spans="1:6" x14ac:dyDescent="0.35">
      <c r="A190" s="110" t="s">
        <v>219</v>
      </c>
      <c r="B190" s="87">
        <f>+B187+B189</f>
        <v>2566800</v>
      </c>
      <c r="C190" s="87">
        <f>+C187+C189</f>
        <v>2438300</v>
      </c>
      <c r="D190" s="87">
        <f>+D187+D189</f>
        <v>3578775</v>
      </c>
      <c r="E190" s="2"/>
    </row>
    <row r="191" spans="1:6" x14ac:dyDescent="0.35">
      <c r="A191" s="114" t="s">
        <v>220</v>
      </c>
      <c r="B191" s="87"/>
      <c r="C191" s="87"/>
      <c r="D191" s="87"/>
      <c r="E191" s="2"/>
    </row>
    <row r="192" spans="1:6" x14ac:dyDescent="0.35">
      <c r="A192" s="106" t="s">
        <v>475</v>
      </c>
      <c r="B192" s="87">
        <f>+C214+D230</f>
        <v>1187300</v>
      </c>
      <c r="C192" s="87">
        <f>+D214</f>
        <v>1442725</v>
      </c>
      <c r="D192" s="87">
        <f>+E214</f>
        <v>2311100</v>
      </c>
      <c r="E192" s="2"/>
    </row>
    <row r="193" spans="1:7" x14ac:dyDescent="0.35">
      <c r="A193" s="106" t="s">
        <v>474</v>
      </c>
      <c r="B193" s="87">
        <f>+C222</f>
        <v>500000</v>
      </c>
      <c r="C193" s="87">
        <f>+D222</f>
        <v>248000</v>
      </c>
      <c r="D193" s="87">
        <f>+E222</f>
        <v>360000</v>
      </c>
      <c r="E193" s="2"/>
    </row>
    <row r="194" spans="1:7" x14ac:dyDescent="0.35">
      <c r="A194" s="106" t="s">
        <v>476</v>
      </c>
      <c r="B194" s="87">
        <f>+B115</f>
        <v>132500</v>
      </c>
      <c r="C194" s="87">
        <f>+C115</f>
        <v>132500</v>
      </c>
      <c r="D194" s="87">
        <f>+D115</f>
        <v>132500</v>
      </c>
      <c r="E194" s="2"/>
    </row>
    <row r="195" spans="1:7" x14ac:dyDescent="0.35">
      <c r="A195" s="106" t="s">
        <v>309</v>
      </c>
      <c r="B195" s="87">
        <v>0</v>
      </c>
      <c r="C195" s="87">
        <v>150000</v>
      </c>
      <c r="D195" s="87">
        <v>0</v>
      </c>
      <c r="E195" s="2"/>
    </row>
    <row r="196" spans="1:7" x14ac:dyDescent="0.35">
      <c r="A196" s="106" t="s">
        <v>477</v>
      </c>
      <c r="B196" s="87">
        <f>+B162+B90</f>
        <v>108500</v>
      </c>
      <c r="C196" s="87">
        <f>+C162+C90</f>
        <v>108500</v>
      </c>
      <c r="D196" s="87">
        <f>+D162+D90</f>
        <v>108500</v>
      </c>
      <c r="E196" s="2"/>
    </row>
    <row r="197" spans="1:7" x14ac:dyDescent="0.35">
      <c r="A197" s="22" t="s">
        <v>478</v>
      </c>
      <c r="B197" s="87">
        <f>+B149+B89</f>
        <v>156000</v>
      </c>
      <c r="C197" s="87">
        <f>+C149+C89</f>
        <v>156000</v>
      </c>
      <c r="D197" s="87">
        <f>+D149+D89</f>
        <v>156000</v>
      </c>
      <c r="E197" s="2"/>
    </row>
    <row r="198" spans="1:7" x14ac:dyDescent="0.35">
      <c r="A198" s="110" t="s">
        <v>222</v>
      </c>
      <c r="B198" s="87">
        <f>-SUM(B192:B197)</f>
        <v>-2084300</v>
      </c>
      <c r="C198" s="87">
        <f>-SUM(C192:C197)</f>
        <v>-2237725</v>
      </c>
      <c r="D198" s="87">
        <f>-SUM(D192:D197)</f>
        <v>-3068100</v>
      </c>
      <c r="E198" s="2"/>
    </row>
    <row r="199" spans="1:7" x14ac:dyDescent="0.35">
      <c r="A199" s="106" t="s">
        <v>223</v>
      </c>
      <c r="B199" s="87">
        <f>+B190+B198</f>
        <v>482500</v>
      </c>
      <c r="C199" s="87">
        <f>+C190+C198</f>
        <v>200575</v>
      </c>
      <c r="D199" s="87">
        <f>+D190+D198</f>
        <v>510675</v>
      </c>
      <c r="E199" s="2"/>
    </row>
    <row r="202" spans="1:7" x14ac:dyDescent="0.35">
      <c r="A202" s="1" t="s">
        <v>479</v>
      </c>
    </row>
    <row r="203" spans="1:7" x14ac:dyDescent="0.35">
      <c r="A203" s="2"/>
      <c r="B203" s="2"/>
      <c r="C203" s="22" t="s">
        <v>185</v>
      </c>
      <c r="D203" s="22" t="s">
        <v>186</v>
      </c>
      <c r="E203" s="22" t="s">
        <v>188</v>
      </c>
      <c r="F203" s="22" t="s">
        <v>189</v>
      </c>
      <c r="G203" s="22" t="s">
        <v>190</v>
      </c>
    </row>
    <row r="204" spans="1:7" x14ac:dyDescent="0.35">
      <c r="A204" s="22" t="s">
        <v>185</v>
      </c>
      <c r="B204" s="12">
        <v>2133600</v>
      </c>
      <c r="C204" s="87">
        <f>+B204*0.5</f>
        <v>1066800</v>
      </c>
      <c r="D204" s="87">
        <f>+B204*0.25</f>
        <v>533400</v>
      </c>
      <c r="E204" s="87">
        <f>+B204*0.25</f>
        <v>533400</v>
      </c>
      <c r="F204" s="87"/>
      <c r="G204" s="87"/>
    </row>
    <row r="205" spans="1:7" x14ac:dyDescent="0.35">
      <c r="A205" s="22" t="s">
        <v>186</v>
      </c>
      <c r="B205" s="12">
        <v>2844800</v>
      </c>
      <c r="C205" s="87"/>
      <c r="D205" s="87">
        <f>+B205*0.5</f>
        <v>1422400</v>
      </c>
      <c r="E205" s="87">
        <f>+B205*0.25</f>
        <v>711200</v>
      </c>
      <c r="F205" s="87">
        <f>+B205*0.25</f>
        <v>711200</v>
      </c>
      <c r="G205" s="87"/>
    </row>
    <row r="206" spans="1:7" x14ac:dyDescent="0.35">
      <c r="A206" s="22" t="s">
        <v>188</v>
      </c>
      <c r="B206" s="12">
        <v>4267200</v>
      </c>
      <c r="C206" s="87"/>
      <c r="D206" s="87"/>
      <c r="E206" s="87">
        <f>+B206*0.5</f>
        <v>2133600</v>
      </c>
      <c r="F206" s="87">
        <f>+B206*0.25</f>
        <v>1066800</v>
      </c>
      <c r="G206" s="87">
        <f>+B206*0.25</f>
        <v>1066800</v>
      </c>
    </row>
    <row r="207" spans="1:7" x14ac:dyDescent="0.35">
      <c r="A207" s="106" t="s">
        <v>44</v>
      </c>
      <c r="B207" s="12">
        <f t="shared" ref="B207:G207" si="5">+SUM(B204:B206)</f>
        <v>9245600</v>
      </c>
      <c r="C207" s="12">
        <f t="shared" si="5"/>
        <v>1066800</v>
      </c>
      <c r="D207" s="12">
        <f t="shared" si="5"/>
        <v>1955800</v>
      </c>
      <c r="E207" s="12">
        <f t="shared" si="5"/>
        <v>3378200</v>
      </c>
      <c r="F207" s="12">
        <f t="shared" si="5"/>
        <v>1778000</v>
      </c>
      <c r="G207" s="12">
        <f t="shared" si="5"/>
        <v>1066800</v>
      </c>
    </row>
    <row r="209" spans="1:9" x14ac:dyDescent="0.35">
      <c r="A209" s="1" t="s">
        <v>480</v>
      </c>
    </row>
    <row r="210" spans="1:9" x14ac:dyDescent="0.35">
      <c r="A210" s="2"/>
      <c r="B210" s="2"/>
      <c r="C210" s="22" t="s">
        <v>185</v>
      </c>
      <c r="D210" s="22" t="s">
        <v>186</v>
      </c>
      <c r="E210" s="22" t="s">
        <v>188</v>
      </c>
      <c r="F210" s="22" t="s">
        <v>189</v>
      </c>
    </row>
    <row r="211" spans="1:9" x14ac:dyDescent="0.35">
      <c r="A211" s="22" t="s">
        <v>185</v>
      </c>
      <c r="B211" s="12">
        <f>+B51</f>
        <v>921625</v>
      </c>
      <c r="C211" s="87">
        <f>+B211*0.8</f>
        <v>737300</v>
      </c>
      <c r="D211" s="87">
        <f>+B211*0.2</f>
        <v>184325</v>
      </c>
      <c r="E211" s="87"/>
      <c r="F211" s="87"/>
    </row>
    <row r="212" spans="1:9" x14ac:dyDescent="0.35">
      <c r="A212" s="22" t="s">
        <v>186</v>
      </c>
      <c r="B212" s="12">
        <f>+C51</f>
        <v>1573000</v>
      </c>
      <c r="C212" s="87"/>
      <c r="D212" s="87">
        <f>+B212*0.8</f>
        <v>1258400</v>
      </c>
      <c r="E212" s="87">
        <f>+B212*0.2</f>
        <v>314600</v>
      </c>
      <c r="F212" s="87"/>
      <c r="H212" s="2" t="s">
        <v>485</v>
      </c>
      <c r="I212" s="12">
        <f>+F213</f>
        <v>499125</v>
      </c>
    </row>
    <row r="213" spans="1:9" x14ac:dyDescent="0.35">
      <c r="A213" s="22" t="s">
        <v>188</v>
      </c>
      <c r="B213" s="12">
        <f>+D51</f>
        <v>2495625</v>
      </c>
      <c r="C213" s="87"/>
      <c r="D213" s="87"/>
      <c r="E213" s="87">
        <f>+B213*0.8</f>
        <v>1996500</v>
      </c>
      <c r="F213" s="87">
        <f>+B213*0.2</f>
        <v>499125</v>
      </c>
    </row>
    <row r="214" spans="1:9" x14ac:dyDescent="0.35">
      <c r="A214" s="106" t="s">
        <v>44</v>
      </c>
      <c r="B214" s="12">
        <f>+SUM(B211:B213)</f>
        <v>4990250</v>
      </c>
      <c r="C214" s="12">
        <f>+SUM(C211:C213)</f>
        <v>737300</v>
      </c>
      <c r="D214" s="12">
        <f>+SUM(D211:D213)</f>
        <v>1442725</v>
      </c>
      <c r="E214" s="12">
        <f>+SUM(E211:E213)</f>
        <v>2311100</v>
      </c>
      <c r="F214" s="12">
        <f>+SUM(F211:F213)</f>
        <v>499125</v>
      </c>
      <c r="H214" s="2" t="s">
        <v>486</v>
      </c>
      <c r="I214" s="12">
        <f>+B213</f>
        <v>2495625</v>
      </c>
    </row>
    <row r="216" spans="1:9" x14ac:dyDescent="0.35">
      <c r="A216" s="1" t="s">
        <v>481</v>
      </c>
    </row>
    <row r="217" spans="1:9" x14ac:dyDescent="0.35">
      <c r="A217" s="1"/>
    </row>
    <row r="218" spans="1:9" x14ac:dyDescent="0.35">
      <c r="A218" s="2"/>
      <c r="B218" s="2"/>
      <c r="C218" s="22" t="s">
        <v>185</v>
      </c>
      <c r="D218" s="22" t="s">
        <v>186</v>
      </c>
      <c r="E218" s="22" t="s">
        <v>188</v>
      </c>
      <c r="F218" s="106" t="s">
        <v>482</v>
      </c>
    </row>
    <row r="219" spans="1:9" x14ac:dyDescent="0.35">
      <c r="A219" s="106" t="s">
        <v>185</v>
      </c>
      <c r="B219" s="171">
        <f>+B69</f>
        <v>248000</v>
      </c>
      <c r="C219" s="12">
        <f>+D231</f>
        <v>500000</v>
      </c>
      <c r="D219" s="2"/>
      <c r="E219" s="2"/>
      <c r="F219" s="2"/>
    </row>
    <row r="220" spans="1:9" x14ac:dyDescent="0.35">
      <c r="A220" s="22" t="s">
        <v>186</v>
      </c>
      <c r="B220" s="168">
        <f>+C69</f>
        <v>360000</v>
      </c>
      <c r="C220" s="2"/>
      <c r="D220" s="12">
        <f>+B219</f>
        <v>248000</v>
      </c>
      <c r="E220" s="2"/>
      <c r="F220" s="2"/>
    </row>
    <row r="221" spans="1:9" x14ac:dyDescent="0.35">
      <c r="A221" s="106" t="s">
        <v>188</v>
      </c>
      <c r="B221" s="171">
        <f>+D69</f>
        <v>560000</v>
      </c>
      <c r="C221" s="2"/>
      <c r="D221" s="2"/>
      <c r="E221" s="12">
        <f>+B220</f>
        <v>360000</v>
      </c>
      <c r="F221" s="2"/>
    </row>
    <row r="222" spans="1:9" x14ac:dyDescent="0.35">
      <c r="A222" s="106" t="s">
        <v>44</v>
      </c>
      <c r="B222" s="12">
        <f>+SUM(B219:B221)</f>
        <v>1168000</v>
      </c>
      <c r="C222" s="12">
        <f>+SUM(C219:C221)</f>
        <v>500000</v>
      </c>
      <c r="D222" s="12">
        <f>+SUM(D219:D221)</f>
        <v>248000</v>
      </c>
      <c r="E222" s="12">
        <f>+SUM(E219:E221)</f>
        <v>360000</v>
      </c>
      <c r="F222" s="12">
        <f>+B221</f>
        <v>560000</v>
      </c>
    </row>
    <row r="227" spans="1:4" x14ac:dyDescent="0.35">
      <c r="A227" s="1" t="s">
        <v>250</v>
      </c>
    </row>
    <row r="228" spans="1:4" x14ac:dyDescent="0.35">
      <c r="A228" s="115" t="s">
        <v>251</v>
      </c>
      <c r="B228" s="2"/>
      <c r="C228" s="115" t="s">
        <v>257</v>
      </c>
      <c r="D228" s="2"/>
    </row>
    <row r="229" spans="1:4" x14ac:dyDescent="0.35">
      <c r="A229" s="22" t="s">
        <v>391</v>
      </c>
      <c r="B229" s="87">
        <f>+SUM(B230:B234)</f>
        <v>2562212</v>
      </c>
      <c r="C229" s="22" t="s">
        <v>393</v>
      </c>
      <c r="D229" s="87">
        <f>+SUM(D230:D233)</f>
        <v>1100000</v>
      </c>
    </row>
    <row r="230" spans="1:4" x14ac:dyDescent="0.35">
      <c r="A230" s="2" t="s">
        <v>252</v>
      </c>
      <c r="B230" s="87">
        <v>1000000</v>
      </c>
      <c r="C230" s="2" t="s">
        <v>265</v>
      </c>
      <c r="D230" s="87">
        <v>450000</v>
      </c>
    </row>
    <row r="231" spans="1:4" x14ac:dyDescent="0.35">
      <c r="A231" s="2" t="s">
        <v>396</v>
      </c>
      <c r="B231" s="87">
        <v>500000</v>
      </c>
      <c r="C231" s="2" t="s">
        <v>402</v>
      </c>
      <c r="D231" s="87">
        <v>500000</v>
      </c>
    </row>
    <row r="232" spans="1:4" x14ac:dyDescent="0.35">
      <c r="A232" s="2" t="s">
        <v>397</v>
      </c>
      <c r="B232" s="87">
        <v>485000</v>
      </c>
      <c r="C232" s="2" t="s">
        <v>339</v>
      </c>
      <c r="D232" s="87">
        <v>150000</v>
      </c>
    </row>
    <row r="233" spans="1:4" x14ac:dyDescent="0.35">
      <c r="A233" s="2" t="s">
        <v>398</v>
      </c>
      <c r="B233" s="87">
        <v>577212</v>
      </c>
      <c r="C233" s="2" t="s">
        <v>399</v>
      </c>
      <c r="D233" s="2">
        <v>0</v>
      </c>
    </row>
    <row r="234" spans="1:4" x14ac:dyDescent="0.35">
      <c r="A234" s="2" t="s">
        <v>399</v>
      </c>
      <c r="B234" s="87">
        <v>0</v>
      </c>
      <c r="C234" s="22" t="s">
        <v>394</v>
      </c>
      <c r="D234" s="2">
        <f>+SUM(D235:D236)</f>
        <v>0</v>
      </c>
    </row>
    <row r="235" spans="1:4" x14ac:dyDescent="0.35">
      <c r="A235" s="22" t="s">
        <v>392</v>
      </c>
      <c r="B235" s="87">
        <f>+SUM(B236:B238)</f>
        <v>2300000</v>
      </c>
      <c r="C235" s="2" t="s">
        <v>403</v>
      </c>
      <c r="D235" s="2">
        <v>0</v>
      </c>
    </row>
    <row r="236" spans="1:4" x14ac:dyDescent="0.35">
      <c r="A236" s="67" t="s">
        <v>400</v>
      </c>
      <c r="B236" s="87">
        <v>3000000</v>
      </c>
      <c r="C236" s="2" t="s">
        <v>399</v>
      </c>
      <c r="D236" s="2">
        <v>0</v>
      </c>
    </row>
    <row r="237" spans="1:4" x14ac:dyDescent="0.35">
      <c r="A237" s="2" t="s">
        <v>401</v>
      </c>
      <c r="B237" s="87">
        <v>-700000</v>
      </c>
      <c r="C237" s="22" t="s">
        <v>258</v>
      </c>
      <c r="D237" s="87">
        <f>+D234+D229</f>
        <v>1100000</v>
      </c>
    </row>
    <row r="238" spans="1:4" x14ac:dyDescent="0.35">
      <c r="A238" s="2" t="s">
        <v>399</v>
      </c>
      <c r="B238" s="87">
        <v>0</v>
      </c>
      <c r="C238" s="22" t="s">
        <v>259</v>
      </c>
      <c r="D238" s="87"/>
    </row>
    <row r="239" spans="1:4" x14ac:dyDescent="0.35">
      <c r="A239" s="22" t="s">
        <v>256</v>
      </c>
      <c r="B239" s="87">
        <f>+B229+B235</f>
        <v>4862212</v>
      </c>
      <c r="C239" s="2" t="s">
        <v>404</v>
      </c>
      <c r="D239" s="87">
        <v>2500000</v>
      </c>
    </row>
    <row r="240" spans="1:4" x14ac:dyDescent="0.35">
      <c r="C240" s="2" t="s">
        <v>405</v>
      </c>
      <c r="D240" s="87">
        <v>1262212</v>
      </c>
    </row>
    <row r="241" spans="1:4" x14ac:dyDescent="0.35">
      <c r="C241" s="68" t="s">
        <v>262</v>
      </c>
      <c r="D241" s="87">
        <f>+D239+D240</f>
        <v>3762212</v>
      </c>
    </row>
    <row r="242" spans="1:4" x14ac:dyDescent="0.35">
      <c r="C242" s="22" t="s">
        <v>395</v>
      </c>
      <c r="D242" s="87">
        <f>+D241+D237</f>
        <v>4862212</v>
      </c>
    </row>
    <row r="244" spans="1:4" x14ac:dyDescent="0.35">
      <c r="A244" s="1" t="s">
        <v>484</v>
      </c>
    </row>
    <row r="245" spans="1:4" x14ac:dyDescent="0.35">
      <c r="A245" s="115" t="s">
        <v>251</v>
      </c>
      <c r="B245" s="2"/>
      <c r="C245" s="115" t="s">
        <v>257</v>
      </c>
      <c r="D245" s="2"/>
    </row>
    <row r="246" spans="1:4" x14ac:dyDescent="0.35">
      <c r="A246" s="22" t="s">
        <v>391</v>
      </c>
      <c r="B246" s="87">
        <f>+SUM(B247:B250)</f>
        <v>5651108.5616438352</v>
      </c>
      <c r="C246" s="22" t="s">
        <v>393</v>
      </c>
      <c r="D246" s="87">
        <f>+SUM(D247:D250)</f>
        <v>1977356.3698630137</v>
      </c>
    </row>
    <row r="247" spans="1:4" x14ac:dyDescent="0.35">
      <c r="A247" s="2" t="s">
        <v>252</v>
      </c>
      <c r="B247" s="87">
        <f>+D199</f>
        <v>510675</v>
      </c>
      <c r="C247" s="2" t="s">
        <v>265</v>
      </c>
      <c r="D247" s="87">
        <f>+F222</f>
        <v>560000</v>
      </c>
    </row>
    <row r="248" spans="1:4" x14ac:dyDescent="0.35">
      <c r="A248" s="2" t="s">
        <v>396</v>
      </c>
      <c r="B248" s="87">
        <f>+F205+F206+G206</f>
        <v>2844800</v>
      </c>
      <c r="C248" s="2" t="s">
        <v>402</v>
      </c>
      <c r="D248" s="87">
        <f>+I212</f>
        <v>499125</v>
      </c>
    </row>
    <row r="249" spans="1:4" x14ac:dyDescent="0.35">
      <c r="A249" s="2" t="s">
        <v>397</v>
      </c>
      <c r="B249" s="87">
        <f>+D49</f>
        <v>1058750</v>
      </c>
      <c r="C249" s="2" t="s">
        <v>339</v>
      </c>
      <c r="D249" s="87">
        <f>-F181</f>
        <v>918231.36986301374</v>
      </c>
    </row>
    <row r="250" spans="1:4" x14ac:dyDescent="0.35">
      <c r="A250" s="2" t="s">
        <v>398</v>
      </c>
      <c r="B250" s="129">
        <f>+D17*D137</f>
        <v>1236883.5616438356</v>
      </c>
      <c r="C250" s="2" t="s">
        <v>399</v>
      </c>
      <c r="D250" s="2">
        <v>0</v>
      </c>
    </row>
    <row r="251" spans="1:4" x14ac:dyDescent="0.35">
      <c r="A251" s="2" t="s">
        <v>399</v>
      </c>
      <c r="B251" s="87">
        <v>0</v>
      </c>
      <c r="C251" s="22" t="s">
        <v>394</v>
      </c>
      <c r="D251" s="2">
        <f>+SUM(D252:D253)</f>
        <v>0</v>
      </c>
    </row>
    <row r="252" spans="1:4" x14ac:dyDescent="0.35">
      <c r="A252" s="22" t="s">
        <v>392</v>
      </c>
      <c r="B252" s="87">
        <f>+SUM(B253:B255)</f>
        <v>2231000</v>
      </c>
      <c r="C252" s="2" t="s">
        <v>403</v>
      </c>
      <c r="D252" s="2">
        <v>0</v>
      </c>
    </row>
    <row r="253" spans="1:4" x14ac:dyDescent="0.35">
      <c r="A253" s="67" t="s">
        <v>400</v>
      </c>
      <c r="B253" s="87">
        <v>3000000</v>
      </c>
      <c r="C253" s="2" t="s">
        <v>399</v>
      </c>
      <c r="D253" s="2">
        <v>0</v>
      </c>
    </row>
    <row r="254" spans="1:4" x14ac:dyDescent="0.35">
      <c r="A254" s="2" t="s">
        <v>401</v>
      </c>
      <c r="B254" s="129">
        <f>-700000-B77*3-B97*3-B102*3-B150*3-B163*3</f>
        <v>-769000</v>
      </c>
      <c r="C254" s="22" t="s">
        <v>258</v>
      </c>
      <c r="D254" s="87">
        <f>+D251+D246</f>
        <v>1977356.3698630137</v>
      </c>
    </row>
    <row r="255" spans="1:4" x14ac:dyDescent="0.35">
      <c r="A255" s="2" t="s">
        <v>399</v>
      </c>
      <c r="B255" s="87">
        <v>0</v>
      </c>
      <c r="C255" s="22" t="s">
        <v>259</v>
      </c>
      <c r="D255" s="87"/>
    </row>
    <row r="256" spans="1:4" x14ac:dyDescent="0.35">
      <c r="A256" s="22" t="s">
        <v>256</v>
      </c>
      <c r="B256" s="150">
        <f>+B246+B252</f>
        <v>7882108.5616438352</v>
      </c>
      <c r="C256" s="2" t="s">
        <v>404</v>
      </c>
      <c r="D256" s="87">
        <v>2500000</v>
      </c>
    </row>
    <row r="257" spans="3:4" x14ac:dyDescent="0.35">
      <c r="C257" s="2" t="s">
        <v>405</v>
      </c>
      <c r="D257" s="129">
        <f>+D240+F182</f>
        <v>3404751.8630136987</v>
      </c>
    </row>
    <row r="258" spans="3:4" x14ac:dyDescent="0.35">
      <c r="C258" s="68" t="s">
        <v>262</v>
      </c>
      <c r="D258" s="87">
        <f>+D256+D257</f>
        <v>5904751.8630136987</v>
      </c>
    </row>
    <row r="259" spans="3:4" x14ac:dyDescent="0.35">
      <c r="C259" s="22" t="s">
        <v>395</v>
      </c>
      <c r="D259" s="150">
        <f>+D258+D254</f>
        <v>7882108.2328767125</v>
      </c>
    </row>
  </sheetData>
  <mergeCells count="14">
    <mergeCell ref="A6:D6"/>
    <mergeCell ref="A9:D9"/>
    <mergeCell ref="C119:D119"/>
    <mergeCell ref="A21:B21"/>
    <mergeCell ref="A14:B14"/>
    <mergeCell ref="A53:B53"/>
    <mergeCell ref="A73:B73"/>
    <mergeCell ref="A93:B93"/>
    <mergeCell ref="A118:B118"/>
    <mergeCell ref="A129:B129"/>
    <mergeCell ref="A146:C146"/>
    <mergeCell ref="A159:C159"/>
    <mergeCell ref="A171:C171"/>
    <mergeCell ref="A184:C184"/>
  </mergeCells>
  <phoneticPr fontId="5" type="noConversion"/>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66F8-5670-4EBA-8F3B-9390222275F1}">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EJ 1</vt:lpstr>
      <vt:lpstr>EJ 2</vt:lpstr>
      <vt:lpstr>EJ 3</vt:lpstr>
      <vt:lpstr>EJ 4</vt:lpstr>
      <vt:lpstr>EJ 5</vt:lpstr>
      <vt:lpstr>EJ 6</vt:lpstr>
      <vt:lpstr>EJ 7</vt:lpstr>
      <vt:lpstr>EJ 8</vt:lpstr>
      <vt:lpstr>EJ 9</vt:lpstr>
      <vt:lpstr>EJ 10</vt:lpstr>
      <vt:lpstr>EJ 11</vt:lpstr>
      <vt:lpstr>EJ 12</vt:lpstr>
      <vt:lpstr>EJ 13</vt:lpstr>
      <vt:lpstr>EJ 14</vt:lpstr>
      <vt:lpstr>EJ 15</vt:lpstr>
      <vt:lpstr>EJ 16</vt:lpstr>
      <vt:lpstr>EJ 17</vt:lpstr>
      <vt:lpstr>EJ 18</vt:lpstr>
      <vt:lpstr>EJ 19</vt:lpstr>
      <vt:lpstr>EJ 20</vt:lpstr>
      <vt:lpstr>EJ 21</vt:lpstr>
      <vt:lpstr>EJ REPASO</vt:lpstr>
      <vt:lpstr>EJ REPASO 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Casado</dc:creator>
  <cp:lastModifiedBy>Gina Casado</cp:lastModifiedBy>
  <dcterms:created xsi:type="dcterms:W3CDTF">2015-06-05T18:17:20Z</dcterms:created>
  <dcterms:modified xsi:type="dcterms:W3CDTF">2024-06-09T20:03:22Z</dcterms:modified>
</cp:coreProperties>
</file>