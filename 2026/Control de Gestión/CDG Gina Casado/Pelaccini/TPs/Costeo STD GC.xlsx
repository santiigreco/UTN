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HP-PROBOOK\Desktop\Control de Gestión\Pelaccini\Costeo STD\"/>
    </mc:Choice>
  </mc:AlternateContent>
  <xr:revisionPtr revIDLastSave="0" documentId="13_ncr:1_{B0E27269-A9CF-4375-B456-01675EA02108}" xr6:coauthVersionLast="47" xr6:coauthVersionMax="47" xr10:uidLastSave="{00000000-0000-0000-0000-000000000000}"/>
  <bookViews>
    <workbookView xWindow="-110" yWindow="-110" windowWidth="19420" windowHeight="10300" activeTab="4" xr2:uid="{00000000-000D-0000-FFFF-FFFF00000000}"/>
  </bookViews>
  <sheets>
    <sheet name="N1" sheetId="1" r:id="rId1"/>
    <sheet name="N2" sheetId="2" r:id="rId2"/>
    <sheet name="N3" sheetId="3" r:id="rId3"/>
    <sheet name="N4" sheetId="4" r:id="rId4"/>
    <sheet name="N5" sheetId="5" r:id="rId5"/>
    <sheet name="N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2" l="1"/>
  <c r="F37" i="6"/>
  <c r="F36" i="6"/>
  <c r="F35" i="6"/>
  <c r="F28" i="6"/>
  <c r="F27" i="6"/>
  <c r="F26" i="6"/>
  <c r="B63" i="6"/>
  <c r="B62" i="6"/>
  <c r="B57" i="6"/>
  <c r="B56" i="6"/>
  <c r="B52" i="6"/>
  <c r="B51" i="6"/>
  <c r="B50" i="6"/>
  <c r="B61" i="6"/>
  <c r="B55" i="6"/>
  <c r="B58" i="6" s="1"/>
  <c r="B49" i="6"/>
  <c r="B64" i="6"/>
  <c r="B40" i="6"/>
  <c r="B39" i="6"/>
  <c r="B38" i="6"/>
  <c r="B34" i="6"/>
  <c r="B33" i="6"/>
  <c r="B32" i="6"/>
  <c r="B28" i="6"/>
  <c r="B27" i="6"/>
  <c r="B26" i="6"/>
  <c r="B41" i="6"/>
  <c r="F38" i="6"/>
  <c r="F37" i="5"/>
  <c r="F36" i="5"/>
  <c r="F35" i="5"/>
  <c r="F28" i="5"/>
  <c r="F27" i="5"/>
  <c r="F26" i="5"/>
  <c r="B37" i="5"/>
  <c r="B36" i="5"/>
  <c r="B35" i="5"/>
  <c r="B28" i="5"/>
  <c r="B27" i="5"/>
  <c r="B26" i="5"/>
  <c r="D16" i="5"/>
  <c r="D14" i="5"/>
  <c r="B40" i="3"/>
  <c r="B41" i="3" s="1"/>
  <c r="F38" i="4"/>
  <c r="E46" i="4"/>
  <c r="F37" i="4"/>
  <c r="F36" i="4"/>
  <c r="F29" i="4"/>
  <c r="F28" i="4"/>
  <c r="F27" i="4"/>
  <c r="B38" i="4"/>
  <c r="B37" i="4"/>
  <c r="B36" i="4"/>
  <c r="B29" i="4"/>
  <c r="B28" i="4"/>
  <c r="B27" i="4"/>
  <c r="F40" i="3"/>
  <c r="F39" i="3"/>
  <c r="F38" i="3"/>
  <c r="F31" i="3"/>
  <c r="F30" i="3"/>
  <c r="F29" i="3"/>
  <c r="E15" i="3"/>
  <c r="B39" i="3"/>
  <c r="B38" i="3"/>
  <c r="B31" i="3"/>
  <c r="B32" i="3" s="1"/>
  <c r="B30" i="3"/>
  <c r="B29" i="3"/>
  <c r="F41" i="3"/>
  <c r="F25" i="2"/>
  <c r="F24" i="2"/>
  <c r="F23" i="2"/>
  <c r="F19" i="2"/>
  <c r="B34" i="2"/>
  <c r="B35" i="2" s="1"/>
  <c r="B33" i="2"/>
  <c r="B32" i="2"/>
  <c r="B26" i="2"/>
  <c r="B25" i="2"/>
  <c r="B24" i="2"/>
  <c r="B23" i="2"/>
  <c r="F33" i="1"/>
  <c r="F32" i="1"/>
  <c r="F31" i="1"/>
  <c r="F24" i="1"/>
  <c r="F23" i="1"/>
  <c r="F22" i="1"/>
  <c r="B33" i="1"/>
  <c r="B32" i="1"/>
  <c r="B31" i="1"/>
  <c r="B24" i="1"/>
  <c r="B23" i="1"/>
  <c r="B22" i="1"/>
  <c r="B25" i="1" s="1"/>
  <c r="F29" i="6" l="1"/>
  <c r="B29" i="6"/>
  <c r="B35" i="6"/>
  <c r="F38" i="5"/>
  <c r="F29" i="5"/>
  <c r="B38" i="5"/>
  <c r="B29" i="5"/>
  <c r="F39" i="4"/>
  <c r="F30" i="4"/>
  <c r="B39" i="4"/>
  <c r="B30" i="4"/>
  <c r="F32" i="3"/>
  <c r="F43" i="3" s="1"/>
  <c r="F34" i="1"/>
  <c r="F25" i="1"/>
  <c r="B34" i="1"/>
</calcChain>
</file>

<file path=xl/sharedStrings.xml><?xml version="1.0" encoding="utf-8"?>
<sst xmlns="http://schemas.openxmlformats.org/spreadsheetml/2006/main" count="312" uniqueCount="123">
  <si>
    <t>Costo STD por lamina</t>
  </si>
  <si>
    <t>Tiempo STD por producto (hs)</t>
  </si>
  <si>
    <t>MOD/hs</t>
  </si>
  <si>
    <t>1 carcaza</t>
  </si>
  <si>
    <t>Producción STD</t>
  </si>
  <si>
    <t>DATOS STD</t>
  </si>
  <si>
    <t>Laminas</t>
  </si>
  <si>
    <t>Costo total laminas</t>
  </si>
  <si>
    <t>Hs trabajadas</t>
  </si>
  <si>
    <t>Salarios MOD</t>
  </si>
  <si>
    <t>DATOS REALES</t>
  </si>
  <si>
    <t>VARIACIÓN PRECIO MP</t>
  </si>
  <si>
    <t>Qc</t>
  </si>
  <si>
    <t>Pr</t>
  </si>
  <si>
    <t>$/u</t>
  </si>
  <si>
    <t>Ps</t>
  </si>
  <si>
    <t>VPmp</t>
  </si>
  <si>
    <t>FAVORABLE</t>
  </si>
  <si>
    <t>VARIACIÓN EFICIENCIA MP</t>
  </si>
  <si>
    <t>QRmp</t>
  </si>
  <si>
    <t>Consumo de MP</t>
  </si>
  <si>
    <t>QSmp</t>
  </si>
  <si>
    <t>laminas</t>
  </si>
  <si>
    <t>Conusmo std MP</t>
  </si>
  <si>
    <t>DESFAVORABLE</t>
  </si>
  <si>
    <t>A.</t>
  </si>
  <si>
    <t>B.</t>
  </si>
  <si>
    <t>Horas reales usadas</t>
  </si>
  <si>
    <t>QRMO</t>
  </si>
  <si>
    <t>PRMO</t>
  </si>
  <si>
    <t>VARIACIÓN PRECIO MO</t>
  </si>
  <si>
    <t>VARIACIÓN EFICIENCIA MO</t>
  </si>
  <si>
    <t>PSMO</t>
  </si>
  <si>
    <t>QSMO</t>
  </si>
  <si>
    <t>Vpmo</t>
  </si>
  <si>
    <t>Vemo</t>
  </si>
  <si>
    <t>Vemp</t>
  </si>
  <si>
    <t>Psmo</t>
  </si>
  <si>
    <t>Total Salarios</t>
  </si>
  <si>
    <t>Var. Desfavorable</t>
  </si>
  <si>
    <t>Hs STD permitidas</t>
  </si>
  <si>
    <t>Hs reales trabajadas</t>
  </si>
  <si>
    <t>Total MO prod</t>
  </si>
  <si>
    <t xml:space="preserve">A. </t>
  </si>
  <si>
    <t>Variación total MO</t>
  </si>
  <si>
    <t>C.</t>
  </si>
  <si>
    <t>Hs reales</t>
  </si>
  <si>
    <t>Sueldo/hs real</t>
  </si>
  <si>
    <t>Sueldo/hs std</t>
  </si>
  <si>
    <t>MP STD</t>
  </si>
  <si>
    <t>MO</t>
  </si>
  <si>
    <t>COSTO STD POR UNIDAD</t>
  </si>
  <si>
    <t>COSTOS</t>
  </si>
  <si>
    <t>MP</t>
  </si>
  <si>
    <t>$/gr</t>
  </si>
  <si>
    <t>gr</t>
  </si>
  <si>
    <t>hs</t>
  </si>
  <si>
    <t>$/h</t>
  </si>
  <si>
    <t>Vol. STD</t>
  </si>
  <si>
    <t>u</t>
  </si>
  <si>
    <t>Valores REALES</t>
  </si>
  <si>
    <t>Vol. Real</t>
  </si>
  <si>
    <t>Salarios MO</t>
  </si>
  <si>
    <t>Compra MP</t>
  </si>
  <si>
    <t>kg</t>
  </si>
  <si>
    <t>Compra Kg MP</t>
  </si>
  <si>
    <t>$ Compra MP</t>
  </si>
  <si>
    <t>MP utilizada</t>
  </si>
  <si>
    <t>Var. Total</t>
  </si>
  <si>
    <t>(ojo esta en gramos)</t>
  </si>
  <si>
    <t>por kg</t>
  </si>
  <si>
    <t>Costo STD MP</t>
  </si>
  <si>
    <t>Costo STD MO</t>
  </si>
  <si>
    <t>$ HS/mod</t>
  </si>
  <si>
    <t>$/hs</t>
  </si>
  <si>
    <t>$/mod</t>
  </si>
  <si>
    <t>$/juego</t>
  </si>
  <si>
    <t>MP usada</t>
  </si>
  <si>
    <t>juegos</t>
  </si>
  <si>
    <t>Unidades prod.</t>
  </si>
  <si>
    <t>MOD</t>
  </si>
  <si>
    <t>$</t>
  </si>
  <si>
    <t>hora</t>
  </si>
  <si>
    <t>x</t>
  </si>
  <si>
    <t>$/kg</t>
  </si>
  <si>
    <t>$/hora</t>
  </si>
  <si>
    <t>tn</t>
  </si>
  <si>
    <t>Costo MP</t>
  </si>
  <si>
    <t>MP Utilizada</t>
  </si>
  <si>
    <t>Hs MOD</t>
  </si>
  <si>
    <t>tubos</t>
  </si>
  <si>
    <t>Consumo std MP</t>
  </si>
  <si>
    <t>MATERIALES</t>
  </si>
  <si>
    <t>Galletas</t>
  </si>
  <si>
    <t>Bolsa de plástico</t>
  </si>
  <si>
    <t>Caja de cartón</t>
  </si>
  <si>
    <t>MANO DE OBRA</t>
  </si>
  <si>
    <t>Tiempo STD por caja</t>
  </si>
  <si>
    <t>min</t>
  </si>
  <si>
    <t>$ MOD</t>
  </si>
  <si>
    <t>Unidades</t>
  </si>
  <si>
    <t>cajas</t>
  </si>
  <si>
    <t>Costo galletas</t>
  </si>
  <si>
    <t>Bolsas de plástico utilizadas</t>
  </si>
  <si>
    <t>bolsas</t>
  </si>
  <si>
    <t>Costo bolsas</t>
  </si>
  <si>
    <t>$/paquete</t>
  </si>
  <si>
    <t>Bolsas COMPRADAS</t>
  </si>
  <si>
    <t>1 paquete tiene 1000 unidades</t>
  </si>
  <si>
    <t>Cajas de cartón  compradas</t>
  </si>
  <si>
    <t>Costo cajas de cartón</t>
  </si>
  <si>
    <t>$/caja</t>
  </si>
  <si>
    <t xml:space="preserve">Cajas de cartón utilizadas </t>
  </si>
  <si>
    <t>Galletas utilizadas</t>
  </si>
  <si>
    <t xml:space="preserve">kg de galletas transferidas. </t>
  </si>
  <si>
    <t>kgs</t>
  </si>
  <si>
    <t>Galletas transf.</t>
  </si>
  <si>
    <t>GALLETAS</t>
  </si>
  <si>
    <t>BOLSAS DE PLASTICO</t>
  </si>
  <si>
    <t>CAJAS DE CARTÓN</t>
  </si>
  <si>
    <t>TOTAL</t>
  </si>
  <si>
    <t>CAJAS DE CARTON</t>
  </si>
  <si>
    <t>Desf.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</si>
</sst>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4" fontId="1" fillId="0" borderId="0" applyFont="0" applyFill="0" applyBorder="0" applyAlignment="0" applyProtection="0"/>
  </cellStyleXfs>
  <cellXfs count="47">
    <xf numFmtId="0" fontId="0" fillId="0" borderId="0" xfId="0"/>
    <xf numFmtId="0" fontId="0" fillId="0" borderId="0" xfId="0" applyAlignment="1">
      <alignment horizontal="center" wrapText="1"/>
    </xf>
    <xf numFmtId="44" fontId="0" fillId="0" borderId="0" xfId="1" applyFont="1"/>
    <xf numFmtId="0" fontId="0" fillId="0" borderId="0" xfId="0" applyAlignment="1">
      <alignment horizontal="center"/>
    </xf>
    <xf numFmtId="0" fontId="0" fillId="0" borderId="1" xfId="0" applyBorder="1" applyAlignment="1">
      <alignment horizontal="center"/>
    </xf>
    <xf numFmtId="44" fontId="0" fillId="0" borderId="1" xfId="1"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2" fillId="0" borderId="0" xfId="0" applyFont="1" applyAlignment="1">
      <alignment horizontal="center"/>
    </xf>
    <xf numFmtId="0" fontId="0" fillId="0" borderId="1" xfId="0" applyBorder="1"/>
    <xf numFmtId="44" fontId="0" fillId="0" borderId="1" xfId="0" applyNumberFormat="1" applyBorder="1"/>
    <xf numFmtId="0" fontId="2" fillId="0" borderId="1" xfId="0" applyFont="1" applyBorder="1"/>
    <xf numFmtId="2" fontId="0" fillId="0" borderId="1" xfId="0" applyNumberFormat="1" applyBorder="1" applyAlignment="1">
      <alignment horizontal="center"/>
    </xf>
    <xf numFmtId="44" fontId="0" fillId="0" borderId="1" xfId="0" applyNumberFormat="1" applyBorder="1" applyAlignment="1">
      <alignment horizontal="center"/>
    </xf>
    <xf numFmtId="2" fontId="0" fillId="0" borderId="1" xfId="1" applyNumberFormat="1" applyFont="1" applyBorder="1" applyAlignment="1">
      <alignment horizontal="center"/>
    </xf>
    <xf numFmtId="0" fontId="2" fillId="0" borderId="0" xfId="0" applyFont="1" applyBorder="1" applyAlignment="1">
      <alignment horizontal="center" wrapText="1"/>
    </xf>
    <xf numFmtId="0" fontId="0" fillId="0" borderId="0" xfId="0" applyBorder="1" applyAlignment="1">
      <alignment horizontal="center"/>
    </xf>
    <xf numFmtId="0" fontId="2" fillId="0" borderId="0" xfId="0" applyFont="1"/>
    <xf numFmtId="44" fontId="0" fillId="0" borderId="1" xfId="1" applyFont="1" applyBorder="1"/>
    <xf numFmtId="0" fontId="2" fillId="0" borderId="0" xfId="0" applyFont="1" applyFill="1" applyBorder="1" applyAlignment="1">
      <alignment horizontal="center" wrapText="1"/>
    </xf>
    <xf numFmtId="0" fontId="2" fillId="0" borderId="0" xfId="0" applyFont="1" applyFill="1" applyBorder="1"/>
    <xf numFmtId="0" fontId="2" fillId="0" borderId="1" xfId="0" applyFont="1" applyFill="1" applyBorder="1"/>
    <xf numFmtId="0" fontId="2" fillId="0" borderId="1" xfId="0" applyFont="1" applyFill="1" applyBorder="1" applyAlignment="1">
      <alignment horizontal="center" wrapText="1"/>
    </xf>
    <xf numFmtId="2" fontId="0" fillId="0" borderId="1" xfId="0" applyNumberFormat="1" applyBorder="1"/>
    <xf numFmtId="0" fontId="0" fillId="0" borderId="5" xfId="0" applyFill="1" applyBorder="1"/>
    <xf numFmtId="6" fontId="0" fillId="0" borderId="0" xfId="0" applyNumberFormat="1"/>
    <xf numFmtId="6" fontId="0" fillId="0" borderId="1" xfId="1" applyNumberFormat="1" applyFont="1" applyBorder="1" applyAlignment="1">
      <alignment horizontal="center"/>
    </xf>
    <xf numFmtId="0" fontId="0" fillId="0" borderId="2" xfId="0" applyBorder="1"/>
    <xf numFmtId="0" fontId="0" fillId="4" borderId="0" xfId="0" applyFill="1"/>
    <xf numFmtId="2" fontId="0" fillId="4" borderId="1" xfId="0" applyNumberFormat="1" applyFill="1" applyBorder="1" applyAlignment="1">
      <alignment horizontal="center"/>
    </xf>
    <xf numFmtId="2" fontId="3" fillId="0" borderId="1" xfId="0" applyNumberFormat="1" applyFont="1" applyBorder="1" applyAlignment="1">
      <alignment horizontal="center"/>
    </xf>
    <xf numFmtId="44" fontId="3" fillId="0" borderId="1" xfId="0" applyNumberFormat="1" applyFont="1" applyBorder="1" applyAlignment="1">
      <alignment horizontal="center"/>
    </xf>
    <xf numFmtId="6" fontId="0" fillId="0" borderId="1" xfId="0" applyNumberFormat="1" applyBorder="1"/>
    <xf numFmtId="44" fontId="0" fillId="0" borderId="1" xfId="1" applyFont="1" applyFill="1" applyBorder="1" applyAlignment="1">
      <alignment horizontal="center"/>
    </xf>
    <xf numFmtId="2" fontId="0" fillId="0" borderId="1" xfId="1" applyNumberFormat="1" applyFont="1" applyFill="1" applyBorder="1" applyAlignment="1">
      <alignment horizontal="center"/>
    </xf>
    <xf numFmtId="0" fontId="0" fillId="0" borderId="1" xfId="0" applyFill="1" applyBorder="1" applyAlignment="1">
      <alignment horizontal="center"/>
    </xf>
    <xf numFmtId="0" fontId="2" fillId="0" borderId="1" xfId="0" applyFont="1" applyFill="1" applyBorder="1" applyAlignment="1">
      <alignment horizontal="center"/>
    </xf>
    <xf numFmtId="0" fontId="2" fillId="0" borderId="0" xfId="0" applyFont="1" applyBorder="1"/>
    <xf numFmtId="44" fontId="0" fillId="0" borderId="0" xfId="0" applyNumberFormat="1" applyBorder="1" applyAlignment="1">
      <alignment horizontal="center"/>
    </xf>
    <xf numFmtId="0" fontId="2" fillId="0" borderId="1" xfId="0" applyFont="1" applyBorder="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2" xfId="0" applyFont="1" applyBorder="1" applyAlignment="1">
      <alignment horizontal="center"/>
    </xf>
    <xf numFmtId="0" fontId="2" fillId="2" borderId="1" xfId="0" applyFont="1" applyFill="1" applyBorder="1" applyAlignment="1">
      <alignment horizontal="center"/>
    </xf>
    <xf numFmtId="44" fontId="0" fillId="0" borderId="0" xfId="0" applyNumberForma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15874</xdr:colOff>
      <xdr:row>0</xdr:row>
      <xdr:rowOff>7937</xdr:rowOff>
    </xdr:from>
    <xdr:to>
      <xdr:col>11</xdr:col>
      <xdr:colOff>7938</xdr:colOff>
      <xdr:row>8</xdr:row>
      <xdr:rowOff>127000</xdr:rowOff>
    </xdr:to>
    <xdr:sp macro="" textlink="">
      <xdr:nvSpPr>
        <xdr:cNvPr id="2" name="CuadroTexto 1">
          <a:extLst>
            <a:ext uri="{FF2B5EF4-FFF2-40B4-BE49-F238E27FC236}">
              <a16:creationId xmlns:a16="http://schemas.microsoft.com/office/drawing/2014/main" id="{CF3E961B-ADFF-4722-BC27-01696248FCDA}"/>
            </a:ext>
          </a:extLst>
        </xdr:cNvPr>
        <xdr:cNvSpPr txBox="1"/>
      </xdr:nvSpPr>
      <xdr:spPr>
        <a:xfrm>
          <a:off x="15874" y="7937"/>
          <a:ext cx="7167564" cy="157956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Lavaderos S.A. fabrica lavadoras de uso industrial. Para la fabricación de la carcaza de su modelo XC100 se requieren 2 láminas de acero inoxidable, una para la parte cilíndrica y otra para la base. El costo estándar de cada lámina es de 20$. Se ha establecido un tiempo estándar de 1.5 horas por producto ensamblado. El salario por hora estándar de mano de obra es de 6.5 $/hora. Durante el mes de enero de 2008, se empezaron y terminaron 3000 carcazas, no registrándose inventarios iniciales o finales de materiales o de producción en proceso. La contabilidad informa que 6200 láminas, fueron utilizadas durante enero, a un costo de 118.000 $. Asimismo informa que se trabajaron 4650 horas que devengaron salarios de mano de obra directa por 30.225 $. Se pide para el mes de enero, calcular: a) La variación en precio y cantidad de materiales. b) La variación en precio y cantidad de mano de obra directa.</a:t>
          </a:r>
          <a:endParaRPr lang="en-US" sz="1100" b="1"/>
        </a:p>
      </xdr:txBody>
    </xdr:sp>
    <xdr:clientData/>
  </xdr:twoCellAnchor>
  <xdr:twoCellAnchor editAs="oneCell">
    <xdr:from>
      <xdr:col>0</xdr:col>
      <xdr:colOff>63500</xdr:colOff>
      <xdr:row>18</xdr:row>
      <xdr:rowOff>55562</xdr:rowOff>
    </xdr:from>
    <xdr:to>
      <xdr:col>1</xdr:col>
      <xdr:colOff>771772</xdr:colOff>
      <xdr:row>20</xdr:row>
      <xdr:rowOff>81017</xdr:rowOff>
    </xdr:to>
    <xdr:pic>
      <xdr:nvPicPr>
        <xdr:cNvPr id="3" name="Imagen 2">
          <a:extLst>
            <a:ext uri="{FF2B5EF4-FFF2-40B4-BE49-F238E27FC236}">
              <a16:creationId xmlns:a16="http://schemas.microsoft.com/office/drawing/2014/main" id="{FA4637BA-296E-4138-A719-D7A8C7974E19}"/>
            </a:ext>
          </a:extLst>
        </xdr:cNvPr>
        <xdr:cNvPicPr>
          <a:picLocks noChangeAspect="1"/>
        </xdr:cNvPicPr>
      </xdr:nvPicPr>
      <xdr:blipFill>
        <a:blip xmlns:r="http://schemas.openxmlformats.org/officeDocument/2006/relationships" r:embed="rId1"/>
        <a:stretch>
          <a:fillRect/>
        </a:stretch>
      </xdr:blipFill>
      <xdr:spPr>
        <a:xfrm>
          <a:off x="63500" y="3524250"/>
          <a:ext cx="1771897" cy="390580"/>
        </a:xfrm>
        <a:prstGeom prst="rect">
          <a:avLst/>
        </a:prstGeom>
      </xdr:spPr>
    </xdr:pic>
    <xdr:clientData/>
  </xdr:twoCellAnchor>
  <xdr:twoCellAnchor editAs="oneCell">
    <xdr:from>
      <xdr:col>0</xdr:col>
      <xdr:colOff>95250</xdr:colOff>
      <xdr:row>27</xdr:row>
      <xdr:rowOff>79375</xdr:rowOff>
    </xdr:from>
    <xdr:to>
      <xdr:col>2</xdr:col>
      <xdr:colOff>233670</xdr:colOff>
      <xdr:row>29</xdr:row>
      <xdr:rowOff>76251</xdr:rowOff>
    </xdr:to>
    <xdr:pic>
      <xdr:nvPicPr>
        <xdr:cNvPr id="4" name="Imagen 3">
          <a:extLst>
            <a:ext uri="{FF2B5EF4-FFF2-40B4-BE49-F238E27FC236}">
              <a16:creationId xmlns:a16="http://schemas.microsoft.com/office/drawing/2014/main" id="{D7DC9903-91DC-4E69-9E29-5705DB4450A8}"/>
            </a:ext>
          </a:extLst>
        </xdr:cNvPr>
        <xdr:cNvPicPr>
          <a:picLocks noChangeAspect="1"/>
        </xdr:cNvPicPr>
      </xdr:nvPicPr>
      <xdr:blipFill>
        <a:blip xmlns:r="http://schemas.openxmlformats.org/officeDocument/2006/relationships" r:embed="rId2"/>
        <a:stretch>
          <a:fillRect/>
        </a:stretch>
      </xdr:blipFill>
      <xdr:spPr>
        <a:xfrm>
          <a:off x="95250" y="5191125"/>
          <a:ext cx="2210108" cy="362001"/>
        </a:xfrm>
        <a:prstGeom prst="rect">
          <a:avLst/>
        </a:prstGeom>
      </xdr:spPr>
    </xdr:pic>
    <xdr:clientData/>
  </xdr:twoCellAnchor>
  <xdr:twoCellAnchor editAs="oneCell">
    <xdr:from>
      <xdr:col>4</xdr:col>
      <xdr:colOff>7937</xdr:colOff>
      <xdr:row>18</xdr:row>
      <xdr:rowOff>79376</xdr:rowOff>
    </xdr:from>
    <xdr:to>
      <xdr:col>6</xdr:col>
      <xdr:colOff>570223</xdr:colOff>
      <xdr:row>20</xdr:row>
      <xdr:rowOff>47673</xdr:rowOff>
    </xdr:to>
    <xdr:pic>
      <xdr:nvPicPr>
        <xdr:cNvPr id="5" name="Imagen 4">
          <a:extLst>
            <a:ext uri="{FF2B5EF4-FFF2-40B4-BE49-F238E27FC236}">
              <a16:creationId xmlns:a16="http://schemas.microsoft.com/office/drawing/2014/main" id="{EF628A3E-0331-4B9E-ACCC-FAE87D1FD1D1}"/>
            </a:ext>
          </a:extLst>
        </xdr:cNvPr>
        <xdr:cNvPicPr>
          <a:picLocks noChangeAspect="1"/>
        </xdr:cNvPicPr>
      </xdr:nvPicPr>
      <xdr:blipFill>
        <a:blip xmlns:r="http://schemas.openxmlformats.org/officeDocument/2006/relationships" r:embed="rId3"/>
        <a:stretch>
          <a:fillRect/>
        </a:stretch>
      </xdr:blipFill>
      <xdr:spPr>
        <a:xfrm>
          <a:off x="3587750" y="3730626"/>
          <a:ext cx="2229161" cy="333422"/>
        </a:xfrm>
        <a:prstGeom prst="rect">
          <a:avLst/>
        </a:prstGeom>
      </xdr:spPr>
    </xdr:pic>
    <xdr:clientData/>
  </xdr:twoCellAnchor>
  <xdr:twoCellAnchor editAs="oneCell">
    <xdr:from>
      <xdr:col>4</xdr:col>
      <xdr:colOff>31750</xdr:colOff>
      <xdr:row>27</xdr:row>
      <xdr:rowOff>39687</xdr:rowOff>
    </xdr:from>
    <xdr:to>
      <xdr:col>6</xdr:col>
      <xdr:colOff>594036</xdr:colOff>
      <xdr:row>29</xdr:row>
      <xdr:rowOff>55615</xdr:rowOff>
    </xdr:to>
    <xdr:pic>
      <xdr:nvPicPr>
        <xdr:cNvPr id="6" name="Imagen 5">
          <a:extLst>
            <a:ext uri="{FF2B5EF4-FFF2-40B4-BE49-F238E27FC236}">
              <a16:creationId xmlns:a16="http://schemas.microsoft.com/office/drawing/2014/main" id="{3796F138-A8CB-4407-9537-203DF41007EA}"/>
            </a:ext>
          </a:extLst>
        </xdr:cNvPr>
        <xdr:cNvPicPr>
          <a:picLocks noChangeAspect="1"/>
        </xdr:cNvPicPr>
      </xdr:nvPicPr>
      <xdr:blipFill>
        <a:blip xmlns:r="http://schemas.openxmlformats.org/officeDocument/2006/relationships" r:embed="rId4"/>
        <a:stretch>
          <a:fillRect/>
        </a:stretch>
      </xdr:blipFill>
      <xdr:spPr>
        <a:xfrm>
          <a:off x="3611563" y="5334000"/>
          <a:ext cx="2229161" cy="381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293688</xdr:colOff>
      <xdr:row>9</xdr:row>
      <xdr:rowOff>7937</xdr:rowOff>
    </xdr:to>
    <xdr:sp macro="" textlink="">
      <xdr:nvSpPr>
        <xdr:cNvPr id="2" name="CuadroTexto 1">
          <a:extLst>
            <a:ext uri="{FF2B5EF4-FFF2-40B4-BE49-F238E27FC236}">
              <a16:creationId xmlns:a16="http://schemas.microsoft.com/office/drawing/2014/main" id="{13ADCF51-8A7F-4069-9045-8E9221BAAAFD}"/>
            </a:ext>
          </a:extLst>
        </xdr:cNvPr>
        <xdr:cNvSpPr txBox="1"/>
      </xdr:nvSpPr>
      <xdr:spPr>
        <a:xfrm>
          <a:off x="0" y="0"/>
          <a:ext cx="6389688" cy="1651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El gerente de planta de Comodines S.A. empresa que se dedica a la fabricación seriada de barajas españolas, recibió el pasado mes de marzo un informe de estándares de mano de obra directa que decía: Informe sobre estándares de mano de obra directa. Período del 1 al 31 de marzo de 2008. Total de mano de obra cargada a producción = 50625 $ Total de salarios pagados en el período = 66652 $ Variación desfavorable = 16027 $ Horas estándar permitidas = 6750 horas Horas de trabajo realmente trabajadas = 8770 horas Se le pide al gerente que explique las razones que originaron las variaciones desfavorables obtenidas por lo que necesitará lo siguiente: a) Obtener la variación total de mano de obra. b) Calcular las variaciones en tarifa y en eficiencia de mano de obra. c) Indicar cuales fueron las cantidades reales de horas, sueldo por hora real y el estándar</a:t>
          </a:r>
          <a:endParaRPr lang="en-US" sz="1100" b="1"/>
        </a:p>
      </xdr:txBody>
    </xdr:sp>
    <xdr:clientData/>
  </xdr:twoCellAnchor>
  <xdr:twoCellAnchor editAs="oneCell">
    <xdr:from>
      <xdr:col>0</xdr:col>
      <xdr:colOff>7937</xdr:colOff>
      <xdr:row>19</xdr:row>
      <xdr:rowOff>79376</xdr:rowOff>
    </xdr:from>
    <xdr:to>
      <xdr:col>2</xdr:col>
      <xdr:colOff>136835</xdr:colOff>
      <xdr:row>21</xdr:row>
      <xdr:rowOff>47673</xdr:rowOff>
    </xdr:to>
    <xdr:pic>
      <xdr:nvPicPr>
        <xdr:cNvPr id="3" name="Imagen 2">
          <a:extLst>
            <a:ext uri="{FF2B5EF4-FFF2-40B4-BE49-F238E27FC236}">
              <a16:creationId xmlns:a16="http://schemas.microsoft.com/office/drawing/2014/main" id="{C17788AC-2100-4D29-BB39-FAFA40B22BD1}"/>
            </a:ext>
          </a:extLst>
        </xdr:cNvPr>
        <xdr:cNvPicPr>
          <a:picLocks noChangeAspect="1"/>
        </xdr:cNvPicPr>
      </xdr:nvPicPr>
      <xdr:blipFill>
        <a:blip xmlns:r="http://schemas.openxmlformats.org/officeDocument/2006/relationships" r:embed="rId1"/>
        <a:stretch>
          <a:fillRect/>
        </a:stretch>
      </xdr:blipFill>
      <xdr:spPr>
        <a:xfrm>
          <a:off x="3582987" y="3762376"/>
          <a:ext cx="2232336" cy="336597"/>
        </a:xfrm>
        <a:prstGeom prst="rect">
          <a:avLst/>
        </a:prstGeom>
      </xdr:spPr>
    </xdr:pic>
    <xdr:clientData/>
  </xdr:twoCellAnchor>
  <xdr:twoCellAnchor editAs="oneCell">
    <xdr:from>
      <xdr:col>0</xdr:col>
      <xdr:colOff>31750</xdr:colOff>
      <xdr:row>28</xdr:row>
      <xdr:rowOff>39687</xdr:rowOff>
    </xdr:from>
    <xdr:to>
      <xdr:col>2</xdr:col>
      <xdr:colOff>160648</xdr:colOff>
      <xdr:row>30</xdr:row>
      <xdr:rowOff>55615</xdr:rowOff>
    </xdr:to>
    <xdr:pic>
      <xdr:nvPicPr>
        <xdr:cNvPr id="4" name="Imagen 3">
          <a:extLst>
            <a:ext uri="{FF2B5EF4-FFF2-40B4-BE49-F238E27FC236}">
              <a16:creationId xmlns:a16="http://schemas.microsoft.com/office/drawing/2014/main" id="{6DC5CE8E-E6DF-49E6-905E-AD76D0F6F1B4}"/>
            </a:ext>
          </a:extLst>
        </xdr:cNvPr>
        <xdr:cNvPicPr>
          <a:picLocks noChangeAspect="1"/>
        </xdr:cNvPicPr>
      </xdr:nvPicPr>
      <xdr:blipFill>
        <a:blip xmlns:r="http://schemas.openxmlformats.org/officeDocument/2006/relationships" r:embed="rId2"/>
        <a:stretch>
          <a:fillRect/>
        </a:stretch>
      </xdr:blipFill>
      <xdr:spPr>
        <a:xfrm>
          <a:off x="3606800" y="5380037"/>
          <a:ext cx="2232336" cy="3842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214313</xdr:colOff>
      <xdr:row>9</xdr:row>
      <xdr:rowOff>103187</xdr:rowOff>
    </xdr:to>
    <xdr:sp macro="" textlink="">
      <xdr:nvSpPr>
        <xdr:cNvPr id="2" name="CuadroTexto 1">
          <a:extLst>
            <a:ext uri="{FF2B5EF4-FFF2-40B4-BE49-F238E27FC236}">
              <a16:creationId xmlns:a16="http://schemas.microsoft.com/office/drawing/2014/main" id="{10EDA955-5E9D-4639-BA12-BC71DB502B30}"/>
            </a:ext>
          </a:extLst>
        </xdr:cNvPr>
        <xdr:cNvSpPr txBox="1"/>
      </xdr:nvSpPr>
      <xdr:spPr>
        <a:xfrm>
          <a:off x="0" y="0"/>
          <a:ext cx="6556376" cy="17462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Alfajores S.A. elabora un solo producto cuyo estándar primo por unidad es de : </a:t>
          </a:r>
        </a:p>
        <a:p>
          <a:r>
            <a:rPr lang="en-US" b="1"/>
            <a:t>Materiales ( 10gr a 0.075 $/gr ) 0.75 $ </a:t>
          </a:r>
        </a:p>
        <a:p>
          <a:r>
            <a:rPr lang="en-US" b="1"/>
            <a:t>Mano de Obra ( ½ Hora a 2 $/hora) 1.00 $ </a:t>
          </a:r>
        </a:p>
        <a:p>
          <a:r>
            <a:rPr lang="en-US" b="1"/>
            <a:t>El volumen normal de producción es de 30.000 unidades. Durante el mes de abril de 2008 se registraron las siguientes transacciones: 1. Se produjeron 28.000 unidades. 2. Mano de obra: 14.200 horas. 3. Salarios devengados por mano de obra: 28.490 $. 4. Compras de materia prima: 80 kg a 6.400$. 5 Total de materia prima utilizadas en producción: 285 Kg </a:t>
          </a:r>
        </a:p>
        <a:p>
          <a:r>
            <a:rPr lang="en-US" b="1"/>
            <a:t>a) La variación en precio y cantidad de materiales. b) La variación total de mano de obra. c) La variación en tarifa y eficiencia de mano de obra.</a:t>
          </a:r>
          <a:endParaRPr lang="en-US" sz="1100" b="1"/>
        </a:p>
      </xdr:txBody>
    </xdr:sp>
    <xdr:clientData/>
  </xdr:twoCellAnchor>
  <xdr:twoCellAnchor editAs="oneCell">
    <xdr:from>
      <xdr:col>0</xdr:col>
      <xdr:colOff>63500</xdr:colOff>
      <xdr:row>25</xdr:row>
      <xdr:rowOff>55562</xdr:rowOff>
    </xdr:from>
    <xdr:to>
      <xdr:col>1</xdr:col>
      <xdr:colOff>876547</xdr:colOff>
      <xdr:row>27</xdr:row>
      <xdr:rowOff>81017</xdr:rowOff>
    </xdr:to>
    <xdr:pic>
      <xdr:nvPicPr>
        <xdr:cNvPr id="3" name="Imagen 2">
          <a:extLst>
            <a:ext uri="{FF2B5EF4-FFF2-40B4-BE49-F238E27FC236}">
              <a16:creationId xmlns:a16="http://schemas.microsoft.com/office/drawing/2014/main" id="{6F83DE15-1D04-4237-BA91-1BC6F13BD4EA}"/>
            </a:ext>
          </a:extLst>
        </xdr:cNvPr>
        <xdr:cNvPicPr>
          <a:picLocks noChangeAspect="1"/>
        </xdr:cNvPicPr>
      </xdr:nvPicPr>
      <xdr:blipFill>
        <a:blip xmlns:r="http://schemas.openxmlformats.org/officeDocument/2006/relationships" r:embed="rId1"/>
        <a:stretch>
          <a:fillRect/>
        </a:stretch>
      </xdr:blipFill>
      <xdr:spPr>
        <a:xfrm>
          <a:off x="63500" y="3738562"/>
          <a:ext cx="1768722" cy="393755"/>
        </a:xfrm>
        <a:prstGeom prst="rect">
          <a:avLst/>
        </a:prstGeom>
      </xdr:spPr>
    </xdr:pic>
    <xdr:clientData/>
  </xdr:twoCellAnchor>
  <xdr:twoCellAnchor editAs="oneCell">
    <xdr:from>
      <xdr:col>0</xdr:col>
      <xdr:colOff>95250</xdr:colOff>
      <xdr:row>34</xdr:row>
      <xdr:rowOff>79375</xdr:rowOff>
    </xdr:from>
    <xdr:to>
      <xdr:col>2</xdr:col>
      <xdr:colOff>189220</xdr:colOff>
      <xdr:row>36</xdr:row>
      <xdr:rowOff>76251</xdr:rowOff>
    </xdr:to>
    <xdr:pic>
      <xdr:nvPicPr>
        <xdr:cNvPr id="4" name="Imagen 3">
          <a:extLst>
            <a:ext uri="{FF2B5EF4-FFF2-40B4-BE49-F238E27FC236}">
              <a16:creationId xmlns:a16="http://schemas.microsoft.com/office/drawing/2014/main" id="{A256D8FD-F1AE-434F-A043-1534B457BCDA}"/>
            </a:ext>
          </a:extLst>
        </xdr:cNvPr>
        <xdr:cNvPicPr>
          <a:picLocks noChangeAspect="1"/>
        </xdr:cNvPicPr>
      </xdr:nvPicPr>
      <xdr:blipFill>
        <a:blip xmlns:r="http://schemas.openxmlformats.org/officeDocument/2006/relationships" r:embed="rId2"/>
        <a:stretch>
          <a:fillRect/>
        </a:stretch>
      </xdr:blipFill>
      <xdr:spPr>
        <a:xfrm>
          <a:off x="95250" y="5419725"/>
          <a:ext cx="2208520" cy="365176"/>
        </a:xfrm>
        <a:prstGeom prst="rect">
          <a:avLst/>
        </a:prstGeom>
      </xdr:spPr>
    </xdr:pic>
    <xdr:clientData/>
  </xdr:twoCellAnchor>
  <xdr:twoCellAnchor editAs="oneCell">
    <xdr:from>
      <xdr:col>4</xdr:col>
      <xdr:colOff>7937</xdr:colOff>
      <xdr:row>25</xdr:row>
      <xdr:rowOff>79376</xdr:rowOff>
    </xdr:from>
    <xdr:to>
      <xdr:col>6</xdr:col>
      <xdr:colOff>668648</xdr:colOff>
      <xdr:row>27</xdr:row>
      <xdr:rowOff>47673</xdr:rowOff>
    </xdr:to>
    <xdr:pic>
      <xdr:nvPicPr>
        <xdr:cNvPr id="5" name="Imagen 4">
          <a:extLst>
            <a:ext uri="{FF2B5EF4-FFF2-40B4-BE49-F238E27FC236}">
              <a16:creationId xmlns:a16="http://schemas.microsoft.com/office/drawing/2014/main" id="{A58192FA-E116-48C4-9B72-9C6EF5EC643E}"/>
            </a:ext>
          </a:extLst>
        </xdr:cNvPr>
        <xdr:cNvPicPr>
          <a:picLocks noChangeAspect="1"/>
        </xdr:cNvPicPr>
      </xdr:nvPicPr>
      <xdr:blipFill>
        <a:blip xmlns:r="http://schemas.openxmlformats.org/officeDocument/2006/relationships" r:embed="rId3"/>
        <a:stretch>
          <a:fillRect/>
        </a:stretch>
      </xdr:blipFill>
      <xdr:spPr>
        <a:xfrm>
          <a:off x="3582987" y="3762376"/>
          <a:ext cx="2232336" cy="336597"/>
        </a:xfrm>
        <a:prstGeom prst="rect">
          <a:avLst/>
        </a:prstGeom>
      </xdr:spPr>
    </xdr:pic>
    <xdr:clientData/>
  </xdr:twoCellAnchor>
  <xdr:twoCellAnchor editAs="oneCell">
    <xdr:from>
      <xdr:col>4</xdr:col>
      <xdr:colOff>31750</xdr:colOff>
      <xdr:row>34</xdr:row>
      <xdr:rowOff>39687</xdr:rowOff>
    </xdr:from>
    <xdr:to>
      <xdr:col>6</xdr:col>
      <xdr:colOff>692461</xdr:colOff>
      <xdr:row>36</xdr:row>
      <xdr:rowOff>55615</xdr:rowOff>
    </xdr:to>
    <xdr:pic>
      <xdr:nvPicPr>
        <xdr:cNvPr id="6" name="Imagen 5">
          <a:extLst>
            <a:ext uri="{FF2B5EF4-FFF2-40B4-BE49-F238E27FC236}">
              <a16:creationId xmlns:a16="http://schemas.microsoft.com/office/drawing/2014/main" id="{F4542853-8146-4ED2-8C9E-B65DA313BA0E}"/>
            </a:ext>
          </a:extLst>
        </xdr:cNvPr>
        <xdr:cNvPicPr>
          <a:picLocks noChangeAspect="1"/>
        </xdr:cNvPicPr>
      </xdr:nvPicPr>
      <xdr:blipFill>
        <a:blip xmlns:r="http://schemas.openxmlformats.org/officeDocument/2006/relationships" r:embed="rId4"/>
        <a:stretch>
          <a:fillRect/>
        </a:stretch>
      </xdr:blipFill>
      <xdr:spPr>
        <a:xfrm>
          <a:off x="3606800" y="5380037"/>
          <a:ext cx="2232336" cy="3842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642938</xdr:colOff>
      <xdr:row>12</xdr:row>
      <xdr:rowOff>63500</xdr:rowOff>
    </xdr:to>
    <xdr:sp macro="" textlink="">
      <xdr:nvSpPr>
        <xdr:cNvPr id="2" name="CuadroTexto 1">
          <a:extLst>
            <a:ext uri="{FF2B5EF4-FFF2-40B4-BE49-F238E27FC236}">
              <a16:creationId xmlns:a16="http://schemas.microsoft.com/office/drawing/2014/main" id="{D88EFA8F-39E2-4BF9-81AF-4F0D7386B228}"/>
            </a:ext>
          </a:extLst>
        </xdr:cNvPr>
        <xdr:cNvSpPr txBox="1"/>
      </xdr:nvSpPr>
      <xdr:spPr>
        <a:xfrm>
          <a:off x="0" y="0"/>
          <a:ext cx="6564313" cy="22542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Bolígrafos Finos S.A. se dedica a producción de lapiceras finas y utiliza costos estándar. Todas las partes se compran en juegos a un proveedor en el exterior. Los estándares por bolígrafo terminado incluyen 120 $ de materiales (1 juego de materias primas) y 3.78 $/mano de obra, siendo el estándar en tarifa de mano de obra de 6.3 $/hora. </a:t>
          </a:r>
        </a:p>
        <a:p>
          <a:r>
            <a:rPr lang="en-US" b="1"/>
            <a:t>En el mes ocurrieron las siguientes transacciones: </a:t>
          </a:r>
        </a:p>
        <a:p>
          <a:r>
            <a:rPr lang="en-US" b="1"/>
            <a:t>Compras de material: 40000 a $ 118/juego </a:t>
          </a:r>
        </a:p>
        <a:p>
          <a:r>
            <a:rPr lang="en-US" b="1"/>
            <a:t>Materiales utilizados: 30000 juegos </a:t>
          </a:r>
        </a:p>
        <a:p>
          <a:r>
            <a:rPr lang="en-US" b="1"/>
            <a:t>Mano de Obra: 15000 horas </a:t>
          </a:r>
        </a:p>
        <a:p>
          <a:r>
            <a:rPr lang="en-US" b="1"/>
            <a:t>Total de salarios devengados: 97500 $ </a:t>
          </a:r>
        </a:p>
        <a:p>
          <a:r>
            <a:rPr lang="en-US" b="1"/>
            <a:t>Unidades producidas: 27450 </a:t>
          </a:r>
        </a:p>
        <a:p>
          <a:r>
            <a:rPr lang="en-US" b="1"/>
            <a:t>Se pide: a) Calcular las variaciones en precio y cantidad de materiales. b) Calcular la variación total en mano de obra. c) Calcular la variación en tarifa y eficiencia de mano de obra.</a:t>
          </a:r>
          <a:endParaRPr lang="en-US" sz="1100" b="1"/>
        </a:p>
      </xdr:txBody>
    </xdr:sp>
    <xdr:clientData/>
  </xdr:twoCellAnchor>
  <xdr:twoCellAnchor editAs="oneCell">
    <xdr:from>
      <xdr:col>0</xdr:col>
      <xdr:colOff>63500</xdr:colOff>
      <xdr:row>23</xdr:row>
      <xdr:rowOff>55562</xdr:rowOff>
    </xdr:from>
    <xdr:to>
      <xdr:col>1</xdr:col>
      <xdr:colOff>797172</xdr:colOff>
      <xdr:row>25</xdr:row>
      <xdr:rowOff>81017</xdr:rowOff>
    </xdr:to>
    <xdr:pic>
      <xdr:nvPicPr>
        <xdr:cNvPr id="3" name="Imagen 2">
          <a:extLst>
            <a:ext uri="{FF2B5EF4-FFF2-40B4-BE49-F238E27FC236}">
              <a16:creationId xmlns:a16="http://schemas.microsoft.com/office/drawing/2014/main" id="{1BDC5C66-6BC3-4BF5-9084-817D74A54963}"/>
            </a:ext>
          </a:extLst>
        </xdr:cNvPr>
        <xdr:cNvPicPr>
          <a:picLocks noChangeAspect="1"/>
        </xdr:cNvPicPr>
      </xdr:nvPicPr>
      <xdr:blipFill>
        <a:blip xmlns:r="http://schemas.openxmlformats.org/officeDocument/2006/relationships" r:embed="rId1"/>
        <a:stretch>
          <a:fillRect/>
        </a:stretch>
      </xdr:blipFill>
      <xdr:spPr>
        <a:xfrm>
          <a:off x="63500" y="3738562"/>
          <a:ext cx="1768722" cy="393755"/>
        </a:xfrm>
        <a:prstGeom prst="rect">
          <a:avLst/>
        </a:prstGeom>
      </xdr:spPr>
    </xdr:pic>
    <xdr:clientData/>
  </xdr:twoCellAnchor>
  <xdr:twoCellAnchor editAs="oneCell">
    <xdr:from>
      <xdr:col>0</xdr:col>
      <xdr:colOff>95250</xdr:colOff>
      <xdr:row>32</xdr:row>
      <xdr:rowOff>79375</xdr:rowOff>
    </xdr:from>
    <xdr:to>
      <xdr:col>2</xdr:col>
      <xdr:colOff>386070</xdr:colOff>
      <xdr:row>34</xdr:row>
      <xdr:rowOff>76251</xdr:rowOff>
    </xdr:to>
    <xdr:pic>
      <xdr:nvPicPr>
        <xdr:cNvPr id="4" name="Imagen 3">
          <a:extLst>
            <a:ext uri="{FF2B5EF4-FFF2-40B4-BE49-F238E27FC236}">
              <a16:creationId xmlns:a16="http://schemas.microsoft.com/office/drawing/2014/main" id="{8DCCDD0F-78C3-472D-BA1F-EE01FC53E29A}"/>
            </a:ext>
          </a:extLst>
        </xdr:cNvPr>
        <xdr:cNvPicPr>
          <a:picLocks noChangeAspect="1"/>
        </xdr:cNvPicPr>
      </xdr:nvPicPr>
      <xdr:blipFill>
        <a:blip xmlns:r="http://schemas.openxmlformats.org/officeDocument/2006/relationships" r:embed="rId2"/>
        <a:stretch>
          <a:fillRect/>
        </a:stretch>
      </xdr:blipFill>
      <xdr:spPr>
        <a:xfrm>
          <a:off x="95250" y="5419725"/>
          <a:ext cx="2208520" cy="365176"/>
        </a:xfrm>
        <a:prstGeom prst="rect">
          <a:avLst/>
        </a:prstGeom>
      </xdr:spPr>
    </xdr:pic>
    <xdr:clientData/>
  </xdr:twoCellAnchor>
  <xdr:twoCellAnchor editAs="oneCell">
    <xdr:from>
      <xdr:col>4</xdr:col>
      <xdr:colOff>7937</xdr:colOff>
      <xdr:row>23</xdr:row>
      <xdr:rowOff>79376</xdr:rowOff>
    </xdr:from>
    <xdr:to>
      <xdr:col>6</xdr:col>
      <xdr:colOff>624198</xdr:colOff>
      <xdr:row>25</xdr:row>
      <xdr:rowOff>47673</xdr:rowOff>
    </xdr:to>
    <xdr:pic>
      <xdr:nvPicPr>
        <xdr:cNvPr id="5" name="Imagen 4">
          <a:extLst>
            <a:ext uri="{FF2B5EF4-FFF2-40B4-BE49-F238E27FC236}">
              <a16:creationId xmlns:a16="http://schemas.microsoft.com/office/drawing/2014/main" id="{D211AE6D-7C79-450E-AA9E-7001136062A0}"/>
            </a:ext>
          </a:extLst>
        </xdr:cNvPr>
        <xdr:cNvPicPr>
          <a:picLocks noChangeAspect="1"/>
        </xdr:cNvPicPr>
      </xdr:nvPicPr>
      <xdr:blipFill>
        <a:blip xmlns:r="http://schemas.openxmlformats.org/officeDocument/2006/relationships" r:embed="rId3"/>
        <a:stretch>
          <a:fillRect/>
        </a:stretch>
      </xdr:blipFill>
      <xdr:spPr>
        <a:xfrm>
          <a:off x="3582987" y="3762376"/>
          <a:ext cx="2232336" cy="336597"/>
        </a:xfrm>
        <a:prstGeom prst="rect">
          <a:avLst/>
        </a:prstGeom>
      </xdr:spPr>
    </xdr:pic>
    <xdr:clientData/>
  </xdr:twoCellAnchor>
  <xdr:twoCellAnchor editAs="oneCell">
    <xdr:from>
      <xdr:col>4</xdr:col>
      <xdr:colOff>31750</xdr:colOff>
      <xdr:row>32</xdr:row>
      <xdr:rowOff>39687</xdr:rowOff>
    </xdr:from>
    <xdr:to>
      <xdr:col>6</xdr:col>
      <xdr:colOff>648011</xdr:colOff>
      <xdr:row>34</xdr:row>
      <xdr:rowOff>55615</xdr:rowOff>
    </xdr:to>
    <xdr:pic>
      <xdr:nvPicPr>
        <xdr:cNvPr id="6" name="Imagen 5">
          <a:extLst>
            <a:ext uri="{FF2B5EF4-FFF2-40B4-BE49-F238E27FC236}">
              <a16:creationId xmlns:a16="http://schemas.microsoft.com/office/drawing/2014/main" id="{48DE2367-E277-45C5-83A1-551FA0A7501B}"/>
            </a:ext>
          </a:extLst>
        </xdr:cNvPr>
        <xdr:cNvPicPr>
          <a:picLocks noChangeAspect="1"/>
        </xdr:cNvPicPr>
      </xdr:nvPicPr>
      <xdr:blipFill>
        <a:blip xmlns:r="http://schemas.openxmlformats.org/officeDocument/2006/relationships" r:embed="rId4"/>
        <a:stretch>
          <a:fillRect/>
        </a:stretch>
      </xdr:blipFill>
      <xdr:spPr>
        <a:xfrm>
          <a:off x="3606800" y="5380037"/>
          <a:ext cx="2232336" cy="3842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8</xdr:col>
      <xdr:colOff>261938</xdr:colOff>
      <xdr:row>7</xdr:row>
      <xdr:rowOff>55563</xdr:rowOff>
    </xdr:to>
    <xdr:sp macro="" textlink="">
      <xdr:nvSpPr>
        <xdr:cNvPr id="2" name="CuadroTexto 1">
          <a:extLst>
            <a:ext uri="{FF2B5EF4-FFF2-40B4-BE49-F238E27FC236}">
              <a16:creationId xmlns:a16="http://schemas.microsoft.com/office/drawing/2014/main" id="{64935408-E728-401D-BC2D-876BEF84E112}"/>
            </a:ext>
          </a:extLst>
        </xdr:cNvPr>
        <xdr:cNvSpPr txBox="1"/>
      </xdr:nvSpPr>
      <xdr:spPr>
        <a:xfrm>
          <a:off x="0" y="1"/>
          <a:ext cx="6357938" cy="13335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En base a la siguiente información relacionada con la compañía Tubos de Acero SA, calcule las variaciones relacionadas con la materia prima y mano de obra al 31 de marzo de 2008 HOJA DE ESTANDARES DE COSTOS MATERIALES: 3 Kg a 2 $/Kg = 6 $ MANO DE OBRA : 0.8 Horas a 5.8 $/hora = 4.64 $ En marzo de 2008 se compraron 30 toneladas de acero, con un costo de 55.500 $ y se utilizaron 32 toneladas. El costo de la mano de obra directa fue de 52.767 $ (para 9020 horas). La producción de marzo ascendió a 10600 tubos de acero, de los cuales se vendieron 4850</a:t>
          </a:r>
          <a:endParaRPr lang="en-US" sz="1100" b="1"/>
        </a:p>
      </xdr:txBody>
    </xdr:sp>
    <xdr:clientData/>
  </xdr:twoCellAnchor>
  <xdr:twoCellAnchor editAs="oneCell">
    <xdr:from>
      <xdr:col>0</xdr:col>
      <xdr:colOff>63500</xdr:colOff>
      <xdr:row>22</xdr:row>
      <xdr:rowOff>55562</xdr:rowOff>
    </xdr:from>
    <xdr:to>
      <xdr:col>2</xdr:col>
      <xdr:colOff>105022</xdr:colOff>
      <xdr:row>24</xdr:row>
      <xdr:rowOff>81017</xdr:rowOff>
    </xdr:to>
    <xdr:pic>
      <xdr:nvPicPr>
        <xdr:cNvPr id="3" name="Imagen 2">
          <a:extLst>
            <a:ext uri="{FF2B5EF4-FFF2-40B4-BE49-F238E27FC236}">
              <a16:creationId xmlns:a16="http://schemas.microsoft.com/office/drawing/2014/main" id="{302FC543-D1EE-40CE-A278-A8D83826B0BD}"/>
            </a:ext>
          </a:extLst>
        </xdr:cNvPr>
        <xdr:cNvPicPr>
          <a:picLocks noChangeAspect="1"/>
        </xdr:cNvPicPr>
      </xdr:nvPicPr>
      <xdr:blipFill>
        <a:blip xmlns:r="http://schemas.openxmlformats.org/officeDocument/2006/relationships" r:embed="rId1"/>
        <a:stretch>
          <a:fillRect/>
        </a:stretch>
      </xdr:blipFill>
      <xdr:spPr>
        <a:xfrm>
          <a:off x="63500" y="3738562"/>
          <a:ext cx="1768722" cy="393755"/>
        </a:xfrm>
        <a:prstGeom prst="rect">
          <a:avLst/>
        </a:prstGeom>
      </xdr:spPr>
    </xdr:pic>
    <xdr:clientData/>
  </xdr:twoCellAnchor>
  <xdr:twoCellAnchor editAs="oneCell">
    <xdr:from>
      <xdr:col>0</xdr:col>
      <xdr:colOff>95250</xdr:colOff>
      <xdr:row>31</xdr:row>
      <xdr:rowOff>79375</xdr:rowOff>
    </xdr:from>
    <xdr:to>
      <xdr:col>2</xdr:col>
      <xdr:colOff>576570</xdr:colOff>
      <xdr:row>33</xdr:row>
      <xdr:rowOff>76251</xdr:rowOff>
    </xdr:to>
    <xdr:pic>
      <xdr:nvPicPr>
        <xdr:cNvPr id="4" name="Imagen 3">
          <a:extLst>
            <a:ext uri="{FF2B5EF4-FFF2-40B4-BE49-F238E27FC236}">
              <a16:creationId xmlns:a16="http://schemas.microsoft.com/office/drawing/2014/main" id="{6552107A-972C-46D1-AA8B-9D015C24FE12}"/>
            </a:ext>
          </a:extLst>
        </xdr:cNvPr>
        <xdr:cNvPicPr>
          <a:picLocks noChangeAspect="1"/>
        </xdr:cNvPicPr>
      </xdr:nvPicPr>
      <xdr:blipFill>
        <a:blip xmlns:r="http://schemas.openxmlformats.org/officeDocument/2006/relationships" r:embed="rId2"/>
        <a:stretch>
          <a:fillRect/>
        </a:stretch>
      </xdr:blipFill>
      <xdr:spPr>
        <a:xfrm>
          <a:off x="95250" y="5419725"/>
          <a:ext cx="2208520" cy="365176"/>
        </a:xfrm>
        <a:prstGeom prst="rect">
          <a:avLst/>
        </a:prstGeom>
      </xdr:spPr>
    </xdr:pic>
    <xdr:clientData/>
  </xdr:twoCellAnchor>
  <xdr:twoCellAnchor editAs="oneCell">
    <xdr:from>
      <xdr:col>4</xdr:col>
      <xdr:colOff>7937</xdr:colOff>
      <xdr:row>22</xdr:row>
      <xdr:rowOff>79376</xdr:rowOff>
    </xdr:from>
    <xdr:to>
      <xdr:col>6</xdr:col>
      <xdr:colOff>695106</xdr:colOff>
      <xdr:row>24</xdr:row>
      <xdr:rowOff>47673</xdr:rowOff>
    </xdr:to>
    <xdr:pic>
      <xdr:nvPicPr>
        <xdr:cNvPr id="5" name="Imagen 4">
          <a:extLst>
            <a:ext uri="{FF2B5EF4-FFF2-40B4-BE49-F238E27FC236}">
              <a16:creationId xmlns:a16="http://schemas.microsoft.com/office/drawing/2014/main" id="{D227CBEC-3327-4101-B455-3BD7E491F4BC}"/>
            </a:ext>
          </a:extLst>
        </xdr:cNvPr>
        <xdr:cNvPicPr>
          <a:picLocks noChangeAspect="1"/>
        </xdr:cNvPicPr>
      </xdr:nvPicPr>
      <xdr:blipFill>
        <a:blip xmlns:r="http://schemas.openxmlformats.org/officeDocument/2006/relationships" r:embed="rId3"/>
        <a:stretch>
          <a:fillRect/>
        </a:stretch>
      </xdr:blipFill>
      <xdr:spPr>
        <a:xfrm>
          <a:off x="3582987" y="3762376"/>
          <a:ext cx="2232336" cy="336597"/>
        </a:xfrm>
        <a:prstGeom prst="rect">
          <a:avLst/>
        </a:prstGeom>
      </xdr:spPr>
    </xdr:pic>
    <xdr:clientData/>
  </xdr:twoCellAnchor>
  <xdr:twoCellAnchor editAs="oneCell">
    <xdr:from>
      <xdr:col>4</xdr:col>
      <xdr:colOff>31750</xdr:colOff>
      <xdr:row>31</xdr:row>
      <xdr:rowOff>39687</xdr:rowOff>
    </xdr:from>
    <xdr:to>
      <xdr:col>6</xdr:col>
      <xdr:colOff>718919</xdr:colOff>
      <xdr:row>33</xdr:row>
      <xdr:rowOff>55615</xdr:rowOff>
    </xdr:to>
    <xdr:pic>
      <xdr:nvPicPr>
        <xdr:cNvPr id="6" name="Imagen 5">
          <a:extLst>
            <a:ext uri="{FF2B5EF4-FFF2-40B4-BE49-F238E27FC236}">
              <a16:creationId xmlns:a16="http://schemas.microsoft.com/office/drawing/2014/main" id="{1F326FAE-5C4F-49EF-B1EC-50A70FEA5262}"/>
            </a:ext>
          </a:extLst>
        </xdr:cNvPr>
        <xdr:cNvPicPr>
          <a:picLocks noChangeAspect="1"/>
        </xdr:cNvPicPr>
      </xdr:nvPicPr>
      <xdr:blipFill>
        <a:blip xmlns:r="http://schemas.openxmlformats.org/officeDocument/2006/relationships" r:embed="rId4"/>
        <a:stretch>
          <a:fillRect/>
        </a:stretch>
      </xdr:blipFill>
      <xdr:spPr>
        <a:xfrm>
          <a:off x="3606800" y="5380037"/>
          <a:ext cx="2232336" cy="3842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373944</xdr:colOff>
      <xdr:row>3</xdr:row>
      <xdr:rowOff>133351</xdr:rowOff>
    </xdr:to>
    <xdr:sp macro="" textlink="">
      <xdr:nvSpPr>
        <xdr:cNvPr id="2" name="CuadroTexto 1">
          <a:extLst>
            <a:ext uri="{FF2B5EF4-FFF2-40B4-BE49-F238E27FC236}">
              <a16:creationId xmlns:a16="http://schemas.microsoft.com/office/drawing/2014/main" id="{A4238924-DF63-428D-A237-A23569C98410}"/>
            </a:ext>
          </a:extLst>
        </xdr:cNvPr>
        <xdr:cNvSpPr txBox="1"/>
      </xdr:nvSpPr>
      <xdr:spPr>
        <a:xfrm>
          <a:off x="0" y="1"/>
          <a:ext cx="5707944" cy="68368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Galletera Fina S.A. usa un sistema de costeo por procesos con costos estándar para evaluar su desempeño. Durante Noviembre de 2007 produjo 20000 cajas de galletas. Los estándares de fabricación de una caja en el Departamento de Empaque son los siguientes: </a:t>
          </a:r>
          <a:endParaRPr lang="en-US" sz="1100" b="1"/>
        </a:p>
      </xdr:txBody>
    </xdr:sp>
    <xdr:clientData/>
  </xdr:twoCellAnchor>
  <xdr:twoCellAnchor editAs="oneCell">
    <xdr:from>
      <xdr:col>0</xdr:col>
      <xdr:colOff>63500</xdr:colOff>
      <xdr:row>21</xdr:row>
      <xdr:rowOff>55562</xdr:rowOff>
    </xdr:from>
    <xdr:to>
      <xdr:col>1</xdr:col>
      <xdr:colOff>714622</xdr:colOff>
      <xdr:row>23</xdr:row>
      <xdr:rowOff>81017</xdr:rowOff>
    </xdr:to>
    <xdr:pic>
      <xdr:nvPicPr>
        <xdr:cNvPr id="3" name="Imagen 2">
          <a:extLst>
            <a:ext uri="{FF2B5EF4-FFF2-40B4-BE49-F238E27FC236}">
              <a16:creationId xmlns:a16="http://schemas.microsoft.com/office/drawing/2014/main" id="{47EFA47A-D0C5-4AFC-A5EA-2619C747EF32}"/>
            </a:ext>
          </a:extLst>
        </xdr:cNvPr>
        <xdr:cNvPicPr>
          <a:picLocks noChangeAspect="1"/>
        </xdr:cNvPicPr>
      </xdr:nvPicPr>
      <xdr:blipFill>
        <a:blip xmlns:r="http://schemas.openxmlformats.org/officeDocument/2006/relationships" r:embed="rId1"/>
        <a:stretch>
          <a:fillRect/>
        </a:stretch>
      </xdr:blipFill>
      <xdr:spPr>
        <a:xfrm>
          <a:off x="63500" y="3738562"/>
          <a:ext cx="1768722" cy="393755"/>
        </a:xfrm>
        <a:prstGeom prst="rect">
          <a:avLst/>
        </a:prstGeom>
      </xdr:spPr>
    </xdr:pic>
    <xdr:clientData/>
  </xdr:twoCellAnchor>
  <xdr:twoCellAnchor editAs="oneCell">
    <xdr:from>
      <xdr:col>0</xdr:col>
      <xdr:colOff>95250</xdr:colOff>
      <xdr:row>44</xdr:row>
      <xdr:rowOff>79375</xdr:rowOff>
    </xdr:from>
    <xdr:to>
      <xdr:col>2</xdr:col>
      <xdr:colOff>424170</xdr:colOff>
      <xdr:row>46</xdr:row>
      <xdr:rowOff>76251</xdr:rowOff>
    </xdr:to>
    <xdr:pic>
      <xdr:nvPicPr>
        <xdr:cNvPr id="4" name="Imagen 3">
          <a:extLst>
            <a:ext uri="{FF2B5EF4-FFF2-40B4-BE49-F238E27FC236}">
              <a16:creationId xmlns:a16="http://schemas.microsoft.com/office/drawing/2014/main" id="{EBF070F5-2A2A-4C77-8C29-29FFB6BB34A6}"/>
            </a:ext>
          </a:extLst>
        </xdr:cNvPr>
        <xdr:cNvPicPr>
          <a:picLocks noChangeAspect="1"/>
        </xdr:cNvPicPr>
      </xdr:nvPicPr>
      <xdr:blipFill>
        <a:blip xmlns:r="http://schemas.openxmlformats.org/officeDocument/2006/relationships" r:embed="rId2"/>
        <a:stretch>
          <a:fillRect/>
        </a:stretch>
      </xdr:blipFill>
      <xdr:spPr>
        <a:xfrm>
          <a:off x="95250" y="5419725"/>
          <a:ext cx="2208520" cy="365176"/>
        </a:xfrm>
        <a:prstGeom prst="rect">
          <a:avLst/>
        </a:prstGeom>
      </xdr:spPr>
    </xdr:pic>
    <xdr:clientData/>
  </xdr:twoCellAnchor>
  <xdr:twoCellAnchor editAs="oneCell">
    <xdr:from>
      <xdr:col>4</xdr:col>
      <xdr:colOff>7937</xdr:colOff>
      <xdr:row>21</xdr:row>
      <xdr:rowOff>79376</xdr:rowOff>
    </xdr:from>
    <xdr:to>
      <xdr:col>6</xdr:col>
      <xdr:colOff>324161</xdr:colOff>
      <xdr:row>23</xdr:row>
      <xdr:rowOff>47673</xdr:rowOff>
    </xdr:to>
    <xdr:pic>
      <xdr:nvPicPr>
        <xdr:cNvPr id="5" name="Imagen 4">
          <a:extLst>
            <a:ext uri="{FF2B5EF4-FFF2-40B4-BE49-F238E27FC236}">
              <a16:creationId xmlns:a16="http://schemas.microsoft.com/office/drawing/2014/main" id="{8EE28B58-5A46-4A3D-A398-A6E558826D88}"/>
            </a:ext>
          </a:extLst>
        </xdr:cNvPr>
        <xdr:cNvPicPr>
          <a:picLocks noChangeAspect="1"/>
        </xdr:cNvPicPr>
      </xdr:nvPicPr>
      <xdr:blipFill>
        <a:blip xmlns:r="http://schemas.openxmlformats.org/officeDocument/2006/relationships" r:embed="rId3"/>
        <a:stretch>
          <a:fillRect/>
        </a:stretch>
      </xdr:blipFill>
      <xdr:spPr>
        <a:xfrm>
          <a:off x="3582987" y="3762376"/>
          <a:ext cx="2232336" cy="336597"/>
        </a:xfrm>
        <a:prstGeom prst="rect">
          <a:avLst/>
        </a:prstGeom>
      </xdr:spPr>
    </xdr:pic>
    <xdr:clientData/>
  </xdr:twoCellAnchor>
  <xdr:twoCellAnchor editAs="oneCell">
    <xdr:from>
      <xdr:col>4</xdr:col>
      <xdr:colOff>31750</xdr:colOff>
      <xdr:row>31</xdr:row>
      <xdr:rowOff>39687</xdr:rowOff>
    </xdr:from>
    <xdr:to>
      <xdr:col>6</xdr:col>
      <xdr:colOff>347974</xdr:colOff>
      <xdr:row>33</xdr:row>
      <xdr:rowOff>55615</xdr:rowOff>
    </xdr:to>
    <xdr:pic>
      <xdr:nvPicPr>
        <xdr:cNvPr id="6" name="Imagen 5">
          <a:extLst>
            <a:ext uri="{FF2B5EF4-FFF2-40B4-BE49-F238E27FC236}">
              <a16:creationId xmlns:a16="http://schemas.microsoft.com/office/drawing/2014/main" id="{FFCCB212-D250-4B88-8873-D98CD131C2C3}"/>
            </a:ext>
          </a:extLst>
        </xdr:cNvPr>
        <xdr:cNvPicPr>
          <a:picLocks noChangeAspect="1"/>
        </xdr:cNvPicPr>
      </xdr:nvPicPr>
      <xdr:blipFill>
        <a:blip xmlns:r="http://schemas.openxmlformats.org/officeDocument/2006/relationships" r:embed="rId4"/>
        <a:stretch>
          <a:fillRect/>
        </a:stretch>
      </xdr:blipFill>
      <xdr:spPr>
        <a:xfrm>
          <a:off x="3606800" y="5380037"/>
          <a:ext cx="2232336" cy="384228"/>
        </a:xfrm>
        <a:prstGeom prst="rect">
          <a:avLst/>
        </a:prstGeom>
      </xdr:spPr>
    </xdr:pic>
    <xdr:clientData/>
  </xdr:twoCellAnchor>
</xdr:wsDr>
</file>

<file path=xl/theme/theme1.xml><?xml version="1.0" encoding="utf-8"?>
<a:theme xmlns:a="http://schemas.openxmlformats.org/drawingml/2006/main" name="Office Them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G34"/>
  <sheetViews>
    <sheetView topLeftCell="A13" zoomScale="80" zoomScaleNormal="80" workbookViewId="0">
      <selection activeCell="L13" sqref="L13"/>
    </sheetView>
  </sheetViews>
  <sheetFormatPr baseColWidth="10" defaultColWidth="8.7265625" defaultRowHeight="14.5" x14ac:dyDescent="0.35"/>
  <cols>
    <col min="1" max="1" width="15.1796875" customWidth="1"/>
    <col min="2" max="2" width="14.453125" customWidth="1"/>
    <col min="4" max="4" width="12.81640625" customWidth="1"/>
    <col min="5" max="5" width="12.6328125" customWidth="1"/>
    <col min="6" max="6" width="11.26953125" customWidth="1"/>
  </cols>
  <sheetData>
    <row r="10" spans="1:5" x14ac:dyDescent="0.35">
      <c r="A10" s="39" t="s">
        <v>5</v>
      </c>
      <c r="B10" s="39"/>
      <c r="D10" s="39" t="s">
        <v>10</v>
      </c>
      <c r="E10" s="39"/>
    </row>
    <row r="11" spans="1:5" x14ac:dyDescent="0.35">
      <c r="A11" s="4" t="s">
        <v>3</v>
      </c>
      <c r="B11" s="4">
        <v>2</v>
      </c>
      <c r="C11" t="s">
        <v>22</v>
      </c>
      <c r="D11" s="7" t="s">
        <v>6</v>
      </c>
      <c r="E11" s="4">
        <v>6200</v>
      </c>
    </row>
    <row r="12" spans="1:5" ht="29" x14ac:dyDescent="0.35">
      <c r="A12" s="6" t="s">
        <v>0</v>
      </c>
      <c r="B12" s="5">
        <v>20</v>
      </c>
      <c r="D12" s="6" t="s">
        <v>7</v>
      </c>
      <c r="E12" s="5">
        <v>118000</v>
      </c>
    </row>
    <row r="13" spans="1:5" ht="29" x14ac:dyDescent="0.35">
      <c r="A13" s="6" t="s">
        <v>1</v>
      </c>
      <c r="B13" s="4">
        <v>1.5</v>
      </c>
      <c r="D13" s="6" t="s">
        <v>8</v>
      </c>
      <c r="E13" s="4">
        <v>4650</v>
      </c>
    </row>
    <row r="14" spans="1:5" x14ac:dyDescent="0.35">
      <c r="A14" s="6" t="s">
        <v>2</v>
      </c>
      <c r="B14" s="5">
        <v>6.5</v>
      </c>
      <c r="D14" s="6" t="s">
        <v>9</v>
      </c>
      <c r="E14" s="5">
        <v>30225</v>
      </c>
    </row>
    <row r="15" spans="1:5" x14ac:dyDescent="0.35">
      <c r="A15" s="6" t="s">
        <v>4</v>
      </c>
      <c r="B15" s="4">
        <v>3000</v>
      </c>
    </row>
    <row r="16" spans="1:5" x14ac:dyDescent="0.35">
      <c r="A16" s="15"/>
      <c r="B16" s="16"/>
    </row>
    <row r="17" spans="1:7" x14ac:dyDescent="0.35">
      <c r="A17" s="1" t="s">
        <v>25</v>
      </c>
      <c r="B17" s="3"/>
      <c r="E17" t="s">
        <v>26</v>
      </c>
    </row>
    <row r="18" spans="1:7" x14ac:dyDescent="0.35">
      <c r="A18" s="40" t="s">
        <v>11</v>
      </c>
      <c r="B18" s="40"/>
      <c r="C18" s="40"/>
      <c r="E18" s="41" t="s">
        <v>30</v>
      </c>
      <c r="F18" s="41"/>
      <c r="G18" s="41"/>
    </row>
    <row r="22" spans="1:7" x14ac:dyDescent="0.35">
      <c r="A22" s="11" t="s">
        <v>12</v>
      </c>
      <c r="B22" s="4">
        <f>+E11</f>
        <v>6200</v>
      </c>
      <c r="E22" s="11" t="s">
        <v>28</v>
      </c>
      <c r="F22" s="4">
        <f>+E13</f>
        <v>4650</v>
      </c>
      <c r="G22" t="s">
        <v>27</v>
      </c>
    </row>
    <row r="23" spans="1:7" x14ac:dyDescent="0.35">
      <c r="A23" s="11" t="s">
        <v>13</v>
      </c>
      <c r="B23" s="5">
        <f>+E12/E11</f>
        <v>19.032258064516128</v>
      </c>
      <c r="E23" s="11" t="s">
        <v>29</v>
      </c>
      <c r="F23" s="5">
        <f>+E14/E13</f>
        <v>6.5</v>
      </c>
    </row>
    <row r="24" spans="1:7" x14ac:dyDescent="0.35">
      <c r="A24" s="11" t="s">
        <v>15</v>
      </c>
      <c r="B24" s="13">
        <f>+B12</f>
        <v>20</v>
      </c>
      <c r="E24" s="11" t="s">
        <v>37</v>
      </c>
      <c r="F24" s="13">
        <f>+B14</f>
        <v>6.5</v>
      </c>
    </row>
    <row r="25" spans="1:7" x14ac:dyDescent="0.35">
      <c r="A25" s="11" t="s">
        <v>16</v>
      </c>
      <c r="B25" s="13">
        <f>+B22*(B23-B24)</f>
        <v>-6000.0000000000055</v>
      </c>
      <c r="C25" t="s">
        <v>17</v>
      </c>
      <c r="E25" s="11" t="s">
        <v>34</v>
      </c>
      <c r="F25" s="13">
        <f>+F22*(F23-F24)</f>
        <v>0</v>
      </c>
    </row>
    <row r="27" spans="1:7" x14ac:dyDescent="0.35">
      <c r="A27" s="40" t="s">
        <v>18</v>
      </c>
      <c r="B27" s="40"/>
      <c r="C27" s="40"/>
      <c r="E27" s="41" t="s">
        <v>31</v>
      </c>
      <c r="F27" s="41"/>
      <c r="G27" s="41"/>
    </row>
    <row r="31" spans="1:7" x14ac:dyDescent="0.35">
      <c r="A31" s="11" t="s">
        <v>15</v>
      </c>
      <c r="B31" s="13">
        <f>+B12</f>
        <v>20</v>
      </c>
      <c r="E31" s="11" t="s">
        <v>32</v>
      </c>
      <c r="F31" s="13">
        <f>+B14</f>
        <v>6.5</v>
      </c>
    </row>
    <row r="32" spans="1:7" x14ac:dyDescent="0.35">
      <c r="A32" s="11" t="s">
        <v>19</v>
      </c>
      <c r="B32" s="14">
        <f>+E11</f>
        <v>6200</v>
      </c>
      <c r="C32" t="s">
        <v>20</v>
      </c>
      <c r="E32" s="11" t="s">
        <v>28</v>
      </c>
      <c r="F32" s="5">
        <f>+E13</f>
        <v>4650</v>
      </c>
    </row>
    <row r="33" spans="1:7" x14ac:dyDescent="0.35">
      <c r="A33" s="11" t="s">
        <v>21</v>
      </c>
      <c r="B33" s="12">
        <f>+B11*B15</f>
        <v>6000</v>
      </c>
      <c r="C33" t="s">
        <v>23</v>
      </c>
      <c r="E33" s="11" t="s">
        <v>33</v>
      </c>
      <c r="F33" s="13">
        <f>+B15*B13</f>
        <v>4500</v>
      </c>
    </row>
    <row r="34" spans="1:7" x14ac:dyDescent="0.35">
      <c r="A34" s="11" t="s">
        <v>36</v>
      </c>
      <c r="B34" s="13">
        <f>+B31*(B32-B33)</f>
        <v>4000</v>
      </c>
      <c r="C34" t="s">
        <v>24</v>
      </c>
      <c r="E34" s="11" t="s">
        <v>35</v>
      </c>
      <c r="F34" s="13">
        <f>+F31*(F32-F33)</f>
        <v>975</v>
      </c>
      <c r="G34" t="s">
        <v>24</v>
      </c>
    </row>
  </sheetData>
  <mergeCells count="6">
    <mergeCell ref="A10:B10"/>
    <mergeCell ref="D10:E10"/>
    <mergeCell ref="A18:C18"/>
    <mergeCell ref="A27:C27"/>
    <mergeCell ref="E18:G18"/>
    <mergeCell ref="E27:G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57387-8CA6-421E-880B-FE8668848921}">
  <dimension ref="A11:F35"/>
  <sheetViews>
    <sheetView zoomScale="90" zoomScaleNormal="90" workbookViewId="0">
      <selection activeCell="D40" sqref="D40"/>
    </sheetView>
  </sheetViews>
  <sheetFormatPr baseColWidth="10" defaultRowHeight="14.5" x14ac:dyDescent="0.35"/>
  <cols>
    <col min="1" max="1" width="18.54296875" customWidth="1"/>
    <col min="2" max="2" width="11.54296875" bestFit="1" customWidth="1"/>
    <col min="4" max="4" width="11.1796875" bestFit="1" customWidth="1"/>
    <col min="5" max="5" width="14.54296875" customWidth="1"/>
    <col min="6" max="6" width="11.81640625" customWidth="1"/>
  </cols>
  <sheetData>
    <row r="11" spans="1:4" x14ac:dyDescent="0.35">
      <c r="A11" s="7" t="s">
        <v>42</v>
      </c>
      <c r="B11" s="5">
        <v>50625</v>
      </c>
    </row>
    <row r="12" spans="1:4" x14ac:dyDescent="0.35">
      <c r="A12" s="7" t="s">
        <v>38</v>
      </c>
      <c r="B12" s="5">
        <v>66652</v>
      </c>
      <c r="D12" s="46">
        <f>+B12-B11</f>
        <v>16027</v>
      </c>
    </row>
    <row r="13" spans="1:4" ht="29" x14ac:dyDescent="0.35">
      <c r="A13" s="6" t="s">
        <v>39</v>
      </c>
      <c r="B13" s="5">
        <v>16027</v>
      </c>
    </row>
    <row r="14" spans="1:4" x14ac:dyDescent="0.35">
      <c r="A14" s="8"/>
      <c r="B14" s="3"/>
    </row>
    <row r="15" spans="1:4" ht="29" x14ac:dyDescent="0.35">
      <c r="A15" s="6" t="s">
        <v>40</v>
      </c>
      <c r="B15" s="14">
        <v>6750</v>
      </c>
    </row>
    <row r="16" spans="1:4" ht="29" x14ac:dyDescent="0.35">
      <c r="A16" s="6" t="s">
        <v>41</v>
      </c>
      <c r="B16" s="14">
        <v>8770</v>
      </c>
    </row>
    <row r="18" spans="1:6" x14ac:dyDescent="0.35">
      <c r="A18" s="19" t="s">
        <v>26</v>
      </c>
      <c r="E18" s="20" t="s">
        <v>43</v>
      </c>
    </row>
    <row r="19" spans="1:6" ht="29" x14ac:dyDescent="0.35">
      <c r="A19" s="41" t="s">
        <v>30</v>
      </c>
      <c r="B19" s="41"/>
      <c r="C19" s="41"/>
      <c r="E19" s="22" t="s">
        <v>44</v>
      </c>
      <c r="F19" s="10">
        <f>+B35+B26</f>
        <v>16026.999999999996</v>
      </c>
    </row>
    <row r="22" spans="1:6" x14ac:dyDescent="0.35">
      <c r="E22" s="17" t="s">
        <v>45</v>
      </c>
    </row>
    <row r="23" spans="1:6" x14ac:dyDescent="0.35">
      <c r="A23" s="11" t="s">
        <v>28</v>
      </c>
      <c r="B23" s="12">
        <f>+B16</f>
        <v>8770</v>
      </c>
      <c r="C23" t="s">
        <v>27</v>
      </c>
      <c r="E23" s="11" t="s">
        <v>46</v>
      </c>
      <c r="F23" s="23">
        <f>+B16</f>
        <v>8770</v>
      </c>
    </row>
    <row r="24" spans="1:6" x14ac:dyDescent="0.35">
      <c r="A24" s="11" t="s">
        <v>29</v>
      </c>
      <c r="B24" s="5">
        <f>+B12/B16</f>
        <v>7.6</v>
      </c>
      <c r="E24" s="11" t="s">
        <v>47</v>
      </c>
      <c r="F24" s="18">
        <f>+B12/B16</f>
        <v>7.6</v>
      </c>
    </row>
    <row r="25" spans="1:6" x14ac:dyDescent="0.35">
      <c r="A25" s="11" t="s">
        <v>37</v>
      </c>
      <c r="B25" s="13">
        <f>+B11/B15</f>
        <v>7.5</v>
      </c>
      <c r="E25" s="11" t="s">
        <v>48</v>
      </c>
      <c r="F25" s="18">
        <f>+B11/B15</f>
        <v>7.5</v>
      </c>
    </row>
    <row r="26" spans="1:6" x14ac:dyDescent="0.35">
      <c r="A26" s="11" t="s">
        <v>34</v>
      </c>
      <c r="B26" s="13">
        <f>+B23*(B24-B25)</f>
        <v>876.99999999999693</v>
      </c>
    </row>
    <row r="28" spans="1:6" x14ac:dyDescent="0.35">
      <c r="A28" s="41" t="s">
        <v>31</v>
      </c>
      <c r="B28" s="41"/>
      <c r="C28" s="41"/>
    </row>
    <row r="32" spans="1:6" x14ac:dyDescent="0.35">
      <c r="A32" s="11" t="s">
        <v>32</v>
      </c>
      <c r="B32" s="13">
        <f>+B25</f>
        <v>7.5</v>
      </c>
    </row>
    <row r="33" spans="1:2" x14ac:dyDescent="0.35">
      <c r="A33" s="11" t="s">
        <v>28</v>
      </c>
      <c r="B33" s="14">
        <f>+B23</f>
        <v>8770</v>
      </c>
    </row>
    <row r="34" spans="1:2" x14ac:dyDescent="0.35">
      <c r="A34" s="11" t="s">
        <v>33</v>
      </c>
      <c r="B34" s="12">
        <f>+B15</f>
        <v>6750</v>
      </c>
    </row>
    <row r="35" spans="1:2" x14ac:dyDescent="0.35">
      <c r="A35" s="11" t="s">
        <v>35</v>
      </c>
      <c r="B35" s="13">
        <f>+B32*(B33-B34)</f>
        <v>15150</v>
      </c>
    </row>
  </sheetData>
  <mergeCells count="2">
    <mergeCell ref="A19:C19"/>
    <mergeCell ref="A28:C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2D4A-F0E7-4DBA-952A-481EDF7074E0}">
  <dimension ref="A11:I43"/>
  <sheetViews>
    <sheetView topLeftCell="A24" zoomScale="90" zoomScaleNormal="90" workbookViewId="0">
      <selection activeCell="F40" sqref="F40"/>
    </sheetView>
  </sheetViews>
  <sheetFormatPr baseColWidth="10" defaultRowHeight="14.5" x14ac:dyDescent="0.35"/>
  <cols>
    <col min="1" max="1" width="13.7265625" customWidth="1"/>
    <col min="2" max="2" width="16.54296875" customWidth="1"/>
    <col min="6" max="6" width="11.54296875" bestFit="1" customWidth="1"/>
  </cols>
  <sheetData>
    <row r="11" spans="1:9" x14ac:dyDescent="0.35">
      <c r="A11" s="42" t="s">
        <v>51</v>
      </c>
      <c r="B11" s="43"/>
      <c r="D11" s="39" t="s">
        <v>52</v>
      </c>
      <c r="E11" s="39"/>
      <c r="F11" s="39"/>
      <c r="G11" s="39"/>
      <c r="H11" s="39"/>
    </row>
    <row r="12" spans="1:9" x14ac:dyDescent="0.35">
      <c r="A12" s="11" t="s">
        <v>49</v>
      </c>
      <c r="B12" s="18">
        <v>0.75</v>
      </c>
      <c r="D12" s="11" t="s">
        <v>53</v>
      </c>
      <c r="E12" s="9">
        <v>10</v>
      </c>
      <c r="F12" s="9" t="s">
        <v>55</v>
      </c>
      <c r="G12" s="9">
        <v>7.4999999999999997E-2</v>
      </c>
      <c r="H12" s="9" t="s">
        <v>54</v>
      </c>
      <c r="I12" s="24" t="s">
        <v>69</v>
      </c>
    </row>
    <row r="13" spans="1:9" x14ac:dyDescent="0.35">
      <c r="A13" s="11" t="s">
        <v>50</v>
      </c>
      <c r="B13" s="18">
        <v>1</v>
      </c>
      <c r="D13" s="11" t="s">
        <v>50</v>
      </c>
      <c r="E13" s="9">
        <v>0.5</v>
      </c>
      <c r="F13" s="9" t="s">
        <v>56</v>
      </c>
      <c r="G13" s="9">
        <v>2</v>
      </c>
      <c r="H13" s="9" t="s">
        <v>57</v>
      </c>
    </row>
    <row r="14" spans="1:9" x14ac:dyDescent="0.35">
      <c r="A14" s="11" t="s">
        <v>58</v>
      </c>
      <c r="B14" s="9">
        <v>30000</v>
      </c>
      <c r="C14" t="s">
        <v>59</v>
      </c>
    </row>
    <row r="15" spans="1:9" x14ac:dyDescent="0.35">
      <c r="E15">
        <f>+E12/1000</f>
        <v>0.01</v>
      </c>
    </row>
    <row r="16" spans="1:9" x14ac:dyDescent="0.35">
      <c r="A16" s="44" t="s">
        <v>60</v>
      </c>
      <c r="B16" s="44"/>
    </row>
    <row r="17" spans="1:7" x14ac:dyDescent="0.35">
      <c r="A17" s="21" t="s">
        <v>61</v>
      </c>
      <c r="B17" s="9">
        <v>28000</v>
      </c>
      <c r="C17" t="s">
        <v>59</v>
      </c>
    </row>
    <row r="18" spans="1:7" x14ac:dyDescent="0.35">
      <c r="A18" s="21" t="s">
        <v>50</v>
      </c>
      <c r="B18" s="9">
        <v>14200</v>
      </c>
      <c r="C18" t="s">
        <v>56</v>
      </c>
    </row>
    <row r="19" spans="1:7" x14ac:dyDescent="0.35">
      <c r="A19" s="21" t="s">
        <v>62</v>
      </c>
      <c r="B19" s="18">
        <v>28490</v>
      </c>
    </row>
    <row r="20" spans="1:7" x14ac:dyDescent="0.35">
      <c r="A20" s="21" t="s">
        <v>65</v>
      </c>
      <c r="B20" s="9">
        <v>80</v>
      </c>
      <c r="C20" t="s">
        <v>64</v>
      </c>
    </row>
    <row r="21" spans="1:7" x14ac:dyDescent="0.35">
      <c r="A21" s="21" t="s">
        <v>66</v>
      </c>
      <c r="B21" s="18">
        <v>6400</v>
      </c>
    </row>
    <row r="22" spans="1:7" x14ac:dyDescent="0.35">
      <c r="A22" s="21" t="s">
        <v>67</v>
      </c>
      <c r="B22" s="9">
        <v>285</v>
      </c>
      <c r="C22" t="s">
        <v>64</v>
      </c>
    </row>
    <row r="24" spans="1:7" x14ac:dyDescent="0.35">
      <c r="A24" s="1" t="s">
        <v>25</v>
      </c>
      <c r="B24" s="3"/>
      <c r="E24" t="s">
        <v>26</v>
      </c>
    </row>
    <row r="25" spans="1:7" x14ac:dyDescent="0.35">
      <c r="A25" s="40" t="s">
        <v>11</v>
      </c>
      <c r="B25" s="40"/>
      <c r="C25" s="40"/>
      <c r="E25" s="41" t="s">
        <v>30</v>
      </c>
      <c r="F25" s="41"/>
      <c r="G25" s="41"/>
    </row>
    <row r="29" spans="1:7" x14ac:dyDescent="0.35">
      <c r="A29" s="11" t="s">
        <v>12</v>
      </c>
      <c r="B29" s="4">
        <f>+B20</f>
        <v>80</v>
      </c>
      <c r="E29" s="11" t="s">
        <v>28</v>
      </c>
      <c r="F29" s="4">
        <f>+B18</f>
        <v>14200</v>
      </c>
      <c r="G29" t="s">
        <v>27</v>
      </c>
    </row>
    <row r="30" spans="1:7" x14ac:dyDescent="0.35">
      <c r="A30" s="11" t="s">
        <v>13</v>
      </c>
      <c r="B30" s="5">
        <f>+B21/B20</f>
        <v>80</v>
      </c>
      <c r="C30" t="s">
        <v>70</v>
      </c>
      <c r="E30" s="11" t="s">
        <v>29</v>
      </c>
      <c r="F30" s="5">
        <f>+B19/B18</f>
        <v>2.0063380281690142</v>
      </c>
    </row>
    <row r="31" spans="1:7" x14ac:dyDescent="0.35">
      <c r="A31" s="11" t="s">
        <v>15</v>
      </c>
      <c r="B31" s="13">
        <f>+G12*1000</f>
        <v>75</v>
      </c>
      <c r="C31" t="s">
        <v>70</v>
      </c>
      <c r="E31" s="11" t="s">
        <v>37</v>
      </c>
      <c r="F31" s="13">
        <f>+G13</f>
        <v>2</v>
      </c>
    </row>
    <row r="32" spans="1:7" x14ac:dyDescent="0.35">
      <c r="A32" s="11" t="s">
        <v>16</v>
      </c>
      <c r="B32" s="13">
        <f>+B29*(B30-B31)</f>
        <v>400</v>
      </c>
      <c r="C32" t="s">
        <v>24</v>
      </c>
      <c r="E32" s="11" t="s">
        <v>34</v>
      </c>
      <c r="F32" s="13">
        <f>+F29*(F30-F31)</f>
        <v>90.00000000000145</v>
      </c>
    </row>
    <row r="34" spans="1:7" x14ac:dyDescent="0.35">
      <c r="A34" s="40" t="s">
        <v>18</v>
      </c>
      <c r="B34" s="40"/>
      <c r="C34" s="40"/>
      <c r="E34" s="41" t="s">
        <v>31</v>
      </c>
      <c r="F34" s="41"/>
      <c r="G34" s="41"/>
    </row>
    <row r="38" spans="1:7" x14ac:dyDescent="0.35">
      <c r="A38" s="11" t="s">
        <v>15</v>
      </c>
      <c r="B38" s="13">
        <f>+B31</f>
        <v>75</v>
      </c>
      <c r="E38" s="11" t="s">
        <v>32</v>
      </c>
      <c r="F38" s="13">
        <f>+F31</f>
        <v>2</v>
      </c>
    </row>
    <row r="39" spans="1:7" x14ac:dyDescent="0.35">
      <c r="A39" s="11" t="s">
        <v>19</v>
      </c>
      <c r="B39" s="14">
        <f>+B22</f>
        <v>285</v>
      </c>
      <c r="C39" t="s">
        <v>20</v>
      </c>
      <c r="E39" s="11" t="s">
        <v>28</v>
      </c>
      <c r="F39" s="14">
        <f>+F29</f>
        <v>14200</v>
      </c>
    </row>
    <row r="40" spans="1:7" x14ac:dyDescent="0.35">
      <c r="A40" s="11" t="s">
        <v>21</v>
      </c>
      <c r="B40" s="30">
        <f>+B17*E15</f>
        <v>280</v>
      </c>
      <c r="C40" t="s">
        <v>23</v>
      </c>
      <c r="E40" s="11" t="s">
        <v>33</v>
      </c>
      <c r="F40" s="12">
        <f>+B17*E13</f>
        <v>14000</v>
      </c>
    </row>
    <row r="41" spans="1:7" x14ac:dyDescent="0.35">
      <c r="A41" s="11" t="s">
        <v>36</v>
      </c>
      <c r="B41" s="31">
        <f>+B38*(B39-B40)</f>
        <v>375</v>
      </c>
      <c r="E41" s="11" t="s">
        <v>35</v>
      </c>
      <c r="F41" s="13">
        <f>+F38*(F39-F40)</f>
        <v>400</v>
      </c>
      <c r="G41" t="s">
        <v>24</v>
      </c>
    </row>
    <row r="43" spans="1:7" x14ac:dyDescent="0.35">
      <c r="E43" s="21" t="s">
        <v>68</v>
      </c>
      <c r="F43" s="10">
        <f>+F41+F32</f>
        <v>490.00000000000148</v>
      </c>
    </row>
  </sheetData>
  <mergeCells count="7">
    <mergeCell ref="A34:C34"/>
    <mergeCell ref="E34:G34"/>
    <mergeCell ref="A11:B11"/>
    <mergeCell ref="D11:H11"/>
    <mergeCell ref="A16:B16"/>
    <mergeCell ref="A25:C25"/>
    <mergeCell ref="E25:G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8A9E-BBAB-40B9-B74D-0EF196A72E4F}">
  <dimension ref="A14:G47"/>
  <sheetViews>
    <sheetView topLeftCell="A18" zoomScale="90" zoomScaleNormal="90" workbookViewId="0">
      <selection activeCell="F40" sqref="F40"/>
    </sheetView>
  </sheetViews>
  <sheetFormatPr baseColWidth="10" defaultRowHeight="14.5" x14ac:dyDescent="0.35"/>
  <cols>
    <col min="1" max="1" width="14.81640625" customWidth="1"/>
    <col min="2" max="2" width="12.6328125" customWidth="1"/>
    <col min="4" max="4" width="13.7265625" customWidth="1"/>
    <col min="5" max="6" width="11.54296875" bestFit="1" customWidth="1"/>
  </cols>
  <sheetData>
    <row r="14" spans="1:7" x14ac:dyDescent="0.35">
      <c r="A14" s="39" t="s">
        <v>5</v>
      </c>
      <c r="B14" s="39"/>
      <c r="D14" s="39" t="s">
        <v>10</v>
      </c>
      <c r="E14" s="39"/>
    </row>
    <row r="15" spans="1:7" x14ac:dyDescent="0.35">
      <c r="A15" s="6" t="s">
        <v>71</v>
      </c>
      <c r="B15" s="5">
        <v>120</v>
      </c>
      <c r="D15" s="7" t="s">
        <v>63</v>
      </c>
      <c r="E15" s="4">
        <v>40000</v>
      </c>
      <c r="F15" s="25">
        <v>118</v>
      </c>
      <c r="G15" t="s">
        <v>76</v>
      </c>
    </row>
    <row r="16" spans="1:7" x14ac:dyDescent="0.35">
      <c r="A16" s="6" t="s">
        <v>72</v>
      </c>
      <c r="B16" s="5">
        <v>3.78</v>
      </c>
      <c r="C16" t="s">
        <v>75</v>
      </c>
      <c r="D16" s="6" t="s">
        <v>77</v>
      </c>
      <c r="E16" s="14">
        <v>30000</v>
      </c>
      <c r="F16" t="s">
        <v>78</v>
      </c>
    </row>
    <row r="17" spans="1:7" x14ac:dyDescent="0.35">
      <c r="A17" s="6" t="s">
        <v>73</v>
      </c>
      <c r="B17" s="5">
        <v>6.3</v>
      </c>
      <c r="C17" t="s">
        <v>74</v>
      </c>
      <c r="D17" s="6" t="s">
        <v>50</v>
      </c>
      <c r="E17" s="4">
        <v>15000</v>
      </c>
      <c r="F17" t="s">
        <v>56</v>
      </c>
    </row>
    <row r="18" spans="1:7" x14ac:dyDescent="0.35">
      <c r="D18" s="6" t="s">
        <v>9</v>
      </c>
      <c r="E18" s="5">
        <v>97500</v>
      </c>
    </row>
    <row r="19" spans="1:7" x14ac:dyDescent="0.35">
      <c r="D19" s="6" t="s">
        <v>79</v>
      </c>
      <c r="E19" s="4">
        <v>27450</v>
      </c>
    </row>
    <row r="22" spans="1:7" x14ac:dyDescent="0.35">
      <c r="A22" s="1" t="s">
        <v>25</v>
      </c>
      <c r="B22" s="3"/>
      <c r="E22" t="s">
        <v>26</v>
      </c>
    </row>
    <row r="23" spans="1:7" x14ac:dyDescent="0.35">
      <c r="A23" s="40" t="s">
        <v>11</v>
      </c>
      <c r="B23" s="40"/>
      <c r="C23" s="40"/>
      <c r="E23" s="41" t="s">
        <v>30</v>
      </c>
      <c r="F23" s="41"/>
      <c r="G23" s="41"/>
    </row>
    <row r="27" spans="1:7" x14ac:dyDescent="0.35">
      <c r="A27" s="11" t="s">
        <v>12</v>
      </c>
      <c r="B27" s="4">
        <f>+E15</f>
        <v>40000</v>
      </c>
      <c r="E27" s="11" t="s">
        <v>28</v>
      </c>
      <c r="F27" s="4">
        <f>+E17</f>
        <v>15000</v>
      </c>
      <c r="G27" t="s">
        <v>27</v>
      </c>
    </row>
    <row r="28" spans="1:7" x14ac:dyDescent="0.35">
      <c r="A28" s="11" t="s">
        <v>13</v>
      </c>
      <c r="B28" s="26">
        <f>+F15</f>
        <v>118</v>
      </c>
      <c r="E28" s="11" t="s">
        <v>29</v>
      </c>
      <c r="F28" s="5">
        <f>+E18/E17</f>
        <v>6.5</v>
      </c>
    </row>
    <row r="29" spans="1:7" x14ac:dyDescent="0.35">
      <c r="A29" s="11" t="s">
        <v>15</v>
      </c>
      <c r="B29" s="13">
        <f>+B15</f>
        <v>120</v>
      </c>
      <c r="E29" s="11" t="s">
        <v>37</v>
      </c>
      <c r="F29" s="13">
        <f>+B17</f>
        <v>6.3</v>
      </c>
    </row>
    <row r="30" spans="1:7" x14ac:dyDescent="0.35">
      <c r="A30" s="11" t="s">
        <v>16</v>
      </c>
      <c r="B30" s="13">
        <f>+B27*(B28-B29)</f>
        <v>-80000</v>
      </c>
      <c r="C30" t="s">
        <v>17</v>
      </c>
      <c r="E30" s="11" t="s">
        <v>34</v>
      </c>
      <c r="F30" s="13">
        <f>+F27*(F28-F29)</f>
        <v>3000.0000000000027</v>
      </c>
      <c r="G30" t="s">
        <v>24</v>
      </c>
    </row>
    <row r="32" spans="1:7" x14ac:dyDescent="0.35">
      <c r="A32" s="40" t="s">
        <v>18</v>
      </c>
      <c r="B32" s="40"/>
      <c r="C32" s="40"/>
      <c r="E32" s="41" t="s">
        <v>31</v>
      </c>
      <c r="F32" s="41"/>
      <c r="G32" s="41"/>
    </row>
    <row r="36" spans="1:7" x14ac:dyDescent="0.35">
      <c r="A36" s="11" t="s">
        <v>15</v>
      </c>
      <c r="B36" s="13">
        <f>+B29</f>
        <v>120</v>
      </c>
      <c r="E36" s="11" t="s">
        <v>32</v>
      </c>
      <c r="F36" s="13">
        <f>+F29</f>
        <v>6.3</v>
      </c>
    </row>
    <row r="37" spans="1:7" x14ac:dyDescent="0.35">
      <c r="A37" s="11" t="s">
        <v>19</v>
      </c>
      <c r="B37" s="14">
        <f>+E16</f>
        <v>30000</v>
      </c>
      <c r="C37" t="s">
        <v>20</v>
      </c>
      <c r="E37" s="11" t="s">
        <v>28</v>
      </c>
      <c r="F37" s="14">
        <f>+F27</f>
        <v>15000</v>
      </c>
    </row>
    <row r="38" spans="1:7" x14ac:dyDescent="0.35">
      <c r="A38" s="11" t="s">
        <v>21</v>
      </c>
      <c r="B38" s="12">
        <f>+E19*1</f>
        <v>27450</v>
      </c>
      <c r="C38" t="s">
        <v>23</v>
      </c>
      <c r="E38" s="11" t="s">
        <v>33</v>
      </c>
      <c r="F38" s="29">
        <f>+E46*E19</f>
        <v>16470</v>
      </c>
    </row>
    <row r="39" spans="1:7" x14ac:dyDescent="0.35">
      <c r="A39" s="11" t="s">
        <v>36</v>
      </c>
      <c r="B39" s="13">
        <f>+B36*(B37-B38)</f>
        <v>306000</v>
      </c>
      <c r="C39" t="s">
        <v>24</v>
      </c>
      <c r="E39" s="11" t="s">
        <v>35</v>
      </c>
      <c r="F39" s="13">
        <f>+F36*(F37-F38)</f>
        <v>-9261</v>
      </c>
      <c r="G39" t="s">
        <v>17</v>
      </c>
    </row>
    <row r="43" spans="1:7" x14ac:dyDescent="0.35">
      <c r="A43">
        <v>3.78</v>
      </c>
      <c r="B43" s="27" t="s">
        <v>81</v>
      </c>
      <c r="C43">
        <v>6.3</v>
      </c>
      <c r="D43" s="27" t="s">
        <v>81</v>
      </c>
    </row>
    <row r="44" spans="1:7" x14ac:dyDescent="0.35">
      <c r="B44" t="s">
        <v>80</v>
      </c>
      <c r="D44" t="s">
        <v>82</v>
      </c>
    </row>
    <row r="46" spans="1:7" x14ac:dyDescent="0.35">
      <c r="A46">
        <v>3.78</v>
      </c>
      <c r="B46" s="3" t="s">
        <v>83</v>
      </c>
      <c r="C46" s="27">
        <v>1</v>
      </c>
      <c r="E46" s="28">
        <f>+A46*1/C47</f>
        <v>0.6</v>
      </c>
    </row>
    <row r="47" spans="1:7" x14ac:dyDescent="0.35">
      <c r="C47">
        <v>6.3</v>
      </c>
    </row>
  </sheetData>
  <mergeCells count="6">
    <mergeCell ref="A14:B14"/>
    <mergeCell ref="D14:E14"/>
    <mergeCell ref="A23:C23"/>
    <mergeCell ref="E23:G23"/>
    <mergeCell ref="A32:C32"/>
    <mergeCell ref="E32:G3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50AE3-731A-41FA-AF2D-2E59CE3DDA91}">
  <dimension ref="A9:G38"/>
  <sheetViews>
    <sheetView tabSelected="1" topLeftCell="A22" zoomScale="90" zoomScaleNormal="90" workbookViewId="0">
      <selection activeCell="D8" sqref="D8"/>
    </sheetView>
  </sheetViews>
  <sheetFormatPr baseColWidth="10" defaultRowHeight="14.5" x14ac:dyDescent="0.35"/>
  <cols>
    <col min="1" max="1" width="13.54296875" customWidth="1"/>
    <col min="2" max="2" width="11.1796875" bestFit="1" customWidth="1"/>
    <col min="6" max="6" width="11.1796875" bestFit="1" customWidth="1"/>
  </cols>
  <sheetData>
    <row r="9" spans="1:5" x14ac:dyDescent="0.35">
      <c r="A9" s="39" t="s">
        <v>5</v>
      </c>
      <c r="B9" s="39"/>
      <c r="C9" s="39"/>
      <c r="D9" s="39"/>
      <c r="E9" s="39"/>
    </row>
    <row r="10" spans="1:5" x14ac:dyDescent="0.35">
      <c r="A10" s="6" t="s">
        <v>71</v>
      </c>
      <c r="B10" s="14">
        <v>3</v>
      </c>
      <c r="C10" s="9" t="s">
        <v>64</v>
      </c>
      <c r="D10" s="18">
        <v>2</v>
      </c>
      <c r="E10" s="9" t="s">
        <v>84</v>
      </c>
    </row>
    <row r="11" spans="1:5" x14ac:dyDescent="0.35">
      <c r="A11" s="6" t="s">
        <v>72</v>
      </c>
      <c r="B11" s="14">
        <v>0.8</v>
      </c>
      <c r="C11" s="9" t="s">
        <v>56</v>
      </c>
      <c r="D11" s="18">
        <v>5.8</v>
      </c>
      <c r="E11" s="9" t="s">
        <v>85</v>
      </c>
    </row>
    <row r="13" spans="1:5" x14ac:dyDescent="0.35">
      <c r="A13" s="39" t="s">
        <v>10</v>
      </c>
      <c r="B13" s="39"/>
    </row>
    <row r="14" spans="1:5" x14ac:dyDescent="0.35">
      <c r="A14" s="7" t="s">
        <v>63</v>
      </c>
      <c r="B14" s="4">
        <v>30</v>
      </c>
      <c r="C14" t="s">
        <v>86</v>
      </c>
      <c r="D14">
        <f>+B14*1000</f>
        <v>30000</v>
      </c>
      <c r="E14" t="s">
        <v>64</v>
      </c>
    </row>
    <row r="15" spans="1:5" x14ac:dyDescent="0.35">
      <c r="A15" s="6" t="s">
        <v>87</v>
      </c>
      <c r="B15" s="5">
        <v>55500</v>
      </c>
    </row>
    <row r="16" spans="1:5" x14ac:dyDescent="0.35">
      <c r="A16" s="6" t="s">
        <v>88</v>
      </c>
      <c r="B16" s="4">
        <v>32</v>
      </c>
      <c r="C16" t="s">
        <v>86</v>
      </c>
      <c r="D16">
        <f>+B16*1000</f>
        <v>32000</v>
      </c>
      <c r="E16" t="s">
        <v>64</v>
      </c>
    </row>
    <row r="17" spans="1:7" x14ac:dyDescent="0.35">
      <c r="A17" s="6" t="s">
        <v>9</v>
      </c>
      <c r="B17" s="5">
        <v>52767</v>
      </c>
    </row>
    <row r="18" spans="1:7" x14ac:dyDescent="0.35">
      <c r="A18" s="6" t="s">
        <v>89</v>
      </c>
      <c r="B18" s="4">
        <v>9020</v>
      </c>
      <c r="C18" t="s">
        <v>56</v>
      </c>
    </row>
    <row r="19" spans="1:7" ht="29" x14ac:dyDescent="0.35">
      <c r="A19" s="22" t="s">
        <v>79</v>
      </c>
      <c r="B19" s="34">
        <v>10600</v>
      </c>
      <c r="C19" t="s">
        <v>90</v>
      </c>
    </row>
    <row r="21" spans="1:7" x14ac:dyDescent="0.35">
      <c r="A21" s="1" t="s">
        <v>25</v>
      </c>
      <c r="B21" s="3"/>
      <c r="E21" t="s">
        <v>26</v>
      </c>
    </row>
    <row r="22" spans="1:7" x14ac:dyDescent="0.35">
      <c r="A22" s="40" t="s">
        <v>11</v>
      </c>
      <c r="B22" s="40"/>
      <c r="C22" s="40"/>
      <c r="E22" s="41" t="s">
        <v>30</v>
      </c>
      <c r="F22" s="41"/>
      <c r="G22" s="41"/>
    </row>
    <row r="26" spans="1:7" x14ac:dyDescent="0.35">
      <c r="A26" s="11" t="s">
        <v>12</v>
      </c>
      <c r="B26" s="4">
        <f>+D14</f>
        <v>30000</v>
      </c>
      <c r="E26" s="11" t="s">
        <v>28</v>
      </c>
      <c r="F26" s="4">
        <f>+B18</f>
        <v>9020</v>
      </c>
      <c r="G26" t="s">
        <v>27</v>
      </c>
    </row>
    <row r="27" spans="1:7" x14ac:dyDescent="0.35">
      <c r="A27" s="11" t="s">
        <v>13</v>
      </c>
      <c r="B27" s="5">
        <f>+B15/D14</f>
        <v>1.85</v>
      </c>
      <c r="E27" s="11" t="s">
        <v>29</v>
      </c>
      <c r="F27" s="5">
        <f>+B17/F26</f>
        <v>5.85</v>
      </c>
    </row>
    <row r="28" spans="1:7" x14ac:dyDescent="0.35">
      <c r="A28" s="11" t="s">
        <v>15</v>
      </c>
      <c r="B28" s="13">
        <f>+D10</f>
        <v>2</v>
      </c>
      <c r="E28" s="11" t="s">
        <v>37</v>
      </c>
      <c r="F28" s="13">
        <f>D11</f>
        <v>5.8</v>
      </c>
    </row>
    <row r="29" spans="1:7" x14ac:dyDescent="0.35">
      <c r="A29" s="11" t="s">
        <v>16</v>
      </c>
      <c r="B29" s="13">
        <f>+B26*(B27-B28)</f>
        <v>-4499.9999999999973</v>
      </c>
      <c r="C29" t="s">
        <v>17</v>
      </c>
      <c r="E29" s="11" t="s">
        <v>34</v>
      </c>
      <c r="F29" s="13">
        <f>+F26*(F27-F28)</f>
        <v>450.99999999999841</v>
      </c>
      <c r="G29" t="s">
        <v>24</v>
      </c>
    </row>
    <row r="31" spans="1:7" x14ac:dyDescent="0.35">
      <c r="A31" s="40" t="s">
        <v>18</v>
      </c>
      <c r="B31" s="40"/>
      <c r="C31" s="40"/>
      <c r="E31" s="41" t="s">
        <v>31</v>
      </c>
      <c r="F31" s="41"/>
      <c r="G31" s="41"/>
    </row>
    <row r="35" spans="1:7" x14ac:dyDescent="0.35">
      <c r="A35" s="11" t="s">
        <v>15</v>
      </c>
      <c r="B35" s="13">
        <f>+B28</f>
        <v>2</v>
      </c>
      <c r="E35" s="11" t="s">
        <v>32</v>
      </c>
      <c r="F35" s="13">
        <f>+F28</f>
        <v>5.8</v>
      </c>
    </row>
    <row r="36" spans="1:7" x14ac:dyDescent="0.35">
      <c r="A36" s="11" t="s">
        <v>19</v>
      </c>
      <c r="B36" s="14">
        <f>+D16</f>
        <v>32000</v>
      </c>
      <c r="C36" t="s">
        <v>20</v>
      </c>
      <c r="E36" s="11" t="s">
        <v>28</v>
      </c>
      <c r="F36" s="14">
        <f>+F26</f>
        <v>9020</v>
      </c>
    </row>
    <row r="37" spans="1:7" x14ac:dyDescent="0.35">
      <c r="A37" s="11" t="s">
        <v>21</v>
      </c>
      <c r="B37" s="12">
        <f>+B19*B10</f>
        <v>31800</v>
      </c>
      <c r="C37" t="s">
        <v>91</v>
      </c>
      <c r="E37" s="11" t="s">
        <v>33</v>
      </c>
      <c r="F37" s="12">
        <f>+B19*B11</f>
        <v>8480</v>
      </c>
    </row>
    <row r="38" spans="1:7" x14ac:dyDescent="0.35">
      <c r="A38" s="11" t="s">
        <v>36</v>
      </c>
      <c r="B38" s="13">
        <f>+B35*(B36-B37)</f>
        <v>400</v>
      </c>
      <c r="C38" t="s">
        <v>24</v>
      </c>
      <c r="E38" s="11" t="s">
        <v>35</v>
      </c>
      <c r="F38" s="13">
        <f>+F35*(F36-F37)</f>
        <v>3132</v>
      </c>
      <c r="G38" t="s">
        <v>24</v>
      </c>
    </row>
  </sheetData>
  <mergeCells count="6">
    <mergeCell ref="A31:C31"/>
    <mergeCell ref="E31:G31"/>
    <mergeCell ref="A9:E9"/>
    <mergeCell ref="A13:B13"/>
    <mergeCell ref="A22:C22"/>
    <mergeCell ref="E22:G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C28AA-4FA0-4169-8297-A275B082B73B}">
  <dimension ref="A5:J64"/>
  <sheetViews>
    <sheetView topLeftCell="A4" zoomScale="80" zoomScaleNormal="80" workbookViewId="0">
      <selection activeCell="G30" sqref="G30"/>
    </sheetView>
  </sheetViews>
  <sheetFormatPr baseColWidth="10" defaultRowHeight="14.5" x14ac:dyDescent="0.35"/>
  <cols>
    <col min="1" max="1" width="16" customWidth="1"/>
    <col min="5" max="5" width="16.453125" customWidth="1"/>
  </cols>
  <sheetData>
    <row r="5" spans="1:10" x14ac:dyDescent="0.35">
      <c r="A5" s="39" t="s">
        <v>5</v>
      </c>
      <c r="B5" s="39"/>
      <c r="C5" s="39"/>
      <c r="E5" s="39" t="s">
        <v>10</v>
      </c>
      <c r="F5" s="39"/>
      <c r="G5" s="39"/>
    </row>
    <row r="6" spans="1:10" ht="29" x14ac:dyDescent="0.35">
      <c r="A6" s="45" t="s">
        <v>92</v>
      </c>
      <c r="B6" s="45"/>
      <c r="C6" s="45"/>
      <c r="E6" s="6" t="s">
        <v>79</v>
      </c>
      <c r="F6" s="9">
        <v>20000</v>
      </c>
      <c r="G6" s="9" t="s">
        <v>101</v>
      </c>
    </row>
    <row r="7" spans="1:10" ht="29" x14ac:dyDescent="0.35">
      <c r="A7" s="7" t="s">
        <v>93</v>
      </c>
      <c r="B7" s="5">
        <v>15</v>
      </c>
      <c r="C7" s="4" t="s">
        <v>84</v>
      </c>
      <c r="E7" s="6" t="s">
        <v>116</v>
      </c>
      <c r="F7" s="9">
        <v>21200</v>
      </c>
      <c r="G7" s="9" t="s">
        <v>114</v>
      </c>
    </row>
    <row r="8" spans="1:10" x14ac:dyDescent="0.35">
      <c r="A8" s="7" t="s">
        <v>94</v>
      </c>
      <c r="B8" s="5">
        <v>0.5</v>
      </c>
      <c r="C8" s="4" t="s">
        <v>14</v>
      </c>
      <c r="E8" s="6" t="s">
        <v>113</v>
      </c>
      <c r="F8" s="9">
        <v>20000</v>
      </c>
      <c r="G8" s="9" t="s">
        <v>115</v>
      </c>
    </row>
    <row r="9" spans="1:10" x14ac:dyDescent="0.35">
      <c r="A9" s="7" t="s">
        <v>95</v>
      </c>
      <c r="B9" s="5">
        <v>1.5</v>
      </c>
      <c r="C9" s="4" t="s">
        <v>14</v>
      </c>
      <c r="E9" s="6" t="s">
        <v>102</v>
      </c>
      <c r="F9" s="32">
        <v>318000</v>
      </c>
      <c r="G9" s="9" t="s">
        <v>120</v>
      </c>
    </row>
    <row r="10" spans="1:10" ht="29" x14ac:dyDescent="0.35">
      <c r="A10" s="45" t="s">
        <v>96</v>
      </c>
      <c r="B10" s="45"/>
      <c r="C10" s="45"/>
      <c r="E10" s="6" t="s">
        <v>103</v>
      </c>
      <c r="F10" s="9">
        <v>20200</v>
      </c>
      <c r="G10" s="9" t="s">
        <v>104</v>
      </c>
      <c r="H10" s="2">
        <v>520</v>
      </c>
      <c r="I10" t="s">
        <v>106</v>
      </c>
      <c r="J10" t="s">
        <v>108</v>
      </c>
    </row>
    <row r="11" spans="1:10" ht="29" x14ac:dyDescent="0.35">
      <c r="A11" s="22" t="s">
        <v>97</v>
      </c>
      <c r="B11" s="34">
        <v>5</v>
      </c>
      <c r="C11" s="35" t="s">
        <v>98</v>
      </c>
      <c r="E11" s="6" t="s">
        <v>105</v>
      </c>
      <c r="F11" s="9">
        <v>1000</v>
      </c>
      <c r="G11" s="9" t="s">
        <v>59</v>
      </c>
    </row>
    <row r="12" spans="1:10" ht="29" x14ac:dyDescent="0.35">
      <c r="A12" s="36" t="s">
        <v>99</v>
      </c>
      <c r="B12" s="33">
        <v>5.5</v>
      </c>
      <c r="C12" s="35" t="s">
        <v>57</v>
      </c>
      <c r="E12" s="6" t="s">
        <v>107</v>
      </c>
      <c r="F12" s="9">
        <v>2000</v>
      </c>
      <c r="G12" s="9" t="s">
        <v>59</v>
      </c>
    </row>
    <row r="13" spans="1:10" ht="29" x14ac:dyDescent="0.35">
      <c r="A13" s="45" t="s">
        <v>79</v>
      </c>
      <c r="B13" s="45"/>
      <c r="C13" s="45"/>
      <c r="E13" s="6" t="s">
        <v>109</v>
      </c>
      <c r="F13" s="9">
        <v>25000</v>
      </c>
      <c r="G13" s="9"/>
    </row>
    <row r="14" spans="1:10" ht="29" x14ac:dyDescent="0.35">
      <c r="A14" s="7" t="s">
        <v>100</v>
      </c>
      <c r="B14" s="9">
        <v>20000</v>
      </c>
      <c r="C14" s="35" t="s">
        <v>101</v>
      </c>
      <c r="E14" s="6" t="s">
        <v>110</v>
      </c>
      <c r="F14" s="18">
        <v>1.2</v>
      </c>
      <c r="G14" s="9" t="s">
        <v>111</v>
      </c>
    </row>
    <row r="15" spans="1:10" ht="29" x14ac:dyDescent="0.35">
      <c r="E15" s="6" t="s">
        <v>112</v>
      </c>
      <c r="F15" s="9">
        <v>20000</v>
      </c>
      <c r="G15" s="9"/>
    </row>
    <row r="16" spans="1:10" x14ac:dyDescent="0.35">
      <c r="E16" s="6" t="s">
        <v>8</v>
      </c>
      <c r="F16" s="9">
        <v>1700</v>
      </c>
      <c r="G16" s="9" t="s">
        <v>56</v>
      </c>
    </row>
    <row r="17" spans="1:7" x14ac:dyDescent="0.35">
      <c r="E17" s="6" t="s">
        <v>99</v>
      </c>
      <c r="F17" s="18">
        <v>5.4</v>
      </c>
      <c r="G17" s="9" t="s">
        <v>74</v>
      </c>
    </row>
    <row r="20" spans="1:7" x14ac:dyDescent="0.35">
      <c r="A20" s="1" t="s">
        <v>25</v>
      </c>
      <c r="B20" s="3"/>
      <c r="E20" t="s">
        <v>26</v>
      </c>
    </row>
    <row r="21" spans="1:7" x14ac:dyDescent="0.35">
      <c r="A21" s="40" t="s">
        <v>11</v>
      </c>
      <c r="B21" s="40"/>
      <c r="C21" s="40"/>
      <c r="E21" s="41" t="s">
        <v>30</v>
      </c>
      <c r="F21" s="41"/>
      <c r="G21" s="41"/>
    </row>
    <row r="25" spans="1:7" x14ac:dyDescent="0.35">
      <c r="A25" s="17" t="s">
        <v>117</v>
      </c>
    </row>
    <row r="26" spans="1:7" x14ac:dyDescent="0.35">
      <c r="A26" s="11" t="s">
        <v>12</v>
      </c>
      <c r="B26" s="4">
        <f>+F7</f>
        <v>21200</v>
      </c>
      <c r="E26" s="11" t="s">
        <v>28</v>
      </c>
      <c r="F26" s="4">
        <f>+F16</f>
        <v>1700</v>
      </c>
      <c r="G26" t="s">
        <v>27</v>
      </c>
    </row>
    <row r="27" spans="1:7" x14ac:dyDescent="0.35">
      <c r="A27" s="11" t="s">
        <v>13</v>
      </c>
      <c r="B27" s="5">
        <f>+F9/F7</f>
        <v>15</v>
      </c>
      <c r="E27" s="11" t="s">
        <v>29</v>
      </c>
      <c r="F27" s="5">
        <f>+F17</f>
        <v>5.4</v>
      </c>
    </row>
    <row r="28" spans="1:7" x14ac:dyDescent="0.35">
      <c r="A28" s="11" t="s">
        <v>15</v>
      </c>
      <c r="B28" s="13">
        <f>+B7</f>
        <v>15</v>
      </c>
      <c r="E28" s="11" t="s">
        <v>37</v>
      </c>
      <c r="F28" s="13">
        <f>+B12</f>
        <v>5.5</v>
      </c>
    </row>
    <row r="29" spans="1:7" x14ac:dyDescent="0.35">
      <c r="A29" s="11" t="s">
        <v>16</v>
      </c>
      <c r="B29" s="13">
        <f>+B26*(B27-B28)</f>
        <v>0</v>
      </c>
      <c r="E29" s="11" t="s">
        <v>34</v>
      </c>
      <c r="F29" s="13">
        <f>+F26*(F27-F28)</f>
        <v>-169.9999999999994</v>
      </c>
      <c r="G29" t="s">
        <v>17</v>
      </c>
    </row>
    <row r="30" spans="1:7" x14ac:dyDescent="0.35">
      <c r="A30" s="37"/>
      <c r="B30" s="38"/>
      <c r="E30" s="37"/>
      <c r="F30" s="38"/>
    </row>
    <row r="31" spans="1:7" x14ac:dyDescent="0.35">
      <c r="A31" s="17" t="s">
        <v>118</v>
      </c>
      <c r="E31" s="41" t="s">
        <v>31</v>
      </c>
      <c r="F31" s="41"/>
      <c r="G31" s="41"/>
    </row>
    <row r="32" spans="1:7" x14ac:dyDescent="0.35">
      <c r="A32" s="11" t="s">
        <v>12</v>
      </c>
      <c r="B32" s="4">
        <f>+F12</f>
        <v>2000</v>
      </c>
    </row>
    <row r="33" spans="1:7" x14ac:dyDescent="0.35">
      <c r="A33" s="11" t="s">
        <v>13</v>
      </c>
      <c r="B33" s="5">
        <f>+H10/1000</f>
        <v>0.52</v>
      </c>
    </row>
    <row r="34" spans="1:7" x14ac:dyDescent="0.35">
      <c r="A34" s="11" t="s">
        <v>15</v>
      </c>
      <c r="B34" s="13">
        <f>+B8</f>
        <v>0.5</v>
      </c>
    </row>
    <row r="35" spans="1:7" x14ac:dyDescent="0.35">
      <c r="A35" s="11" t="s">
        <v>16</v>
      </c>
      <c r="B35" s="13">
        <f>+B32*(B33-B34)</f>
        <v>40.000000000000036</v>
      </c>
      <c r="C35" t="s">
        <v>24</v>
      </c>
      <c r="E35" s="11" t="s">
        <v>32</v>
      </c>
      <c r="F35" s="13">
        <f>+F28</f>
        <v>5.5</v>
      </c>
    </row>
    <row r="36" spans="1:7" x14ac:dyDescent="0.35">
      <c r="A36" s="37"/>
      <c r="B36" s="38"/>
      <c r="E36" s="11" t="s">
        <v>28</v>
      </c>
      <c r="F36" s="14">
        <f>+F26</f>
        <v>1700</v>
      </c>
    </row>
    <row r="37" spans="1:7" x14ac:dyDescent="0.35">
      <c r="A37" s="17" t="s">
        <v>119</v>
      </c>
      <c r="E37" s="11" t="s">
        <v>33</v>
      </c>
      <c r="F37" s="13">
        <f>+F6*B11/60</f>
        <v>1666.6666666666667</v>
      </c>
    </row>
    <row r="38" spans="1:7" x14ac:dyDescent="0.35">
      <c r="A38" s="11" t="s">
        <v>12</v>
      </c>
      <c r="B38" s="4">
        <f>+F13</f>
        <v>25000</v>
      </c>
      <c r="E38" s="11" t="s">
        <v>35</v>
      </c>
      <c r="F38" s="13">
        <f>+F35*(F36-F37)</f>
        <v>183.33333333333292</v>
      </c>
      <c r="G38" t="s">
        <v>24</v>
      </c>
    </row>
    <row r="39" spans="1:7" x14ac:dyDescent="0.35">
      <c r="A39" s="11" t="s">
        <v>13</v>
      </c>
      <c r="B39" s="5">
        <f>+F14</f>
        <v>1.2</v>
      </c>
      <c r="E39" s="37"/>
      <c r="F39" s="38"/>
    </row>
    <row r="40" spans="1:7" x14ac:dyDescent="0.35">
      <c r="A40" s="11" t="s">
        <v>15</v>
      </c>
      <c r="B40" s="13">
        <f>+B9</f>
        <v>1.5</v>
      </c>
      <c r="E40" s="37"/>
      <c r="F40" s="38"/>
    </row>
    <row r="41" spans="1:7" x14ac:dyDescent="0.35">
      <c r="A41" s="11" t="s">
        <v>16</v>
      </c>
      <c r="B41" s="13">
        <f>+B38*(B39-B40)</f>
        <v>-7500.0000000000009</v>
      </c>
      <c r="C41" t="s">
        <v>17</v>
      </c>
      <c r="E41" s="37"/>
      <c r="F41" s="38"/>
    </row>
    <row r="42" spans="1:7" x14ac:dyDescent="0.35">
      <c r="A42" s="37"/>
      <c r="B42" s="38"/>
      <c r="E42" s="37"/>
      <c r="F42" s="38"/>
    </row>
    <row r="44" spans="1:7" x14ac:dyDescent="0.35">
      <c r="A44" s="40" t="s">
        <v>18</v>
      </c>
      <c r="B44" s="40"/>
      <c r="C44" s="40"/>
    </row>
    <row r="48" spans="1:7" x14ac:dyDescent="0.35">
      <c r="A48" s="17" t="s">
        <v>117</v>
      </c>
    </row>
    <row r="49" spans="1:3" x14ac:dyDescent="0.35">
      <c r="A49" s="11" t="s">
        <v>15</v>
      </c>
      <c r="B49" s="13">
        <f>+B28</f>
        <v>15</v>
      </c>
    </row>
    <row r="50" spans="1:3" x14ac:dyDescent="0.35">
      <c r="A50" s="11" t="s">
        <v>19</v>
      </c>
      <c r="B50" s="14">
        <f>+F8</f>
        <v>20000</v>
      </c>
      <c r="C50" t="s">
        <v>20</v>
      </c>
    </row>
    <row r="51" spans="1:3" x14ac:dyDescent="0.35">
      <c r="A51" s="11" t="s">
        <v>21</v>
      </c>
      <c r="B51" s="12">
        <f>+F6*1</f>
        <v>20000</v>
      </c>
      <c r="C51" t="s">
        <v>23</v>
      </c>
    </row>
    <row r="52" spans="1:3" x14ac:dyDescent="0.35">
      <c r="A52" s="11" t="s">
        <v>36</v>
      </c>
      <c r="B52" s="13">
        <f>+B49*(B50-B51)</f>
        <v>0</v>
      </c>
    </row>
    <row r="54" spans="1:3" x14ac:dyDescent="0.35">
      <c r="A54" s="17" t="s">
        <v>118</v>
      </c>
    </row>
    <row r="55" spans="1:3" x14ac:dyDescent="0.35">
      <c r="A55" s="11" t="s">
        <v>15</v>
      </c>
      <c r="B55" s="13">
        <f>+B34</f>
        <v>0.5</v>
      </c>
    </row>
    <row r="56" spans="1:3" x14ac:dyDescent="0.35">
      <c r="A56" s="11" t="s">
        <v>19</v>
      </c>
      <c r="B56" s="14">
        <f>+F10</f>
        <v>20200</v>
      </c>
      <c r="C56" t="s">
        <v>20</v>
      </c>
    </row>
    <row r="57" spans="1:3" x14ac:dyDescent="0.35">
      <c r="A57" s="11" t="s">
        <v>21</v>
      </c>
      <c r="B57" s="12">
        <f>+F6</f>
        <v>20000</v>
      </c>
      <c r="C57" t="s">
        <v>23</v>
      </c>
    </row>
    <row r="58" spans="1:3" x14ac:dyDescent="0.35">
      <c r="A58" s="11" t="s">
        <v>36</v>
      </c>
      <c r="B58" s="13">
        <f>+B55*(B56-B57)</f>
        <v>100</v>
      </c>
      <c r="C58" t="s">
        <v>122</v>
      </c>
    </row>
    <row r="60" spans="1:3" x14ac:dyDescent="0.35">
      <c r="A60" s="17" t="s">
        <v>121</v>
      </c>
    </row>
    <row r="61" spans="1:3" x14ac:dyDescent="0.35">
      <c r="A61" s="11" t="s">
        <v>15</v>
      </c>
      <c r="B61" s="13">
        <f>+B40</f>
        <v>1.5</v>
      </c>
    </row>
    <row r="62" spans="1:3" x14ac:dyDescent="0.35">
      <c r="A62" s="11" t="s">
        <v>19</v>
      </c>
      <c r="B62" s="14">
        <f>+F15</f>
        <v>20000</v>
      </c>
      <c r="C62" t="s">
        <v>20</v>
      </c>
    </row>
    <row r="63" spans="1:3" x14ac:dyDescent="0.35">
      <c r="A63" s="11" t="s">
        <v>21</v>
      </c>
      <c r="B63" s="12">
        <f>+F6*1</f>
        <v>20000</v>
      </c>
      <c r="C63" t="s">
        <v>23</v>
      </c>
    </row>
    <row r="64" spans="1:3" x14ac:dyDescent="0.35">
      <c r="A64" s="11" t="s">
        <v>36</v>
      </c>
      <c r="B64" s="13">
        <f>+B61*(B62-B63)</f>
        <v>0</v>
      </c>
    </row>
  </sheetData>
  <mergeCells count="9">
    <mergeCell ref="A44:C44"/>
    <mergeCell ref="E31:G31"/>
    <mergeCell ref="A6:C6"/>
    <mergeCell ref="A5:C5"/>
    <mergeCell ref="A10:C10"/>
    <mergeCell ref="A13:C13"/>
    <mergeCell ref="E5:G5"/>
    <mergeCell ref="A21:C21"/>
    <mergeCell ref="E21:G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N1</vt:lpstr>
      <vt:lpstr>N2</vt:lpstr>
      <vt:lpstr>N3</vt:lpstr>
      <vt:lpstr>N4</vt:lpstr>
      <vt:lpstr>N5</vt:lpstr>
      <vt:lpstr>N6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Casado</dc:creator>
  <cp:lastModifiedBy>Gina Casado</cp:lastModifiedBy>
  <dcterms:created xsi:type="dcterms:W3CDTF">2015-06-05T18:17:20Z</dcterms:created>
  <dcterms:modified xsi:type="dcterms:W3CDTF">2024-10-10T16:25:30Z</dcterms:modified>
</cp:coreProperties>
</file>