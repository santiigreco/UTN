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HP-PROBOOK\Desktop\Control de Gestión\Pelaccini\Analisis de la Empresa\TPN3\"/>
    </mc:Choice>
  </mc:AlternateContent>
  <xr:revisionPtr revIDLastSave="0" documentId="13_ncr:1_{133D77D8-6F09-4EC6-A29C-3CD9840889DE}" xr6:coauthVersionLast="47" xr6:coauthVersionMax="47" xr10:uidLastSave="{00000000-0000-0000-0000-000000000000}"/>
  <bookViews>
    <workbookView xWindow="-110" yWindow="-110" windowWidth="19420" windowHeight="10300" activeTab="9" xr2:uid="{00000000-000D-0000-FFFF-FFFF00000000}"/>
  </bookViews>
  <sheets>
    <sheet name="Carátula" sheetId="1" r:id="rId1"/>
    <sheet name="AE341)" sheetId="3" r:id="rId2"/>
    <sheet name="AE342)" sheetId="4" r:id="rId3"/>
    <sheet name="AE343)" sheetId="5" r:id="rId4"/>
    <sheet name="AE344)" sheetId="6" r:id="rId5"/>
    <sheet name="AE345)" sheetId="7" r:id="rId6"/>
    <sheet name="AE346)" sheetId="8" r:id="rId7"/>
    <sheet name="AE406)" sheetId="9" r:id="rId8"/>
    <sheet name="AE407)" sheetId="10" r:id="rId9"/>
    <sheet name="AE408)" sheetId="11" r:id="rId10"/>
    <sheet name="AE409)" sheetId="12" r:id="rId11"/>
  </sheets>
  <definedNames>
    <definedName name="_xlnm.Print_Area" localSheetId="9">'AE408)'!$E$39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6" i="8" l="1"/>
  <c r="E56" i="8"/>
  <c r="C56" i="8"/>
  <c r="D55" i="8"/>
  <c r="E55" i="8"/>
  <c r="C55" i="8"/>
  <c r="D54" i="8"/>
  <c r="E54" i="8"/>
  <c r="C54" i="8"/>
  <c r="D53" i="8"/>
  <c r="E53" i="8"/>
  <c r="C53" i="8"/>
  <c r="C31" i="8"/>
  <c r="D52" i="8"/>
  <c r="E52" i="8"/>
  <c r="C52" i="8"/>
  <c r="D51" i="8"/>
  <c r="E51" i="8"/>
  <c r="C51" i="8"/>
  <c r="D50" i="8"/>
  <c r="E50" i="8"/>
  <c r="C50" i="8"/>
  <c r="D49" i="8"/>
  <c r="E49" i="8"/>
  <c r="C49" i="8"/>
  <c r="D48" i="8"/>
  <c r="E48" i="8"/>
  <c r="C48" i="8"/>
  <c r="D47" i="8"/>
  <c r="E47" i="8"/>
  <c r="C47" i="8"/>
  <c r="D45" i="8" l="1"/>
  <c r="E45" i="8"/>
  <c r="C45" i="8"/>
  <c r="D44" i="8"/>
  <c r="E44" i="8"/>
  <c r="C44" i="8"/>
  <c r="D43" i="8"/>
  <c r="E43" i="8"/>
  <c r="C43" i="8"/>
  <c r="D42" i="8"/>
  <c r="E42" i="8"/>
  <c r="C42" i="8"/>
  <c r="D41" i="8"/>
  <c r="E41" i="8"/>
  <c r="C41" i="8"/>
  <c r="D40" i="8"/>
  <c r="E40" i="8"/>
  <c r="C40" i="8"/>
  <c r="D39" i="8"/>
  <c r="E39" i="8"/>
  <c r="C39" i="8"/>
  <c r="D38" i="8"/>
  <c r="E38" i="8"/>
  <c r="C38" i="8"/>
  <c r="D37" i="8"/>
  <c r="E37" i="8"/>
  <c r="C37" i="8"/>
  <c r="C36" i="6" l="1"/>
  <c r="C35" i="6"/>
  <c r="C34" i="6"/>
  <c r="C33" i="6"/>
  <c r="C31" i="6"/>
  <c r="C30" i="6"/>
  <c r="C26" i="6"/>
  <c r="F25" i="6"/>
  <c r="F27" i="6"/>
  <c r="C22" i="6"/>
  <c r="B47" i="5"/>
  <c r="B44" i="5"/>
  <c r="B39" i="5"/>
  <c r="D18" i="3"/>
  <c r="D17" i="3"/>
  <c r="C16" i="3"/>
  <c r="C18" i="3"/>
  <c r="B38" i="3"/>
  <c r="B37" i="3"/>
  <c r="B18" i="3"/>
  <c r="B34" i="3"/>
  <c r="C33" i="12"/>
  <c r="C32" i="12"/>
  <c r="C31" i="12"/>
  <c r="C29" i="12"/>
  <c r="C28" i="12"/>
  <c r="C27" i="12"/>
  <c r="C26" i="12"/>
  <c r="C25" i="12"/>
  <c r="C28" i="10"/>
  <c r="C26" i="10"/>
  <c r="C27" i="10"/>
  <c r="C25" i="10"/>
  <c r="E38" i="11"/>
  <c r="B38" i="11"/>
  <c r="B30" i="11"/>
  <c r="B28" i="11"/>
  <c r="B27" i="11"/>
  <c r="D25" i="11"/>
  <c r="E42" i="9"/>
  <c r="B34" i="9"/>
  <c r="B42" i="9"/>
  <c r="B32" i="9"/>
  <c r="B31" i="9"/>
  <c r="D26" i="9"/>
  <c r="D29" i="9"/>
  <c r="D28" i="9"/>
  <c r="D27" i="9"/>
  <c r="K38" i="8" l="1"/>
  <c r="J38" i="8"/>
  <c r="I38" i="8"/>
  <c r="J35" i="8"/>
  <c r="K35" i="8"/>
  <c r="I35" i="8"/>
  <c r="J29" i="8"/>
  <c r="K29" i="8"/>
  <c r="I29" i="8"/>
  <c r="J25" i="8"/>
  <c r="K25" i="8"/>
  <c r="I25" i="8"/>
  <c r="I30" i="8" s="1"/>
  <c r="D21" i="8"/>
  <c r="D25" i="8" s="1"/>
  <c r="D27" i="8" s="1"/>
  <c r="D29" i="8" s="1"/>
  <c r="E21" i="8"/>
  <c r="E25" i="8" s="1"/>
  <c r="E27" i="8" s="1"/>
  <c r="E29" i="8" s="1"/>
  <c r="C21" i="8"/>
  <c r="C25" i="8" s="1"/>
  <c r="C33" i="8" s="1"/>
  <c r="I39" i="8" l="1"/>
  <c r="I42" i="8" s="1"/>
  <c r="C27" i="8"/>
  <c r="C29" i="8" s="1"/>
  <c r="K30" i="8"/>
  <c r="K39" i="8"/>
  <c r="K42" i="8" s="1"/>
  <c r="J39" i="8"/>
  <c r="J42" i="8" s="1"/>
  <c r="J30" i="8"/>
  <c r="D31" i="8"/>
  <c r="D33" i="8" s="1"/>
  <c r="E31" i="8"/>
  <c r="E33" i="8" s="1"/>
  <c r="C50" i="7" l="1"/>
  <c r="C51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G19" i="7"/>
  <c r="C34" i="7" s="1"/>
  <c r="I29" i="7"/>
  <c r="I28" i="7"/>
  <c r="G29" i="7"/>
  <c r="I23" i="7"/>
  <c r="I18" i="7"/>
  <c r="G30" i="7"/>
  <c r="D18" i="7"/>
  <c r="D21" i="7" s="1"/>
  <c r="D23" i="7" s="1"/>
  <c r="C33" i="7" l="1"/>
  <c r="D24" i="7"/>
  <c r="D25" i="7" s="1"/>
</calcChain>
</file>

<file path=xl/sharedStrings.xml><?xml version="1.0" encoding="utf-8"?>
<sst xmlns="http://schemas.openxmlformats.org/spreadsheetml/2006/main" count="543" uniqueCount="272">
  <si>
    <t>Asignatura</t>
  </si>
  <si>
    <t>Control de gestion</t>
  </si>
  <si>
    <t>Docente</t>
  </si>
  <si>
    <t>Ing. Diego Pelaccini</t>
  </si>
  <si>
    <t>Curso</t>
  </si>
  <si>
    <t>I5052 VIERNES</t>
  </si>
  <si>
    <t>Integrantes</t>
  </si>
  <si>
    <t>Legajos</t>
  </si>
  <si>
    <t>Blat Catalina</t>
  </si>
  <si>
    <t>Casado Gina</t>
  </si>
  <si>
    <t>Truffa Ramiro</t>
  </si>
  <si>
    <t xml:space="preserve">A. </t>
  </si>
  <si>
    <t>Proporción Capital Ajeno</t>
  </si>
  <si>
    <t>Ratio Endeudamiento</t>
  </si>
  <si>
    <t xml:space="preserve">Palanca Financiera </t>
  </si>
  <si>
    <t>E</t>
  </si>
  <si>
    <t>D</t>
  </si>
  <si>
    <t>Estado de Resultados 31-12-20x3</t>
  </si>
  <si>
    <t>Activo Circulante</t>
  </si>
  <si>
    <t>Pasivo Corto Plazo</t>
  </si>
  <si>
    <t>Ventas</t>
  </si>
  <si>
    <t xml:space="preserve">Cuentas por cobrar </t>
  </si>
  <si>
    <t>Proveedores CP</t>
  </si>
  <si>
    <t xml:space="preserve">   (CMV)</t>
  </si>
  <si>
    <t>Deuda bancaria CP</t>
  </si>
  <si>
    <t>Beneficio Bruto</t>
  </si>
  <si>
    <t xml:space="preserve">   Total activo circulante</t>
  </si>
  <si>
    <t xml:space="preserve">   Total Pasivo CP</t>
  </si>
  <si>
    <t xml:space="preserve">   (Gastos Adm. y Com.)</t>
  </si>
  <si>
    <t>Activo Fijo</t>
  </si>
  <si>
    <t>Pasivo Largo Plazo</t>
  </si>
  <si>
    <t xml:space="preserve">   (Depreciaciones y amortizaciones)</t>
  </si>
  <si>
    <t xml:space="preserve">Elementos informáticos </t>
  </si>
  <si>
    <t>Acreedores LP</t>
  </si>
  <si>
    <t>-</t>
  </si>
  <si>
    <t>BAII</t>
  </si>
  <si>
    <t>Vehículos</t>
  </si>
  <si>
    <t>Prestamos LP</t>
  </si>
  <si>
    <t xml:space="preserve">   (Intereses financieros)</t>
  </si>
  <si>
    <t>Muebles y útiles</t>
  </si>
  <si>
    <t>Provisiones LP</t>
  </si>
  <si>
    <t>BAI</t>
  </si>
  <si>
    <t>Máquinas</t>
  </si>
  <si>
    <t>Total Pasivo LP</t>
  </si>
  <si>
    <t xml:space="preserve">   (Impuestos 35%)</t>
  </si>
  <si>
    <t>Instalaciones</t>
  </si>
  <si>
    <t>Patrimonio Neto</t>
  </si>
  <si>
    <t>Beneficio Neto</t>
  </si>
  <si>
    <t>Edificios</t>
  </si>
  <si>
    <t>Capital social</t>
  </si>
  <si>
    <t>Resultados no asignados</t>
  </si>
  <si>
    <t>Tasa IVA</t>
  </si>
  <si>
    <t>Otros</t>
  </si>
  <si>
    <t>Resultado del ejercicio</t>
  </si>
  <si>
    <t xml:space="preserve">   Total Activo Fijo</t>
  </si>
  <si>
    <t xml:space="preserve">   Total PN</t>
  </si>
  <si>
    <t xml:space="preserve">Total Activo </t>
  </si>
  <si>
    <t>Total Pasivo + PN</t>
  </si>
  <si>
    <t>Caja y bancos</t>
  </si>
  <si>
    <t>Producto terminado</t>
  </si>
  <si>
    <t>Depreciación y Amort</t>
  </si>
  <si>
    <t>A.</t>
  </si>
  <si>
    <t>B</t>
  </si>
  <si>
    <t>A</t>
  </si>
  <si>
    <t>C</t>
  </si>
  <si>
    <t>F</t>
  </si>
  <si>
    <t>G</t>
  </si>
  <si>
    <t>H</t>
  </si>
  <si>
    <t>I</t>
  </si>
  <si>
    <t>J</t>
  </si>
  <si>
    <t>K</t>
  </si>
  <si>
    <t>L</t>
  </si>
  <si>
    <t>M</t>
  </si>
  <si>
    <t>N</t>
  </si>
  <si>
    <t>S</t>
  </si>
  <si>
    <t>INDICE DE LIQUIDEZ CORRIENTE</t>
  </si>
  <si>
    <t>TEST ACIDO</t>
  </si>
  <si>
    <t>RATIO DEL EFECTIVO/DISPONIBLE</t>
  </si>
  <si>
    <t>TASA DE ENDEUDAMIENTO</t>
  </si>
  <si>
    <t>PALANCA FINANCIERA</t>
  </si>
  <si>
    <t>EQUILIBRIO PATRIMONIAL A LP</t>
  </si>
  <si>
    <t>INMOVILIZACIÓN DE ACTIVOS</t>
  </si>
  <si>
    <t>PLAZO MEDIO DE INVENTARIOS</t>
  </si>
  <si>
    <t>PLAZO MEDIO DE COBRO</t>
  </si>
  <si>
    <t>PLAZO MEDIO DE PAGO</t>
  </si>
  <si>
    <t>ROTACIÓN DE INVENTARIOS</t>
  </si>
  <si>
    <t>ROTACIÓN DE ACTIVO FIJO</t>
  </si>
  <si>
    <t>MARGEN BRUTO SOBRE VENTAS</t>
  </si>
  <si>
    <t>O</t>
  </si>
  <si>
    <t>P</t>
  </si>
  <si>
    <t>Q</t>
  </si>
  <si>
    <t>R</t>
  </si>
  <si>
    <t>Ra</t>
  </si>
  <si>
    <t>Ra´´</t>
  </si>
  <si>
    <t>R.O.E</t>
  </si>
  <si>
    <t>FONDO DE MANIOBRA</t>
  </si>
  <si>
    <t>COBERTURA DE INTERESES</t>
  </si>
  <si>
    <t>AC/DCP</t>
  </si>
  <si>
    <t>(AC-BDC)/DCP</t>
  </si>
  <si>
    <t>Disponibilidades/DCP</t>
  </si>
  <si>
    <t>D/E</t>
  </si>
  <si>
    <t>A/E</t>
  </si>
  <si>
    <t>(DLP+E)/AF</t>
  </si>
  <si>
    <t>AF/A</t>
  </si>
  <si>
    <t>(BDC/CMV)*365</t>
  </si>
  <si>
    <t>(CxC)/(Ventas+iva)*365</t>
  </si>
  <si>
    <t>proveedores/(CMV+iva)*365</t>
  </si>
  <si>
    <t>CMV/BDC</t>
  </si>
  <si>
    <t>veces</t>
  </si>
  <si>
    <t>días</t>
  </si>
  <si>
    <t>Ventas/AF</t>
  </si>
  <si>
    <t>Ventas/AT</t>
  </si>
  <si>
    <t>UB/Ventas</t>
  </si>
  <si>
    <t>UN/AT</t>
  </si>
  <si>
    <t>BAII/AT</t>
  </si>
  <si>
    <t>UN/CAPITALPP</t>
  </si>
  <si>
    <t>(BAII+AMORT)/GASTOS EN INTERESES</t>
  </si>
  <si>
    <t>AC-DCP</t>
  </si>
  <si>
    <t>INCOME STATEMENT</t>
  </si>
  <si>
    <t>Sales</t>
  </si>
  <si>
    <t>COGS</t>
  </si>
  <si>
    <t>Gross Profit</t>
  </si>
  <si>
    <t>Adm. Expense</t>
  </si>
  <si>
    <t>Selling expense</t>
  </si>
  <si>
    <t>EBIT</t>
  </si>
  <si>
    <t>Interest Expense</t>
  </si>
  <si>
    <t>+</t>
  </si>
  <si>
    <t>EBT</t>
  </si>
  <si>
    <t>Taxes</t>
  </si>
  <si>
    <t>NET INCOME</t>
  </si>
  <si>
    <t>Depreciation + Amort</t>
  </si>
  <si>
    <t>EBITDA</t>
  </si>
  <si>
    <t>FINANCIAL STATEMENTS</t>
  </si>
  <si>
    <t>Cash and Banks</t>
  </si>
  <si>
    <t>ST Investments</t>
  </si>
  <si>
    <t>Account receivables</t>
  </si>
  <si>
    <t>Inventories</t>
  </si>
  <si>
    <t>ST other assets</t>
  </si>
  <si>
    <t>Current Assets</t>
  </si>
  <si>
    <t>Net fixed assets</t>
  </si>
  <si>
    <t>LT investments</t>
  </si>
  <si>
    <t>Others</t>
  </si>
  <si>
    <t>Non current assests</t>
  </si>
  <si>
    <t>TOTAL ASSETS</t>
  </si>
  <si>
    <t>Account payables</t>
  </si>
  <si>
    <t>ST other liabilities</t>
  </si>
  <si>
    <t>Social and Fiscal Liabilities</t>
  </si>
  <si>
    <t>Current Liabilities</t>
  </si>
  <si>
    <t>LT Bank Debt</t>
  </si>
  <si>
    <t>Corporate Bonds</t>
  </si>
  <si>
    <t>Non Current Liabilities</t>
  </si>
  <si>
    <t>TOTAL LIABILITIES</t>
  </si>
  <si>
    <t>Net Worth</t>
  </si>
  <si>
    <t>Total Liabilities + Net Worth</t>
  </si>
  <si>
    <t>Depreciation and Amort</t>
  </si>
  <si>
    <t>ST Loans Payable</t>
  </si>
  <si>
    <t>T</t>
  </si>
  <si>
    <t>PROPORCION CAPITAL PP VS AT</t>
  </si>
  <si>
    <t>PROPORCIÓN CAPITAL AJENO VS AT</t>
  </si>
  <si>
    <t>EQUILIBRIO PATRMONIAL A LP</t>
  </si>
  <si>
    <t>RELACION ACP VS AT</t>
  </si>
  <si>
    <t>INV. NECESARIA DE AF</t>
  </si>
  <si>
    <t>RELACION DE DCP VS DTOT</t>
  </si>
  <si>
    <t>RELACIÓN DLP VS DTOT</t>
  </si>
  <si>
    <t>GASTOS FINANCIEROS S/VENTAS</t>
  </si>
  <si>
    <t>GASTOS FINANCIEROS S/DTOT</t>
  </si>
  <si>
    <t>MARGEN BRUTO</t>
  </si>
  <si>
    <t>MARGEN NETO (ROS)</t>
  </si>
  <si>
    <t>Ra o ROA</t>
  </si>
  <si>
    <t>Para hallar Ra´´ buscamos BAII</t>
  </si>
  <si>
    <t>U.N</t>
  </si>
  <si>
    <t>i</t>
  </si>
  <si>
    <t>d</t>
  </si>
  <si>
    <t>tx</t>
  </si>
  <si>
    <t>Dt</t>
  </si>
  <si>
    <t>idt</t>
  </si>
  <si>
    <t>div</t>
  </si>
  <si>
    <t>Intereses</t>
  </si>
  <si>
    <t>EBT será UN/(1-tx)</t>
  </si>
  <si>
    <t>Tx</t>
  </si>
  <si>
    <t>p</t>
  </si>
  <si>
    <t>GS</t>
  </si>
  <si>
    <t>Tasa de crecimiento MÁXIMA sostenible</t>
  </si>
  <si>
    <t>TASA DE CRECIMIENTO INTRÍNSECO</t>
  </si>
  <si>
    <t>TASA DE CRECIMIENTO EXTRÍNSECO</t>
  </si>
  <si>
    <t>Gs INTRINSECA</t>
  </si>
  <si>
    <t>GS EXTRINSECA</t>
  </si>
  <si>
    <t>Gs</t>
  </si>
  <si>
    <t>De donde:</t>
  </si>
  <si>
    <t>Activos totales = D+E</t>
  </si>
  <si>
    <t>BAII es UN/(1-tx)+(i*D)</t>
  </si>
  <si>
    <t>Ra´</t>
  </si>
  <si>
    <t>Gs intrinseco</t>
  </si>
  <si>
    <t>Gs extrinseco</t>
  </si>
  <si>
    <t>Baii</t>
  </si>
  <si>
    <t>Impuestos pagados</t>
  </si>
  <si>
    <t>Utilidad neta</t>
  </si>
  <si>
    <t>D/D+E</t>
  </si>
  <si>
    <t>D=0.81E</t>
  </si>
  <si>
    <t>0.818E/E</t>
  </si>
  <si>
    <t xml:space="preserve">B. </t>
  </si>
  <si>
    <t>PF</t>
  </si>
  <si>
    <t>PCA</t>
  </si>
  <si>
    <t>0.37E/(0.37E+E)</t>
  </si>
  <si>
    <t>D=0.37E</t>
  </si>
  <si>
    <t xml:space="preserve">C. </t>
  </si>
  <si>
    <t>1+D/E</t>
  </si>
  <si>
    <t>RE</t>
  </si>
  <si>
    <t>4.02E/(4.02E+E)</t>
  </si>
  <si>
    <t>Liquidez corriente</t>
  </si>
  <si>
    <t>ACP/DCP</t>
  </si>
  <si>
    <t>Dt/(Dt+E)</t>
  </si>
  <si>
    <t>ROTACIÓN DEL ACTIVO TOTAL</t>
  </si>
  <si>
    <t>B.</t>
  </si>
  <si>
    <t>C.</t>
  </si>
  <si>
    <t>D.</t>
  </si>
  <si>
    <t>E.</t>
  </si>
  <si>
    <t>F.</t>
  </si>
  <si>
    <t>G.</t>
  </si>
  <si>
    <t>ACP</t>
  </si>
  <si>
    <t>DCP</t>
  </si>
  <si>
    <t>à</t>
  </si>
  <si>
    <t>RCA</t>
  </si>
  <si>
    <t>Liquidez corriente (RCA)</t>
  </si>
  <si>
    <t>Prop. Cap. Ajeno (PCA)</t>
  </si>
  <si>
    <t>Disminuye</t>
  </si>
  <si>
    <t>Cte</t>
  </si>
  <si>
    <t>Aumenta</t>
  </si>
  <si>
    <t>Aumenta y disminuye proporcionalmente</t>
  </si>
  <si>
    <t>Efectivo</t>
  </si>
  <si>
    <t>Pasivo corriente</t>
  </si>
  <si>
    <t>Rotación de activos</t>
  </si>
  <si>
    <t>II.</t>
  </si>
  <si>
    <t>H.</t>
  </si>
  <si>
    <t>I.</t>
  </si>
  <si>
    <t>J.</t>
  </si>
  <si>
    <t>Coca Cola</t>
  </si>
  <si>
    <t>Empresa de ventas On.line</t>
  </si>
  <si>
    <t>Supermercados Día</t>
  </si>
  <si>
    <t>Indice Deuda/Activos</t>
  </si>
  <si>
    <t>Días de cobranza</t>
  </si>
  <si>
    <t>Dtotal = Dcp +Dlp</t>
  </si>
  <si>
    <t>Dlp</t>
  </si>
  <si>
    <t>Atot=Acp+Af</t>
  </si>
  <si>
    <t>Af</t>
  </si>
  <si>
    <t>Acp = caja +bancos + CxC</t>
  </si>
  <si>
    <t>Bancos</t>
  </si>
  <si>
    <t>Ra o R.O.A = BAII/Atotal</t>
  </si>
  <si>
    <t>Inversión total</t>
  </si>
  <si>
    <t>Impuestos</t>
  </si>
  <si>
    <t>R.O.E = UN/E</t>
  </si>
  <si>
    <t>UN</t>
  </si>
  <si>
    <t>Capital propio</t>
  </si>
  <si>
    <t>Deuda</t>
  </si>
  <si>
    <t>Tasa endeudamiento</t>
  </si>
  <si>
    <t>Interes deuda</t>
  </si>
  <si>
    <t>D=4.02E</t>
  </si>
  <si>
    <t>AC-BDC/DCP</t>
  </si>
  <si>
    <t>DISP/DCP</t>
  </si>
  <si>
    <t>E/Atot</t>
  </si>
  <si>
    <t>D/A</t>
  </si>
  <si>
    <t>DLP+E/AF</t>
  </si>
  <si>
    <t>ACP/AT</t>
  </si>
  <si>
    <t>DCP/DT</t>
  </si>
  <si>
    <t>DLP/DT</t>
  </si>
  <si>
    <t>Intereses/Dt</t>
  </si>
  <si>
    <t>Intereses/Ventas</t>
  </si>
  <si>
    <t>EBITDA O BAII/G fin</t>
  </si>
  <si>
    <t>UB/Vtas</t>
  </si>
  <si>
    <t>UN/ventas</t>
  </si>
  <si>
    <t>BAII ES EBIT</t>
  </si>
  <si>
    <t>UN/E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</si>
</sst>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%"/>
    <numFmt numFmtId="171" formatCode="0.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Wingdings"/>
      <charset val="2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2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/>
    <xf numFmtId="2" fontId="0" fillId="0" borderId="1" xfId="0" applyNumberFormat="1" applyBorder="1"/>
    <xf numFmtId="0" fontId="4" fillId="0" borderId="7" xfId="0" applyFont="1" applyBorder="1"/>
    <xf numFmtId="0" fontId="4" fillId="0" borderId="0" xfId="0" applyFont="1"/>
    <xf numFmtId="0" fontId="4" fillId="0" borderId="8" xfId="0" applyFont="1" applyBorder="1"/>
    <xf numFmtId="0" fontId="0" fillId="4" borderId="7" xfId="0" applyFill="1" applyBorder="1"/>
    <xf numFmtId="0" fontId="0" fillId="4" borderId="0" xfId="0" applyFill="1"/>
    <xf numFmtId="0" fontId="0" fillId="5" borderId="9" xfId="0" applyFill="1" applyBorder="1"/>
    <xf numFmtId="0" fontId="0" fillId="5" borderId="10" xfId="0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4" fillId="0" borderId="14" xfId="0" applyFont="1" applyBorder="1"/>
    <xf numFmtId="0" fontId="0" fillId="0" borderId="7" xfId="0" applyBorder="1"/>
    <xf numFmtId="0" fontId="0" fillId="0" borderId="14" xfId="0" applyBorder="1"/>
    <xf numFmtId="0" fontId="0" fillId="6" borderId="7" xfId="0" applyFill="1" applyBorder="1"/>
    <xf numFmtId="0" fontId="0" fillId="6" borderId="0" xfId="0" applyFill="1"/>
    <xf numFmtId="0" fontId="0" fillId="7" borderId="17" xfId="0" applyFill="1" applyBorder="1"/>
    <xf numFmtId="0" fontId="0" fillId="7" borderId="10" xfId="0" applyFill="1" applyBorder="1" applyAlignment="1">
      <alignment horizontal="right"/>
    </xf>
    <xf numFmtId="0" fontId="0" fillId="6" borderId="18" xfId="0" applyFill="1" applyBorder="1"/>
    <xf numFmtId="0" fontId="0" fillId="7" borderId="0" xfId="0" applyFill="1"/>
    <xf numFmtId="0" fontId="0" fillId="7" borderId="19" xfId="0" applyFill="1" applyBorder="1" applyAlignment="1">
      <alignment horizontal="right"/>
    </xf>
    <xf numFmtId="0" fontId="0" fillId="7" borderId="20" xfId="0" applyFill="1" applyBorder="1"/>
    <xf numFmtId="0" fontId="0" fillId="7" borderId="10" xfId="0" applyFill="1" applyBorder="1"/>
    <xf numFmtId="0" fontId="4" fillId="0" borderId="15" xfId="0" applyFont="1" applyBorder="1"/>
    <xf numFmtId="0" fontId="4" fillId="0" borderId="21" xfId="0" applyFont="1" applyBorder="1"/>
    <xf numFmtId="0" fontId="4" fillId="0" borderId="22" xfId="0" applyFont="1" applyBorder="1"/>
    <xf numFmtId="0" fontId="0" fillId="8" borderId="0" xfId="0" applyFill="1"/>
    <xf numFmtId="0" fontId="0" fillId="8" borderId="10" xfId="0" applyFill="1" applyBorder="1"/>
    <xf numFmtId="0" fontId="0" fillId="6" borderId="18" xfId="0" applyFill="1" applyBorder="1" applyAlignment="1">
      <alignment horizontal="right"/>
    </xf>
    <xf numFmtId="9" fontId="4" fillId="0" borderId="0" xfId="0" applyNumberFormat="1" applyFont="1" applyAlignment="1">
      <alignment horizontal="left"/>
    </xf>
    <xf numFmtId="0" fontId="4" fillId="4" borderId="1" xfId="0" applyFont="1" applyFill="1" applyBorder="1"/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7" fillId="3" borderId="15" xfId="0" applyFont="1" applyFill="1" applyBorder="1"/>
    <xf numFmtId="0" fontId="7" fillId="3" borderId="25" xfId="0" applyFont="1" applyFill="1" applyBorder="1"/>
    <xf numFmtId="0" fontId="0" fillId="6" borderId="1" xfId="0" applyFill="1" applyBorder="1"/>
    <xf numFmtId="0" fontId="0" fillId="6" borderId="1" xfId="0" applyFill="1" applyBorder="1" applyAlignment="1">
      <alignment horizontal="right"/>
    </xf>
    <xf numFmtId="0" fontId="7" fillId="3" borderId="21" xfId="0" applyFont="1" applyFill="1" applyBorder="1"/>
    <xf numFmtId="0" fontId="4" fillId="4" borderId="1" xfId="0" applyFont="1" applyFill="1" applyBorder="1" applyAlignment="1">
      <alignment horizontal="left"/>
    </xf>
    <xf numFmtId="0" fontId="4" fillId="5" borderId="1" xfId="0" applyFont="1" applyFill="1" applyBorder="1" applyAlignment="1">
      <alignment horizontal="left"/>
    </xf>
    <xf numFmtId="0" fontId="4" fillId="5" borderId="1" xfId="0" applyFont="1" applyFill="1" applyBorder="1"/>
    <xf numFmtId="0" fontId="4" fillId="8" borderId="1" xfId="0" applyFont="1" applyFill="1" applyBorder="1" applyAlignment="1">
      <alignment horizontal="left"/>
    </xf>
    <xf numFmtId="0" fontId="4" fillId="8" borderId="1" xfId="0" applyFont="1" applyFill="1" applyBorder="1"/>
    <xf numFmtId="0" fontId="4" fillId="6" borderId="1" xfId="0" applyFont="1" applyFill="1" applyBorder="1" applyAlignment="1">
      <alignment horizontal="left"/>
    </xf>
    <xf numFmtId="0" fontId="4" fillId="6" borderId="1" xfId="0" applyFont="1" applyFill="1" applyBorder="1"/>
    <xf numFmtId="9" fontId="0" fillId="0" borderId="1" xfId="1" applyFont="1" applyBorder="1"/>
    <xf numFmtId="14" fontId="0" fillId="0" borderId="0" xfId="0" applyNumberFormat="1"/>
    <xf numFmtId="0" fontId="4" fillId="0" borderId="1" xfId="0" applyFont="1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26" xfId="0" applyBorder="1" applyAlignment="1">
      <alignment wrapText="1"/>
    </xf>
    <xf numFmtId="0" fontId="0" fillId="0" borderId="1" xfId="0" applyNumberFormat="1" applyBorder="1"/>
    <xf numFmtId="0" fontId="0" fillId="0" borderId="1" xfId="0" applyFill="1" applyBorder="1"/>
    <xf numFmtId="0" fontId="4" fillId="0" borderId="0" xfId="0" applyFont="1" applyBorder="1"/>
    <xf numFmtId="0" fontId="0" fillId="0" borderId="0" xfId="0" applyBorder="1" applyAlignment="1">
      <alignment wrapText="1"/>
    </xf>
    <xf numFmtId="0" fontId="4" fillId="4" borderId="1" xfId="0" applyNumberFormat="1" applyFont="1" applyFill="1" applyBorder="1" applyAlignment="1">
      <alignment horizontal="center"/>
    </xf>
    <xf numFmtId="0" fontId="0" fillId="0" borderId="27" xfId="0" applyBorder="1"/>
    <xf numFmtId="0" fontId="8" fillId="0" borderId="27" xfId="0" applyFont="1" applyBorder="1"/>
    <xf numFmtId="0" fontId="0" fillId="0" borderId="28" xfId="0" applyBorder="1"/>
    <xf numFmtId="0" fontId="8" fillId="0" borderId="28" xfId="0" applyFont="1" applyBorder="1"/>
    <xf numFmtId="0" fontId="0" fillId="0" borderId="29" xfId="0" applyBorder="1"/>
    <xf numFmtId="0" fontId="8" fillId="0" borderId="29" xfId="0" applyFont="1" applyBorder="1"/>
    <xf numFmtId="0" fontId="0" fillId="0" borderId="30" xfId="0" applyBorder="1"/>
    <xf numFmtId="0" fontId="8" fillId="0" borderId="30" xfId="0" applyFont="1" applyBorder="1"/>
    <xf numFmtId="10" fontId="0" fillId="0" borderId="30" xfId="0" applyNumberFormat="1" applyBorder="1"/>
    <xf numFmtId="10" fontId="8" fillId="0" borderId="30" xfId="0" applyNumberFormat="1" applyFont="1" applyBorder="1"/>
    <xf numFmtId="9" fontId="0" fillId="0" borderId="30" xfId="0" applyNumberFormat="1" applyBorder="1"/>
    <xf numFmtId="9" fontId="8" fillId="0" borderId="30" xfId="0" applyNumberFormat="1" applyFont="1" applyBorder="1"/>
    <xf numFmtId="0" fontId="0" fillId="0" borderId="22" xfId="0" applyBorder="1"/>
    <xf numFmtId="0" fontId="8" fillId="0" borderId="22" xfId="0" applyFont="1" applyBorder="1"/>
    <xf numFmtId="0" fontId="0" fillId="0" borderId="31" xfId="0" applyBorder="1"/>
    <xf numFmtId="0" fontId="8" fillId="0" borderId="31" xfId="0" applyFont="1" applyBorder="1"/>
    <xf numFmtId="9" fontId="0" fillId="0" borderId="1" xfId="0" applyNumberFormat="1" applyBorder="1"/>
    <xf numFmtId="9" fontId="4" fillId="0" borderId="1" xfId="0" applyNumberFormat="1" applyFont="1" applyBorder="1"/>
    <xf numFmtId="10" fontId="4" fillId="0" borderId="1" xfId="1" applyNumberFormat="1" applyFont="1" applyBorder="1"/>
    <xf numFmtId="165" fontId="0" fillId="0" borderId="1" xfId="1" applyNumberFormat="1" applyFont="1" applyBorder="1"/>
    <xf numFmtId="165" fontId="0" fillId="0" borderId="1" xfId="0" applyNumberFormat="1" applyBorder="1"/>
    <xf numFmtId="10" fontId="0" fillId="0" borderId="1" xfId="0" applyNumberFormat="1" applyBorder="1"/>
    <xf numFmtId="10" fontId="0" fillId="0" borderId="1" xfId="1" applyNumberFormat="1" applyFont="1" applyBorder="1"/>
    <xf numFmtId="0" fontId="0" fillId="0" borderId="0" xfId="0" applyBorder="1"/>
    <xf numFmtId="2" fontId="0" fillId="0" borderId="0" xfId="0" applyNumberFormat="1" applyBorder="1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0" borderId="0" xfId="0" applyFont="1" applyFill="1" applyBorder="1" applyAlignment="1">
      <alignment horizontal="right" vertical="center"/>
    </xf>
    <xf numFmtId="10" fontId="4" fillId="4" borderId="1" xfId="1" applyNumberFormat="1" applyFont="1" applyFill="1" applyBorder="1"/>
    <xf numFmtId="164" fontId="4" fillId="4" borderId="1" xfId="1" applyNumberFormat="1" applyFont="1" applyFill="1" applyBorder="1"/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6" fillId="3" borderId="23" xfId="0" applyFont="1" applyFill="1" applyBorder="1" applyAlignment="1">
      <alignment horizontal="center"/>
    </xf>
    <xf numFmtId="0" fontId="6" fillId="3" borderId="24" xfId="0" applyFont="1" applyFill="1" applyBorder="1" applyAlignment="1">
      <alignment horizontal="center"/>
    </xf>
    <xf numFmtId="0" fontId="6" fillId="3" borderId="16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center"/>
    </xf>
    <xf numFmtId="0" fontId="0" fillId="0" borderId="0" xfId="0" applyFill="1" applyBorder="1"/>
    <xf numFmtId="0" fontId="4" fillId="0" borderId="0" xfId="0" applyFont="1" applyFill="1" applyBorder="1" applyAlignment="1">
      <alignment horizontal="center"/>
    </xf>
    <xf numFmtId="0" fontId="4" fillId="7" borderId="1" xfId="0" applyFont="1" applyFill="1" applyBorder="1"/>
    <xf numFmtId="0" fontId="4" fillId="7" borderId="26" xfId="0" applyFont="1" applyFill="1" applyBorder="1" applyAlignment="1">
      <alignment wrapText="1"/>
    </xf>
    <xf numFmtId="0" fontId="4" fillId="7" borderId="1" xfId="0" applyFont="1" applyFill="1" applyBorder="1" applyAlignment="1">
      <alignment wrapText="1"/>
    </xf>
    <xf numFmtId="164" fontId="0" fillId="0" borderId="1" xfId="1" applyNumberFormat="1" applyFont="1" applyBorder="1"/>
    <xf numFmtId="171" fontId="0" fillId="0" borderId="1" xfId="0" applyNumberFormat="1" applyBorder="1"/>
    <xf numFmtId="171" fontId="0" fillId="9" borderId="1" xfId="0" applyNumberFormat="1" applyFill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4" Type="http://schemas.openxmlformats.org/officeDocument/2006/relationships/image" Target="../media/image1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Relationship Id="rId4" Type="http://schemas.openxmlformats.org/officeDocument/2006/relationships/image" Target="../media/image17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8.png"/><Relationship Id="rId4" Type="http://schemas.openxmlformats.org/officeDocument/2006/relationships/image" Target="../media/image1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Relationship Id="rId4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</xdr:colOff>
      <xdr:row>7</xdr:row>
      <xdr:rowOff>112360</xdr:rowOff>
    </xdr:from>
    <xdr:to>
      <xdr:col>5</xdr:col>
      <xdr:colOff>117940</xdr:colOff>
      <xdr:row>13</xdr:row>
      <xdr:rowOff>25400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A0A51CE-D24A-435F-8BAF-1FF0ADFE01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" y="1401410"/>
          <a:ext cx="5077290" cy="1017940"/>
        </a:xfrm>
        <a:prstGeom prst="rect">
          <a:avLst/>
        </a:prstGeom>
      </xdr:spPr>
    </xdr:pic>
    <xdr:clientData/>
  </xdr:twoCellAnchor>
  <xdr:twoCellAnchor editAs="oneCell">
    <xdr:from>
      <xdr:col>0</xdr:col>
      <xdr:colOff>105640</xdr:colOff>
      <xdr:row>18</xdr:row>
      <xdr:rowOff>82550</xdr:rowOff>
    </xdr:from>
    <xdr:to>
      <xdr:col>1</xdr:col>
      <xdr:colOff>787785</xdr:colOff>
      <xdr:row>20</xdr:row>
      <xdr:rowOff>130248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19E5820-974A-4EC7-AD17-FC92912A6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640" y="3397250"/>
          <a:ext cx="2193445" cy="415998"/>
        </a:xfrm>
        <a:prstGeom prst="rect">
          <a:avLst/>
        </a:prstGeom>
      </xdr:spPr>
    </xdr:pic>
    <xdr:clientData/>
  </xdr:twoCellAnchor>
  <xdr:twoCellAnchor editAs="oneCell">
    <xdr:from>
      <xdr:col>0</xdr:col>
      <xdr:colOff>63500</xdr:colOff>
      <xdr:row>21</xdr:row>
      <xdr:rowOff>1</xdr:rowOff>
    </xdr:from>
    <xdr:to>
      <xdr:col>1</xdr:col>
      <xdr:colOff>819150</xdr:colOff>
      <xdr:row>23</xdr:row>
      <xdr:rowOff>6865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9A865AD-F674-446C-AA8E-1FF1EDB9D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500" y="3867151"/>
          <a:ext cx="2266950" cy="375164"/>
        </a:xfrm>
        <a:prstGeom prst="rect">
          <a:avLst/>
        </a:prstGeom>
      </xdr:spPr>
    </xdr:pic>
    <xdr:clientData/>
  </xdr:twoCellAnchor>
  <xdr:twoCellAnchor editAs="oneCell">
    <xdr:from>
      <xdr:col>0</xdr:col>
      <xdr:colOff>101600</xdr:colOff>
      <xdr:row>23</xdr:row>
      <xdr:rowOff>31751</xdr:rowOff>
    </xdr:from>
    <xdr:to>
      <xdr:col>1</xdr:col>
      <xdr:colOff>890679</xdr:colOff>
      <xdr:row>25</xdr:row>
      <xdr:rowOff>139701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004BD1F-6017-47F8-8A42-372AB002A8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1600" y="4267201"/>
          <a:ext cx="2300379" cy="4762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44450</xdr:colOff>
      <xdr:row>7</xdr:row>
      <xdr:rowOff>53974</xdr:rowOff>
    </xdr:from>
    <xdr:to>
      <xdr:col>6</xdr:col>
      <xdr:colOff>592167</xdr:colOff>
      <xdr:row>19</xdr:row>
      <xdr:rowOff>45005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C0D7FA1-5A9E-47E5-A31B-AD9EF3AF3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450" y="1343024"/>
          <a:ext cx="6402417" cy="220083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8</xdr:row>
      <xdr:rowOff>0</xdr:rowOff>
    </xdr:from>
    <xdr:to>
      <xdr:col>6</xdr:col>
      <xdr:colOff>571501</xdr:colOff>
      <xdr:row>16</xdr:row>
      <xdr:rowOff>37728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610558B-71B7-4275-B541-B1645624DD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473200"/>
          <a:ext cx="6089650" cy="1510928"/>
        </a:xfrm>
        <a:prstGeom prst="rect">
          <a:avLst/>
        </a:prstGeom>
      </xdr:spPr>
    </xdr:pic>
    <xdr:clientData/>
  </xdr:twoCellAnchor>
  <xdr:oneCellAnchor>
    <xdr:from>
      <xdr:col>0</xdr:col>
      <xdr:colOff>73025</xdr:colOff>
      <xdr:row>25</xdr:row>
      <xdr:rowOff>28575</xdr:rowOff>
    </xdr:from>
    <xdr:ext cx="3718967" cy="32079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A82A99D0-DCF4-4FB1-BC9A-8FDBAB0D29EE}"/>
                </a:ext>
              </a:extLst>
            </xdr:cNvPr>
            <xdr:cNvSpPr txBox="1"/>
          </xdr:nvSpPr>
          <xdr:spPr>
            <a:xfrm>
              <a:off x="73025" y="4632325"/>
              <a:ext cx="3718967" cy="3207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latin typeface="Cambria Math" panose="02040503050406030204" pitchFamily="18" charset="0"/>
                      </a:rPr>
                      <m:t>𝑃𝑙𝑎𝑧𝑜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𝑚𝑒𝑑𝑖𝑜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𝑑𝑒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𝑐𝑜𝑏𝑟𝑜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=59 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𝑑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í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𝑎𝑠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𝐶𝑥𝐶</m:t>
                        </m:r>
                      </m:num>
                      <m:den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𝑉𝑒𝑛𝑡𝑎𝑠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𝐼𝑉𝐴</m:t>
                        </m:r>
                      </m:den>
                    </m:f>
                    <m:r>
                      <a:rPr lang="es-MX" sz="1100" b="0" i="1">
                        <a:latin typeface="Cambria Math" panose="02040503050406030204" pitchFamily="18" charset="0"/>
                      </a:rPr>
                      <m:t>∗365 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𝑑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í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𝑎𝑠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A82A99D0-DCF4-4FB1-BC9A-8FDBAB0D29EE}"/>
                </a:ext>
              </a:extLst>
            </xdr:cNvPr>
            <xdr:cNvSpPr txBox="1"/>
          </xdr:nvSpPr>
          <xdr:spPr>
            <a:xfrm>
              <a:off x="73025" y="4632325"/>
              <a:ext cx="3718967" cy="3207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𝑃𝑙𝑎𝑧𝑜 𝑚𝑒𝑑𝑖𝑜 𝑑𝑒 𝑐𝑜𝑏𝑟𝑜=59 𝑑í𝑎𝑠=𝐶𝑥𝐶/(𝑉𝑒𝑛𝑡𝑎𝑠+𝐼𝑉𝐴)∗365 𝑑í𝑎𝑠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184150</xdr:colOff>
      <xdr:row>27</xdr:row>
      <xdr:rowOff>120650</xdr:rowOff>
    </xdr:from>
    <xdr:ext cx="3358548" cy="49026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A31B3407-E8F5-41BE-A02F-797795842C96}"/>
                </a:ext>
              </a:extLst>
            </xdr:cNvPr>
            <xdr:cNvSpPr txBox="1"/>
          </xdr:nvSpPr>
          <xdr:spPr>
            <a:xfrm>
              <a:off x="184150" y="5092700"/>
              <a:ext cx="3358548" cy="4902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latin typeface="Cambria Math" panose="02040503050406030204" pitchFamily="18" charset="0"/>
                      </a:rPr>
                      <m:t>59 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𝑑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í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𝑎𝑠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𝐶𝑥𝐶</m:t>
                        </m:r>
                      </m:num>
                      <m:den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653566∗1.21</m:t>
                        </m:r>
                      </m:den>
                    </m:f>
                    <m:r>
                      <a:rPr lang="es-MX" sz="1100" b="0" i="1">
                        <a:latin typeface="Cambria Math" panose="02040503050406030204" pitchFamily="18" charset="0"/>
                      </a:rPr>
                      <m:t>∗365 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𝑑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í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𝑎𝑠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 →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𝐶𝑥𝐶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=127830</m:t>
                    </m:r>
                  </m:oMath>
                </m:oMathPara>
              </a14:m>
              <a:endParaRPr lang="es-MX" sz="1100" b="0"/>
            </a:p>
            <a:p>
              <a:endParaRPr lang="en-US" sz="1100"/>
            </a:p>
          </xdr:txBody>
        </xdr:sp>
      </mc:Choice>
      <mc:Fallback xmlns="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A31B3407-E8F5-41BE-A02F-797795842C96}"/>
                </a:ext>
              </a:extLst>
            </xdr:cNvPr>
            <xdr:cNvSpPr txBox="1"/>
          </xdr:nvSpPr>
          <xdr:spPr>
            <a:xfrm>
              <a:off x="184150" y="5092700"/>
              <a:ext cx="3358548" cy="4902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59 𝑑í𝑎𝑠=𝐶𝑥𝐶/(653566∗1.21)∗365 𝑑í𝑎𝑠 →𝐶𝑥𝐶=127830</a:t>
              </a:r>
              <a:endParaRPr lang="es-MX" sz="1100" b="0"/>
            </a:p>
            <a:p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136525</xdr:colOff>
      <xdr:row>30</xdr:row>
      <xdr:rowOff>174624</xdr:rowOff>
    </xdr:from>
    <xdr:ext cx="3876675" cy="3905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CA259E5E-5887-43B3-BABE-5CD118983A34}"/>
                </a:ext>
              </a:extLst>
            </xdr:cNvPr>
            <xdr:cNvSpPr txBox="1"/>
          </xdr:nvSpPr>
          <xdr:spPr>
            <a:xfrm>
              <a:off x="136525" y="5699124"/>
              <a:ext cx="3876675" cy="3905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latin typeface="Cambria Math" panose="02040503050406030204" pitchFamily="18" charset="0"/>
                      </a:rPr>
                      <m:t>𝑅𝑜𝑡𝑎𝑐𝑖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ó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𝑛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𝑑𝑒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𝑎𝑐𝑡𝑖𝑣𝑜𝑠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=1.56=</m:t>
                    </m:r>
                    <m:f>
                      <m:f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𝑉𝑒𝑛𝑡𝑎𝑠</m:t>
                        </m:r>
                      </m:num>
                      <m:den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𝐴𝑐𝑡𝑖𝑣𝑜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den>
                    </m:f>
                    <m:r>
                      <a:rPr lang="es-MX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→</m:t>
                    </m:r>
                    <m:r>
                      <a:rPr lang="es-MX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𝐴𝑡</m:t>
                    </m:r>
                    <m:r>
                      <a:rPr lang="es-MX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=418952,56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CA259E5E-5887-43B3-BABE-5CD118983A34}"/>
                </a:ext>
              </a:extLst>
            </xdr:cNvPr>
            <xdr:cNvSpPr txBox="1"/>
          </xdr:nvSpPr>
          <xdr:spPr>
            <a:xfrm>
              <a:off x="136525" y="5699124"/>
              <a:ext cx="3876675" cy="3905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𝑅𝑜𝑡𝑎𝑐𝑖ó𝑛 𝑑𝑒 𝑎𝑐𝑡𝑖𝑣𝑜𝑠=1.56=𝑉𝑒𝑛𝑡𝑎𝑠/(𝐴𝑐𝑡𝑖𝑣𝑜 𝑡𝑜𝑡𝑎𝑙)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→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𝐴𝑡=418952,56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187325</xdr:colOff>
      <xdr:row>34</xdr:row>
      <xdr:rowOff>41275</xdr:rowOff>
    </xdr:from>
    <xdr:ext cx="4472186" cy="32143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2DE567C2-2C5F-45BA-9906-6D23E33DABD8}"/>
                </a:ext>
              </a:extLst>
            </xdr:cNvPr>
            <xdr:cNvSpPr txBox="1"/>
          </xdr:nvSpPr>
          <xdr:spPr>
            <a:xfrm>
              <a:off x="187325" y="6302375"/>
              <a:ext cx="4472186" cy="3214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latin typeface="Cambria Math" panose="02040503050406030204" pitchFamily="18" charset="0"/>
                      </a:rPr>
                      <m:t>𝐼𝑛𝑑𝑖𝑐𝑒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𝑑𝑒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𝐷𝑒𝑢𝑑𝑎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𝑠𝑜𝑏𝑟𝑒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𝐴𝑐𝑡𝑖𝑣𝑜𝑠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𝐷𝑡𝑜𝑡𝑎𝑙</m:t>
                        </m:r>
                      </m:num>
                      <m:den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𝐴𝑡𝑜𝑡𝑎𝑙</m:t>
                        </m:r>
                      </m:den>
                    </m:f>
                    <m:r>
                      <a:rPr lang="es-MX" sz="1100" b="0" i="1">
                        <a:latin typeface="Cambria Math" panose="02040503050406030204" pitchFamily="18" charset="0"/>
                      </a:rPr>
                      <m:t>=0.62 </m:t>
                    </m:r>
                    <m:r>
                      <a:rPr lang="es-MX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→</m:t>
                    </m:r>
                    <m:r>
                      <a:rPr lang="es-MX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𝐷𝑡𝑜𝑡𝑎𝑙</m:t>
                    </m:r>
                    <m:r>
                      <a:rPr lang="es-MX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=259750.58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2DE567C2-2C5F-45BA-9906-6D23E33DABD8}"/>
                </a:ext>
              </a:extLst>
            </xdr:cNvPr>
            <xdr:cNvSpPr txBox="1"/>
          </xdr:nvSpPr>
          <xdr:spPr>
            <a:xfrm>
              <a:off x="187325" y="6302375"/>
              <a:ext cx="4472186" cy="3214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𝐼𝑛𝑑𝑖𝑐𝑒 𝑑𝑒 𝐷𝑒𝑢𝑑𝑎 𝑠𝑜𝑏𝑟𝑒 𝐴𝑐𝑡𝑖𝑣𝑜𝑠=𝐷𝑡𝑜𝑡𝑎𝑙/𝐴𝑡𝑜𝑡𝑎𝑙=0.62 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→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𝐷𝑡𝑜𝑡𝑎𝑙=259750.58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320675</xdr:colOff>
      <xdr:row>39</xdr:row>
      <xdr:rowOff>155575</xdr:rowOff>
    </xdr:from>
    <xdr:ext cx="2865785" cy="24134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1A57E038-861E-4894-94E8-42A696263744}"/>
                </a:ext>
              </a:extLst>
            </xdr:cNvPr>
            <xdr:cNvSpPr txBox="1"/>
          </xdr:nvSpPr>
          <xdr:spPr>
            <a:xfrm>
              <a:off x="320675" y="7337425"/>
              <a:ext cx="2865785" cy="24134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s-MX" sz="1100" b="0" i="1">
                      <a:latin typeface="Cambria Math" panose="02040503050406030204" pitchFamily="18" charset="0"/>
                    </a:rPr>
                    <m:t>𝐿𝑖𝑞𝑢𝑖𝑑𝑒𝑧</m:t>
                  </m:r>
                  <m:r>
                    <a:rPr lang="es-MX" sz="1100" b="0" i="1">
                      <a:latin typeface="Cambria Math" panose="02040503050406030204" pitchFamily="18" charset="0"/>
                    </a:rPr>
                    <m:t> </m:t>
                  </m:r>
                  <m:r>
                    <a:rPr lang="es-MX" sz="1100" b="0" i="1">
                      <a:latin typeface="Cambria Math" panose="02040503050406030204" pitchFamily="18" charset="0"/>
                    </a:rPr>
                    <m:t>𝑐𝑜𝑟𝑟𝑖𝑒𝑛𝑡𝑒</m:t>
                  </m:r>
                  <m:r>
                    <a:rPr lang="es-MX" sz="1100" b="0" i="1">
                      <a:latin typeface="Cambria Math" panose="02040503050406030204" pitchFamily="18" charset="0"/>
                    </a:rPr>
                    <m:t>=2.6=</m:t>
                  </m:r>
                  <m:f>
                    <m:fPr>
                      <m:ctrlPr>
                        <a:rPr lang="es-MX" sz="11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MX" sz="1100" b="0" i="1">
                          <a:latin typeface="Cambria Math" panose="02040503050406030204" pitchFamily="18" charset="0"/>
                        </a:rPr>
                        <m:t>𝐴𝑐𝑝</m:t>
                      </m:r>
                    </m:num>
                    <m:den>
                      <m:r>
                        <a:rPr lang="es-MX" sz="1100" b="0" i="1">
                          <a:latin typeface="Cambria Math" panose="02040503050406030204" pitchFamily="18" charset="0"/>
                        </a:rPr>
                        <m:t>𝐷𝐶𝑃</m:t>
                      </m:r>
                    </m:den>
                  </m:f>
                  <m:r>
                    <a:rPr lang="es-MX" sz="1100" b="0" i="1">
                      <a:latin typeface="Cambria Math" panose="02040503050406030204" pitchFamily="18" charset="0"/>
                    </a:rPr>
                    <m:t> </m:t>
                  </m:r>
                  <m:r>
                    <a:rPr lang="es-MX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→</m:t>
                  </m:r>
                </m:oMath>
              </a14:m>
              <a:r>
                <a:rPr lang="en-US" sz="1100"/>
                <a:t> Acp=177850</a:t>
              </a:r>
            </a:p>
          </xdr:txBody>
        </xdr:sp>
      </mc:Choice>
      <mc:Fallback xmlns="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1A57E038-861E-4894-94E8-42A696263744}"/>
                </a:ext>
              </a:extLst>
            </xdr:cNvPr>
            <xdr:cNvSpPr txBox="1"/>
          </xdr:nvSpPr>
          <xdr:spPr>
            <a:xfrm>
              <a:off x="320675" y="7337425"/>
              <a:ext cx="2865785" cy="24134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𝐿𝑖𝑞𝑢𝑖𝑑𝑒𝑧 𝑐𝑜𝑟𝑟𝑖𝑒𝑛𝑡𝑒=2.6=𝐴𝑐𝑝/𝐷𝐶𝑃  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→</a:t>
              </a:r>
              <a:r>
                <a:rPr lang="en-US" sz="1100"/>
                <a:t> Acp=177850</a:t>
              </a:r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88900</xdr:colOff>
      <xdr:row>7</xdr:row>
      <xdr:rowOff>151929</xdr:rowOff>
    </xdr:from>
    <xdr:to>
      <xdr:col>9</xdr:col>
      <xdr:colOff>249352</xdr:colOff>
      <xdr:row>18</xdr:row>
      <xdr:rowOff>117907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80D82AA-E27A-4FF9-BB87-7F7829401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900" y="1440979"/>
          <a:ext cx="7843952" cy="199162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101600</xdr:colOff>
      <xdr:row>7</xdr:row>
      <xdr:rowOff>165101</xdr:rowOff>
    </xdr:from>
    <xdr:to>
      <xdr:col>7</xdr:col>
      <xdr:colOff>274385</xdr:colOff>
      <xdr:row>13</xdr:row>
      <xdr:rowOff>102763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9DCBFF9-DA29-499A-907B-6D417A1B0A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00" y="1454151"/>
          <a:ext cx="7640385" cy="104256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133350</xdr:rowOff>
    </xdr:from>
    <xdr:to>
      <xdr:col>6</xdr:col>
      <xdr:colOff>1175747</xdr:colOff>
      <xdr:row>15</xdr:row>
      <xdr:rowOff>31941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30033B3-0978-4BFF-B7EE-075B1E59C6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22400"/>
          <a:ext cx="7144747" cy="137179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108565</xdr:colOff>
      <xdr:row>8</xdr:row>
      <xdr:rowOff>9070</xdr:rowOff>
    </xdr:from>
    <xdr:to>
      <xdr:col>3</xdr:col>
      <xdr:colOff>925286</xdr:colOff>
      <xdr:row>17</xdr:row>
      <xdr:rowOff>176383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1329383-87A5-4A74-8F5C-9547634622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565" y="1460499"/>
          <a:ext cx="4490650" cy="1818313"/>
        </a:xfrm>
        <a:prstGeom prst="rect">
          <a:avLst/>
        </a:prstGeom>
      </xdr:spPr>
    </xdr:pic>
    <xdr:clientData/>
  </xdr:twoCellAnchor>
  <xdr:twoCellAnchor editAs="oneCell">
    <xdr:from>
      <xdr:col>0</xdr:col>
      <xdr:colOff>190498</xdr:colOff>
      <xdr:row>19</xdr:row>
      <xdr:rowOff>91607</xdr:rowOff>
    </xdr:from>
    <xdr:to>
      <xdr:col>3</xdr:col>
      <xdr:colOff>775400</xdr:colOff>
      <xdr:row>23</xdr:row>
      <xdr:rowOff>172490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21A9E25-70A6-4C18-92CF-3651EC1E3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498" y="3538750"/>
          <a:ext cx="4258831" cy="806597"/>
        </a:xfrm>
        <a:prstGeom prst="rect">
          <a:avLst/>
        </a:prstGeom>
      </xdr:spPr>
    </xdr:pic>
    <xdr:clientData/>
  </xdr:twoCellAnchor>
  <xdr:twoCellAnchor editAs="oneCell">
    <xdr:from>
      <xdr:col>3</xdr:col>
      <xdr:colOff>27214</xdr:colOff>
      <xdr:row>36</xdr:row>
      <xdr:rowOff>145142</xdr:rowOff>
    </xdr:from>
    <xdr:to>
      <xdr:col>5</xdr:col>
      <xdr:colOff>490513</xdr:colOff>
      <xdr:row>39</xdr:row>
      <xdr:rowOff>136071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6D15C6F-AD96-433F-9C5B-24E1B8A16F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01143" y="6694713"/>
          <a:ext cx="3402441" cy="53521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99786</xdr:colOff>
      <xdr:row>36</xdr:row>
      <xdr:rowOff>127001</xdr:rowOff>
    </xdr:from>
    <xdr:to>
      <xdr:col>1</xdr:col>
      <xdr:colOff>483861</xdr:colOff>
      <xdr:row>39</xdr:row>
      <xdr:rowOff>173347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AFA2D3A-DF30-4FE3-AD61-609F5F8F28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9786" y="6676572"/>
          <a:ext cx="2534004" cy="59063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101600</xdr:colOff>
      <xdr:row>7</xdr:row>
      <xdr:rowOff>148874</xdr:rowOff>
    </xdr:from>
    <xdr:to>
      <xdr:col>3</xdr:col>
      <xdr:colOff>256658</xdr:colOff>
      <xdr:row>15</xdr:row>
      <xdr:rowOff>95683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18D07C0-E323-497A-BF4F-7F300549D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00" y="1437924"/>
          <a:ext cx="3522145" cy="1426359"/>
        </a:xfrm>
        <a:prstGeom prst="rect">
          <a:avLst/>
        </a:prstGeom>
      </xdr:spPr>
    </xdr:pic>
    <xdr:clientData/>
  </xdr:twoCellAnchor>
  <xdr:twoCellAnchor editAs="oneCell">
    <xdr:from>
      <xdr:col>0</xdr:col>
      <xdr:colOff>330200</xdr:colOff>
      <xdr:row>16</xdr:row>
      <xdr:rowOff>63500</xdr:rowOff>
    </xdr:from>
    <xdr:to>
      <xdr:col>2</xdr:col>
      <xdr:colOff>914751</xdr:colOff>
      <xdr:row>19</xdr:row>
      <xdr:rowOff>28648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7B38B49-70FB-4E22-9846-EB349CBF3F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0200" y="3009900"/>
          <a:ext cx="2514951" cy="523948"/>
        </a:xfrm>
        <a:prstGeom prst="rect">
          <a:avLst/>
        </a:prstGeom>
      </xdr:spPr>
    </xdr:pic>
    <xdr:clientData/>
  </xdr:twoCellAnchor>
  <xdr:twoCellAnchor editAs="oneCell">
    <xdr:from>
      <xdr:col>0</xdr:col>
      <xdr:colOff>579438</xdr:colOff>
      <xdr:row>19</xdr:row>
      <xdr:rowOff>172851</xdr:rowOff>
    </xdr:from>
    <xdr:to>
      <xdr:col>2</xdr:col>
      <xdr:colOff>935502</xdr:colOff>
      <xdr:row>22</xdr:row>
      <xdr:rowOff>109636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AA04544-BD8F-4376-B766-483BC9391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9438" y="3657414"/>
          <a:ext cx="2284877" cy="484472"/>
        </a:xfrm>
        <a:prstGeom prst="rect">
          <a:avLst/>
        </a:prstGeom>
      </xdr:spPr>
    </xdr:pic>
    <xdr:clientData/>
  </xdr:twoCellAnchor>
  <xdr:twoCellAnchor editAs="oneCell">
    <xdr:from>
      <xdr:col>3</xdr:col>
      <xdr:colOff>682624</xdr:colOff>
      <xdr:row>24</xdr:row>
      <xdr:rowOff>26094</xdr:rowOff>
    </xdr:from>
    <xdr:to>
      <xdr:col>8</xdr:col>
      <xdr:colOff>452435</xdr:colOff>
      <xdr:row>26</xdr:row>
      <xdr:rowOff>111125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F54649B-B364-4B3D-A727-1CCA153D7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73437" y="4423469"/>
          <a:ext cx="3579811" cy="45015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38099</xdr:colOff>
      <xdr:row>7</xdr:row>
      <xdr:rowOff>111008</xdr:rowOff>
    </xdr:from>
    <xdr:to>
      <xdr:col>3</xdr:col>
      <xdr:colOff>1172634</xdr:colOff>
      <xdr:row>16</xdr:row>
      <xdr:rowOff>30313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8D690C1-4A55-4B7D-BAEC-565FDB07C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099" y="1400058"/>
          <a:ext cx="3826935" cy="1589355"/>
        </a:xfrm>
        <a:prstGeom prst="rect">
          <a:avLst/>
        </a:prstGeom>
      </xdr:spPr>
    </xdr:pic>
    <xdr:clientData/>
  </xdr:twoCellAnchor>
  <xdr:twoCellAnchor editAs="oneCell">
    <xdr:from>
      <xdr:col>3</xdr:col>
      <xdr:colOff>27214</xdr:colOff>
      <xdr:row>32</xdr:row>
      <xdr:rowOff>145142</xdr:rowOff>
    </xdr:from>
    <xdr:to>
      <xdr:col>5</xdr:col>
      <xdr:colOff>390501</xdr:colOff>
      <xdr:row>35</xdr:row>
      <xdr:rowOff>136071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DEAC0B6-7599-490E-88F5-288F46DF6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03864" y="6787242"/>
          <a:ext cx="3403349" cy="543379"/>
        </a:xfrm>
        <a:prstGeom prst="rect">
          <a:avLst/>
        </a:prstGeom>
      </xdr:spPr>
    </xdr:pic>
    <xdr:clientData/>
  </xdr:twoCellAnchor>
  <xdr:twoCellAnchor editAs="oneCell">
    <xdr:from>
      <xdr:col>0</xdr:col>
      <xdr:colOff>99786</xdr:colOff>
      <xdr:row>32</xdr:row>
      <xdr:rowOff>127001</xdr:rowOff>
    </xdr:from>
    <xdr:to>
      <xdr:col>2</xdr:col>
      <xdr:colOff>706111</xdr:colOff>
      <xdr:row>35</xdr:row>
      <xdr:rowOff>173347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5F50CCE-BE6D-4C9A-AF60-E5476E72DA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786" y="6769101"/>
          <a:ext cx="2536725" cy="5987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23813</xdr:rowOff>
    </xdr:from>
    <xdr:to>
      <xdr:col>3</xdr:col>
      <xdr:colOff>1568018</xdr:colOff>
      <xdr:row>21</xdr:row>
      <xdr:rowOff>100160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7F3AB0C-A5D2-4DCA-BBAB-31CB377BE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143251"/>
          <a:ext cx="4258831" cy="80659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44744</xdr:colOff>
      <xdr:row>7</xdr:row>
      <xdr:rowOff>139700</xdr:rowOff>
    </xdr:from>
    <xdr:to>
      <xdr:col>3</xdr:col>
      <xdr:colOff>323332</xdr:colOff>
      <xdr:row>16</xdr:row>
      <xdr:rowOff>38560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5A0D61E-431F-4A6C-97FE-CF4C268058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44" y="1428750"/>
          <a:ext cx="3645675" cy="1568910"/>
        </a:xfrm>
        <a:prstGeom prst="rect">
          <a:avLst/>
        </a:prstGeom>
      </xdr:spPr>
    </xdr:pic>
    <xdr:clientData/>
  </xdr:twoCellAnchor>
  <xdr:twoCellAnchor editAs="oneCell">
    <xdr:from>
      <xdr:col>0</xdr:col>
      <xdr:colOff>293688</xdr:colOff>
      <xdr:row>16</xdr:row>
      <xdr:rowOff>174625</xdr:rowOff>
    </xdr:from>
    <xdr:to>
      <xdr:col>2</xdr:col>
      <xdr:colOff>889352</xdr:colOff>
      <xdr:row>19</xdr:row>
      <xdr:rowOff>55622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06D1EC0-4C77-44C9-9A35-4059BC556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3688" y="3111500"/>
          <a:ext cx="2524477" cy="428685"/>
        </a:xfrm>
        <a:prstGeom prst="rect">
          <a:avLst/>
        </a:prstGeom>
      </xdr:spPr>
    </xdr:pic>
    <xdr:clientData/>
  </xdr:twoCellAnchor>
  <xdr:twoCellAnchor editAs="oneCell">
    <xdr:from>
      <xdr:col>0</xdr:col>
      <xdr:colOff>222250</xdr:colOff>
      <xdr:row>19</xdr:row>
      <xdr:rowOff>119062</xdr:rowOff>
    </xdr:from>
    <xdr:to>
      <xdr:col>5</xdr:col>
      <xdr:colOff>496021</xdr:colOff>
      <xdr:row>22</xdr:row>
      <xdr:rowOff>76270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E9F7B01-55D7-4046-9304-50897E339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2250" y="3603625"/>
          <a:ext cx="5163271" cy="504895"/>
        </a:xfrm>
        <a:prstGeom prst="rect">
          <a:avLst/>
        </a:prstGeom>
      </xdr:spPr>
    </xdr:pic>
    <xdr:clientData/>
  </xdr:twoCellAnchor>
  <xdr:twoCellAnchor editAs="oneCell">
    <xdr:from>
      <xdr:col>3</xdr:col>
      <xdr:colOff>615043</xdr:colOff>
      <xdr:row>16</xdr:row>
      <xdr:rowOff>134938</xdr:rowOff>
    </xdr:from>
    <xdr:to>
      <xdr:col>6</xdr:col>
      <xdr:colOff>403583</xdr:colOff>
      <xdr:row>19</xdr:row>
      <xdr:rowOff>127093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4772ECF-33A1-4511-B99C-7B7CFEE8A2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05856" y="3071813"/>
          <a:ext cx="2074540" cy="5398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>
      <selection activeCell="D15" sqref="D15"/>
    </sheetView>
  </sheetViews>
  <sheetFormatPr baseColWidth="10" defaultColWidth="8.7265625" defaultRowHeight="14.5" x14ac:dyDescent="0.35"/>
  <cols>
    <col min="1" max="1" width="9" bestFit="1" customWidth="1"/>
    <col min="2" max="2" width="16.7265625" bestFit="1" customWidth="1"/>
  </cols>
  <sheetData>
    <row r="1" spans="1:3" x14ac:dyDescent="0.35">
      <c r="A1" s="1" t="s">
        <v>0</v>
      </c>
      <c r="B1" s="2" t="s">
        <v>1</v>
      </c>
      <c r="C1" s="2"/>
    </row>
    <row r="2" spans="1:3" x14ac:dyDescent="0.35">
      <c r="A2" s="1" t="s">
        <v>2</v>
      </c>
      <c r="B2" s="2" t="s">
        <v>3</v>
      </c>
      <c r="C2" s="2"/>
    </row>
    <row r="3" spans="1:3" x14ac:dyDescent="0.35">
      <c r="A3" s="1" t="s">
        <v>4</v>
      </c>
      <c r="B3" s="3" t="s">
        <v>5</v>
      </c>
      <c r="C3" s="2"/>
    </row>
    <row r="4" spans="1:3" x14ac:dyDescent="0.35">
      <c r="A4" s="2"/>
      <c r="B4" s="1" t="s">
        <v>6</v>
      </c>
      <c r="C4" s="1" t="s">
        <v>7</v>
      </c>
    </row>
    <row r="5" spans="1:3" x14ac:dyDescent="0.35">
      <c r="A5" s="2"/>
      <c r="B5" s="3" t="s">
        <v>8</v>
      </c>
      <c r="C5" s="3">
        <v>1724083</v>
      </c>
    </row>
    <row r="6" spans="1:3" x14ac:dyDescent="0.35">
      <c r="A6" s="2"/>
      <c r="B6" s="3" t="s">
        <v>9</v>
      </c>
      <c r="C6" s="2">
        <v>1726924</v>
      </c>
    </row>
    <row r="7" spans="1:3" x14ac:dyDescent="0.35">
      <c r="A7" s="2"/>
      <c r="B7" s="3" t="s">
        <v>10</v>
      </c>
      <c r="C7" s="3">
        <v>1730680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22AF2-0167-4B7C-B21C-79FE2BDACDAA}">
  <dimension ref="A1:D46"/>
  <sheetViews>
    <sheetView topLeftCell="A22" zoomScale="80" zoomScaleNormal="80" workbookViewId="0">
      <selection activeCell="D44" sqref="D44"/>
    </sheetView>
  </sheetViews>
  <sheetFormatPr baseColWidth="10" defaultRowHeight="14.5" x14ac:dyDescent="0.35"/>
  <cols>
    <col min="1" max="1" width="21.6328125" bestFit="1" customWidth="1"/>
    <col min="2" max="2" width="16.7265625" bestFit="1" customWidth="1"/>
  </cols>
  <sheetData>
    <row r="1" spans="1:4" x14ac:dyDescent="0.35">
      <c r="A1" s="1" t="s">
        <v>0</v>
      </c>
      <c r="B1" s="2" t="s">
        <v>1</v>
      </c>
      <c r="C1" s="2"/>
    </row>
    <row r="2" spans="1:4" x14ac:dyDescent="0.35">
      <c r="A2" s="1" t="s">
        <v>2</v>
      </c>
      <c r="B2" s="2" t="s">
        <v>3</v>
      </c>
      <c r="C2" s="2"/>
    </row>
    <row r="3" spans="1:4" x14ac:dyDescent="0.35">
      <c r="A3" s="1" t="s">
        <v>4</v>
      </c>
      <c r="B3" s="3" t="s">
        <v>5</v>
      </c>
      <c r="C3" s="2"/>
    </row>
    <row r="4" spans="1:4" x14ac:dyDescent="0.35">
      <c r="A4" s="2"/>
      <c r="B4" s="1" t="s">
        <v>6</v>
      </c>
      <c r="C4" s="1" t="s">
        <v>7</v>
      </c>
    </row>
    <row r="5" spans="1:4" x14ac:dyDescent="0.35">
      <c r="A5" s="2"/>
      <c r="B5" s="3" t="s">
        <v>8</v>
      </c>
      <c r="C5" s="3">
        <v>1724083</v>
      </c>
    </row>
    <row r="6" spans="1:4" x14ac:dyDescent="0.35">
      <c r="A6" s="2"/>
      <c r="B6" s="3" t="s">
        <v>9</v>
      </c>
      <c r="C6" s="2">
        <v>1726924</v>
      </c>
    </row>
    <row r="7" spans="1:4" x14ac:dyDescent="0.35">
      <c r="A7" s="2"/>
      <c r="B7" s="3" t="s">
        <v>10</v>
      </c>
      <c r="C7" s="3">
        <v>1730680</v>
      </c>
    </row>
    <row r="15" spans="1:4" x14ac:dyDescent="0.35">
      <c r="A15" s="4"/>
      <c r="B15" s="4" t="s">
        <v>63</v>
      </c>
      <c r="C15" s="4" t="s">
        <v>62</v>
      </c>
      <c r="D15" s="4" t="s">
        <v>64</v>
      </c>
    </row>
    <row r="16" spans="1:4" x14ac:dyDescent="0.35">
      <c r="A16" s="4" t="s">
        <v>12</v>
      </c>
      <c r="B16" s="50">
        <v>0.45</v>
      </c>
      <c r="C16" s="82">
        <f>+B40</f>
        <v>0.21010000000000001</v>
      </c>
      <c r="D16" s="4">
        <v>5.0199999999999996</v>
      </c>
    </row>
    <row r="17" spans="1:4" x14ac:dyDescent="0.35">
      <c r="A17" s="4" t="s">
        <v>13</v>
      </c>
      <c r="B17" s="4">
        <v>0.82</v>
      </c>
      <c r="C17" s="4">
        <v>0.37</v>
      </c>
      <c r="D17" s="4">
        <f>+B44</f>
        <v>4.0199999999999996</v>
      </c>
    </row>
    <row r="18" spans="1:4" x14ac:dyDescent="0.35">
      <c r="A18" s="4" t="s">
        <v>14</v>
      </c>
      <c r="B18" s="4">
        <f>+B34</f>
        <v>1.8180000000000001</v>
      </c>
      <c r="C18" s="4">
        <f>+B38</f>
        <v>1.37</v>
      </c>
      <c r="D18" s="77">
        <f>+B46</f>
        <v>0.8</v>
      </c>
    </row>
    <row r="28" spans="1:4" x14ac:dyDescent="0.35">
      <c r="A28" s="84" t="s">
        <v>11</v>
      </c>
      <c r="B28" s="85"/>
    </row>
    <row r="29" spans="1:4" x14ac:dyDescent="0.35">
      <c r="A29" s="4" t="s">
        <v>12</v>
      </c>
      <c r="B29" s="50">
        <v>0.45</v>
      </c>
      <c r="C29" t="s">
        <v>197</v>
      </c>
    </row>
    <row r="30" spans="1:4" x14ac:dyDescent="0.35">
      <c r="B30" t="s">
        <v>198</v>
      </c>
    </row>
    <row r="32" spans="1:4" x14ac:dyDescent="0.35">
      <c r="A32" s="4" t="s">
        <v>13</v>
      </c>
      <c r="B32" s="4" t="s">
        <v>100</v>
      </c>
      <c r="C32" t="s">
        <v>199</v>
      </c>
    </row>
    <row r="33" spans="1:4" x14ac:dyDescent="0.35">
      <c r="A33" s="4" t="s">
        <v>13</v>
      </c>
      <c r="B33" s="4">
        <v>0.81799999999999995</v>
      </c>
    </row>
    <row r="34" spans="1:4" x14ac:dyDescent="0.35">
      <c r="A34" s="4" t="s">
        <v>14</v>
      </c>
      <c r="B34" s="4">
        <f>1+B33</f>
        <v>1.8180000000000001</v>
      </c>
    </row>
    <row r="36" spans="1:4" x14ac:dyDescent="0.35">
      <c r="A36" t="s">
        <v>200</v>
      </c>
    </row>
    <row r="37" spans="1:4" x14ac:dyDescent="0.35">
      <c r="A37" s="4" t="s">
        <v>13</v>
      </c>
      <c r="B37" s="4">
        <f>+C17</f>
        <v>0.37</v>
      </c>
      <c r="C37" t="s">
        <v>100</v>
      </c>
      <c r="D37" t="s">
        <v>204</v>
      </c>
    </row>
    <row r="38" spans="1:4" x14ac:dyDescent="0.35">
      <c r="A38" s="57" t="s">
        <v>201</v>
      </c>
      <c r="B38" s="4">
        <f>1+B37</f>
        <v>1.37</v>
      </c>
    </row>
    <row r="39" spans="1:4" x14ac:dyDescent="0.35">
      <c r="A39" s="57" t="s">
        <v>202</v>
      </c>
      <c r="B39" s="4" t="s">
        <v>203</v>
      </c>
    </row>
    <row r="40" spans="1:4" x14ac:dyDescent="0.35">
      <c r="A40" s="57" t="s">
        <v>202</v>
      </c>
      <c r="B40" s="82">
        <v>0.21010000000000001</v>
      </c>
    </row>
    <row r="42" spans="1:4" x14ac:dyDescent="0.35">
      <c r="A42" t="s">
        <v>205</v>
      </c>
    </row>
    <row r="43" spans="1:4" x14ac:dyDescent="0.35">
      <c r="A43" s="4" t="s">
        <v>201</v>
      </c>
      <c r="B43" s="4">
        <v>5.0199999999999996</v>
      </c>
      <c r="C43" t="s">
        <v>206</v>
      </c>
      <c r="D43" t="s">
        <v>256</v>
      </c>
    </row>
    <row r="44" spans="1:4" x14ac:dyDescent="0.35">
      <c r="A44" s="4" t="s">
        <v>207</v>
      </c>
      <c r="B44" s="4">
        <v>4.0199999999999996</v>
      </c>
    </row>
    <row r="45" spans="1:4" x14ac:dyDescent="0.35">
      <c r="A45" s="4" t="s">
        <v>202</v>
      </c>
      <c r="B45" s="4" t="s">
        <v>208</v>
      </c>
    </row>
    <row r="46" spans="1:4" x14ac:dyDescent="0.35">
      <c r="A46" s="4" t="s">
        <v>202</v>
      </c>
      <c r="B46" s="56">
        <v>0.8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146E1-66A7-4D7A-BA37-E85C486F9BDF}">
  <dimension ref="A1:H38"/>
  <sheetViews>
    <sheetView topLeftCell="A21" workbookViewId="0">
      <selection activeCell="B39" sqref="B39"/>
    </sheetView>
  </sheetViews>
  <sheetFormatPr baseColWidth="10" defaultRowHeight="14.5" x14ac:dyDescent="0.35"/>
  <cols>
    <col min="1" max="1" width="20.81640625" bestFit="1" customWidth="1"/>
    <col min="2" max="2" width="19.36328125" bestFit="1" customWidth="1"/>
  </cols>
  <sheetData>
    <row r="1" spans="1:3" x14ac:dyDescent="0.35">
      <c r="A1" s="1" t="s">
        <v>0</v>
      </c>
      <c r="B1" s="2" t="s">
        <v>1</v>
      </c>
      <c r="C1" s="2"/>
    </row>
    <row r="2" spans="1:3" x14ac:dyDescent="0.35">
      <c r="A2" s="1" t="s">
        <v>2</v>
      </c>
      <c r="B2" s="2" t="s">
        <v>3</v>
      </c>
      <c r="C2" s="2"/>
    </row>
    <row r="3" spans="1:3" x14ac:dyDescent="0.35">
      <c r="A3" s="1" t="s">
        <v>4</v>
      </c>
      <c r="B3" s="3" t="s">
        <v>5</v>
      </c>
      <c r="C3" s="2"/>
    </row>
    <row r="4" spans="1:3" x14ac:dyDescent="0.35">
      <c r="A4" s="2"/>
      <c r="B4" s="1" t="s">
        <v>6</v>
      </c>
      <c r="C4" s="1" t="s">
        <v>7</v>
      </c>
    </row>
    <row r="5" spans="1:3" x14ac:dyDescent="0.35">
      <c r="A5" s="2"/>
      <c r="B5" s="3" t="s">
        <v>8</v>
      </c>
      <c r="C5" s="3">
        <v>1724083</v>
      </c>
    </row>
    <row r="6" spans="1:3" x14ac:dyDescent="0.35">
      <c r="A6" s="2"/>
      <c r="B6" s="3" t="s">
        <v>9</v>
      </c>
      <c r="C6" s="2">
        <v>1726924</v>
      </c>
    </row>
    <row r="7" spans="1:3" x14ac:dyDescent="0.35">
      <c r="A7" s="2"/>
      <c r="B7" s="3" t="s">
        <v>10</v>
      </c>
      <c r="C7" s="3">
        <v>1730680</v>
      </c>
    </row>
    <row r="22" spans="1:8" x14ac:dyDescent="0.35">
      <c r="A22" t="s">
        <v>223</v>
      </c>
      <c r="B22" t="s">
        <v>210</v>
      </c>
    </row>
    <row r="23" spans="1:8" x14ac:dyDescent="0.35">
      <c r="A23" t="s">
        <v>224</v>
      </c>
      <c r="B23" t="s">
        <v>211</v>
      </c>
    </row>
    <row r="25" spans="1:8" x14ac:dyDescent="0.35">
      <c r="A25" s="86"/>
      <c r="B25" s="37" t="s">
        <v>219</v>
      </c>
      <c r="C25" s="37" t="s">
        <v>220</v>
      </c>
      <c r="D25" s="37" t="s">
        <v>174</v>
      </c>
      <c r="E25" s="37" t="s">
        <v>15</v>
      </c>
      <c r="F25" s="87"/>
      <c r="G25" s="37" t="s">
        <v>222</v>
      </c>
      <c r="H25" s="37" t="s">
        <v>202</v>
      </c>
    </row>
    <row r="26" spans="1:8" x14ac:dyDescent="0.35">
      <c r="A26" s="89" t="s">
        <v>61</v>
      </c>
      <c r="B26" s="90" t="s">
        <v>225</v>
      </c>
      <c r="C26" s="90" t="s">
        <v>226</v>
      </c>
      <c r="D26" s="90" t="s">
        <v>225</v>
      </c>
      <c r="E26" s="90" t="s">
        <v>226</v>
      </c>
      <c r="F26" s="88" t="s">
        <v>221</v>
      </c>
      <c r="G26" s="90" t="s">
        <v>225</v>
      </c>
      <c r="H26" s="90" t="s">
        <v>225</v>
      </c>
    </row>
    <row r="27" spans="1:8" x14ac:dyDescent="0.35">
      <c r="A27" s="89" t="s">
        <v>213</v>
      </c>
      <c r="B27" s="90" t="s">
        <v>227</v>
      </c>
      <c r="C27" s="90" t="s">
        <v>226</v>
      </c>
      <c r="D27" s="90" t="s">
        <v>226</v>
      </c>
      <c r="E27" s="90" t="s">
        <v>226</v>
      </c>
      <c r="F27" s="88" t="s">
        <v>221</v>
      </c>
      <c r="G27" s="90" t="s">
        <v>227</v>
      </c>
      <c r="H27" s="90" t="s">
        <v>226</v>
      </c>
    </row>
    <row r="28" spans="1:8" x14ac:dyDescent="0.35">
      <c r="A28" s="89" t="s">
        <v>214</v>
      </c>
      <c r="B28" s="90" t="s">
        <v>225</v>
      </c>
      <c r="C28" s="90" t="s">
        <v>225</v>
      </c>
      <c r="D28" s="90" t="s">
        <v>225</v>
      </c>
      <c r="E28" s="90" t="s">
        <v>226</v>
      </c>
      <c r="F28" s="88" t="s">
        <v>221</v>
      </c>
      <c r="G28" s="90" t="s">
        <v>225</v>
      </c>
      <c r="H28" s="90" t="s">
        <v>225</v>
      </c>
    </row>
    <row r="29" spans="1:8" x14ac:dyDescent="0.35">
      <c r="A29" s="89" t="s">
        <v>215</v>
      </c>
      <c r="B29" s="90" t="s">
        <v>225</v>
      </c>
      <c r="C29" s="90" t="s">
        <v>226</v>
      </c>
      <c r="D29" s="90" t="s">
        <v>226</v>
      </c>
      <c r="E29" s="90" t="s">
        <v>226</v>
      </c>
      <c r="F29" s="88" t="s">
        <v>221</v>
      </c>
      <c r="G29" s="90" t="s">
        <v>225</v>
      </c>
      <c r="H29" s="90" t="s">
        <v>226</v>
      </c>
    </row>
    <row r="30" spans="1:8" x14ac:dyDescent="0.35">
      <c r="A30" s="89" t="s">
        <v>216</v>
      </c>
      <c r="B30" s="90" t="s">
        <v>226</v>
      </c>
      <c r="C30" s="90" t="s">
        <v>226</v>
      </c>
      <c r="D30" s="90" t="s">
        <v>227</v>
      </c>
      <c r="E30" s="90" t="s">
        <v>226</v>
      </c>
      <c r="F30" s="88" t="s">
        <v>221</v>
      </c>
      <c r="G30" s="90" t="s">
        <v>226</v>
      </c>
      <c r="H30" s="90" t="s">
        <v>227</v>
      </c>
    </row>
    <row r="31" spans="1:8" ht="29" x14ac:dyDescent="0.35">
      <c r="A31" s="89" t="s">
        <v>217</v>
      </c>
      <c r="B31" s="91" t="s">
        <v>228</v>
      </c>
      <c r="C31" s="90" t="s">
        <v>226</v>
      </c>
      <c r="D31" s="90" t="s">
        <v>226</v>
      </c>
      <c r="E31" s="90" t="s">
        <v>226</v>
      </c>
      <c r="F31" s="88" t="s">
        <v>221</v>
      </c>
      <c r="G31" s="90" t="s">
        <v>226</v>
      </c>
      <c r="H31" s="90" t="s">
        <v>226</v>
      </c>
    </row>
    <row r="32" spans="1:8" x14ac:dyDescent="0.35">
      <c r="A32" s="89" t="s">
        <v>218</v>
      </c>
      <c r="B32" s="90" t="s">
        <v>227</v>
      </c>
      <c r="C32" s="90" t="s">
        <v>227</v>
      </c>
      <c r="D32" s="90" t="s">
        <v>227</v>
      </c>
      <c r="E32" s="90" t="s">
        <v>226</v>
      </c>
      <c r="F32" s="88" t="s">
        <v>221</v>
      </c>
      <c r="G32" s="90" t="s">
        <v>227</v>
      </c>
      <c r="H32" s="90" t="s">
        <v>227</v>
      </c>
    </row>
    <row r="35" spans="1:2" x14ac:dyDescent="0.35">
      <c r="A35" s="92" t="s">
        <v>232</v>
      </c>
    </row>
    <row r="36" spans="1:2" x14ac:dyDescent="0.35">
      <c r="A36" s="92" t="s">
        <v>233</v>
      </c>
      <c r="B36" t="s">
        <v>236</v>
      </c>
    </row>
    <row r="37" spans="1:2" x14ac:dyDescent="0.35">
      <c r="A37" s="92" t="s">
        <v>234</v>
      </c>
      <c r="B37" t="s">
        <v>237</v>
      </c>
    </row>
    <row r="38" spans="1:2" x14ac:dyDescent="0.35">
      <c r="A38" s="92" t="s">
        <v>235</v>
      </c>
      <c r="B38" t="s">
        <v>238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823B6-167A-492C-8FB7-64363A3C16FB}">
  <dimension ref="A1:C47"/>
  <sheetViews>
    <sheetView topLeftCell="A29" workbookViewId="0">
      <selection activeCell="B44" sqref="B44"/>
    </sheetView>
  </sheetViews>
  <sheetFormatPr baseColWidth="10" defaultRowHeight="14.5" x14ac:dyDescent="0.35"/>
  <cols>
    <col min="1" max="1" width="18.6328125" bestFit="1" customWidth="1"/>
    <col min="2" max="2" width="16.7265625" bestFit="1" customWidth="1"/>
  </cols>
  <sheetData>
    <row r="1" spans="1:3" x14ac:dyDescent="0.35">
      <c r="A1" s="1" t="s">
        <v>0</v>
      </c>
      <c r="B1" s="2" t="s">
        <v>1</v>
      </c>
      <c r="C1" s="2"/>
    </row>
    <row r="2" spans="1:3" x14ac:dyDescent="0.35">
      <c r="A2" s="1" t="s">
        <v>2</v>
      </c>
      <c r="B2" s="2" t="s">
        <v>3</v>
      </c>
      <c r="C2" s="2"/>
    </row>
    <row r="3" spans="1:3" x14ac:dyDescent="0.35">
      <c r="A3" s="1" t="s">
        <v>4</v>
      </c>
      <c r="B3" s="3" t="s">
        <v>5</v>
      </c>
      <c r="C3" s="2"/>
    </row>
    <row r="4" spans="1:3" x14ac:dyDescent="0.35">
      <c r="A4" s="2"/>
      <c r="B4" s="1" t="s">
        <v>6</v>
      </c>
      <c r="C4" s="1" t="s">
        <v>7</v>
      </c>
    </row>
    <row r="5" spans="1:3" x14ac:dyDescent="0.35">
      <c r="A5" s="2"/>
      <c r="B5" s="3" t="s">
        <v>8</v>
      </c>
      <c r="C5" s="3">
        <v>1724083</v>
      </c>
    </row>
    <row r="6" spans="1:3" x14ac:dyDescent="0.35">
      <c r="A6" s="2"/>
      <c r="B6" s="3" t="s">
        <v>9</v>
      </c>
      <c r="C6" s="2">
        <v>1726924</v>
      </c>
    </row>
    <row r="7" spans="1:3" x14ac:dyDescent="0.35">
      <c r="A7" s="2"/>
      <c r="B7" s="3" t="s">
        <v>10</v>
      </c>
      <c r="C7" s="3">
        <v>1730680</v>
      </c>
    </row>
    <row r="18" spans="1:3" x14ac:dyDescent="0.35">
      <c r="A18" s="52" t="s">
        <v>20</v>
      </c>
      <c r="B18" s="4">
        <v>653566</v>
      </c>
    </row>
    <row r="19" spans="1:3" x14ac:dyDescent="0.35">
      <c r="A19" s="52" t="s">
        <v>229</v>
      </c>
      <c r="B19" s="4">
        <v>55555</v>
      </c>
    </row>
    <row r="20" spans="1:3" x14ac:dyDescent="0.35">
      <c r="A20" s="52" t="s">
        <v>230</v>
      </c>
      <c r="B20" s="4">
        <v>68300</v>
      </c>
    </row>
    <row r="21" spans="1:3" x14ac:dyDescent="0.35">
      <c r="A21" s="52" t="s">
        <v>231</v>
      </c>
      <c r="B21" s="4">
        <v>1.56</v>
      </c>
      <c r="C21" t="s">
        <v>108</v>
      </c>
    </row>
    <row r="22" spans="1:3" x14ac:dyDescent="0.35">
      <c r="A22" s="52" t="s">
        <v>209</v>
      </c>
      <c r="B22" s="4">
        <v>2.6</v>
      </c>
    </row>
    <row r="23" spans="1:3" x14ac:dyDescent="0.35">
      <c r="A23" s="52" t="s">
        <v>239</v>
      </c>
      <c r="B23" s="77">
        <v>0.62</v>
      </c>
    </row>
    <row r="24" spans="1:3" x14ac:dyDescent="0.35">
      <c r="A24" s="52" t="s">
        <v>240</v>
      </c>
      <c r="B24" s="4">
        <v>59</v>
      </c>
    </row>
    <row r="38" spans="1:2" x14ac:dyDescent="0.35">
      <c r="A38" t="s">
        <v>241</v>
      </c>
    </row>
    <row r="39" spans="1:2" x14ac:dyDescent="0.35">
      <c r="A39" s="4" t="s">
        <v>242</v>
      </c>
      <c r="B39" s="4">
        <f>259750.58-B20</f>
        <v>191450.58</v>
      </c>
    </row>
    <row r="43" spans="1:2" x14ac:dyDescent="0.35">
      <c r="A43" t="s">
        <v>243</v>
      </c>
    </row>
    <row r="44" spans="1:2" x14ac:dyDescent="0.35">
      <c r="A44" s="4" t="s">
        <v>244</v>
      </c>
      <c r="B44" s="4">
        <f>418952.56-177850</f>
        <v>241102.56</v>
      </c>
    </row>
    <row r="46" spans="1:2" x14ac:dyDescent="0.35">
      <c r="A46" t="s">
        <v>245</v>
      </c>
    </row>
    <row r="47" spans="1:2" x14ac:dyDescent="0.35">
      <c r="A47" s="4" t="s">
        <v>246</v>
      </c>
      <c r="B47" s="4">
        <f>177850-B19-127830</f>
        <v>-5535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410CD-3CCF-470D-8FB4-90F9CBEA2CAF}">
  <dimension ref="A1:F36"/>
  <sheetViews>
    <sheetView topLeftCell="A12" zoomScale="80" zoomScaleNormal="80" workbookViewId="0">
      <selection activeCell="F33" sqref="F33"/>
    </sheetView>
  </sheetViews>
  <sheetFormatPr baseColWidth="10" defaultRowHeight="14.5" x14ac:dyDescent="0.35"/>
  <cols>
    <col min="2" max="2" width="20.81640625" bestFit="1" customWidth="1"/>
    <col min="5" max="5" width="12.81640625" bestFit="1" customWidth="1"/>
  </cols>
  <sheetData>
    <row r="1" spans="1:3" x14ac:dyDescent="0.35">
      <c r="A1" s="1" t="s">
        <v>0</v>
      </c>
      <c r="B1" s="2" t="s">
        <v>1</v>
      </c>
      <c r="C1" s="2"/>
    </row>
    <row r="2" spans="1:3" x14ac:dyDescent="0.35">
      <c r="A2" s="1" t="s">
        <v>2</v>
      </c>
      <c r="B2" s="2" t="s">
        <v>3</v>
      </c>
      <c r="C2" s="2"/>
    </row>
    <row r="3" spans="1:3" x14ac:dyDescent="0.35">
      <c r="A3" s="1" t="s">
        <v>4</v>
      </c>
      <c r="B3" s="3" t="s">
        <v>5</v>
      </c>
      <c r="C3" s="2"/>
    </row>
    <row r="4" spans="1:3" x14ac:dyDescent="0.35">
      <c r="A4" s="2"/>
      <c r="B4" s="1" t="s">
        <v>6</v>
      </c>
      <c r="C4" s="1" t="s">
        <v>7</v>
      </c>
    </row>
    <row r="5" spans="1:3" x14ac:dyDescent="0.35">
      <c r="A5" s="2"/>
      <c r="B5" s="3" t="s">
        <v>8</v>
      </c>
      <c r="C5" s="3">
        <v>1724083</v>
      </c>
    </row>
    <row r="6" spans="1:3" x14ac:dyDescent="0.35">
      <c r="A6" s="2"/>
      <c r="B6" s="3" t="s">
        <v>9</v>
      </c>
      <c r="C6" s="2">
        <v>1726924</v>
      </c>
    </row>
    <row r="7" spans="1:3" x14ac:dyDescent="0.35">
      <c r="A7" s="2"/>
      <c r="B7" s="3" t="s">
        <v>10</v>
      </c>
      <c r="C7" s="3">
        <v>1730680</v>
      </c>
    </row>
    <row r="21" spans="1:6" x14ac:dyDescent="0.35">
      <c r="A21" t="s">
        <v>11</v>
      </c>
      <c r="B21" t="s">
        <v>247</v>
      </c>
      <c r="E21" s="4" t="s">
        <v>35</v>
      </c>
      <c r="F21" s="4">
        <v>2500</v>
      </c>
    </row>
    <row r="22" spans="1:6" x14ac:dyDescent="0.35">
      <c r="B22" s="35" t="s">
        <v>92</v>
      </c>
      <c r="C22" s="94">
        <f>+F21/F22</f>
        <v>0.19230769230769232</v>
      </c>
      <c r="E22" s="4" t="s">
        <v>248</v>
      </c>
      <c r="F22" s="4">
        <v>13000</v>
      </c>
    </row>
    <row r="23" spans="1:6" x14ac:dyDescent="0.35">
      <c r="E23" s="4" t="s">
        <v>249</v>
      </c>
      <c r="F23" s="77">
        <v>0.35</v>
      </c>
    </row>
    <row r="25" spans="1:6" x14ac:dyDescent="0.35">
      <c r="A25" t="s">
        <v>200</v>
      </c>
      <c r="B25" t="s">
        <v>250</v>
      </c>
      <c r="E25" s="4" t="s">
        <v>251</v>
      </c>
      <c r="F25" s="4">
        <f>+F26-F27</f>
        <v>1625</v>
      </c>
    </row>
    <row r="26" spans="1:6" x14ac:dyDescent="0.35">
      <c r="B26" s="35" t="s">
        <v>94</v>
      </c>
      <c r="C26" s="94">
        <f>+F25/F22</f>
        <v>0.125</v>
      </c>
      <c r="E26" s="4" t="s">
        <v>35</v>
      </c>
      <c r="F26" s="4">
        <v>2500</v>
      </c>
    </row>
    <row r="27" spans="1:6" x14ac:dyDescent="0.35">
      <c r="E27" s="4" t="s">
        <v>249</v>
      </c>
      <c r="F27" s="4">
        <f>+F26*F23</f>
        <v>875</v>
      </c>
    </row>
    <row r="30" spans="1:6" x14ac:dyDescent="0.35">
      <c r="A30" t="s">
        <v>214</v>
      </c>
      <c r="B30" s="4" t="s">
        <v>252</v>
      </c>
      <c r="C30" s="4">
        <f>+F22*0.6</f>
        <v>7800</v>
      </c>
    </row>
    <row r="31" spans="1:6" x14ac:dyDescent="0.35">
      <c r="B31" s="4" t="s">
        <v>253</v>
      </c>
      <c r="C31" s="4">
        <f>+F22*0.4</f>
        <v>5200</v>
      </c>
    </row>
    <row r="32" spans="1:6" x14ac:dyDescent="0.35">
      <c r="B32" s="4" t="s">
        <v>254</v>
      </c>
      <c r="C32" s="82">
        <v>0.16200000000000001</v>
      </c>
    </row>
    <row r="33" spans="2:3" x14ac:dyDescent="0.35">
      <c r="B33" s="4" t="s">
        <v>255</v>
      </c>
      <c r="C33" s="4">
        <f>+C31*C32</f>
        <v>842.4</v>
      </c>
    </row>
    <row r="34" spans="2:3" x14ac:dyDescent="0.35">
      <c r="B34" s="4" t="s">
        <v>35</v>
      </c>
      <c r="C34" s="4">
        <f>+F21-C33</f>
        <v>1657.6</v>
      </c>
    </row>
    <row r="35" spans="2:3" x14ac:dyDescent="0.35">
      <c r="B35" s="4" t="s">
        <v>251</v>
      </c>
      <c r="C35" s="4">
        <f>+C34*(1-F23)</f>
        <v>1077.44</v>
      </c>
    </row>
    <row r="36" spans="2:3" x14ac:dyDescent="0.35">
      <c r="B36" s="35" t="s">
        <v>94</v>
      </c>
      <c r="C36" s="93">
        <f>+C35/C30</f>
        <v>0.13813333333333333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6D68F-2D84-4922-B8F3-9DF639182E4D}">
  <dimension ref="A1:I51"/>
  <sheetViews>
    <sheetView topLeftCell="A14" zoomScale="60" zoomScaleNormal="60" workbookViewId="0">
      <selection activeCell="C47" sqref="C47"/>
    </sheetView>
  </sheetViews>
  <sheetFormatPr baseColWidth="10" defaultRowHeight="14.5" x14ac:dyDescent="0.35"/>
  <cols>
    <col min="2" max="2" width="29.08984375" bestFit="1" customWidth="1"/>
    <col min="3" max="3" width="13.08984375" bestFit="1" customWidth="1"/>
    <col min="6" max="6" width="21.08984375" bestFit="1" customWidth="1"/>
    <col min="8" max="8" width="21.453125" bestFit="1" customWidth="1"/>
  </cols>
  <sheetData>
    <row r="1" spans="1:9" x14ac:dyDescent="0.35">
      <c r="A1" s="1" t="s">
        <v>0</v>
      </c>
      <c r="B1" s="2" t="s">
        <v>1</v>
      </c>
      <c r="C1" s="2"/>
    </row>
    <row r="2" spans="1:9" x14ac:dyDescent="0.35">
      <c r="A2" s="1" t="s">
        <v>2</v>
      </c>
      <c r="B2" s="2" t="s">
        <v>3</v>
      </c>
      <c r="C2" s="2"/>
    </row>
    <row r="3" spans="1:9" x14ac:dyDescent="0.35">
      <c r="A3" s="1" t="s">
        <v>4</v>
      </c>
      <c r="B3" s="3" t="s">
        <v>5</v>
      </c>
      <c r="C3" s="2"/>
    </row>
    <row r="4" spans="1:9" x14ac:dyDescent="0.35">
      <c r="A4" s="2"/>
      <c r="B4" s="1" t="s">
        <v>6</v>
      </c>
      <c r="C4" s="1" t="s">
        <v>7</v>
      </c>
    </row>
    <row r="5" spans="1:9" x14ac:dyDescent="0.35">
      <c r="A5" s="2"/>
      <c r="B5" s="3" t="s">
        <v>8</v>
      </c>
      <c r="C5" s="3">
        <v>1724083</v>
      </c>
    </row>
    <row r="6" spans="1:9" x14ac:dyDescent="0.35">
      <c r="A6" s="2"/>
      <c r="B6" s="3" t="s">
        <v>9</v>
      </c>
      <c r="C6" s="2">
        <v>1726924</v>
      </c>
    </row>
    <row r="7" spans="1:9" x14ac:dyDescent="0.35">
      <c r="A7" s="2"/>
      <c r="B7" s="3" t="s">
        <v>10</v>
      </c>
      <c r="C7" s="3">
        <v>1730680</v>
      </c>
    </row>
    <row r="14" spans="1:9" ht="15" thickBot="1" x14ac:dyDescent="0.4"/>
    <row r="15" spans="1:9" ht="15" thickBot="1" x14ac:dyDescent="0.4">
      <c r="A15" s="95" t="s">
        <v>17</v>
      </c>
      <c r="B15" s="96"/>
      <c r="C15" s="96"/>
      <c r="D15" s="97"/>
      <c r="F15" s="98" t="s">
        <v>18</v>
      </c>
      <c r="G15" s="99"/>
      <c r="H15" s="98" t="s">
        <v>19</v>
      </c>
      <c r="I15" s="99"/>
    </row>
    <row r="16" spans="1:9" x14ac:dyDescent="0.35">
      <c r="A16" s="6" t="s">
        <v>20</v>
      </c>
      <c r="B16" s="7"/>
      <c r="C16" s="7"/>
      <c r="D16" s="8">
        <v>1500</v>
      </c>
      <c r="F16" s="9" t="s">
        <v>58</v>
      </c>
      <c r="G16" s="10">
        <v>100</v>
      </c>
      <c r="H16" s="11" t="s">
        <v>22</v>
      </c>
      <c r="I16" s="12">
        <v>250</v>
      </c>
    </row>
    <row r="17" spans="1:9" x14ac:dyDescent="0.35">
      <c r="A17" s="13" t="s">
        <v>23</v>
      </c>
      <c r="B17" s="14"/>
      <c r="C17" s="14"/>
      <c r="D17" s="15">
        <v>900</v>
      </c>
      <c r="F17" s="9" t="s">
        <v>21</v>
      </c>
      <c r="G17" s="10">
        <v>250</v>
      </c>
      <c r="H17" s="11" t="s">
        <v>24</v>
      </c>
      <c r="I17" s="12">
        <v>220</v>
      </c>
    </row>
    <row r="18" spans="1:9" x14ac:dyDescent="0.35">
      <c r="A18" s="6" t="s">
        <v>25</v>
      </c>
      <c r="B18" s="7"/>
      <c r="C18" s="7"/>
      <c r="D18" s="16">
        <f>D16-D17</f>
        <v>600</v>
      </c>
      <c r="F18" s="9" t="s">
        <v>59</v>
      </c>
      <c r="G18" s="10">
        <v>440</v>
      </c>
      <c r="H18" s="44" t="s">
        <v>27</v>
      </c>
      <c r="I18" s="45">
        <f>SUM(I16:I17)</f>
        <v>470</v>
      </c>
    </row>
    <row r="19" spans="1:9" ht="15" thickBot="1" x14ac:dyDescent="0.4">
      <c r="A19" s="17" t="s">
        <v>28</v>
      </c>
      <c r="D19" s="18">
        <v>90</v>
      </c>
      <c r="F19" s="43" t="s">
        <v>26</v>
      </c>
      <c r="G19" s="35">
        <f>SUM(G16:G18)</f>
        <v>790</v>
      </c>
      <c r="H19" s="102" t="s">
        <v>30</v>
      </c>
      <c r="I19" s="101"/>
    </row>
    <row r="20" spans="1:9" ht="15" thickBot="1" x14ac:dyDescent="0.4">
      <c r="A20" s="13" t="s">
        <v>31</v>
      </c>
      <c r="B20" s="14"/>
      <c r="C20" s="14"/>
      <c r="D20" s="15">
        <v>10</v>
      </c>
      <c r="F20" s="100" t="s">
        <v>29</v>
      </c>
      <c r="G20" s="101"/>
      <c r="H20" s="21" t="s">
        <v>33</v>
      </c>
      <c r="I20" s="22" t="s">
        <v>34</v>
      </c>
    </row>
    <row r="21" spans="1:9" x14ac:dyDescent="0.35">
      <c r="A21" s="6" t="s">
        <v>35</v>
      </c>
      <c r="B21" s="7"/>
      <c r="C21" s="7"/>
      <c r="D21" s="16">
        <f>D18-D19-D20</f>
        <v>500</v>
      </c>
      <c r="F21" s="19" t="s">
        <v>32</v>
      </c>
      <c r="G21" s="20">
        <v>50</v>
      </c>
      <c r="H21" s="24" t="s">
        <v>37</v>
      </c>
      <c r="I21" s="22" t="s">
        <v>34</v>
      </c>
    </row>
    <row r="22" spans="1:9" x14ac:dyDescent="0.35">
      <c r="A22" s="13" t="s">
        <v>38</v>
      </c>
      <c r="B22" s="14"/>
      <c r="C22" s="14"/>
      <c r="D22" s="15">
        <v>50</v>
      </c>
      <c r="F22" s="19" t="s">
        <v>36</v>
      </c>
      <c r="G22" s="23">
        <v>40</v>
      </c>
      <c r="H22" s="24" t="s">
        <v>40</v>
      </c>
      <c r="I22" s="25" t="s">
        <v>34</v>
      </c>
    </row>
    <row r="23" spans="1:9" ht="15" thickBot="1" x14ac:dyDescent="0.4">
      <c r="A23" s="6" t="s">
        <v>41</v>
      </c>
      <c r="B23" s="7"/>
      <c r="C23" s="7"/>
      <c r="D23" s="16">
        <f>D21-D22</f>
        <v>450</v>
      </c>
      <c r="F23" s="19" t="s">
        <v>39</v>
      </c>
      <c r="G23" s="23">
        <v>70</v>
      </c>
      <c r="H23" s="26" t="s">
        <v>43</v>
      </c>
      <c r="I23" s="27">
        <f>SUM(I20:I22)</f>
        <v>0</v>
      </c>
    </row>
    <row r="24" spans="1:9" ht="15" thickBot="1" x14ac:dyDescent="0.4">
      <c r="A24" s="13" t="s">
        <v>44</v>
      </c>
      <c r="B24" s="14"/>
      <c r="C24" s="14"/>
      <c r="D24" s="15">
        <f>D23*0.35</f>
        <v>157.5</v>
      </c>
      <c r="F24" s="19" t="s">
        <v>42</v>
      </c>
      <c r="G24" s="23">
        <v>210</v>
      </c>
      <c r="H24" s="98" t="s">
        <v>46</v>
      </c>
      <c r="I24" s="99"/>
    </row>
    <row r="25" spans="1:9" ht="15" thickBot="1" x14ac:dyDescent="0.4">
      <c r="A25" s="28" t="s">
        <v>47</v>
      </c>
      <c r="B25" s="29"/>
      <c r="C25" s="29"/>
      <c r="D25" s="30">
        <f>D23-D24</f>
        <v>292.5</v>
      </c>
      <c r="F25" s="19" t="s">
        <v>45</v>
      </c>
      <c r="G25" s="20">
        <v>80</v>
      </c>
      <c r="H25" s="31" t="s">
        <v>49</v>
      </c>
      <c r="I25" s="32">
        <v>600</v>
      </c>
    </row>
    <row r="26" spans="1:9" x14ac:dyDescent="0.35">
      <c r="F26" s="19" t="s">
        <v>48</v>
      </c>
      <c r="G26" s="23">
        <v>250</v>
      </c>
      <c r="H26" s="31" t="s">
        <v>50</v>
      </c>
      <c r="I26" s="32">
        <v>77.5</v>
      </c>
    </row>
    <row r="27" spans="1:9" x14ac:dyDescent="0.35">
      <c r="A27" s="7" t="s">
        <v>51</v>
      </c>
      <c r="B27" s="34">
        <v>0.21</v>
      </c>
      <c r="F27" s="19" t="s">
        <v>60</v>
      </c>
      <c r="G27" s="33">
        <v>-50</v>
      </c>
      <c r="H27" s="31" t="s">
        <v>53</v>
      </c>
      <c r="I27" s="32">
        <v>292.5</v>
      </c>
    </row>
    <row r="28" spans="1:9" x14ac:dyDescent="0.35">
      <c r="F28" s="40" t="s">
        <v>52</v>
      </c>
      <c r="G28" s="41" t="s">
        <v>34</v>
      </c>
      <c r="H28" s="46" t="s">
        <v>55</v>
      </c>
      <c r="I28" s="47">
        <f>SUM(I25:I27)</f>
        <v>970</v>
      </c>
    </row>
    <row r="29" spans="1:9" ht="16" thickBot="1" x14ac:dyDescent="0.4">
      <c r="F29" s="48" t="s">
        <v>54</v>
      </c>
      <c r="G29" s="49">
        <f>SUM(G21:G28)</f>
        <v>650</v>
      </c>
      <c r="H29" s="42" t="s">
        <v>57</v>
      </c>
      <c r="I29" s="39">
        <f>SUM(I28,I18,I23)</f>
        <v>1440</v>
      </c>
    </row>
    <row r="30" spans="1:9" ht="16" thickBot="1" x14ac:dyDescent="0.4">
      <c r="F30" s="38" t="s">
        <v>56</v>
      </c>
      <c r="G30" s="39">
        <f>SUM(G19,G29)</f>
        <v>1440</v>
      </c>
    </row>
    <row r="33" spans="1:5" x14ac:dyDescent="0.35">
      <c r="A33" s="37" t="s">
        <v>63</v>
      </c>
      <c r="B33" s="37" t="s">
        <v>75</v>
      </c>
      <c r="C33" s="5">
        <f>+G19/I18</f>
        <v>1.6808510638297873</v>
      </c>
      <c r="E33" t="s">
        <v>97</v>
      </c>
    </row>
    <row r="34" spans="1:5" x14ac:dyDescent="0.35">
      <c r="A34" s="37" t="s">
        <v>62</v>
      </c>
      <c r="B34" s="37" t="s">
        <v>76</v>
      </c>
      <c r="C34" s="5">
        <f>+(G19-G18)/I18</f>
        <v>0.74468085106382975</v>
      </c>
      <c r="E34" t="s">
        <v>98</v>
      </c>
    </row>
    <row r="35" spans="1:5" x14ac:dyDescent="0.35">
      <c r="A35" s="37" t="s">
        <v>64</v>
      </c>
      <c r="B35" s="37" t="s">
        <v>77</v>
      </c>
      <c r="C35" s="5">
        <f>+G16/I18</f>
        <v>0.21276595744680851</v>
      </c>
      <c r="E35" t="s">
        <v>99</v>
      </c>
    </row>
    <row r="36" spans="1:5" x14ac:dyDescent="0.35">
      <c r="A36" s="37" t="s">
        <v>16</v>
      </c>
      <c r="B36" s="37" t="s">
        <v>78</v>
      </c>
      <c r="C36" s="5">
        <f>+(I18+I23)/I28</f>
        <v>0.4845360824742268</v>
      </c>
      <c r="E36" t="s">
        <v>100</v>
      </c>
    </row>
    <row r="37" spans="1:5" x14ac:dyDescent="0.35">
      <c r="A37" s="37" t="s">
        <v>15</v>
      </c>
      <c r="B37" s="37" t="s">
        <v>79</v>
      </c>
      <c r="C37" s="5">
        <f>+G30/I28</f>
        <v>1.4845360824742269</v>
      </c>
      <c r="E37" t="s">
        <v>101</v>
      </c>
    </row>
    <row r="38" spans="1:5" x14ac:dyDescent="0.35">
      <c r="A38" s="37" t="s">
        <v>65</v>
      </c>
      <c r="B38" s="37" t="s">
        <v>80</v>
      </c>
      <c r="C38" s="5">
        <f>+I28/G29</f>
        <v>1.4923076923076923</v>
      </c>
      <c r="E38" t="s">
        <v>102</v>
      </c>
    </row>
    <row r="39" spans="1:5" x14ac:dyDescent="0.35">
      <c r="A39" s="37" t="s">
        <v>66</v>
      </c>
      <c r="B39" s="37" t="s">
        <v>81</v>
      </c>
      <c r="C39" s="50">
        <f>+G29/G30</f>
        <v>0.4513888888888889</v>
      </c>
      <c r="E39" t="s">
        <v>103</v>
      </c>
    </row>
    <row r="40" spans="1:5" x14ac:dyDescent="0.35">
      <c r="A40" s="37" t="s">
        <v>67</v>
      </c>
      <c r="B40" s="37" t="s">
        <v>82</v>
      </c>
      <c r="C40" s="5">
        <f>+G18/D17*365</f>
        <v>178.44444444444443</v>
      </c>
      <c r="D40" t="s">
        <v>109</v>
      </c>
      <c r="E40" t="s">
        <v>104</v>
      </c>
    </row>
    <row r="41" spans="1:5" x14ac:dyDescent="0.35">
      <c r="A41" s="37" t="s">
        <v>68</v>
      </c>
      <c r="B41" s="37" t="s">
        <v>83</v>
      </c>
      <c r="C41" s="5">
        <f>+G17/(D16*1.21)*365</f>
        <v>50.275482093663911</v>
      </c>
      <c r="D41" t="s">
        <v>109</v>
      </c>
      <c r="E41" t="s">
        <v>105</v>
      </c>
    </row>
    <row r="42" spans="1:5" x14ac:dyDescent="0.35">
      <c r="A42" s="37" t="s">
        <v>69</v>
      </c>
      <c r="B42" s="37" t="s">
        <v>84</v>
      </c>
      <c r="C42" s="5">
        <f>+I16/(D17*1.21)*365</f>
        <v>83.792470156106518</v>
      </c>
      <c r="D42" t="s">
        <v>109</v>
      </c>
      <c r="E42" t="s">
        <v>106</v>
      </c>
    </row>
    <row r="43" spans="1:5" x14ac:dyDescent="0.35">
      <c r="A43" s="37" t="s">
        <v>70</v>
      </c>
      <c r="B43" s="37" t="s">
        <v>85</v>
      </c>
      <c r="C43" s="5">
        <f>+D17/G18</f>
        <v>2.0454545454545454</v>
      </c>
      <c r="D43" t="s">
        <v>108</v>
      </c>
      <c r="E43" t="s">
        <v>107</v>
      </c>
    </row>
    <row r="44" spans="1:5" x14ac:dyDescent="0.35">
      <c r="A44" s="37" t="s">
        <v>71</v>
      </c>
      <c r="B44" s="37" t="s">
        <v>86</v>
      </c>
      <c r="C44" s="5">
        <f>+D16/G29</f>
        <v>2.3076923076923075</v>
      </c>
      <c r="D44" t="s">
        <v>108</v>
      </c>
      <c r="E44" t="s">
        <v>110</v>
      </c>
    </row>
    <row r="45" spans="1:5" x14ac:dyDescent="0.35">
      <c r="A45" s="37" t="s">
        <v>72</v>
      </c>
      <c r="B45" s="37" t="s">
        <v>212</v>
      </c>
      <c r="C45" s="5">
        <f>+D16/G30</f>
        <v>1.0416666666666667</v>
      </c>
      <c r="D45" t="s">
        <v>108</v>
      </c>
      <c r="E45" t="s">
        <v>111</v>
      </c>
    </row>
    <row r="46" spans="1:5" x14ac:dyDescent="0.35">
      <c r="A46" s="37" t="s">
        <v>73</v>
      </c>
      <c r="B46" s="37" t="s">
        <v>87</v>
      </c>
      <c r="C46" s="50">
        <f>+D21/D16</f>
        <v>0.33333333333333331</v>
      </c>
      <c r="E46" t="s">
        <v>112</v>
      </c>
    </row>
    <row r="47" spans="1:5" x14ac:dyDescent="0.35">
      <c r="A47" s="37" t="s">
        <v>88</v>
      </c>
      <c r="B47" s="37" t="s">
        <v>92</v>
      </c>
      <c r="C47" s="50">
        <f>+D25/G30</f>
        <v>0.203125</v>
      </c>
      <c r="E47" t="s">
        <v>113</v>
      </c>
    </row>
    <row r="48" spans="1:5" x14ac:dyDescent="0.35">
      <c r="A48" s="37" t="s">
        <v>89</v>
      </c>
      <c r="B48" s="37" t="s">
        <v>93</v>
      </c>
      <c r="C48" s="50">
        <f>+D21/G30</f>
        <v>0.34722222222222221</v>
      </c>
      <c r="E48" t="s">
        <v>114</v>
      </c>
    </row>
    <row r="49" spans="1:5" x14ac:dyDescent="0.35">
      <c r="A49" s="37" t="s">
        <v>90</v>
      </c>
      <c r="B49" s="37" t="s">
        <v>94</v>
      </c>
      <c r="C49" s="50">
        <f>+D25/I28</f>
        <v>0.3015463917525773</v>
      </c>
      <c r="E49" t="s">
        <v>115</v>
      </c>
    </row>
    <row r="50" spans="1:5" x14ac:dyDescent="0.35">
      <c r="A50" s="37" t="s">
        <v>91</v>
      </c>
      <c r="B50" s="37" t="s">
        <v>95</v>
      </c>
      <c r="C50" s="5">
        <f>+G19-I18</f>
        <v>320</v>
      </c>
      <c r="E50" t="s">
        <v>117</v>
      </c>
    </row>
    <row r="51" spans="1:5" x14ac:dyDescent="0.35">
      <c r="A51" s="37" t="s">
        <v>74</v>
      </c>
      <c r="B51" s="37" t="s">
        <v>96</v>
      </c>
      <c r="C51" s="5">
        <f>+(D21+D20)/D22</f>
        <v>10.199999999999999</v>
      </c>
      <c r="D51" t="s">
        <v>108</v>
      </c>
      <c r="E51" t="s">
        <v>116</v>
      </c>
    </row>
  </sheetData>
  <mergeCells count="6">
    <mergeCell ref="H24:I24"/>
    <mergeCell ref="A15:D15"/>
    <mergeCell ref="F15:G15"/>
    <mergeCell ref="H15:I15"/>
    <mergeCell ref="F20:G20"/>
    <mergeCell ref="H19:I19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19BC5-7DC6-43D7-AF60-40AB6D9F6076}">
  <dimension ref="A1:K56"/>
  <sheetViews>
    <sheetView topLeftCell="A22" zoomScale="60" zoomScaleNormal="60" workbookViewId="0">
      <selection activeCell="F42" sqref="F42"/>
    </sheetView>
  </sheetViews>
  <sheetFormatPr baseColWidth="10" defaultRowHeight="14.5" x14ac:dyDescent="0.35"/>
  <cols>
    <col min="2" max="2" width="30.90625" bestFit="1" customWidth="1"/>
    <col min="7" max="7" width="19.54296875" customWidth="1"/>
    <col min="8" max="8" width="24.26953125" bestFit="1" customWidth="1"/>
  </cols>
  <sheetData>
    <row r="1" spans="1:3" x14ac:dyDescent="0.35">
      <c r="A1" s="1" t="s">
        <v>0</v>
      </c>
      <c r="B1" s="2" t="s">
        <v>1</v>
      </c>
      <c r="C1" s="2"/>
    </row>
    <row r="2" spans="1:3" x14ac:dyDescent="0.35">
      <c r="A2" s="1" t="s">
        <v>2</v>
      </c>
      <c r="B2" s="2" t="s">
        <v>3</v>
      </c>
      <c r="C2" s="2"/>
    </row>
    <row r="3" spans="1:3" x14ac:dyDescent="0.35">
      <c r="A3" s="1" t="s">
        <v>4</v>
      </c>
      <c r="B3" s="3" t="s">
        <v>5</v>
      </c>
      <c r="C3" s="2"/>
    </row>
    <row r="4" spans="1:3" x14ac:dyDescent="0.35">
      <c r="A4" s="2"/>
      <c r="B4" s="1" t="s">
        <v>6</v>
      </c>
      <c r="C4" s="1" t="s">
        <v>7</v>
      </c>
    </row>
    <row r="5" spans="1:3" x14ac:dyDescent="0.35">
      <c r="A5" s="2"/>
      <c r="B5" s="3" t="s">
        <v>8</v>
      </c>
      <c r="C5" s="3">
        <v>1724083</v>
      </c>
    </row>
    <row r="6" spans="1:3" x14ac:dyDescent="0.35">
      <c r="A6" s="2"/>
      <c r="B6" s="3" t="s">
        <v>9</v>
      </c>
      <c r="C6" s="2">
        <v>1726924</v>
      </c>
    </row>
    <row r="7" spans="1:3" x14ac:dyDescent="0.35">
      <c r="A7" s="2"/>
      <c r="B7" s="3" t="s">
        <v>10</v>
      </c>
      <c r="C7" s="3">
        <v>1730680</v>
      </c>
    </row>
    <row r="17" spans="1:11" x14ac:dyDescent="0.35">
      <c r="A17" s="7" t="s">
        <v>118</v>
      </c>
      <c r="C17" s="51"/>
    </row>
    <row r="18" spans="1:11" x14ac:dyDescent="0.35">
      <c r="A18" s="7"/>
      <c r="C18" s="60">
        <v>2017</v>
      </c>
      <c r="D18" s="36">
        <v>2018</v>
      </c>
      <c r="E18" s="36">
        <v>2019</v>
      </c>
      <c r="F18" s="103"/>
    </row>
    <row r="19" spans="1:11" x14ac:dyDescent="0.35">
      <c r="A19" s="52" t="s">
        <v>119</v>
      </c>
      <c r="B19" s="55"/>
      <c r="C19" s="4">
        <v>3890</v>
      </c>
      <c r="D19" s="4">
        <v>3659</v>
      </c>
      <c r="E19" s="4">
        <v>3893</v>
      </c>
      <c r="F19" s="84"/>
      <c r="H19" s="52" t="s">
        <v>132</v>
      </c>
      <c r="I19" s="60">
        <v>2017</v>
      </c>
      <c r="J19" s="36">
        <v>2018</v>
      </c>
      <c r="K19" s="36">
        <v>2019</v>
      </c>
    </row>
    <row r="20" spans="1:11" x14ac:dyDescent="0.35">
      <c r="A20" s="4" t="s">
        <v>34</v>
      </c>
      <c r="B20" s="55" t="s">
        <v>120</v>
      </c>
      <c r="C20" s="4">
        <v>1521</v>
      </c>
      <c r="D20" s="4">
        <v>1538</v>
      </c>
      <c r="E20" s="4">
        <v>1586</v>
      </c>
      <c r="F20" s="84"/>
      <c r="H20" s="4" t="s">
        <v>133</v>
      </c>
      <c r="I20" s="4">
        <v>24</v>
      </c>
      <c r="J20" s="4">
        <v>17</v>
      </c>
      <c r="K20" s="4">
        <v>12</v>
      </c>
    </row>
    <row r="21" spans="1:11" x14ac:dyDescent="0.35">
      <c r="A21" s="106" t="s">
        <v>121</v>
      </c>
      <c r="B21" s="107"/>
      <c r="C21" s="106">
        <f>+C19-C20</f>
        <v>2369</v>
      </c>
      <c r="D21" s="106">
        <f t="shared" ref="D21:E21" si="0">+D19-D20</f>
        <v>2121</v>
      </c>
      <c r="E21" s="106">
        <f t="shared" si="0"/>
        <v>2307</v>
      </c>
      <c r="F21" s="58"/>
      <c r="H21" s="4" t="s">
        <v>134</v>
      </c>
      <c r="I21" s="4">
        <v>298</v>
      </c>
      <c r="J21" s="4">
        <v>655</v>
      </c>
      <c r="K21" s="4">
        <v>286</v>
      </c>
    </row>
    <row r="22" spans="1:11" x14ac:dyDescent="0.35">
      <c r="A22" s="4" t="s">
        <v>34</v>
      </c>
      <c r="B22" s="55" t="s">
        <v>122</v>
      </c>
      <c r="C22" s="4">
        <v>255</v>
      </c>
      <c r="D22" s="4">
        <v>238</v>
      </c>
      <c r="E22" s="4">
        <v>208</v>
      </c>
      <c r="F22" s="84"/>
      <c r="H22" s="4" t="s">
        <v>135</v>
      </c>
      <c r="I22" s="4">
        <v>371</v>
      </c>
      <c r="J22" s="4">
        <v>471</v>
      </c>
      <c r="K22" s="4">
        <v>671</v>
      </c>
    </row>
    <row r="23" spans="1:11" x14ac:dyDescent="0.35">
      <c r="A23" s="4" t="s">
        <v>34</v>
      </c>
      <c r="B23" s="55" t="s">
        <v>123</v>
      </c>
      <c r="C23" s="4">
        <v>889</v>
      </c>
      <c r="D23" s="4">
        <v>661</v>
      </c>
      <c r="E23" s="4">
        <v>562</v>
      </c>
      <c r="F23" s="84"/>
      <c r="H23" s="4" t="s">
        <v>136</v>
      </c>
      <c r="I23" s="4">
        <v>33</v>
      </c>
      <c r="J23" s="4">
        <v>25</v>
      </c>
      <c r="K23" s="4">
        <v>89</v>
      </c>
    </row>
    <row r="24" spans="1:11" x14ac:dyDescent="0.35">
      <c r="A24" s="4" t="s">
        <v>34</v>
      </c>
      <c r="B24" s="55" t="s">
        <v>154</v>
      </c>
      <c r="C24" s="4">
        <v>779</v>
      </c>
      <c r="D24" s="4">
        <v>692</v>
      </c>
      <c r="E24" s="4">
        <v>683</v>
      </c>
      <c r="F24" s="84"/>
      <c r="H24" s="4" t="s">
        <v>137</v>
      </c>
      <c r="I24" s="4">
        <v>123</v>
      </c>
      <c r="J24" s="4">
        <v>70</v>
      </c>
      <c r="K24" s="4">
        <v>99</v>
      </c>
    </row>
    <row r="25" spans="1:11" x14ac:dyDescent="0.35">
      <c r="A25" s="106" t="s">
        <v>124</v>
      </c>
      <c r="B25" s="107"/>
      <c r="C25" s="106">
        <f>+C21-SUM(C22:C24)</f>
        <v>446</v>
      </c>
      <c r="D25" s="106">
        <f t="shared" ref="D25:E25" si="1">+D21-SUM(D22:D24)</f>
        <v>530</v>
      </c>
      <c r="E25" s="106">
        <f t="shared" si="1"/>
        <v>854</v>
      </c>
      <c r="F25" s="58"/>
      <c r="H25" s="106" t="s">
        <v>138</v>
      </c>
      <c r="I25" s="106">
        <f>+SUM(I20:I24)</f>
        <v>849</v>
      </c>
      <c r="J25" s="106">
        <f t="shared" ref="J25:K25" si="2">+SUM(J20:J24)</f>
        <v>1238</v>
      </c>
      <c r="K25" s="106">
        <f t="shared" si="2"/>
        <v>1157</v>
      </c>
    </row>
    <row r="26" spans="1:11" x14ac:dyDescent="0.35">
      <c r="A26" s="4" t="s">
        <v>34</v>
      </c>
      <c r="B26" s="55" t="s">
        <v>125</v>
      </c>
      <c r="C26" s="4">
        <v>274</v>
      </c>
      <c r="D26" s="4">
        <v>161</v>
      </c>
      <c r="E26" s="4">
        <v>337</v>
      </c>
      <c r="F26" s="84"/>
      <c r="H26" s="4" t="s">
        <v>139</v>
      </c>
      <c r="I26" s="4">
        <v>4025</v>
      </c>
      <c r="J26" s="4">
        <v>5241</v>
      </c>
      <c r="K26" s="4">
        <v>5564</v>
      </c>
    </row>
    <row r="27" spans="1:11" x14ac:dyDescent="0.35">
      <c r="A27" s="106" t="s">
        <v>127</v>
      </c>
      <c r="B27" s="107"/>
      <c r="C27" s="106">
        <f>+C25-C26</f>
        <v>172</v>
      </c>
      <c r="D27" s="106">
        <f t="shared" ref="D27:E27" si="3">+D25-D26</f>
        <v>369</v>
      </c>
      <c r="E27" s="106">
        <f t="shared" si="3"/>
        <v>517</v>
      </c>
      <c r="F27" s="58"/>
      <c r="H27" s="4" t="s">
        <v>140</v>
      </c>
      <c r="I27" s="4">
        <v>23</v>
      </c>
      <c r="J27" s="4">
        <v>67</v>
      </c>
      <c r="K27" s="4">
        <v>0</v>
      </c>
    </row>
    <row r="28" spans="1:11" x14ac:dyDescent="0.35">
      <c r="A28" s="4" t="s">
        <v>34</v>
      </c>
      <c r="B28" s="55" t="s">
        <v>128</v>
      </c>
      <c r="C28" s="4">
        <v>110</v>
      </c>
      <c r="D28" s="57">
        <v>147</v>
      </c>
      <c r="E28" s="57">
        <v>208</v>
      </c>
      <c r="F28" s="104"/>
      <c r="H28" s="4" t="s">
        <v>141</v>
      </c>
      <c r="I28" s="4">
        <v>37</v>
      </c>
      <c r="J28" s="4">
        <v>29</v>
      </c>
      <c r="K28" s="4">
        <v>45</v>
      </c>
    </row>
    <row r="29" spans="1:11" x14ac:dyDescent="0.35">
      <c r="A29" s="106" t="s">
        <v>129</v>
      </c>
      <c r="B29" s="107"/>
      <c r="C29" s="106">
        <f>+C27-C28</f>
        <v>62</v>
      </c>
      <c r="D29" s="106">
        <f t="shared" ref="D29:E29" si="4">+D27-D28</f>
        <v>222</v>
      </c>
      <c r="E29" s="106">
        <f t="shared" si="4"/>
        <v>309</v>
      </c>
      <c r="F29" s="58"/>
      <c r="H29" s="106" t="s">
        <v>142</v>
      </c>
      <c r="I29" s="106">
        <f>+SUM(I26:I28)</f>
        <v>4085</v>
      </c>
      <c r="J29" s="106">
        <f t="shared" ref="J29:K29" si="5">+SUM(J26:J28)</f>
        <v>5337</v>
      </c>
      <c r="K29" s="106">
        <f t="shared" si="5"/>
        <v>5609</v>
      </c>
    </row>
    <row r="30" spans="1:11" x14ac:dyDescent="0.35">
      <c r="B30" s="54"/>
      <c r="H30" s="106" t="s">
        <v>143</v>
      </c>
      <c r="I30" s="106">
        <f>+I25+I29</f>
        <v>4934</v>
      </c>
      <c r="J30" s="106">
        <f t="shared" ref="J30:K30" si="6">+J25+J29</f>
        <v>6575</v>
      </c>
      <c r="K30" s="106">
        <f t="shared" si="6"/>
        <v>6766</v>
      </c>
    </row>
    <row r="31" spans="1:11" x14ac:dyDescent="0.35">
      <c r="A31" s="106" t="s">
        <v>124</v>
      </c>
      <c r="B31" s="108"/>
      <c r="C31" s="106">
        <f>+C25</f>
        <v>446</v>
      </c>
      <c r="D31" s="106">
        <f t="shared" ref="D31:E31" si="7">+D25</f>
        <v>530</v>
      </c>
      <c r="E31" s="106">
        <f t="shared" si="7"/>
        <v>854</v>
      </c>
      <c r="F31" s="58"/>
      <c r="H31" s="4" t="s">
        <v>144</v>
      </c>
      <c r="I31" s="4">
        <v>878</v>
      </c>
      <c r="J31" s="4">
        <v>664</v>
      </c>
      <c r="K31" s="4">
        <v>502</v>
      </c>
    </row>
    <row r="32" spans="1:11" x14ac:dyDescent="0.35">
      <c r="A32" s="4" t="s">
        <v>126</v>
      </c>
      <c r="B32" s="53" t="s">
        <v>130</v>
      </c>
      <c r="C32" s="4">
        <v>779</v>
      </c>
      <c r="D32" s="4">
        <v>692</v>
      </c>
      <c r="E32" s="4">
        <v>683</v>
      </c>
      <c r="F32" s="84"/>
      <c r="H32" s="4" t="s">
        <v>146</v>
      </c>
      <c r="I32" s="4">
        <v>117</v>
      </c>
      <c r="J32" s="4">
        <v>165</v>
      </c>
      <c r="K32" s="4">
        <v>250</v>
      </c>
    </row>
    <row r="33" spans="1:11" x14ac:dyDescent="0.35">
      <c r="A33" s="106" t="s">
        <v>131</v>
      </c>
      <c r="B33" s="108"/>
      <c r="C33" s="106">
        <f>+C31+C32</f>
        <v>1225</v>
      </c>
      <c r="D33" s="106">
        <f t="shared" ref="D33:E33" si="8">+D31+D32</f>
        <v>1222</v>
      </c>
      <c r="E33" s="106">
        <f t="shared" si="8"/>
        <v>1537</v>
      </c>
      <c r="F33" s="58"/>
      <c r="H33" s="4" t="s">
        <v>155</v>
      </c>
      <c r="I33" s="4">
        <v>616</v>
      </c>
      <c r="J33" s="4">
        <v>338</v>
      </c>
      <c r="K33" s="4">
        <v>929</v>
      </c>
    </row>
    <row r="34" spans="1:11" x14ac:dyDescent="0.35">
      <c r="A34" s="58"/>
      <c r="B34" s="59"/>
      <c r="H34" s="4" t="s">
        <v>145</v>
      </c>
      <c r="I34" s="4">
        <v>127</v>
      </c>
      <c r="J34" s="4">
        <v>49</v>
      </c>
      <c r="K34" s="4">
        <v>56</v>
      </c>
    </row>
    <row r="35" spans="1:11" x14ac:dyDescent="0.35">
      <c r="A35" s="58"/>
      <c r="B35" s="59"/>
      <c r="H35" s="106" t="s">
        <v>147</v>
      </c>
      <c r="I35" s="106">
        <f>+SUM(I31:I34)</f>
        <v>1738</v>
      </c>
      <c r="J35" s="106">
        <f t="shared" ref="J35:K35" si="9">+SUM(J31:J34)</f>
        <v>1216</v>
      </c>
      <c r="K35" s="106">
        <f t="shared" si="9"/>
        <v>1737</v>
      </c>
    </row>
    <row r="36" spans="1:11" x14ac:dyDescent="0.35">
      <c r="A36" s="58"/>
      <c r="B36" s="59"/>
      <c r="C36" s="60">
        <v>2017</v>
      </c>
      <c r="D36" s="36">
        <v>2018</v>
      </c>
      <c r="E36" s="36">
        <v>2019</v>
      </c>
      <c r="F36" s="105"/>
      <c r="H36" s="4" t="s">
        <v>148</v>
      </c>
      <c r="I36" s="4">
        <v>1462</v>
      </c>
      <c r="J36" s="4">
        <v>1899</v>
      </c>
      <c r="K36" s="4">
        <v>1589</v>
      </c>
    </row>
    <row r="37" spans="1:11" x14ac:dyDescent="0.35">
      <c r="A37" s="37" t="s">
        <v>63</v>
      </c>
      <c r="B37" s="37" t="s">
        <v>75</v>
      </c>
      <c r="C37" s="110">
        <f>+I25/I35</f>
        <v>0.48849252013808975</v>
      </c>
      <c r="D37" s="110">
        <f t="shared" ref="D37:E37" si="10">+J25/J35</f>
        <v>1.018092105263158</v>
      </c>
      <c r="E37" s="110">
        <f t="shared" si="10"/>
        <v>0.66609096142774904</v>
      </c>
      <c r="G37" s="84" t="s">
        <v>97</v>
      </c>
      <c r="H37" s="4" t="s">
        <v>149</v>
      </c>
      <c r="I37" s="4">
        <v>434</v>
      </c>
      <c r="J37" s="4">
        <v>1620</v>
      </c>
      <c r="K37" s="4">
        <v>202</v>
      </c>
    </row>
    <row r="38" spans="1:11" x14ac:dyDescent="0.35">
      <c r="A38" s="37" t="s">
        <v>62</v>
      </c>
      <c r="B38" s="37" t="s">
        <v>76</v>
      </c>
      <c r="C38" s="110">
        <f>+(I25-I23)/I35</f>
        <v>0.46950517836593786</v>
      </c>
      <c r="D38" s="110">
        <f t="shared" ref="D38:E38" si="11">+(J25-J23)/J35</f>
        <v>0.99753289473684215</v>
      </c>
      <c r="E38" s="110">
        <f t="shared" si="11"/>
        <v>0.61485319516407599</v>
      </c>
      <c r="G38" s="84" t="s">
        <v>257</v>
      </c>
      <c r="H38" s="106" t="s">
        <v>150</v>
      </c>
      <c r="I38" s="106">
        <f>+SUM(I36:I37)</f>
        <v>1896</v>
      </c>
      <c r="J38" s="106">
        <f>+SUM(J36:J37)</f>
        <v>3519</v>
      </c>
      <c r="K38" s="106">
        <f>+SUM(K36:K37)</f>
        <v>1791</v>
      </c>
    </row>
    <row r="39" spans="1:11" x14ac:dyDescent="0.35">
      <c r="A39" s="37" t="s">
        <v>64</v>
      </c>
      <c r="B39" s="37" t="s">
        <v>77</v>
      </c>
      <c r="C39" s="110">
        <f>+I20/I35</f>
        <v>1.3808975834292289E-2</v>
      </c>
      <c r="D39" s="110">
        <f t="shared" ref="D39:E39" si="12">+J20/J35</f>
        <v>1.3980263157894737E-2</v>
      </c>
      <c r="E39" s="110">
        <f t="shared" si="12"/>
        <v>6.9084628670120895E-3</v>
      </c>
      <c r="G39" s="84" t="s">
        <v>258</v>
      </c>
      <c r="H39" s="106" t="s">
        <v>151</v>
      </c>
      <c r="I39" s="106">
        <f>+I38+I35</f>
        <v>3634</v>
      </c>
      <c r="J39" s="106">
        <f>+J38+J35</f>
        <v>4735</v>
      </c>
      <c r="K39" s="106">
        <f>+K38+K35</f>
        <v>3528</v>
      </c>
    </row>
    <row r="40" spans="1:11" x14ac:dyDescent="0.35">
      <c r="A40" s="37" t="s">
        <v>16</v>
      </c>
      <c r="B40" s="37" t="s">
        <v>78</v>
      </c>
      <c r="C40" s="110">
        <f>+I35/I41</f>
        <v>1.3369230769230769</v>
      </c>
      <c r="D40" s="110">
        <f t="shared" ref="D40:E40" si="13">+J35/J41</f>
        <v>0.66086956521739126</v>
      </c>
      <c r="E40" s="110">
        <f t="shared" si="13"/>
        <v>0.53644224830142062</v>
      </c>
      <c r="G40" s="104" t="s">
        <v>100</v>
      </c>
    </row>
    <row r="41" spans="1:11" x14ac:dyDescent="0.35">
      <c r="A41" s="37" t="s">
        <v>15</v>
      </c>
      <c r="B41" s="37" t="s">
        <v>79</v>
      </c>
      <c r="C41" s="110">
        <f>+I30/I41</f>
        <v>3.7953846153846156</v>
      </c>
      <c r="D41" s="110">
        <f t="shared" ref="D41:E41" si="14">+J30/J41</f>
        <v>3.5733695652173911</v>
      </c>
      <c r="E41" s="110">
        <f t="shared" si="14"/>
        <v>2.089561457689932</v>
      </c>
      <c r="G41" s="104" t="s">
        <v>101</v>
      </c>
      <c r="H41" s="52" t="s">
        <v>152</v>
      </c>
      <c r="I41" s="4">
        <v>1300</v>
      </c>
      <c r="J41" s="4">
        <v>1840</v>
      </c>
      <c r="K41" s="4">
        <v>3238</v>
      </c>
    </row>
    <row r="42" spans="1:11" x14ac:dyDescent="0.35">
      <c r="A42" s="37" t="s">
        <v>65</v>
      </c>
      <c r="B42" s="37" t="s">
        <v>157</v>
      </c>
      <c r="C42" s="110">
        <f>+I41/I30</f>
        <v>0.26347790839075802</v>
      </c>
      <c r="D42" s="110">
        <f t="shared" ref="D42:E42" si="15">+J41/J30</f>
        <v>0.27984790874524718</v>
      </c>
      <c r="E42" s="110">
        <f t="shared" si="15"/>
        <v>0.47856931717410583</v>
      </c>
      <c r="G42" s="104" t="s">
        <v>259</v>
      </c>
      <c r="H42" s="52" t="s">
        <v>153</v>
      </c>
      <c r="I42" s="4">
        <f>+I41+I39</f>
        <v>4934</v>
      </c>
      <c r="J42" s="4">
        <f t="shared" ref="J42:K42" si="16">+J41+J39</f>
        <v>6575</v>
      </c>
      <c r="K42" s="4">
        <f t="shared" si="16"/>
        <v>6766</v>
      </c>
    </row>
    <row r="43" spans="1:11" x14ac:dyDescent="0.35">
      <c r="A43" s="37" t="s">
        <v>66</v>
      </c>
      <c r="B43" s="37" t="s">
        <v>158</v>
      </c>
      <c r="C43" s="110">
        <f>+I39/I30</f>
        <v>0.73652209160924198</v>
      </c>
      <c r="D43" s="110">
        <f t="shared" ref="D43:E43" si="17">+J39/J30</f>
        <v>0.72015209125475288</v>
      </c>
      <c r="E43" s="110">
        <f t="shared" si="17"/>
        <v>0.52143068282589422</v>
      </c>
      <c r="G43" s="104" t="s">
        <v>260</v>
      </c>
    </row>
    <row r="44" spans="1:11" x14ac:dyDescent="0.35">
      <c r="A44" s="37" t="s">
        <v>67</v>
      </c>
      <c r="B44" s="37" t="s">
        <v>159</v>
      </c>
      <c r="C44" s="110">
        <f>+(I38+I41)/I29</f>
        <v>0.78237454100367199</v>
      </c>
      <c r="D44" s="110">
        <f t="shared" ref="D44:E44" si="18">+(J38+J41)/J29</f>
        <v>1.0041221660108675</v>
      </c>
      <c r="E44" s="110">
        <f t="shared" si="18"/>
        <v>0.89659475842396152</v>
      </c>
      <c r="G44" s="104" t="s">
        <v>261</v>
      </c>
    </row>
    <row r="45" spans="1:11" x14ac:dyDescent="0.35">
      <c r="A45" s="37" t="s">
        <v>68</v>
      </c>
      <c r="B45" s="37" t="s">
        <v>160</v>
      </c>
      <c r="C45" s="110">
        <f>+I25/I30</f>
        <v>0.17207134171057964</v>
      </c>
      <c r="D45" s="110">
        <f t="shared" ref="D45:E45" si="19">+J25/J30</f>
        <v>0.18828897338403042</v>
      </c>
      <c r="E45" s="110">
        <f t="shared" si="19"/>
        <v>0.1710020691693763</v>
      </c>
      <c r="G45" s="104" t="s">
        <v>262</v>
      </c>
    </row>
    <row r="46" spans="1:11" x14ac:dyDescent="0.35">
      <c r="A46" s="37" t="s">
        <v>69</v>
      </c>
      <c r="B46" s="37" t="s">
        <v>161</v>
      </c>
      <c r="C46" s="111"/>
      <c r="D46" s="111"/>
      <c r="E46" s="111"/>
      <c r="G46" s="84"/>
    </row>
    <row r="47" spans="1:11" x14ac:dyDescent="0.35">
      <c r="A47" s="37" t="s">
        <v>70</v>
      </c>
      <c r="B47" s="37" t="s">
        <v>162</v>
      </c>
      <c r="C47" s="110">
        <f>+I35/I39</f>
        <v>0.47826086956521741</v>
      </c>
      <c r="D47" s="110">
        <f t="shared" ref="D47:E47" si="20">+J35/J39</f>
        <v>0.25681098204857444</v>
      </c>
      <c r="E47" s="110">
        <f t="shared" si="20"/>
        <v>0.49234693877551022</v>
      </c>
      <c r="G47" s="104" t="s">
        <v>263</v>
      </c>
    </row>
    <row r="48" spans="1:11" x14ac:dyDescent="0.35">
      <c r="A48" s="37" t="s">
        <v>71</v>
      </c>
      <c r="B48" s="37" t="s">
        <v>163</v>
      </c>
      <c r="C48" s="110">
        <f>+I38/I39</f>
        <v>0.52173913043478259</v>
      </c>
      <c r="D48" s="110">
        <f t="shared" ref="D48:E48" si="21">+J38/J39</f>
        <v>0.74318901795142556</v>
      </c>
      <c r="E48" s="110">
        <f t="shared" si="21"/>
        <v>0.50765306122448983</v>
      </c>
      <c r="G48" s="104" t="s">
        <v>264</v>
      </c>
    </row>
    <row r="49" spans="1:8" x14ac:dyDescent="0.35">
      <c r="A49" s="37" t="s">
        <v>72</v>
      </c>
      <c r="B49" s="37" t="s">
        <v>165</v>
      </c>
      <c r="C49" s="110">
        <f>+C26/I39</f>
        <v>7.5399009356081459E-2</v>
      </c>
      <c r="D49" s="110">
        <f t="shared" ref="D49:E49" si="22">+D26/J39</f>
        <v>3.4002111932418165E-2</v>
      </c>
      <c r="E49" s="110">
        <f t="shared" si="22"/>
        <v>9.5521541950113378E-2</v>
      </c>
      <c r="G49" s="104" t="s">
        <v>265</v>
      </c>
    </row>
    <row r="50" spans="1:8" x14ac:dyDescent="0.35">
      <c r="A50" s="37" t="s">
        <v>73</v>
      </c>
      <c r="B50" s="37" t="s">
        <v>164</v>
      </c>
      <c r="C50" s="110">
        <f>+C26/C19</f>
        <v>7.0437017994858617E-2</v>
      </c>
      <c r="D50" s="110">
        <f t="shared" ref="D50:E50" si="23">+D26/D19</f>
        <v>4.4001093194861986E-2</v>
      </c>
      <c r="E50" s="110">
        <f t="shared" si="23"/>
        <v>8.656563061905985E-2</v>
      </c>
      <c r="G50" s="104" t="s">
        <v>266</v>
      </c>
    </row>
    <row r="51" spans="1:8" x14ac:dyDescent="0.35">
      <c r="A51" s="37" t="s">
        <v>88</v>
      </c>
      <c r="B51" s="37" t="s">
        <v>96</v>
      </c>
      <c r="C51" s="110">
        <f>+C33/C26</f>
        <v>4.4708029197080288</v>
      </c>
      <c r="D51" s="110">
        <f t="shared" ref="D51:E51" si="24">+D33/D26</f>
        <v>7.5900621118012426</v>
      </c>
      <c r="E51" s="110">
        <f t="shared" si="24"/>
        <v>4.560830860534125</v>
      </c>
      <c r="F51" t="s">
        <v>108</v>
      </c>
      <c r="G51" s="104" t="s">
        <v>267</v>
      </c>
    </row>
    <row r="52" spans="1:8" x14ac:dyDescent="0.35">
      <c r="A52" s="37" t="s">
        <v>89</v>
      </c>
      <c r="B52" s="37" t="s">
        <v>166</v>
      </c>
      <c r="C52" s="83">
        <f>+C21/C19</f>
        <v>0.60899742930591261</v>
      </c>
      <c r="D52" s="83">
        <f t="shared" ref="D52:E52" si="25">+D21/D19</f>
        <v>0.57966657556709489</v>
      </c>
      <c r="E52" s="83">
        <f t="shared" si="25"/>
        <v>0.59260210634472132</v>
      </c>
      <c r="F52" s="84"/>
      <c r="G52" s="104" t="s">
        <v>268</v>
      </c>
    </row>
    <row r="53" spans="1:8" x14ac:dyDescent="0.35">
      <c r="A53" s="37" t="s">
        <v>90</v>
      </c>
      <c r="B53" s="37" t="s">
        <v>167</v>
      </c>
      <c r="C53" s="83">
        <f>+C29/C19</f>
        <v>1.5938303341902313E-2</v>
      </c>
      <c r="D53" s="83">
        <f t="shared" ref="D53:E53" si="26">+D29/D19</f>
        <v>6.0672314840120249E-2</v>
      </c>
      <c r="E53" s="83">
        <f t="shared" si="26"/>
        <v>7.9373234009761109E-2</v>
      </c>
      <c r="F53" s="84"/>
      <c r="G53" s="104" t="s">
        <v>269</v>
      </c>
    </row>
    <row r="54" spans="1:8" x14ac:dyDescent="0.35">
      <c r="A54" s="37" t="s">
        <v>91</v>
      </c>
      <c r="B54" s="37" t="s">
        <v>168</v>
      </c>
      <c r="C54" s="83">
        <f>+C29/I30</f>
        <v>1.256586947709769E-2</v>
      </c>
      <c r="D54" s="83">
        <f t="shared" ref="D54:E54" si="27">+D29/J30</f>
        <v>3.3764258555133077E-2</v>
      </c>
      <c r="E54" s="83">
        <f t="shared" si="27"/>
        <v>4.5669524091043454E-2</v>
      </c>
      <c r="F54" s="84"/>
      <c r="G54" t="s">
        <v>113</v>
      </c>
    </row>
    <row r="55" spans="1:8" x14ac:dyDescent="0.35">
      <c r="A55" s="37" t="s">
        <v>74</v>
      </c>
      <c r="B55" s="37" t="s">
        <v>93</v>
      </c>
      <c r="C55" s="83">
        <f>+C25/I30</f>
        <v>9.0393190109444674E-2</v>
      </c>
      <c r="D55" s="83">
        <f t="shared" ref="D55:E55" si="28">+D25/J30</f>
        <v>8.0608365019011405E-2</v>
      </c>
      <c r="E55" s="83">
        <f t="shared" si="28"/>
        <v>0.12621933195388707</v>
      </c>
      <c r="F55" s="84"/>
      <c r="G55" t="s">
        <v>114</v>
      </c>
      <c r="H55" t="s">
        <v>270</v>
      </c>
    </row>
    <row r="56" spans="1:8" x14ac:dyDescent="0.35">
      <c r="A56" s="37" t="s">
        <v>156</v>
      </c>
      <c r="B56" s="37" t="s">
        <v>94</v>
      </c>
      <c r="C56" s="109">
        <f>+C29/I41</f>
        <v>4.7692307692307694E-2</v>
      </c>
      <c r="D56" s="109">
        <f t="shared" ref="D56:E56" si="29">+D29/J41</f>
        <v>0.12065217391304348</v>
      </c>
      <c r="E56" s="109">
        <f t="shared" si="29"/>
        <v>9.5429277331686227E-2</v>
      </c>
      <c r="F56" s="84"/>
      <c r="G56" t="s">
        <v>271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90C17-C757-411E-8B86-B3483AEEC2BA}">
  <dimension ref="A1:G42"/>
  <sheetViews>
    <sheetView topLeftCell="A16" zoomScale="70" zoomScaleNormal="70" workbookViewId="0">
      <selection activeCell="D28" sqref="D28"/>
    </sheetView>
  </sheetViews>
  <sheetFormatPr baseColWidth="10" defaultRowHeight="14.5" x14ac:dyDescent="0.35"/>
  <cols>
    <col min="1" max="1" width="30.81640625" bestFit="1" customWidth="1"/>
    <col min="4" max="4" width="31.1796875" bestFit="1" customWidth="1"/>
  </cols>
  <sheetData>
    <row r="1" spans="1:7" x14ac:dyDescent="0.35">
      <c r="A1" s="1" t="s">
        <v>0</v>
      </c>
      <c r="B1" s="2" t="s">
        <v>1</v>
      </c>
      <c r="C1" s="2"/>
    </row>
    <row r="2" spans="1:7" x14ac:dyDescent="0.35">
      <c r="A2" s="1" t="s">
        <v>2</v>
      </c>
      <c r="B2" s="2" t="s">
        <v>3</v>
      </c>
      <c r="C2" s="2"/>
    </row>
    <row r="3" spans="1:7" x14ac:dyDescent="0.35">
      <c r="A3" s="1" t="s">
        <v>4</v>
      </c>
      <c r="B3" s="3" t="s">
        <v>5</v>
      </c>
      <c r="C3" s="2"/>
    </row>
    <row r="4" spans="1:7" x14ac:dyDescent="0.35">
      <c r="A4" s="2"/>
      <c r="B4" s="1" t="s">
        <v>6</v>
      </c>
      <c r="C4" s="1" t="s">
        <v>7</v>
      </c>
    </row>
    <row r="5" spans="1:7" x14ac:dyDescent="0.35">
      <c r="A5" s="2"/>
      <c r="B5" s="3" t="s">
        <v>8</v>
      </c>
      <c r="C5" s="3">
        <v>1724083</v>
      </c>
    </row>
    <row r="6" spans="1:7" x14ac:dyDescent="0.35">
      <c r="A6" s="2"/>
      <c r="B6" s="3" t="s">
        <v>9</v>
      </c>
      <c r="C6" s="2">
        <v>1726924</v>
      </c>
    </row>
    <row r="7" spans="1:7" x14ac:dyDescent="0.35">
      <c r="A7" s="2"/>
      <c r="B7" s="3" t="s">
        <v>10</v>
      </c>
      <c r="C7" s="3">
        <v>1730680</v>
      </c>
    </row>
    <row r="9" spans="1:7" ht="15" thickBot="1" x14ac:dyDescent="0.4"/>
    <row r="10" spans="1:7" x14ac:dyDescent="0.35">
      <c r="F10" s="62" t="s">
        <v>170</v>
      </c>
      <c r="G10" s="64">
        <v>23500</v>
      </c>
    </row>
    <row r="11" spans="1:7" x14ac:dyDescent="0.35">
      <c r="F11" s="66" t="s">
        <v>174</v>
      </c>
      <c r="G11" s="68">
        <v>65000</v>
      </c>
    </row>
    <row r="12" spans="1:7" x14ac:dyDescent="0.35">
      <c r="F12" s="66" t="s">
        <v>175</v>
      </c>
      <c r="G12" s="70">
        <v>7.4999999999999997E-2</v>
      </c>
    </row>
    <row r="13" spans="1:7" x14ac:dyDescent="0.35">
      <c r="F13" s="66" t="s">
        <v>176</v>
      </c>
      <c r="G13" s="72">
        <v>0.33</v>
      </c>
    </row>
    <row r="14" spans="1:7" x14ac:dyDescent="0.35">
      <c r="F14" s="66" t="s">
        <v>173</v>
      </c>
      <c r="G14" s="72">
        <v>0.33</v>
      </c>
    </row>
    <row r="15" spans="1:7" ht="15" thickBot="1" x14ac:dyDescent="0.4">
      <c r="F15" s="74" t="s">
        <v>15</v>
      </c>
      <c r="G15" s="76">
        <v>93000</v>
      </c>
    </row>
    <row r="26" spans="1:4" x14ac:dyDescent="0.35">
      <c r="A26" t="s">
        <v>169</v>
      </c>
      <c r="C26" s="4" t="s">
        <v>35</v>
      </c>
      <c r="D26" s="4">
        <f>+D28+D27</f>
        <v>39949.626865671642</v>
      </c>
    </row>
    <row r="27" spans="1:4" x14ac:dyDescent="0.35">
      <c r="C27" s="4" t="s">
        <v>177</v>
      </c>
      <c r="D27" s="4">
        <f>+G11*G12</f>
        <v>4875</v>
      </c>
    </row>
    <row r="28" spans="1:4" x14ac:dyDescent="0.35">
      <c r="A28" t="s">
        <v>178</v>
      </c>
      <c r="C28" s="4" t="s">
        <v>127</v>
      </c>
      <c r="D28" s="4">
        <f>+G10/(1-G14)</f>
        <v>35074.626865671642</v>
      </c>
    </row>
    <row r="29" spans="1:4" x14ac:dyDescent="0.35">
      <c r="C29" s="4" t="s">
        <v>179</v>
      </c>
      <c r="D29" s="4">
        <f>+D28*G14</f>
        <v>11574.626865671642</v>
      </c>
    </row>
    <row r="31" spans="1:4" x14ac:dyDescent="0.35">
      <c r="A31" s="52" t="s">
        <v>93</v>
      </c>
      <c r="B31" s="52">
        <f>+D26/(G11+G15)</f>
        <v>0.25284573965614965</v>
      </c>
    </row>
    <row r="32" spans="1:4" x14ac:dyDescent="0.35">
      <c r="A32" s="52" t="s">
        <v>180</v>
      </c>
      <c r="B32" s="78">
        <f>1-G13</f>
        <v>0.66999999999999993</v>
      </c>
    </row>
    <row r="34" spans="1:5" x14ac:dyDescent="0.35">
      <c r="A34" s="52" t="s">
        <v>181</v>
      </c>
      <c r="B34" s="79">
        <f>+(G11/G15)*(B31-G12)*B32*(1-G14)+(B31*B32)*(1-G14)</f>
        <v>0.16930107526881719</v>
      </c>
      <c r="C34" s="7" t="s">
        <v>182</v>
      </c>
    </row>
    <row r="36" spans="1:5" x14ac:dyDescent="0.35">
      <c r="A36" s="7" t="s">
        <v>183</v>
      </c>
      <c r="D36" s="7" t="s">
        <v>184</v>
      </c>
    </row>
    <row r="42" spans="1:5" x14ac:dyDescent="0.35">
      <c r="A42" s="52" t="s">
        <v>185</v>
      </c>
      <c r="B42" s="79">
        <f>+(B31*B32)*(1-G14)</f>
        <v>0.11350245253164555</v>
      </c>
      <c r="D42" s="52" t="s">
        <v>186</v>
      </c>
      <c r="E42" s="79">
        <f>+(G11/G15)*(B31-G12)*B32*(1-G14)</f>
        <v>5.5798622737171628E-2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B397B-F6B1-47E2-BBE3-4793232B68F3}">
  <dimension ref="A1:G30"/>
  <sheetViews>
    <sheetView topLeftCell="A6" zoomScale="80" zoomScaleNormal="80" workbookViewId="0">
      <selection activeCell="B25" sqref="B25:B30"/>
    </sheetView>
  </sheetViews>
  <sheetFormatPr baseColWidth="10" defaultRowHeight="14.5" x14ac:dyDescent="0.35"/>
  <cols>
    <col min="2" max="2" width="16.7265625" bestFit="1" customWidth="1"/>
    <col min="3" max="3" width="20.54296875" bestFit="1" customWidth="1"/>
  </cols>
  <sheetData>
    <row r="1" spans="1:7" x14ac:dyDescent="0.35">
      <c r="A1" s="1" t="s">
        <v>0</v>
      </c>
      <c r="B1" s="2" t="s">
        <v>1</v>
      </c>
      <c r="C1" s="2"/>
    </row>
    <row r="2" spans="1:7" x14ac:dyDescent="0.35">
      <c r="A2" s="1" t="s">
        <v>2</v>
      </c>
      <c r="B2" s="2" t="s">
        <v>3</v>
      </c>
      <c r="C2" s="2"/>
    </row>
    <row r="3" spans="1:7" x14ac:dyDescent="0.35">
      <c r="A3" s="1" t="s">
        <v>4</v>
      </c>
      <c r="B3" s="3" t="s">
        <v>5</v>
      </c>
      <c r="C3" s="2"/>
    </row>
    <row r="4" spans="1:7" x14ac:dyDescent="0.35">
      <c r="A4" s="2"/>
      <c r="B4" s="1" t="s">
        <v>6</v>
      </c>
      <c r="C4" s="1" t="s">
        <v>7</v>
      </c>
    </row>
    <row r="5" spans="1:7" x14ac:dyDescent="0.35">
      <c r="A5" s="2"/>
      <c r="B5" s="3" t="s">
        <v>8</v>
      </c>
      <c r="C5" s="3">
        <v>1724083</v>
      </c>
    </row>
    <row r="6" spans="1:7" x14ac:dyDescent="0.35">
      <c r="A6" s="2"/>
      <c r="B6" s="3" t="s">
        <v>9</v>
      </c>
      <c r="C6" s="2">
        <v>1726924</v>
      </c>
    </row>
    <row r="7" spans="1:7" x14ac:dyDescent="0.35">
      <c r="A7" s="2"/>
      <c r="B7" s="3" t="s">
        <v>10</v>
      </c>
      <c r="C7" s="3">
        <v>1730680</v>
      </c>
    </row>
    <row r="13" spans="1:7" ht="15" thickBot="1" x14ac:dyDescent="0.4"/>
    <row r="14" spans="1:7" x14ac:dyDescent="0.35">
      <c r="F14" s="61" t="s">
        <v>170</v>
      </c>
      <c r="G14" s="63">
        <v>23500</v>
      </c>
    </row>
    <row r="15" spans="1:7" x14ac:dyDescent="0.35">
      <c r="F15" s="65" t="s">
        <v>16</v>
      </c>
      <c r="G15" s="67">
        <v>65000</v>
      </c>
    </row>
    <row r="16" spans="1:7" x14ac:dyDescent="0.35">
      <c r="F16" s="65" t="s">
        <v>171</v>
      </c>
      <c r="G16" s="69">
        <v>7.4999999999999997E-2</v>
      </c>
    </row>
    <row r="17" spans="2:7" x14ac:dyDescent="0.35">
      <c r="F17" s="65" t="s">
        <v>172</v>
      </c>
      <c r="G17" s="71">
        <v>0.33</v>
      </c>
    </row>
    <row r="18" spans="2:7" x14ac:dyDescent="0.35">
      <c r="F18" s="65" t="s">
        <v>173</v>
      </c>
      <c r="G18" s="71">
        <v>0.33</v>
      </c>
    </row>
    <row r="19" spans="2:7" ht="15" thickBot="1" x14ac:dyDescent="0.4">
      <c r="F19" s="73" t="s">
        <v>15</v>
      </c>
      <c r="G19" s="75">
        <v>93000</v>
      </c>
    </row>
    <row r="21" spans="2:7" x14ac:dyDescent="0.35">
      <c r="E21" t="s">
        <v>188</v>
      </c>
      <c r="F21" t="s">
        <v>190</v>
      </c>
    </row>
    <row r="22" spans="2:7" x14ac:dyDescent="0.35">
      <c r="F22" t="s">
        <v>189</v>
      </c>
    </row>
    <row r="25" spans="2:7" x14ac:dyDescent="0.35">
      <c r="B25" s="52" t="s">
        <v>35</v>
      </c>
      <c r="C25" s="4">
        <f>+G14/(1-G18)+(G16*G15)</f>
        <v>39949.626865671642</v>
      </c>
    </row>
    <row r="26" spans="2:7" x14ac:dyDescent="0.35">
      <c r="B26" s="52" t="s">
        <v>191</v>
      </c>
      <c r="C26" s="80">
        <f>+(G14+G16*G15)/(G15+G19)</f>
        <v>0.17958860759493672</v>
      </c>
    </row>
    <row r="27" spans="2:7" x14ac:dyDescent="0.35">
      <c r="B27" s="52" t="s">
        <v>180</v>
      </c>
      <c r="C27" s="77">
        <f>1-G17</f>
        <v>0.66999999999999993</v>
      </c>
    </row>
    <row r="28" spans="2:7" x14ac:dyDescent="0.35">
      <c r="B28" s="52" t="s">
        <v>187</v>
      </c>
      <c r="C28" s="81">
        <f>+((G15/G19)*(C26-G16)*C27)+(C26*C27)</f>
        <v>0.16930107526881721</v>
      </c>
    </row>
    <row r="29" spans="2:7" x14ac:dyDescent="0.35">
      <c r="B29" s="52" t="s">
        <v>192</v>
      </c>
      <c r="C29" s="82">
        <v>0.1203</v>
      </c>
    </row>
    <row r="30" spans="2:7" x14ac:dyDescent="0.35">
      <c r="B30" s="52" t="s">
        <v>193</v>
      </c>
      <c r="C30" s="82">
        <v>4.9000000000000002E-2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92664-ADC2-4BFF-A5A7-144A3ABF053F}">
  <dimension ref="A1:G38"/>
  <sheetViews>
    <sheetView tabSelected="1" zoomScale="80" zoomScaleNormal="80" workbookViewId="0">
      <selection activeCell="E39" sqref="E39"/>
    </sheetView>
  </sheetViews>
  <sheetFormatPr baseColWidth="10" defaultRowHeight="14.5" x14ac:dyDescent="0.35"/>
  <cols>
    <col min="2" max="2" width="16.7265625" bestFit="1" customWidth="1"/>
    <col min="4" max="4" width="32.6328125" bestFit="1" customWidth="1"/>
  </cols>
  <sheetData>
    <row r="1" spans="1:7" x14ac:dyDescent="0.35">
      <c r="A1" s="1" t="s">
        <v>0</v>
      </c>
      <c r="B1" s="2" t="s">
        <v>1</v>
      </c>
      <c r="C1" s="2"/>
    </row>
    <row r="2" spans="1:7" x14ac:dyDescent="0.35">
      <c r="A2" s="1" t="s">
        <v>2</v>
      </c>
      <c r="B2" s="2" t="s">
        <v>3</v>
      </c>
      <c r="C2" s="2"/>
    </row>
    <row r="3" spans="1:7" x14ac:dyDescent="0.35">
      <c r="A3" s="1" t="s">
        <v>4</v>
      </c>
      <c r="B3" s="3" t="s">
        <v>5</v>
      </c>
      <c r="C3" s="2"/>
    </row>
    <row r="4" spans="1:7" x14ac:dyDescent="0.35">
      <c r="A4" s="2"/>
      <c r="B4" s="1" t="s">
        <v>6</v>
      </c>
      <c r="C4" s="1" t="s">
        <v>7</v>
      </c>
    </row>
    <row r="5" spans="1:7" x14ac:dyDescent="0.35">
      <c r="A5" s="2"/>
      <c r="B5" s="3" t="s">
        <v>8</v>
      </c>
      <c r="C5" s="3">
        <v>1724083</v>
      </c>
    </row>
    <row r="6" spans="1:7" x14ac:dyDescent="0.35">
      <c r="A6" s="2"/>
      <c r="B6" s="3" t="s">
        <v>9</v>
      </c>
      <c r="C6" s="2">
        <v>1726924</v>
      </c>
    </row>
    <row r="7" spans="1:7" x14ac:dyDescent="0.35">
      <c r="A7" s="2"/>
      <c r="B7" s="3" t="s">
        <v>10</v>
      </c>
      <c r="C7" s="3">
        <v>1730680</v>
      </c>
    </row>
    <row r="9" spans="1:7" ht="15" thickBot="1" x14ac:dyDescent="0.4"/>
    <row r="10" spans="1:7" x14ac:dyDescent="0.35">
      <c r="F10" s="62" t="s">
        <v>35</v>
      </c>
      <c r="G10" s="64">
        <v>83333</v>
      </c>
    </row>
    <row r="11" spans="1:7" x14ac:dyDescent="0.35">
      <c r="F11" s="66" t="s">
        <v>174</v>
      </c>
      <c r="G11" s="68">
        <v>135000</v>
      </c>
    </row>
    <row r="12" spans="1:7" x14ac:dyDescent="0.35">
      <c r="F12" s="66" t="s">
        <v>175</v>
      </c>
      <c r="G12" s="70">
        <v>0.156</v>
      </c>
    </row>
    <row r="13" spans="1:7" x14ac:dyDescent="0.35">
      <c r="F13" s="66" t="s">
        <v>176</v>
      </c>
      <c r="G13" s="72">
        <v>0.3</v>
      </c>
    </row>
    <row r="14" spans="1:7" x14ac:dyDescent="0.35">
      <c r="F14" s="66" t="s">
        <v>173</v>
      </c>
      <c r="G14" s="72">
        <v>0.41</v>
      </c>
    </row>
    <row r="15" spans="1:7" ht="15" thickBot="1" x14ac:dyDescent="0.4">
      <c r="F15" s="74" t="s">
        <v>15</v>
      </c>
      <c r="G15" s="76">
        <v>115000</v>
      </c>
    </row>
    <row r="25" spans="1:4" x14ac:dyDescent="0.35">
      <c r="A25" t="s">
        <v>169</v>
      </c>
      <c r="C25" s="4" t="s">
        <v>35</v>
      </c>
      <c r="D25" s="4">
        <f>+G10</f>
        <v>83333</v>
      </c>
    </row>
    <row r="27" spans="1:4" x14ac:dyDescent="0.35">
      <c r="A27" s="52" t="s">
        <v>93</v>
      </c>
      <c r="B27" s="79">
        <f>+D25/(G11+G15)</f>
        <v>0.33333200000000002</v>
      </c>
    </row>
    <row r="28" spans="1:4" x14ac:dyDescent="0.35">
      <c r="A28" s="52" t="s">
        <v>180</v>
      </c>
      <c r="B28" s="78">
        <f>1-G13</f>
        <v>0.7</v>
      </c>
    </row>
    <row r="30" spans="1:4" x14ac:dyDescent="0.35">
      <c r="A30" s="52" t="s">
        <v>181</v>
      </c>
      <c r="B30" s="79">
        <f>+(G11/G15)*(B27-G12)*B28*(1-G14)+(B27*B28)*(1-G14)</f>
        <v>0.22364129565217394</v>
      </c>
      <c r="C30" s="7" t="s">
        <v>182</v>
      </c>
    </row>
    <row r="32" spans="1:4" x14ac:dyDescent="0.35">
      <c r="A32" s="7" t="s">
        <v>183</v>
      </c>
      <c r="D32" s="7" t="s">
        <v>184</v>
      </c>
    </row>
    <row r="38" spans="1:5" x14ac:dyDescent="0.35">
      <c r="A38" s="52" t="s">
        <v>185</v>
      </c>
      <c r="B38" s="79">
        <f>+(B27*B28)*(1-G14)</f>
        <v>0.13766611600000001</v>
      </c>
      <c r="D38" s="52" t="s">
        <v>186</v>
      </c>
      <c r="E38" s="79">
        <f>+(G11/G15)*(B27-G12)*B28*(1-G14)</f>
        <v>8.5975179652173939E-2</v>
      </c>
    </row>
  </sheetData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49D3C-EA79-48F2-8ABA-295DAE990683}">
  <dimension ref="A1:G35"/>
  <sheetViews>
    <sheetView topLeftCell="A17" zoomScale="80" zoomScaleNormal="80" workbookViewId="0">
      <selection activeCell="D30" sqref="D30"/>
    </sheetView>
  </sheetViews>
  <sheetFormatPr baseColWidth="10" defaultRowHeight="14.5" x14ac:dyDescent="0.35"/>
  <cols>
    <col min="2" max="2" width="16.7265625" bestFit="1" customWidth="1"/>
    <col min="3" max="3" width="20.54296875" bestFit="1" customWidth="1"/>
  </cols>
  <sheetData>
    <row r="1" spans="1:7" x14ac:dyDescent="0.35">
      <c r="A1" s="1" t="s">
        <v>0</v>
      </c>
      <c r="B1" s="2" t="s">
        <v>1</v>
      </c>
      <c r="C1" s="2"/>
    </row>
    <row r="2" spans="1:7" x14ac:dyDescent="0.35">
      <c r="A2" s="1" t="s">
        <v>2</v>
      </c>
      <c r="B2" s="2" t="s">
        <v>3</v>
      </c>
      <c r="C2" s="2"/>
    </row>
    <row r="3" spans="1:7" x14ac:dyDescent="0.35">
      <c r="A3" s="1" t="s">
        <v>4</v>
      </c>
      <c r="B3" s="3" t="s">
        <v>5</v>
      </c>
      <c r="C3" s="2"/>
    </row>
    <row r="4" spans="1:7" x14ac:dyDescent="0.35">
      <c r="A4" s="2"/>
      <c r="B4" s="1" t="s">
        <v>6</v>
      </c>
      <c r="C4" s="1" t="s">
        <v>7</v>
      </c>
    </row>
    <row r="5" spans="1:7" x14ac:dyDescent="0.35">
      <c r="A5" s="2"/>
      <c r="B5" s="3" t="s">
        <v>8</v>
      </c>
      <c r="C5" s="3">
        <v>1724083</v>
      </c>
    </row>
    <row r="6" spans="1:7" x14ac:dyDescent="0.35">
      <c r="A6" s="2"/>
      <c r="B6" s="3" t="s">
        <v>9</v>
      </c>
      <c r="C6" s="2">
        <v>1726924</v>
      </c>
    </row>
    <row r="7" spans="1:7" x14ac:dyDescent="0.35">
      <c r="A7" s="2"/>
      <c r="B7" s="3" t="s">
        <v>10</v>
      </c>
      <c r="C7" s="3">
        <v>1730680</v>
      </c>
    </row>
    <row r="9" spans="1:7" ht="15" thickBot="1" x14ac:dyDescent="0.4"/>
    <row r="10" spans="1:7" x14ac:dyDescent="0.35">
      <c r="F10" s="61" t="s">
        <v>194</v>
      </c>
      <c r="G10" s="63">
        <v>83333</v>
      </c>
    </row>
    <row r="11" spans="1:7" x14ac:dyDescent="0.35">
      <c r="F11" s="65" t="s">
        <v>16</v>
      </c>
      <c r="G11" s="67">
        <v>135000</v>
      </c>
    </row>
    <row r="12" spans="1:7" x14ac:dyDescent="0.35">
      <c r="F12" s="65" t="s">
        <v>171</v>
      </c>
      <c r="G12" s="69">
        <v>0.156</v>
      </c>
    </row>
    <row r="13" spans="1:7" x14ac:dyDescent="0.35">
      <c r="F13" s="65" t="s">
        <v>172</v>
      </c>
      <c r="G13" s="71">
        <v>0.3</v>
      </c>
    </row>
    <row r="14" spans="1:7" x14ac:dyDescent="0.35">
      <c r="F14" s="65" t="s">
        <v>173</v>
      </c>
      <c r="G14" s="71">
        <v>0.41</v>
      </c>
    </row>
    <row r="15" spans="1:7" ht="15" thickBot="1" x14ac:dyDescent="0.4">
      <c r="F15" s="73" t="s">
        <v>15</v>
      </c>
      <c r="G15" s="75">
        <v>115000</v>
      </c>
    </row>
    <row r="25" spans="2:3" x14ac:dyDescent="0.35">
      <c r="B25" s="4" t="s">
        <v>194</v>
      </c>
      <c r="C25" s="4">
        <f>+G10</f>
        <v>83333</v>
      </c>
    </row>
    <row r="26" spans="2:3" x14ac:dyDescent="0.35">
      <c r="B26" s="4" t="s">
        <v>177</v>
      </c>
      <c r="C26" s="4">
        <f>+G11*G12</f>
        <v>21060</v>
      </c>
    </row>
    <row r="27" spans="2:3" x14ac:dyDescent="0.35">
      <c r="B27" s="4" t="s">
        <v>127</v>
      </c>
      <c r="C27" s="4">
        <f>+C25-C26</f>
        <v>62273</v>
      </c>
    </row>
    <row r="28" spans="2:3" x14ac:dyDescent="0.35">
      <c r="B28" s="4" t="s">
        <v>195</v>
      </c>
      <c r="C28" s="4">
        <f>+C27*G14</f>
        <v>25531.93</v>
      </c>
    </row>
    <row r="29" spans="2:3" x14ac:dyDescent="0.35">
      <c r="B29" s="4" t="s">
        <v>196</v>
      </c>
      <c r="C29" s="4">
        <f>+C27-C28</f>
        <v>36741.07</v>
      </c>
    </row>
    <row r="31" spans="2:3" x14ac:dyDescent="0.35">
      <c r="B31" s="4" t="s">
        <v>191</v>
      </c>
      <c r="C31" s="83">
        <f>+(C25-C28)/(G11+G15)</f>
        <v>0.23120428000000001</v>
      </c>
    </row>
    <row r="32" spans="2:3" x14ac:dyDescent="0.35">
      <c r="B32" s="4" t="s">
        <v>180</v>
      </c>
      <c r="C32" s="77">
        <f>1-G13</f>
        <v>0.7</v>
      </c>
    </row>
    <row r="33" spans="2:3" x14ac:dyDescent="0.35">
      <c r="B33" s="4" t="s">
        <v>187</v>
      </c>
      <c r="C33" s="83">
        <f>+((G11/G15)*(C31-G12)*C32)+(C31*C32)</f>
        <v>0.22364129565217392</v>
      </c>
    </row>
    <row r="34" spans="2:3" x14ac:dyDescent="0.35">
      <c r="B34" s="4" t="s">
        <v>192</v>
      </c>
      <c r="C34" s="82">
        <v>0.1618</v>
      </c>
    </row>
    <row r="35" spans="2:3" x14ac:dyDescent="0.35">
      <c r="B35" s="4" t="s">
        <v>193</v>
      </c>
      <c r="C35" s="82">
        <v>6.1800000000000001E-2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Carátula</vt:lpstr>
      <vt:lpstr>AE341)</vt:lpstr>
      <vt:lpstr>AE342)</vt:lpstr>
      <vt:lpstr>AE343)</vt:lpstr>
      <vt:lpstr>AE344)</vt:lpstr>
      <vt:lpstr>AE345)</vt:lpstr>
      <vt:lpstr>AE346)</vt:lpstr>
      <vt:lpstr>AE406)</vt:lpstr>
      <vt:lpstr>AE407)</vt:lpstr>
      <vt:lpstr>AE408)</vt:lpstr>
      <vt:lpstr>AE409)</vt:lpstr>
      <vt:lpstr>'AE408)'!Área_de_impresión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Gina Casado</dc:creator>
  <cp:lastModifiedBy>Gina Casado</cp:lastModifiedBy>
  <dcterms:created xsi:type="dcterms:W3CDTF">2015-06-05T18:17:20Z</dcterms:created>
  <dcterms:modified xsi:type="dcterms:W3CDTF">2024-09-23T14:15:47Z</dcterms:modified>
</cp:coreProperties>
</file>