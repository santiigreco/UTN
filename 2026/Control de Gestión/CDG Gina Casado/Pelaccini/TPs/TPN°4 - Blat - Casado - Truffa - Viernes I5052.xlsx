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-PROBOOK\Desktop\Control de Gestión\Pelaccini\Analisis de la Empresa\TPN4\"/>
    </mc:Choice>
  </mc:AlternateContent>
  <xr:revisionPtr revIDLastSave="0" documentId="13_ncr:1_{F982B8A5-A670-4B27-81E3-6ACADBEB06EA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Carátula" sheetId="1" r:id="rId1"/>
    <sheet name="AE514" sheetId="5" r:id="rId2"/>
    <sheet name="AE512" sheetId="4" r:id="rId3"/>
    <sheet name="AE513" sheetId="3" r:id="rId4"/>
    <sheet name="AE514 v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0" i="2" l="1"/>
  <c r="P39" i="2"/>
  <c r="P38" i="2"/>
  <c r="P37" i="2"/>
  <c r="P36" i="2"/>
  <c r="P35" i="2"/>
  <c r="P34" i="2"/>
  <c r="M30" i="2"/>
  <c r="M31" i="2" s="1"/>
  <c r="L30" i="2"/>
  <c r="L31" i="2" s="1"/>
  <c r="M26" i="2"/>
  <c r="L26" i="2"/>
  <c r="M23" i="2"/>
  <c r="L23" i="2"/>
  <c r="M17" i="2"/>
  <c r="L17" i="2"/>
  <c r="M9" i="2"/>
  <c r="L9" i="2"/>
  <c r="E17" i="2"/>
  <c r="E20" i="2" s="1"/>
  <c r="E22" i="2" s="1"/>
  <c r="E24" i="2" s="1"/>
  <c r="E26" i="2" s="1"/>
  <c r="P36" i="3"/>
  <c r="P35" i="3"/>
  <c r="P34" i="3"/>
  <c r="P33" i="3"/>
  <c r="P32" i="3"/>
  <c r="P31" i="3"/>
  <c r="P30" i="3"/>
  <c r="M26" i="3"/>
  <c r="L26" i="3"/>
  <c r="M22" i="3"/>
  <c r="L22" i="3"/>
  <c r="M19" i="3"/>
  <c r="L19" i="3"/>
  <c r="M13" i="3"/>
  <c r="M14" i="3" s="1"/>
  <c r="L13" i="3"/>
  <c r="M9" i="3"/>
  <c r="L9" i="3"/>
  <c r="E18" i="3"/>
  <c r="E21" i="3" s="1"/>
  <c r="E23" i="3" s="1"/>
  <c r="X16" i="4"/>
  <c r="X14" i="4"/>
  <c r="X15" i="4"/>
  <c r="X13" i="4"/>
  <c r="W13" i="4"/>
  <c r="X12" i="4"/>
  <c r="W12" i="4"/>
  <c r="X10" i="4"/>
  <c r="W10" i="4"/>
  <c r="X9" i="4"/>
  <c r="W9" i="4"/>
  <c r="X8" i="4"/>
  <c r="W8" i="4"/>
  <c r="X7" i="4"/>
  <c r="W7" i="4"/>
  <c r="X6" i="4"/>
  <c r="W6" i="4"/>
  <c r="X4" i="4"/>
  <c r="W4" i="4"/>
  <c r="X2" i="4"/>
  <c r="W2" i="4"/>
  <c r="X3" i="4"/>
  <c r="W3" i="4"/>
  <c r="M18" i="2" l="1"/>
  <c r="L18" i="2"/>
  <c r="L27" i="3"/>
  <c r="L14" i="3"/>
  <c r="M27" i="3"/>
  <c r="E24" i="3"/>
  <c r="E25" i="3" s="1"/>
  <c r="E27" i="3" s="1"/>
  <c r="M25" i="4" l="1"/>
  <c r="M26" i="4" s="1"/>
  <c r="L25" i="4"/>
  <c r="L26" i="4" s="1"/>
  <c r="M22" i="4"/>
  <c r="L22" i="4"/>
  <c r="M19" i="4"/>
  <c r="L19" i="4"/>
  <c r="M14" i="4"/>
  <c r="M13" i="4"/>
  <c r="L13" i="4"/>
  <c r="L14" i="4" s="1"/>
  <c r="M9" i="4"/>
  <c r="L9" i="4"/>
  <c r="E25" i="4"/>
  <c r="E21" i="4"/>
  <c r="E23" i="4" s="1"/>
  <c r="E27" i="4" s="1"/>
  <c r="E18" i="4"/>
  <c r="D18" i="4"/>
  <c r="D21" i="4" s="1"/>
  <c r="D23" i="4" s="1"/>
  <c r="B36" i="5"/>
  <c r="B35" i="5"/>
  <c r="B37" i="5" s="1"/>
  <c r="B34" i="5"/>
  <c r="B33" i="5"/>
  <c r="D24" i="4" l="1"/>
  <c r="D25" i="4" s="1"/>
  <c r="D27" i="4" s="1"/>
</calcChain>
</file>

<file path=xl/sharedStrings.xml><?xml version="1.0" encoding="utf-8"?>
<sst xmlns="http://schemas.openxmlformats.org/spreadsheetml/2006/main" count="355" uniqueCount="143">
  <si>
    <t>Asignatura</t>
  </si>
  <si>
    <t>Control de gestion</t>
  </si>
  <si>
    <t>Docente</t>
  </si>
  <si>
    <t>Ing. Diego Pelaccini</t>
  </si>
  <si>
    <t>Curso</t>
  </si>
  <si>
    <t>I5052 VIERNES</t>
  </si>
  <si>
    <t>Integrantes</t>
  </si>
  <si>
    <t>Legajos</t>
  </si>
  <si>
    <t>Blat Catalina</t>
  </si>
  <si>
    <t>Casado Gina</t>
  </si>
  <si>
    <t>Truffa Ramiro</t>
  </si>
  <si>
    <t>Valor</t>
  </si>
  <si>
    <t>Fuente</t>
  </si>
  <si>
    <t>Ventas anuales</t>
  </si>
  <si>
    <t>Cuadro de resultados</t>
  </si>
  <si>
    <t>Cuentas por cobrar promedio</t>
  </si>
  <si>
    <t>Balance al inicio y al final</t>
  </si>
  <si>
    <t>MP promedio</t>
  </si>
  <si>
    <t>Producción en proceso al inicio</t>
  </si>
  <si>
    <t xml:space="preserve">Balance al inicio </t>
  </si>
  <si>
    <t>Producción en procesos final</t>
  </si>
  <si>
    <t>Balance al final</t>
  </si>
  <si>
    <t>PT promedio</t>
  </si>
  <si>
    <t>Ingresos MP al proceso</t>
  </si>
  <si>
    <t>Órdenes de costo</t>
  </si>
  <si>
    <t>Costo de producción liquidada</t>
  </si>
  <si>
    <t>CMV</t>
  </si>
  <si>
    <t>Compras anuales</t>
  </si>
  <si>
    <t>Facturas de compra (incluye IVA)</t>
  </si>
  <si>
    <t>Deudas comerciales promedio</t>
  </si>
  <si>
    <t>Pmefectivo = PM de maduración u operativo - Pmpago</t>
  </si>
  <si>
    <t>PMM=PMCobro+PMInventarios</t>
  </si>
  <si>
    <t>Pmcobro</t>
  </si>
  <si>
    <t>meses</t>
  </si>
  <si>
    <t>PmInventarios</t>
  </si>
  <si>
    <t>PMM</t>
  </si>
  <si>
    <t>PMPago</t>
  </si>
  <si>
    <t>Pmefectivo</t>
  </si>
  <si>
    <t>Año base</t>
  </si>
  <si>
    <t>CUADRO DE RESULTADOS</t>
  </si>
  <si>
    <t>Ventas</t>
  </si>
  <si>
    <t xml:space="preserve">   (CMV)</t>
  </si>
  <si>
    <t>Utilidad Bruta</t>
  </si>
  <si>
    <t xml:space="preserve">   (Gastos Adm. y Com.)</t>
  </si>
  <si>
    <t xml:space="preserve">   (Depreciaciones y amortizaciones)</t>
  </si>
  <si>
    <t>BAII</t>
  </si>
  <si>
    <t xml:space="preserve">   (Intereses financieros)</t>
  </si>
  <si>
    <t>BAI</t>
  </si>
  <si>
    <t xml:space="preserve">   (Impuestos 35%)</t>
  </si>
  <si>
    <t>Utilidad Neta</t>
  </si>
  <si>
    <t xml:space="preserve">   (Dividendos)</t>
  </si>
  <si>
    <t>Utilidad Retenida</t>
  </si>
  <si>
    <t>Reparto dividendos  (d)</t>
  </si>
  <si>
    <t>Compra MP (% del CMV)</t>
  </si>
  <si>
    <t>Consumo MP (% del CMV)</t>
  </si>
  <si>
    <t>Costo de producción (% del CMV)</t>
  </si>
  <si>
    <t>Impuesto a las ganancias</t>
  </si>
  <si>
    <t>Kd</t>
  </si>
  <si>
    <t>Ke</t>
  </si>
  <si>
    <t>IVA</t>
  </si>
  <si>
    <t>Importe compras e insumos</t>
  </si>
  <si>
    <t>Importe consumo de MP</t>
  </si>
  <si>
    <t>Costo de la producción</t>
  </si>
  <si>
    <t>BALANCES</t>
  </si>
  <si>
    <t>∆</t>
  </si>
  <si>
    <t>Activo CP o corrientes</t>
  </si>
  <si>
    <t>Caja y Bancos</t>
  </si>
  <si>
    <t>Créditos x ventas</t>
  </si>
  <si>
    <t>MP</t>
  </si>
  <si>
    <t>SE</t>
  </si>
  <si>
    <t>PT</t>
  </si>
  <si>
    <t xml:space="preserve">     Total Activo CP</t>
  </si>
  <si>
    <t>Activo LP o fijos</t>
  </si>
  <si>
    <t>Máquinas</t>
  </si>
  <si>
    <t>Edificios</t>
  </si>
  <si>
    <t xml:space="preserve">     Total Activo LP</t>
  </si>
  <si>
    <t>Total ACTIVO</t>
  </si>
  <si>
    <t>Pasivo CP</t>
  </si>
  <si>
    <t>Proveedores</t>
  </si>
  <si>
    <t>AFIP</t>
  </si>
  <si>
    <t>Deudas bancarias CP</t>
  </si>
  <si>
    <t xml:space="preserve">     Total Pasivo CP</t>
  </si>
  <si>
    <t>Pasivo LP</t>
  </si>
  <si>
    <t>Otras deudas LP</t>
  </si>
  <si>
    <t xml:space="preserve">     Total Pasivo LP</t>
  </si>
  <si>
    <t>Patrimonio Neto</t>
  </si>
  <si>
    <t>Capital Social y beneficios</t>
  </si>
  <si>
    <t xml:space="preserve">     Total Patrimonio Neto</t>
  </si>
  <si>
    <t>Total PASIVO + PN</t>
  </si>
  <si>
    <t xml:space="preserve">a1) </t>
  </si>
  <si>
    <t>Índice de Liquidez Corriente</t>
  </si>
  <si>
    <t>a2)</t>
  </si>
  <si>
    <t>Test ácido o liquidez ácida</t>
  </si>
  <si>
    <t>a3)</t>
  </si>
  <si>
    <t>Ratio del efectivo</t>
  </si>
  <si>
    <t>b1)</t>
  </si>
  <si>
    <t>Palanca financiera</t>
  </si>
  <si>
    <t>b2)</t>
  </si>
  <si>
    <t>Tasa de endeudamiento</t>
  </si>
  <si>
    <t>b3)</t>
  </si>
  <si>
    <t>Proporción de capital propio</t>
  </si>
  <si>
    <t>b4)</t>
  </si>
  <si>
    <t>Proporción de capital ajeno</t>
  </si>
  <si>
    <t>b5)</t>
  </si>
  <si>
    <t>Equilibrio patrimonial de LP</t>
  </si>
  <si>
    <t>c1)</t>
  </si>
  <si>
    <t>Margen Bruto sobre Ventas</t>
  </si>
  <si>
    <t>c2)</t>
  </si>
  <si>
    <t>Margen Neto</t>
  </si>
  <si>
    <t>c3)</t>
  </si>
  <si>
    <t>Rendimiento económico neto (Ra)</t>
  </si>
  <si>
    <t>c4)</t>
  </si>
  <si>
    <t>Rendimiento de explotación (Ra")</t>
  </si>
  <si>
    <t>c5)</t>
  </si>
  <si>
    <t>ROE</t>
  </si>
  <si>
    <t>-</t>
  </si>
  <si>
    <t>Mercaderías</t>
  </si>
  <si>
    <t>Otras deudas CP</t>
  </si>
  <si>
    <t xml:space="preserve">Capital Social </t>
  </si>
  <si>
    <t>Esta inforamción surge de la contabilidad de costos, no está en los balances.</t>
  </si>
  <si>
    <t>Resultados no asignados</t>
  </si>
  <si>
    <t>Plazo medio de inventarios</t>
  </si>
  <si>
    <t>PMinv</t>
  </si>
  <si>
    <t>Bs cambio prom/ CMV * 365</t>
  </si>
  <si>
    <t>Plazo medio de cobro</t>
  </si>
  <si>
    <t>PMcli</t>
  </si>
  <si>
    <t>(Créd. x Ventas PROM. / Ventas + IVA) x 365</t>
  </si>
  <si>
    <t>Plazo medio de pago</t>
  </si>
  <si>
    <t>PMpr</t>
  </si>
  <si>
    <t>(Prov PROM/(Compras MP e insumos + IVA))*365</t>
  </si>
  <si>
    <t>Ciclo de negocio</t>
  </si>
  <si>
    <t>Plazo Invent. + Plazo Cobro</t>
  </si>
  <si>
    <t>Rotacion Inventarios</t>
  </si>
  <si>
    <t xml:space="preserve">(CMV/Bienes de Cbio PROM.) </t>
  </si>
  <si>
    <t>Rotacion del activo fijo</t>
  </si>
  <si>
    <t xml:space="preserve">Ventas anuales/ Activo fijo PROM </t>
  </si>
  <si>
    <t>Rotacion del activo total</t>
  </si>
  <si>
    <t>Ventas anuales/ Activo Total PROM</t>
  </si>
  <si>
    <t>Días o veces</t>
  </si>
  <si>
    <t>Vehículos</t>
  </si>
  <si>
    <t>Muebles y útiles</t>
  </si>
  <si>
    <t>Instalaciones</t>
  </si>
  <si>
    <t>Depreciaciones y amortizaciones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</si>
</sst>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\ * #,##0.00_ ;_ &quot;$&quot;\ * \-#,##0.00_ ;_ &quot;$&quot;\ * &quot;-&quot;??_ ;_ @_ "/>
    <numFmt numFmtId="165" formatCode="0.0000"/>
    <numFmt numFmtId="166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9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3" xfId="0" applyBorder="1"/>
    <xf numFmtId="164" fontId="0" fillId="0" borderId="4" xfId="0" applyNumberFormat="1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0" fontId="0" fillId="0" borderId="6" xfId="0" applyBorder="1"/>
    <xf numFmtId="0" fontId="0" fillId="0" borderId="7" xfId="0" applyBorder="1"/>
    <xf numFmtId="164" fontId="0" fillId="0" borderId="8" xfId="0" applyNumberFormat="1" applyBorder="1"/>
    <xf numFmtId="0" fontId="0" fillId="0" borderId="8" xfId="0" applyBorder="1"/>
    <xf numFmtId="0" fontId="0" fillId="0" borderId="0" xfId="0" applyNumberFormat="1"/>
    <xf numFmtId="0" fontId="1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0" xfId="0" applyFont="1"/>
    <xf numFmtId="0" fontId="1" fillId="0" borderId="19" xfId="0" applyFont="1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9" fontId="0" fillId="0" borderId="29" xfId="0" applyNumberFormat="1" applyBorder="1"/>
    <xf numFmtId="9" fontId="0" fillId="0" borderId="30" xfId="0" applyNumberFormat="1" applyBorder="1"/>
    <xf numFmtId="0" fontId="0" fillId="0" borderId="31" xfId="0" applyBorder="1"/>
    <xf numFmtId="0" fontId="0" fillId="0" borderId="32" xfId="0" applyBorder="1"/>
    <xf numFmtId="9" fontId="0" fillId="0" borderId="33" xfId="0" applyNumberFormat="1" applyBorder="1"/>
    <xf numFmtId="9" fontId="0" fillId="0" borderId="34" xfId="0" applyNumberForma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9" fontId="0" fillId="0" borderId="38" xfId="0" applyNumberFormat="1" applyBorder="1"/>
    <xf numFmtId="9" fontId="0" fillId="0" borderId="39" xfId="0" applyNumberFormat="1" applyBorder="1"/>
    <xf numFmtId="0" fontId="0" fillId="0" borderId="40" xfId="0" applyBorder="1"/>
    <xf numFmtId="9" fontId="0" fillId="0" borderId="41" xfId="0" applyNumberFormat="1" applyBorder="1"/>
    <xf numFmtId="0" fontId="0" fillId="0" borderId="42" xfId="0" applyBorder="1"/>
    <xf numFmtId="9" fontId="0" fillId="0" borderId="43" xfId="0" applyNumberFormat="1" applyBorder="1"/>
    <xf numFmtId="9" fontId="0" fillId="0" borderId="44" xfId="0" applyNumberFormat="1" applyBorder="1"/>
    <xf numFmtId="0" fontId="0" fillId="0" borderId="45" xfId="0" applyBorder="1"/>
    <xf numFmtId="0" fontId="0" fillId="0" borderId="46" xfId="0" applyBorder="1"/>
    <xf numFmtId="9" fontId="0" fillId="0" borderId="47" xfId="0" applyNumberFormat="1" applyBorder="1"/>
    <xf numFmtId="9" fontId="0" fillId="0" borderId="48" xfId="0" applyNumberFormat="1" applyBorder="1"/>
    <xf numFmtId="0" fontId="0" fillId="0" borderId="49" xfId="0" applyBorder="1"/>
    <xf numFmtId="0" fontId="0" fillId="0" borderId="50" xfId="0" applyBorder="1"/>
    <xf numFmtId="2" fontId="0" fillId="0" borderId="33" xfId="0" applyNumberFormat="1" applyBorder="1"/>
    <xf numFmtId="2" fontId="0" fillId="0" borderId="44" xfId="0" applyNumberFormat="1" applyBorder="1"/>
    <xf numFmtId="0" fontId="0" fillId="0" borderId="51" xfId="0" applyBorder="1"/>
    <xf numFmtId="2" fontId="0" fillId="0" borderId="38" xfId="0" applyNumberFormat="1" applyBorder="1"/>
    <xf numFmtId="2" fontId="0" fillId="0" borderId="52" xfId="0" applyNumberFormat="1" applyBorder="1"/>
    <xf numFmtId="2" fontId="0" fillId="0" borderId="47" xfId="0" applyNumberFormat="1" applyBorder="1"/>
    <xf numFmtId="2" fontId="0" fillId="0" borderId="48" xfId="0" applyNumberFormat="1" applyBorder="1"/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6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56" xfId="0" applyBorder="1"/>
    <xf numFmtId="0" fontId="0" fillId="0" borderId="57" xfId="0" applyBorder="1"/>
    <xf numFmtId="0" fontId="7" fillId="0" borderId="58" xfId="0" applyFont="1" applyBorder="1"/>
    <xf numFmtId="0" fontId="0" fillId="0" borderId="59" xfId="0" applyBorder="1"/>
    <xf numFmtId="0" fontId="0" fillId="0" borderId="60" xfId="0" applyBorder="1"/>
    <xf numFmtId="0" fontId="7" fillId="0" borderId="18" xfId="0" applyFont="1" applyBorder="1"/>
    <xf numFmtId="0" fontId="7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9" xfId="0" applyFont="1" applyBorder="1"/>
    <xf numFmtId="0" fontId="0" fillId="6" borderId="61" xfId="0" applyFill="1" applyBorder="1" applyAlignment="1">
      <alignment horizontal="center"/>
    </xf>
    <xf numFmtId="0" fontId="0" fillId="6" borderId="62" xfId="0" applyFill="1" applyBorder="1" applyAlignment="1">
      <alignment horizontal="center"/>
    </xf>
    <xf numFmtId="0" fontId="0" fillId="6" borderId="63" xfId="0" applyFill="1" applyBorder="1" applyAlignment="1">
      <alignment horizontal="center"/>
    </xf>
    <xf numFmtId="0" fontId="0" fillId="7" borderId="61" xfId="0" applyFill="1" applyBorder="1" applyAlignment="1">
      <alignment horizontal="center"/>
    </xf>
    <xf numFmtId="0" fontId="0" fillId="7" borderId="62" xfId="0" applyFill="1" applyBorder="1" applyAlignment="1">
      <alignment horizontal="center"/>
    </xf>
    <xf numFmtId="0" fontId="0" fillId="7" borderId="63" xfId="0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6" borderId="53" xfId="0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center"/>
    </xf>
    <xf numFmtId="10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1" fillId="0" borderId="13" xfId="0" applyFont="1" applyBorder="1" applyAlignment="1">
      <alignment horizontal="right"/>
    </xf>
    <xf numFmtId="1" fontId="1" fillId="0" borderId="14" xfId="0" applyNumberFormat="1" applyFont="1" applyBorder="1"/>
    <xf numFmtId="0" fontId="0" fillId="0" borderId="16" xfId="0" applyBorder="1" applyAlignment="1">
      <alignment horizontal="right"/>
    </xf>
    <xf numFmtId="1" fontId="0" fillId="0" borderId="17" xfId="0" applyNumberFormat="1" applyBorder="1"/>
    <xf numFmtId="0" fontId="1" fillId="0" borderId="0" xfId="0" applyFont="1" applyAlignment="1">
      <alignment horizontal="right"/>
    </xf>
    <xf numFmtId="1" fontId="1" fillId="0" borderId="19" xfId="0" applyNumberFormat="1" applyFont="1" applyBorder="1"/>
    <xf numFmtId="0" fontId="0" fillId="0" borderId="0" xfId="0" applyAlignment="1">
      <alignment horizontal="right"/>
    </xf>
    <xf numFmtId="1" fontId="0" fillId="0" borderId="19" xfId="0" applyNumberFormat="1" applyBorder="1" applyAlignment="1">
      <alignment horizontal="right"/>
    </xf>
    <xf numFmtId="0" fontId="1" fillId="0" borderId="21" xfId="0" applyFont="1" applyBorder="1" applyAlignment="1">
      <alignment horizontal="right"/>
    </xf>
    <xf numFmtId="1" fontId="1" fillId="0" borderId="22" xfId="0" applyNumberFormat="1" applyFont="1" applyBorder="1"/>
    <xf numFmtId="0" fontId="1" fillId="0" borderId="24" xfId="0" applyFont="1" applyBorder="1" applyAlignment="1">
      <alignment horizontal="right"/>
    </xf>
    <xf numFmtId="1" fontId="1" fillId="0" borderId="25" xfId="0" applyNumberFormat="1" applyFont="1" applyBorder="1"/>
    <xf numFmtId="1" fontId="0" fillId="0" borderId="44" xfId="0" applyNumberFormat="1" applyBorder="1"/>
    <xf numFmtId="0" fontId="10" fillId="0" borderId="5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2" borderId="53" xfId="0" applyFill="1" applyBorder="1" applyAlignment="1">
      <alignment horizontal="left"/>
    </xf>
    <xf numFmtId="0" fontId="0" fillId="2" borderId="61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2" borderId="54" xfId="0" applyFill="1" applyBorder="1" applyAlignment="1">
      <alignment horizontal="left"/>
    </xf>
    <xf numFmtId="0" fontId="0" fillId="2" borderId="55" xfId="0" applyFill="1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9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57" xfId="0" applyBorder="1" applyAlignment="1">
      <alignment horizontal="left"/>
    </xf>
    <xf numFmtId="0" fontId="7" fillId="0" borderId="58" xfId="0" applyFont="1" applyBorder="1" applyAlignment="1">
      <alignment horizontal="left"/>
    </xf>
    <xf numFmtId="0" fontId="0" fillId="0" borderId="59" xfId="0" applyBorder="1" applyAlignment="1">
      <alignment horizontal="left"/>
    </xf>
    <xf numFmtId="0" fontId="0" fillId="0" borderId="60" xfId="0" applyBorder="1" applyAlignment="1">
      <alignment horizontal="left"/>
    </xf>
    <xf numFmtId="0" fontId="0" fillId="2" borderId="62" xfId="0" applyFill="1" applyBorder="1" applyAlignment="1">
      <alignment horizontal="left"/>
    </xf>
    <xf numFmtId="0" fontId="0" fillId="2" borderId="63" xfId="0" applyFill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6" borderId="53" xfId="0" applyFill="1" applyBorder="1" applyAlignment="1">
      <alignment horizontal="left"/>
    </xf>
    <xf numFmtId="0" fontId="0" fillId="6" borderId="54" xfId="0" applyFill="1" applyBorder="1" applyAlignment="1">
      <alignment horizontal="left"/>
    </xf>
    <xf numFmtId="0" fontId="0" fillId="6" borderId="55" xfId="0" applyFill="1" applyBorder="1" applyAlignment="1">
      <alignment horizontal="left"/>
    </xf>
    <xf numFmtId="0" fontId="0" fillId="6" borderId="61" xfId="0" applyFill="1" applyBorder="1" applyAlignment="1">
      <alignment horizontal="left"/>
    </xf>
    <xf numFmtId="0" fontId="0" fillId="6" borderId="62" xfId="0" applyFill="1" applyBorder="1" applyAlignment="1">
      <alignment horizontal="left"/>
    </xf>
    <xf numFmtId="0" fontId="0" fillId="6" borderId="63" xfId="0" applyFill="1" applyBorder="1" applyAlignment="1">
      <alignment horizontal="left"/>
    </xf>
    <xf numFmtId="0" fontId="0" fillId="7" borderId="61" xfId="0" applyFill="1" applyBorder="1" applyAlignment="1">
      <alignment horizontal="left"/>
    </xf>
    <xf numFmtId="0" fontId="0" fillId="7" borderId="62" xfId="0" applyFill="1" applyBorder="1" applyAlignment="1">
      <alignment horizontal="left"/>
    </xf>
    <xf numFmtId="0" fontId="0" fillId="7" borderId="63" xfId="0" applyFill="1" applyBorder="1" applyAlignment="1">
      <alignment horizontal="left"/>
    </xf>
    <xf numFmtId="0" fontId="0" fillId="0" borderId="21" xfId="0" applyBorder="1" applyAlignment="1">
      <alignment horizontal="left"/>
    </xf>
    <xf numFmtId="0" fontId="1" fillId="8" borderId="1" xfId="0" applyFont="1" applyFill="1" applyBorder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left"/>
    </xf>
    <xf numFmtId="9" fontId="0" fillId="0" borderId="0" xfId="0" applyNumberFormat="1" applyAlignment="1">
      <alignment horizontal="left"/>
    </xf>
    <xf numFmtId="1" fontId="1" fillId="0" borderId="0" xfId="0" applyNumberFormat="1" applyFont="1"/>
    <xf numFmtId="9" fontId="0" fillId="0" borderId="38" xfId="0" applyNumberFormat="1" applyBorder="1" applyAlignment="1">
      <alignment horizontal="right"/>
    </xf>
    <xf numFmtId="9" fontId="0" fillId="0" borderId="39" xfId="0" applyNumberFormat="1" applyBorder="1" applyAlignment="1">
      <alignment horizontal="right"/>
    </xf>
    <xf numFmtId="9" fontId="0" fillId="0" borderId="41" xfId="0" applyNumberFormat="1" applyBorder="1" applyAlignment="1">
      <alignment horizontal="right"/>
    </xf>
    <xf numFmtId="9" fontId="0" fillId="0" borderId="34" xfId="0" applyNumberFormat="1" applyBorder="1" applyAlignment="1">
      <alignment horizontal="right"/>
    </xf>
    <xf numFmtId="9" fontId="0" fillId="0" borderId="0" xfId="1" applyFont="1" applyAlignment="1">
      <alignment horizontal="left"/>
    </xf>
    <xf numFmtId="1" fontId="0" fillId="0" borderId="33" xfId="0" applyNumberFormat="1" applyBorder="1" applyAlignment="1">
      <alignment horizontal="right"/>
    </xf>
    <xf numFmtId="1" fontId="0" fillId="0" borderId="44" xfId="0" applyNumberFormat="1" applyBorder="1" applyAlignment="1">
      <alignment horizontal="right"/>
    </xf>
    <xf numFmtId="0" fontId="11" fillId="0" borderId="5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" fontId="0" fillId="0" borderId="38" xfId="0" applyNumberFormat="1" applyBorder="1" applyAlignment="1">
      <alignment horizontal="right"/>
    </xf>
    <xf numFmtId="1" fontId="0" fillId="0" borderId="52" xfId="0" applyNumberFormat="1" applyBorder="1" applyAlignment="1">
      <alignment horizontal="right"/>
    </xf>
    <xf numFmtId="1" fontId="0" fillId="0" borderId="47" xfId="0" applyNumberFormat="1" applyBorder="1" applyAlignment="1">
      <alignment horizontal="right"/>
    </xf>
    <xf numFmtId="1" fontId="0" fillId="0" borderId="48" xfId="0" applyNumberFormat="1" applyBorder="1" applyAlignment="1">
      <alignment horizontal="right"/>
    </xf>
    <xf numFmtId="0" fontId="5" fillId="0" borderId="0" xfId="0" applyFont="1" applyAlignment="1">
      <alignment horizontal="left"/>
    </xf>
    <xf numFmtId="0" fontId="0" fillId="6" borderId="53" xfId="0" applyFill="1" applyBorder="1" applyAlignment="1">
      <alignment horizontal="left"/>
    </xf>
    <xf numFmtId="0" fontId="0" fillId="6" borderId="54" xfId="0" applyFill="1" applyBorder="1" applyAlignment="1">
      <alignment horizontal="left"/>
    </xf>
    <xf numFmtId="0" fontId="0" fillId="6" borderId="55" xfId="0" applyFill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107951</xdr:colOff>
      <xdr:row>7</xdr:row>
      <xdr:rowOff>127001</xdr:rowOff>
    </xdr:from>
    <xdr:to>
      <xdr:col>2</xdr:col>
      <xdr:colOff>1923963</xdr:colOff>
      <xdr:row>14</xdr:row>
      <xdr:rowOff>177801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CE68E3-02AB-4AAA-9DA4-28481DF3A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51" y="1416051"/>
          <a:ext cx="4851312" cy="1339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7</xdr:row>
      <xdr:rowOff>157832</xdr:rowOff>
    </xdr:from>
    <xdr:to>
      <xdr:col>8</xdr:col>
      <xdr:colOff>503393</xdr:colOff>
      <xdr:row>11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A7374F-F87E-403D-B2DA-304A5E923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" y="1446882"/>
          <a:ext cx="5951693" cy="7057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122971</xdr:rowOff>
    </xdr:from>
    <xdr:to>
      <xdr:col>8</xdr:col>
      <xdr:colOff>343005</xdr:colOff>
      <xdr:row>12</xdr:row>
      <xdr:rowOff>82550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0B3F34-7261-40CD-8983-F8FE4E9D1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12021"/>
          <a:ext cx="5797655" cy="8803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</xdr:rowOff>
    </xdr:from>
    <xdr:to>
      <xdr:col>8</xdr:col>
      <xdr:colOff>290933</xdr:colOff>
      <xdr:row>11</xdr:row>
      <xdr:rowOff>120651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2DFD03-6C03-4F53-9359-84C5B73CA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3201"/>
          <a:ext cx="5745583" cy="67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K19" sqref="K19"/>
    </sheetView>
  </sheetViews>
  <sheetFormatPr baseColWidth="10" defaultColWidth="8.7265625" defaultRowHeight="14.5" x14ac:dyDescent="0.35"/>
  <cols>
    <col min="1" max="1" width="9" bestFit="1" customWidth="1"/>
    <col min="2" max="2" width="16.7265625" bestFit="1" customWidth="1"/>
  </cols>
  <sheetData>
    <row r="1" spans="1:3" x14ac:dyDescent="0.35">
      <c r="A1" s="1" t="s">
        <v>0</v>
      </c>
      <c r="B1" s="2" t="s">
        <v>1</v>
      </c>
      <c r="C1" s="2"/>
    </row>
    <row r="2" spans="1:3" x14ac:dyDescent="0.35">
      <c r="A2" s="1" t="s">
        <v>2</v>
      </c>
      <c r="B2" s="2" t="s">
        <v>3</v>
      </c>
      <c r="C2" s="2"/>
    </row>
    <row r="3" spans="1:3" x14ac:dyDescent="0.35">
      <c r="A3" s="1" t="s">
        <v>4</v>
      </c>
      <c r="B3" s="3" t="s">
        <v>5</v>
      </c>
      <c r="C3" s="2"/>
    </row>
    <row r="4" spans="1:3" x14ac:dyDescent="0.35">
      <c r="A4" s="2"/>
      <c r="B4" s="1" t="s">
        <v>6</v>
      </c>
      <c r="C4" s="1" t="s">
        <v>7</v>
      </c>
    </row>
    <row r="5" spans="1:3" x14ac:dyDescent="0.35">
      <c r="A5" s="2"/>
      <c r="B5" s="3" t="s">
        <v>8</v>
      </c>
      <c r="C5" s="3">
        <v>1724083</v>
      </c>
    </row>
    <row r="6" spans="1:3" x14ac:dyDescent="0.35">
      <c r="A6" s="2"/>
      <c r="B6" s="3" t="s">
        <v>9</v>
      </c>
      <c r="C6" s="2">
        <v>1726924</v>
      </c>
    </row>
    <row r="7" spans="1:3" x14ac:dyDescent="0.35">
      <c r="A7" s="2"/>
      <c r="B7" s="3" t="s">
        <v>10</v>
      </c>
      <c r="C7" s="3">
        <v>1730680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D1C1-9AB6-4C00-BB2E-D3B67A9E7287}">
  <dimension ref="A1:C37"/>
  <sheetViews>
    <sheetView topLeftCell="A28" workbookViewId="0">
      <selection activeCell="C38" sqref="C38"/>
    </sheetView>
  </sheetViews>
  <sheetFormatPr baseColWidth="10" defaultColWidth="8.7265625" defaultRowHeight="14.5" x14ac:dyDescent="0.35"/>
  <cols>
    <col min="1" max="1" width="26.7265625" bestFit="1" customWidth="1"/>
    <col min="2" max="2" width="16.7265625" bestFit="1" customWidth="1"/>
    <col min="3" max="3" width="28.26953125" bestFit="1" customWidth="1"/>
    <col min="5" max="5" width="14" customWidth="1"/>
    <col min="6" max="6" width="18.26953125" customWidth="1"/>
    <col min="7" max="7" width="13.6328125" bestFit="1" customWidth="1"/>
    <col min="8" max="8" width="28.26953125" bestFit="1" customWidth="1"/>
  </cols>
  <sheetData>
    <row r="1" spans="1:3" x14ac:dyDescent="0.35">
      <c r="A1" s="1" t="s">
        <v>0</v>
      </c>
      <c r="B1" s="2" t="s">
        <v>1</v>
      </c>
      <c r="C1" s="2"/>
    </row>
    <row r="2" spans="1:3" x14ac:dyDescent="0.35">
      <c r="A2" s="1" t="s">
        <v>2</v>
      </c>
      <c r="B2" s="2" t="s">
        <v>3</v>
      </c>
      <c r="C2" s="2"/>
    </row>
    <row r="3" spans="1:3" x14ac:dyDescent="0.35">
      <c r="A3" s="1" t="s">
        <v>4</v>
      </c>
      <c r="B3" s="3" t="s">
        <v>5</v>
      </c>
      <c r="C3" s="2"/>
    </row>
    <row r="4" spans="1:3" x14ac:dyDescent="0.35">
      <c r="A4" s="2"/>
      <c r="B4" s="1" t="s">
        <v>6</v>
      </c>
      <c r="C4" s="1" t="s">
        <v>7</v>
      </c>
    </row>
    <row r="5" spans="1:3" x14ac:dyDescent="0.35">
      <c r="A5" s="2"/>
      <c r="B5" s="3" t="s">
        <v>8</v>
      </c>
      <c r="C5" s="3">
        <v>1724083</v>
      </c>
    </row>
    <row r="6" spans="1:3" x14ac:dyDescent="0.35">
      <c r="A6" s="2"/>
      <c r="B6" s="3" t="s">
        <v>9</v>
      </c>
      <c r="C6" s="2">
        <v>1726924</v>
      </c>
    </row>
    <row r="7" spans="1:3" x14ac:dyDescent="0.35">
      <c r="A7" s="2"/>
      <c r="B7" s="3" t="s">
        <v>10</v>
      </c>
      <c r="C7" s="3">
        <v>1730680</v>
      </c>
    </row>
    <row r="16" spans="1:3" ht="15" thickBot="1" x14ac:dyDescent="0.4"/>
    <row r="17" spans="1:3" ht="15" thickBot="1" x14ac:dyDescent="0.4">
      <c r="B17" s="4" t="s">
        <v>11</v>
      </c>
      <c r="C17" s="4" t="s">
        <v>12</v>
      </c>
    </row>
    <row r="18" spans="1:3" x14ac:dyDescent="0.35">
      <c r="A18" s="5" t="s">
        <v>13</v>
      </c>
      <c r="B18" s="6">
        <v>6560000</v>
      </c>
      <c r="C18" s="7" t="s">
        <v>14</v>
      </c>
    </row>
    <row r="19" spans="1:3" x14ac:dyDescent="0.35">
      <c r="A19" s="8" t="s">
        <v>15</v>
      </c>
      <c r="B19" s="9">
        <v>550000</v>
      </c>
      <c r="C19" s="10" t="s">
        <v>16</v>
      </c>
    </row>
    <row r="20" spans="1:3" x14ac:dyDescent="0.35">
      <c r="A20" s="8" t="s">
        <v>17</v>
      </c>
      <c r="B20" s="9">
        <v>700000</v>
      </c>
      <c r="C20" s="10" t="s">
        <v>16</v>
      </c>
    </row>
    <row r="21" spans="1:3" x14ac:dyDescent="0.35">
      <c r="A21" s="8" t="s">
        <v>18</v>
      </c>
      <c r="B21" s="9">
        <v>300000</v>
      </c>
      <c r="C21" s="10" t="s">
        <v>19</v>
      </c>
    </row>
    <row r="22" spans="1:3" x14ac:dyDescent="0.35">
      <c r="A22" s="8" t="s">
        <v>20</v>
      </c>
      <c r="B22" s="9">
        <v>600000</v>
      </c>
      <c r="C22" s="10" t="s">
        <v>21</v>
      </c>
    </row>
    <row r="23" spans="1:3" x14ac:dyDescent="0.35">
      <c r="A23" s="8" t="s">
        <v>22</v>
      </c>
      <c r="B23" s="9">
        <v>1050000</v>
      </c>
      <c r="C23" s="10" t="s">
        <v>16</v>
      </c>
    </row>
    <row r="24" spans="1:3" x14ac:dyDescent="0.35">
      <c r="A24" s="8" t="s">
        <v>23</v>
      </c>
      <c r="B24" s="9">
        <v>2125000</v>
      </c>
      <c r="C24" s="10" t="s">
        <v>24</v>
      </c>
    </row>
    <row r="25" spans="1:3" x14ac:dyDescent="0.35">
      <c r="A25" s="8" t="s">
        <v>25</v>
      </c>
      <c r="B25" s="9">
        <v>4050000</v>
      </c>
      <c r="C25" s="10" t="s">
        <v>24</v>
      </c>
    </row>
    <row r="26" spans="1:3" x14ac:dyDescent="0.35">
      <c r="A26" s="8" t="s">
        <v>26</v>
      </c>
      <c r="B26" s="9">
        <v>4250000</v>
      </c>
      <c r="C26" s="10" t="s">
        <v>14</v>
      </c>
    </row>
    <row r="27" spans="1:3" x14ac:dyDescent="0.35">
      <c r="A27" s="8" t="s">
        <v>27</v>
      </c>
      <c r="B27" s="9">
        <v>5175000</v>
      </c>
      <c r="C27" s="10" t="s">
        <v>28</v>
      </c>
    </row>
    <row r="28" spans="1:3" ht="15" thickBot="1" x14ac:dyDescent="0.4">
      <c r="A28" s="11" t="s">
        <v>29</v>
      </c>
      <c r="B28" s="12">
        <v>2475000</v>
      </c>
      <c r="C28" s="13" t="s">
        <v>16</v>
      </c>
    </row>
    <row r="30" spans="1:3" x14ac:dyDescent="0.35">
      <c r="A30" t="s">
        <v>30</v>
      </c>
    </row>
    <row r="31" spans="1:3" x14ac:dyDescent="0.35">
      <c r="A31" t="s">
        <v>31</v>
      </c>
    </row>
    <row r="33" spans="1:3" x14ac:dyDescent="0.35">
      <c r="A33" s="15" t="s">
        <v>32</v>
      </c>
      <c r="B33" s="16">
        <f>+B19/(B18*1.21)*12</f>
        <v>0.83148558758314861</v>
      </c>
      <c r="C33" s="14" t="s">
        <v>33</v>
      </c>
    </row>
    <row r="34" spans="1:3" x14ac:dyDescent="0.35">
      <c r="A34" s="15" t="s">
        <v>34</v>
      </c>
      <c r="B34" s="17">
        <f>+((B20/B24)+((B22+B21)/2)/B25+B23/B26)*12</f>
        <v>8.2509803921568619</v>
      </c>
      <c r="C34" s="14" t="s">
        <v>33</v>
      </c>
    </row>
    <row r="35" spans="1:3" x14ac:dyDescent="0.35">
      <c r="A35" s="15" t="s">
        <v>35</v>
      </c>
      <c r="B35" s="18">
        <f>+B33+B34</f>
        <v>9.0824659797400109</v>
      </c>
      <c r="C35" s="14" t="s">
        <v>33</v>
      </c>
    </row>
    <row r="36" spans="1:3" x14ac:dyDescent="0.35">
      <c r="A36" s="19" t="s">
        <v>36</v>
      </c>
      <c r="B36" s="17">
        <f>+B28/B27*12</f>
        <v>5.7391304347826093</v>
      </c>
      <c r="C36" s="14" t="s">
        <v>33</v>
      </c>
    </row>
    <row r="37" spans="1:3" x14ac:dyDescent="0.35">
      <c r="A37" s="20" t="s">
        <v>37</v>
      </c>
      <c r="B37" s="21">
        <f>+B35-B36</f>
        <v>3.3433355449574016</v>
      </c>
      <c r="C37" s="14" t="s">
        <v>33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6975-5C14-4F8D-92A4-F6947C0ADB3C}">
  <dimension ref="A1:X40"/>
  <sheetViews>
    <sheetView zoomScale="70" zoomScaleNormal="70" workbookViewId="0">
      <selection activeCell="W23" sqref="W23"/>
    </sheetView>
  </sheetViews>
  <sheetFormatPr baseColWidth="10" defaultColWidth="8.7265625" defaultRowHeight="14.5" x14ac:dyDescent="0.35"/>
  <cols>
    <col min="1" max="1" width="9" bestFit="1" customWidth="1"/>
    <col min="2" max="2" width="16.7265625" bestFit="1" customWidth="1"/>
    <col min="10" max="10" width="22.90625" bestFit="1" customWidth="1"/>
    <col min="11" max="11" width="8" customWidth="1"/>
    <col min="23" max="24" width="9.36328125" bestFit="1" customWidth="1"/>
  </cols>
  <sheetData>
    <row r="1" spans="1:24" ht="15" thickBot="1" x14ac:dyDescent="0.4">
      <c r="A1" s="1" t="s">
        <v>0</v>
      </c>
      <c r="B1" s="2" t="s">
        <v>1</v>
      </c>
      <c r="C1" s="2"/>
      <c r="L1" s="22" t="s">
        <v>38</v>
      </c>
      <c r="V1" s="33"/>
      <c r="W1" s="111">
        <v>2009</v>
      </c>
      <c r="X1" s="111">
        <v>2010</v>
      </c>
    </row>
    <row r="2" spans="1:24" ht="15" thickBot="1" x14ac:dyDescent="0.4">
      <c r="A2" s="1" t="s">
        <v>2</v>
      </c>
      <c r="B2" s="2" t="s">
        <v>3</v>
      </c>
      <c r="C2" s="2"/>
      <c r="J2" s="97" t="s">
        <v>63</v>
      </c>
      <c r="K2" s="98"/>
      <c r="L2" s="75">
        <v>2009</v>
      </c>
      <c r="M2" s="76">
        <v>2010</v>
      </c>
      <c r="N2" s="77" t="s">
        <v>64</v>
      </c>
      <c r="R2" s="110" t="s">
        <v>89</v>
      </c>
      <c r="S2" s="110" t="s">
        <v>90</v>
      </c>
      <c r="T2" s="110"/>
      <c r="U2" s="110"/>
      <c r="V2" s="33"/>
      <c r="W2" s="113">
        <f>+L9/L19</f>
        <v>1.7333333333333334</v>
      </c>
      <c r="X2" s="113">
        <f>+M9/M19</f>
        <v>1.4826325411334551</v>
      </c>
    </row>
    <row r="3" spans="1:24" x14ac:dyDescent="0.35">
      <c r="A3" s="1" t="s">
        <v>4</v>
      </c>
      <c r="B3" s="3" t="s">
        <v>5</v>
      </c>
      <c r="C3" s="2"/>
      <c r="J3" s="99" t="s">
        <v>65</v>
      </c>
      <c r="K3" s="100"/>
      <c r="L3" s="100"/>
      <c r="M3" s="101"/>
      <c r="N3" s="23"/>
      <c r="R3" s="110" t="s">
        <v>91</v>
      </c>
      <c r="S3" s="110" t="s">
        <v>92</v>
      </c>
      <c r="T3" s="110"/>
      <c r="U3" s="110"/>
      <c r="V3" s="33"/>
      <c r="W3" s="113">
        <f>+(L9-SUM(L6:L8))/L19</f>
        <v>1.3066666666666666</v>
      </c>
      <c r="X3" s="113">
        <f>+(M9-SUM(M6:M8))/M19</f>
        <v>1.1184643510054844</v>
      </c>
    </row>
    <row r="4" spans="1:24" x14ac:dyDescent="0.35">
      <c r="A4" s="2"/>
      <c r="B4" s="1" t="s">
        <v>6</v>
      </c>
      <c r="C4" s="1" t="s">
        <v>7</v>
      </c>
      <c r="J4" s="35" t="s">
        <v>66</v>
      </c>
      <c r="L4">
        <v>180</v>
      </c>
      <c r="M4" s="36">
        <v>225.6</v>
      </c>
      <c r="N4" s="78">
        <v>0.25</v>
      </c>
      <c r="R4" s="110" t="s">
        <v>93</v>
      </c>
      <c r="S4" s="110" t="s">
        <v>94</v>
      </c>
      <c r="T4" s="110"/>
      <c r="U4" s="110"/>
      <c r="V4" s="33"/>
      <c r="W4" s="113">
        <f>+L4/L19</f>
        <v>0.24</v>
      </c>
      <c r="X4" s="113">
        <f>+M4/M19</f>
        <v>0.20621572212065814</v>
      </c>
    </row>
    <row r="5" spans="1:24" x14ac:dyDescent="0.35">
      <c r="A5" s="2"/>
      <c r="B5" s="3" t="s">
        <v>8</v>
      </c>
      <c r="C5" s="3">
        <v>1724083</v>
      </c>
      <c r="J5" s="35" t="s">
        <v>67</v>
      </c>
      <c r="L5">
        <v>800</v>
      </c>
      <c r="M5" s="36">
        <v>998</v>
      </c>
      <c r="N5" s="78">
        <v>0.25</v>
      </c>
      <c r="R5" s="33"/>
      <c r="S5" s="33"/>
      <c r="T5" s="33"/>
      <c r="U5" s="33"/>
      <c r="V5" s="33"/>
      <c r="W5" s="113"/>
      <c r="X5" s="113"/>
    </row>
    <row r="6" spans="1:24" x14ac:dyDescent="0.35">
      <c r="A6" s="2"/>
      <c r="B6" s="3" t="s">
        <v>9</v>
      </c>
      <c r="C6" s="2">
        <v>1726924</v>
      </c>
      <c r="J6" s="35" t="s">
        <v>68</v>
      </c>
      <c r="L6">
        <v>100</v>
      </c>
      <c r="M6" s="36">
        <v>200</v>
      </c>
      <c r="N6" s="78">
        <v>1</v>
      </c>
      <c r="R6" s="33" t="s">
        <v>95</v>
      </c>
      <c r="S6" s="33" t="s">
        <v>96</v>
      </c>
      <c r="T6" s="33"/>
      <c r="U6" s="33"/>
      <c r="V6" s="33"/>
      <c r="W6" s="113">
        <f>+L14/L25</f>
        <v>2.7777777777777777</v>
      </c>
      <c r="X6" s="113">
        <f>+M14/M25</f>
        <v>3.2106481481481484</v>
      </c>
    </row>
    <row r="7" spans="1:24" x14ac:dyDescent="0.35">
      <c r="A7" s="2"/>
      <c r="B7" s="3" t="s">
        <v>10</v>
      </c>
      <c r="C7" s="3">
        <v>1730680</v>
      </c>
      <c r="J7" s="35" t="s">
        <v>69</v>
      </c>
      <c r="L7">
        <v>200</v>
      </c>
      <c r="M7" s="36">
        <v>159</v>
      </c>
      <c r="N7" s="78">
        <v>-0.21</v>
      </c>
      <c r="R7" s="33" t="s">
        <v>97</v>
      </c>
      <c r="S7" s="33" t="s">
        <v>98</v>
      </c>
      <c r="T7" s="33"/>
      <c r="U7" s="33"/>
      <c r="V7" s="33"/>
      <c r="W7" s="113">
        <f>+(L19+L22)/L25</f>
        <v>1.7777777777777777</v>
      </c>
      <c r="X7" s="113">
        <f>+(M19+M22)/M25</f>
        <v>2.2106481481481484</v>
      </c>
    </row>
    <row r="8" spans="1:24" x14ac:dyDescent="0.35">
      <c r="J8" s="79" t="s">
        <v>70</v>
      </c>
      <c r="K8" s="70"/>
      <c r="L8" s="70">
        <v>20</v>
      </c>
      <c r="M8" s="80">
        <v>39.4</v>
      </c>
      <c r="N8" s="78">
        <v>0.97</v>
      </c>
      <c r="R8" s="33" t="s">
        <v>99</v>
      </c>
      <c r="S8" s="33" t="s">
        <v>100</v>
      </c>
      <c r="T8" s="33"/>
      <c r="U8" s="33"/>
      <c r="V8" s="33"/>
      <c r="W8" s="113">
        <f>+L25/L14</f>
        <v>0.36</v>
      </c>
      <c r="X8" s="113">
        <f>+M25/M14</f>
        <v>0.31146359048305694</v>
      </c>
    </row>
    <row r="9" spans="1:24" x14ac:dyDescent="0.35">
      <c r="J9" s="81" t="s">
        <v>71</v>
      </c>
      <c r="K9" s="82"/>
      <c r="L9" s="82">
        <f>SUM(L4:L8)</f>
        <v>1300</v>
      </c>
      <c r="M9" s="83">
        <f>SUM(M4:M8)</f>
        <v>1622</v>
      </c>
      <c r="N9" s="23"/>
      <c r="R9" s="33" t="s">
        <v>101</v>
      </c>
      <c r="S9" s="33" t="s">
        <v>102</v>
      </c>
      <c r="T9" s="33"/>
      <c r="U9" s="33"/>
      <c r="V9" s="33"/>
      <c r="W9" s="113">
        <f>+(L19+L22)/L14</f>
        <v>0.64</v>
      </c>
      <c r="X9" s="113">
        <f>+(M19+M22)/M14</f>
        <v>0.68853640951694306</v>
      </c>
    </row>
    <row r="10" spans="1:24" x14ac:dyDescent="0.35">
      <c r="J10" s="102" t="s">
        <v>72</v>
      </c>
      <c r="K10" s="103"/>
      <c r="L10" s="103"/>
      <c r="M10" s="104"/>
      <c r="N10" s="23"/>
      <c r="R10" s="33" t="s">
        <v>103</v>
      </c>
      <c r="S10" s="33" t="s">
        <v>104</v>
      </c>
      <c r="T10" s="33"/>
      <c r="U10" s="33"/>
      <c r="V10" s="33"/>
      <c r="W10" s="113">
        <f>+(L22+L25)/L13</f>
        <v>1.4583333333333333</v>
      </c>
      <c r="X10" s="113">
        <f>+(M22+M25)/M13</f>
        <v>1.4583333333333333</v>
      </c>
    </row>
    <row r="11" spans="1:24" x14ac:dyDescent="0.35">
      <c r="J11" s="35" t="s">
        <v>73</v>
      </c>
      <c r="L11">
        <v>1100</v>
      </c>
      <c r="M11" s="36">
        <v>1056</v>
      </c>
      <c r="N11" s="78">
        <v>-0.04</v>
      </c>
      <c r="R11" s="33"/>
      <c r="S11" s="33"/>
      <c r="T11" s="33"/>
      <c r="U11" s="33"/>
      <c r="V11" s="33"/>
      <c r="W11" s="113"/>
      <c r="X11" s="113"/>
    </row>
    <row r="12" spans="1:24" x14ac:dyDescent="0.35">
      <c r="J12" s="79" t="s">
        <v>74</v>
      </c>
      <c r="K12" s="70"/>
      <c r="L12" s="70">
        <v>100</v>
      </c>
      <c r="M12" s="80">
        <v>96</v>
      </c>
      <c r="N12" s="78">
        <v>-0.04</v>
      </c>
      <c r="R12" s="33" t="s">
        <v>105</v>
      </c>
      <c r="S12" s="33" t="s">
        <v>106</v>
      </c>
      <c r="T12" s="33"/>
      <c r="U12" s="33"/>
      <c r="V12" s="33"/>
      <c r="W12" s="112">
        <f>+D18/D16</f>
        <v>0.44892857142857145</v>
      </c>
      <c r="X12" s="112">
        <f>+E18/E16</f>
        <v>0.44921316165951358</v>
      </c>
    </row>
    <row r="13" spans="1:24" ht="15" thickBot="1" x14ac:dyDescent="0.4">
      <c r="J13" s="84" t="s">
        <v>75</v>
      </c>
      <c r="K13" s="85"/>
      <c r="L13">
        <f>SUM(L11:L12)</f>
        <v>1200</v>
      </c>
      <c r="M13" s="36">
        <f>SUM(M11:M12)</f>
        <v>1152</v>
      </c>
      <c r="N13" s="23"/>
      <c r="R13" s="33" t="s">
        <v>107</v>
      </c>
      <c r="S13" s="33" t="s">
        <v>108</v>
      </c>
      <c r="T13" s="33"/>
      <c r="U13" s="33"/>
      <c r="V13" s="33"/>
      <c r="W13" s="112">
        <f>+D25/D16</f>
        <v>5.6178571428571432E-2</v>
      </c>
      <c r="X13" s="112">
        <f>+E25/E16</f>
        <v>9.4852646638054358E-2</v>
      </c>
    </row>
    <row r="14" spans="1:24" ht="15" thickBot="1" x14ac:dyDescent="0.4">
      <c r="D14" s="22" t="s">
        <v>38</v>
      </c>
      <c r="E14" s="23"/>
      <c r="J14" s="105" t="s">
        <v>76</v>
      </c>
      <c r="K14" s="106"/>
      <c r="L14" s="86">
        <f>SUM(L13,L9)</f>
        <v>2500</v>
      </c>
      <c r="M14" s="87">
        <f>SUM(M13,M9)</f>
        <v>2774</v>
      </c>
      <c r="N14" s="23"/>
      <c r="R14" s="33" t="s">
        <v>109</v>
      </c>
      <c r="S14" s="33" t="s">
        <v>110</v>
      </c>
      <c r="T14" s="33"/>
      <c r="U14" s="33"/>
      <c r="V14" s="33"/>
      <c r="W14" s="112" t="s">
        <v>115</v>
      </c>
      <c r="X14" s="112">
        <f>+E25/AVERAGE(L14:M14)</f>
        <v>0.1257148274554418</v>
      </c>
    </row>
    <row r="15" spans="1:24" ht="15" thickBot="1" x14ac:dyDescent="0.4">
      <c r="A15" s="95" t="s">
        <v>39</v>
      </c>
      <c r="B15" s="96"/>
      <c r="C15" s="96"/>
      <c r="D15" s="24">
        <v>2009</v>
      </c>
      <c r="E15" s="25">
        <v>2010</v>
      </c>
      <c r="F15" s="77" t="s">
        <v>64</v>
      </c>
      <c r="J15" s="107" t="s">
        <v>77</v>
      </c>
      <c r="K15" s="108"/>
      <c r="L15" s="108"/>
      <c r="M15" s="109"/>
      <c r="R15" s="33" t="s">
        <v>111</v>
      </c>
      <c r="S15" s="33" t="s">
        <v>112</v>
      </c>
      <c r="T15" s="33"/>
      <c r="U15" s="33"/>
      <c r="V15" s="33"/>
      <c r="W15" s="112" t="s">
        <v>115</v>
      </c>
      <c r="X15" s="112">
        <f>+E21/AVERAGE(L14:M14)</f>
        <v>0.28403488813045125</v>
      </c>
    </row>
    <row r="16" spans="1:24" x14ac:dyDescent="0.35">
      <c r="A16" s="26" t="s">
        <v>40</v>
      </c>
      <c r="B16" s="27"/>
      <c r="C16" s="27"/>
      <c r="D16" s="27">
        <v>2800</v>
      </c>
      <c r="E16" s="28">
        <v>3495</v>
      </c>
      <c r="F16" s="78">
        <v>0.25</v>
      </c>
      <c r="J16" s="35" t="s">
        <v>78</v>
      </c>
      <c r="L16">
        <v>325</v>
      </c>
      <c r="M16" s="36">
        <v>405</v>
      </c>
      <c r="N16" s="78">
        <v>0.25</v>
      </c>
      <c r="R16" s="33" t="s">
        <v>113</v>
      </c>
      <c r="S16" s="33" t="s">
        <v>114</v>
      </c>
      <c r="T16" s="33"/>
      <c r="U16" s="33"/>
      <c r="W16" s="112" t="s">
        <v>115</v>
      </c>
      <c r="X16" s="112">
        <f>+E25/AVERAGE(L25:M25)</f>
        <v>0.37586167800453513</v>
      </c>
    </row>
    <row r="17" spans="1:14" x14ac:dyDescent="0.35">
      <c r="A17" s="29" t="s">
        <v>41</v>
      </c>
      <c r="B17" s="30"/>
      <c r="C17" s="30"/>
      <c r="D17" s="30">
        <v>1543</v>
      </c>
      <c r="E17" s="31">
        <v>1925</v>
      </c>
      <c r="F17" s="78">
        <v>0.25</v>
      </c>
      <c r="J17" s="35" t="s">
        <v>79</v>
      </c>
      <c r="L17">
        <v>75</v>
      </c>
      <c r="M17" s="36">
        <v>94</v>
      </c>
      <c r="N17" s="78">
        <v>0.25</v>
      </c>
    </row>
    <row r="18" spans="1:14" x14ac:dyDescent="0.35">
      <c r="A18" s="32" t="s">
        <v>42</v>
      </c>
      <c r="B18" s="33"/>
      <c r="C18" s="33"/>
      <c r="D18" s="33">
        <f>D16-D17</f>
        <v>1257</v>
      </c>
      <c r="E18" s="34">
        <f>E16-E17</f>
        <v>1570</v>
      </c>
      <c r="F18" s="78">
        <v>0.25</v>
      </c>
      <c r="J18" s="79" t="s">
        <v>80</v>
      </c>
      <c r="K18" s="70"/>
      <c r="L18" s="70">
        <v>350</v>
      </c>
      <c r="M18" s="80">
        <v>595</v>
      </c>
      <c r="N18" s="78">
        <v>0.7</v>
      </c>
    </row>
    <row r="19" spans="1:14" x14ac:dyDescent="0.35">
      <c r="A19" s="35" t="s">
        <v>43</v>
      </c>
      <c r="D19">
        <v>670</v>
      </c>
      <c r="E19" s="36">
        <v>682</v>
      </c>
      <c r="F19" s="78">
        <v>0.02</v>
      </c>
      <c r="J19" s="81" t="s">
        <v>81</v>
      </c>
      <c r="K19" s="82"/>
      <c r="L19" s="82">
        <f>SUM(L16:L18)</f>
        <v>750</v>
      </c>
      <c r="M19" s="83">
        <f>SUM(M16:M18)</f>
        <v>1094</v>
      </c>
      <c r="N19" s="23"/>
    </row>
    <row r="20" spans="1:14" x14ac:dyDescent="0.35">
      <c r="A20" s="29" t="s">
        <v>44</v>
      </c>
      <c r="B20" s="30"/>
      <c r="C20" s="30"/>
      <c r="D20" s="30">
        <v>145</v>
      </c>
      <c r="E20" s="31">
        <v>139</v>
      </c>
      <c r="F20" s="78">
        <v>-0.04</v>
      </c>
      <c r="J20" s="89" t="s">
        <v>82</v>
      </c>
      <c r="K20" s="90"/>
      <c r="L20" s="90"/>
      <c r="M20" s="91"/>
      <c r="N20" s="23"/>
    </row>
    <row r="21" spans="1:14" x14ac:dyDescent="0.35">
      <c r="A21" s="32" t="s">
        <v>45</v>
      </c>
      <c r="B21" s="33"/>
      <c r="C21" s="33"/>
      <c r="D21" s="33">
        <f>D18-D19-D20</f>
        <v>442</v>
      </c>
      <c r="E21" s="34">
        <f>E18-E19-E20</f>
        <v>749</v>
      </c>
      <c r="F21" s="78">
        <v>0.69</v>
      </c>
      <c r="J21" s="79" t="s">
        <v>83</v>
      </c>
      <c r="K21" s="70"/>
      <c r="L21" s="70">
        <v>850</v>
      </c>
      <c r="M21" s="80">
        <v>816</v>
      </c>
      <c r="N21" s="78">
        <v>-0.04</v>
      </c>
    </row>
    <row r="22" spans="1:14" x14ac:dyDescent="0.35">
      <c r="A22" s="29" t="s">
        <v>46</v>
      </c>
      <c r="B22" s="30"/>
      <c r="C22" s="30"/>
      <c r="D22" s="30">
        <v>200</v>
      </c>
      <c r="E22" s="31">
        <v>239</v>
      </c>
      <c r="F22" s="78">
        <v>0.2</v>
      </c>
      <c r="J22" s="81" t="s">
        <v>84</v>
      </c>
      <c r="K22" s="82"/>
      <c r="L22" s="82">
        <f>L21</f>
        <v>850</v>
      </c>
      <c r="M22" s="83">
        <f>M21</f>
        <v>816</v>
      </c>
      <c r="N22" s="23"/>
    </row>
    <row r="23" spans="1:14" x14ac:dyDescent="0.35">
      <c r="A23" s="32" t="s">
        <v>47</v>
      </c>
      <c r="B23" s="33"/>
      <c r="C23" s="33"/>
      <c r="D23" s="33">
        <f>D21-D22</f>
        <v>242</v>
      </c>
      <c r="E23" s="34">
        <f>E21-E22</f>
        <v>510</v>
      </c>
      <c r="F23" s="78">
        <v>1.1000000000000001</v>
      </c>
      <c r="J23" s="92" t="s">
        <v>85</v>
      </c>
      <c r="K23" s="93"/>
      <c r="L23" s="93"/>
      <c r="M23" s="94"/>
      <c r="N23" s="23"/>
    </row>
    <row r="24" spans="1:14" x14ac:dyDescent="0.35">
      <c r="A24" s="29" t="s">
        <v>48</v>
      </c>
      <c r="B24" s="30"/>
      <c r="C24" s="30"/>
      <c r="D24" s="30">
        <f>D23*0.35</f>
        <v>84.699999999999989</v>
      </c>
      <c r="E24" s="31">
        <v>178.49</v>
      </c>
      <c r="F24" s="78">
        <v>1.1000000000000001</v>
      </c>
      <c r="J24" s="79" t="s">
        <v>86</v>
      </c>
      <c r="K24" s="70"/>
      <c r="L24" s="70">
        <v>900</v>
      </c>
      <c r="M24" s="80">
        <v>864</v>
      </c>
      <c r="N24" s="78">
        <v>-0.04</v>
      </c>
    </row>
    <row r="25" spans="1:14" ht="15" thickBot="1" x14ac:dyDescent="0.4">
      <c r="A25" s="37" t="s">
        <v>49</v>
      </c>
      <c r="B25" s="38"/>
      <c r="C25" s="38"/>
      <c r="D25" s="38">
        <f>D23-D24</f>
        <v>157.30000000000001</v>
      </c>
      <c r="E25" s="39">
        <f>E23-E24</f>
        <v>331.51</v>
      </c>
      <c r="F25" s="78">
        <v>1.1000000000000001</v>
      </c>
      <c r="J25" s="84" t="s">
        <v>87</v>
      </c>
      <c r="L25">
        <f>L24</f>
        <v>900</v>
      </c>
      <c r="M25" s="36">
        <f>M24</f>
        <v>864</v>
      </c>
    </row>
    <row r="26" spans="1:14" ht="15" thickBot="1" x14ac:dyDescent="0.4">
      <c r="A26" s="29" t="s">
        <v>50</v>
      </c>
      <c r="B26" s="30"/>
      <c r="C26" s="30"/>
      <c r="D26" s="30">
        <v>47.29</v>
      </c>
      <c r="E26" s="31">
        <v>99.44</v>
      </c>
      <c r="F26" s="78">
        <v>1.1000000000000001</v>
      </c>
      <c r="J26" s="88" t="s">
        <v>88</v>
      </c>
      <c r="K26" s="86"/>
      <c r="L26" s="86">
        <f>SUM(L25,L19,L22)</f>
        <v>2500</v>
      </c>
      <c r="M26" s="87">
        <f>SUM(M25,M19,M22)</f>
        <v>2774</v>
      </c>
    </row>
    <row r="27" spans="1:14" ht="15" thickBot="1" x14ac:dyDescent="0.4">
      <c r="A27" s="40" t="s">
        <v>51</v>
      </c>
      <c r="B27" s="41"/>
      <c r="C27" s="41"/>
      <c r="D27" s="41">
        <f>D25-D26</f>
        <v>110.01000000000002</v>
      </c>
      <c r="E27" s="42">
        <f>E25-E26</f>
        <v>232.07</v>
      </c>
      <c r="F27" s="78">
        <v>1.1000000000000001</v>
      </c>
    </row>
    <row r="29" spans="1:14" x14ac:dyDescent="0.35">
      <c r="A29" s="43" t="s">
        <v>52</v>
      </c>
      <c r="B29" s="44"/>
      <c r="C29" s="45"/>
      <c r="D29" s="46">
        <v>0.3</v>
      </c>
      <c r="E29" s="47">
        <v>0.3</v>
      </c>
    </row>
    <row r="30" spans="1:14" x14ac:dyDescent="0.35">
      <c r="A30" s="48" t="s">
        <v>53</v>
      </c>
      <c r="C30" s="49"/>
      <c r="D30" s="50">
        <v>0.75</v>
      </c>
      <c r="E30" s="51">
        <v>0.75</v>
      </c>
    </row>
    <row r="31" spans="1:14" x14ac:dyDescent="0.35">
      <c r="A31" s="52" t="s">
        <v>54</v>
      </c>
      <c r="B31" s="53"/>
      <c r="C31" s="54"/>
      <c r="D31" s="55">
        <v>0.43</v>
      </c>
      <c r="E31" s="56">
        <v>0.43</v>
      </c>
    </row>
    <row r="32" spans="1:14" x14ac:dyDescent="0.35">
      <c r="A32" s="52" t="s">
        <v>55</v>
      </c>
      <c r="C32" s="57"/>
      <c r="D32" s="58">
        <v>0.88</v>
      </c>
      <c r="E32" s="51">
        <v>0.88</v>
      </c>
    </row>
    <row r="33" spans="1:5" x14ac:dyDescent="0.35">
      <c r="A33" s="52" t="s">
        <v>56</v>
      </c>
      <c r="B33" s="59"/>
      <c r="C33" s="49"/>
      <c r="D33" s="60">
        <v>0.35</v>
      </c>
      <c r="E33" s="56">
        <v>0.35</v>
      </c>
    </row>
    <row r="34" spans="1:5" x14ac:dyDescent="0.35">
      <c r="A34" s="52" t="s">
        <v>57</v>
      </c>
      <c r="B34" s="53"/>
      <c r="C34" s="49"/>
      <c r="D34" s="50">
        <v>0.13</v>
      </c>
      <c r="E34" s="61">
        <v>0.17</v>
      </c>
    </row>
    <row r="35" spans="1:5" x14ac:dyDescent="0.35">
      <c r="A35" s="62" t="s">
        <v>58</v>
      </c>
      <c r="B35" s="30"/>
      <c r="C35" s="63"/>
      <c r="D35" s="64">
        <v>0.18</v>
      </c>
      <c r="E35" s="65">
        <v>0.18</v>
      </c>
    </row>
    <row r="37" spans="1:5" x14ac:dyDescent="0.35">
      <c r="A37" s="66" t="s">
        <v>59</v>
      </c>
      <c r="B37" s="44"/>
      <c r="C37" s="45"/>
      <c r="D37" s="46">
        <v>0.21</v>
      </c>
      <c r="E37" s="47">
        <v>0.21</v>
      </c>
    </row>
    <row r="38" spans="1:5" x14ac:dyDescent="0.35">
      <c r="A38" s="67" t="s">
        <v>60</v>
      </c>
      <c r="B38" s="53"/>
      <c r="C38" s="49"/>
      <c r="D38" s="68">
        <v>1157</v>
      </c>
      <c r="E38" s="69">
        <v>1444</v>
      </c>
    </row>
    <row r="39" spans="1:5" x14ac:dyDescent="0.35">
      <c r="A39" s="52" t="s">
        <v>61</v>
      </c>
      <c r="B39" s="70"/>
      <c r="C39" s="54"/>
      <c r="D39" s="71">
        <v>663</v>
      </c>
      <c r="E39" s="72">
        <v>828</v>
      </c>
    </row>
    <row r="40" spans="1:5" x14ac:dyDescent="0.35">
      <c r="A40" s="62" t="s">
        <v>62</v>
      </c>
      <c r="B40" s="30"/>
      <c r="C40" s="63"/>
      <c r="D40" s="73">
        <v>1350</v>
      </c>
      <c r="E40" s="74">
        <v>1684</v>
      </c>
    </row>
  </sheetData>
  <mergeCells count="8">
    <mergeCell ref="J20:M20"/>
    <mergeCell ref="J23:M23"/>
    <mergeCell ref="A15:C15"/>
    <mergeCell ref="J2:K2"/>
    <mergeCell ref="J3:M3"/>
    <mergeCell ref="J10:M10"/>
    <mergeCell ref="J14:K14"/>
    <mergeCell ref="J15:M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C9F74-4DAC-47BE-B295-8FCB45DC67BE}">
  <dimension ref="A1:P40"/>
  <sheetViews>
    <sheetView topLeftCell="A11" zoomScale="70" zoomScaleNormal="70" workbookViewId="0">
      <selection activeCell="J30" sqref="J30:P36"/>
    </sheetView>
  </sheetViews>
  <sheetFormatPr baseColWidth="10" defaultColWidth="8.7265625" defaultRowHeight="14.5" x14ac:dyDescent="0.35"/>
  <cols>
    <col min="1" max="1" width="9" bestFit="1" customWidth="1"/>
    <col min="2" max="2" width="16.7265625" bestFit="1" customWidth="1"/>
    <col min="10" max="10" width="24.6328125" customWidth="1"/>
    <col min="11" max="11" width="7.7265625" customWidth="1"/>
    <col min="15" max="15" width="15.7265625" customWidth="1"/>
    <col min="16" max="16" width="11.54296875" customWidth="1"/>
  </cols>
  <sheetData>
    <row r="1" spans="1:14" ht="15" thickBot="1" x14ac:dyDescent="0.4">
      <c r="A1" s="1" t="s">
        <v>0</v>
      </c>
      <c r="B1" s="2" t="s">
        <v>1</v>
      </c>
      <c r="C1" s="2"/>
      <c r="L1" s="22" t="s">
        <v>38</v>
      </c>
    </row>
    <row r="2" spans="1:14" ht="15" thickBot="1" x14ac:dyDescent="0.4">
      <c r="A2" s="1" t="s">
        <v>2</v>
      </c>
      <c r="B2" s="2" t="s">
        <v>3</v>
      </c>
      <c r="C2" s="2"/>
      <c r="J2" s="133" t="s">
        <v>63</v>
      </c>
      <c r="K2" s="134"/>
      <c r="L2" s="134">
        <v>2008</v>
      </c>
      <c r="M2" s="135">
        <v>2009</v>
      </c>
      <c r="N2" s="77" t="s">
        <v>64</v>
      </c>
    </row>
    <row r="3" spans="1:14" x14ac:dyDescent="0.35">
      <c r="A3" s="1" t="s">
        <v>4</v>
      </c>
      <c r="B3" s="3" t="s">
        <v>5</v>
      </c>
      <c r="C3" s="2"/>
      <c r="J3" s="131" t="s">
        <v>65</v>
      </c>
      <c r="K3" s="136"/>
      <c r="L3" s="136"/>
      <c r="M3" s="137"/>
      <c r="N3" s="23"/>
    </row>
    <row r="4" spans="1:14" x14ac:dyDescent="0.35">
      <c r="A4" s="2"/>
      <c r="B4" s="1" t="s">
        <v>6</v>
      </c>
      <c r="C4" s="1" t="s">
        <v>7</v>
      </c>
      <c r="J4" s="138" t="s">
        <v>66</v>
      </c>
      <c r="K4" s="139"/>
      <c r="L4" s="139">
        <v>21860</v>
      </c>
      <c r="M4" s="140">
        <v>22050</v>
      </c>
      <c r="N4" s="78">
        <v>0.01</v>
      </c>
    </row>
    <row r="5" spans="1:14" x14ac:dyDescent="0.35">
      <c r="A5" s="2"/>
      <c r="B5" s="3" t="s">
        <v>8</v>
      </c>
      <c r="C5" s="3">
        <v>1724083</v>
      </c>
      <c r="J5" s="138" t="s">
        <v>67</v>
      </c>
      <c r="K5" s="139"/>
      <c r="L5" s="139">
        <v>11316</v>
      </c>
      <c r="M5" s="140">
        <v>13850</v>
      </c>
      <c r="N5" s="78">
        <v>0.22</v>
      </c>
    </row>
    <row r="6" spans="1:14" x14ac:dyDescent="0.35">
      <c r="A6" s="2"/>
      <c r="B6" s="3" t="s">
        <v>9</v>
      </c>
      <c r="C6" s="2">
        <v>1726924</v>
      </c>
      <c r="J6" s="138"/>
      <c r="K6" s="139"/>
      <c r="L6" s="139"/>
      <c r="M6" s="140"/>
      <c r="N6" s="78"/>
    </row>
    <row r="7" spans="1:14" x14ac:dyDescent="0.35">
      <c r="A7" s="2"/>
      <c r="B7" s="3" t="s">
        <v>10</v>
      </c>
      <c r="C7" s="3">
        <v>1730680</v>
      </c>
      <c r="J7" s="138"/>
      <c r="K7" s="139"/>
      <c r="L7" s="139"/>
      <c r="M7" s="140"/>
      <c r="N7" s="78"/>
    </row>
    <row r="8" spans="1:14" x14ac:dyDescent="0.35">
      <c r="J8" s="141" t="s">
        <v>116</v>
      </c>
      <c r="K8" s="142"/>
      <c r="L8" s="142">
        <v>23084</v>
      </c>
      <c r="M8" s="143">
        <v>24650</v>
      </c>
      <c r="N8" s="78">
        <v>0.11</v>
      </c>
    </row>
    <row r="9" spans="1:14" x14ac:dyDescent="0.35">
      <c r="J9" s="144" t="s">
        <v>71</v>
      </c>
      <c r="K9" s="145"/>
      <c r="L9" s="145">
        <f>SUM(L4:L8)</f>
        <v>56260</v>
      </c>
      <c r="M9" s="146">
        <f>SUM(M4:M8)</f>
        <v>60550</v>
      </c>
      <c r="N9" s="23"/>
    </row>
    <row r="10" spans="1:14" x14ac:dyDescent="0.35">
      <c r="J10" s="132" t="s">
        <v>72</v>
      </c>
      <c r="K10" s="147"/>
      <c r="L10" s="147"/>
      <c r="M10" s="148"/>
      <c r="N10" s="23"/>
    </row>
    <row r="11" spans="1:14" x14ac:dyDescent="0.35">
      <c r="J11" s="138" t="s">
        <v>73</v>
      </c>
      <c r="K11" s="139"/>
      <c r="L11" s="139">
        <v>234068</v>
      </c>
      <c r="M11" s="140">
        <v>260525</v>
      </c>
      <c r="N11" s="78">
        <v>0.11</v>
      </c>
    </row>
    <row r="12" spans="1:14" x14ac:dyDescent="0.35">
      <c r="J12" s="141"/>
      <c r="K12" s="142"/>
      <c r="L12" s="142"/>
      <c r="M12" s="143"/>
      <c r="N12" s="78"/>
    </row>
    <row r="13" spans="1:14" ht="15" thickBot="1" x14ac:dyDescent="0.4">
      <c r="J13" s="149" t="s">
        <v>75</v>
      </c>
      <c r="K13" s="150"/>
      <c r="L13" s="139">
        <f>SUM(L11:L12)</f>
        <v>234068</v>
      </c>
      <c r="M13" s="140">
        <f>SUM(M11:M12)</f>
        <v>260525</v>
      </c>
      <c r="N13" s="23"/>
    </row>
    <row r="14" spans="1:14" ht="15" thickBot="1" x14ac:dyDescent="0.4">
      <c r="D14" s="22" t="s">
        <v>38</v>
      </c>
      <c r="E14" s="23"/>
      <c r="J14" s="151" t="s">
        <v>76</v>
      </c>
      <c r="K14" s="152"/>
      <c r="L14" s="152">
        <f>SUM(L13,L9)</f>
        <v>290328</v>
      </c>
      <c r="M14" s="153">
        <f>SUM(M13,M9)</f>
        <v>321075</v>
      </c>
      <c r="N14" s="23"/>
    </row>
    <row r="15" spans="1:14" ht="15" thickBot="1" x14ac:dyDescent="0.4">
      <c r="A15" s="95" t="s">
        <v>39</v>
      </c>
      <c r="B15" s="96"/>
      <c r="C15" s="96"/>
      <c r="D15" s="24">
        <v>2008</v>
      </c>
      <c r="E15" s="25">
        <v>2009</v>
      </c>
      <c r="F15" s="77"/>
      <c r="J15" s="154" t="s">
        <v>77</v>
      </c>
      <c r="K15" s="155"/>
      <c r="L15" s="155"/>
      <c r="M15" s="156"/>
    </row>
    <row r="16" spans="1:14" x14ac:dyDescent="0.35">
      <c r="A16" s="26" t="s">
        <v>40</v>
      </c>
      <c r="B16" s="27"/>
      <c r="C16" s="27"/>
      <c r="D16" s="115" t="s">
        <v>115</v>
      </c>
      <c r="E16" s="116">
        <v>305830</v>
      </c>
      <c r="F16" s="78"/>
      <c r="J16" s="138" t="s">
        <v>78</v>
      </c>
      <c r="K16" s="139"/>
      <c r="L16" s="139">
        <v>19320</v>
      </c>
      <c r="M16" s="140">
        <v>22850</v>
      </c>
      <c r="N16" s="78">
        <v>0.18</v>
      </c>
    </row>
    <row r="17" spans="1:16" x14ac:dyDescent="0.35">
      <c r="A17" s="29" t="s">
        <v>41</v>
      </c>
      <c r="B17" s="30"/>
      <c r="C17" s="30"/>
      <c r="D17" s="117" t="s">
        <v>115</v>
      </c>
      <c r="E17" s="118">
        <v>210935</v>
      </c>
      <c r="F17" s="78"/>
      <c r="J17" s="138" t="s">
        <v>79</v>
      </c>
      <c r="K17" s="139"/>
      <c r="L17" s="139">
        <v>10000</v>
      </c>
      <c r="M17" s="140">
        <v>9000</v>
      </c>
      <c r="N17" s="78">
        <v>-0.1</v>
      </c>
    </row>
    <row r="18" spans="1:16" x14ac:dyDescent="0.35">
      <c r="A18" s="32" t="s">
        <v>42</v>
      </c>
      <c r="B18" s="33"/>
      <c r="C18" s="33"/>
      <c r="D18" s="119" t="s">
        <v>115</v>
      </c>
      <c r="E18" s="120">
        <f>E16-E17</f>
        <v>94895</v>
      </c>
      <c r="F18" s="78"/>
      <c r="J18" s="141" t="s">
        <v>117</v>
      </c>
      <c r="K18" s="142"/>
      <c r="L18" s="142">
        <v>9643</v>
      </c>
      <c r="M18" s="143">
        <v>11385</v>
      </c>
      <c r="N18" s="78">
        <v>0.18</v>
      </c>
    </row>
    <row r="19" spans="1:16" x14ac:dyDescent="0.35">
      <c r="A19" s="35" t="s">
        <v>43</v>
      </c>
      <c r="D19" s="121" t="s">
        <v>115</v>
      </c>
      <c r="E19" s="122" t="s">
        <v>115</v>
      </c>
      <c r="F19" s="78"/>
      <c r="J19" s="144" t="s">
        <v>81</v>
      </c>
      <c r="K19" s="145"/>
      <c r="L19" s="145">
        <f>SUM(L16:L18)</f>
        <v>38963</v>
      </c>
      <c r="M19" s="146">
        <f>SUM(M16:M18)</f>
        <v>43235</v>
      </c>
      <c r="N19" s="23"/>
    </row>
    <row r="20" spans="1:16" x14ac:dyDescent="0.35">
      <c r="A20" s="29" t="s">
        <v>44</v>
      </c>
      <c r="B20" s="30"/>
      <c r="C20" s="30"/>
      <c r="D20" s="117" t="s">
        <v>115</v>
      </c>
      <c r="E20" s="118">
        <v>26850</v>
      </c>
      <c r="F20" s="78"/>
      <c r="J20" s="157" t="s">
        <v>82</v>
      </c>
      <c r="K20" s="158"/>
      <c r="L20" s="158"/>
      <c r="M20" s="159"/>
      <c r="N20" s="23"/>
    </row>
    <row r="21" spans="1:16" x14ac:dyDescent="0.35">
      <c r="A21" s="32" t="s">
        <v>45</v>
      </c>
      <c r="B21" s="33"/>
      <c r="C21" s="33"/>
      <c r="D21" s="119" t="s">
        <v>115</v>
      </c>
      <c r="E21" s="120">
        <f>E18-SUM(E19:E20)</f>
        <v>68045</v>
      </c>
      <c r="F21" s="78"/>
      <c r="J21" s="141" t="s">
        <v>83</v>
      </c>
      <c r="K21" s="142"/>
      <c r="L21" s="142">
        <v>75000</v>
      </c>
      <c r="M21" s="143">
        <v>85000</v>
      </c>
      <c r="N21" s="78">
        <v>0.13</v>
      </c>
    </row>
    <row r="22" spans="1:16" x14ac:dyDescent="0.35">
      <c r="A22" s="29" t="s">
        <v>46</v>
      </c>
      <c r="B22" s="30"/>
      <c r="C22" s="30"/>
      <c r="D22" s="117" t="s">
        <v>115</v>
      </c>
      <c r="E22" s="118">
        <v>11930</v>
      </c>
      <c r="F22" s="78"/>
      <c r="J22" s="144" t="s">
        <v>84</v>
      </c>
      <c r="K22" s="145"/>
      <c r="L22" s="145">
        <f>L21</f>
        <v>75000</v>
      </c>
      <c r="M22" s="146">
        <f>M21</f>
        <v>85000</v>
      </c>
      <c r="N22" s="23"/>
    </row>
    <row r="23" spans="1:16" x14ac:dyDescent="0.35">
      <c r="A23" s="32" t="s">
        <v>47</v>
      </c>
      <c r="B23" s="33"/>
      <c r="C23" s="33"/>
      <c r="D23" s="119" t="s">
        <v>115</v>
      </c>
      <c r="E23" s="120">
        <f>E21-E22</f>
        <v>56115</v>
      </c>
      <c r="F23" s="78"/>
      <c r="J23" s="160" t="s">
        <v>85</v>
      </c>
      <c r="K23" s="161"/>
      <c r="L23" s="161"/>
      <c r="M23" s="162"/>
      <c r="N23" s="23"/>
    </row>
    <row r="24" spans="1:16" x14ac:dyDescent="0.35">
      <c r="A24" s="29" t="s">
        <v>48</v>
      </c>
      <c r="B24" s="30"/>
      <c r="C24" s="30"/>
      <c r="D24" s="117" t="s">
        <v>115</v>
      </c>
      <c r="E24" s="118">
        <f>E23*0.35</f>
        <v>19640.25</v>
      </c>
      <c r="F24" s="78"/>
      <c r="J24" s="138" t="s">
        <v>118</v>
      </c>
      <c r="K24" s="163"/>
      <c r="L24" s="139">
        <v>25000</v>
      </c>
      <c r="M24" s="140">
        <v>25000</v>
      </c>
      <c r="N24" s="78" t="s">
        <v>115</v>
      </c>
    </row>
    <row r="25" spans="1:16" x14ac:dyDescent="0.35">
      <c r="A25" s="37" t="s">
        <v>49</v>
      </c>
      <c r="B25" s="38"/>
      <c r="C25" s="38"/>
      <c r="D25" s="123" t="s">
        <v>115</v>
      </c>
      <c r="E25" s="124">
        <f>E23-E24</f>
        <v>36474.75</v>
      </c>
      <c r="F25" s="78"/>
      <c r="J25" s="141" t="s">
        <v>120</v>
      </c>
      <c r="K25" s="142"/>
      <c r="L25" s="142">
        <v>151365</v>
      </c>
      <c r="M25" s="143">
        <v>167840</v>
      </c>
      <c r="N25" s="114">
        <v>0.11</v>
      </c>
    </row>
    <row r="26" spans="1:16" ht="15" thickBot="1" x14ac:dyDescent="0.4">
      <c r="A26" s="29" t="s">
        <v>50</v>
      </c>
      <c r="B26" s="30"/>
      <c r="C26" s="30"/>
      <c r="D26" s="117" t="s">
        <v>115</v>
      </c>
      <c r="E26" s="118">
        <v>20000</v>
      </c>
      <c r="F26" s="78"/>
      <c r="J26" s="149" t="s">
        <v>87</v>
      </c>
      <c r="K26" s="139"/>
      <c r="L26" s="139">
        <f>SUM(L24:L25)</f>
        <v>176365</v>
      </c>
      <c r="M26" s="140">
        <f>SUM(M24:M25)</f>
        <v>192840</v>
      </c>
    </row>
    <row r="27" spans="1:16" ht="15" thickBot="1" x14ac:dyDescent="0.4">
      <c r="A27" s="40" t="s">
        <v>51</v>
      </c>
      <c r="B27" s="41"/>
      <c r="C27" s="41"/>
      <c r="D27" s="125" t="s">
        <v>115</v>
      </c>
      <c r="E27" s="126">
        <f>E25-E26</f>
        <v>16474.75</v>
      </c>
      <c r="F27" s="78"/>
      <c r="J27" s="151" t="s">
        <v>88</v>
      </c>
      <c r="K27" s="152"/>
      <c r="L27" s="152">
        <f>SUM(L26,L22,L19)</f>
        <v>290328</v>
      </c>
      <c r="M27" s="153">
        <f>SUM(M26,M22,M19)</f>
        <v>321075</v>
      </c>
    </row>
    <row r="29" spans="1:16" x14ac:dyDescent="0.35">
      <c r="A29" s="43" t="s">
        <v>52</v>
      </c>
      <c r="B29" s="44"/>
      <c r="C29" s="45"/>
      <c r="D29" s="46">
        <v>0.3</v>
      </c>
      <c r="E29" s="47">
        <v>0.55000000000000004</v>
      </c>
      <c r="P29" t="s">
        <v>138</v>
      </c>
    </row>
    <row r="30" spans="1:16" x14ac:dyDescent="0.35">
      <c r="A30" s="48" t="s">
        <v>53</v>
      </c>
      <c r="C30" s="49"/>
      <c r="D30" s="50">
        <v>0.81</v>
      </c>
      <c r="E30" s="51">
        <v>0.81</v>
      </c>
      <c r="J30" s="164" t="s">
        <v>121</v>
      </c>
      <c r="K30" s="166" t="s">
        <v>122</v>
      </c>
      <c r="L30" s="167" t="s">
        <v>123</v>
      </c>
      <c r="M30" s="167"/>
      <c r="N30" s="167"/>
      <c r="O30" s="167"/>
      <c r="P30" s="16">
        <f>+AVERAGE(L8:M8)/E17*365</f>
        <v>41.299239102093061</v>
      </c>
    </row>
    <row r="31" spans="1:16" x14ac:dyDescent="0.35">
      <c r="A31" s="52" t="s">
        <v>54</v>
      </c>
      <c r="B31" s="53"/>
      <c r="C31" s="54"/>
      <c r="D31" s="55" t="s">
        <v>115</v>
      </c>
      <c r="E31" s="56" t="s">
        <v>115</v>
      </c>
      <c r="J31" s="164" t="s">
        <v>124</v>
      </c>
      <c r="K31" s="166" t="s">
        <v>125</v>
      </c>
      <c r="L31" s="167" t="s">
        <v>126</v>
      </c>
      <c r="M31" s="167"/>
      <c r="N31" s="167"/>
      <c r="O31" s="167"/>
      <c r="P31" s="16">
        <f>+AVERAGE(L5:M5)/(E16*1.21)*365</f>
        <v>12.411138041092888</v>
      </c>
    </row>
    <row r="32" spans="1:16" x14ac:dyDescent="0.35">
      <c r="A32" s="52" t="s">
        <v>55</v>
      </c>
      <c r="C32" s="57"/>
      <c r="D32" s="58" t="s">
        <v>115</v>
      </c>
      <c r="E32" s="51" t="s">
        <v>115</v>
      </c>
      <c r="J32" s="164" t="s">
        <v>127</v>
      </c>
      <c r="K32" s="166" t="s">
        <v>128</v>
      </c>
      <c r="L32" s="167" t="s">
        <v>129</v>
      </c>
      <c r="M32" s="167"/>
      <c r="N32" s="167"/>
      <c r="O32" s="167"/>
      <c r="P32" s="16">
        <f>+AVERAGE(L16:M16)/(E38*1.21)*365</f>
        <v>37.208962650754799</v>
      </c>
    </row>
    <row r="33" spans="1:16" x14ac:dyDescent="0.35">
      <c r="A33" s="52" t="s">
        <v>56</v>
      </c>
      <c r="B33" s="59"/>
      <c r="C33" s="49"/>
      <c r="D33" s="60">
        <v>0.35</v>
      </c>
      <c r="E33" s="56">
        <v>0.35</v>
      </c>
      <c r="J33" s="164" t="s">
        <v>130</v>
      </c>
      <c r="K33" s="166" t="s">
        <v>35</v>
      </c>
      <c r="L33" s="167" t="s">
        <v>131</v>
      </c>
      <c r="M33" s="167"/>
      <c r="N33" s="167"/>
      <c r="O33" s="167"/>
      <c r="P33" s="16">
        <f>+P30+P31</f>
        <v>53.710377143185951</v>
      </c>
    </row>
    <row r="34" spans="1:16" x14ac:dyDescent="0.35">
      <c r="A34" s="52" t="s">
        <v>57</v>
      </c>
      <c r="B34" s="53"/>
      <c r="C34" s="49"/>
      <c r="D34" s="50">
        <v>0.13</v>
      </c>
      <c r="E34" s="61">
        <v>0.13</v>
      </c>
      <c r="J34" s="164" t="s">
        <v>132</v>
      </c>
      <c r="K34" s="166"/>
      <c r="L34" s="167" t="s">
        <v>133</v>
      </c>
      <c r="M34" s="167"/>
      <c r="N34" s="167"/>
      <c r="O34" s="167"/>
      <c r="P34" s="16">
        <f>+E17/AVERAGE(L8:M8)</f>
        <v>8.8379352243683744</v>
      </c>
    </row>
    <row r="35" spans="1:16" x14ac:dyDescent="0.35">
      <c r="A35" s="62" t="s">
        <v>58</v>
      </c>
      <c r="B35" s="30"/>
      <c r="C35" s="63"/>
      <c r="D35" s="64">
        <v>0.18</v>
      </c>
      <c r="E35" s="65">
        <v>0.18</v>
      </c>
      <c r="J35" s="164" t="s">
        <v>134</v>
      </c>
      <c r="K35" s="166"/>
      <c r="L35" s="167" t="s">
        <v>135</v>
      </c>
      <c r="M35" s="167"/>
      <c r="N35" s="167"/>
      <c r="O35" s="167"/>
      <c r="P35" s="16">
        <f>+E16/AVERAGE(L13:M13)</f>
        <v>1.2366936046405832</v>
      </c>
    </row>
    <row r="36" spans="1:16" x14ac:dyDescent="0.35">
      <c r="J36" s="164" t="s">
        <v>136</v>
      </c>
      <c r="K36" s="166"/>
      <c r="L36" s="167" t="s">
        <v>137</v>
      </c>
      <c r="M36" s="167"/>
      <c r="N36" s="167"/>
      <c r="O36" s="167"/>
      <c r="P36" s="16">
        <f>+E16/AVERAGE(L14:M14)</f>
        <v>1.0004203446826399</v>
      </c>
    </row>
    <row r="37" spans="1:16" x14ac:dyDescent="0.35">
      <c r="A37" s="66" t="s">
        <v>59</v>
      </c>
      <c r="B37" s="44"/>
      <c r="C37" s="45"/>
      <c r="D37" s="46">
        <v>0.21</v>
      </c>
      <c r="E37" s="47">
        <v>0.21</v>
      </c>
    </row>
    <row r="38" spans="1:16" x14ac:dyDescent="0.35">
      <c r="A38" s="67" t="s">
        <v>60</v>
      </c>
      <c r="B38" s="53"/>
      <c r="C38" s="49"/>
      <c r="D38" s="68" t="s">
        <v>115</v>
      </c>
      <c r="E38" s="127">
        <v>170936</v>
      </c>
      <c r="F38" s="128" t="s">
        <v>119</v>
      </c>
      <c r="G38" s="129"/>
      <c r="H38" s="130"/>
      <c r="I38" s="130"/>
    </row>
    <row r="39" spans="1:16" x14ac:dyDescent="0.35">
      <c r="A39" s="52" t="s">
        <v>61</v>
      </c>
      <c r="B39" s="70"/>
      <c r="C39" s="54"/>
      <c r="D39" s="71" t="s">
        <v>115</v>
      </c>
      <c r="E39" s="72" t="s">
        <v>115</v>
      </c>
      <c r="F39" s="128"/>
      <c r="G39" s="129"/>
      <c r="H39" s="130"/>
      <c r="I39" s="130"/>
    </row>
    <row r="40" spans="1:16" ht="23.5" customHeight="1" x14ac:dyDescent="0.35">
      <c r="A40" s="62" t="s">
        <v>62</v>
      </c>
      <c r="B40" s="30"/>
      <c r="C40" s="63"/>
      <c r="D40" s="73" t="s">
        <v>115</v>
      </c>
      <c r="E40" s="74" t="s">
        <v>115</v>
      </c>
      <c r="F40" s="128"/>
      <c r="G40" s="129"/>
      <c r="H40" s="130"/>
      <c r="I40" s="130"/>
    </row>
  </sheetData>
  <mergeCells count="12">
    <mergeCell ref="J20:M20"/>
    <mergeCell ref="J23:M23"/>
    <mergeCell ref="F38:G40"/>
    <mergeCell ref="L30:O30"/>
    <mergeCell ref="L31:O31"/>
    <mergeCell ref="L32:O32"/>
    <mergeCell ref="L33:O33"/>
    <mergeCell ref="L34:O34"/>
    <mergeCell ref="L35:O35"/>
    <mergeCell ref="L36:O36"/>
    <mergeCell ref="A15:C15"/>
    <mergeCell ref="J15:M1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581E-33DE-4A5E-B850-AB65073B0D6E}">
  <dimension ref="A1:P42"/>
  <sheetViews>
    <sheetView tabSelected="1" topLeftCell="A16" zoomScale="80" zoomScaleNormal="80" workbookViewId="0">
      <selection activeCell="P41" sqref="P41"/>
    </sheetView>
  </sheetViews>
  <sheetFormatPr baseColWidth="10" defaultColWidth="8.7265625" defaultRowHeight="14.5" x14ac:dyDescent="0.35"/>
  <cols>
    <col min="1" max="1" width="9" bestFit="1" customWidth="1"/>
    <col min="2" max="2" width="16.7265625" bestFit="1" customWidth="1"/>
    <col min="10" max="10" width="26.54296875" customWidth="1"/>
    <col min="11" max="11" width="8.26953125" customWidth="1"/>
    <col min="12" max="12" width="12.26953125" customWidth="1"/>
    <col min="15" max="15" width="11.7265625" customWidth="1"/>
  </cols>
  <sheetData>
    <row r="1" spans="1:14" ht="15" thickBot="1" x14ac:dyDescent="0.4">
      <c r="A1" s="1" t="s">
        <v>0</v>
      </c>
      <c r="B1" s="2" t="s">
        <v>1</v>
      </c>
      <c r="C1" s="2"/>
      <c r="J1" s="139"/>
      <c r="K1" s="139"/>
      <c r="L1" s="184" t="s">
        <v>38</v>
      </c>
      <c r="M1" s="139"/>
      <c r="N1" s="139"/>
    </row>
    <row r="2" spans="1:14" ht="15" thickBot="1" x14ac:dyDescent="0.4">
      <c r="A2" s="1" t="s">
        <v>2</v>
      </c>
      <c r="B2" s="2" t="s">
        <v>3</v>
      </c>
      <c r="C2" s="2"/>
      <c r="J2" s="133" t="s">
        <v>63</v>
      </c>
      <c r="K2" s="134"/>
      <c r="L2" s="134">
        <v>2010</v>
      </c>
      <c r="M2" s="135">
        <v>2011</v>
      </c>
      <c r="N2" s="168" t="s">
        <v>64</v>
      </c>
    </row>
    <row r="3" spans="1:14" x14ac:dyDescent="0.35">
      <c r="A3" s="1" t="s">
        <v>4</v>
      </c>
      <c r="B3" s="3" t="s">
        <v>5</v>
      </c>
      <c r="C3" s="2"/>
      <c r="J3" s="131" t="s">
        <v>65</v>
      </c>
      <c r="K3" s="136"/>
      <c r="L3" s="136"/>
      <c r="M3" s="137"/>
      <c r="N3" s="139"/>
    </row>
    <row r="4" spans="1:14" x14ac:dyDescent="0.35">
      <c r="A4" s="2"/>
      <c r="B4" s="1" t="s">
        <v>6</v>
      </c>
      <c r="C4" s="1" t="s">
        <v>7</v>
      </c>
      <c r="J4" s="138" t="s">
        <v>66</v>
      </c>
      <c r="K4" s="139"/>
      <c r="L4" s="139">
        <v>352</v>
      </c>
      <c r="M4" s="140">
        <v>441</v>
      </c>
      <c r="N4" s="169">
        <v>0.25</v>
      </c>
    </row>
    <row r="5" spans="1:14" x14ac:dyDescent="0.35">
      <c r="A5" s="2"/>
      <c r="B5" s="3" t="s">
        <v>8</v>
      </c>
      <c r="C5" s="3">
        <v>1724083</v>
      </c>
      <c r="J5" s="138" t="s">
        <v>67</v>
      </c>
      <c r="K5" s="139"/>
      <c r="L5" s="139">
        <v>567</v>
      </c>
      <c r="M5" s="140">
        <v>708</v>
      </c>
      <c r="N5" s="169">
        <v>0.25</v>
      </c>
    </row>
    <row r="6" spans="1:14" x14ac:dyDescent="0.35">
      <c r="A6" s="2"/>
      <c r="B6" s="3" t="s">
        <v>9</v>
      </c>
      <c r="C6" s="2">
        <v>1726924</v>
      </c>
      <c r="J6" s="138" t="s">
        <v>68</v>
      </c>
      <c r="K6" s="139"/>
      <c r="L6" s="139">
        <v>195</v>
      </c>
      <c r="M6" s="140">
        <v>241</v>
      </c>
      <c r="N6" s="169">
        <v>0.24</v>
      </c>
    </row>
    <row r="7" spans="1:14" x14ac:dyDescent="0.35">
      <c r="A7" s="2"/>
      <c r="B7" s="3" t="s">
        <v>10</v>
      </c>
      <c r="C7" s="3">
        <v>1730680</v>
      </c>
      <c r="J7" s="138" t="s">
        <v>69</v>
      </c>
      <c r="K7" s="139"/>
      <c r="L7" s="139">
        <v>356</v>
      </c>
      <c r="M7" s="140">
        <v>344</v>
      </c>
      <c r="N7" s="169">
        <v>-0.03</v>
      </c>
    </row>
    <row r="8" spans="1:14" x14ac:dyDescent="0.35">
      <c r="J8" s="141" t="s">
        <v>70</v>
      </c>
      <c r="K8" s="142"/>
      <c r="L8" s="142">
        <v>364</v>
      </c>
      <c r="M8" s="143">
        <v>452</v>
      </c>
      <c r="N8" s="169">
        <v>0.24</v>
      </c>
    </row>
    <row r="9" spans="1:14" x14ac:dyDescent="0.35">
      <c r="J9" s="144" t="s">
        <v>71</v>
      </c>
      <c r="K9" s="145"/>
      <c r="L9" s="145">
        <f>SUM(L4:L8)</f>
        <v>1834</v>
      </c>
      <c r="M9" s="146">
        <f>SUM(M4:M8)</f>
        <v>2186</v>
      </c>
      <c r="N9" s="139"/>
    </row>
    <row r="10" spans="1:14" x14ac:dyDescent="0.35">
      <c r="J10" s="132" t="s">
        <v>72</v>
      </c>
      <c r="K10" s="147"/>
      <c r="L10" s="147"/>
      <c r="M10" s="148"/>
      <c r="N10" s="139"/>
    </row>
    <row r="11" spans="1:14" x14ac:dyDescent="0.35">
      <c r="J11" s="138" t="s">
        <v>139</v>
      </c>
      <c r="K11" s="139"/>
      <c r="L11" s="139">
        <v>1852</v>
      </c>
      <c r="M11" s="140">
        <v>2290</v>
      </c>
      <c r="N11" s="169">
        <v>0.24</v>
      </c>
    </row>
    <row r="12" spans="1:14" x14ac:dyDescent="0.35">
      <c r="J12" s="138" t="s">
        <v>140</v>
      </c>
      <c r="K12" s="139"/>
      <c r="L12" s="139">
        <v>4152</v>
      </c>
      <c r="M12" s="140">
        <v>4250</v>
      </c>
      <c r="N12" s="169">
        <v>0.02</v>
      </c>
    </row>
    <row r="13" spans="1:14" ht="15" thickBot="1" x14ac:dyDescent="0.4">
      <c r="D13" s="22" t="s">
        <v>38</v>
      </c>
      <c r="E13" s="23"/>
      <c r="J13" s="138" t="s">
        <v>73</v>
      </c>
      <c r="K13" s="139"/>
      <c r="L13" s="139">
        <v>2840</v>
      </c>
      <c r="M13" s="140">
        <v>3550</v>
      </c>
      <c r="N13" s="169">
        <v>0.25</v>
      </c>
    </row>
    <row r="14" spans="1:14" ht="15" thickBot="1" x14ac:dyDescent="0.4">
      <c r="A14" s="95" t="s">
        <v>39</v>
      </c>
      <c r="B14" s="96"/>
      <c r="C14" s="96"/>
      <c r="D14" s="24">
        <v>2010</v>
      </c>
      <c r="E14" s="25">
        <v>2011</v>
      </c>
      <c r="F14" s="77"/>
      <c r="J14" s="138" t="s">
        <v>141</v>
      </c>
      <c r="K14" s="139"/>
      <c r="L14" s="139">
        <v>1864</v>
      </c>
      <c r="M14" s="140">
        <v>2330</v>
      </c>
      <c r="N14" s="169">
        <v>0.25</v>
      </c>
    </row>
    <row r="15" spans="1:14" x14ac:dyDescent="0.35">
      <c r="A15" s="26" t="s">
        <v>40</v>
      </c>
      <c r="B15" s="27"/>
      <c r="C15" s="27"/>
      <c r="D15" s="115" t="s">
        <v>115</v>
      </c>
      <c r="E15" s="116">
        <v>30499</v>
      </c>
      <c r="F15" s="78"/>
      <c r="J15" s="138" t="s">
        <v>74</v>
      </c>
      <c r="K15" s="139"/>
      <c r="L15" s="139">
        <v>3600</v>
      </c>
      <c r="M15" s="140">
        <v>4002</v>
      </c>
      <c r="N15" s="169">
        <v>0.11</v>
      </c>
    </row>
    <row r="16" spans="1:14" x14ac:dyDescent="0.35">
      <c r="A16" s="29" t="s">
        <v>41</v>
      </c>
      <c r="B16" s="30"/>
      <c r="C16" s="30"/>
      <c r="D16" s="117" t="s">
        <v>115</v>
      </c>
      <c r="E16" s="118">
        <v>22225</v>
      </c>
      <c r="F16" s="78"/>
      <c r="J16" s="141" t="s">
        <v>142</v>
      </c>
      <c r="K16" s="142"/>
      <c r="L16" s="142"/>
      <c r="M16" s="143">
        <v>-300</v>
      </c>
      <c r="N16" s="139" t="s">
        <v>115</v>
      </c>
    </row>
    <row r="17" spans="1:14" ht="15" thickBot="1" x14ac:dyDescent="0.4">
      <c r="A17" s="32" t="s">
        <v>42</v>
      </c>
      <c r="B17" s="33"/>
      <c r="C17" s="33"/>
      <c r="D17" s="119" t="s">
        <v>115</v>
      </c>
      <c r="E17" s="120">
        <f>E15-E16</f>
        <v>8274</v>
      </c>
      <c r="F17" s="78"/>
      <c r="J17" s="149" t="s">
        <v>75</v>
      </c>
      <c r="K17" s="150"/>
      <c r="L17" s="139">
        <f>SUM(L11:L15)</f>
        <v>14308</v>
      </c>
      <c r="M17" s="140">
        <f>SUM(M11:M16)</f>
        <v>16122</v>
      </c>
      <c r="N17" s="169">
        <v>0.18</v>
      </c>
    </row>
    <row r="18" spans="1:14" ht="15" thickBot="1" x14ac:dyDescent="0.4">
      <c r="A18" s="35" t="s">
        <v>43</v>
      </c>
      <c r="D18" s="121" t="s">
        <v>115</v>
      </c>
      <c r="E18" s="122">
        <v>3868</v>
      </c>
      <c r="F18" s="78"/>
      <c r="J18" s="151" t="s">
        <v>76</v>
      </c>
      <c r="K18" s="152"/>
      <c r="L18" s="152">
        <f>SUM(L17,L9)</f>
        <v>16142</v>
      </c>
      <c r="M18" s="153">
        <f>SUM(M17,M9)</f>
        <v>18308</v>
      </c>
      <c r="N18" s="169">
        <v>-0.1</v>
      </c>
    </row>
    <row r="19" spans="1:14" x14ac:dyDescent="0.35">
      <c r="A19" s="29" t="s">
        <v>44</v>
      </c>
      <c r="B19" s="30"/>
      <c r="C19" s="30"/>
      <c r="D19" s="117" t="s">
        <v>115</v>
      </c>
      <c r="E19" s="118">
        <v>1367</v>
      </c>
      <c r="F19" s="78"/>
      <c r="J19" s="185" t="s">
        <v>77</v>
      </c>
      <c r="K19" s="186"/>
      <c r="L19" s="186"/>
      <c r="M19" s="187"/>
      <c r="N19" s="169">
        <v>0.18</v>
      </c>
    </row>
    <row r="20" spans="1:14" x14ac:dyDescent="0.35">
      <c r="A20" s="32" t="s">
        <v>45</v>
      </c>
      <c r="B20" s="33"/>
      <c r="C20" s="33"/>
      <c r="D20" s="119" t="s">
        <v>115</v>
      </c>
      <c r="E20" s="120">
        <f>E17-SUM(E18:E19)</f>
        <v>3039</v>
      </c>
      <c r="F20" s="78"/>
      <c r="J20" s="138" t="s">
        <v>78</v>
      </c>
      <c r="K20" s="139"/>
      <c r="L20" s="139">
        <v>1436</v>
      </c>
      <c r="M20" s="140">
        <v>889</v>
      </c>
      <c r="N20" s="169">
        <v>-0.38</v>
      </c>
    </row>
    <row r="21" spans="1:14" x14ac:dyDescent="0.35">
      <c r="A21" s="29" t="s">
        <v>46</v>
      </c>
      <c r="B21" s="30"/>
      <c r="C21" s="30"/>
      <c r="D21" s="117" t="s">
        <v>115</v>
      </c>
      <c r="E21" s="118">
        <v>478</v>
      </c>
      <c r="F21" s="78"/>
      <c r="J21" s="138" t="s">
        <v>79</v>
      </c>
      <c r="K21" s="139"/>
      <c r="L21" s="139">
        <v>1699</v>
      </c>
      <c r="M21" s="140">
        <v>2030</v>
      </c>
      <c r="N21" s="169">
        <v>0.19</v>
      </c>
    </row>
    <row r="22" spans="1:14" x14ac:dyDescent="0.35">
      <c r="A22" s="32" t="s">
        <v>47</v>
      </c>
      <c r="B22" s="33"/>
      <c r="C22" s="33"/>
      <c r="D22" s="119" t="s">
        <v>115</v>
      </c>
      <c r="E22" s="120">
        <f>E20-E21</f>
        <v>2561</v>
      </c>
      <c r="F22" s="78"/>
      <c r="J22" s="141"/>
      <c r="K22" s="142"/>
      <c r="L22" s="142"/>
      <c r="M22" s="143"/>
      <c r="N22" s="169">
        <v>0.13</v>
      </c>
    </row>
    <row r="23" spans="1:14" x14ac:dyDescent="0.35">
      <c r="A23" s="29" t="s">
        <v>48</v>
      </c>
      <c r="B23" s="30"/>
      <c r="C23" s="30"/>
      <c r="D23" s="117" t="s">
        <v>115</v>
      </c>
      <c r="E23" s="118">
        <v>896.85</v>
      </c>
      <c r="F23" s="78"/>
      <c r="J23" s="144" t="s">
        <v>81</v>
      </c>
      <c r="K23" s="145"/>
      <c r="L23" s="145">
        <f>SUM(L20:L22)</f>
        <v>3135</v>
      </c>
      <c r="M23" s="146">
        <f>SUM(M20:M22)</f>
        <v>2919</v>
      </c>
      <c r="N23" s="139"/>
    </row>
    <row r="24" spans="1:14" x14ac:dyDescent="0.35">
      <c r="A24" s="37" t="s">
        <v>49</v>
      </c>
      <c r="B24" s="38"/>
      <c r="C24" s="38"/>
      <c r="D24" s="123" t="s">
        <v>115</v>
      </c>
      <c r="E24" s="124">
        <f>E22-E23</f>
        <v>1664.15</v>
      </c>
      <c r="F24" s="78"/>
      <c r="J24" s="157" t="s">
        <v>82</v>
      </c>
      <c r="K24" s="158"/>
      <c r="L24" s="158"/>
      <c r="M24" s="159"/>
      <c r="N24" s="139"/>
    </row>
    <row r="25" spans="1:14" x14ac:dyDescent="0.35">
      <c r="A25" s="29" t="s">
        <v>50</v>
      </c>
      <c r="B25" s="30"/>
      <c r="C25" s="30"/>
      <c r="D25" s="117" t="s">
        <v>115</v>
      </c>
      <c r="E25" s="118">
        <v>913</v>
      </c>
      <c r="F25" s="78"/>
      <c r="J25" s="141" t="s">
        <v>83</v>
      </c>
      <c r="K25" s="142"/>
      <c r="L25" s="142">
        <v>4785</v>
      </c>
      <c r="M25" s="143">
        <v>5320</v>
      </c>
      <c r="N25" s="175">
        <v>0.11</v>
      </c>
    </row>
    <row r="26" spans="1:14" ht="15" thickBot="1" x14ac:dyDescent="0.4">
      <c r="A26" s="40" t="s">
        <v>51</v>
      </c>
      <c r="B26" s="41"/>
      <c r="C26" s="41"/>
      <c r="D26" s="125" t="s">
        <v>115</v>
      </c>
      <c r="E26" s="126">
        <f>E24-E25</f>
        <v>751.15000000000009</v>
      </c>
      <c r="F26" s="78"/>
      <c r="J26" s="144" t="s">
        <v>84</v>
      </c>
      <c r="K26" s="145"/>
      <c r="L26" s="145">
        <f>L25</f>
        <v>4785</v>
      </c>
      <c r="M26" s="146">
        <f>M25</f>
        <v>5320</v>
      </c>
      <c r="N26" s="139"/>
    </row>
    <row r="27" spans="1:14" x14ac:dyDescent="0.35">
      <c r="A27" s="33"/>
      <c r="B27" s="33"/>
      <c r="C27" s="33"/>
      <c r="D27" s="119"/>
      <c r="E27" s="170"/>
      <c r="F27" s="78"/>
      <c r="J27" s="160" t="s">
        <v>85</v>
      </c>
      <c r="K27" s="161"/>
      <c r="L27" s="161"/>
      <c r="M27" s="162"/>
      <c r="N27" s="139"/>
    </row>
    <row r="28" spans="1:14" x14ac:dyDescent="0.35">
      <c r="J28" s="188" t="s">
        <v>118</v>
      </c>
      <c r="K28" s="163"/>
      <c r="L28" s="163">
        <v>350</v>
      </c>
      <c r="M28" s="189">
        <v>350</v>
      </c>
      <c r="N28" s="139" t="s">
        <v>115</v>
      </c>
    </row>
    <row r="29" spans="1:14" x14ac:dyDescent="0.35">
      <c r="A29" s="43" t="s">
        <v>52</v>
      </c>
      <c r="B29" s="44"/>
      <c r="C29" s="45"/>
      <c r="D29" s="46">
        <v>0.3</v>
      </c>
      <c r="E29" s="47">
        <v>0.55000000000000004</v>
      </c>
      <c r="J29" s="141" t="s">
        <v>120</v>
      </c>
      <c r="K29" s="142"/>
      <c r="L29" s="142">
        <v>7872</v>
      </c>
      <c r="M29" s="143">
        <v>9719</v>
      </c>
      <c r="N29" s="175">
        <v>0.23</v>
      </c>
    </row>
    <row r="30" spans="1:14" ht="15" thickBot="1" x14ac:dyDescent="0.4">
      <c r="A30" s="48" t="s">
        <v>53</v>
      </c>
      <c r="C30" s="49"/>
      <c r="D30" s="50">
        <v>0.55000000000000004</v>
      </c>
      <c r="E30" s="51">
        <v>0.55000000000000004</v>
      </c>
      <c r="J30" s="149" t="s">
        <v>87</v>
      </c>
      <c r="K30" s="139"/>
      <c r="L30" s="139">
        <f>SUM(L28:L29)</f>
        <v>8222</v>
      </c>
      <c r="M30" s="140">
        <f>SUM(M28:M29)</f>
        <v>10069</v>
      </c>
      <c r="N30" s="139"/>
    </row>
    <row r="31" spans="1:14" ht="15" thickBot="1" x14ac:dyDescent="0.4">
      <c r="A31" s="52" t="s">
        <v>54</v>
      </c>
      <c r="B31" s="53"/>
      <c r="C31" s="54"/>
      <c r="D31" s="171">
        <v>0.38</v>
      </c>
      <c r="E31" s="172">
        <v>0.38</v>
      </c>
      <c r="J31" s="151" t="s">
        <v>88</v>
      </c>
      <c r="K31" s="152"/>
      <c r="L31" s="152">
        <f>SUM(L30,L26,L23)</f>
        <v>16142</v>
      </c>
      <c r="M31" s="153">
        <f>SUM(M30,M26,M23)</f>
        <v>18308</v>
      </c>
      <c r="N31" s="139"/>
    </row>
    <row r="32" spans="1:14" x14ac:dyDescent="0.35">
      <c r="A32" s="52" t="s">
        <v>55</v>
      </c>
      <c r="C32" s="57"/>
      <c r="D32" s="173">
        <v>0.6</v>
      </c>
      <c r="E32" s="174">
        <v>0.6</v>
      </c>
    </row>
    <row r="33" spans="1:16" x14ac:dyDescent="0.35">
      <c r="A33" s="52" t="s">
        <v>56</v>
      </c>
      <c r="B33" s="59"/>
      <c r="C33" s="49"/>
      <c r="D33" s="60">
        <v>0.35</v>
      </c>
      <c r="E33" s="56">
        <v>0.35</v>
      </c>
    </row>
    <row r="34" spans="1:16" x14ac:dyDescent="0.35">
      <c r="A34" s="52" t="s">
        <v>57</v>
      </c>
      <c r="B34" s="53"/>
      <c r="C34" s="49"/>
      <c r="D34" s="50">
        <v>0.13</v>
      </c>
      <c r="E34" s="61">
        <v>0.13</v>
      </c>
      <c r="J34" s="164" t="s">
        <v>121</v>
      </c>
      <c r="K34" s="166" t="s">
        <v>122</v>
      </c>
      <c r="L34" s="167" t="s">
        <v>123</v>
      </c>
      <c r="M34" s="167"/>
      <c r="N34" s="167"/>
      <c r="O34" s="167"/>
      <c r="P34" s="16">
        <f>+AVERAGE(SUM(L6:L8),SUM(M6:M8))/E16*365</f>
        <v>16.028796400449941</v>
      </c>
    </row>
    <row r="35" spans="1:16" x14ac:dyDescent="0.35">
      <c r="A35" s="62" t="s">
        <v>58</v>
      </c>
      <c r="B35" s="30"/>
      <c r="C35" s="63"/>
      <c r="D35" s="64">
        <v>0.18</v>
      </c>
      <c r="E35" s="65">
        <v>0.18</v>
      </c>
      <c r="J35" s="164" t="s">
        <v>124</v>
      </c>
      <c r="K35" s="166" t="s">
        <v>125</v>
      </c>
      <c r="L35" s="167" t="s">
        <v>126</v>
      </c>
      <c r="M35" s="167"/>
      <c r="N35" s="167"/>
      <c r="O35" s="167"/>
      <c r="P35" s="16">
        <f>+AVERAGE(L5:M5)/(E15*1.21)*365</f>
        <v>6.3052466968839793</v>
      </c>
    </row>
    <row r="36" spans="1:16" x14ac:dyDescent="0.35">
      <c r="J36" s="164" t="s">
        <v>127</v>
      </c>
      <c r="K36" s="166" t="s">
        <v>128</v>
      </c>
      <c r="L36" s="167" t="s">
        <v>129</v>
      </c>
      <c r="M36" s="167"/>
      <c r="N36" s="167"/>
      <c r="O36" s="167"/>
      <c r="P36" s="16">
        <f>+AVERAGE(L20:M20)/(E38*1.21)*365</f>
        <v>331.13454920047764</v>
      </c>
    </row>
    <row r="37" spans="1:16" x14ac:dyDescent="0.35">
      <c r="A37" s="66" t="s">
        <v>59</v>
      </c>
      <c r="B37" s="44"/>
      <c r="C37" s="45"/>
      <c r="D37" s="46">
        <v>0.21</v>
      </c>
      <c r="E37" s="47">
        <v>0.21</v>
      </c>
      <c r="J37" s="164" t="s">
        <v>130</v>
      </c>
      <c r="K37" s="166" t="s">
        <v>35</v>
      </c>
      <c r="L37" s="167" t="s">
        <v>131</v>
      </c>
      <c r="M37" s="167"/>
      <c r="N37" s="167"/>
      <c r="O37" s="167"/>
      <c r="P37" s="16">
        <f>+P34+P35</f>
        <v>22.334043097333922</v>
      </c>
    </row>
    <row r="38" spans="1:16" x14ac:dyDescent="0.35">
      <c r="A38" s="67" t="s">
        <v>60</v>
      </c>
      <c r="B38" s="53"/>
      <c r="C38" s="49"/>
      <c r="D38" s="176">
        <v>848</v>
      </c>
      <c r="E38" s="177">
        <v>1059</v>
      </c>
      <c r="F38" s="178" t="s">
        <v>119</v>
      </c>
      <c r="G38" s="179"/>
      <c r="H38" s="130"/>
      <c r="I38" s="130"/>
      <c r="J38" s="164" t="s">
        <v>132</v>
      </c>
      <c r="K38" s="166"/>
      <c r="L38" s="167" t="s">
        <v>133</v>
      </c>
      <c r="M38" s="167"/>
      <c r="N38" s="167"/>
      <c r="O38" s="167"/>
      <c r="P38" s="16">
        <f>+E16/AVERAGE(SUM(L6:L8),SUM(M6:M8))</f>
        <v>22.771516393442624</v>
      </c>
    </row>
    <row r="39" spans="1:16" x14ac:dyDescent="0.35">
      <c r="A39" s="52" t="s">
        <v>61</v>
      </c>
      <c r="B39" s="70"/>
      <c r="C39" s="54"/>
      <c r="D39" s="180">
        <v>586</v>
      </c>
      <c r="E39" s="181">
        <v>732</v>
      </c>
      <c r="F39" s="178"/>
      <c r="G39" s="179"/>
      <c r="H39" s="130"/>
      <c r="I39" s="130"/>
      <c r="J39" s="164" t="s">
        <v>134</v>
      </c>
      <c r="K39" s="166"/>
      <c r="L39" s="167" t="s">
        <v>135</v>
      </c>
      <c r="M39" s="167"/>
      <c r="N39" s="167"/>
      <c r="O39" s="167"/>
      <c r="P39" s="16">
        <f>+E15/AVERAGE(L17:M17)</f>
        <v>2.0045349983568848</v>
      </c>
    </row>
    <row r="40" spans="1:16" x14ac:dyDescent="0.35">
      <c r="A40" s="62" t="s">
        <v>62</v>
      </c>
      <c r="B40" s="30"/>
      <c r="C40" s="63"/>
      <c r="D40" s="182">
        <v>926</v>
      </c>
      <c r="E40" s="183">
        <v>1155</v>
      </c>
      <c r="F40" s="178"/>
      <c r="G40" s="179"/>
      <c r="H40" s="130"/>
      <c r="I40" s="130"/>
      <c r="J40" s="164" t="s">
        <v>136</v>
      </c>
      <c r="K40" s="166"/>
      <c r="L40" s="167" t="s">
        <v>137</v>
      </c>
      <c r="M40" s="167"/>
      <c r="N40" s="167"/>
      <c r="O40" s="167"/>
      <c r="P40" s="16">
        <f>+E15/AVERAGE(L18:M18)</f>
        <v>1.7706240928882437</v>
      </c>
    </row>
    <row r="41" spans="1:16" x14ac:dyDescent="0.35">
      <c r="D41" s="165"/>
      <c r="E41" s="165"/>
    </row>
    <row r="42" spans="1:16" x14ac:dyDescent="0.35">
      <c r="D42" s="165"/>
      <c r="E42" s="165"/>
    </row>
  </sheetData>
  <mergeCells count="11">
    <mergeCell ref="J24:M24"/>
    <mergeCell ref="F38:G40"/>
    <mergeCell ref="J27:M27"/>
    <mergeCell ref="L34:O34"/>
    <mergeCell ref="L35:O35"/>
    <mergeCell ref="L36:O36"/>
    <mergeCell ref="L37:O37"/>
    <mergeCell ref="L38:O38"/>
    <mergeCell ref="L39:O39"/>
    <mergeCell ref="L40:O40"/>
    <mergeCell ref="A14:C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Carátula</vt:lpstr>
      <vt:lpstr>AE514</vt:lpstr>
      <vt:lpstr>AE512</vt:lpstr>
      <vt:lpstr>AE513</vt:lpstr>
      <vt:lpstr>AE514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Casado</dc:creator>
  <cp:lastModifiedBy>Gina Casado</cp:lastModifiedBy>
  <cp:lastPrinted>2024-10-10T18:35:16Z</cp:lastPrinted>
  <dcterms:created xsi:type="dcterms:W3CDTF">2015-06-05T18:17:20Z</dcterms:created>
  <dcterms:modified xsi:type="dcterms:W3CDTF">2024-10-12T23:49:11Z</dcterms:modified>
</cp:coreProperties>
</file>