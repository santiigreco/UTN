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HP-PROBOOK\Desktop\Control de Gestión\Pelaccini\Analisis de la Empresa\"/>
    </mc:Choice>
  </mc:AlternateContent>
  <xr:revisionPtr revIDLastSave="0" documentId="13_ncr:1_{03498B66-B6B8-4258-B334-7D1716866A13}" xr6:coauthVersionLast="47" xr6:coauthVersionMax="47" xr10:uidLastSave="{00000000-0000-0000-0000-000000000000}"/>
  <bookViews>
    <workbookView minimized="1" xWindow="2540" yWindow="2540" windowWidth="6880" windowHeight="1990" firstSheet="1" activeTab="10" xr2:uid="{00000000-000D-0000-FFFF-FFFF00000000}"/>
  </bookViews>
  <sheets>
    <sheet name="Carátula" sheetId="1" r:id="rId1"/>
    <sheet name="AE211)" sheetId="2" r:id="rId2"/>
    <sheet name="AE212)" sheetId="3" r:id="rId3"/>
    <sheet name="AE213)" sheetId="4" r:id="rId4"/>
    <sheet name="AE214)" sheetId="5" r:id="rId5"/>
    <sheet name="AE215)" sheetId="6" r:id="rId6"/>
    <sheet name="AE216)" sheetId="7" r:id="rId7"/>
    <sheet name="AE217)" sheetId="8" r:id="rId8"/>
    <sheet name="AE218)" sheetId="9" r:id="rId9"/>
    <sheet name="AE219)" sheetId="10" r:id="rId10"/>
    <sheet name="AE220)"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84" i="7" l="1"/>
  <c r="G185" i="7"/>
  <c r="G186" i="7"/>
  <c r="G187" i="7"/>
  <c r="G188" i="7"/>
  <c r="G189" i="7"/>
  <c r="G190" i="7"/>
  <c r="G183" i="7"/>
  <c r="E184" i="7"/>
  <c r="E185" i="7"/>
  <c r="E186" i="7"/>
  <c r="E187" i="7"/>
  <c r="E188" i="7"/>
  <c r="E189" i="7"/>
  <c r="E190" i="7"/>
  <c r="E183" i="7"/>
  <c r="G216" i="7"/>
  <c r="E216" i="7"/>
  <c r="C216" i="7"/>
  <c r="G215" i="7"/>
  <c r="E215" i="7"/>
  <c r="C215" i="7"/>
  <c r="G214" i="7"/>
  <c r="E214" i="7"/>
  <c r="C214" i="7"/>
  <c r="G213" i="7"/>
  <c r="E213" i="7"/>
  <c r="C213" i="7"/>
  <c r="G212" i="7"/>
  <c r="E212" i="7"/>
  <c r="C212" i="7"/>
  <c r="G211" i="7"/>
  <c r="E211" i="7"/>
  <c r="C211" i="7"/>
  <c r="G210" i="7"/>
  <c r="E210" i="7"/>
  <c r="C210" i="7"/>
  <c r="H204" i="7"/>
  <c r="H205" i="7"/>
  <c r="H206" i="7"/>
  <c r="F204" i="7"/>
  <c r="F205" i="7"/>
  <c r="F206" i="7"/>
  <c r="D204" i="7"/>
  <c r="D205" i="7"/>
  <c r="D206" i="7"/>
  <c r="H196" i="7"/>
  <c r="H197" i="7"/>
  <c r="H198" i="7"/>
  <c r="H199" i="7"/>
  <c r="H200" i="7"/>
  <c r="H201" i="7"/>
  <c r="H202" i="7"/>
  <c r="H203" i="7"/>
  <c r="H195" i="7"/>
  <c r="F196" i="7"/>
  <c r="F197" i="7"/>
  <c r="F198" i="7"/>
  <c r="F199" i="7"/>
  <c r="F200" i="7"/>
  <c r="F201" i="7"/>
  <c r="F202" i="7"/>
  <c r="F203" i="7"/>
  <c r="F195" i="7"/>
  <c r="D196" i="7"/>
  <c r="D197" i="7"/>
  <c r="D198" i="7"/>
  <c r="D199" i="7"/>
  <c r="D200" i="7"/>
  <c r="D201" i="7"/>
  <c r="D202" i="7"/>
  <c r="D203" i="7"/>
  <c r="D195" i="7"/>
  <c r="G164" i="7"/>
  <c r="G165" i="7"/>
  <c r="G166" i="7"/>
  <c r="G167" i="7"/>
  <c r="G168" i="7"/>
  <c r="G169" i="7"/>
  <c r="G170" i="7"/>
  <c r="G171" i="7"/>
  <c r="G172" i="7"/>
  <c r="G173" i="7"/>
  <c r="G174" i="7"/>
  <c r="G175" i="7"/>
  <c r="G163" i="7"/>
  <c r="E164" i="7"/>
  <c r="E165" i="7"/>
  <c r="E166" i="7"/>
  <c r="E167" i="7"/>
  <c r="E168" i="7"/>
  <c r="E169" i="7"/>
  <c r="E170" i="7"/>
  <c r="E171" i="7"/>
  <c r="E172" i="7"/>
  <c r="E173" i="7"/>
  <c r="E174" i="7"/>
  <c r="E175" i="7"/>
  <c r="E163" i="7"/>
  <c r="D154" i="7"/>
  <c r="E154" i="7" s="1"/>
  <c r="D155" i="7"/>
  <c r="E155" i="7" s="1"/>
  <c r="D156" i="7"/>
  <c r="E156" i="7" s="1"/>
  <c r="D157" i="7"/>
  <c r="E157" i="7" s="1"/>
  <c r="D158" i="7"/>
  <c r="E158" i="7" s="1"/>
  <c r="D159" i="7"/>
  <c r="E159" i="7" s="1"/>
  <c r="D153" i="7"/>
  <c r="E153" i="7" s="1"/>
  <c r="D140" i="7"/>
  <c r="E140" i="7" s="1"/>
  <c r="D141" i="7"/>
  <c r="E141" i="7" s="1"/>
  <c r="D142" i="7"/>
  <c r="E142" i="7" s="1"/>
  <c r="D143" i="7"/>
  <c r="E143" i="7" s="1"/>
  <c r="D144" i="7"/>
  <c r="E144" i="7" s="1"/>
  <c r="D145" i="7"/>
  <c r="E145" i="7" s="1"/>
  <c r="D139" i="7"/>
  <c r="E139" i="7" s="1"/>
  <c r="E125" i="7"/>
  <c r="F125" i="7" s="1"/>
  <c r="E126" i="7"/>
  <c r="F126" i="7" s="1"/>
  <c r="E127" i="7"/>
  <c r="F127" i="7" s="1"/>
  <c r="E128" i="7"/>
  <c r="F128" i="7" s="1"/>
  <c r="E129" i="7"/>
  <c r="F129" i="7" s="1"/>
  <c r="E130" i="7"/>
  <c r="F130" i="7" s="1"/>
  <c r="E131" i="7"/>
  <c r="F131" i="7" s="1"/>
  <c r="E132" i="7"/>
  <c r="F132" i="7" s="1"/>
  <c r="E133" i="7"/>
  <c r="F133" i="7" s="1"/>
  <c r="E134" i="7"/>
  <c r="F134" i="7" s="1"/>
  <c r="E135" i="7"/>
  <c r="F135" i="7" s="1"/>
  <c r="E136" i="7"/>
  <c r="F136" i="7" s="1"/>
  <c r="E124" i="7"/>
  <c r="F124" i="7" s="1"/>
  <c r="E110" i="7"/>
  <c r="F110" i="7" s="1"/>
  <c r="E111" i="7"/>
  <c r="F111" i="7" s="1"/>
  <c r="E112" i="7"/>
  <c r="F112" i="7" s="1"/>
  <c r="E113" i="7"/>
  <c r="F113" i="7" s="1"/>
  <c r="E114" i="7"/>
  <c r="F114" i="7" s="1"/>
  <c r="E115" i="7"/>
  <c r="F115" i="7" s="1"/>
  <c r="E116" i="7"/>
  <c r="F116" i="7" s="1"/>
  <c r="E117" i="7"/>
  <c r="F117" i="7" s="1"/>
  <c r="E109" i="7"/>
  <c r="F109" i="7" s="1"/>
  <c r="E76" i="7"/>
  <c r="E77" i="7"/>
  <c r="E78" i="7"/>
  <c r="E79" i="7"/>
  <c r="E80" i="7"/>
  <c r="E81" i="7"/>
  <c r="E82" i="7"/>
  <c r="E83" i="7"/>
  <c r="E84" i="7"/>
  <c r="E85" i="7"/>
  <c r="E86" i="7"/>
  <c r="E75" i="7"/>
  <c r="D76" i="7"/>
  <c r="D77" i="7"/>
  <c r="D78" i="7"/>
  <c r="D79" i="7"/>
  <c r="D80" i="7"/>
  <c r="D81" i="7"/>
  <c r="D82" i="7"/>
  <c r="D83" i="7"/>
  <c r="D84" i="7"/>
  <c r="D85" i="7"/>
  <c r="D86" i="7"/>
  <c r="D75" i="7"/>
  <c r="C76" i="7"/>
  <c r="C77" i="7"/>
  <c r="C78" i="7"/>
  <c r="C79" i="7"/>
  <c r="C80" i="7"/>
  <c r="C81" i="7"/>
  <c r="C82" i="7"/>
  <c r="C83" i="7"/>
  <c r="C84" i="7"/>
  <c r="C85" i="7"/>
  <c r="C86" i="7"/>
  <c r="C75" i="7"/>
  <c r="B103" i="6"/>
  <c r="B102" i="6"/>
  <c r="B101" i="6"/>
  <c r="B100" i="6"/>
  <c r="B99" i="6"/>
  <c r="B97" i="6"/>
  <c r="B96" i="6"/>
  <c r="B91" i="6"/>
  <c r="B90" i="6"/>
  <c r="B89" i="6"/>
  <c r="B52" i="6"/>
  <c r="B104" i="6" s="1"/>
  <c r="C35" i="6"/>
  <c r="C19" i="6"/>
  <c r="B92" i="6" s="1"/>
  <c r="D29" i="4"/>
  <c r="B21" i="4"/>
  <c r="B19" i="4"/>
  <c r="B22" i="4" s="1"/>
  <c r="D22" i="4"/>
  <c r="B26" i="4"/>
  <c r="D25" i="4"/>
  <c r="B52" i="3"/>
  <c r="D44" i="3"/>
  <c r="D52" i="3" s="1"/>
  <c r="C43" i="2"/>
  <c r="C44" i="2"/>
  <c r="B43" i="2"/>
  <c r="D25" i="2"/>
  <c r="D39" i="2" s="1"/>
  <c r="D37" i="2"/>
  <c r="C45" i="2" s="1"/>
  <c r="D30" i="2"/>
  <c r="B36" i="2"/>
  <c r="B44" i="2" s="1"/>
  <c r="B25" i="2"/>
  <c r="B39" i="2" s="1"/>
  <c r="C22" i="6" l="1"/>
  <c r="C27" i="6" s="1"/>
  <c r="C31" i="6" s="1"/>
  <c r="B93" i="6" s="1"/>
  <c r="B94" i="6" s="1"/>
  <c r="E107" i="6"/>
  <c r="B27" i="4"/>
  <c r="D28" i="4" s="1"/>
  <c r="B34" i="4" s="1"/>
  <c r="B33" i="4"/>
  <c r="B64" i="3"/>
  <c r="D53" i="3"/>
  <c r="B67" i="3" s="1"/>
  <c r="C46" i="2"/>
  <c r="B46" i="2"/>
  <c r="B95" i="6" l="1"/>
  <c r="B105" i="6" s="1"/>
  <c r="B98" i="6"/>
</calcChain>
</file>

<file path=xl/sharedStrings.xml><?xml version="1.0" encoding="utf-8"?>
<sst xmlns="http://schemas.openxmlformats.org/spreadsheetml/2006/main" count="714" uniqueCount="266">
  <si>
    <t>Asignatura</t>
  </si>
  <si>
    <t>Control de gestion</t>
  </si>
  <si>
    <t>Docente</t>
  </si>
  <si>
    <t>Ing. Diego Pelaccini</t>
  </si>
  <si>
    <t>Curso</t>
  </si>
  <si>
    <t>I5052 VIERNES</t>
  </si>
  <si>
    <t>Integrantes</t>
  </si>
  <si>
    <t>Legajos</t>
  </si>
  <si>
    <t>Blat Catalina</t>
  </si>
  <si>
    <t>Casado Gina</t>
  </si>
  <si>
    <t>Truffa Ramiro</t>
  </si>
  <si>
    <t>Activo Corriente</t>
  </si>
  <si>
    <t>Activo Fijo</t>
  </si>
  <si>
    <t>PN</t>
  </si>
  <si>
    <t>Terreno</t>
  </si>
  <si>
    <t>Edificios</t>
  </si>
  <si>
    <t>Vehiculos</t>
  </si>
  <si>
    <t xml:space="preserve">Reserva Legal </t>
  </si>
  <si>
    <t>Caja y bancos</t>
  </si>
  <si>
    <t>Instalaciones</t>
  </si>
  <si>
    <t>Proveedores CP</t>
  </si>
  <si>
    <t>Productos Terminados</t>
  </si>
  <si>
    <t>Deudas sociales</t>
  </si>
  <si>
    <t>Activos Intangibles</t>
  </si>
  <si>
    <t>Sueldos a pagar</t>
  </si>
  <si>
    <t>Materia Prima</t>
  </si>
  <si>
    <t>Provisiones LP</t>
  </si>
  <si>
    <t>Elementos informáticos</t>
  </si>
  <si>
    <t xml:space="preserve">Previsión incobrables </t>
  </si>
  <si>
    <t>Obligaciones Negociables</t>
  </si>
  <si>
    <t>Deuda Bancaria CP</t>
  </si>
  <si>
    <t>Provisiones CP</t>
  </si>
  <si>
    <t xml:space="preserve">Cuentas por cobrar </t>
  </si>
  <si>
    <t>Máquinas</t>
  </si>
  <si>
    <t>Semileaborados</t>
  </si>
  <si>
    <t>Capital Social</t>
  </si>
  <si>
    <t>Resultados no asigandos</t>
  </si>
  <si>
    <t>Acreedores a LP</t>
  </si>
  <si>
    <t>Prestamos LP</t>
  </si>
  <si>
    <t>Muebles y Utiles</t>
  </si>
  <si>
    <t>Depreciación y amortizaciones</t>
  </si>
  <si>
    <t>Patrimonio Neto o Equity</t>
  </si>
  <si>
    <t>Deuda Largo Plazo</t>
  </si>
  <si>
    <t>Deuda Corto Plazo</t>
  </si>
  <si>
    <t>Total Activo Corriente</t>
  </si>
  <si>
    <t>Total Activo Fijo</t>
  </si>
  <si>
    <t xml:space="preserve">Resultado del ejercicio </t>
  </si>
  <si>
    <t>Total PN</t>
  </si>
  <si>
    <t>Total Deuda LP</t>
  </si>
  <si>
    <t>Otros pasivos CP</t>
  </si>
  <si>
    <t>Total Deuda CP</t>
  </si>
  <si>
    <t>Activo total</t>
  </si>
  <si>
    <t>Pasivo + PN</t>
  </si>
  <si>
    <t>B)</t>
  </si>
  <si>
    <t>Activo Circulante</t>
  </si>
  <si>
    <t>Activo Total</t>
  </si>
  <si>
    <t>Deudas CP</t>
  </si>
  <si>
    <t>Deudas LP</t>
  </si>
  <si>
    <t>Capital propio</t>
  </si>
  <si>
    <t>P+PN</t>
  </si>
  <si>
    <t>Masas patrimoniales</t>
  </si>
  <si>
    <t>A)  Capital Social + Beneficios</t>
  </si>
  <si>
    <t>Deudas con entidades de crédito a corto plazo</t>
  </si>
  <si>
    <t>Mercaderias</t>
  </si>
  <si>
    <t>Vehiculo</t>
  </si>
  <si>
    <t>Facturas pendientes de pagar a los proveedores</t>
  </si>
  <si>
    <t>Deudas con entidades de crédito a largo plazo</t>
  </si>
  <si>
    <t>3 computadoras</t>
  </si>
  <si>
    <t>Facturas pendientes de cobrar a los clientes</t>
  </si>
  <si>
    <t>Mobiliario</t>
  </si>
  <si>
    <t>Efectivo</t>
  </si>
  <si>
    <t>Balance al 31/12</t>
  </si>
  <si>
    <t>Activo corriente</t>
  </si>
  <si>
    <t>Pasivo CP</t>
  </si>
  <si>
    <t>Pasivo LP</t>
  </si>
  <si>
    <t>Mercaderías</t>
  </si>
  <si>
    <t>Cuentas por pagar</t>
  </si>
  <si>
    <t>Deudas bancarias a largo plazo</t>
  </si>
  <si>
    <t>Deudas bancarias a corto plazo</t>
  </si>
  <si>
    <t>Cuentas a cobrar</t>
  </si>
  <si>
    <t>Total pasivo</t>
  </si>
  <si>
    <t xml:space="preserve">B. </t>
  </si>
  <si>
    <t>Formas de calcular el fondo de maniobra</t>
  </si>
  <si>
    <t>Enfoque en activo circulante</t>
  </si>
  <si>
    <t>Fondo de Maniobra</t>
  </si>
  <si>
    <t>Enfoque en inversiones y recursos permanentes</t>
  </si>
  <si>
    <t>A.</t>
  </si>
  <si>
    <t>Capital social + Beneficios</t>
  </si>
  <si>
    <t>Construcciones</t>
  </si>
  <si>
    <t>Deudas bancarias LP</t>
  </si>
  <si>
    <t>Cuentas por cobrar</t>
  </si>
  <si>
    <t>Muebles y utiles</t>
  </si>
  <si>
    <t>Inventarios</t>
  </si>
  <si>
    <t>Deudas bancarias a CP</t>
  </si>
  <si>
    <t>Proveedores</t>
  </si>
  <si>
    <t xml:space="preserve">Activo total </t>
  </si>
  <si>
    <t>Total Pasivo</t>
  </si>
  <si>
    <t>B. Fondo de maniobra</t>
  </si>
  <si>
    <t>Forma 1</t>
  </si>
  <si>
    <t>Forma 2</t>
  </si>
  <si>
    <t>Activo circulante - Deudas a CP</t>
  </si>
  <si>
    <t>Deudas bancarias LP + Capital social + Beneficios - AF</t>
  </si>
  <si>
    <t>Supermercado</t>
  </si>
  <si>
    <t>Distribuidora eléctrica</t>
  </si>
  <si>
    <t>Joyería</t>
  </si>
  <si>
    <t>Situación</t>
  </si>
  <si>
    <t>Justificación</t>
  </si>
  <si>
    <t>A</t>
  </si>
  <si>
    <t>Mayor porcentaje en activos fijos</t>
  </si>
  <si>
    <t>B</t>
  </si>
  <si>
    <t>Mayor porcentaje en activos circulantes</t>
  </si>
  <si>
    <t>Equilibrio</t>
  </si>
  <si>
    <t>C</t>
  </si>
  <si>
    <t>INCOME STATEMENT</t>
  </si>
  <si>
    <t>Sales</t>
  </si>
  <si>
    <t>-</t>
  </si>
  <si>
    <t>COGS</t>
  </si>
  <si>
    <t>Gross Profit</t>
  </si>
  <si>
    <t>Adm. Expense</t>
  </si>
  <si>
    <t>Selling expense</t>
  </si>
  <si>
    <t>EBIT</t>
  </si>
  <si>
    <t>+</t>
  </si>
  <si>
    <t>Interest Expense</t>
  </si>
  <si>
    <t>Interest Income</t>
  </si>
  <si>
    <t>Other Expense</t>
  </si>
  <si>
    <t>Other Income</t>
  </si>
  <si>
    <t>EBT</t>
  </si>
  <si>
    <t>Taxes</t>
  </si>
  <si>
    <t>Extraordinary Expense</t>
  </si>
  <si>
    <t>Extraordinary Income</t>
  </si>
  <si>
    <t>NET INCOME</t>
  </si>
  <si>
    <t>Depreciation + Amort</t>
  </si>
  <si>
    <t>EBITDA</t>
  </si>
  <si>
    <t>FINANCIAL STATEMENTS</t>
  </si>
  <si>
    <t>Cash and Banks</t>
  </si>
  <si>
    <t>Suplus Cash Flow</t>
  </si>
  <si>
    <t>ST Investments</t>
  </si>
  <si>
    <t>Account receivables</t>
  </si>
  <si>
    <t>Inventories</t>
  </si>
  <si>
    <t>ST other assets</t>
  </si>
  <si>
    <t>Current Assets</t>
  </si>
  <si>
    <t>Net fixed assets</t>
  </si>
  <si>
    <t>LT investments</t>
  </si>
  <si>
    <t>Intangibles</t>
  </si>
  <si>
    <t>Others</t>
  </si>
  <si>
    <t>Non current assests</t>
  </si>
  <si>
    <t>TOTAL ASSETS</t>
  </si>
  <si>
    <t>Account payables</t>
  </si>
  <si>
    <t>ST loans</t>
  </si>
  <si>
    <t>ST other liabilities</t>
  </si>
  <si>
    <t>Social and Fiscal Liabilities</t>
  </si>
  <si>
    <t>ST Corporate Bonds</t>
  </si>
  <si>
    <t>ST Bank Debt</t>
  </si>
  <si>
    <t>Current Liabilities</t>
  </si>
  <si>
    <t>LT Bank Debt</t>
  </si>
  <si>
    <t>Corporate Bonds</t>
  </si>
  <si>
    <t>LT others liabilities</t>
  </si>
  <si>
    <t>Non Current Liabilities</t>
  </si>
  <si>
    <t>TOTAL LIABILITIES</t>
  </si>
  <si>
    <t>Net Worth</t>
  </si>
  <si>
    <t>Total Liabilities + Net Worth</t>
  </si>
  <si>
    <t>Índice de liquidez</t>
  </si>
  <si>
    <t>Test ácido (liquidez acida)</t>
  </si>
  <si>
    <t>Margen Bruto</t>
  </si>
  <si>
    <t>Rentabilidad economica neta (ra)</t>
  </si>
  <si>
    <t>Resultado neto s/ Patrimonio</t>
  </si>
  <si>
    <t>Margen neto s/ ventas (ROS)</t>
  </si>
  <si>
    <t>Gastos financieros s/ deuda total</t>
  </si>
  <si>
    <t>Gastos financieros sobre ventas</t>
  </si>
  <si>
    <t>Cobertura de intereses</t>
  </si>
  <si>
    <t>Rotación de stock</t>
  </si>
  <si>
    <t>Plazo medio de cobro</t>
  </si>
  <si>
    <t>Plazo medio de pago</t>
  </si>
  <si>
    <t>Palanca financiera</t>
  </si>
  <si>
    <t>Equilibrio patrimonial de largo plazo</t>
  </si>
  <si>
    <t>Inmovilización de activos</t>
  </si>
  <si>
    <t>Indice de dupont</t>
  </si>
  <si>
    <t>AC/PC</t>
  </si>
  <si>
    <t>Tasa de Endeudamiento</t>
  </si>
  <si>
    <t>(AC-Inventarios)/PC</t>
  </si>
  <si>
    <t>Ptot/PN</t>
  </si>
  <si>
    <t>UB/Vtas</t>
  </si>
  <si>
    <t>Rendimiento Activos Neto ROA</t>
  </si>
  <si>
    <t>UN/Atot prom</t>
  </si>
  <si>
    <t>Rentabilidad del PN R.O.E</t>
  </si>
  <si>
    <t>Ra*(1+Dt/E)</t>
  </si>
  <si>
    <t>UN/VTAS</t>
  </si>
  <si>
    <t>Gastos en intereses/Pasivo total</t>
  </si>
  <si>
    <t>Gastos en intereses/Ventas</t>
  </si>
  <si>
    <t>(BAII+Amortizaciones)/Gastos en intereses</t>
  </si>
  <si>
    <t>BAII es el EBIT</t>
  </si>
  <si>
    <t>CMV/Bienes de cambio</t>
  </si>
  <si>
    <t>(Creditos por vtas/ventas + iva)*n</t>
  </si>
  <si>
    <t>Proveedores/CMV+iva *n</t>
  </si>
  <si>
    <t>(Cap propio + pasivo no corriente)/AF</t>
  </si>
  <si>
    <t>Activo no corriente/Activos totales</t>
  </si>
  <si>
    <t>ROS*Rotacion activo total</t>
  </si>
  <si>
    <t>Rotacion actico total = ventas anuales/activo total promedio</t>
  </si>
  <si>
    <t>Rotacion activo total</t>
  </si>
  <si>
    <t>Income statement</t>
  </si>
  <si>
    <t>Financial statement</t>
  </si>
  <si>
    <t> </t>
  </si>
  <si>
    <t>31/12/2010</t>
  </si>
  <si>
    <t>31/12/2011</t>
  </si>
  <si>
    <t>31/12/2012</t>
  </si>
  <si>
    <t>Cash and banks</t>
  </si>
  <si>
    <t>susplus cash flow</t>
  </si>
  <si>
    <t>Gross margin</t>
  </si>
  <si>
    <t>ST investments</t>
  </si>
  <si>
    <t>Adm expense</t>
  </si>
  <si>
    <t>Interest expense</t>
  </si>
  <si>
    <t>Current assets</t>
  </si>
  <si>
    <t>Interest income</t>
  </si>
  <si>
    <t>other expense</t>
  </si>
  <si>
    <t>other income</t>
  </si>
  <si>
    <t>others</t>
  </si>
  <si>
    <t>Non current assets</t>
  </si>
  <si>
    <t>Extraodinary expense</t>
  </si>
  <si>
    <t>Total assets</t>
  </si>
  <si>
    <t>Extraordinary income</t>
  </si>
  <si>
    <t>Net income</t>
  </si>
  <si>
    <t>ST loabs payable-rel.cos</t>
  </si>
  <si>
    <t>social and fisical liabilities</t>
  </si>
  <si>
    <t>ST corporate bonds</t>
  </si>
  <si>
    <t>Depreciation+ Amort</t>
  </si>
  <si>
    <t>ST bank debt</t>
  </si>
  <si>
    <t>Current liabilities</t>
  </si>
  <si>
    <t>LT bank debt</t>
  </si>
  <si>
    <t>Corporate bonds</t>
  </si>
  <si>
    <t>LT other liabilities</t>
  </si>
  <si>
    <t>Non current liabilities</t>
  </si>
  <si>
    <t>Total liabilities</t>
  </si>
  <si>
    <t>Net worth</t>
  </si>
  <si>
    <t>Total liabilities+net worth</t>
  </si>
  <si>
    <t>A. ANALISIS VERTICAL ECONÓMICO</t>
  </si>
  <si>
    <t>ANALISIS VERTICAL FINANCIERO</t>
  </si>
  <si>
    <t>B. ANALISIS HORIZONTAL ECONOMICO</t>
  </si>
  <si>
    <t>Variacion anual abs.</t>
  </si>
  <si>
    <t>Variación anual en %</t>
  </si>
  <si>
    <t>Indice</t>
  </si>
  <si>
    <t>Fuente de información</t>
  </si>
  <si>
    <t>Qué permite medir</t>
  </si>
  <si>
    <t>Formula</t>
  </si>
  <si>
    <t>Valor recomendado</t>
  </si>
  <si>
    <t>Tasa de Rotación del personal</t>
  </si>
  <si>
    <t>Recursos Humanos</t>
  </si>
  <si>
    <t>El porcentaje de empleados que dejan la empresa en un periodo determinado. Nos permite conocer la estabilidad y satisfacción del personal</t>
  </si>
  <si>
    <t>Numero de empleados que abandonan la empresa/Numero total de empleados</t>
  </si>
  <si>
    <t>Valor bajo</t>
  </si>
  <si>
    <t>Indice de Productividad</t>
  </si>
  <si>
    <t>Producción</t>
  </si>
  <si>
    <t xml:space="preserve">Mide la eficiencia operativa calculando la cantidad de productos o servicios generados por unidad de tiempos o recursos </t>
  </si>
  <si>
    <t>Productos terminados/Hs trabajadas o recursos utilizados</t>
  </si>
  <si>
    <t>Valor alto o creciente</t>
  </si>
  <si>
    <t>Tiempo total de resolución de problemas/Numero total de incidencias resueltas</t>
  </si>
  <si>
    <t>Tiempo medio de Resolución de problemas</t>
  </si>
  <si>
    <t>Servicio al cliente</t>
  </si>
  <si>
    <t>Rapidez con la que el equipo de servicio al cliente resuelve los problemas reportados por los clientes</t>
  </si>
  <si>
    <t>Abs</t>
  </si>
  <si>
    <t>%</t>
  </si>
  <si>
    <t>ANALISIS HORIZONTAL FINANCIERO</t>
  </si>
  <si>
    <t>C. ANALISIS DE TENDENCIAS</t>
  </si>
  <si>
    <t>D. TAMAÑO HOMOGENEO</t>
  </si>
  <si>
    <t>1) Clima laboral. Fuente: Encuestas de satisfaccion con resultados numericos.</t>
  </si>
  <si>
    <t>2) Indice de motivacion de los empleados. Fuentes: Encuestas</t>
  </si>
  <si>
    <t xml:space="preserve">3) Indice de liderazgo. Fuente: Encuestas y rendimiento de lideres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</si>
</sst>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8" formatCode="0.0000"/>
    <numFmt numFmtId="169" formatCode="0.000"/>
    <numFmt numFmtId="170" formatCode="0.0%"/>
    <numFmt numFmtId="171" formatCode="0.000%"/>
  </numFmts>
  <fonts count="9">
    <font>
      <sz val="11"/>
      <color theme="1"/>
      <name val="Calibri"/>
      <family val="2"/>
      <scheme val="minor"/>
    </font>
    <font>
      <sz val="11"/>
      <color theme="1"/>
      <name val="Calibri"/>
      <family val="2"/>
      <scheme val="minor"/>
    </font>
    <font>
      <b/>
      <sz val="11"/>
      <color theme="1"/>
      <name val="Calibri"/>
      <family val="2"/>
      <scheme val="minor"/>
    </font>
    <font>
      <b/>
      <sz val="10"/>
      <color rgb="FF000000"/>
      <name val="Calibri"/>
      <family val="2"/>
      <scheme val="minor"/>
    </font>
    <font>
      <sz val="10"/>
      <color rgb="FF000000"/>
      <name val="Calibri"/>
      <family val="2"/>
      <scheme val="minor"/>
    </font>
    <font>
      <b/>
      <sz val="11"/>
      <color rgb="FF000000"/>
      <name val="Aptos Narrow"/>
      <family val="2"/>
    </font>
    <font>
      <sz val="11"/>
      <color rgb="FF000000"/>
      <name val="Aptos Narrow"/>
      <family val="2"/>
    </font>
    <font>
      <u/>
      <sz val="11"/>
      <color rgb="FF000000"/>
      <name val="Aptos Narrow"/>
      <family val="2"/>
    </font>
    <font>
      <b/>
      <sz val="11"/>
      <color rgb="FF000000"/>
      <name val="Aptos Narrow"/>
    </font>
  </fonts>
  <fills count="13">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00">
    <xf numFmtId="0" fontId="0" fillId="0" borderId="0" xfId="0"/>
    <xf numFmtId="0" fontId="3" fillId="0" borderId="1" xfId="0" applyFont="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2" fillId="0" borderId="0" xfId="0" applyFont="1"/>
    <xf numFmtId="0" fontId="0" fillId="2" borderId="0" xfId="0" applyFill="1"/>
    <xf numFmtId="0" fontId="0" fillId="5" borderId="0" xfId="0" applyFill="1"/>
    <xf numFmtId="0" fontId="0" fillId="6" borderId="0" xfId="0" applyFill="1"/>
    <xf numFmtId="0" fontId="0" fillId="6" borderId="0" xfId="0" applyFont="1" applyFill="1"/>
    <xf numFmtId="0" fontId="2" fillId="6" borderId="0" xfId="0" applyFont="1" applyFill="1"/>
    <xf numFmtId="0" fontId="0" fillId="8" borderId="0" xfId="0" applyFill="1"/>
    <xf numFmtId="0" fontId="2" fillId="8" borderId="0" xfId="0" applyFont="1" applyFill="1"/>
    <xf numFmtId="0" fontId="0" fillId="10" borderId="0" xfId="0" applyFill="1"/>
    <xf numFmtId="0" fontId="2" fillId="11" borderId="0" xfId="0" applyFont="1" applyFill="1" applyAlignment="1">
      <alignment horizontal="center"/>
    </xf>
    <xf numFmtId="0" fontId="0" fillId="0" borderId="1" xfId="0" applyBorder="1"/>
    <xf numFmtId="0" fontId="2" fillId="0" borderId="1" xfId="0" applyFont="1" applyBorder="1"/>
    <xf numFmtId="0" fontId="2" fillId="0" borderId="1" xfId="0" applyFont="1" applyBorder="1" applyAlignment="1">
      <alignment horizontal="center"/>
    </xf>
    <xf numFmtId="0" fontId="2" fillId="3" borderId="1" xfId="0" applyFont="1" applyFill="1" applyBorder="1" applyAlignment="1">
      <alignment horizontal="center"/>
    </xf>
    <xf numFmtId="0" fontId="2" fillId="5" borderId="1" xfId="0" applyFont="1" applyFill="1" applyBorder="1"/>
    <xf numFmtId="0" fontId="2" fillId="2" borderId="2" xfId="0" applyFont="1" applyFill="1" applyBorder="1"/>
    <xf numFmtId="0" fontId="2" fillId="4" borderId="1" xfId="0" applyFont="1" applyFill="1" applyBorder="1" applyAlignment="1">
      <alignment horizontal="center"/>
    </xf>
    <xf numFmtId="0" fontId="2" fillId="9" borderId="1" xfId="0" applyFont="1" applyFill="1" applyBorder="1" applyAlignment="1">
      <alignment horizontal="center"/>
    </xf>
    <xf numFmtId="0" fontId="2" fillId="7" borderId="1" xfId="0" applyFont="1" applyFill="1" applyBorder="1" applyAlignment="1">
      <alignment horizontal="center"/>
    </xf>
    <xf numFmtId="0" fontId="2" fillId="10" borderId="1" xfId="0" applyFont="1" applyFill="1" applyBorder="1"/>
    <xf numFmtId="0" fontId="2" fillId="0" borderId="1" xfId="0" applyFont="1" applyBorder="1" applyAlignment="1">
      <alignment horizontal="center"/>
    </xf>
    <xf numFmtId="14" fontId="0" fillId="0" borderId="0" xfId="0" applyNumberFormat="1"/>
    <xf numFmtId="0" fontId="0" fillId="0" borderId="1" xfId="0" applyFill="1" applyBorder="1"/>
    <xf numFmtId="169" fontId="0" fillId="0" borderId="1" xfId="0" applyNumberFormat="1" applyBorder="1"/>
    <xf numFmtId="10" fontId="0" fillId="0" borderId="1" xfId="1" applyNumberFormat="1" applyFont="1" applyBorder="1"/>
    <xf numFmtId="171" fontId="0" fillId="0" borderId="1" xfId="1" applyNumberFormat="1" applyFont="1" applyBorder="1"/>
    <xf numFmtId="168" fontId="0" fillId="0" borderId="1" xfId="0" applyNumberFormat="1" applyBorder="1"/>
    <xf numFmtId="171" fontId="0" fillId="0" borderId="2" xfId="1" applyNumberFormat="1" applyFont="1" applyBorder="1"/>
    <xf numFmtId="169" fontId="0" fillId="0" borderId="5" xfId="0" applyNumberFormat="1" applyBorder="1"/>
    <xf numFmtId="0" fontId="2" fillId="0" borderId="1" xfId="0" applyFont="1" applyBorder="1" applyAlignment="1">
      <alignment wrapText="1"/>
    </xf>
    <xf numFmtId="0" fontId="2" fillId="0" borderId="1" xfId="0" applyFont="1" applyBorder="1" applyAlignment="1">
      <alignment horizontal="center" wrapText="1"/>
    </xf>
    <xf numFmtId="0" fontId="0" fillId="0" borderId="0" xfId="0" applyAlignment="1">
      <alignment wrapText="1"/>
    </xf>
    <xf numFmtId="0" fontId="0" fillId="0" borderId="1" xfId="0" applyBorder="1" applyAlignment="1">
      <alignment wrapText="1"/>
    </xf>
    <xf numFmtId="0" fontId="0" fillId="0" borderId="1" xfId="0" applyBorder="1" applyAlignment="1">
      <alignment horizontal="center" wrapText="1"/>
    </xf>
    <xf numFmtId="0" fontId="2" fillId="0" borderId="0" xfId="0" applyFont="1" applyAlignment="1">
      <alignment wrapText="1"/>
    </xf>
    <xf numFmtId="0" fontId="2" fillId="0" borderId="1"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0" fillId="0" borderId="3" xfId="0" applyBorder="1" applyAlignment="1">
      <alignment wrapText="1"/>
    </xf>
    <xf numFmtId="0" fontId="2" fillId="3" borderId="1" xfId="0" applyFont="1" applyFill="1" applyBorder="1" applyAlignment="1">
      <alignment wrapText="1"/>
    </xf>
    <xf numFmtId="0" fontId="0" fillId="3" borderId="1" xfId="0" applyFill="1" applyBorder="1" applyAlignment="1">
      <alignment wrapText="1"/>
    </xf>
    <xf numFmtId="0" fontId="0" fillId="0" borderId="0" xfId="0" applyBorder="1" applyAlignment="1">
      <alignment wrapText="1"/>
    </xf>
    <xf numFmtId="0" fontId="2" fillId="0" borderId="0" xfId="0" applyFont="1" applyAlignment="1">
      <alignment horizontal="center" wrapText="1"/>
    </xf>
    <xf numFmtId="0" fontId="2" fillId="0" borderId="10" xfId="0" applyFont="1" applyBorder="1" applyAlignment="1">
      <alignment horizontal="center" wrapText="1"/>
    </xf>
    <xf numFmtId="0" fontId="2" fillId="0" borderId="0" xfId="0" applyFont="1" applyBorder="1"/>
    <xf numFmtId="0" fontId="0" fillId="0" borderId="0" xfId="0" applyBorder="1"/>
    <xf numFmtId="0" fontId="5" fillId="0" borderId="1" xfId="0" applyFont="1" applyBorder="1" applyAlignment="1">
      <alignment wrapText="1"/>
    </xf>
    <xf numFmtId="0" fontId="0" fillId="0" borderId="1" xfId="0" applyFill="1" applyBorder="1" applyAlignment="1">
      <alignment wrapText="1"/>
    </xf>
    <xf numFmtId="0" fontId="3" fillId="0" borderId="1" xfId="0" applyFont="1" applyBorder="1" applyAlignment="1">
      <alignment horizontal="center" wrapText="1"/>
    </xf>
    <xf numFmtId="0" fontId="4" fillId="0" borderId="1" xfId="0" applyFont="1" applyBorder="1" applyAlignment="1">
      <alignment horizontal="center" wrapText="1"/>
    </xf>
    <xf numFmtId="0" fontId="6" fillId="0" borderId="0" xfId="0" applyFont="1" applyAlignment="1">
      <alignment wrapText="1"/>
    </xf>
    <xf numFmtId="0" fontId="7" fillId="0" borderId="0" xfId="0" applyFont="1" applyAlignment="1">
      <alignment wrapText="1"/>
    </xf>
    <xf numFmtId="0" fontId="7" fillId="0" borderId="0" xfId="0" applyFont="1" applyAlignment="1">
      <alignment wrapText="1"/>
    </xf>
    <xf numFmtId="0" fontId="6" fillId="0" borderId="1" xfId="0" applyFont="1" applyBorder="1" applyAlignment="1">
      <alignment wrapText="1"/>
    </xf>
    <xf numFmtId="0" fontId="6" fillId="0" borderId="6" xfId="0" applyFont="1" applyBorder="1" applyAlignment="1">
      <alignment wrapText="1"/>
    </xf>
    <xf numFmtId="0" fontId="6" fillId="12" borderId="7" xfId="0" applyFont="1" applyFill="1" applyBorder="1" applyAlignment="1">
      <alignment wrapText="1"/>
    </xf>
    <xf numFmtId="0" fontId="6" fillId="12" borderId="8" xfId="0" applyFont="1" applyFill="1" applyBorder="1" applyAlignment="1">
      <alignment wrapText="1"/>
    </xf>
    <xf numFmtId="0" fontId="6" fillId="12" borderId="9" xfId="0" applyFont="1" applyFill="1" applyBorder="1" applyAlignment="1">
      <alignment wrapText="1"/>
    </xf>
    <xf numFmtId="0" fontId="6" fillId="0" borderId="5" xfId="0" applyFont="1" applyBorder="1" applyAlignment="1">
      <alignment wrapText="1"/>
    </xf>
    <xf numFmtId="0" fontId="6" fillId="0" borderId="10" xfId="0" applyFont="1" applyBorder="1" applyAlignment="1">
      <alignment wrapText="1"/>
    </xf>
    <xf numFmtId="0" fontId="6" fillId="0" borderId="11" xfId="0" applyFont="1" applyBorder="1" applyAlignment="1">
      <alignment wrapText="1"/>
    </xf>
    <xf numFmtId="0" fontId="6" fillId="0" borderId="12" xfId="0" applyFont="1" applyBorder="1" applyAlignment="1">
      <alignment wrapText="1"/>
    </xf>
    <xf numFmtId="0" fontId="6" fillId="0" borderId="13" xfId="0" applyFont="1" applyBorder="1" applyAlignment="1">
      <alignment wrapText="1"/>
    </xf>
    <xf numFmtId="0" fontId="6" fillId="0" borderId="5" xfId="0" quotePrefix="1" applyFont="1" applyBorder="1" applyAlignment="1">
      <alignment wrapText="1"/>
    </xf>
    <xf numFmtId="0" fontId="6" fillId="0" borderId="14" xfId="0" applyFont="1" applyBorder="1" applyAlignment="1">
      <alignment wrapText="1"/>
    </xf>
    <xf numFmtId="0" fontId="6" fillId="0" borderId="15" xfId="0" applyFont="1" applyBorder="1" applyAlignment="1">
      <alignment wrapText="1"/>
    </xf>
    <xf numFmtId="0" fontId="6" fillId="0" borderId="16" xfId="0" applyFont="1" applyBorder="1" applyAlignment="1">
      <alignment wrapText="1"/>
    </xf>
    <xf numFmtId="9" fontId="6" fillId="0" borderId="11" xfId="0" applyNumberFormat="1" applyFont="1" applyBorder="1" applyAlignment="1">
      <alignment wrapText="1"/>
    </xf>
    <xf numFmtId="9" fontId="6" fillId="0" borderId="12" xfId="0" applyNumberFormat="1" applyFont="1" applyBorder="1" applyAlignment="1">
      <alignment wrapText="1"/>
    </xf>
    <xf numFmtId="9" fontId="6" fillId="0" borderId="13" xfId="0" applyNumberFormat="1" applyFont="1" applyBorder="1" applyAlignment="1">
      <alignment wrapText="1"/>
    </xf>
    <xf numFmtId="171" fontId="6" fillId="0" borderId="11" xfId="1" applyNumberFormat="1" applyFont="1" applyBorder="1" applyAlignment="1">
      <alignment wrapText="1"/>
    </xf>
    <xf numFmtId="10" fontId="6" fillId="0" borderId="12" xfId="1" applyNumberFormat="1" applyFont="1" applyBorder="1" applyAlignment="1">
      <alignment wrapText="1"/>
    </xf>
    <xf numFmtId="10" fontId="6" fillId="0" borderId="13" xfId="1" applyNumberFormat="1" applyFont="1" applyBorder="1" applyAlignment="1">
      <alignment wrapText="1"/>
    </xf>
    <xf numFmtId="0" fontId="6" fillId="0" borderId="0" xfId="0" applyFont="1" applyBorder="1" applyAlignment="1">
      <alignment wrapText="1"/>
    </xf>
    <xf numFmtId="171" fontId="6" fillId="0" borderId="0" xfId="1" applyNumberFormat="1" applyFont="1" applyBorder="1" applyAlignment="1">
      <alignment wrapText="1"/>
    </xf>
    <xf numFmtId="10" fontId="6" fillId="0" borderId="0" xfId="1" applyNumberFormat="1" applyFont="1" applyBorder="1" applyAlignment="1">
      <alignment wrapText="1"/>
    </xf>
    <xf numFmtId="0" fontId="6" fillId="12" borderId="1" xfId="0" applyFont="1" applyFill="1" applyBorder="1" applyAlignment="1">
      <alignment wrapText="1"/>
    </xf>
    <xf numFmtId="0" fontId="8" fillId="0" borderId="1" xfId="0" applyFont="1" applyBorder="1" applyAlignment="1">
      <alignment wrapText="1"/>
    </xf>
    <xf numFmtId="170" fontId="6" fillId="0" borderId="1" xfId="1" applyNumberFormat="1" applyFont="1" applyBorder="1" applyAlignment="1">
      <alignment wrapText="1"/>
    </xf>
    <xf numFmtId="0" fontId="5" fillId="12" borderId="1" xfId="0" applyFont="1" applyFill="1" applyBorder="1" applyAlignment="1">
      <alignment wrapText="1"/>
    </xf>
    <xf numFmtId="0" fontId="8" fillId="12" borderId="8" xfId="0" applyFont="1" applyFill="1" applyBorder="1" applyAlignment="1">
      <alignment wrapText="1"/>
    </xf>
    <xf numFmtId="0" fontId="8" fillId="0" borderId="5" xfId="0" applyFont="1" applyBorder="1" applyAlignment="1">
      <alignment wrapText="1"/>
    </xf>
    <xf numFmtId="0" fontId="8" fillId="0" borderId="5" xfId="0" quotePrefix="1" applyFont="1" applyBorder="1" applyAlignment="1">
      <alignment wrapText="1"/>
    </xf>
    <xf numFmtId="0" fontId="0" fillId="0" borderId="0" xfId="0" applyAlignment="1">
      <alignment horizontal="center" wrapText="1"/>
    </xf>
    <xf numFmtId="0" fontId="8" fillId="0" borderId="0" xfId="0" applyFont="1" applyBorder="1" applyAlignment="1">
      <alignment wrapText="1"/>
    </xf>
    <xf numFmtId="170" fontId="6" fillId="0" borderId="0" xfId="1" applyNumberFormat="1" applyFont="1" applyBorder="1" applyAlignment="1">
      <alignment wrapText="1"/>
    </xf>
    <xf numFmtId="10" fontId="0" fillId="0" borderId="1" xfId="1" applyNumberFormat="1" applyFont="1" applyBorder="1" applyAlignment="1">
      <alignment wrapText="1"/>
    </xf>
    <xf numFmtId="0" fontId="8" fillId="0" borderId="1" xfId="0" quotePrefix="1" applyFont="1" applyBorder="1" applyAlignment="1">
      <alignment wrapText="1"/>
    </xf>
    <xf numFmtId="10" fontId="6" fillId="0" borderId="10" xfId="1" applyNumberFormat="1" applyFont="1" applyBorder="1" applyAlignment="1">
      <alignment wrapText="1"/>
    </xf>
    <xf numFmtId="171" fontId="0" fillId="0" borderId="1" xfId="1" applyNumberFormat="1" applyFont="1" applyBorder="1" applyAlignment="1">
      <alignment wrapText="1"/>
    </xf>
    <xf numFmtId="10" fontId="6" fillId="0" borderId="1" xfId="1" applyNumberFormat="1" applyFont="1" applyBorder="1" applyAlignment="1">
      <alignment wrapText="1"/>
    </xf>
    <xf numFmtId="0" fontId="8" fillId="12" borderId="1" xfId="0" applyFont="1" applyFill="1" applyBorder="1" applyAlignment="1">
      <alignment wrapText="1"/>
    </xf>
    <xf numFmtId="0" fontId="8" fillId="12" borderId="1" xfId="0" applyFont="1" applyFill="1" applyBorder="1" applyAlignment="1">
      <alignment horizontal="center" wrapText="1"/>
    </xf>
    <xf numFmtId="9" fontId="6" fillId="0" borderId="1" xfId="0" applyNumberFormat="1" applyFont="1" applyBorder="1" applyAlignment="1">
      <alignment wrapText="1"/>
    </xf>
    <xf numFmtId="0" fontId="7" fillId="0" borderId="0" xfId="0" applyFont="1" applyAlignment="1">
      <alignment horizontal="center" wrapText="1"/>
    </xf>
    <xf numFmtId="0" fontId="6" fillId="0" borderId="17" xfId="0" applyFont="1" applyFill="1"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63501</xdr:rowOff>
    </xdr:from>
    <xdr:to>
      <xdr:col>3</xdr:col>
      <xdr:colOff>823010</xdr:colOff>
      <xdr:row>16</xdr:row>
      <xdr:rowOff>163287</xdr:rowOff>
    </xdr:to>
    <xdr:pic>
      <xdr:nvPicPr>
        <xdr:cNvPr id="2" name="Imagen 1">
          <a:extLst>
            <a:ext uri="{FF2B5EF4-FFF2-40B4-BE49-F238E27FC236}">
              <a16:creationId xmlns:a16="http://schemas.microsoft.com/office/drawing/2014/main" id="{3913A522-7B3B-4B61-B144-47BFB9DFAABB}"/>
            </a:ext>
          </a:extLst>
        </xdr:cNvPr>
        <xdr:cNvPicPr>
          <a:picLocks noChangeAspect="1"/>
        </xdr:cNvPicPr>
      </xdr:nvPicPr>
      <xdr:blipFill>
        <a:blip xmlns:r="http://schemas.openxmlformats.org/officeDocument/2006/relationships" r:embed="rId1"/>
        <a:stretch>
          <a:fillRect/>
        </a:stretch>
      </xdr:blipFill>
      <xdr:spPr>
        <a:xfrm>
          <a:off x="0" y="1333501"/>
          <a:ext cx="5367796" cy="17326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27214</xdr:rowOff>
    </xdr:from>
    <xdr:to>
      <xdr:col>3</xdr:col>
      <xdr:colOff>722713</xdr:colOff>
      <xdr:row>18</xdr:row>
      <xdr:rowOff>72571</xdr:rowOff>
    </xdr:to>
    <xdr:pic>
      <xdr:nvPicPr>
        <xdr:cNvPr id="2" name="Imagen 1">
          <a:extLst>
            <a:ext uri="{FF2B5EF4-FFF2-40B4-BE49-F238E27FC236}">
              <a16:creationId xmlns:a16="http://schemas.microsoft.com/office/drawing/2014/main" id="{2D02CB49-517D-4BC7-A137-D86E67D70100}"/>
            </a:ext>
          </a:extLst>
        </xdr:cNvPr>
        <xdr:cNvPicPr>
          <a:picLocks noChangeAspect="1"/>
        </xdr:cNvPicPr>
      </xdr:nvPicPr>
      <xdr:blipFill>
        <a:blip xmlns:r="http://schemas.openxmlformats.org/officeDocument/2006/relationships" r:embed="rId1"/>
        <a:stretch>
          <a:fillRect/>
        </a:stretch>
      </xdr:blipFill>
      <xdr:spPr>
        <a:xfrm>
          <a:off x="0" y="1478643"/>
          <a:ext cx="5975070" cy="1859642"/>
        </a:xfrm>
        <a:prstGeom prst="rect">
          <a:avLst/>
        </a:prstGeom>
      </xdr:spPr>
    </xdr:pic>
    <xdr:clientData/>
  </xdr:twoCellAnchor>
  <xdr:twoCellAnchor>
    <xdr:from>
      <xdr:col>0</xdr:col>
      <xdr:colOff>0</xdr:colOff>
      <xdr:row>55</xdr:row>
      <xdr:rowOff>-1</xdr:rowOff>
    </xdr:from>
    <xdr:to>
      <xdr:col>2</xdr:col>
      <xdr:colOff>1817687</xdr:colOff>
      <xdr:row>59</xdr:row>
      <xdr:rowOff>47624</xdr:rowOff>
    </xdr:to>
    <xdr:sp macro="" textlink="">
      <xdr:nvSpPr>
        <xdr:cNvPr id="3" name="CuadroTexto 2">
          <a:extLst>
            <a:ext uri="{FF2B5EF4-FFF2-40B4-BE49-F238E27FC236}">
              <a16:creationId xmlns:a16="http://schemas.microsoft.com/office/drawing/2014/main" id="{E731F0F3-DC5E-4AF4-855E-2037C4282F6A}"/>
            </a:ext>
          </a:extLst>
        </xdr:cNvPr>
        <xdr:cNvSpPr txBox="1"/>
      </xdr:nvSpPr>
      <xdr:spPr>
        <a:xfrm>
          <a:off x="0" y="8945562"/>
          <a:ext cx="5778500" cy="777875"/>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a:solidFill>
                <a:schemeClr val="dk1"/>
              </a:solidFill>
              <a:effectLst/>
              <a:latin typeface="+mn-lt"/>
              <a:ea typeface="+mn-ea"/>
              <a:cs typeface="+mn-cs"/>
            </a:rPr>
            <a:t>El fondo de maniobra es la parte del activo corriente que se financia con recursos permanentes. Es el fondo de seguridad que exige el equilibrio financiero para hacer frente a desajustes que pudieran producirse entre la corriente de cobros y pagos.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8</xdr:row>
      <xdr:rowOff>0</xdr:rowOff>
    </xdr:from>
    <xdr:to>
      <xdr:col>4</xdr:col>
      <xdr:colOff>544287</xdr:colOff>
      <xdr:row>14</xdr:row>
      <xdr:rowOff>84377</xdr:rowOff>
    </xdr:to>
    <xdr:pic>
      <xdr:nvPicPr>
        <xdr:cNvPr id="2" name="Imagen 1">
          <a:extLst>
            <a:ext uri="{FF2B5EF4-FFF2-40B4-BE49-F238E27FC236}">
              <a16:creationId xmlns:a16="http://schemas.microsoft.com/office/drawing/2014/main" id="{A45CC668-A2B2-4DB1-AEBA-411E29DBD6BF}"/>
            </a:ext>
          </a:extLst>
        </xdr:cNvPr>
        <xdr:cNvPicPr>
          <a:picLocks noChangeAspect="1"/>
        </xdr:cNvPicPr>
      </xdr:nvPicPr>
      <xdr:blipFill>
        <a:blip xmlns:r="http://schemas.openxmlformats.org/officeDocument/2006/relationships" r:embed="rId1"/>
        <a:stretch>
          <a:fillRect/>
        </a:stretch>
      </xdr:blipFill>
      <xdr:spPr>
        <a:xfrm>
          <a:off x="1" y="1451429"/>
          <a:ext cx="5878286" cy="1172948"/>
        </a:xfrm>
        <a:prstGeom prst="rect">
          <a:avLst/>
        </a:prstGeom>
      </xdr:spPr>
    </xdr:pic>
    <xdr:clientData/>
  </xdr:twoCellAnchor>
  <xdr:twoCellAnchor>
    <xdr:from>
      <xdr:col>0</xdr:col>
      <xdr:colOff>36286</xdr:colOff>
      <xdr:row>36</xdr:row>
      <xdr:rowOff>72572</xdr:rowOff>
    </xdr:from>
    <xdr:to>
      <xdr:col>4</xdr:col>
      <xdr:colOff>665616</xdr:colOff>
      <xdr:row>40</xdr:row>
      <xdr:rowOff>120197</xdr:rowOff>
    </xdr:to>
    <xdr:sp macro="" textlink="">
      <xdr:nvSpPr>
        <xdr:cNvPr id="3" name="CuadroTexto 2">
          <a:extLst>
            <a:ext uri="{FF2B5EF4-FFF2-40B4-BE49-F238E27FC236}">
              <a16:creationId xmlns:a16="http://schemas.microsoft.com/office/drawing/2014/main" id="{EED99195-9A4E-4C40-9497-8DDAD309E5B7}"/>
            </a:ext>
          </a:extLst>
        </xdr:cNvPr>
        <xdr:cNvSpPr txBox="1"/>
      </xdr:nvSpPr>
      <xdr:spPr>
        <a:xfrm>
          <a:off x="36286" y="7329715"/>
          <a:ext cx="5963330" cy="773339"/>
        </a:xfrm>
        <a:prstGeom prst="rect">
          <a:avLst/>
        </a:prstGeom>
        <a:solidFill>
          <a:schemeClr val="accent5">
            <a:lumMod val="40000"/>
            <a:lumOff val="60000"/>
          </a:schemeClr>
        </a:solidFill>
        <a:ln w="9525" cmpd="sng">
          <a:solidFill>
            <a:schemeClr val="accent5">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a:solidFill>
                <a:schemeClr val="dk1"/>
              </a:solidFill>
              <a:effectLst/>
              <a:latin typeface="+mn-lt"/>
              <a:ea typeface="+mn-ea"/>
              <a:cs typeface="+mn-cs"/>
            </a:rPr>
            <a:t>El fondo de maniobra es la parte del activo corriente que se financia con recursos permanentes. Es el fondo de seguridad que exige el equilibrio financiero para hacer frente a desajustes que pudieran producirse entre la corriente de cobros y pagos.</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7</xdr:row>
      <xdr:rowOff>31729</xdr:rowOff>
    </xdr:from>
    <xdr:to>
      <xdr:col>3</xdr:col>
      <xdr:colOff>399734</xdr:colOff>
      <xdr:row>20</xdr:row>
      <xdr:rowOff>63501</xdr:rowOff>
    </xdr:to>
    <xdr:pic>
      <xdr:nvPicPr>
        <xdr:cNvPr id="2" name="Imagen 1">
          <a:extLst>
            <a:ext uri="{FF2B5EF4-FFF2-40B4-BE49-F238E27FC236}">
              <a16:creationId xmlns:a16="http://schemas.microsoft.com/office/drawing/2014/main" id="{959D50AA-CBD6-4E86-9FFE-A22F95255C9B}"/>
            </a:ext>
          </a:extLst>
        </xdr:cNvPr>
        <xdr:cNvPicPr>
          <a:picLocks noChangeAspect="1"/>
        </xdr:cNvPicPr>
      </xdr:nvPicPr>
      <xdr:blipFill>
        <a:blip xmlns:r="http://schemas.openxmlformats.org/officeDocument/2006/relationships" r:embed="rId1"/>
        <a:stretch>
          <a:fillRect/>
        </a:stretch>
      </xdr:blipFill>
      <xdr:spPr>
        <a:xfrm>
          <a:off x="0" y="1309667"/>
          <a:ext cx="5344797" cy="240508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7938</xdr:colOff>
      <xdr:row>7</xdr:row>
      <xdr:rowOff>142877</xdr:rowOff>
    </xdr:from>
    <xdr:to>
      <xdr:col>4</xdr:col>
      <xdr:colOff>1494524</xdr:colOff>
      <xdr:row>13</xdr:row>
      <xdr:rowOff>134938</xdr:rowOff>
    </xdr:to>
    <xdr:pic>
      <xdr:nvPicPr>
        <xdr:cNvPr id="2" name="Imagen 1">
          <a:extLst>
            <a:ext uri="{FF2B5EF4-FFF2-40B4-BE49-F238E27FC236}">
              <a16:creationId xmlns:a16="http://schemas.microsoft.com/office/drawing/2014/main" id="{4A654D38-754A-4717-BECD-E9AB6CA8E52F}"/>
            </a:ext>
          </a:extLst>
        </xdr:cNvPr>
        <xdr:cNvPicPr>
          <a:picLocks noChangeAspect="1"/>
        </xdr:cNvPicPr>
      </xdr:nvPicPr>
      <xdr:blipFill>
        <a:blip xmlns:r="http://schemas.openxmlformats.org/officeDocument/2006/relationships" r:embed="rId1"/>
        <a:stretch>
          <a:fillRect/>
        </a:stretch>
      </xdr:blipFill>
      <xdr:spPr>
        <a:xfrm>
          <a:off x="7938" y="1420815"/>
          <a:ext cx="5455336" cy="10874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127001</xdr:colOff>
      <xdr:row>8</xdr:row>
      <xdr:rowOff>15875</xdr:rowOff>
    </xdr:from>
    <xdr:to>
      <xdr:col>6</xdr:col>
      <xdr:colOff>741048</xdr:colOff>
      <xdr:row>10</xdr:row>
      <xdr:rowOff>108857</xdr:rowOff>
    </xdr:to>
    <xdr:pic>
      <xdr:nvPicPr>
        <xdr:cNvPr id="2" name="Imagen 1">
          <a:extLst>
            <a:ext uri="{FF2B5EF4-FFF2-40B4-BE49-F238E27FC236}">
              <a16:creationId xmlns:a16="http://schemas.microsoft.com/office/drawing/2014/main" id="{1F0780FB-C16B-48C1-A5F1-131B5F6AAB87}"/>
            </a:ext>
          </a:extLst>
        </xdr:cNvPr>
        <xdr:cNvPicPr>
          <a:picLocks noChangeAspect="1"/>
        </xdr:cNvPicPr>
      </xdr:nvPicPr>
      <xdr:blipFill>
        <a:blip xmlns:r="http://schemas.openxmlformats.org/officeDocument/2006/relationships" r:embed="rId1"/>
        <a:stretch>
          <a:fillRect/>
        </a:stretch>
      </xdr:blipFill>
      <xdr:spPr>
        <a:xfrm>
          <a:off x="127001" y="1467304"/>
          <a:ext cx="5594261" cy="455839"/>
        </a:xfrm>
        <a:prstGeom prst="rect">
          <a:avLst/>
        </a:prstGeom>
      </xdr:spPr>
    </xdr:pic>
    <xdr:clientData/>
  </xdr:twoCellAnchor>
  <xdr:twoCellAnchor>
    <xdr:from>
      <xdr:col>0</xdr:col>
      <xdr:colOff>85046</xdr:colOff>
      <xdr:row>11</xdr:row>
      <xdr:rowOff>97519</xdr:rowOff>
    </xdr:from>
    <xdr:to>
      <xdr:col>6</xdr:col>
      <xdr:colOff>517073</xdr:colOff>
      <xdr:row>31</xdr:row>
      <xdr:rowOff>9071</xdr:rowOff>
    </xdr:to>
    <xdr:sp macro="" textlink="">
      <xdr:nvSpPr>
        <xdr:cNvPr id="3" name="CuadroTexto 2">
          <a:extLst>
            <a:ext uri="{FF2B5EF4-FFF2-40B4-BE49-F238E27FC236}">
              <a16:creationId xmlns:a16="http://schemas.microsoft.com/office/drawing/2014/main" id="{3DD3656B-7D8B-4574-AABC-8F15B72A7AB6}"/>
            </a:ext>
          </a:extLst>
        </xdr:cNvPr>
        <xdr:cNvSpPr txBox="1"/>
      </xdr:nvSpPr>
      <xdr:spPr>
        <a:xfrm>
          <a:off x="85046" y="2093233"/>
          <a:ext cx="5412241" cy="3540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1.</a:t>
          </a:r>
          <a:r>
            <a:rPr lang="en-US" baseline="0"/>
            <a:t> NET PROMOTER SCORE: </a:t>
          </a:r>
          <a:r>
            <a:rPr lang="en-US"/>
            <a:t>El </a:t>
          </a:r>
          <a:r>
            <a:rPr lang="en-US" b="1"/>
            <a:t>Net Promoter Score (NPS)</a:t>
          </a:r>
          <a:r>
            <a:rPr lang="en-US"/>
            <a:t> es un indicador cuantitativo que mide la satisfacción y lealtad de los clientes a través de la pregunta: </a:t>
          </a:r>
          <a:r>
            <a:rPr lang="en-US" i="1"/>
            <a:t>"¿Qué tan probable es que recomiende nuestro servicio?"</a:t>
          </a:r>
          <a:r>
            <a:rPr lang="en-US"/>
            <a:t>. Se calcula restando el porcentaje de detractores (clientes insatisfechos) del porcentaje de promotores (clientes satisfechos). Es útil para monitorear la calidad del servicio postventa y detectar áreas de mejora. Fuente: A´rea</a:t>
          </a:r>
          <a:r>
            <a:rPr lang="en-US" baseline="0"/>
            <a:t> de servicio de post-venta.</a:t>
          </a:r>
          <a:endParaRPr lang="en-US"/>
        </a:p>
        <a:p>
          <a:endParaRPr lang="en-US" sz="1100"/>
        </a:p>
        <a:p>
          <a:r>
            <a:rPr lang="en-US" sz="1100"/>
            <a:t>2. </a:t>
          </a:r>
          <a:r>
            <a:rPr lang="en-US"/>
            <a:t>El </a:t>
          </a:r>
          <a:r>
            <a:rPr lang="en-US" b="1"/>
            <a:t>Índice de Defectos por Unidad (DPU)</a:t>
          </a:r>
          <a:r>
            <a:rPr lang="en-US"/>
            <a:t> es un indicador cuantitativo que mide la calidad de un producto al calcular el número promedio de defectos por unidad producida. Se obtiene dividiendo el total de defectos encontrados entre el número total de unidades inspeccionadas. Es clave para evaluar la eficiencia del control de calidad y reducir fallos en la producción. Fuente: Producción.</a:t>
          </a:r>
        </a:p>
        <a:p>
          <a:endParaRPr lang="en-US" sz="1100"/>
        </a:p>
        <a:p>
          <a:r>
            <a:rPr lang="en-US" sz="1100"/>
            <a:t>3. </a:t>
          </a:r>
          <a:r>
            <a:rPr lang="en-US"/>
            <a:t>El </a:t>
          </a:r>
          <a:r>
            <a:rPr lang="en-US" b="1"/>
            <a:t>On-Time Delivery (OTD)</a:t>
          </a:r>
          <a:r>
            <a:rPr lang="en-US"/>
            <a:t> es un indicador cuantitativo que mide la eficiencia logística al calcular el porcentaje de entregas realizadas a tiempo en relación con el total de pedidos. Se obtiene dividiendo el número de entregas puntuales entre el total de entregas realizadas, multiplicado por 100. Es clave para evaluar el desempeño y mejorar la cadena de suministro. Fuente: Supply o logística.</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23812</xdr:colOff>
      <xdr:row>8</xdr:row>
      <xdr:rowOff>47626</xdr:rowOff>
    </xdr:from>
    <xdr:to>
      <xdr:col>4</xdr:col>
      <xdr:colOff>790857</xdr:colOff>
      <xdr:row>11</xdr:row>
      <xdr:rowOff>152400</xdr:rowOff>
    </xdr:to>
    <xdr:pic>
      <xdr:nvPicPr>
        <xdr:cNvPr id="2" name="Imagen 1">
          <a:extLst>
            <a:ext uri="{FF2B5EF4-FFF2-40B4-BE49-F238E27FC236}">
              <a16:creationId xmlns:a16="http://schemas.microsoft.com/office/drawing/2014/main" id="{5AAE8040-B244-4E24-B042-F893997AD98A}"/>
            </a:ext>
          </a:extLst>
        </xdr:cNvPr>
        <xdr:cNvPicPr>
          <a:picLocks noChangeAspect="1"/>
        </xdr:cNvPicPr>
      </xdr:nvPicPr>
      <xdr:blipFill>
        <a:blip xmlns:r="http://schemas.openxmlformats.org/officeDocument/2006/relationships" r:embed="rId1"/>
        <a:stretch>
          <a:fillRect/>
        </a:stretch>
      </xdr:blipFill>
      <xdr:spPr>
        <a:xfrm>
          <a:off x="23812" y="1571626"/>
          <a:ext cx="5542245" cy="6762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8</xdr:row>
      <xdr:rowOff>21168</xdr:rowOff>
    </xdr:from>
    <xdr:to>
      <xdr:col>6</xdr:col>
      <xdr:colOff>653224</xdr:colOff>
      <xdr:row>11</xdr:row>
      <xdr:rowOff>52918</xdr:rowOff>
    </xdr:to>
    <xdr:pic>
      <xdr:nvPicPr>
        <xdr:cNvPr id="2" name="Imagen 1">
          <a:extLst>
            <a:ext uri="{FF2B5EF4-FFF2-40B4-BE49-F238E27FC236}">
              <a16:creationId xmlns:a16="http://schemas.microsoft.com/office/drawing/2014/main" id="{5419D99C-B5FB-47E0-A033-9C63762F35CF}"/>
            </a:ext>
          </a:extLst>
        </xdr:cNvPr>
        <xdr:cNvPicPr>
          <a:picLocks noChangeAspect="1"/>
        </xdr:cNvPicPr>
      </xdr:nvPicPr>
      <xdr:blipFill rotWithShape="1">
        <a:blip xmlns:r="http://schemas.openxmlformats.org/officeDocument/2006/relationships" r:embed="rId1"/>
        <a:srcRect t="-3014" r="20758"/>
        <a:stretch/>
      </xdr:blipFill>
      <xdr:spPr>
        <a:xfrm>
          <a:off x="0" y="1460501"/>
          <a:ext cx="5627391" cy="571500"/>
        </a:xfrm>
        <a:prstGeom prst="rect">
          <a:avLst/>
        </a:prstGeom>
      </xdr:spPr>
    </xdr:pic>
    <xdr:clientData/>
  </xdr:twoCellAnchor>
  <xdr:twoCellAnchor>
    <xdr:from>
      <xdr:col>0</xdr:col>
      <xdr:colOff>137584</xdr:colOff>
      <xdr:row>12</xdr:row>
      <xdr:rowOff>84668</xdr:rowOff>
    </xdr:from>
    <xdr:to>
      <xdr:col>6</xdr:col>
      <xdr:colOff>201084</xdr:colOff>
      <xdr:row>26</xdr:row>
      <xdr:rowOff>148167</xdr:rowOff>
    </xdr:to>
    <xdr:sp macro="" textlink="">
      <xdr:nvSpPr>
        <xdr:cNvPr id="3" name="CuadroTexto 2">
          <a:extLst>
            <a:ext uri="{FF2B5EF4-FFF2-40B4-BE49-F238E27FC236}">
              <a16:creationId xmlns:a16="http://schemas.microsoft.com/office/drawing/2014/main" id="{A3D05646-2B9D-4540-B559-F8C8FD8FB3A1}"/>
            </a:ext>
          </a:extLst>
        </xdr:cNvPr>
        <xdr:cNvSpPr txBox="1"/>
      </xdr:nvSpPr>
      <xdr:spPr>
        <a:xfrm>
          <a:off x="137584" y="2243668"/>
          <a:ext cx="5037667" cy="25823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b="1" baseline="0"/>
            <a:t> Indice de Innovación: </a:t>
          </a:r>
          <a:r>
            <a:rPr lang="en-US" baseline="0"/>
            <a:t>evalua la percepción externa de la capacidad de la empresa para innovar en su sector considerando la introducción de nuevos productos, servicios o tecnologías. Fuente: estudios de innovación realizados por consultoras como pwc.</a:t>
          </a:r>
          <a:endParaRPr lang="en-US"/>
        </a:p>
        <a:p>
          <a:endParaRPr lang="en-US" sz="1100"/>
        </a:p>
        <a:p>
          <a:r>
            <a:rPr lang="en-US" sz="1100" b="1"/>
            <a:t>2. Responsabilidad</a:t>
          </a:r>
          <a:r>
            <a:rPr lang="en-US" sz="1100" b="1" baseline="0"/>
            <a:t> Social Empresaria: </a:t>
          </a:r>
          <a:r>
            <a:rPr lang="en-US" sz="1100" baseline="0"/>
            <a:t>valora como se perciben las prácticas </a:t>
          </a:r>
          <a:r>
            <a:rPr lang="en-US"/>
            <a:t>de responsabilidad social de la empresa, incluyendo aspectos como el trato justo a los empleados, la sostenibilidad y el impacto en la comunidad. Fuente: evaluaciones de responsabilidad social o certificaciones como B corp.</a:t>
          </a:r>
          <a:endParaRPr lang="en-US" sz="1100" baseline="0"/>
        </a:p>
        <a:p>
          <a:endParaRPr lang="en-US" sz="1100"/>
        </a:p>
        <a:p>
          <a:r>
            <a:rPr lang="en-US" sz="1100" b="1"/>
            <a:t>3. </a:t>
          </a:r>
          <a:r>
            <a:rPr lang="en-US" b="1"/>
            <a:t>Calidad del Servicio Percibido: </a:t>
          </a:r>
          <a:r>
            <a:rPr lang="en-US"/>
            <a:t>mide la percepción cualitativa de los clientes sobre la calidad del servicio ofrecido por la empresa, a partir de sus comentarios y experiencias. Fuente: opiniones, calificaciones en plataformas de reseñas.</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7</xdr:col>
      <xdr:colOff>32556</xdr:colOff>
      <xdr:row>10</xdr:row>
      <xdr:rowOff>146122</xdr:rowOff>
    </xdr:to>
    <xdr:pic>
      <xdr:nvPicPr>
        <xdr:cNvPr id="2" name="Imagen 1">
          <a:extLst>
            <a:ext uri="{FF2B5EF4-FFF2-40B4-BE49-F238E27FC236}">
              <a16:creationId xmlns:a16="http://schemas.microsoft.com/office/drawing/2014/main" id="{46A0687D-AAFA-4BAE-8B47-699E08F55B4D}"/>
            </a:ext>
          </a:extLst>
        </xdr:cNvPr>
        <xdr:cNvPicPr>
          <a:picLocks noChangeAspect="1"/>
        </xdr:cNvPicPr>
      </xdr:nvPicPr>
      <xdr:blipFill>
        <a:blip xmlns:r="http://schemas.openxmlformats.org/officeDocument/2006/relationships" r:embed="rId1"/>
        <a:stretch>
          <a:fillRect/>
        </a:stretch>
      </xdr:blipFill>
      <xdr:spPr>
        <a:xfrm>
          <a:off x="0" y="1473200"/>
          <a:ext cx="5772956" cy="5144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workbookViewId="0">
      <selection activeCell="B20" sqref="B20"/>
    </sheetView>
  </sheetViews>
  <sheetFormatPr baseColWidth="10" defaultColWidth="8.7265625" defaultRowHeight="14.5"/>
  <cols>
    <col min="2" max="2" width="16.7265625" bestFit="1" customWidth="1"/>
  </cols>
  <sheetData>
    <row r="1" spans="1:3">
      <c r="A1" s="1" t="s">
        <v>0</v>
      </c>
      <c r="B1" s="2" t="s">
        <v>1</v>
      </c>
      <c r="C1" s="2"/>
    </row>
    <row r="2" spans="1:3">
      <c r="A2" s="1" t="s">
        <v>2</v>
      </c>
      <c r="B2" s="2" t="s">
        <v>3</v>
      </c>
      <c r="C2" s="2"/>
    </row>
    <row r="3" spans="1:3">
      <c r="A3" s="1" t="s">
        <v>4</v>
      </c>
      <c r="B3" s="3" t="s">
        <v>5</v>
      </c>
      <c r="C3" s="2"/>
    </row>
    <row r="4" spans="1:3">
      <c r="A4" s="2"/>
      <c r="B4" s="1" t="s">
        <v>6</v>
      </c>
      <c r="C4" s="1" t="s">
        <v>7</v>
      </c>
    </row>
    <row r="5" spans="1:3">
      <c r="A5" s="2"/>
      <c r="B5" s="3" t="s">
        <v>8</v>
      </c>
      <c r="C5" s="3">
        <v>1724083</v>
      </c>
    </row>
    <row r="6" spans="1:3">
      <c r="A6" s="2"/>
      <c r="B6" s="3" t="s">
        <v>9</v>
      </c>
      <c r="C6" s="2">
        <v>1726924</v>
      </c>
    </row>
    <row r="7" spans="1:3">
      <c r="A7" s="2"/>
      <c r="B7" s="3" t="s">
        <v>10</v>
      </c>
      <c r="C7" s="3">
        <v>1730680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5C218-C106-4305-A469-AA7B0A71BA84}">
  <dimension ref="A1:D46"/>
  <sheetViews>
    <sheetView zoomScale="70" zoomScaleNormal="70" workbookViewId="0">
      <selection activeCell="J33" sqref="J33"/>
    </sheetView>
  </sheetViews>
  <sheetFormatPr baseColWidth="10" defaultRowHeight="14.5"/>
  <cols>
    <col min="1" max="1" width="26.36328125" bestFit="1" customWidth="1"/>
    <col min="2" max="2" width="16.7265625" bestFit="1" customWidth="1"/>
    <col min="3" max="3" width="21.90625" bestFit="1" customWidth="1"/>
    <col min="4" max="4" width="12.6328125" bestFit="1" customWidth="1"/>
    <col min="6" max="6" width="21.90625" bestFit="1" customWidth="1"/>
    <col min="7" max="7" width="11.1796875" bestFit="1" customWidth="1"/>
  </cols>
  <sheetData>
    <row r="1" spans="1:3">
      <c r="A1" s="1" t="s">
        <v>0</v>
      </c>
      <c r="B1" s="2" t="s">
        <v>1</v>
      </c>
      <c r="C1" s="2"/>
    </row>
    <row r="2" spans="1:3">
      <c r="A2" s="1" t="s">
        <v>2</v>
      </c>
      <c r="B2" s="2" t="s">
        <v>3</v>
      </c>
      <c r="C2" s="2"/>
    </row>
    <row r="3" spans="1:3">
      <c r="A3" s="1" t="s">
        <v>4</v>
      </c>
      <c r="B3" s="3" t="s">
        <v>5</v>
      </c>
      <c r="C3" s="2"/>
    </row>
    <row r="4" spans="1:3">
      <c r="A4" s="2"/>
      <c r="B4" s="1" t="s">
        <v>6</v>
      </c>
      <c r="C4" s="1" t="s">
        <v>7</v>
      </c>
    </row>
    <row r="5" spans="1:3">
      <c r="A5" s="2"/>
      <c r="B5" s="3" t="s">
        <v>8</v>
      </c>
      <c r="C5" s="3">
        <v>1724083</v>
      </c>
    </row>
    <row r="6" spans="1:3">
      <c r="A6" s="2"/>
      <c r="B6" s="3" t="s">
        <v>9</v>
      </c>
      <c r="C6" s="2">
        <v>1726924</v>
      </c>
    </row>
    <row r="7" spans="1:3">
      <c r="A7" s="2"/>
      <c r="B7" s="3" t="s">
        <v>10</v>
      </c>
      <c r="C7" s="3">
        <v>1730680</v>
      </c>
    </row>
    <row r="18" spans="1:4">
      <c r="A18" s="17" t="s">
        <v>11</v>
      </c>
      <c r="B18" s="17"/>
      <c r="C18" s="22" t="s">
        <v>43</v>
      </c>
      <c r="D18" s="22"/>
    </row>
    <row r="19" spans="1:4">
      <c r="A19" s="5" t="s">
        <v>18</v>
      </c>
      <c r="B19" s="5">
        <v>136</v>
      </c>
      <c r="C19" s="7" t="s">
        <v>20</v>
      </c>
      <c r="D19" s="7">
        <v>520</v>
      </c>
    </row>
    <row r="20" spans="1:4">
      <c r="A20" s="5" t="s">
        <v>21</v>
      </c>
      <c r="B20" s="5">
        <v>123</v>
      </c>
      <c r="C20" s="7" t="s">
        <v>22</v>
      </c>
      <c r="D20" s="7">
        <v>70</v>
      </c>
    </row>
    <row r="21" spans="1:4">
      <c r="A21" s="5" t="s">
        <v>25</v>
      </c>
      <c r="B21" s="5">
        <v>155</v>
      </c>
      <c r="C21" s="7" t="s">
        <v>24</v>
      </c>
      <c r="D21" s="7">
        <v>75</v>
      </c>
    </row>
    <row r="22" spans="1:4">
      <c r="A22" s="5" t="s">
        <v>28</v>
      </c>
      <c r="B22" s="5">
        <v>-36</v>
      </c>
      <c r="C22" s="7" t="s">
        <v>30</v>
      </c>
      <c r="D22" s="7">
        <v>498</v>
      </c>
    </row>
    <row r="23" spans="1:4">
      <c r="A23" s="5" t="s">
        <v>32</v>
      </c>
      <c r="B23" s="5">
        <v>452</v>
      </c>
      <c r="C23" s="7" t="s">
        <v>31</v>
      </c>
      <c r="D23" s="7">
        <v>25</v>
      </c>
    </row>
    <row r="24" spans="1:4">
      <c r="A24" s="5" t="s">
        <v>34</v>
      </c>
      <c r="B24" s="5">
        <v>158</v>
      </c>
      <c r="C24" s="8" t="s">
        <v>49</v>
      </c>
      <c r="D24" s="8">
        <v>256</v>
      </c>
    </row>
    <row r="25" spans="1:4">
      <c r="A25" s="19" t="s">
        <v>44</v>
      </c>
      <c r="B25" s="19">
        <f>+SUM(B19:B24)</f>
        <v>988</v>
      </c>
      <c r="C25" s="9" t="s">
        <v>50</v>
      </c>
      <c r="D25" s="9">
        <f>+SUM(D19:D24)</f>
        <v>1444</v>
      </c>
    </row>
    <row r="26" spans="1:4">
      <c r="A26" s="20" t="s">
        <v>12</v>
      </c>
      <c r="B26" s="20"/>
      <c r="C26" s="21" t="s">
        <v>42</v>
      </c>
      <c r="D26" s="21"/>
    </row>
    <row r="27" spans="1:4">
      <c r="A27" s="6" t="s">
        <v>14</v>
      </c>
      <c r="B27" s="6">
        <v>655</v>
      </c>
      <c r="C27" s="10" t="s">
        <v>26</v>
      </c>
      <c r="D27" s="10">
        <v>90</v>
      </c>
    </row>
    <row r="28" spans="1:4">
      <c r="A28" s="6" t="s">
        <v>15</v>
      </c>
      <c r="B28" s="6">
        <v>658</v>
      </c>
      <c r="C28" s="10" t="s">
        <v>29</v>
      </c>
      <c r="D28" s="10">
        <v>400</v>
      </c>
    </row>
    <row r="29" spans="1:4">
      <c r="A29" s="6" t="s">
        <v>16</v>
      </c>
      <c r="B29" s="6">
        <v>157</v>
      </c>
      <c r="C29" s="10" t="s">
        <v>38</v>
      </c>
      <c r="D29" s="10">
        <v>355</v>
      </c>
    </row>
    <row r="30" spans="1:4">
      <c r="A30" s="6" t="s">
        <v>19</v>
      </c>
      <c r="B30" s="6">
        <v>145</v>
      </c>
      <c r="C30" s="11" t="s">
        <v>48</v>
      </c>
      <c r="D30" s="11">
        <f>+SUM(D27:D29)</f>
        <v>845</v>
      </c>
    </row>
    <row r="31" spans="1:4">
      <c r="A31" s="6" t="s">
        <v>23</v>
      </c>
      <c r="B31" s="6">
        <v>233</v>
      </c>
      <c r="C31" s="13" t="s">
        <v>41</v>
      </c>
      <c r="D31" s="13"/>
    </row>
    <row r="32" spans="1:4">
      <c r="A32" s="6" t="s">
        <v>27</v>
      </c>
      <c r="B32" s="6">
        <v>159</v>
      </c>
      <c r="C32" s="12" t="s">
        <v>17</v>
      </c>
      <c r="D32" s="12">
        <v>145</v>
      </c>
    </row>
    <row r="33" spans="1:4">
      <c r="A33" s="6" t="s">
        <v>33</v>
      </c>
      <c r="B33" s="6">
        <v>145</v>
      </c>
      <c r="C33" s="12" t="s">
        <v>35</v>
      </c>
      <c r="D33" s="12">
        <v>340</v>
      </c>
    </row>
    <row r="34" spans="1:4">
      <c r="A34" s="6" t="s">
        <v>39</v>
      </c>
      <c r="B34" s="6">
        <v>153</v>
      </c>
      <c r="C34" s="12" t="s">
        <v>36</v>
      </c>
      <c r="D34" s="12">
        <v>156</v>
      </c>
    </row>
    <row r="35" spans="1:4">
      <c r="A35" s="6" t="s">
        <v>40</v>
      </c>
      <c r="B35" s="6">
        <v>-152</v>
      </c>
      <c r="C35" s="12" t="s">
        <v>37</v>
      </c>
      <c r="D35" s="12">
        <v>10</v>
      </c>
    </row>
    <row r="36" spans="1:4">
      <c r="A36" s="18" t="s">
        <v>45</v>
      </c>
      <c r="B36" s="18">
        <f>+SUM(B27:B35)</f>
        <v>2153</v>
      </c>
      <c r="C36" s="12" t="s">
        <v>46</v>
      </c>
      <c r="D36" s="12">
        <v>201</v>
      </c>
    </row>
    <row r="37" spans="1:4">
      <c r="C37" s="23" t="s">
        <v>47</v>
      </c>
      <c r="D37" s="23">
        <f>+SUM(D32:D36)</f>
        <v>852</v>
      </c>
    </row>
    <row r="39" spans="1:4">
      <c r="A39" s="16" t="s">
        <v>51</v>
      </c>
      <c r="B39" s="2">
        <f>+B25+B36</f>
        <v>3141</v>
      </c>
      <c r="C39" s="16" t="s">
        <v>52</v>
      </c>
      <c r="D39" s="2">
        <f>+D25+D30+D37</f>
        <v>3141</v>
      </c>
    </row>
    <row r="42" spans="1:4">
      <c r="A42" s="15" t="s">
        <v>53</v>
      </c>
      <c r="B42" s="24" t="s">
        <v>60</v>
      </c>
      <c r="C42" s="24"/>
      <c r="D42" s="15"/>
    </row>
    <row r="43" spans="1:4">
      <c r="A43" s="15" t="s">
        <v>54</v>
      </c>
      <c r="B43" s="15">
        <f>+B25</f>
        <v>988</v>
      </c>
      <c r="C43" s="15">
        <f>+D25</f>
        <v>1444</v>
      </c>
      <c r="D43" s="15" t="s">
        <v>56</v>
      </c>
    </row>
    <row r="44" spans="1:4">
      <c r="A44" s="15" t="s">
        <v>12</v>
      </c>
      <c r="B44" s="15">
        <f>+B36</f>
        <v>2153</v>
      </c>
      <c r="C44" s="15">
        <f>+D30</f>
        <v>845</v>
      </c>
      <c r="D44" s="15" t="s">
        <v>57</v>
      </c>
    </row>
    <row r="45" spans="1:4">
      <c r="A45" s="15"/>
      <c r="B45" s="15"/>
      <c r="C45" s="15">
        <f>+D37</f>
        <v>852</v>
      </c>
      <c r="D45" s="15" t="s">
        <v>58</v>
      </c>
    </row>
    <row r="46" spans="1:4">
      <c r="A46" s="15" t="s">
        <v>55</v>
      </c>
      <c r="B46" s="15">
        <f>+SUM(B43:B45)</f>
        <v>3141</v>
      </c>
      <c r="C46" s="15">
        <f>+SUM(C43:C45)</f>
        <v>3141</v>
      </c>
      <c r="D46" s="15" t="s">
        <v>59</v>
      </c>
    </row>
  </sheetData>
  <mergeCells count="6">
    <mergeCell ref="A26:B26"/>
    <mergeCell ref="A18:B18"/>
    <mergeCell ref="C18:D18"/>
    <mergeCell ref="C26:D26"/>
    <mergeCell ref="C31:D31"/>
    <mergeCell ref="B42:C4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2028-593F-4550-B93B-AF9716169DBC}">
  <dimension ref="A1:E68"/>
  <sheetViews>
    <sheetView topLeftCell="A13" zoomScale="70" zoomScaleNormal="70" workbookViewId="0">
      <selection activeCell="C70" sqref="C70"/>
    </sheetView>
  </sheetViews>
  <sheetFormatPr baseColWidth="10" defaultRowHeight="14.5"/>
  <cols>
    <col min="1" max="1" width="29.90625" customWidth="1"/>
    <col min="2" max="2" width="16.7265625" bestFit="1" customWidth="1"/>
    <col min="3" max="3" width="28.54296875" customWidth="1"/>
  </cols>
  <sheetData>
    <row r="1" spans="1:3">
      <c r="A1" s="1" t="s">
        <v>0</v>
      </c>
      <c r="B1" s="2" t="s">
        <v>1</v>
      </c>
      <c r="C1" s="2"/>
    </row>
    <row r="2" spans="1:3">
      <c r="A2" s="1" t="s">
        <v>2</v>
      </c>
      <c r="B2" s="2" t="s">
        <v>3</v>
      </c>
      <c r="C2" s="2"/>
    </row>
    <row r="3" spans="1:3">
      <c r="A3" s="1" t="s">
        <v>4</v>
      </c>
      <c r="B3" s="3" t="s">
        <v>5</v>
      </c>
      <c r="C3" s="2"/>
    </row>
    <row r="4" spans="1:3">
      <c r="A4" s="2"/>
      <c r="B4" s="1" t="s">
        <v>6</v>
      </c>
      <c r="C4" s="1" t="s">
        <v>7</v>
      </c>
    </row>
    <row r="5" spans="1:3">
      <c r="A5" s="2"/>
      <c r="B5" s="3" t="s">
        <v>8</v>
      </c>
      <c r="C5" s="3">
        <v>1724083</v>
      </c>
    </row>
    <row r="6" spans="1:3">
      <c r="A6" s="2"/>
      <c r="B6" s="3" t="s">
        <v>9</v>
      </c>
      <c r="C6" s="2">
        <v>1726924</v>
      </c>
    </row>
    <row r="7" spans="1:3">
      <c r="A7" s="2"/>
      <c r="B7" s="3" t="s">
        <v>10</v>
      </c>
      <c r="C7" s="3">
        <v>1730680</v>
      </c>
    </row>
    <row r="23" spans="1:5" ht="29">
      <c r="A23" s="35" t="s">
        <v>61</v>
      </c>
      <c r="B23" s="35"/>
      <c r="C23" s="35"/>
      <c r="D23" s="35"/>
      <c r="E23" s="35"/>
    </row>
    <row r="24" spans="1:5">
      <c r="A24" s="35"/>
      <c r="B24" s="35"/>
      <c r="C24" s="35"/>
      <c r="D24" s="35"/>
      <c r="E24" s="35"/>
    </row>
    <row r="25" spans="1:5" ht="43.5">
      <c r="A25" s="36" t="s">
        <v>62</v>
      </c>
      <c r="B25" s="36">
        <v>800</v>
      </c>
      <c r="C25" s="35"/>
      <c r="D25" s="35"/>
      <c r="E25" s="35"/>
    </row>
    <row r="26" spans="1:5">
      <c r="A26" s="36" t="s">
        <v>63</v>
      </c>
      <c r="B26" s="36">
        <v>4500</v>
      </c>
      <c r="C26" s="35"/>
      <c r="D26" s="35"/>
      <c r="E26" s="35"/>
    </row>
    <row r="27" spans="1:5">
      <c r="A27" s="36" t="s">
        <v>64</v>
      </c>
      <c r="B27" s="36">
        <v>7500</v>
      </c>
      <c r="C27" s="35"/>
      <c r="D27" s="35"/>
      <c r="E27" s="35"/>
    </row>
    <row r="28" spans="1:5" ht="43.5">
      <c r="A28" s="36" t="s">
        <v>65</v>
      </c>
      <c r="B28" s="36">
        <v>1500</v>
      </c>
      <c r="C28" s="35"/>
      <c r="D28" s="35"/>
      <c r="E28" s="35"/>
    </row>
    <row r="29" spans="1:5" ht="43.5">
      <c r="A29" s="36" t="s">
        <v>66</v>
      </c>
      <c r="B29" s="36">
        <v>2400</v>
      </c>
      <c r="C29" s="35"/>
      <c r="D29" s="35"/>
      <c r="E29" s="35"/>
    </row>
    <row r="30" spans="1:5">
      <c r="A30" s="36" t="s">
        <v>67</v>
      </c>
      <c r="B30" s="36">
        <v>1000</v>
      </c>
      <c r="C30" s="35"/>
      <c r="D30" s="35"/>
      <c r="E30" s="35"/>
    </row>
    <row r="31" spans="1:5" ht="43.5">
      <c r="A31" s="36" t="s">
        <v>68</v>
      </c>
      <c r="B31" s="36">
        <v>1000</v>
      </c>
      <c r="C31" s="35"/>
      <c r="D31" s="35"/>
      <c r="E31" s="35"/>
    </row>
    <row r="32" spans="1:5">
      <c r="A32" s="36" t="s">
        <v>69</v>
      </c>
      <c r="B32" s="36">
        <v>2000</v>
      </c>
      <c r="C32" s="35"/>
      <c r="D32" s="35"/>
      <c r="E32" s="35"/>
    </row>
    <row r="33" spans="1:5">
      <c r="A33" s="36" t="s">
        <v>70</v>
      </c>
      <c r="B33" s="36">
        <v>1200</v>
      </c>
      <c r="C33" s="35"/>
      <c r="D33" s="35"/>
      <c r="E33" s="35"/>
    </row>
    <row r="34" spans="1:5">
      <c r="A34" s="36" t="s">
        <v>22</v>
      </c>
      <c r="B34" s="36">
        <v>1200</v>
      </c>
      <c r="C34" s="35"/>
      <c r="D34" s="35"/>
      <c r="E34" s="35"/>
    </row>
    <row r="35" spans="1:5">
      <c r="A35" s="45"/>
      <c r="B35" s="45"/>
      <c r="C35" s="35"/>
      <c r="D35" s="35"/>
      <c r="E35" s="35"/>
    </row>
    <row r="36" spans="1:5">
      <c r="A36" s="45"/>
      <c r="B36" s="45"/>
      <c r="C36" s="35"/>
      <c r="D36" s="35"/>
      <c r="E36" s="35"/>
    </row>
    <row r="37" spans="1:5">
      <c r="A37" s="45"/>
      <c r="B37" s="45"/>
      <c r="C37" s="35"/>
      <c r="D37" s="35"/>
      <c r="E37" s="35"/>
    </row>
    <row r="38" spans="1:5">
      <c r="A38" s="45"/>
      <c r="B38" s="45"/>
      <c r="C38" s="35"/>
      <c r="D38" s="35"/>
      <c r="E38" s="35"/>
    </row>
    <row r="39" spans="1:5">
      <c r="A39" s="45"/>
      <c r="B39" s="45"/>
      <c r="C39" s="35"/>
      <c r="D39" s="35"/>
      <c r="E39" s="35"/>
    </row>
    <row r="40" spans="1:5">
      <c r="A40" s="45"/>
      <c r="B40" s="45"/>
      <c r="C40" s="35"/>
      <c r="D40" s="35"/>
      <c r="E40" s="35"/>
    </row>
    <row r="41" spans="1:5">
      <c r="A41" s="35"/>
      <c r="B41" s="35"/>
      <c r="C41" s="35"/>
      <c r="D41" s="35"/>
      <c r="E41" s="35"/>
    </row>
    <row r="42" spans="1:5">
      <c r="A42" s="38" t="s">
        <v>71</v>
      </c>
      <c r="B42" s="35"/>
      <c r="C42" s="35"/>
      <c r="D42" s="35"/>
      <c r="E42" s="35"/>
    </row>
    <row r="43" spans="1:5">
      <c r="A43" s="39" t="s">
        <v>72</v>
      </c>
      <c r="B43" s="39"/>
      <c r="C43" s="40" t="s">
        <v>73</v>
      </c>
      <c r="D43" s="41"/>
      <c r="E43" s="35"/>
    </row>
    <row r="44" spans="1:5">
      <c r="A44" s="36" t="s">
        <v>75</v>
      </c>
      <c r="B44" s="36">
        <v>4500</v>
      </c>
      <c r="C44" s="36" t="s">
        <v>76</v>
      </c>
      <c r="D44" s="36">
        <f>+B28+B34</f>
        <v>2700</v>
      </c>
      <c r="E44" s="35"/>
    </row>
    <row r="45" spans="1:5">
      <c r="A45" s="36" t="s">
        <v>79</v>
      </c>
      <c r="B45" s="36">
        <v>1000</v>
      </c>
      <c r="C45" s="36" t="s">
        <v>78</v>
      </c>
      <c r="D45" s="36">
        <v>800</v>
      </c>
      <c r="E45" s="35"/>
    </row>
    <row r="46" spans="1:5">
      <c r="A46" s="36" t="s">
        <v>18</v>
      </c>
      <c r="B46" s="36">
        <v>1200</v>
      </c>
      <c r="C46" s="40" t="s">
        <v>74</v>
      </c>
      <c r="D46" s="41"/>
      <c r="E46" s="35"/>
    </row>
    <row r="47" spans="1:5">
      <c r="A47" s="39" t="s">
        <v>12</v>
      </c>
      <c r="B47" s="39"/>
      <c r="C47" s="36" t="s">
        <v>77</v>
      </c>
      <c r="D47" s="36">
        <v>2400</v>
      </c>
      <c r="E47" s="35"/>
    </row>
    <row r="48" spans="1:5">
      <c r="A48" s="36" t="s">
        <v>64</v>
      </c>
      <c r="B48" s="36">
        <v>7500</v>
      </c>
      <c r="C48" s="36"/>
      <c r="D48" s="36"/>
      <c r="E48" s="35"/>
    </row>
    <row r="49" spans="1:5" ht="29">
      <c r="A49" s="36" t="s">
        <v>27</v>
      </c>
      <c r="B49" s="36">
        <v>1000</v>
      </c>
      <c r="C49" s="40" t="s">
        <v>13</v>
      </c>
      <c r="D49" s="41"/>
      <c r="E49" s="35"/>
    </row>
    <row r="50" spans="1:5">
      <c r="A50" s="36" t="s">
        <v>69</v>
      </c>
      <c r="B50" s="36">
        <v>2000</v>
      </c>
      <c r="C50" s="36"/>
      <c r="D50" s="36"/>
      <c r="E50" s="35"/>
    </row>
    <row r="51" spans="1:5">
      <c r="A51" s="35"/>
      <c r="B51" s="35"/>
      <c r="C51" s="35"/>
      <c r="D51" s="35"/>
      <c r="E51" s="35"/>
    </row>
    <row r="52" spans="1:5">
      <c r="A52" s="33" t="s">
        <v>51</v>
      </c>
      <c r="B52" s="42">
        <f>+SUM(B44:B46)+SUM(B48:B50)</f>
        <v>17200</v>
      </c>
      <c r="C52" s="33" t="s">
        <v>80</v>
      </c>
      <c r="D52" s="36">
        <f>+D44+D45+D47</f>
        <v>5900</v>
      </c>
      <c r="E52" s="35"/>
    </row>
    <row r="53" spans="1:5">
      <c r="A53" s="35"/>
      <c r="B53" s="35"/>
      <c r="C53" s="43" t="s">
        <v>47</v>
      </c>
      <c r="D53" s="44">
        <f>+B52-D52</f>
        <v>11300</v>
      </c>
      <c r="E53" s="35"/>
    </row>
    <row r="54" spans="1:5">
      <c r="A54" s="35"/>
      <c r="B54" s="35"/>
      <c r="C54" s="35"/>
      <c r="D54" s="35"/>
      <c r="E54" s="35"/>
    </row>
    <row r="55" spans="1:5">
      <c r="A55" s="35" t="s">
        <v>81</v>
      </c>
      <c r="B55" s="35"/>
      <c r="C55" s="35"/>
      <c r="D55" s="35"/>
      <c r="E55" s="35"/>
    </row>
    <row r="56" spans="1:5">
      <c r="A56" s="35"/>
      <c r="B56" s="35"/>
      <c r="C56" s="35"/>
      <c r="D56" s="35"/>
      <c r="E56" s="35"/>
    </row>
    <row r="57" spans="1:5">
      <c r="A57" s="35"/>
      <c r="B57" s="35"/>
      <c r="C57" s="35"/>
      <c r="D57" s="35"/>
      <c r="E57" s="35"/>
    </row>
    <row r="58" spans="1:5">
      <c r="A58" s="35"/>
      <c r="B58" s="35"/>
      <c r="C58" s="35"/>
      <c r="D58" s="35"/>
      <c r="E58" s="35"/>
    </row>
    <row r="59" spans="1:5">
      <c r="A59" s="35"/>
      <c r="B59" s="35"/>
      <c r="C59" s="35"/>
      <c r="D59" s="35"/>
      <c r="E59" s="35"/>
    </row>
    <row r="60" spans="1:5">
      <c r="A60" s="35"/>
      <c r="B60" s="35"/>
      <c r="C60" s="35"/>
      <c r="D60" s="35"/>
      <c r="E60" s="35"/>
    </row>
    <row r="61" spans="1:5" ht="29">
      <c r="A61" s="35" t="s">
        <v>82</v>
      </c>
      <c r="B61" s="35"/>
      <c r="C61" s="35"/>
      <c r="D61" s="35"/>
      <c r="E61" s="35"/>
    </row>
    <row r="62" spans="1:5">
      <c r="A62" s="35"/>
      <c r="B62" s="35"/>
      <c r="C62" s="35"/>
      <c r="D62" s="35"/>
      <c r="E62" s="35"/>
    </row>
    <row r="63" spans="1:5" ht="29">
      <c r="A63" s="38" t="s">
        <v>83</v>
      </c>
      <c r="B63" s="35"/>
      <c r="C63" s="35"/>
      <c r="D63" s="35"/>
      <c r="E63" s="35"/>
    </row>
    <row r="64" spans="1:5">
      <c r="A64" s="36" t="s">
        <v>84</v>
      </c>
      <c r="B64" s="36">
        <f>+SUM(B44:B46)-SUM(D44:D45)</f>
        <v>3200</v>
      </c>
      <c r="C64" s="36" t="s">
        <v>100</v>
      </c>
      <c r="D64" s="35"/>
      <c r="E64" s="35"/>
    </row>
    <row r="65" spans="1:5">
      <c r="A65" s="35"/>
      <c r="B65" s="35"/>
      <c r="C65" s="35"/>
      <c r="D65" s="35"/>
      <c r="E65" s="35"/>
    </row>
    <row r="66" spans="1:5" ht="29" customHeight="1">
      <c r="A66" s="47" t="s">
        <v>85</v>
      </c>
      <c r="B66" s="47"/>
      <c r="C66" s="35"/>
      <c r="D66" s="35"/>
      <c r="E66" s="35"/>
    </row>
    <row r="67" spans="1:5" ht="29">
      <c r="A67" s="36" t="s">
        <v>84</v>
      </c>
      <c r="B67" s="36">
        <f>+D53+D47-SUM(B48:B50)</f>
        <v>3200</v>
      </c>
      <c r="C67" s="36" t="s">
        <v>101</v>
      </c>
      <c r="D67" s="35"/>
      <c r="E67" s="35"/>
    </row>
    <row r="68" spans="1:5">
      <c r="A68" s="35"/>
      <c r="B68" s="35"/>
      <c r="C68" s="35"/>
      <c r="D68" s="35"/>
      <c r="E68" s="35"/>
    </row>
  </sheetData>
  <mergeCells count="6">
    <mergeCell ref="A43:B43"/>
    <mergeCell ref="A47:B47"/>
    <mergeCell ref="C46:D46"/>
    <mergeCell ref="C43:D43"/>
    <mergeCell ref="C49:D49"/>
    <mergeCell ref="A66:B6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AFAB-F843-4097-8087-BCDA6E727C24}">
  <dimension ref="A1:D34"/>
  <sheetViews>
    <sheetView zoomScale="70" zoomScaleNormal="70" workbookViewId="0">
      <selection activeCell="F32" sqref="F32"/>
    </sheetView>
  </sheetViews>
  <sheetFormatPr baseColWidth="10" defaultRowHeight="14.5"/>
  <cols>
    <col min="1" max="1" width="26.36328125" bestFit="1" customWidth="1"/>
    <col min="2" max="2" width="16.7265625" bestFit="1" customWidth="1"/>
    <col min="3" max="3" width="22.26953125" customWidth="1"/>
  </cols>
  <sheetData>
    <row r="1" spans="1:3">
      <c r="A1" s="1" t="s">
        <v>0</v>
      </c>
      <c r="B1" s="2" t="s">
        <v>1</v>
      </c>
      <c r="C1" s="2"/>
    </row>
    <row r="2" spans="1:3">
      <c r="A2" s="1" t="s">
        <v>2</v>
      </c>
      <c r="B2" s="2" t="s">
        <v>3</v>
      </c>
      <c r="C2" s="2"/>
    </row>
    <row r="3" spans="1:3">
      <c r="A3" s="1" t="s">
        <v>4</v>
      </c>
      <c r="B3" s="3" t="s">
        <v>5</v>
      </c>
      <c r="C3" s="2"/>
    </row>
    <row r="4" spans="1:3">
      <c r="A4" s="2"/>
      <c r="B4" s="1" t="s">
        <v>6</v>
      </c>
      <c r="C4" s="1" t="s">
        <v>7</v>
      </c>
    </row>
    <row r="5" spans="1:3">
      <c r="A5" s="2"/>
      <c r="B5" s="3" t="s">
        <v>8</v>
      </c>
      <c r="C5" s="3">
        <v>1724083</v>
      </c>
    </row>
    <row r="6" spans="1:3">
      <c r="A6" s="2"/>
      <c r="B6" s="3" t="s">
        <v>9</v>
      </c>
      <c r="C6" s="2">
        <v>1726924</v>
      </c>
    </row>
    <row r="7" spans="1:3">
      <c r="A7" s="2"/>
      <c r="B7" s="3" t="s">
        <v>10</v>
      </c>
      <c r="C7" s="3">
        <v>1730680</v>
      </c>
    </row>
    <row r="17" spans="1:4">
      <c r="A17" t="s">
        <v>86</v>
      </c>
    </row>
    <row r="18" spans="1:4">
      <c r="A18" s="17" t="s">
        <v>11</v>
      </c>
      <c r="B18" s="17"/>
      <c r="C18" s="22" t="s">
        <v>43</v>
      </c>
      <c r="D18" s="22"/>
    </row>
    <row r="19" spans="1:4">
      <c r="A19" s="5" t="s">
        <v>90</v>
      </c>
      <c r="B19" s="5">
        <f>8200+5000</f>
        <v>13200</v>
      </c>
      <c r="C19" s="7" t="s">
        <v>22</v>
      </c>
      <c r="D19" s="7">
        <v>1200</v>
      </c>
    </row>
    <row r="20" spans="1:4">
      <c r="A20" s="5" t="s">
        <v>92</v>
      </c>
      <c r="B20" s="5">
        <v>25000</v>
      </c>
      <c r="C20" s="7" t="s">
        <v>93</v>
      </c>
      <c r="D20" s="7">
        <v>4200</v>
      </c>
    </row>
    <row r="21" spans="1:4">
      <c r="A21" s="5" t="s">
        <v>18</v>
      </c>
      <c r="B21" s="5">
        <f>500+2500</f>
        <v>3000</v>
      </c>
      <c r="C21" s="7" t="s">
        <v>94</v>
      </c>
      <c r="D21" s="7">
        <v>4000</v>
      </c>
    </row>
    <row r="22" spans="1:4">
      <c r="A22" s="19" t="s">
        <v>44</v>
      </c>
      <c r="B22" s="19">
        <f>+SUM(B19:B21)</f>
        <v>41200</v>
      </c>
      <c r="C22" s="9" t="s">
        <v>50</v>
      </c>
      <c r="D22" s="9">
        <f>+SUM(D19:D21)</f>
        <v>9400</v>
      </c>
    </row>
    <row r="23" spans="1:4">
      <c r="A23" s="20" t="s">
        <v>12</v>
      </c>
      <c r="B23" s="20"/>
      <c r="C23" s="21" t="s">
        <v>42</v>
      </c>
      <c r="D23" s="21"/>
    </row>
    <row r="24" spans="1:4">
      <c r="A24" s="6" t="s">
        <v>88</v>
      </c>
      <c r="B24" s="6">
        <v>15000</v>
      </c>
      <c r="C24" s="10" t="s">
        <v>89</v>
      </c>
      <c r="D24" s="10">
        <v>35000</v>
      </c>
    </row>
    <row r="25" spans="1:4">
      <c r="A25" s="6" t="s">
        <v>91</v>
      </c>
      <c r="B25" s="6">
        <v>3000</v>
      </c>
      <c r="C25" s="11" t="s">
        <v>48</v>
      </c>
      <c r="D25" s="11">
        <f>+SUM(D24:D24)</f>
        <v>35000</v>
      </c>
    </row>
    <row r="26" spans="1:4">
      <c r="A26" s="18" t="s">
        <v>45</v>
      </c>
      <c r="B26" s="18">
        <f>+SUM(B24:B25)</f>
        <v>18000</v>
      </c>
      <c r="C26" s="13" t="s">
        <v>41</v>
      </c>
      <c r="D26" s="13"/>
    </row>
    <row r="27" spans="1:4">
      <c r="A27" s="15" t="s">
        <v>95</v>
      </c>
      <c r="B27" s="15">
        <f>+B22+B26</f>
        <v>59200</v>
      </c>
      <c r="C27" s="12" t="s">
        <v>87</v>
      </c>
      <c r="D27" s="12"/>
    </row>
    <row r="28" spans="1:4">
      <c r="C28" s="23" t="s">
        <v>47</v>
      </c>
      <c r="D28" s="23">
        <f>+B27-D29</f>
        <v>14800</v>
      </c>
    </row>
    <row r="29" spans="1:4">
      <c r="C29" s="15" t="s">
        <v>96</v>
      </c>
      <c r="D29" s="15">
        <f>+D22+D25</f>
        <v>44400</v>
      </c>
    </row>
    <row r="31" spans="1:4">
      <c r="A31" s="4" t="s">
        <v>97</v>
      </c>
    </row>
    <row r="33" spans="1:2">
      <c r="A33" s="14" t="s">
        <v>98</v>
      </c>
      <c r="B33" s="14">
        <f>+B22-D22</f>
        <v>31800</v>
      </c>
    </row>
    <row r="34" spans="1:2">
      <c r="A34" s="14" t="s">
        <v>99</v>
      </c>
      <c r="B34" s="14">
        <f>+D28+D25-B26</f>
        <v>31800</v>
      </c>
    </row>
  </sheetData>
  <mergeCells count="5">
    <mergeCell ref="A18:B18"/>
    <mergeCell ref="C18:D18"/>
    <mergeCell ref="A23:B23"/>
    <mergeCell ref="C23:D23"/>
    <mergeCell ref="C26:D2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B52B-3667-47B0-85D9-B1FDDF2962CB}">
  <dimension ref="A1:C28"/>
  <sheetViews>
    <sheetView zoomScale="80" zoomScaleNormal="80" workbookViewId="0">
      <selection sqref="A1:C7"/>
    </sheetView>
  </sheetViews>
  <sheetFormatPr baseColWidth="10" defaultRowHeight="14.5"/>
  <cols>
    <col min="1" max="1" width="19.453125" bestFit="1" customWidth="1"/>
    <col min="2" max="2" width="16.7265625" bestFit="1" customWidth="1"/>
    <col min="3" max="3" width="34.6328125" bestFit="1" customWidth="1"/>
  </cols>
  <sheetData>
    <row r="1" spans="1:3">
      <c r="A1" s="1" t="s">
        <v>0</v>
      </c>
      <c r="B1" s="2" t="s">
        <v>1</v>
      </c>
      <c r="C1" s="2"/>
    </row>
    <row r="2" spans="1:3">
      <c r="A2" s="1" t="s">
        <v>2</v>
      </c>
      <c r="B2" s="2" t="s">
        <v>3</v>
      </c>
      <c r="C2" s="2"/>
    </row>
    <row r="3" spans="1:3">
      <c r="A3" s="1" t="s">
        <v>4</v>
      </c>
      <c r="B3" s="3" t="s">
        <v>5</v>
      </c>
      <c r="C3" s="2"/>
    </row>
    <row r="4" spans="1:3">
      <c r="A4" s="2"/>
      <c r="B4" s="1" t="s">
        <v>6</v>
      </c>
      <c r="C4" s="1" t="s">
        <v>7</v>
      </c>
    </row>
    <row r="5" spans="1:3">
      <c r="A5" s="2"/>
      <c r="B5" s="3" t="s">
        <v>8</v>
      </c>
      <c r="C5" s="3">
        <v>1724083</v>
      </c>
    </row>
    <row r="6" spans="1:3">
      <c r="A6" s="2"/>
      <c r="B6" s="3" t="s">
        <v>9</v>
      </c>
      <c r="C6" s="2">
        <v>1726924</v>
      </c>
    </row>
    <row r="7" spans="1:3">
      <c r="A7" s="2"/>
      <c r="B7" s="3" t="s">
        <v>10</v>
      </c>
      <c r="C7" s="3">
        <v>1730680</v>
      </c>
    </row>
    <row r="25" spans="1:3">
      <c r="A25" s="14"/>
      <c r="B25" s="14" t="s">
        <v>105</v>
      </c>
      <c r="C25" s="14" t="s">
        <v>106</v>
      </c>
    </row>
    <row r="26" spans="1:3">
      <c r="A26" s="14" t="s">
        <v>102</v>
      </c>
      <c r="B26" s="14" t="s">
        <v>112</v>
      </c>
      <c r="C26" s="14" t="s">
        <v>111</v>
      </c>
    </row>
    <row r="27" spans="1:3">
      <c r="A27" s="14" t="s">
        <v>103</v>
      </c>
      <c r="B27" s="14" t="s">
        <v>107</v>
      </c>
      <c r="C27" s="14" t="s">
        <v>108</v>
      </c>
    </row>
    <row r="28" spans="1:3">
      <c r="A28" s="14" t="s">
        <v>104</v>
      </c>
      <c r="B28" s="14" t="s">
        <v>109</v>
      </c>
      <c r="C28" s="14" t="s">
        <v>110</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02501-530F-4421-AE81-FEB5C6B09450}">
  <dimension ref="A1:F107"/>
  <sheetViews>
    <sheetView topLeftCell="A103" zoomScale="80" zoomScaleNormal="80" workbookViewId="0">
      <selection activeCell="A36" sqref="A36:XFD36"/>
    </sheetView>
  </sheetViews>
  <sheetFormatPr baseColWidth="10" defaultRowHeight="14.5"/>
  <cols>
    <col min="1" max="1" width="19.453125" bestFit="1" customWidth="1"/>
    <col min="2" max="2" width="11.90625" customWidth="1"/>
    <col min="4" max="4" width="14.54296875" customWidth="1"/>
    <col min="5" max="5" width="24.54296875" customWidth="1"/>
  </cols>
  <sheetData>
    <row r="1" spans="1:3">
      <c r="A1" s="1" t="s">
        <v>0</v>
      </c>
      <c r="B1" s="2" t="s">
        <v>1</v>
      </c>
      <c r="C1" s="2"/>
    </row>
    <row r="2" spans="1:3">
      <c r="A2" s="1" t="s">
        <v>2</v>
      </c>
      <c r="B2" s="2" t="s">
        <v>3</v>
      </c>
      <c r="C2" s="2"/>
    </row>
    <row r="3" spans="1:3">
      <c r="A3" s="1" t="s">
        <v>4</v>
      </c>
      <c r="B3" s="3" t="s">
        <v>5</v>
      </c>
      <c r="C3" s="2"/>
    </row>
    <row r="4" spans="1:3">
      <c r="A4" s="2"/>
      <c r="B4" s="1" t="s">
        <v>6</v>
      </c>
      <c r="C4" s="1" t="s">
        <v>7</v>
      </c>
    </row>
    <row r="5" spans="1:3">
      <c r="A5" s="2"/>
      <c r="B5" s="3" t="s">
        <v>8</v>
      </c>
      <c r="C5" s="3">
        <v>1724083</v>
      </c>
    </row>
    <row r="6" spans="1:3">
      <c r="A6" s="2"/>
      <c r="B6" s="3" t="s">
        <v>9</v>
      </c>
      <c r="C6" s="2">
        <v>1726924</v>
      </c>
    </row>
    <row r="7" spans="1:3">
      <c r="A7" s="2"/>
      <c r="B7" s="3" t="s">
        <v>10</v>
      </c>
      <c r="C7" s="3">
        <v>1730680</v>
      </c>
    </row>
    <row r="16" spans="1:3">
      <c r="A16" s="4" t="s">
        <v>113</v>
      </c>
      <c r="C16" s="25"/>
    </row>
    <row r="17" spans="1:3">
      <c r="A17" s="15" t="s">
        <v>114</v>
      </c>
      <c r="B17" s="36"/>
      <c r="C17" s="14">
        <v>3575</v>
      </c>
    </row>
    <row r="18" spans="1:3">
      <c r="A18" s="14" t="s">
        <v>115</v>
      </c>
      <c r="B18" s="36" t="s">
        <v>116</v>
      </c>
      <c r="C18" s="14">
        <v>1586</v>
      </c>
    </row>
    <row r="19" spans="1:3">
      <c r="A19" s="15" t="s">
        <v>117</v>
      </c>
      <c r="B19" s="36"/>
      <c r="C19" s="14">
        <f>+C17-C18</f>
        <v>1989</v>
      </c>
    </row>
    <row r="20" spans="1:3" ht="29">
      <c r="A20" s="14" t="s">
        <v>115</v>
      </c>
      <c r="B20" s="36" t="s">
        <v>118</v>
      </c>
      <c r="C20" s="14">
        <v>210</v>
      </c>
    </row>
    <row r="21" spans="1:3" ht="29">
      <c r="A21" s="14" t="s">
        <v>115</v>
      </c>
      <c r="B21" s="36" t="s">
        <v>119</v>
      </c>
      <c r="C21" s="14">
        <v>562</v>
      </c>
    </row>
    <row r="22" spans="1:3">
      <c r="A22" s="15" t="s">
        <v>120</v>
      </c>
      <c r="B22" s="36"/>
      <c r="C22" s="14">
        <f>+C19-C20-C21</f>
        <v>1217</v>
      </c>
    </row>
    <row r="23" spans="1:3" ht="29">
      <c r="A23" s="14" t="s">
        <v>115</v>
      </c>
      <c r="B23" s="36" t="s">
        <v>122</v>
      </c>
      <c r="C23" s="14">
        <v>241</v>
      </c>
    </row>
    <row r="24" spans="1:3" ht="29">
      <c r="A24" s="14" t="s">
        <v>121</v>
      </c>
      <c r="B24" s="36" t="s">
        <v>123</v>
      </c>
      <c r="C24" s="14">
        <v>0</v>
      </c>
    </row>
    <row r="25" spans="1:3" ht="29">
      <c r="A25" s="14" t="s">
        <v>115</v>
      </c>
      <c r="B25" s="36" t="s">
        <v>124</v>
      </c>
      <c r="C25" s="14">
        <v>0</v>
      </c>
    </row>
    <row r="26" spans="1:3" ht="29">
      <c r="A26" s="26" t="s">
        <v>121</v>
      </c>
      <c r="B26" s="51" t="s">
        <v>125</v>
      </c>
      <c r="C26" s="26">
        <v>0</v>
      </c>
    </row>
    <row r="27" spans="1:3">
      <c r="A27" s="15" t="s">
        <v>126</v>
      </c>
      <c r="B27" s="36"/>
      <c r="C27" s="14">
        <f>+C22-C23</f>
        <v>976</v>
      </c>
    </row>
    <row r="28" spans="1:3">
      <c r="A28" s="26" t="s">
        <v>115</v>
      </c>
      <c r="B28" s="36" t="s">
        <v>127</v>
      </c>
      <c r="C28" s="14">
        <v>208</v>
      </c>
    </row>
    <row r="29" spans="1:3" ht="43.5">
      <c r="A29" s="26" t="s">
        <v>115</v>
      </c>
      <c r="B29" s="36" t="s">
        <v>128</v>
      </c>
      <c r="C29" s="14">
        <v>0</v>
      </c>
    </row>
    <row r="30" spans="1:3" ht="43.5">
      <c r="A30" s="26" t="s">
        <v>121</v>
      </c>
      <c r="B30" s="36" t="s">
        <v>129</v>
      </c>
      <c r="C30" s="14">
        <v>0</v>
      </c>
    </row>
    <row r="31" spans="1:3">
      <c r="A31" s="15" t="s">
        <v>130</v>
      </c>
      <c r="B31" s="36"/>
      <c r="C31" s="14">
        <f>+C27-C28</f>
        <v>768</v>
      </c>
    </row>
    <row r="32" spans="1:3">
      <c r="B32" s="35"/>
    </row>
    <row r="33" spans="1:6">
      <c r="A33" s="15" t="s">
        <v>120</v>
      </c>
      <c r="B33" s="36"/>
      <c r="C33" s="14">
        <v>1217</v>
      </c>
    </row>
    <row r="34" spans="1:6" ht="43.5">
      <c r="A34" s="14" t="s">
        <v>121</v>
      </c>
      <c r="B34" s="36" t="s">
        <v>131</v>
      </c>
      <c r="C34" s="14">
        <v>683</v>
      </c>
    </row>
    <row r="35" spans="1:6">
      <c r="A35" s="15" t="s">
        <v>132</v>
      </c>
      <c r="B35" s="36"/>
      <c r="C35" s="14">
        <f>+C33+C34</f>
        <v>1900</v>
      </c>
    </row>
    <row r="36" spans="1:6">
      <c r="A36" s="15"/>
      <c r="B36" s="36"/>
      <c r="C36" s="49"/>
    </row>
    <row r="37" spans="1:6">
      <c r="A37" s="15"/>
      <c r="B37" s="36"/>
      <c r="C37" s="49"/>
    </row>
    <row r="38" spans="1:6">
      <c r="A38" s="15"/>
      <c r="B38" s="36"/>
      <c r="C38" s="49"/>
    </row>
    <row r="39" spans="1:6">
      <c r="A39" s="15" t="s">
        <v>133</v>
      </c>
      <c r="B39" s="14"/>
    </row>
    <row r="40" spans="1:6">
      <c r="A40" s="14" t="s">
        <v>134</v>
      </c>
      <c r="B40" s="14">
        <v>12</v>
      </c>
    </row>
    <row r="41" spans="1:6">
      <c r="A41" s="14" t="s">
        <v>135</v>
      </c>
      <c r="B41" s="14"/>
    </row>
    <row r="42" spans="1:6">
      <c r="A42" s="14" t="s">
        <v>136</v>
      </c>
      <c r="B42" s="14">
        <v>292</v>
      </c>
    </row>
    <row r="43" spans="1:6">
      <c r="A43" s="14" t="s">
        <v>137</v>
      </c>
      <c r="B43" s="14">
        <v>767</v>
      </c>
    </row>
    <row r="44" spans="1:6">
      <c r="A44" s="14" t="s">
        <v>138</v>
      </c>
      <c r="B44" s="14">
        <v>33</v>
      </c>
    </row>
    <row r="45" spans="1:6">
      <c r="A45" s="14" t="s">
        <v>139</v>
      </c>
      <c r="B45" s="14">
        <v>214</v>
      </c>
    </row>
    <row r="46" spans="1:6">
      <c r="A46" s="15" t="s">
        <v>140</v>
      </c>
      <c r="B46" s="15">
        <v>1318</v>
      </c>
    </row>
    <row r="47" spans="1:6">
      <c r="A47" s="14" t="s">
        <v>141</v>
      </c>
      <c r="B47" s="14">
        <v>4764</v>
      </c>
      <c r="E47" s="48"/>
      <c r="F47" s="49"/>
    </row>
    <row r="48" spans="1:6">
      <c r="A48" s="14" t="s">
        <v>142</v>
      </c>
      <c r="B48" s="14">
        <v>30</v>
      </c>
      <c r="E48" s="48"/>
      <c r="F48" s="49"/>
    </row>
    <row r="49" spans="1:6">
      <c r="A49" s="14" t="s">
        <v>143</v>
      </c>
      <c r="B49" s="14">
        <v>190</v>
      </c>
      <c r="E49" s="48"/>
      <c r="F49" s="49"/>
    </row>
    <row r="50" spans="1:6">
      <c r="A50" s="14" t="s">
        <v>144</v>
      </c>
      <c r="B50" s="14">
        <v>45</v>
      </c>
      <c r="E50" s="48"/>
      <c r="F50" s="49"/>
    </row>
    <row r="51" spans="1:6">
      <c r="A51" s="15" t="s">
        <v>145</v>
      </c>
      <c r="B51" s="15">
        <v>5029</v>
      </c>
      <c r="E51" s="48"/>
      <c r="F51" s="49"/>
    </row>
    <row r="52" spans="1:6">
      <c r="A52" s="15" t="s">
        <v>146</v>
      </c>
      <c r="B52" s="15">
        <f>+B46+B51</f>
        <v>6347</v>
      </c>
      <c r="E52" s="48"/>
      <c r="F52" s="49"/>
    </row>
    <row r="53" spans="1:6">
      <c r="A53" s="14" t="s">
        <v>147</v>
      </c>
      <c r="B53" s="14">
        <v>578</v>
      </c>
      <c r="E53" s="48"/>
      <c r="F53" s="49"/>
    </row>
    <row r="54" spans="1:6">
      <c r="A54" s="14" t="s">
        <v>148</v>
      </c>
      <c r="B54" s="14">
        <v>435</v>
      </c>
      <c r="E54" s="48"/>
      <c r="F54" s="49"/>
    </row>
    <row r="55" spans="1:6">
      <c r="A55" s="14" t="s">
        <v>149</v>
      </c>
      <c r="B55" s="14">
        <v>56</v>
      </c>
      <c r="E55" s="48"/>
      <c r="F55" s="49"/>
    </row>
    <row r="56" spans="1:6">
      <c r="A56" s="14" t="s">
        <v>150</v>
      </c>
      <c r="B56" s="14">
        <v>250</v>
      </c>
      <c r="E56" s="48"/>
      <c r="F56" s="49"/>
    </row>
    <row r="57" spans="1:6">
      <c r="A57" s="14" t="s">
        <v>151</v>
      </c>
      <c r="B57" s="14"/>
      <c r="E57" s="48"/>
      <c r="F57" s="49"/>
    </row>
    <row r="58" spans="1:6">
      <c r="A58" s="14" t="s">
        <v>152</v>
      </c>
      <c r="B58" s="14"/>
      <c r="E58" s="48"/>
      <c r="F58" s="49"/>
    </row>
    <row r="59" spans="1:6">
      <c r="A59" s="15" t="s">
        <v>153</v>
      </c>
      <c r="B59" s="15">
        <v>1319</v>
      </c>
      <c r="E59" s="48"/>
      <c r="F59" s="49"/>
    </row>
    <row r="60" spans="1:6">
      <c r="A60" s="26" t="s">
        <v>154</v>
      </c>
      <c r="B60" s="14">
        <v>2033</v>
      </c>
      <c r="E60" s="48"/>
      <c r="F60" s="49"/>
    </row>
    <row r="61" spans="1:6">
      <c r="A61" s="26" t="s">
        <v>155</v>
      </c>
      <c r="B61" s="14">
        <v>108</v>
      </c>
      <c r="E61" s="48"/>
      <c r="F61" s="49"/>
    </row>
    <row r="62" spans="1:6">
      <c r="A62" s="26" t="s">
        <v>156</v>
      </c>
      <c r="B62" s="14">
        <v>191</v>
      </c>
      <c r="E62" s="48"/>
      <c r="F62" s="49"/>
    </row>
    <row r="63" spans="1:6">
      <c r="A63" s="15" t="s">
        <v>157</v>
      </c>
      <c r="B63" s="15">
        <v>2332</v>
      </c>
      <c r="E63" s="48"/>
      <c r="F63" s="49"/>
    </row>
    <row r="64" spans="1:6">
      <c r="A64" s="15" t="s">
        <v>158</v>
      </c>
      <c r="B64" s="15">
        <v>3651</v>
      </c>
      <c r="E64" s="48"/>
      <c r="F64" s="49"/>
    </row>
    <row r="65" spans="1:6">
      <c r="E65" s="48"/>
      <c r="F65" s="49"/>
    </row>
    <row r="66" spans="1:6">
      <c r="A66" s="15" t="s">
        <v>159</v>
      </c>
      <c r="B66" s="14">
        <v>2696</v>
      </c>
      <c r="E66" s="48"/>
      <c r="F66" s="49"/>
    </row>
    <row r="67" spans="1:6">
      <c r="A67" s="15" t="s">
        <v>160</v>
      </c>
      <c r="B67" s="14">
        <v>6347</v>
      </c>
      <c r="E67" s="48"/>
      <c r="F67" s="49"/>
    </row>
    <row r="68" spans="1:6">
      <c r="E68" s="48"/>
      <c r="F68" s="49"/>
    </row>
    <row r="69" spans="1:6">
      <c r="E69" s="48"/>
      <c r="F69" s="49"/>
    </row>
    <row r="70" spans="1:6">
      <c r="E70" s="48"/>
      <c r="F70" s="49"/>
    </row>
    <row r="71" spans="1:6">
      <c r="E71" s="48"/>
      <c r="F71" s="49"/>
    </row>
    <row r="72" spans="1:6">
      <c r="E72" s="48"/>
      <c r="F72" s="49"/>
    </row>
    <row r="73" spans="1:6">
      <c r="E73" s="48"/>
      <c r="F73" s="49"/>
    </row>
    <row r="74" spans="1:6">
      <c r="E74" s="48"/>
      <c r="F74" s="49"/>
    </row>
    <row r="75" spans="1:6">
      <c r="E75" s="48"/>
      <c r="F75" s="49"/>
    </row>
    <row r="76" spans="1:6">
      <c r="E76" s="48"/>
      <c r="F76" s="49"/>
    </row>
    <row r="77" spans="1:6">
      <c r="E77" s="48"/>
      <c r="F77" s="49"/>
    </row>
    <row r="78" spans="1:6">
      <c r="E78" s="48"/>
      <c r="F78" s="49"/>
    </row>
    <row r="79" spans="1:6">
      <c r="E79" s="48"/>
      <c r="F79" s="49"/>
    </row>
    <row r="80" spans="1:6">
      <c r="E80" s="48"/>
      <c r="F80" s="49"/>
    </row>
    <row r="81" spans="1:6">
      <c r="E81" s="48"/>
      <c r="F81" s="49"/>
    </row>
    <row r="82" spans="1:6">
      <c r="E82" s="48"/>
      <c r="F82" s="49"/>
    </row>
    <row r="83" spans="1:6">
      <c r="E83" s="48"/>
      <c r="F83" s="49"/>
    </row>
    <row r="84" spans="1:6">
      <c r="E84" s="48"/>
      <c r="F84" s="49"/>
    </row>
    <row r="85" spans="1:6">
      <c r="E85" s="48"/>
      <c r="F85" s="49"/>
    </row>
    <row r="86" spans="1:6">
      <c r="E86" s="48"/>
      <c r="F86" s="49"/>
    </row>
    <row r="87" spans="1:6">
      <c r="E87" s="48"/>
      <c r="F87" s="49"/>
    </row>
    <row r="88" spans="1:6">
      <c r="E88" s="48"/>
      <c r="F88" s="49"/>
    </row>
    <row r="89" spans="1:6">
      <c r="A89" s="50" t="s">
        <v>161</v>
      </c>
      <c r="B89" s="27">
        <f>+B46/B59</f>
        <v>0.99924184988627751</v>
      </c>
      <c r="D89" s="35" t="s">
        <v>177</v>
      </c>
      <c r="E89" s="35"/>
    </row>
    <row r="90" spans="1:6" ht="29">
      <c r="A90" s="50" t="s">
        <v>162</v>
      </c>
      <c r="B90" s="27">
        <f>+(B46-B44)/B59</f>
        <v>0.97422289613343438</v>
      </c>
      <c r="D90" s="35" t="s">
        <v>179</v>
      </c>
      <c r="E90" s="35"/>
    </row>
    <row r="91" spans="1:6" ht="28.5">
      <c r="A91" s="50" t="s">
        <v>178</v>
      </c>
      <c r="B91" s="27">
        <f>+B64/B66</f>
        <v>1.3542284866468843</v>
      </c>
      <c r="D91" s="35" t="s">
        <v>180</v>
      </c>
      <c r="E91" s="35"/>
    </row>
    <row r="92" spans="1:6">
      <c r="A92" s="50" t="s">
        <v>163</v>
      </c>
      <c r="B92" s="28">
        <f>+C19/C17</f>
        <v>0.55636363636363639</v>
      </c>
      <c r="D92" s="35" t="s">
        <v>181</v>
      </c>
      <c r="E92" s="35"/>
    </row>
    <row r="93" spans="1:6" ht="29">
      <c r="A93" s="50" t="s">
        <v>164</v>
      </c>
      <c r="B93" s="28">
        <f>+C31/B52</f>
        <v>0.12100204821175359</v>
      </c>
      <c r="D93" s="35" t="s">
        <v>183</v>
      </c>
      <c r="E93" s="35" t="s">
        <v>182</v>
      </c>
    </row>
    <row r="94" spans="1:6" ht="28.5">
      <c r="A94" s="50" t="s">
        <v>165</v>
      </c>
      <c r="B94" s="29">
        <f>+B93*(1+B91)</f>
        <v>0.28486646884273004</v>
      </c>
      <c r="D94" s="35" t="s">
        <v>185</v>
      </c>
      <c r="E94" s="35" t="s">
        <v>184</v>
      </c>
    </row>
    <row r="95" spans="1:6" ht="28.5">
      <c r="A95" s="50" t="s">
        <v>166</v>
      </c>
      <c r="B95" s="28">
        <f>+C31/C17</f>
        <v>0.21482517482517482</v>
      </c>
      <c r="D95" s="35" t="s">
        <v>186</v>
      </c>
      <c r="E95" s="35"/>
    </row>
    <row r="96" spans="1:6" ht="43.5">
      <c r="A96" s="50" t="s">
        <v>167</v>
      </c>
      <c r="B96" s="29">
        <f>+C23/B64</f>
        <v>6.6009312517118598E-2</v>
      </c>
      <c r="D96" s="35" t="s">
        <v>187</v>
      </c>
      <c r="E96" s="35"/>
    </row>
    <row r="97" spans="1:5" ht="43.5">
      <c r="A97" s="50" t="s">
        <v>168</v>
      </c>
      <c r="B97" s="31">
        <f>+C23/C17</f>
        <v>6.7412587412587419E-2</v>
      </c>
      <c r="D97" s="35" t="s">
        <v>188</v>
      </c>
      <c r="E97" s="35"/>
    </row>
    <row r="98" spans="1:5" ht="43.5">
      <c r="A98" s="50" t="s">
        <v>169</v>
      </c>
      <c r="B98" s="27">
        <f>+(C22+C34)/C23</f>
        <v>7.8838174273858925</v>
      </c>
      <c r="C98" s="14">
        <v>8</v>
      </c>
      <c r="D98" s="35" t="s">
        <v>189</v>
      </c>
      <c r="E98" t="s">
        <v>190</v>
      </c>
    </row>
    <row r="99" spans="1:5" ht="29">
      <c r="A99" s="50" t="s">
        <v>170</v>
      </c>
      <c r="B99" s="27">
        <f>+C18/B44</f>
        <v>48.060606060606062</v>
      </c>
      <c r="C99" s="14">
        <v>49</v>
      </c>
      <c r="D99" s="35" t="s">
        <v>191</v>
      </c>
      <c r="E99" s="35"/>
    </row>
    <row r="100" spans="1:5" ht="43.5">
      <c r="A100" s="50" t="s">
        <v>171</v>
      </c>
      <c r="B100" s="27">
        <f>+(B43/(C17*1.21))*365</f>
        <v>64.718256949661907</v>
      </c>
      <c r="C100" s="14">
        <v>65</v>
      </c>
      <c r="D100" s="35" t="s">
        <v>192</v>
      </c>
      <c r="E100" s="35"/>
    </row>
    <row r="101" spans="1:5" ht="29">
      <c r="A101" s="50" t="s">
        <v>172</v>
      </c>
      <c r="B101" s="27">
        <f>+(B53/(C18*1.21))*365</f>
        <v>109.93403020228655</v>
      </c>
      <c r="C101" s="14">
        <v>110</v>
      </c>
      <c r="D101" s="35" t="s">
        <v>193</v>
      </c>
      <c r="E101" s="35"/>
    </row>
    <row r="102" spans="1:5" ht="43.5">
      <c r="A102" s="50" t="s">
        <v>173</v>
      </c>
      <c r="B102" s="32">
        <f>1+B64/B66</f>
        <v>2.3542284866468846</v>
      </c>
      <c r="D102" s="35" t="s">
        <v>194</v>
      </c>
      <c r="E102" s="35"/>
    </row>
    <row r="103" spans="1:5" ht="42.5">
      <c r="A103" s="50" t="s">
        <v>174</v>
      </c>
      <c r="B103" s="30">
        <f>+(B66+B63)/B51</f>
        <v>0.99980115331079733</v>
      </c>
      <c r="D103" s="35"/>
      <c r="E103" s="35"/>
    </row>
    <row r="104" spans="1:5" ht="43.5">
      <c r="A104" s="50" t="s">
        <v>175</v>
      </c>
      <c r="B104" s="30">
        <f>+B51/B52</f>
        <v>0.79234283913659997</v>
      </c>
      <c r="D104" s="35" t="s">
        <v>195</v>
      </c>
      <c r="E104" s="35"/>
    </row>
    <row r="105" spans="1:5" ht="29">
      <c r="A105" s="50" t="s">
        <v>176</v>
      </c>
      <c r="B105" s="29">
        <f>+B95*E107</f>
        <v>0.12100204821175359</v>
      </c>
      <c r="D105" s="35" t="s">
        <v>196</v>
      </c>
      <c r="E105" s="35"/>
    </row>
    <row r="106" spans="1:5" ht="58">
      <c r="D106" s="35" t="s">
        <v>197</v>
      </c>
      <c r="E106" s="35"/>
    </row>
    <row r="107" spans="1:5" ht="29">
      <c r="D107" s="36" t="s">
        <v>198</v>
      </c>
      <c r="E107" s="36">
        <f>+C17/B52</f>
        <v>0.56325823223570193</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613D0-F6DC-4153-969D-3CCE89551E5E}">
  <dimension ref="A1:H217"/>
  <sheetViews>
    <sheetView topLeftCell="A97" zoomScale="70" zoomScaleNormal="70" workbookViewId="0">
      <selection activeCell="A207" sqref="A207:XFD207"/>
    </sheetView>
  </sheetViews>
  <sheetFormatPr baseColWidth="10" defaultRowHeight="14.5"/>
  <cols>
    <col min="1" max="1" width="8.7265625" style="35" customWidth="1"/>
    <col min="2" max="2" width="11.1796875" style="35" customWidth="1"/>
    <col min="3" max="3" width="11.90625" style="35" customWidth="1"/>
    <col min="4" max="4" width="11.453125" style="35" customWidth="1"/>
    <col min="5" max="5" width="9.54296875" style="35" customWidth="1"/>
    <col min="6" max="6" width="12.54296875" style="35" customWidth="1"/>
    <col min="7" max="7" width="11.36328125" style="35" customWidth="1"/>
    <col min="8" max="8" width="13.54296875" style="35" customWidth="1"/>
    <col min="9" max="9" width="13.90625" style="35" customWidth="1"/>
    <col min="10" max="16384" width="10.90625" style="35"/>
  </cols>
  <sheetData>
    <row r="1" spans="1:6" ht="29">
      <c r="A1" s="52" t="s">
        <v>0</v>
      </c>
      <c r="B1" s="37" t="s">
        <v>1</v>
      </c>
      <c r="C1" s="37"/>
    </row>
    <row r="2" spans="1:6" ht="29">
      <c r="A2" s="52" t="s">
        <v>2</v>
      </c>
      <c r="B2" s="37" t="s">
        <v>3</v>
      </c>
      <c r="C2" s="37"/>
    </row>
    <row r="3" spans="1:6">
      <c r="A3" s="52" t="s">
        <v>4</v>
      </c>
      <c r="B3" s="53" t="s">
        <v>5</v>
      </c>
      <c r="C3" s="37"/>
    </row>
    <row r="4" spans="1:6">
      <c r="A4" s="37"/>
      <c r="B4" s="52" t="s">
        <v>6</v>
      </c>
      <c r="C4" s="52" t="s">
        <v>7</v>
      </c>
    </row>
    <row r="5" spans="1:6">
      <c r="A5" s="37"/>
      <c r="B5" s="53" t="s">
        <v>8</v>
      </c>
      <c r="C5" s="53">
        <v>1724083</v>
      </c>
    </row>
    <row r="6" spans="1:6">
      <c r="A6" s="37"/>
      <c r="B6" s="53" t="s">
        <v>9</v>
      </c>
      <c r="C6" s="37">
        <v>1726924</v>
      </c>
    </row>
    <row r="7" spans="1:6">
      <c r="A7" s="37"/>
      <c r="B7" s="53" t="s">
        <v>10</v>
      </c>
      <c r="C7" s="53">
        <v>1730680</v>
      </c>
    </row>
    <row r="9" spans="1:6">
      <c r="A9" s="54"/>
      <c r="B9" s="55" t="s">
        <v>199</v>
      </c>
      <c r="C9" s="55"/>
      <c r="D9" s="55"/>
      <c r="E9" s="55"/>
      <c r="F9" s="54"/>
    </row>
    <row r="10" spans="1:6" ht="15" thickBot="1">
      <c r="A10" s="54"/>
      <c r="B10" s="54"/>
      <c r="C10" s="54"/>
      <c r="D10" s="54"/>
      <c r="E10" s="54"/>
      <c r="F10" s="54"/>
    </row>
    <row r="11" spans="1:6">
      <c r="A11" s="57" t="s">
        <v>201</v>
      </c>
      <c r="B11" s="58" t="s">
        <v>201</v>
      </c>
      <c r="C11" s="59" t="s">
        <v>202</v>
      </c>
      <c r="D11" s="60" t="s">
        <v>203</v>
      </c>
      <c r="E11" s="61" t="s">
        <v>204</v>
      </c>
      <c r="F11" s="54"/>
    </row>
    <row r="12" spans="1:6">
      <c r="A12" s="62" t="s">
        <v>114</v>
      </c>
      <c r="B12" s="63" t="s">
        <v>201</v>
      </c>
      <c r="C12" s="64">
        <v>3573</v>
      </c>
      <c r="D12" s="65">
        <v>3259</v>
      </c>
      <c r="E12" s="66">
        <v>3067</v>
      </c>
      <c r="F12" s="54"/>
    </row>
    <row r="13" spans="1:6">
      <c r="A13" s="67" t="s">
        <v>115</v>
      </c>
      <c r="B13" s="63" t="s">
        <v>116</v>
      </c>
      <c r="C13" s="64">
        <v>1586</v>
      </c>
      <c r="D13" s="65">
        <v>1538</v>
      </c>
      <c r="E13" s="66">
        <v>1521</v>
      </c>
      <c r="F13" s="54"/>
    </row>
    <row r="14" spans="1:6" ht="28.5">
      <c r="A14" s="62" t="s">
        <v>207</v>
      </c>
      <c r="B14" s="63" t="s">
        <v>201</v>
      </c>
      <c r="C14" s="64">
        <v>1987</v>
      </c>
      <c r="D14" s="65">
        <v>1721</v>
      </c>
      <c r="E14" s="66">
        <v>1546</v>
      </c>
      <c r="F14" s="54"/>
    </row>
    <row r="15" spans="1:6" ht="28.5">
      <c r="A15" s="67" t="s">
        <v>115</v>
      </c>
      <c r="B15" s="63" t="s">
        <v>209</v>
      </c>
      <c r="C15" s="64">
        <v>208</v>
      </c>
      <c r="D15" s="65">
        <v>238</v>
      </c>
      <c r="E15" s="66">
        <v>255</v>
      </c>
      <c r="F15" s="54"/>
    </row>
    <row r="16" spans="1:6" ht="28.5">
      <c r="A16" s="67" t="s">
        <v>115</v>
      </c>
      <c r="B16" s="63" t="s">
        <v>119</v>
      </c>
      <c r="C16" s="64">
        <v>562</v>
      </c>
      <c r="D16" s="65">
        <v>661</v>
      </c>
      <c r="E16" s="66">
        <v>889</v>
      </c>
      <c r="F16" s="54"/>
    </row>
    <row r="17" spans="1:6">
      <c r="A17" s="62" t="s">
        <v>120</v>
      </c>
      <c r="B17" s="63" t="s">
        <v>201</v>
      </c>
      <c r="C17" s="64">
        <v>1217</v>
      </c>
      <c r="D17" s="65">
        <v>822</v>
      </c>
      <c r="E17" s="66">
        <v>402</v>
      </c>
      <c r="F17" s="54"/>
    </row>
    <row r="18" spans="1:6" ht="28.5">
      <c r="A18" s="67" t="s">
        <v>115</v>
      </c>
      <c r="B18" s="63" t="s">
        <v>210</v>
      </c>
      <c r="C18" s="64">
        <v>237</v>
      </c>
      <c r="D18" s="65">
        <v>161</v>
      </c>
      <c r="E18" s="66">
        <v>274</v>
      </c>
      <c r="F18" s="54"/>
    </row>
    <row r="19" spans="1:6" ht="28.5">
      <c r="A19" s="67" t="s">
        <v>121</v>
      </c>
      <c r="B19" s="63" t="s">
        <v>212</v>
      </c>
      <c r="C19" s="64" t="s">
        <v>201</v>
      </c>
      <c r="D19" s="65" t="s">
        <v>201</v>
      </c>
      <c r="E19" s="66" t="s">
        <v>201</v>
      </c>
      <c r="F19" s="54"/>
    </row>
    <row r="20" spans="1:6" ht="28.5">
      <c r="A20" s="67" t="s">
        <v>115</v>
      </c>
      <c r="B20" s="63" t="s">
        <v>213</v>
      </c>
      <c r="C20" s="64" t="s">
        <v>201</v>
      </c>
      <c r="D20" s="65" t="s">
        <v>201</v>
      </c>
      <c r="E20" s="66" t="s">
        <v>201</v>
      </c>
      <c r="F20" s="54"/>
    </row>
    <row r="21" spans="1:6" ht="28.5">
      <c r="A21" s="67" t="s">
        <v>121</v>
      </c>
      <c r="B21" s="63" t="s">
        <v>214</v>
      </c>
      <c r="C21" s="64" t="s">
        <v>201</v>
      </c>
      <c r="D21" s="65" t="s">
        <v>201</v>
      </c>
      <c r="E21" s="66" t="s">
        <v>201</v>
      </c>
      <c r="F21" s="54"/>
    </row>
    <row r="22" spans="1:6">
      <c r="A22" s="62" t="s">
        <v>126</v>
      </c>
      <c r="B22" s="63" t="s">
        <v>201</v>
      </c>
      <c r="C22" s="64">
        <v>980</v>
      </c>
      <c r="D22" s="65">
        <v>661</v>
      </c>
      <c r="E22" s="66">
        <v>128</v>
      </c>
      <c r="F22" s="54"/>
    </row>
    <row r="23" spans="1:6">
      <c r="A23" s="67" t="s">
        <v>115</v>
      </c>
      <c r="B23" s="63" t="s">
        <v>127</v>
      </c>
      <c r="C23" s="64">
        <v>208</v>
      </c>
      <c r="D23" s="65">
        <v>147</v>
      </c>
      <c r="E23" s="66">
        <v>110</v>
      </c>
      <c r="F23" s="54"/>
    </row>
    <row r="24" spans="1:6" ht="28.5">
      <c r="A24" s="67" t="s">
        <v>115</v>
      </c>
      <c r="B24" s="63" t="s">
        <v>217</v>
      </c>
      <c r="C24" s="64" t="s">
        <v>201</v>
      </c>
      <c r="D24" s="65" t="s">
        <v>201</v>
      </c>
      <c r="E24" s="66" t="s">
        <v>201</v>
      </c>
      <c r="F24" s="54"/>
    </row>
    <row r="25" spans="1:6" ht="28.5">
      <c r="A25" s="67" t="s">
        <v>121</v>
      </c>
      <c r="B25" s="63" t="s">
        <v>219</v>
      </c>
      <c r="C25" s="64" t="s">
        <v>201</v>
      </c>
      <c r="D25" s="65" t="s">
        <v>201</v>
      </c>
      <c r="E25" s="66" t="s">
        <v>201</v>
      </c>
      <c r="F25" s="54"/>
    </row>
    <row r="26" spans="1:6">
      <c r="A26" s="62" t="s">
        <v>220</v>
      </c>
      <c r="B26" s="63" t="s">
        <v>201</v>
      </c>
      <c r="C26" s="64">
        <v>772</v>
      </c>
      <c r="D26" s="65">
        <v>514</v>
      </c>
      <c r="E26" s="66">
        <v>18</v>
      </c>
      <c r="F26" s="54"/>
    </row>
    <row r="27" spans="1:6">
      <c r="A27" s="62" t="s">
        <v>201</v>
      </c>
      <c r="B27" s="63" t="s">
        <v>201</v>
      </c>
      <c r="C27" s="64" t="s">
        <v>201</v>
      </c>
      <c r="D27" s="65" t="s">
        <v>201</v>
      </c>
      <c r="E27" s="66" t="s">
        <v>201</v>
      </c>
      <c r="F27" s="54"/>
    </row>
    <row r="28" spans="1:6">
      <c r="A28" s="62" t="s">
        <v>201</v>
      </c>
      <c r="B28" s="63" t="s">
        <v>201</v>
      </c>
      <c r="C28" s="64" t="s">
        <v>201</v>
      </c>
      <c r="D28" s="65" t="s">
        <v>201</v>
      </c>
      <c r="E28" s="66" t="s">
        <v>201</v>
      </c>
      <c r="F28" s="54"/>
    </row>
    <row r="29" spans="1:6">
      <c r="A29" s="62" t="s">
        <v>120</v>
      </c>
      <c r="B29" s="63" t="s">
        <v>201</v>
      </c>
      <c r="C29" s="64">
        <v>1217</v>
      </c>
      <c r="D29" s="65">
        <v>822</v>
      </c>
      <c r="E29" s="66">
        <v>402</v>
      </c>
      <c r="F29" s="54"/>
    </row>
    <row r="30" spans="1:6" ht="28.5">
      <c r="A30" s="67" t="s">
        <v>121</v>
      </c>
      <c r="B30" s="63" t="s">
        <v>224</v>
      </c>
      <c r="C30" s="64">
        <v>683</v>
      </c>
      <c r="D30" s="65">
        <v>692</v>
      </c>
      <c r="E30" s="66">
        <v>779</v>
      </c>
      <c r="F30" s="54"/>
    </row>
    <row r="31" spans="1:6" ht="15" thickBot="1">
      <c r="A31" s="62" t="s">
        <v>132</v>
      </c>
      <c r="B31" s="63" t="s">
        <v>201</v>
      </c>
      <c r="C31" s="68">
        <v>1900</v>
      </c>
      <c r="D31" s="69">
        <v>1514</v>
      </c>
      <c r="E31" s="70">
        <v>1181</v>
      </c>
      <c r="F31" s="54"/>
    </row>
    <row r="32" spans="1:6">
      <c r="A32" s="54"/>
      <c r="B32" s="54"/>
      <c r="C32" s="54"/>
      <c r="D32" s="54"/>
      <c r="E32" s="54"/>
      <c r="F32" s="54"/>
    </row>
    <row r="33" spans="1:6">
      <c r="A33" s="54"/>
      <c r="B33" s="54"/>
      <c r="C33" s="54"/>
      <c r="D33" s="54"/>
      <c r="E33" s="54"/>
      <c r="F33" s="54"/>
    </row>
    <row r="34" spans="1:6">
      <c r="A34" s="54"/>
      <c r="B34" s="54"/>
      <c r="C34" s="54"/>
      <c r="D34" s="54"/>
      <c r="E34" s="54"/>
      <c r="F34" s="54"/>
    </row>
    <row r="35" spans="1:6">
      <c r="A35" s="54"/>
      <c r="B35" s="54"/>
      <c r="C35" s="54"/>
      <c r="D35" s="54"/>
      <c r="E35" s="54"/>
      <c r="F35" s="54"/>
    </row>
    <row r="36" spans="1:6">
      <c r="A36" s="54"/>
      <c r="B36" s="54"/>
      <c r="C36" s="54"/>
      <c r="D36" s="54"/>
      <c r="E36" s="54"/>
      <c r="F36" s="54"/>
    </row>
    <row r="37" spans="1:6">
      <c r="A37" s="54"/>
      <c r="B37" s="54"/>
      <c r="C37" s="54"/>
      <c r="D37" s="54"/>
      <c r="E37" s="54"/>
      <c r="F37" s="54"/>
    </row>
    <row r="38" spans="1:6">
      <c r="A38" s="54"/>
      <c r="B38" s="54"/>
      <c r="C38" s="54"/>
      <c r="D38" s="54"/>
      <c r="E38" s="54"/>
      <c r="F38" s="54"/>
    </row>
    <row r="39" spans="1:6">
      <c r="A39" s="98" t="s">
        <v>200</v>
      </c>
      <c r="B39" s="98"/>
      <c r="C39" s="56"/>
      <c r="D39" s="56"/>
      <c r="E39" s="56"/>
      <c r="F39" s="54"/>
    </row>
    <row r="40" spans="1:6" ht="15" thickBot="1">
      <c r="A40" s="54"/>
      <c r="B40" s="54"/>
      <c r="C40" s="54"/>
      <c r="D40" s="54"/>
      <c r="E40" s="54"/>
    </row>
    <row r="41" spans="1:6">
      <c r="A41" s="54"/>
      <c r="B41" s="54"/>
      <c r="C41" s="59" t="s">
        <v>202</v>
      </c>
      <c r="D41" s="60" t="s">
        <v>203</v>
      </c>
      <c r="E41" s="61" t="s">
        <v>204</v>
      </c>
    </row>
    <row r="42" spans="1:6" ht="28.5">
      <c r="A42" s="57" t="s">
        <v>201</v>
      </c>
      <c r="B42" s="58" t="s">
        <v>205</v>
      </c>
      <c r="C42" s="64">
        <v>12</v>
      </c>
      <c r="D42" s="65">
        <v>17</v>
      </c>
      <c r="E42" s="66">
        <v>24</v>
      </c>
    </row>
    <row r="43" spans="1:6" ht="28.5">
      <c r="A43" s="62" t="s">
        <v>201</v>
      </c>
      <c r="B43" s="63" t="s">
        <v>206</v>
      </c>
      <c r="C43" s="64" t="s">
        <v>201</v>
      </c>
      <c r="D43" s="65" t="s">
        <v>201</v>
      </c>
      <c r="E43" s="66" t="s">
        <v>201</v>
      </c>
    </row>
    <row r="44" spans="1:6" ht="28.5">
      <c r="A44" s="62" t="s">
        <v>201</v>
      </c>
      <c r="B44" s="63" t="s">
        <v>208</v>
      </c>
      <c r="C44" s="64">
        <v>292</v>
      </c>
      <c r="D44" s="65">
        <v>655</v>
      </c>
      <c r="E44" s="66">
        <v>318</v>
      </c>
    </row>
    <row r="45" spans="1:6" ht="28.5">
      <c r="A45" s="62" t="s">
        <v>201</v>
      </c>
      <c r="B45" s="63" t="s">
        <v>137</v>
      </c>
      <c r="C45" s="64">
        <v>767</v>
      </c>
      <c r="D45" s="65">
        <v>740</v>
      </c>
      <c r="E45" s="66">
        <v>871</v>
      </c>
    </row>
    <row r="46" spans="1:6">
      <c r="A46" s="62" t="s">
        <v>201</v>
      </c>
      <c r="B46" s="63" t="s">
        <v>138</v>
      </c>
      <c r="C46" s="64">
        <v>33</v>
      </c>
      <c r="D46" s="65">
        <v>25</v>
      </c>
      <c r="E46" s="66">
        <v>86</v>
      </c>
    </row>
    <row r="47" spans="1:6" ht="28.5">
      <c r="A47" s="62" t="s">
        <v>201</v>
      </c>
      <c r="B47" s="63" t="s">
        <v>139</v>
      </c>
      <c r="C47" s="64">
        <v>99</v>
      </c>
      <c r="D47" s="65">
        <v>70</v>
      </c>
      <c r="E47" s="66">
        <v>123</v>
      </c>
    </row>
    <row r="48" spans="1:6" ht="28.5">
      <c r="A48" s="62" t="s">
        <v>211</v>
      </c>
      <c r="B48" s="63" t="s">
        <v>201</v>
      </c>
      <c r="C48" s="64">
        <v>1203</v>
      </c>
      <c r="D48" s="65">
        <v>1507</v>
      </c>
      <c r="E48" s="66">
        <v>1422</v>
      </c>
    </row>
    <row r="49" spans="1:5" ht="28.5">
      <c r="A49" s="62" t="s">
        <v>201</v>
      </c>
      <c r="B49" s="63" t="s">
        <v>141</v>
      </c>
      <c r="C49" s="64">
        <v>4764</v>
      </c>
      <c r="D49" s="65">
        <v>4999</v>
      </c>
      <c r="E49" s="66">
        <v>5159</v>
      </c>
    </row>
    <row r="50" spans="1:5" ht="28.5">
      <c r="A50" s="62" t="s">
        <v>201</v>
      </c>
      <c r="B50" s="63" t="s">
        <v>142</v>
      </c>
      <c r="C50" s="64">
        <v>30</v>
      </c>
      <c r="D50" s="65">
        <v>67</v>
      </c>
      <c r="E50" s="66">
        <v>23</v>
      </c>
    </row>
    <row r="51" spans="1:5">
      <c r="A51" s="62" t="s">
        <v>201</v>
      </c>
      <c r="B51" s="63" t="s">
        <v>143</v>
      </c>
      <c r="C51" s="64">
        <v>220</v>
      </c>
      <c r="D51" s="65">
        <v>538</v>
      </c>
      <c r="E51" s="66">
        <v>515</v>
      </c>
    </row>
    <row r="52" spans="1:5">
      <c r="A52" s="62" t="s">
        <v>201</v>
      </c>
      <c r="B52" s="63" t="s">
        <v>215</v>
      </c>
      <c r="C52" s="64">
        <v>45</v>
      </c>
      <c r="D52" s="65">
        <v>29</v>
      </c>
      <c r="E52" s="66">
        <v>37</v>
      </c>
    </row>
    <row r="53" spans="1:5" ht="28.5">
      <c r="A53" s="62" t="s">
        <v>216</v>
      </c>
      <c r="B53" s="63" t="s">
        <v>201</v>
      </c>
      <c r="C53" s="64">
        <v>5059</v>
      </c>
      <c r="D53" s="65">
        <v>5633</v>
      </c>
      <c r="E53" s="66">
        <v>5734</v>
      </c>
    </row>
    <row r="54" spans="1:5">
      <c r="A54" s="62" t="s">
        <v>218</v>
      </c>
      <c r="B54" s="63" t="s">
        <v>201</v>
      </c>
      <c r="C54" s="64">
        <v>6262</v>
      </c>
      <c r="D54" s="65">
        <v>7140</v>
      </c>
      <c r="E54" s="66">
        <v>7156</v>
      </c>
    </row>
    <row r="55" spans="1:5" ht="28.5">
      <c r="A55" s="62" t="s">
        <v>201</v>
      </c>
      <c r="B55" s="63" t="s">
        <v>147</v>
      </c>
      <c r="C55" s="64">
        <v>502</v>
      </c>
      <c r="D55" s="65">
        <v>664</v>
      </c>
      <c r="E55" s="66">
        <v>878</v>
      </c>
    </row>
    <row r="56" spans="1:5" ht="42.5">
      <c r="A56" s="62" t="s">
        <v>201</v>
      </c>
      <c r="B56" s="63" t="s">
        <v>221</v>
      </c>
      <c r="C56" s="64">
        <v>429</v>
      </c>
      <c r="D56" s="65">
        <v>638</v>
      </c>
      <c r="E56" s="66">
        <v>616</v>
      </c>
    </row>
    <row r="57" spans="1:5" ht="28.5">
      <c r="A57" s="62" t="s">
        <v>201</v>
      </c>
      <c r="B57" s="63" t="s">
        <v>149</v>
      </c>
      <c r="C57" s="64">
        <v>56</v>
      </c>
      <c r="D57" s="65">
        <v>149</v>
      </c>
      <c r="E57" s="66">
        <v>127</v>
      </c>
    </row>
    <row r="58" spans="1:5" ht="70.5">
      <c r="A58" s="62" t="s">
        <v>201</v>
      </c>
      <c r="B58" s="63" t="s">
        <v>222</v>
      </c>
      <c r="C58" s="64">
        <v>250</v>
      </c>
      <c r="D58" s="65">
        <v>165</v>
      </c>
      <c r="E58" s="66">
        <v>117</v>
      </c>
    </row>
    <row r="59" spans="1:5" ht="56.5">
      <c r="A59" s="62" t="s">
        <v>201</v>
      </c>
      <c r="B59" s="63" t="s">
        <v>223</v>
      </c>
      <c r="C59" s="64" t="s">
        <v>201</v>
      </c>
      <c r="D59" s="65" t="s">
        <v>201</v>
      </c>
      <c r="E59" s="66" t="s">
        <v>201</v>
      </c>
    </row>
    <row r="60" spans="1:5" ht="42.5">
      <c r="A60" s="62" t="s">
        <v>201</v>
      </c>
      <c r="B60" s="63" t="s">
        <v>225</v>
      </c>
      <c r="C60" s="64" t="s">
        <v>201</v>
      </c>
      <c r="D60" s="65" t="s">
        <v>201</v>
      </c>
      <c r="E60" s="66" t="s">
        <v>201</v>
      </c>
    </row>
    <row r="61" spans="1:5" ht="28.5">
      <c r="A61" s="62" t="s">
        <v>226</v>
      </c>
      <c r="B61" s="63" t="s">
        <v>201</v>
      </c>
      <c r="C61" s="64">
        <v>1237</v>
      </c>
      <c r="D61" s="65">
        <v>1616</v>
      </c>
      <c r="E61" s="66">
        <v>1738</v>
      </c>
    </row>
    <row r="62" spans="1:5" ht="28.5">
      <c r="A62" s="62" t="s">
        <v>201</v>
      </c>
      <c r="B62" s="63" t="s">
        <v>227</v>
      </c>
      <c r="C62" s="64">
        <v>2033</v>
      </c>
      <c r="D62" s="65">
        <v>2389</v>
      </c>
      <c r="E62" s="66">
        <v>2462</v>
      </c>
    </row>
    <row r="63" spans="1:5" ht="28.5">
      <c r="A63" s="62" t="s">
        <v>201</v>
      </c>
      <c r="B63" s="63" t="s">
        <v>228</v>
      </c>
      <c r="C63" s="64">
        <v>108</v>
      </c>
      <c r="D63" s="65">
        <v>134</v>
      </c>
      <c r="E63" s="66">
        <v>56</v>
      </c>
    </row>
    <row r="64" spans="1:5" ht="28.5">
      <c r="A64" s="62" t="s">
        <v>201</v>
      </c>
      <c r="B64" s="63" t="s">
        <v>229</v>
      </c>
      <c r="C64" s="64">
        <v>191</v>
      </c>
      <c r="D64" s="65">
        <v>231</v>
      </c>
      <c r="E64" s="66">
        <v>364</v>
      </c>
    </row>
    <row r="65" spans="1:5" ht="28.5">
      <c r="A65" s="62" t="s">
        <v>230</v>
      </c>
      <c r="B65" s="63" t="s">
        <v>201</v>
      </c>
      <c r="C65" s="64">
        <v>2332</v>
      </c>
      <c r="D65" s="65">
        <v>2754</v>
      </c>
      <c r="E65" s="66">
        <v>2882</v>
      </c>
    </row>
    <row r="66" spans="1:5" ht="28.5">
      <c r="A66" s="62" t="s">
        <v>231</v>
      </c>
      <c r="B66" s="63" t="s">
        <v>201</v>
      </c>
      <c r="C66" s="64">
        <v>3569</v>
      </c>
      <c r="D66" s="65">
        <v>4370</v>
      </c>
      <c r="E66" s="66">
        <v>4620</v>
      </c>
    </row>
    <row r="67" spans="1:5">
      <c r="A67" s="62" t="s">
        <v>201</v>
      </c>
      <c r="B67" s="63" t="s">
        <v>201</v>
      </c>
      <c r="C67" s="64" t="s">
        <v>201</v>
      </c>
      <c r="D67" s="65" t="s">
        <v>201</v>
      </c>
      <c r="E67" s="66" t="s">
        <v>201</v>
      </c>
    </row>
    <row r="68" spans="1:5" ht="28.5">
      <c r="A68" s="62" t="s">
        <v>232</v>
      </c>
      <c r="B68" s="63" t="s">
        <v>201</v>
      </c>
      <c r="C68" s="64">
        <v>2693</v>
      </c>
      <c r="D68" s="65">
        <v>2770</v>
      </c>
      <c r="E68" s="66">
        <v>2536</v>
      </c>
    </row>
    <row r="69" spans="1:5" ht="43" thickBot="1">
      <c r="A69" s="62" t="s">
        <v>233</v>
      </c>
      <c r="B69" s="63" t="s">
        <v>201</v>
      </c>
      <c r="C69" s="68">
        <v>6262</v>
      </c>
      <c r="D69" s="69">
        <v>7140</v>
      </c>
      <c r="E69" s="70">
        <v>7156</v>
      </c>
    </row>
    <row r="71" spans="1:5" ht="43.5" customHeight="1">
      <c r="A71" s="87" t="s">
        <v>234</v>
      </c>
      <c r="B71" s="87"/>
      <c r="C71" s="87"/>
      <c r="D71" s="87"/>
    </row>
    <row r="72" spans="1:5" ht="15" thickBot="1"/>
    <row r="73" spans="1:5">
      <c r="A73" s="57" t="s">
        <v>201</v>
      </c>
      <c r="B73" s="58" t="s">
        <v>201</v>
      </c>
      <c r="C73" s="59" t="s">
        <v>202</v>
      </c>
      <c r="D73" s="60" t="s">
        <v>203</v>
      </c>
      <c r="E73" s="61" t="s">
        <v>204</v>
      </c>
    </row>
    <row r="74" spans="1:5">
      <c r="A74" s="62" t="s">
        <v>114</v>
      </c>
      <c r="B74" s="63" t="s">
        <v>201</v>
      </c>
      <c r="C74" s="71">
        <v>1</v>
      </c>
      <c r="D74" s="72">
        <v>1</v>
      </c>
      <c r="E74" s="73">
        <v>1</v>
      </c>
    </row>
    <row r="75" spans="1:5">
      <c r="A75" s="67" t="s">
        <v>115</v>
      </c>
      <c r="B75" s="63" t="s">
        <v>116</v>
      </c>
      <c r="C75" s="74">
        <f>+C13/$C$12</f>
        <v>0.44388469073607612</v>
      </c>
      <c r="D75" s="75">
        <f>+D13/$D$12</f>
        <v>0.47192390303774162</v>
      </c>
      <c r="E75" s="76">
        <f>+E13/$E$12</f>
        <v>0.49592435604825563</v>
      </c>
    </row>
    <row r="76" spans="1:5" ht="28.5">
      <c r="A76" s="62" t="s">
        <v>207</v>
      </c>
      <c r="B76" s="63" t="s">
        <v>201</v>
      </c>
      <c r="C76" s="74">
        <f>+C14/$C$12</f>
        <v>0.55611530926392383</v>
      </c>
      <c r="D76" s="75">
        <f>+D14/$D$12</f>
        <v>0.52807609696225832</v>
      </c>
      <c r="E76" s="76">
        <f>+E14/$E$12</f>
        <v>0.50407564395174442</v>
      </c>
    </row>
    <row r="77" spans="1:5" ht="28.5">
      <c r="A77" s="67" t="s">
        <v>115</v>
      </c>
      <c r="B77" s="63" t="s">
        <v>209</v>
      </c>
      <c r="C77" s="74">
        <f>+C15/$C$12</f>
        <v>5.8214385670305069E-2</v>
      </c>
      <c r="D77" s="75">
        <f>+D15/$D$12</f>
        <v>7.3028536360846885E-2</v>
      </c>
      <c r="E77" s="76">
        <f>+E15/$E$12</f>
        <v>8.3143136615585256E-2</v>
      </c>
    </row>
    <row r="78" spans="1:5" ht="28.5">
      <c r="A78" s="67" t="s">
        <v>115</v>
      </c>
      <c r="B78" s="63" t="s">
        <v>119</v>
      </c>
      <c r="C78" s="74">
        <f>+C16/$C$12</f>
        <v>0.15729079205149735</v>
      </c>
      <c r="D78" s="75">
        <f>+D16/$D$12</f>
        <v>0.20282295182571342</v>
      </c>
      <c r="E78" s="76">
        <f>+E16/$E$12</f>
        <v>0.28985979784805999</v>
      </c>
    </row>
    <row r="79" spans="1:5">
      <c r="A79" s="62" t="s">
        <v>120</v>
      </c>
      <c r="B79" s="63" t="s">
        <v>201</v>
      </c>
      <c r="C79" s="74">
        <f>+C17/$C$12</f>
        <v>0.34061013154212144</v>
      </c>
      <c r="D79" s="75">
        <f>+D17/$D$12</f>
        <v>0.25222460877569808</v>
      </c>
      <c r="E79" s="76">
        <f>+E17/$E$12</f>
        <v>0.13107270948809913</v>
      </c>
    </row>
    <row r="80" spans="1:5" ht="42.5">
      <c r="A80" s="67" t="s">
        <v>115</v>
      </c>
      <c r="B80" s="63" t="s">
        <v>210</v>
      </c>
      <c r="C80" s="74">
        <f>+C18/$C$12</f>
        <v>6.633081444164568E-2</v>
      </c>
      <c r="D80" s="75">
        <f>+D18/$D$12</f>
        <v>4.9401656949984656E-2</v>
      </c>
      <c r="E80" s="76">
        <f>+E18/$E$12</f>
        <v>8.9338115422236714E-2</v>
      </c>
    </row>
    <row r="81" spans="1:5">
      <c r="A81" s="62" t="s">
        <v>126</v>
      </c>
      <c r="B81" s="63" t="s">
        <v>201</v>
      </c>
      <c r="C81" s="74">
        <f>+C22/$C$12</f>
        <v>0.27427931710047582</v>
      </c>
      <c r="D81" s="75">
        <f>+D22/$D$12</f>
        <v>0.20282295182571342</v>
      </c>
      <c r="E81" s="76">
        <f>+E22/$E$12</f>
        <v>4.1734594065862406E-2</v>
      </c>
    </row>
    <row r="82" spans="1:5">
      <c r="A82" s="67" t="s">
        <v>115</v>
      </c>
      <c r="B82" s="63" t="s">
        <v>127</v>
      </c>
      <c r="C82" s="74">
        <f>+C23/$C$12</f>
        <v>5.8214385670305069E-2</v>
      </c>
      <c r="D82" s="75">
        <f>+D23/$D$12</f>
        <v>4.5105860693464256E-2</v>
      </c>
      <c r="E82" s="76">
        <f>+E23/$E$12</f>
        <v>3.5865666775350503E-2</v>
      </c>
    </row>
    <row r="83" spans="1:5" ht="28.5">
      <c r="A83" s="62" t="s">
        <v>220</v>
      </c>
      <c r="B83" s="63" t="s">
        <v>201</v>
      </c>
      <c r="C83" s="74">
        <f>+C26/$C$12</f>
        <v>0.21606493143017072</v>
      </c>
      <c r="D83" s="75">
        <f>+D26/$D$12</f>
        <v>0.15771709113224916</v>
      </c>
      <c r="E83" s="76">
        <f>+E26/$E$12</f>
        <v>5.8689272905119005E-3</v>
      </c>
    </row>
    <row r="84" spans="1:5">
      <c r="A84" s="62" t="s">
        <v>120</v>
      </c>
      <c r="B84" s="63" t="s">
        <v>201</v>
      </c>
      <c r="C84" s="74">
        <f>+C29/$C$12</f>
        <v>0.34061013154212144</v>
      </c>
      <c r="D84" s="75">
        <f>+D29/$D$12</f>
        <v>0.25222460877569808</v>
      </c>
      <c r="E84" s="76">
        <f>+E29/$E$12</f>
        <v>0.13107270948809913</v>
      </c>
    </row>
    <row r="85" spans="1:5" ht="28.5">
      <c r="A85" s="67" t="s">
        <v>121</v>
      </c>
      <c r="B85" s="63" t="s">
        <v>224</v>
      </c>
      <c r="C85" s="74">
        <f>+C30/$C$12</f>
        <v>0.19115589140778058</v>
      </c>
      <c r="D85" s="75">
        <f>+D30/$D$12</f>
        <v>0.21233507210800859</v>
      </c>
      <c r="E85" s="76">
        <f>+E30/$E$12</f>
        <v>0.25399413107270946</v>
      </c>
    </row>
    <row r="86" spans="1:5">
      <c r="A86" s="62" t="s">
        <v>132</v>
      </c>
      <c r="B86" s="63" t="s">
        <v>201</v>
      </c>
      <c r="C86" s="74">
        <f>+C31/$C$12</f>
        <v>0.53176602294990205</v>
      </c>
      <c r="D86" s="75">
        <f>+D31/$D$12</f>
        <v>0.46455968088370664</v>
      </c>
      <c r="E86" s="76">
        <f>+E31/$E$12</f>
        <v>0.38506684056080859</v>
      </c>
    </row>
    <row r="87" spans="1:5">
      <c r="A87" s="77"/>
      <c r="B87" s="77"/>
      <c r="C87" s="78"/>
      <c r="D87" s="79"/>
      <c r="E87" s="79"/>
    </row>
    <row r="88" spans="1:5">
      <c r="A88" s="77"/>
      <c r="B88" s="77"/>
      <c r="C88" s="78"/>
      <c r="D88" s="79"/>
      <c r="E88" s="79"/>
    </row>
    <row r="89" spans="1:5">
      <c r="A89" s="77"/>
      <c r="B89" s="77"/>
      <c r="C89" s="78"/>
      <c r="D89" s="79"/>
      <c r="E89" s="79"/>
    </row>
    <row r="90" spans="1:5">
      <c r="A90" s="77"/>
      <c r="B90" s="77"/>
      <c r="C90" s="78"/>
      <c r="D90" s="79"/>
      <c r="E90" s="79"/>
    </row>
    <row r="91" spans="1:5">
      <c r="A91" s="77"/>
      <c r="B91" s="77"/>
      <c r="C91" s="78"/>
      <c r="D91" s="79"/>
      <c r="E91" s="79"/>
    </row>
    <row r="92" spans="1:5">
      <c r="A92" s="77"/>
      <c r="B92" s="77"/>
      <c r="C92" s="78"/>
      <c r="D92" s="79"/>
      <c r="E92" s="79"/>
    </row>
    <row r="93" spans="1:5">
      <c r="A93" s="77"/>
      <c r="B93" s="77"/>
      <c r="C93" s="78"/>
      <c r="D93" s="79"/>
      <c r="E93" s="79"/>
    </row>
    <row r="94" spans="1:5">
      <c r="A94" s="77"/>
      <c r="B94" s="77"/>
      <c r="C94" s="78"/>
      <c r="D94" s="79"/>
      <c r="E94" s="79"/>
    </row>
    <row r="95" spans="1:5">
      <c r="A95" s="77"/>
      <c r="B95" s="77"/>
      <c r="C95" s="78"/>
      <c r="D95" s="79"/>
      <c r="E95" s="79"/>
    </row>
    <row r="96" spans="1:5">
      <c r="A96" s="77"/>
      <c r="B96" s="77"/>
      <c r="C96" s="78"/>
      <c r="D96" s="79"/>
      <c r="E96" s="79"/>
    </row>
    <row r="97" spans="1:6" ht="43.5" customHeight="1">
      <c r="A97" s="87" t="s">
        <v>235</v>
      </c>
      <c r="B97" s="87"/>
      <c r="C97" s="87"/>
      <c r="D97" s="87"/>
      <c r="E97" s="87"/>
    </row>
    <row r="98" spans="1:6" ht="28.5">
      <c r="A98" s="57"/>
      <c r="B98" s="57"/>
      <c r="C98" s="80" t="s">
        <v>202</v>
      </c>
      <c r="D98" s="80" t="s">
        <v>203</v>
      </c>
      <c r="E98" s="80" t="s">
        <v>204</v>
      </c>
    </row>
    <row r="99" spans="1:6" ht="28.5">
      <c r="A99" s="81" t="s">
        <v>211</v>
      </c>
      <c r="B99" s="57" t="s">
        <v>201</v>
      </c>
      <c r="C99" s="82">
        <v>0.19211114659853082</v>
      </c>
      <c r="D99" s="82">
        <v>0.21106442577030812</v>
      </c>
      <c r="E99" s="82">
        <v>0.19871436556735605</v>
      </c>
    </row>
    <row r="100" spans="1:6" ht="28.5">
      <c r="A100" s="81" t="s">
        <v>216</v>
      </c>
      <c r="B100" s="57" t="s">
        <v>201</v>
      </c>
      <c r="C100" s="82">
        <v>0.80788885340146921</v>
      </c>
      <c r="D100" s="82">
        <v>0.78893557422969185</v>
      </c>
      <c r="E100" s="82">
        <v>0.80128563443264389</v>
      </c>
    </row>
    <row r="101" spans="1:6" ht="28.5">
      <c r="A101" s="81" t="s">
        <v>218</v>
      </c>
      <c r="B101" s="57" t="s">
        <v>201</v>
      </c>
      <c r="C101" s="82">
        <v>1</v>
      </c>
      <c r="D101" s="82">
        <v>1</v>
      </c>
      <c r="E101" s="82">
        <v>1</v>
      </c>
    </row>
    <row r="102" spans="1:6" ht="28.5">
      <c r="A102" s="81" t="s">
        <v>226</v>
      </c>
      <c r="B102" s="57" t="s">
        <v>201</v>
      </c>
      <c r="C102" s="82">
        <v>0.19754072181411689</v>
      </c>
      <c r="D102" s="82">
        <v>0.22633053221288515</v>
      </c>
      <c r="E102" s="82">
        <v>0.24287311347121296</v>
      </c>
    </row>
    <row r="103" spans="1:6" ht="28.5">
      <c r="A103" s="81" t="s">
        <v>230</v>
      </c>
      <c r="B103" s="57" t="s">
        <v>201</v>
      </c>
      <c r="C103" s="82">
        <v>0.37240498243372722</v>
      </c>
      <c r="D103" s="82">
        <v>0.38571428571428573</v>
      </c>
      <c r="E103" s="82">
        <v>0.40273896031302403</v>
      </c>
    </row>
    <row r="104" spans="1:6" ht="28.5">
      <c r="A104" s="81" t="s">
        <v>231</v>
      </c>
      <c r="B104" s="57" t="s">
        <v>201</v>
      </c>
      <c r="C104" s="82">
        <v>0.56994570424784419</v>
      </c>
      <c r="D104" s="82">
        <v>0.61204481792717091</v>
      </c>
      <c r="E104" s="82">
        <v>0.64561207378423702</v>
      </c>
    </row>
    <row r="105" spans="1:6" ht="28.5">
      <c r="A105" s="81" t="s">
        <v>232</v>
      </c>
      <c r="B105" s="57" t="s">
        <v>201</v>
      </c>
      <c r="C105" s="82">
        <v>0.43005429575215587</v>
      </c>
      <c r="D105" s="82">
        <v>0.38795518207282914</v>
      </c>
      <c r="E105" s="82">
        <v>0.35438792621576298</v>
      </c>
    </row>
    <row r="106" spans="1:6" ht="84.5" customHeight="1">
      <c r="A106" s="99" t="s">
        <v>236</v>
      </c>
      <c r="B106" s="99"/>
      <c r="C106" s="99"/>
      <c r="D106" s="99"/>
      <c r="E106" s="99"/>
    </row>
    <row r="107" spans="1:6" ht="15" thickBot="1"/>
    <row r="108" spans="1:6" ht="29">
      <c r="A108" s="57" t="s">
        <v>201</v>
      </c>
      <c r="B108" s="57" t="s">
        <v>201</v>
      </c>
      <c r="C108" s="83" t="s">
        <v>202</v>
      </c>
      <c r="D108" s="84" t="s">
        <v>203</v>
      </c>
      <c r="E108" s="34" t="s">
        <v>237</v>
      </c>
      <c r="F108" s="34" t="s">
        <v>238</v>
      </c>
    </row>
    <row r="109" spans="1:6">
      <c r="A109" s="85" t="s">
        <v>114</v>
      </c>
      <c r="B109" s="81" t="s">
        <v>201</v>
      </c>
      <c r="C109" s="57">
        <v>3573</v>
      </c>
      <c r="D109" s="65">
        <v>3259</v>
      </c>
      <c r="E109" s="36">
        <f>+D109-C109</f>
        <v>-314</v>
      </c>
      <c r="F109" s="90">
        <f>+E109/C109</f>
        <v>-8.7881332213825922E-2</v>
      </c>
    </row>
    <row r="110" spans="1:6">
      <c r="A110" s="86" t="s">
        <v>115</v>
      </c>
      <c r="B110" s="81" t="s">
        <v>116</v>
      </c>
      <c r="C110" s="57">
        <v>1586</v>
      </c>
      <c r="D110" s="65">
        <v>1538</v>
      </c>
      <c r="E110" s="36">
        <f t="shared" ref="E110:E117" si="0">+D110-C110</f>
        <v>-48</v>
      </c>
      <c r="F110" s="90">
        <f t="shared" ref="F110:F117" si="1">+E110/C110</f>
        <v>-3.0264817150063052E-2</v>
      </c>
    </row>
    <row r="111" spans="1:6" ht="28.5">
      <c r="A111" s="85" t="s">
        <v>207</v>
      </c>
      <c r="B111" s="81" t="s">
        <v>201</v>
      </c>
      <c r="C111" s="57">
        <v>1987</v>
      </c>
      <c r="D111" s="65">
        <v>1721</v>
      </c>
      <c r="E111" s="36">
        <f t="shared" si="0"/>
        <v>-266</v>
      </c>
      <c r="F111" s="90">
        <f t="shared" si="1"/>
        <v>-0.13387015601409161</v>
      </c>
    </row>
    <row r="112" spans="1:6" ht="42.5">
      <c r="A112" s="86" t="s">
        <v>115</v>
      </c>
      <c r="B112" s="81" t="s">
        <v>209</v>
      </c>
      <c r="C112" s="57">
        <v>208</v>
      </c>
      <c r="D112" s="65">
        <v>238</v>
      </c>
      <c r="E112" s="36">
        <f t="shared" si="0"/>
        <v>30</v>
      </c>
      <c r="F112" s="90">
        <f t="shared" si="1"/>
        <v>0.14423076923076922</v>
      </c>
    </row>
    <row r="113" spans="1:6" ht="42.5">
      <c r="A113" s="86" t="s">
        <v>115</v>
      </c>
      <c r="B113" s="81" t="s">
        <v>119</v>
      </c>
      <c r="C113" s="57">
        <v>562</v>
      </c>
      <c r="D113" s="65">
        <v>661</v>
      </c>
      <c r="E113" s="36">
        <f t="shared" si="0"/>
        <v>99</v>
      </c>
      <c r="F113" s="90">
        <f t="shared" si="1"/>
        <v>0.17615658362989323</v>
      </c>
    </row>
    <row r="114" spans="1:6">
      <c r="A114" s="85" t="s">
        <v>120</v>
      </c>
      <c r="B114" s="81" t="s">
        <v>201</v>
      </c>
      <c r="C114" s="57">
        <v>1217</v>
      </c>
      <c r="D114" s="65">
        <v>822</v>
      </c>
      <c r="E114" s="36">
        <f t="shared" si="0"/>
        <v>-395</v>
      </c>
      <c r="F114" s="90">
        <f t="shared" si="1"/>
        <v>-0.3245686113393591</v>
      </c>
    </row>
    <row r="115" spans="1:6" ht="42.5">
      <c r="A115" s="86" t="s">
        <v>115</v>
      </c>
      <c r="B115" s="81" t="s">
        <v>210</v>
      </c>
      <c r="C115" s="57">
        <v>237</v>
      </c>
      <c r="D115" s="65">
        <v>161</v>
      </c>
      <c r="E115" s="36">
        <f t="shared" si="0"/>
        <v>-76</v>
      </c>
      <c r="F115" s="90">
        <f t="shared" si="1"/>
        <v>-0.32067510548523209</v>
      </c>
    </row>
    <row r="116" spans="1:6">
      <c r="A116" s="85" t="s">
        <v>120</v>
      </c>
      <c r="B116" s="81" t="s">
        <v>201</v>
      </c>
      <c r="C116" s="57">
        <v>1217</v>
      </c>
      <c r="D116" s="65">
        <v>822</v>
      </c>
      <c r="E116" s="36">
        <f t="shared" si="0"/>
        <v>-395</v>
      </c>
      <c r="F116" s="90">
        <f t="shared" si="1"/>
        <v>-0.3245686113393591</v>
      </c>
    </row>
    <row r="117" spans="1:6" ht="42.5">
      <c r="A117" s="86" t="s">
        <v>121</v>
      </c>
      <c r="B117" s="81" t="s">
        <v>224</v>
      </c>
      <c r="C117" s="57">
        <v>683</v>
      </c>
      <c r="D117" s="65">
        <v>692</v>
      </c>
      <c r="E117" s="36">
        <f t="shared" si="0"/>
        <v>9</v>
      </c>
      <c r="F117" s="90">
        <f t="shared" si="1"/>
        <v>1.3177159590043924E-2</v>
      </c>
    </row>
    <row r="123" spans="1:6" ht="29">
      <c r="A123" s="57" t="s">
        <v>201</v>
      </c>
      <c r="B123" s="57" t="s">
        <v>201</v>
      </c>
      <c r="C123" s="80" t="s">
        <v>203</v>
      </c>
      <c r="D123" s="80" t="s">
        <v>204</v>
      </c>
      <c r="E123" s="34" t="s">
        <v>237</v>
      </c>
      <c r="F123" s="34" t="s">
        <v>238</v>
      </c>
    </row>
    <row r="124" spans="1:6">
      <c r="A124" s="81" t="s">
        <v>114</v>
      </c>
      <c r="B124" s="81" t="s">
        <v>201</v>
      </c>
      <c r="C124" s="57">
        <v>3259</v>
      </c>
      <c r="D124" s="57">
        <v>3067</v>
      </c>
      <c r="E124" s="36">
        <f>+D124-C124</f>
        <v>-192</v>
      </c>
      <c r="F124" s="90">
        <f>+E124/C124</f>
        <v>-5.8913777232279842E-2</v>
      </c>
    </row>
    <row r="125" spans="1:6">
      <c r="A125" s="91" t="s">
        <v>115</v>
      </c>
      <c r="B125" s="81" t="s">
        <v>116</v>
      </c>
      <c r="C125" s="57">
        <v>1538</v>
      </c>
      <c r="D125" s="57">
        <v>1521</v>
      </c>
      <c r="E125" s="36">
        <f t="shared" ref="E125:E136" si="2">+D125-C125</f>
        <v>-17</v>
      </c>
      <c r="F125" s="90">
        <f t="shared" ref="F125:F136" si="3">+E125/C125</f>
        <v>-1.1053315994798439E-2</v>
      </c>
    </row>
    <row r="126" spans="1:6" ht="28.5">
      <c r="A126" s="81" t="s">
        <v>207</v>
      </c>
      <c r="B126" s="81" t="s">
        <v>201</v>
      </c>
      <c r="C126" s="57">
        <v>1721</v>
      </c>
      <c r="D126" s="57">
        <v>1546</v>
      </c>
      <c r="E126" s="36">
        <f t="shared" si="2"/>
        <v>-175</v>
      </c>
      <c r="F126" s="90">
        <f t="shared" si="3"/>
        <v>-0.10168506682161534</v>
      </c>
    </row>
    <row r="127" spans="1:6" ht="42.5">
      <c r="A127" s="91" t="s">
        <v>115</v>
      </c>
      <c r="B127" s="81" t="s">
        <v>209</v>
      </c>
      <c r="C127" s="57">
        <v>238</v>
      </c>
      <c r="D127" s="57">
        <v>255</v>
      </c>
      <c r="E127" s="36">
        <f t="shared" si="2"/>
        <v>17</v>
      </c>
      <c r="F127" s="90">
        <f t="shared" si="3"/>
        <v>7.1428571428571425E-2</v>
      </c>
    </row>
    <row r="128" spans="1:6" ht="42.5">
      <c r="A128" s="91" t="s">
        <v>115</v>
      </c>
      <c r="B128" s="81" t="s">
        <v>119</v>
      </c>
      <c r="C128" s="57">
        <v>661</v>
      </c>
      <c r="D128" s="57">
        <v>889</v>
      </c>
      <c r="E128" s="36">
        <f t="shared" si="2"/>
        <v>228</v>
      </c>
      <c r="F128" s="90">
        <f t="shared" si="3"/>
        <v>0.34493192133131617</v>
      </c>
    </row>
    <row r="129" spans="1:6">
      <c r="A129" s="81" t="s">
        <v>120</v>
      </c>
      <c r="B129" s="81" t="s">
        <v>201</v>
      </c>
      <c r="C129" s="57">
        <v>822</v>
      </c>
      <c r="D129" s="57">
        <v>402</v>
      </c>
      <c r="E129" s="36">
        <f t="shared" si="2"/>
        <v>-420</v>
      </c>
      <c r="F129" s="90">
        <f t="shared" si="3"/>
        <v>-0.51094890510948909</v>
      </c>
    </row>
    <row r="130" spans="1:6" ht="42.5">
      <c r="A130" s="91" t="s">
        <v>115</v>
      </c>
      <c r="B130" s="81" t="s">
        <v>210</v>
      </c>
      <c r="C130" s="57">
        <v>161</v>
      </c>
      <c r="D130" s="57">
        <v>274</v>
      </c>
      <c r="E130" s="36">
        <f t="shared" si="2"/>
        <v>113</v>
      </c>
      <c r="F130" s="90">
        <f t="shared" si="3"/>
        <v>0.70186335403726707</v>
      </c>
    </row>
    <row r="131" spans="1:6">
      <c r="A131" s="81" t="s">
        <v>126</v>
      </c>
      <c r="B131" s="81" t="s">
        <v>201</v>
      </c>
      <c r="C131" s="57">
        <v>661</v>
      </c>
      <c r="D131" s="57">
        <v>128</v>
      </c>
      <c r="E131" s="36">
        <f t="shared" si="2"/>
        <v>-533</v>
      </c>
      <c r="F131" s="90">
        <f t="shared" si="3"/>
        <v>-0.80635400907715582</v>
      </c>
    </row>
    <row r="132" spans="1:6">
      <c r="A132" s="91" t="s">
        <v>115</v>
      </c>
      <c r="B132" s="81" t="s">
        <v>127</v>
      </c>
      <c r="C132" s="57">
        <v>147</v>
      </c>
      <c r="D132" s="57">
        <v>110</v>
      </c>
      <c r="E132" s="36">
        <f t="shared" si="2"/>
        <v>-37</v>
      </c>
      <c r="F132" s="90">
        <f t="shared" si="3"/>
        <v>-0.25170068027210885</v>
      </c>
    </row>
    <row r="133" spans="1:6" ht="28.5">
      <c r="A133" s="81" t="s">
        <v>220</v>
      </c>
      <c r="B133" s="81" t="s">
        <v>201</v>
      </c>
      <c r="C133" s="57">
        <v>514</v>
      </c>
      <c r="D133" s="57">
        <v>18</v>
      </c>
      <c r="E133" s="36">
        <f t="shared" si="2"/>
        <v>-496</v>
      </c>
      <c r="F133" s="90">
        <f t="shared" si="3"/>
        <v>-0.96498054474708173</v>
      </c>
    </row>
    <row r="134" spans="1:6">
      <c r="A134" s="81" t="s">
        <v>120</v>
      </c>
      <c r="B134" s="81" t="s">
        <v>201</v>
      </c>
      <c r="C134" s="57">
        <v>822</v>
      </c>
      <c r="D134" s="57">
        <v>402</v>
      </c>
      <c r="E134" s="36">
        <f t="shared" si="2"/>
        <v>-420</v>
      </c>
      <c r="F134" s="90">
        <f t="shared" si="3"/>
        <v>-0.51094890510948909</v>
      </c>
    </row>
    <row r="135" spans="1:6" ht="42.5">
      <c r="A135" s="91" t="s">
        <v>121</v>
      </c>
      <c r="B135" s="81" t="s">
        <v>224</v>
      </c>
      <c r="C135" s="57">
        <v>692</v>
      </c>
      <c r="D135" s="57">
        <v>779</v>
      </c>
      <c r="E135" s="36">
        <f t="shared" si="2"/>
        <v>87</v>
      </c>
      <c r="F135" s="90">
        <f t="shared" si="3"/>
        <v>0.12572254335260116</v>
      </c>
    </row>
    <row r="136" spans="1:6">
      <c r="A136" s="81" t="s">
        <v>132</v>
      </c>
      <c r="B136" s="81" t="s">
        <v>201</v>
      </c>
      <c r="C136" s="57">
        <v>1514</v>
      </c>
      <c r="D136" s="57">
        <v>1181</v>
      </c>
      <c r="E136" s="36">
        <f t="shared" si="2"/>
        <v>-333</v>
      </c>
      <c r="F136" s="90">
        <f t="shared" si="3"/>
        <v>-0.21994715984147953</v>
      </c>
    </row>
    <row r="137" spans="1:6" ht="43.5" customHeight="1">
      <c r="A137" s="47" t="s">
        <v>260</v>
      </c>
      <c r="B137" s="47"/>
      <c r="C137" s="47"/>
    </row>
    <row r="138" spans="1:6">
      <c r="A138" s="57"/>
      <c r="B138" s="80">
        <v>2010</v>
      </c>
      <c r="C138" s="80">
        <v>2011</v>
      </c>
      <c r="D138" s="80" t="s">
        <v>258</v>
      </c>
      <c r="E138" s="80" t="s">
        <v>259</v>
      </c>
      <c r="F138" s="80">
        <v>2012</v>
      </c>
    </row>
    <row r="139" spans="1:6" ht="28.5">
      <c r="A139" s="81" t="s">
        <v>211</v>
      </c>
      <c r="B139" s="64">
        <v>1203</v>
      </c>
      <c r="C139" s="65">
        <v>1507</v>
      </c>
      <c r="D139" s="63">
        <f>+C139-B139</f>
        <v>304</v>
      </c>
      <c r="E139" s="92">
        <f>+D139/B139</f>
        <v>0.25270157938487114</v>
      </c>
      <c r="F139" s="66">
        <v>1422</v>
      </c>
    </row>
    <row r="140" spans="1:6" ht="42.5">
      <c r="A140" s="81" t="s">
        <v>216</v>
      </c>
      <c r="B140" s="64">
        <v>5059</v>
      </c>
      <c r="C140" s="65">
        <v>5633</v>
      </c>
      <c r="D140" s="63">
        <f t="shared" ref="D140:D145" si="4">+C140-B140</f>
        <v>574</v>
      </c>
      <c r="E140" s="92">
        <f t="shared" ref="E140:E145" si="5">+D140/B140</f>
        <v>0.1134611583316861</v>
      </c>
      <c r="F140" s="66">
        <v>5734</v>
      </c>
    </row>
    <row r="141" spans="1:6" ht="28.5">
      <c r="A141" s="81" t="s">
        <v>218</v>
      </c>
      <c r="B141" s="64">
        <v>6262</v>
      </c>
      <c r="C141" s="65">
        <v>7140</v>
      </c>
      <c r="D141" s="63">
        <f t="shared" si="4"/>
        <v>878</v>
      </c>
      <c r="E141" s="92">
        <f t="shared" si="5"/>
        <v>0.1402107952730757</v>
      </c>
      <c r="F141" s="66">
        <v>7156</v>
      </c>
    </row>
    <row r="142" spans="1:6" ht="28.5">
      <c r="A142" s="81" t="s">
        <v>226</v>
      </c>
      <c r="B142" s="64">
        <v>1237</v>
      </c>
      <c r="C142" s="65">
        <v>1616</v>
      </c>
      <c r="D142" s="63">
        <f t="shared" si="4"/>
        <v>379</v>
      </c>
      <c r="E142" s="92">
        <f t="shared" si="5"/>
        <v>0.30638641875505257</v>
      </c>
      <c r="F142" s="66">
        <v>1738</v>
      </c>
    </row>
    <row r="143" spans="1:6" ht="42.5">
      <c r="A143" s="81" t="s">
        <v>230</v>
      </c>
      <c r="B143" s="64">
        <v>2332</v>
      </c>
      <c r="C143" s="65">
        <v>2754</v>
      </c>
      <c r="D143" s="63">
        <f t="shared" si="4"/>
        <v>422</v>
      </c>
      <c r="E143" s="92">
        <f t="shared" si="5"/>
        <v>0.18096054888507718</v>
      </c>
      <c r="F143" s="66">
        <v>2882</v>
      </c>
    </row>
    <row r="144" spans="1:6" ht="28.5">
      <c r="A144" s="81" t="s">
        <v>231</v>
      </c>
      <c r="B144" s="64">
        <v>3569</v>
      </c>
      <c r="C144" s="65">
        <v>4370</v>
      </c>
      <c r="D144" s="63">
        <f t="shared" si="4"/>
        <v>801</v>
      </c>
      <c r="E144" s="92">
        <f t="shared" si="5"/>
        <v>0.22443261417764079</v>
      </c>
      <c r="F144" s="66">
        <v>4620</v>
      </c>
    </row>
    <row r="145" spans="1:6" ht="28.5">
      <c r="A145" s="81" t="s">
        <v>232</v>
      </c>
      <c r="B145" s="64">
        <v>2693</v>
      </c>
      <c r="C145" s="65">
        <v>2770</v>
      </c>
      <c r="D145" s="63">
        <f t="shared" si="4"/>
        <v>77</v>
      </c>
      <c r="E145" s="92">
        <f t="shared" si="5"/>
        <v>2.8592647604901596E-2</v>
      </c>
      <c r="F145" s="66">
        <v>2536</v>
      </c>
    </row>
    <row r="146" spans="1:6">
      <c r="A146" s="88"/>
      <c r="B146" s="77"/>
      <c r="C146" s="77"/>
      <c r="D146" s="77"/>
      <c r="E146" s="79"/>
      <c r="F146" s="77"/>
    </row>
    <row r="147" spans="1:6">
      <c r="A147" s="88"/>
      <c r="B147" s="77"/>
      <c r="C147" s="77"/>
      <c r="D147" s="77"/>
      <c r="E147" s="79"/>
      <c r="F147" s="77"/>
    </row>
    <row r="148" spans="1:6">
      <c r="A148" s="88"/>
      <c r="B148" s="77"/>
      <c r="C148" s="77"/>
      <c r="D148" s="77"/>
      <c r="E148" s="79"/>
      <c r="F148" s="77"/>
    </row>
    <row r="149" spans="1:6">
      <c r="A149" s="88"/>
      <c r="B149" s="77"/>
      <c r="C149" s="77"/>
      <c r="D149" s="77"/>
      <c r="E149" s="79"/>
      <c r="F149" s="77"/>
    </row>
    <row r="150" spans="1:6">
      <c r="A150" s="88"/>
      <c r="B150" s="77"/>
      <c r="C150" s="77"/>
      <c r="D150" s="77"/>
      <c r="E150" s="79"/>
      <c r="F150" s="77"/>
    </row>
    <row r="152" spans="1:6">
      <c r="A152" s="57"/>
      <c r="B152" s="80">
        <v>2011</v>
      </c>
      <c r="C152" s="80">
        <v>2012</v>
      </c>
      <c r="D152" s="80" t="s">
        <v>258</v>
      </c>
      <c r="E152" s="80" t="s">
        <v>259</v>
      </c>
    </row>
    <row r="153" spans="1:6" ht="28.5">
      <c r="A153" s="81" t="s">
        <v>211</v>
      </c>
      <c r="B153" s="65">
        <v>1507</v>
      </c>
      <c r="C153" s="63">
        <v>1422</v>
      </c>
      <c r="D153" s="36">
        <f>+C153-B153</f>
        <v>-85</v>
      </c>
      <c r="E153" s="93">
        <f>+D153/B153</f>
        <v>-5.6403450564034507E-2</v>
      </c>
    </row>
    <row r="154" spans="1:6" ht="42.5">
      <c r="A154" s="81" t="s">
        <v>216</v>
      </c>
      <c r="B154" s="65">
        <v>5633</v>
      </c>
      <c r="C154" s="63">
        <v>5734</v>
      </c>
      <c r="D154" s="36">
        <f t="shared" ref="D154:D159" si="6">+C154-B154</f>
        <v>101</v>
      </c>
      <c r="E154" s="93">
        <f t="shared" ref="E154:E159" si="7">+D154/B154</f>
        <v>1.7930055032842181E-2</v>
      </c>
    </row>
    <row r="155" spans="1:6" ht="28.5">
      <c r="A155" s="81" t="s">
        <v>218</v>
      </c>
      <c r="B155" s="65">
        <v>7140</v>
      </c>
      <c r="C155" s="63">
        <v>7156</v>
      </c>
      <c r="D155" s="36">
        <f t="shared" si="6"/>
        <v>16</v>
      </c>
      <c r="E155" s="93">
        <f t="shared" si="7"/>
        <v>2.2408963585434172E-3</v>
      </c>
    </row>
    <row r="156" spans="1:6" ht="28.5">
      <c r="A156" s="81" t="s">
        <v>226</v>
      </c>
      <c r="B156" s="65">
        <v>1616</v>
      </c>
      <c r="C156" s="63">
        <v>1738</v>
      </c>
      <c r="D156" s="36">
        <f t="shared" si="6"/>
        <v>122</v>
      </c>
      <c r="E156" s="93">
        <f t="shared" si="7"/>
        <v>7.5495049504950493E-2</v>
      </c>
    </row>
    <row r="157" spans="1:6" ht="42.5">
      <c r="A157" s="81" t="s">
        <v>230</v>
      </c>
      <c r="B157" s="65">
        <v>2754</v>
      </c>
      <c r="C157" s="63">
        <v>2882</v>
      </c>
      <c r="D157" s="36">
        <f t="shared" si="6"/>
        <v>128</v>
      </c>
      <c r="E157" s="93">
        <f t="shared" si="7"/>
        <v>4.6477850399419027E-2</v>
      </c>
    </row>
    <row r="158" spans="1:6" ht="28.5">
      <c r="A158" s="81" t="s">
        <v>231</v>
      </c>
      <c r="B158" s="65">
        <v>4370</v>
      </c>
      <c r="C158" s="63">
        <v>4620</v>
      </c>
      <c r="D158" s="36">
        <f t="shared" si="6"/>
        <v>250</v>
      </c>
      <c r="E158" s="93">
        <f t="shared" si="7"/>
        <v>5.7208237986270026E-2</v>
      </c>
    </row>
    <row r="159" spans="1:6" ht="28.5">
      <c r="A159" s="81" t="s">
        <v>232</v>
      </c>
      <c r="B159" s="65">
        <v>2770</v>
      </c>
      <c r="C159" s="63">
        <v>2536</v>
      </c>
      <c r="D159" s="36">
        <f t="shared" si="6"/>
        <v>-234</v>
      </c>
      <c r="E159" s="93">
        <f t="shared" si="7"/>
        <v>-8.4476534296028874E-2</v>
      </c>
    </row>
    <row r="161" spans="1:7" ht="43.5" customHeight="1">
      <c r="A161" s="46" t="s">
        <v>261</v>
      </c>
      <c r="B161" s="46"/>
      <c r="C161" s="46"/>
      <c r="D161" s="46"/>
      <c r="E161" s="46"/>
    </row>
    <row r="162" spans="1:7">
      <c r="A162" s="57" t="s">
        <v>201</v>
      </c>
      <c r="B162" s="57" t="s">
        <v>201</v>
      </c>
      <c r="C162" s="95">
        <v>2010</v>
      </c>
      <c r="D162" s="95">
        <v>2011</v>
      </c>
      <c r="E162" s="96" t="s">
        <v>259</v>
      </c>
      <c r="F162" s="96">
        <v>2012</v>
      </c>
      <c r="G162" s="96" t="s">
        <v>259</v>
      </c>
    </row>
    <row r="163" spans="1:7">
      <c r="A163" s="81" t="s">
        <v>114</v>
      </c>
      <c r="B163" s="57" t="s">
        <v>201</v>
      </c>
      <c r="C163" s="57">
        <v>3573</v>
      </c>
      <c r="D163" s="57">
        <v>3259</v>
      </c>
      <c r="E163" s="82">
        <f>+D163/C163</f>
        <v>0.91211866778617412</v>
      </c>
      <c r="F163" s="57">
        <v>3067</v>
      </c>
      <c r="G163" s="94">
        <f>+F163/C163</f>
        <v>0.85838231178281554</v>
      </c>
    </row>
    <row r="164" spans="1:7">
      <c r="A164" s="91" t="s">
        <v>115</v>
      </c>
      <c r="B164" s="57" t="s">
        <v>116</v>
      </c>
      <c r="C164" s="57">
        <v>1586</v>
      </c>
      <c r="D164" s="57">
        <v>1538</v>
      </c>
      <c r="E164" s="82">
        <f t="shared" ref="E164:E175" si="8">+D164/C164</f>
        <v>0.96973518284993698</v>
      </c>
      <c r="F164" s="57">
        <v>1521</v>
      </c>
      <c r="G164" s="94">
        <f t="shared" ref="G164:G175" si="9">+F164/C164</f>
        <v>0.95901639344262291</v>
      </c>
    </row>
    <row r="165" spans="1:7" ht="28.5">
      <c r="A165" s="81" t="s">
        <v>207</v>
      </c>
      <c r="B165" s="57" t="s">
        <v>201</v>
      </c>
      <c r="C165" s="57">
        <v>1987</v>
      </c>
      <c r="D165" s="57">
        <v>1721</v>
      </c>
      <c r="E165" s="82">
        <f t="shared" si="8"/>
        <v>0.86612984398590842</v>
      </c>
      <c r="F165" s="57">
        <v>1546</v>
      </c>
      <c r="G165" s="94">
        <f t="shared" si="9"/>
        <v>0.77805737292400601</v>
      </c>
    </row>
    <row r="166" spans="1:7" ht="42.5">
      <c r="A166" s="91" t="s">
        <v>115</v>
      </c>
      <c r="B166" s="57" t="s">
        <v>209</v>
      </c>
      <c r="C166" s="57">
        <v>208</v>
      </c>
      <c r="D166" s="57">
        <v>238</v>
      </c>
      <c r="E166" s="82">
        <f t="shared" si="8"/>
        <v>1.1442307692307692</v>
      </c>
      <c r="F166" s="57">
        <v>255</v>
      </c>
      <c r="G166" s="94">
        <f t="shared" si="9"/>
        <v>1.2259615384615385</v>
      </c>
    </row>
    <row r="167" spans="1:7" ht="42.5">
      <c r="A167" s="91" t="s">
        <v>115</v>
      </c>
      <c r="B167" s="57" t="s">
        <v>119</v>
      </c>
      <c r="C167" s="57">
        <v>562</v>
      </c>
      <c r="D167" s="57">
        <v>661</v>
      </c>
      <c r="E167" s="82">
        <f t="shared" si="8"/>
        <v>1.1761565836298933</v>
      </c>
      <c r="F167" s="57">
        <v>889</v>
      </c>
      <c r="G167" s="94">
        <f t="shared" si="9"/>
        <v>1.5818505338078293</v>
      </c>
    </row>
    <row r="168" spans="1:7">
      <c r="A168" s="81" t="s">
        <v>120</v>
      </c>
      <c r="B168" s="57" t="s">
        <v>201</v>
      </c>
      <c r="C168" s="57">
        <v>1217</v>
      </c>
      <c r="D168" s="57">
        <v>822</v>
      </c>
      <c r="E168" s="82">
        <f t="shared" si="8"/>
        <v>0.6754313886606409</v>
      </c>
      <c r="F168" s="57">
        <v>402</v>
      </c>
      <c r="G168" s="94">
        <f t="shared" si="9"/>
        <v>0.33032046014790467</v>
      </c>
    </row>
    <row r="169" spans="1:7" ht="42.5">
      <c r="A169" s="91" t="s">
        <v>115</v>
      </c>
      <c r="B169" s="57" t="s">
        <v>210</v>
      </c>
      <c r="C169" s="57">
        <v>237</v>
      </c>
      <c r="D169" s="57">
        <v>161</v>
      </c>
      <c r="E169" s="82">
        <f t="shared" si="8"/>
        <v>0.67932489451476796</v>
      </c>
      <c r="F169" s="57">
        <v>274</v>
      </c>
      <c r="G169" s="94">
        <f t="shared" si="9"/>
        <v>1.1561181434599157</v>
      </c>
    </row>
    <row r="170" spans="1:7">
      <c r="A170" s="81" t="s">
        <v>126</v>
      </c>
      <c r="B170" s="57" t="s">
        <v>201</v>
      </c>
      <c r="C170" s="57">
        <v>980</v>
      </c>
      <c r="D170" s="57">
        <v>661</v>
      </c>
      <c r="E170" s="82">
        <f t="shared" si="8"/>
        <v>0.67448979591836733</v>
      </c>
      <c r="F170" s="57">
        <v>128</v>
      </c>
      <c r="G170" s="94">
        <f t="shared" si="9"/>
        <v>0.1306122448979592</v>
      </c>
    </row>
    <row r="171" spans="1:7">
      <c r="A171" s="91" t="s">
        <v>115</v>
      </c>
      <c r="B171" s="57" t="s">
        <v>127</v>
      </c>
      <c r="C171" s="57">
        <v>208</v>
      </c>
      <c r="D171" s="57">
        <v>147</v>
      </c>
      <c r="E171" s="82">
        <f t="shared" si="8"/>
        <v>0.70673076923076927</v>
      </c>
      <c r="F171" s="57">
        <v>110</v>
      </c>
      <c r="G171" s="94">
        <f t="shared" si="9"/>
        <v>0.52884615384615385</v>
      </c>
    </row>
    <row r="172" spans="1:7" ht="28.5">
      <c r="A172" s="81" t="s">
        <v>220</v>
      </c>
      <c r="B172" s="57" t="s">
        <v>201</v>
      </c>
      <c r="C172" s="57">
        <v>772</v>
      </c>
      <c r="D172" s="57">
        <v>514</v>
      </c>
      <c r="E172" s="82">
        <f t="shared" si="8"/>
        <v>0.66580310880829019</v>
      </c>
      <c r="F172" s="57">
        <v>18</v>
      </c>
      <c r="G172" s="94">
        <f t="shared" si="9"/>
        <v>2.3316062176165803E-2</v>
      </c>
    </row>
    <row r="173" spans="1:7">
      <c r="A173" s="81" t="s">
        <v>120</v>
      </c>
      <c r="B173" s="57" t="s">
        <v>201</v>
      </c>
      <c r="C173" s="57">
        <v>1217</v>
      </c>
      <c r="D173" s="57">
        <v>822</v>
      </c>
      <c r="E173" s="82">
        <f t="shared" si="8"/>
        <v>0.6754313886606409</v>
      </c>
      <c r="F173" s="57">
        <v>402</v>
      </c>
      <c r="G173" s="94">
        <f t="shared" si="9"/>
        <v>0.33032046014790467</v>
      </c>
    </row>
    <row r="174" spans="1:7" ht="42.5">
      <c r="A174" s="91" t="s">
        <v>121</v>
      </c>
      <c r="B174" s="57" t="s">
        <v>224</v>
      </c>
      <c r="C174" s="57">
        <v>683</v>
      </c>
      <c r="D174" s="57">
        <v>692</v>
      </c>
      <c r="E174" s="82">
        <f t="shared" si="8"/>
        <v>1.0131771595900438</v>
      </c>
      <c r="F174" s="57">
        <v>779</v>
      </c>
      <c r="G174" s="94">
        <f t="shared" si="9"/>
        <v>1.1405563689604685</v>
      </c>
    </row>
    <row r="175" spans="1:7">
      <c r="A175" s="81" t="s">
        <v>132</v>
      </c>
      <c r="B175" s="57" t="s">
        <v>201</v>
      </c>
      <c r="C175" s="57">
        <v>1900</v>
      </c>
      <c r="D175" s="57">
        <v>1514</v>
      </c>
      <c r="E175" s="82">
        <f t="shared" si="8"/>
        <v>0.79684210526315791</v>
      </c>
      <c r="F175" s="57">
        <v>1181</v>
      </c>
      <c r="G175" s="94">
        <f t="shared" si="9"/>
        <v>0.62157894736842101</v>
      </c>
    </row>
    <row r="176" spans="1:7">
      <c r="A176" s="88"/>
      <c r="B176" s="77"/>
      <c r="C176" s="77"/>
      <c r="D176" s="77"/>
      <c r="E176" s="89"/>
      <c r="F176" s="77"/>
      <c r="G176" s="79"/>
    </row>
    <row r="177" spans="1:7">
      <c r="A177" s="88"/>
      <c r="B177" s="77"/>
      <c r="C177" s="77"/>
      <c r="D177" s="77"/>
      <c r="E177" s="89"/>
      <c r="F177" s="77"/>
      <c r="G177" s="79"/>
    </row>
    <row r="178" spans="1:7">
      <c r="A178" s="88"/>
      <c r="B178" s="77"/>
      <c r="C178" s="77"/>
      <c r="D178" s="77"/>
      <c r="E178" s="89"/>
      <c r="F178" s="77"/>
      <c r="G178" s="79"/>
    </row>
    <row r="179" spans="1:7">
      <c r="A179" s="88"/>
      <c r="B179" s="77"/>
      <c r="C179" s="77"/>
      <c r="D179" s="77"/>
      <c r="E179" s="89"/>
      <c r="F179" s="77"/>
      <c r="G179" s="79"/>
    </row>
    <row r="180" spans="1:7">
      <c r="A180" s="88"/>
      <c r="B180" s="77"/>
      <c r="C180" s="77"/>
      <c r="D180" s="77"/>
      <c r="E180" s="89"/>
      <c r="F180" s="77"/>
      <c r="G180" s="79"/>
    </row>
    <row r="182" spans="1:7">
      <c r="A182" s="57"/>
      <c r="B182" s="95">
        <v>2010</v>
      </c>
      <c r="C182" s="95" t="s">
        <v>259</v>
      </c>
      <c r="D182" s="95">
        <v>2011</v>
      </c>
      <c r="E182" s="95" t="s">
        <v>259</v>
      </c>
      <c r="F182" s="95">
        <v>2012</v>
      </c>
      <c r="G182" s="95" t="s">
        <v>259</v>
      </c>
    </row>
    <row r="183" spans="1:7" ht="28.5">
      <c r="A183" s="81" t="s">
        <v>211</v>
      </c>
      <c r="B183" s="57">
        <v>1203</v>
      </c>
      <c r="C183" s="97">
        <v>1</v>
      </c>
      <c r="D183" s="57">
        <v>1507</v>
      </c>
      <c r="E183" s="82">
        <f>+D183/B183</f>
        <v>1.2527015793848713</v>
      </c>
      <c r="F183" s="57">
        <v>1422</v>
      </c>
      <c r="G183" s="82">
        <f>+F183/B183</f>
        <v>1.1820448877805487</v>
      </c>
    </row>
    <row r="184" spans="1:7" ht="42.5">
      <c r="A184" s="81" t="s">
        <v>216</v>
      </c>
      <c r="B184" s="57">
        <v>5059</v>
      </c>
      <c r="C184" s="97">
        <v>1</v>
      </c>
      <c r="D184" s="57">
        <v>5633</v>
      </c>
      <c r="E184" s="82">
        <f t="shared" ref="E184:E190" si="10">+D184/B184</f>
        <v>1.113461158331686</v>
      </c>
      <c r="F184" s="57">
        <v>5734</v>
      </c>
      <c r="G184" s="82">
        <f t="shared" ref="G184:G190" si="11">+F184/B184</f>
        <v>1.1334255781775053</v>
      </c>
    </row>
    <row r="185" spans="1:7" ht="28.5">
      <c r="A185" s="81" t="s">
        <v>218</v>
      </c>
      <c r="B185" s="57">
        <v>6262</v>
      </c>
      <c r="C185" s="97">
        <v>1</v>
      </c>
      <c r="D185" s="57">
        <v>7140</v>
      </c>
      <c r="E185" s="82">
        <f t="shared" si="10"/>
        <v>1.1402107952730758</v>
      </c>
      <c r="F185" s="57">
        <v>7156</v>
      </c>
      <c r="G185" s="82">
        <f t="shared" si="11"/>
        <v>1.1427658894921751</v>
      </c>
    </row>
    <row r="186" spans="1:7" ht="28.5">
      <c r="A186" s="81" t="s">
        <v>226</v>
      </c>
      <c r="B186" s="57">
        <v>1237</v>
      </c>
      <c r="C186" s="97">
        <v>1</v>
      </c>
      <c r="D186" s="57">
        <v>1616</v>
      </c>
      <c r="E186" s="82">
        <f t="shared" si="10"/>
        <v>1.3063864187550525</v>
      </c>
      <c r="F186" s="57">
        <v>1738</v>
      </c>
      <c r="G186" s="82">
        <f t="shared" si="11"/>
        <v>1.4050121261115602</v>
      </c>
    </row>
    <row r="187" spans="1:7" ht="42.5">
      <c r="A187" s="81" t="s">
        <v>230</v>
      </c>
      <c r="B187" s="57">
        <v>2332</v>
      </c>
      <c r="C187" s="97">
        <v>1</v>
      </c>
      <c r="D187" s="57">
        <v>2754</v>
      </c>
      <c r="E187" s="82">
        <f t="shared" si="10"/>
        <v>1.1809605488850772</v>
      </c>
      <c r="F187" s="57">
        <v>2882</v>
      </c>
      <c r="G187" s="82">
        <f t="shared" si="11"/>
        <v>1.2358490566037736</v>
      </c>
    </row>
    <row r="188" spans="1:7" ht="28.5">
      <c r="A188" s="81" t="s">
        <v>231</v>
      </c>
      <c r="B188" s="57">
        <v>3569</v>
      </c>
      <c r="C188" s="97">
        <v>1</v>
      </c>
      <c r="D188" s="57">
        <v>4370</v>
      </c>
      <c r="E188" s="82">
        <f t="shared" si="10"/>
        <v>1.2244326141776407</v>
      </c>
      <c r="F188" s="57">
        <v>4620</v>
      </c>
      <c r="G188" s="82">
        <f t="shared" si="11"/>
        <v>1.2944802465676659</v>
      </c>
    </row>
    <row r="189" spans="1:7" ht="28.5">
      <c r="A189" s="81" t="s">
        <v>232</v>
      </c>
      <c r="B189" s="57">
        <v>2693</v>
      </c>
      <c r="C189" s="97">
        <v>1</v>
      </c>
      <c r="D189" s="57">
        <v>2770</v>
      </c>
      <c r="E189" s="82">
        <f t="shared" si="10"/>
        <v>1.0285926476049017</v>
      </c>
      <c r="F189" s="57">
        <v>2536</v>
      </c>
      <c r="G189" s="82">
        <f t="shared" si="11"/>
        <v>0.941700705532863</v>
      </c>
    </row>
    <row r="190" spans="1:7" ht="56.5">
      <c r="A190" s="81" t="s">
        <v>233</v>
      </c>
      <c r="B190" s="57">
        <v>6262</v>
      </c>
      <c r="C190" s="97">
        <v>1</v>
      </c>
      <c r="D190" s="57">
        <v>7140</v>
      </c>
      <c r="E190" s="82">
        <f t="shared" si="10"/>
        <v>1.1402107952730758</v>
      </c>
      <c r="F190" s="57">
        <v>7156</v>
      </c>
      <c r="G190" s="82">
        <f t="shared" si="11"/>
        <v>1.1427658894921751</v>
      </c>
    </row>
    <row r="192" spans="1:7" ht="43.5" customHeight="1">
      <c r="A192" s="46" t="s">
        <v>262</v>
      </c>
      <c r="B192" s="46"/>
      <c r="C192" s="46"/>
    </row>
    <row r="193" spans="1:8">
      <c r="A193" s="57" t="s">
        <v>201</v>
      </c>
      <c r="B193" s="57" t="s">
        <v>201</v>
      </c>
      <c r="C193" s="95">
        <v>2010</v>
      </c>
      <c r="D193" s="95" t="s">
        <v>259</v>
      </c>
      <c r="E193" s="95">
        <v>2011</v>
      </c>
      <c r="F193" s="96" t="s">
        <v>259</v>
      </c>
      <c r="G193" s="96">
        <v>2012</v>
      </c>
      <c r="H193" s="96" t="s">
        <v>259</v>
      </c>
    </row>
    <row r="194" spans="1:8">
      <c r="A194" s="81" t="s">
        <v>114</v>
      </c>
      <c r="B194" s="57" t="s">
        <v>201</v>
      </c>
      <c r="C194" s="57">
        <v>3573</v>
      </c>
      <c r="D194" s="97">
        <v>1</v>
      </c>
      <c r="E194" s="57">
        <v>3259</v>
      </c>
      <c r="F194" s="97">
        <v>1</v>
      </c>
      <c r="G194" s="57">
        <v>3067</v>
      </c>
      <c r="H194" s="97">
        <v>1</v>
      </c>
    </row>
    <row r="195" spans="1:8">
      <c r="A195" s="91" t="s">
        <v>115</v>
      </c>
      <c r="B195" s="57" t="s">
        <v>116</v>
      </c>
      <c r="C195" s="57">
        <v>1586</v>
      </c>
      <c r="D195" s="82">
        <f>+C195/$C$194</f>
        <v>0.44388469073607612</v>
      </c>
      <c r="E195" s="57">
        <v>1538</v>
      </c>
      <c r="F195" s="82">
        <f>+E195/$E$194</f>
        <v>0.47192390303774162</v>
      </c>
      <c r="G195" s="57">
        <v>1521</v>
      </c>
      <c r="H195" s="94">
        <f>+G195/$G$194</f>
        <v>0.49592435604825563</v>
      </c>
    </row>
    <row r="196" spans="1:8" ht="28.5">
      <c r="A196" s="81" t="s">
        <v>207</v>
      </c>
      <c r="B196" s="57" t="s">
        <v>201</v>
      </c>
      <c r="C196" s="57">
        <v>1987</v>
      </c>
      <c r="D196" s="82">
        <f t="shared" ref="D196:D206" si="12">+C196/$C$194</f>
        <v>0.55611530926392383</v>
      </c>
      <c r="E196" s="57">
        <v>1721</v>
      </c>
      <c r="F196" s="82">
        <f t="shared" ref="F196:F206" si="13">+E196/$E$194</f>
        <v>0.52807609696225832</v>
      </c>
      <c r="G196" s="57">
        <v>1546</v>
      </c>
      <c r="H196" s="94">
        <f t="shared" ref="H196:H206" si="14">+G196/$G$194</f>
        <v>0.50407564395174442</v>
      </c>
    </row>
    <row r="197" spans="1:8" ht="42.5">
      <c r="A197" s="91" t="s">
        <v>115</v>
      </c>
      <c r="B197" s="57" t="s">
        <v>209</v>
      </c>
      <c r="C197" s="57">
        <v>208</v>
      </c>
      <c r="D197" s="82">
        <f t="shared" si="12"/>
        <v>5.8214385670305069E-2</v>
      </c>
      <c r="E197" s="57">
        <v>238</v>
      </c>
      <c r="F197" s="82">
        <f t="shared" si="13"/>
        <v>7.3028536360846885E-2</v>
      </c>
      <c r="G197" s="57">
        <v>255</v>
      </c>
      <c r="H197" s="94">
        <f t="shared" si="14"/>
        <v>8.3143136615585256E-2</v>
      </c>
    </row>
    <row r="198" spans="1:8" ht="42.5">
      <c r="A198" s="91" t="s">
        <v>115</v>
      </c>
      <c r="B198" s="57" t="s">
        <v>119</v>
      </c>
      <c r="C198" s="57">
        <v>562</v>
      </c>
      <c r="D198" s="82">
        <f t="shared" si="12"/>
        <v>0.15729079205149735</v>
      </c>
      <c r="E198" s="57">
        <v>661</v>
      </c>
      <c r="F198" s="82">
        <f t="shared" si="13"/>
        <v>0.20282295182571342</v>
      </c>
      <c r="G198" s="57">
        <v>889</v>
      </c>
      <c r="H198" s="94">
        <f t="shared" si="14"/>
        <v>0.28985979784805999</v>
      </c>
    </row>
    <row r="199" spans="1:8">
      <c r="A199" s="81" t="s">
        <v>120</v>
      </c>
      <c r="B199" s="57" t="s">
        <v>201</v>
      </c>
      <c r="C199" s="57">
        <v>1217</v>
      </c>
      <c r="D199" s="82">
        <f t="shared" si="12"/>
        <v>0.34061013154212144</v>
      </c>
      <c r="E199" s="57">
        <v>822</v>
      </c>
      <c r="F199" s="82">
        <f t="shared" si="13"/>
        <v>0.25222460877569808</v>
      </c>
      <c r="G199" s="57">
        <v>402</v>
      </c>
      <c r="H199" s="94">
        <f t="shared" si="14"/>
        <v>0.13107270948809913</v>
      </c>
    </row>
    <row r="200" spans="1:8" ht="42.5">
      <c r="A200" s="91" t="s">
        <v>115</v>
      </c>
      <c r="B200" s="57" t="s">
        <v>210</v>
      </c>
      <c r="C200" s="57">
        <v>237</v>
      </c>
      <c r="D200" s="82">
        <f t="shared" si="12"/>
        <v>6.633081444164568E-2</v>
      </c>
      <c r="E200" s="57">
        <v>161</v>
      </c>
      <c r="F200" s="82">
        <f t="shared" si="13"/>
        <v>4.9401656949984656E-2</v>
      </c>
      <c r="G200" s="57">
        <v>274</v>
      </c>
      <c r="H200" s="94">
        <f t="shared" si="14"/>
        <v>8.9338115422236714E-2</v>
      </c>
    </row>
    <row r="201" spans="1:8">
      <c r="A201" s="81" t="s">
        <v>126</v>
      </c>
      <c r="B201" s="57" t="s">
        <v>201</v>
      </c>
      <c r="C201" s="57">
        <v>980</v>
      </c>
      <c r="D201" s="82">
        <f t="shared" si="12"/>
        <v>0.27427931710047582</v>
      </c>
      <c r="E201" s="57">
        <v>661</v>
      </c>
      <c r="F201" s="82">
        <f t="shared" si="13"/>
        <v>0.20282295182571342</v>
      </c>
      <c r="G201" s="57">
        <v>128</v>
      </c>
      <c r="H201" s="94">
        <f t="shared" si="14"/>
        <v>4.1734594065862406E-2</v>
      </c>
    </row>
    <row r="202" spans="1:8">
      <c r="A202" s="91" t="s">
        <v>115</v>
      </c>
      <c r="B202" s="57" t="s">
        <v>127</v>
      </c>
      <c r="C202" s="57">
        <v>208</v>
      </c>
      <c r="D202" s="82">
        <f t="shared" si="12"/>
        <v>5.8214385670305069E-2</v>
      </c>
      <c r="E202" s="57">
        <v>147</v>
      </c>
      <c r="F202" s="82">
        <f t="shared" si="13"/>
        <v>4.5105860693464256E-2</v>
      </c>
      <c r="G202" s="57">
        <v>110</v>
      </c>
      <c r="H202" s="94">
        <f t="shared" si="14"/>
        <v>3.5865666775350503E-2</v>
      </c>
    </row>
    <row r="203" spans="1:8" ht="28.5">
      <c r="A203" s="81" t="s">
        <v>220</v>
      </c>
      <c r="B203" s="57" t="s">
        <v>201</v>
      </c>
      <c r="C203" s="57">
        <v>772</v>
      </c>
      <c r="D203" s="82">
        <f t="shared" si="12"/>
        <v>0.21606493143017072</v>
      </c>
      <c r="E203" s="57">
        <v>514</v>
      </c>
      <c r="F203" s="82">
        <f t="shared" si="13"/>
        <v>0.15771709113224916</v>
      </c>
      <c r="G203" s="57">
        <v>18</v>
      </c>
      <c r="H203" s="94">
        <f t="shared" si="14"/>
        <v>5.8689272905119005E-3</v>
      </c>
    </row>
    <row r="204" spans="1:8">
      <c r="A204" s="81" t="s">
        <v>120</v>
      </c>
      <c r="B204" s="81" t="s">
        <v>201</v>
      </c>
      <c r="C204" s="57">
        <v>822</v>
      </c>
      <c r="D204" s="82">
        <f t="shared" si="12"/>
        <v>0.23005877413937867</v>
      </c>
      <c r="E204" s="57">
        <v>402</v>
      </c>
      <c r="F204" s="82">
        <f t="shared" si="13"/>
        <v>0.12335072108008592</v>
      </c>
      <c r="G204" s="36">
        <v>402</v>
      </c>
      <c r="H204" s="94">
        <f t="shared" si="14"/>
        <v>0.13107270948809913</v>
      </c>
    </row>
    <row r="205" spans="1:8" ht="42.5">
      <c r="A205" s="91" t="s">
        <v>121</v>
      </c>
      <c r="B205" s="81" t="s">
        <v>224</v>
      </c>
      <c r="C205" s="57">
        <v>692</v>
      </c>
      <c r="D205" s="82">
        <f t="shared" si="12"/>
        <v>0.19367478309543801</v>
      </c>
      <c r="E205" s="57">
        <v>779</v>
      </c>
      <c r="F205" s="82">
        <f t="shared" si="13"/>
        <v>0.23903037741638539</v>
      </c>
      <c r="G205" s="36">
        <v>779</v>
      </c>
      <c r="H205" s="94">
        <f t="shared" si="14"/>
        <v>0.25399413107270946</v>
      </c>
    </row>
    <row r="206" spans="1:8">
      <c r="A206" s="81" t="s">
        <v>132</v>
      </c>
      <c r="B206" s="81" t="s">
        <v>201</v>
      </c>
      <c r="C206" s="57">
        <v>1514</v>
      </c>
      <c r="D206" s="82">
        <f t="shared" si="12"/>
        <v>0.4237335572348167</v>
      </c>
      <c r="E206" s="57">
        <v>1181</v>
      </c>
      <c r="F206" s="82">
        <f t="shared" si="13"/>
        <v>0.36238109849647132</v>
      </c>
      <c r="G206" s="36">
        <v>1181</v>
      </c>
      <c r="H206" s="94">
        <f t="shared" si="14"/>
        <v>0.38506684056080859</v>
      </c>
    </row>
    <row r="207" spans="1:8">
      <c r="A207" s="88"/>
      <c r="B207" s="88"/>
      <c r="C207" s="77"/>
      <c r="D207" s="89"/>
      <c r="E207" s="77"/>
      <c r="F207" s="89"/>
      <c r="G207" s="45"/>
      <c r="H207" s="79"/>
    </row>
    <row r="209" spans="1:7">
      <c r="A209" s="57"/>
      <c r="B209" s="95">
        <v>2010</v>
      </c>
      <c r="C209" s="95" t="s">
        <v>259</v>
      </c>
      <c r="D209" s="95">
        <v>2011</v>
      </c>
      <c r="E209" s="95" t="s">
        <v>259</v>
      </c>
      <c r="F209" s="95">
        <v>2012</v>
      </c>
      <c r="G209" s="95" t="s">
        <v>259</v>
      </c>
    </row>
    <row r="210" spans="1:7" ht="28.5">
      <c r="A210" s="81" t="s">
        <v>211</v>
      </c>
      <c r="B210" s="57">
        <v>1203</v>
      </c>
      <c r="C210" s="82">
        <f>+B210/$B$190</f>
        <v>0.19211114659853082</v>
      </c>
      <c r="D210" s="57">
        <v>1507</v>
      </c>
      <c r="E210" s="82">
        <f>+D210/$D$190</f>
        <v>0.21106442577030812</v>
      </c>
      <c r="F210" s="57">
        <v>1422</v>
      </c>
      <c r="G210" s="82">
        <f>+F210/$F$190</f>
        <v>0.19871436556735605</v>
      </c>
    </row>
    <row r="211" spans="1:7" ht="42.5">
      <c r="A211" s="81" t="s">
        <v>216</v>
      </c>
      <c r="B211" s="57">
        <v>5059</v>
      </c>
      <c r="C211" s="82">
        <f t="shared" ref="C211:C216" si="15">+B211/$B$190</f>
        <v>0.80788885340146921</v>
      </c>
      <c r="D211" s="57">
        <v>5633</v>
      </c>
      <c r="E211" s="82">
        <f t="shared" ref="E211:E216" si="16">+D211/$D$190</f>
        <v>0.78893557422969185</v>
      </c>
      <c r="F211" s="57">
        <v>5734</v>
      </c>
      <c r="G211" s="82">
        <f t="shared" ref="G211:G216" si="17">+F211/$F$190</f>
        <v>0.80128563443264389</v>
      </c>
    </row>
    <row r="212" spans="1:7" ht="28.5">
      <c r="A212" s="81" t="s">
        <v>218</v>
      </c>
      <c r="B212" s="57">
        <v>6262</v>
      </c>
      <c r="C212" s="82">
        <f t="shared" si="15"/>
        <v>1</v>
      </c>
      <c r="D212" s="57">
        <v>7140</v>
      </c>
      <c r="E212" s="82">
        <f t="shared" si="16"/>
        <v>1</v>
      </c>
      <c r="F212" s="57">
        <v>7156</v>
      </c>
      <c r="G212" s="82">
        <f t="shared" si="17"/>
        <v>1</v>
      </c>
    </row>
    <row r="213" spans="1:7" ht="28.5">
      <c r="A213" s="81" t="s">
        <v>226</v>
      </c>
      <c r="B213" s="57">
        <v>1237</v>
      </c>
      <c r="C213" s="82">
        <f t="shared" si="15"/>
        <v>0.19754072181411689</v>
      </c>
      <c r="D213" s="57">
        <v>1616</v>
      </c>
      <c r="E213" s="82">
        <f t="shared" si="16"/>
        <v>0.22633053221288515</v>
      </c>
      <c r="F213" s="57">
        <v>1738</v>
      </c>
      <c r="G213" s="82">
        <f t="shared" si="17"/>
        <v>0.24287311347121296</v>
      </c>
    </row>
    <row r="214" spans="1:7" ht="42.5">
      <c r="A214" s="81" t="s">
        <v>230</v>
      </c>
      <c r="B214" s="57">
        <v>2332</v>
      </c>
      <c r="C214" s="82">
        <f t="shared" si="15"/>
        <v>0.37240498243372722</v>
      </c>
      <c r="D214" s="57">
        <v>2754</v>
      </c>
      <c r="E214" s="82">
        <f t="shared" si="16"/>
        <v>0.38571428571428573</v>
      </c>
      <c r="F214" s="57">
        <v>2882</v>
      </c>
      <c r="G214" s="82">
        <f t="shared" si="17"/>
        <v>0.40273896031302403</v>
      </c>
    </row>
    <row r="215" spans="1:7" ht="28.5">
      <c r="A215" s="81" t="s">
        <v>231</v>
      </c>
      <c r="B215" s="57">
        <v>3569</v>
      </c>
      <c r="C215" s="82">
        <f t="shared" si="15"/>
        <v>0.56994570424784419</v>
      </c>
      <c r="D215" s="57">
        <v>4370</v>
      </c>
      <c r="E215" s="82">
        <f t="shared" si="16"/>
        <v>0.61204481792717091</v>
      </c>
      <c r="F215" s="57">
        <v>4620</v>
      </c>
      <c r="G215" s="82">
        <f t="shared" si="17"/>
        <v>0.64561207378423702</v>
      </c>
    </row>
    <row r="216" spans="1:7" ht="28.5">
      <c r="A216" s="81" t="s">
        <v>232</v>
      </c>
      <c r="B216" s="57">
        <v>2693</v>
      </c>
      <c r="C216" s="82">
        <f t="shared" si="15"/>
        <v>0.43005429575215587</v>
      </c>
      <c r="D216" s="57">
        <v>2770</v>
      </c>
      <c r="E216" s="82">
        <f t="shared" si="16"/>
        <v>0.38795518207282914</v>
      </c>
      <c r="F216" s="57">
        <v>2536</v>
      </c>
      <c r="G216" s="82">
        <f t="shared" si="17"/>
        <v>0.35438792621576298</v>
      </c>
    </row>
    <row r="217" spans="1:7" ht="56.5">
      <c r="A217" s="81" t="s">
        <v>233</v>
      </c>
      <c r="B217" s="57">
        <v>6262</v>
      </c>
      <c r="C217" s="97">
        <v>1</v>
      </c>
      <c r="D217" s="57">
        <v>7140</v>
      </c>
      <c r="E217" s="97">
        <v>1</v>
      </c>
      <c r="F217" s="57">
        <v>7156</v>
      </c>
      <c r="G217" s="97">
        <v>1</v>
      </c>
    </row>
  </sheetData>
  <mergeCells count="8">
    <mergeCell ref="A137:C137"/>
    <mergeCell ref="A161:E161"/>
    <mergeCell ref="A192:C192"/>
    <mergeCell ref="A39:B39"/>
    <mergeCell ref="A71:D71"/>
    <mergeCell ref="A97:E97"/>
    <mergeCell ref="A106:E106"/>
    <mergeCell ref="B9:E9"/>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A561-4B51-4A1F-8593-7E25174FF1DE}">
  <dimension ref="A1:C7"/>
  <sheetViews>
    <sheetView zoomScale="70" zoomScaleNormal="70" workbookViewId="0">
      <selection activeCell="I18" sqref="I18"/>
    </sheetView>
  </sheetViews>
  <sheetFormatPr baseColWidth="10" defaultRowHeight="14.5"/>
  <cols>
    <col min="2" max="2" width="16.7265625" bestFit="1" customWidth="1"/>
  </cols>
  <sheetData>
    <row r="1" spans="1:3">
      <c r="A1" s="1" t="s">
        <v>0</v>
      </c>
      <c r="B1" s="2" t="s">
        <v>1</v>
      </c>
      <c r="C1" s="2"/>
    </row>
    <row r="2" spans="1:3">
      <c r="A2" s="1" t="s">
        <v>2</v>
      </c>
      <c r="B2" s="2" t="s">
        <v>3</v>
      </c>
      <c r="C2" s="2"/>
    </row>
    <row r="3" spans="1:3">
      <c r="A3" s="1" t="s">
        <v>4</v>
      </c>
      <c r="B3" s="3" t="s">
        <v>5</v>
      </c>
      <c r="C3" s="2"/>
    </row>
    <row r="4" spans="1:3">
      <c r="A4" s="2"/>
      <c r="B4" s="1" t="s">
        <v>6</v>
      </c>
      <c r="C4" s="1" t="s">
        <v>7</v>
      </c>
    </row>
    <row r="5" spans="1:3">
      <c r="A5" s="2"/>
      <c r="B5" s="3" t="s">
        <v>8</v>
      </c>
      <c r="C5" s="3">
        <v>1724083</v>
      </c>
    </row>
    <row r="6" spans="1:3">
      <c r="A6" s="2"/>
      <c r="B6" s="3" t="s">
        <v>9</v>
      </c>
      <c r="C6" s="2">
        <v>1726924</v>
      </c>
    </row>
    <row r="7" spans="1:3">
      <c r="A7" s="2"/>
      <c r="B7" s="3" t="s">
        <v>10</v>
      </c>
      <c r="C7" s="3">
        <v>1730680</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9B873-6F13-46E8-BF09-791DC0629D5C}">
  <dimension ref="A1:E18"/>
  <sheetViews>
    <sheetView zoomScale="50" zoomScaleNormal="50" workbookViewId="0">
      <selection activeCell="J17" sqref="J17"/>
    </sheetView>
  </sheetViews>
  <sheetFormatPr baseColWidth="10" defaultRowHeight="14.5"/>
  <cols>
    <col min="1" max="1" width="17" customWidth="1"/>
    <col min="2" max="2" width="11.1796875" customWidth="1"/>
    <col min="3" max="3" width="21.26953125" customWidth="1"/>
    <col min="4" max="4" width="18.6328125" customWidth="1"/>
    <col min="5" max="5" width="13.6328125" customWidth="1"/>
  </cols>
  <sheetData>
    <row r="1" spans="1:5">
      <c r="A1" s="1" t="s">
        <v>0</v>
      </c>
      <c r="B1" s="2" t="s">
        <v>1</v>
      </c>
      <c r="C1" s="2"/>
    </row>
    <row r="2" spans="1:5">
      <c r="A2" s="1" t="s">
        <v>2</v>
      </c>
      <c r="B2" s="2" t="s">
        <v>3</v>
      </c>
      <c r="C2" s="2"/>
    </row>
    <row r="3" spans="1:5">
      <c r="A3" s="1" t="s">
        <v>4</v>
      </c>
      <c r="B3" s="3" t="s">
        <v>5</v>
      </c>
      <c r="C3" s="2"/>
    </row>
    <row r="4" spans="1:5">
      <c r="A4" s="2"/>
      <c r="B4" s="1" t="s">
        <v>6</v>
      </c>
      <c r="C4" s="1" t="s">
        <v>7</v>
      </c>
    </row>
    <row r="5" spans="1:5">
      <c r="A5" s="2"/>
      <c r="B5" s="3" t="s">
        <v>8</v>
      </c>
      <c r="C5" s="3">
        <v>1724083</v>
      </c>
    </row>
    <row r="6" spans="1:5">
      <c r="A6" s="2"/>
      <c r="B6" s="3" t="s">
        <v>9</v>
      </c>
      <c r="C6" s="2">
        <v>1726924</v>
      </c>
    </row>
    <row r="7" spans="1:5">
      <c r="A7" s="2"/>
      <c r="B7" s="3" t="s">
        <v>10</v>
      </c>
      <c r="C7" s="3">
        <v>1730680</v>
      </c>
    </row>
    <row r="15" spans="1:5" ht="29">
      <c r="A15" s="34" t="s">
        <v>239</v>
      </c>
      <c r="B15" s="34" t="s">
        <v>240</v>
      </c>
      <c r="C15" s="34" t="s">
        <v>241</v>
      </c>
      <c r="D15" s="34" t="s">
        <v>242</v>
      </c>
      <c r="E15" s="34" t="s">
        <v>243</v>
      </c>
    </row>
    <row r="16" spans="1:5" ht="231.5" customHeight="1">
      <c r="A16" s="34" t="s">
        <v>244</v>
      </c>
      <c r="B16" s="37" t="s">
        <v>245</v>
      </c>
      <c r="C16" s="37" t="s">
        <v>246</v>
      </c>
      <c r="D16" s="37" t="s">
        <v>247</v>
      </c>
      <c r="E16" s="37" t="s">
        <v>248</v>
      </c>
    </row>
    <row r="17" spans="1:5" ht="186.5" customHeight="1">
      <c r="A17" s="34" t="s">
        <v>249</v>
      </c>
      <c r="B17" s="37" t="s">
        <v>250</v>
      </c>
      <c r="C17" s="37" t="s">
        <v>251</v>
      </c>
      <c r="D17" s="37" t="s">
        <v>252</v>
      </c>
      <c r="E17" s="37" t="s">
        <v>253</v>
      </c>
    </row>
    <row r="18" spans="1:5" ht="155" customHeight="1">
      <c r="A18" s="34" t="s">
        <v>255</v>
      </c>
      <c r="B18" s="37" t="s">
        <v>256</v>
      </c>
      <c r="C18" s="37" t="s">
        <v>257</v>
      </c>
      <c r="D18" s="37" t="s">
        <v>254</v>
      </c>
      <c r="E18" s="37" t="s">
        <v>248</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E032A-75BC-436E-86F0-120D82BF7302}">
  <dimension ref="A1:C7"/>
  <sheetViews>
    <sheetView zoomScale="60" zoomScaleNormal="60" workbookViewId="0">
      <selection activeCell="D32" sqref="D32"/>
    </sheetView>
  </sheetViews>
  <sheetFormatPr baseColWidth="10" defaultRowHeight="14.5"/>
  <cols>
    <col min="2" max="2" width="16.7265625" bestFit="1" customWidth="1"/>
  </cols>
  <sheetData>
    <row r="1" spans="1:3">
      <c r="A1" s="1" t="s">
        <v>0</v>
      </c>
      <c r="B1" s="2" t="s">
        <v>1</v>
      </c>
      <c r="C1" s="2"/>
    </row>
    <row r="2" spans="1:3">
      <c r="A2" s="1" t="s">
        <v>2</v>
      </c>
      <c r="B2" s="2" t="s">
        <v>3</v>
      </c>
      <c r="C2" s="2"/>
    </row>
    <row r="3" spans="1:3">
      <c r="A3" s="1" t="s">
        <v>4</v>
      </c>
      <c r="B3" s="3" t="s">
        <v>5</v>
      </c>
      <c r="C3" s="2"/>
    </row>
    <row r="4" spans="1:3">
      <c r="A4" s="2"/>
      <c r="B4" s="1" t="s">
        <v>6</v>
      </c>
      <c r="C4" s="1" t="s">
        <v>7</v>
      </c>
    </row>
    <row r="5" spans="1:3">
      <c r="A5" s="2"/>
      <c r="B5" s="3" t="s">
        <v>8</v>
      </c>
      <c r="C5" s="3">
        <v>1724083</v>
      </c>
    </row>
    <row r="6" spans="1:3">
      <c r="A6" s="2"/>
      <c r="B6" s="3" t="s">
        <v>9</v>
      </c>
      <c r="C6" s="2">
        <v>1726924</v>
      </c>
    </row>
    <row r="7" spans="1:3">
      <c r="A7" s="2"/>
      <c r="B7" s="3" t="s">
        <v>10</v>
      </c>
      <c r="C7" s="3">
        <v>1730680</v>
      </c>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7C0D-703D-4CF6-9E13-623CC37B2F36}">
  <dimension ref="A1:C14"/>
  <sheetViews>
    <sheetView tabSelected="1" workbookViewId="0">
      <selection activeCell="C18" sqref="C18"/>
    </sheetView>
  </sheetViews>
  <sheetFormatPr baseColWidth="10" defaultRowHeight="14.5"/>
  <cols>
    <col min="2" max="2" width="16.7265625" bestFit="1" customWidth="1"/>
  </cols>
  <sheetData>
    <row r="1" spans="1:3">
      <c r="A1" s="1" t="s">
        <v>0</v>
      </c>
      <c r="B1" s="2" t="s">
        <v>1</v>
      </c>
      <c r="C1" s="2"/>
    </row>
    <row r="2" spans="1:3">
      <c r="A2" s="1" t="s">
        <v>2</v>
      </c>
      <c r="B2" s="2" t="s">
        <v>3</v>
      </c>
      <c r="C2" s="2"/>
    </row>
    <row r="3" spans="1:3">
      <c r="A3" s="1" t="s">
        <v>4</v>
      </c>
      <c r="B3" s="3" t="s">
        <v>5</v>
      </c>
      <c r="C3" s="2"/>
    </row>
    <row r="4" spans="1:3">
      <c r="A4" s="2"/>
      <c r="B4" s="1" t="s">
        <v>6</v>
      </c>
      <c r="C4" s="1" t="s">
        <v>7</v>
      </c>
    </row>
    <row r="5" spans="1:3">
      <c r="A5" s="2"/>
      <c r="B5" s="3" t="s">
        <v>8</v>
      </c>
      <c r="C5" s="3">
        <v>1724083</v>
      </c>
    </row>
    <row r="6" spans="1:3">
      <c r="A6" s="2"/>
      <c r="B6" s="3" t="s">
        <v>9</v>
      </c>
      <c r="C6" s="2">
        <v>1726924</v>
      </c>
    </row>
    <row r="7" spans="1:3">
      <c r="A7" s="2"/>
      <c r="B7" s="3" t="s">
        <v>10</v>
      </c>
      <c r="C7" s="3">
        <v>1730680</v>
      </c>
    </row>
    <row r="12" spans="1:3">
      <c r="A12" t="s">
        <v>263</v>
      </c>
    </row>
    <row r="13" spans="1:3">
      <c r="A13" t="s">
        <v>264</v>
      </c>
    </row>
    <row r="14" spans="1:3">
      <c r="A14" t="s">
        <v>265</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Carátula</vt:lpstr>
      <vt:lpstr>AE211)</vt:lpstr>
      <vt:lpstr>AE212)</vt:lpstr>
      <vt:lpstr>AE213)</vt:lpstr>
      <vt:lpstr>AE214)</vt:lpstr>
      <vt:lpstr>AE215)</vt:lpstr>
      <vt:lpstr>AE216)</vt:lpstr>
      <vt:lpstr>AE217)</vt:lpstr>
      <vt:lpstr>AE218)</vt:lpstr>
      <vt:lpstr>AE219)</vt:lpstr>
      <vt:lpstr>AE220)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Casado</dc:creator>
  <cp:lastModifiedBy>Gina Casado</cp:lastModifiedBy>
  <cp:lastPrinted>2024-09-09T23:19:04Z</cp:lastPrinted>
  <dcterms:created xsi:type="dcterms:W3CDTF">2015-06-05T18:17:20Z</dcterms:created>
  <dcterms:modified xsi:type="dcterms:W3CDTF">2024-09-10T21:59:43Z</dcterms:modified>
</cp:coreProperties>
</file>