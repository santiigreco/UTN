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AE111" sheetId="2" r:id="rId6"/>
    <sheet state="visible" name="AE112" sheetId="3" r:id="rId7"/>
    <sheet state="visible" name="AE113" sheetId="4" r:id="rId8"/>
    <sheet state="visible" name="AE114" sheetId="5" r:id="rId9"/>
  </sheets>
  <definedNames/>
  <calcPr/>
</workbook>
</file>

<file path=xl/sharedStrings.xml><?xml version="1.0" encoding="utf-8"?>
<sst xmlns="http://schemas.openxmlformats.org/spreadsheetml/2006/main" count="281" uniqueCount="126">
  <si>
    <t>Asignatura</t>
  </si>
  <si>
    <t>Control de gestión</t>
  </si>
  <si>
    <t>Docente</t>
  </si>
  <si>
    <t>Ing. Diego Pelaccini</t>
  </si>
  <si>
    <t>Curso</t>
  </si>
  <si>
    <t>I5052 VIERNES</t>
  </si>
  <si>
    <t>Integrantes</t>
  </si>
  <si>
    <t>Legajos</t>
  </si>
  <si>
    <t>Greco, Santiago</t>
  </si>
  <si>
    <t>177980-1</t>
  </si>
  <si>
    <t>Castro, Leandro</t>
  </si>
  <si>
    <t>167285-0</t>
  </si>
  <si>
    <t>Rodriguez, Brenda</t>
  </si>
  <si>
    <t>164269-8</t>
  </si>
  <si>
    <t>Albarracin, Mateo</t>
  </si>
  <si>
    <t>164403-8</t>
  </si>
  <si>
    <t>TRABAJO PRÁCTICO  —  AE1</t>
  </si>
  <si>
    <t>Activos</t>
  </si>
  <si>
    <t>Pasivos</t>
  </si>
  <si>
    <t>A.C</t>
  </si>
  <si>
    <t>Efectivo</t>
  </si>
  <si>
    <t>D.C.P</t>
  </si>
  <si>
    <t>Facturas x pagar</t>
  </si>
  <si>
    <t>Facturas x cobrar</t>
  </si>
  <si>
    <t>Deudas a corto plazo</t>
  </si>
  <si>
    <t>Caja y bancos</t>
  </si>
  <si>
    <t>Mercaderias</t>
  </si>
  <si>
    <t>D.L.P</t>
  </si>
  <si>
    <t>Deudas sociales</t>
  </si>
  <si>
    <t>A.F</t>
  </si>
  <si>
    <t>Proveedores CP</t>
  </si>
  <si>
    <t>Computadoras</t>
  </si>
  <si>
    <t>Deudas largo plazo</t>
  </si>
  <si>
    <t>Vehiculo</t>
  </si>
  <si>
    <t>PN</t>
  </si>
  <si>
    <t>Cuentas por cobrar</t>
  </si>
  <si>
    <t>Deuda bancaria CP</t>
  </si>
  <si>
    <t>Mercaderías</t>
  </si>
  <si>
    <t>I) II) III)</t>
  </si>
  <si>
    <t>Otros pasivos CP</t>
  </si>
  <si>
    <t>Mobiliario</t>
  </si>
  <si>
    <t>CS+ Beneficios</t>
  </si>
  <si>
    <t>Sueldos a pagar</t>
  </si>
  <si>
    <t>a)</t>
  </si>
  <si>
    <t>A.N.C</t>
  </si>
  <si>
    <t>Elementos Informáticos</t>
  </si>
  <si>
    <t>Muebles y Útiles</t>
  </si>
  <si>
    <t>Acreedores LP</t>
  </si>
  <si>
    <t>Vehículos</t>
  </si>
  <si>
    <t>Préstamos LP</t>
  </si>
  <si>
    <t>Disponibilidades / Tesorería</t>
  </si>
  <si>
    <t>Act. Intangibles</t>
  </si>
  <si>
    <t>Obligac. Negociables</t>
  </si>
  <si>
    <t>Máquinas</t>
  </si>
  <si>
    <t>Realizable</t>
  </si>
  <si>
    <t>Instalaciones</t>
  </si>
  <si>
    <t>Existencias</t>
  </si>
  <si>
    <t>Edificios</t>
  </si>
  <si>
    <t>P.N</t>
  </si>
  <si>
    <t>Capital Social</t>
  </si>
  <si>
    <t>Tangibles</t>
  </si>
  <si>
    <t>Terreno</t>
  </si>
  <si>
    <t>Res. no asign</t>
  </si>
  <si>
    <t>Deprec. y Amort. Acum.</t>
  </si>
  <si>
    <t>Res. del ejcio</t>
  </si>
  <si>
    <t>Reserva Legal</t>
  </si>
  <si>
    <t>P+PN</t>
  </si>
  <si>
    <t>IV) Indice de liquidez corriente =</t>
  </si>
  <si>
    <t>ACP / PCP</t>
  </si>
  <si>
    <t>ACP</t>
  </si>
  <si>
    <t>=</t>
  </si>
  <si>
    <t>PCP</t>
  </si>
  <si>
    <t>a)Análisis vertical</t>
  </si>
  <si>
    <t>b) Analisis vertical</t>
  </si>
  <si>
    <t>Balance</t>
  </si>
  <si>
    <t>Estado de resultados</t>
  </si>
  <si>
    <t>Test ácido = (ACP - BdeC) / PCP</t>
  </si>
  <si>
    <t>Submasa</t>
  </si>
  <si>
    <t>ACP - B de C</t>
  </si>
  <si>
    <t>A. Vertical '19</t>
  </si>
  <si>
    <t>A. Vertical '20</t>
  </si>
  <si>
    <t>Disponible</t>
  </si>
  <si>
    <t xml:space="preserve">Ratio del efectivo </t>
  </si>
  <si>
    <t>Ventas</t>
  </si>
  <si>
    <t>Cuentas a cobrar</t>
  </si>
  <si>
    <t>(-)CMV</t>
  </si>
  <si>
    <t>Otros derechos de cobro</t>
  </si>
  <si>
    <t>Margen Bruto</t>
  </si>
  <si>
    <t>Existencia</t>
  </si>
  <si>
    <t>Productos Terminados</t>
  </si>
  <si>
    <t>(-)Gastos Administración</t>
  </si>
  <si>
    <t>Semielaborados</t>
  </si>
  <si>
    <t>(-)Gastos comercialización</t>
  </si>
  <si>
    <t>Materias primas</t>
  </si>
  <si>
    <t>(-) Deprec. y amort. del periodo</t>
  </si>
  <si>
    <t>Activo corriente</t>
  </si>
  <si>
    <t>Benef. Antes Int. e Impuestos</t>
  </si>
  <si>
    <t>Tangible</t>
  </si>
  <si>
    <t>(-)Gastos por intereses</t>
  </si>
  <si>
    <t>Propiedad, planta y equipo</t>
  </si>
  <si>
    <t>Benef. Antes Impuestos</t>
  </si>
  <si>
    <t>Depreciación y amortización acumulada</t>
  </si>
  <si>
    <t>(-) Impuesto a la renta</t>
  </si>
  <si>
    <t>Activo no corriente</t>
  </si>
  <si>
    <t>Utilidades netas</t>
  </si>
  <si>
    <t>Total Activos</t>
  </si>
  <si>
    <t>Cuentas a pagar</t>
  </si>
  <si>
    <t>Deudas fiscales y sociales</t>
  </si>
  <si>
    <t>Deuda bancaria corto plazo</t>
  </si>
  <si>
    <t>Otros pasivos financieros de corto plazo</t>
  </si>
  <si>
    <t>Pasivo corriente</t>
  </si>
  <si>
    <t>Deuda bancaria largo plazo</t>
  </si>
  <si>
    <t>Bonos corporativos Largo Plazo</t>
  </si>
  <si>
    <t>Pasivo no corriente</t>
  </si>
  <si>
    <t>Total Pasivo</t>
  </si>
  <si>
    <t>Patrimonio Neto</t>
  </si>
  <si>
    <t>Total Pasivo+Patrimonio Neto</t>
  </si>
  <si>
    <t>c) Análisis horizontal</t>
  </si>
  <si>
    <t>d) Análisis horizontal</t>
  </si>
  <si>
    <t>Var. Abs</t>
  </si>
  <si>
    <t>Var. %</t>
  </si>
  <si>
    <t>Var Abs.</t>
  </si>
  <si>
    <t>Var %</t>
  </si>
  <si>
    <t>Análisis de tendencias</t>
  </si>
  <si>
    <t>f) Analisis de tamaño homogeneo</t>
  </si>
  <si>
    <t>g) Analisis de tamaño homogeneo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</si>
</sst>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#,##0.0"/>
    <numFmt numFmtId="166" formatCode="0.0%"/>
  </numFmts>
  <fonts count="9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color theme="1"/>
      <name val="Arial"/>
    </font>
    <font>
      <b/>
      <sz val="9.0"/>
      <color theme="1"/>
      <name val="Nunito"/>
    </font>
    <font>
      <b/>
      <i/>
      <color theme="1"/>
      <name val="Nunito"/>
    </font>
    <font>
      <i/>
      <color theme="1"/>
      <name val="Nunito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0" fillId="0" fontId="7" numFmtId="0" xfId="0" applyBorder="1" applyFont="1"/>
    <xf borderId="8" fillId="0" fontId="7" numFmtId="0" xfId="0" applyBorder="1" applyFont="1"/>
    <xf borderId="11" fillId="0" fontId="7" numFmtId="0" xfId="0" applyBorder="1" applyFont="1"/>
    <xf borderId="6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8" fillId="0" fontId="5" numFmtId="0" xfId="0" applyAlignment="1" applyBorder="1" applyFont="1">
      <alignment readingOrder="0" vertical="center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9" fillId="0" fontId="3" numFmtId="0" xfId="0" applyAlignment="1" applyBorder="1" applyFont="1">
      <alignment readingOrder="0"/>
    </xf>
    <xf borderId="13" fillId="0" fontId="2" numFmtId="0" xfId="0" applyBorder="1" applyFont="1"/>
    <xf borderId="0" fillId="0" fontId="8" numFmtId="0" xfId="0" applyFont="1"/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/>
    </xf>
    <xf quotePrefix="1" borderId="0" fillId="0" fontId="2" numFmtId="0" xfId="0" applyAlignment="1" applyFont="1">
      <alignment readingOrder="0"/>
    </xf>
    <xf borderId="0" fillId="2" fontId="2" numFmtId="2" xfId="0" applyAlignment="1" applyFill="1" applyFont="1" applyNumberForma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5" fillId="0" fontId="1" numFmtId="0" xfId="0" applyAlignment="1" applyBorder="1" applyFont="1">
      <alignment horizontal="center" readingOrder="0" vertical="center"/>
    </xf>
    <xf borderId="16" fillId="3" fontId="1" numFmtId="0" xfId="0" applyAlignment="1" applyBorder="1" applyFill="1" applyFont="1">
      <alignment readingOrder="0"/>
    </xf>
    <xf borderId="17" fillId="0" fontId="2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9" fillId="0" fontId="2" numFmtId="0" xfId="0" applyBorder="1" applyFont="1"/>
    <xf borderId="2" fillId="0" fontId="2" numFmtId="0" xfId="0" applyBorder="1" applyFont="1"/>
    <xf borderId="19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0" fillId="0" fontId="1" numFmtId="0" xfId="0" applyFont="1"/>
    <xf borderId="0" fillId="3" fontId="2" numFmtId="10" xfId="0" applyAlignment="1" applyFill="1" applyFont="1" applyNumberFormat="1">
      <alignment horizontal="center" vertical="center"/>
    </xf>
    <xf borderId="0" fillId="2" fontId="2" numFmtId="164" xfId="0" applyAlignment="1" applyFill="1" applyFont="1" applyNumberFormat="1">
      <alignment horizontal="left"/>
    </xf>
    <xf borderId="20" fillId="3" fontId="2" numFmtId="10" xfId="0" applyAlignment="1" applyBorder="1" applyFill="1" applyFont="1" applyNumberFormat="1">
      <alignment horizontal="center" vertical="center"/>
    </xf>
    <xf borderId="10" fillId="0" fontId="2" numFmtId="0" xfId="0" applyAlignment="1" applyBorder="1" applyFont="1">
      <alignment readingOrder="0"/>
    </xf>
    <xf borderId="21" fillId="3" fontId="2" numFmtId="10" xfId="0" applyAlignment="1" applyBorder="1" applyFill="1" applyFont="1" applyNumberFormat="1">
      <alignment readingOrder="0"/>
    </xf>
    <xf borderId="22" fillId="3" fontId="2" numFmtId="10" xfId="0" applyAlignment="1" applyBorder="1" applyFill="1" applyFont="1" applyNumberFormat="1">
      <alignment readingOrder="0"/>
    </xf>
    <xf borderId="22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9" fillId="3" fontId="2" numFmtId="10" xfId="0" applyAlignment="1" applyBorder="1" applyFill="1" applyFont="1" applyNumberFormat="1">
      <alignment readingOrder="0"/>
    </xf>
    <xf borderId="21" fillId="0" fontId="2" numFmtId="0" xfId="0" applyAlignment="1" applyBorder="1" applyFont="1">
      <alignment readingOrder="0"/>
    </xf>
    <xf borderId="10" fillId="0" fontId="2" numFmtId="0" xfId="0" applyBorder="1" applyFont="1"/>
    <xf borderId="8" fillId="0" fontId="2" numFmtId="0" xfId="0" applyBorder="1" applyFont="1"/>
    <xf borderId="22" fillId="0" fontId="2" numFmtId="0" xfId="0" applyBorder="1" applyFont="1"/>
    <xf borderId="24" fillId="0" fontId="2" numFmtId="0" xfId="0" applyAlignment="1" applyBorder="1" applyFont="1">
      <alignment readingOrder="0"/>
    </xf>
    <xf borderId="25" fillId="3" fontId="2" numFmtId="10" xfId="0" applyAlignment="1" applyBorder="1" applyFill="1" applyFont="1" applyNumberFormat="1">
      <alignment readingOrder="0"/>
    </xf>
    <xf borderId="26" fillId="0" fontId="2" numFmtId="0" xfId="0" applyAlignment="1" applyBorder="1" applyFont="1">
      <alignment readingOrder="0"/>
    </xf>
    <xf borderId="6" fillId="3" fontId="2" numFmtId="10" xfId="0" applyAlignment="1" applyBorder="1" applyFill="1" applyFont="1" applyNumberFormat="1">
      <alignment readingOrder="0"/>
    </xf>
    <xf borderId="25" fillId="0" fontId="2" numFmtId="0" xfId="0" applyAlignment="1" applyBorder="1" applyFont="1">
      <alignment readingOrder="0"/>
    </xf>
    <xf borderId="27" fillId="0" fontId="2" numFmtId="0" xfId="0" applyAlignment="1" applyBorder="1" applyFont="1">
      <alignment readingOrder="0"/>
    </xf>
    <xf borderId="10" fillId="3" fontId="2" numFmtId="10" xfId="0" applyAlignment="1" applyBorder="1" applyFill="1" applyFont="1" applyNumberFormat="1">
      <alignment readingOrder="0"/>
    </xf>
    <xf borderId="20" fillId="0" fontId="7" numFmtId="0" xfId="0" applyBorder="1" applyFont="1"/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20" fillId="3" fontId="2" numFmtId="0" xfId="0" applyAlignment="1" applyBorder="1" applyFill="1" applyFont="1">
      <alignment horizontal="center" vertical="center"/>
    </xf>
    <xf borderId="28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9" fillId="3" fontId="1" numFmtId="10" xfId="0" applyAlignment="1" applyBorder="1" applyFill="1" applyFont="1" applyNumberFormat="1">
      <alignment readingOrder="0"/>
    </xf>
    <xf borderId="5" fillId="0" fontId="1" numFmtId="0" xfId="0" applyAlignment="1" applyBorder="1" applyFont="1">
      <alignment readingOrder="0"/>
    </xf>
    <xf borderId="30" fillId="3" fontId="1" numFmtId="10" xfId="0" applyAlignment="1" applyBorder="1" applyFill="1" applyFont="1" applyNumberFormat="1">
      <alignment readingOrder="0"/>
    </xf>
    <xf borderId="30" fillId="0" fontId="1" numFmtId="0" xfId="0" applyAlignment="1" applyBorder="1" applyFont="1">
      <alignment readingOrder="0"/>
    </xf>
    <xf borderId="22" fillId="3" fontId="2" numFmtId="10" xfId="0" applyBorder="1" applyFill="1" applyFont="1" applyNumberFormat="1"/>
    <xf borderId="11" fillId="3" fontId="2" numFmtId="10" xfId="0" applyAlignment="1" applyBorder="1" applyFill="1" applyFont="1" applyNumberFormat="1">
      <alignment readingOrder="0"/>
    </xf>
    <xf borderId="0" fillId="3" fontId="2" numFmtId="0" xfId="0" applyFill="1" applyFont="1"/>
    <xf borderId="20" fillId="3" fontId="2" numFmtId="0" xfId="0" applyBorder="1" applyFill="1" applyFont="1"/>
    <xf borderId="31" fillId="0" fontId="2" numFmtId="0" xfId="0" applyAlignment="1" applyBorder="1" applyFont="1">
      <alignment readingOrder="0"/>
    </xf>
    <xf borderId="32" fillId="0" fontId="2" numFmtId="0" xfId="0" applyAlignment="1" applyBorder="1" applyFont="1">
      <alignment readingOrder="0"/>
    </xf>
    <xf borderId="33" fillId="3" fontId="2" numFmtId="10" xfId="0" applyAlignment="1" applyBorder="1" applyFill="1" applyFont="1" applyNumberFormat="1">
      <alignment readingOrder="0"/>
    </xf>
    <xf borderId="34" fillId="3" fontId="2" numFmtId="10" xfId="0" applyAlignment="1" applyBorder="1" applyFill="1" applyFont="1" applyNumberFormat="1">
      <alignment readingOrder="0"/>
    </xf>
    <xf borderId="35" fillId="0" fontId="2" numFmtId="0" xfId="0" applyAlignment="1" applyBorder="1" applyFont="1">
      <alignment readingOrder="0"/>
    </xf>
    <xf borderId="36" fillId="0" fontId="2" numFmtId="0" xfId="0" applyBorder="1" applyFont="1"/>
    <xf borderId="36" fillId="3" fontId="2" numFmtId="0" xfId="0" applyBorder="1" applyFill="1" applyFont="1"/>
    <xf borderId="37" fillId="3" fontId="2" numFmtId="0" xfId="0" applyBorder="1" applyFill="1" applyFont="1"/>
    <xf borderId="38" fillId="0" fontId="1" numFmtId="0" xfId="0" applyAlignment="1" applyBorder="1" applyFont="1">
      <alignment readingOrder="0"/>
    </xf>
    <xf borderId="34" fillId="0" fontId="1" numFmtId="0" xfId="0" applyAlignment="1" applyBorder="1" applyFont="1">
      <alignment readingOrder="0"/>
    </xf>
    <xf borderId="39" fillId="3" fontId="2" numFmtId="10" xfId="0" applyAlignment="1" applyBorder="1" applyFill="1" applyFont="1" applyNumberFormat="1">
      <alignment readingOrder="0"/>
    </xf>
    <xf borderId="32" fillId="0" fontId="1" numFmtId="0" xfId="0" applyAlignment="1" applyBorder="1" applyFont="1">
      <alignment readingOrder="0"/>
    </xf>
    <xf borderId="33" fillId="3" fontId="1" numFmtId="10" xfId="0" applyAlignment="1" applyBorder="1" applyFill="1" applyFont="1" applyNumberFormat="1">
      <alignment readingOrder="0"/>
    </xf>
    <xf borderId="33" fillId="0" fontId="1" numFmtId="0" xfId="0" applyAlignment="1" applyBorder="1" applyFont="1">
      <alignment readingOrder="0"/>
    </xf>
    <xf borderId="27" fillId="0" fontId="2" numFmtId="0" xfId="0" applyBorder="1" applyFont="1"/>
    <xf borderId="21" fillId="3" fontId="2" numFmtId="10" xfId="0" applyBorder="1" applyFill="1" applyFont="1" applyNumberFormat="1"/>
    <xf borderId="40" fillId="0" fontId="1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1" fillId="3" fontId="1" numFmtId="10" xfId="0" applyAlignment="1" applyBorder="1" applyFill="1" applyFont="1" applyNumberFormat="1">
      <alignment readingOrder="0"/>
    </xf>
    <xf borderId="25" fillId="3" fontId="1" numFmtId="10" xfId="0" applyAlignment="1" applyBorder="1" applyFill="1" applyFont="1" applyNumberFormat="1">
      <alignment readingOrder="0"/>
    </xf>
    <xf borderId="2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35" fillId="3" fontId="1" numFmtId="10" xfId="0" applyAlignment="1" applyBorder="1" applyFill="1" applyFont="1" applyNumberFormat="1">
      <alignment readingOrder="0"/>
    </xf>
    <xf borderId="0" fillId="0" fontId="2" numFmtId="10" xfId="0" applyFont="1" applyNumberFormat="1"/>
    <xf borderId="43" fillId="0" fontId="2" numFmtId="0" xfId="0" applyBorder="1" applyFont="1"/>
    <xf borderId="44" fillId="0" fontId="1" numFmtId="0" xfId="0" applyAlignment="1" applyBorder="1" applyFont="1">
      <alignment readingOrder="0"/>
    </xf>
    <xf borderId="15" fillId="3" fontId="1" numFmtId="0" xfId="0" applyAlignment="1" applyBorder="1" applyFill="1" applyFont="1">
      <alignment readingOrder="0"/>
    </xf>
    <xf borderId="17" fillId="3" fontId="1" numFmtId="0" xfId="0" applyAlignment="1" applyBorder="1" applyFill="1" applyFont="1">
      <alignment readingOrder="0"/>
    </xf>
    <xf borderId="27" fillId="3" fontId="2" numFmtId="4" xfId="0" applyAlignment="1" applyBorder="1" applyFill="1" applyFont="1" applyNumberFormat="1">
      <alignment readingOrder="0"/>
    </xf>
    <xf borderId="45" fillId="3" fontId="2" numFmtId="165" xfId="0" applyAlignment="1" applyBorder="1" applyFill="1" applyFont="1" applyNumberFormat="1">
      <alignment readingOrder="0"/>
    </xf>
    <xf borderId="22" fillId="3" fontId="2" numFmtId="166" xfId="0" applyAlignment="1" applyBorder="1" applyFill="1" applyFont="1" applyNumberFormat="1">
      <alignment readingOrder="0"/>
    </xf>
    <xf borderId="9" fillId="3" fontId="2" numFmtId="4" xfId="0" applyAlignment="1" applyBorder="1" applyFill="1" applyFont="1" applyNumberFormat="1">
      <alignment readingOrder="0"/>
    </xf>
    <xf borderId="27" fillId="3" fontId="2" numFmtId="165" xfId="0" applyAlignment="1" applyBorder="1" applyFill="1" applyFont="1" applyNumberFormat="1">
      <alignment readingOrder="0"/>
    </xf>
    <xf borderId="46" fillId="3" fontId="2" numFmtId="165" xfId="0" applyAlignment="1" applyBorder="1" applyFill="1" applyFont="1" applyNumberFormat="1">
      <alignment readingOrder="0"/>
    </xf>
    <xf borderId="12" fillId="3" fontId="2" numFmtId="4" xfId="0" applyAlignment="1" applyBorder="1" applyFill="1" applyFont="1" applyNumberFormat="1">
      <alignment readingOrder="0"/>
    </xf>
    <xf borderId="12" fillId="3" fontId="2" numFmtId="10" xfId="0" applyAlignment="1" applyBorder="1" applyFill="1" applyFont="1" applyNumberFormat="1">
      <alignment readingOrder="0"/>
    </xf>
    <xf borderId="24" fillId="3" fontId="2" numFmtId="165" xfId="0" applyAlignment="1" applyBorder="1" applyFill="1" applyFont="1" applyNumberFormat="1">
      <alignment readingOrder="0"/>
    </xf>
    <xf borderId="41" fillId="3" fontId="2" numFmtId="10" xfId="0" applyAlignment="1" applyBorder="1" applyFill="1" applyFont="1" applyNumberFormat="1">
      <alignment readingOrder="0"/>
    </xf>
    <xf borderId="23" fillId="3" fontId="2" numFmtId="165" xfId="0" applyAlignment="1" applyBorder="1" applyFill="1" applyFont="1" applyNumberFormat="1">
      <alignment readingOrder="0"/>
    </xf>
    <xf borderId="3" fillId="0" fontId="2" numFmtId="0" xfId="0" applyAlignment="1" applyBorder="1" applyFont="1">
      <alignment readingOrder="0"/>
    </xf>
    <xf borderId="28" fillId="0" fontId="2" numFmtId="0" xfId="0" applyAlignment="1" applyBorder="1" applyFont="1">
      <alignment readingOrder="0"/>
    </xf>
    <xf borderId="40" fillId="3" fontId="2" numFmtId="4" xfId="0" applyAlignment="1" applyBorder="1" applyFill="1" applyFont="1" applyNumberFormat="1">
      <alignment readingOrder="0"/>
    </xf>
    <xf borderId="30" fillId="3" fontId="2" numFmtId="10" xfId="0" applyBorder="1" applyFill="1" applyFont="1" applyNumberFormat="1"/>
    <xf borderId="47" fillId="3" fontId="2" numFmtId="165" xfId="0" applyAlignment="1" applyBorder="1" applyFill="1" applyFont="1" applyNumberFormat="1">
      <alignment readingOrder="0"/>
    </xf>
    <xf borderId="30" fillId="3" fontId="2" numFmtId="166" xfId="0" applyAlignment="1" applyBorder="1" applyFill="1" applyFont="1" applyNumberFormat="1">
      <alignment readingOrder="0"/>
    </xf>
    <xf borderId="46" fillId="3" fontId="2" numFmtId="165" xfId="0" applyBorder="1" applyFill="1" applyFont="1" applyNumberFormat="1"/>
    <xf borderId="22" fillId="3" fontId="2" numFmtId="166" xfId="0" applyBorder="1" applyFill="1" applyFont="1" applyNumberFormat="1"/>
    <xf borderId="48" fillId="3" fontId="2" numFmtId="165" xfId="0" applyAlignment="1" applyBorder="1" applyFill="1" applyFont="1" applyNumberFormat="1">
      <alignment readingOrder="0"/>
    </xf>
    <xf borderId="49" fillId="3" fontId="2" numFmtId="10" xfId="0" applyAlignment="1" applyBorder="1" applyFill="1" applyFont="1" applyNumberFormat="1">
      <alignment readingOrder="0"/>
    </xf>
    <xf borderId="30" fillId="0" fontId="2" numFmtId="0" xfId="0" applyAlignment="1" applyBorder="1" applyFont="1">
      <alignment readingOrder="0"/>
    </xf>
    <xf borderId="50" fillId="3" fontId="2" numFmtId="4" xfId="0" applyAlignment="1" applyBorder="1" applyFill="1" applyFont="1" applyNumberFormat="1">
      <alignment readingOrder="0"/>
    </xf>
    <xf borderId="50" fillId="3" fontId="2" numFmtId="10" xfId="0" applyAlignment="1" applyBorder="1" applyFill="1" applyFont="1" applyNumberFormat="1">
      <alignment readingOrder="0"/>
    </xf>
    <xf borderId="31" fillId="3" fontId="2" numFmtId="165" xfId="0" applyAlignment="1" applyBorder="1" applyFill="1" applyFont="1" applyNumberFormat="1">
      <alignment readingOrder="0"/>
    </xf>
    <xf borderId="35" fillId="3" fontId="2" numFmtId="10" xfId="0" applyAlignment="1" applyBorder="1" applyFill="1" applyFont="1" applyNumberFormat="1">
      <alignment readingOrder="0"/>
    </xf>
    <xf borderId="42" fillId="3" fontId="2" numFmtId="4" xfId="0" applyAlignment="1" applyBorder="1" applyFill="1" applyFont="1" applyNumberFormat="1">
      <alignment readingOrder="0"/>
    </xf>
    <xf borderId="33" fillId="3" fontId="2" numFmtId="10" xfId="0" applyBorder="1" applyFill="1" applyFont="1" applyNumberFormat="1"/>
    <xf borderId="51" fillId="3" fontId="1" numFmtId="165" xfId="0" applyAlignment="1" applyBorder="1" applyFill="1" applyFont="1" applyNumberFormat="1">
      <alignment readingOrder="0"/>
    </xf>
    <xf borderId="33" fillId="3" fontId="1" numFmtId="166" xfId="0" applyAlignment="1" applyBorder="1" applyFill="1" applyFont="1" applyNumberFormat="1">
      <alignment readingOrder="0"/>
    </xf>
    <xf borderId="6" fillId="0" fontId="2" numFmtId="0" xfId="0" applyAlignment="1" applyBorder="1" applyFont="1">
      <alignment readingOrder="0"/>
    </xf>
    <xf borderId="52" fillId="3" fontId="2" numFmtId="165" xfId="0" applyAlignment="1" applyBorder="1" applyFill="1" applyFont="1" applyNumberFormat="1">
      <alignment readingOrder="0"/>
    </xf>
    <xf borderId="25" fillId="3" fontId="2" numFmtId="166" xfId="0" applyAlignment="1" applyBorder="1" applyFill="1" applyFont="1" applyNumberFormat="1">
      <alignment readingOrder="0"/>
    </xf>
    <xf borderId="53" fillId="3" fontId="2" numFmtId="4" xfId="0" applyAlignment="1" applyBorder="1" applyFill="1" applyFont="1" applyNumberFormat="1">
      <alignment readingOrder="0"/>
    </xf>
    <xf borderId="54" fillId="3" fontId="2" numFmtId="10" xfId="0" applyBorder="1" applyFill="1" applyFont="1" applyNumberFormat="1"/>
    <xf borderId="43" fillId="3" fontId="1" numFmtId="0" xfId="0" applyAlignment="1" applyBorder="1" applyFill="1" applyFont="1">
      <alignment readingOrder="0"/>
    </xf>
    <xf borderId="44" fillId="3" fontId="1" numFmtId="0" xfId="0" applyAlignment="1" applyBorder="1" applyFill="1" applyFont="1">
      <alignment readingOrder="0"/>
    </xf>
    <xf borderId="43" fillId="0" fontId="1" numFmtId="0" xfId="0" applyAlignment="1" applyBorder="1" applyFont="1">
      <alignment readingOrder="0"/>
    </xf>
    <xf borderId="55" fillId="3" fontId="2" numFmtId="166" xfId="0" applyAlignment="1" applyBorder="1" applyFill="1" applyFont="1" applyNumberFormat="1">
      <alignment readingOrder="0"/>
    </xf>
    <xf borderId="45" fillId="3" fontId="2" numFmtId="166" xfId="0" applyAlignment="1" applyBorder="1" applyFill="1" applyFont="1" applyNumberFormat="1">
      <alignment readingOrder="0"/>
    </xf>
    <xf borderId="23" fillId="3" fontId="2" numFmtId="166" xfId="0" applyAlignment="1" applyBorder="1" applyFill="1" applyFont="1" applyNumberFormat="1">
      <alignment readingOrder="0"/>
    </xf>
    <xf borderId="27" fillId="3" fontId="2" numFmtId="166" xfId="0" applyAlignment="1" applyBorder="1" applyFill="1" applyFont="1" applyNumberFormat="1">
      <alignment readingOrder="0"/>
    </xf>
    <xf borderId="46" fillId="3" fontId="2" numFmtId="166" xfId="0" applyAlignment="1" applyBorder="1" applyFill="1" applyFont="1" applyNumberFormat="1">
      <alignment readingOrder="0"/>
    </xf>
    <xf borderId="24" fillId="3" fontId="2" numFmtId="166" xfId="0" applyAlignment="1" applyBorder="1" applyFill="1" applyFont="1" applyNumberFormat="1">
      <alignment readingOrder="0"/>
    </xf>
    <xf borderId="52" fillId="3" fontId="2" numFmtId="166" xfId="0" applyAlignment="1" applyBorder="1" applyFill="1" applyFont="1" applyNumberFormat="1">
      <alignment readingOrder="0"/>
    </xf>
    <xf borderId="47" fillId="3" fontId="2" numFmtId="166" xfId="0" applyAlignment="1" applyBorder="1" applyFill="1" applyFont="1" applyNumberFormat="1">
      <alignment readingOrder="0"/>
    </xf>
    <xf borderId="46" fillId="3" fontId="2" numFmtId="166" xfId="0" applyBorder="1" applyFill="1" applyFont="1" applyNumberFormat="1"/>
    <xf borderId="56" fillId="3" fontId="2" numFmtId="166" xfId="0" applyAlignment="1" applyBorder="1" applyFill="1" applyFont="1" applyNumberFormat="1">
      <alignment readingOrder="0"/>
    </xf>
    <xf borderId="31" fillId="3" fontId="2" numFmtId="166" xfId="0" applyAlignment="1" applyBorder="1" applyFill="1" applyFont="1" applyNumberFormat="1">
      <alignment readingOrder="0"/>
    </xf>
    <xf borderId="57" fillId="3" fontId="2" numFmtId="166" xfId="0" applyAlignment="1" applyBorder="1" applyFill="1" applyFont="1" applyNumberFormat="1">
      <alignment readingOrder="0"/>
    </xf>
    <xf borderId="51" fillId="3" fontId="2" numFmtId="166" xfId="0" applyAlignment="1" applyBorder="1" applyFill="1" applyFont="1" applyNumberFormat="1">
      <alignment readingOrder="0"/>
    </xf>
    <xf borderId="51" fillId="3" fontId="1" numFmtId="166" xfId="0" applyAlignment="1" applyBorder="1" applyFill="1" applyFont="1" applyNumberFormat="1">
      <alignment readingOrder="0"/>
    </xf>
    <xf borderId="15" fillId="0" fontId="2" numFmtId="0" xfId="0" applyBorder="1" applyFont="1"/>
    <xf borderId="43" fillId="3" fontId="1" numFmtId="0" xfId="0" applyAlignment="1" applyBorder="1" applyFill="1" applyFont="1">
      <alignment readingOrder="0" vertical="bottom"/>
    </xf>
    <xf borderId="46" fillId="3" fontId="2" numFmtId="10" xfId="0" applyAlignment="1" applyBorder="1" applyFill="1" applyFont="1" applyNumberFormat="1">
      <alignment horizontal="right" vertical="bottom"/>
    </xf>
    <xf borderId="46" fillId="3" fontId="2" numFmtId="10" xfId="0" applyAlignment="1" applyBorder="1" applyFill="1" applyFont="1" applyNumberFormat="1">
      <alignment readingOrder="0"/>
    </xf>
    <xf borderId="52" fillId="3" fontId="2" numFmtId="10" xfId="0" applyAlignment="1" applyBorder="1" applyFill="1" applyFont="1" applyNumberFormat="1">
      <alignment horizontal="right" vertical="bottom"/>
    </xf>
    <xf borderId="52" fillId="3" fontId="2" numFmtId="10" xfId="0" applyAlignment="1" applyBorder="1" applyFill="1" applyFont="1" applyNumberFormat="1">
      <alignment readingOrder="0"/>
    </xf>
    <xf borderId="56" fillId="3" fontId="2" numFmtId="10" xfId="0" applyAlignment="1" applyBorder="1" applyFill="1" applyFont="1" applyNumberFormat="1">
      <alignment readingOrder="0"/>
    </xf>
    <xf borderId="42" fillId="0" fontId="2" numFmtId="0" xfId="0" applyAlignment="1" applyBorder="1" applyFont="1">
      <alignment readingOrder="0"/>
    </xf>
    <xf borderId="51" fillId="3" fontId="2" numFmtId="10" xfId="0" applyAlignment="1" applyBorder="1" applyFill="1" applyFont="1" applyNumberFormat="1">
      <alignment horizontal="right" vertical="bottom"/>
    </xf>
    <xf borderId="51" fillId="3" fontId="2" numFmtId="10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01275" cy="1828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63150" cy="30480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-200025</xdr:rowOff>
    </xdr:from>
    <xdr:ext cx="5753100" cy="5305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-28575</xdr:colOff>
      <xdr:row>0</xdr:row>
      <xdr:rowOff>0</xdr:rowOff>
    </xdr:from>
    <xdr:ext cx="9020175" cy="60007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2" t="s">
        <v>5</v>
      </c>
      <c r="C3" s="3"/>
    </row>
    <row r="4">
      <c r="A4" s="3"/>
      <c r="B4" s="1" t="s">
        <v>6</v>
      </c>
      <c r="C4" s="1" t="s">
        <v>7</v>
      </c>
    </row>
    <row r="5">
      <c r="A5" s="3"/>
      <c r="B5" s="2" t="s">
        <v>8</v>
      </c>
      <c r="C5" s="2" t="s">
        <v>9</v>
      </c>
    </row>
    <row r="6">
      <c r="A6" s="3"/>
      <c r="B6" s="2" t="s">
        <v>10</v>
      </c>
      <c r="C6" s="2" t="s">
        <v>11</v>
      </c>
    </row>
    <row r="7">
      <c r="A7" s="3"/>
      <c r="B7" s="2" t="s">
        <v>12</v>
      </c>
      <c r="C7" s="2" t="s">
        <v>13</v>
      </c>
    </row>
    <row r="8">
      <c r="A8" s="3"/>
      <c r="B8" s="2" t="s">
        <v>14</v>
      </c>
      <c r="C8" s="2" t="s">
        <v>15</v>
      </c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5" t="s">
        <v>16</v>
      </c>
      <c r="B12" s="3"/>
      <c r="C12" s="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4" width="10.38"/>
    <col customWidth="1" min="5" max="5" width="17.8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6"/>
      <c r="B12" s="7" t="s">
        <v>17</v>
      </c>
      <c r="C12" s="8">
        <f>SUM(C17:C21)</f>
        <v>8300</v>
      </c>
      <c r="D12" s="9"/>
      <c r="E12" s="10" t="s">
        <v>18</v>
      </c>
      <c r="F12" s="11">
        <f>SUM(I13:I16)</f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 t="s">
        <v>19</v>
      </c>
      <c r="B13" s="13" t="s">
        <v>20</v>
      </c>
      <c r="C13" s="15">
        <v>1200.0</v>
      </c>
      <c r="D13" s="16" t="s">
        <v>21</v>
      </c>
      <c r="E13" s="17" t="s">
        <v>22</v>
      </c>
      <c r="F13" s="18">
        <v>1500.0</v>
      </c>
      <c r="G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9"/>
      <c r="B14" s="17" t="s">
        <v>23</v>
      </c>
      <c r="C14" s="18">
        <v>1000.0</v>
      </c>
      <c r="D14" s="20"/>
      <c r="E14" s="17" t="s">
        <v>24</v>
      </c>
      <c r="F14" s="18">
        <v>800.0</v>
      </c>
      <c r="G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21"/>
      <c r="B15" s="17" t="s">
        <v>26</v>
      </c>
      <c r="C15" s="18">
        <v>3500.0</v>
      </c>
      <c r="D15" s="16" t="s">
        <v>27</v>
      </c>
      <c r="E15" s="17" t="s">
        <v>28</v>
      </c>
      <c r="F15" s="18">
        <v>1200.0</v>
      </c>
      <c r="G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 t="s">
        <v>29</v>
      </c>
      <c r="B16" s="17" t="s">
        <v>31</v>
      </c>
      <c r="C16" s="18">
        <v>1000.0</v>
      </c>
      <c r="D16" s="20"/>
      <c r="E16" s="17" t="s">
        <v>32</v>
      </c>
      <c r="F16" s="18">
        <v>1950.0</v>
      </c>
      <c r="G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9"/>
      <c r="B17" s="17" t="s">
        <v>33</v>
      </c>
      <c r="C17" s="18">
        <v>6300.0</v>
      </c>
      <c r="D17" s="24"/>
      <c r="E17" s="10" t="s">
        <v>34</v>
      </c>
      <c r="F17" s="11">
        <f>C12-F12</f>
        <v>8300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21"/>
      <c r="B18" s="25" t="s">
        <v>40</v>
      </c>
      <c r="C18" s="26">
        <v>2000.0</v>
      </c>
      <c r="D18" s="27" t="s">
        <v>34</v>
      </c>
      <c r="E18" s="25" t="s">
        <v>41</v>
      </c>
      <c r="F18" s="30">
        <f>C12-F12</f>
        <v>8300</v>
      </c>
      <c r="G18" s="23" t="s">
        <v>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4">
    <mergeCell ref="A13:A15"/>
    <mergeCell ref="A16:A18"/>
    <mergeCell ref="D13:D14"/>
    <mergeCell ref="D15:D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6" max="6" width="15.25"/>
    <col customWidth="1" min="7" max="7" width="5.0"/>
    <col customWidth="1" min="10" max="10" width="15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6"/>
      <c r="C19" s="7" t="s">
        <v>17</v>
      </c>
      <c r="D19" s="14">
        <f>SUM(D20:D33)</f>
        <v>2996</v>
      </c>
      <c r="E19" s="4"/>
      <c r="F19" s="10" t="s">
        <v>18</v>
      </c>
      <c r="G19" s="11">
        <f>SUM(G20:G27)</f>
        <v>2162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12" t="s">
        <v>19</v>
      </c>
      <c r="C20" s="13" t="s">
        <v>25</v>
      </c>
      <c r="D20" s="15">
        <v>136.0</v>
      </c>
      <c r="E20" s="22" t="s">
        <v>21</v>
      </c>
      <c r="F20" s="23" t="s">
        <v>30</v>
      </c>
      <c r="G20" s="18">
        <v>520.0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19"/>
      <c r="C21" s="17" t="s">
        <v>35</v>
      </c>
      <c r="D21" s="18">
        <v>452.0</v>
      </c>
      <c r="E21" s="19"/>
      <c r="F21" s="23" t="s">
        <v>36</v>
      </c>
      <c r="G21" s="18">
        <v>490.0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3"/>
      <c r="B22" s="21"/>
      <c r="C22" s="25" t="s">
        <v>37</v>
      </c>
      <c r="D22" s="26">
        <v>295.0</v>
      </c>
      <c r="E22" s="19"/>
      <c r="F22" s="23" t="s">
        <v>39</v>
      </c>
      <c r="G22" s="18">
        <v>256.0</v>
      </c>
      <c r="H22" s="4"/>
      <c r="I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8"/>
      <c r="B23" s="4"/>
      <c r="C23" s="29"/>
      <c r="D23" s="18"/>
      <c r="E23" s="19"/>
      <c r="F23" s="23" t="s">
        <v>42</v>
      </c>
      <c r="G23" s="18">
        <v>75.0</v>
      </c>
      <c r="H23" s="4"/>
      <c r="I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12" t="s">
        <v>44</v>
      </c>
      <c r="C24" s="13" t="s">
        <v>45</v>
      </c>
      <c r="D24" s="15">
        <v>159.0</v>
      </c>
      <c r="E24" s="21"/>
      <c r="F24" s="23" t="s">
        <v>28</v>
      </c>
      <c r="G24" s="18">
        <v>70.0</v>
      </c>
      <c r="H24" s="4"/>
      <c r="I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19"/>
      <c r="C25" s="17" t="s">
        <v>46</v>
      </c>
      <c r="D25" s="18">
        <v>153.0</v>
      </c>
      <c r="E25" s="22" t="s">
        <v>27</v>
      </c>
      <c r="F25" s="23" t="s">
        <v>47</v>
      </c>
      <c r="G25" s="18">
        <v>10.0</v>
      </c>
      <c r="H25" s="4"/>
      <c r="I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3"/>
      <c r="B26" s="19"/>
      <c r="C26" s="17" t="s">
        <v>48</v>
      </c>
      <c r="D26" s="18">
        <v>157.0</v>
      </c>
      <c r="E26" s="19"/>
      <c r="F26" s="23" t="s">
        <v>49</v>
      </c>
      <c r="G26" s="18">
        <v>341.0</v>
      </c>
      <c r="H26" s="4"/>
      <c r="I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3"/>
      <c r="B27" s="19"/>
      <c r="C27" s="17" t="s">
        <v>51</v>
      </c>
      <c r="D27" s="18">
        <v>233.0</v>
      </c>
      <c r="E27" s="21"/>
      <c r="F27" s="17" t="s">
        <v>52</v>
      </c>
      <c r="G27" s="18">
        <v>400.0</v>
      </c>
      <c r="H27" s="4"/>
      <c r="I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19"/>
      <c r="C28" s="17" t="s">
        <v>53</v>
      </c>
      <c r="D28" s="18">
        <v>145.0</v>
      </c>
      <c r="E28" s="16"/>
      <c r="F28" s="31"/>
      <c r="G28" s="2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B29" s="19"/>
      <c r="C29" s="17" t="s">
        <v>55</v>
      </c>
      <c r="D29" s="18">
        <v>145.0</v>
      </c>
      <c r="E29" s="20"/>
      <c r="F29" s="10" t="s">
        <v>34</v>
      </c>
      <c r="G29" s="11">
        <f>SUM(G30:G33)</f>
        <v>834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3"/>
      <c r="B30" s="19"/>
      <c r="C30" s="17" t="s">
        <v>57</v>
      </c>
      <c r="D30" s="18">
        <v>658.0</v>
      </c>
      <c r="E30" s="22" t="s">
        <v>58</v>
      </c>
      <c r="F30" s="23" t="s">
        <v>59</v>
      </c>
      <c r="G30" s="18">
        <v>334.0</v>
      </c>
      <c r="H30" s="4"/>
      <c r="I30" s="4">
        <f>D19-G34</f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3"/>
      <c r="B31" s="19"/>
      <c r="C31" s="17" t="s">
        <v>61</v>
      </c>
      <c r="D31" s="18">
        <v>615.0</v>
      </c>
      <c r="E31" s="19"/>
      <c r="F31" s="23" t="s">
        <v>62</v>
      </c>
      <c r="G31" s="18">
        <v>156.0</v>
      </c>
      <c r="H31" s="4"/>
      <c r="I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3"/>
      <c r="B32" s="21"/>
      <c r="C32" s="25" t="s">
        <v>63</v>
      </c>
      <c r="D32" s="26">
        <v>-152.0</v>
      </c>
      <c r="E32" s="19"/>
      <c r="F32" s="23" t="s">
        <v>64</v>
      </c>
      <c r="G32" s="18">
        <v>199.0</v>
      </c>
      <c r="H32" s="4"/>
      <c r="I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3"/>
      <c r="B33" s="35"/>
      <c r="C33" s="23"/>
      <c r="D33" s="18"/>
      <c r="E33" s="21"/>
      <c r="F33" s="17" t="s">
        <v>65</v>
      </c>
      <c r="G33" s="18">
        <v>145.0</v>
      </c>
      <c r="H33" s="4"/>
      <c r="I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3"/>
      <c r="B34" s="35"/>
      <c r="E34" s="4"/>
      <c r="F34" s="36" t="s">
        <v>66</v>
      </c>
      <c r="G34" s="37">
        <f>G29+G19</f>
        <v>2996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3"/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7">
    <mergeCell ref="E20:E24"/>
    <mergeCell ref="B20:B22"/>
    <mergeCell ref="E25:E27"/>
    <mergeCell ref="E30:E33"/>
    <mergeCell ref="B24:B32"/>
    <mergeCell ref="F28:G28"/>
    <mergeCell ref="E28:E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8.7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3" t="s">
        <v>38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6"/>
      <c r="B29" s="6"/>
      <c r="C29" s="7" t="s">
        <v>17</v>
      </c>
      <c r="D29" s="14">
        <f>SUM(D30:D40)</f>
        <v>2162</v>
      </c>
      <c r="E29" s="4"/>
      <c r="F29" s="10" t="s">
        <v>18</v>
      </c>
      <c r="G29" s="11">
        <f>SUM(G30:G36)</f>
        <v>810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 t="s">
        <v>19</v>
      </c>
      <c r="B30" s="12" t="s">
        <v>50</v>
      </c>
      <c r="C30" s="13" t="s">
        <v>25</v>
      </c>
      <c r="D30" s="15">
        <v>23.0</v>
      </c>
      <c r="E30" s="22" t="s">
        <v>21</v>
      </c>
      <c r="F30" s="23" t="s">
        <v>30</v>
      </c>
      <c r="G30" s="18">
        <v>375.0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9"/>
      <c r="B31" s="32" t="s">
        <v>54</v>
      </c>
      <c r="C31" s="17" t="s">
        <v>35</v>
      </c>
      <c r="D31" s="18">
        <v>503.0</v>
      </c>
      <c r="E31" s="21"/>
      <c r="F31" s="23" t="s">
        <v>36</v>
      </c>
      <c r="G31" s="18">
        <v>330.0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1"/>
      <c r="B32" s="33" t="s">
        <v>56</v>
      </c>
      <c r="C32" s="25" t="s">
        <v>37</v>
      </c>
      <c r="D32" s="26">
        <v>660.0</v>
      </c>
      <c r="E32" s="16"/>
      <c r="F32" s="23"/>
      <c r="G32" s="1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 t="s">
        <v>44</v>
      </c>
      <c r="B33" s="12" t="s">
        <v>60</v>
      </c>
      <c r="C33" s="13" t="s">
        <v>45</v>
      </c>
      <c r="D33" s="15">
        <v>75.0</v>
      </c>
      <c r="E33" s="20"/>
      <c r="F33" s="23"/>
      <c r="G33" s="1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9"/>
      <c r="B34" s="19"/>
      <c r="C34" s="17" t="s">
        <v>48</v>
      </c>
      <c r="D34" s="18">
        <v>60.0</v>
      </c>
      <c r="E34" s="20"/>
      <c r="F34" s="23"/>
      <c r="G34" s="1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9"/>
      <c r="B35" s="19"/>
      <c r="C35" s="17" t="s">
        <v>46</v>
      </c>
      <c r="D35" s="18">
        <v>315.0</v>
      </c>
      <c r="E35" s="34" t="s">
        <v>27</v>
      </c>
      <c r="F35" s="23" t="s">
        <v>49</v>
      </c>
      <c r="G35" s="18">
        <v>105.0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9"/>
      <c r="B36" s="19"/>
      <c r="C36" s="17" t="s">
        <v>53</v>
      </c>
      <c r="D36" s="18">
        <v>75.0</v>
      </c>
      <c r="E36" s="16"/>
      <c r="F36" s="17"/>
      <c r="G36" s="1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9"/>
      <c r="B37" s="19"/>
      <c r="C37" s="17" t="s">
        <v>55</v>
      </c>
      <c r="D37" s="18">
        <v>128.0</v>
      </c>
      <c r="E37" s="20"/>
      <c r="F37" s="4"/>
      <c r="G37" s="2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9"/>
      <c r="B38" s="19"/>
      <c r="C38" s="17" t="s">
        <v>57</v>
      </c>
      <c r="D38" s="18">
        <v>345.0</v>
      </c>
      <c r="E38" s="20"/>
      <c r="F38" s="10" t="s">
        <v>34</v>
      </c>
      <c r="G38" s="11">
        <f>SUM(G39:G41)</f>
        <v>1352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9"/>
      <c r="B39" s="19"/>
      <c r="C39" s="17" t="s">
        <v>61</v>
      </c>
      <c r="D39" s="18"/>
      <c r="E39" s="22" t="s">
        <v>58</v>
      </c>
      <c r="F39" s="23" t="s">
        <v>59</v>
      </c>
      <c r="G39" s="18">
        <v>795.0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1"/>
      <c r="B40" s="21"/>
      <c r="C40" s="25" t="s">
        <v>63</v>
      </c>
      <c r="D40" s="26">
        <v>-22.0</v>
      </c>
      <c r="E40" s="19"/>
      <c r="F40" s="23" t="s">
        <v>62</v>
      </c>
      <c r="G40" s="18">
        <v>118.25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5"/>
      <c r="B41" s="4"/>
      <c r="C41" s="4"/>
      <c r="D41" s="4"/>
      <c r="E41" s="21"/>
      <c r="F41" s="23" t="s">
        <v>64</v>
      </c>
      <c r="G41" s="18">
        <v>438.75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5"/>
      <c r="B42" s="35"/>
      <c r="C42" s="4"/>
      <c r="D42" s="4"/>
      <c r="E42" s="4"/>
      <c r="F42" s="36" t="s">
        <v>66</v>
      </c>
      <c r="G42" s="37">
        <f>G38+G29</f>
        <v>2162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6" t="s">
        <v>67</v>
      </c>
      <c r="B45" s="4"/>
      <c r="C45" s="23" t="s">
        <v>68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38" t="s">
        <v>69</v>
      </c>
      <c r="D46" s="39">
        <f>D30+D31+D32</f>
        <v>1186</v>
      </c>
      <c r="E46" s="40" t="s">
        <v>70</v>
      </c>
      <c r="F46" s="41">
        <f>D46/D47</f>
        <v>1.682269504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B47" s="4"/>
      <c r="C47" s="42" t="s">
        <v>71</v>
      </c>
      <c r="D47" s="43">
        <f>G30+G31</f>
        <v>705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6" t="s">
        <v>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23" t="s">
        <v>78</v>
      </c>
      <c r="D51" s="23">
        <f>D46-D32</f>
        <v>526</v>
      </c>
      <c r="E51" s="40" t="s">
        <v>70</v>
      </c>
      <c r="F51" s="41">
        <f>D51/D52</f>
        <v>0.7460992908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9" t="s">
        <v>71</v>
      </c>
      <c r="D52" s="51">
        <v>705.0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6" t="s">
        <v>82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23" t="s">
        <v>81</v>
      </c>
      <c r="D56" s="23">
        <f>D30</f>
        <v>23</v>
      </c>
      <c r="E56" s="40" t="s">
        <v>70</v>
      </c>
      <c r="F56" s="56">
        <f>D56/D57</f>
        <v>0.03262411348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9" t="s">
        <v>71</v>
      </c>
      <c r="D57" s="51">
        <v>705.0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</sheetData>
  <mergeCells count="8">
    <mergeCell ref="F37:G37"/>
    <mergeCell ref="E30:E31"/>
    <mergeCell ref="E39:E41"/>
    <mergeCell ref="A30:A32"/>
    <mergeCell ref="B33:B40"/>
    <mergeCell ref="E32:E34"/>
    <mergeCell ref="E36:E38"/>
    <mergeCell ref="A33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30.63"/>
    <col customWidth="1" min="12" max="12" width="24.1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6" t="s">
        <v>72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6" t="s">
        <v>73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6" t="s">
        <v>74</v>
      </c>
      <c r="E32" s="4"/>
      <c r="F32" s="4"/>
      <c r="G32" s="4"/>
      <c r="H32" s="4"/>
      <c r="I32" s="4"/>
      <c r="J32" s="4"/>
      <c r="K32" s="4"/>
      <c r="L32" s="6" t="s">
        <v>75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4" t="s">
        <v>77</v>
      </c>
      <c r="B33" s="45" t="s">
        <v>79</v>
      </c>
      <c r="C33" s="45" t="s">
        <v>80</v>
      </c>
      <c r="D33" s="46"/>
      <c r="E33" s="47">
        <v>2019.0</v>
      </c>
      <c r="F33" s="45" t="s">
        <v>79</v>
      </c>
      <c r="G33" s="47">
        <v>2020.0</v>
      </c>
      <c r="H33" s="45" t="s">
        <v>80</v>
      </c>
      <c r="I33" s="48">
        <v>2021.0</v>
      </c>
      <c r="J33" s="4"/>
      <c r="K33" s="4"/>
      <c r="L33" s="50"/>
      <c r="M33" s="47">
        <v>2019.0</v>
      </c>
      <c r="N33" s="45" t="s">
        <v>79</v>
      </c>
      <c r="O33" s="52">
        <v>2020.0</v>
      </c>
      <c r="P33" s="45" t="s">
        <v>80</v>
      </c>
      <c r="Q33" s="53">
        <v>2021.0</v>
      </c>
      <c r="R33" s="5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35" t="s">
        <v>81</v>
      </c>
      <c r="B34" s="55">
        <f>(E34)/E45</f>
        <v>0.004417448923</v>
      </c>
      <c r="C34" s="57">
        <f t="shared" ref="C34:C35" si="1">(G34)/$G$45</f>
        <v>0.002276074441</v>
      </c>
      <c r="D34" s="23" t="s">
        <v>25</v>
      </c>
      <c r="E34" s="58">
        <v>24.0</v>
      </c>
      <c r="F34" s="59">
        <f t="shared" ref="F34:F35" si="2">E34/$E$45</f>
        <v>0.004417448923</v>
      </c>
      <c r="G34" s="18">
        <v>17.0</v>
      </c>
      <c r="H34" s="60">
        <f t="shared" ref="H34:H35" si="3">G34/$G$45</f>
        <v>0.002276074441</v>
      </c>
      <c r="I34" s="61">
        <v>12.0</v>
      </c>
      <c r="J34" s="4"/>
      <c r="K34" s="4"/>
      <c r="L34" s="62" t="s">
        <v>83</v>
      </c>
      <c r="M34" s="18">
        <v>3067.0</v>
      </c>
      <c r="N34" s="60">
        <f>M34/M34</f>
        <v>1</v>
      </c>
      <c r="O34" s="62">
        <v>3259.0</v>
      </c>
      <c r="P34" s="63">
        <f t="shared" ref="P34:P44" si="4">O34/$O$34</f>
        <v>1</v>
      </c>
      <c r="Q34" s="64">
        <v>3573.0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35" t="s">
        <v>54</v>
      </c>
      <c r="B35" s="55">
        <f>(E35+E36)/$E$45</f>
        <v>0.0548499908</v>
      </c>
      <c r="C35" s="57">
        <f t="shared" si="1"/>
        <v>0.08769580935</v>
      </c>
      <c r="D35" s="23" t="s">
        <v>84</v>
      </c>
      <c r="E35" s="58">
        <v>298.0</v>
      </c>
      <c r="F35" s="59">
        <f t="shared" si="2"/>
        <v>0.0548499908</v>
      </c>
      <c r="G35" s="18">
        <v>655.0</v>
      </c>
      <c r="H35" s="60">
        <f t="shared" si="3"/>
        <v>0.08769580935</v>
      </c>
      <c r="I35" s="61">
        <v>286.0</v>
      </c>
      <c r="J35" s="4"/>
      <c r="K35" s="4"/>
      <c r="L35" s="62" t="s">
        <v>85</v>
      </c>
      <c r="M35" s="18">
        <v>1521.0</v>
      </c>
      <c r="N35" s="60">
        <f>M35/$M$34</f>
        <v>0.495924356</v>
      </c>
      <c r="O35" s="62">
        <v>1538.0</v>
      </c>
      <c r="P35" s="63">
        <f t="shared" si="4"/>
        <v>0.471923903</v>
      </c>
      <c r="Q35" s="64">
        <v>1586.0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B36" s="55"/>
      <c r="C36" s="57"/>
      <c r="D36" s="23" t="s">
        <v>86</v>
      </c>
      <c r="E36" s="65"/>
      <c r="F36" s="59"/>
      <c r="G36" s="66"/>
      <c r="H36" s="60"/>
      <c r="I36" s="67"/>
      <c r="J36" s="4"/>
      <c r="K36" s="4"/>
      <c r="L36" s="68" t="s">
        <v>87</v>
      </c>
      <c r="M36" s="15">
        <v>1546.0</v>
      </c>
      <c r="N36" s="69">
        <f>N34-N35</f>
        <v>0.504075644</v>
      </c>
      <c r="O36" s="70">
        <v>1721.0</v>
      </c>
      <c r="P36" s="71">
        <f t="shared" si="4"/>
        <v>0.528076097</v>
      </c>
      <c r="Q36" s="72">
        <v>1987.0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35" t="s">
        <v>88</v>
      </c>
      <c r="B37" s="55">
        <f>(E37+E38+E39)/E45</f>
        <v>0.1152217927</v>
      </c>
      <c r="C37" s="57">
        <f>(G37+G38+G39)/$G$45</f>
        <v>0.08970411032</v>
      </c>
      <c r="D37" s="23" t="s">
        <v>89</v>
      </c>
      <c r="E37" s="58">
        <v>371.0</v>
      </c>
      <c r="F37" s="59">
        <f t="shared" ref="F37:F39" si="5">E37/$E$45</f>
        <v>0.06828639794</v>
      </c>
      <c r="G37" s="18">
        <v>471.0</v>
      </c>
      <c r="H37" s="60">
        <f t="shared" ref="H37:H39" si="6">G37/$G$45</f>
        <v>0.06306065069</v>
      </c>
      <c r="I37" s="61">
        <v>671.0</v>
      </c>
      <c r="J37" s="4"/>
      <c r="K37" s="4"/>
      <c r="L37" s="62" t="s">
        <v>90</v>
      </c>
      <c r="M37" s="18">
        <v>255.0</v>
      </c>
      <c r="N37" s="60">
        <f t="shared" ref="N37:N39" si="7">M37/$M$34</f>
        <v>0.08314313662</v>
      </c>
      <c r="O37" s="73">
        <v>238.0</v>
      </c>
      <c r="P37" s="74">
        <f t="shared" si="4"/>
        <v>0.07302853636</v>
      </c>
      <c r="Q37" s="61">
        <v>208.0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C38" s="75"/>
      <c r="D38" s="23" t="s">
        <v>91</v>
      </c>
      <c r="E38" s="58">
        <v>156.0</v>
      </c>
      <c r="F38" s="59">
        <f t="shared" si="5"/>
        <v>0.028713418</v>
      </c>
      <c r="G38" s="18">
        <v>95.0</v>
      </c>
      <c r="H38" s="60">
        <f t="shared" si="6"/>
        <v>0.01271923952</v>
      </c>
      <c r="I38" s="61">
        <v>188.0</v>
      </c>
      <c r="J38" s="4"/>
      <c r="K38" s="4"/>
      <c r="L38" s="62" t="s">
        <v>92</v>
      </c>
      <c r="M38" s="18">
        <v>789.0</v>
      </c>
      <c r="N38" s="60">
        <f t="shared" si="7"/>
        <v>0.2572546462</v>
      </c>
      <c r="O38" s="73">
        <v>661.0</v>
      </c>
      <c r="P38" s="74">
        <f t="shared" si="4"/>
        <v>0.2028229518</v>
      </c>
      <c r="Q38" s="61">
        <v>562.0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C39" s="75"/>
      <c r="D39" s="23" t="s">
        <v>93</v>
      </c>
      <c r="E39" s="58">
        <v>99.0</v>
      </c>
      <c r="F39" s="59">
        <f t="shared" si="5"/>
        <v>0.01822197681</v>
      </c>
      <c r="G39" s="18">
        <v>104.0</v>
      </c>
      <c r="H39" s="60">
        <f t="shared" si="6"/>
        <v>0.01392422011</v>
      </c>
      <c r="I39" s="61">
        <v>142.0</v>
      </c>
      <c r="J39" s="4"/>
      <c r="K39" s="4"/>
      <c r="L39" s="62" t="s">
        <v>94</v>
      </c>
      <c r="M39" s="18">
        <v>104.0</v>
      </c>
      <c r="N39" s="60">
        <f t="shared" si="7"/>
        <v>0.03390935768</v>
      </c>
      <c r="O39" s="73">
        <v>208.0</v>
      </c>
      <c r="P39" s="74">
        <f t="shared" si="4"/>
        <v>0.06382325867</v>
      </c>
      <c r="Q39" s="61">
        <v>409.0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76"/>
      <c r="B40" s="77"/>
      <c r="C40" s="78"/>
      <c r="D40" s="79" t="s">
        <v>95</v>
      </c>
      <c r="E40" s="80">
        <v>948.0</v>
      </c>
      <c r="F40" s="81">
        <f>E40/E45</f>
        <v>0.1744892325</v>
      </c>
      <c r="G40" s="82">
        <v>1342.0</v>
      </c>
      <c r="H40" s="83">
        <f>G40/G45</f>
        <v>0.1796759941</v>
      </c>
      <c r="I40" s="84">
        <v>1299.0</v>
      </c>
      <c r="J40" s="4"/>
      <c r="K40" s="4"/>
      <c r="L40" s="68" t="s">
        <v>96</v>
      </c>
      <c r="M40" s="15">
        <v>398.0</v>
      </c>
      <c r="N40" s="69">
        <f>N36-N39-N38-N37</f>
        <v>0.1297685034</v>
      </c>
      <c r="O40" s="70">
        <v>614.0</v>
      </c>
      <c r="P40" s="71">
        <f t="shared" si="4"/>
        <v>0.1884013501</v>
      </c>
      <c r="Q40" s="72">
        <v>808.0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35" t="s">
        <v>97</v>
      </c>
      <c r="B41" s="55">
        <f>(E42+E43)/E45</f>
        <v>0.8255107675</v>
      </c>
      <c r="C41" s="57">
        <f>(G42+G43)/$G$45</f>
        <v>0.8203240059</v>
      </c>
      <c r="D41" s="4"/>
      <c r="E41" s="65"/>
      <c r="F41" s="59"/>
      <c r="G41" s="66"/>
      <c r="H41" s="85"/>
      <c r="I41" s="67"/>
      <c r="J41" s="4"/>
      <c r="K41" s="4"/>
      <c r="L41" s="62" t="s">
        <v>98</v>
      </c>
      <c r="M41" s="18">
        <v>274.0</v>
      </c>
      <c r="N41" s="60">
        <f>M41/M34</f>
        <v>0.08933811542</v>
      </c>
      <c r="O41" s="73">
        <v>161.0</v>
      </c>
      <c r="P41" s="74">
        <f t="shared" si="4"/>
        <v>0.04940165695</v>
      </c>
      <c r="Q41" s="61">
        <v>237.0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C42" s="75"/>
      <c r="D42" s="23" t="s">
        <v>99</v>
      </c>
      <c r="E42" s="58">
        <v>4897.0</v>
      </c>
      <c r="F42" s="59">
        <f>E42/$E$45</f>
        <v>0.9013436407</v>
      </c>
      <c r="G42" s="18">
        <v>6947.0</v>
      </c>
      <c r="H42" s="60">
        <f t="shared" ref="H42:H43" si="8">G42/$G$45</f>
        <v>0.930111126</v>
      </c>
      <c r="I42" s="61">
        <v>7379.0</v>
      </c>
      <c r="J42" s="4"/>
      <c r="K42" s="4"/>
      <c r="L42" s="68" t="s">
        <v>100</v>
      </c>
      <c r="M42" s="15">
        <v>124.0</v>
      </c>
      <c r="N42" s="69">
        <f>N40-N41</f>
        <v>0.040430388</v>
      </c>
      <c r="O42" s="70">
        <v>453.0</v>
      </c>
      <c r="P42" s="71">
        <f t="shared" si="4"/>
        <v>0.1389996932</v>
      </c>
      <c r="Q42" s="72">
        <v>571.0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C43" s="75"/>
      <c r="D43" s="23" t="s">
        <v>101</v>
      </c>
      <c r="E43" s="58">
        <v>-412.0</v>
      </c>
      <c r="F43" s="59">
        <f>E43/E45</f>
        <v>-0.07583287318</v>
      </c>
      <c r="G43" s="18">
        <v>-820.0</v>
      </c>
      <c r="H43" s="60">
        <f t="shared" si="8"/>
        <v>-0.1097871201</v>
      </c>
      <c r="I43" s="61">
        <v>-1090.0</v>
      </c>
      <c r="J43" s="4"/>
      <c r="K43" s="4"/>
      <c r="L43" s="62" t="s">
        <v>102</v>
      </c>
      <c r="M43" s="18">
        <v>43.4</v>
      </c>
      <c r="N43" s="60">
        <f>M43/M34</f>
        <v>0.0141506358</v>
      </c>
      <c r="O43" s="73">
        <v>158.6</v>
      </c>
      <c r="P43" s="86">
        <f t="shared" si="4"/>
        <v>0.04866523473</v>
      </c>
      <c r="Q43" s="61">
        <v>199.9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87"/>
      <c r="C44" s="88"/>
      <c r="D44" s="79" t="s">
        <v>103</v>
      </c>
      <c r="E44" s="80">
        <v>4485.0</v>
      </c>
      <c r="F44" s="81">
        <f>E44/E45</f>
        <v>0.8255107675</v>
      </c>
      <c r="G44" s="82">
        <v>6127.0</v>
      </c>
      <c r="H44" s="83">
        <f>G44/G45</f>
        <v>0.8203240059</v>
      </c>
      <c r="I44" s="84">
        <v>6289.0</v>
      </c>
      <c r="J44" s="54"/>
      <c r="K44" s="4"/>
      <c r="L44" s="89" t="s">
        <v>104</v>
      </c>
      <c r="M44" s="90">
        <v>80.6</v>
      </c>
      <c r="N44" s="91">
        <f>N42-N43</f>
        <v>0.0262797522</v>
      </c>
      <c r="O44" s="89">
        <v>294.5</v>
      </c>
      <c r="P44" s="92">
        <f t="shared" si="4"/>
        <v>0.09036514268</v>
      </c>
      <c r="Q44" s="93">
        <v>371.2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94"/>
      <c r="B45" s="95"/>
      <c r="C45" s="96"/>
      <c r="D45" s="97" t="s">
        <v>105</v>
      </c>
      <c r="E45" s="98">
        <v>5433.0</v>
      </c>
      <c r="F45" s="99">
        <f t="shared" ref="F45:F49" si="9">E45/$E$45</f>
        <v>1</v>
      </c>
      <c r="G45" s="100">
        <v>7469.0</v>
      </c>
      <c r="H45" s="101">
        <f t="shared" ref="H45:H49" si="10">G45/$G$45</f>
        <v>1</v>
      </c>
      <c r="I45" s="102">
        <v>7588.0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73" t="s">
        <v>106</v>
      </c>
      <c r="E46" s="58">
        <v>878.0</v>
      </c>
      <c r="F46" s="59">
        <f t="shared" si="9"/>
        <v>0.1616050064</v>
      </c>
      <c r="G46" s="18">
        <v>664.0</v>
      </c>
      <c r="H46" s="60">
        <f t="shared" si="10"/>
        <v>0.08890078993</v>
      </c>
      <c r="I46" s="61">
        <v>502.0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73" t="s">
        <v>107</v>
      </c>
      <c r="E47" s="58">
        <v>117.0</v>
      </c>
      <c r="F47" s="59">
        <f t="shared" si="9"/>
        <v>0.0215350635</v>
      </c>
      <c r="G47" s="18">
        <v>165.0</v>
      </c>
      <c r="H47" s="60">
        <f t="shared" si="10"/>
        <v>0.02209131075</v>
      </c>
      <c r="I47" s="61">
        <v>50.0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73" t="s">
        <v>108</v>
      </c>
      <c r="E48" s="58">
        <v>616.0</v>
      </c>
      <c r="F48" s="59">
        <f t="shared" si="9"/>
        <v>0.113381189</v>
      </c>
      <c r="G48" s="18">
        <v>338.0</v>
      </c>
      <c r="H48" s="60">
        <f t="shared" si="10"/>
        <v>0.04525371536</v>
      </c>
      <c r="I48" s="61">
        <v>629.0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73" t="s">
        <v>109</v>
      </c>
      <c r="E49" s="58">
        <v>127.0</v>
      </c>
      <c r="F49" s="59">
        <f t="shared" si="9"/>
        <v>0.02337566722</v>
      </c>
      <c r="G49" s="18">
        <v>49.0</v>
      </c>
      <c r="H49" s="60">
        <f t="shared" si="10"/>
        <v>0.006560449859</v>
      </c>
      <c r="I49" s="61">
        <v>56.0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103"/>
      <c r="E50" s="65"/>
      <c r="F50" s="104"/>
      <c r="G50" s="66"/>
      <c r="H50" s="85"/>
      <c r="I50" s="6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105" t="s">
        <v>110</v>
      </c>
      <c r="E51" s="80">
        <v>1738.0</v>
      </c>
      <c r="F51" s="81">
        <f>E51/E45</f>
        <v>0.3198969262</v>
      </c>
      <c r="G51" s="82">
        <v>1216.0</v>
      </c>
      <c r="H51" s="83">
        <f>G51/G45</f>
        <v>0.1628062659</v>
      </c>
      <c r="I51" s="84">
        <v>1237.0</v>
      </c>
      <c r="J51" s="5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73" t="s">
        <v>111</v>
      </c>
      <c r="E52" s="58">
        <v>1462.0</v>
      </c>
      <c r="F52" s="59">
        <f>E52/E45</f>
        <v>0.2690962636</v>
      </c>
      <c r="G52" s="18">
        <v>1899.0</v>
      </c>
      <c r="H52" s="60">
        <f t="shared" ref="H52:H53" si="11">G52/$G$45</f>
        <v>0.2542509037</v>
      </c>
      <c r="I52" s="61">
        <v>1589.0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73" t="s">
        <v>112</v>
      </c>
      <c r="E53" s="58">
        <v>434.0</v>
      </c>
      <c r="F53" s="59">
        <f>E53/E45</f>
        <v>0.07988220136</v>
      </c>
      <c r="G53" s="18">
        <v>1620.0</v>
      </c>
      <c r="H53" s="60">
        <f t="shared" si="11"/>
        <v>0.2168965056</v>
      </c>
      <c r="I53" s="61">
        <v>202.0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103"/>
      <c r="E54" s="65"/>
      <c r="F54" s="104"/>
      <c r="G54" s="66"/>
      <c r="H54" s="85"/>
      <c r="I54" s="6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106" t="s">
        <v>113</v>
      </c>
      <c r="E55" s="107">
        <v>1896.0</v>
      </c>
      <c r="F55" s="108">
        <f>E55/E45</f>
        <v>0.3489784649</v>
      </c>
      <c r="G55" s="14">
        <v>3519.0</v>
      </c>
      <c r="H55" s="109">
        <f>G55/G45</f>
        <v>0.4711474093</v>
      </c>
      <c r="I55" s="110">
        <v>1791.0</v>
      </c>
      <c r="J55" s="5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105" t="s">
        <v>114</v>
      </c>
      <c r="E56" s="80">
        <v>3634.0</v>
      </c>
      <c r="F56" s="81">
        <f>E56/E45</f>
        <v>0.6688753911</v>
      </c>
      <c r="G56" s="82">
        <v>4735.0</v>
      </c>
      <c r="H56" s="83">
        <f>G56/G45</f>
        <v>0.6339536752</v>
      </c>
      <c r="I56" s="84">
        <v>3028.0</v>
      </c>
      <c r="J56" s="5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103"/>
      <c r="E57" s="65"/>
      <c r="F57" s="104"/>
      <c r="G57" s="66"/>
      <c r="H57" s="85"/>
      <c r="I57" s="6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106" t="s">
        <v>115</v>
      </c>
      <c r="E58" s="107">
        <v>1799.0</v>
      </c>
      <c r="F58" s="108">
        <f>E58/E45</f>
        <v>0.3311246089</v>
      </c>
      <c r="G58" s="14">
        <v>2734.0</v>
      </c>
      <c r="H58" s="109">
        <f>G58/G45</f>
        <v>0.3660463248</v>
      </c>
      <c r="I58" s="110">
        <v>4560.0</v>
      </c>
      <c r="J58" s="5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111" t="s">
        <v>116</v>
      </c>
      <c r="E59" s="98">
        <v>5433.0</v>
      </c>
      <c r="F59" s="112">
        <f>E59/E45</f>
        <v>1</v>
      </c>
      <c r="G59" s="100">
        <v>7469.0</v>
      </c>
      <c r="H59" s="101">
        <f>G59/G45</f>
        <v>1</v>
      </c>
      <c r="I59" s="102">
        <v>7588.0</v>
      </c>
      <c r="J59" s="5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1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6" t="s">
        <v>117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 t="s">
        <v>118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6" t="s">
        <v>74</v>
      </c>
      <c r="C68" s="4"/>
      <c r="D68" s="4"/>
      <c r="E68" s="54"/>
      <c r="F68" s="54"/>
      <c r="G68" s="4"/>
      <c r="H68" s="4"/>
      <c r="I68" s="4"/>
      <c r="L68" s="6" t="s">
        <v>75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114"/>
      <c r="C69" s="47">
        <v>2019.0</v>
      </c>
      <c r="D69" s="115">
        <v>2020.0</v>
      </c>
      <c r="E69" s="116" t="s">
        <v>119</v>
      </c>
      <c r="F69" s="117" t="s">
        <v>120</v>
      </c>
      <c r="G69" s="48">
        <v>2021.0</v>
      </c>
      <c r="H69" s="45" t="s">
        <v>121</v>
      </c>
      <c r="I69" s="45" t="s">
        <v>122</v>
      </c>
      <c r="L69" s="50"/>
      <c r="M69" s="47">
        <v>2019.0</v>
      </c>
      <c r="N69" s="52">
        <v>2020.0</v>
      </c>
      <c r="O69" s="116" t="s">
        <v>119</v>
      </c>
      <c r="P69" s="117" t="s">
        <v>120</v>
      </c>
      <c r="Q69" s="53">
        <v>2021.0</v>
      </c>
      <c r="R69" s="116" t="s">
        <v>119</v>
      </c>
      <c r="S69" s="117" t="s">
        <v>120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73" t="s">
        <v>25</v>
      </c>
      <c r="C70" s="58">
        <v>24.0</v>
      </c>
      <c r="D70" s="23">
        <v>17.0</v>
      </c>
      <c r="E70" s="118">
        <f t="shared" ref="E70:E71" si="12">D70-C70</f>
        <v>-7</v>
      </c>
      <c r="F70" s="85">
        <f t="shared" ref="F70:F71" si="13">(D70/C70)-1</f>
        <v>-0.2916666667</v>
      </c>
      <c r="G70" s="61">
        <v>12.0</v>
      </c>
      <c r="H70" s="119">
        <f t="shared" ref="H70:H71" si="14">G70-D70</f>
        <v>-5</v>
      </c>
      <c r="I70" s="120">
        <f t="shared" ref="I70:I71" si="15">H70/D70</f>
        <v>-0.2941176471</v>
      </c>
      <c r="L70" s="62" t="s">
        <v>83</v>
      </c>
      <c r="M70" s="18">
        <v>3067.0</v>
      </c>
      <c r="N70" s="62">
        <v>3259.0</v>
      </c>
      <c r="O70" s="121">
        <f t="shared" ref="O70:O80" si="16">N70-M70</f>
        <v>192</v>
      </c>
      <c r="P70" s="63">
        <f t="shared" ref="P70:P80" si="17">(N70/M70)-1</f>
        <v>0.0626018911</v>
      </c>
      <c r="Q70" s="64">
        <v>3573.0</v>
      </c>
      <c r="R70" s="122">
        <f t="shared" ref="R70:R80" si="18">Q70-N70</f>
        <v>314</v>
      </c>
      <c r="S70" s="59">
        <f t="shared" ref="S70:S80" si="19">R70/N70</f>
        <v>0.09634857318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73" t="s">
        <v>84</v>
      </c>
      <c r="C71" s="58">
        <v>298.0</v>
      </c>
      <c r="D71" s="23">
        <v>655.0</v>
      </c>
      <c r="E71" s="118">
        <f t="shared" si="12"/>
        <v>357</v>
      </c>
      <c r="F71" s="85">
        <f t="shared" si="13"/>
        <v>1.197986577</v>
      </c>
      <c r="G71" s="61">
        <v>286.0</v>
      </c>
      <c r="H71" s="123">
        <f t="shared" si="14"/>
        <v>-369</v>
      </c>
      <c r="I71" s="120">
        <f t="shared" si="15"/>
        <v>-0.5633587786</v>
      </c>
      <c r="L71" s="62" t="s">
        <v>85</v>
      </c>
      <c r="M71" s="18">
        <v>1521.0</v>
      </c>
      <c r="N71" s="62">
        <v>1538.0</v>
      </c>
      <c r="O71" s="124">
        <f t="shared" si="16"/>
        <v>17</v>
      </c>
      <c r="P71" s="125">
        <f t="shared" si="17"/>
        <v>0.01117685733</v>
      </c>
      <c r="Q71" s="64">
        <v>1586.0</v>
      </c>
      <c r="R71" s="122">
        <f t="shared" si="18"/>
        <v>48</v>
      </c>
      <c r="S71" s="59">
        <f t="shared" si="19"/>
        <v>0.03120936281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73" t="s">
        <v>86</v>
      </c>
      <c r="C72" s="65"/>
      <c r="D72" s="4"/>
      <c r="E72" s="118"/>
      <c r="F72" s="85"/>
      <c r="G72" s="67"/>
      <c r="H72" s="123"/>
      <c r="I72" s="120"/>
      <c r="L72" s="68" t="s">
        <v>87</v>
      </c>
      <c r="M72" s="15">
        <v>1546.0</v>
      </c>
      <c r="N72" s="70">
        <v>1721.0</v>
      </c>
      <c r="O72" s="121">
        <f t="shared" si="16"/>
        <v>175</v>
      </c>
      <c r="P72" s="63">
        <f t="shared" si="17"/>
        <v>0.1131953428</v>
      </c>
      <c r="Q72" s="72">
        <v>1987.0</v>
      </c>
      <c r="R72" s="126">
        <f t="shared" si="18"/>
        <v>266</v>
      </c>
      <c r="S72" s="127">
        <f t="shared" si="19"/>
        <v>0.1545613016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73" t="s">
        <v>89</v>
      </c>
      <c r="C73" s="58">
        <v>371.0</v>
      </c>
      <c r="D73" s="23">
        <v>471.0</v>
      </c>
      <c r="E73" s="118">
        <f t="shared" ref="E73:E76" si="20">D73-C73</f>
        <v>100</v>
      </c>
      <c r="F73" s="85">
        <f t="shared" ref="F73:F76" si="21">(D73/C73)-1</f>
        <v>0.269541779</v>
      </c>
      <c r="G73" s="61">
        <v>671.0</v>
      </c>
      <c r="H73" s="123">
        <f t="shared" ref="H73:H76" si="22">G73-D73</f>
        <v>200</v>
      </c>
      <c r="I73" s="120">
        <f t="shared" ref="I73:I76" si="23">H73/D73</f>
        <v>0.4246284501</v>
      </c>
      <c r="L73" s="62" t="s">
        <v>90</v>
      </c>
      <c r="M73" s="18">
        <v>255.0</v>
      </c>
      <c r="N73" s="73">
        <v>238.0</v>
      </c>
      <c r="O73" s="121">
        <f t="shared" si="16"/>
        <v>-17</v>
      </c>
      <c r="P73" s="63">
        <f t="shared" si="17"/>
        <v>-0.06666666667</v>
      </c>
      <c r="Q73" s="61">
        <v>208.0</v>
      </c>
      <c r="R73" s="128">
        <f t="shared" si="18"/>
        <v>-30</v>
      </c>
      <c r="S73" s="59">
        <f t="shared" si="19"/>
        <v>-0.1260504202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73" t="s">
        <v>91</v>
      </c>
      <c r="C74" s="58">
        <v>156.0</v>
      </c>
      <c r="D74" s="23">
        <v>95.0</v>
      </c>
      <c r="E74" s="118">
        <f t="shared" si="20"/>
        <v>-61</v>
      </c>
      <c r="F74" s="85">
        <f t="shared" si="21"/>
        <v>-0.391025641</v>
      </c>
      <c r="G74" s="61">
        <v>188.0</v>
      </c>
      <c r="H74" s="123">
        <f t="shared" si="22"/>
        <v>93</v>
      </c>
      <c r="I74" s="120">
        <f t="shared" si="23"/>
        <v>0.9789473684</v>
      </c>
      <c r="L74" s="62" t="s">
        <v>92</v>
      </c>
      <c r="M74" s="18">
        <v>789.0</v>
      </c>
      <c r="N74" s="73">
        <v>661.0</v>
      </c>
      <c r="O74" s="121">
        <f t="shared" si="16"/>
        <v>-128</v>
      </c>
      <c r="P74" s="63">
        <f t="shared" si="17"/>
        <v>-0.1622306717</v>
      </c>
      <c r="Q74" s="61">
        <v>562.0</v>
      </c>
      <c r="R74" s="128">
        <f t="shared" si="18"/>
        <v>-99</v>
      </c>
      <c r="S74" s="59">
        <f t="shared" si="19"/>
        <v>-0.1497730711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73" t="s">
        <v>93</v>
      </c>
      <c r="C75" s="58">
        <v>99.0</v>
      </c>
      <c r="D75" s="23">
        <v>104.0</v>
      </c>
      <c r="E75" s="118">
        <f t="shared" si="20"/>
        <v>5</v>
      </c>
      <c r="F75" s="85">
        <f t="shared" si="21"/>
        <v>0.05050505051</v>
      </c>
      <c r="G75" s="61">
        <v>142.0</v>
      </c>
      <c r="H75" s="123">
        <f t="shared" si="22"/>
        <v>38</v>
      </c>
      <c r="I75" s="120">
        <f t="shared" si="23"/>
        <v>0.3653846154</v>
      </c>
      <c r="L75" s="62" t="s">
        <v>94</v>
      </c>
      <c r="M75" s="18">
        <v>104.0</v>
      </c>
      <c r="N75" s="73">
        <v>208.0</v>
      </c>
      <c r="O75" s="124">
        <f t="shared" si="16"/>
        <v>104</v>
      </c>
      <c r="P75" s="125">
        <f t="shared" si="17"/>
        <v>1</v>
      </c>
      <c r="Q75" s="61">
        <v>409.0</v>
      </c>
      <c r="R75" s="128">
        <f t="shared" si="18"/>
        <v>201</v>
      </c>
      <c r="S75" s="59">
        <f t="shared" si="19"/>
        <v>0.9663461538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105" t="s">
        <v>95</v>
      </c>
      <c r="C76" s="129">
        <v>948.0</v>
      </c>
      <c r="D76" s="130">
        <v>1342.0</v>
      </c>
      <c r="E76" s="131">
        <f t="shared" si="20"/>
        <v>394</v>
      </c>
      <c r="F76" s="132">
        <f t="shared" si="21"/>
        <v>0.4156118143</v>
      </c>
      <c r="G76" s="130">
        <v>1299.0</v>
      </c>
      <c r="H76" s="133">
        <f t="shared" si="22"/>
        <v>-43</v>
      </c>
      <c r="I76" s="134">
        <f t="shared" si="23"/>
        <v>-0.03204172876</v>
      </c>
      <c r="L76" s="68" t="s">
        <v>96</v>
      </c>
      <c r="M76" s="15">
        <v>398.0</v>
      </c>
      <c r="N76" s="70">
        <v>614.0</v>
      </c>
      <c r="O76" s="121">
        <f t="shared" si="16"/>
        <v>216</v>
      </c>
      <c r="P76" s="63">
        <f t="shared" si="17"/>
        <v>0.5427135678</v>
      </c>
      <c r="Q76" s="72">
        <v>808.0</v>
      </c>
      <c r="R76" s="126">
        <f t="shared" si="18"/>
        <v>194</v>
      </c>
      <c r="S76" s="127">
        <f t="shared" si="19"/>
        <v>0.3159609121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103"/>
      <c r="C77" s="65"/>
      <c r="D77" s="4"/>
      <c r="E77" s="118"/>
      <c r="F77" s="85"/>
      <c r="G77" s="67"/>
      <c r="H77" s="135"/>
      <c r="I77" s="136"/>
      <c r="L77" s="62" t="s">
        <v>98</v>
      </c>
      <c r="M77" s="18">
        <v>274.0</v>
      </c>
      <c r="N77" s="73">
        <v>161.0</v>
      </c>
      <c r="O77" s="124">
        <f t="shared" si="16"/>
        <v>-113</v>
      </c>
      <c r="P77" s="125">
        <f t="shared" si="17"/>
        <v>-0.4124087591</v>
      </c>
      <c r="Q77" s="61">
        <v>237.0</v>
      </c>
      <c r="R77" s="128">
        <f t="shared" si="18"/>
        <v>76</v>
      </c>
      <c r="S77" s="59">
        <f t="shared" si="19"/>
        <v>0.4720496894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73" t="s">
        <v>99</v>
      </c>
      <c r="C78" s="58">
        <v>4897.0</v>
      </c>
      <c r="D78" s="23">
        <v>6947.0</v>
      </c>
      <c r="E78" s="118">
        <f t="shared" ref="E78:E85" si="24">D78-C78</f>
        <v>2050</v>
      </c>
      <c r="F78" s="85">
        <f t="shared" ref="F78:F85" si="25">(D78/C78)-1</f>
        <v>0.4186236471</v>
      </c>
      <c r="G78" s="61">
        <v>7379.0</v>
      </c>
      <c r="H78" s="123">
        <f t="shared" ref="H78:H85" si="26">G78-D78</f>
        <v>432</v>
      </c>
      <c r="I78" s="120">
        <f t="shared" ref="I78:I85" si="27">H78/D78</f>
        <v>0.06218511588</v>
      </c>
      <c r="L78" s="68" t="s">
        <v>100</v>
      </c>
      <c r="M78" s="15">
        <v>124.0</v>
      </c>
      <c r="N78" s="70">
        <v>453.0</v>
      </c>
      <c r="O78" s="121">
        <f t="shared" si="16"/>
        <v>329</v>
      </c>
      <c r="P78" s="63">
        <f t="shared" si="17"/>
        <v>2.653225806</v>
      </c>
      <c r="Q78" s="72">
        <v>571.0</v>
      </c>
      <c r="R78" s="126">
        <f t="shared" si="18"/>
        <v>118</v>
      </c>
      <c r="S78" s="127">
        <f t="shared" si="19"/>
        <v>0.2604856512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73" t="s">
        <v>101</v>
      </c>
      <c r="C79" s="58">
        <v>-412.0</v>
      </c>
      <c r="D79" s="23">
        <v>-820.0</v>
      </c>
      <c r="E79" s="118">
        <f t="shared" si="24"/>
        <v>-408</v>
      </c>
      <c r="F79" s="85">
        <f t="shared" si="25"/>
        <v>0.9902912621</v>
      </c>
      <c r="G79" s="61">
        <v>-1090.0</v>
      </c>
      <c r="H79" s="123">
        <f t="shared" si="26"/>
        <v>-270</v>
      </c>
      <c r="I79" s="120">
        <f t="shared" si="27"/>
        <v>0.3292682927</v>
      </c>
      <c r="L79" s="62" t="s">
        <v>102</v>
      </c>
      <c r="M79" s="18">
        <v>43.4</v>
      </c>
      <c r="N79" s="73">
        <v>158.6</v>
      </c>
      <c r="O79" s="124">
        <f t="shared" si="16"/>
        <v>115.2</v>
      </c>
      <c r="P79" s="125">
        <f t="shared" si="17"/>
        <v>2.65437788</v>
      </c>
      <c r="Q79" s="61">
        <v>199.9</v>
      </c>
      <c r="R79" s="137">
        <f t="shared" si="18"/>
        <v>41.3</v>
      </c>
      <c r="S79" s="138">
        <f t="shared" si="19"/>
        <v>0.2604035309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105" t="s">
        <v>103</v>
      </c>
      <c r="C80" s="129">
        <v>4485.0</v>
      </c>
      <c r="D80" s="130">
        <v>6127.0</v>
      </c>
      <c r="E80" s="131">
        <f t="shared" si="24"/>
        <v>1642</v>
      </c>
      <c r="F80" s="132">
        <f t="shared" si="25"/>
        <v>0.3661092531</v>
      </c>
      <c r="G80" s="139">
        <v>6289.0</v>
      </c>
      <c r="H80" s="133">
        <f t="shared" si="26"/>
        <v>162</v>
      </c>
      <c r="I80" s="134">
        <f t="shared" si="27"/>
        <v>0.02644034601</v>
      </c>
      <c r="L80" s="89" t="s">
        <v>104</v>
      </c>
      <c r="M80" s="90">
        <v>80.6</v>
      </c>
      <c r="N80" s="89">
        <v>294.5</v>
      </c>
      <c r="O80" s="140">
        <f t="shared" si="16"/>
        <v>213.9</v>
      </c>
      <c r="P80" s="141">
        <f t="shared" si="17"/>
        <v>2.653846154</v>
      </c>
      <c r="Q80" s="93">
        <v>371.2</v>
      </c>
      <c r="R80" s="142">
        <f t="shared" si="18"/>
        <v>76.7</v>
      </c>
      <c r="S80" s="143">
        <f t="shared" si="19"/>
        <v>0.2604414261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111" t="s">
        <v>105</v>
      </c>
      <c r="C81" s="98">
        <v>5433.0</v>
      </c>
      <c r="D81" s="97">
        <v>7469.0</v>
      </c>
      <c r="E81" s="144">
        <f t="shared" si="24"/>
        <v>2036</v>
      </c>
      <c r="F81" s="145">
        <f t="shared" si="25"/>
        <v>0.374746917</v>
      </c>
      <c r="G81" s="102">
        <v>7588.0</v>
      </c>
      <c r="H81" s="146">
        <f t="shared" si="26"/>
        <v>119</v>
      </c>
      <c r="I81" s="147">
        <f t="shared" si="27"/>
        <v>0.01593252109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73" t="s">
        <v>106</v>
      </c>
      <c r="C82" s="58">
        <v>878.0</v>
      </c>
      <c r="D82" s="23">
        <v>664.0</v>
      </c>
      <c r="E82" s="118">
        <f t="shared" si="24"/>
        <v>-214</v>
      </c>
      <c r="F82" s="85">
        <f t="shared" si="25"/>
        <v>-0.2437357631</v>
      </c>
      <c r="G82" s="61">
        <v>502.0</v>
      </c>
      <c r="H82" s="123">
        <f t="shared" si="26"/>
        <v>-162</v>
      </c>
      <c r="I82" s="120">
        <f t="shared" si="27"/>
        <v>-0.2439759036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73" t="s">
        <v>107</v>
      </c>
      <c r="C83" s="58">
        <v>117.0</v>
      </c>
      <c r="D83" s="23">
        <v>165.0</v>
      </c>
      <c r="E83" s="118">
        <f t="shared" si="24"/>
        <v>48</v>
      </c>
      <c r="F83" s="85">
        <f t="shared" si="25"/>
        <v>0.4102564103</v>
      </c>
      <c r="G83" s="61">
        <v>50.0</v>
      </c>
      <c r="H83" s="123">
        <f t="shared" si="26"/>
        <v>-115</v>
      </c>
      <c r="I83" s="120">
        <f t="shared" si="27"/>
        <v>-0.696969697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73" t="s">
        <v>108</v>
      </c>
      <c r="C84" s="58">
        <v>616.0</v>
      </c>
      <c r="D84" s="23">
        <v>338.0</v>
      </c>
      <c r="E84" s="118">
        <f t="shared" si="24"/>
        <v>-278</v>
      </c>
      <c r="F84" s="85">
        <f t="shared" si="25"/>
        <v>-0.4512987013</v>
      </c>
      <c r="G84" s="61">
        <v>629.0</v>
      </c>
      <c r="H84" s="123">
        <f t="shared" si="26"/>
        <v>291</v>
      </c>
      <c r="I84" s="120">
        <f t="shared" si="27"/>
        <v>0.8609467456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73" t="s">
        <v>109</v>
      </c>
      <c r="C85" s="58">
        <v>127.0</v>
      </c>
      <c r="D85" s="23">
        <v>49.0</v>
      </c>
      <c r="E85" s="118">
        <f t="shared" si="24"/>
        <v>-78</v>
      </c>
      <c r="F85" s="85">
        <f t="shared" si="25"/>
        <v>-0.6141732283</v>
      </c>
      <c r="G85" s="61">
        <v>56.0</v>
      </c>
      <c r="H85" s="123">
        <f t="shared" si="26"/>
        <v>7</v>
      </c>
      <c r="I85" s="120">
        <f t="shared" si="27"/>
        <v>0.1428571429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103"/>
      <c r="C86" s="65"/>
      <c r="D86" s="4"/>
      <c r="E86" s="118"/>
      <c r="F86" s="85"/>
      <c r="G86" s="67"/>
      <c r="H86" s="135"/>
      <c r="I86" s="13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105" t="s">
        <v>110</v>
      </c>
      <c r="C87" s="129">
        <v>1738.0</v>
      </c>
      <c r="D87" s="130">
        <v>1216.0</v>
      </c>
      <c r="E87" s="131">
        <f t="shared" ref="E87:E89" si="28">D87-C87</f>
        <v>-522</v>
      </c>
      <c r="F87" s="132">
        <f t="shared" ref="F87:F89" si="29">(D87/C87)-1</f>
        <v>-0.3003452244</v>
      </c>
      <c r="G87" s="139">
        <v>1237.0</v>
      </c>
      <c r="H87" s="133">
        <f t="shared" ref="H87:H89" si="30">G87-D87</f>
        <v>21</v>
      </c>
      <c r="I87" s="134">
        <f t="shared" ref="I87:I89" si="31">H87/D87</f>
        <v>0.01726973684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73" t="s">
        <v>111</v>
      </c>
      <c r="C88" s="58">
        <v>1462.0</v>
      </c>
      <c r="D88" s="23">
        <v>1899.0</v>
      </c>
      <c r="E88" s="118">
        <f t="shared" si="28"/>
        <v>437</v>
      </c>
      <c r="F88" s="85">
        <f t="shared" si="29"/>
        <v>0.2989056088</v>
      </c>
      <c r="G88" s="61">
        <v>1589.0</v>
      </c>
      <c r="H88" s="123">
        <f t="shared" si="30"/>
        <v>-310</v>
      </c>
      <c r="I88" s="120">
        <f t="shared" si="31"/>
        <v>-0.1632438125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73" t="s">
        <v>112</v>
      </c>
      <c r="C89" s="58">
        <v>434.0</v>
      </c>
      <c r="D89" s="23">
        <v>1620.0</v>
      </c>
      <c r="E89" s="118">
        <f t="shared" si="28"/>
        <v>1186</v>
      </c>
      <c r="F89" s="85">
        <f t="shared" si="29"/>
        <v>2.732718894</v>
      </c>
      <c r="G89" s="61">
        <v>202.0</v>
      </c>
      <c r="H89" s="123">
        <f t="shared" si="30"/>
        <v>-1418</v>
      </c>
      <c r="I89" s="120">
        <f t="shared" si="31"/>
        <v>-0.875308642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103"/>
      <c r="C90" s="65"/>
      <c r="D90" s="4"/>
      <c r="E90" s="118"/>
      <c r="F90" s="85"/>
      <c r="G90" s="67"/>
      <c r="H90" s="135"/>
      <c r="I90" s="13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106" t="s">
        <v>113</v>
      </c>
      <c r="C91" s="148">
        <v>1896.0</v>
      </c>
      <c r="D91" s="49">
        <v>3519.0</v>
      </c>
      <c r="E91" s="131">
        <f t="shared" ref="E91:E92" si="32">D91-C91</f>
        <v>1623</v>
      </c>
      <c r="F91" s="132">
        <f t="shared" ref="F91:F92" si="33">(D91/C91)-1</f>
        <v>0.8560126582</v>
      </c>
      <c r="G91" s="72">
        <v>1791.0</v>
      </c>
      <c r="H91" s="149">
        <f t="shared" ref="H91:H92" si="34">G91-D91</f>
        <v>-1728</v>
      </c>
      <c r="I91" s="150">
        <f t="shared" ref="I91:I92" si="35">H91/D91</f>
        <v>-0.4910485934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105" t="s">
        <v>114</v>
      </c>
      <c r="C92" s="129">
        <v>3634.0</v>
      </c>
      <c r="D92" s="130">
        <v>4735.0</v>
      </c>
      <c r="E92" s="131">
        <f t="shared" si="32"/>
        <v>1101</v>
      </c>
      <c r="F92" s="132">
        <f t="shared" si="33"/>
        <v>0.3029719318</v>
      </c>
      <c r="G92" s="139">
        <v>3028.0</v>
      </c>
      <c r="H92" s="133">
        <f t="shared" si="34"/>
        <v>-1707</v>
      </c>
      <c r="I92" s="134">
        <f t="shared" si="35"/>
        <v>-0.3605068638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103"/>
      <c r="C93" s="65"/>
      <c r="D93" s="4"/>
      <c r="E93" s="118"/>
      <c r="F93" s="85"/>
      <c r="G93" s="67"/>
      <c r="H93" s="135"/>
      <c r="I93" s="13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106" t="s">
        <v>115</v>
      </c>
      <c r="C94" s="148">
        <v>1799.0</v>
      </c>
      <c r="D94" s="49">
        <v>2734.0</v>
      </c>
      <c r="E94" s="131">
        <f t="shared" ref="E94:E95" si="36">D94-C94</f>
        <v>935</v>
      </c>
      <c r="F94" s="132">
        <f t="shared" ref="F94:F95" si="37">(D94/C94)-1</f>
        <v>0.5197331851</v>
      </c>
      <c r="G94" s="72">
        <v>4560.0</v>
      </c>
      <c r="H94" s="149">
        <f t="shared" ref="H94:H95" si="38">G94-D94</f>
        <v>1826</v>
      </c>
      <c r="I94" s="150">
        <f t="shared" ref="I94:I95" si="39">H94/D94</f>
        <v>0.6678858815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111" t="s">
        <v>116</v>
      </c>
      <c r="C95" s="98">
        <v>5433.0</v>
      </c>
      <c r="D95" s="97">
        <v>7469.0</v>
      </c>
      <c r="E95" s="151">
        <f t="shared" si="36"/>
        <v>2036</v>
      </c>
      <c r="F95" s="152">
        <f t="shared" si="37"/>
        <v>0.374746917</v>
      </c>
      <c r="G95" s="102">
        <v>7588.0</v>
      </c>
      <c r="H95" s="146">
        <f t="shared" si="38"/>
        <v>119</v>
      </c>
      <c r="I95" s="147">
        <f t="shared" si="39"/>
        <v>0.01593252109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6" t="s">
        <v>123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" t="s">
        <v>123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6" t="s">
        <v>74</v>
      </c>
      <c r="C101" s="4"/>
      <c r="D101" s="4"/>
      <c r="E101" s="54"/>
      <c r="F101" s="54"/>
      <c r="G101" s="4"/>
      <c r="H101" s="4"/>
      <c r="I101" s="4"/>
      <c r="L101" s="6" t="s">
        <v>75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114"/>
      <c r="C102" s="47">
        <v>2019.0</v>
      </c>
      <c r="D102" s="115">
        <v>2020.0</v>
      </c>
      <c r="E102" s="48">
        <v>2021.0</v>
      </c>
      <c r="F102" s="45">
        <v>2019.0</v>
      </c>
      <c r="G102" s="153">
        <v>2020.0</v>
      </c>
      <c r="H102" s="153">
        <v>2021.0</v>
      </c>
      <c r="L102" s="50"/>
      <c r="M102" s="47">
        <v>2019.0</v>
      </c>
      <c r="N102" s="52">
        <v>2020.0</v>
      </c>
      <c r="O102" s="53">
        <v>2021.0</v>
      </c>
      <c r="P102" s="154">
        <v>2019.0</v>
      </c>
      <c r="Q102" s="155">
        <v>2020.0</v>
      </c>
      <c r="R102" s="48">
        <v>2021.0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73" t="s">
        <v>25</v>
      </c>
      <c r="C103" s="58">
        <v>24.0</v>
      </c>
      <c r="D103" s="23">
        <v>17.0</v>
      </c>
      <c r="E103" s="61">
        <v>12.0</v>
      </c>
      <c r="F103" s="156">
        <f t="shared" ref="F103:F104" si="40">C103/C103</f>
        <v>1</v>
      </c>
      <c r="G103" s="156">
        <f t="shared" ref="G103:G104" si="41">(D103/C103)</f>
        <v>0.7083333333</v>
      </c>
      <c r="H103" s="157">
        <f t="shared" ref="H103:H104" si="42">(E103/C103)</f>
        <v>0.5</v>
      </c>
      <c r="L103" s="62" t="s">
        <v>83</v>
      </c>
      <c r="M103" s="18">
        <v>3067.0</v>
      </c>
      <c r="N103" s="62">
        <v>3259.0</v>
      </c>
      <c r="O103" s="64">
        <v>3573.0</v>
      </c>
      <c r="P103" s="158">
        <f t="shared" ref="P103:P113" si="43">M103/M103</f>
        <v>1</v>
      </c>
      <c r="Q103" s="157">
        <f t="shared" ref="Q103:Q113" si="44">N103/M103</f>
        <v>1.062601891</v>
      </c>
      <c r="R103" s="157">
        <f t="shared" ref="R103:R113" si="45">O103/M103</f>
        <v>1.164982067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73" t="s">
        <v>84</v>
      </c>
      <c r="C104" s="58">
        <v>298.0</v>
      </c>
      <c r="D104" s="23">
        <v>655.0</v>
      </c>
      <c r="E104" s="61">
        <v>286.0</v>
      </c>
      <c r="F104" s="159">
        <f t="shared" si="40"/>
        <v>1</v>
      </c>
      <c r="G104" s="159">
        <f t="shared" si="41"/>
        <v>2.197986577</v>
      </c>
      <c r="H104" s="160">
        <f t="shared" si="42"/>
        <v>0.9597315436</v>
      </c>
      <c r="L104" s="62" t="s">
        <v>85</v>
      </c>
      <c r="M104" s="18">
        <v>1521.0</v>
      </c>
      <c r="N104" s="62">
        <v>1538.0</v>
      </c>
      <c r="O104" s="64">
        <v>1586.0</v>
      </c>
      <c r="P104" s="158">
        <f t="shared" si="43"/>
        <v>1</v>
      </c>
      <c r="Q104" s="160">
        <f t="shared" si="44"/>
        <v>1.011176857</v>
      </c>
      <c r="R104" s="160">
        <f t="shared" si="45"/>
        <v>1.042735043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73" t="s">
        <v>86</v>
      </c>
      <c r="C105" s="65"/>
      <c r="D105" s="4"/>
      <c r="E105" s="67"/>
      <c r="F105" s="159"/>
      <c r="G105" s="159"/>
      <c r="H105" s="160"/>
      <c r="L105" s="68" t="s">
        <v>87</v>
      </c>
      <c r="M105" s="15">
        <v>1546.0</v>
      </c>
      <c r="N105" s="68">
        <v>1721.0</v>
      </c>
      <c r="O105" s="72">
        <v>1987.0</v>
      </c>
      <c r="P105" s="161">
        <f t="shared" si="43"/>
        <v>1</v>
      </c>
      <c r="Q105" s="160">
        <f t="shared" si="44"/>
        <v>1.113195343</v>
      </c>
      <c r="R105" s="162">
        <f t="shared" si="45"/>
        <v>1.285252264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73" t="s">
        <v>89</v>
      </c>
      <c r="C106" s="58">
        <v>371.0</v>
      </c>
      <c r="D106" s="23">
        <v>471.0</v>
      </c>
      <c r="E106" s="61">
        <v>671.0</v>
      </c>
      <c r="F106" s="159">
        <f t="shared" ref="F106:F109" si="46">C106/C106</f>
        <v>1</v>
      </c>
      <c r="G106" s="159">
        <f t="shared" ref="G106:G109" si="47">(D106/C106)</f>
        <v>1.269541779</v>
      </c>
      <c r="H106" s="160">
        <f t="shared" ref="H106:H109" si="48">(E106/C106)</f>
        <v>1.808625337</v>
      </c>
      <c r="L106" s="62" t="s">
        <v>90</v>
      </c>
      <c r="M106" s="18">
        <v>255.0</v>
      </c>
      <c r="N106" s="62">
        <v>238.0</v>
      </c>
      <c r="O106" s="61">
        <v>208.0</v>
      </c>
      <c r="P106" s="158">
        <f t="shared" si="43"/>
        <v>1</v>
      </c>
      <c r="Q106" s="160">
        <f t="shared" si="44"/>
        <v>0.9333333333</v>
      </c>
      <c r="R106" s="160">
        <f t="shared" si="45"/>
        <v>0.8156862745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73" t="s">
        <v>91</v>
      </c>
      <c r="C107" s="58">
        <v>156.0</v>
      </c>
      <c r="D107" s="23">
        <v>95.0</v>
      </c>
      <c r="E107" s="61">
        <v>188.0</v>
      </c>
      <c r="F107" s="159">
        <f t="shared" si="46"/>
        <v>1</v>
      </c>
      <c r="G107" s="159">
        <f t="shared" si="47"/>
        <v>0.608974359</v>
      </c>
      <c r="H107" s="160">
        <f t="shared" si="48"/>
        <v>1.205128205</v>
      </c>
      <c r="L107" s="62" t="s">
        <v>92</v>
      </c>
      <c r="M107" s="18">
        <v>789.0</v>
      </c>
      <c r="N107" s="62">
        <v>661.0</v>
      </c>
      <c r="O107" s="61">
        <v>562.0</v>
      </c>
      <c r="P107" s="158">
        <f t="shared" si="43"/>
        <v>1</v>
      </c>
      <c r="Q107" s="160">
        <f t="shared" si="44"/>
        <v>0.8377693283</v>
      </c>
      <c r="R107" s="160">
        <f t="shared" si="45"/>
        <v>0.7122940431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73" t="s">
        <v>93</v>
      </c>
      <c r="C108" s="58">
        <v>99.0</v>
      </c>
      <c r="D108" s="23">
        <v>104.0</v>
      </c>
      <c r="E108" s="61">
        <v>142.0</v>
      </c>
      <c r="F108" s="159">
        <f t="shared" si="46"/>
        <v>1</v>
      </c>
      <c r="G108" s="159">
        <f t="shared" si="47"/>
        <v>1.050505051</v>
      </c>
      <c r="H108" s="160">
        <f t="shared" si="48"/>
        <v>1.434343434</v>
      </c>
      <c r="L108" s="62" t="s">
        <v>94</v>
      </c>
      <c r="M108" s="18">
        <v>104.0</v>
      </c>
      <c r="N108" s="62">
        <v>208.0</v>
      </c>
      <c r="O108" s="61">
        <v>409.0</v>
      </c>
      <c r="P108" s="158">
        <f t="shared" si="43"/>
        <v>1</v>
      </c>
      <c r="Q108" s="160">
        <f t="shared" si="44"/>
        <v>2</v>
      </c>
      <c r="R108" s="160">
        <f t="shared" si="45"/>
        <v>3.932692308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105" t="s">
        <v>95</v>
      </c>
      <c r="C109" s="129">
        <v>948.0</v>
      </c>
      <c r="D109" s="130">
        <v>1342.0</v>
      </c>
      <c r="E109" s="130">
        <v>1299.0</v>
      </c>
      <c r="F109" s="163">
        <f t="shared" si="46"/>
        <v>1</v>
      </c>
      <c r="G109" s="163">
        <f t="shared" si="47"/>
        <v>1.415611814</v>
      </c>
      <c r="H109" s="163">
        <f t="shared" si="48"/>
        <v>1.370253165</v>
      </c>
      <c r="L109" s="68" t="s">
        <v>96</v>
      </c>
      <c r="M109" s="15">
        <v>398.0</v>
      </c>
      <c r="N109" s="68">
        <v>614.0</v>
      </c>
      <c r="O109" s="72">
        <v>808.0</v>
      </c>
      <c r="P109" s="161">
        <f t="shared" si="43"/>
        <v>1</v>
      </c>
      <c r="Q109" s="160">
        <f t="shared" si="44"/>
        <v>1.542713568</v>
      </c>
      <c r="R109" s="162">
        <f t="shared" si="45"/>
        <v>2.030150754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103"/>
      <c r="C110" s="65"/>
      <c r="D110" s="4"/>
      <c r="E110" s="67"/>
      <c r="F110" s="164"/>
      <c r="G110" s="164"/>
      <c r="H110" s="136"/>
      <c r="L110" s="62" t="s">
        <v>98</v>
      </c>
      <c r="M110" s="18">
        <v>274.0</v>
      </c>
      <c r="N110" s="62">
        <v>161.0</v>
      </c>
      <c r="O110" s="61">
        <v>237.0</v>
      </c>
      <c r="P110" s="158">
        <f t="shared" si="43"/>
        <v>1</v>
      </c>
      <c r="Q110" s="160">
        <f t="shared" si="44"/>
        <v>0.5875912409</v>
      </c>
      <c r="R110" s="160">
        <f t="shared" si="45"/>
        <v>0.8649635036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73" t="s">
        <v>99</v>
      </c>
      <c r="C111" s="58">
        <v>4897.0</v>
      </c>
      <c r="D111" s="23">
        <v>6947.0</v>
      </c>
      <c r="E111" s="61">
        <v>7379.0</v>
      </c>
      <c r="F111" s="160">
        <f t="shared" ref="F111:F118" si="49">C111/C111</f>
        <v>1</v>
      </c>
      <c r="G111" s="160">
        <f t="shared" ref="G111:G118" si="50">(D111/C111)</f>
        <v>1.418623647</v>
      </c>
      <c r="H111" s="120">
        <f t="shared" ref="H111:H118" si="51">(E111/C111)</f>
        <v>1.506840923</v>
      </c>
      <c r="L111" s="68" t="s">
        <v>100</v>
      </c>
      <c r="M111" s="15">
        <v>124.0</v>
      </c>
      <c r="N111" s="68">
        <v>453.0</v>
      </c>
      <c r="O111" s="72">
        <v>571.0</v>
      </c>
      <c r="P111" s="161">
        <f t="shared" si="43"/>
        <v>1</v>
      </c>
      <c r="Q111" s="160">
        <f t="shared" si="44"/>
        <v>3.653225806</v>
      </c>
      <c r="R111" s="162">
        <f t="shared" si="45"/>
        <v>4.60483871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73" t="s">
        <v>101</v>
      </c>
      <c r="C112" s="58">
        <v>-412.0</v>
      </c>
      <c r="D112" s="23">
        <v>-820.0</v>
      </c>
      <c r="E112" s="61">
        <v>-1090.0</v>
      </c>
      <c r="F112" s="160">
        <f t="shared" si="49"/>
        <v>1</v>
      </c>
      <c r="G112" s="160">
        <f t="shared" si="50"/>
        <v>1.990291262</v>
      </c>
      <c r="H112" s="120">
        <f t="shared" si="51"/>
        <v>2.645631068</v>
      </c>
      <c r="L112" s="62" t="s">
        <v>102</v>
      </c>
      <c r="M112" s="18">
        <v>43.4</v>
      </c>
      <c r="N112" s="62">
        <v>158.6</v>
      </c>
      <c r="O112" s="61">
        <v>199.9</v>
      </c>
      <c r="P112" s="158">
        <f t="shared" si="43"/>
        <v>1</v>
      </c>
      <c r="Q112" s="160">
        <f t="shared" si="44"/>
        <v>3.65437788</v>
      </c>
      <c r="R112" s="165">
        <f t="shared" si="45"/>
        <v>4.605990783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105" t="s">
        <v>103</v>
      </c>
      <c r="C113" s="129">
        <v>4485.0</v>
      </c>
      <c r="D113" s="130">
        <v>6127.0</v>
      </c>
      <c r="E113" s="139">
        <v>6289.0</v>
      </c>
      <c r="F113" s="163">
        <f t="shared" si="49"/>
        <v>1</v>
      </c>
      <c r="G113" s="163">
        <f t="shared" si="50"/>
        <v>1.366109253</v>
      </c>
      <c r="H113" s="163">
        <f t="shared" si="51"/>
        <v>1.402229654</v>
      </c>
      <c r="L113" s="89" t="s">
        <v>104</v>
      </c>
      <c r="M113" s="90">
        <v>80.6</v>
      </c>
      <c r="N113" s="89">
        <v>294.5</v>
      </c>
      <c r="O113" s="93">
        <v>371.2</v>
      </c>
      <c r="P113" s="166">
        <f t="shared" si="43"/>
        <v>1</v>
      </c>
      <c r="Q113" s="167">
        <f t="shared" si="44"/>
        <v>3.653846154</v>
      </c>
      <c r="R113" s="168">
        <f t="shared" si="45"/>
        <v>4.605459057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111" t="s">
        <v>105</v>
      </c>
      <c r="C114" s="98">
        <v>5433.0</v>
      </c>
      <c r="D114" s="97">
        <v>7469.0</v>
      </c>
      <c r="E114" s="102">
        <v>7588.0</v>
      </c>
      <c r="F114" s="169">
        <f t="shared" si="49"/>
        <v>1</v>
      </c>
      <c r="G114" s="169">
        <f t="shared" si="50"/>
        <v>1.374746917</v>
      </c>
      <c r="H114" s="169">
        <f t="shared" si="51"/>
        <v>1.396650101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73" t="s">
        <v>106</v>
      </c>
      <c r="C115" s="58">
        <v>878.0</v>
      </c>
      <c r="D115" s="23">
        <v>664.0</v>
      </c>
      <c r="E115" s="61">
        <v>502.0</v>
      </c>
      <c r="F115" s="160">
        <f t="shared" si="49"/>
        <v>1</v>
      </c>
      <c r="G115" s="160">
        <f t="shared" si="50"/>
        <v>0.7562642369</v>
      </c>
      <c r="H115" s="160">
        <f t="shared" si="51"/>
        <v>0.5717539863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73" t="s">
        <v>107</v>
      </c>
      <c r="C116" s="58">
        <v>117.0</v>
      </c>
      <c r="D116" s="23">
        <v>165.0</v>
      </c>
      <c r="E116" s="61">
        <v>50.0</v>
      </c>
      <c r="F116" s="160">
        <f t="shared" si="49"/>
        <v>1</v>
      </c>
      <c r="G116" s="160">
        <f t="shared" si="50"/>
        <v>1.41025641</v>
      </c>
      <c r="H116" s="160">
        <f t="shared" si="51"/>
        <v>0.4273504274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73" t="s">
        <v>108</v>
      </c>
      <c r="C117" s="58">
        <v>616.0</v>
      </c>
      <c r="D117" s="23">
        <v>338.0</v>
      </c>
      <c r="E117" s="61">
        <v>629.0</v>
      </c>
      <c r="F117" s="160">
        <f t="shared" si="49"/>
        <v>1</v>
      </c>
      <c r="G117" s="160">
        <f t="shared" si="50"/>
        <v>0.5487012987</v>
      </c>
      <c r="H117" s="160">
        <f t="shared" si="51"/>
        <v>1.021103896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73" t="s">
        <v>109</v>
      </c>
      <c r="C118" s="58">
        <v>127.0</v>
      </c>
      <c r="D118" s="23">
        <v>49.0</v>
      </c>
      <c r="E118" s="61">
        <v>56.0</v>
      </c>
      <c r="F118" s="160">
        <f t="shared" si="49"/>
        <v>1</v>
      </c>
      <c r="G118" s="160">
        <f t="shared" si="50"/>
        <v>0.3858267717</v>
      </c>
      <c r="H118" s="160">
        <f t="shared" si="51"/>
        <v>0.4409448819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103"/>
      <c r="C119" s="65"/>
      <c r="D119" s="4"/>
      <c r="E119" s="67"/>
      <c r="F119" s="164"/>
      <c r="G119" s="164"/>
      <c r="H119" s="16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105" t="s">
        <v>110</v>
      </c>
      <c r="C120" s="129">
        <v>1738.0</v>
      </c>
      <c r="D120" s="130">
        <v>1216.0</v>
      </c>
      <c r="E120" s="139">
        <v>1237.0</v>
      </c>
      <c r="F120" s="163">
        <f t="shared" ref="F120:F122" si="52">C120/C120</f>
        <v>1</v>
      </c>
      <c r="G120" s="163">
        <f t="shared" ref="G120:G122" si="53">(D120/C120)</f>
        <v>0.6996547756</v>
      </c>
      <c r="H120" s="163">
        <f t="shared" ref="H120:H122" si="54">(E120/C120)</f>
        <v>0.7117376295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73" t="s">
        <v>111</v>
      </c>
      <c r="C121" s="58">
        <v>1462.0</v>
      </c>
      <c r="D121" s="23">
        <v>1899.0</v>
      </c>
      <c r="E121" s="61">
        <v>1589.0</v>
      </c>
      <c r="F121" s="160">
        <f t="shared" si="52"/>
        <v>1</v>
      </c>
      <c r="G121" s="160">
        <f t="shared" si="53"/>
        <v>1.298905609</v>
      </c>
      <c r="H121" s="160">
        <f t="shared" si="54"/>
        <v>1.086867305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73" t="s">
        <v>112</v>
      </c>
      <c r="C122" s="58">
        <v>434.0</v>
      </c>
      <c r="D122" s="23">
        <v>1620.0</v>
      </c>
      <c r="E122" s="61">
        <v>202.0</v>
      </c>
      <c r="F122" s="160">
        <f t="shared" si="52"/>
        <v>1</v>
      </c>
      <c r="G122" s="160">
        <f t="shared" si="53"/>
        <v>3.732718894</v>
      </c>
      <c r="H122" s="160">
        <f t="shared" si="54"/>
        <v>0.465437788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103"/>
      <c r="C123" s="65"/>
      <c r="D123" s="4"/>
      <c r="E123" s="67"/>
      <c r="F123" s="164"/>
      <c r="G123" s="164"/>
      <c r="H123" s="16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106" t="s">
        <v>113</v>
      </c>
      <c r="C124" s="148">
        <v>1896.0</v>
      </c>
      <c r="D124" s="49">
        <v>3519.0</v>
      </c>
      <c r="E124" s="72">
        <v>1791.0</v>
      </c>
      <c r="F124" s="162">
        <f t="shared" ref="F124:F125" si="55">C124/C124</f>
        <v>1</v>
      </c>
      <c r="G124" s="162">
        <f t="shared" ref="G124:G125" si="56">(D124/C124)</f>
        <v>1.856012658</v>
      </c>
      <c r="H124" s="162">
        <f t="shared" ref="H124:H125" si="57">(E124/C124)</f>
        <v>0.9446202532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105" t="s">
        <v>114</v>
      </c>
      <c r="C125" s="129">
        <v>3634.0</v>
      </c>
      <c r="D125" s="130">
        <v>4735.0</v>
      </c>
      <c r="E125" s="139">
        <v>3028.0</v>
      </c>
      <c r="F125" s="163">
        <f t="shared" si="55"/>
        <v>1</v>
      </c>
      <c r="G125" s="163">
        <f t="shared" si="56"/>
        <v>1.302971932</v>
      </c>
      <c r="H125" s="163">
        <f t="shared" si="57"/>
        <v>0.833241607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103"/>
      <c r="C126" s="65"/>
      <c r="D126" s="4"/>
      <c r="E126" s="67"/>
      <c r="F126" s="164"/>
      <c r="G126" s="164"/>
      <c r="H126" s="16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106" t="s">
        <v>115</v>
      </c>
      <c r="C127" s="148">
        <v>1799.0</v>
      </c>
      <c r="D127" s="49">
        <v>2734.0</v>
      </c>
      <c r="E127" s="72">
        <v>4560.0</v>
      </c>
      <c r="F127" s="162">
        <f t="shared" ref="F127:F128" si="58">C127/C127</f>
        <v>1</v>
      </c>
      <c r="G127" s="162">
        <f t="shared" ref="G127:G128" si="59">(D127/C127)</f>
        <v>1.519733185</v>
      </c>
      <c r="H127" s="162">
        <f t="shared" ref="H127:H128" si="60">(E127/C127)</f>
        <v>2.534741523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111" t="s">
        <v>116</v>
      </c>
      <c r="C128" s="98">
        <v>5433.0</v>
      </c>
      <c r="D128" s="97">
        <v>7469.0</v>
      </c>
      <c r="E128" s="102">
        <v>7588.0</v>
      </c>
      <c r="F128" s="169">
        <f t="shared" si="58"/>
        <v>1</v>
      </c>
      <c r="G128" s="169">
        <f t="shared" si="59"/>
        <v>1.374746917</v>
      </c>
      <c r="H128" s="169">
        <f t="shared" si="60"/>
        <v>1.396650101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6" t="s">
        <v>124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" t="s">
        <v>125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6" t="s">
        <v>74</v>
      </c>
      <c r="C134" s="4"/>
      <c r="D134" s="4"/>
      <c r="E134" s="4"/>
      <c r="F134" s="4"/>
      <c r="G134" s="4"/>
      <c r="H134" s="4"/>
      <c r="I134" s="4"/>
      <c r="J134" s="4"/>
      <c r="K134" s="4"/>
      <c r="L134" s="6" t="s">
        <v>75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114"/>
      <c r="C135" s="45">
        <v>2019.0</v>
      </c>
      <c r="D135" s="45">
        <v>2020.0</v>
      </c>
      <c r="E135" s="45">
        <v>2021.0</v>
      </c>
      <c r="G135" s="4"/>
      <c r="H135" s="4"/>
      <c r="I135" s="4"/>
      <c r="J135" s="4"/>
      <c r="K135" s="4"/>
      <c r="L135" s="170"/>
      <c r="M135" s="171">
        <v>2019.0</v>
      </c>
      <c r="N135" s="153">
        <v>2020.0</v>
      </c>
      <c r="O135" s="153">
        <v>2021.0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73" t="s">
        <v>25</v>
      </c>
      <c r="C136" s="59">
        <v>0.004417448923246825</v>
      </c>
      <c r="D136" s="60">
        <v>0.0022760744410228947</v>
      </c>
      <c r="E136" s="60">
        <f t="shared" ref="E136:E161" si="61">I34/$I$45</f>
        <v>0.001581444386</v>
      </c>
      <c r="G136" s="4"/>
      <c r="H136" s="4"/>
      <c r="I136" s="4"/>
      <c r="J136" s="4"/>
      <c r="K136" s="4"/>
      <c r="L136" s="73" t="s">
        <v>83</v>
      </c>
      <c r="M136" s="172">
        <v>1.0</v>
      </c>
      <c r="N136" s="173">
        <v>1.0</v>
      </c>
      <c r="O136" s="173">
        <f t="shared" ref="O136:O146" si="62">Q34/$Q$34</f>
        <v>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73" t="s">
        <v>84</v>
      </c>
      <c r="C137" s="59">
        <v>0.05484999079698141</v>
      </c>
      <c r="D137" s="60">
        <v>0.08769580934529388</v>
      </c>
      <c r="E137" s="60">
        <f t="shared" si="61"/>
        <v>0.0376910912</v>
      </c>
      <c r="G137" s="4"/>
      <c r="H137" s="4"/>
      <c r="I137" s="4"/>
      <c r="J137" s="4"/>
      <c r="K137" s="4"/>
      <c r="L137" s="73" t="s">
        <v>85</v>
      </c>
      <c r="M137" s="172">
        <v>0.49592435604825563</v>
      </c>
      <c r="N137" s="173">
        <v>0.4719239030377416</v>
      </c>
      <c r="O137" s="173">
        <f t="shared" si="62"/>
        <v>0.4438846907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73" t="s">
        <v>86</v>
      </c>
      <c r="C138" s="59"/>
      <c r="D138" s="60"/>
      <c r="E138" s="60">
        <f t="shared" si="61"/>
        <v>0</v>
      </c>
      <c r="G138" s="4"/>
      <c r="H138" s="4"/>
      <c r="I138" s="4"/>
      <c r="J138" s="4"/>
      <c r="K138" s="4"/>
      <c r="L138" s="70" t="s">
        <v>87</v>
      </c>
      <c r="M138" s="174">
        <v>0.5040756439517444</v>
      </c>
      <c r="N138" s="175">
        <v>0.5280760969622583</v>
      </c>
      <c r="O138" s="175">
        <f t="shared" si="62"/>
        <v>0.5561153093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73" t="s">
        <v>89</v>
      </c>
      <c r="C139" s="59">
        <v>0.06828639793852384</v>
      </c>
      <c r="D139" s="60">
        <v>0.06306065068951668</v>
      </c>
      <c r="E139" s="60">
        <f t="shared" si="61"/>
        <v>0.08842909858</v>
      </c>
      <c r="G139" s="4"/>
      <c r="H139" s="4"/>
      <c r="I139" s="4"/>
      <c r="J139" s="4"/>
      <c r="K139" s="4"/>
      <c r="L139" s="73" t="s">
        <v>90</v>
      </c>
      <c r="M139" s="172">
        <v>0.08314313661558526</v>
      </c>
      <c r="N139" s="173">
        <v>0.07302853636084689</v>
      </c>
      <c r="O139" s="173">
        <f t="shared" si="62"/>
        <v>0.05821438567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73" t="s">
        <v>91</v>
      </c>
      <c r="C140" s="59">
        <v>0.02871341800110436</v>
      </c>
      <c r="D140" s="60">
        <v>0.012719239523363235</v>
      </c>
      <c r="E140" s="60">
        <f t="shared" si="61"/>
        <v>0.02477596205</v>
      </c>
      <c r="G140" s="4"/>
      <c r="H140" s="4"/>
      <c r="I140" s="4"/>
      <c r="J140" s="4"/>
      <c r="K140" s="4"/>
      <c r="L140" s="73" t="s">
        <v>92</v>
      </c>
      <c r="M140" s="172">
        <v>0.257254646234105</v>
      </c>
      <c r="N140" s="173">
        <v>0.20282295182571342</v>
      </c>
      <c r="O140" s="173">
        <f t="shared" si="62"/>
        <v>0.1572907921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73" t="s">
        <v>93</v>
      </c>
      <c r="C141" s="59">
        <v>0.018221976808393152</v>
      </c>
      <c r="D141" s="60">
        <v>0.01392422010978712</v>
      </c>
      <c r="E141" s="60">
        <f t="shared" si="61"/>
        <v>0.01871375857</v>
      </c>
      <c r="G141" s="4"/>
      <c r="H141" s="4"/>
      <c r="I141" s="4"/>
      <c r="J141" s="4"/>
      <c r="K141" s="4"/>
      <c r="L141" s="73" t="s">
        <v>94</v>
      </c>
      <c r="M141" s="172">
        <v>0.033909357678513205</v>
      </c>
      <c r="N141" s="173">
        <v>0.06382325866830316</v>
      </c>
      <c r="O141" s="173">
        <f t="shared" si="62"/>
        <v>0.1144696334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105" t="s">
        <v>95</v>
      </c>
      <c r="C142" s="81">
        <v>0.17448923246824957</v>
      </c>
      <c r="D142" s="83">
        <v>0.1796759941089838</v>
      </c>
      <c r="E142" s="83">
        <f t="shared" si="61"/>
        <v>0.1711913548</v>
      </c>
      <c r="G142" s="4"/>
      <c r="H142" s="4"/>
      <c r="I142" s="4"/>
      <c r="J142" s="4"/>
      <c r="K142" s="4"/>
      <c r="L142" s="70" t="s">
        <v>96</v>
      </c>
      <c r="M142" s="174">
        <v>0.12976850342354096</v>
      </c>
      <c r="N142" s="175">
        <v>0.1884013501073949</v>
      </c>
      <c r="O142" s="175">
        <f t="shared" si="62"/>
        <v>0.2261404982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103"/>
      <c r="C143" s="59"/>
      <c r="D143" s="85"/>
      <c r="E143" s="85">
        <f t="shared" si="61"/>
        <v>0</v>
      </c>
      <c r="G143" s="4"/>
      <c r="H143" s="4"/>
      <c r="I143" s="4"/>
      <c r="J143" s="4"/>
      <c r="K143" s="4"/>
      <c r="L143" s="73" t="s">
        <v>98</v>
      </c>
      <c r="M143" s="172">
        <v>0.08933811542223671</v>
      </c>
      <c r="N143" s="173">
        <v>0.049401656949984656</v>
      </c>
      <c r="O143" s="173">
        <f t="shared" si="62"/>
        <v>0.06633081444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73" t="s">
        <v>99</v>
      </c>
      <c r="C144" s="59">
        <v>0.9013436407141543</v>
      </c>
      <c r="D144" s="60">
        <v>0.9301111259874146</v>
      </c>
      <c r="E144" s="60">
        <f t="shared" si="61"/>
        <v>0.9724565103</v>
      </c>
      <c r="G144" s="4"/>
      <c r="H144" s="4"/>
      <c r="I144" s="4"/>
      <c r="J144" s="4"/>
      <c r="K144" s="4"/>
      <c r="L144" s="70" t="s">
        <v>100</v>
      </c>
      <c r="M144" s="174">
        <v>0.040430388001304246</v>
      </c>
      <c r="N144" s="175">
        <v>0.13899969315741026</v>
      </c>
      <c r="O144" s="175">
        <f t="shared" si="62"/>
        <v>0.1598096837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73" t="s">
        <v>101</v>
      </c>
      <c r="C145" s="59">
        <v>-0.07583287318240382</v>
      </c>
      <c r="D145" s="60">
        <v>-0.10978712009639845</v>
      </c>
      <c r="E145" s="60">
        <f t="shared" si="61"/>
        <v>-0.1436478651</v>
      </c>
      <c r="G145" s="4"/>
      <c r="H145" s="4"/>
      <c r="I145" s="4"/>
      <c r="J145" s="4"/>
      <c r="K145" s="4"/>
      <c r="L145" s="73" t="s">
        <v>102</v>
      </c>
      <c r="M145" s="172">
        <v>0.014150635800456472</v>
      </c>
      <c r="N145" s="176">
        <v>0.04866523473458116</v>
      </c>
      <c r="O145" s="176">
        <f t="shared" si="62"/>
        <v>0.05594738315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105" t="s">
        <v>103</v>
      </c>
      <c r="C146" s="81">
        <v>0.8255107675317505</v>
      </c>
      <c r="D146" s="83">
        <v>0.8203240058910162</v>
      </c>
      <c r="E146" s="83">
        <f t="shared" si="61"/>
        <v>0.8288086452</v>
      </c>
      <c r="G146" s="4"/>
      <c r="H146" s="4"/>
      <c r="I146" s="4"/>
      <c r="J146" s="4"/>
      <c r="K146" s="4"/>
      <c r="L146" s="177" t="s">
        <v>104</v>
      </c>
      <c r="M146" s="178">
        <v>0.026279752200847772</v>
      </c>
      <c r="N146" s="179">
        <v>0.09036514268180423</v>
      </c>
      <c r="O146" s="179">
        <f t="shared" si="62"/>
        <v>0.1038902883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111" t="s">
        <v>105</v>
      </c>
      <c r="C147" s="99">
        <v>1.0</v>
      </c>
      <c r="D147" s="101">
        <v>1.0</v>
      </c>
      <c r="E147" s="101">
        <f t="shared" si="61"/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73" t="s">
        <v>106</v>
      </c>
      <c r="C148" s="59">
        <v>0.161605006442113</v>
      </c>
      <c r="D148" s="60">
        <v>0.08890078993171777</v>
      </c>
      <c r="E148" s="60">
        <f t="shared" si="61"/>
        <v>0.06615709014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73" t="s">
        <v>107</v>
      </c>
      <c r="C149" s="59">
        <v>0.02153506350082827</v>
      </c>
      <c r="D149" s="60">
        <v>0.022091310751104567</v>
      </c>
      <c r="E149" s="60">
        <f t="shared" si="61"/>
        <v>0.006589351608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73" t="s">
        <v>108</v>
      </c>
      <c r="C150" s="59">
        <v>0.11338118903000184</v>
      </c>
      <c r="D150" s="60">
        <v>0.04525371535680814</v>
      </c>
      <c r="E150" s="60">
        <f t="shared" si="61"/>
        <v>0.08289404323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73" t="s">
        <v>109</v>
      </c>
      <c r="C151" s="59">
        <v>0.023375667218847783</v>
      </c>
      <c r="D151" s="60">
        <v>0.006560449859418931</v>
      </c>
      <c r="E151" s="60">
        <f t="shared" si="61"/>
        <v>0.007380073801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103"/>
      <c r="C152" s="104"/>
      <c r="D152" s="85"/>
      <c r="E152" s="85">
        <f t="shared" si="61"/>
        <v>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105" t="s">
        <v>110</v>
      </c>
      <c r="C153" s="81">
        <v>0.3198969261917909</v>
      </c>
      <c r="D153" s="83">
        <v>0.1628062658990494</v>
      </c>
      <c r="E153" s="83">
        <f t="shared" si="61"/>
        <v>0.1630205588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73" t="s">
        <v>111</v>
      </c>
      <c r="C154" s="59">
        <v>0.26909626357445243</v>
      </c>
      <c r="D154" s="60">
        <v>0.2542509037354398</v>
      </c>
      <c r="E154" s="60">
        <f t="shared" si="61"/>
        <v>0.2094095941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73" t="s">
        <v>112</v>
      </c>
      <c r="C155" s="59">
        <v>0.07988220136204675</v>
      </c>
      <c r="D155" s="60">
        <v>0.21689650555629936</v>
      </c>
      <c r="E155" s="60">
        <f t="shared" si="61"/>
        <v>0.0266209805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103"/>
      <c r="C156" s="104"/>
      <c r="D156" s="85"/>
      <c r="E156" s="85">
        <f t="shared" si="61"/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106" t="s">
        <v>113</v>
      </c>
      <c r="C157" s="108">
        <v>0.34897846493649914</v>
      </c>
      <c r="D157" s="109">
        <v>0.4711474092917392</v>
      </c>
      <c r="E157" s="109">
        <f t="shared" si="61"/>
        <v>0.2360305746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105" t="s">
        <v>114</v>
      </c>
      <c r="C158" s="81">
        <v>0.6688753911282901</v>
      </c>
      <c r="D158" s="83">
        <v>0.6339536751907886</v>
      </c>
      <c r="E158" s="83">
        <f t="shared" si="61"/>
        <v>0.3990511334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103"/>
      <c r="C159" s="104"/>
      <c r="D159" s="85"/>
      <c r="E159" s="85">
        <f t="shared" si="61"/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106" t="s">
        <v>115</v>
      </c>
      <c r="C160" s="108">
        <v>0.3311246088717099</v>
      </c>
      <c r="D160" s="109">
        <v>0.3660463248092114</v>
      </c>
      <c r="E160" s="109">
        <f t="shared" si="61"/>
        <v>0.6009488666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111" t="s">
        <v>116</v>
      </c>
      <c r="C161" s="112">
        <v>1.0</v>
      </c>
      <c r="D161" s="101">
        <v>1.0</v>
      </c>
      <c r="E161" s="101">
        <f t="shared" si="61"/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7">
    <mergeCell ref="A37:A39"/>
    <mergeCell ref="B37:B39"/>
    <mergeCell ref="A41:A43"/>
    <mergeCell ref="B41:B43"/>
    <mergeCell ref="A35:A36"/>
    <mergeCell ref="C37:C39"/>
    <mergeCell ref="C41:C43"/>
  </mergeCells>
  <drawing r:id="rId1"/>
</worksheet>
</file>