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anamericanenergy-my.sharepoint.com/personal/malbarracin_litionenergy_com/Documents/Documentos/MATEO/UTN/2026/Manejo de Materiales/"/>
    </mc:Choice>
  </mc:AlternateContent>
  <xr:revisionPtr revIDLastSave="39" documentId="8_{F366044E-B468-42F6-9DD7-63B64C74170F}" xr6:coauthVersionLast="47" xr6:coauthVersionMax="47" xr10:uidLastSave="{E5A57735-36A1-4CA9-B625-A1BE221C0936}"/>
  <bookViews>
    <workbookView xWindow="-108" yWindow="-108" windowWidth="23256" windowHeight="12456" tabRatio="500" activeTab="1" xr2:uid="{00000000-000D-0000-FFFF-FFFF00000000}"/>
  </bookViews>
  <sheets>
    <sheet name="Análisis" sheetId="1" r:id="rId1"/>
    <sheet name="Ponder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2" l="1"/>
  <c r="E9" i="2"/>
  <c r="D9" i="2"/>
  <c r="E41" i="1"/>
  <c r="E23" i="1"/>
  <c r="D23" i="1"/>
  <c r="C23" i="1"/>
  <c r="C24" i="1" s="1"/>
  <c r="C25" i="1" s="1"/>
  <c r="C22" i="1"/>
  <c r="G84" i="1"/>
  <c r="E7" i="2"/>
  <c r="D7" i="2"/>
  <c r="C7" i="2"/>
  <c r="D6" i="2"/>
  <c r="C6" i="2"/>
  <c r="E22" i="2"/>
  <c r="D22" i="2"/>
  <c r="C22" i="2"/>
  <c r="B22" i="2"/>
  <c r="E21" i="2"/>
  <c r="D21" i="2"/>
  <c r="C21" i="2"/>
  <c r="B21" i="2"/>
  <c r="B20" i="2"/>
  <c r="B19" i="2"/>
  <c r="B18" i="2"/>
  <c r="B17" i="2"/>
  <c r="B16" i="2"/>
  <c r="D108" i="1"/>
  <c r="C108" i="1"/>
  <c r="D107" i="1"/>
  <c r="C107" i="1"/>
  <c r="D106" i="1"/>
  <c r="C106" i="1"/>
  <c r="D105" i="1"/>
  <c r="C105" i="1"/>
  <c r="H104" i="1"/>
  <c r="E104" i="1"/>
  <c r="D98" i="1"/>
  <c r="C98" i="1"/>
  <c r="D97" i="1"/>
  <c r="C97" i="1"/>
  <c r="D96" i="1"/>
  <c r="C96" i="1"/>
  <c r="D95" i="1"/>
  <c r="C95" i="1"/>
  <c r="H94" i="1"/>
  <c r="E94" i="1"/>
  <c r="D88" i="1"/>
  <c r="C88" i="1"/>
  <c r="D87" i="1"/>
  <c r="C87" i="1"/>
  <c r="D86" i="1"/>
  <c r="C86" i="1"/>
  <c r="D85" i="1"/>
  <c r="C85" i="1"/>
  <c r="H84" i="1"/>
  <c r="E84" i="1"/>
  <c r="Q74" i="1"/>
  <c r="Q76" i="1" s="1"/>
  <c r="Q78" i="1" s="1"/>
  <c r="J74" i="1"/>
  <c r="J76" i="1" s="1"/>
  <c r="J78" i="1" s="1"/>
  <c r="C74" i="1"/>
  <c r="C76" i="1" s="1"/>
  <c r="C78" i="1" s="1"/>
  <c r="Q67" i="1"/>
  <c r="J67" i="1"/>
  <c r="C67" i="1"/>
  <c r="O60" i="1"/>
  <c r="N60" i="1"/>
  <c r="M60" i="1"/>
  <c r="L60" i="1"/>
  <c r="K60" i="1"/>
  <c r="H60" i="1"/>
  <c r="G60" i="1"/>
  <c r="F60" i="1"/>
  <c r="E60" i="1"/>
  <c r="D60" i="1"/>
  <c r="V59" i="1"/>
  <c r="V60" i="1" s="1"/>
  <c r="U59" i="1"/>
  <c r="U60" i="1" s="1"/>
  <c r="T59" i="1"/>
  <c r="T60" i="1" s="1"/>
  <c r="S59" i="1"/>
  <c r="S60" i="1" s="1"/>
  <c r="R59" i="1"/>
  <c r="R60" i="1" s="1"/>
  <c r="Q59" i="1"/>
  <c r="V52" i="1"/>
  <c r="V69" i="1" s="1"/>
  <c r="U52" i="1"/>
  <c r="U69" i="1" s="1"/>
  <c r="T52" i="1"/>
  <c r="T69" i="1" s="1"/>
  <c r="S52" i="1"/>
  <c r="S69" i="1" s="1"/>
  <c r="R52" i="1"/>
  <c r="R69" i="1" s="1"/>
  <c r="O52" i="1"/>
  <c r="O69" i="1" s="1"/>
  <c r="N52" i="1"/>
  <c r="N69" i="1" s="1"/>
  <c r="M52" i="1"/>
  <c r="M69" i="1" s="1"/>
  <c r="L52" i="1"/>
  <c r="L69" i="1" s="1"/>
  <c r="K52" i="1"/>
  <c r="H52" i="1"/>
  <c r="H69" i="1" s="1"/>
  <c r="G52" i="1"/>
  <c r="G69" i="1" s="1"/>
  <c r="F52" i="1"/>
  <c r="F69" i="1" s="1"/>
  <c r="E52" i="1"/>
  <c r="E69" i="1" s="1"/>
  <c r="D52" i="1"/>
  <c r="D69" i="1" s="1"/>
  <c r="W51" i="1"/>
  <c r="P51" i="1"/>
  <c r="I51" i="1"/>
  <c r="W50" i="1"/>
  <c r="P50" i="1"/>
  <c r="I50" i="1"/>
  <c r="W49" i="1"/>
  <c r="P49" i="1"/>
  <c r="I49" i="1"/>
  <c r="K37" i="1"/>
  <c r="U73" i="1" s="1"/>
  <c r="H37" i="1"/>
  <c r="M73" i="1" s="1"/>
  <c r="E37" i="1"/>
  <c r="F73" i="1" s="1"/>
  <c r="K36" i="1"/>
  <c r="T72" i="1" s="1"/>
  <c r="H36" i="1"/>
  <c r="L72" i="1" s="1"/>
  <c r="E36" i="1"/>
  <c r="F72" i="1" s="1"/>
  <c r="K35" i="1"/>
  <c r="T71" i="1" s="1"/>
  <c r="H35" i="1"/>
  <c r="E35" i="1"/>
  <c r="G71" i="1" s="1"/>
  <c r="E31" i="1"/>
  <c r="E22" i="1" s="1"/>
  <c r="D31" i="1"/>
  <c r="C31" i="1"/>
  <c r="E16" i="1"/>
  <c r="D16" i="1"/>
  <c r="C16" i="1"/>
  <c r="E15" i="1"/>
  <c r="D15" i="1"/>
  <c r="C15" i="1"/>
  <c r="E5" i="1"/>
  <c r="E14" i="1" s="1"/>
  <c r="D5" i="1"/>
  <c r="D8" i="1" s="1"/>
  <c r="P57" i="1" s="1"/>
  <c r="C5" i="1"/>
  <c r="C14" i="1" s="1"/>
  <c r="F70" i="1" l="1"/>
  <c r="C8" i="1"/>
  <c r="I57" i="1" s="1"/>
  <c r="N70" i="1"/>
  <c r="V70" i="1"/>
  <c r="C17" i="1"/>
  <c r="E75" i="1" s="1"/>
  <c r="H86" i="1" s="1"/>
  <c r="E73" i="1"/>
  <c r="H65" i="1"/>
  <c r="I65" i="1" s="1"/>
  <c r="Q80" i="1"/>
  <c r="G104" i="1"/>
  <c r="I104" i="1" s="1"/>
  <c r="E70" i="1"/>
  <c r="G72" i="1"/>
  <c r="L70" i="1"/>
  <c r="H72" i="1"/>
  <c r="N73" i="1"/>
  <c r="E72" i="1"/>
  <c r="G70" i="1"/>
  <c r="L73" i="1"/>
  <c r="E45" i="1"/>
  <c r="W58" i="1" s="1"/>
  <c r="S70" i="1"/>
  <c r="N72" i="1"/>
  <c r="O73" i="1"/>
  <c r="W69" i="1"/>
  <c r="G73" i="1"/>
  <c r="E17" i="1"/>
  <c r="V75" i="1" s="1"/>
  <c r="H109" i="1" s="1"/>
  <c r="I52" i="1"/>
  <c r="U70" i="1"/>
  <c r="R72" i="1"/>
  <c r="S73" i="1"/>
  <c r="P52" i="1"/>
  <c r="S72" i="1"/>
  <c r="D22" i="1"/>
  <c r="E71" i="1"/>
  <c r="E74" i="1" s="1"/>
  <c r="U72" i="1"/>
  <c r="I69" i="1"/>
  <c r="C80" i="1"/>
  <c r="J80" i="1"/>
  <c r="G94" i="1"/>
  <c r="V71" i="1"/>
  <c r="R71" i="1"/>
  <c r="C45" i="1"/>
  <c r="D45" i="1"/>
  <c r="K69" i="1"/>
  <c r="V65" i="1"/>
  <c r="S71" i="1"/>
  <c r="D14" i="1"/>
  <c r="D17" i="1" s="1"/>
  <c r="K72" i="1"/>
  <c r="O72" i="1"/>
  <c r="M72" i="1"/>
  <c r="M70" i="1"/>
  <c r="U71" i="1"/>
  <c r="M71" i="1"/>
  <c r="O71" i="1"/>
  <c r="E8" i="1"/>
  <c r="O70" i="1"/>
  <c r="K70" i="1"/>
  <c r="H73" i="1"/>
  <c r="D73" i="1"/>
  <c r="W52" i="1"/>
  <c r="E24" i="1" s="1"/>
  <c r="E25" i="1" s="1"/>
  <c r="K71" i="1"/>
  <c r="J57" i="1"/>
  <c r="D70" i="1"/>
  <c r="L71" i="1"/>
  <c r="D71" i="1"/>
  <c r="H71" i="1"/>
  <c r="F71" i="1"/>
  <c r="F74" i="1" s="1"/>
  <c r="R73" i="1"/>
  <c r="V73" i="1"/>
  <c r="T73" i="1"/>
  <c r="T74" i="1" s="1"/>
  <c r="O65" i="1"/>
  <c r="N71" i="1"/>
  <c r="H70" i="1"/>
  <c r="R70" i="1"/>
  <c r="D72" i="1"/>
  <c r="V72" i="1"/>
  <c r="K73" i="1"/>
  <c r="T70" i="1"/>
  <c r="G74" i="1" l="1"/>
  <c r="E76" i="1"/>
  <c r="H75" i="1"/>
  <c r="H89" i="1" s="1"/>
  <c r="F75" i="1"/>
  <c r="H87" i="1" s="1"/>
  <c r="G75" i="1"/>
  <c r="H88" i="1" s="1"/>
  <c r="C57" i="1"/>
  <c r="C84" i="1" s="1"/>
  <c r="Q58" i="1"/>
  <c r="D104" i="1" s="1"/>
  <c r="V66" i="1"/>
  <c r="D109" i="1" s="1"/>
  <c r="D110" i="1" s="1"/>
  <c r="H74" i="1"/>
  <c r="H76" i="1" s="1"/>
  <c r="T75" i="1"/>
  <c r="H107" i="1" s="1"/>
  <c r="F25" i="1"/>
  <c r="C89" i="1"/>
  <c r="L74" i="1"/>
  <c r="D75" i="1"/>
  <c r="H85" i="1" s="1"/>
  <c r="S74" i="1"/>
  <c r="S75" i="1"/>
  <c r="H106" i="1" s="1"/>
  <c r="U75" i="1"/>
  <c r="H108" i="1" s="1"/>
  <c r="W72" i="1"/>
  <c r="W73" i="1"/>
  <c r="I72" i="1"/>
  <c r="F76" i="1"/>
  <c r="R75" i="1"/>
  <c r="H105" i="1" s="1"/>
  <c r="W70" i="1"/>
  <c r="N74" i="1"/>
  <c r="M74" i="1"/>
  <c r="P73" i="1"/>
  <c r="U74" i="1"/>
  <c r="D24" i="1"/>
  <c r="D25" i="1" s="1"/>
  <c r="I73" i="1"/>
  <c r="W65" i="1"/>
  <c r="C109" i="1"/>
  <c r="P71" i="1"/>
  <c r="K74" i="1"/>
  <c r="P72" i="1"/>
  <c r="P69" i="1"/>
  <c r="C94" i="1"/>
  <c r="R74" i="1"/>
  <c r="W71" i="1"/>
  <c r="I70" i="1"/>
  <c r="P70" i="1"/>
  <c r="O74" i="1"/>
  <c r="V74" i="1"/>
  <c r="V76" i="1" s="1"/>
  <c r="N75" i="1"/>
  <c r="H98" i="1" s="1"/>
  <c r="L75" i="1"/>
  <c r="H96" i="1" s="1"/>
  <c r="O75" i="1"/>
  <c r="H99" i="1" s="1"/>
  <c r="M75" i="1"/>
  <c r="H97" i="1" s="1"/>
  <c r="K75" i="1"/>
  <c r="I94" i="1"/>
  <c r="I84" i="1"/>
  <c r="P58" i="1"/>
  <c r="O66" i="1"/>
  <c r="J58" i="1"/>
  <c r="D94" i="1" s="1"/>
  <c r="I58" i="1"/>
  <c r="H66" i="1"/>
  <c r="C58" i="1"/>
  <c r="D84" i="1" s="1"/>
  <c r="D74" i="1"/>
  <c r="I71" i="1"/>
  <c r="C99" i="1"/>
  <c r="P65" i="1"/>
  <c r="W57" i="1"/>
  <c r="Q57" i="1"/>
  <c r="T63" i="1" l="1"/>
  <c r="S62" i="1"/>
  <c r="N63" i="1"/>
  <c r="M62" i="1"/>
  <c r="H64" i="1"/>
  <c r="E63" i="1"/>
  <c r="U63" i="1"/>
  <c r="T62" i="1"/>
  <c r="O63" i="1"/>
  <c r="N62" i="1"/>
  <c r="F62" i="1"/>
  <c r="D63" i="1"/>
  <c r="V63" i="1"/>
  <c r="U62" i="1"/>
  <c r="K64" i="1"/>
  <c r="O62" i="1"/>
  <c r="G62" i="1"/>
  <c r="D62" i="1"/>
  <c r="V62" i="1"/>
  <c r="L64" i="1"/>
  <c r="K62" i="1"/>
  <c r="H62" i="1"/>
  <c r="H67" i="1" s="1"/>
  <c r="R62" i="1"/>
  <c r="D64" i="1"/>
  <c r="I64" i="1" s="1"/>
  <c r="F63" i="1"/>
  <c r="V64" i="1"/>
  <c r="G64" i="1"/>
  <c r="E62" i="1"/>
  <c r="R64" i="1"/>
  <c r="M64" i="1"/>
  <c r="T64" i="1"/>
  <c r="K63" i="1"/>
  <c r="K67" i="1" s="1"/>
  <c r="N64" i="1"/>
  <c r="E64" i="1"/>
  <c r="G63" i="1"/>
  <c r="U64" i="1"/>
  <c r="H63" i="1"/>
  <c r="M63" i="1"/>
  <c r="M67" i="1" s="1"/>
  <c r="S64" i="1"/>
  <c r="R63" i="1"/>
  <c r="L63" i="1"/>
  <c r="O64" i="1"/>
  <c r="F64" i="1"/>
  <c r="S63" i="1"/>
  <c r="L62" i="1"/>
  <c r="H90" i="1"/>
  <c r="I75" i="1"/>
  <c r="U76" i="1"/>
  <c r="S76" i="1"/>
  <c r="W66" i="1"/>
  <c r="G76" i="1"/>
  <c r="D76" i="1"/>
  <c r="K76" i="1"/>
  <c r="V67" i="1"/>
  <c r="T76" i="1"/>
  <c r="H110" i="1"/>
  <c r="R76" i="1"/>
  <c r="F84" i="1"/>
  <c r="J84" i="1" s="1"/>
  <c r="W75" i="1"/>
  <c r="M76" i="1"/>
  <c r="O76" i="1"/>
  <c r="C60" i="1"/>
  <c r="F94" i="1"/>
  <c r="W59" i="1"/>
  <c r="C90" i="1"/>
  <c r="L76" i="1"/>
  <c r="P66" i="1"/>
  <c r="D99" i="1"/>
  <c r="D89" i="1"/>
  <c r="I66" i="1"/>
  <c r="W74" i="1"/>
  <c r="I74" i="1"/>
  <c r="C104" i="1"/>
  <c r="F104" i="1" s="1"/>
  <c r="Q60" i="1"/>
  <c r="H95" i="1"/>
  <c r="H100" i="1" s="1"/>
  <c r="P75" i="1"/>
  <c r="J60" i="1"/>
  <c r="P74" i="1"/>
  <c r="C100" i="1"/>
  <c r="N76" i="1"/>
  <c r="W63" i="1" l="1"/>
  <c r="D78" i="1"/>
  <c r="D67" i="1"/>
  <c r="M78" i="1"/>
  <c r="M79" i="1" s="1"/>
  <c r="E97" i="1" s="1"/>
  <c r="F97" i="1" s="1"/>
  <c r="W62" i="1"/>
  <c r="U67" i="1"/>
  <c r="T67" i="1"/>
  <c r="P64" i="1"/>
  <c r="V78" i="1"/>
  <c r="G109" i="1" s="1"/>
  <c r="I109" i="1" s="1"/>
  <c r="S78" i="1"/>
  <c r="S79" i="1" s="1"/>
  <c r="E106" i="1" s="1"/>
  <c r="F106" i="1" s="1"/>
  <c r="K78" i="1"/>
  <c r="G95" i="1" s="1"/>
  <c r="L67" i="1"/>
  <c r="E67" i="1"/>
  <c r="N67" i="1"/>
  <c r="U78" i="1"/>
  <c r="U79" i="1" s="1"/>
  <c r="E108" i="1" s="1"/>
  <c r="F108" i="1" s="1"/>
  <c r="G78" i="1"/>
  <c r="G79" i="1" s="1"/>
  <c r="E88" i="1" s="1"/>
  <c r="F88" i="1" s="1"/>
  <c r="D79" i="1"/>
  <c r="E85" i="1" s="1"/>
  <c r="F85" i="1" s="1"/>
  <c r="G67" i="1"/>
  <c r="P63" i="1"/>
  <c r="I76" i="1"/>
  <c r="S67" i="1"/>
  <c r="I62" i="1"/>
  <c r="I63" i="1"/>
  <c r="P62" i="1"/>
  <c r="O67" i="1"/>
  <c r="W64" i="1"/>
  <c r="R67" i="1"/>
  <c r="E78" i="1"/>
  <c r="E79" i="1" s="1"/>
  <c r="E86" i="1" s="1"/>
  <c r="F86" i="1" s="1"/>
  <c r="F67" i="1"/>
  <c r="R78" i="1"/>
  <c r="G105" i="1" s="1"/>
  <c r="F78" i="1"/>
  <c r="G87" i="1" s="1"/>
  <c r="I87" i="1" s="1"/>
  <c r="H78" i="1"/>
  <c r="G89" i="1" s="1"/>
  <c r="I89" i="1" s="1"/>
  <c r="N78" i="1"/>
  <c r="N79" i="1" s="1"/>
  <c r="E98" i="1" s="1"/>
  <c r="F98" i="1" s="1"/>
  <c r="T78" i="1"/>
  <c r="G107" i="1" s="1"/>
  <c r="I107" i="1" s="1"/>
  <c r="O78" i="1"/>
  <c r="O79" i="1" s="1"/>
  <c r="E99" i="1" s="1"/>
  <c r="F99" i="1" s="1"/>
  <c r="L78" i="1"/>
  <c r="L79" i="1" s="1"/>
  <c r="E96" i="1" s="1"/>
  <c r="F96" i="1" s="1"/>
  <c r="W76" i="1"/>
  <c r="D100" i="1"/>
  <c r="D90" i="1"/>
  <c r="P76" i="1"/>
  <c r="D18" i="2"/>
  <c r="E18" i="2"/>
  <c r="K84" i="1"/>
  <c r="C110" i="1"/>
  <c r="C18" i="2"/>
  <c r="J94" i="1"/>
  <c r="G97" i="1" l="1"/>
  <c r="I97" i="1" s="1"/>
  <c r="J97" i="1" s="1"/>
  <c r="V79" i="1"/>
  <c r="E109" i="1" s="1"/>
  <c r="F109" i="1" s="1"/>
  <c r="J109" i="1" s="1"/>
  <c r="G86" i="1"/>
  <c r="I86" i="1" s="1"/>
  <c r="J86" i="1" s="1"/>
  <c r="W67" i="1"/>
  <c r="G85" i="1"/>
  <c r="I85" i="1" s="1"/>
  <c r="G106" i="1"/>
  <c r="I106" i="1" s="1"/>
  <c r="J106" i="1" s="1"/>
  <c r="K79" i="1"/>
  <c r="E95" i="1" s="1"/>
  <c r="F95" i="1" s="1"/>
  <c r="G99" i="1"/>
  <c r="I99" i="1" s="1"/>
  <c r="J99" i="1" s="1"/>
  <c r="F79" i="1"/>
  <c r="E87" i="1" s="1"/>
  <c r="F87" i="1" s="1"/>
  <c r="J87" i="1" s="1"/>
  <c r="P78" i="1"/>
  <c r="P79" i="1" s="1"/>
  <c r="P60" i="1" s="1"/>
  <c r="P67" i="1"/>
  <c r="H79" i="1"/>
  <c r="E89" i="1" s="1"/>
  <c r="F89" i="1" s="1"/>
  <c r="J89" i="1" s="1"/>
  <c r="I67" i="1"/>
  <c r="G88" i="1"/>
  <c r="I88" i="1" s="1"/>
  <c r="J88" i="1" s="1"/>
  <c r="G108" i="1"/>
  <c r="I108" i="1" s="1"/>
  <c r="J108" i="1" s="1"/>
  <c r="I78" i="1"/>
  <c r="I79" i="1" s="1"/>
  <c r="I60" i="1" s="1"/>
  <c r="O80" i="1"/>
  <c r="G96" i="1"/>
  <c r="I96" i="1" s="1"/>
  <c r="J96" i="1" s="1"/>
  <c r="T79" i="1"/>
  <c r="E107" i="1" s="1"/>
  <c r="F107" i="1" s="1"/>
  <c r="J107" i="1" s="1"/>
  <c r="R79" i="1"/>
  <c r="R80" i="1" s="1"/>
  <c r="W78" i="1"/>
  <c r="G98" i="1"/>
  <c r="I98" i="1" s="1"/>
  <c r="J98" i="1" s="1"/>
  <c r="M80" i="1"/>
  <c r="L80" i="1"/>
  <c r="N80" i="1"/>
  <c r="E80" i="1"/>
  <c r="S80" i="1"/>
  <c r="I95" i="1"/>
  <c r="J104" i="1"/>
  <c r="U80" i="1"/>
  <c r="K94" i="1"/>
  <c r="I105" i="1"/>
  <c r="D80" i="1"/>
  <c r="G80" i="1"/>
  <c r="V80" i="1" l="1"/>
  <c r="T80" i="1"/>
  <c r="F90" i="1"/>
  <c r="F80" i="1"/>
  <c r="C17" i="2"/>
  <c r="E100" i="1"/>
  <c r="K80" i="1"/>
  <c r="E90" i="1"/>
  <c r="D17" i="2"/>
  <c r="E17" i="2"/>
  <c r="G110" i="1"/>
  <c r="G90" i="1"/>
  <c r="H80" i="1"/>
  <c r="W79" i="1"/>
  <c r="W60" i="1" s="1"/>
  <c r="G100" i="1"/>
  <c r="E105" i="1"/>
  <c r="F105" i="1" s="1"/>
  <c r="F110" i="1" s="1"/>
  <c r="J85" i="1"/>
  <c r="I90" i="1"/>
  <c r="P80" i="1"/>
  <c r="F100" i="1"/>
  <c r="K104" i="1"/>
  <c r="I80" i="1"/>
  <c r="I110" i="1"/>
  <c r="J95" i="1"/>
  <c r="K95" i="1" s="1"/>
  <c r="K96" i="1" s="1"/>
  <c r="K97" i="1" s="1"/>
  <c r="K98" i="1" s="1"/>
  <c r="K99" i="1" s="1"/>
  <c r="K100" i="1" s="1"/>
  <c r="D115" i="1" s="1"/>
  <c r="D8" i="2" s="1"/>
  <c r="I100" i="1"/>
  <c r="C9" i="2" l="1"/>
  <c r="E110" i="1"/>
  <c r="W80" i="1"/>
  <c r="D114" i="1"/>
  <c r="D113" i="1"/>
  <c r="D5" i="2" s="1"/>
  <c r="J100" i="1"/>
  <c r="J105" i="1"/>
  <c r="C114" i="1"/>
  <c r="C113" i="1"/>
  <c r="C5" i="2" s="1"/>
  <c r="J90" i="1"/>
  <c r="K85" i="1"/>
  <c r="K86" i="1" s="1"/>
  <c r="K87" i="1" s="1"/>
  <c r="K88" i="1" s="1"/>
  <c r="K89" i="1" s="1"/>
  <c r="D20" i="2" l="1"/>
  <c r="C20" i="2"/>
  <c r="E20" i="2"/>
  <c r="J110" i="1"/>
  <c r="E114" i="1"/>
  <c r="E113" i="1"/>
  <c r="E5" i="2" s="1"/>
  <c r="C16" i="2" s="1"/>
  <c r="C115" i="1"/>
  <c r="C8" i="2" s="1"/>
  <c r="K90" i="1"/>
  <c r="K105" i="1"/>
  <c r="K106" i="1" s="1"/>
  <c r="K107" i="1" s="1"/>
  <c r="K108" i="1" s="1"/>
  <c r="K109" i="1" s="1"/>
  <c r="K110" i="1" s="1"/>
  <c r="E115" i="1" s="1"/>
  <c r="E8" i="2" s="1"/>
  <c r="D19" i="2" l="1"/>
  <c r="E19" i="2"/>
  <c r="C19" i="2"/>
  <c r="B26" i="2" s="1"/>
  <c r="D16" i="2"/>
  <c r="E16" i="2"/>
  <c r="B27" i="2" l="1"/>
  <c r="B28" i="2"/>
</calcChain>
</file>

<file path=xl/sharedStrings.xml><?xml version="1.0" encoding="utf-8"?>
<sst xmlns="http://schemas.openxmlformats.org/spreadsheetml/2006/main" count="261" uniqueCount="127">
  <si>
    <t>INVERSIÓN EN ACTIVO FIJO</t>
  </si>
  <si>
    <t>SAN NICOLÁS</t>
  </si>
  <si>
    <t>ALBERTI</t>
  </si>
  <si>
    <t>SAN LUIS</t>
  </si>
  <si>
    <t>Costo terreno [USD/m2]</t>
  </si>
  <si>
    <t>Superficie terreno [m2]</t>
  </si>
  <si>
    <t>Inversión en terreno [USD]</t>
  </si>
  <si>
    <t>Inversión nave industrial [USD]</t>
  </si>
  <si>
    <t>Inversión equipos [USD]</t>
  </si>
  <si>
    <t>TOTAL ACTIVO FIJO [USD]</t>
  </si>
  <si>
    <t>AMORTIZACIONES</t>
  </si>
  <si>
    <t>Vida útil terreno [años]</t>
  </si>
  <si>
    <t>Vida útil nave industrial [años]</t>
  </si>
  <si>
    <t>Vida útil equipos [años]</t>
  </si>
  <si>
    <t>Amortiz. anual terreno [USD/año]</t>
  </si>
  <si>
    <t>Amortiz. anual nave industrial [USD/año]</t>
  </si>
  <si>
    <t>Amortiz. anual equipos [USD/año]</t>
  </si>
  <si>
    <t>TOTAL AMORTIZACIÓN ANUAL [USD/año]</t>
  </si>
  <si>
    <t>PRECIO DE VENTA</t>
  </si>
  <si>
    <t>Costo de producción por cuchara [USD]</t>
  </si>
  <si>
    <t>Margen bruto [%]</t>
  </si>
  <si>
    <t>Costo transporte MP por cuchara [USD]</t>
  </si>
  <si>
    <t>Costo transporte PT prom. pond. por cuchara [USD]</t>
  </si>
  <si>
    <t>Costo total por cuchara [USD]</t>
  </si>
  <si>
    <t>PRECIO DE VENTA [USD/cuchara]</t>
  </si>
  <si>
    <t>TRANSPORTE DE MATERIA PRIMA</t>
  </si>
  <si>
    <t>Costo MP [USD/km]</t>
  </si>
  <si>
    <t>Distancia al proveedor (AMBA) [km]</t>
  </si>
  <si>
    <t>Semirremolques por cuchara</t>
  </si>
  <si>
    <t>TRANSPORTE DE PRODUCTO TERMINADO</t>
  </si>
  <si>
    <t>Cliente</t>
  </si>
  <si>
    <t>Costo/km [USD]</t>
  </si>
  <si>
    <t>Dist. [km]</t>
  </si>
  <si>
    <t>Costo/cuchara [USD]</t>
  </si>
  <si>
    <t>Metcon (San Nicolás)</t>
  </si>
  <si>
    <t>Zapla (Jujuy)</t>
  </si>
  <si>
    <t>Acerbrag (Bragado)</t>
  </si>
  <si>
    <t>Distancias corregidas</t>
  </si>
  <si>
    <t xml:space="preserve">CRÉDITO FISCAL </t>
  </si>
  <si>
    <t>Crédito fiscal  [USD] (3% × AF)</t>
  </si>
  <si>
    <t>ACTIVO DE TRABAJO</t>
  </si>
  <si>
    <t>Inversión activo de trabajo [USD]</t>
  </si>
  <si>
    <t>1 mes de costos operativos variables del Año 1 (producción + transporte MP + transporte PT). Criterio: período mínimo de capital inmovilizado antes del primer cobro.</t>
  </si>
  <si>
    <t>VENTAS [unidades] - Equipo 523</t>
  </si>
  <si>
    <t>Año 1</t>
  </si>
  <si>
    <t>Año 2</t>
  </si>
  <si>
    <t>Año 3</t>
  </si>
  <si>
    <t>Año 4</t>
  </si>
  <si>
    <t>Año 5</t>
  </si>
  <si>
    <t>TOTAL</t>
  </si>
  <si>
    <t>Metcon</t>
  </si>
  <si>
    <t>Zapla</t>
  </si>
  <si>
    <t>Acerbrag</t>
  </si>
  <si>
    <t>9. FLUJO DE FONDOS</t>
  </si>
  <si>
    <t>Año 0</t>
  </si>
  <si>
    <t>EGRESOS</t>
  </si>
  <si>
    <t>Inversión Activo Fijo [USD]</t>
  </si>
  <si>
    <t>Inversión Activo de Trabajo [USD]</t>
  </si>
  <si>
    <t>(-) Crédito Fiscal [USD]</t>
  </si>
  <si>
    <t>TOTAL EGRESOS [USD]</t>
  </si>
  <si>
    <t>INGRESOS</t>
  </si>
  <si>
    <t>Ingresos Metcon [USD]</t>
  </si>
  <si>
    <t>Ingresos Zapla [USD]</t>
  </si>
  <si>
    <t>Ingresos Acerbrag [USD]</t>
  </si>
  <si>
    <t>Valor residual activo fijo  [USD]</t>
  </si>
  <si>
    <t>Recupero activo de trabajo [USD]</t>
  </si>
  <si>
    <t>TOTAL INGRESOS [USD]</t>
  </si>
  <si>
    <t>COSTOS OPERATIVOS</t>
  </si>
  <si>
    <t>Costo de producción [USD]</t>
  </si>
  <si>
    <t>Costo transporte materia prima [USD]</t>
  </si>
  <si>
    <t>Costo transporte PT – Metcon [USD]</t>
  </si>
  <si>
    <t>Costo transporte PT – Zapla [USD]</t>
  </si>
  <si>
    <t>Costo transporte PT – Acerbrag [USD]</t>
  </si>
  <si>
    <t>Total costo transporte PT [USD]</t>
  </si>
  <si>
    <t>Amortizaciones [USD/año]</t>
  </si>
  <si>
    <t>TOTAL COSTOS OPERATIVOS [USD]</t>
  </si>
  <si>
    <t>RESULTADO ECONÓMICO</t>
  </si>
  <si>
    <t>GANANCIA NETA [USD]</t>
  </si>
  <si>
    <t>Año</t>
  </si>
  <si>
    <t>Activo Fijo</t>
  </si>
  <si>
    <t>Activo de Trabajo</t>
  </si>
  <si>
    <t>Total Egresos</t>
  </si>
  <si>
    <t>Amortizaciones</t>
  </si>
  <si>
    <t>Total Ingresos</t>
  </si>
  <si>
    <t>Saldo Anual</t>
  </si>
  <si>
    <t>Saldo Acumulado</t>
  </si>
  <si>
    <t>RESUMEN DE INDICADORES</t>
  </si>
  <si>
    <t>VAN ( 9%) [USD]</t>
  </si>
  <si>
    <t>TIR [%]</t>
  </si>
  <si>
    <t>Beneficio neto [USD]</t>
  </si>
  <si>
    <t>Modelo de ponderación</t>
  </si>
  <si>
    <t>Lj = Σ Pi × Vfi /Vfi normalizado: mejor valor del factor = 1.00. Costos: menor = mejor (Vfi = MIN/valor). Beneficios: mayor = mejor (Vfi = valor/MAX).</t>
  </si>
  <si>
    <t>Factor</t>
  </si>
  <si>
    <t>Ponderación</t>
  </si>
  <si>
    <t>Costo transp. MP [USD]</t>
  </si>
  <si>
    <t>Costo transp. PT [USD]</t>
  </si>
  <si>
    <t>Disponibilidad de MO calificada</t>
  </si>
  <si>
    <t>Gestión ambiental in situ</t>
  </si>
  <si>
    <t>Ponderación (Pi)</t>
  </si>
  <si>
    <t>Dirección</t>
  </si>
  <si>
    <t>VAN (tasa 9%) [USD]</t>
  </si>
  <si>
    <t>mayor = mejor</t>
  </si>
  <si>
    <t>menor = mejor</t>
  </si>
  <si>
    <t>RESULTADO</t>
  </si>
  <si>
    <t>Localización</t>
  </si>
  <si>
    <t>Puntaje</t>
  </si>
  <si>
    <t>Ranking</t>
  </si>
  <si>
    <t>1°</t>
  </si>
  <si>
    <t>2°</t>
  </si>
  <si>
    <t>3°</t>
  </si>
  <si>
    <t>LOCALIZACIÓN ÓPTIMA: SAN NICOLÁS</t>
  </si>
  <si>
    <t>Análisis de crédito fiscal corregido. Se puede ver en fila la fila 79 esta reducción para San Luis</t>
  </si>
  <si>
    <t>Utilidad antes de impuestos [USD]</t>
  </si>
  <si>
    <t>Impuestos [USD]</t>
  </si>
  <si>
    <t>Impuestos</t>
  </si>
  <si>
    <t>Precio corregido</t>
  </si>
  <si>
    <t>Formulación del proyecto - San Nicolás</t>
  </si>
  <si>
    <t>Formulación del proyecto - Alberti</t>
  </si>
  <si>
    <t>Formulación del proyecto - San Luis</t>
  </si>
  <si>
    <t>Utilidad Antes de Impuestos</t>
  </si>
  <si>
    <t>Justificación de activo de trabajo añadida</t>
  </si>
  <si>
    <t>Crédito fiscal 10 años. Se descuenta de los impuestos a pagar cada año.</t>
  </si>
  <si>
    <t>FACTORES CUANTITATIVOS</t>
  </si>
  <si>
    <t>FACTORES CUALITATIVOS</t>
  </si>
  <si>
    <t>PUNTAJES NORMALIZADOS (Vfi)</t>
  </si>
  <si>
    <t>Como hay un único precio de mercado y 3 alternativas debido a los costos de cada localización, se toma un único precio promedio</t>
  </si>
  <si>
    <t>Justificación en documento word adjunto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</si>
</sst>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00"/>
  </numFmts>
  <fonts count="17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0"/>
      <name val="Arial"/>
      <family val="2"/>
      <charset val="1"/>
    </font>
    <font>
      <sz val="10"/>
      <color rgb="FF0070C0"/>
      <name val="Arial"/>
      <family val="2"/>
      <charset val="1"/>
    </font>
    <font>
      <b/>
      <sz val="12"/>
      <color theme="0"/>
      <name val="Calibri"/>
      <family val="2"/>
      <charset val="1"/>
    </font>
    <font>
      <sz val="9"/>
      <color rgb="FF404040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name val="Calibri"/>
      <family val="2"/>
      <charset val="1"/>
    </font>
    <font>
      <sz val="9"/>
      <name val="Calibri"/>
      <family val="2"/>
      <charset val="1"/>
    </font>
    <font>
      <b/>
      <sz val="10"/>
      <name val="Calibri"/>
      <family val="2"/>
      <charset val="1"/>
    </font>
    <font>
      <b/>
      <sz val="13"/>
      <name val="Calibri"/>
      <family val="2"/>
      <charset val="1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 tint="0.24988555558946501"/>
        <bgColor rgb="FF333300"/>
      </patternFill>
    </fill>
    <fill>
      <patternFill patternType="solid">
        <fgColor theme="4" tint="0.39988402966399123"/>
        <bgColor rgb="FF8EA9C1"/>
      </patternFill>
    </fill>
    <fill>
      <patternFill patternType="solid">
        <fgColor theme="5" tint="0.59987182226020086"/>
        <bgColor rgb="FFD9D9D9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0" tint="-0.14999847407452621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FFABAB"/>
        <bgColor rgb="FFF8CBAD"/>
      </patternFill>
    </fill>
    <fill>
      <patternFill patternType="solid">
        <fgColor rgb="FF278964"/>
        <bgColor rgb="FF008080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8EA9C1"/>
      </bottom>
      <diagonal/>
    </border>
    <border>
      <left/>
      <right/>
      <top style="medium">
        <color indexed="64"/>
      </top>
      <bottom style="thin">
        <color rgb="FF8EA9C1"/>
      </bottom>
      <diagonal/>
    </border>
    <border>
      <left/>
      <right style="medium">
        <color indexed="64"/>
      </right>
      <top style="medium">
        <color indexed="64"/>
      </top>
      <bottom style="thin">
        <color rgb="FF8EA9C1"/>
      </bottom>
      <diagonal/>
    </border>
    <border>
      <left style="medium">
        <color indexed="64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medium">
        <color indexed="64"/>
      </right>
      <top style="thin">
        <color rgb="FF8EA9C1"/>
      </top>
      <bottom style="thin">
        <color rgb="FF8EA9C1"/>
      </bottom>
      <diagonal/>
    </border>
    <border>
      <left style="medium">
        <color indexed="64"/>
      </left>
      <right/>
      <top style="thin">
        <color rgb="FF8EA9C1"/>
      </top>
      <bottom style="thin">
        <color rgb="FF8EA9C1"/>
      </bottom>
      <diagonal/>
    </border>
    <border>
      <left style="medium">
        <color indexed="64"/>
      </left>
      <right style="thin">
        <color rgb="FF8EA9C1"/>
      </right>
      <top style="thin">
        <color rgb="FF8EA9C1"/>
      </top>
      <bottom style="medium">
        <color indexed="6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medium">
        <color indexed="64"/>
      </bottom>
      <diagonal/>
    </border>
    <border>
      <left style="thin">
        <color rgb="FF8EA9C1"/>
      </left>
      <right style="medium">
        <color indexed="64"/>
      </right>
      <top style="thin">
        <color rgb="FF8EA9C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rgb="FF8EA9C1"/>
      </top>
      <bottom style="thin">
        <color rgb="FF8EA9C1"/>
      </bottom>
      <diagonal/>
    </border>
    <border>
      <left style="medium">
        <color indexed="64"/>
      </left>
      <right style="medium">
        <color indexed="64"/>
      </right>
      <top style="thin">
        <color rgb="FF8EA9C1"/>
      </top>
      <bottom style="medium">
        <color indexed="64"/>
      </bottom>
      <diagonal/>
    </border>
    <border>
      <left style="medium">
        <color indexed="64"/>
      </left>
      <right style="thin">
        <color rgb="FF8EA9C1"/>
      </right>
      <top style="medium">
        <color indexed="64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medium">
        <color indexed="64"/>
      </top>
      <bottom style="thin">
        <color rgb="FF8EA9C1"/>
      </bottom>
      <diagonal/>
    </border>
    <border>
      <left style="thin">
        <color rgb="FF8EA9C1"/>
      </left>
      <right style="medium">
        <color indexed="64"/>
      </right>
      <top style="medium">
        <color indexed="64"/>
      </top>
      <bottom style="thin">
        <color rgb="FF8EA9C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</borders>
  <cellStyleXfs count="2">
    <xf numFmtId="0" fontId="0" fillId="0" borderId="0"/>
    <xf numFmtId="9" fontId="2" fillId="0" borderId="0"/>
  </cellStyleXfs>
  <cellXfs count="12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9" fontId="3" fillId="0" borderId="2" xfId="1" applyFont="1" applyBorder="1" applyAlignment="1">
      <alignment horizontal="right" vertical="center"/>
    </xf>
    <xf numFmtId="0" fontId="0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2" fontId="8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2" fontId="7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166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166" fontId="11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166" fontId="11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11" fillId="6" borderId="2" xfId="0" applyFont="1" applyFill="1" applyBorder="1" applyAlignment="1">
      <alignment horizontal="left" vertical="center" wrapText="1"/>
    </xf>
    <xf numFmtId="3" fontId="11" fillId="6" borderId="2" xfId="0" applyNumberFormat="1" applyFont="1" applyFill="1" applyBorder="1" applyAlignment="1">
      <alignment horizontal="right" vertical="center"/>
    </xf>
    <xf numFmtId="0" fontId="9" fillId="0" borderId="0" xfId="0" applyFont="1"/>
    <xf numFmtId="3" fontId="8" fillId="0" borderId="2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0" fontId="11" fillId="7" borderId="0" xfId="0" applyFont="1" applyFill="1" applyAlignment="1">
      <alignment vertical="center"/>
    </xf>
    <xf numFmtId="3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right" vertical="center"/>
    </xf>
    <xf numFmtId="164" fontId="9" fillId="0" borderId="3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1" fontId="11" fillId="0" borderId="2" xfId="0" applyNumberFormat="1" applyFont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" fontId="11" fillId="6" borderId="2" xfId="0" applyNumberFormat="1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right" vertical="center"/>
    </xf>
    <xf numFmtId="164" fontId="6" fillId="9" borderId="2" xfId="0" applyNumberFormat="1" applyFont="1" applyFill="1" applyBorder="1" applyAlignment="1">
      <alignment horizontal="right" vertical="center"/>
    </xf>
    <xf numFmtId="164" fontId="11" fillId="6" borderId="2" xfId="0" applyNumberFormat="1" applyFont="1" applyFill="1" applyBorder="1" applyAlignment="1">
      <alignment horizontal="right" vertical="center"/>
    </xf>
    <xf numFmtId="165" fontId="11" fillId="0" borderId="2" xfId="0" applyNumberFormat="1" applyFont="1" applyBorder="1" applyAlignment="1">
      <alignment horizontal="right" vertical="center"/>
    </xf>
    <xf numFmtId="10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164" fontId="9" fillId="0" borderId="13" xfId="0" applyNumberFormat="1" applyFont="1" applyBorder="1" applyAlignment="1">
      <alignment horizontal="right" vertical="center"/>
    </xf>
    <xf numFmtId="164" fontId="13" fillId="0" borderId="14" xfId="0" applyNumberFormat="1" applyFont="1" applyBorder="1" applyAlignment="1">
      <alignment horizontal="right" vertical="center"/>
    </xf>
    <xf numFmtId="164" fontId="11" fillId="8" borderId="13" xfId="0" applyNumberFormat="1" applyFont="1" applyFill="1" applyBorder="1" applyAlignment="1">
      <alignment horizontal="right" vertical="center"/>
    </xf>
    <xf numFmtId="164" fontId="13" fillId="8" borderId="14" xfId="0" applyNumberFormat="1" applyFont="1" applyFill="1" applyBorder="1" applyAlignment="1">
      <alignment horizontal="right" vertical="center"/>
    </xf>
    <xf numFmtId="0" fontId="14" fillId="2" borderId="14" xfId="0" applyFont="1" applyFill="1" applyBorder="1" applyAlignment="1">
      <alignment vertical="center" wrapText="1"/>
    </xf>
    <xf numFmtId="164" fontId="6" fillId="9" borderId="13" xfId="0" applyNumberFormat="1" applyFont="1" applyFill="1" applyBorder="1" applyAlignment="1">
      <alignment horizontal="right" vertical="center"/>
    </xf>
    <xf numFmtId="164" fontId="14" fillId="9" borderId="14" xfId="0" applyNumberFormat="1" applyFont="1" applyFill="1" applyBorder="1" applyAlignment="1">
      <alignment horizontal="right" vertical="center"/>
    </xf>
    <xf numFmtId="164" fontId="11" fillId="6" borderId="13" xfId="0" applyNumberFormat="1" applyFont="1" applyFill="1" applyBorder="1" applyAlignment="1">
      <alignment horizontal="right" vertical="center"/>
    </xf>
    <xf numFmtId="164" fontId="13" fillId="6" borderId="14" xfId="0" applyNumberFormat="1" applyFont="1" applyFill="1" applyBorder="1" applyAlignment="1">
      <alignment horizontal="right" vertical="center"/>
    </xf>
    <xf numFmtId="164" fontId="11" fillId="6" borderId="16" xfId="0" applyNumberFormat="1" applyFont="1" applyFill="1" applyBorder="1" applyAlignment="1">
      <alignment horizontal="right" vertical="center"/>
    </xf>
    <xf numFmtId="164" fontId="11" fillId="6" borderId="17" xfId="0" applyNumberFormat="1" applyFont="1" applyFill="1" applyBorder="1" applyAlignment="1">
      <alignment horizontal="right" vertical="center"/>
    </xf>
    <xf numFmtId="164" fontId="13" fillId="6" borderId="18" xfId="0" applyNumberFormat="1" applyFont="1" applyFill="1" applyBorder="1" applyAlignment="1">
      <alignment horizontal="right" vertical="center"/>
    </xf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11" fillId="8" borderId="20" xfId="0" applyFont="1" applyFill="1" applyBorder="1" applyAlignment="1">
      <alignment horizontal="left" vertical="center" wrapText="1"/>
    </xf>
    <xf numFmtId="0" fontId="6" fillId="9" borderId="20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1" fillId="6" borderId="21" xfId="0" applyFont="1" applyFill="1" applyBorder="1" applyAlignment="1">
      <alignment horizontal="left" vertical="center" wrapText="1"/>
    </xf>
    <xf numFmtId="164" fontId="11" fillId="6" borderId="18" xfId="0" applyNumberFormat="1" applyFont="1" applyFill="1" applyBorder="1" applyAlignment="1">
      <alignment horizontal="right" vertical="center"/>
    </xf>
    <xf numFmtId="0" fontId="9" fillId="0" borderId="13" xfId="0" applyFont="1" applyBorder="1" applyAlignment="1">
      <alignment horizontal="center" vertical="center" wrapText="1"/>
    </xf>
    <xf numFmtId="164" fontId="11" fillId="0" borderId="14" xfId="0" applyNumberFormat="1" applyFont="1" applyBorder="1" applyAlignment="1">
      <alignment horizontal="right" vertical="center"/>
    </xf>
    <xf numFmtId="0" fontId="11" fillId="6" borderId="1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165" fontId="11" fillId="0" borderId="14" xfId="0" applyNumberFormat="1" applyFont="1" applyBorder="1" applyAlignment="1">
      <alignment horizontal="right" vertical="center"/>
    </xf>
    <xf numFmtId="0" fontId="11" fillId="0" borderId="16" xfId="0" applyFont="1" applyBorder="1" applyAlignment="1">
      <alignment horizontal="left" vertical="center" wrapText="1"/>
    </xf>
    <xf numFmtId="164" fontId="11" fillId="0" borderId="17" xfId="0" applyNumberFormat="1" applyFont="1" applyBorder="1" applyAlignment="1">
      <alignment horizontal="right" vertical="center"/>
    </xf>
    <xf numFmtId="164" fontId="11" fillId="0" borderId="18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left" vertical="center" wrapText="1"/>
    </xf>
    <xf numFmtId="3" fontId="13" fillId="0" borderId="2" xfId="0" applyNumberFormat="1" applyFont="1" applyBorder="1" applyAlignment="1">
      <alignment horizontal="right" vertical="center"/>
    </xf>
    <xf numFmtId="1" fontId="9" fillId="0" borderId="2" xfId="0" applyNumberFormat="1" applyFont="1" applyBorder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11" fillId="5" borderId="22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3" fillId="10" borderId="6" xfId="0" applyFont="1" applyFill="1" applyBorder="1" applyAlignment="1">
      <alignment horizontal="left" vertical="center" wrapText="1"/>
    </xf>
    <xf numFmtId="0" fontId="13" fillId="10" borderId="0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0" fontId="12" fillId="3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ABAB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8EA9C1"/>
      <rgbColor rgb="FF003366"/>
      <rgbColor rgb="FF278964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Resultado</a:t>
            </a:r>
            <a:r>
              <a:rPr lang="es-AR" b="1" baseline="0"/>
              <a:t>s</a:t>
            </a:r>
            <a:endParaRPr lang="es-A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AE-4445-B50C-E27377C882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E-4445-B50C-E27377C882B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AE-4445-B50C-E27377C88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Ponderación!$A$26:$A$28</c:f>
              <c:strCache>
                <c:ptCount val="3"/>
                <c:pt idx="0">
                  <c:v>SAN NICOLÁS</c:v>
                </c:pt>
                <c:pt idx="1">
                  <c:v>ALBERTI</c:v>
                </c:pt>
                <c:pt idx="2">
                  <c:v>SAN LUIS</c:v>
                </c:pt>
              </c:strCache>
            </c:strRef>
          </c:cat>
          <c:val>
            <c:numRef>
              <c:f>Ponderación!$B$26:$B$28</c:f>
              <c:numCache>
                <c:formatCode>0.000</c:formatCode>
                <c:ptCount val="3"/>
                <c:pt idx="0">
                  <c:v>0.9251099783421004</c:v>
                </c:pt>
                <c:pt idx="1">
                  <c:v>0.723181758257049</c:v>
                </c:pt>
                <c:pt idx="2">
                  <c:v>0.63091769087588101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E-4445-B50C-E27377C88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719306335"/>
        <c:axId val="719302975"/>
      </c:barChart>
      <c:catAx>
        <c:axId val="719306335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719302975"/>
        <c:crosses val="autoZero"/>
        <c:auto val="1"/>
        <c:lblAlgn val="ctr"/>
        <c:lblOffset val="100"/>
        <c:noMultiLvlLbl val="0"/>
      </c:catAx>
      <c:valAx>
        <c:axId val="719302975"/>
        <c:scaling>
          <c:orientation val="minMax"/>
        </c:scaling>
        <c:delete val="1"/>
        <c:axPos val="t"/>
        <c:numFmt formatCode="0.000" sourceLinked="1"/>
        <c:majorTickMark val="none"/>
        <c:minorTickMark val="none"/>
        <c:tickLblPos val="nextTo"/>
        <c:crossAx val="71930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94128</xdr:colOff>
      <xdr:row>23</xdr:row>
      <xdr:rowOff>286869</xdr:rowOff>
    </xdr:from>
    <xdr:to>
      <xdr:col>5</xdr:col>
      <xdr:colOff>2478740</xdr:colOff>
      <xdr:row>28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BE36F2-08F4-2B11-8510-4544D6CAA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18"/>
  <sheetViews>
    <sheetView showGridLines="0" topLeftCell="A19" zoomScale="86" zoomScaleNormal="86" workbookViewId="0">
      <selection activeCell="F45" sqref="F45:M45"/>
    </sheetView>
  </sheetViews>
  <sheetFormatPr baseColWidth="10" defaultColWidth="8.6640625" defaultRowHeight="13.8" x14ac:dyDescent="0.3"/>
  <cols>
    <col min="1" max="1" width="2.21875" style="21" customWidth="1"/>
    <col min="2" max="2" width="36.6640625" style="21" customWidth="1"/>
    <col min="3" max="23" width="15.77734375" style="21" customWidth="1"/>
    <col min="24" max="24" width="44.88671875" style="21" customWidth="1"/>
    <col min="25" max="16384" width="8.6640625" style="21"/>
  </cols>
  <sheetData>
    <row r="1" spans="2:24" ht="9.75" customHeight="1" x14ac:dyDescent="0.3"/>
    <row r="2" spans="2:24" ht="18" customHeight="1" x14ac:dyDescent="0.3">
      <c r="B2" s="22" t="s">
        <v>0</v>
      </c>
      <c r="C2" s="23" t="s">
        <v>1</v>
      </c>
      <c r="D2" s="24" t="s">
        <v>2</v>
      </c>
      <c r="E2" s="25" t="s">
        <v>3</v>
      </c>
    </row>
    <row r="3" spans="2:24" ht="18" customHeight="1" x14ac:dyDescent="0.3">
      <c r="B3" s="26" t="s">
        <v>4</v>
      </c>
      <c r="C3" s="27">
        <v>166</v>
      </c>
      <c r="D3" s="27">
        <v>40</v>
      </c>
      <c r="E3" s="28">
        <v>1.81</v>
      </c>
    </row>
    <row r="4" spans="2:24" ht="18" customHeight="1" x14ac:dyDescent="0.3">
      <c r="B4" s="26" t="s">
        <v>5</v>
      </c>
      <c r="C4" s="27">
        <v>5000</v>
      </c>
      <c r="D4" s="27">
        <v>5000</v>
      </c>
      <c r="E4" s="27">
        <v>5000</v>
      </c>
    </row>
    <row r="5" spans="2:24" ht="18" customHeight="1" x14ac:dyDescent="0.3">
      <c r="B5" s="26" t="s">
        <v>6</v>
      </c>
      <c r="C5" s="29">
        <f>C3*C4</f>
        <v>830000</v>
      </c>
      <c r="D5" s="29">
        <f>D3*D4</f>
        <v>200000</v>
      </c>
      <c r="E5" s="29">
        <f>E3*E4</f>
        <v>9050</v>
      </c>
    </row>
    <row r="6" spans="2:24" ht="18" customHeight="1" x14ac:dyDescent="0.3">
      <c r="B6" s="26" t="s">
        <v>7</v>
      </c>
      <c r="C6" s="27">
        <v>2062500</v>
      </c>
      <c r="D6" s="27">
        <v>2062500</v>
      </c>
      <c r="E6" s="27">
        <v>2062500</v>
      </c>
    </row>
    <row r="7" spans="2:24" ht="18" customHeight="1" x14ac:dyDescent="0.3">
      <c r="B7" s="26" t="s">
        <v>8</v>
      </c>
      <c r="C7" s="27">
        <v>687500</v>
      </c>
      <c r="D7" s="27">
        <v>687500</v>
      </c>
      <c r="E7" s="27">
        <v>687500</v>
      </c>
    </row>
    <row r="8" spans="2:24" ht="18" customHeight="1" x14ac:dyDescent="0.3">
      <c r="B8" s="30" t="s">
        <v>9</v>
      </c>
      <c r="C8" s="31">
        <f>C5+C6+C7</f>
        <v>3580000</v>
      </c>
      <c r="D8" s="31">
        <f>D5+D6+D7</f>
        <v>2950000</v>
      </c>
      <c r="E8" s="31">
        <f>E5+E6+E7</f>
        <v>2759050</v>
      </c>
    </row>
    <row r="9" spans="2:24" s="32" customFormat="1" ht="18" customHeight="1" x14ac:dyDescent="0.3">
      <c r="F9" s="21"/>
      <c r="G9" s="21"/>
      <c r="H9" s="21"/>
      <c r="I9" s="21"/>
      <c r="J9" s="21"/>
      <c r="X9" s="21"/>
    </row>
    <row r="10" spans="2:24" ht="18" customHeight="1" x14ac:dyDescent="0.3">
      <c r="B10" s="22" t="s">
        <v>10</v>
      </c>
      <c r="C10" s="23" t="s">
        <v>1</v>
      </c>
      <c r="D10" s="24" t="s">
        <v>2</v>
      </c>
      <c r="E10" s="25" t="s">
        <v>3</v>
      </c>
    </row>
    <row r="11" spans="2:24" ht="18" customHeight="1" x14ac:dyDescent="0.3">
      <c r="B11" s="10" t="s">
        <v>11</v>
      </c>
      <c r="C11" s="33">
        <v>10</v>
      </c>
      <c r="D11" s="33">
        <v>10</v>
      </c>
      <c r="E11" s="33">
        <v>10</v>
      </c>
    </row>
    <row r="12" spans="2:24" ht="18" customHeight="1" x14ac:dyDescent="0.3">
      <c r="B12" s="10" t="s">
        <v>12</v>
      </c>
      <c r="C12" s="33">
        <v>10</v>
      </c>
      <c r="D12" s="33">
        <v>10</v>
      </c>
      <c r="E12" s="33">
        <v>10</v>
      </c>
    </row>
    <row r="13" spans="2:24" ht="18" customHeight="1" x14ac:dyDescent="0.3">
      <c r="B13" s="10" t="s">
        <v>13</v>
      </c>
      <c r="C13" s="33">
        <v>5</v>
      </c>
      <c r="D13" s="33">
        <v>5</v>
      </c>
      <c r="E13" s="33">
        <v>5</v>
      </c>
    </row>
    <row r="14" spans="2:24" ht="18" customHeight="1" x14ac:dyDescent="0.3">
      <c r="B14" s="10" t="s">
        <v>14</v>
      </c>
      <c r="C14" s="34">
        <f t="shared" ref="C14:E16" si="0">C5/C11</f>
        <v>83000</v>
      </c>
      <c r="D14" s="34">
        <f t="shared" si="0"/>
        <v>20000</v>
      </c>
      <c r="E14" s="34">
        <f t="shared" si="0"/>
        <v>905</v>
      </c>
    </row>
    <row r="15" spans="2:24" ht="18" customHeight="1" x14ac:dyDescent="0.3">
      <c r="B15" s="10" t="s">
        <v>15</v>
      </c>
      <c r="C15" s="34">
        <f t="shared" si="0"/>
        <v>206250</v>
      </c>
      <c r="D15" s="34">
        <f t="shared" si="0"/>
        <v>206250</v>
      </c>
      <c r="E15" s="34">
        <f t="shared" si="0"/>
        <v>206250</v>
      </c>
    </row>
    <row r="16" spans="2:24" ht="18" customHeight="1" x14ac:dyDescent="0.3">
      <c r="B16" s="10" t="s">
        <v>16</v>
      </c>
      <c r="C16" s="34">
        <f t="shared" si="0"/>
        <v>137500</v>
      </c>
      <c r="D16" s="34">
        <f t="shared" si="0"/>
        <v>137500</v>
      </c>
      <c r="E16" s="34">
        <f t="shared" si="0"/>
        <v>137500</v>
      </c>
    </row>
    <row r="17" spans="2:24" ht="18" customHeight="1" x14ac:dyDescent="0.3">
      <c r="B17" s="30" t="s">
        <v>17</v>
      </c>
      <c r="C17" s="31">
        <f>C14+C15+C16</f>
        <v>426750</v>
      </c>
      <c r="D17" s="31">
        <f>D14+D15+D16</f>
        <v>363750</v>
      </c>
      <c r="E17" s="31">
        <f>E14+E15+E16</f>
        <v>344655</v>
      </c>
    </row>
    <row r="18" spans="2:24" s="32" customFormat="1" ht="18" customHeight="1" x14ac:dyDescent="0.3">
      <c r="F18" s="21"/>
      <c r="G18" s="21"/>
      <c r="H18" s="21"/>
      <c r="I18" s="21"/>
      <c r="J18" s="21"/>
      <c r="X18" s="21"/>
    </row>
    <row r="19" spans="2:24" ht="18" customHeight="1" x14ac:dyDescent="0.3">
      <c r="B19" s="22" t="s">
        <v>18</v>
      </c>
      <c r="C19" s="23" t="s">
        <v>1</v>
      </c>
      <c r="D19" s="24" t="s">
        <v>2</v>
      </c>
      <c r="E19" s="25" t="s">
        <v>3</v>
      </c>
      <c r="F19" s="35" t="s">
        <v>115</v>
      </c>
    </row>
    <row r="20" spans="2:24" ht="18" customHeight="1" x14ac:dyDescent="0.3">
      <c r="B20" s="10" t="s">
        <v>19</v>
      </c>
      <c r="C20" s="33">
        <v>840000</v>
      </c>
      <c r="D20" s="33">
        <v>840000</v>
      </c>
      <c r="E20" s="33">
        <v>840000</v>
      </c>
    </row>
    <row r="21" spans="2:24" ht="18" customHeight="1" x14ac:dyDescent="0.3">
      <c r="B21" s="10" t="s">
        <v>20</v>
      </c>
      <c r="C21" s="4">
        <v>0.2</v>
      </c>
      <c r="D21" s="4">
        <v>0.2</v>
      </c>
      <c r="E21" s="4">
        <v>0.2</v>
      </c>
    </row>
    <row r="22" spans="2:24" ht="18" customHeight="1" x14ac:dyDescent="0.3">
      <c r="B22" s="10" t="s">
        <v>21</v>
      </c>
      <c r="C22" s="34">
        <f>C31</f>
        <v>25812</v>
      </c>
      <c r="D22" s="34">
        <f>D31</f>
        <v>56280</v>
      </c>
      <c r="E22" s="34">
        <f>E31</f>
        <v>65088</v>
      </c>
    </row>
    <row r="23" spans="2:24" s="32" customFormat="1" ht="18" customHeight="1" x14ac:dyDescent="0.3">
      <c r="B23" s="10" t="s">
        <v>22</v>
      </c>
      <c r="C23" s="34">
        <f>(E35*I49+E36*I50+E37*I51)/I52</f>
        <v>8492.4444444444453</v>
      </c>
      <c r="D23" s="34">
        <f>(H35*P49+H36*P50+H37*P51)/P52</f>
        <v>9795.4074074074069</v>
      </c>
      <c r="E23" s="34">
        <f>(K35*W49+K36*W50+K37*W51)/W52</f>
        <v>19093.333333333332</v>
      </c>
    </row>
    <row r="24" spans="2:24" ht="18" customHeight="1" x14ac:dyDescent="0.3">
      <c r="B24" s="91" t="s">
        <v>23</v>
      </c>
      <c r="C24" s="92">
        <f>C20+C22+C23</f>
        <v>874304.4444444445</v>
      </c>
      <c r="D24" s="92">
        <f>D20+D22+D23</f>
        <v>906075.40740740742</v>
      </c>
      <c r="E24" s="92">
        <f>E20+E22+E23</f>
        <v>924181.33333333337</v>
      </c>
      <c r="F24" s="36"/>
      <c r="G24" s="37"/>
    </row>
    <row r="25" spans="2:24" ht="18" customHeight="1" x14ac:dyDescent="0.3">
      <c r="B25" s="30" t="s">
        <v>24</v>
      </c>
      <c r="C25" s="31">
        <f>C24/(1-C21)</f>
        <v>1092880.5555555555</v>
      </c>
      <c r="D25" s="31">
        <f>D24/(1-D21)</f>
        <v>1132594.2592592591</v>
      </c>
      <c r="E25" s="31">
        <f>E24/(1-E21)</f>
        <v>1155226.6666666667</v>
      </c>
      <c r="F25" s="31">
        <f>AVERAGE(C25:E25)</f>
        <v>1126900.4938271604</v>
      </c>
      <c r="G25" s="21" t="s">
        <v>125</v>
      </c>
    </row>
    <row r="27" spans="2:24" ht="18" customHeight="1" x14ac:dyDescent="0.3">
      <c r="B27" s="22" t="s">
        <v>25</v>
      </c>
      <c r="C27" s="23" t="s">
        <v>1</v>
      </c>
      <c r="D27" s="24" t="s">
        <v>2</v>
      </c>
      <c r="E27" s="25" t="s">
        <v>3</v>
      </c>
    </row>
    <row r="28" spans="2:24" ht="18" customHeight="1" x14ac:dyDescent="0.3">
      <c r="B28" s="10" t="s">
        <v>26</v>
      </c>
      <c r="C28" s="33">
        <v>18</v>
      </c>
      <c r="D28" s="33">
        <v>14</v>
      </c>
      <c r="E28" s="33">
        <v>12</v>
      </c>
    </row>
    <row r="29" spans="2:24" s="32" customFormat="1" ht="18" customHeight="1" x14ac:dyDescent="0.3">
      <c r="B29" s="10" t="s">
        <v>27</v>
      </c>
      <c r="C29" s="33">
        <v>239</v>
      </c>
      <c r="D29" s="33">
        <v>670</v>
      </c>
      <c r="E29" s="33">
        <v>904</v>
      </c>
    </row>
    <row r="30" spans="2:24" ht="18" customHeight="1" x14ac:dyDescent="0.3">
      <c r="B30" s="10" t="s">
        <v>28</v>
      </c>
      <c r="C30" s="33">
        <v>6</v>
      </c>
      <c r="D30" s="33">
        <v>6</v>
      </c>
      <c r="E30" s="33">
        <v>6</v>
      </c>
    </row>
    <row r="31" spans="2:24" ht="18" customHeight="1" x14ac:dyDescent="0.3">
      <c r="B31" s="30" t="s">
        <v>21</v>
      </c>
      <c r="C31" s="31">
        <f>C28*C29*C30</f>
        <v>25812</v>
      </c>
      <c r="D31" s="31">
        <f>D28*D29*D30</f>
        <v>56280</v>
      </c>
      <c r="E31" s="31">
        <f>E28*E29*E30</f>
        <v>65088</v>
      </c>
    </row>
    <row r="33" spans="2:25" ht="18" customHeight="1" x14ac:dyDescent="0.3">
      <c r="B33" s="22" t="s">
        <v>29</v>
      </c>
      <c r="C33" s="98" t="s">
        <v>1</v>
      </c>
      <c r="D33" s="99"/>
      <c r="E33" s="100"/>
      <c r="F33" s="101" t="s">
        <v>2</v>
      </c>
      <c r="G33" s="102"/>
      <c r="H33" s="103"/>
      <c r="I33" s="105" t="s">
        <v>3</v>
      </c>
      <c r="J33" s="106"/>
      <c r="K33" s="106"/>
      <c r="L33" s="35" t="s">
        <v>37</v>
      </c>
    </row>
    <row r="34" spans="2:25" ht="18" customHeight="1" x14ac:dyDescent="0.3">
      <c r="B34" s="38" t="s">
        <v>30</v>
      </c>
      <c r="C34" s="6" t="s">
        <v>31</v>
      </c>
      <c r="D34" s="6" t="s">
        <v>32</v>
      </c>
      <c r="E34" s="6" t="s">
        <v>33</v>
      </c>
      <c r="F34" s="6" t="s">
        <v>31</v>
      </c>
      <c r="G34" s="6" t="s">
        <v>32</v>
      </c>
      <c r="H34" s="6" t="s">
        <v>33</v>
      </c>
      <c r="I34" s="6" t="s">
        <v>31</v>
      </c>
      <c r="J34" s="6" t="s">
        <v>32</v>
      </c>
      <c r="K34" s="6" t="s">
        <v>33</v>
      </c>
    </row>
    <row r="35" spans="2:25" s="32" customFormat="1" ht="18" customHeight="1" x14ac:dyDescent="0.3">
      <c r="B35" s="10" t="s">
        <v>34</v>
      </c>
      <c r="C35" s="33">
        <v>22</v>
      </c>
      <c r="D35" s="33">
        <v>10</v>
      </c>
      <c r="E35" s="31">
        <f>C35*D35</f>
        <v>220</v>
      </c>
      <c r="F35" s="33">
        <v>22</v>
      </c>
      <c r="G35" s="33">
        <v>362</v>
      </c>
      <c r="H35" s="31">
        <f>F35*G35</f>
        <v>7964</v>
      </c>
      <c r="I35" s="33">
        <v>24</v>
      </c>
      <c r="J35" s="33">
        <v>733</v>
      </c>
      <c r="K35" s="31">
        <f>I35*J35</f>
        <v>17592</v>
      </c>
    </row>
    <row r="36" spans="2:25" s="32" customFormat="1" ht="18" customHeight="1" x14ac:dyDescent="0.3">
      <c r="B36" s="10" t="s">
        <v>35</v>
      </c>
      <c r="C36" s="33">
        <v>14</v>
      </c>
      <c r="D36" s="33">
        <v>254</v>
      </c>
      <c r="E36" s="31">
        <f>C36*D36</f>
        <v>3556</v>
      </c>
      <c r="F36" s="33">
        <v>12</v>
      </c>
      <c r="G36" s="33">
        <v>508</v>
      </c>
      <c r="H36" s="31">
        <f>F36*G36</f>
        <v>6096</v>
      </c>
      <c r="I36" s="33">
        <v>24</v>
      </c>
      <c r="J36" s="33">
        <v>727</v>
      </c>
      <c r="K36" s="31">
        <f>I36*J36</f>
        <v>17448</v>
      </c>
    </row>
    <row r="37" spans="2:25" ht="18" customHeight="1" x14ac:dyDescent="0.3">
      <c r="B37" s="10" t="s">
        <v>36</v>
      </c>
      <c r="C37" s="33">
        <v>18</v>
      </c>
      <c r="D37" s="33">
        <v>1288</v>
      </c>
      <c r="E37" s="31">
        <f>C37*D37</f>
        <v>23184</v>
      </c>
      <c r="F37" s="33">
        <v>16</v>
      </c>
      <c r="G37" s="33">
        <v>906</v>
      </c>
      <c r="H37" s="31">
        <f>F37*G37</f>
        <v>14496</v>
      </c>
      <c r="I37" s="33">
        <v>18</v>
      </c>
      <c r="J37" s="33">
        <v>1232</v>
      </c>
      <c r="K37" s="31">
        <f>I37*J37</f>
        <v>22176</v>
      </c>
    </row>
    <row r="40" spans="2:25" s="32" customFormat="1" ht="18" customHeight="1" x14ac:dyDescent="0.3">
      <c r="B40" s="22" t="s">
        <v>38</v>
      </c>
      <c r="C40" s="23" t="s">
        <v>1</v>
      </c>
      <c r="D40" s="39" t="s">
        <v>2</v>
      </c>
      <c r="E40" s="25" t="s">
        <v>3</v>
      </c>
      <c r="F40" s="109" t="s">
        <v>111</v>
      </c>
      <c r="G40" s="110"/>
      <c r="H40" s="110"/>
      <c r="I40" s="110"/>
      <c r="J40" s="110"/>
      <c r="K40" s="110"/>
    </row>
    <row r="41" spans="2:25" ht="18" customHeight="1" x14ac:dyDescent="0.3">
      <c r="B41" s="40" t="s">
        <v>39</v>
      </c>
      <c r="C41" s="41">
        <v>0</v>
      </c>
      <c r="D41" s="42">
        <v>0</v>
      </c>
      <c r="E41" s="43">
        <f>E8*0.03</f>
        <v>82771.5</v>
      </c>
      <c r="F41" s="107" t="s">
        <v>121</v>
      </c>
      <c r="G41" s="108"/>
      <c r="H41" s="108"/>
      <c r="I41" s="108"/>
      <c r="J41" s="108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2:25" ht="18" customHeight="1" x14ac:dyDescent="0.3"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4" spans="2:25" ht="18" customHeight="1" x14ac:dyDescent="0.3">
      <c r="B44" s="22" t="s">
        <v>40</v>
      </c>
      <c r="C44" s="23" t="s">
        <v>1</v>
      </c>
      <c r="D44" s="24" t="s">
        <v>2</v>
      </c>
      <c r="E44" s="25" t="s">
        <v>3</v>
      </c>
      <c r="F44" s="109" t="s">
        <v>120</v>
      </c>
      <c r="G44" s="110"/>
      <c r="H44" s="110"/>
      <c r="I44" s="110"/>
      <c r="J44" s="110"/>
      <c r="K44" s="110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2:25" ht="18" customHeight="1" x14ac:dyDescent="0.3">
      <c r="B45" s="40" t="s">
        <v>41</v>
      </c>
      <c r="C45" s="44">
        <f>ROUND((C20*D52+C31*D52+E35*D49+E36*D50+E37*D51)/12,0)</f>
        <v>72169</v>
      </c>
      <c r="D45" s="44">
        <f>ROUND((C20*K52+D31*K52+H35*K49+H36*K50+H37*K51)/12,0)</f>
        <v>75354</v>
      </c>
      <c r="E45" s="44">
        <f>ROUND((C20*R52+E31*R52+K35*R49+K36*R50+K37*R51)/12,0)</f>
        <v>76890</v>
      </c>
      <c r="F45" s="120" t="s">
        <v>42</v>
      </c>
      <c r="G45" s="121"/>
      <c r="H45" s="121"/>
      <c r="I45" s="121"/>
      <c r="J45" s="121"/>
      <c r="K45" s="121"/>
      <c r="L45" s="121"/>
      <c r="M45" s="121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2:25" ht="18" customHeight="1" x14ac:dyDescent="0.3">
      <c r="X46" s="32"/>
    </row>
    <row r="47" spans="2:25" ht="18" customHeight="1" x14ac:dyDescent="0.3">
      <c r="B47" s="22" t="s">
        <v>43</v>
      </c>
      <c r="C47" s="98" t="s">
        <v>1</v>
      </c>
      <c r="D47" s="99"/>
      <c r="E47" s="99"/>
      <c r="F47" s="99"/>
      <c r="G47" s="99"/>
      <c r="H47" s="99"/>
      <c r="I47" s="100"/>
      <c r="J47" s="101" t="s">
        <v>2</v>
      </c>
      <c r="K47" s="102"/>
      <c r="L47" s="102"/>
      <c r="M47" s="102"/>
      <c r="N47" s="102"/>
      <c r="O47" s="102"/>
      <c r="P47" s="103"/>
      <c r="Q47" s="104" t="s">
        <v>3</v>
      </c>
      <c r="R47" s="104"/>
      <c r="S47" s="104"/>
      <c r="T47" s="104"/>
      <c r="U47" s="104"/>
      <c r="V47" s="104"/>
      <c r="W47" s="104"/>
      <c r="X47" s="32"/>
    </row>
    <row r="48" spans="2:25" ht="18" customHeight="1" x14ac:dyDescent="0.3">
      <c r="B48" s="38" t="s">
        <v>30</v>
      </c>
      <c r="C48" s="38"/>
      <c r="D48" s="6" t="s">
        <v>44</v>
      </c>
      <c r="E48" s="6" t="s">
        <v>45</v>
      </c>
      <c r="F48" s="6" t="s">
        <v>46</v>
      </c>
      <c r="G48" s="6" t="s">
        <v>47</v>
      </c>
      <c r="H48" s="6" t="s">
        <v>48</v>
      </c>
      <c r="I48" s="6" t="s">
        <v>49</v>
      </c>
      <c r="J48" s="38"/>
      <c r="K48" s="6" t="s">
        <v>44</v>
      </c>
      <c r="L48" s="6" t="s">
        <v>45</v>
      </c>
      <c r="M48" s="6" t="s">
        <v>46</v>
      </c>
      <c r="N48" s="6" t="s">
        <v>47</v>
      </c>
      <c r="O48" s="6" t="s">
        <v>48</v>
      </c>
      <c r="P48" s="6" t="s">
        <v>49</v>
      </c>
      <c r="Q48" s="38"/>
      <c r="R48" s="6" t="s">
        <v>44</v>
      </c>
      <c r="S48" s="6" t="s">
        <v>45</v>
      </c>
      <c r="T48" s="6" t="s">
        <v>46</v>
      </c>
      <c r="U48" s="6" t="s">
        <v>47</v>
      </c>
      <c r="V48" s="6" t="s">
        <v>48</v>
      </c>
      <c r="W48" s="6" t="s">
        <v>49</v>
      </c>
      <c r="X48" s="32"/>
    </row>
    <row r="49" spans="2:24" ht="18" customHeight="1" x14ac:dyDescent="0.3">
      <c r="B49" s="10" t="s">
        <v>50</v>
      </c>
      <c r="C49" s="11">
        <v>0</v>
      </c>
      <c r="D49" s="11">
        <v>1</v>
      </c>
      <c r="E49" s="11">
        <v>3</v>
      </c>
      <c r="F49" s="11">
        <v>3</v>
      </c>
      <c r="G49" s="11">
        <v>3</v>
      </c>
      <c r="H49" s="11">
        <v>3</v>
      </c>
      <c r="I49" s="45">
        <f>SUM(D49:H49)</f>
        <v>13</v>
      </c>
      <c r="J49" s="11">
        <v>0</v>
      </c>
      <c r="K49" s="11">
        <v>1</v>
      </c>
      <c r="L49" s="11">
        <v>3</v>
      </c>
      <c r="M49" s="11">
        <v>3</v>
      </c>
      <c r="N49" s="11">
        <v>3</v>
      </c>
      <c r="O49" s="11">
        <v>3</v>
      </c>
      <c r="P49" s="45">
        <f>SUM(K49:O49)</f>
        <v>13</v>
      </c>
      <c r="Q49" s="11">
        <v>0</v>
      </c>
      <c r="R49" s="11">
        <v>1</v>
      </c>
      <c r="S49" s="11">
        <v>3</v>
      </c>
      <c r="T49" s="11">
        <v>3</v>
      </c>
      <c r="U49" s="11">
        <v>3</v>
      </c>
      <c r="V49" s="11">
        <v>3</v>
      </c>
      <c r="W49" s="45">
        <f>SUM(R49:V49)</f>
        <v>13</v>
      </c>
      <c r="X49" s="32"/>
    </row>
    <row r="50" spans="2:24" ht="18" customHeight="1" x14ac:dyDescent="0.3">
      <c r="B50" s="10" t="s">
        <v>51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5</v>
      </c>
      <c r="I50" s="45">
        <f>SUM(D50:H50)</f>
        <v>5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5</v>
      </c>
      <c r="P50" s="45">
        <f>SUM(K50:O50)</f>
        <v>5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5</v>
      </c>
      <c r="W50" s="45">
        <f>SUM(R50:V50)</f>
        <v>5</v>
      </c>
      <c r="X50" s="32"/>
    </row>
    <row r="51" spans="2:24" ht="18" customHeight="1" x14ac:dyDescent="0.3">
      <c r="B51" s="10" t="s">
        <v>52</v>
      </c>
      <c r="C51" s="11">
        <v>0</v>
      </c>
      <c r="D51" s="11">
        <v>0</v>
      </c>
      <c r="E51" s="11">
        <v>5</v>
      </c>
      <c r="F51" s="11">
        <v>2</v>
      </c>
      <c r="G51" s="11">
        <v>1</v>
      </c>
      <c r="H51" s="11">
        <v>1</v>
      </c>
      <c r="I51" s="45">
        <f>SUM(D51:H51)</f>
        <v>9</v>
      </c>
      <c r="J51" s="11">
        <v>0</v>
      </c>
      <c r="K51" s="11">
        <v>0</v>
      </c>
      <c r="L51" s="11">
        <v>5</v>
      </c>
      <c r="M51" s="11">
        <v>2</v>
      </c>
      <c r="N51" s="11">
        <v>1</v>
      </c>
      <c r="O51" s="11">
        <v>1</v>
      </c>
      <c r="P51" s="45">
        <f>SUM(K51:O51)</f>
        <v>9</v>
      </c>
      <c r="Q51" s="11">
        <v>0</v>
      </c>
      <c r="R51" s="11">
        <v>0</v>
      </c>
      <c r="S51" s="11">
        <v>5</v>
      </c>
      <c r="T51" s="11">
        <v>2</v>
      </c>
      <c r="U51" s="11">
        <v>1</v>
      </c>
      <c r="V51" s="11">
        <v>1</v>
      </c>
      <c r="W51" s="45">
        <f>SUM(R51:V51)</f>
        <v>9</v>
      </c>
      <c r="X51" s="32"/>
    </row>
    <row r="52" spans="2:24" ht="18" customHeight="1" x14ac:dyDescent="0.3">
      <c r="B52" s="30" t="s">
        <v>49</v>
      </c>
      <c r="C52" s="46">
        <v>0</v>
      </c>
      <c r="D52" s="47">
        <f t="shared" ref="D52:I52" si="1">D49+D50+D51</f>
        <v>1</v>
      </c>
      <c r="E52" s="47">
        <f t="shared" si="1"/>
        <v>8</v>
      </c>
      <c r="F52" s="47">
        <f t="shared" si="1"/>
        <v>5</v>
      </c>
      <c r="G52" s="47">
        <f t="shared" si="1"/>
        <v>4</v>
      </c>
      <c r="H52" s="47">
        <f t="shared" si="1"/>
        <v>9</v>
      </c>
      <c r="I52" s="47">
        <f t="shared" si="1"/>
        <v>27</v>
      </c>
      <c r="J52" s="46">
        <v>0</v>
      </c>
      <c r="K52" s="47">
        <f t="shared" ref="K52:P52" si="2">K49+K50+K51</f>
        <v>1</v>
      </c>
      <c r="L52" s="47">
        <f t="shared" si="2"/>
        <v>8</v>
      </c>
      <c r="M52" s="47">
        <f t="shared" si="2"/>
        <v>5</v>
      </c>
      <c r="N52" s="47">
        <f t="shared" si="2"/>
        <v>4</v>
      </c>
      <c r="O52" s="47">
        <f t="shared" si="2"/>
        <v>9</v>
      </c>
      <c r="P52" s="47">
        <f t="shared" si="2"/>
        <v>27</v>
      </c>
      <c r="Q52" s="46">
        <v>0</v>
      </c>
      <c r="R52" s="47">
        <f t="shared" ref="R52:W52" si="3">R49+R50+R51</f>
        <v>1</v>
      </c>
      <c r="S52" s="47">
        <f t="shared" si="3"/>
        <v>8</v>
      </c>
      <c r="T52" s="47">
        <f t="shared" si="3"/>
        <v>5</v>
      </c>
      <c r="U52" s="47">
        <f t="shared" si="3"/>
        <v>4</v>
      </c>
      <c r="V52" s="47">
        <f t="shared" si="3"/>
        <v>9</v>
      </c>
      <c r="W52" s="47">
        <f t="shared" si="3"/>
        <v>27</v>
      </c>
      <c r="X52" s="32"/>
    </row>
    <row r="53" spans="2:24" ht="18" customHeight="1" thickBot="1" x14ac:dyDescent="0.35">
      <c r="X53" s="32"/>
    </row>
    <row r="54" spans="2:24" ht="18" customHeight="1" x14ac:dyDescent="0.3">
      <c r="B54" s="70" t="s">
        <v>53</v>
      </c>
      <c r="C54" s="111" t="s">
        <v>1</v>
      </c>
      <c r="D54" s="112"/>
      <c r="E54" s="112"/>
      <c r="F54" s="112"/>
      <c r="G54" s="112"/>
      <c r="H54" s="112"/>
      <c r="I54" s="113"/>
      <c r="J54" s="114" t="s">
        <v>2</v>
      </c>
      <c r="K54" s="115"/>
      <c r="L54" s="115"/>
      <c r="M54" s="115"/>
      <c r="N54" s="115"/>
      <c r="O54" s="115"/>
      <c r="P54" s="116"/>
      <c r="Q54" s="95" t="s">
        <v>3</v>
      </c>
      <c r="R54" s="96"/>
      <c r="S54" s="96"/>
      <c r="T54" s="96"/>
      <c r="U54" s="96"/>
      <c r="V54" s="96"/>
      <c r="W54" s="97"/>
      <c r="X54" s="32"/>
    </row>
    <row r="55" spans="2:24" ht="18" customHeight="1" x14ac:dyDescent="0.3">
      <c r="B55" s="71"/>
      <c r="C55" s="54" t="s">
        <v>54</v>
      </c>
      <c r="D55" s="6" t="s">
        <v>44</v>
      </c>
      <c r="E55" s="6" t="s">
        <v>45</v>
      </c>
      <c r="F55" s="6" t="s">
        <v>46</v>
      </c>
      <c r="G55" s="6" t="s">
        <v>47</v>
      </c>
      <c r="H55" s="6" t="s">
        <v>48</v>
      </c>
      <c r="I55" s="55" t="s">
        <v>49</v>
      </c>
      <c r="J55" s="54" t="s">
        <v>54</v>
      </c>
      <c r="K55" s="6" t="s">
        <v>44</v>
      </c>
      <c r="L55" s="6" t="s">
        <v>45</v>
      </c>
      <c r="M55" s="6" t="s">
        <v>46</v>
      </c>
      <c r="N55" s="6" t="s">
        <v>47</v>
      </c>
      <c r="O55" s="6" t="s">
        <v>48</v>
      </c>
      <c r="P55" s="55" t="s">
        <v>49</v>
      </c>
      <c r="Q55" s="54" t="s">
        <v>54</v>
      </c>
      <c r="R55" s="6" t="s">
        <v>44</v>
      </c>
      <c r="S55" s="6" t="s">
        <v>45</v>
      </c>
      <c r="T55" s="6" t="s">
        <v>46</v>
      </c>
      <c r="U55" s="6" t="s">
        <v>47</v>
      </c>
      <c r="V55" s="6" t="s">
        <v>48</v>
      </c>
      <c r="W55" s="55" t="s">
        <v>49</v>
      </c>
      <c r="X55" s="32"/>
    </row>
    <row r="56" spans="2:24" ht="18" customHeight="1" x14ac:dyDescent="0.3">
      <c r="B56" s="72" t="s">
        <v>55</v>
      </c>
      <c r="C56" s="56"/>
      <c r="D56" s="14"/>
      <c r="E56" s="14"/>
      <c r="F56" s="14"/>
      <c r="G56" s="14"/>
      <c r="H56" s="14"/>
      <c r="I56" s="57"/>
      <c r="J56" s="56"/>
      <c r="K56" s="14"/>
      <c r="L56" s="14"/>
      <c r="M56" s="14"/>
      <c r="N56" s="14"/>
      <c r="O56" s="14"/>
      <c r="P56" s="57"/>
      <c r="Q56" s="56"/>
      <c r="R56" s="14"/>
      <c r="S56" s="14"/>
      <c r="T56" s="14"/>
      <c r="U56" s="14"/>
      <c r="V56" s="14"/>
      <c r="W56" s="57"/>
      <c r="X56" s="32"/>
    </row>
    <row r="57" spans="2:24" ht="18" customHeight="1" x14ac:dyDescent="0.3">
      <c r="B57" s="73" t="s">
        <v>56</v>
      </c>
      <c r="C57" s="58">
        <f>C8</f>
        <v>3580000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59">
        <f>C8</f>
        <v>3580000</v>
      </c>
      <c r="J57" s="58">
        <f>D8</f>
        <v>2950000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59">
        <f>D8</f>
        <v>2950000</v>
      </c>
      <c r="Q57" s="58">
        <f>E8</f>
        <v>2759050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59">
        <f>E8</f>
        <v>2759050</v>
      </c>
      <c r="X57" s="32"/>
    </row>
    <row r="58" spans="2:24" ht="18" customHeight="1" x14ac:dyDescent="0.3">
      <c r="B58" s="73" t="s">
        <v>57</v>
      </c>
      <c r="C58" s="58">
        <f>C45</f>
        <v>72169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59">
        <f>C45</f>
        <v>72169</v>
      </c>
      <c r="J58" s="58">
        <f>D45</f>
        <v>75354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59">
        <f>D45</f>
        <v>75354</v>
      </c>
      <c r="Q58" s="58">
        <f>E45</f>
        <v>76890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59">
        <f>E45</f>
        <v>76890</v>
      </c>
      <c r="X58" s="32"/>
    </row>
    <row r="59" spans="2:24" ht="18" customHeight="1" x14ac:dyDescent="0.3">
      <c r="B59" s="73" t="s">
        <v>58</v>
      </c>
      <c r="C59" s="58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59">
        <v>0</v>
      </c>
      <c r="J59" s="58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59">
        <v>0</v>
      </c>
      <c r="Q59" s="58">
        <f t="shared" ref="Q59:V59" si="4">-$E$38</f>
        <v>0</v>
      </c>
      <c r="R59" s="41">
        <f t="shared" si="4"/>
        <v>0</v>
      </c>
      <c r="S59" s="41">
        <f t="shared" si="4"/>
        <v>0</v>
      </c>
      <c r="T59" s="41">
        <f t="shared" si="4"/>
        <v>0</v>
      </c>
      <c r="U59" s="41">
        <f t="shared" si="4"/>
        <v>0</v>
      </c>
      <c r="V59" s="41">
        <f t="shared" si="4"/>
        <v>0</v>
      </c>
      <c r="W59" s="59">
        <f>-E41</f>
        <v>-82771.5</v>
      </c>
    </row>
    <row r="60" spans="2:24" ht="18" customHeight="1" x14ac:dyDescent="0.3">
      <c r="B60" s="74" t="s">
        <v>59</v>
      </c>
      <c r="C60" s="60">
        <f t="shared" ref="C60:H60" si="5">C57+C58+C59</f>
        <v>3652169</v>
      </c>
      <c r="D60" s="48">
        <f t="shared" si="5"/>
        <v>0</v>
      </c>
      <c r="E60" s="48">
        <f t="shared" si="5"/>
        <v>0</v>
      </c>
      <c r="F60" s="48">
        <f t="shared" si="5"/>
        <v>0</v>
      </c>
      <c r="G60" s="48">
        <f t="shared" si="5"/>
        <v>0</v>
      </c>
      <c r="H60" s="48">
        <f t="shared" si="5"/>
        <v>0</v>
      </c>
      <c r="I60" s="61">
        <f>I57+I58+I59+I79</f>
        <v>4823754.833333333</v>
      </c>
      <c r="J60" s="60">
        <f t="shared" ref="J60:O60" si="6">J57+J58+J59</f>
        <v>3025354</v>
      </c>
      <c r="K60" s="48">
        <f t="shared" si="6"/>
        <v>0</v>
      </c>
      <c r="L60" s="48">
        <f t="shared" si="6"/>
        <v>0</v>
      </c>
      <c r="M60" s="48">
        <f t="shared" si="6"/>
        <v>0</v>
      </c>
      <c r="N60" s="48">
        <f t="shared" si="6"/>
        <v>0</v>
      </c>
      <c r="O60" s="48">
        <f t="shared" si="6"/>
        <v>0</v>
      </c>
      <c r="P60" s="61">
        <f>P57+P58+P59+P79</f>
        <v>4061235.833333333</v>
      </c>
      <c r="Q60" s="60">
        <f t="shared" ref="Q60:V60" si="7">Q57+Q58+Q59</f>
        <v>2835940</v>
      </c>
      <c r="R60" s="48">
        <f t="shared" si="7"/>
        <v>0</v>
      </c>
      <c r="S60" s="48">
        <f t="shared" si="7"/>
        <v>0</v>
      </c>
      <c r="T60" s="48">
        <f t="shared" si="7"/>
        <v>0</v>
      </c>
      <c r="U60" s="48">
        <f t="shared" si="7"/>
        <v>0</v>
      </c>
      <c r="V60" s="48">
        <f t="shared" si="7"/>
        <v>0</v>
      </c>
      <c r="W60" s="61">
        <f>W57+W58+W59+W79</f>
        <v>3394726.7098765429</v>
      </c>
    </row>
    <row r="61" spans="2:24" ht="18" customHeight="1" x14ac:dyDescent="0.3">
      <c r="B61" s="72" t="s">
        <v>60</v>
      </c>
      <c r="C61" s="56"/>
      <c r="D61" s="14"/>
      <c r="E61" s="14"/>
      <c r="F61" s="14"/>
      <c r="G61" s="14"/>
      <c r="H61" s="14"/>
      <c r="I61" s="62"/>
      <c r="J61" s="56"/>
      <c r="K61" s="14"/>
      <c r="L61" s="14"/>
      <c r="M61" s="14"/>
      <c r="N61" s="14"/>
      <c r="O61" s="14"/>
      <c r="P61" s="62"/>
      <c r="Q61" s="56"/>
      <c r="R61" s="14"/>
      <c r="S61" s="14"/>
      <c r="T61" s="14"/>
      <c r="U61" s="14"/>
      <c r="V61" s="14"/>
      <c r="W61" s="62"/>
    </row>
    <row r="62" spans="2:24" ht="18" customHeight="1" x14ac:dyDescent="0.3">
      <c r="B62" s="73" t="s">
        <v>61</v>
      </c>
      <c r="C62" s="58">
        <v>0</v>
      </c>
      <c r="D62" s="41">
        <f t="shared" ref="D62:E64" si="8">$F$25*D49</f>
        <v>1126900.4938271604</v>
      </c>
      <c r="E62" s="41">
        <f t="shared" si="8"/>
        <v>3380701.4814814813</v>
      </c>
      <c r="F62" s="41">
        <f t="shared" ref="F62:H64" si="9">$F$25*F49</f>
        <v>3380701.4814814813</v>
      </c>
      <c r="G62" s="41">
        <f t="shared" si="9"/>
        <v>3380701.4814814813</v>
      </c>
      <c r="H62" s="41">
        <f t="shared" si="9"/>
        <v>3380701.4814814813</v>
      </c>
      <c r="I62" s="59">
        <f>SUM(D62:H62)</f>
        <v>14649706.419753086</v>
      </c>
      <c r="J62" s="58">
        <v>0</v>
      </c>
      <c r="K62" s="41">
        <f>$F$25*K49</f>
        <v>1126900.4938271604</v>
      </c>
      <c r="L62" s="41">
        <f t="shared" ref="L62:O62" si="10">$F$25*L49</f>
        <v>3380701.4814814813</v>
      </c>
      <c r="M62" s="41">
        <f t="shared" si="10"/>
        <v>3380701.4814814813</v>
      </c>
      <c r="N62" s="41">
        <f t="shared" si="10"/>
        <v>3380701.4814814813</v>
      </c>
      <c r="O62" s="41">
        <f t="shared" si="10"/>
        <v>3380701.4814814813</v>
      </c>
      <c r="P62" s="59">
        <f>SUM(K62:O62)</f>
        <v>14649706.419753086</v>
      </c>
      <c r="Q62" s="58">
        <v>0</v>
      </c>
      <c r="R62" s="41">
        <f>$F$25*R49</f>
        <v>1126900.4938271604</v>
      </c>
      <c r="S62" s="41">
        <f t="shared" ref="S62:V62" si="11">$F$25*S49</f>
        <v>3380701.4814814813</v>
      </c>
      <c r="T62" s="41">
        <f t="shared" si="11"/>
        <v>3380701.4814814813</v>
      </c>
      <c r="U62" s="41">
        <f t="shared" si="11"/>
        <v>3380701.4814814813</v>
      </c>
      <c r="V62" s="41">
        <f t="shared" si="11"/>
        <v>3380701.4814814813</v>
      </c>
      <c r="W62" s="59">
        <f>SUM(R62:V62)</f>
        <v>14649706.419753086</v>
      </c>
    </row>
    <row r="63" spans="2:24" ht="18" customHeight="1" x14ac:dyDescent="0.3">
      <c r="B63" s="73" t="s">
        <v>62</v>
      </c>
      <c r="C63" s="58">
        <v>0</v>
      </c>
      <c r="D63" s="41">
        <f t="shared" si="8"/>
        <v>0</v>
      </c>
      <c r="E63" s="41">
        <f t="shared" si="8"/>
        <v>0</v>
      </c>
      <c r="F63" s="41">
        <f t="shared" ref="F63:H63" si="12">$F$25*F50</f>
        <v>0</v>
      </c>
      <c r="G63" s="41">
        <f t="shared" si="12"/>
        <v>0</v>
      </c>
      <c r="H63" s="41">
        <f t="shared" si="12"/>
        <v>5634502.4691358022</v>
      </c>
      <c r="I63" s="59">
        <f>SUM(D63:H63)</f>
        <v>5634502.4691358022</v>
      </c>
      <c r="J63" s="58">
        <v>0</v>
      </c>
      <c r="K63" s="41">
        <f t="shared" ref="K63:O63" si="13">$F$25*K50</f>
        <v>0</v>
      </c>
      <c r="L63" s="41">
        <f t="shared" si="13"/>
        <v>0</v>
      </c>
      <c r="M63" s="41">
        <f t="shared" si="13"/>
        <v>0</v>
      </c>
      <c r="N63" s="41">
        <f t="shared" si="13"/>
        <v>0</v>
      </c>
      <c r="O63" s="41">
        <f t="shared" si="13"/>
        <v>5634502.4691358022</v>
      </c>
      <c r="P63" s="59">
        <f>SUM(K63:O63)</f>
        <v>5634502.4691358022</v>
      </c>
      <c r="Q63" s="58">
        <v>0</v>
      </c>
      <c r="R63" s="41">
        <f t="shared" ref="R63:V63" si="14">$F$25*R50</f>
        <v>0</v>
      </c>
      <c r="S63" s="41">
        <f t="shared" si="14"/>
        <v>0</v>
      </c>
      <c r="T63" s="41">
        <f t="shared" si="14"/>
        <v>0</v>
      </c>
      <c r="U63" s="41">
        <f t="shared" si="14"/>
        <v>0</v>
      </c>
      <c r="V63" s="41">
        <f t="shared" si="14"/>
        <v>5634502.4691358022</v>
      </c>
      <c r="W63" s="59">
        <f>SUM(R63:V63)</f>
        <v>5634502.4691358022</v>
      </c>
    </row>
    <row r="64" spans="2:24" ht="18" customHeight="1" x14ac:dyDescent="0.3">
      <c r="B64" s="73" t="s">
        <v>63</v>
      </c>
      <c r="C64" s="58">
        <v>0</v>
      </c>
      <c r="D64" s="41">
        <f t="shared" si="8"/>
        <v>0</v>
      </c>
      <c r="E64" s="41">
        <f t="shared" si="8"/>
        <v>5634502.4691358022</v>
      </c>
      <c r="F64" s="41">
        <f t="shared" si="9"/>
        <v>2253800.9876543209</v>
      </c>
      <c r="G64" s="41">
        <f t="shared" si="9"/>
        <v>1126900.4938271604</v>
      </c>
      <c r="H64" s="41">
        <f t="shared" si="9"/>
        <v>1126900.4938271604</v>
      </c>
      <c r="I64" s="59">
        <f>SUM(D64:H64)</f>
        <v>10142104.444444444</v>
      </c>
      <c r="J64" s="58">
        <v>0</v>
      </c>
      <c r="K64" s="41">
        <f t="shared" ref="K64:O64" si="15">$F$25*K51</f>
        <v>0</v>
      </c>
      <c r="L64" s="41">
        <f t="shared" si="15"/>
        <v>5634502.4691358022</v>
      </c>
      <c r="M64" s="41">
        <f t="shared" si="15"/>
        <v>2253800.9876543209</v>
      </c>
      <c r="N64" s="41">
        <f t="shared" si="15"/>
        <v>1126900.4938271604</v>
      </c>
      <c r="O64" s="41">
        <f t="shared" si="15"/>
        <v>1126900.4938271604</v>
      </c>
      <c r="P64" s="59">
        <f>SUM(K64:O64)</f>
        <v>10142104.444444444</v>
      </c>
      <c r="Q64" s="58">
        <v>0</v>
      </c>
      <c r="R64" s="41">
        <f t="shared" ref="R64:V64" si="16">$F$25*R51</f>
        <v>0</v>
      </c>
      <c r="S64" s="41">
        <f t="shared" si="16"/>
        <v>5634502.4691358022</v>
      </c>
      <c r="T64" s="41">
        <f t="shared" si="16"/>
        <v>2253800.9876543209</v>
      </c>
      <c r="U64" s="41">
        <f t="shared" si="16"/>
        <v>1126900.4938271604</v>
      </c>
      <c r="V64" s="41">
        <f t="shared" si="16"/>
        <v>1126900.4938271604</v>
      </c>
      <c r="W64" s="59">
        <f>SUM(R64:V64)</f>
        <v>10142104.444444444</v>
      </c>
    </row>
    <row r="65" spans="2:23" ht="18" customHeight="1" x14ac:dyDescent="0.3">
      <c r="B65" s="73" t="s">
        <v>64</v>
      </c>
      <c r="C65" s="58">
        <v>0</v>
      </c>
      <c r="D65" s="41">
        <v>0</v>
      </c>
      <c r="E65" s="41">
        <v>0</v>
      </c>
      <c r="F65" s="41">
        <v>0</v>
      </c>
      <c r="G65" s="41">
        <v>0</v>
      </c>
      <c r="H65" s="41">
        <f>C5*(1-5/C11)+C6*(1-5/C12)+C7*(1-5/C13)</f>
        <v>1446250</v>
      </c>
      <c r="I65" s="59">
        <f>H65</f>
        <v>1446250</v>
      </c>
      <c r="J65" s="58">
        <v>0</v>
      </c>
      <c r="K65" s="41">
        <v>0</v>
      </c>
      <c r="L65" s="41">
        <v>0</v>
      </c>
      <c r="M65" s="41">
        <v>0</v>
      </c>
      <c r="N65" s="41">
        <v>0</v>
      </c>
      <c r="O65" s="41">
        <f>D5*(1-5/D11)+D6*(1-5/D12)+D7*(1-5/D13)</f>
        <v>1131250</v>
      </c>
      <c r="P65" s="59">
        <f>O65</f>
        <v>1131250</v>
      </c>
      <c r="Q65" s="58">
        <v>0</v>
      </c>
      <c r="R65" s="41">
        <v>0</v>
      </c>
      <c r="S65" s="41">
        <v>0</v>
      </c>
      <c r="T65" s="41">
        <v>0</v>
      </c>
      <c r="U65" s="41">
        <v>0</v>
      </c>
      <c r="V65" s="41">
        <f>E5*(1-5/E11)+E6*(1-5/E12)+E7*(1-5/E13)</f>
        <v>1035775</v>
      </c>
      <c r="W65" s="59">
        <f>V65</f>
        <v>1035775</v>
      </c>
    </row>
    <row r="66" spans="2:23" ht="18" customHeight="1" x14ac:dyDescent="0.3">
      <c r="B66" s="73" t="s">
        <v>65</v>
      </c>
      <c r="C66" s="58">
        <v>0</v>
      </c>
      <c r="D66" s="41">
        <v>0</v>
      </c>
      <c r="E66" s="41">
        <v>0</v>
      </c>
      <c r="F66" s="41">
        <v>0</v>
      </c>
      <c r="G66" s="41">
        <v>0</v>
      </c>
      <c r="H66" s="41">
        <f>C45</f>
        <v>72169</v>
      </c>
      <c r="I66" s="59">
        <f>H66</f>
        <v>72169</v>
      </c>
      <c r="J66" s="58">
        <v>0</v>
      </c>
      <c r="K66" s="41">
        <v>0</v>
      </c>
      <c r="L66" s="41">
        <v>0</v>
      </c>
      <c r="M66" s="41">
        <v>0</v>
      </c>
      <c r="N66" s="41">
        <v>0</v>
      </c>
      <c r="O66" s="41">
        <f>D45</f>
        <v>75354</v>
      </c>
      <c r="P66" s="59">
        <f>O66</f>
        <v>75354</v>
      </c>
      <c r="Q66" s="58">
        <v>0</v>
      </c>
      <c r="R66" s="41">
        <v>0</v>
      </c>
      <c r="S66" s="41">
        <v>0</v>
      </c>
      <c r="T66" s="41">
        <v>0</v>
      </c>
      <c r="U66" s="41">
        <v>0</v>
      </c>
      <c r="V66" s="41">
        <f>E45</f>
        <v>76890</v>
      </c>
      <c r="W66" s="59">
        <f>V66</f>
        <v>76890</v>
      </c>
    </row>
    <row r="67" spans="2:23" ht="18" customHeight="1" x14ac:dyDescent="0.3">
      <c r="B67" s="75" t="s">
        <v>66</v>
      </c>
      <c r="C67" s="63">
        <f t="shared" ref="C67:W67" si="17">C62+C63+C64+C65+C66</f>
        <v>0</v>
      </c>
      <c r="D67" s="49">
        <f t="shared" si="17"/>
        <v>1126900.4938271604</v>
      </c>
      <c r="E67" s="49">
        <f t="shared" si="17"/>
        <v>9015203.9506172836</v>
      </c>
      <c r="F67" s="49">
        <f t="shared" si="17"/>
        <v>5634502.4691358022</v>
      </c>
      <c r="G67" s="49">
        <f t="shared" si="17"/>
        <v>4507601.9753086418</v>
      </c>
      <c r="H67" s="49">
        <f t="shared" si="17"/>
        <v>11660523.444444444</v>
      </c>
      <c r="I67" s="64">
        <f t="shared" si="17"/>
        <v>31944732.333333332</v>
      </c>
      <c r="J67" s="63">
        <f t="shared" si="17"/>
        <v>0</v>
      </c>
      <c r="K67" s="49">
        <f t="shared" si="17"/>
        <v>1126900.4938271604</v>
      </c>
      <c r="L67" s="49">
        <f t="shared" si="17"/>
        <v>9015203.9506172836</v>
      </c>
      <c r="M67" s="49">
        <f t="shared" si="17"/>
        <v>5634502.4691358022</v>
      </c>
      <c r="N67" s="49">
        <f t="shared" si="17"/>
        <v>4507601.9753086418</v>
      </c>
      <c r="O67" s="49">
        <f t="shared" si="17"/>
        <v>11348708.444444444</v>
      </c>
      <c r="P67" s="64">
        <f t="shared" si="17"/>
        <v>31632917.333333332</v>
      </c>
      <c r="Q67" s="63">
        <f t="shared" si="17"/>
        <v>0</v>
      </c>
      <c r="R67" s="49">
        <f t="shared" si="17"/>
        <v>1126900.4938271604</v>
      </c>
      <c r="S67" s="49">
        <f t="shared" si="17"/>
        <v>9015203.9506172836</v>
      </c>
      <c r="T67" s="49">
        <f t="shared" si="17"/>
        <v>5634502.4691358022</v>
      </c>
      <c r="U67" s="49">
        <f t="shared" si="17"/>
        <v>4507601.9753086418</v>
      </c>
      <c r="V67" s="49">
        <f t="shared" si="17"/>
        <v>11254769.444444444</v>
      </c>
      <c r="W67" s="64">
        <f t="shared" si="17"/>
        <v>31538978.333333332</v>
      </c>
    </row>
    <row r="68" spans="2:23" ht="18" customHeight="1" x14ac:dyDescent="0.3">
      <c r="B68" s="72" t="s">
        <v>67</v>
      </c>
      <c r="C68" s="56"/>
      <c r="D68" s="14"/>
      <c r="E68" s="14"/>
      <c r="F68" s="14"/>
      <c r="G68" s="14"/>
      <c r="H68" s="14"/>
      <c r="I68" s="62"/>
      <c r="J68" s="56"/>
      <c r="K68" s="14"/>
      <c r="L68" s="14"/>
      <c r="M68" s="14"/>
      <c r="N68" s="14"/>
      <c r="O68" s="14"/>
      <c r="P68" s="62"/>
      <c r="Q68" s="56"/>
      <c r="R68" s="14"/>
      <c r="S68" s="14"/>
      <c r="T68" s="14"/>
      <c r="U68" s="14"/>
      <c r="V68" s="14"/>
      <c r="W68" s="62"/>
    </row>
    <row r="69" spans="2:23" ht="18" customHeight="1" x14ac:dyDescent="0.3">
      <c r="B69" s="73" t="s">
        <v>68</v>
      </c>
      <c r="C69" s="58">
        <v>0</v>
      </c>
      <c r="D69" s="41">
        <f>C20*D52</f>
        <v>840000</v>
      </c>
      <c r="E69" s="41">
        <f>C20*E52</f>
        <v>6720000</v>
      </c>
      <c r="F69" s="41">
        <f>C20*F52</f>
        <v>4200000</v>
      </c>
      <c r="G69" s="41">
        <f>C20*G52</f>
        <v>3360000</v>
      </c>
      <c r="H69" s="41">
        <f>C20*H52</f>
        <v>7560000</v>
      </c>
      <c r="I69" s="59">
        <f>SUM(D69:H69)</f>
        <v>22680000</v>
      </c>
      <c r="J69" s="58">
        <v>0</v>
      </c>
      <c r="K69" s="41">
        <f>C20*K52</f>
        <v>840000</v>
      </c>
      <c r="L69" s="41">
        <f>C20*L52</f>
        <v>6720000</v>
      </c>
      <c r="M69" s="41">
        <f>C20*M52</f>
        <v>4200000</v>
      </c>
      <c r="N69" s="41">
        <f>C20*N52</f>
        <v>3360000</v>
      </c>
      <c r="O69" s="41">
        <f>C20*O52</f>
        <v>7560000</v>
      </c>
      <c r="P69" s="59">
        <f>SUM(K69:O69)</f>
        <v>22680000</v>
      </c>
      <c r="Q69" s="58">
        <v>0</v>
      </c>
      <c r="R69" s="41">
        <f>C20*R52</f>
        <v>840000</v>
      </c>
      <c r="S69" s="41">
        <f>C20*S52</f>
        <v>6720000</v>
      </c>
      <c r="T69" s="41">
        <f>C20*T52</f>
        <v>4200000</v>
      </c>
      <c r="U69" s="41">
        <f>C20*U52</f>
        <v>3360000</v>
      </c>
      <c r="V69" s="41">
        <f>C20*V52</f>
        <v>7560000</v>
      </c>
      <c r="W69" s="59">
        <f>SUM(R69:V69)</f>
        <v>22680000</v>
      </c>
    </row>
    <row r="70" spans="2:23" ht="18" customHeight="1" x14ac:dyDescent="0.3">
      <c r="B70" s="73" t="s">
        <v>69</v>
      </c>
      <c r="C70" s="58">
        <v>0</v>
      </c>
      <c r="D70" s="41">
        <f>C31*D52</f>
        <v>25812</v>
      </c>
      <c r="E70" s="41">
        <f>C31*E52</f>
        <v>206496</v>
      </c>
      <c r="F70" s="41">
        <f>C31*F52</f>
        <v>129060</v>
      </c>
      <c r="G70" s="41">
        <f>C31*G52</f>
        <v>103248</v>
      </c>
      <c r="H70" s="41">
        <f>C31*H52</f>
        <v>232308</v>
      </c>
      <c r="I70" s="59">
        <f>SUM(D70:H70)</f>
        <v>696924</v>
      </c>
      <c r="J70" s="58">
        <v>0</v>
      </c>
      <c r="K70" s="41">
        <f>D31*K52</f>
        <v>56280</v>
      </c>
      <c r="L70" s="41">
        <f>D31*L52</f>
        <v>450240</v>
      </c>
      <c r="M70" s="41">
        <f>D31*M52</f>
        <v>281400</v>
      </c>
      <c r="N70" s="41">
        <f>D31*N52</f>
        <v>225120</v>
      </c>
      <c r="O70" s="41">
        <f>D31*O52</f>
        <v>506520</v>
      </c>
      <c r="P70" s="59">
        <f>SUM(K70:O70)</f>
        <v>1519560</v>
      </c>
      <c r="Q70" s="58">
        <v>0</v>
      </c>
      <c r="R70" s="41">
        <f>E31*R52</f>
        <v>65088</v>
      </c>
      <c r="S70" s="41">
        <f>E31*S52</f>
        <v>520704</v>
      </c>
      <c r="T70" s="41">
        <f>E31*T52</f>
        <v>325440</v>
      </c>
      <c r="U70" s="41">
        <f>E31*U52</f>
        <v>260352</v>
      </c>
      <c r="V70" s="41">
        <f>E31*V52</f>
        <v>585792</v>
      </c>
      <c r="W70" s="59">
        <f>SUM(R70:V70)</f>
        <v>1757376</v>
      </c>
    </row>
    <row r="71" spans="2:23" ht="18" customHeight="1" x14ac:dyDescent="0.3">
      <c r="B71" s="73" t="s">
        <v>70</v>
      </c>
      <c r="C71" s="58">
        <v>0</v>
      </c>
      <c r="D71" s="41">
        <f>E35*D49</f>
        <v>220</v>
      </c>
      <c r="E71" s="41">
        <f>E35*E49</f>
        <v>660</v>
      </c>
      <c r="F71" s="41">
        <f>E35*F49</f>
        <v>660</v>
      </c>
      <c r="G71" s="41">
        <f>E35*G49</f>
        <v>660</v>
      </c>
      <c r="H71" s="41">
        <f>E35*H49</f>
        <v>660</v>
      </c>
      <c r="I71" s="59">
        <f>SUM(D71:H71)</f>
        <v>2860</v>
      </c>
      <c r="J71" s="58">
        <v>0</v>
      </c>
      <c r="K71" s="41">
        <f>H35*K49</f>
        <v>7964</v>
      </c>
      <c r="L71" s="41">
        <f>H35*L49</f>
        <v>23892</v>
      </c>
      <c r="M71" s="41">
        <f>H35*M49</f>
        <v>23892</v>
      </c>
      <c r="N71" s="41">
        <f>H35*N49</f>
        <v>23892</v>
      </c>
      <c r="O71" s="41">
        <f>H35*O49</f>
        <v>23892</v>
      </c>
      <c r="P71" s="59">
        <f>SUM(K71:O71)</f>
        <v>103532</v>
      </c>
      <c r="Q71" s="58">
        <v>0</v>
      </c>
      <c r="R71" s="41">
        <f>K35*R49</f>
        <v>17592</v>
      </c>
      <c r="S71" s="41">
        <f>K35*S49</f>
        <v>52776</v>
      </c>
      <c r="T71" s="41">
        <f>K35*T49</f>
        <v>52776</v>
      </c>
      <c r="U71" s="41">
        <f>K35*U49</f>
        <v>52776</v>
      </c>
      <c r="V71" s="41">
        <f>K35*V49</f>
        <v>52776</v>
      </c>
      <c r="W71" s="59">
        <f>SUM(R71:V71)</f>
        <v>228696</v>
      </c>
    </row>
    <row r="72" spans="2:23" ht="18" customHeight="1" x14ac:dyDescent="0.3">
      <c r="B72" s="73" t="s">
        <v>71</v>
      </c>
      <c r="C72" s="58">
        <v>0</v>
      </c>
      <c r="D72" s="41">
        <f>E36*D50</f>
        <v>0</v>
      </c>
      <c r="E72" s="41">
        <f>E36*E50</f>
        <v>0</v>
      </c>
      <c r="F72" s="41">
        <f>E36*F50</f>
        <v>0</v>
      </c>
      <c r="G72" s="41">
        <f>E36*G50</f>
        <v>0</v>
      </c>
      <c r="H72" s="41">
        <f>E36*H50</f>
        <v>17780</v>
      </c>
      <c r="I72" s="59">
        <f>SUM(D72:H72)</f>
        <v>17780</v>
      </c>
      <c r="J72" s="58">
        <v>0</v>
      </c>
      <c r="K72" s="41">
        <f>H36*K50</f>
        <v>0</v>
      </c>
      <c r="L72" s="41">
        <f>H36*L50</f>
        <v>0</v>
      </c>
      <c r="M72" s="41">
        <f>H36*M50</f>
        <v>0</v>
      </c>
      <c r="N72" s="41">
        <f>H36*N50</f>
        <v>0</v>
      </c>
      <c r="O72" s="41">
        <f>H36*O50</f>
        <v>30480</v>
      </c>
      <c r="P72" s="59">
        <f>SUM(K72:O72)</f>
        <v>30480</v>
      </c>
      <c r="Q72" s="58">
        <v>0</v>
      </c>
      <c r="R72" s="41">
        <f>K36*R50</f>
        <v>0</v>
      </c>
      <c r="S72" s="41">
        <f>K36*S50</f>
        <v>0</v>
      </c>
      <c r="T72" s="41">
        <f>K36*T50</f>
        <v>0</v>
      </c>
      <c r="U72" s="41">
        <f>K36*U50</f>
        <v>0</v>
      </c>
      <c r="V72" s="41">
        <f>K36*V50</f>
        <v>87240</v>
      </c>
      <c r="W72" s="59">
        <f>SUM(R72:V72)</f>
        <v>87240</v>
      </c>
    </row>
    <row r="73" spans="2:23" ht="18" customHeight="1" x14ac:dyDescent="0.3">
      <c r="B73" s="73" t="s">
        <v>72</v>
      </c>
      <c r="C73" s="58">
        <v>0</v>
      </c>
      <c r="D73" s="41">
        <f>E37*D51</f>
        <v>0</v>
      </c>
      <c r="E73" s="41">
        <f>E37*E51</f>
        <v>115920</v>
      </c>
      <c r="F73" s="41">
        <f>E37*F51</f>
        <v>46368</v>
      </c>
      <c r="G73" s="41">
        <f>E37*G51</f>
        <v>23184</v>
      </c>
      <c r="H73" s="41">
        <f>E37*H51</f>
        <v>23184</v>
      </c>
      <c r="I73" s="59">
        <f>SUM(D73:H73)</f>
        <v>208656</v>
      </c>
      <c r="J73" s="58">
        <v>0</v>
      </c>
      <c r="K73" s="41">
        <f>H37*K51</f>
        <v>0</v>
      </c>
      <c r="L73" s="41">
        <f>H37*L51</f>
        <v>72480</v>
      </c>
      <c r="M73" s="41">
        <f>H37*M51</f>
        <v>28992</v>
      </c>
      <c r="N73" s="41">
        <f>H37*N51</f>
        <v>14496</v>
      </c>
      <c r="O73" s="41">
        <f>H37*O51</f>
        <v>14496</v>
      </c>
      <c r="P73" s="59">
        <f>SUM(K73:O73)</f>
        <v>130464</v>
      </c>
      <c r="Q73" s="58">
        <v>0</v>
      </c>
      <c r="R73" s="41">
        <f>K37*R51</f>
        <v>0</v>
      </c>
      <c r="S73" s="41">
        <f>K37*S51</f>
        <v>110880</v>
      </c>
      <c r="T73" s="41">
        <f>K37*T51</f>
        <v>44352</v>
      </c>
      <c r="U73" s="41">
        <f>K37*U51</f>
        <v>22176</v>
      </c>
      <c r="V73" s="41">
        <f>K37*V51</f>
        <v>22176</v>
      </c>
      <c r="W73" s="59">
        <f>SUM(R73:V73)</f>
        <v>199584</v>
      </c>
    </row>
    <row r="74" spans="2:23" ht="18" customHeight="1" x14ac:dyDescent="0.3">
      <c r="B74" s="76" t="s">
        <v>73</v>
      </c>
      <c r="C74" s="65">
        <f t="shared" ref="C74:W74" si="18">C71+C72+C73</f>
        <v>0</v>
      </c>
      <c r="D74" s="50">
        <f t="shared" si="18"/>
        <v>220</v>
      </c>
      <c r="E74" s="50">
        <f t="shared" si="18"/>
        <v>116580</v>
      </c>
      <c r="F74" s="50">
        <f t="shared" si="18"/>
        <v>47028</v>
      </c>
      <c r="G74" s="50">
        <f t="shared" si="18"/>
        <v>23844</v>
      </c>
      <c r="H74" s="50">
        <f t="shared" si="18"/>
        <v>41624</v>
      </c>
      <c r="I74" s="66">
        <f t="shared" si="18"/>
        <v>229296</v>
      </c>
      <c r="J74" s="65">
        <f t="shared" si="18"/>
        <v>0</v>
      </c>
      <c r="K74" s="50">
        <f t="shared" si="18"/>
        <v>7964</v>
      </c>
      <c r="L74" s="50">
        <f t="shared" si="18"/>
        <v>96372</v>
      </c>
      <c r="M74" s="50">
        <f t="shared" si="18"/>
        <v>52884</v>
      </c>
      <c r="N74" s="50">
        <f t="shared" si="18"/>
        <v>38388</v>
      </c>
      <c r="O74" s="50">
        <f t="shared" si="18"/>
        <v>68868</v>
      </c>
      <c r="P74" s="66">
        <f t="shared" si="18"/>
        <v>264476</v>
      </c>
      <c r="Q74" s="65">
        <f t="shared" si="18"/>
        <v>0</v>
      </c>
      <c r="R74" s="50">
        <f t="shared" si="18"/>
        <v>17592</v>
      </c>
      <c r="S74" s="50">
        <f t="shared" si="18"/>
        <v>163656</v>
      </c>
      <c r="T74" s="50">
        <f t="shared" si="18"/>
        <v>97128</v>
      </c>
      <c r="U74" s="50">
        <f t="shared" si="18"/>
        <v>74952</v>
      </c>
      <c r="V74" s="50">
        <f t="shared" si="18"/>
        <v>162192</v>
      </c>
      <c r="W74" s="66">
        <f t="shared" si="18"/>
        <v>515520</v>
      </c>
    </row>
    <row r="75" spans="2:23" ht="18" customHeight="1" x14ac:dyDescent="0.3">
      <c r="B75" s="73" t="s">
        <v>74</v>
      </c>
      <c r="C75" s="58">
        <v>0</v>
      </c>
      <c r="D75" s="41">
        <f>C17</f>
        <v>426750</v>
      </c>
      <c r="E75" s="41">
        <f>C17</f>
        <v>426750</v>
      </c>
      <c r="F75" s="41">
        <f>C17</f>
        <v>426750</v>
      </c>
      <c r="G75" s="41">
        <f>C17</f>
        <v>426750</v>
      </c>
      <c r="H75" s="41">
        <f>C17</f>
        <v>426750</v>
      </c>
      <c r="I75" s="59">
        <f>SUM(D75:H75)</f>
        <v>2133750</v>
      </c>
      <c r="J75" s="58">
        <v>0</v>
      </c>
      <c r="K75" s="41">
        <f>D17</f>
        <v>363750</v>
      </c>
      <c r="L75" s="41">
        <f>D17</f>
        <v>363750</v>
      </c>
      <c r="M75" s="41">
        <f>D17</f>
        <v>363750</v>
      </c>
      <c r="N75" s="41">
        <f>D17</f>
        <v>363750</v>
      </c>
      <c r="O75" s="41">
        <f>D17</f>
        <v>363750</v>
      </c>
      <c r="P75" s="59">
        <f>SUM(K75:O75)</f>
        <v>1818750</v>
      </c>
      <c r="Q75" s="58">
        <v>0</v>
      </c>
      <c r="R75" s="41">
        <f>E17</f>
        <v>344655</v>
      </c>
      <c r="S75" s="41">
        <f>E17</f>
        <v>344655</v>
      </c>
      <c r="T75" s="41">
        <f>E17</f>
        <v>344655</v>
      </c>
      <c r="U75" s="41">
        <f>E17</f>
        <v>344655</v>
      </c>
      <c r="V75" s="41">
        <f>E17</f>
        <v>344655</v>
      </c>
      <c r="W75" s="59">
        <f>SUM(R75:V75)</f>
        <v>1723275</v>
      </c>
    </row>
    <row r="76" spans="2:23" ht="18" customHeight="1" x14ac:dyDescent="0.3">
      <c r="B76" s="76" t="s">
        <v>75</v>
      </c>
      <c r="C76" s="65">
        <f t="shared" ref="C76:W76" si="19">C69+C70+C74+C75</f>
        <v>0</v>
      </c>
      <c r="D76" s="50">
        <f t="shared" si="19"/>
        <v>1292782</v>
      </c>
      <c r="E76" s="50">
        <f t="shared" si="19"/>
        <v>7469826</v>
      </c>
      <c r="F76" s="50">
        <f t="shared" si="19"/>
        <v>4802838</v>
      </c>
      <c r="G76" s="50">
        <f t="shared" si="19"/>
        <v>3913842</v>
      </c>
      <c r="H76" s="50">
        <f t="shared" si="19"/>
        <v>8260682</v>
      </c>
      <c r="I76" s="66">
        <f t="shared" si="19"/>
        <v>25739970</v>
      </c>
      <c r="J76" s="65">
        <f t="shared" si="19"/>
        <v>0</v>
      </c>
      <c r="K76" s="50">
        <f t="shared" si="19"/>
        <v>1267994</v>
      </c>
      <c r="L76" s="50">
        <f t="shared" si="19"/>
        <v>7630362</v>
      </c>
      <c r="M76" s="50">
        <f t="shared" si="19"/>
        <v>4898034</v>
      </c>
      <c r="N76" s="50">
        <f t="shared" si="19"/>
        <v>3987258</v>
      </c>
      <c r="O76" s="50">
        <f t="shared" si="19"/>
        <v>8499138</v>
      </c>
      <c r="P76" s="66">
        <f t="shared" si="19"/>
        <v>26282786</v>
      </c>
      <c r="Q76" s="65">
        <f t="shared" si="19"/>
        <v>0</v>
      </c>
      <c r="R76" s="50">
        <f t="shared" si="19"/>
        <v>1267335</v>
      </c>
      <c r="S76" s="50">
        <f t="shared" si="19"/>
        <v>7749015</v>
      </c>
      <c r="T76" s="50">
        <f t="shared" si="19"/>
        <v>4967223</v>
      </c>
      <c r="U76" s="50">
        <f t="shared" si="19"/>
        <v>4039959</v>
      </c>
      <c r="V76" s="50">
        <f t="shared" si="19"/>
        <v>8652639</v>
      </c>
      <c r="W76" s="66">
        <f t="shared" si="19"/>
        <v>26676171</v>
      </c>
    </row>
    <row r="77" spans="2:23" ht="18" customHeight="1" x14ac:dyDescent="0.3">
      <c r="B77" s="72" t="s">
        <v>76</v>
      </c>
      <c r="C77" s="56"/>
      <c r="D77" s="14"/>
      <c r="E77" s="14"/>
      <c r="F77" s="14"/>
      <c r="G77" s="14"/>
      <c r="H77" s="14"/>
      <c r="I77" s="62"/>
      <c r="J77" s="56"/>
      <c r="K77" s="14"/>
      <c r="L77" s="14"/>
      <c r="M77" s="14"/>
      <c r="N77" s="14"/>
      <c r="O77" s="14"/>
      <c r="P77" s="62"/>
      <c r="Q77" s="56"/>
      <c r="R77" s="14"/>
      <c r="S77" s="14"/>
      <c r="T77" s="14"/>
      <c r="U77" s="14"/>
      <c r="V77" s="14"/>
      <c r="W77" s="62"/>
    </row>
    <row r="78" spans="2:23" ht="17.399999999999999" customHeight="1" x14ac:dyDescent="0.3">
      <c r="B78" s="73" t="s">
        <v>112</v>
      </c>
      <c r="C78" s="58">
        <f t="shared" ref="C78:W78" si="20">(C62+C63+C64)-C76</f>
        <v>0</v>
      </c>
      <c r="D78" s="41">
        <f>(D62+D63+D64)-D76</f>
        <v>-165881.50617283955</v>
      </c>
      <c r="E78" s="41">
        <f t="shared" si="20"/>
        <v>1545377.9506172836</v>
      </c>
      <c r="F78" s="41">
        <f t="shared" si="20"/>
        <v>831664.46913580224</v>
      </c>
      <c r="G78" s="41">
        <f t="shared" si="20"/>
        <v>593759.97530864179</v>
      </c>
      <c r="H78" s="41">
        <f t="shared" si="20"/>
        <v>1881422.444444444</v>
      </c>
      <c r="I78" s="59">
        <f t="shared" si="20"/>
        <v>4686343.3333333321</v>
      </c>
      <c r="J78" s="58">
        <f t="shared" si="20"/>
        <v>0</v>
      </c>
      <c r="K78" s="41">
        <f t="shared" si="20"/>
        <v>-141093.50617283955</v>
      </c>
      <c r="L78" s="41">
        <f t="shared" si="20"/>
        <v>1384841.9506172836</v>
      </c>
      <c r="M78" s="41">
        <f t="shared" si="20"/>
        <v>736468.46913580224</v>
      </c>
      <c r="N78" s="41">
        <f t="shared" si="20"/>
        <v>520343.97530864179</v>
      </c>
      <c r="O78" s="41">
        <f t="shared" si="20"/>
        <v>1642966.444444444</v>
      </c>
      <c r="P78" s="59">
        <f t="shared" si="20"/>
        <v>4143527.3333333321</v>
      </c>
      <c r="Q78" s="58">
        <f t="shared" si="20"/>
        <v>0</v>
      </c>
      <c r="R78" s="41">
        <f t="shared" si="20"/>
        <v>-140434.50617283955</v>
      </c>
      <c r="S78" s="41">
        <f t="shared" si="20"/>
        <v>1266188.9506172836</v>
      </c>
      <c r="T78" s="41">
        <f t="shared" si="20"/>
        <v>667279.46913580224</v>
      </c>
      <c r="U78" s="41">
        <f t="shared" si="20"/>
        <v>467642.97530864179</v>
      </c>
      <c r="V78" s="41">
        <f t="shared" si="20"/>
        <v>1489465.444444444</v>
      </c>
      <c r="W78" s="59">
        <f t="shared" si="20"/>
        <v>3750142.3333333321</v>
      </c>
    </row>
    <row r="79" spans="2:23" ht="18" customHeight="1" x14ac:dyDescent="0.3">
      <c r="B79" s="73" t="s">
        <v>113</v>
      </c>
      <c r="C79" s="58">
        <v>0</v>
      </c>
      <c r="D79" s="41">
        <f t="shared" ref="D79:I79" si="21">IF(D78&gt;0,D78*0.25,0)</f>
        <v>0</v>
      </c>
      <c r="E79" s="41">
        <f t="shared" si="21"/>
        <v>386344.4876543209</v>
      </c>
      <c r="F79" s="41">
        <f t="shared" si="21"/>
        <v>207916.11728395056</v>
      </c>
      <c r="G79" s="41">
        <f t="shared" si="21"/>
        <v>148439.99382716045</v>
      </c>
      <c r="H79" s="41">
        <f t="shared" si="21"/>
        <v>470355.61111111101</v>
      </c>
      <c r="I79" s="59">
        <f t="shared" si="21"/>
        <v>1171585.833333333</v>
      </c>
      <c r="J79" s="58">
        <v>0</v>
      </c>
      <c r="K79" s="41">
        <f t="shared" ref="K79:P79" si="22">IF(K78&gt;0,K78*0.25,0)</f>
        <v>0</v>
      </c>
      <c r="L79" s="41">
        <f t="shared" si="22"/>
        <v>346210.4876543209</v>
      </c>
      <c r="M79" s="41">
        <f t="shared" si="22"/>
        <v>184117.11728395056</v>
      </c>
      <c r="N79" s="41">
        <f t="shared" si="22"/>
        <v>130085.99382716045</v>
      </c>
      <c r="O79" s="41">
        <f t="shared" si="22"/>
        <v>410741.61111111101</v>
      </c>
      <c r="P79" s="59">
        <f t="shared" si="22"/>
        <v>1035881.833333333</v>
      </c>
      <c r="Q79" s="58">
        <v>0</v>
      </c>
      <c r="R79" s="41">
        <f>MAX(0,IF(R78&gt;0,R78*0.25-$E$41,0))</f>
        <v>0</v>
      </c>
      <c r="S79" s="41">
        <f>MAX(0,IF(S78&gt;0,S78*0.25-$E$41,0))</f>
        <v>233775.7376543209</v>
      </c>
      <c r="T79" s="41">
        <f>MAX(0,IF(T78&gt;0,T78*0.25-$E$41,0))</f>
        <v>84048.36728395056</v>
      </c>
      <c r="U79" s="41">
        <f>MAX(0,IF(U78&gt;0,U78*0.25-$E$41,0))</f>
        <v>34139.243827160448</v>
      </c>
      <c r="V79" s="41">
        <f>MAX(0,IF(V78&gt;0,V78*0.25-$E$41,0))</f>
        <v>289594.86111111101</v>
      </c>
      <c r="W79" s="59">
        <f>SUM(R79:V79)</f>
        <v>641558.20987654291</v>
      </c>
    </row>
    <row r="80" spans="2:23" ht="18" customHeight="1" thickBot="1" x14ac:dyDescent="0.35">
      <c r="B80" s="77" t="s">
        <v>77</v>
      </c>
      <c r="C80" s="67">
        <f t="shared" ref="C80:W80" si="23">C78-C79</f>
        <v>0</v>
      </c>
      <c r="D80" s="68">
        <f t="shared" si="23"/>
        <v>-165881.50617283955</v>
      </c>
      <c r="E80" s="68">
        <f t="shared" si="23"/>
        <v>1159033.4629629627</v>
      </c>
      <c r="F80" s="68">
        <f t="shared" si="23"/>
        <v>623748.35185185168</v>
      </c>
      <c r="G80" s="68">
        <f t="shared" si="23"/>
        <v>445319.98148148134</v>
      </c>
      <c r="H80" s="68">
        <f t="shared" si="23"/>
        <v>1411066.833333333</v>
      </c>
      <c r="I80" s="69">
        <f t="shared" si="23"/>
        <v>3514757.4999999991</v>
      </c>
      <c r="J80" s="67">
        <f t="shared" si="23"/>
        <v>0</v>
      </c>
      <c r="K80" s="68">
        <f t="shared" si="23"/>
        <v>-141093.50617283955</v>
      </c>
      <c r="L80" s="68">
        <f t="shared" si="23"/>
        <v>1038631.4629629627</v>
      </c>
      <c r="M80" s="68">
        <f t="shared" si="23"/>
        <v>552351.35185185168</v>
      </c>
      <c r="N80" s="68">
        <f t="shared" si="23"/>
        <v>390257.98148148134</v>
      </c>
      <c r="O80" s="68">
        <f t="shared" si="23"/>
        <v>1232224.833333333</v>
      </c>
      <c r="P80" s="69">
        <f t="shared" si="23"/>
        <v>3107645.4999999991</v>
      </c>
      <c r="Q80" s="67">
        <f t="shared" si="23"/>
        <v>0</v>
      </c>
      <c r="R80" s="68">
        <f t="shared" si="23"/>
        <v>-140434.50617283955</v>
      </c>
      <c r="S80" s="68">
        <f t="shared" si="23"/>
        <v>1032413.2129629627</v>
      </c>
      <c r="T80" s="68">
        <f t="shared" si="23"/>
        <v>583231.10185185168</v>
      </c>
      <c r="U80" s="68">
        <f t="shared" si="23"/>
        <v>433503.73148148134</v>
      </c>
      <c r="V80" s="68">
        <f t="shared" si="23"/>
        <v>1199870.583333333</v>
      </c>
      <c r="W80" s="78">
        <f t="shared" si="23"/>
        <v>3108584.1234567892</v>
      </c>
    </row>
    <row r="81" spans="2:11" ht="14.4" thickBot="1" x14ac:dyDescent="0.35"/>
    <row r="82" spans="2:11" ht="30" customHeight="1" x14ac:dyDescent="0.3">
      <c r="B82" s="111" t="s">
        <v>116</v>
      </c>
      <c r="C82" s="112"/>
      <c r="D82" s="112"/>
      <c r="E82" s="112"/>
      <c r="F82" s="112"/>
      <c r="G82" s="112"/>
      <c r="H82" s="112"/>
      <c r="I82" s="112"/>
      <c r="J82" s="112"/>
      <c r="K82" s="113"/>
    </row>
    <row r="83" spans="2:11" ht="30" customHeight="1" x14ac:dyDescent="0.3">
      <c r="B83" s="54" t="s">
        <v>78</v>
      </c>
      <c r="C83" s="6" t="s">
        <v>79</v>
      </c>
      <c r="D83" s="6" t="s">
        <v>80</v>
      </c>
      <c r="E83" s="6" t="s">
        <v>114</v>
      </c>
      <c r="F83" s="6" t="s">
        <v>81</v>
      </c>
      <c r="G83" s="6" t="s">
        <v>119</v>
      </c>
      <c r="H83" s="6" t="s">
        <v>82</v>
      </c>
      <c r="I83" s="6" t="s">
        <v>83</v>
      </c>
      <c r="J83" s="6" t="s">
        <v>84</v>
      </c>
      <c r="K83" s="55" t="s">
        <v>85</v>
      </c>
    </row>
    <row r="84" spans="2:11" ht="18" customHeight="1" x14ac:dyDescent="0.3">
      <c r="B84" s="79" t="s">
        <v>54</v>
      </c>
      <c r="C84" s="41">
        <f>C57</f>
        <v>3580000</v>
      </c>
      <c r="D84" s="41">
        <f>C58</f>
        <v>72169</v>
      </c>
      <c r="E84" s="41">
        <f>C79</f>
        <v>0</v>
      </c>
      <c r="F84" s="44">
        <f t="shared" ref="F84:F89" si="24">SUM(C84:E84)</f>
        <v>3652169</v>
      </c>
      <c r="G84" s="41">
        <f>C78</f>
        <v>0</v>
      </c>
      <c r="H84" s="41">
        <f>C75</f>
        <v>0</v>
      </c>
      <c r="I84" s="41">
        <f t="shared" ref="I84:I89" si="25">SUM(G84:H84)</f>
        <v>0</v>
      </c>
      <c r="J84" s="44">
        <f t="shared" ref="J84:J89" si="26">I84-F84</f>
        <v>-3652169</v>
      </c>
      <c r="K84" s="80">
        <f>J84</f>
        <v>-3652169</v>
      </c>
    </row>
    <row r="85" spans="2:11" ht="18" customHeight="1" x14ac:dyDescent="0.3">
      <c r="B85" s="79" t="s">
        <v>44</v>
      </c>
      <c r="C85" s="41">
        <f>D57</f>
        <v>0</v>
      </c>
      <c r="D85" s="41">
        <f>D58</f>
        <v>0</v>
      </c>
      <c r="E85" s="41">
        <f>D79</f>
        <v>0</v>
      </c>
      <c r="F85" s="44">
        <f t="shared" si="24"/>
        <v>0</v>
      </c>
      <c r="G85" s="41">
        <f>D78</f>
        <v>-165881.50617283955</v>
      </c>
      <c r="H85" s="41">
        <f>D75</f>
        <v>426750</v>
      </c>
      <c r="I85" s="41">
        <f t="shared" si="25"/>
        <v>260868.49382716045</v>
      </c>
      <c r="J85" s="44">
        <f t="shared" si="26"/>
        <v>260868.49382716045</v>
      </c>
      <c r="K85" s="80">
        <f>K84+J85</f>
        <v>-3391300.5061728396</v>
      </c>
    </row>
    <row r="86" spans="2:11" ht="18" customHeight="1" x14ac:dyDescent="0.3">
      <c r="B86" s="79" t="s">
        <v>45</v>
      </c>
      <c r="C86" s="41">
        <f>E57</f>
        <v>0</v>
      </c>
      <c r="D86" s="41">
        <f>E58</f>
        <v>0</v>
      </c>
      <c r="E86" s="41">
        <f>E79</f>
        <v>386344.4876543209</v>
      </c>
      <c r="F86" s="44">
        <f t="shared" si="24"/>
        <v>386344.4876543209</v>
      </c>
      <c r="G86" s="41">
        <f>E78</f>
        <v>1545377.9506172836</v>
      </c>
      <c r="H86" s="41">
        <f>E75</f>
        <v>426750</v>
      </c>
      <c r="I86" s="41">
        <f t="shared" si="25"/>
        <v>1972127.9506172836</v>
      </c>
      <c r="J86" s="44">
        <f t="shared" si="26"/>
        <v>1585783.4629629627</v>
      </c>
      <c r="K86" s="80">
        <f>K85+J86</f>
        <v>-1805517.0432098769</v>
      </c>
    </row>
    <row r="87" spans="2:11" ht="18" customHeight="1" x14ac:dyDescent="0.3">
      <c r="B87" s="79" t="s">
        <v>46</v>
      </c>
      <c r="C87" s="41">
        <f>F57</f>
        <v>0</v>
      </c>
      <c r="D87" s="41">
        <f>F58</f>
        <v>0</v>
      </c>
      <c r="E87" s="41">
        <f>F79</f>
        <v>207916.11728395056</v>
      </c>
      <c r="F87" s="44">
        <f t="shared" si="24"/>
        <v>207916.11728395056</v>
      </c>
      <c r="G87" s="41">
        <f>F78</f>
        <v>831664.46913580224</v>
      </c>
      <c r="H87" s="41">
        <f>F75</f>
        <v>426750</v>
      </c>
      <c r="I87" s="41">
        <f t="shared" si="25"/>
        <v>1258414.4691358022</v>
      </c>
      <c r="J87" s="44">
        <f t="shared" si="26"/>
        <v>1050498.3518518517</v>
      </c>
      <c r="K87" s="80">
        <f>K86+J87</f>
        <v>-755018.69135802519</v>
      </c>
    </row>
    <row r="88" spans="2:11" x14ac:dyDescent="0.3">
      <c r="B88" s="79" t="s">
        <v>47</v>
      </c>
      <c r="C88" s="41">
        <f>G57</f>
        <v>0</v>
      </c>
      <c r="D88" s="41">
        <f>G58</f>
        <v>0</v>
      </c>
      <c r="E88" s="41">
        <f>G79</f>
        <v>148439.99382716045</v>
      </c>
      <c r="F88" s="44">
        <f t="shared" si="24"/>
        <v>148439.99382716045</v>
      </c>
      <c r="G88" s="41">
        <f>G78</f>
        <v>593759.97530864179</v>
      </c>
      <c r="H88" s="41">
        <f>G75</f>
        <v>426750</v>
      </c>
      <c r="I88" s="41">
        <f t="shared" si="25"/>
        <v>1020509.9753086418</v>
      </c>
      <c r="J88" s="44">
        <f t="shared" si="26"/>
        <v>872069.98148148134</v>
      </c>
      <c r="K88" s="80">
        <f>K87+J88</f>
        <v>117051.29012345616</v>
      </c>
    </row>
    <row r="89" spans="2:11" ht="18" customHeight="1" x14ac:dyDescent="0.3">
      <c r="B89" s="79" t="s">
        <v>48</v>
      </c>
      <c r="C89" s="41">
        <f>-H65</f>
        <v>-1446250</v>
      </c>
      <c r="D89" s="41">
        <f>-H66</f>
        <v>-72169</v>
      </c>
      <c r="E89" s="41">
        <f>H79</f>
        <v>470355.61111111101</v>
      </c>
      <c r="F89" s="44">
        <f t="shared" si="24"/>
        <v>-1048063.388888889</v>
      </c>
      <c r="G89" s="41">
        <f>H78</f>
        <v>1881422.444444444</v>
      </c>
      <c r="H89" s="41">
        <f>H75</f>
        <v>426750</v>
      </c>
      <c r="I89" s="41">
        <f t="shared" si="25"/>
        <v>2308172.444444444</v>
      </c>
      <c r="J89" s="44">
        <f t="shared" si="26"/>
        <v>3356235.833333333</v>
      </c>
      <c r="K89" s="80">
        <f>K88+J89</f>
        <v>3473287.1234567892</v>
      </c>
    </row>
    <row r="90" spans="2:11" ht="18" customHeight="1" thickBot="1" x14ac:dyDescent="0.35">
      <c r="B90" s="81" t="s">
        <v>49</v>
      </c>
      <c r="C90" s="68">
        <f t="shared" ref="C90:D90" si="27">SUM(C84:C89)</f>
        <v>2133750</v>
      </c>
      <c r="D90" s="68">
        <f t="shared" si="27"/>
        <v>0</v>
      </c>
      <c r="E90" s="68">
        <f t="shared" ref="E90:J90" si="28">SUM(E84:E89)</f>
        <v>1213056.2098765429</v>
      </c>
      <c r="F90" s="68">
        <f t="shared" si="28"/>
        <v>3346806.2098765429</v>
      </c>
      <c r="G90" s="68">
        <f t="shared" si="28"/>
        <v>4686343.3333333321</v>
      </c>
      <c r="H90" s="68">
        <f t="shared" si="28"/>
        <v>2133750</v>
      </c>
      <c r="I90" s="68">
        <f t="shared" si="28"/>
        <v>6820093.3333333321</v>
      </c>
      <c r="J90" s="68">
        <f t="shared" si="28"/>
        <v>3473287.1234567892</v>
      </c>
      <c r="K90" s="78">
        <f>K89</f>
        <v>3473287.1234567892</v>
      </c>
    </row>
    <row r="91" spans="2:11" ht="14.4" thickBot="1" x14ac:dyDescent="0.35"/>
    <row r="92" spans="2:11" ht="30" customHeight="1" x14ac:dyDescent="0.3">
      <c r="B92" s="114" t="s">
        <v>117</v>
      </c>
      <c r="C92" s="115"/>
      <c r="D92" s="115"/>
      <c r="E92" s="115"/>
      <c r="F92" s="115"/>
      <c r="G92" s="115"/>
      <c r="H92" s="115"/>
      <c r="I92" s="115"/>
      <c r="J92" s="115"/>
      <c r="K92" s="116"/>
    </row>
    <row r="93" spans="2:11" ht="30" customHeight="1" x14ac:dyDescent="0.3">
      <c r="B93" s="54" t="s">
        <v>78</v>
      </c>
      <c r="C93" s="6" t="s">
        <v>79</v>
      </c>
      <c r="D93" s="6" t="s">
        <v>80</v>
      </c>
      <c r="E93" s="6" t="s">
        <v>114</v>
      </c>
      <c r="F93" s="6" t="s">
        <v>81</v>
      </c>
      <c r="G93" s="6" t="s">
        <v>119</v>
      </c>
      <c r="H93" s="6" t="s">
        <v>82</v>
      </c>
      <c r="I93" s="6" t="s">
        <v>83</v>
      </c>
      <c r="J93" s="6" t="s">
        <v>84</v>
      </c>
      <c r="K93" s="55" t="s">
        <v>85</v>
      </c>
    </row>
    <row r="94" spans="2:11" ht="18" customHeight="1" x14ac:dyDescent="0.3">
      <c r="B94" s="79" t="s">
        <v>54</v>
      </c>
      <c r="C94" s="41">
        <f>J57</f>
        <v>2950000</v>
      </c>
      <c r="D94" s="41">
        <f>J58</f>
        <v>75354</v>
      </c>
      <c r="E94" s="41">
        <f>J79</f>
        <v>0</v>
      </c>
      <c r="F94" s="44">
        <f t="shared" ref="F94:F99" si="29">SUM(C94:E94)</f>
        <v>3025354</v>
      </c>
      <c r="G94" s="41">
        <f>J78</f>
        <v>0</v>
      </c>
      <c r="H94" s="41">
        <f>J75</f>
        <v>0</v>
      </c>
      <c r="I94" s="41">
        <f t="shared" ref="I94:I99" si="30">SUM(G94:H94)</f>
        <v>0</v>
      </c>
      <c r="J94" s="44">
        <f t="shared" ref="J94:J99" si="31">I94-F94</f>
        <v>-3025354</v>
      </c>
      <c r="K94" s="80">
        <f>J94</f>
        <v>-3025354</v>
      </c>
    </row>
    <row r="95" spans="2:11" ht="18" customHeight="1" x14ac:dyDescent="0.3">
      <c r="B95" s="79" t="s">
        <v>44</v>
      </c>
      <c r="C95" s="41">
        <f>K57</f>
        <v>0</v>
      </c>
      <c r="D95" s="41">
        <f>K58</f>
        <v>0</v>
      </c>
      <c r="E95" s="41">
        <f>K79</f>
        <v>0</v>
      </c>
      <c r="F95" s="44">
        <f t="shared" si="29"/>
        <v>0</v>
      </c>
      <c r="G95" s="41">
        <f>K78</f>
        <v>-141093.50617283955</v>
      </c>
      <c r="H95" s="41">
        <f>K75</f>
        <v>363750</v>
      </c>
      <c r="I95" s="41">
        <f t="shared" si="30"/>
        <v>222656.49382716045</v>
      </c>
      <c r="J95" s="44">
        <f t="shared" si="31"/>
        <v>222656.49382716045</v>
      </c>
      <c r="K95" s="80">
        <f>K94+J95</f>
        <v>-2802697.5061728396</v>
      </c>
    </row>
    <row r="96" spans="2:11" ht="18" customHeight="1" x14ac:dyDescent="0.3">
      <c r="B96" s="79" t="s">
        <v>45</v>
      </c>
      <c r="C96" s="41">
        <f>L57</f>
        <v>0</v>
      </c>
      <c r="D96" s="41">
        <f>L58</f>
        <v>0</v>
      </c>
      <c r="E96" s="41">
        <f>L79</f>
        <v>346210.4876543209</v>
      </c>
      <c r="F96" s="44">
        <f t="shared" si="29"/>
        <v>346210.4876543209</v>
      </c>
      <c r="G96" s="41">
        <f>L78</f>
        <v>1384841.9506172836</v>
      </c>
      <c r="H96" s="41">
        <f>L75</f>
        <v>363750</v>
      </c>
      <c r="I96" s="41">
        <f t="shared" si="30"/>
        <v>1748591.9506172836</v>
      </c>
      <c r="J96" s="44">
        <f t="shared" si="31"/>
        <v>1402381.4629629627</v>
      </c>
      <c r="K96" s="80">
        <f>K95+J96</f>
        <v>-1400316.0432098769</v>
      </c>
    </row>
    <row r="97" spans="2:11" ht="18" customHeight="1" x14ac:dyDescent="0.3">
      <c r="B97" s="79" t="s">
        <v>46</v>
      </c>
      <c r="C97" s="41">
        <f>M57</f>
        <v>0</v>
      </c>
      <c r="D97" s="41">
        <f>M58</f>
        <v>0</v>
      </c>
      <c r="E97" s="41">
        <f>M79</f>
        <v>184117.11728395056</v>
      </c>
      <c r="F97" s="44">
        <f t="shared" si="29"/>
        <v>184117.11728395056</v>
      </c>
      <c r="G97" s="41">
        <f>M78</f>
        <v>736468.46913580224</v>
      </c>
      <c r="H97" s="41">
        <f>M75</f>
        <v>363750</v>
      </c>
      <c r="I97" s="41">
        <f t="shared" si="30"/>
        <v>1100218.4691358022</v>
      </c>
      <c r="J97" s="44">
        <f t="shared" si="31"/>
        <v>916101.35185185168</v>
      </c>
      <c r="K97" s="80">
        <f>K96+J97</f>
        <v>-484214.69135802519</v>
      </c>
    </row>
    <row r="98" spans="2:11" x14ac:dyDescent="0.3">
      <c r="B98" s="79" t="s">
        <v>47</v>
      </c>
      <c r="C98" s="41">
        <f>N57</f>
        <v>0</v>
      </c>
      <c r="D98" s="41">
        <f>N58</f>
        <v>0</v>
      </c>
      <c r="E98" s="41">
        <f>N79</f>
        <v>130085.99382716045</v>
      </c>
      <c r="F98" s="44">
        <f t="shared" si="29"/>
        <v>130085.99382716045</v>
      </c>
      <c r="G98" s="41">
        <f>N78</f>
        <v>520343.97530864179</v>
      </c>
      <c r="H98" s="41">
        <f>N75</f>
        <v>363750</v>
      </c>
      <c r="I98" s="41">
        <f t="shared" si="30"/>
        <v>884093.97530864179</v>
      </c>
      <c r="J98" s="44">
        <f t="shared" si="31"/>
        <v>754007.98148148134</v>
      </c>
      <c r="K98" s="80">
        <f>K97+J98</f>
        <v>269793.29012345616</v>
      </c>
    </row>
    <row r="99" spans="2:11" ht="18" customHeight="1" x14ac:dyDescent="0.3">
      <c r="B99" s="79" t="s">
        <v>48</v>
      </c>
      <c r="C99" s="41">
        <f>-O65</f>
        <v>-1131250</v>
      </c>
      <c r="D99" s="41">
        <f>-O66</f>
        <v>-75354</v>
      </c>
      <c r="E99" s="41">
        <f>O79</f>
        <v>410741.61111111101</v>
      </c>
      <c r="F99" s="44">
        <f t="shared" si="29"/>
        <v>-795862.38888888899</v>
      </c>
      <c r="G99" s="41">
        <f>O78</f>
        <v>1642966.444444444</v>
      </c>
      <c r="H99" s="41">
        <f>O75</f>
        <v>363750</v>
      </c>
      <c r="I99" s="41">
        <f t="shared" si="30"/>
        <v>2006716.444444444</v>
      </c>
      <c r="J99" s="44">
        <f t="shared" si="31"/>
        <v>2802578.833333333</v>
      </c>
      <c r="K99" s="80">
        <f>K98+J99</f>
        <v>3072372.1234567892</v>
      </c>
    </row>
    <row r="100" spans="2:11" ht="18" customHeight="1" thickBot="1" x14ac:dyDescent="0.35">
      <c r="B100" s="81" t="s">
        <v>49</v>
      </c>
      <c r="C100" s="68">
        <f t="shared" ref="C100:D100" si="32">SUM(C94:C99)</f>
        <v>1818750</v>
      </c>
      <c r="D100" s="68">
        <f t="shared" si="32"/>
        <v>0</v>
      </c>
      <c r="E100" s="68">
        <f t="shared" ref="E100:J100" si="33">SUM(E94:E99)</f>
        <v>1071155.2098765429</v>
      </c>
      <c r="F100" s="68">
        <f t="shared" si="33"/>
        <v>2889905.2098765429</v>
      </c>
      <c r="G100" s="68">
        <f t="shared" si="33"/>
        <v>4143527.3333333321</v>
      </c>
      <c r="H100" s="68">
        <f t="shared" si="33"/>
        <v>1818750</v>
      </c>
      <c r="I100" s="68">
        <f t="shared" si="33"/>
        <v>5962277.3333333321</v>
      </c>
      <c r="J100" s="68">
        <f t="shared" si="33"/>
        <v>3072372.1234567892</v>
      </c>
      <c r="K100" s="78">
        <f>K99</f>
        <v>3072372.1234567892</v>
      </c>
    </row>
    <row r="101" spans="2:11" ht="14.4" thickBot="1" x14ac:dyDescent="0.35"/>
    <row r="102" spans="2:11" ht="30" customHeight="1" x14ac:dyDescent="0.3">
      <c r="B102" s="117" t="s">
        <v>118</v>
      </c>
      <c r="C102" s="118"/>
      <c r="D102" s="118"/>
      <c r="E102" s="118"/>
      <c r="F102" s="118"/>
      <c r="G102" s="118"/>
      <c r="H102" s="118"/>
      <c r="I102" s="118"/>
      <c r="J102" s="118"/>
      <c r="K102" s="119"/>
    </row>
    <row r="103" spans="2:11" ht="30" customHeight="1" x14ac:dyDescent="0.3">
      <c r="B103" s="54" t="s">
        <v>78</v>
      </c>
      <c r="C103" s="6" t="s">
        <v>79</v>
      </c>
      <c r="D103" s="6" t="s">
        <v>80</v>
      </c>
      <c r="E103" s="6" t="s">
        <v>114</v>
      </c>
      <c r="F103" s="6" t="s">
        <v>81</v>
      </c>
      <c r="G103" s="6" t="s">
        <v>119</v>
      </c>
      <c r="H103" s="6" t="s">
        <v>82</v>
      </c>
      <c r="I103" s="6" t="s">
        <v>83</v>
      </c>
      <c r="J103" s="6" t="s">
        <v>84</v>
      </c>
      <c r="K103" s="55" t="s">
        <v>85</v>
      </c>
    </row>
    <row r="104" spans="2:11" ht="18" customHeight="1" x14ac:dyDescent="0.3">
      <c r="B104" s="79" t="s">
        <v>54</v>
      </c>
      <c r="C104" s="41">
        <f>Q57</f>
        <v>2759050</v>
      </c>
      <c r="D104" s="41">
        <f>Q58</f>
        <v>76890</v>
      </c>
      <c r="E104" s="41">
        <f>Q79</f>
        <v>0</v>
      </c>
      <c r="F104" s="44">
        <f t="shared" ref="F104:F109" si="34">SUM(C104:E104)</f>
        <v>2835940</v>
      </c>
      <c r="G104" s="41">
        <f>Q78</f>
        <v>0</v>
      </c>
      <c r="H104" s="41">
        <f>Q75</f>
        <v>0</v>
      </c>
      <c r="I104" s="41">
        <f t="shared" ref="I104:I109" si="35">SUM(G104:H104)</f>
        <v>0</v>
      </c>
      <c r="J104" s="44">
        <f t="shared" ref="J104:J109" si="36">I104-F104</f>
        <v>-2835940</v>
      </c>
      <c r="K104" s="80">
        <f>J104</f>
        <v>-2835940</v>
      </c>
    </row>
    <row r="105" spans="2:11" ht="18" customHeight="1" x14ac:dyDescent="0.3">
      <c r="B105" s="79" t="s">
        <v>44</v>
      </c>
      <c r="C105" s="41">
        <f>R57</f>
        <v>0</v>
      </c>
      <c r="D105" s="41">
        <f>R58</f>
        <v>0</v>
      </c>
      <c r="E105" s="41">
        <f>R79</f>
        <v>0</v>
      </c>
      <c r="F105" s="44">
        <f t="shared" si="34"/>
        <v>0</v>
      </c>
      <c r="G105" s="41">
        <f>R78</f>
        <v>-140434.50617283955</v>
      </c>
      <c r="H105" s="41">
        <f>R75</f>
        <v>344655</v>
      </c>
      <c r="I105" s="41">
        <f t="shared" si="35"/>
        <v>204220.49382716045</v>
      </c>
      <c r="J105" s="44">
        <f t="shared" si="36"/>
        <v>204220.49382716045</v>
      </c>
      <c r="K105" s="80">
        <f>K104+J105</f>
        <v>-2631719.5061728396</v>
      </c>
    </row>
    <row r="106" spans="2:11" ht="18" customHeight="1" x14ac:dyDescent="0.3">
      <c r="B106" s="79" t="s">
        <v>45</v>
      </c>
      <c r="C106" s="41">
        <f>S57</f>
        <v>0</v>
      </c>
      <c r="D106" s="41">
        <f>S58</f>
        <v>0</v>
      </c>
      <c r="E106" s="41">
        <f>S79</f>
        <v>233775.7376543209</v>
      </c>
      <c r="F106" s="44">
        <f t="shared" si="34"/>
        <v>233775.7376543209</v>
      </c>
      <c r="G106" s="41">
        <f>S78</f>
        <v>1266188.9506172836</v>
      </c>
      <c r="H106" s="41">
        <f>S75</f>
        <v>344655</v>
      </c>
      <c r="I106" s="41">
        <f t="shared" si="35"/>
        <v>1610843.9506172836</v>
      </c>
      <c r="J106" s="44">
        <f t="shared" si="36"/>
        <v>1377068.2129629627</v>
      </c>
      <c r="K106" s="80">
        <f>K105+J106</f>
        <v>-1254651.2932098769</v>
      </c>
    </row>
    <row r="107" spans="2:11" ht="18" customHeight="1" x14ac:dyDescent="0.3">
      <c r="B107" s="79" t="s">
        <v>46</v>
      </c>
      <c r="C107" s="41">
        <f>T57</f>
        <v>0</v>
      </c>
      <c r="D107" s="41">
        <f>T58</f>
        <v>0</v>
      </c>
      <c r="E107" s="41">
        <f>T79</f>
        <v>84048.36728395056</v>
      </c>
      <c r="F107" s="44">
        <f t="shared" si="34"/>
        <v>84048.36728395056</v>
      </c>
      <c r="G107" s="41">
        <f>T78</f>
        <v>667279.46913580224</v>
      </c>
      <c r="H107" s="41">
        <f>T75</f>
        <v>344655</v>
      </c>
      <c r="I107" s="41">
        <f t="shared" si="35"/>
        <v>1011934.4691358022</v>
      </c>
      <c r="J107" s="44">
        <f t="shared" si="36"/>
        <v>927886.10185185168</v>
      </c>
      <c r="K107" s="80">
        <f>K106+J107</f>
        <v>-326765.19135802519</v>
      </c>
    </row>
    <row r="108" spans="2:11" x14ac:dyDescent="0.3">
      <c r="B108" s="79" t="s">
        <v>47</v>
      </c>
      <c r="C108" s="41">
        <f>U57</f>
        <v>0</v>
      </c>
      <c r="D108" s="41">
        <f>U58</f>
        <v>0</v>
      </c>
      <c r="E108" s="41">
        <f>U79</f>
        <v>34139.243827160448</v>
      </c>
      <c r="F108" s="44">
        <f t="shared" si="34"/>
        <v>34139.243827160448</v>
      </c>
      <c r="G108" s="41">
        <f>U78</f>
        <v>467642.97530864179</v>
      </c>
      <c r="H108" s="41">
        <f>U75</f>
        <v>344655</v>
      </c>
      <c r="I108" s="41">
        <f t="shared" si="35"/>
        <v>812297.97530864179</v>
      </c>
      <c r="J108" s="44">
        <f t="shared" si="36"/>
        <v>778158.73148148134</v>
      </c>
      <c r="K108" s="80">
        <f>K107+J108</f>
        <v>451393.54012345616</v>
      </c>
    </row>
    <row r="109" spans="2:11" ht="18" customHeight="1" x14ac:dyDescent="0.3">
      <c r="B109" s="79" t="s">
        <v>48</v>
      </c>
      <c r="C109" s="41">
        <f>-V65</f>
        <v>-1035775</v>
      </c>
      <c r="D109" s="41">
        <f>-V66</f>
        <v>-76890</v>
      </c>
      <c r="E109" s="41">
        <f>V79</f>
        <v>289594.86111111101</v>
      </c>
      <c r="F109" s="44">
        <f t="shared" si="34"/>
        <v>-823070.13888888899</v>
      </c>
      <c r="G109" s="41">
        <f>V78</f>
        <v>1489465.444444444</v>
      </c>
      <c r="H109" s="41">
        <f>V75</f>
        <v>344655</v>
      </c>
      <c r="I109" s="41">
        <f t="shared" si="35"/>
        <v>1834120.444444444</v>
      </c>
      <c r="J109" s="44">
        <f t="shared" si="36"/>
        <v>2657190.583333333</v>
      </c>
      <c r="K109" s="80">
        <f>K108+J109</f>
        <v>3108584.1234567892</v>
      </c>
    </row>
    <row r="110" spans="2:11" ht="18" customHeight="1" thickBot="1" x14ac:dyDescent="0.35">
      <c r="B110" s="81" t="s">
        <v>49</v>
      </c>
      <c r="C110" s="68">
        <f t="shared" ref="C110:D110" si="37">SUM(C104:C109)</f>
        <v>1723275</v>
      </c>
      <c r="D110" s="68">
        <f t="shared" si="37"/>
        <v>0</v>
      </c>
      <c r="E110" s="68">
        <f t="shared" ref="E110:J110" si="38">SUM(E104:E109)</f>
        <v>641558.20987654291</v>
      </c>
      <c r="F110" s="68">
        <f t="shared" si="38"/>
        <v>2364833.2098765429</v>
      </c>
      <c r="G110" s="68">
        <f t="shared" si="38"/>
        <v>3750142.3333333321</v>
      </c>
      <c r="H110" s="68">
        <f t="shared" si="38"/>
        <v>1723275</v>
      </c>
      <c r="I110" s="68">
        <f t="shared" si="38"/>
        <v>5473417.3333333321</v>
      </c>
      <c r="J110" s="68">
        <f t="shared" si="38"/>
        <v>3108584.1234567892</v>
      </c>
      <c r="K110" s="78">
        <f>K109</f>
        <v>3108584.1234567892</v>
      </c>
    </row>
    <row r="111" spans="2:11" ht="14.4" thickBot="1" x14ac:dyDescent="0.35"/>
    <row r="112" spans="2:11" ht="27" customHeight="1" x14ac:dyDescent="0.3">
      <c r="B112" s="82" t="s">
        <v>86</v>
      </c>
      <c r="C112" s="83" t="s">
        <v>1</v>
      </c>
      <c r="D112" s="84" t="s">
        <v>2</v>
      </c>
      <c r="E112" s="85" t="s">
        <v>3</v>
      </c>
    </row>
    <row r="113" spans="2:5" ht="27" customHeight="1" x14ac:dyDescent="0.3">
      <c r="B113" s="86" t="s">
        <v>87</v>
      </c>
      <c r="C113" s="44">
        <f>NPV(9%,J84:J89)</f>
        <v>1405668.7610796627</v>
      </c>
      <c r="D113" s="44">
        <f>NPV(9%,J94:J99)</f>
        <v>1304876.1217756742</v>
      </c>
      <c r="E113" s="80">
        <f>NPV(9%,J104:J109)</f>
        <v>1380941.4291163599</v>
      </c>
    </row>
    <row r="114" spans="2:5" ht="27" customHeight="1" x14ac:dyDescent="0.3">
      <c r="B114" s="86" t="s">
        <v>88</v>
      </c>
      <c r="C114" s="51">
        <f>IRR(J84:J89)</f>
        <v>0.20417893222458061</v>
      </c>
      <c r="D114" s="51">
        <f>IRR(J94:J99)</f>
        <v>0.21774213362880235</v>
      </c>
      <c r="E114" s="87">
        <f>IRR(J104:J109)</f>
        <v>0.23294437479012231</v>
      </c>
    </row>
    <row r="115" spans="2:5" ht="27" customHeight="1" thickBot="1" x14ac:dyDescent="0.35">
      <c r="B115" s="88" t="s">
        <v>89</v>
      </c>
      <c r="C115" s="89">
        <f>K89</f>
        <v>3473287.1234567892</v>
      </c>
      <c r="D115" s="89">
        <f>K100</f>
        <v>3072372.1234567892</v>
      </c>
      <c r="E115" s="90">
        <f>K110</f>
        <v>3108584.1234567892</v>
      </c>
    </row>
    <row r="117" spans="2:5" x14ac:dyDescent="0.3">
      <c r="C117" s="52"/>
      <c r="D117" s="52"/>
      <c r="E117" s="52"/>
    </row>
    <row r="118" spans="2:5" x14ac:dyDescent="0.3">
      <c r="D118" s="53"/>
    </row>
  </sheetData>
  <mergeCells count="16">
    <mergeCell ref="B82:K82"/>
    <mergeCell ref="B92:K92"/>
    <mergeCell ref="B102:K102"/>
    <mergeCell ref="F44:K44"/>
    <mergeCell ref="F45:M45"/>
    <mergeCell ref="C54:I54"/>
    <mergeCell ref="J54:P54"/>
    <mergeCell ref="Q54:W54"/>
    <mergeCell ref="C47:I47"/>
    <mergeCell ref="J47:P47"/>
    <mergeCell ref="Q47:W47"/>
    <mergeCell ref="C33:E33"/>
    <mergeCell ref="F33:H33"/>
    <mergeCell ref="I33:K33"/>
    <mergeCell ref="F41:J41"/>
    <mergeCell ref="F40:K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showGridLines="0" tabSelected="1" topLeftCell="A12" zoomScale="85" zoomScaleNormal="85" workbookViewId="0">
      <selection activeCell="C13" sqref="C13"/>
    </sheetView>
  </sheetViews>
  <sheetFormatPr baseColWidth="10" defaultColWidth="8.6640625" defaultRowHeight="14.4" x14ac:dyDescent="0.3"/>
  <cols>
    <col min="1" max="1" width="44" style="5" customWidth="1"/>
    <col min="2" max="2" width="14" style="5" customWidth="1"/>
    <col min="3" max="5" width="16" style="5" customWidth="1"/>
    <col min="6" max="6" width="38.44140625" style="5" customWidth="1"/>
    <col min="7" max="9" width="8.6640625" style="5"/>
    <col min="10" max="11" width="11.77734375" style="5" customWidth="1"/>
    <col min="12" max="16384" width="8.6640625" style="5"/>
  </cols>
  <sheetData>
    <row r="1" spans="1:11" ht="21.75" customHeight="1" x14ac:dyDescent="0.3">
      <c r="A1" s="124" t="s">
        <v>90</v>
      </c>
      <c r="B1" s="124"/>
      <c r="C1" s="124"/>
      <c r="D1" s="124"/>
      <c r="E1" s="124"/>
      <c r="F1" s="124"/>
    </row>
    <row r="2" spans="1:11" ht="21.75" customHeight="1" x14ac:dyDescent="0.3">
      <c r="A2" s="125" t="s">
        <v>91</v>
      </c>
      <c r="B2" s="125"/>
      <c r="C2" s="125"/>
      <c r="D2" s="125"/>
      <c r="E2" s="125"/>
      <c r="F2" s="125"/>
    </row>
    <row r="3" spans="1:11" ht="21.75" customHeight="1" x14ac:dyDescent="0.3">
      <c r="A3" s="6" t="s">
        <v>92</v>
      </c>
      <c r="B3" s="6" t="s">
        <v>93</v>
      </c>
      <c r="C3" s="23" t="s">
        <v>1</v>
      </c>
      <c r="D3" s="24" t="s">
        <v>2</v>
      </c>
      <c r="E3" s="25" t="s">
        <v>3</v>
      </c>
      <c r="J3" s="122"/>
      <c r="K3" s="122"/>
    </row>
    <row r="4" spans="1:11" ht="21.75" customHeight="1" x14ac:dyDescent="0.3">
      <c r="A4" s="14" t="s">
        <v>122</v>
      </c>
      <c r="B4" s="14"/>
      <c r="C4" s="14"/>
      <c r="D4" s="14"/>
      <c r="E4" s="14"/>
      <c r="J4" s="122"/>
      <c r="K4" s="122"/>
    </row>
    <row r="5" spans="1:11" ht="21.75" customHeight="1" x14ac:dyDescent="0.3">
      <c r="A5" s="7" t="s">
        <v>87</v>
      </c>
      <c r="B5" s="8">
        <v>0.15</v>
      </c>
      <c r="C5" s="9">
        <f>Análisis!C113</f>
        <v>1405668.7610796627</v>
      </c>
      <c r="D5" s="9">
        <f>Análisis!D113</f>
        <v>1304876.1217756742</v>
      </c>
      <c r="E5" s="9">
        <f>Análisis!E113</f>
        <v>1380941.4291163599</v>
      </c>
      <c r="J5" s="122"/>
      <c r="K5" s="122"/>
    </row>
    <row r="6" spans="1:11" ht="21.75" customHeight="1" x14ac:dyDescent="0.3">
      <c r="A6" s="7" t="s">
        <v>94</v>
      </c>
      <c r="B6" s="8">
        <v>0.3</v>
      </c>
      <c r="C6" s="9">
        <f>Análisis!I70</f>
        <v>696924</v>
      </c>
      <c r="D6" s="9">
        <f>Análisis!P70</f>
        <v>1519560</v>
      </c>
      <c r="E6" s="9">
        <f>Análisis!W70</f>
        <v>1757376</v>
      </c>
      <c r="J6" s="122"/>
      <c r="K6" s="122"/>
    </row>
    <row r="7" spans="1:11" ht="21.75" customHeight="1" x14ac:dyDescent="0.3">
      <c r="A7" s="7" t="s">
        <v>95</v>
      </c>
      <c r="B7" s="8">
        <v>0.25</v>
      </c>
      <c r="C7" s="9">
        <f>Análisis!I74</f>
        <v>229296</v>
      </c>
      <c r="D7" s="9">
        <f>Análisis!P74</f>
        <v>264476</v>
      </c>
      <c r="E7" s="9">
        <f>Análisis!W74</f>
        <v>515520</v>
      </c>
      <c r="J7" s="122"/>
      <c r="K7" s="122"/>
    </row>
    <row r="8" spans="1:11" ht="21.75" customHeight="1" x14ac:dyDescent="0.3">
      <c r="A8" s="7" t="s">
        <v>89</v>
      </c>
      <c r="B8" s="8">
        <v>0.1</v>
      </c>
      <c r="C8" s="9">
        <f>Análisis!C115</f>
        <v>3473287.1234567892</v>
      </c>
      <c r="D8" s="9">
        <f>Análisis!D115</f>
        <v>3072372.1234567892</v>
      </c>
      <c r="E8" s="9">
        <f>Análisis!E115</f>
        <v>3108584.1234567892</v>
      </c>
      <c r="J8" s="122"/>
      <c r="K8" s="122"/>
    </row>
    <row r="9" spans="1:11" ht="21.75" customHeight="1" x14ac:dyDescent="0.3">
      <c r="A9" s="7" t="s">
        <v>113</v>
      </c>
      <c r="B9" s="8">
        <v>0.1</v>
      </c>
      <c r="C9" s="9">
        <f>Análisis!E90</f>
        <v>1213056.2098765429</v>
      </c>
      <c r="D9" s="9">
        <f>Análisis!E100</f>
        <v>1071155.2098765429</v>
      </c>
      <c r="E9" s="9">
        <f>Análisis!E110</f>
        <v>641558.20987654291</v>
      </c>
      <c r="J9" s="122"/>
      <c r="K9" s="122"/>
    </row>
    <row r="10" spans="1:11" ht="21.75" customHeight="1" x14ac:dyDescent="0.3">
      <c r="A10" s="14" t="s">
        <v>123</v>
      </c>
      <c r="B10" s="14"/>
      <c r="C10" s="14"/>
      <c r="D10" s="14"/>
      <c r="E10" s="14"/>
      <c r="J10" s="122"/>
      <c r="K10" s="122"/>
    </row>
    <row r="11" spans="1:11" ht="25.8" customHeight="1" x14ac:dyDescent="0.3">
      <c r="A11" s="7" t="s">
        <v>96</v>
      </c>
      <c r="B11" s="8">
        <v>0.05</v>
      </c>
      <c r="C11" s="93">
        <v>8</v>
      </c>
      <c r="D11" s="93">
        <v>5</v>
      </c>
      <c r="E11" s="93">
        <v>4</v>
      </c>
      <c r="F11" s="94" t="s">
        <v>126</v>
      </c>
      <c r="J11" s="122"/>
      <c r="K11" s="122"/>
    </row>
    <row r="12" spans="1:11" ht="25.8" customHeight="1" x14ac:dyDescent="0.3">
      <c r="A12" s="7" t="s">
        <v>97</v>
      </c>
      <c r="B12" s="8">
        <v>0.05</v>
      </c>
      <c r="C12" s="93">
        <v>4</v>
      </c>
      <c r="D12" s="93">
        <v>9</v>
      </c>
      <c r="E12" s="93">
        <v>7</v>
      </c>
      <c r="F12" s="94" t="s">
        <v>126</v>
      </c>
      <c r="J12" s="122"/>
      <c r="K12" s="122"/>
    </row>
    <row r="13" spans="1:11" x14ac:dyDescent="0.3">
      <c r="J13" s="122"/>
      <c r="K13" s="122"/>
    </row>
    <row r="14" spans="1:11" ht="21.75" customHeight="1" x14ac:dyDescent="0.3">
      <c r="A14" s="126" t="s">
        <v>124</v>
      </c>
      <c r="B14" s="126"/>
      <c r="C14" s="126"/>
      <c r="D14" s="126"/>
      <c r="E14" s="126"/>
      <c r="F14" s="126"/>
      <c r="J14" s="122"/>
      <c r="K14" s="122"/>
    </row>
    <row r="15" spans="1:11" ht="21.75" customHeight="1" x14ac:dyDescent="0.3">
      <c r="A15" s="6" t="s">
        <v>92</v>
      </c>
      <c r="B15" s="6" t="s">
        <v>98</v>
      </c>
      <c r="C15" s="23" t="s">
        <v>1</v>
      </c>
      <c r="D15" s="24" t="s">
        <v>2</v>
      </c>
      <c r="E15" s="25" t="s">
        <v>3</v>
      </c>
      <c r="F15" s="6" t="s">
        <v>99</v>
      </c>
      <c r="J15" s="122"/>
      <c r="K15" s="122"/>
    </row>
    <row r="16" spans="1:11" ht="21.75" customHeight="1" x14ac:dyDescent="0.3">
      <c r="A16" s="7" t="s">
        <v>100</v>
      </c>
      <c r="B16" s="8">
        <f>B5</f>
        <v>0.15</v>
      </c>
      <c r="C16" s="13">
        <f>IF(MAX(C5,D5,E5)=0,0,C5/MAX(C5,D5,E5))</f>
        <v>1</v>
      </c>
      <c r="D16" s="13">
        <f>IF(MAX(C5,D5,E5)=0,0,D5/MAX(C5,D5,E5))</f>
        <v>0.92829559701776965</v>
      </c>
      <c r="E16" s="13">
        <f>IF(MAX(C5,D5,E5)=0,0,E5/MAX(C5,D5,E5))</f>
        <v>0.98240884862212463</v>
      </c>
      <c r="F16" s="12" t="s">
        <v>101</v>
      </c>
      <c r="J16" s="122"/>
      <c r="K16" s="122"/>
    </row>
    <row r="17" spans="1:11" ht="21.75" customHeight="1" x14ac:dyDescent="0.3">
      <c r="A17" s="7" t="s">
        <v>94</v>
      </c>
      <c r="B17" s="8">
        <f>B6</f>
        <v>0.3</v>
      </c>
      <c r="C17" s="13">
        <f>IF(C6=0,0,MIN(C6,D6,E6)/C6)</f>
        <v>1</v>
      </c>
      <c r="D17" s="13">
        <f>IF(D6=0,0,MIN(C6,D6,E6)/D6)</f>
        <v>0.45863539445628998</v>
      </c>
      <c r="E17" s="13">
        <f>IF(E6=0,0,MIN(C6,D6,E6)/E6)</f>
        <v>0.39657079646017701</v>
      </c>
      <c r="F17" s="12" t="s">
        <v>102</v>
      </c>
      <c r="J17" s="122"/>
      <c r="K17" s="122"/>
    </row>
    <row r="18" spans="1:11" ht="21.75" customHeight="1" x14ac:dyDescent="0.3">
      <c r="A18" s="7" t="s">
        <v>95</v>
      </c>
      <c r="B18" s="8">
        <f>B7</f>
        <v>0.25</v>
      </c>
      <c r="C18" s="13">
        <f>IF(C7=0,0,MIN(C7,D7,E7)/C7)</f>
        <v>1</v>
      </c>
      <c r="D18" s="13">
        <f>IF(D7=0,0,MIN(C7,D7,E7)/D7)</f>
        <v>0.86698225925981942</v>
      </c>
      <c r="E18" s="13">
        <f>IF(E7=0,0,MIN(C7,D7,E7)/E7)</f>
        <v>0.4447858472998138</v>
      </c>
      <c r="F18" s="12" t="s">
        <v>102</v>
      </c>
      <c r="J18" s="122"/>
      <c r="K18" s="122"/>
    </row>
    <row r="19" spans="1:11" ht="21.75" customHeight="1" x14ac:dyDescent="0.3">
      <c r="A19" s="7" t="s">
        <v>89</v>
      </c>
      <c r="B19" s="8">
        <f>B8</f>
        <v>0.1</v>
      </c>
      <c r="C19" s="13">
        <f>IF(MAX(C8,D8,E8)=0,0,C8/MAX(C8,D8,E8))</f>
        <v>1</v>
      </c>
      <c r="D19" s="13">
        <f>IF(MAX(C8,D8,E8)=0,0,D8/MAX(C8,D8,E8))</f>
        <v>0.88457188082942328</v>
      </c>
      <c r="E19" s="13">
        <f>IF(MAX(C8,D8,E8)=0,0,E8/MAX(C8,D8,E8))</f>
        <v>0.89499773930666882</v>
      </c>
      <c r="F19" s="12" t="s">
        <v>101</v>
      </c>
      <c r="J19" s="122"/>
      <c r="K19" s="122"/>
    </row>
    <row r="20" spans="1:11" ht="21.75" customHeight="1" x14ac:dyDescent="0.3">
      <c r="A20" s="7" t="s">
        <v>113</v>
      </c>
      <c r="B20" s="8">
        <f>B9</f>
        <v>0.1</v>
      </c>
      <c r="C20" s="13">
        <f>IF(C9=0,0,MIN(C9,D9,E9)/C9)</f>
        <v>0.52887756119878127</v>
      </c>
      <c r="D20" s="13">
        <f>IF(D9=0,0,MIN(C9,D9,E9)/D9)</f>
        <v>0.59894047469599332</v>
      </c>
      <c r="E20" s="13">
        <f>IF(E9=0,0,MIN(C9,D9,E9)/E9)</f>
        <v>1</v>
      </c>
      <c r="F20" s="12" t="s">
        <v>102</v>
      </c>
      <c r="J20" s="122"/>
      <c r="K20" s="122"/>
    </row>
    <row r="21" spans="1:11" ht="21.75" customHeight="1" x14ac:dyDescent="0.3">
      <c r="A21" s="7" t="s">
        <v>96</v>
      </c>
      <c r="B21" s="8">
        <f>B11</f>
        <v>0.05</v>
      </c>
      <c r="C21" s="13">
        <f>IF(MAX(C11,D11,E11)=0,0,C11/MAX(C11,D11,E11))</f>
        <v>1</v>
      </c>
      <c r="D21" s="13">
        <f>IF(MAX(C11,D11,E11)=0,0,D11/MAX(C11,D11,E11))</f>
        <v>0.625</v>
      </c>
      <c r="E21" s="13">
        <f>IF(MAX(C11,D11,E11)=0,0,E11/MAX(C11,D11,E11))</f>
        <v>0.5</v>
      </c>
      <c r="F21" s="12" t="s">
        <v>101</v>
      </c>
      <c r="J21" s="122"/>
      <c r="K21" s="122"/>
    </row>
    <row r="22" spans="1:11" ht="21.75" customHeight="1" x14ac:dyDescent="0.3">
      <c r="A22" s="7" t="s">
        <v>97</v>
      </c>
      <c r="B22" s="8">
        <f>B12</f>
        <v>0.05</v>
      </c>
      <c r="C22" s="13">
        <f>IF(MAX(C12,D12,E12)=0,0,C12/MAX(C12,D12,E12))</f>
        <v>0.44444444444444442</v>
      </c>
      <c r="D22" s="13">
        <f>IF(MAX(C12,D12,E12)=0,0,D12/MAX(C12,D12,E12))</f>
        <v>1</v>
      </c>
      <c r="E22" s="13">
        <f>IF(MAX(C12,D12,E12)=0,0,E12/MAX(C12,D12,E12))</f>
        <v>0.77777777777777779</v>
      </c>
      <c r="F22" s="12" t="s">
        <v>101</v>
      </c>
      <c r="J22" s="122"/>
      <c r="K22" s="122"/>
    </row>
    <row r="24" spans="1:11" ht="30" customHeight="1" x14ac:dyDescent="0.3">
      <c r="A24" s="14" t="s">
        <v>103</v>
      </c>
      <c r="B24" s="14"/>
      <c r="C24" s="14"/>
    </row>
    <row r="25" spans="1:11" ht="30" customHeight="1" x14ac:dyDescent="0.3">
      <c r="A25" s="6" t="s">
        <v>104</v>
      </c>
      <c r="B25" s="6" t="s">
        <v>105</v>
      </c>
      <c r="C25" s="6" t="s">
        <v>106</v>
      </c>
    </row>
    <row r="26" spans="1:11" ht="30" customHeight="1" x14ac:dyDescent="0.3">
      <c r="A26" s="1" t="s">
        <v>1</v>
      </c>
      <c r="B26" s="15">
        <f>SUMPRODUCT(B16:B22,C16:C22)</f>
        <v>0.9251099783421004</v>
      </c>
      <c r="C26" s="16" t="s">
        <v>107</v>
      </c>
    </row>
    <row r="27" spans="1:11" ht="30" customHeight="1" x14ac:dyDescent="0.3">
      <c r="A27" s="2" t="s">
        <v>2</v>
      </c>
      <c r="B27" s="17">
        <f>SUMPRODUCT(B16:B22,D16:D22)</f>
        <v>0.723181758257049</v>
      </c>
      <c r="C27" s="18" t="s">
        <v>108</v>
      </c>
    </row>
    <row r="28" spans="1:11" ht="30" customHeight="1" x14ac:dyDescent="0.3">
      <c r="A28" s="3" t="s">
        <v>3</v>
      </c>
      <c r="B28" s="19">
        <f>SUMPRODUCT(B16:B22,E16:E22)</f>
        <v>0.63091769087588101</v>
      </c>
      <c r="C28" s="20" t="s">
        <v>109</v>
      </c>
    </row>
    <row r="30" spans="1:11" ht="21.75" customHeight="1" x14ac:dyDescent="0.3">
      <c r="A30" s="123" t="s">
        <v>110</v>
      </c>
      <c r="B30" s="123"/>
      <c r="C30" s="123"/>
      <c r="D30" s="123"/>
      <c r="E30" s="123"/>
      <c r="F30" s="123"/>
    </row>
  </sheetData>
  <mergeCells count="6">
    <mergeCell ref="J3:J22"/>
    <mergeCell ref="K3:K22"/>
    <mergeCell ref="A30:F30"/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</vt:lpstr>
      <vt:lpstr>Ponderación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Albarracin, Mateo</cp:lastModifiedBy>
  <cp:revision>0</cp:revision>
  <dcterms:created xsi:type="dcterms:W3CDTF">2026-05-13T23:54:14Z</dcterms:created>
  <dcterms:modified xsi:type="dcterms:W3CDTF">2026-05-21T14:48:50Z</dcterms:modified>
  <dc:language>en-US</dc:language>
</cp:coreProperties>
</file>