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Resumen Ejecutivo" sheetId="1" r:id="rId4"/>
    <sheet state="visible" name="2. PCP - Programa &amp; Lotes" sheetId="2" r:id="rId5"/>
    <sheet state="visible" name="3. Cuantificación Frecuencias" sheetId="3" r:id="rId6"/>
    <sheet state="visible" name="4. Dimensionamiento Stocks" sheetId="4" r:id="rId7"/>
    <sheet state="visible" name="5. Desde-Hasta (Viajes)" sheetId="5" r:id="rId8"/>
    <sheet state="visible" name="6. Desde-Hasta (Flujo Masa)" sheetId="6" r:id="rId9"/>
    <sheet state="visible" name="7. Carga-Distancia &amp; Horas" sheetId="7" r:id="rId10"/>
  </sheets>
  <definedNames/>
  <calcPr/>
  <extLst>
    <ext uri="GoogleSheetsCustomDataVersion2">
      <go:sheetsCustomData xmlns:go="http://customooxmlschemas.google.com/" r:id="rId11" roundtripDataChecksum="roTNEdyRHF5jec05wAvmJD4WMLpnlaLoga3S/CyU2x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======
ID#AAACFMzzLd8
JoaquÍn Carrizo    (2026-09-05 03:37:46)
de donde salian los 300kg?
------
ID#AAACFM0AkRk
Santiago Greco    (2026-09-05 09:51:51)
Validar con la ing</t>
      </text>
    </comment>
    <comment authorId="0" ref="H17">
      <text>
        <t xml:space="preserve">======
ID#AAACGS-_DkI
Mateo AlbarracÍn    (2026-09-01 00:31:48)
Ponderado x % panes</t>
      </text>
    </comment>
  </commentList>
  <extLst>
    <ext uri="GoogleSheetsCustomDataVersion2">
      <go:sheetsCustomData xmlns:go="http://customooxmlschemas.google.com/" r:id="rId1" roundtripDataSignature="AMtx7mgJ7n5sirj+Nr8ZvVQSW0PPmXp8bQ=="/>
    </ext>
  </extLst>
</comments>
</file>

<file path=xl/sharedStrings.xml><?xml version="1.0" encoding="utf-8"?>
<sst xmlns="http://schemas.openxmlformats.org/spreadsheetml/2006/main" count="717" uniqueCount="435">
  <si>
    <t>PLANTA DE ALIMENTOS LIBRES DE GLUTEN (CELI)</t>
  </si>
  <si>
    <t>PLANEAMIENTO Y CONTROL DE PRODUCCIÓN (PCP) - AÑO 10 (HOJA MAESTRA)</t>
  </si>
  <si>
    <t>DIMENSIONAMIENTO DE ALMACENES Y STOCKS (PCP -&gt; LAYOUT)</t>
  </si>
  <si>
    <t>Desglose por SKU, Programa Maestro (MPS), Batches de Producción y Régimen de Turnos</t>
  </si>
  <si>
    <t>Proyecto Final de Ingeniería Industrial - UTN FRBA | Articulación Dinámica PCP vs. Layout</t>
  </si>
  <si>
    <t>Cálculo de Posiciones de Racks, Superficies de Depósitos (MP y PT) y Pulmones Intermedios (WIP)</t>
  </si>
  <si>
    <t>REFERENCIA DE FORMATO:</t>
  </si>
  <si>
    <t>Parámetro Configurable (Modificable)</t>
  </si>
  <si>
    <t>Fórmula Automática / Vinculada</t>
  </si>
  <si>
    <t>CUANTIFICACIÓN FINA DE FRECUENCIAS, VELOCIDADES Y TIEMPOS DE TRASLADO</t>
  </si>
  <si>
    <t>1. OBJETIVO DEL ESTUDIO TÉCNICO-LOGÍSTICO</t>
  </si>
  <si>
    <t>1. DESGLOSE DE PRODUCCIÓN POR PRODUCTO (MIX DE VENTAS AÑO 10)</t>
  </si>
  <si>
    <t>Parámetro de Dimensionamiento</t>
  </si>
  <si>
    <t>El presente modelo articula los datos maestros de Planeamiento y Control de la Producción (PCP), balance de masa (BOM) y dimensionamiento de equipos al Año 10 con la distribución en planta (Layout).</t>
  </si>
  <si>
    <t>Valor / Fórmula</t>
  </si>
  <si>
    <t>Unidad</t>
  </si>
  <si>
    <t>Criterio Técnico / Normativa</t>
  </si>
  <si>
    <t>Desglose Operativo por Tramo, Medios de Manutención, Peso, Velocidad y Horas de Transporte por Turno</t>
  </si>
  <si>
    <t>Línea</t>
  </si>
  <si>
    <t>Todas las hojas se encuentran 100% vinculadas dinámicamente: cualquier modificación en la demanda, baches o rendimientos del PCP impacta de forma automática en los stocks, frecuencias y horas de traslado del layout.</t>
  </si>
  <si>
    <t>Cód.</t>
  </si>
  <si>
    <t>Denominación del Producto</t>
  </si>
  <si>
    <t>Present.</t>
  </si>
  <si>
    <t>PT Anual (kg)</t>
  </si>
  <si>
    <t>% Mix</t>
  </si>
  <si>
    <t>PT Mensual (kg)</t>
  </si>
  <si>
    <t>Salida semanal de Galletitas (PT)</t>
  </si>
  <si>
    <t>PT Diario (kg)</t>
  </si>
  <si>
    <t>PT Turno (kg)</t>
  </si>
  <si>
    <t>Cajas / Turno</t>
  </si>
  <si>
    <t>Pallets / Sem</t>
  </si>
  <si>
    <t>Frecuencia / Campaña</t>
  </si>
  <si>
    <t>Línea A - Galletitas</t>
  </si>
  <si>
    <t>2. INDICADORES MAESTROS DE PLANTA (VINCULADOS AL PCP Y LAYOUT)</t>
  </si>
  <si>
    <t>A001</t>
  </si>
  <si>
    <t>Chocolate con chips picante</t>
  </si>
  <si>
    <t>150g</t>
  </si>
  <si>
    <t>PRODUCCIÓN TOTAL AÑO 10</t>
  </si>
  <si>
    <t>RÉGIMEN OPERATIVO</t>
  </si>
  <si>
    <t>SALIDA POR TURNO</t>
  </si>
  <si>
    <t>N° Tramo</t>
  </si>
  <si>
    <t>Origen</t>
  </si>
  <si>
    <t>Destino</t>
  </si>
  <si>
    <t>pallets / sem</t>
  </si>
  <si>
    <t>Material / Carga Transportada</t>
  </si>
  <si>
    <t>Medio de Transporte</t>
  </si>
  <si>
    <t>Peso por Viaje (kg)</t>
  </si>
  <si>
    <t>Vinculado a PCP: Pallets/turno Galletitas * 15 turnos</t>
  </si>
  <si>
    <t>Frecuencia f (viajes/turno)</t>
  </si>
  <si>
    <t>Flujo Masa (kg/turno)</t>
  </si>
  <si>
    <t>Distancia d (m)</t>
  </si>
  <si>
    <t>Velocidad v (m/min)</t>
  </si>
  <si>
    <t>Tiempo Maniobra (min)</t>
  </si>
  <si>
    <t>Salida semanal de Panificados (PT)</t>
  </si>
  <si>
    <t>Tiempo por Ciclo (min)</t>
  </si>
  <si>
    <t>Horas Traslado (hs/turno)</t>
  </si>
  <si>
    <t>Esfuerzo Carga-Dist (kg·m/turno)</t>
  </si>
  <si>
    <t>239 días / 3 turnos</t>
  </si>
  <si>
    <t>TR-01</t>
  </si>
  <si>
    <t>Vinculado a PCP: Pallets/turno Panificados * 15 turnos</t>
  </si>
  <si>
    <t>1. Depósito MP</t>
  </si>
  <si>
    <t>2. Sección Pesado</t>
  </si>
  <si>
    <t>Bolsas harinas, féculas, azúcar, aditivos</t>
  </si>
  <si>
    <t>Total de Pallets generados por semana</t>
  </si>
  <si>
    <t>Zorra hidráulica HELI BF25</t>
  </si>
  <si>
    <t>Flujo total a absorber por el depósito PT</t>
  </si>
  <si>
    <t>Política de Cobertura de Stock PT</t>
  </si>
  <si>
    <t>kg PT / año | Línea A: Galletitas | Línea B: Panificados</t>
  </si>
  <si>
    <t>días hábiles</t>
  </si>
  <si>
    <t>Equivale a 2 semanas de producción a régimen (Fundamentado por SLA 98% y ciclo)</t>
  </si>
  <si>
    <t>5.736 hs activas/año (15 turnos/sem)</t>
  </si>
  <si>
    <t>Campaña quincenal (8-9 turnos/mes)</t>
  </si>
  <si>
    <t>kg PT / turno | Promedio ponderado total planta</t>
  </si>
  <si>
    <t>A002</t>
  </si>
  <si>
    <t>Galletitas símil chocolinas free</t>
  </si>
  <si>
    <t>Capacidad de Almacenamiento Requerida (PT)</t>
  </si>
  <si>
    <t>PALLETS A EXPEDICIÓN</t>
  </si>
  <si>
    <t>POLÍTICA DE STOCK PT</t>
  </si>
  <si>
    <t>HORAS TRASLADO / TURNO</t>
  </si>
  <si>
    <t>Campaña quincenal (1-2 turnos/mes)</t>
  </si>
  <si>
    <t>posiciones pallet</t>
  </si>
  <si>
    <t>Stock Máximo = Pallets/sem * Semanas de cobertura</t>
  </si>
  <si>
    <t>A003</t>
  </si>
  <si>
    <t>Galletitas símil chocolinas</t>
  </si>
  <si>
    <t>Tipo de Pallet Normalizado</t>
  </si>
  <si>
    <t>Arlog (1.200 x 1.000 mm)</t>
  </si>
  <si>
    <t>-</t>
  </si>
  <si>
    <t>Altura máxima con carga estibada: 1,85 m</t>
  </si>
  <si>
    <t>Campaña quincenal (2-3 turnos/mes)</t>
  </si>
  <si>
    <t>Configuración de Estanterías</t>
  </si>
  <si>
    <t>A004</t>
  </si>
  <si>
    <t>Racks Selectivos pesados</t>
  </si>
  <si>
    <t>Pepas chocolate y batata</t>
  </si>
  <si>
    <t>3 niveles de altura (2 pallets por módulo de 2,70 m)</t>
  </si>
  <si>
    <t>Niveles de Estiba en Racks</t>
  </si>
  <si>
    <t>Campaña quincenal (8 turnos/mes)</t>
  </si>
  <si>
    <t>A005</t>
  </si>
  <si>
    <t>niveles</t>
  </si>
  <si>
    <t>Bizcochos sabor queso free</t>
  </si>
  <si>
    <t>Altura de rack útil: aprox. 6,00 m</t>
  </si>
  <si>
    <t>Cantidad de Módulos de Racks en Planta</t>
  </si>
  <si>
    <t>A006</t>
  </si>
  <si>
    <t>pallets / semana | Galletitas: 30 pal/sem | Panif: 10 pal/sem</t>
  </si>
  <si>
    <t>Bizcochos sabor queso</t>
  </si>
  <si>
    <t>días hábiles | Capacidad: 160 posiciones de rack</t>
  </si>
  <si>
    <t>módulos dobles</t>
  </si>
  <si>
    <t>Cada módulo doble aloja 6 pallets (3 niveles x 2 pallets)</t>
  </si>
  <si>
    <t>hs / turno | Tiempo total en movimientos internos</t>
  </si>
  <si>
    <t>Superficie Estática de Racks (Ss)</t>
  </si>
  <si>
    <t>A007</t>
  </si>
  <si>
    <t>Polvorones free</t>
  </si>
  <si>
    <t>m²</t>
  </si>
  <si>
    <t>Huella de las estructuras de almacenamiento</t>
  </si>
  <si>
    <t>3. METODOLOGÍA DE ARTICULACIÓN DINÁMICA ENTRE HOJAS</t>
  </si>
  <si>
    <t>Ancho de Pasillo para Autoelevador</t>
  </si>
  <si>
    <t>metros</t>
  </si>
  <si>
    <t>Radio de giro y maniobra autoelevador eléctrico HELI ORME-CMM-16</t>
  </si>
  <si>
    <t>Campaña quincenal (2 turnos/mes)</t>
  </si>
  <si>
    <t>A008</t>
  </si>
  <si>
    <t>Área de Maniobra y Pasillos (Sg + Se)</t>
  </si>
  <si>
    <t>Polvorones</t>
  </si>
  <si>
    <t>Etapa Metodológica</t>
  </si>
  <si>
    <t>Espacio para circulación y carga/descarga segura</t>
  </si>
  <si>
    <t>Descripción y Justificación Técnica</t>
  </si>
  <si>
    <t>Solapa de Referencia</t>
  </si>
  <si>
    <t>Área de Enfilmado, Picking y Dársena</t>
  </si>
  <si>
    <t>Plato giratorio stretch + pulmón de precarga a camión</t>
  </si>
  <si>
    <t>PASO 1: PCP MAESTRO (ENTRADA)</t>
  </si>
  <si>
    <t>TR-02</t>
  </si>
  <si>
    <t>Cálculo de turnos por SKU, batches por hora y masa a preparar según rendimientos del BOM.</t>
  </si>
  <si>
    <t>Solapa: 2. PCP - Programa &amp; Lotes</t>
  </si>
  <si>
    <t>Campaña quincenal (4-5 turnos/mes)</t>
  </si>
  <si>
    <t>SUPERFICIE TOTAL REQUERIDA DEPÓSITO PT</t>
  </si>
  <si>
    <t>PASO 2: CUANTIFICACIÓN DE FRECUENCIAS</t>
  </si>
  <si>
    <t>Análisis detallado tramo por tramo (pesos, velocidades, tiempos de maniobra y cálculo dinámico de horas).</t>
  </si>
  <si>
    <t>Solapa: 3. Cuantificación Frecuencias</t>
  </si>
  <si>
    <t>Línea B - Panificados</t>
  </si>
  <si>
    <t>B001</t>
  </si>
  <si>
    <t>Pan de molde</t>
  </si>
  <si>
    <t>400g</t>
  </si>
  <si>
    <t>3. Amasado G</t>
  </si>
  <si>
    <t>PASO 3: DIMENSIONAMIENTO DE STOCKS</t>
  </si>
  <si>
    <t>Cálculo automático de posiciones de racks PT (160 pal), MP (52 pal) y pulmones WIP alimentado por el PCP.</t>
  </si>
  <si>
    <t>Solapa: 4. Dimensionamiento Stocks</t>
  </si>
  <si>
    <t>Insumos pesados fraccionados para amasadora</t>
  </si>
  <si>
    <t>PASO 4: MATRIZ DESDE-HASTA (VIAJES Y MASA)</t>
  </si>
  <si>
    <t>Matrices 18x18 con nombres de sectores en horizontal vinculadas a la solapa de cuantificación de frecuencias.</t>
  </si>
  <si>
    <t>Solapas: 5. Desde-Hasta (Viajes) / 6. (Masa)</t>
  </si>
  <si>
    <t>Tachos / Contenedores rodantes</t>
  </si>
  <si>
    <t>Dimensión mínima a verificar en el archivo CAD</t>
  </si>
  <si>
    <t>PASO 5: EVALUACIÓN Y OPTIMIZACIÓN CAD</t>
  </si>
  <si>
    <t>Cálculo del Momento de Transporte Ponderado (M = fij * dij y M_peso = fij * dij * peso) cruzando distancias CAD.</t>
  </si>
  <si>
    <t>Solapa: 7. Carga-Distancia &amp; Horas</t>
  </si>
  <si>
    <t>Lunes y Miércoles (TM, TT, TN)</t>
  </si>
  <si>
    <t>B002</t>
  </si>
  <si>
    <t>Budines vainilla / cítricos</t>
  </si>
  <si>
    <t>180g</t>
  </si>
  <si>
    <t>Martes, Jueves y Viernes</t>
  </si>
  <si>
    <t>B003</t>
  </si>
  <si>
    <t>Budines chocolate free</t>
  </si>
  <si>
    <t>Consumo semanal de MP (Galletitas)</t>
  </si>
  <si>
    <t>Jueves y Viernes</t>
  </si>
  <si>
    <t>TOTAL GENERAL PLANTA CELI</t>
  </si>
  <si>
    <t>kg / sem</t>
  </si>
  <si>
    <t>Vinculado a PCP: Masa/turno Galletitas * 15 turnos</t>
  </si>
  <si>
    <t>TR-03</t>
  </si>
  <si>
    <t>4. Moldeado G</t>
  </si>
  <si>
    <t>Amasijo volcado de amasadora a tolva</t>
  </si>
  <si>
    <t>Consumo semanal de MP (Panificados)</t>
  </si>
  <si>
    <t>Batea rodante volcable</t>
  </si>
  <si>
    <t>Vinculado a PCP: Masa/turno Panificados * 15 turnos</t>
  </si>
  <si>
    <t>Consumo total semanal de Materias Primas</t>
  </si>
  <si>
    <t>40 pallets / semana a régimen</t>
  </si>
  <si>
    <t>Aprox. 17,3 toneladas semanales de insumos</t>
  </si>
  <si>
    <t>Política de Cobertura de Stock MP</t>
  </si>
  <si>
    <t>2. PARÁMETROS OPERATIVOS DE PROCESO Y TAMAÑOS DE BATCH</t>
  </si>
  <si>
    <t>10 días de lote de compra + 5 días stock seguridad</t>
  </si>
  <si>
    <t>Capacidad de Almacenamiento MP Requerida</t>
  </si>
  <si>
    <t>TR-04</t>
  </si>
  <si>
    <t>5. Horno Túnel G</t>
  </si>
  <si>
    <t>Galletitas crudas formadas</t>
  </si>
  <si>
    <t>Cinta transportadora continua [C]</t>
  </si>
  <si>
    <t>Parámetro Técnico / Operativo</t>
  </si>
  <si>
    <t>Impacto en el Layout / Manejo de Materiales</t>
  </si>
  <si>
    <t>Salida PT Neta por Turno (kg)</t>
  </si>
  <si>
    <t>Equivale a 3 semanas de consumo en racks (1000 kg/pal)</t>
  </si>
  <si>
    <t>Zona de Cuarentena y Muestreo Sin TACC</t>
  </si>
  <si>
    <t>Área delimitada para control de gluten (&lt;10 ppm)</t>
  </si>
  <si>
    <t>Superficie Estática de Racks MP (3 niveles)</t>
  </si>
  <si>
    <t>kg PT / turno</t>
  </si>
  <si>
    <t>Salida neta de producto terminado de cada línea</t>
  </si>
  <si>
    <t>TR-05</t>
  </si>
  <si>
    <t>6. Cinta Enfriado G</t>
  </si>
  <si>
    <t>Galletitas cocidas calientes</t>
  </si>
  <si>
    <t>Estructura para almacenar las posiciones en 3 alturas</t>
  </si>
  <si>
    <t>Rendimiento Global de Proceso (%)</t>
  </si>
  <si>
    <t>Pasillo y Maniobra Autoelevador MP</t>
  </si>
  <si>
    <t>Circulación y abastecimiento a Sección Pesado</t>
  </si>
  <si>
    <t>% masa a PT</t>
  </si>
  <si>
    <t>Pérdidas de humedad, cocción y mermas (BOM)</t>
  </si>
  <si>
    <t>Dársena de Recepción y Descarga</t>
  </si>
  <si>
    <t>Masa total a preparar por turno</t>
  </si>
  <si>
    <t>Área bajo techo frente a portón de descarga</t>
  </si>
  <si>
    <t>SUPERFICIE TOTAL REQUERIDA DEPÓSITO MP</t>
  </si>
  <si>
    <t>kg masa / turno</t>
  </si>
  <si>
    <t>Flujo que ingresa a Pesado y Amasado/Batido</t>
  </si>
  <si>
    <t>TR-06</t>
  </si>
  <si>
    <t>7. Envasado 1° G</t>
  </si>
  <si>
    <t>Galletitas a temperatura ambiente</t>
  </si>
  <si>
    <t>Capacidad unitaria de máquina (Batea x6)</t>
  </si>
  <si>
    <t>Cinta inclinada de alimentación [C]</t>
  </si>
  <si>
    <t>kg / batch</t>
  </si>
  <si>
    <t>Amasadora HJ25B (25kg) vs. Batidora Moretti (45kg)</t>
  </si>
  <si>
    <t>Cantidad de Batches por Turno</t>
  </si>
  <si>
    <t>Sector / Buffer Intermedio</t>
  </si>
  <si>
    <t>Capacidad Física Requerida</t>
  </si>
  <si>
    <t>TR-07</t>
  </si>
  <si>
    <t>Superficie Estimada (m²)</t>
  </si>
  <si>
    <t>Justificación Operativa / Requisito Sanitario</t>
  </si>
  <si>
    <t>8. Envasado 2° G</t>
  </si>
  <si>
    <t>Paquetes individuales de 150g a mesa manual</t>
  </si>
  <si>
    <t>Mesa contigua manual [L]</t>
  </si>
  <si>
    <t>Pulmón de Carros de Enfriamiento (Panificados)</t>
  </si>
  <si>
    <t>4 carros en paralelo</t>
  </si>
  <si>
    <t>tandas / turno</t>
  </si>
  <si>
    <t>Define los viajes Pesado &lt;-&gt; Amasado en Desde-Hasta</t>
  </si>
  <si>
    <t>Carros calientes en reposo térmico (60-90 min) previo a envasado</t>
  </si>
  <si>
    <t>Capacidad de la Unidad Intermedia</t>
  </si>
  <si>
    <t>Pulmón de Fermentación (Pan de Molde)</t>
  </si>
  <si>
    <t>Cámara + 2 carros buffer</t>
  </si>
  <si>
    <t>Carros cargados en espera de horneado</t>
  </si>
  <si>
    <t>kg / unidad</t>
  </si>
  <si>
    <t>Batea volcable (25kg) vs. Carro 15 bandejas (40,5kg)</t>
  </si>
  <si>
    <t>Buffer de Palletizado (Envasado 2° Galletitas)</t>
  </si>
  <si>
    <t>1 pallet conformando + 1 listo</t>
  </si>
  <si>
    <t>Espacio para estiba manual y zorra hidráulica</t>
  </si>
  <si>
    <t>TR-08</t>
  </si>
  <si>
    <t>Carros / Bateas por Turno en Proceso</t>
  </si>
  <si>
    <t>17. Depósito PT</t>
  </si>
  <si>
    <t>Pallet Arlog conformado con 105 cajas</t>
  </si>
  <si>
    <t>Buffer de Palletizado (Envasado 2° Panificados)</t>
  </si>
  <si>
    <t>1 pallet conformando</t>
  </si>
  <si>
    <t>Espacio para estiba de cajas multiproducto</t>
  </si>
  <si>
    <t>unid. rodantes / turno</t>
  </si>
  <si>
    <t>Tráfico pesado en hornos, fermentador y enfriamiento</t>
  </si>
  <si>
    <t>Pulmón de Bateas y Tachos Limpios (Lavado)</t>
  </si>
  <si>
    <t>Área de baches listos</t>
  </si>
  <si>
    <t>Tiempo de Residencia en Enfriado</t>
  </si>
  <si>
    <t>Recipientes limpios en espera de fraccionamiento</t>
  </si>
  <si>
    <t>minutos</t>
  </si>
  <si>
    <t>Exige pulmón estático de 4 carros en Panificados</t>
  </si>
  <si>
    <t>Salida de Cajas Secundarias</t>
  </si>
  <si>
    <t>cajas / turno</t>
  </si>
  <si>
    <t>TR-09</t>
  </si>
  <si>
    <t>Flujo hacia mesa de encajonado manual</t>
  </si>
  <si>
    <t>9. Batido Panif.</t>
  </si>
  <si>
    <t>Premezclas, huevo, aceite fraccionados</t>
  </si>
  <si>
    <t>Generación de Pallets PT</t>
  </si>
  <si>
    <t>pallets / turno</t>
  </si>
  <si>
    <t>Traslado con zorra hidráulica a depósito PT</t>
  </si>
  <si>
    <t>TR-10</t>
  </si>
  <si>
    <t>10. Dosificado P.</t>
  </si>
  <si>
    <t>Batido homogéneo volcado a tolva</t>
  </si>
  <si>
    <t>TR-11</t>
  </si>
  <si>
    <t>11. Fermentado P.</t>
  </si>
  <si>
    <t>Carros porta-bandejas con moldes (Pan)</t>
  </si>
  <si>
    <t>Carro con 15 bandejas (45x70)</t>
  </si>
  <si>
    <t>TR-12</t>
  </si>
  <si>
    <t>12. Hornos Rotat. P.</t>
  </si>
  <si>
    <t>Carros leudados hacia hornos Pauna SIGMA</t>
  </si>
  <si>
    <t>TR-13</t>
  </si>
  <si>
    <t>13. Enfriado P.</t>
  </si>
  <si>
    <t>Carros calientes a 180°C saliendo de cocción</t>
  </si>
  <si>
    <t>TR-14</t>
  </si>
  <si>
    <t>14. Rebanado / Env 1°</t>
  </si>
  <si>
    <t>Bandejas frías hacia rebanadora y Flow-Pack</t>
  </si>
  <si>
    <t>Manual / Carro porta-bandejas</t>
  </si>
  <si>
    <t>TR-15</t>
  </si>
  <si>
    <t>14. Rebanado Pan</t>
  </si>
  <si>
    <t>15. Envasado 1° P.</t>
  </si>
  <si>
    <t>Pan rebanado agrupado hacia Flow-Pack</t>
  </si>
  <si>
    <t>TR-16</t>
  </si>
  <si>
    <t>16. Envasado 2° P.</t>
  </si>
  <si>
    <t>Panes / Budines empaquetados hacia cajas</t>
  </si>
  <si>
    <t>TR-17</t>
  </si>
  <si>
    <t>Pallet terminado enfardado con cajas</t>
  </si>
  <si>
    <t>TR-18</t>
  </si>
  <si>
    <t>Recirculación Mermas</t>
  </si>
  <si>
    <t>Recortes de masa y producto recuperable</t>
  </si>
  <si>
    <t>Tachos de reproceso</t>
  </si>
  <si>
    <t>TR-19</t>
  </si>
  <si>
    <t>Retorno Carros Vacíos</t>
  </si>
  <si>
    <t>Carros porta-bandejas limpios desocupados</t>
  </si>
  <si>
    <t>Carro vacío</t>
  </si>
  <si>
    <t>TR-20</t>
  </si>
  <si>
    <t>Evacuación Residuos</t>
  </si>
  <si>
    <t>18. Lavado / Scrap</t>
  </si>
  <si>
    <t>Desechos no recuperables y limpieza</t>
  </si>
  <si>
    <t>Contenedor de residuos</t>
  </si>
  <si>
    <t>TOTALES DE PLANTA</t>
  </si>
  <si>
    <t>RESUMEN DE RECURSOS DE MANEJO DE MATERIALES</t>
  </si>
  <si>
    <t>Horas totales de traslado y manipulación por turno</t>
  </si>
  <si>
    <t>hs / turno</t>
  </si>
  <si>
    <t>Tiempo total que demandan los movimientos internos en cada turno de 8h</t>
  </si>
  <si>
    <t>Equivalente en Jornadas de Operario de Manutención</t>
  </si>
  <si>
    <t>operarios equiv. / turno</t>
  </si>
  <si>
    <t>Cantidad de operarios a tiempo completo dedicados al transporte interno</t>
  </si>
  <si>
    <t>Esfuerzo Total Carga-Distancia Ponderado por Masa</t>
  </si>
  <si>
    <t>kg · m / turno</t>
  </si>
  <si>
    <t>Indicador global de esfuerzo logístico interno (a minimizar en CAD)</t>
  </si>
  <si>
    <t>MATRIZ DESDE - HASTA DE FRECUENCIAS DE TRANSPORTE (fij)</t>
  </si>
  <si>
    <t>Frecuencia de Movimientos por Turno de 8 Horas al Año 10 (Viajes / Turno) - Cabeceras Horizontales y Fórmulas Vinculadas</t>
  </si>
  <si>
    <t>DESDE \ HASTA</t>
  </si>
  <si>
    <t>1. Dep. MP</t>
  </si>
  <si>
    <t>2. Pesado</t>
  </si>
  <si>
    <t>3. Amasado</t>
  </si>
  <si>
    <t>4. Moldeado</t>
  </si>
  <si>
    <t>5. Horno G</t>
  </si>
  <si>
    <t>6. Enfriado</t>
  </si>
  <si>
    <t>7. Env 1° G</t>
  </si>
  <si>
    <t>8. Env 2° G</t>
  </si>
  <si>
    <t>9. Batido</t>
  </si>
  <si>
    <t>10. Dosific.</t>
  </si>
  <si>
    <t>11. Ferment.</t>
  </si>
  <si>
    <t>12. Hornos R.</t>
  </si>
  <si>
    <t>13. Enfriado</t>
  </si>
  <si>
    <t>14. Reban.</t>
  </si>
  <si>
    <t>15. Env 1° P</t>
  </si>
  <si>
    <t>16. Env 2° P</t>
  </si>
  <si>
    <t>17. Dep. PT</t>
  </si>
  <si>
    <t>18. Lav/Scrap</t>
  </si>
  <si>
    <t>SALIDAS</t>
  </si>
  <si>
    <t>[C]</t>
  </si>
  <si>
    <t>[L]</t>
  </si>
  <si>
    <t>ENTRADAS</t>
  </si>
  <si>
    <t>REFERENCIAS DE TIPOS DE FLUJO</t>
  </si>
  <si>
    <t>Flujo Mecánico Continuo</t>
  </si>
  <si>
    <t>Cinta de transporte automatizada en línea recta (Moldeado -&gt; Horno Túnel -&gt; Cinta Enfriado -&gt; Envasadora Vertical). No genera tránsito en pasillos pero exige contigüidad física.</t>
  </si>
  <si>
    <t>Flujo Local Adyacente</t>
  </si>
  <si>
    <t>Puestos de trabajo inmediatamente contiguos (Envasado 1° -&gt; Mesa de encajonado manual / Rebanado -&gt; Flow-Pack).</t>
  </si>
  <si>
    <t>Azul / Vinculado</t>
  </si>
  <si>
    <t>Flujo Vinculado a Solapa 3</t>
  </si>
  <si>
    <t>Tramos de transporte calculados dinámicamente desde la hoja de cuantificación y PCP.</t>
  </si>
  <si>
    <t>Zorra / Carro</t>
  </si>
  <si>
    <t>Flujo Discontinuo Rodante</t>
  </si>
  <si>
    <t>Zorra hidráulica para pallets y carros porta-bandejas para panificados.</t>
  </si>
  <si>
    <t>CCcrudo</t>
  </si>
  <si>
    <t>CCcocido</t>
  </si>
  <si>
    <t>MATRIZ DESDE - HASTA DE BALANCE DE MASA (kg / Turno)</t>
  </si>
  <si>
    <t>Flujo Másico Neto Transportado por Turno de 8 Horas (Año 10) - Cabeceras Horizontales y Fórmulas Vinculadas</t>
  </si>
  <si>
    <t>SALIDAS (kg)</t>
  </si>
  <si>
    <t>ENTRADAS (kg)</t>
  </si>
  <si>
    <t>HERRAMIENTA DE EVALUACIÓN DE LAYOUT (CARGA - DISTANCIA Y HORAS)</t>
  </si>
  <si>
    <t>Cálculo del Momento de Transporte (M = fij * dij), Esfuerzo Ponderado (kg·m) y Horas de Mano de Obra</t>
  </si>
  <si>
    <t>Parámetro Configurable</t>
  </si>
  <si>
    <t>1. CENTROIDES Y COORDENADAS DEL PLANO AUTOCAD (MODIFICABLES)</t>
  </si>
  <si>
    <t>N°</t>
  </si>
  <si>
    <t>Sector / Máquina</t>
  </si>
  <si>
    <t>Coord X (m)</t>
  </si>
  <si>
    <t>Coord Y (m)</t>
  </si>
  <si>
    <t>Superficie (m²)</t>
  </si>
  <si>
    <t>Estado en Layout CAD</t>
  </si>
  <si>
    <t>Depósito MP e Insumos</t>
  </si>
  <si>
    <t>Común</t>
  </si>
  <si>
    <t>Ubicado en cabecera de recepción</t>
  </si>
  <si>
    <t>Sección Pesado / Fraccionamiento</t>
  </si>
  <si>
    <t>Adyacente a Depósito MP</t>
  </si>
  <si>
    <t>Amasado Galletitas (Amasadora HJ25B)</t>
  </si>
  <si>
    <t>Galletitas</t>
  </si>
  <si>
    <t>Alimentación de línea A</t>
  </si>
  <si>
    <t>Moldeado Galletitas (Ralem R800)</t>
  </si>
  <si>
    <t>Inicio de línea continua</t>
  </si>
  <si>
    <t>Horno Túnel Galletitas (GD-BTOM10)</t>
  </si>
  <si>
    <t>Línea recta (6 x 1,3 m)</t>
  </si>
  <si>
    <t>Cinta de Enfriado Galletitas</t>
  </si>
  <si>
    <t>Transferencia a envasado</t>
  </si>
  <si>
    <t>Envasado 1° Galletitas (Zon Pack)</t>
  </si>
  <si>
    <t>Envasadora vertical</t>
  </si>
  <si>
    <t>Envasado 2° Galletitas (Mesa manual)</t>
  </si>
  <si>
    <t>Encajonado y conformado pallet</t>
  </si>
  <si>
    <t>Batido Panificados (Moretti Ultra 60)</t>
  </si>
  <si>
    <t>Panificados</t>
  </si>
  <si>
    <t>Alimentación de línea B</t>
  </si>
  <si>
    <t>Dosificado Panificados (Indurpack)</t>
  </si>
  <si>
    <t>Carga de carros con bandejas</t>
  </si>
  <si>
    <t>Fermentador Panes (NKF-36RS)</t>
  </si>
  <si>
    <t>Cámara de leudado</t>
  </si>
  <si>
    <t>Hornos Rotativos Pauna SIGMA (2 u.)</t>
  </si>
  <si>
    <t>Batería de cocción por carros</t>
  </si>
  <si>
    <t>Sector Enfriado Panificados (Carros)</t>
  </si>
  <si>
    <t>Pulmón de 4 carros calientes</t>
  </si>
  <si>
    <t>Rebanadora de Pan (Braesi)</t>
  </si>
  <si>
    <t>Corte continuo de pan de molde</t>
  </si>
  <si>
    <t>Envasado 1° Panificados (Flow-Pack)</t>
  </si>
  <si>
    <t>Envasadora Brunetti EFH700X</t>
  </si>
  <si>
    <t>Envasado 2° Panificados (Mesa manual)</t>
  </si>
  <si>
    <t>Depósito PT y Expedición</t>
  </si>
  <si>
    <t>Racks selectivos 160 pallets</t>
  </si>
  <si>
    <t>Lavado de Bateas y Gestión Scrap</t>
  </si>
  <si>
    <t>Servicios</t>
  </si>
  <si>
    <t>Zona periférica limpia</t>
  </si>
  <si>
    <t>2. ANÁLISIS DE INTENSIDAD DE TRÁFICO, MOMENTO DE TRANSPORTE Y HORAS DE TRASLADO</t>
  </si>
  <si>
    <t>Tramo</t>
  </si>
  <si>
    <t>Peso/Viaje (kg)</t>
  </si>
  <si>
    <t>Momento M (viajes·m / turno)</t>
  </si>
  <si>
    <t>Esfuerzo Masa (kg·m / turno)</t>
  </si>
  <si>
    <t>Velocidad (m/min)</t>
  </si>
  <si>
    <t>Nivel de Criticidad</t>
  </si>
  <si>
    <t>T01</t>
  </si>
  <si>
    <t>3. Amasado Galletitas</t>
  </si>
  <si>
    <t>CRÍTICO (Alta Frecuencia)</t>
  </si>
  <si>
    <t>T02</t>
  </si>
  <si>
    <t>4. Moldeado Galletitas</t>
  </si>
  <si>
    <t>T03</t>
  </si>
  <si>
    <t>9. Batido Panificados</t>
  </si>
  <si>
    <t>ALTO</t>
  </si>
  <si>
    <t>T04</t>
  </si>
  <si>
    <t>10. Dosificado Panif.</t>
  </si>
  <si>
    <t>T05</t>
  </si>
  <si>
    <t>11. Fermentador Panes</t>
  </si>
  <si>
    <t>T06</t>
  </si>
  <si>
    <t>12. Hornos Rotativos</t>
  </si>
  <si>
    <t>T07</t>
  </si>
  <si>
    <t>13. Enfriado Panif.</t>
  </si>
  <si>
    <t>CRÍTICO (Seguridad 180°C)</t>
  </si>
  <si>
    <t>T08</t>
  </si>
  <si>
    <t>MEDIO</t>
  </si>
  <si>
    <t>T09</t>
  </si>
  <si>
    <t>MEDIO (Carga Pesada)</t>
  </si>
  <si>
    <t>T10</t>
  </si>
  <si>
    <t>BAJO (Pallets)</t>
  </si>
  <si>
    <t>T11</t>
  </si>
  <si>
    <t>16. Envasado 2° P</t>
  </si>
  <si>
    <t>TOTALES GENERALES</t>
  </si>
  <si>
    <t>Minimizar en CAD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</si>
</sst>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#,##0.0"/>
    <numFmt numFmtId="166" formatCode="0.0"/>
  </numFmts>
  <fonts count="18">
    <font>
      <sz val="11.0"/>
      <color theme="1"/>
      <name val="Calibri"/>
      <scheme val="minor"/>
    </font>
    <font>
      <color theme="1"/>
      <name val="Montserrat"/>
    </font>
    <font>
      <b/>
      <sz val="15.0"/>
      <color rgb="FF1F497D"/>
      <name val="Montserrat"/>
    </font>
    <font>
      <i/>
      <sz val="10.0"/>
      <color rgb="FF595959"/>
      <name val="Montserrat"/>
    </font>
    <font>
      <b/>
      <sz val="9.0"/>
      <color rgb="FF000000"/>
      <name val="Montserrat"/>
    </font>
    <font>
      <b/>
      <sz val="9.0"/>
      <color rgb="FF833C0C"/>
      <name val="Montserrat"/>
    </font>
    <font>
      <b/>
      <sz val="11.0"/>
      <color rgb="FF1F497D"/>
      <name val="Montserrat"/>
    </font>
    <font>
      <b/>
      <sz val="10.0"/>
      <color rgb="FFFFFFFF"/>
      <name val="Montserrat"/>
    </font>
    <font>
      <sz val="9.0"/>
      <color rgb="FF000000"/>
      <name val="Montserrat"/>
    </font>
    <font>
      <b/>
      <sz val="9.0"/>
      <color rgb="FF1F497D"/>
      <name val="Montserrat"/>
    </font>
    <font>
      <b/>
      <sz val="8.0"/>
      <color rgb="FF595959"/>
      <name val="Montserrat"/>
    </font>
    <font/>
    <font>
      <i/>
      <sz val="8.0"/>
      <color rgb="FF595959"/>
      <name val="Montserrat"/>
    </font>
    <font>
      <b/>
      <sz val="12.0"/>
      <color rgb="FF1F497D"/>
      <name val="Montserrat"/>
    </font>
    <font>
      <sz val="11.0"/>
      <color theme="1"/>
      <name val="Montserrat"/>
    </font>
    <font>
      <b/>
      <sz val="9.0"/>
      <color rgb="FFFFFFFF"/>
      <name val="Montserrat"/>
    </font>
    <font>
      <sz val="9.0"/>
      <color theme="1"/>
      <name val="Montserrat"/>
    </font>
    <font>
      <i/>
      <sz val="9.0"/>
      <color rgb="FF595959"/>
      <name val="Montserrat"/>
    </font>
  </fonts>
  <fills count="11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1F497D"/>
        <bgColor rgb="FF1F497D"/>
      </patternFill>
    </fill>
    <fill>
      <patternFill patternType="solid">
        <fgColor rgb="FFEAEEF7"/>
        <bgColor rgb="FFEAEEF7"/>
      </patternFill>
    </fill>
    <fill>
      <patternFill patternType="solid">
        <fgColor rgb="FFF2F5F9"/>
        <bgColor rgb="FFF2F5F9"/>
      </patternFill>
    </fill>
    <fill>
      <patternFill patternType="solid">
        <fgColor rgb="FF2E75B6"/>
        <bgColor rgb="FF2E75B6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8">
    <border/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1F497D"/>
      </left>
      <right style="thin">
        <color rgb="FF1F497D"/>
      </right>
      <top style="medium">
        <color rgb="FF1F497D"/>
      </top>
      <bottom style="medium">
        <color rgb="FF1F497D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3" fillId="4" fontId="7" numFmtId="0" xfId="0" applyAlignment="1" applyBorder="1" applyFill="1" applyFont="1">
      <alignment horizontal="center" shrinkToFit="0" vertical="center" wrapText="1"/>
    </xf>
    <xf borderId="0" fillId="0" fontId="8" numFmtId="0" xfId="0" applyFont="1"/>
    <xf borderId="2" fillId="0" fontId="8" numFmtId="0" xfId="0" applyAlignment="1" applyBorder="1" applyFont="1">
      <alignment horizontal="left" vertical="center"/>
    </xf>
    <xf borderId="2" fillId="0" fontId="9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vertical="center"/>
    </xf>
    <xf borderId="2" fillId="0" fontId="8" numFmtId="0" xfId="0" applyAlignment="1" applyBorder="1" applyFont="1">
      <alignment horizontal="center" shrinkToFit="0" vertical="center" wrapText="1"/>
    </xf>
    <xf borderId="1" fillId="2" fontId="5" numFmtId="4" xfId="0" applyAlignment="1" applyBorder="1" applyFill="1" applyFont="1" applyNumberFormat="1">
      <alignment horizontal="right" vertical="center"/>
    </xf>
    <xf borderId="4" fillId="5" fontId="10" numFmtId="0" xfId="0" applyAlignment="1" applyBorder="1" applyFill="1" applyFont="1">
      <alignment horizontal="center" shrinkToFit="0" vertical="center" wrapText="1"/>
    </xf>
    <xf borderId="5" fillId="0" fontId="11" numFmtId="0" xfId="0" applyBorder="1" applyFont="1"/>
    <xf borderId="6" fillId="0" fontId="11" numFmtId="0" xfId="0" applyBorder="1" applyFont="1"/>
    <xf borderId="2" fillId="0" fontId="4" numFmtId="4" xfId="0" applyAlignment="1" applyBorder="1" applyFont="1" applyNumberFormat="1">
      <alignment horizontal="right" vertical="center"/>
    </xf>
    <xf borderId="2" fillId="0" fontId="8" numFmtId="164" xfId="0" applyAlignment="1" applyBorder="1" applyFont="1" applyNumberFormat="1">
      <alignment horizontal="right" vertical="center"/>
    </xf>
    <xf borderId="2" fillId="0" fontId="12" numFmtId="0" xfId="0" applyAlignment="1" applyBorder="1" applyFont="1">
      <alignment horizontal="center" shrinkToFit="0" vertical="center" wrapText="1"/>
    </xf>
    <xf borderId="2" fillId="0" fontId="8" numFmtId="4" xfId="0" applyAlignment="1" applyBorder="1" applyFont="1" applyNumberFormat="1">
      <alignment horizontal="right" vertical="center"/>
    </xf>
    <xf borderId="4" fillId="5" fontId="13" numFmtId="4" xfId="0" applyAlignment="1" applyBorder="1" applyFill="1" applyFont="1" applyNumberFormat="1">
      <alignment horizontal="center" shrinkToFit="0" vertical="center" wrapText="1"/>
    </xf>
    <xf borderId="4" fillId="5" fontId="13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left" vertical="center"/>
    </xf>
    <xf borderId="2" fillId="0" fontId="8" numFmtId="165" xfId="0" applyAlignment="1" applyBorder="1" applyFont="1" applyNumberFormat="1">
      <alignment horizontal="right" vertical="center"/>
    </xf>
    <xf borderId="1" fillId="2" fontId="5" numFmtId="165" xfId="0" applyAlignment="1" applyBorder="1" applyFill="1" applyFont="1" applyNumberFormat="1">
      <alignment horizontal="right" vertical="center"/>
    </xf>
    <xf borderId="1" fillId="2" fontId="5" numFmtId="3" xfId="0" applyAlignment="1" applyBorder="1" applyFill="1" applyFont="1" applyNumberFormat="1">
      <alignment horizontal="right" readingOrder="0" vertical="center"/>
    </xf>
    <xf borderId="4" fillId="5" fontId="12" numFmtId="0" xfId="0" applyAlignment="1" applyBorder="1" applyFill="1" applyFont="1">
      <alignment horizontal="center" shrinkToFit="0" vertical="center" wrapText="1"/>
    </xf>
    <xf borderId="2" fillId="0" fontId="8" numFmtId="0" xfId="0" applyAlignment="1" applyBorder="1" applyFont="1">
      <alignment horizontal="left" readingOrder="0" vertical="center"/>
    </xf>
    <xf borderId="2" fillId="0" fontId="4" numFmtId="3" xfId="0" applyAlignment="1" applyBorder="1" applyFont="1" applyNumberFormat="1">
      <alignment horizontal="right" vertical="center"/>
    </xf>
    <xf borderId="2" fillId="3" fontId="4" numFmtId="165" xfId="0" applyAlignment="1" applyBorder="1" applyFill="1" applyFont="1" applyNumberFormat="1">
      <alignment horizontal="right" vertical="center"/>
    </xf>
    <xf borderId="2" fillId="0" fontId="4" numFmtId="0" xfId="0" applyAlignment="1" applyBorder="1" applyFont="1">
      <alignment horizontal="right" vertical="center"/>
    </xf>
    <xf borderId="4" fillId="5" fontId="13" numFmtId="3" xfId="0" applyAlignment="1" applyBorder="1" applyFill="1" applyFont="1" applyNumberFormat="1">
      <alignment horizontal="center" shrinkToFit="0" vertical="center" wrapText="1"/>
    </xf>
    <xf borderId="1" fillId="2" fontId="5" numFmtId="166" xfId="0" applyAlignment="1" applyBorder="1" applyFill="1" applyFont="1" applyNumberFormat="1">
      <alignment horizontal="right" vertical="center"/>
    </xf>
    <xf borderId="1" fillId="2" fontId="5" numFmtId="3" xfId="0" applyAlignment="1" applyBorder="1" applyFill="1" applyFont="1" applyNumberFormat="1">
      <alignment horizontal="right" vertical="center"/>
    </xf>
    <xf borderId="1" fillId="2" fontId="5" numFmtId="2" xfId="0" applyAlignment="1" applyBorder="1" applyFill="1" applyFont="1" applyNumberFormat="1">
      <alignment horizontal="right" vertical="center"/>
    </xf>
    <xf borderId="2" fillId="0" fontId="8" numFmtId="2" xfId="0" applyAlignment="1" applyBorder="1" applyFont="1" applyNumberFormat="1">
      <alignment horizontal="right" vertical="center"/>
    </xf>
    <xf borderId="2" fillId="3" fontId="4" numFmtId="2" xfId="0" applyAlignment="1" applyBorder="1" applyFill="1" applyFont="1" applyNumberFormat="1">
      <alignment horizontal="right" vertical="center"/>
    </xf>
    <xf borderId="2" fillId="0" fontId="4" numFmtId="165" xfId="0" applyAlignment="1" applyBorder="1" applyFont="1" applyNumberFormat="1">
      <alignment horizontal="right" vertical="center"/>
    </xf>
    <xf borderId="2" fillId="6" fontId="9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left" vertical="center"/>
    </xf>
    <xf borderId="2" fillId="6" fontId="4" numFmtId="0" xfId="0" applyAlignment="1" applyBorder="1" applyFill="1" applyFont="1">
      <alignment horizontal="left" vertical="center"/>
    </xf>
    <xf borderId="2" fillId="6" fontId="8" numFmtId="0" xfId="0" applyAlignment="1" applyBorder="1" applyFill="1" applyFont="1">
      <alignment horizontal="left" vertical="center"/>
    </xf>
    <xf borderId="2" fillId="3" fontId="4" numFmtId="4" xfId="0" applyAlignment="1" applyBorder="1" applyFill="1" applyFont="1" applyNumberFormat="1">
      <alignment horizontal="right" vertical="center"/>
    </xf>
    <xf borderId="2" fillId="6" fontId="12" numFmtId="0" xfId="0" applyAlignment="1" applyBorder="1" applyFill="1" applyFont="1">
      <alignment horizontal="left" vertical="center"/>
    </xf>
    <xf borderId="1" fillId="2" fontId="5" numFmtId="165" xfId="0" applyAlignment="1" applyBorder="1" applyFill="1" applyFont="1" applyNumberFormat="1">
      <alignment horizontal="right" readingOrder="0" vertical="center"/>
    </xf>
    <xf borderId="3" fillId="7" fontId="7" numFmtId="0" xfId="0" applyAlignment="1" applyBorder="1" applyFill="1" applyFont="1">
      <alignment horizontal="center" shrinkToFit="0" vertical="center" wrapText="1"/>
    </xf>
    <xf borderId="2" fillId="6" fontId="8" numFmtId="165" xfId="0" applyAlignment="1" applyBorder="1" applyFill="1" applyFont="1" applyNumberFormat="1">
      <alignment horizontal="right" vertical="center"/>
    </xf>
    <xf borderId="2" fillId="6" fontId="8" numFmtId="2" xfId="0" applyAlignment="1" applyBorder="1" applyFill="1" applyFont="1" applyNumberFormat="1">
      <alignment horizontal="right" vertical="center"/>
    </xf>
    <xf borderId="2" fillId="6" fontId="4" numFmtId="165" xfId="0" applyAlignment="1" applyBorder="1" applyFill="1" applyFont="1" applyNumberFormat="1">
      <alignment horizontal="right" vertical="center"/>
    </xf>
    <xf borderId="7" fillId="0" fontId="4" numFmtId="0" xfId="0" applyAlignment="1" applyBorder="1" applyFont="1">
      <alignment horizontal="left" vertical="center"/>
    </xf>
    <xf borderId="7" fillId="0" fontId="14" numFmtId="0" xfId="0" applyBorder="1" applyFont="1"/>
    <xf borderId="7" fillId="0" fontId="4" numFmtId="4" xfId="0" applyAlignment="1" applyBorder="1" applyFont="1" applyNumberFormat="1">
      <alignment horizontal="right" vertical="center"/>
    </xf>
    <xf borderId="7" fillId="0" fontId="4" numFmtId="164" xfId="0" applyAlignment="1" applyBorder="1" applyFont="1" applyNumberFormat="1">
      <alignment horizontal="right" vertical="center"/>
    </xf>
    <xf borderId="7" fillId="0" fontId="4" numFmtId="165" xfId="0" applyAlignment="1" applyBorder="1" applyFont="1" applyNumberFormat="1">
      <alignment horizontal="right" vertical="center"/>
    </xf>
    <xf borderId="2" fillId="0" fontId="4" numFmtId="4" xfId="0" applyAlignment="1" applyBorder="1" applyFont="1" applyNumberFormat="1">
      <alignment horizontal="center" shrinkToFit="0" vertical="center" wrapText="1"/>
    </xf>
    <xf borderId="1" fillId="2" fontId="5" numFmtId="164" xfId="0" applyAlignment="1" applyBorder="1" applyFill="1" applyFont="1" applyNumberFormat="1">
      <alignment horizontal="center" readingOrder="0" shrinkToFit="0" vertical="center" wrapText="1"/>
    </xf>
    <xf borderId="1" fillId="2" fontId="5" numFmtId="164" xfId="0" applyAlignment="1" applyBorder="1" applyFill="1" applyFont="1" applyNumberFormat="1">
      <alignment horizontal="center" shrinkToFit="0" vertical="center" wrapText="1"/>
    </xf>
    <xf borderId="2" fillId="0" fontId="4" numFmtId="0" xfId="0" applyAlignment="1" applyBorder="1" applyFont="1">
      <alignment horizontal="left" readingOrder="0" vertical="center"/>
    </xf>
    <xf borderId="1" fillId="2" fontId="5" numFmtId="3" xfId="0" applyAlignment="1" applyBorder="1" applyFill="1" applyFont="1" applyNumberFormat="1">
      <alignment horizontal="center" shrinkToFit="0" vertical="center" wrapText="1"/>
    </xf>
    <xf borderId="2" fillId="0" fontId="4" numFmtId="3" xfId="0" applyAlignment="1" applyBorder="1" applyFont="1" applyNumberFormat="1">
      <alignment horizontal="center" shrinkToFit="0" vertical="center" wrapText="1"/>
    </xf>
    <xf borderId="1" fillId="2" fontId="5" numFmtId="4" xfId="0" applyAlignment="1" applyBorder="1" applyFill="1" applyFont="1" applyNumberFormat="1">
      <alignment horizontal="center" shrinkToFit="0" vertical="center" wrapText="1"/>
    </xf>
    <xf borderId="7" fillId="4" fontId="7" numFmtId="0" xfId="0" applyAlignment="1" applyBorder="1" applyFill="1" applyFont="1">
      <alignment horizontal="left" vertical="center"/>
    </xf>
    <xf borderId="7" fillId="4" fontId="7" numFmtId="165" xfId="0" applyAlignment="1" applyBorder="1" applyFill="1" applyFont="1" applyNumberFormat="1">
      <alignment horizontal="right" vertical="center"/>
    </xf>
    <xf borderId="7" fillId="4" fontId="7" numFmtId="2" xfId="0" applyAlignment="1" applyBorder="1" applyFill="1" applyFont="1" applyNumberFormat="1">
      <alignment horizontal="right" vertical="center"/>
    </xf>
    <xf borderId="4" fillId="0" fontId="12" numFmtId="0" xfId="0" applyAlignment="1" applyBorder="1" applyFont="1">
      <alignment horizontal="left" vertical="center"/>
    </xf>
    <xf borderId="3" fillId="4" fontId="15" numFmtId="0" xfId="0" applyAlignment="1" applyBorder="1" applyFill="1" applyFont="1">
      <alignment horizontal="center" shrinkToFit="0" vertical="center" wrapText="1"/>
    </xf>
    <xf borderId="2" fillId="8" fontId="12" numFmtId="0" xfId="0" applyAlignment="1" applyBorder="1" applyFill="1" applyFont="1">
      <alignment horizontal="center" shrinkToFit="0" vertical="center" wrapText="1"/>
    </xf>
    <xf borderId="2" fillId="3" fontId="4" numFmtId="165" xfId="0" applyAlignment="1" applyBorder="1" applyFill="1" applyFont="1" applyNumberFormat="1">
      <alignment horizontal="center" shrinkToFit="0" vertical="center" wrapText="1"/>
    </xf>
    <xf borderId="2" fillId="0" fontId="14" numFmtId="0" xfId="0" applyBorder="1" applyFont="1"/>
    <xf borderId="2" fillId="9" fontId="4" numFmtId="0" xfId="0" applyAlignment="1" applyBorder="1" applyFill="1" applyFont="1">
      <alignment horizontal="center" shrinkToFit="0" vertical="center" wrapText="1"/>
    </xf>
    <xf borderId="2" fillId="10" fontId="4" numFmtId="0" xfId="0" applyAlignment="1" applyBorder="1" applyFill="1" applyFont="1">
      <alignment horizontal="center" shrinkToFit="0" vertical="center" wrapText="1"/>
    </xf>
    <xf borderId="7" fillId="4" fontId="7" numFmtId="0" xfId="0" applyAlignment="1" applyBorder="1" applyFill="1" applyFont="1">
      <alignment horizontal="center" shrinkToFit="0" vertical="center" wrapText="1"/>
    </xf>
    <xf borderId="7" fillId="3" fontId="4" numFmtId="165" xfId="0" applyAlignment="1" applyBorder="1" applyFill="1" applyFont="1" applyNumberFormat="1">
      <alignment horizontal="center" shrinkToFit="0" vertical="center" wrapText="1"/>
    </xf>
    <xf borderId="7" fillId="4" fontId="7" numFmtId="165" xfId="0" applyAlignment="1" applyBorder="1" applyFill="1" applyFont="1" applyNumberFormat="1">
      <alignment horizontal="center" shrinkToFit="0" vertical="center" wrapText="1"/>
    </xf>
    <xf borderId="2" fillId="6" fontId="4" numFmtId="0" xfId="0" applyAlignment="1" applyBorder="1" applyFill="1" applyFont="1">
      <alignment horizontal="center" shrinkToFit="0" vertical="center" wrapText="1"/>
    </xf>
    <xf borderId="3" fillId="4" fontId="15" numFmtId="0" xfId="0" applyAlignment="1" applyBorder="1" applyFill="1" applyFont="1">
      <alignment horizontal="center" readingOrder="0" shrinkToFit="0" vertical="center" wrapText="1"/>
    </xf>
    <xf borderId="2" fillId="3" fontId="4" numFmtId="165" xfId="0" applyAlignment="1" applyBorder="1" applyFill="1" applyFont="1" applyNumberFormat="1">
      <alignment horizontal="center" readingOrder="0" shrinkToFit="0" vertical="center" wrapText="1"/>
    </xf>
    <xf borderId="3" fillId="7" fontId="15" numFmtId="0" xfId="0" applyAlignment="1" applyBorder="1" applyFill="1" applyFont="1">
      <alignment horizontal="center" shrinkToFit="0" vertical="center" wrapText="1"/>
    </xf>
    <xf borderId="2" fillId="3" fontId="8" numFmtId="3" xfId="0" applyAlignment="1" applyBorder="1" applyFill="1" applyFont="1" applyNumberFormat="1">
      <alignment horizontal="right" vertical="center"/>
    </xf>
    <xf borderId="2" fillId="8" fontId="12" numFmtId="0" xfId="0" applyAlignment="1" applyBorder="1" applyFill="1" applyFont="1">
      <alignment horizontal="center" readingOrder="0" shrinkToFit="0" vertical="center" wrapText="1"/>
    </xf>
    <xf borderId="7" fillId="7" fontId="7" numFmtId="0" xfId="0" applyAlignment="1" applyBorder="1" applyFill="1" applyFont="1">
      <alignment horizontal="center" shrinkToFit="0" vertical="center" wrapText="1"/>
    </xf>
    <xf borderId="7" fillId="3" fontId="4" numFmtId="3" xfId="0" applyAlignment="1" applyBorder="1" applyFill="1" applyFont="1" applyNumberFormat="1">
      <alignment horizontal="right" vertical="center"/>
    </xf>
    <xf borderId="7" fillId="7" fontId="7" numFmtId="3" xfId="0" applyAlignment="1" applyBorder="1" applyFill="1" applyFont="1" applyNumberFormat="1">
      <alignment horizontal="right" vertical="center"/>
    </xf>
    <xf borderId="0" fillId="0" fontId="16" numFmtId="0" xfId="0" applyFont="1"/>
    <xf borderId="0" fillId="0" fontId="9" numFmtId="0" xfId="0" applyFont="1"/>
    <xf borderId="0" fillId="0" fontId="17" numFmtId="0" xfId="0" applyFont="1"/>
    <xf borderId="1" fillId="2" fontId="5" numFmtId="0" xfId="0" applyAlignment="1" applyBorder="1" applyFill="1" applyFont="1">
      <alignment horizontal="center" readingOrder="0" shrinkToFit="0" vertical="center" wrapText="1"/>
    </xf>
    <xf borderId="2" fillId="0" fontId="17" numFmtId="0" xfId="0" applyAlignment="1" applyBorder="1" applyFont="1">
      <alignment horizontal="left" vertical="center"/>
    </xf>
    <xf borderId="2" fillId="0" fontId="4" numFmtId="166" xfId="0" applyAlignment="1" applyBorder="1" applyFont="1" applyNumberFormat="1">
      <alignment horizontal="right" vertical="center"/>
    </xf>
    <xf borderId="2" fillId="0" fontId="8" numFmtId="166" xfId="0" applyAlignment="1" applyBorder="1" applyFont="1" applyNumberFormat="1">
      <alignment horizontal="right" vertical="center"/>
    </xf>
    <xf borderId="2" fillId="2" fontId="4" numFmtId="0" xfId="0" applyAlignment="1" applyBorder="1" applyFill="1" applyFont="1">
      <alignment horizontal="center" shrinkToFit="0" vertical="center" wrapText="1"/>
    </xf>
    <xf borderId="0" fillId="0" fontId="16" numFmtId="10" xfId="0" applyFont="1" applyNumberFormat="1"/>
    <xf borderId="7" fillId="4" fontId="15" numFmtId="0" xfId="0" applyAlignment="1" applyBorder="1" applyFill="1" applyFont="1">
      <alignment horizontal="left" vertical="center"/>
    </xf>
    <xf borderId="7" fillId="0" fontId="16" numFmtId="0" xfId="0" applyBorder="1" applyFont="1"/>
    <xf borderId="7" fillId="4" fontId="15" numFmtId="165" xfId="0" applyAlignment="1" applyBorder="1" applyFill="1" applyFont="1" applyNumberFormat="1">
      <alignment horizontal="right" vertical="center"/>
    </xf>
    <xf borderId="7" fillId="4" fontId="15" numFmtId="2" xfId="0" applyAlignment="1" applyBorder="1" applyFill="1" applyFont="1" applyNumberFormat="1">
      <alignment horizontal="right" vertical="center"/>
    </xf>
    <xf borderId="7" fillId="0" fontId="1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53.29"/>
    <col customWidth="1" min="3" max="3" width="95.29"/>
    <col customWidth="1" min="4" max="4" width="39.14"/>
    <col customWidth="1" min="5" max="5" width="37.86"/>
    <col customWidth="1" min="6" max="7" width="10.0"/>
    <col customWidth="1" min="8" max="8" width="39.0"/>
    <col customWidth="1" min="9" max="10" width="10.0"/>
    <col customWidth="1" min="11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6</v>
      </c>
      <c r="C4" s="5" t="s">
        <v>7</v>
      </c>
      <c r="D4" s="1"/>
      <c r="E4" s="6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9" t="s">
        <v>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9" t="s">
        <v>19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7" t="s">
        <v>33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5" t="s">
        <v>37</v>
      </c>
      <c r="C12" s="16"/>
      <c r="D12" s="17"/>
      <c r="E12" s="15" t="s">
        <v>38</v>
      </c>
      <c r="F12" s="16"/>
      <c r="G12" s="17"/>
      <c r="H12" s="15" t="s">
        <v>39</v>
      </c>
      <c r="I12" s="16"/>
      <c r="J12" s="1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2">
        <f>'2. PCP - Programa &amp; Lotes'!F20</f>
        <v>678513.97</v>
      </c>
      <c r="C13" s="16"/>
      <c r="D13" s="17"/>
      <c r="E13" s="23" t="s">
        <v>57</v>
      </c>
      <c r="F13" s="16"/>
      <c r="G13" s="17"/>
      <c r="H13" s="22">
        <f>'2. PCP - Programa &amp; Lotes'!J20</f>
        <v>946.3235286</v>
      </c>
      <c r="I13" s="16"/>
      <c r="J13" s="1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8" t="s">
        <v>67</v>
      </c>
      <c r="C14" s="16"/>
      <c r="D14" s="17"/>
      <c r="E14" s="28" t="s">
        <v>70</v>
      </c>
      <c r="F14" s="16"/>
      <c r="G14" s="17"/>
      <c r="H14" s="28" t="s">
        <v>72</v>
      </c>
      <c r="I14" s="16"/>
      <c r="J14" s="1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5" t="s">
        <v>76</v>
      </c>
      <c r="C16" s="16"/>
      <c r="D16" s="17"/>
      <c r="E16" s="15" t="s">
        <v>77</v>
      </c>
      <c r="F16" s="16"/>
      <c r="G16" s="17"/>
      <c r="H16" s="15" t="s">
        <v>78</v>
      </c>
      <c r="I16" s="16"/>
      <c r="J16" s="1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3">
        <f>'4. Dimensionamiento Stocks'!C9</f>
        <v>44.56799376</v>
      </c>
      <c r="C17" s="16"/>
      <c r="D17" s="17"/>
      <c r="E17" s="33">
        <f>'4. Dimensionamiento Stocks'!C10</f>
        <v>10</v>
      </c>
      <c r="F17" s="16"/>
      <c r="G17" s="17"/>
      <c r="H17" s="22">
        <f>'3. Cuantificación Frecuencias'!N27</f>
        <v>1.618701918</v>
      </c>
      <c r="I17" s="16"/>
      <c r="J17" s="1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102</v>
      </c>
      <c r="C18" s="16"/>
      <c r="D18" s="17"/>
      <c r="E18" s="28" t="s">
        <v>104</v>
      </c>
      <c r="F18" s="16"/>
      <c r="G18" s="17"/>
      <c r="H18" s="28" t="s">
        <v>107</v>
      </c>
      <c r="I18" s="16"/>
      <c r="J18" s="1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7" t="s">
        <v>113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" t="s">
        <v>121</v>
      </c>
      <c r="C23" s="8" t="s">
        <v>123</v>
      </c>
      <c r="D23" s="8" t="s">
        <v>124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2" t="s">
        <v>127</v>
      </c>
      <c r="C24" s="10" t="s">
        <v>129</v>
      </c>
      <c r="D24" s="6" t="s">
        <v>130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2" t="s">
        <v>133</v>
      </c>
      <c r="C25" s="10" t="s">
        <v>134</v>
      </c>
      <c r="D25" s="6" t="s">
        <v>135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2" t="s">
        <v>141</v>
      </c>
      <c r="C26" s="10" t="s">
        <v>142</v>
      </c>
      <c r="D26" s="6" t="s">
        <v>143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2" t="s">
        <v>145</v>
      </c>
      <c r="C27" s="10" t="s">
        <v>146</v>
      </c>
      <c r="D27" s="6" t="s">
        <v>147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2" t="s">
        <v>150</v>
      </c>
      <c r="C28" s="10" t="s">
        <v>151</v>
      </c>
      <c r="D28" s="6" t="s">
        <v>152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E14:G14"/>
    <mergeCell ref="H14:J14"/>
    <mergeCell ref="B12:D12"/>
    <mergeCell ref="E12:G12"/>
    <mergeCell ref="H12:J12"/>
    <mergeCell ref="B13:D13"/>
    <mergeCell ref="E13:G13"/>
    <mergeCell ref="H13:J13"/>
    <mergeCell ref="B14:D14"/>
    <mergeCell ref="E18:G18"/>
    <mergeCell ref="H18:J18"/>
    <mergeCell ref="B16:D16"/>
    <mergeCell ref="E16:G16"/>
    <mergeCell ref="H16:J16"/>
    <mergeCell ref="B17:D17"/>
    <mergeCell ref="E17:G17"/>
    <mergeCell ref="H17:J17"/>
    <mergeCell ref="B18:D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42.0"/>
    <col customWidth="1" min="3" max="3" width="34.86"/>
    <col customWidth="1" min="4" max="4" width="29.29"/>
    <col customWidth="1" min="5" max="5" width="30.29"/>
    <col customWidth="1" min="6" max="6" width="47.43"/>
    <col customWidth="1" min="7" max="7" width="7.29"/>
    <col customWidth="1" min="8" max="8" width="17.0"/>
    <col customWidth="1" min="9" max="9" width="14.57"/>
    <col customWidth="1" min="10" max="10" width="14.43"/>
    <col customWidth="1" min="11" max="12" width="14.14"/>
    <col customWidth="1" min="13" max="13" width="30.0"/>
    <col customWidth="1" min="14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6</v>
      </c>
      <c r="C4" s="5" t="s">
        <v>7</v>
      </c>
      <c r="D4" s="1"/>
      <c r="E4" s="6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18</v>
      </c>
      <c r="C8" s="8" t="s">
        <v>20</v>
      </c>
      <c r="D8" s="8" t="s">
        <v>21</v>
      </c>
      <c r="E8" s="8" t="s">
        <v>22</v>
      </c>
      <c r="F8" s="8" t="s">
        <v>23</v>
      </c>
      <c r="G8" s="8" t="s">
        <v>24</v>
      </c>
      <c r="H8" s="8" t="s">
        <v>25</v>
      </c>
      <c r="I8" s="8" t="s">
        <v>27</v>
      </c>
      <c r="J8" s="8" t="s">
        <v>28</v>
      </c>
      <c r="K8" s="8" t="s">
        <v>29</v>
      </c>
      <c r="L8" s="8" t="s">
        <v>30</v>
      </c>
      <c r="M8" s="8" t="s">
        <v>31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0" t="s">
        <v>32</v>
      </c>
      <c r="C9" s="11" t="s">
        <v>34</v>
      </c>
      <c r="D9" s="12" t="s">
        <v>35</v>
      </c>
      <c r="E9" s="13" t="s">
        <v>36</v>
      </c>
      <c r="F9" s="14">
        <v>101019.36</v>
      </c>
      <c r="G9" s="19">
        <f t="shared" ref="G9:G19" si="1">F9/$F$20</f>
        <v>0.1488832426</v>
      </c>
      <c r="H9" s="21">
        <f t="shared" ref="H9:H19" si="2">F9/12</f>
        <v>8418.28</v>
      </c>
      <c r="I9" s="21">
        <f t="shared" ref="I9:I19" si="3">F9/239</f>
        <v>422.6751464</v>
      </c>
      <c r="J9" s="21">
        <f t="shared" ref="J9:J19" si="4">I9/3</f>
        <v>140.8917155</v>
      </c>
      <c r="K9" s="25">
        <f t="shared" ref="K9:K16" si="5">J9/(0.15*20)</f>
        <v>46.96390516</v>
      </c>
      <c r="L9" s="25">
        <f t="shared" ref="L9:L16" si="6">(F9/47.8)/(0.15*20*105)</f>
        <v>6.709129309</v>
      </c>
      <c r="M9" s="24" t="s">
        <v>71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0" t="s">
        <v>32</v>
      </c>
      <c r="C10" s="11" t="s">
        <v>73</v>
      </c>
      <c r="D10" s="12" t="s">
        <v>74</v>
      </c>
      <c r="E10" s="13" t="s">
        <v>36</v>
      </c>
      <c r="F10" s="14">
        <v>13132.52</v>
      </c>
      <c r="G10" s="19">
        <f t="shared" si="1"/>
        <v>0.01935482625</v>
      </c>
      <c r="H10" s="21">
        <f t="shared" si="2"/>
        <v>1094.376667</v>
      </c>
      <c r="I10" s="21">
        <f t="shared" si="3"/>
        <v>54.94778243</v>
      </c>
      <c r="J10" s="21">
        <f t="shared" si="4"/>
        <v>18.31592748</v>
      </c>
      <c r="K10" s="25">
        <f t="shared" si="5"/>
        <v>6.105309159</v>
      </c>
      <c r="L10" s="25">
        <f t="shared" si="6"/>
        <v>0.8721870226</v>
      </c>
      <c r="M10" s="24" t="s">
        <v>79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0" t="s">
        <v>32</v>
      </c>
      <c r="C11" s="11" t="s">
        <v>82</v>
      </c>
      <c r="D11" s="12" t="s">
        <v>83</v>
      </c>
      <c r="E11" s="13" t="s">
        <v>36</v>
      </c>
      <c r="F11" s="14">
        <v>30642.71</v>
      </c>
      <c r="G11" s="19">
        <f t="shared" si="1"/>
        <v>0.04516150198</v>
      </c>
      <c r="H11" s="21">
        <f t="shared" si="2"/>
        <v>2553.559167</v>
      </c>
      <c r="I11" s="21">
        <f t="shared" si="3"/>
        <v>128.2121757</v>
      </c>
      <c r="J11" s="21">
        <f t="shared" si="4"/>
        <v>42.73739191</v>
      </c>
      <c r="K11" s="25">
        <f t="shared" si="5"/>
        <v>14.2457973</v>
      </c>
      <c r="L11" s="25">
        <f t="shared" si="6"/>
        <v>2.035113901</v>
      </c>
      <c r="M11" s="24" t="s">
        <v>88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0" t="s">
        <v>32</v>
      </c>
      <c r="C12" s="11" t="s">
        <v>90</v>
      </c>
      <c r="D12" s="12" t="s">
        <v>92</v>
      </c>
      <c r="E12" s="13" t="s">
        <v>36</v>
      </c>
      <c r="F12" s="14">
        <v>94284.9</v>
      </c>
      <c r="G12" s="19">
        <f t="shared" si="1"/>
        <v>0.1389579348</v>
      </c>
      <c r="H12" s="21">
        <f t="shared" si="2"/>
        <v>7857.075</v>
      </c>
      <c r="I12" s="21">
        <f t="shared" si="3"/>
        <v>394.4974895</v>
      </c>
      <c r="J12" s="21">
        <f t="shared" si="4"/>
        <v>131.4991632</v>
      </c>
      <c r="K12" s="25">
        <f t="shared" si="5"/>
        <v>43.83305439</v>
      </c>
      <c r="L12" s="25">
        <f t="shared" si="6"/>
        <v>6.261864913</v>
      </c>
      <c r="M12" s="24" t="s">
        <v>95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0" t="s">
        <v>32</v>
      </c>
      <c r="C13" s="11" t="s">
        <v>96</v>
      </c>
      <c r="D13" s="12" t="s">
        <v>98</v>
      </c>
      <c r="E13" s="13" t="s">
        <v>36</v>
      </c>
      <c r="F13" s="14">
        <v>13132.52</v>
      </c>
      <c r="G13" s="19">
        <f t="shared" si="1"/>
        <v>0.01935482625</v>
      </c>
      <c r="H13" s="21">
        <f t="shared" si="2"/>
        <v>1094.376667</v>
      </c>
      <c r="I13" s="21">
        <f t="shared" si="3"/>
        <v>54.94778243</v>
      </c>
      <c r="J13" s="21">
        <f t="shared" si="4"/>
        <v>18.31592748</v>
      </c>
      <c r="K13" s="25">
        <f t="shared" si="5"/>
        <v>6.105309159</v>
      </c>
      <c r="L13" s="25">
        <f t="shared" si="6"/>
        <v>0.8721870226</v>
      </c>
      <c r="M13" s="24" t="s">
        <v>79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0" t="s">
        <v>32</v>
      </c>
      <c r="C14" s="11" t="s">
        <v>101</v>
      </c>
      <c r="D14" s="12" t="s">
        <v>103</v>
      </c>
      <c r="E14" s="13" t="s">
        <v>36</v>
      </c>
      <c r="F14" s="14">
        <v>30642.71</v>
      </c>
      <c r="G14" s="19">
        <f t="shared" si="1"/>
        <v>0.04516150198</v>
      </c>
      <c r="H14" s="21">
        <f t="shared" si="2"/>
        <v>2553.559167</v>
      </c>
      <c r="I14" s="21">
        <f t="shared" si="3"/>
        <v>128.2121757</v>
      </c>
      <c r="J14" s="21">
        <f t="shared" si="4"/>
        <v>42.73739191</v>
      </c>
      <c r="K14" s="25">
        <f t="shared" si="5"/>
        <v>14.2457973</v>
      </c>
      <c r="L14" s="25">
        <f t="shared" si="6"/>
        <v>2.035113901</v>
      </c>
      <c r="M14" s="24" t="s">
        <v>88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0" t="s">
        <v>32</v>
      </c>
      <c r="C15" s="11" t="s">
        <v>109</v>
      </c>
      <c r="D15" s="12" t="s">
        <v>110</v>
      </c>
      <c r="E15" s="13" t="s">
        <v>36</v>
      </c>
      <c r="F15" s="14">
        <v>22729.36</v>
      </c>
      <c r="G15" s="19">
        <f t="shared" si="1"/>
        <v>0.03349873548</v>
      </c>
      <c r="H15" s="21">
        <f t="shared" si="2"/>
        <v>1894.113333</v>
      </c>
      <c r="I15" s="21">
        <f t="shared" si="3"/>
        <v>95.10192469</v>
      </c>
      <c r="J15" s="21">
        <f t="shared" si="4"/>
        <v>31.70064156</v>
      </c>
      <c r="K15" s="25">
        <f t="shared" si="5"/>
        <v>10.56688052</v>
      </c>
      <c r="L15" s="25">
        <f t="shared" si="6"/>
        <v>1.50955436</v>
      </c>
      <c r="M15" s="24" t="s">
        <v>117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0" t="s">
        <v>32</v>
      </c>
      <c r="C16" s="11" t="s">
        <v>118</v>
      </c>
      <c r="D16" s="12" t="s">
        <v>120</v>
      </c>
      <c r="E16" s="13" t="s">
        <v>36</v>
      </c>
      <c r="F16" s="14">
        <v>53035.16</v>
      </c>
      <c r="G16" s="19">
        <f t="shared" si="1"/>
        <v>0.07816369647</v>
      </c>
      <c r="H16" s="21">
        <f t="shared" si="2"/>
        <v>4419.596667</v>
      </c>
      <c r="I16" s="21">
        <f t="shared" si="3"/>
        <v>221.9044351</v>
      </c>
      <c r="J16" s="21">
        <f t="shared" si="4"/>
        <v>73.96814505</v>
      </c>
      <c r="K16" s="25">
        <f t="shared" si="5"/>
        <v>24.65604835</v>
      </c>
      <c r="L16" s="25">
        <f t="shared" si="6"/>
        <v>3.522292621</v>
      </c>
      <c r="M16" s="24" t="s">
        <v>131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0" t="s">
        <v>136</v>
      </c>
      <c r="C17" s="11" t="s">
        <v>137</v>
      </c>
      <c r="D17" s="12" t="s">
        <v>138</v>
      </c>
      <c r="E17" s="13" t="s">
        <v>139</v>
      </c>
      <c r="F17" s="14">
        <v>117855.92</v>
      </c>
      <c r="G17" s="19">
        <f t="shared" si="1"/>
        <v>0.1736971164</v>
      </c>
      <c r="H17" s="21">
        <f t="shared" si="2"/>
        <v>9821.326667</v>
      </c>
      <c r="I17" s="21">
        <f t="shared" si="3"/>
        <v>493.1210042</v>
      </c>
      <c r="J17" s="21">
        <f t="shared" si="4"/>
        <v>164.3736681</v>
      </c>
      <c r="K17" s="25">
        <f>J17/(0.4*10)</f>
        <v>41.09341702</v>
      </c>
      <c r="L17" s="25">
        <f>(F17/47.8)/(0.4*10*80)</f>
        <v>7.70501569</v>
      </c>
      <c r="M17" s="24" t="s">
        <v>153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0" t="s">
        <v>136</v>
      </c>
      <c r="C18" s="11" t="s">
        <v>154</v>
      </c>
      <c r="D18" s="12" t="s">
        <v>155</v>
      </c>
      <c r="E18" s="13" t="s">
        <v>156</v>
      </c>
      <c r="F18" s="14">
        <v>141427.2</v>
      </c>
      <c r="G18" s="19">
        <f t="shared" si="1"/>
        <v>0.2084366811</v>
      </c>
      <c r="H18" s="21">
        <f t="shared" si="2"/>
        <v>11785.6</v>
      </c>
      <c r="I18" s="21">
        <f t="shared" si="3"/>
        <v>591.7456067</v>
      </c>
      <c r="J18" s="21">
        <f t="shared" si="4"/>
        <v>197.2485356</v>
      </c>
      <c r="K18" s="25">
        <f t="shared" ref="K18:K19" si="7">J18/(0.18*20)</f>
        <v>54.79125988</v>
      </c>
      <c r="L18" s="25">
        <f t="shared" ref="L18:L19" si="8">(F18/47.8)/(0.18*20*90)</f>
        <v>9.131876647</v>
      </c>
      <c r="M18" s="24" t="s">
        <v>157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0" t="s">
        <v>136</v>
      </c>
      <c r="C19" s="11" t="s">
        <v>158</v>
      </c>
      <c r="D19" s="12" t="s">
        <v>159</v>
      </c>
      <c r="E19" s="13" t="s">
        <v>156</v>
      </c>
      <c r="F19" s="14">
        <v>60611.61</v>
      </c>
      <c r="G19" s="19">
        <f t="shared" si="1"/>
        <v>0.08932993671</v>
      </c>
      <c r="H19" s="21">
        <f t="shared" si="2"/>
        <v>5050.9675</v>
      </c>
      <c r="I19" s="21">
        <f t="shared" si="3"/>
        <v>253.6050628</v>
      </c>
      <c r="J19" s="21">
        <f t="shared" si="4"/>
        <v>84.53502092</v>
      </c>
      <c r="K19" s="25">
        <f t="shared" si="7"/>
        <v>23.48195026</v>
      </c>
      <c r="L19" s="25">
        <f t="shared" si="8"/>
        <v>3.913658376</v>
      </c>
      <c r="M19" s="24" t="s">
        <v>161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1" t="s">
        <v>162</v>
      </c>
      <c r="C20" s="52"/>
      <c r="D20" s="52"/>
      <c r="E20" s="52"/>
      <c r="F20" s="53">
        <f t="shared" ref="F20:L20" si="9">SUM(F9:F19)</f>
        <v>678513.97</v>
      </c>
      <c r="G20" s="54">
        <f t="shared" si="9"/>
        <v>1</v>
      </c>
      <c r="H20" s="53">
        <f t="shared" si="9"/>
        <v>56542.83083</v>
      </c>
      <c r="I20" s="53">
        <f t="shared" si="9"/>
        <v>2838.970586</v>
      </c>
      <c r="J20" s="53">
        <f t="shared" si="9"/>
        <v>946.3235286</v>
      </c>
      <c r="K20" s="55">
        <f t="shared" si="9"/>
        <v>286.0887285</v>
      </c>
      <c r="L20" s="55">
        <f t="shared" si="9"/>
        <v>44.56799376</v>
      </c>
      <c r="M20" s="51" t="s">
        <v>172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7" t="s">
        <v>175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47" t="s">
        <v>182</v>
      </c>
      <c r="C25" s="47" t="s">
        <v>32</v>
      </c>
      <c r="D25" s="47" t="s">
        <v>136</v>
      </c>
      <c r="E25" s="47" t="s">
        <v>15</v>
      </c>
      <c r="F25" s="47" t="s">
        <v>183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2" t="s">
        <v>184</v>
      </c>
      <c r="C26" s="56">
        <f>SUM(J9:J16)</f>
        <v>500.166304</v>
      </c>
      <c r="D26" s="56">
        <f>SUM(J17:J19)</f>
        <v>446.1572245</v>
      </c>
      <c r="E26" s="20" t="s">
        <v>189</v>
      </c>
      <c r="F26" s="10" t="s">
        <v>190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2" t="s">
        <v>195</v>
      </c>
      <c r="C27" s="57">
        <v>0.9122</v>
      </c>
      <c r="D27" s="58">
        <v>0.809</v>
      </c>
      <c r="E27" s="20" t="s">
        <v>198</v>
      </c>
      <c r="F27" s="10" t="s">
        <v>199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2" t="s">
        <v>201</v>
      </c>
      <c r="C28" s="56">
        <f t="shared" ref="C28:D28" si="10">C26/C27</f>
        <v>548.307722</v>
      </c>
      <c r="D28" s="56">
        <f t="shared" si="10"/>
        <v>551.492243</v>
      </c>
      <c r="E28" s="20" t="s">
        <v>204</v>
      </c>
      <c r="F28" s="10" t="s">
        <v>205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59" t="s">
        <v>209</v>
      </c>
      <c r="C29" s="60">
        <f t="shared" ref="C29:D29" si="11">25*6</f>
        <v>150</v>
      </c>
      <c r="D29" s="60">
        <f t="shared" si="11"/>
        <v>150</v>
      </c>
      <c r="E29" s="20" t="s">
        <v>211</v>
      </c>
      <c r="F29" s="10" t="s">
        <v>212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2" t="s">
        <v>213</v>
      </c>
      <c r="C30" s="61">
        <f t="shared" ref="C30:D30" si="12">ROUNDUP(C28/C29, 0)</f>
        <v>4</v>
      </c>
      <c r="D30" s="61">
        <f t="shared" si="12"/>
        <v>4</v>
      </c>
      <c r="E30" s="20" t="s">
        <v>224</v>
      </c>
      <c r="F30" s="10" t="s">
        <v>225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2" t="s">
        <v>227</v>
      </c>
      <c r="C31" s="60">
        <f>50</f>
        <v>50</v>
      </c>
      <c r="D31" s="62">
        <v>40.5</v>
      </c>
      <c r="E31" s="20" t="s">
        <v>231</v>
      </c>
      <c r="F31" s="10" t="s">
        <v>232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2" t="s">
        <v>237</v>
      </c>
      <c r="C32" s="61">
        <f t="shared" ref="C32:D32" si="13">ROUNDUP(C28/C31, 0)</f>
        <v>11</v>
      </c>
      <c r="D32" s="61">
        <f t="shared" si="13"/>
        <v>14</v>
      </c>
      <c r="E32" s="20" t="s">
        <v>243</v>
      </c>
      <c r="F32" s="10" t="s">
        <v>244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2" t="s">
        <v>247</v>
      </c>
      <c r="C33" s="60">
        <v>15.0</v>
      </c>
      <c r="D33" s="60">
        <v>75.0</v>
      </c>
      <c r="E33" s="20" t="s">
        <v>249</v>
      </c>
      <c r="F33" s="10" t="s">
        <v>250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2" t="s">
        <v>251</v>
      </c>
      <c r="C34" s="61">
        <f>SUM(K9:K16)</f>
        <v>166.7221013</v>
      </c>
      <c r="D34" s="61">
        <f>SUM(K17:K19)</f>
        <v>119.3666272</v>
      </c>
      <c r="E34" s="20" t="s">
        <v>252</v>
      </c>
      <c r="F34" s="10" t="s">
        <v>254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2" t="s">
        <v>257</v>
      </c>
      <c r="C35" s="56">
        <f>SUM(L9:L16)/15</f>
        <v>1.587829537</v>
      </c>
      <c r="D35" s="56">
        <f>SUM(L17:L19)/15</f>
        <v>1.383370048</v>
      </c>
      <c r="E35" s="20" t="s">
        <v>258</v>
      </c>
      <c r="F35" s="10" t="s">
        <v>259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46.57"/>
    <col customWidth="1" min="3" max="3" width="34.86"/>
    <col customWidth="1" min="4" max="4" width="20.0"/>
    <col customWidth="1" min="5" max="5" width="59.14"/>
    <col customWidth="1" min="6" max="6" width="28.43"/>
    <col customWidth="1" min="7" max="7" width="19.86"/>
    <col customWidth="1" min="8" max="8" width="27.29"/>
    <col customWidth="1" min="9" max="9" width="22.43"/>
    <col customWidth="1" min="10" max="10" width="16.14"/>
    <col customWidth="1" min="11" max="11" width="21.14"/>
    <col customWidth="1" min="12" max="12" width="18.57"/>
    <col customWidth="1" min="13" max="13" width="23.86"/>
    <col customWidth="1" min="14" max="14" width="26.29"/>
    <col customWidth="1" min="15" max="15" width="34.14"/>
    <col customWidth="1" min="16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6</v>
      </c>
      <c r="C4" s="5" t="s">
        <v>7</v>
      </c>
      <c r="D4" s="1"/>
      <c r="E4" s="6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40</v>
      </c>
      <c r="C6" s="8" t="s">
        <v>41</v>
      </c>
      <c r="D6" s="8" t="s">
        <v>42</v>
      </c>
      <c r="E6" s="8" t="s">
        <v>44</v>
      </c>
      <c r="F6" s="8" t="s">
        <v>45</v>
      </c>
      <c r="G6" s="8" t="s">
        <v>46</v>
      </c>
      <c r="H6" s="8" t="s">
        <v>48</v>
      </c>
      <c r="I6" s="8" t="s">
        <v>49</v>
      </c>
      <c r="J6" s="8" t="s">
        <v>50</v>
      </c>
      <c r="K6" s="8" t="s">
        <v>51</v>
      </c>
      <c r="L6" s="8" t="s">
        <v>52</v>
      </c>
      <c r="M6" s="8" t="s">
        <v>54</v>
      </c>
      <c r="N6" s="8" t="s">
        <v>55</v>
      </c>
      <c r="O6" s="8" t="s">
        <v>56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 t="s">
        <v>58</v>
      </c>
      <c r="C7" s="12" t="s">
        <v>60</v>
      </c>
      <c r="D7" s="12" t="s">
        <v>61</v>
      </c>
      <c r="E7" s="10" t="s">
        <v>62</v>
      </c>
      <c r="F7" s="24" t="s">
        <v>64</v>
      </c>
      <c r="G7" s="26">
        <v>300.0</v>
      </c>
      <c r="H7" s="31">
        <f>ROUNDUP(('2. PCP - Programa &amp; Lotes'!C28+'2. PCP - Programa &amp; Lotes'!D28)/G7, 0)</f>
        <v>4</v>
      </c>
      <c r="I7" s="25">
        <f>'2. PCP - Programa &amp; Lotes'!C28+'2. PCP - Programa &amp; Lotes'!D28</f>
        <v>1099.799965</v>
      </c>
      <c r="J7" s="34">
        <v>4.5</v>
      </c>
      <c r="K7" s="34">
        <v>36.0</v>
      </c>
      <c r="L7" s="36">
        <v>0.5</v>
      </c>
      <c r="M7" s="37">
        <f t="shared" ref="M7:M26" si="1">IF(H7&gt;0, (2*J7/K7) + L7, 0)</f>
        <v>0.75</v>
      </c>
      <c r="N7" s="38">
        <f t="shared" ref="N7:N26" si="2">H7*M7/60</f>
        <v>0.05</v>
      </c>
      <c r="O7" s="39">
        <f t="shared" ref="O7:O26" si="3">H7*J7*G7</f>
        <v>5400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0" t="s">
        <v>128</v>
      </c>
      <c r="C8" s="42" t="s">
        <v>61</v>
      </c>
      <c r="D8" s="42" t="s">
        <v>140</v>
      </c>
      <c r="E8" s="43" t="s">
        <v>144</v>
      </c>
      <c r="F8" s="45" t="s">
        <v>148</v>
      </c>
      <c r="G8" s="46">
        <f>'2. PCP - Programa &amp; Lotes'!C29</f>
        <v>150</v>
      </c>
      <c r="H8" s="31">
        <f>'2. PCP - Programa &amp; Lotes'!C30</f>
        <v>4</v>
      </c>
      <c r="I8" s="48">
        <f>'2. PCP - Programa &amp; Lotes'!C28</f>
        <v>548.307722</v>
      </c>
      <c r="J8" s="34">
        <v>3.5</v>
      </c>
      <c r="K8" s="34">
        <v>48.0</v>
      </c>
      <c r="L8" s="36">
        <v>0.3</v>
      </c>
      <c r="M8" s="49">
        <f t="shared" si="1"/>
        <v>0.4458333333</v>
      </c>
      <c r="N8" s="38">
        <f t="shared" si="2"/>
        <v>0.02972222222</v>
      </c>
      <c r="O8" s="50">
        <f t="shared" si="3"/>
        <v>2100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" t="s">
        <v>165</v>
      </c>
      <c r="C9" s="12" t="s">
        <v>140</v>
      </c>
      <c r="D9" s="12" t="s">
        <v>166</v>
      </c>
      <c r="E9" s="10" t="s">
        <v>167</v>
      </c>
      <c r="F9" s="24" t="s">
        <v>169</v>
      </c>
      <c r="G9" s="46">
        <f>50</f>
        <v>50</v>
      </c>
      <c r="H9" s="31">
        <f>'2. PCP - Programa &amp; Lotes'!C30</f>
        <v>4</v>
      </c>
      <c r="I9" s="25">
        <f>'2. PCP - Programa &amp; Lotes'!C28</f>
        <v>548.307722</v>
      </c>
      <c r="J9" s="34">
        <v>3.0</v>
      </c>
      <c r="K9" s="34">
        <v>42.0</v>
      </c>
      <c r="L9" s="36">
        <v>0.35</v>
      </c>
      <c r="M9" s="37">
        <f t="shared" si="1"/>
        <v>0.4928571429</v>
      </c>
      <c r="N9" s="38">
        <f t="shared" si="2"/>
        <v>0.03285714286</v>
      </c>
      <c r="O9" s="39">
        <f t="shared" si="3"/>
        <v>600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0" t="s">
        <v>178</v>
      </c>
      <c r="C10" s="42" t="s">
        <v>166</v>
      </c>
      <c r="D10" s="42" t="s">
        <v>179</v>
      </c>
      <c r="E10" s="43" t="s">
        <v>180</v>
      </c>
      <c r="F10" s="45" t="s">
        <v>181</v>
      </c>
      <c r="G10" s="26">
        <v>0.0</v>
      </c>
      <c r="H10" s="26">
        <v>0.0</v>
      </c>
      <c r="I10" s="48">
        <f>'2. PCP - Programa &amp; Lotes'!C28*0.98</f>
        <v>537.3415676</v>
      </c>
      <c r="J10" s="34">
        <v>5.0</v>
      </c>
      <c r="K10" s="34">
        <v>60.0</v>
      </c>
      <c r="L10" s="36">
        <v>0.0</v>
      </c>
      <c r="M10" s="49">
        <f t="shared" si="1"/>
        <v>0</v>
      </c>
      <c r="N10" s="38">
        <f t="shared" si="2"/>
        <v>0</v>
      </c>
      <c r="O10" s="50">
        <f t="shared" si="3"/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 t="s">
        <v>191</v>
      </c>
      <c r="C11" s="12" t="s">
        <v>179</v>
      </c>
      <c r="D11" s="12" t="s">
        <v>192</v>
      </c>
      <c r="E11" s="10" t="s">
        <v>193</v>
      </c>
      <c r="F11" s="24" t="s">
        <v>181</v>
      </c>
      <c r="G11" s="26">
        <v>0.0</v>
      </c>
      <c r="H11" s="26">
        <v>0.0</v>
      </c>
      <c r="I11" s="25">
        <f>'2. PCP - Programa &amp; Lotes'!C28*0.91</f>
        <v>498.9600271</v>
      </c>
      <c r="J11" s="34">
        <v>6.0</v>
      </c>
      <c r="K11" s="34">
        <v>60.0</v>
      </c>
      <c r="L11" s="36">
        <v>0.0</v>
      </c>
      <c r="M11" s="37">
        <f t="shared" si="1"/>
        <v>0</v>
      </c>
      <c r="N11" s="38">
        <f t="shared" si="2"/>
        <v>0</v>
      </c>
      <c r="O11" s="39">
        <f t="shared" si="3"/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0" t="s">
        <v>206</v>
      </c>
      <c r="C12" s="42" t="s">
        <v>192</v>
      </c>
      <c r="D12" s="42" t="s">
        <v>207</v>
      </c>
      <c r="E12" s="43" t="s">
        <v>208</v>
      </c>
      <c r="F12" s="45" t="s">
        <v>210</v>
      </c>
      <c r="G12" s="26">
        <v>0.0</v>
      </c>
      <c r="H12" s="26">
        <v>0.0</v>
      </c>
      <c r="I12" s="48">
        <f>'2. PCP - Programa &amp; Lotes'!C28*0.865</f>
        <v>474.2861796</v>
      </c>
      <c r="J12" s="34">
        <v>4.0</v>
      </c>
      <c r="K12" s="34">
        <v>60.0</v>
      </c>
      <c r="L12" s="36">
        <v>0.0</v>
      </c>
      <c r="M12" s="49">
        <f t="shared" si="1"/>
        <v>0</v>
      </c>
      <c r="N12" s="38">
        <f t="shared" si="2"/>
        <v>0</v>
      </c>
      <c r="O12" s="50">
        <f t="shared" si="3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 t="s">
        <v>216</v>
      </c>
      <c r="C13" s="12" t="s">
        <v>207</v>
      </c>
      <c r="D13" s="12" t="s">
        <v>219</v>
      </c>
      <c r="E13" s="10" t="s">
        <v>220</v>
      </c>
      <c r="F13" s="24" t="s">
        <v>221</v>
      </c>
      <c r="G13" s="26">
        <v>3.0</v>
      </c>
      <c r="H13" s="31">
        <f>'2. PCP - Programa &amp; Lotes'!C34</f>
        <v>166.7221013</v>
      </c>
      <c r="I13" s="25">
        <f>'2. PCP - Programa &amp; Lotes'!C26</f>
        <v>500.166304</v>
      </c>
      <c r="J13" s="34">
        <v>2.5</v>
      </c>
      <c r="K13" s="34">
        <v>48.0</v>
      </c>
      <c r="L13" s="36">
        <v>0.05</v>
      </c>
      <c r="M13" s="37">
        <f t="shared" si="1"/>
        <v>0.1541666667</v>
      </c>
      <c r="N13" s="38">
        <f t="shared" si="2"/>
        <v>0.4283831771</v>
      </c>
      <c r="O13" s="39">
        <f t="shared" si="3"/>
        <v>1250.41576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0" t="s">
        <v>236</v>
      </c>
      <c r="C14" s="42" t="s">
        <v>219</v>
      </c>
      <c r="D14" s="42" t="s">
        <v>238</v>
      </c>
      <c r="E14" s="43" t="s">
        <v>239</v>
      </c>
      <c r="F14" s="45" t="s">
        <v>64</v>
      </c>
      <c r="G14" s="26">
        <v>315.0</v>
      </c>
      <c r="H14" s="31">
        <f>'2. PCP - Programa &amp; Lotes'!C35</f>
        <v>1.587829537</v>
      </c>
      <c r="I14" s="48">
        <f>'2. PCP - Programa &amp; Lotes'!C26</f>
        <v>500.166304</v>
      </c>
      <c r="J14" s="34">
        <v>5.0</v>
      </c>
      <c r="K14" s="34">
        <v>36.0</v>
      </c>
      <c r="L14" s="36">
        <v>0.75</v>
      </c>
      <c r="M14" s="49">
        <f t="shared" si="1"/>
        <v>1.027777778</v>
      </c>
      <c r="N14" s="38">
        <f t="shared" si="2"/>
        <v>0.02719893188</v>
      </c>
      <c r="O14" s="50">
        <f t="shared" si="3"/>
        <v>2500.83152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 t="s">
        <v>253</v>
      </c>
      <c r="C15" s="12" t="s">
        <v>61</v>
      </c>
      <c r="D15" s="12" t="s">
        <v>255</v>
      </c>
      <c r="E15" s="10" t="s">
        <v>256</v>
      </c>
      <c r="F15" s="24" t="s">
        <v>148</v>
      </c>
      <c r="G15" s="26">
        <v>45.0</v>
      </c>
      <c r="H15" s="31">
        <f>'2. PCP - Programa &amp; Lotes'!D30</f>
        <v>4</v>
      </c>
      <c r="I15" s="25">
        <f>'2. PCP - Programa &amp; Lotes'!D28</f>
        <v>551.492243</v>
      </c>
      <c r="J15" s="34">
        <v>5.5</v>
      </c>
      <c r="K15" s="34">
        <v>48.0</v>
      </c>
      <c r="L15" s="36">
        <v>0.35</v>
      </c>
      <c r="M15" s="37">
        <f t="shared" si="1"/>
        <v>0.5791666667</v>
      </c>
      <c r="N15" s="38">
        <f t="shared" si="2"/>
        <v>0.03861111111</v>
      </c>
      <c r="O15" s="39">
        <f t="shared" si="3"/>
        <v>990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0" t="s">
        <v>260</v>
      </c>
      <c r="C16" s="42" t="s">
        <v>255</v>
      </c>
      <c r="D16" s="42" t="s">
        <v>261</v>
      </c>
      <c r="E16" s="43" t="s">
        <v>262</v>
      </c>
      <c r="F16" s="45" t="s">
        <v>169</v>
      </c>
      <c r="G16" s="26">
        <v>45.0</v>
      </c>
      <c r="H16" s="31">
        <f>'2. PCP - Programa &amp; Lotes'!D30</f>
        <v>4</v>
      </c>
      <c r="I16" s="48">
        <f>'2. PCP - Programa &amp; Lotes'!D28</f>
        <v>551.492243</v>
      </c>
      <c r="J16" s="34">
        <v>3.0</v>
      </c>
      <c r="K16" s="34">
        <v>42.0</v>
      </c>
      <c r="L16" s="36">
        <v>0.35</v>
      </c>
      <c r="M16" s="49">
        <f t="shared" si="1"/>
        <v>0.4928571429</v>
      </c>
      <c r="N16" s="38">
        <f t="shared" si="2"/>
        <v>0.03285714286</v>
      </c>
      <c r="O16" s="50">
        <f t="shared" si="3"/>
        <v>540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 t="s">
        <v>263</v>
      </c>
      <c r="C17" s="12" t="s">
        <v>261</v>
      </c>
      <c r="D17" s="12" t="s">
        <v>264</v>
      </c>
      <c r="E17" s="10" t="s">
        <v>265</v>
      </c>
      <c r="F17" s="24" t="s">
        <v>266</v>
      </c>
      <c r="G17" s="26">
        <v>27.0</v>
      </c>
      <c r="H17" s="31">
        <f>'2. PCP - Programa &amp; Lotes'!D32*0.4</f>
        <v>5.6</v>
      </c>
      <c r="I17" s="25">
        <f>'2. PCP - Programa &amp; Lotes'!D28</f>
        <v>551.492243</v>
      </c>
      <c r="J17" s="34">
        <v>3.0</v>
      </c>
      <c r="K17" s="34">
        <v>42.0</v>
      </c>
      <c r="L17" s="36">
        <v>0.4</v>
      </c>
      <c r="M17" s="37">
        <f t="shared" si="1"/>
        <v>0.5428571429</v>
      </c>
      <c r="N17" s="38">
        <f t="shared" si="2"/>
        <v>0.05066666667</v>
      </c>
      <c r="O17" s="39">
        <f t="shared" si="3"/>
        <v>453.6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40" t="s">
        <v>267</v>
      </c>
      <c r="C18" s="42" t="s">
        <v>264</v>
      </c>
      <c r="D18" s="42" t="s">
        <v>268</v>
      </c>
      <c r="E18" s="43" t="s">
        <v>269</v>
      </c>
      <c r="F18" s="45" t="s">
        <v>266</v>
      </c>
      <c r="G18" s="26">
        <v>27.0</v>
      </c>
      <c r="H18" s="31">
        <f>'2. PCP - Programa &amp; Lotes'!D32*0.4</f>
        <v>5.6</v>
      </c>
      <c r="I18" s="48">
        <f>'2. PCP - Programa &amp; Lotes'!D28</f>
        <v>551.492243</v>
      </c>
      <c r="J18" s="34">
        <v>4.0</v>
      </c>
      <c r="K18" s="34">
        <v>42.0</v>
      </c>
      <c r="L18" s="36">
        <v>0.4</v>
      </c>
      <c r="M18" s="49">
        <f t="shared" si="1"/>
        <v>0.5904761905</v>
      </c>
      <c r="N18" s="38">
        <f t="shared" si="2"/>
        <v>0.05511111111</v>
      </c>
      <c r="O18" s="50">
        <f t="shared" si="3"/>
        <v>604.8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1" t="s">
        <v>270</v>
      </c>
      <c r="C19" s="12" t="s">
        <v>268</v>
      </c>
      <c r="D19" s="12" t="s">
        <v>271</v>
      </c>
      <c r="E19" s="10" t="s">
        <v>272</v>
      </c>
      <c r="F19" s="24" t="s">
        <v>266</v>
      </c>
      <c r="G19" s="26">
        <v>35.0</v>
      </c>
      <c r="H19" s="31">
        <f>'2. PCP - Programa &amp; Lotes'!D32</f>
        <v>14</v>
      </c>
      <c r="I19" s="25">
        <f>'2. PCP - Programa &amp; Lotes'!D28*0.87</f>
        <v>479.7982514</v>
      </c>
      <c r="J19" s="34">
        <v>3.5</v>
      </c>
      <c r="K19" s="34">
        <v>36.0</v>
      </c>
      <c r="L19" s="36">
        <v>0.45</v>
      </c>
      <c r="M19" s="37">
        <f t="shared" si="1"/>
        <v>0.6444444444</v>
      </c>
      <c r="N19" s="38">
        <f t="shared" si="2"/>
        <v>0.1503703704</v>
      </c>
      <c r="O19" s="39">
        <f t="shared" si="3"/>
        <v>1715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0" t="s">
        <v>273</v>
      </c>
      <c r="C20" s="42" t="s">
        <v>271</v>
      </c>
      <c r="D20" s="42" t="s">
        <v>274</v>
      </c>
      <c r="E20" s="43" t="s">
        <v>275</v>
      </c>
      <c r="F20" s="45" t="s">
        <v>276</v>
      </c>
      <c r="G20" s="26">
        <v>30.0</v>
      </c>
      <c r="H20" s="31">
        <f>'2. PCP - Programa &amp; Lotes'!D32</f>
        <v>14</v>
      </c>
      <c r="I20" s="48">
        <f>'2. PCP - Programa &amp; Lotes'!D26</f>
        <v>446.1572245</v>
      </c>
      <c r="J20" s="34">
        <v>4.0</v>
      </c>
      <c r="K20" s="34">
        <v>42.0</v>
      </c>
      <c r="L20" s="36">
        <v>0.35</v>
      </c>
      <c r="M20" s="49">
        <f t="shared" si="1"/>
        <v>0.5404761905</v>
      </c>
      <c r="N20" s="38">
        <f t="shared" si="2"/>
        <v>0.1261111111</v>
      </c>
      <c r="O20" s="50">
        <f t="shared" si="3"/>
        <v>1680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1" t="s">
        <v>277</v>
      </c>
      <c r="C21" s="12" t="s">
        <v>278</v>
      </c>
      <c r="D21" s="12" t="s">
        <v>279</v>
      </c>
      <c r="E21" s="10" t="s">
        <v>280</v>
      </c>
      <c r="F21" s="24" t="s">
        <v>221</v>
      </c>
      <c r="G21" s="26">
        <v>4.0</v>
      </c>
      <c r="H21" s="31">
        <f>'2. PCP - Programa &amp; Lotes'!D34/2</f>
        <v>59.68331358</v>
      </c>
      <c r="I21" s="25">
        <f>'2. PCP - Programa &amp; Lotes'!D26*0.54</f>
        <v>240.9249013</v>
      </c>
      <c r="J21" s="34">
        <v>2.0</v>
      </c>
      <c r="K21" s="34">
        <v>48.0</v>
      </c>
      <c r="L21" s="36">
        <v>0.05</v>
      </c>
      <c r="M21" s="37">
        <f t="shared" si="1"/>
        <v>0.1333333333</v>
      </c>
      <c r="N21" s="38">
        <f t="shared" si="2"/>
        <v>0.1326295857</v>
      </c>
      <c r="O21" s="39">
        <f t="shared" si="3"/>
        <v>477.4665086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40" t="s">
        <v>281</v>
      </c>
      <c r="C22" s="42" t="s">
        <v>279</v>
      </c>
      <c r="D22" s="42" t="s">
        <v>282</v>
      </c>
      <c r="E22" s="43" t="s">
        <v>283</v>
      </c>
      <c r="F22" s="45" t="s">
        <v>221</v>
      </c>
      <c r="G22" s="26">
        <v>3.6</v>
      </c>
      <c r="H22" s="31">
        <f>'2. PCP - Programa &amp; Lotes'!D34/2</f>
        <v>59.68331358</v>
      </c>
      <c r="I22" s="48">
        <f>'2. PCP - Programa &amp; Lotes'!D26</f>
        <v>446.1572245</v>
      </c>
      <c r="J22" s="34">
        <v>2.0</v>
      </c>
      <c r="K22" s="34">
        <v>48.0</v>
      </c>
      <c r="L22" s="36">
        <v>0.05</v>
      </c>
      <c r="M22" s="49">
        <f t="shared" si="1"/>
        <v>0.1333333333</v>
      </c>
      <c r="N22" s="38">
        <f t="shared" si="2"/>
        <v>0.1326295857</v>
      </c>
      <c r="O22" s="50">
        <f t="shared" si="3"/>
        <v>429.7198577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1" t="s">
        <v>284</v>
      </c>
      <c r="C23" s="12" t="s">
        <v>282</v>
      </c>
      <c r="D23" s="12" t="s">
        <v>238</v>
      </c>
      <c r="E23" s="10" t="s">
        <v>285</v>
      </c>
      <c r="F23" s="24" t="s">
        <v>64</v>
      </c>
      <c r="G23" s="26">
        <v>250.0</v>
      </c>
      <c r="H23" s="31">
        <f>'2. PCP - Programa &amp; Lotes'!D35</f>
        <v>1.383370048</v>
      </c>
      <c r="I23" s="25">
        <f>'2. PCP - Programa &amp; Lotes'!D26</f>
        <v>446.1572245</v>
      </c>
      <c r="J23" s="34">
        <v>5.0</v>
      </c>
      <c r="K23" s="34">
        <v>36.0</v>
      </c>
      <c r="L23" s="36">
        <v>0.75</v>
      </c>
      <c r="M23" s="37">
        <f t="shared" si="1"/>
        <v>1.027777778</v>
      </c>
      <c r="N23" s="38">
        <f t="shared" si="2"/>
        <v>0.02369661655</v>
      </c>
      <c r="O23" s="39">
        <f t="shared" si="3"/>
        <v>1729.212559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40" t="s">
        <v>286</v>
      </c>
      <c r="C24" s="42" t="s">
        <v>287</v>
      </c>
      <c r="D24" s="42" t="s">
        <v>61</v>
      </c>
      <c r="E24" s="43" t="s">
        <v>288</v>
      </c>
      <c r="F24" s="45" t="s">
        <v>289</v>
      </c>
      <c r="G24" s="26">
        <v>12.0</v>
      </c>
      <c r="H24" s="26">
        <v>4.0</v>
      </c>
      <c r="I24" s="48">
        <f>'2. PCP - Programa &amp; Lotes'!C28*0.08</f>
        <v>43.86461776</v>
      </c>
      <c r="J24" s="34">
        <v>8.0</v>
      </c>
      <c r="K24" s="34">
        <v>48.0</v>
      </c>
      <c r="L24" s="36">
        <v>0.3</v>
      </c>
      <c r="M24" s="49">
        <f t="shared" si="1"/>
        <v>0.6333333333</v>
      </c>
      <c r="N24" s="38">
        <f t="shared" si="2"/>
        <v>0.04222222222</v>
      </c>
      <c r="O24" s="50">
        <f t="shared" si="3"/>
        <v>384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1" t="s">
        <v>290</v>
      </c>
      <c r="C25" s="12" t="s">
        <v>291</v>
      </c>
      <c r="D25" s="12" t="s">
        <v>261</v>
      </c>
      <c r="E25" s="10" t="s">
        <v>292</v>
      </c>
      <c r="F25" s="24" t="s">
        <v>293</v>
      </c>
      <c r="G25" s="26">
        <v>15.0</v>
      </c>
      <c r="H25" s="31">
        <f>'2. PCP - Programa &amp; Lotes'!D32</f>
        <v>14</v>
      </c>
      <c r="I25" s="25">
        <v>0.0</v>
      </c>
      <c r="J25" s="34">
        <v>6.0</v>
      </c>
      <c r="K25" s="34">
        <v>48.0</v>
      </c>
      <c r="L25" s="36">
        <v>0.2</v>
      </c>
      <c r="M25" s="37">
        <f t="shared" si="1"/>
        <v>0.45</v>
      </c>
      <c r="N25" s="38">
        <f t="shared" si="2"/>
        <v>0.105</v>
      </c>
      <c r="O25" s="39">
        <f t="shared" si="3"/>
        <v>1260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40" t="s">
        <v>294</v>
      </c>
      <c r="C26" s="42" t="s">
        <v>295</v>
      </c>
      <c r="D26" s="42" t="s">
        <v>296</v>
      </c>
      <c r="E26" s="43" t="s">
        <v>297</v>
      </c>
      <c r="F26" s="45" t="s">
        <v>298</v>
      </c>
      <c r="G26" s="26">
        <v>20.0</v>
      </c>
      <c r="H26" s="26">
        <v>11.0</v>
      </c>
      <c r="I26" s="48">
        <f>('2. PCP - Programa &amp; Lotes'!C28+'2. PCP - Programa &amp; Lotes'!D28)*0.09</f>
        <v>98.98199685</v>
      </c>
      <c r="J26" s="34">
        <v>10.0</v>
      </c>
      <c r="K26" s="34">
        <v>42.0</v>
      </c>
      <c r="L26" s="36">
        <v>0.4</v>
      </c>
      <c r="M26" s="49">
        <f t="shared" si="1"/>
        <v>0.8761904762</v>
      </c>
      <c r="N26" s="38">
        <f t="shared" si="2"/>
        <v>0.1606349206</v>
      </c>
      <c r="O26" s="50">
        <f t="shared" si="3"/>
        <v>2200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63" t="s">
        <v>299</v>
      </c>
      <c r="C27" s="52"/>
      <c r="D27" s="52"/>
      <c r="E27" s="52"/>
      <c r="F27" s="52"/>
      <c r="G27" s="52"/>
      <c r="H27" s="64">
        <f t="shared" ref="H27:I27" si="4">SUM(H7:H26)</f>
        <v>377.2599281</v>
      </c>
      <c r="I27" s="64">
        <f t="shared" si="4"/>
        <v>9115.346204</v>
      </c>
      <c r="J27" s="52"/>
      <c r="K27" s="52"/>
      <c r="L27" s="52"/>
      <c r="M27" s="52"/>
      <c r="N27" s="65">
        <f t="shared" ref="N27:O27" si="5">SUM(N7:N26)</f>
        <v>1.618701918</v>
      </c>
      <c r="O27" s="64">
        <f t="shared" si="5"/>
        <v>24315.04621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7" t="s">
        <v>300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2" t="s">
        <v>301</v>
      </c>
      <c r="C31" s="38">
        <f>N27</f>
        <v>1.618701918</v>
      </c>
      <c r="D31" s="20" t="s">
        <v>302</v>
      </c>
      <c r="E31" s="66" t="s">
        <v>303</v>
      </c>
      <c r="F31" s="16"/>
      <c r="G31" s="16"/>
      <c r="H31" s="16"/>
      <c r="I31" s="16"/>
      <c r="J31" s="1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2" t="s">
        <v>304</v>
      </c>
      <c r="C32" s="38">
        <f>C31/8</f>
        <v>0.2023377398</v>
      </c>
      <c r="D32" s="20" t="s">
        <v>305</v>
      </c>
      <c r="E32" s="66" t="s">
        <v>306</v>
      </c>
      <c r="F32" s="16"/>
      <c r="G32" s="16"/>
      <c r="H32" s="16"/>
      <c r="I32" s="16"/>
      <c r="J32" s="1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2" t="s">
        <v>307</v>
      </c>
      <c r="C33" s="31">
        <f>O27</f>
        <v>24315.04621</v>
      </c>
      <c r="D33" s="20" t="s">
        <v>308</v>
      </c>
      <c r="E33" s="66" t="s">
        <v>309</v>
      </c>
      <c r="F33" s="16"/>
      <c r="G33" s="16"/>
      <c r="H33" s="16"/>
      <c r="I33" s="16"/>
      <c r="J33" s="1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E31:J31"/>
    <mergeCell ref="E32:J32"/>
    <mergeCell ref="E33:J33"/>
  </mergeCell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45.0"/>
    <col customWidth="1" min="3" max="3" width="30.71"/>
    <col customWidth="1" min="4" max="4" width="27.0"/>
    <col customWidth="1" min="5" max="5" width="45.0"/>
    <col customWidth="1" min="6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6</v>
      </c>
      <c r="C4" s="5" t="s">
        <v>7</v>
      </c>
      <c r="D4" s="1"/>
      <c r="E4" s="6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12</v>
      </c>
      <c r="C6" s="8" t="s">
        <v>14</v>
      </c>
      <c r="D6" s="8" t="s">
        <v>15</v>
      </c>
      <c r="E6" s="8" t="s">
        <v>16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0" t="s">
        <v>26</v>
      </c>
      <c r="C7" s="18">
        <f>'2. PCP - Programa &amp; Lotes'!C35*15</f>
        <v>23.81744305</v>
      </c>
      <c r="D7" s="20" t="s">
        <v>43</v>
      </c>
      <c r="E7" s="10" t="s">
        <v>47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53</v>
      </c>
      <c r="C8" s="18">
        <f>'2. PCP - Programa &amp; Lotes'!D35*15</f>
        <v>20.75055071</v>
      </c>
      <c r="D8" s="20" t="s">
        <v>43</v>
      </c>
      <c r="E8" s="10" t="s">
        <v>59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0" t="s">
        <v>63</v>
      </c>
      <c r="C9" s="18">
        <f>C7+C8</f>
        <v>44.56799376</v>
      </c>
      <c r="D9" s="20" t="s">
        <v>43</v>
      </c>
      <c r="E9" s="10" t="s">
        <v>65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0" t="s">
        <v>66</v>
      </c>
      <c r="C10" s="27">
        <v>10.0</v>
      </c>
      <c r="D10" s="20" t="s">
        <v>68</v>
      </c>
      <c r="E10" s="29" t="s">
        <v>69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2" t="s">
        <v>75</v>
      </c>
      <c r="C11" s="30">
        <f>C9*(C10/5)</f>
        <v>89.13598753</v>
      </c>
      <c r="D11" s="20" t="s">
        <v>80</v>
      </c>
      <c r="E11" s="10" t="s">
        <v>81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0" t="s">
        <v>84</v>
      </c>
      <c r="C12" s="32" t="s">
        <v>85</v>
      </c>
      <c r="D12" s="20" t="s">
        <v>86</v>
      </c>
      <c r="E12" s="10" t="s">
        <v>87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0" t="s">
        <v>89</v>
      </c>
      <c r="C13" s="32" t="s">
        <v>91</v>
      </c>
      <c r="D13" s="20" t="s">
        <v>86</v>
      </c>
      <c r="E13" s="10" t="s">
        <v>93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0" t="s">
        <v>94</v>
      </c>
      <c r="C14" s="35">
        <v>3.0</v>
      </c>
      <c r="D14" s="20" t="s">
        <v>97</v>
      </c>
      <c r="E14" s="10" t="s">
        <v>99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0" t="s">
        <v>100</v>
      </c>
      <c r="C15" s="30">
        <f>ROUNDUP(C11/(C14*2), 0)</f>
        <v>15</v>
      </c>
      <c r="D15" s="20" t="s">
        <v>105</v>
      </c>
      <c r="E15" s="10" t="s">
        <v>106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0" t="s">
        <v>108</v>
      </c>
      <c r="C16" s="18">
        <f>C15*2.7*1.1</f>
        <v>44.55</v>
      </c>
      <c r="D16" s="20" t="s">
        <v>111</v>
      </c>
      <c r="E16" s="10" t="s">
        <v>112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0" t="s">
        <v>114</v>
      </c>
      <c r="C17" s="35">
        <v>3.0</v>
      </c>
      <c r="D17" s="20" t="s">
        <v>115</v>
      </c>
      <c r="E17" s="10" t="s">
        <v>116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0" t="s">
        <v>119</v>
      </c>
      <c r="C18" s="35">
        <v>95.0</v>
      </c>
      <c r="D18" s="20" t="s">
        <v>111</v>
      </c>
      <c r="E18" s="10" t="s">
        <v>122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0" t="s">
        <v>125</v>
      </c>
      <c r="C19" s="35">
        <v>25.0</v>
      </c>
      <c r="D19" s="20" t="s">
        <v>111</v>
      </c>
      <c r="E19" s="10" t="s">
        <v>126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1" t="s">
        <v>132</v>
      </c>
      <c r="C20" s="44">
        <f>C16+C18+C19</f>
        <v>164.55</v>
      </c>
      <c r="D20" s="6" t="s">
        <v>111</v>
      </c>
      <c r="E20" s="41" t="s">
        <v>149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47" t="s">
        <v>12</v>
      </c>
      <c r="C22" s="47" t="s">
        <v>14</v>
      </c>
      <c r="D22" s="47" t="s">
        <v>15</v>
      </c>
      <c r="E22" s="47" t="s">
        <v>16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0" t="s">
        <v>160</v>
      </c>
      <c r="C23" s="18">
        <f>'2. PCP - Programa &amp; Lotes'!C28*15</f>
        <v>8224.615831</v>
      </c>
      <c r="D23" s="20" t="s">
        <v>163</v>
      </c>
      <c r="E23" s="10" t="s">
        <v>164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0" t="s">
        <v>168</v>
      </c>
      <c r="C24" s="18">
        <f>'2. PCP - Programa &amp; Lotes'!D28*15</f>
        <v>8272.383644</v>
      </c>
      <c r="D24" s="20" t="s">
        <v>163</v>
      </c>
      <c r="E24" s="10" t="s">
        <v>170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0" t="s">
        <v>171</v>
      </c>
      <c r="C25" s="18">
        <f>C23+C24</f>
        <v>16496.99947</v>
      </c>
      <c r="D25" s="20" t="s">
        <v>163</v>
      </c>
      <c r="E25" s="10" t="s">
        <v>173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0" t="s">
        <v>174</v>
      </c>
      <c r="C26" s="35">
        <v>15.0</v>
      </c>
      <c r="D26" s="20" t="s">
        <v>68</v>
      </c>
      <c r="E26" s="10" t="s">
        <v>176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2" t="s">
        <v>177</v>
      </c>
      <c r="C27" s="30">
        <f>ROUNDUP((C25*(C26/5))/1000, 0)</f>
        <v>50</v>
      </c>
      <c r="D27" s="20" t="s">
        <v>80</v>
      </c>
      <c r="E27" s="10" t="s">
        <v>185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0" t="s">
        <v>186</v>
      </c>
      <c r="C28" s="35">
        <v>12.0</v>
      </c>
      <c r="D28" s="20" t="s">
        <v>111</v>
      </c>
      <c r="E28" s="10" t="s">
        <v>187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0" t="s">
        <v>188</v>
      </c>
      <c r="C29" s="18">
        <f>ROUNDUP(C27/6, 0)*2.7*1.1</f>
        <v>26.73</v>
      </c>
      <c r="D29" s="20" t="s">
        <v>111</v>
      </c>
      <c r="E29" s="10" t="s">
        <v>194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0" t="s">
        <v>196</v>
      </c>
      <c r="C30" s="35">
        <v>45.0</v>
      </c>
      <c r="D30" s="20" t="s">
        <v>111</v>
      </c>
      <c r="E30" s="10" t="s">
        <v>197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0" t="s">
        <v>200</v>
      </c>
      <c r="C31" s="35">
        <v>15.0</v>
      </c>
      <c r="D31" s="20" t="s">
        <v>111</v>
      </c>
      <c r="E31" s="10" t="s">
        <v>202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41" t="s">
        <v>203</v>
      </c>
      <c r="C32" s="44">
        <f>C28+C29+C30+C31</f>
        <v>98.73</v>
      </c>
      <c r="D32" s="6" t="s">
        <v>111</v>
      </c>
      <c r="E32" s="41" t="s">
        <v>149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8" t="s">
        <v>214</v>
      </c>
      <c r="C35" s="8" t="s">
        <v>215</v>
      </c>
      <c r="D35" s="8" t="s">
        <v>217</v>
      </c>
      <c r="E35" s="8" t="s">
        <v>218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2" t="s">
        <v>222</v>
      </c>
      <c r="C36" s="13" t="s">
        <v>223</v>
      </c>
      <c r="D36" s="26">
        <v>18.0</v>
      </c>
      <c r="E36" s="24" t="s">
        <v>226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2" t="s">
        <v>228</v>
      </c>
      <c r="C37" s="13" t="s">
        <v>229</v>
      </c>
      <c r="D37" s="26">
        <v>8.5</v>
      </c>
      <c r="E37" s="24" t="s">
        <v>230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2" t="s">
        <v>233</v>
      </c>
      <c r="C38" s="13" t="s">
        <v>234</v>
      </c>
      <c r="D38" s="26">
        <v>6.0</v>
      </c>
      <c r="E38" s="24" t="s">
        <v>235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2" t="s">
        <v>240</v>
      </c>
      <c r="C39" s="13" t="s">
        <v>241</v>
      </c>
      <c r="D39" s="26">
        <v>4.5</v>
      </c>
      <c r="E39" s="24" t="s">
        <v>242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2" t="s">
        <v>245</v>
      </c>
      <c r="C40" s="13" t="s">
        <v>246</v>
      </c>
      <c r="D40" s="26">
        <v>6.0</v>
      </c>
      <c r="E40" s="24" t="s">
        <v>248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4.0"/>
    <col customWidth="1" min="3" max="20" width="13.0"/>
    <col customWidth="1" min="21" max="21" width="12.0"/>
    <col customWidth="1" min="22" max="26" width="8.71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310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311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1"/>
      <c r="B4" s="4" t="s">
        <v>6</v>
      </c>
      <c r="C4" s="5" t="s">
        <v>7</v>
      </c>
      <c r="D4" s="1"/>
      <c r="E4" s="6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8" t="s">
        <v>312</v>
      </c>
      <c r="C6" s="67" t="s">
        <v>313</v>
      </c>
      <c r="D6" s="67" t="s">
        <v>314</v>
      </c>
      <c r="E6" s="67" t="s">
        <v>315</v>
      </c>
      <c r="F6" s="67" t="s">
        <v>316</v>
      </c>
      <c r="G6" s="67" t="s">
        <v>317</v>
      </c>
      <c r="H6" s="67" t="s">
        <v>318</v>
      </c>
      <c r="I6" s="67" t="s">
        <v>319</v>
      </c>
      <c r="J6" s="67" t="s">
        <v>320</v>
      </c>
      <c r="K6" s="67" t="s">
        <v>321</v>
      </c>
      <c r="L6" s="67" t="s">
        <v>322</v>
      </c>
      <c r="M6" s="67" t="s">
        <v>323</v>
      </c>
      <c r="N6" s="67" t="s">
        <v>324</v>
      </c>
      <c r="O6" s="67" t="s">
        <v>325</v>
      </c>
      <c r="P6" s="67" t="s">
        <v>326</v>
      </c>
      <c r="Q6" s="67" t="s">
        <v>327</v>
      </c>
      <c r="R6" s="67" t="s">
        <v>328</v>
      </c>
      <c r="S6" s="67" t="s">
        <v>329</v>
      </c>
      <c r="T6" s="67" t="s">
        <v>330</v>
      </c>
      <c r="U6" s="8" t="s">
        <v>331</v>
      </c>
      <c r="V6" s="1"/>
      <c r="W6" s="1"/>
      <c r="X6" s="1"/>
      <c r="Y6" s="1"/>
      <c r="Z6" s="1"/>
    </row>
    <row r="7" ht="19.5" customHeight="1">
      <c r="A7" s="1"/>
      <c r="B7" s="12" t="s">
        <v>60</v>
      </c>
      <c r="C7" s="68" t="s">
        <v>86</v>
      </c>
      <c r="D7" s="69">
        <f>'3. Cuantificación Frecuencias'!H7</f>
        <v>4</v>
      </c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69">
        <f t="shared" ref="U7:U24" si="1">SUM(C7:T7)</f>
        <v>4</v>
      </c>
      <c r="V7" s="1"/>
      <c r="W7" s="1"/>
      <c r="X7" s="1"/>
      <c r="Y7" s="1"/>
      <c r="Z7" s="1"/>
    </row>
    <row r="8" ht="19.5" customHeight="1">
      <c r="A8" s="1"/>
      <c r="B8" s="12" t="s">
        <v>61</v>
      </c>
      <c r="C8" s="70"/>
      <c r="D8" s="68" t="s">
        <v>86</v>
      </c>
      <c r="E8" s="69">
        <f>'3. Cuantificación Frecuencias'!H8</f>
        <v>4</v>
      </c>
      <c r="F8" s="70"/>
      <c r="G8" s="70"/>
      <c r="H8" s="70"/>
      <c r="I8" s="70"/>
      <c r="J8" s="70"/>
      <c r="K8" s="69">
        <f>'3. Cuantificación Frecuencias'!H15</f>
        <v>4</v>
      </c>
      <c r="L8" s="70"/>
      <c r="M8" s="70"/>
      <c r="N8" s="70"/>
      <c r="O8" s="70"/>
      <c r="P8" s="70"/>
      <c r="Q8" s="70"/>
      <c r="R8" s="70"/>
      <c r="S8" s="70"/>
      <c r="T8" s="70"/>
      <c r="U8" s="69">
        <f t="shared" si="1"/>
        <v>8</v>
      </c>
      <c r="V8" s="1"/>
      <c r="W8" s="1"/>
      <c r="X8" s="1"/>
      <c r="Y8" s="1"/>
      <c r="Z8" s="1"/>
    </row>
    <row r="9" ht="19.5" customHeight="1">
      <c r="A9" s="1"/>
      <c r="B9" s="12" t="s">
        <v>140</v>
      </c>
      <c r="C9" s="70"/>
      <c r="D9" s="70"/>
      <c r="E9" s="68" t="s">
        <v>86</v>
      </c>
      <c r="F9" s="69">
        <f>'3. Cuantificación Frecuencias'!H9</f>
        <v>4</v>
      </c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69">
        <v>2.0</v>
      </c>
      <c r="U9" s="69">
        <f t="shared" si="1"/>
        <v>6</v>
      </c>
      <c r="V9" s="1"/>
      <c r="W9" s="1"/>
      <c r="X9" s="1"/>
      <c r="Y9" s="1"/>
      <c r="Z9" s="1"/>
    </row>
    <row r="10" ht="19.5" customHeight="1">
      <c r="A10" s="1"/>
      <c r="B10" s="12" t="s">
        <v>166</v>
      </c>
      <c r="C10" s="70"/>
      <c r="D10" s="69">
        <f>'3. Cuantificación Frecuencias'!H24/2</f>
        <v>2</v>
      </c>
      <c r="E10" s="70"/>
      <c r="F10" s="68" t="s">
        <v>86</v>
      </c>
      <c r="G10" s="71" t="s">
        <v>332</v>
      </c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69">
        <v>1.0</v>
      </c>
      <c r="U10" s="69">
        <f t="shared" si="1"/>
        <v>3</v>
      </c>
      <c r="V10" s="1"/>
      <c r="W10" s="1"/>
      <c r="X10" s="1"/>
      <c r="Y10" s="1"/>
      <c r="Z10" s="1"/>
    </row>
    <row r="11" ht="19.5" customHeight="1">
      <c r="A11" s="1"/>
      <c r="B11" s="12" t="s">
        <v>179</v>
      </c>
      <c r="C11" s="70"/>
      <c r="D11" s="70"/>
      <c r="E11" s="70"/>
      <c r="F11" s="70"/>
      <c r="G11" s="68" t="s">
        <v>86</v>
      </c>
      <c r="H11" s="71" t="s">
        <v>332</v>
      </c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69">
        <f t="shared" si="1"/>
        <v>0</v>
      </c>
      <c r="V11" s="1"/>
      <c r="W11" s="1"/>
      <c r="X11" s="1"/>
      <c r="Y11" s="1"/>
      <c r="Z11" s="1"/>
    </row>
    <row r="12" ht="19.5" customHeight="1">
      <c r="A12" s="1"/>
      <c r="B12" s="12" t="s">
        <v>192</v>
      </c>
      <c r="C12" s="70"/>
      <c r="D12" s="69">
        <f>'3. Cuantificación Frecuencias'!H24/4</f>
        <v>1</v>
      </c>
      <c r="E12" s="70"/>
      <c r="F12" s="70"/>
      <c r="G12" s="70"/>
      <c r="H12" s="68" t="s">
        <v>86</v>
      </c>
      <c r="I12" s="71" t="s">
        <v>332</v>
      </c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69">
        <v>1.0</v>
      </c>
      <c r="U12" s="69">
        <f t="shared" si="1"/>
        <v>2</v>
      </c>
      <c r="V12" s="1"/>
      <c r="W12" s="1"/>
      <c r="X12" s="1"/>
      <c r="Y12" s="1"/>
      <c r="Z12" s="1"/>
    </row>
    <row r="13" ht="19.5" customHeight="1">
      <c r="A13" s="1"/>
      <c r="B13" s="12" t="s">
        <v>207</v>
      </c>
      <c r="C13" s="70"/>
      <c r="D13" s="69">
        <f>'3. Cuantificación Frecuencias'!H24/4</f>
        <v>1</v>
      </c>
      <c r="E13" s="70"/>
      <c r="F13" s="70"/>
      <c r="G13" s="70"/>
      <c r="H13" s="70"/>
      <c r="I13" s="68" t="s">
        <v>86</v>
      </c>
      <c r="J13" s="72" t="s">
        <v>333</v>
      </c>
      <c r="K13" s="70"/>
      <c r="L13" s="70"/>
      <c r="M13" s="70"/>
      <c r="N13" s="70"/>
      <c r="O13" s="70"/>
      <c r="P13" s="70"/>
      <c r="Q13" s="70"/>
      <c r="R13" s="70"/>
      <c r="S13" s="70"/>
      <c r="T13" s="69">
        <v>1.0</v>
      </c>
      <c r="U13" s="69">
        <f t="shared" si="1"/>
        <v>2</v>
      </c>
      <c r="V13" s="1"/>
      <c r="W13" s="1"/>
      <c r="X13" s="1"/>
      <c r="Y13" s="1"/>
      <c r="Z13" s="1"/>
    </row>
    <row r="14" ht="19.5" customHeight="1">
      <c r="A14" s="1"/>
      <c r="B14" s="12" t="s">
        <v>219</v>
      </c>
      <c r="C14" s="70"/>
      <c r="D14" s="70"/>
      <c r="E14" s="70"/>
      <c r="F14" s="70"/>
      <c r="G14" s="70"/>
      <c r="H14" s="70"/>
      <c r="I14" s="70"/>
      <c r="J14" s="68" t="s">
        <v>86</v>
      </c>
      <c r="K14" s="70"/>
      <c r="L14" s="70"/>
      <c r="M14" s="70"/>
      <c r="N14" s="70"/>
      <c r="O14" s="70"/>
      <c r="P14" s="70"/>
      <c r="Q14" s="70"/>
      <c r="R14" s="70"/>
      <c r="S14" s="69">
        <f>'3. Cuantificación Frecuencias'!H14</f>
        <v>1.587829537</v>
      </c>
      <c r="T14" s="69">
        <v>1.0</v>
      </c>
      <c r="U14" s="69">
        <f t="shared" si="1"/>
        <v>2.587829537</v>
      </c>
      <c r="V14" s="1"/>
      <c r="W14" s="1"/>
      <c r="X14" s="1"/>
      <c r="Y14" s="1"/>
      <c r="Z14" s="1"/>
    </row>
    <row r="15" ht="19.5" customHeight="1">
      <c r="A15" s="1"/>
      <c r="B15" s="12" t="s">
        <v>255</v>
      </c>
      <c r="C15" s="70"/>
      <c r="D15" s="70"/>
      <c r="E15" s="70"/>
      <c r="F15" s="70"/>
      <c r="G15" s="70"/>
      <c r="H15" s="70"/>
      <c r="I15" s="70"/>
      <c r="J15" s="70"/>
      <c r="K15" s="68" t="s">
        <v>86</v>
      </c>
      <c r="L15" s="69">
        <f>'3. Cuantificación Frecuencias'!H16</f>
        <v>4</v>
      </c>
      <c r="M15" s="70"/>
      <c r="N15" s="70"/>
      <c r="O15" s="70"/>
      <c r="P15" s="70"/>
      <c r="Q15" s="70"/>
      <c r="R15" s="70"/>
      <c r="S15" s="70"/>
      <c r="T15" s="69">
        <v>1.0</v>
      </c>
      <c r="U15" s="69">
        <f t="shared" si="1"/>
        <v>5</v>
      </c>
      <c r="V15" s="1"/>
      <c r="W15" s="1"/>
      <c r="X15" s="1"/>
      <c r="Y15" s="1"/>
      <c r="Z15" s="1"/>
    </row>
    <row r="16" ht="19.5" customHeight="1">
      <c r="A16" s="1"/>
      <c r="B16" s="12" t="s">
        <v>261</v>
      </c>
      <c r="C16" s="70"/>
      <c r="D16" s="70"/>
      <c r="E16" s="70"/>
      <c r="F16" s="70"/>
      <c r="G16" s="70"/>
      <c r="H16" s="70"/>
      <c r="I16" s="70"/>
      <c r="J16" s="70"/>
      <c r="K16" s="70"/>
      <c r="L16" s="68" t="s">
        <v>86</v>
      </c>
      <c r="M16" s="69">
        <f>'3. Cuantificación Frecuencias'!H17</f>
        <v>5.6</v>
      </c>
      <c r="N16" s="70"/>
      <c r="O16" s="70"/>
      <c r="P16" s="70"/>
      <c r="Q16" s="70"/>
      <c r="R16" s="70"/>
      <c r="S16" s="70"/>
      <c r="T16" s="69">
        <v>1.0</v>
      </c>
      <c r="U16" s="69">
        <f t="shared" si="1"/>
        <v>6.6</v>
      </c>
      <c r="V16" s="1"/>
      <c r="W16" s="1"/>
      <c r="X16" s="1"/>
      <c r="Y16" s="1"/>
      <c r="Z16" s="1"/>
    </row>
    <row r="17" ht="19.5" customHeight="1">
      <c r="A17" s="1"/>
      <c r="B17" s="12" t="s">
        <v>264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68" t="s">
        <v>86</v>
      </c>
      <c r="N17" s="69">
        <f>'3. Cuantificación Frecuencias'!H18</f>
        <v>5.6</v>
      </c>
      <c r="O17" s="70"/>
      <c r="P17" s="70"/>
      <c r="Q17" s="70"/>
      <c r="R17" s="70"/>
      <c r="S17" s="70"/>
      <c r="T17" s="70"/>
      <c r="U17" s="69">
        <f t="shared" si="1"/>
        <v>5.6</v>
      </c>
      <c r="V17" s="1"/>
      <c r="W17" s="1"/>
      <c r="X17" s="1"/>
      <c r="Y17" s="1"/>
      <c r="Z17" s="1"/>
    </row>
    <row r="18" ht="19.5" customHeight="1">
      <c r="A18" s="1"/>
      <c r="B18" s="12" t="s">
        <v>268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68" t="s">
        <v>86</v>
      </c>
      <c r="O18" s="69">
        <f>'3. Cuantificación Frecuencias'!H19</f>
        <v>14</v>
      </c>
      <c r="P18" s="70"/>
      <c r="Q18" s="70"/>
      <c r="R18" s="70"/>
      <c r="S18" s="70"/>
      <c r="T18" s="70"/>
      <c r="U18" s="69">
        <f t="shared" si="1"/>
        <v>14</v>
      </c>
      <c r="V18" s="1"/>
      <c r="W18" s="1"/>
      <c r="X18" s="1"/>
      <c r="Y18" s="1"/>
      <c r="Z18" s="1"/>
    </row>
    <row r="19" ht="19.5" customHeight="1">
      <c r="A19" s="1"/>
      <c r="B19" s="12" t="s">
        <v>271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68" t="s">
        <v>86</v>
      </c>
      <c r="P19" s="69">
        <f>'3. Cuantificación Frecuencias'!H20/2</f>
        <v>7</v>
      </c>
      <c r="Q19" s="69">
        <f>'3. Cuantificación Frecuencias'!H20/2</f>
        <v>7</v>
      </c>
      <c r="R19" s="70"/>
      <c r="S19" s="70"/>
      <c r="T19" s="70"/>
      <c r="U19" s="69">
        <f t="shared" si="1"/>
        <v>14</v>
      </c>
      <c r="V19" s="1"/>
      <c r="W19" s="1"/>
      <c r="X19" s="1"/>
      <c r="Y19" s="1"/>
      <c r="Z19" s="1"/>
    </row>
    <row r="20" ht="19.5" customHeight="1">
      <c r="A20" s="1"/>
      <c r="B20" s="12" t="s">
        <v>278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68" t="s">
        <v>86</v>
      </c>
      <c r="Q20" s="72" t="s">
        <v>333</v>
      </c>
      <c r="R20" s="70"/>
      <c r="S20" s="70"/>
      <c r="T20" s="69">
        <v>1.0</v>
      </c>
      <c r="U20" s="69">
        <f t="shared" si="1"/>
        <v>1</v>
      </c>
      <c r="V20" s="1"/>
      <c r="W20" s="1"/>
      <c r="X20" s="1"/>
      <c r="Y20" s="1"/>
      <c r="Z20" s="1"/>
    </row>
    <row r="21" ht="19.5" customHeight="1">
      <c r="A21" s="1"/>
      <c r="B21" s="12" t="s">
        <v>279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68" t="s">
        <v>86</v>
      </c>
      <c r="R21" s="72" t="s">
        <v>333</v>
      </c>
      <c r="S21" s="70"/>
      <c r="T21" s="69">
        <v>1.0</v>
      </c>
      <c r="U21" s="69">
        <f t="shared" si="1"/>
        <v>1</v>
      </c>
      <c r="V21" s="1"/>
      <c r="W21" s="1"/>
      <c r="X21" s="1"/>
      <c r="Y21" s="1"/>
      <c r="Z21" s="1"/>
    </row>
    <row r="22" ht="19.5" customHeight="1">
      <c r="A22" s="1"/>
      <c r="B22" s="12" t="s">
        <v>282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68" t="s">
        <v>86</v>
      </c>
      <c r="S22" s="69">
        <f>'3. Cuantificación Frecuencias'!H23</f>
        <v>1.383370048</v>
      </c>
      <c r="T22" s="69">
        <v>1.0</v>
      </c>
      <c r="U22" s="69">
        <f t="shared" si="1"/>
        <v>2.383370048</v>
      </c>
      <c r="V22" s="1"/>
      <c r="W22" s="1"/>
      <c r="X22" s="1"/>
      <c r="Y22" s="1"/>
      <c r="Z22" s="1"/>
    </row>
    <row r="23" ht="19.5" customHeight="1">
      <c r="A23" s="1"/>
      <c r="B23" s="12" t="s">
        <v>238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68" t="s">
        <v>86</v>
      </c>
      <c r="T23" s="70"/>
      <c r="U23" s="69">
        <f t="shared" si="1"/>
        <v>0</v>
      </c>
      <c r="V23" s="1"/>
      <c r="W23" s="1"/>
      <c r="X23" s="1"/>
      <c r="Y23" s="1"/>
      <c r="Z23" s="1"/>
    </row>
    <row r="24" ht="19.5" customHeight="1">
      <c r="A24" s="1"/>
      <c r="B24" s="12" t="s">
        <v>296</v>
      </c>
      <c r="C24" s="70"/>
      <c r="D24" s="69">
        <f>'3. Cuantificación Frecuencias'!H24</f>
        <v>4</v>
      </c>
      <c r="E24" s="70"/>
      <c r="F24" s="70"/>
      <c r="G24" s="70"/>
      <c r="H24" s="70"/>
      <c r="I24" s="70"/>
      <c r="J24" s="70"/>
      <c r="K24" s="70"/>
      <c r="L24" s="69">
        <f>'3. Cuantificación Frecuencias'!H25</f>
        <v>14</v>
      </c>
      <c r="M24" s="70"/>
      <c r="N24" s="70"/>
      <c r="O24" s="70"/>
      <c r="P24" s="70"/>
      <c r="Q24" s="70"/>
      <c r="R24" s="70"/>
      <c r="S24" s="70"/>
      <c r="T24" s="68" t="s">
        <v>86</v>
      </c>
      <c r="U24" s="69">
        <f t="shared" si="1"/>
        <v>18</v>
      </c>
      <c r="V24" s="1"/>
      <c r="W24" s="1"/>
      <c r="X24" s="1"/>
      <c r="Y24" s="1"/>
      <c r="Z24" s="1"/>
    </row>
    <row r="25" ht="19.5" customHeight="1">
      <c r="A25" s="1"/>
      <c r="B25" s="73" t="s">
        <v>334</v>
      </c>
      <c r="C25" s="74">
        <f t="shared" ref="C25:U25" si="2">SUM(C7:C24)</f>
        <v>0</v>
      </c>
      <c r="D25" s="74">
        <f t="shared" si="2"/>
        <v>12</v>
      </c>
      <c r="E25" s="74">
        <f t="shared" si="2"/>
        <v>4</v>
      </c>
      <c r="F25" s="74">
        <f t="shared" si="2"/>
        <v>4</v>
      </c>
      <c r="G25" s="74">
        <f t="shared" si="2"/>
        <v>0</v>
      </c>
      <c r="H25" s="74">
        <f t="shared" si="2"/>
        <v>0</v>
      </c>
      <c r="I25" s="74">
        <f t="shared" si="2"/>
        <v>0</v>
      </c>
      <c r="J25" s="74">
        <f t="shared" si="2"/>
        <v>0</v>
      </c>
      <c r="K25" s="74">
        <f t="shared" si="2"/>
        <v>4</v>
      </c>
      <c r="L25" s="74">
        <f t="shared" si="2"/>
        <v>18</v>
      </c>
      <c r="M25" s="74">
        <f t="shared" si="2"/>
        <v>5.6</v>
      </c>
      <c r="N25" s="74">
        <f t="shared" si="2"/>
        <v>5.6</v>
      </c>
      <c r="O25" s="74">
        <f t="shared" si="2"/>
        <v>14</v>
      </c>
      <c r="P25" s="74">
        <f t="shared" si="2"/>
        <v>7</v>
      </c>
      <c r="Q25" s="74">
        <f t="shared" si="2"/>
        <v>7</v>
      </c>
      <c r="R25" s="74">
        <f t="shared" si="2"/>
        <v>0</v>
      </c>
      <c r="S25" s="74">
        <f t="shared" si="2"/>
        <v>2.971199584</v>
      </c>
      <c r="T25" s="74">
        <f t="shared" si="2"/>
        <v>11</v>
      </c>
      <c r="U25" s="75">
        <f t="shared" si="2"/>
        <v>95.17119958</v>
      </c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7" t="s">
        <v>335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71" t="s">
        <v>332</v>
      </c>
      <c r="C29" s="12" t="s">
        <v>336</v>
      </c>
      <c r="D29" s="66" t="s">
        <v>337</v>
      </c>
      <c r="E29" s="16"/>
      <c r="F29" s="16"/>
      <c r="G29" s="16"/>
      <c r="H29" s="16"/>
      <c r="I29" s="16"/>
      <c r="J29" s="1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72" t="s">
        <v>333</v>
      </c>
      <c r="C30" s="12" t="s">
        <v>338</v>
      </c>
      <c r="D30" s="66" t="s">
        <v>339</v>
      </c>
      <c r="E30" s="16"/>
      <c r="F30" s="16"/>
      <c r="G30" s="16"/>
      <c r="H30" s="16"/>
      <c r="I30" s="16"/>
      <c r="J30" s="1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6" t="s">
        <v>340</v>
      </c>
      <c r="C31" s="12" t="s">
        <v>341</v>
      </c>
      <c r="D31" s="66" t="s">
        <v>342</v>
      </c>
      <c r="E31" s="16"/>
      <c r="F31" s="16"/>
      <c r="G31" s="16"/>
      <c r="H31" s="16"/>
      <c r="I31" s="16"/>
      <c r="J31" s="1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76" t="s">
        <v>343</v>
      </c>
      <c r="C32" s="12" t="s">
        <v>344</v>
      </c>
      <c r="D32" s="66" t="s">
        <v>345</v>
      </c>
      <c r="E32" s="16"/>
      <c r="F32" s="16"/>
      <c r="G32" s="16"/>
      <c r="H32" s="16"/>
      <c r="I32" s="16"/>
      <c r="J32" s="1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" t="s">
        <v>312</v>
      </c>
      <c r="C36" s="77" t="s">
        <v>346</v>
      </c>
      <c r="D36" s="77" t="s">
        <v>346</v>
      </c>
      <c r="E36" s="77" t="s">
        <v>346</v>
      </c>
      <c r="F36" s="77" t="s">
        <v>346</v>
      </c>
      <c r="G36" s="77" t="s">
        <v>346</v>
      </c>
      <c r="H36" s="77" t="s">
        <v>347</v>
      </c>
      <c r="I36" s="77" t="s">
        <v>347</v>
      </c>
      <c r="J36" s="77" t="s">
        <v>347</v>
      </c>
      <c r="K36" s="77" t="s">
        <v>346</v>
      </c>
      <c r="L36" s="77" t="s">
        <v>347</v>
      </c>
      <c r="M36" s="77" t="s">
        <v>347</v>
      </c>
      <c r="N36" s="77" t="s">
        <v>347</v>
      </c>
      <c r="O36" s="77" t="s">
        <v>347</v>
      </c>
      <c r="P36" s="77" t="s">
        <v>347</v>
      </c>
      <c r="Q36" s="77" t="s">
        <v>347</v>
      </c>
      <c r="R36" s="77" t="s">
        <v>347</v>
      </c>
      <c r="S36" s="77" t="s">
        <v>347</v>
      </c>
      <c r="T36" s="77" t="s">
        <v>347</v>
      </c>
      <c r="U36" s="8" t="s">
        <v>331</v>
      </c>
      <c r="V36" s="1"/>
      <c r="W36" s="1"/>
      <c r="X36" s="1"/>
      <c r="Y36" s="1"/>
      <c r="Z36" s="1"/>
    </row>
    <row r="37" ht="15.75" customHeight="1">
      <c r="A37" s="1"/>
      <c r="B37" s="12" t="s">
        <v>60</v>
      </c>
      <c r="C37" s="68" t="s">
        <v>86</v>
      </c>
      <c r="D37" s="78" t="s">
        <v>86</v>
      </c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69">
        <f t="shared" ref="U37:U54" si="3">SUM(C37:T37)</f>
        <v>0</v>
      </c>
      <c r="V37" s="1"/>
      <c r="W37" s="1"/>
      <c r="X37" s="1"/>
      <c r="Y37" s="1"/>
      <c r="Z37" s="1"/>
    </row>
    <row r="38" ht="15.75" customHeight="1">
      <c r="A38" s="1"/>
      <c r="B38" s="12" t="s">
        <v>61</v>
      </c>
      <c r="C38" s="70"/>
      <c r="D38" s="68" t="s">
        <v>86</v>
      </c>
      <c r="E38" s="78" t="s">
        <v>86</v>
      </c>
      <c r="F38" s="70"/>
      <c r="G38" s="70"/>
      <c r="H38" s="70"/>
      <c r="I38" s="70"/>
      <c r="J38" s="70"/>
      <c r="K38" s="69" t="str">
        <f>'3. Cuantificación Frecuencias'!H45</f>
        <v/>
      </c>
      <c r="L38" s="70"/>
      <c r="M38" s="70"/>
      <c r="N38" s="70"/>
      <c r="O38" s="70"/>
      <c r="P38" s="70"/>
      <c r="Q38" s="70"/>
      <c r="R38" s="70"/>
      <c r="S38" s="70"/>
      <c r="T38" s="70"/>
      <c r="U38" s="69">
        <f t="shared" si="3"/>
        <v>0</v>
      </c>
      <c r="V38" s="1"/>
      <c r="W38" s="1"/>
      <c r="X38" s="1"/>
      <c r="Y38" s="1"/>
      <c r="Z38" s="1"/>
    </row>
    <row r="39" ht="15.75" customHeight="1">
      <c r="A39" s="1"/>
      <c r="B39" s="12" t="s">
        <v>140</v>
      </c>
      <c r="C39" s="70"/>
      <c r="D39" s="70"/>
      <c r="E39" s="68">
        <f>3*8</f>
        <v>24</v>
      </c>
      <c r="F39" s="69" t="str">
        <f>'3. Cuantificación Frecuencias'!H39</f>
        <v/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69"/>
      <c r="U39" s="69">
        <f t="shared" si="3"/>
        <v>24</v>
      </c>
      <c r="V39" s="1"/>
      <c r="W39" s="1"/>
      <c r="X39" s="1"/>
      <c r="Y39" s="1"/>
      <c r="Z39" s="1"/>
    </row>
    <row r="40" ht="15.75" customHeight="1">
      <c r="A40" s="1"/>
      <c r="B40" s="12" t="s">
        <v>166</v>
      </c>
      <c r="C40" s="70"/>
      <c r="D40" s="69"/>
      <c r="E40" s="70"/>
      <c r="F40" s="68" t="s">
        <v>86</v>
      </c>
      <c r="G40" s="71" t="s">
        <v>332</v>
      </c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69"/>
      <c r="U40" s="69">
        <f t="shared" si="3"/>
        <v>0</v>
      </c>
      <c r="V40" s="1"/>
      <c r="W40" s="1"/>
      <c r="X40" s="1"/>
      <c r="Y40" s="1"/>
      <c r="Z40" s="1"/>
    </row>
    <row r="41" ht="15.75" customHeight="1">
      <c r="A41" s="1"/>
      <c r="B41" s="12" t="s">
        <v>179</v>
      </c>
      <c r="C41" s="70"/>
      <c r="D41" s="70"/>
      <c r="E41" s="70"/>
      <c r="F41" s="70"/>
      <c r="G41" s="68" t="s">
        <v>86</v>
      </c>
      <c r="H41" s="71" t="s">
        <v>332</v>
      </c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69">
        <f t="shared" si="3"/>
        <v>0</v>
      </c>
      <c r="V41" s="1"/>
      <c r="W41" s="1"/>
      <c r="X41" s="1"/>
      <c r="Y41" s="1"/>
      <c r="Z41" s="1"/>
    </row>
    <row r="42" ht="15.75" customHeight="1">
      <c r="A42" s="1"/>
      <c r="B42" s="12" t="s">
        <v>192</v>
      </c>
      <c r="C42" s="70"/>
      <c r="D42" s="69"/>
      <c r="E42" s="70"/>
      <c r="F42" s="70"/>
      <c r="G42" s="70"/>
      <c r="H42" s="68">
        <f>16</f>
        <v>16</v>
      </c>
      <c r="I42" s="71" t="s">
        <v>332</v>
      </c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69"/>
      <c r="U42" s="69">
        <f t="shared" si="3"/>
        <v>16</v>
      </c>
      <c r="V42" s="1"/>
      <c r="W42" s="1"/>
      <c r="X42" s="1"/>
      <c r="Y42" s="1"/>
      <c r="Z42" s="1"/>
    </row>
    <row r="43" ht="15.75" customHeight="1">
      <c r="A43" s="1"/>
      <c r="B43" s="12" t="s">
        <v>207</v>
      </c>
      <c r="C43" s="70"/>
      <c r="D43" s="69"/>
      <c r="E43" s="70"/>
      <c r="F43" s="70"/>
      <c r="G43" s="70"/>
      <c r="H43" s="70"/>
      <c r="I43" s="68">
        <f>16</f>
        <v>16</v>
      </c>
      <c r="J43" s="72" t="s">
        <v>333</v>
      </c>
      <c r="K43" s="70"/>
      <c r="L43" s="70"/>
      <c r="M43" s="70"/>
      <c r="N43" s="70"/>
      <c r="O43" s="70"/>
      <c r="P43" s="70"/>
      <c r="Q43" s="70"/>
      <c r="R43" s="70"/>
      <c r="S43" s="70"/>
      <c r="T43" s="69"/>
      <c r="U43" s="69">
        <f t="shared" si="3"/>
        <v>16</v>
      </c>
      <c r="V43" s="1"/>
      <c r="W43" s="1"/>
      <c r="X43" s="1"/>
      <c r="Y43" s="1"/>
      <c r="Z43" s="1"/>
    </row>
    <row r="44" ht="15.75" customHeight="1">
      <c r="A44" s="1"/>
      <c r="B44" s="12" t="s">
        <v>219</v>
      </c>
      <c r="C44" s="70"/>
      <c r="D44" s="70"/>
      <c r="E44" s="70"/>
      <c r="F44" s="70"/>
      <c r="G44" s="70"/>
      <c r="H44" s="70"/>
      <c r="I44" s="70"/>
      <c r="J44" s="68" t="s">
        <v>86</v>
      </c>
      <c r="K44" s="70"/>
      <c r="L44" s="70"/>
      <c r="M44" s="70"/>
      <c r="N44" s="70"/>
      <c r="O44" s="70"/>
      <c r="P44" s="70"/>
      <c r="Q44" s="70"/>
      <c r="R44" s="70"/>
      <c r="S44" s="69" t="str">
        <f>'3. Cuantificación Frecuencias'!H44</f>
        <v/>
      </c>
      <c r="T44" s="69"/>
      <c r="U44" s="69">
        <f t="shared" si="3"/>
        <v>0</v>
      </c>
      <c r="V44" s="1"/>
      <c r="W44" s="1"/>
      <c r="X44" s="1"/>
      <c r="Y44" s="1"/>
      <c r="Z44" s="1"/>
    </row>
    <row r="45" ht="15.75" customHeight="1">
      <c r="A45" s="1"/>
      <c r="B45" s="12" t="s">
        <v>255</v>
      </c>
      <c r="C45" s="70"/>
      <c r="D45" s="70"/>
      <c r="E45" s="70"/>
      <c r="F45" s="70"/>
      <c r="G45" s="70"/>
      <c r="H45" s="70"/>
      <c r="I45" s="70"/>
      <c r="J45" s="70"/>
      <c r="K45" s="68">
        <f>13</f>
        <v>13</v>
      </c>
      <c r="L45" s="69" t="str">
        <f>'3. Cuantificación Frecuencias'!H46</f>
        <v/>
      </c>
      <c r="M45" s="70"/>
      <c r="N45" s="70"/>
      <c r="O45" s="70"/>
      <c r="P45" s="70"/>
      <c r="Q45" s="70"/>
      <c r="R45" s="70"/>
      <c r="S45" s="70"/>
      <c r="T45" s="69"/>
      <c r="U45" s="69">
        <f t="shared" si="3"/>
        <v>13</v>
      </c>
      <c r="V45" s="1"/>
      <c r="W45" s="1"/>
      <c r="X45" s="1"/>
      <c r="Y45" s="1"/>
      <c r="Z45" s="1"/>
    </row>
    <row r="46" ht="15.75" customHeight="1">
      <c r="A46" s="1"/>
      <c r="B46" s="12" t="s">
        <v>261</v>
      </c>
      <c r="C46" s="70"/>
      <c r="D46" s="70"/>
      <c r="E46" s="70"/>
      <c r="F46" s="70"/>
      <c r="G46" s="70"/>
      <c r="H46" s="70"/>
      <c r="I46" s="70"/>
      <c r="J46" s="70"/>
      <c r="K46" s="70"/>
      <c r="L46" s="68" t="s">
        <v>86</v>
      </c>
      <c r="M46" s="69" t="str">
        <f>'3. Cuantificación Frecuencias'!H47</f>
        <v/>
      </c>
      <c r="N46" s="70"/>
      <c r="O46" s="70"/>
      <c r="P46" s="70"/>
      <c r="Q46" s="70"/>
      <c r="R46" s="70"/>
      <c r="S46" s="70"/>
      <c r="T46" s="69"/>
      <c r="U46" s="69">
        <f t="shared" si="3"/>
        <v>0</v>
      </c>
      <c r="V46" s="1"/>
      <c r="W46" s="1"/>
      <c r="X46" s="1"/>
      <c r="Y46" s="1"/>
      <c r="Z46" s="1"/>
    </row>
    <row r="47" ht="15.75" customHeight="1">
      <c r="A47" s="1"/>
      <c r="B47" s="12" t="s">
        <v>264</v>
      </c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68" t="s">
        <v>86</v>
      </c>
      <c r="N47" s="69" t="str">
        <f>'3. Cuantificación Frecuencias'!H48</f>
        <v/>
      </c>
      <c r="O47" s="70"/>
      <c r="P47" s="70"/>
      <c r="Q47" s="70"/>
      <c r="R47" s="70"/>
      <c r="S47" s="70"/>
      <c r="T47" s="70"/>
      <c r="U47" s="69">
        <f t="shared" si="3"/>
        <v>0</v>
      </c>
      <c r="V47" s="1"/>
      <c r="W47" s="1"/>
      <c r="X47" s="1"/>
      <c r="Y47" s="1"/>
      <c r="Z47" s="1"/>
    </row>
    <row r="48" ht="15.75" customHeight="1">
      <c r="A48" s="1"/>
      <c r="B48" s="12" t="s">
        <v>268</v>
      </c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81" t="s">
        <v>86</v>
      </c>
      <c r="O48" s="69" t="str">
        <f>'3. Cuantificación Frecuencias'!H49</f>
        <v/>
      </c>
      <c r="P48" s="70"/>
      <c r="Q48" s="70"/>
      <c r="R48" s="70"/>
      <c r="S48" s="70"/>
      <c r="T48" s="70"/>
      <c r="U48" s="69">
        <f t="shared" si="3"/>
        <v>0</v>
      </c>
      <c r="V48" s="1"/>
      <c r="W48" s="1"/>
      <c r="X48" s="1"/>
      <c r="Y48" s="1"/>
      <c r="Z48" s="1"/>
    </row>
    <row r="49" ht="15.75" customHeight="1">
      <c r="A49" s="1"/>
      <c r="B49" s="12" t="s">
        <v>271</v>
      </c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68">
        <f>16</f>
        <v>16</v>
      </c>
      <c r="P49" s="69">
        <f>'3. Cuantificación Frecuencias'!H50/2</f>
        <v>0</v>
      </c>
      <c r="Q49" s="69">
        <f>'3. Cuantificación Frecuencias'!H50/2</f>
        <v>0</v>
      </c>
      <c r="R49" s="70"/>
      <c r="S49" s="70"/>
      <c r="T49" s="70"/>
      <c r="U49" s="69">
        <f t="shared" si="3"/>
        <v>16</v>
      </c>
      <c r="V49" s="1"/>
      <c r="W49" s="1"/>
      <c r="X49" s="1"/>
      <c r="Y49" s="1"/>
      <c r="Z49" s="1"/>
    </row>
    <row r="50" ht="15.75" customHeight="1">
      <c r="A50" s="1"/>
      <c r="B50" s="12" t="s">
        <v>278</v>
      </c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68" t="s">
        <v>86</v>
      </c>
      <c r="Q50" s="72" t="s">
        <v>333</v>
      </c>
      <c r="R50" s="70"/>
      <c r="S50" s="70"/>
      <c r="T50" s="69"/>
      <c r="U50" s="69">
        <f t="shared" si="3"/>
        <v>0</v>
      </c>
      <c r="V50" s="1"/>
      <c r="W50" s="1"/>
      <c r="X50" s="1"/>
      <c r="Y50" s="1"/>
      <c r="Z50" s="1"/>
    </row>
    <row r="51" ht="15.75" customHeight="1">
      <c r="A51" s="1"/>
      <c r="B51" s="12" t="s">
        <v>279</v>
      </c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68" t="s">
        <v>86</v>
      </c>
      <c r="R51" s="72" t="s">
        <v>333</v>
      </c>
      <c r="S51" s="70"/>
      <c r="T51" s="69"/>
      <c r="U51" s="69">
        <f t="shared" si="3"/>
        <v>0</v>
      </c>
      <c r="V51" s="1"/>
      <c r="W51" s="1"/>
      <c r="X51" s="1"/>
      <c r="Y51" s="1"/>
      <c r="Z51" s="1"/>
    </row>
    <row r="52" ht="15.75" customHeight="1">
      <c r="A52" s="1"/>
      <c r="B52" s="12" t="s">
        <v>282</v>
      </c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68" t="s">
        <v>86</v>
      </c>
      <c r="S52" s="69" t="str">
        <f>'3. Cuantificación Frecuencias'!H53</f>
        <v/>
      </c>
      <c r="T52" s="69"/>
      <c r="U52" s="69">
        <f t="shared" si="3"/>
        <v>0</v>
      </c>
      <c r="V52" s="1"/>
      <c r="W52" s="1"/>
      <c r="X52" s="1"/>
      <c r="Y52" s="1"/>
      <c r="Z52" s="1"/>
    </row>
    <row r="53" ht="15.75" customHeight="1">
      <c r="A53" s="1"/>
      <c r="B53" s="12" t="s">
        <v>238</v>
      </c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68" t="s">
        <v>86</v>
      </c>
      <c r="T53" s="70"/>
      <c r="U53" s="69">
        <f t="shared" si="3"/>
        <v>0</v>
      </c>
      <c r="V53" s="1"/>
      <c r="W53" s="1"/>
      <c r="X53" s="1"/>
      <c r="Y53" s="1"/>
      <c r="Z53" s="1"/>
    </row>
    <row r="54" ht="15.75" customHeight="1">
      <c r="A54" s="1"/>
      <c r="B54" s="12" t="s">
        <v>296</v>
      </c>
      <c r="C54" s="70"/>
      <c r="D54" s="69" t="str">
        <f>'3. Cuantificación Frecuencias'!H54</f>
        <v/>
      </c>
      <c r="E54" s="70"/>
      <c r="F54" s="70"/>
      <c r="G54" s="70"/>
      <c r="H54" s="70"/>
      <c r="I54" s="70"/>
      <c r="J54" s="70"/>
      <c r="K54" s="70"/>
      <c r="L54" s="69" t="str">
        <f>'3. Cuantificación Frecuencias'!H55</f>
        <v/>
      </c>
      <c r="M54" s="70"/>
      <c r="N54" s="70"/>
      <c r="O54" s="70"/>
      <c r="P54" s="70"/>
      <c r="Q54" s="70"/>
      <c r="R54" s="70"/>
      <c r="S54" s="70"/>
      <c r="T54" s="68" t="s">
        <v>86</v>
      </c>
      <c r="U54" s="69">
        <f t="shared" si="3"/>
        <v>0</v>
      </c>
      <c r="V54" s="1"/>
      <c r="W54" s="1"/>
      <c r="X54" s="1"/>
      <c r="Y54" s="1"/>
      <c r="Z54" s="1"/>
    </row>
    <row r="55" ht="15.75" customHeight="1">
      <c r="A55" s="1"/>
      <c r="B55" s="73" t="s">
        <v>334</v>
      </c>
      <c r="C55" s="74">
        <f t="shared" ref="C55:U55" si="4">SUM(C37:C54)</f>
        <v>0</v>
      </c>
      <c r="D55" s="74">
        <f t="shared" si="4"/>
        <v>0</v>
      </c>
      <c r="E55" s="74">
        <f t="shared" si="4"/>
        <v>24</v>
      </c>
      <c r="F55" s="74">
        <f t="shared" si="4"/>
        <v>0</v>
      </c>
      <c r="G55" s="74">
        <f t="shared" si="4"/>
        <v>0</v>
      </c>
      <c r="H55" s="74">
        <f t="shared" si="4"/>
        <v>16</v>
      </c>
      <c r="I55" s="74">
        <f t="shared" si="4"/>
        <v>16</v>
      </c>
      <c r="J55" s="74">
        <f t="shared" si="4"/>
        <v>0</v>
      </c>
      <c r="K55" s="74">
        <f t="shared" si="4"/>
        <v>13</v>
      </c>
      <c r="L55" s="74">
        <f t="shared" si="4"/>
        <v>0</v>
      </c>
      <c r="M55" s="74">
        <f t="shared" si="4"/>
        <v>0</v>
      </c>
      <c r="N55" s="74">
        <f t="shared" si="4"/>
        <v>0</v>
      </c>
      <c r="O55" s="74">
        <f t="shared" si="4"/>
        <v>16</v>
      </c>
      <c r="P55" s="74">
        <f t="shared" si="4"/>
        <v>0</v>
      </c>
      <c r="Q55" s="74">
        <f t="shared" si="4"/>
        <v>0</v>
      </c>
      <c r="R55" s="74">
        <f t="shared" si="4"/>
        <v>0</v>
      </c>
      <c r="S55" s="74">
        <f t="shared" si="4"/>
        <v>0</v>
      </c>
      <c r="T55" s="74">
        <f t="shared" si="4"/>
        <v>0</v>
      </c>
      <c r="U55" s="75">
        <f t="shared" si="4"/>
        <v>85</v>
      </c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D29:J29"/>
    <mergeCell ref="D30:J30"/>
    <mergeCell ref="D31:J31"/>
    <mergeCell ref="D32:J3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4.0"/>
    <col customWidth="1" min="3" max="20" width="13.0"/>
    <col customWidth="1" min="21" max="21" width="14.0"/>
    <col customWidth="1" min="22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348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349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6</v>
      </c>
      <c r="C4" s="5" t="s">
        <v>7</v>
      </c>
      <c r="D4" s="1"/>
      <c r="E4" s="6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47" t="s">
        <v>312</v>
      </c>
      <c r="C6" s="79" t="s">
        <v>313</v>
      </c>
      <c r="D6" s="79" t="s">
        <v>314</v>
      </c>
      <c r="E6" s="79" t="s">
        <v>315</v>
      </c>
      <c r="F6" s="79" t="s">
        <v>316</v>
      </c>
      <c r="G6" s="79" t="s">
        <v>317</v>
      </c>
      <c r="H6" s="79" t="s">
        <v>318</v>
      </c>
      <c r="I6" s="79" t="s">
        <v>319</v>
      </c>
      <c r="J6" s="79" t="s">
        <v>320</v>
      </c>
      <c r="K6" s="79" t="s">
        <v>321</v>
      </c>
      <c r="L6" s="79" t="s">
        <v>322</v>
      </c>
      <c r="M6" s="79" t="s">
        <v>323</v>
      </c>
      <c r="N6" s="79" t="s">
        <v>324</v>
      </c>
      <c r="O6" s="79" t="s">
        <v>325</v>
      </c>
      <c r="P6" s="79" t="s">
        <v>326</v>
      </c>
      <c r="Q6" s="79" t="s">
        <v>327</v>
      </c>
      <c r="R6" s="79" t="s">
        <v>328</v>
      </c>
      <c r="S6" s="79" t="s">
        <v>329</v>
      </c>
      <c r="T6" s="79" t="s">
        <v>330</v>
      </c>
      <c r="U6" s="47" t="s">
        <v>350</v>
      </c>
      <c r="V6" s="1"/>
      <c r="W6" s="1"/>
      <c r="X6" s="1"/>
      <c r="Y6" s="1"/>
      <c r="Z6" s="1"/>
    </row>
    <row r="7" ht="18.75" customHeight="1">
      <c r="A7" s="1"/>
      <c r="B7" s="12" t="s">
        <v>60</v>
      </c>
      <c r="C7" s="68" t="s">
        <v>86</v>
      </c>
      <c r="D7" s="80">
        <f>'3. Cuantificación Frecuencias'!I7</f>
        <v>1099.799965</v>
      </c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31">
        <f t="shared" ref="U7:U24" si="1">SUM(C7:T7)</f>
        <v>1099.799965</v>
      </c>
      <c r="V7" s="1"/>
      <c r="W7" s="1"/>
      <c r="X7" s="1"/>
      <c r="Y7" s="1"/>
      <c r="Z7" s="1"/>
    </row>
    <row r="8" ht="18.75" customHeight="1">
      <c r="A8" s="1"/>
      <c r="B8" s="12" t="s">
        <v>61</v>
      </c>
      <c r="C8" s="70"/>
      <c r="D8" s="68" t="s">
        <v>86</v>
      </c>
      <c r="E8" s="80">
        <f>'3. Cuantificación Frecuencias'!I8</f>
        <v>548.307722</v>
      </c>
      <c r="F8" s="70"/>
      <c r="G8" s="70"/>
      <c r="H8" s="70"/>
      <c r="I8" s="70"/>
      <c r="J8" s="70"/>
      <c r="K8" s="80">
        <f>'3. Cuantificación Frecuencias'!I15</f>
        <v>551.492243</v>
      </c>
      <c r="L8" s="70"/>
      <c r="M8" s="70"/>
      <c r="N8" s="70"/>
      <c r="O8" s="70"/>
      <c r="P8" s="70"/>
      <c r="Q8" s="70"/>
      <c r="R8" s="70"/>
      <c r="S8" s="70"/>
      <c r="T8" s="70"/>
      <c r="U8" s="31">
        <f t="shared" si="1"/>
        <v>1099.799965</v>
      </c>
      <c r="V8" s="1"/>
      <c r="W8" s="1"/>
      <c r="X8" s="1"/>
      <c r="Y8" s="1"/>
      <c r="Z8" s="1"/>
    </row>
    <row r="9" ht="18.75" customHeight="1">
      <c r="A9" s="1"/>
      <c r="B9" s="12" t="s">
        <v>140</v>
      </c>
      <c r="C9" s="70"/>
      <c r="D9" s="70"/>
      <c r="E9" s="68" t="s">
        <v>86</v>
      </c>
      <c r="F9" s="80">
        <f>'3. Cuantificación Frecuencias'!I9</f>
        <v>548.307722</v>
      </c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31">
        <f t="shared" si="1"/>
        <v>548.307722</v>
      </c>
      <c r="V9" s="1"/>
      <c r="W9" s="1"/>
      <c r="X9" s="1"/>
      <c r="Y9" s="1"/>
      <c r="Z9" s="1"/>
    </row>
    <row r="10" ht="18.75" customHeight="1">
      <c r="A10" s="1"/>
      <c r="B10" s="12" t="s">
        <v>166</v>
      </c>
      <c r="C10" s="70"/>
      <c r="D10" s="80">
        <f>'3. Cuantificación Frecuencias'!I24/4</f>
        <v>10.96615444</v>
      </c>
      <c r="E10" s="70"/>
      <c r="F10" s="68" t="s">
        <v>86</v>
      </c>
      <c r="G10" s="80">
        <f>'3. Cuantificación Frecuencias'!I10</f>
        <v>537.3415676</v>
      </c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80">
        <f>'3. Cuantificación Frecuencias'!I26/11</f>
        <v>8.99836335</v>
      </c>
      <c r="U10" s="31">
        <f t="shared" si="1"/>
        <v>557.3060854</v>
      </c>
      <c r="V10" s="1"/>
      <c r="W10" s="1"/>
      <c r="X10" s="1"/>
      <c r="Y10" s="1"/>
      <c r="Z10" s="1"/>
    </row>
    <row r="11" ht="18.75" customHeight="1">
      <c r="A11" s="1"/>
      <c r="B11" s="12" t="s">
        <v>179</v>
      </c>
      <c r="C11" s="70"/>
      <c r="D11" s="70"/>
      <c r="E11" s="70"/>
      <c r="F11" s="70"/>
      <c r="G11" s="68" t="s">
        <v>86</v>
      </c>
      <c r="H11" s="80">
        <f>'3. Cuantificación Frecuencias'!I11</f>
        <v>498.9600271</v>
      </c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31">
        <f t="shared" si="1"/>
        <v>498.9600271</v>
      </c>
      <c r="V11" s="1"/>
      <c r="W11" s="1"/>
      <c r="X11" s="1"/>
      <c r="Y11" s="1"/>
      <c r="Z11" s="1"/>
    </row>
    <row r="12" ht="18.75" customHeight="1">
      <c r="A12" s="1"/>
      <c r="B12" s="12" t="s">
        <v>192</v>
      </c>
      <c r="C12" s="70"/>
      <c r="D12" s="80">
        <f>'3. Cuantificación Frecuencias'!I24/4</f>
        <v>10.96615444</v>
      </c>
      <c r="E12" s="70"/>
      <c r="F12" s="70"/>
      <c r="G12" s="70"/>
      <c r="H12" s="68" t="s">
        <v>86</v>
      </c>
      <c r="I12" s="80">
        <f>'3. Cuantificación Frecuencias'!I12</f>
        <v>474.2861796</v>
      </c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80">
        <f>'3. Cuantificación Frecuencias'!I26/11</f>
        <v>8.99836335</v>
      </c>
      <c r="U12" s="31">
        <f t="shared" si="1"/>
        <v>494.2506974</v>
      </c>
      <c r="V12" s="1"/>
      <c r="W12" s="1"/>
      <c r="X12" s="1"/>
      <c r="Y12" s="1"/>
      <c r="Z12" s="1"/>
    </row>
    <row r="13" ht="18.75" customHeight="1">
      <c r="A13" s="1"/>
      <c r="B13" s="12" t="s">
        <v>207</v>
      </c>
      <c r="C13" s="70"/>
      <c r="D13" s="80">
        <f>'3. Cuantificación Frecuencias'!I24/2</f>
        <v>21.93230888</v>
      </c>
      <c r="E13" s="70"/>
      <c r="F13" s="70"/>
      <c r="G13" s="70"/>
      <c r="H13" s="70"/>
      <c r="I13" s="68" t="s">
        <v>86</v>
      </c>
      <c r="J13" s="80">
        <f>'3. Cuantificación Frecuencias'!I13</f>
        <v>500.166304</v>
      </c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31">
        <f t="shared" si="1"/>
        <v>522.0986129</v>
      </c>
      <c r="V13" s="1"/>
      <c r="W13" s="1"/>
      <c r="X13" s="1"/>
      <c r="Y13" s="1"/>
      <c r="Z13" s="1"/>
    </row>
    <row r="14" ht="18.75" customHeight="1">
      <c r="A14" s="1"/>
      <c r="B14" s="12" t="s">
        <v>219</v>
      </c>
      <c r="C14" s="70"/>
      <c r="D14" s="70"/>
      <c r="E14" s="70"/>
      <c r="F14" s="70"/>
      <c r="G14" s="70"/>
      <c r="H14" s="70"/>
      <c r="I14" s="70"/>
      <c r="J14" s="68" t="s">
        <v>86</v>
      </c>
      <c r="K14" s="70"/>
      <c r="L14" s="70"/>
      <c r="M14" s="70"/>
      <c r="N14" s="70"/>
      <c r="O14" s="70"/>
      <c r="P14" s="70"/>
      <c r="Q14" s="70"/>
      <c r="R14" s="70"/>
      <c r="S14" s="80">
        <f>'3. Cuantificación Frecuencias'!I14</f>
        <v>500.166304</v>
      </c>
      <c r="T14" s="70"/>
      <c r="U14" s="31">
        <f t="shared" si="1"/>
        <v>500.166304</v>
      </c>
      <c r="V14" s="1"/>
      <c r="W14" s="1"/>
      <c r="X14" s="1"/>
      <c r="Y14" s="1"/>
      <c r="Z14" s="1"/>
    </row>
    <row r="15" ht="18.75" customHeight="1">
      <c r="A15" s="1"/>
      <c r="B15" s="12" t="s">
        <v>255</v>
      </c>
      <c r="C15" s="70"/>
      <c r="D15" s="70"/>
      <c r="E15" s="70"/>
      <c r="F15" s="70"/>
      <c r="G15" s="70"/>
      <c r="H15" s="70"/>
      <c r="I15" s="70"/>
      <c r="J15" s="70"/>
      <c r="K15" s="68" t="s">
        <v>86</v>
      </c>
      <c r="L15" s="80">
        <f>'3. Cuantificación Frecuencias'!I16</f>
        <v>551.492243</v>
      </c>
      <c r="M15" s="70"/>
      <c r="N15" s="70"/>
      <c r="O15" s="70"/>
      <c r="P15" s="70"/>
      <c r="Q15" s="70"/>
      <c r="R15" s="70"/>
      <c r="S15" s="70"/>
      <c r="T15" s="70"/>
      <c r="U15" s="31">
        <f t="shared" si="1"/>
        <v>551.492243</v>
      </c>
      <c r="V15" s="1"/>
      <c r="W15" s="1"/>
      <c r="X15" s="1"/>
      <c r="Y15" s="1"/>
      <c r="Z15" s="1"/>
    </row>
    <row r="16" ht="18.75" customHeight="1">
      <c r="A16" s="1"/>
      <c r="B16" s="12" t="s">
        <v>261</v>
      </c>
      <c r="C16" s="70"/>
      <c r="D16" s="70"/>
      <c r="E16" s="70"/>
      <c r="F16" s="70"/>
      <c r="G16" s="70"/>
      <c r="H16" s="70"/>
      <c r="I16" s="70"/>
      <c r="J16" s="70"/>
      <c r="K16" s="70"/>
      <c r="L16" s="68" t="s">
        <v>86</v>
      </c>
      <c r="M16" s="80">
        <f>'3. Cuantificación Frecuencias'!I17</f>
        <v>551.492243</v>
      </c>
      <c r="N16" s="70"/>
      <c r="O16" s="70"/>
      <c r="P16" s="70"/>
      <c r="Q16" s="70"/>
      <c r="R16" s="70"/>
      <c r="S16" s="70"/>
      <c r="T16" s="70"/>
      <c r="U16" s="31">
        <f t="shared" si="1"/>
        <v>551.492243</v>
      </c>
      <c r="V16" s="1"/>
      <c r="W16" s="1"/>
      <c r="X16" s="1"/>
      <c r="Y16" s="1"/>
      <c r="Z16" s="1"/>
    </row>
    <row r="17" ht="18.75" customHeight="1">
      <c r="A17" s="1"/>
      <c r="B17" s="12" t="s">
        <v>264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68" t="s">
        <v>86</v>
      </c>
      <c r="N17" s="80">
        <f>'3. Cuantificación Frecuencias'!I18</f>
        <v>551.492243</v>
      </c>
      <c r="O17" s="70"/>
      <c r="P17" s="70"/>
      <c r="Q17" s="70"/>
      <c r="R17" s="70"/>
      <c r="S17" s="70"/>
      <c r="T17" s="70"/>
      <c r="U17" s="31">
        <f t="shared" si="1"/>
        <v>551.492243</v>
      </c>
      <c r="V17" s="1"/>
      <c r="W17" s="1"/>
      <c r="X17" s="1"/>
      <c r="Y17" s="1"/>
      <c r="Z17" s="1"/>
    </row>
    <row r="18" ht="18.75" customHeight="1">
      <c r="A18" s="1"/>
      <c r="B18" s="12" t="s">
        <v>268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68" t="s">
        <v>86</v>
      </c>
      <c r="O18" s="80">
        <f>'3. Cuantificación Frecuencias'!I19</f>
        <v>479.7982514</v>
      </c>
      <c r="P18" s="70"/>
      <c r="Q18" s="70"/>
      <c r="R18" s="70"/>
      <c r="S18" s="70"/>
      <c r="T18" s="70"/>
      <c r="U18" s="31">
        <f t="shared" si="1"/>
        <v>479.7982514</v>
      </c>
      <c r="V18" s="1"/>
      <c r="W18" s="1"/>
      <c r="X18" s="1"/>
      <c r="Y18" s="1"/>
      <c r="Z18" s="1"/>
    </row>
    <row r="19" ht="18.75" customHeight="1">
      <c r="A19" s="1"/>
      <c r="B19" s="12" t="s">
        <v>271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68" t="s">
        <v>86</v>
      </c>
      <c r="P19" s="80">
        <f>'3. Cuantificación Frecuencias'!I20*0.54</f>
        <v>240.9249013</v>
      </c>
      <c r="Q19" s="80">
        <f>'3. Cuantificación Frecuencias'!I20*0.46</f>
        <v>205.2323233</v>
      </c>
      <c r="R19" s="70"/>
      <c r="S19" s="70"/>
      <c r="T19" s="70"/>
      <c r="U19" s="31">
        <f t="shared" si="1"/>
        <v>446.1572245</v>
      </c>
      <c r="V19" s="1"/>
      <c r="W19" s="1"/>
      <c r="X19" s="1"/>
      <c r="Y19" s="1"/>
      <c r="Z19" s="1"/>
    </row>
    <row r="20" ht="18.75" customHeight="1">
      <c r="A20" s="1"/>
      <c r="B20" s="12" t="s">
        <v>278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68" t="s">
        <v>86</v>
      </c>
      <c r="Q20" s="80">
        <f>'3. Cuantificación Frecuencias'!I21</f>
        <v>240.9249013</v>
      </c>
      <c r="R20" s="70"/>
      <c r="S20" s="70"/>
      <c r="T20" s="70"/>
      <c r="U20" s="31">
        <f t="shared" si="1"/>
        <v>240.9249013</v>
      </c>
      <c r="V20" s="1"/>
      <c r="W20" s="1"/>
      <c r="X20" s="1"/>
      <c r="Y20" s="1"/>
      <c r="Z20" s="1"/>
    </row>
    <row r="21" ht="18.75" customHeight="1">
      <c r="A21" s="1"/>
      <c r="B21" s="12" t="s">
        <v>279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68" t="s">
        <v>86</v>
      </c>
      <c r="R21" s="80">
        <f>'3. Cuantificación Frecuencias'!I22</f>
        <v>446.1572245</v>
      </c>
      <c r="S21" s="70"/>
      <c r="T21" s="70"/>
      <c r="U21" s="31">
        <f t="shared" si="1"/>
        <v>446.1572245</v>
      </c>
      <c r="V21" s="1"/>
      <c r="W21" s="1"/>
      <c r="X21" s="1"/>
      <c r="Y21" s="1"/>
      <c r="Z21" s="1"/>
    </row>
    <row r="22" ht="18.75" customHeight="1">
      <c r="A22" s="1"/>
      <c r="B22" s="12" t="s">
        <v>282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68" t="s">
        <v>86</v>
      </c>
      <c r="S22" s="80">
        <f>'3. Cuantificación Frecuencias'!I23</f>
        <v>446.1572245</v>
      </c>
      <c r="T22" s="70"/>
      <c r="U22" s="31">
        <f t="shared" si="1"/>
        <v>446.1572245</v>
      </c>
      <c r="V22" s="1"/>
      <c r="W22" s="1"/>
      <c r="X22" s="1"/>
      <c r="Y22" s="1"/>
      <c r="Z22" s="1"/>
    </row>
    <row r="23" ht="18.75" customHeight="1">
      <c r="A23" s="1"/>
      <c r="B23" s="12" t="s">
        <v>238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68" t="s">
        <v>86</v>
      </c>
      <c r="T23" s="70"/>
      <c r="U23" s="31">
        <f t="shared" si="1"/>
        <v>0</v>
      </c>
      <c r="V23" s="1"/>
      <c r="W23" s="1"/>
      <c r="X23" s="1"/>
      <c r="Y23" s="1"/>
      <c r="Z23" s="1"/>
    </row>
    <row r="24" ht="18.75" customHeight="1">
      <c r="A24" s="1"/>
      <c r="B24" s="12" t="s">
        <v>296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68" t="s">
        <v>86</v>
      </c>
      <c r="U24" s="31">
        <f t="shared" si="1"/>
        <v>0</v>
      </c>
      <c r="V24" s="1"/>
      <c r="W24" s="1"/>
      <c r="X24" s="1"/>
      <c r="Y24" s="1"/>
      <c r="Z24" s="1"/>
    </row>
    <row r="25" ht="15.75" customHeight="1">
      <c r="A25" s="1"/>
      <c r="B25" s="82" t="s">
        <v>351</v>
      </c>
      <c r="C25" s="83">
        <f t="shared" ref="C25:U25" si="2">SUM(C7:C24)</f>
        <v>0</v>
      </c>
      <c r="D25" s="83">
        <f t="shared" si="2"/>
        <v>1143.664583</v>
      </c>
      <c r="E25" s="83">
        <f t="shared" si="2"/>
        <v>548.307722</v>
      </c>
      <c r="F25" s="83">
        <f t="shared" si="2"/>
        <v>548.307722</v>
      </c>
      <c r="G25" s="83">
        <f t="shared" si="2"/>
        <v>537.3415676</v>
      </c>
      <c r="H25" s="83">
        <f t="shared" si="2"/>
        <v>498.9600271</v>
      </c>
      <c r="I25" s="83">
        <f t="shared" si="2"/>
        <v>474.2861796</v>
      </c>
      <c r="J25" s="83">
        <f t="shared" si="2"/>
        <v>500.166304</v>
      </c>
      <c r="K25" s="83">
        <f t="shared" si="2"/>
        <v>551.492243</v>
      </c>
      <c r="L25" s="83">
        <f t="shared" si="2"/>
        <v>551.492243</v>
      </c>
      <c r="M25" s="83">
        <f t="shared" si="2"/>
        <v>551.492243</v>
      </c>
      <c r="N25" s="83">
        <f t="shared" si="2"/>
        <v>551.492243</v>
      </c>
      <c r="O25" s="83">
        <f t="shared" si="2"/>
        <v>479.7982514</v>
      </c>
      <c r="P25" s="83">
        <f t="shared" si="2"/>
        <v>240.9249013</v>
      </c>
      <c r="Q25" s="83">
        <f t="shared" si="2"/>
        <v>446.1572245</v>
      </c>
      <c r="R25" s="83">
        <f t="shared" si="2"/>
        <v>446.1572245</v>
      </c>
      <c r="S25" s="83">
        <f t="shared" si="2"/>
        <v>946.3235286</v>
      </c>
      <c r="T25" s="83">
        <f t="shared" si="2"/>
        <v>17.9967267</v>
      </c>
      <c r="U25" s="84">
        <f t="shared" si="2"/>
        <v>9034.360934</v>
      </c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0.0"/>
    <col customWidth="1" min="3" max="3" width="36.57"/>
    <col customWidth="1" min="4" max="4" width="21.14"/>
    <col customWidth="1" min="5" max="5" width="20.71"/>
    <col customWidth="1" min="6" max="6" width="11.71"/>
    <col customWidth="1" min="7" max="7" width="10.71"/>
    <col customWidth="1" min="8" max="8" width="31.29"/>
    <col customWidth="1" min="9" max="9" width="20.86"/>
    <col customWidth="1" min="10" max="10" width="10.0"/>
    <col customWidth="1" min="11" max="11" width="16.86"/>
    <col customWidth="1" min="12" max="12" width="14.29"/>
    <col customWidth="1" min="13" max="13" width="28.71"/>
    <col customWidth="1" min="14" max="14" width="8.71"/>
    <col customWidth="1" min="15" max="15" width="11.86"/>
    <col customWidth="1" min="16" max="16" width="6.14"/>
    <col customWidth="1" min="17" max="26" width="8.71"/>
  </cols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85"/>
      <c r="B2" s="86" t="s">
        <v>352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5"/>
      <c r="B3" s="87" t="s">
        <v>353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5"/>
      <c r="B4" s="4" t="s">
        <v>6</v>
      </c>
      <c r="I4" s="88" t="s">
        <v>354</v>
      </c>
      <c r="K4" s="85"/>
      <c r="L4" s="6" t="s">
        <v>8</v>
      </c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5"/>
      <c r="B6" s="86" t="s">
        <v>355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5"/>
      <c r="B8" s="67" t="s">
        <v>356</v>
      </c>
      <c r="C8" s="67" t="s">
        <v>357</v>
      </c>
      <c r="D8" s="67" t="s">
        <v>18</v>
      </c>
      <c r="E8" s="67" t="s">
        <v>358</v>
      </c>
      <c r="F8" s="67" t="s">
        <v>359</v>
      </c>
      <c r="G8" s="67" t="s">
        <v>360</v>
      </c>
      <c r="H8" s="67" t="s">
        <v>361</v>
      </c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5"/>
      <c r="B9" s="11">
        <v>1.0</v>
      </c>
      <c r="C9" s="12" t="s">
        <v>362</v>
      </c>
      <c r="D9" s="13" t="s">
        <v>363</v>
      </c>
      <c r="E9" s="34">
        <v>4.0</v>
      </c>
      <c r="F9" s="34">
        <v>18.0</v>
      </c>
      <c r="G9" s="26">
        <v>95.0</v>
      </c>
      <c r="H9" s="89" t="s">
        <v>364</v>
      </c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5"/>
      <c r="B10" s="11">
        <v>2.0</v>
      </c>
      <c r="C10" s="12" t="s">
        <v>365</v>
      </c>
      <c r="D10" s="13" t="s">
        <v>363</v>
      </c>
      <c r="E10" s="34">
        <v>8.5</v>
      </c>
      <c r="F10" s="34">
        <v>18.0</v>
      </c>
      <c r="G10" s="26">
        <v>12.0</v>
      </c>
      <c r="H10" s="89" t="s">
        <v>366</v>
      </c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5"/>
      <c r="B11" s="11">
        <v>3.0</v>
      </c>
      <c r="C11" s="12" t="s">
        <v>367</v>
      </c>
      <c r="D11" s="13" t="s">
        <v>368</v>
      </c>
      <c r="E11" s="34">
        <v>12.0</v>
      </c>
      <c r="F11" s="34">
        <v>20.0</v>
      </c>
      <c r="G11" s="26">
        <v>6.5</v>
      </c>
      <c r="H11" s="89" t="s">
        <v>369</v>
      </c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5"/>
      <c r="B12" s="11">
        <v>4.0</v>
      </c>
      <c r="C12" s="12" t="s">
        <v>370</v>
      </c>
      <c r="D12" s="13" t="s">
        <v>368</v>
      </c>
      <c r="E12" s="34">
        <v>15.0</v>
      </c>
      <c r="F12" s="34">
        <v>20.0</v>
      </c>
      <c r="G12" s="26">
        <v>4.0</v>
      </c>
      <c r="H12" s="89" t="s">
        <v>371</v>
      </c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5"/>
      <c r="B13" s="11">
        <v>5.0</v>
      </c>
      <c r="C13" s="12" t="s">
        <v>372</v>
      </c>
      <c r="D13" s="13" t="s">
        <v>368</v>
      </c>
      <c r="E13" s="34">
        <v>20.0</v>
      </c>
      <c r="F13" s="34">
        <v>20.0</v>
      </c>
      <c r="G13" s="26">
        <v>12.0</v>
      </c>
      <c r="H13" s="89" t="s">
        <v>373</v>
      </c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5"/>
      <c r="B14" s="11">
        <v>6.0</v>
      </c>
      <c r="C14" s="12" t="s">
        <v>374</v>
      </c>
      <c r="D14" s="13" t="s">
        <v>368</v>
      </c>
      <c r="E14" s="34">
        <v>26.0</v>
      </c>
      <c r="F14" s="34">
        <v>20.0</v>
      </c>
      <c r="G14" s="26">
        <v>11.5</v>
      </c>
      <c r="H14" s="89" t="s">
        <v>375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5"/>
      <c r="B15" s="11">
        <v>7.0</v>
      </c>
      <c r="C15" s="12" t="s">
        <v>376</v>
      </c>
      <c r="D15" s="13" t="s">
        <v>368</v>
      </c>
      <c r="E15" s="34">
        <v>30.0</v>
      </c>
      <c r="F15" s="34">
        <v>20.0</v>
      </c>
      <c r="G15" s="26">
        <v>7.5</v>
      </c>
      <c r="H15" s="89" t="s">
        <v>377</v>
      </c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/>
      <c r="B16" s="11">
        <v>8.0</v>
      </c>
      <c r="C16" s="12" t="s">
        <v>378</v>
      </c>
      <c r="D16" s="13" t="s">
        <v>368</v>
      </c>
      <c r="E16" s="34">
        <v>32.5</v>
      </c>
      <c r="F16" s="34">
        <v>20.0</v>
      </c>
      <c r="G16" s="26">
        <v>5.0</v>
      </c>
      <c r="H16" s="89" t="s">
        <v>379</v>
      </c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/>
      <c r="B17" s="11">
        <v>9.0</v>
      </c>
      <c r="C17" s="12" t="s">
        <v>380</v>
      </c>
      <c r="D17" s="13" t="s">
        <v>381</v>
      </c>
      <c r="E17" s="34">
        <v>12.0</v>
      </c>
      <c r="F17" s="34">
        <v>14.0</v>
      </c>
      <c r="G17" s="26">
        <v>8.5</v>
      </c>
      <c r="H17" s="89" t="s">
        <v>382</v>
      </c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11">
        <v>10.0</v>
      </c>
      <c r="C18" s="12" t="s">
        <v>383</v>
      </c>
      <c r="D18" s="13" t="s">
        <v>381</v>
      </c>
      <c r="E18" s="34">
        <v>15.0</v>
      </c>
      <c r="F18" s="34">
        <v>14.0</v>
      </c>
      <c r="G18" s="26">
        <v>6.5</v>
      </c>
      <c r="H18" s="89" t="s">
        <v>384</v>
      </c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/>
      <c r="B19" s="11">
        <v>11.0</v>
      </c>
      <c r="C19" s="12" t="s">
        <v>385</v>
      </c>
      <c r="D19" s="13" t="s">
        <v>381</v>
      </c>
      <c r="E19" s="34">
        <v>18.0</v>
      </c>
      <c r="F19" s="34">
        <v>14.0</v>
      </c>
      <c r="G19" s="26">
        <v>6.5</v>
      </c>
      <c r="H19" s="89" t="s">
        <v>386</v>
      </c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5"/>
      <c r="B20" s="11">
        <v>12.0</v>
      </c>
      <c r="C20" s="12" t="s">
        <v>387</v>
      </c>
      <c r="D20" s="13" t="s">
        <v>381</v>
      </c>
      <c r="E20" s="34">
        <v>22.0</v>
      </c>
      <c r="F20" s="34">
        <v>14.0</v>
      </c>
      <c r="G20" s="26">
        <v>14.0</v>
      </c>
      <c r="H20" s="89" t="s">
        <v>388</v>
      </c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5.75" customHeight="1">
      <c r="A21" s="85"/>
      <c r="B21" s="11">
        <v>13.0</v>
      </c>
      <c r="C21" s="12" t="s">
        <v>389</v>
      </c>
      <c r="D21" s="13" t="s">
        <v>381</v>
      </c>
      <c r="E21" s="34">
        <v>25.5</v>
      </c>
      <c r="F21" s="34">
        <v>14.0</v>
      </c>
      <c r="G21" s="26">
        <v>18.0</v>
      </c>
      <c r="H21" s="89" t="s">
        <v>390</v>
      </c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5.75" customHeight="1">
      <c r="A22" s="85"/>
      <c r="B22" s="11">
        <v>14.0</v>
      </c>
      <c r="C22" s="12" t="s">
        <v>391</v>
      </c>
      <c r="D22" s="13" t="s">
        <v>381</v>
      </c>
      <c r="E22" s="34">
        <v>28.5</v>
      </c>
      <c r="F22" s="34">
        <v>14.0</v>
      </c>
      <c r="G22" s="26">
        <v>5.5</v>
      </c>
      <c r="H22" s="89" t="s">
        <v>392</v>
      </c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5.75" customHeight="1">
      <c r="A23" s="85"/>
      <c r="B23" s="11">
        <v>15.0</v>
      </c>
      <c r="C23" s="12" t="s">
        <v>393</v>
      </c>
      <c r="D23" s="13" t="s">
        <v>381</v>
      </c>
      <c r="E23" s="34">
        <v>30.5</v>
      </c>
      <c r="F23" s="34">
        <v>14.0</v>
      </c>
      <c r="G23" s="26">
        <v>12.0</v>
      </c>
      <c r="H23" s="89" t="s">
        <v>394</v>
      </c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5.75" customHeight="1">
      <c r="A24" s="85"/>
      <c r="B24" s="11">
        <v>16.0</v>
      </c>
      <c r="C24" s="12" t="s">
        <v>395</v>
      </c>
      <c r="D24" s="13" t="s">
        <v>381</v>
      </c>
      <c r="E24" s="34">
        <v>32.5</v>
      </c>
      <c r="F24" s="34">
        <v>14.0</v>
      </c>
      <c r="G24" s="26">
        <v>5.0</v>
      </c>
      <c r="H24" s="89" t="s">
        <v>379</v>
      </c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5.75" customHeight="1">
      <c r="A25" s="85"/>
      <c r="B25" s="11">
        <v>17.0</v>
      </c>
      <c r="C25" s="12" t="s">
        <v>396</v>
      </c>
      <c r="D25" s="13" t="s">
        <v>363</v>
      </c>
      <c r="E25" s="34">
        <v>36.0</v>
      </c>
      <c r="F25" s="34">
        <v>16.0</v>
      </c>
      <c r="G25" s="26">
        <v>160.0</v>
      </c>
      <c r="H25" s="89" t="s">
        <v>397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5.75" customHeight="1">
      <c r="A26" s="85"/>
      <c r="B26" s="11">
        <v>18.0</v>
      </c>
      <c r="C26" s="12" t="s">
        <v>398</v>
      </c>
      <c r="D26" s="13" t="s">
        <v>399</v>
      </c>
      <c r="E26" s="34">
        <v>8.5</v>
      </c>
      <c r="F26" s="34">
        <v>12.0</v>
      </c>
      <c r="G26" s="26">
        <v>15.0</v>
      </c>
      <c r="H26" s="89" t="s">
        <v>400</v>
      </c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5.75" customHeight="1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5.75" customHeight="1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85"/>
      <c r="B29" s="86" t="s">
        <v>401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5.75" customHeight="1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5.75" customHeight="1">
      <c r="A31" s="85"/>
      <c r="B31" s="79" t="s">
        <v>402</v>
      </c>
      <c r="C31" s="79" t="s">
        <v>41</v>
      </c>
      <c r="D31" s="79" t="s">
        <v>42</v>
      </c>
      <c r="E31" s="79" t="s">
        <v>48</v>
      </c>
      <c r="F31" s="79" t="s">
        <v>50</v>
      </c>
      <c r="G31" s="79" t="s">
        <v>403</v>
      </c>
      <c r="H31" s="79" t="s">
        <v>404</v>
      </c>
      <c r="I31" s="79" t="s">
        <v>405</v>
      </c>
      <c r="J31" s="79" t="s">
        <v>406</v>
      </c>
      <c r="K31" s="79" t="s">
        <v>52</v>
      </c>
      <c r="L31" s="79" t="s">
        <v>55</v>
      </c>
      <c r="M31" s="79" t="s">
        <v>407</v>
      </c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5.75" customHeight="1">
      <c r="A32" s="85"/>
      <c r="B32" s="11" t="s">
        <v>408</v>
      </c>
      <c r="C32" s="12" t="s">
        <v>61</v>
      </c>
      <c r="D32" s="12" t="s">
        <v>409</v>
      </c>
      <c r="E32" s="31">
        <f>'5. Desde-Hasta (Viajes)'!E8</f>
        <v>4</v>
      </c>
      <c r="F32" s="90">
        <f t="shared" ref="F32:F33" si="1">ROUND(SQRT((E11-E10)^2+(F11-F10)^2), 1)</f>
        <v>4</v>
      </c>
      <c r="G32" s="25">
        <f>'3. Cuantificación Frecuencias'!G8</f>
        <v>150</v>
      </c>
      <c r="H32" s="39">
        <f t="shared" ref="H32:H42" si="2">E32*F32</f>
        <v>16</v>
      </c>
      <c r="I32" s="39">
        <f t="shared" ref="I32:I42" si="3">H32*G32</f>
        <v>2400</v>
      </c>
      <c r="J32" s="91">
        <f>'3. Cuantificación Frecuencias'!K8</f>
        <v>48</v>
      </c>
      <c r="K32" s="37">
        <f>'3. Cuantificación Frecuencias'!L8</f>
        <v>0.3</v>
      </c>
      <c r="L32" s="38">
        <f t="shared" ref="L32:L42" si="4">E32*((2*F32/J32)+K32)/60</f>
        <v>0.03111111111</v>
      </c>
      <c r="M32" s="92" t="s">
        <v>410</v>
      </c>
      <c r="N32" s="85"/>
      <c r="O32" s="85">
        <f t="shared" ref="O32:O42" si="5">L32*60</f>
        <v>1.866666667</v>
      </c>
      <c r="P32" s="93">
        <f t="shared" ref="P32:P42" si="6">L32/8</f>
        <v>0.003888888889</v>
      </c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5.75" customHeight="1">
      <c r="A33" s="85"/>
      <c r="B33" s="11" t="s">
        <v>411</v>
      </c>
      <c r="C33" s="12" t="s">
        <v>409</v>
      </c>
      <c r="D33" s="12" t="s">
        <v>412</v>
      </c>
      <c r="E33" s="31">
        <f>'5. Desde-Hasta (Viajes)'!F9</f>
        <v>4</v>
      </c>
      <c r="F33" s="90">
        <f t="shared" si="1"/>
        <v>3</v>
      </c>
      <c r="G33" s="25">
        <f>'3. Cuantificación Frecuencias'!G9</f>
        <v>50</v>
      </c>
      <c r="H33" s="39">
        <f t="shared" si="2"/>
        <v>12</v>
      </c>
      <c r="I33" s="39">
        <f t="shared" si="3"/>
        <v>600</v>
      </c>
      <c r="J33" s="91">
        <f>'3. Cuantificación Frecuencias'!K9</f>
        <v>42</v>
      </c>
      <c r="K33" s="37">
        <f>'3. Cuantificación Frecuencias'!L9</f>
        <v>0.35</v>
      </c>
      <c r="L33" s="38">
        <f t="shared" si="4"/>
        <v>0.03285714286</v>
      </c>
      <c r="M33" s="92" t="s">
        <v>410</v>
      </c>
      <c r="N33" s="85"/>
      <c r="O33" s="85">
        <f t="shared" si="5"/>
        <v>1.971428571</v>
      </c>
      <c r="P33" s="93">
        <f t="shared" si="6"/>
        <v>0.004107142857</v>
      </c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5.75" customHeight="1">
      <c r="A34" s="85"/>
      <c r="B34" s="11" t="s">
        <v>413</v>
      </c>
      <c r="C34" s="12" t="s">
        <v>61</v>
      </c>
      <c r="D34" s="12" t="s">
        <v>414</v>
      </c>
      <c r="E34" s="31">
        <f>'5. Desde-Hasta (Viajes)'!K8</f>
        <v>4</v>
      </c>
      <c r="F34" s="90">
        <f>ROUND(SQRT((E17-E10)^2+(F17-F10)^2), 1)</f>
        <v>5.3</v>
      </c>
      <c r="G34" s="25">
        <f>'3. Cuantificación Frecuencias'!G15</f>
        <v>45</v>
      </c>
      <c r="H34" s="39">
        <f t="shared" si="2"/>
        <v>21.2</v>
      </c>
      <c r="I34" s="39">
        <f t="shared" si="3"/>
        <v>954</v>
      </c>
      <c r="J34" s="91">
        <f>'3. Cuantificación Frecuencias'!K15</f>
        <v>48</v>
      </c>
      <c r="K34" s="37">
        <f>'3. Cuantificación Frecuencias'!L15</f>
        <v>0.35</v>
      </c>
      <c r="L34" s="38">
        <f t="shared" si="4"/>
        <v>0.03805555556</v>
      </c>
      <c r="M34" s="13" t="s">
        <v>415</v>
      </c>
      <c r="N34" s="85"/>
      <c r="O34" s="85">
        <f t="shared" si="5"/>
        <v>2.283333333</v>
      </c>
      <c r="P34" s="93">
        <f t="shared" si="6"/>
        <v>0.004756944444</v>
      </c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5.75" customHeight="1">
      <c r="A35" s="85"/>
      <c r="B35" s="11" t="s">
        <v>416</v>
      </c>
      <c r="C35" s="12" t="s">
        <v>414</v>
      </c>
      <c r="D35" s="12" t="s">
        <v>417</v>
      </c>
      <c r="E35" s="31">
        <f>'5. Desde-Hasta (Viajes)'!L15</f>
        <v>4</v>
      </c>
      <c r="F35" s="90">
        <f t="shared" ref="F35:F39" si="7">ROUND(SQRT((E18-E17)^2+(F18-F17)^2), 1)</f>
        <v>3</v>
      </c>
      <c r="G35" s="25">
        <f>'3. Cuantificación Frecuencias'!G16</f>
        <v>45</v>
      </c>
      <c r="H35" s="39">
        <f t="shared" si="2"/>
        <v>12</v>
      </c>
      <c r="I35" s="39">
        <f t="shared" si="3"/>
        <v>540</v>
      </c>
      <c r="J35" s="91">
        <f>'3. Cuantificación Frecuencias'!K16</f>
        <v>42</v>
      </c>
      <c r="K35" s="37">
        <f>'3. Cuantificación Frecuencias'!L16</f>
        <v>0.35</v>
      </c>
      <c r="L35" s="38">
        <f t="shared" si="4"/>
        <v>0.03285714286</v>
      </c>
      <c r="M35" s="13" t="s">
        <v>415</v>
      </c>
      <c r="N35" s="85"/>
      <c r="O35" s="85">
        <f t="shared" si="5"/>
        <v>1.971428571</v>
      </c>
      <c r="P35" s="93">
        <f t="shared" si="6"/>
        <v>0.004107142857</v>
      </c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5.75" customHeight="1">
      <c r="A36" s="85"/>
      <c r="B36" s="11" t="s">
        <v>418</v>
      </c>
      <c r="C36" s="12" t="s">
        <v>417</v>
      </c>
      <c r="D36" s="12" t="s">
        <v>419</v>
      </c>
      <c r="E36" s="31">
        <f>'5. Desde-Hasta (Viajes)'!M16</f>
        <v>5.6</v>
      </c>
      <c r="F36" s="90">
        <f t="shared" si="7"/>
        <v>3</v>
      </c>
      <c r="G36" s="25">
        <f>'3. Cuantificación Frecuencias'!G17</f>
        <v>27</v>
      </c>
      <c r="H36" s="39">
        <f t="shared" si="2"/>
        <v>16.8</v>
      </c>
      <c r="I36" s="39">
        <f t="shared" si="3"/>
        <v>453.6</v>
      </c>
      <c r="J36" s="91">
        <f>'3. Cuantificación Frecuencias'!K17</f>
        <v>42</v>
      </c>
      <c r="K36" s="37">
        <f>'3. Cuantificación Frecuencias'!L17</f>
        <v>0.4</v>
      </c>
      <c r="L36" s="38">
        <f t="shared" si="4"/>
        <v>0.05066666667</v>
      </c>
      <c r="M36" s="13" t="s">
        <v>415</v>
      </c>
      <c r="N36" s="85"/>
      <c r="O36" s="85">
        <f t="shared" si="5"/>
        <v>3.04</v>
      </c>
      <c r="P36" s="93">
        <f t="shared" si="6"/>
        <v>0.006333333333</v>
      </c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5.75" customHeight="1">
      <c r="A37" s="85"/>
      <c r="B37" s="11" t="s">
        <v>420</v>
      </c>
      <c r="C37" s="12" t="s">
        <v>419</v>
      </c>
      <c r="D37" s="12" t="s">
        <v>421</v>
      </c>
      <c r="E37" s="31">
        <f>'5. Desde-Hasta (Viajes)'!N17</f>
        <v>5.6</v>
      </c>
      <c r="F37" s="90">
        <f t="shared" si="7"/>
        <v>4</v>
      </c>
      <c r="G37" s="25">
        <f>'3. Cuantificación Frecuencias'!G18</f>
        <v>27</v>
      </c>
      <c r="H37" s="39">
        <f t="shared" si="2"/>
        <v>22.4</v>
      </c>
      <c r="I37" s="39">
        <f t="shared" si="3"/>
        <v>604.8</v>
      </c>
      <c r="J37" s="91">
        <f>'3. Cuantificación Frecuencias'!K18</f>
        <v>42</v>
      </c>
      <c r="K37" s="37">
        <f>'3. Cuantificación Frecuencias'!L18</f>
        <v>0.4</v>
      </c>
      <c r="L37" s="38">
        <f t="shared" si="4"/>
        <v>0.05511111111</v>
      </c>
      <c r="M37" s="13" t="s">
        <v>415</v>
      </c>
      <c r="N37" s="85"/>
      <c r="O37" s="85">
        <f t="shared" si="5"/>
        <v>3.306666667</v>
      </c>
      <c r="P37" s="93">
        <f t="shared" si="6"/>
        <v>0.006888888889</v>
      </c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5.75" customHeight="1">
      <c r="A38" s="85"/>
      <c r="B38" s="11" t="s">
        <v>422</v>
      </c>
      <c r="C38" s="12" t="s">
        <v>421</v>
      </c>
      <c r="D38" s="12" t="s">
        <v>423</v>
      </c>
      <c r="E38" s="31">
        <f>'5. Desde-Hasta (Viajes)'!O18</f>
        <v>14</v>
      </c>
      <c r="F38" s="90">
        <f t="shared" si="7"/>
        <v>3.5</v>
      </c>
      <c r="G38" s="25">
        <f>'3. Cuantificación Frecuencias'!G19</f>
        <v>35</v>
      </c>
      <c r="H38" s="39">
        <f t="shared" si="2"/>
        <v>49</v>
      </c>
      <c r="I38" s="39">
        <f t="shared" si="3"/>
        <v>1715</v>
      </c>
      <c r="J38" s="91">
        <f>'3. Cuantificación Frecuencias'!K19</f>
        <v>36</v>
      </c>
      <c r="K38" s="37">
        <f>'3. Cuantificación Frecuencias'!L19</f>
        <v>0.45</v>
      </c>
      <c r="L38" s="38">
        <f t="shared" si="4"/>
        <v>0.1503703704</v>
      </c>
      <c r="M38" s="92" t="s">
        <v>424</v>
      </c>
      <c r="N38" s="85"/>
      <c r="O38" s="85">
        <f t="shared" si="5"/>
        <v>9.022222222</v>
      </c>
      <c r="P38" s="93">
        <f t="shared" si="6"/>
        <v>0.0187962963</v>
      </c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5.75" customHeight="1">
      <c r="A39" s="85"/>
      <c r="B39" s="11" t="s">
        <v>425</v>
      </c>
      <c r="C39" s="12" t="s">
        <v>423</v>
      </c>
      <c r="D39" s="12" t="s">
        <v>274</v>
      </c>
      <c r="E39" s="31">
        <f>'5. Desde-Hasta (Viajes)'!P19</f>
        <v>7</v>
      </c>
      <c r="F39" s="90">
        <f t="shared" si="7"/>
        <v>3</v>
      </c>
      <c r="G39" s="25">
        <f>'3. Cuantificación Frecuencias'!G20</f>
        <v>30</v>
      </c>
      <c r="H39" s="39">
        <f t="shared" si="2"/>
        <v>21</v>
      </c>
      <c r="I39" s="39">
        <f t="shared" si="3"/>
        <v>630</v>
      </c>
      <c r="J39" s="91">
        <f>'3. Cuantificación Frecuencias'!K20</f>
        <v>42</v>
      </c>
      <c r="K39" s="37">
        <f>'3. Cuantificación Frecuencias'!L20</f>
        <v>0.35</v>
      </c>
      <c r="L39" s="38">
        <f t="shared" si="4"/>
        <v>0.0575</v>
      </c>
      <c r="M39" s="13" t="s">
        <v>426</v>
      </c>
      <c r="N39" s="85"/>
      <c r="O39" s="85">
        <f t="shared" si="5"/>
        <v>3.45</v>
      </c>
      <c r="P39" s="93">
        <f t="shared" si="6"/>
        <v>0.0071875</v>
      </c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5.75" customHeight="1">
      <c r="A40" s="85"/>
      <c r="B40" s="11" t="s">
        <v>427</v>
      </c>
      <c r="C40" s="12" t="s">
        <v>60</v>
      </c>
      <c r="D40" s="12" t="s">
        <v>61</v>
      </c>
      <c r="E40" s="31">
        <f>'5. Desde-Hasta (Viajes)'!D7</f>
        <v>4</v>
      </c>
      <c r="F40" s="90">
        <f>ROUND(SQRT((E10-E9)^2+(F10-F9)^2), 1)</f>
        <v>4.5</v>
      </c>
      <c r="G40" s="25">
        <f>'3. Cuantificación Frecuencias'!G7</f>
        <v>300</v>
      </c>
      <c r="H40" s="39">
        <f t="shared" si="2"/>
        <v>18</v>
      </c>
      <c r="I40" s="39">
        <f t="shared" si="3"/>
        <v>5400</v>
      </c>
      <c r="J40" s="91">
        <f>'3. Cuantificación Frecuencias'!K7</f>
        <v>36</v>
      </c>
      <c r="K40" s="37">
        <f>'3. Cuantificación Frecuencias'!L7</f>
        <v>0.5</v>
      </c>
      <c r="L40" s="38">
        <f t="shared" si="4"/>
        <v>0.05</v>
      </c>
      <c r="M40" s="13" t="s">
        <v>428</v>
      </c>
      <c r="N40" s="85"/>
      <c r="O40" s="85">
        <f t="shared" si="5"/>
        <v>3</v>
      </c>
      <c r="P40" s="93">
        <f t="shared" si="6"/>
        <v>0.00625</v>
      </c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5.75" customHeight="1">
      <c r="A41" s="85"/>
      <c r="B41" s="11" t="s">
        <v>429</v>
      </c>
      <c r="C41" s="12" t="s">
        <v>219</v>
      </c>
      <c r="D41" s="12" t="s">
        <v>238</v>
      </c>
      <c r="E41" s="31">
        <f>'5. Desde-Hasta (Viajes)'!S14</f>
        <v>1.587829537</v>
      </c>
      <c r="F41" s="90">
        <f>ROUND(SQRT((E25-E16)^2+(F25-F16)^2), 1)</f>
        <v>5.3</v>
      </c>
      <c r="G41" s="25">
        <f>'3. Cuantificación Frecuencias'!G14</f>
        <v>315</v>
      </c>
      <c r="H41" s="39">
        <f t="shared" si="2"/>
        <v>8.415496544</v>
      </c>
      <c r="I41" s="39">
        <f t="shared" si="3"/>
        <v>2650.881411</v>
      </c>
      <c r="J41" s="91">
        <f>'3. Cuantificación Frecuencias'!K14</f>
        <v>36</v>
      </c>
      <c r="K41" s="37">
        <f>'3. Cuantificación Frecuencias'!L14</f>
        <v>0.75</v>
      </c>
      <c r="L41" s="38">
        <f t="shared" si="4"/>
        <v>0.02763999564</v>
      </c>
      <c r="M41" s="13" t="s">
        <v>430</v>
      </c>
      <c r="N41" s="85"/>
      <c r="O41" s="85">
        <f t="shared" si="5"/>
        <v>1.658399738</v>
      </c>
      <c r="P41" s="93">
        <f t="shared" si="6"/>
        <v>0.003454999455</v>
      </c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5.75" customHeight="1">
      <c r="A42" s="85"/>
      <c r="B42" s="11" t="s">
        <v>431</v>
      </c>
      <c r="C42" s="12" t="s">
        <v>432</v>
      </c>
      <c r="D42" s="12" t="s">
        <v>238</v>
      </c>
      <c r="E42" s="31">
        <f>'5. Desde-Hasta (Viajes)'!S22</f>
        <v>1.383370048</v>
      </c>
      <c r="F42" s="90">
        <f>ROUND(SQRT((E25-E24)^2+(F25-F24)^2), 1)</f>
        <v>4</v>
      </c>
      <c r="G42" s="25">
        <f>'3. Cuantificación Frecuencias'!G23</f>
        <v>250</v>
      </c>
      <c r="H42" s="39">
        <f t="shared" si="2"/>
        <v>5.53348019</v>
      </c>
      <c r="I42" s="39">
        <f t="shared" si="3"/>
        <v>1383.370048</v>
      </c>
      <c r="J42" s="91">
        <f>'3. Cuantificación Frecuencias'!K23</f>
        <v>36</v>
      </c>
      <c r="K42" s="37">
        <f>'3. Cuantificación Frecuencias'!L23</f>
        <v>0.75</v>
      </c>
      <c r="L42" s="38">
        <f t="shared" si="4"/>
        <v>0.02241571836</v>
      </c>
      <c r="M42" s="13" t="s">
        <v>430</v>
      </c>
      <c r="N42" s="85"/>
      <c r="O42" s="85">
        <f t="shared" si="5"/>
        <v>1.344943102</v>
      </c>
      <c r="P42" s="93">
        <f t="shared" si="6"/>
        <v>0.002801964795</v>
      </c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5.75" customHeight="1">
      <c r="A43" s="85"/>
      <c r="B43" s="94" t="s">
        <v>433</v>
      </c>
      <c r="C43" s="95"/>
      <c r="D43" s="95"/>
      <c r="E43" s="95"/>
      <c r="F43" s="95"/>
      <c r="G43" s="95"/>
      <c r="H43" s="96">
        <f t="shared" ref="H43:I43" si="8">SUM(H32:H42)</f>
        <v>202.3489767</v>
      </c>
      <c r="I43" s="96">
        <f t="shared" si="8"/>
        <v>17331.65146</v>
      </c>
      <c r="J43" s="95"/>
      <c r="K43" s="95"/>
      <c r="L43" s="97">
        <f>SUM(L32:L42)</f>
        <v>0.5485848145</v>
      </c>
      <c r="M43" s="98" t="s">
        <v>434</v>
      </c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5.7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5.7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5.7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5.7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5.7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5.7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5.7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5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5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5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5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ht="15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ht="15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ht="15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ht="15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ht="15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ht="15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ht="15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ht="15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ht="15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ht="15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ht="15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ht="15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ht="15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ht="15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ht="15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ht="15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ht="15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ht="15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ht="15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ht="15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ht="15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ht="15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ht="15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ht="15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ht="15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ht="15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ht="15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ht="15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ht="15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ht="15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ht="15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ht="15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ht="15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ht="15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ht="15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ht="15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ht="15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ht="15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ht="15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ht="15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ht="15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ht="15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ht="15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ht="15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ht="15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ht="15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ht="15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ht="15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ht="15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ht="15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ht="15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ht="15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ht="15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ht="15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ht="15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ht="15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ht="15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ht="15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ht="15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ht="15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ht="15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ht="15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ht="15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ht="15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ht="15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ht="15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ht="15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ht="15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ht="15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ht="15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ht="15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ht="15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ht="15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ht="15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ht="15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ht="15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ht="15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ht="15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ht="15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ht="15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ht="15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ht="15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ht="15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ht="15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ht="15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ht="15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ht="15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ht="15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ht="15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ht="15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ht="15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ht="15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ht="15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ht="15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ht="15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ht="15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ht="15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ht="15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ht="15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ht="15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ht="15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ht="15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ht="15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ht="15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ht="15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ht="15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ht="15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ht="15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ht="15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ht="15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ht="15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ht="15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ht="15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ht="15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ht="15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ht="15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ht="15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ht="15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ht="15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ht="15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ht="15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ht="15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ht="15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ht="15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ht="15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ht="15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ht="15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ht="15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ht="15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ht="15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ht="15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ht="15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ht="15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ht="15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ht="15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ht="15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5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5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5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5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5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5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5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5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5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5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5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5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5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5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5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5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5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5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5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5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5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5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ht="15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ht="15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ht="15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ht="15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ht="15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ht="15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ht="15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ht="15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ht="15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ht="15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ht="15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ht="15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ht="15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ht="15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ht="15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ht="15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ht="15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ht="15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ht="15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ht="15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ht="15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ht="15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ht="15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ht="15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ht="15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ht="15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ht="15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ht="15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ht="15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ht="15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2026-08-31T03:07:52Z</dcterms:created>
  <dc:creator>openpyxl</dc:creator>
</cp:coreProperties>
</file>