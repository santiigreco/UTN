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" sheetId="1" r:id="rId4"/>
    <sheet state="visible" name="Produccion" sheetId="2" r:id="rId5"/>
    <sheet state="visible" name="Plan de ventas" sheetId="3" r:id="rId6"/>
    <sheet state="visible" name="Inversiones" sheetId="4" r:id="rId7"/>
    <sheet state="visible" name="Costos" sheetId="5" r:id="rId8"/>
    <sheet state="visible" name="Flujo" sheetId="6" r:id="rId9"/>
  </sheets>
  <definedNames>
    <definedName hidden="1" localSheetId="4" name="_xlnm._FilterDatabase">Costos!$F$3:$K$14</definedName>
  </definedNames>
  <calcPr/>
  <extLst>
    <ext uri="GoogleSheetsCustomDataVersion2">
      <go:sheetsCustomData xmlns:go="http://customooxmlschemas.google.com/" r:id="rId10" roundtripDataChecksum="ZyWMXR+Tf+baZwwtLbC5n+pJPcCC+1SJ3Q0ibcB538w="/>
    </ext>
  </extLst>
</workbook>
</file>

<file path=xl/sharedStrings.xml><?xml version="1.0" encoding="utf-8"?>
<sst xmlns="http://schemas.openxmlformats.org/spreadsheetml/2006/main" count="318" uniqueCount="196">
  <si>
    <t>Estimación anual de la demanda</t>
  </si>
  <si>
    <t>Población</t>
  </si>
  <si>
    <t>Población total Arg</t>
  </si>
  <si>
    <t>% Celíacos</t>
  </si>
  <si>
    <t>Subpoblación celíacos</t>
  </si>
  <si>
    <t>Consumo teórico anual por persona (según INDEC)</t>
  </si>
  <si>
    <t>Producto</t>
  </si>
  <si>
    <t>Consumo</t>
  </si>
  <si>
    <t>Panificados</t>
  </si>
  <si>
    <t>kg</t>
  </si>
  <si>
    <t>Galletitas saladas</t>
  </si>
  <si>
    <t>Galletitas dulces</t>
  </si>
  <si>
    <t>Total</t>
  </si>
  <si>
    <t>Consumo anual subpoblación celíaca</t>
  </si>
  <si>
    <t>Factor conviviente</t>
  </si>
  <si>
    <t>Ventas SMAMS 2025 [kg]</t>
  </si>
  <si>
    <t>%Mkt share de SMAMS</t>
  </si>
  <si>
    <t>Ventas anuales nuestro proyecto [kg]</t>
  </si>
  <si>
    <t>%Mkt share de nuestro proyecto</t>
  </si>
  <si>
    <t>Produccion</t>
  </si>
  <si>
    <t>Personal</t>
  </si>
  <si>
    <t>Producción por turno y eficiencia</t>
  </si>
  <si>
    <t>Escala de producción</t>
  </si>
  <si>
    <t>Linea</t>
  </si>
  <si>
    <t>Turnos</t>
  </si>
  <si>
    <t>Horario</t>
  </si>
  <si>
    <t>RH/turno</t>
  </si>
  <si>
    <t>RH</t>
  </si>
  <si>
    <t>Cajas/turno</t>
  </si>
  <si>
    <t>Cajas/h</t>
  </si>
  <si>
    <t>kg/caja</t>
  </si>
  <si>
    <t>kg/turno</t>
  </si>
  <si>
    <t>kg/h</t>
  </si>
  <si>
    <t>kg/dia</t>
  </si>
  <si>
    <t>kg/año</t>
  </si>
  <si>
    <t>Tn/año</t>
  </si>
  <si>
    <t>$/kg</t>
  </si>
  <si>
    <t>FC ($M)</t>
  </si>
  <si>
    <t>Pepas</t>
  </si>
  <si>
    <t>A</t>
  </si>
  <si>
    <t>M, T</t>
  </si>
  <si>
    <t>Polvorones</t>
  </si>
  <si>
    <t>N</t>
  </si>
  <si>
    <t>Budines</t>
  </si>
  <si>
    <t>B</t>
  </si>
  <si>
    <t>Linea A</t>
  </si>
  <si>
    <t>Linea B</t>
  </si>
  <si>
    <t>COD</t>
  </si>
  <si>
    <t>FC [$MM]</t>
  </si>
  <si>
    <t>kg/mes</t>
  </si>
  <si>
    <t>Ventas smams</t>
  </si>
  <si>
    <t>Factor</t>
  </si>
  <si>
    <t>A001</t>
  </si>
  <si>
    <t>Chocolate con chips picante</t>
  </si>
  <si>
    <t>A002</t>
  </si>
  <si>
    <t>Galletitas simil chocolinas</t>
  </si>
  <si>
    <t>A003</t>
  </si>
  <si>
    <t>Pepas chocolate y batata</t>
  </si>
  <si>
    <t>A004</t>
  </si>
  <si>
    <t>Bizcochos sabor queso</t>
  </si>
  <si>
    <t>A005</t>
  </si>
  <si>
    <t>B001</t>
  </si>
  <si>
    <t>Pan de molde</t>
  </si>
  <si>
    <t>B002</t>
  </si>
  <si>
    <t>B003</t>
  </si>
  <si>
    <t>Budines saludables</t>
  </si>
  <si>
    <t>LINEA A</t>
  </si>
  <si>
    <t>Capacidad esperada (kg/h)</t>
  </si>
  <si>
    <t>Capacidad real (kg/h)</t>
  </si>
  <si>
    <t>Revisar capacidad de horno tunel</t>
  </si>
  <si>
    <t>Aprovechamiento</t>
  </si>
  <si>
    <t>LINEA B</t>
  </si>
  <si>
    <t>Revisar capacidad de horno rotativo</t>
  </si>
  <si>
    <t>El aprovechamiento debe estar entre 60/90%. Esto se mejora bajando la capacidad de la maquina o aumentando la producción, sin agregar máquinas</t>
  </si>
  <si>
    <t>Precio ($/kg)</t>
  </si>
  <si>
    <t>Galletitas de chocolate con chips picante</t>
  </si>
  <si>
    <t>Galletitas estilo “Chocolinas”</t>
  </si>
  <si>
    <t>Pepas de chocolate y batata</t>
  </si>
  <si>
    <t>Budines saborizados</t>
  </si>
  <si>
    <t>[ARS MM]</t>
  </si>
  <si>
    <t>Cantidad [Tn]</t>
  </si>
  <si>
    <t>Precio [$/Tn]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</si>
  <si>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</si>
  <si>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</si>
  <si>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</si>
  <si>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</si>
  <si>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</si>
  <si>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</si>
  <si>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</si>
  <si>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</si>
  <si>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</si>
  <si>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</si>
  <si>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Bizcochos salados</t>
  </si>
  <si>
    <t>TOTAL</t>
  </si>
  <si>
    <t>Activo fijo</t>
  </si>
  <si>
    <t>Planta</t>
  </si>
  <si>
    <t>Activo trabajo</t>
  </si>
  <si>
    <t>Concepto</t>
  </si>
  <si>
    <t>ARS [MM]</t>
  </si>
  <si>
    <t>%</t>
  </si>
  <si>
    <t>Categoría</t>
  </si>
  <si>
    <t>Equipo</t>
  </si>
  <si>
    <t>Cantidad</t>
  </si>
  <si>
    <t>Precio USD</t>
  </si>
  <si>
    <t>Precio $</t>
  </si>
  <si>
    <t>Total $</t>
  </si>
  <si>
    <t>TC</t>
  </si>
  <si>
    <t>Area</t>
  </si>
  <si>
    <t>m2</t>
  </si>
  <si>
    <t>ARS MM</t>
  </si>
  <si>
    <t>Plazo</t>
  </si>
  <si>
    <t>AT</t>
  </si>
  <si>
    <t>Nave industrial</t>
  </si>
  <si>
    <t>Rodados y equipos aux</t>
  </si>
  <si>
    <t>Uso general</t>
  </si>
  <si>
    <t>Autoelevador</t>
  </si>
  <si>
    <t>Producción y oficinas</t>
  </si>
  <si>
    <t>Compras MP</t>
  </si>
  <si>
    <t>Obras complementarias</t>
  </si>
  <si>
    <t>Zorra</t>
  </si>
  <si>
    <t>Deposito producto terminado</t>
  </si>
  <si>
    <t>Ventas PT</t>
  </si>
  <si>
    <t>Máquinas operativas</t>
  </si>
  <si>
    <t>Balanza micro pesado</t>
  </si>
  <si>
    <t>Deposito mp</t>
  </si>
  <si>
    <t>Rodados y equipos auxiliares</t>
  </si>
  <si>
    <t>Balanza macro pesado</t>
  </si>
  <si>
    <t>Inversion AT</t>
  </si>
  <si>
    <t>Muebles y útiles</t>
  </si>
  <si>
    <t>Costo construcción m2</t>
  </si>
  <si>
    <t>Muebles y utiles</t>
  </si>
  <si>
    <t>Impresora Injket</t>
  </si>
  <si>
    <t>Computadoras</t>
  </si>
  <si>
    <t>Sillas</t>
  </si>
  <si>
    <t>Mesas</t>
  </si>
  <si>
    <t>Sanitario (inodoro + lavamano)</t>
  </si>
  <si>
    <t>Maquinas</t>
  </si>
  <si>
    <t>Línea de Galletitas</t>
  </si>
  <si>
    <t>Amasadora Industrial</t>
  </si>
  <si>
    <t>Rotativa con dulcera</t>
  </si>
  <si>
    <t>Moldes formadores</t>
  </si>
  <si>
    <t>Horno de Túnel (Continuo)</t>
  </si>
  <si>
    <t>Cinta de Enfriamiento</t>
  </si>
  <si>
    <t>Envasadora</t>
  </si>
  <si>
    <t>Línea de panificados</t>
  </si>
  <si>
    <t>Batidora Industrial</t>
  </si>
  <si>
    <t>Dosificadora Volumétrica de Pistones</t>
  </si>
  <si>
    <t>Carros para horno</t>
  </si>
  <si>
    <t>Horno Rotativo</t>
  </si>
  <si>
    <t>Fermentadora de pan</t>
  </si>
  <si>
    <t>Cortadora de pan</t>
  </si>
  <si>
    <t>Carros de enfriamiento</t>
  </si>
  <si>
    <t>Detector de metales</t>
  </si>
  <si>
    <t>Resumen costos anuales</t>
  </si>
  <si>
    <t>Mano de obra</t>
  </si>
  <si>
    <t>Materia prima</t>
  </si>
  <si>
    <t>Sector</t>
  </si>
  <si>
    <t>Posición</t>
  </si>
  <si>
    <t>Tipo</t>
  </si>
  <si>
    <t>Sueldo basico [ARS]</t>
  </si>
  <si>
    <t>Total anual [ARS]</t>
  </si>
  <si>
    <t>Costo MP / Kg ($)</t>
  </si>
  <si>
    <t>Q anual (kg)</t>
  </si>
  <si>
    <t>Costo anual ($)</t>
  </si>
  <si>
    <t>Costo/precio</t>
  </si>
  <si>
    <t>Producción</t>
  </si>
  <si>
    <t>Operario</t>
  </si>
  <si>
    <t>Directo</t>
  </si>
  <si>
    <t>Calidad</t>
  </si>
  <si>
    <t>Analistas</t>
  </si>
  <si>
    <t>Indirecto</t>
  </si>
  <si>
    <t>Otros costos</t>
  </si>
  <si>
    <t>Admin y Finanzas</t>
  </si>
  <si>
    <t>Supervisores</t>
  </si>
  <si>
    <t>Jefes</t>
  </si>
  <si>
    <t>Gerente</t>
  </si>
  <si>
    <t>Ventas</t>
  </si>
  <si>
    <t>Gerencia</t>
  </si>
  <si>
    <t>CEO</t>
  </si>
  <si>
    <t>Apertura mano de obra</t>
  </si>
  <si>
    <t>Mano de obra directa</t>
  </si>
  <si>
    <t>Mano de obra indirecta</t>
  </si>
  <si>
    <t>Flujo de fondos [ARS MM]</t>
  </si>
  <si>
    <t>Concepto/Año</t>
  </si>
  <si>
    <t>Ingresos</t>
  </si>
  <si>
    <t>Egresos</t>
  </si>
  <si>
    <t>Utilidad</t>
  </si>
  <si>
    <t>Honorarios directorio (5%)</t>
  </si>
  <si>
    <t>IIGG (35%)</t>
  </si>
  <si>
    <t>Saldo</t>
  </si>
  <si>
    <t>Saldo Acumulado</t>
  </si>
  <si>
    <t>Beneficio neto [ARS MM]</t>
  </si>
  <si>
    <t>Recupero inversión</t>
  </si>
  <si>
    <t>TIR [%]</t>
  </si>
  <si>
    <t>VAN [ARS MM]</t>
  </si>
  <si>
    <t>wacc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</si>
</sst>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_-;\-* #,##0_-;_-* &quot;-&quot;??_-;_-@"/>
    <numFmt numFmtId="165" formatCode="#,##0.0"/>
    <numFmt numFmtId="166" formatCode="0.0"/>
    <numFmt numFmtId="167" formatCode="_-* #,##0.00_-;\-* #,##0.00_-;_-* &quot;-&quot;??_-;_-@"/>
    <numFmt numFmtId="168" formatCode="0.0%"/>
  </numFmts>
  <fonts count="27">
    <font>
      <sz val="11.0"/>
      <color theme="1"/>
      <name val="Calibri"/>
      <scheme val="minor"/>
    </font>
    <font>
      <sz val="9.0"/>
      <color theme="1"/>
      <name val="Nunito"/>
    </font>
    <font>
      <color theme="1"/>
      <name val="Nunito"/>
    </font>
    <font>
      <b/>
      <sz val="11.0"/>
      <color theme="1"/>
      <name val="Nunito"/>
    </font>
    <font>
      <sz val="11.0"/>
      <color theme="1"/>
      <name val="Nunito"/>
    </font>
    <font>
      <b/>
      <color theme="1"/>
      <name val="Nunito"/>
    </font>
    <font>
      <b/>
      <sz val="9.0"/>
      <color theme="1"/>
      <name val="Nunito"/>
    </font>
    <font/>
    <font>
      <b/>
      <sz val="9.0"/>
      <color theme="0"/>
      <name val="Nunito"/>
    </font>
    <font>
      <sz val="9.0"/>
      <color rgb="FF0070C0"/>
      <name val="Nunito"/>
    </font>
    <font>
      <sz val="9.0"/>
      <color rgb="FFC55A11"/>
      <name val="Nunito"/>
    </font>
    <font>
      <b/>
      <sz val="9.0"/>
      <color rgb="FF0070C0"/>
      <name val="Nunito"/>
    </font>
    <font>
      <b/>
      <sz val="9.0"/>
      <color rgb="FFC55A11"/>
      <name val="Nunito"/>
    </font>
    <font>
      <b/>
      <sz val="9.0"/>
      <color rgb="FFFFFFFF"/>
      <name val="Nunito"/>
    </font>
    <font>
      <sz val="8.0"/>
      <color theme="1"/>
      <name val="Nunito"/>
    </font>
    <font>
      <sz val="10.0"/>
      <color theme="1"/>
      <name val="Nunito"/>
    </font>
    <font>
      <b/>
      <sz val="10.0"/>
      <color theme="1"/>
      <name val="Nunito"/>
    </font>
    <font>
      <b/>
      <sz val="10.0"/>
      <color rgb="FFFFFFFF"/>
      <name val="Nunito"/>
    </font>
    <font>
      <sz val="10.0"/>
      <color rgb="FF000000"/>
      <name val="Nunito"/>
    </font>
    <font>
      <sz val="10.0"/>
      <color rgb="FF0070C0"/>
      <name val="Nunito"/>
    </font>
    <font>
      <b/>
      <sz val="10.0"/>
      <color rgb="FF000000"/>
      <name val="Nunito"/>
    </font>
    <font>
      <b/>
      <sz val="10.0"/>
      <color theme="0"/>
      <name val="Nunito"/>
    </font>
    <font>
      <sz val="9.0"/>
      <color rgb="FF00B050"/>
      <name val="Nunito"/>
    </font>
    <font>
      <b/>
      <sz val="9.0"/>
      <color rgb="FF00B050"/>
      <name val="Nunito"/>
    </font>
    <font>
      <sz val="9.0"/>
      <color rgb="FFFF0000"/>
      <name val="Nunito"/>
    </font>
    <font>
      <b/>
      <sz val="9.0"/>
      <color rgb="FFFF0000"/>
      <name val="Nunito"/>
    </font>
    <font>
      <sz val="9.0"/>
      <color rgb="FFFFFFFF"/>
      <name val="Nunito"/>
    </font>
  </fonts>
  <fills count="11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262626"/>
        <bgColor rgb="FF262626"/>
      </patternFill>
    </fill>
    <fill>
      <patternFill patternType="solid">
        <fgColor rgb="FF434343"/>
        <bgColor rgb="FF434343"/>
      </patternFill>
    </fill>
  </fills>
  <borders count="21">
    <border/>
    <border>
      <bottom style="thin">
        <color rgb="FF000000"/>
      </bottom>
    </border>
    <border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2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Font="1"/>
    <xf borderId="0" fillId="3" fontId="4" numFmtId="0" xfId="0" applyAlignment="1" applyFill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3" fontId="4" numFmtId="3" xfId="0" applyAlignment="1" applyFont="1" applyNumberFormat="1">
      <alignment horizontal="right" vertical="bottom"/>
    </xf>
    <xf borderId="0" fillId="3" fontId="4" numFmtId="9" xfId="0" applyAlignment="1" applyFont="1" applyNumberFormat="1">
      <alignment horizontal="right" vertical="bottom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horizontal="right" vertical="bottom"/>
    </xf>
    <xf borderId="0" fillId="3" fontId="4" numFmtId="0" xfId="0" applyAlignment="1" applyFont="1">
      <alignment readingOrder="0" vertical="bottom"/>
    </xf>
    <xf borderId="0" fillId="3" fontId="4" numFmtId="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center"/>
    </xf>
    <xf borderId="1" fillId="3" fontId="4" numFmtId="4" xfId="0" applyAlignment="1" applyBorder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1" fillId="3" fontId="3" numFmtId="0" xfId="0" applyAlignment="1" applyBorder="1" applyFont="1">
      <alignment horizontal="right" readingOrder="0" vertical="bottom"/>
    </xf>
    <xf borderId="0" fillId="3" fontId="4" numFmtId="165" xfId="0" applyAlignment="1" applyFont="1" applyNumberFormat="1">
      <alignment horizontal="right" readingOrder="0" vertical="bottom"/>
    </xf>
    <xf borderId="1" fillId="3" fontId="4" numFmtId="3" xfId="0" applyAlignment="1" applyBorder="1" applyFont="1" applyNumberFormat="1">
      <alignment horizontal="right" vertical="bottom"/>
    </xf>
    <xf borderId="1" fillId="3" fontId="4" numFmtId="165" xfId="0" applyAlignment="1" applyBorder="1" applyFont="1" applyNumberFormat="1">
      <alignment horizontal="right" readingOrder="0" vertical="bottom"/>
    </xf>
    <xf borderId="0" fillId="3" fontId="3" numFmtId="3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2" numFmtId="10" xfId="0" applyAlignment="1" applyFont="1" applyNumberFormat="1">
      <alignment horizontal="right"/>
    </xf>
    <xf borderId="0" fillId="0" fontId="5" numFmtId="0" xfId="0" applyAlignment="1" applyFont="1">
      <alignment readingOrder="0"/>
    </xf>
    <xf borderId="2" fillId="0" fontId="6" numFmtId="0" xfId="0" applyAlignment="1" applyBorder="1" applyFont="1">
      <alignment horizontal="left" vertical="center"/>
    </xf>
    <xf borderId="2" fillId="0" fontId="7" numFmtId="0" xfId="0" applyBorder="1" applyFont="1"/>
    <xf borderId="3" fillId="4" fontId="8" numFmtId="0" xfId="0" applyAlignment="1" applyBorder="1" applyFill="1" applyFont="1">
      <alignment horizontal="center" vertical="center"/>
    </xf>
    <xf borderId="3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3" fillId="0" fontId="9" numFmtId="164" xfId="0" applyAlignment="1" applyBorder="1" applyFont="1" applyNumberFormat="1">
      <alignment vertical="center"/>
    </xf>
    <xf borderId="3" fillId="0" fontId="9" numFmtId="164" xfId="0" applyAlignment="1" applyBorder="1" applyFont="1" applyNumberFormat="1">
      <alignment horizontal="center" vertical="center"/>
    </xf>
    <xf borderId="3" fillId="0" fontId="9" numFmtId="166" xfId="0" applyAlignment="1" applyBorder="1" applyFont="1" applyNumberFormat="1">
      <alignment vertical="center"/>
    </xf>
    <xf borderId="3" fillId="5" fontId="6" numFmtId="164" xfId="0" applyAlignment="1" applyBorder="1" applyFill="1" applyFont="1" applyNumberFormat="1">
      <alignment vertical="center"/>
    </xf>
    <xf borderId="3" fillId="0" fontId="10" numFmtId="0" xfId="0" applyAlignment="1" applyBorder="1" applyFont="1">
      <alignment vertical="center"/>
    </xf>
    <xf borderId="3" fillId="0" fontId="10" numFmtId="0" xfId="0" applyAlignment="1" applyBorder="1" applyFont="1">
      <alignment horizontal="center" vertical="center"/>
    </xf>
    <xf borderId="3" fillId="0" fontId="10" numFmtId="164" xfId="0" applyAlignment="1" applyBorder="1" applyFont="1" applyNumberFormat="1">
      <alignment vertical="center"/>
    </xf>
    <xf borderId="3" fillId="0" fontId="10" numFmtId="164" xfId="0" applyAlignment="1" applyBorder="1" applyFont="1" applyNumberFormat="1">
      <alignment horizontal="center" vertical="center"/>
    </xf>
    <xf borderId="3" fillId="0" fontId="10" numFmtId="166" xfId="0" applyAlignment="1" applyBorder="1" applyFont="1" applyNumberFormat="1">
      <alignment vertical="center"/>
    </xf>
    <xf borderId="3" fillId="6" fontId="6" numFmtId="0" xfId="0" applyAlignment="1" applyBorder="1" applyFill="1" applyFont="1">
      <alignment vertical="center"/>
    </xf>
    <xf borderId="3" fillId="6" fontId="6" numFmtId="166" xfId="0" applyAlignment="1" applyBorder="1" applyFont="1" applyNumberFormat="1">
      <alignment vertical="center"/>
    </xf>
    <xf borderId="3" fillId="6" fontId="6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4" fillId="4" fontId="13" numFmtId="0" xfId="0" applyAlignment="1" applyBorder="1" applyFont="1">
      <alignment horizontal="center" shrinkToFit="0" vertical="center" wrapText="1"/>
    </xf>
    <xf borderId="5" fillId="4" fontId="8" numFmtId="0" xfId="0" applyAlignment="1" applyBorder="1" applyFont="1">
      <alignment horizontal="center" vertical="center"/>
    </xf>
    <xf borderId="5" fillId="4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3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vertical="center"/>
    </xf>
    <xf borderId="4" fillId="5" fontId="1" numFmtId="164" xfId="0" applyAlignment="1" applyBorder="1" applyFont="1" applyNumberFormat="1">
      <alignment vertical="center"/>
    </xf>
    <xf borderId="4" fillId="0" fontId="1" numFmtId="167" xfId="0" applyAlignment="1" applyBorder="1" applyFont="1" applyNumberFormat="1">
      <alignment readingOrder="0" vertical="center"/>
    </xf>
    <xf borderId="4" fillId="7" fontId="1" numFmtId="0" xfId="0" applyAlignment="1" applyBorder="1" applyFill="1" applyFont="1">
      <alignment shrinkToFit="0" vertical="center" wrapText="1"/>
    </xf>
    <xf borderId="4" fillId="7" fontId="1" numFmtId="0" xfId="0" applyAlignment="1" applyBorder="1" applyFont="1">
      <alignment readingOrder="0" shrinkToFit="0" vertical="center" wrapText="1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shrinkToFit="0" vertical="center" wrapText="1"/>
    </xf>
    <xf borderId="4" fillId="6" fontId="6" numFmtId="0" xfId="0" applyAlignment="1" applyBorder="1" applyFont="1">
      <alignment readingOrder="0" shrinkToFit="0" vertical="center" wrapText="1"/>
    </xf>
    <xf borderId="4" fillId="6" fontId="6" numFmtId="3" xfId="0" applyAlignment="1" applyBorder="1" applyFont="1" applyNumberFormat="1">
      <alignment vertical="center"/>
    </xf>
    <xf borderId="4" fillId="6" fontId="6" numFmtId="164" xfId="0" applyAlignment="1" applyBorder="1" applyFont="1" applyNumberFormat="1">
      <alignment vertical="center"/>
    </xf>
    <xf borderId="4" fillId="5" fontId="6" numFmtId="3" xfId="0" applyAlignment="1" applyBorder="1" applyFont="1" applyNumberFormat="1">
      <alignment vertical="center"/>
    </xf>
    <xf borderId="6" fillId="0" fontId="1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8" fillId="0" fontId="1" numFmtId="164" xfId="0" applyAlignment="1" applyBorder="1" applyFont="1" applyNumberFormat="1">
      <alignment vertical="center"/>
    </xf>
    <xf borderId="0" fillId="0" fontId="1" numFmtId="4" xfId="0" applyAlignment="1" applyFont="1" applyNumberFormat="1">
      <alignment vertical="center"/>
    </xf>
    <xf borderId="9" fillId="0" fontId="7" numFmtId="0" xfId="0" applyBorder="1" applyFont="1"/>
    <xf borderId="10" fillId="0" fontId="1" numFmtId="164" xfId="0" applyAlignment="1" applyBorder="1" applyFont="1" applyNumberFormat="1">
      <alignment vertical="center"/>
    </xf>
    <xf borderId="0" fillId="0" fontId="14" numFmtId="0" xfId="0" applyAlignment="1" applyFont="1">
      <alignment readingOrder="0" vertical="center"/>
    </xf>
    <xf borderId="11" fillId="0" fontId="7" numFmtId="0" xfId="0" applyBorder="1" applyFont="1"/>
    <xf borderId="1" fillId="0" fontId="1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2" fillId="0" fontId="6" numFmtId="9" xfId="0" applyAlignment="1" applyBorder="1" applyFont="1" applyNumberFormat="1">
      <alignment vertical="center"/>
    </xf>
    <xf borderId="0" fillId="0" fontId="1" numFmtId="0" xfId="0" applyAlignment="1" applyFont="1">
      <alignment readingOrder="0" vertical="center"/>
    </xf>
    <xf borderId="6" fillId="0" fontId="12" numFmtId="0" xfId="0" applyAlignment="1" applyBorder="1" applyFont="1">
      <alignment horizontal="center" vertical="center"/>
    </xf>
    <xf borderId="4" fillId="0" fontId="1" numFmtId="0" xfId="0" applyAlignment="1" applyBorder="1" applyFont="1">
      <alignment readingOrder="0" shrinkToFit="0" vertical="center" wrapText="1"/>
    </xf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vertical="center"/>
    </xf>
    <xf borderId="13" fillId="4" fontId="17" numFmtId="0" xfId="0" applyAlignment="1" applyBorder="1" applyFont="1">
      <alignment horizontal="center" vertical="center"/>
    </xf>
    <xf borderId="13" fillId="4" fontId="17" numFmtId="0" xfId="0" applyAlignment="1" applyBorder="1" applyFont="1">
      <alignment horizontal="center" readingOrder="0" vertical="center"/>
    </xf>
    <xf borderId="0" fillId="3" fontId="15" numFmtId="0" xfId="0" applyAlignment="1" applyFont="1">
      <alignment vertical="center"/>
    </xf>
    <xf borderId="13" fillId="0" fontId="18" numFmtId="0" xfId="0" applyAlignment="1" applyBorder="1" applyFont="1">
      <alignment horizontal="left" vertical="center"/>
    </xf>
    <xf borderId="13" fillId="0" fontId="19" numFmtId="3" xfId="0" applyAlignment="1" applyBorder="1" applyFont="1" applyNumberFormat="1">
      <alignment horizontal="right" vertical="center"/>
    </xf>
    <xf borderId="13" fillId="0" fontId="19" numFmtId="4" xfId="0" applyAlignment="1" applyBorder="1" applyFont="1" applyNumberFormat="1">
      <alignment horizontal="right" vertical="center"/>
    </xf>
    <xf borderId="13" fillId="0" fontId="15" numFmtId="3" xfId="0" applyAlignment="1" applyBorder="1" applyFont="1" applyNumberFormat="1">
      <alignment horizontal="right" vertical="center"/>
    </xf>
    <xf borderId="13" fillId="0" fontId="18" numFmtId="0" xfId="0" applyAlignment="1" applyBorder="1" applyFont="1">
      <alignment horizontal="left" readingOrder="0" vertical="center"/>
    </xf>
    <xf borderId="13" fillId="8" fontId="20" numFmtId="0" xfId="0" applyAlignment="1" applyBorder="1" applyFill="1" applyFont="1">
      <alignment horizontal="center" vertical="center"/>
    </xf>
    <xf borderId="13" fillId="8" fontId="20" numFmtId="3" xfId="0" applyAlignment="1" applyBorder="1" applyFont="1" applyNumberFormat="1">
      <alignment horizontal="right" vertical="center"/>
    </xf>
    <xf borderId="13" fillId="8" fontId="20" numFmtId="4" xfId="0" applyAlignment="1" applyBorder="1" applyFont="1" applyNumberFormat="1">
      <alignment horizontal="right" vertical="center"/>
    </xf>
    <xf borderId="0" fillId="0" fontId="15" numFmtId="0" xfId="0" applyFont="1"/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readingOrder="0" vertical="center"/>
    </xf>
    <xf borderId="4" fillId="9" fontId="21" numFmtId="0" xfId="0" applyAlignment="1" applyBorder="1" applyFill="1" applyFont="1">
      <alignment horizontal="center" vertical="center"/>
    </xf>
    <xf borderId="4" fillId="9" fontId="17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4" fillId="0" fontId="15" numFmtId="0" xfId="0" applyAlignment="1" applyBorder="1" applyFont="1">
      <alignment vertical="center"/>
    </xf>
    <xf borderId="4" fillId="0" fontId="15" numFmtId="164" xfId="0" applyAlignment="1" applyBorder="1" applyFont="1" applyNumberFormat="1">
      <alignment vertical="center"/>
    </xf>
    <xf borderId="4" fillId="0" fontId="15" numFmtId="9" xfId="0" applyAlignment="1" applyBorder="1" applyFont="1" applyNumberFormat="1">
      <alignment vertical="center"/>
    </xf>
    <xf borderId="14" fillId="0" fontId="16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164" xfId="0" applyAlignment="1" applyBorder="1" applyFont="1" applyNumberFormat="1">
      <alignment horizontal="center" shrinkToFit="0" vertical="center" wrapText="1"/>
    </xf>
    <xf borderId="4" fillId="0" fontId="15" numFmtId="164" xfId="0" applyAlignment="1" applyBorder="1" applyFont="1" applyNumberFormat="1">
      <alignment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15" numFmtId="164" xfId="0" applyAlignment="1" applyBorder="1" applyFont="1" applyNumberFormat="1">
      <alignment readingOrder="0" shrinkToFit="0" vertical="center" wrapText="1"/>
    </xf>
    <xf borderId="14" fillId="0" fontId="16" numFmtId="0" xfId="0" applyAlignment="1" applyBorder="1" applyFont="1">
      <alignment horizontal="center" shrinkToFit="0" vertical="center" wrapText="1"/>
    </xf>
    <xf borderId="4" fillId="6" fontId="16" numFmtId="0" xfId="0" applyAlignment="1" applyBorder="1" applyFont="1">
      <alignment vertical="center"/>
    </xf>
    <xf borderId="4" fillId="6" fontId="16" numFmtId="164" xfId="0" applyAlignment="1" applyBorder="1" applyFont="1" applyNumberFormat="1">
      <alignment vertical="center"/>
    </xf>
    <xf borderId="4" fillId="0" fontId="15" numFmtId="168" xfId="0" applyAlignment="1" applyBorder="1" applyFont="1" applyNumberFormat="1">
      <alignment vertical="center"/>
    </xf>
    <xf borderId="4" fillId="6" fontId="15" numFmtId="0" xfId="0" applyAlignment="1" applyBorder="1" applyFont="1">
      <alignment vertical="center"/>
    </xf>
    <xf borderId="4" fillId="6" fontId="16" numFmtId="9" xfId="0" applyAlignment="1" applyBorder="1" applyFont="1" applyNumberFormat="1">
      <alignment vertical="center"/>
    </xf>
    <xf borderId="0" fillId="0" fontId="15" numFmtId="164" xfId="0" applyAlignment="1" applyFont="1" applyNumberFormat="1">
      <alignment vertical="center"/>
    </xf>
    <xf borderId="4" fillId="0" fontId="15" numFmtId="0" xfId="0" applyAlignment="1" applyBorder="1" applyFont="1">
      <alignment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Font="1"/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4" fillId="9" fontId="8" numFmtId="0" xfId="0" applyAlignment="1" applyBorder="1" applyFont="1">
      <alignment horizontal="center" vertical="center"/>
    </xf>
    <xf borderId="4" fillId="9" fontId="1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4" fillId="0" fontId="1" numFmtId="9" xfId="0" applyAlignment="1" applyBorder="1" applyFont="1" applyNumberFormat="1">
      <alignment horizontal="right" vertical="center"/>
    </xf>
    <xf borderId="4" fillId="0" fontId="1" numFmtId="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readingOrder="0" vertical="center"/>
    </xf>
    <xf borderId="4" fillId="6" fontId="6" numFmtId="0" xfId="0" applyAlignment="1" applyBorder="1" applyFont="1">
      <alignment vertical="center"/>
    </xf>
    <xf borderId="4" fillId="6" fontId="6" numFmtId="9" xfId="0" applyAlignment="1" applyBorder="1" applyFont="1" applyNumberFormat="1">
      <alignment horizontal="right" vertical="center"/>
    </xf>
    <xf borderId="0" fillId="0" fontId="1" numFmtId="0" xfId="0" applyFont="1"/>
    <xf borderId="4" fillId="0" fontId="22" numFmtId="164" xfId="0" applyAlignment="1" applyBorder="1" applyFont="1" applyNumberFormat="1">
      <alignment horizontal="left" vertical="center"/>
    </xf>
    <xf borderId="4" fillId="0" fontId="22" numFmtId="164" xfId="0" applyAlignment="1" applyBorder="1" applyFont="1" applyNumberFormat="1">
      <alignment horizontal="center" readingOrder="0" vertical="center"/>
    </xf>
    <xf borderId="4" fillId="0" fontId="22" numFmtId="164" xfId="0" applyAlignment="1" applyBorder="1" applyFont="1" applyNumberFormat="1">
      <alignment vertical="center"/>
    </xf>
    <xf borderId="4" fillId="6" fontId="23" numFmtId="164" xfId="0" applyAlignment="1" applyBorder="1" applyFont="1" applyNumberFormat="1">
      <alignment vertical="center"/>
    </xf>
    <xf borderId="4" fillId="0" fontId="24" numFmtId="164" xfId="0" applyAlignment="1" applyBorder="1" applyFont="1" applyNumberFormat="1">
      <alignment horizontal="left" vertical="center"/>
    </xf>
    <xf borderId="4" fillId="0" fontId="24" numFmtId="164" xfId="0" applyAlignment="1" applyBorder="1" applyFont="1" applyNumberFormat="1">
      <alignment horizontal="center" vertical="center"/>
    </xf>
    <xf borderId="4" fillId="0" fontId="24" numFmtId="164" xfId="0" applyAlignment="1" applyBorder="1" applyFont="1" applyNumberFormat="1">
      <alignment vertical="center"/>
    </xf>
    <xf borderId="4" fillId="6" fontId="25" numFmtId="164" xfId="0" applyAlignment="1" applyBorder="1" applyFont="1" applyNumberFormat="1">
      <alignment vertical="center"/>
    </xf>
    <xf borderId="15" fillId="0" fontId="6" numFmtId="164" xfId="0" applyAlignment="1" applyBorder="1" applyFont="1" applyNumberFormat="1">
      <alignment horizontal="left" vertical="center"/>
    </xf>
    <xf borderId="15" fillId="0" fontId="6" numFmtId="164" xfId="0" applyAlignment="1" applyBorder="1" applyFont="1" applyNumberFormat="1">
      <alignment horizontal="center" vertical="center"/>
    </xf>
    <xf borderId="15" fillId="6" fontId="6" numFmtId="164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left" readingOrder="0" vertical="center"/>
    </xf>
    <xf borderId="16" fillId="0" fontId="1" numFmtId="164" xfId="0" applyAlignment="1" applyBorder="1" applyFont="1" applyNumberFormat="1">
      <alignment horizontal="center" readingOrder="0" vertical="center"/>
    </xf>
    <xf borderId="16" fillId="0" fontId="1" numFmtId="164" xfId="0" applyAlignment="1" applyBorder="1" applyFont="1" applyNumberFormat="1">
      <alignment vertical="center"/>
    </xf>
    <xf borderId="17" fillId="6" fontId="6" numFmtId="164" xfId="0" applyAlignment="1" applyBorder="1" applyFont="1" applyNumberFormat="1">
      <alignment vertical="center"/>
    </xf>
    <xf borderId="15" fillId="0" fontId="1" numFmtId="164" xfId="0" applyAlignment="1" applyBorder="1" applyFont="1" applyNumberFormat="1">
      <alignment horizontal="left" readingOrder="0" vertical="center"/>
    </xf>
    <xf borderId="15" fillId="0" fontId="1" numFmtId="164" xfId="0" applyAlignment="1" applyBorder="1" applyFont="1" applyNumberFormat="1">
      <alignment horizontal="center" readingOrder="0" vertical="center"/>
    </xf>
    <xf borderId="15" fillId="0" fontId="1" numFmtId="164" xfId="0" applyAlignment="1" applyBorder="1" applyFont="1" applyNumberFormat="1">
      <alignment vertical="center"/>
    </xf>
    <xf borderId="15" fillId="6" fontId="6" numFmtId="164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horizontal="left" vertical="center"/>
    </xf>
    <xf borderId="16" fillId="0" fontId="1" numFmtId="164" xfId="0" applyAlignment="1" applyBorder="1" applyFont="1" applyNumberFormat="1">
      <alignment horizontal="center" vertical="center"/>
    </xf>
    <xf borderId="17" fillId="6" fontId="6" numFmtId="164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left" vertical="center"/>
    </xf>
    <xf borderId="4" fillId="6" fontId="6" numFmtId="164" xfId="0" applyAlignment="1" applyBorder="1" applyFont="1" applyNumberFormat="1">
      <alignment horizontal="center" vertical="center"/>
    </xf>
    <xf borderId="18" fillId="10" fontId="17" numFmtId="0" xfId="0" applyAlignment="1" applyBorder="1" applyFill="1" applyFont="1">
      <alignment vertical="center"/>
    </xf>
    <xf borderId="19" fillId="0" fontId="20" numFmtId="3" xfId="0" applyAlignment="1" applyBorder="1" applyFont="1" applyNumberFormat="1">
      <alignment horizontal="right" vertical="center"/>
    </xf>
    <xf borderId="20" fillId="0" fontId="7" numFmtId="0" xfId="0" applyBorder="1" applyFont="1"/>
    <xf borderId="18" fillId="10" fontId="17" numFmtId="0" xfId="0" applyAlignment="1" applyBorder="1" applyFont="1">
      <alignment readingOrder="0" vertical="center"/>
    </xf>
    <xf borderId="19" fillId="0" fontId="20" numFmtId="164" xfId="0" applyAlignment="1" applyBorder="1" applyFont="1" applyNumberFormat="1">
      <alignment horizontal="right" vertical="center"/>
    </xf>
    <xf borderId="19" fillId="0" fontId="20" numFmtId="10" xfId="0" applyAlignment="1" applyBorder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" xfId="0" applyFont="1" applyNumberFormat="1"/>
    <xf borderId="0" fillId="0" fontId="26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Composición de costos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Costos!$C$3</c:f>
            </c:strRef>
          </c:tx>
          <c:dPt>
            <c:idx val="0"/>
            <c:spPr>
              <a:solidFill>
                <a:srgbClr val="F9CB9C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Costos!$B$4:$B$6</c:f>
            </c:strRef>
          </c:cat>
          <c:val>
            <c:numRef>
              <c:f>Costos!$C$4:$C$6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Costos!$G$18</c:f>
            </c:strRef>
          </c:tx>
          <c:dPt>
            <c:idx val="0"/>
            <c:spPr>
              <a:solidFill>
                <a:srgbClr val="E69138"/>
              </a:solidFill>
            </c:spPr>
          </c:dPt>
          <c:dPt>
            <c:idx val="1"/>
            <c:spPr>
              <a:solidFill>
                <a:srgbClr val="674EA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Costos!$F$19:$F$20</c:f>
            </c:strRef>
          </c:cat>
          <c:val>
            <c:numRef>
              <c:f>Costos!$G$19:$G$20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Costos!$O$2:$O$3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Costos!$N$4:$N$11</c:f>
            </c:strRef>
          </c:cat>
          <c:val>
            <c:numRef>
              <c:f>Costos!$O$4:$O$11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Verdana"/>
              </a:defRPr>
            </a:pPr>
            <a:r>
              <a:rPr b="1" sz="1600">
                <a:solidFill>
                  <a:srgbClr val="000000"/>
                </a:solidFill>
                <a:latin typeface="Verdana"/>
              </a:rPr>
              <a:t>Flujo de fondos [ARS MM]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Flujo!$B$10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Flujo!$C$3:$M$3</c:f>
            </c:strRef>
          </c:cat>
          <c:val>
            <c:numRef>
              <c:f>Flujo!$C$10:$M$10</c:f>
              <c:numCache/>
            </c:numRef>
          </c:val>
        </c:ser>
        <c:overlap val="100"/>
        <c:axId val="1455908006"/>
        <c:axId val="953192008"/>
      </c:barChart>
      <c:catAx>
        <c:axId val="1455908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192008"/>
      </c:catAx>
      <c:valAx>
        <c:axId val="95319200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55908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133350</xdr:rowOff>
    </xdr:from>
    <xdr:ext cx="5715000" cy="3533775"/>
    <xdr:graphicFrame>
      <xdr:nvGraphicFramePr>
        <xdr:cNvPr id="7518138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409575</xdr:colOff>
      <xdr:row>38</xdr:row>
      <xdr:rowOff>180975</xdr:rowOff>
    </xdr:from>
    <xdr:ext cx="4333875" cy="2400300"/>
    <xdr:graphicFrame>
      <xdr:nvGraphicFramePr>
        <xdr:cNvPr id="2146378776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1219200</xdr:colOff>
      <xdr:row>39</xdr:row>
      <xdr:rowOff>19050</xdr:rowOff>
    </xdr:from>
    <xdr:ext cx="4410075" cy="2400300"/>
    <xdr:graphicFrame>
      <xdr:nvGraphicFramePr>
        <xdr:cNvPr id="13095670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19</xdr:row>
      <xdr:rowOff>152400</xdr:rowOff>
    </xdr:from>
    <xdr:ext cx="5057775" cy="3848100"/>
    <xdr:graphicFrame>
      <xdr:nvGraphicFramePr>
        <xdr:cNvPr id="2006210505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22.43"/>
    <col customWidth="1" min="3" max="3" width="14.0"/>
    <col customWidth="1" min="4" max="5" width="11.57"/>
    <col customWidth="1" min="6" max="6" width="52.29"/>
    <col customWidth="1" min="7" max="23" width="10.71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9.5" customHeight="1">
      <c r="A2" s="1"/>
      <c r="B2" s="2"/>
      <c r="C2" s="2"/>
      <c r="D2" s="1"/>
      <c r="E2" s="1"/>
      <c r="F2" s="3" t="s">
        <v>0</v>
      </c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7.5" customHeight="1">
      <c r="A3" s="1"/>
      <c r="B3" s="2"/>
      <c r="C3" s="2"/>
      <c r="D3" s="1"/>
      <c r="E3" s="1"/>
      <c r="F3" s="6"/>
      <c r="G3" s="6"/>
      <c r="H3" s="6"/>
      <c r="I3" s="6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ht="18.0" customHeight="1">
      <c r="A4" s="1"/>
      <c r="B4" s="2"/>
      <c r="C4" s="2"/>
      <c r="D4" s="1"/>
      <c r="E4" s="1"/>
      <c r="F4" s="7" t="s">
        <v>1</v>
      </c>
      <c r="G4" s="8"/>
      <c r="H4" s="8"/>
      <c r="I4" s="8"/>
      <c r="J4" s="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ht="18.0" customHeight="1">
      <c r="A5" s="1"/>
      <c r="B5" s="2"/>
      <c r="C5" s="2"/>
      <c r="D5" s="1"/>
      <c r="E5" s="1"/>
      <c r="F5" s="6" t="s">
        <v>2</v>
      </c>
      <c r="G5" s="6"/>
      <c r="H5" s="9">
        <v>4.6E7</v>
      </c>
      <c r="I5" s="6"/>
      <c r="J5" s="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ht="18.0" customHeight="1">
      <c r="A6" s="1"/>
      <c r="B6" s="2"/>
      <c r="C6" s="2"/>
      <c r="D6" s="1"/>
      <c r="E6" s="1"/>
      <c r="F6" s="6" t="s">
        <v>3</v>
      </c>
      <c r="G6" s="6"/>
      <c r="H6" s="10">
        <v>0.01</v>
      </c>
      <c r="I6" s="6"/>
      <c r="J6" s="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ht="18.0" customHeight="1">
      <c r="A7" s="1"/>
      <c r="B7" s="2"/>
      <c r="C7" s="2"/>
      <c r="D7" s="1"/>
      <c r="E7" s="1"/>
      <c r="F7" s="6" t="s">
        <v>4</v>
      </c>
      <c r="G7" s="6"/>
      <c r="H7" s="9">
        <f>H5*H6</f>
        <v>460000</v>
      </c>
      <c r="I7" s="6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ht="15.0" customHeight="1">
      <c r="A8" s="1"/>
      <c r="B8" s="2"/>
      <c r="C8" s="2"/>
      <c r="D8" s="1"/>
      <c r="E8" s="1"/>
      <c r="F8" s="6"/>
      <c r="G8" s="6"/>
      <c r="H8" s="6"/>
      <c r="I8" s="6"/>
      <c r="J8" s="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ht="18.0" customHeight="1">
      <c r="A9" s="1"/>
      <c r="B9" s="2"/>
      <c r="C9" s="2"/>
      <c r="D9" s="1"/>
      <c r="E9" s="1"/>
      <c r="F9" s="11" t="s">
        <v>5</v>
      </c>
      <c r="I9" s="6"/>
      <c r="J9" s="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8.0" customHeight="1">
      <c r="A10" s="1"/>
      <c r="B10" s="2"/>
      <c r="C10" s="2"/>
      <c r="D10" s="1"/>
      <c r="E10" s="1"/>
      <c r="F10" s="7" t="s">
        <v>6</v>
      </c>
      <c r="G10" s="8"/>
      <c r="H10" s="12" t="s">
        <v>7</v>
      </c>
      <c r="I10" s="8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ht="18.0" customHeight="1">
      <c r="A11" s="1"/>
      <c r="B11" s="2"/>
      <c r="C11" s="2"/>
      <c r="D11" s="1"/>
      <c r="E11" s="1"/>
      <c r="F11" s="13" t="s">
        <v>8</v>
      </c>
      <c r="G11" s="6"/>
      <c r="H11" s="14">
        <f>1.2*12</f>
        <v>14.4</v>
      </c>
      <c r="I11" s="6" t="s">
        <v>9</v>
      </c>
      <c r="J11" s="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ht="18.0" customHeight="1">
      <c r="A12" s="1"/>
      <c r="B12" s="2"/>
      <c r="C12" s="2"/>
      <c r="D12" s="1"/>
      <c r="E12" s="15"/>
      <c r="F12" s="6" t="s">
        <v>10</v>
      </c>
      <c r="G12" s="6"/>
      <c r="H12" s="14">
        <v>5.04</v>
      </c>
      <c r="I12" s="6" t="s">
        <v>9</v>
      </c>
      <c r="J12" s="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15.0" customHeight="1">
      <c r="A13" s="1"/>
      <c r="B13" s="2"/>
      <c r="C13" s="2"/>
      <c r="D13" s="1"/>
      <c r="E13" s="15"/>
      <c r="F13" s="8" t="s">
        <v>11</v>
      </c>
      <c r="G13" s="8"/>
      <c r="H13" s="16">
        <v>2.52</v>
      </c>
      <c r="I13" s="8" t="s">
        <v>9</v>
      </c>
      <c r="J13" s="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18.0" customHeight="1">
      <c r="A14" s="1"/>
      <c r="B14" s="2"/>
      <c r="C14" s="2"/>
      <c r="D14" s="1"/>
      <c r="E14" s="1"/>
      <c r="F14" s="11" t="s">
        <v>12</v>
      </c>
      <c r="G14" s="6"/>
      <c r="H14" s="17">
        <f>SUM(H11:H13)</f>
        <v>21.96</v>
      </c>
      <c r="I14" s="11" t="s">
        <v>9</v>
      </c>
      <c r="J14" s="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18.0" customHeight="1">
      <c r="A15" s="1"/>
      <c r="B15" s="2"/>
      <c r="C15" s="2"/>
      <c r="D15" s="1"/>
      <c r="E15" s="1"/>
      <c r="F15" s="6"/>
      <c r="G15" s="6"/>
      <c r="H15" s="6"/>
      <c r="I15" s="6"/>
      <c r="J15" s="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18.0" customHeight="1">
      <c r="A16" s="1"/>
      <c r="B16" s="2"/>
      <c r="C16" s="2"/>
      <c r="D16" s="1"/>
      <c r="E16" s="1"/>
      <c r="F16" s="11" t="s">
        <v>13</v>
      </c>
      <c r="H16" s="6"/>
      <c r="I16" s="6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18.0" customHeight="1">
      <c r="A17" s="1"/>
      <c r="B17" s="2"/>
      <c r="C17" s="2"/>
      <c r="D17" s="1"/>
      <c r="E17" s="1"/>
      <c r="F17" s="7" t="s">
        <v>6</v>
      </c>
      <c r="G17" s="8"/>
      <c r="H17" s="12" t="s">
        <v>7</v>
      </c>
      <c r="I17" s="8"/>
      <c r="J17" s="18" t="s">
        <v>14</v>
      </c>
      <c r="K17" s="12" t="s">
        <v>7</v>
      </c>
      <c r="L17" s="8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18.0" customHeight="1">
      <c r="A18" s="1"/>
      <c r="B18" s="2"/>
      <c r="C18" s="2"/>
      <c r="D18" s="1"/>
      <c r="E18" s="1"/>
      <c r="F18" s="13" t="s">
        <v>8</v>
      </c>
      <c r="G18" s="6"/>
      <c r="H18" s="9">
        <f t="shared" ref="H18:H20" si="1">H11*$H$7</f>
        <v>6624000</v>
      </c>
      <c r="I18" s="6" t="s">
        <v>9</v>
      </c>
      <c r="J18" s="19">
        <v>1.5</v>
      </c>
      <c r="K18" s="9">
        <f t="shared" ref="K18:K20" si="2">J18*H18</f>
        <v>9936000</v>
      </c>
      <c r="L18" s="6" t="s">
        <v>9</v>
      </c>
      <c r="M18" s="6" t="s">
        <v>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18.0" customHeight="1">
      <c r="A19" s="1"/>
      <c r="B19" s="2"/>
      <c r="C19" s="2"/>
      <c r="D19" s="1"/>
      <c r="E19" s="1"/>
      <c r="F19" s="6" t="s">
        <v>10</v>
      </c>
      <c r="G19" s="6"/>
      <c r="H19" s="9">
        <f t="shared" si="1"/>
        <v>2318400</v>
      </c>
      <c r="I19" s="6" t="s">
        <v>9</v>
      </c>
      <c r="J19" s="19">
        <v>1.5</v>
      </c>
      <c r="K19" s="9">
        <f t="shared" si="2"/>
        <v>3477600</v>
      </c>
      <c r="L19" s="6" t="s">
        <v>9</v>
      </c>
      <c r="M19" s="6" t="s">
        <v>9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18.0" customHeight="1">
      <c r="A20" s="1"/>
      <c r="B20" s="1"/>
      <c r="C20" s="1"/>
      <c r="D20" s="1"/>
      <c r="E20" s="1"/>
      <c r="F20" s="8" t="s">
        <v>11</v>
      </c>
      <c r="G20" s="8"/>
      <c r="H20" s="20">
        <f t="shared" si="1"/>
        <v>1159200</v>
      </c>
      <c r="I20" s="8" t="s">
        <v>9</v>
      </c>
      <c r="J20" s="21">
        <v>1.5</v>
      </c>
      <c r="K20" s="20">
        <f t="shared" si="2"/>
        <v>1738800</v>
      </c>
      <c r="L20" s="8" t="s">
        <v>9</v>
      </c>
      <c r="M20" s="6" t="s">
        <v>9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8.0" customHeight="1">
      <c r="A21" s="1"/>
      <c r="B21" s="1"/>
      <c r="C21" s="1"/>
      <c r="D21" s="1"/>
      <c r="E21" s="1"/>
      <c r="F21" s="11" t="s">
        <v>12</v>
      </c>
      <c r="G21" s="6"/>
      <c r="H21" s="22">
        <f>SUM(H18:H20)</f>
        <v>10101600</v>
      </c>
      <c r="I21" s="11" t="s">
        <v>9</v>
      </c>
      <c r="J21" s="23"/>
      <c r="K21" s="22">
        <f>SUM(K18:K20)</f>
        <v>15152400</v>
      </c>
      <c r="L21" s="11" t="s">
        <v>9</v>
      </c>
      <c r="M21" s="11" t="s">
        <v>9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18.0" customHeight="1">
      <c r="A22" s="1"/>
      <c r="B22" s="1"/>
      <c r="C22" s="1"/>
      <c r="D22" s="1"/>
      <c r="E22" s="1"/>
      <c r="F22" s="5"/>
      <c r="G22" s="5"/>
      <c r="H22" s="5"/>
      <c r="I22" s="5"/>
      <c r="J22" s="2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18.0" customHeight="1">
      <c r="A23" s="1"/>
      <c r="B23" s="1"/>
      <c r="C23" s="1"/>
      <c r="D23" s="1"/>
      <c r="E23" s="1"/>
      <c r="F23" s="5"/>
      <c r="G23" s="5"/>
      <c r="H23" s="5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8.0" customHeight="1">
      <c r="A24" s="1"/>
      <c r="B24" s="1"/>
      <c r="C24" s="1"/>
      <c r="D24" s="1"/>
      <c r="E24" s="1"/>
      <c r="F24" s="25" t="s">
        <v>15</v>
      </c>
      <c r="G24" s="5"/>
      <c r="H24" s="22">
        <v>1462828.92</v>
      </c>
      <c r="I24" s="6"/>
      <c r="J24" s="2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18.0" customHeight="1">
      <c r="A25" s="1"/>
      <c r="B25" s="1"/>
      <c r="C25" s="1"/>
      <c r="D25" s="1"/>
      <c r="E25" s="1"/>
      <c r="F25" s="25" t="s">
        <v>16</v>
      </c>
      <c r="G25" s="5"/>
      <c r="H25" s="26">
        <f>H24/K21</f>
        <v>0.09654107072</v>
      </c>
      <c r="I25" s="5"/>
      <c r="J25" s="2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18.0" customHeight="1">
      <c r="A27" s="1"/>
      <c r="B27" s="1"/>
      <c r="C27" s="1"/>
      <c r="D27" s="1"/>
      <c r="E27" s="1"/>
      <c r="F27" s="27" t="s">
        <v>17</v>
      </c>
      <c r="G27" s="5"/>
      <c r="H27" s="22">
        <f>Produccion!E22</f>
        <v>383550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18.0" customHeight="1">
      <c r="A28" s="1"/>
      <c r="B28" s="1"/>
      <c r="C28" s="1"/>
      <c r="D28" s="1"/>
      <c r="E28" s="1"/>
      <c r="F28" s="27" t="s">
        <v>18</v>
      </c>
      <c r="G28" s="5"/>
      <c r="H28" s="26">
        <f>H27/K21</f>
        <v>0.02531282173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</sheetData>
  <mergeCells count="2">
    <mergeCell ref="F9:H9"/>
    <mergeCell ref="F16:G1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8.57"/>
    <col customWidth="1" min="3" max="3" width="7.71"/>
    <col customWidth="1" min="4" max="4" width="32.71"/>
    <col customWidth="1" min="5" max="8" width="12.43"/>
    <col customWidth="1" min="9" max="9" width="10.29"/>
    <col customWidth="1" min="10" max="17" width="12.71"/>
    <col customWidth="1" min="18" max="18" width="11.57"/>
    <col customWidth="1" min="19" max="19" width="12.29"/>
    <col customWidth="1" min="20" max="26" width="10.71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hidden="1" customHeight="1">
      <c r="A2" s="1"/>
      <c r="B2" s="1"/>
      <c r="C2" s="1"/>
      <c r="D2" s="28" t="s">
        <v>19</v>
      </c>
      <c r="E2" s="29"/>
      <c r="F2" s="29"/>
      <c r="G2" s="29"/>
      <c r="H2" s="28" t="s">
        <v>20</v>
      </c>
      <c r="I2" s="29"/>
      <c r="J2" s="28" t="s">
        <v>21</v>
      </c>
      <c r="K2" s="29"/>
      <c r="L2" s="29"/>
      <c r="M2" s="29"/>
      <c r="N2" s="29"/>
      <c r="O2" s="28" t="s">
        <v>22</v>
      </c>
      <c r="P2" s="29"/>
      <c r="Q2" s="29"/>
      <c r="R2" s="29"/>
      <c r="S2" s="29"/>
      <c r="T2" s="1"/>
      <c r="U2" s="1"/>
      <c r="V2" s="1"/>
      <c r="W2" s="1"/>
      <c r="X2" s="1"/>
      <c r="Y2" s="1"/>
      <c r="Z2" s="1"/>
    </row>
    <row r="3" ht="21.75" hidden="1" customHeight="1">
      <c r="A3" s="1"/>
      <c r="B3" s="1"/>
      <c r="C3" s="1"/>
      <c r="D3" s="30" t="s">
        <v>6</v>
      </c>
      <c r="E3" s="30" t="s">
        <v>23</v>
      </c>
      <c r="F3" s="30" t="s">
        <v>24</v>
      </c>
      <c r="G3" s="30" t="s">
        <v>25</v>
      </c>
      <c r="H3" s="30" t="s">
        <v>26</v>
      </c>
      <c r="I3" s="30" t="s">
        <v>27</v>
      </c>
      <c r="J3" s="30" t="s">
        <v>28</v>
      </c>
      <c r="K3" s="30" t="s">
        <v>29</v>
      </c>
      <c r="L3" s="30" t="s">
        <v>30</v>
      </c>
      <c r="M3" s="30" t="s">
        <v>31</v>
      </c>
      <c r="N3" s="30" t="s">
        <v>32</v>
      </c>
      <c r="O3" s="30" t="s">
        <v>33</v>
      </c>
      <c r="P3" s="30" t="s">
        <v>34</v>
      </c>
      <c r="Q3" s="30" t="s">
        <v>35</v>
      </c>
      <c r="R3" s="30" t="s">
        <v>36</v>
      </c>
      <c r="S3" s="30" t="s">
        <v>37</v>
      </c>
      <c r="T3" s="1"/>
      <c r="U3" s="1"/>
      <c r="V3" s="1"/>
      <c r="W3" s="1"/>
      <c r="X3" s="1"/>
      <c r="Y3" s="1"/>
      <c r="Z3" s="1"/>
    </row>
    <row r="4" ht="21.75" hidden="1" customHeight="1">
      <c r="A4" s="1"/>
      <c r="B4" s="1"/>
      <c r="C4" s="1"/>
      <c r="D4" s="31" t="s">
        <v>38</v>
      </c>
      <c r="E4" s="32" t="s">
        <v>39</v>
      </c>
      <c r="F4" s="33">
        <v>2.0</v>
      </c>
      <c r="G4" s="33" t="s">
        <v>40</v>
      </c>
      <c r="H4" s="34">
        <v>9.0</v>
      </c>
      <c r="I4" s="34">
        <f t="shared" ref="I4:I6" si="1">F4*H4</f>
        <v>18</v>
      </c>
      <c r="J4" s="33">
        <v>900.0</v>
      </c>
      <c r="K4" s="33">
        <f t="shared" ref="K4:K6" si="2">J4/8</f>
        <v>112.5</v>
      </c>
      <c r="L4" s="35">
        <v>2.7</v>
      </c>
      <c r="M4" s="33">
        <f t="shared" ref="M4:M6" si="3">J4*L4</f>
        <v>2430</v>
      </c>
      <c r="N4" s="33">
        <f t="shared" ref="N4:N6" si="4">M4/8</f>
        <v>303.75</v>
      </c>
      <c r="O4" s="33">
        <f t="shared" ref="O4:O6" si="5">M4*F4</f>
        <v>4860</v>
      </c>
      <c r="P4" s="33">
        <f t="shared" ref="P4:P6" si="6">O4*24*12</f>
        <v>1399680</v>
      </c>
      <c r="Q4" s="33">
        <f t="shared" ref="Q4:Q6" si="7">P4/1000</f>
        <v>1399.68</v>
      </c>
      <c r="R4" s="33">
        <v>10000.0</v>
      </c>
      <c r="S4" s="36">
        <f t="shared" ref="S4:S6" si="8">P4*R4/1000000</f>
        <v>13996.8</v>
      </c>
      <c r="T4" s="1"/>
      <c r="U4" s="1"/>
      <c r="V4" s="1"/>
      <c r="W4" s="1"/>
      <c r="X4" s="1"/>
      <c r="Y4" s="1"/>
      <c r="Z4" s="1"/>
    </row>
    <row r="5" ht="21.75" hidden="1" customHeight="1">
      <c r="A5" s="1"/>
      <c r="B5" s="1"/>
      <c r="C5" s="1"/>
      <c r="D5" s="31" t="s">
        <v>41</v>
      </c>
      <c r="E5" s="32" t="s">
        <v>39</v>
      </c>
      <c r="F5" s="33">
        <v>1.0</v>
      </c>
      <c r="G5" s="33" t="s">
        <v>42</v>
      </c>
      <c r="H5" s="34">
        <v>6.0</v>
      </c>
      <c r="I5" s="34">
        <f t="shared" si="1"/>
        <v>6</v>
      </c>
      <c r="J5" s="33">
        <v>500.0</v>
      </c>
      <c r="K5" s="33">
        <f t="shared" si="2"/>
        <v>62.5</v>
      </c>
      <c r="L5" s="31">
        <v>2.7</v>
      </c>
      <c r="M5" s="33">
        <f t="shared" si="3"/>
        <v>1350</v>
      </c>
      <c r="N5" s="33">
        <f t="shared" si="4"/>
        <v>168.75</v>
      </c>
      <c r="O5" s="33">
        <f t="shared" si="5"/>
        <v>1350</v>
      </c>
      <c r="P5" s="33">
        <f t="shared" si="6"/>
        <v>388800</v>
      </c>
      <c r="Q5" s="33">
        <f t="shared" si="7"/>
        <v>388.8</v>
      </c>
      <c r="R5" s="33">
        <v>10000.0</v>
      </c>
      <c r="S5" s="36">
        <f t="shared" si="8"/>
        <v>3888</v>
      </c>
      <c r="T5" s="1"/>
      <c r="U5" s="1"/>
      <c r="V5" s="1"/>
      <c r="W5" s="1"/>
      <c r="X5" s="1"/>
      <c r="Y5" s="1"/>
      <c r="Z5" s="1"/>
    </row>
    <row r="6" ht="21.75" hidden="1" customHeight="1">
      <c r="A6" s="1"/>
      <c r="B6" s="1"/>
      <c r="C6" s="1"/>
      <c r="D6" s="37" t="s">
        <v>43</v>
      </c>
      <c r="E6" s="38" t="s">
        <v>44</v>
      </c>
      <c r="F6" s="39">
        <v>1.0</v>
      </c>
      <c r="G6" s="39" t="s">
        <v>40</v>
      </c>
      <c r="H6" s="40">
        <v>8.0</v>
      </c>
      <c r="I6" s="40">
        <f t="shared" si="1"/>
        <v>8</v>
      </c>
      <c r="J6" s="39">
        <v>350.0</v>
      </c>
      <c r="K6" s="39">
        <f t="shared" si="2"/>
        <v>43.75</v>
      </c>
      <c r="L6" s="41">
        <v>3.0</v>
      </c>
      <c r="M6" s="39">
        <f t="shared" si="3"/>
        <v>1050</v>
      </c>
      <c r="N6" s="39">
        <f t="shared" si="4"/>
        <v>131.25</v>
      </c>
      <c r="O6" s="39">
        <f t="shared" si="5"/>
        <v>1050</v>
      </c>
      <c r="P6" s="39">
        <f t="shared" si="6"/>
        <v>302400</v>
      </c>
      <c r="Q6" s="39">
        <f t="shared" si="7"/>
        <v>302.4</v>
      </c>
      <c r="R6" s="39">
        <v>15000.0</v>
      </c>
      <c r="S6" s="36">
        <f t="shared" si="8"/>
        <v>4536</v>
      </c>
      <c r="T6" s="1"/>
      <c r="U6" s="1"/>
      <c r="V6" s="1"/>
      <c r="W6" s="1"/>
      <c r="X6" s="1"/>
      <c r="Y6" s="1"/>
      <c r="Z6" s="1"/>
    </row>
    <row r="7" ht="21.75" hidden="1" customHeight="1">
      <c r="A7" s="1"/>
      <c r="B7" s="1"/>
      <c r="C7" s="1"/>
      <c r="D7" s="42" t="s">
        <v>12</v>
      </c>
      <c r="E7" s="42"/>
      <c r="F7" s="43">
        <f>AVERAGE(F4:F6)</f>
        <v>1.333333333</v>
      </c>
      <c r="G7" s="43"/>
      <c r="H7" s="44">
        <f t="shared" ref="H7:K7" si="9">SUM(H4:H6)</f>
        <v>23</v>
      </c>
      <c r="I7" s="44">
        <f t="shared" si="9"/>
        <v>32</v>
      </c>
      <c r="J7" s="44">
        <f t="shared" si="9"/>
        <v>1750</v>
      </c>
      <c r="K7" s="44">
        <f t="shared" si="9"/>
        <v>218.75</v>
      </c>
      <c r="L7" s="43">
        <f>AVERAGE(L4:L6)</f>
        <v>2.8</v>
      </c>
      <c r="M7" s="44">
        <f t="shared" ref="M7:S7" si="10">SUM(M4:M6)</f>
        <v>4830</v>
      </c>
      <c r="N7" s="44">
        <f t="shared" si="10"/>
        <v>603.75</v>
      </c>
      <c r="O7" s="44">
        <f t="shared" si="10"/>
        <v>7260</v>
      </c>
      <c r="P7" s="44">
        <f t="shared" si="10"/>
        <v>2090880</v>
      </c>
      <c r="Q7" s="44">
        <f t="shared" si="10"/>
        <v>2090.88</v>
      </c>
      <c r="R7" s="44">
        <f t="shared" si="10"/>
        <v>35000</v>
      </c>
      <c r="S7" s="36">
        <f t="shared" si="10"/>
        <v>22420.8</v>
      </c>
      <c r="T7" s="1"/>
      <c r="U7" s="1"/>
      <c r="V7" s="1"/>
      <c r="W7" s="1"/>
      <c r="X7" s="1"/>
      <c r="Y7" s="1"/>
      <c r="Z7" s="1"/>
    </row>
    <row r="8" ht="15.0" hidden="1" customHeight="1">
      <c r="A8" s="1"/>
      <c r="B8" s="1"/>
      <c r="C8" s="1"/>
      <c r="D8" s="1"/>
      <c r="E8" s="1"/>
      <c r="F8" s="15"/>
      <c r="G8" s="15"/>
      <c r="H8" s="1"/>
      <c r="I8" s="1"/>
      <c r="J8" s="1"/>
      <c r="K8" s="45"/>
      <c r="L8" s="1"/>
      <c r="M8" s="1"/>
      <c r="N8" s="45"/>
      <c r="O8" s="1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hidden="1" customHeight="1">
      <c r="A9" s="1"/>
      <c r="B9" s="1"/>
      <c r="C9" s="1"/>
      <c r="D9" s="46" t="s">
        <v>45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hidden="1" customHeight="1">
      <c r="A10" s="1"/>
      <c r="B10" s="1"/>
      <c r="C10" s="1"/>
      <c r="D10" s="47" t="s">
        <v>46</v>
      </c>
      <c r="E10" s="1"/>
      <c r="F10" s="1"/>
      <c r="G10" s="1"/>
      <c r="H10" s="1">
        <f>16+18</f>
        <v>34</v>
      </c>
      <c r="I10" s="1"/>
      <c r="J10" s="1"/>
      <c r="K10" s="15"/>
      <c r="L10" s="1"/>
      <c r="M10" s="1"/>
      <c r="N10" s="1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48" t="s">
        <v>23</v>
      </c>
      <c r="C13" s="48" t="s">
        <v>47</v>
      </c>
      <c r="D13" s="48" t="s">
        <v>6</v>
      </c>
      <c r="E13" s="49" t="s">
        <v>34</v>
      </c>
      <c r="F13" s="49" t="s">
        <v>35</v>
      </c>
      <c r="G13" s="49" t="s">
        <v>36</v>
      </c>
      <c r="H13" s="49" t="s">
        <v>48</v>
      </c>
      <c r="I13" s="49" t="s">
        <v>49</v>
      </c>
      <c r="J13" s="49" t="s">
        <v>33</v>
      </c>
      <c r="K13" s="49" t="s">
        <v>24</v>
      </c>
      <c r="L13" s="49" t="s">
        <v>32</v>
      </c>
      <c r="M13" s="1"/>
      <c r="N13" s="50" t="s">
        <v>50</v>
      </c>
      <c r="O13" s="1"/>
      <c r="P13" s="49" t="s">
        <v>51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51" t="s">
        <v>39</v>
      </c>
      <c r="C14" s="51" t="s">
        <v>52</v>
      </c>
      <c r="D14" s="52" t="s">
        <v>53</v>
      </c>
      <c r="E14" s="53">
        <f t="shared" ref="E14:E21" si="11">N14*$P$14</f>
        <v>48000</v>
      </c>
      <c r="F14" s="54">
        <f t="shared" ref="F14:F21" si="12">E14/1000</f>
        <v>48</v>
      </c>
      <c r="G14" s="54">
        <v>13700.0</v>
      </c>
      <c r="H14" s="55">
        <f t="shared" ref="H14:H21" si="13">E14*G14/1000000</f>
        <v>657.6</v>
      </c>
      <c r="I14" s="54">
        <f t="shared" ref="I14:I21" si="14">E14/12</f>
        <v>4000</v>
      </c>
      <c r="J14" s="54">
        <f t="shared" ref="J14:J21" si="15">I14/20</f>
        <v>200</v>
      </c>
      <c r="K14" s="54">
        <v>2.0</v>
      </c>
      <c r="L14" s="54">
        <f t="shared" ref="L14:L21" si="16">J14/(8*K14)</f>
        <v>12.5</v>
      </c>
      <c r="M14" s="1"/>
      <c r="N14" s="54">
        <v>80000.0</v>
      </c>
      <c r="O14" s="1"/>
      <c r="P14" s="56">
        <v>0.6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51" t="s">
        <v>39</v>
      </c>
      <c r="C15" s="51" t="s">
        <v>54</v>
      </c>
      <c r="D15" s="57" t="s">
        <v>55</v>
      </c>
      <c r="E15" s="53">
        <f t="shared" si="11"/>
        <v>27750</v>
      </c>
      <c r="F15" s="54">
        <f t="shared" si="12"/>
        <v>27.75</v>
      </c>
      <c r="G15" s="54">
        <v>10500.0</v>
      </c>
      <c r="H15" s="55">
        <f t="shared" si="13"/>
        <v>291.375</v>
      </c>
      <c r="I15" s="54">
        <f t="shared" si="14"/>
        <v>2312.5</v>
      </c>
      <c r="J15" s="54">
        <f t="shared" si="15"/>
        <v>115.625</v>
      </c>
      <c r="K15" s="54">
        <v>2.0</v>
      </c>
      <c r="L15" s="54">
        <f t="shared" si="16"/>
        <v>7.2265625</v>
      </c>
      <c r="M15" s="1"/>
      <c r="N15" s="54">
        <v>46250.0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51" t="s">
        <v>39</v>
      </c>
      <c r="C16" s="51" t="s">
        <v>56</v>
      </c>
      <c r="D16" s="52" t="s">
        <v>57</v>
      </c>
      <c r="E16" s="53">
        <f t="shared" si="11"/>
        <v>78000</v>
      </c>
      <c r="F16" s="54">
        <f t="shared" si="12"/>
        <v>78</v>
      </c>
      <c r="G16" s="54">
        <v>11000.0</v>
      </c>
      <c r="H16" s="55">
        <f t="shared" si="13"/>
        <v>858</v>
      </c>
      <c r="I16" s="54">
        <f t="shared" si="14"/>
        <v>6500</v>
      </c>
      <c r="J16" s="54">
        <f t="shared" si="15"/>
        <v>325</v>
      </c>
      <c r="K16" s="54">
        <v>2.0</v>
      </c>
      <c r="L16" s="54">
        <f t="shared" si="16"/>
        <v>20.3125</v>
      </c>
      <c r="M16" s="1"/>
      <c r="N16" s="54">
        <v>130000.0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1" t="s">
        <v>39</v>
      </c>
      <c r="C17" s="51" t="s">
        <v>58</v>
      </c>
      <c r="D17" s="58" t="s">
        <v>59</v>
      </c>
      <c r="E17" s="53">
        <f t="shared" si="11"/>
        <v>31200</v>
      </c>
      <c r="F17" s="54">
        <f t="shared" si="12"/>
        <v>31.2</v>
      </c>
      <c r="G17" s="59">
        <v>7000.0</v>
      </c>
      <c r="H17" s="55">
        <f t="shared" si="13"/>
        <v>218.4</v>
      </c>
      <c r="I17" s="54">
        <f t="shared" si="14"/>
        <v>2600</v>
      </c>
      <c r="J17" s="54">
        <f t="shared" si="15"/>
        <v>130</v>
      </c>
      <c r="K17" s="54">
        <v>2.0</v>
      </c>
      <c r="L17" s="54">
        <f t="shared" si="16"/>
        <v>8.125</v>
      </c>
      <c r="M17" s="1"/>
      <c r="N17" s="54">
        <v>52000.0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51" t="s">
        <v>39</v>
      </c>
      <c r="C18" s="51" t="s">
        <v>60</v>
      </c>
      <c r="D18" s="57" t="s">
        <v>41</v>
      </c>
      <c r="E18" s="53">
        <f t="shared" si="11"/>
        <v>52800</v>
      </c>
      <c r="F18" s="54">
        <f t="shared" si="12"/>
        <v>52.8</v>
      </c>
      <c r="G18" s="59">
        <v>10500.0</v>
      </c>
      <c r="H18" s="55">
        <f t="shared" si="13"/>
        <v>554.4</v>
      </c>
      <c r="I18" s="54">
        <f t="shared" si="14"/>
        <v>4400</v>
      </c>
      <c r="J18" s="54">
        <f t="shared" si="15"/>
        <v>220</v>
      </c>
      <c r="K18" s="54">
        <v>2.0</v>
      </c>
      <c r="L18" s="54">
        <f t="shared" si="16"/>
        <v>13.75</v>
      </c>
      <c r="M18" s="1"/>
      <c r="N18" s="54">
        <v>88000.0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60" t="s">
        <v>44</v>
      </c>
      <c r="C19" s="51" t="s">
        <v>61</v>
      </c>
      <c r="D19" s="52" t="s">
        <v>62</v>
      </c>
      <c r="E19" s="53">
        <f t="shared" si="11"/>
        <v>75000</v>
      </c>
      <c r="F19" s="54">
        <f t="shared" si="12"/>
        <v>75</v>
      </c>
      <c r="G19" s="54">
        <v>12700.0</v>
      </c>
      <c r="H19" s="55">
        <f t="shared" si="13"/>
        <v>952.5</v>
      </c>
      <c r="I19" s="54">
        <f t="shared" si="14"/>
        <v>6250</v>
      </c>
      <c r="J19" s="54">
        <f t="shared" si="15"/>
        <v>312.5</v>
      </c>
      <c r="K19" s="54">
        <v>2.0</v>
      </c>
      <c r="L19" s="54">
        <f t="shared" si="16"/>
        <v>19.53125</v>
      </c>
      <c r="M19" s="1"/>
      <c r="N19" s="54">
        <v>125000.0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60" t="s">
        <v>44</v>
      </c>
      <c r="C20" s="51" t="s">
        <v>63</v>
      </c>
      <c r="D20" s="52" t="s">
        <v>43</v>
      </c>
      <c r="E20" s="53">
        <f t="shared" si="11"/>
        <v>70800</v>
      </c>
      <c r="F20" s="54">
        <f t="shared" si="12"/>
        <v>70.8</v>
      </c>
      <c r="G20" s="54">
        <v>12000.0</v>
      </c>
      <c r="H20" s="55">
        <f t="shared" si="13"/>
        <v>849.6</v>
      </c>
      <c r="I20" s="54">
        <f t="shared" si="14"/>
        <v>5900</v>
      </c>
      <c r="J20" s="54">
        <f t="shared" si="15"/>
        <v>295</v>
      </c>
      <c r="K20" s="54">
        <v>2.0</v>
      </c>
      <c r="L20" s="54">
        <f t="shared" si="16"/>
        <v>18.4375</v>
      </c>
      <c r="M20" s="1"/>
      <c r="N20" s="54">
        <v>118000.0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60" t="s">
        <v>44</v>
      </c>
      <c r="C21" s="51" t="s">
        <v>64</v>
      </c>
      <c r="D21" s="58" t="s">
        <v>65</v>
      </c>
      <c r="E21" s="53">
        <f t="shared" si="11"/>
        <v>18000</v>
      </c>
      <c r="F21" s="54">
        <f t="shared" si="12"/>
        <v>18</v>
      </c>
      <c r="G21" s="54">
        <v>12000.0</v>
      </c>
      <c r="H21" s="55">
        <f t="shared" si="13"/>
        <v>216</v>
      </c>
      <c r="I21" s="54">
        <f t="shared" si="14"/>
        <v>1500</v>
      </c>
      <c r="J21" s="54">
        <f t="shared" si="15"/>
        <v>75</v>
      </c>
      <c r="K21" s="54">
        <v>2.0</v>
      </c>
      <c r="L21" s="54">
        <f t="shared" si="16"/>
        <v>4.6875</v>
      </c>
      <c r="M21" s="1"/>
      <c r="N21" s="59">
        <v>30000.0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61" t="s">
        <v>12</v>
      </c>
      <c r="C22" s="62"/>
      <c r="D22" s="63" t="s">
        <v>12</v>
      </c>
      <c r="E22" s="64">
        <f t="shared" ref="E22:F22" si="17">SUM(E14:E20)</f>
        <v>383550</v>
      </c>
      <c r="F22" s="64">
        <f t="shared" si="17"/>
        <v>383.55</v>
      </c>
      <c r="G22" s="65">
        <f>AVERAGE(G14:G20)</f>
        <v>11057.14286</v>
      </c>
      <c r="H22" s="66">
        <f>SUM(H14:H20)</f>
        <v>4381.875</v>
      </c>
      <c r="I22" s="65">
        <f t="shared" ref="I22:L22" si="18">AVERAGE(I14:I20)</f>
        <v>4566.071429</v>
      </c>
      <c r="J22" s="65">
        <f t="shared" si="18"/>
        <v>228.3035714</v>
      </c>
      <c r="K22" s="65">
        <f t="shared" si="18"/>
        <v>2</v>
      </c>
      <c r="L22" s="65">
        <f t="shared" si="18"/>
        <v>14.26897321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67" t="s">
        <v>66</v>
      </c>
      <c r="C25" s="68"/>
      <c r="D25" s="68" t="s">
        <v>67</v>
      </c>
      <c r="E25" s="69">
        <f>SUM(L14:L18)</f>
        <v>61.9140625</v>
      </c>
      <c r="F25" s="1"/>
      <c r="G25" s="1"/>
      <c r="H25" s="1"/>
      <c r="I25" s="70">
        <f>100000*1400</f>
        <v>140000000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71"/>
      <c r="C26" s="1"/>
      <c r="D26" s="1" t="s">
        <v>68</v>
      </c>
      <c r="E26" s="72">
        <f>100</f>
        <v>100</v>
      </c>
      <c r="F26" s="73" t="s">
        <v>69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74"/>
      <c r="C27" s="75"/>
      <c r="D27" s="76" t="s">
        <v>70</v>
      </c>
      <c r="E27" s="77">
        <f>E25/E26</f>
        <v>0.619140625</v>
      </c>
      <c r="F27" s="7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79" t="s">
        <v>71</v>
      </c>
      <c r="C29" s="68"/>
      <c r="D29" s="68" t="s">
        <v>67</v>
      </c>
      <c r="E29" s="69">
        <f>SUM(L19:L21)</f>
        <v>42.65625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1"/>
      <c r="C30" s="1"/>
      <c r="D30" s="1" t="s">
        <v>68</v>
      </c>
      <c r="E30" s="72">
        <v>50.0</v>
      </c>
      <c r="F30" s="73" t="s">
        <v>72</v>
      </c>
      <c r="G30" s="1"/>
      <c r="H30" s="1"/>
      <c r="I30" s="1"/>
      <c r="J30" s="1"/>
      <c r="K30" s="1"/>
      <c r="L30" s="1"/>
      <c r="M30" s="1">
        <f>164000/12</f>
        <v>13666.66667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74"/>
      <c r="C31" s="75"/>
      <c r="D31" s="76" t="s">
        <v>70</v>
      </c>
      <c r="E31" s="77">
        <f>E29/E30</f>
        <v>0.853125</v>
      </c>
      <c r="F31" s="7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73" t="s">
        <v>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48" t="s">
        <v>6</v>
      </c>
      <c r="E38" s="49" t="s">
        <v>74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52" t="s">
        <v>75</v>
      </c>
      <c r="E39" s="53">
        <v>13700.0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52" t="s">
        <v>76</v>
      </c>
      <c r="E40" s="53">
        <v>10500.0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52" t="s">
        <v>77</v>
      </c>
      <c r="E41" s="53">
        <v>11000.0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80" t="s">
        <v>59</v>
      </c>
      <c r="E42" s="53">
        <v>7000.0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52" t="s">
        <v>41</v>
      </c>
      <c r="E43" s="53">
        <v>10500.0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52" t="s">
        <v>78</v>
      </c>
      <c r="E44" s="53">
        <v>12000.0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52" t="s">
        <v>62</v>
      </c>
      <c r="E45" s="53">
        <v>12700.0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6">
    <mergeCell ref="D2:G2"/>
    <mergeCell ref="H2:I2"/>
    <mergeCell ref="J2:N2"/>
    <mergeCell ref="O2:S2"/>
    <mergeCell ref="B25:B27"/>
    <mergeCell ref="B29:B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29.57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>
      <c r="A2" s="81"/>
      <c r="B2" s="81"/>
      <c r="C2" s="81"/>
      <c r="D2" s="81"/>
      <c r="E2" s="82" t="s">
        <v>79</v>
      </c>
      <c r="F2" s="81"/>
      <c r="G2" s="81"/>
      <c r="H2" s="81"/>
      <c r="I2" s="81"/>
      <c r="J2" s="81"/>
      <c r="K2" s="81"/>
      <c r="L2" s="81"/>
      <c r="M2" s="81"/>
      <c r="N2" s="81"/>
      <c r="O2" s="81"/>
    </row>
    <row r="3" ht="24.0" customHeight="1">
      <c r="A3" s="81"/>
      <c r="B3" s="83" t="s">
        <v>6</v>
      </c>
      <c r="C3" s="83" t="s">
        <v>80</v>
      </c>
      <c r="D3" s="83" t="s">
        <v>81</v>
      </c>
      <c r="E3" s="84" t="s">
        <v>82</v>
      </c>
      <c r="F3" s="84" t="s">
        <v>83</v>
      </c>
      <c r="G3" s="84" t="s">
        <v>84</v>
      </c>
      <c r="H3" s="84" t="s">
        <v>85</v>
      </c>
      <c r="I3" s="84" t="s">
        <v>86</v>
      </c>
      <c r="J3" s="84" t="s">
        <v>87</v>
      </c>
      <c r="K3" s="84" t="s">
        <v>88</v>
      </c>
      <c r="L3" s="84" t="s">
        <v>89</v>
      </c>
      <c r="M3" s="84" t="s">
        <v>90</v>
      </c>
      <c r="N3" s="84" t="s">
        <v>91</v>
      </c>
      <c r="O3" s="85"/>
    </row>
    <row r="4" ht="24.0" customHeight="1">
      <c r="A4" s="81"/>
      <c r="B4" s="86" t="s">
        <v>53</v>
      </c>
      <c r="C4" s="87">
        <f>Produccion!F14</f>
        <v>48</v>
      </c>
      <c r="D4" s="88">
        <f>Produccion!G14/1000</f>
        <v>13.7</v>
      </c>
      <c r="E4" s="89">
        <f t="shared" ref="E4:E10" si="2">D4*C4</f>
        <v>657.6</v>
      </c>
      <c r="F4" s="89">
        <f t="shared" ref="F4:N4" si="1">E4</f>
        <v>657.6</v>
      </c>
      <c r="G4" s="89">
        <f t="shared" si="1"/>
        <v>657.6</v>
      </c>
      <c r="H4" s="89">
        <f t="shared" si="1"/>
        <v>657.6</v>
      </c>
      <c r="I4" s="89">
        <f t="shared" si="1"/>
        <v>657.6</v>
      </c>
      <c r="J4" s="89">
        <f t="shared" si="1"/>
        <v>657.6</v>
      </c>
      <c r="K4" s="89">
        <f t="shared" si="1"/>
        <v>657.6</v>
      </c>
      <c r="L4" s="89">
        <f t="shared" si="1"/>
        <v>657.6</v>
      </c>
      <c r="M4" s="89">
        <f t="shared" si="1"/>
        <v>657.6</v>
      </c>
      <c r="N4" s="89">
        <f t="shared" si="1"/>
        <v>657.6</v>
      </c>
      <c r="O4" s="85"/>
    </row>
    <row r="5" ht="24.0" customHeight="1">
      <c r="A5" s="81"/>
      <c r="B5" s="90" t="s">
        <v>55</v>
      </c>
      <c r="C5" s="87">
        <f>Produccion!F15</f>
        <v>27.75</v>
      </c>
      <c r="D5" s="88">
        <f>Produccion!G15/1000</f>
        <v>10.5</v>
      </c>
      <c r="E5" s="89">
        <f t="shared" si="2"/>
        <v>291.375</v>
      </c>
      <c r="F5" s="89">
        <f t="shared" ref="F5:N5" si="3">E5</f>
        <v>291.375</v>
      </c>
      <c r="G5" s="89">
        <f t="shared" si="3"/>
        <v>291.375</v>
      </c>
      <c r="H5" s="89">
        <f t="shared" si="3"/>
        <v>291.375</v>
      </c>
      <c r="I5" s="89">
        <f t="shared" si="3"/>
        <v>291.375</v>
      </c>
      <c r="J5" s="89">
        <f t="shared" si="3"/>
        <v>291.375</v>
      </c>
      <c r="K5" s="89">
        <f t="shared" si="3"/>
        <v>291.375</v>
      </c>
      <c r="L5" s="89">
        <f t="shared" si="3"/>
        <v>291.375</v>
      </c>
      <c r="M5" s="89">
        <f t="shared" si="3"/>
        <v>291.375</v>
      </c>
      <c r="N5" s="89">
        <f t="shared" si="3"/>
        <v>291.375</v>
      </c>
      <c r="O5" s="85"/>
    </row>
    <row r="6" ht="24.0" customHeight="1">
      <c r="A6" s="81"/>
      <c r="B6" s="86" t="s">
        <v>57</v>
      </c>
      <c r="C6" s="87">
        <f>Produccion!F16</f>
        <v>78</v>
      </c>
      <c r="D6" s="88">
        <f>Produccion!G16/1000</f>
        <v>11</v>
      </c>
      <c r="E6" s="89">
        <f t="shared" si="2"/>
        <v>858</v>
      </c>
      <c r="F6" s="89">
        <f t="shared" ref="F6:N6" si="4">E6</f>
        <v>858</v>
      </c>
      <c r="G6" s="89">
        <f t="shared" si="4"/>
        <v>858</v>
      </c>
      <c r="H6" s="89">
        <f t="shared" si="4"/>
        <v>858</v>
      </c>
      <c r="I6" s="89">
        <f t="shared" si="4"/>
        <v>858</v>
      </c>
      <c r="J6" s="89">
        <f t="shared" si="4"/>
        <v>858</v>
      </c>
      <c r="K6" s="89">
        <f t="shared" si="4"/>
        <v>858</v>
      </c>
      <c r="L6" s="89">
        <f t="shared" si="4"/>
        <v>858</v>
      </c>
      <c r="M6" s="89">
        <f t="shared" si="4"/>
        <v>858</v>
      </c>
      <c r="N6" s="89">
        <f t="shared" si="4"/>
        <v>858</v>
      </c>
      <c r="O6" s="85"/>
    </row>
    <row r="7" ht="24.0" customHeight="1">
      <c r="A7" s="81"/>
      <c r="B7" s="86" t="s">
        <v>92</v>
      </c>
      <c r="C7" s="87">
        <f>Produccion!F17</f>
        <v>31.2</v>
      </c>
      <c r="D7" s="88">
        <f>Produccion!G17/1000</f>
        <v>7</v>
      </c>
      <c r="E7" s="89">
        <f t="shared" si="2"/>
        <v>218.4</v>
      </c>
      <c r="F7" s="89">
        <f t="shared" ref="F7:N7" si="5">E7</f>
        <v>218.4</v>
      </c>
      <c r="G7" s="89">
        <f t="shared" si="5"/>
        <v>218.4</v>
      </c>
      <c r="H7" s="89">
        <f t="shared" si="5"/>
        <v>218.4</v>
      </c>
      <c r="I7" s="89">
        <f t="shared" si="5"/>
        <v>218.4</v>
      </c>
      <c r="J7" s="89">
        <f t="shared" si="5"/>
        <v>218.4</v>
      </c>
      <c r="K7" s="89">
        <f t="shared" si="5"/>
        <v>218.4</v>
      </c>
      <c r="L7" s="89">
        <f t="shared" si="5"/>
        <v>218.4</v>
      </c>
      <c r="M7" s="89">
        <f t="shared" si="5"/>
        <v>218.4</v>
      </c>
      <c r="N7" s="89">
        <f t="shared" si="5"/>
        <v>218.4</v>
      </c>
      <c r="O7" s="85"/>
    </row>
    <row r="8" ht="24.0" customHeight="1">
      <c r="A8" s="81"/>
      <c r="B8" s="86" t="s">
        <v>41</v>
      </c>
      <c r="C8" s="87">
        <f>Produccion!F18</f>
        <v>52.8</v>
      </c>
      <c r="D8" s="88">
        <f>Produccion!G18/1000</f>
        <v>10.5</v>
      </c>
      <c r="E8" s="89">
        <f t="shared" si="2"/>
        <v>554.4</v>
      </c>
      <c r="F8" s="89">
        <f t="shared" ref="F8:N8" si="6">E8</f>
        <v>554.4</v>
      </c>
      <c r="G8" s="89">
        <f t="shared" si="6"/>
        <v>554.4</v>
      </c>
      <c r="H8" s="89">
        <f t="shared" si="6"/>
        <v>554.4</v>
      </c>
      <c r="I8" s="89">
        <f t="shared" si="6"/>
        <v>554.4</v>
      </c>
      <c r="J8" s="89">
        <f t="shared" si="6"/>
        <v>554.4</v>
      </c>
      <c r="K8" s="89">
        <f t="shared" si="6"/>
        <v>554.4</v>
      </c>
      <c r="L8" s="89">
        <f t="shared" si="6"/>
        <v>554.4</v>
      </c>
      <c r="M8" s="89">
        <f t="shared" si="6"/>
        <v>554.4</v>
      </c>
      <c r="N8" s="89">
        <f t="shared" si="6"/>
        <v>554.4</v>
      </c>
      <c r="O8" s="85"/>
    </row>
    <row r="9" ht="24.0" customHeight="1">
      <c r="A9" s="81"/>
      <c r="B9" s="86" t="s">
        <v>62</v>
      </c>
      <c r="C9" s="87">
        <f>Produccion!F19</f>
        <v>75</v>
      </c>
      <c r="D9" s="88">
        <f>Produccion!G19/1000</f>
        <v>12.7</v>
      </c>
      <c r="E9" s="89">
        <f t="shared" si="2"/>
        <v>952.5</v>
      </c>
      <c r="F9" s="89">
        <f t="shared" ref="F9:N9" si="7">E9</f>
        <v>952.5</v>
      </c>
      <c r="G9" s="89">
        <f t="shared" si="7"/>
        <v>952.5</v>
      </c>
      <c r="H9" s="89">
        <f t="shared" si="7"/>
        <v>952.5</v>
      </c>
      <c r="I9" s="89">
        <f t="shared" si="7"/>
        <v>952.5</v>
      </c>
      <c r="J9" s="89">
        <f t="shared" si="7"/>
        <v>952.5</v>
      </c>
      <c r="K9" s="89">
        <f t="shared" si="7"/>
        <v>952.5</v>
      </c>
      <c r="L9" s="89">
        <f t="shared" si="7"/>
        <v>952.5</v>
      </c>
      <c r="M9" s="89">
        <f t="shared" si="7"/>
        <v>952.5</v>
      </c>
      <c r="N9" s="89">
        <f t="shared" si="7"/>
        <v>952.5</v>
      </c>
      <c r="O9" s="85"/>
    </row>
    <row r="10" ht="24.0" customHeight="1">
      <c r="A10" s="81"/>
      <c r="B10" s="86" t="s">
        <v>43</v>
      </c>
      <c r="C10" s="87">
        <f>Produccion!F20</f>
        <v>70.8</v>
      </c>
      <c r="D10" s="88">
        <f>Produccion!G20/1000</f>
        <v>12</v>
      </c>
      <c r="E10" s="89">
        <f t="shared" si="2"/>
        <v>849.6</v>
      </c>
      <c r="F10" s="89">
        <f t="shared" ref="F10:N10" si="8">E10</f>
        <v>849.6</v>
      </c>
      <c r="G10" s="89">
        <f t="shared" si="8"/>
        <v>849.6</v>
      </c>
      <c r="H10" s="89">
        <f t="shared" si="8"/>
        <v>849.6</v>
      </c>
      <c r="I10" s="89">
        <f t="shared" si="8"/>
        <v>849.6</v>
      </c>
      <c r="J10" s="89">
        <f t="shared" si="8"/>
        <v>849.6</v>
      </c>
      <c r="K10" s="89">
        <f t="shared" si="8"/>
        <v>849.6</v>
      </c>
      <c r="L10" s="89">
        <f t="shared" si="8"/>
        <v>849.6</v>
      </c>
      <c r="M10" s="89">
        <f t="shared" si="8"/>
        <v>849.6</v>
      </c>
      <c r="N10" s="89">
        <f t="shared" si="8"/>
        <v>849.6</v>
      </c>
      <c r="O10" s="85"/>
    </row>
    <row r="11" ht="24.0" customHeight="1">
      <c r="A11" s="81"/>
      <c r="B11" s="91" t="s">
        <v>93</v>
      </c>
      <c r="C11" s="92">
        <f t="shared" ref="C11:E11" si="9">SUM(C4:C10)</f>
        <v>383.55</v>
      </c>
      <c r="D11" s="93">
        <f t="shared" si="9"/>
        <v>77.4</v>
      </c>
      <c r="E11" s="92">
        <f t="shared" si="9"/>
        <v>4381.875</v>
      </c>
      <c r="F11" s="92">
        <f t="shared" ref="F11:N11" si="10">E11</f>
        <v>4381.875</v>
      </c>
      <c r="G11" s="92">
        <f t="shared" si="10"/>
        <v>4381.875</v>
      </c>
      <c r="H11" s="92">
        <f t="shared" si="10"/>
        <v>4381.875</v>
      </c>
      <c r="I11" s="92">
        <f t="shared" si="10"/>
        <v>4381.875</v>
      </c>
      <c r="J11" s="92">
        <f t="shared" si="10"/>
        <v>4381.875</v>
      </c>
      <c r="K11" s="92">
        <f t="shared" si="10"/>
        <v>4381.875</v>
      </c>
      <c r="L11" s="92">
        <f t="shared" si="10"/>
        <v>4381.875</v>
      </c>
      <c r="M11" s="92">
        <f t="shared" si="10"/>
        <v>4381.875</v>
      </c>
      <c r="N11" s="92">
        <f t="shared" si="10"/>
        <v>4381.875</v>
      </c>
      <c r="O11" s="85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</row>
    <row r="13">
      <c r="A13" s="81"/>
      <c r="B13" s="81"/>
      <c r="C13" s="81"/>
      <c r="D13" s="81"/>
      <c r="E13" s="81">
        <f>E11/365*30</f>
        <v>360.1541096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9.71"/>
    <col customWidth="1" min="3" max="3" width="11.14"/>
    <col customWidth="1" min="4" max="4" width="7.14"/>
    <col customWidth="1" min="5" max="5" width="4.71"/>
    <col customWidth="1" min="6" max="6" width="19.14"/>
    <col customWidth="1" min="7" max="7" width="19.71"/>
    <col customWidth="1" min="8" max="8" width="28.29"/>
    <col customWidth="1" min="9" max="9" width="7.71"/>
    <col customWidth="1" min="10" max="12" width="13.57"/>
    <col customWidth="1" min="13" max="13" width="4.29"/>
    <col customWidth="1" min="14" max="15" width="5.57"/>
    <col customWidth="1" min="16" max="16" width="7.57"/>
    <col customWidth="1" min="17" max="17" width="23.0"/>
    <col customWidth="1" min="18" max="18" width="11.57"/>
    <col customWidth="1" min="19" max="19" width="10.71"/>
    <col customWidth="1" min="20" max="20" width="15.29"/>
    <col customWidth="1" min="21" max="23" width="12.43"/>
    <col customWidth="1" min="24" max="27" width="10.71"/>
  </cols>
  <sheetData>
    <row r="1" ht="10.5" customHeight="1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 ht="15.0" customHeight="1">
      <c r="A2" s="95"/>
      <c r="B2" s="96" t="s">
        <v>94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7" t="s">
        <v>95</v>
      </c>
      <c r="R2" s="95"/>
      <c r="S2" s="95"/>
      <c r="T2" s="97" t="s">
        <v>96</v>
      </c>
      <c r="U2" s="95"/>
      <c r="V2" s="95"/>
      <c r="W2" s="95"/>
      <c r="X2" s="95"/>
      <c r="Y2" s="95"/>
      <c r="Z2" s="95"/>
      <c r="AA2" s="95"/>
    </row>
    <row r="3" ht="15.0" customHeight="1">
      <c r="A3" s="95"/>
      <c r="B3" s="98" t="s">
        <v>97</v>
      </c>
      <c r="C3" s="98" t="s">
        <v>98</v>
      </c>
      <c r="D3" s="99" t="s">
        <v>99</v>
      </c>
      <c r="E3" s="95"/>
      <c r="F3" s="95"/>
      <c r="G3" s="98" t="s">
        <v>100</v>
      </c>
      <c r="H3" s="98" t="s">
        <v>101</v>
      </c>
      <c r="I3" s="98" t="s">
        <v>102</v>
      </c>
      <c r="J3" s="98" t="s">
        <v>103</v>
      </c>
      <c r="K3" s="98" t="s">
        <v>104</v>
      </c>
      <c r="L3" s="98" t="s">
        <v>105</v>
      </c>
      <c r="M3" s="95"/>
      <c r="N3" s="100" t="s">
        <v>106</v>
      </c>
      <c r="O3" s="101">
        <v>1360.0</v>
      </c>
      <c r="P3" s="95"/>
      <c r="Q3" s="98" t="s">
        <v>107</v>
      </c>
      <c r="R3" s="98" t="s">
        <v>108</v>
      </c>
      <c r="S3" s="95"/>
      <c r="T3" s="99" t="s">
        <v>97</v>
      </c>
      <c r="U3" s="99" t="s">
        <v>109</v>
      </c>
      <c r="V3" s="99" t="s">
        <v>110</v>
      </c>
      <c r="W3" s="99" t="s">
        <v>111</v>
      </c>
      <c r="X3" s="95"/>
      <c r="Y3" s="95"/>
      <c r="Z3" s="95"/>
      <c r="AA3" s="95"/>
    </row>
    <row r="4" ht="15.0" customHeight="1">
      <c r="A4" s="95"/>
      <c r="B4" s="102" t="s">
        <v>112</v>
      </c>
      <c r="C4" s="103">
        <f>900000*O3/1000000</f>
        <v>1224</v>
      </c>
      <c r="D4" s="104">
        <f t="shared" ref="D4:D8" si="1">C4/$C$9</f>
        <v>0.6880494136</v>
      </c>
      <c r="E4" s="95"/>
      <c r="F4" s="105" t="s">
        <v>113</v>
      </c>
      <c r="G4" s="106" t="s">
        <v>114</v>
      </c>
      <c r="H4" s="107" t="s">
        <v>115</v>
      </c>
      <c r="I4" s="108">
        <v>1.0</v>
      </c>
      <c r="J4" s="109">
        <v>15000.0</v>
      </c>
      <c r="K4" s="110"/>
      <c r="L4" s="109">
        <f t="shared" ref="L4:L7" si="2">IF(J4="",I4*K4,I4*J4*$O$3)</f>
        <v>20400000</v>
      </c>
      <c r="M4" s="95"/>
      <c r="N4" s="95"/>
      <c r="O4" s="95"/>
      <c r="P4" s="95"/>
      <c r="Q4" s="111" t="s">
        <v>116</v>
      </c>
      <c r="R4" s="110">
        <v>680.0</v>
      </c>
      <c r="S4" s="95"/>
      <c r="T4" s="112" t="s">
        <v>117</v>
      </c>
      <c r="U4" s="110">
        <f>Costos!C5</f>
        <v>944.7734205</v>
      </c>
      <c r="V4" s="113">
        <v>30.0</v>
      </c>
      <c r="W4" s="110">
        <f t="shared" ref="W4:W5" si="3">U4/365*V4</f>
        <v>77.6526099</v>
      </c>
      <c r="X4" s="95"/>
      <c r="Y4" s="95"/>
      <c r="Z4" s="95"/>
      <c r="AA4" s="95"/>
    </row>
    <row r="5" ht="15.0" customHeight="1">
      <c r="A5" s="95"/>
      <c r="B5" s="102" t="s">
        <v>118</v>
      </c>
      <c r="C5" s="103">
        <f>R7*0.7*R9/1000000</f>
        <v>186.2</v>
      </c>
      <c r="D5" s="104">
        <f t="shared" si="1"/>
        <v>0.1046689549</v>
      </c>
      <c r="E5" s="95"/>
      <c r="F5" s="114"/>
      <c r="G5" s="107"/>
      <c r="H5" s="107" t="s">
        <v>119</v>
      </c>
      <c r="I5" s="108">
        <v>2.0</v>
      </c>
      <c r="J5" s="110"/>
      <c r="K5" s="109">
        <v>450000.0</v>
      </c>
      <c r="L5" s="109">
        <f t="shared" si="2"/>
        <v>900000</v>
      </c>
      <c r="M5" s="95"/>
      <c r="N5" s="95"/>
      <c r="O5" s="95"/>
      <c r="P5" s="95"/>
      <c r="Q5" s="111" t="s">
        <v>120</v>
      </c>
      <c r="R5" s="110">
        <v>450.0</v>
      </c>
      <c r="S5" s="95"/>
      <c r="T5" s="112" t="s">
        <v>121</v>
      </c>
      <c r="U5" s="110">
        <f>'Plan de ventas'!E11</f>
        <v>4381.875</v>
      </c>
      <c r="V5" s="113">
        <v>45.0</v>
      </c>
      <c r="W5" s="110">
        <f t="shared" si="3"/>
        <v>540.2311644</v>
      </c>
      <c r="X5" s="95"/>
      <c r="Y5" s="95"/>
      <c r="Z5" s="95"/>
      <c r="AA5" s="95"/>
    </row>
    <row r="6" ht="15.0" customHeight="1">
      <c r="A6" s="95"/>
      <c r="B6" s="102" t="s">
        <v>122</v>
      </c>
      <c r="C6" s="103">
        <f>L35/1000000</f>
        <v>336.792</v>
      </c>
      <c r="D6" s="104">
        <f t="shared" si="1"/>
        <v>0.1893215181</v>
      </c>
      <c r="E6" s="95"/>
      <c r="F6" s="114"/>
      <c r="G6" s="107"/>
      <c r="H6" s="107" t="s">
        <v>123</v>
      </c>
      <c r="I6" s="108">
        <v>1.0</v>
      </c>
      <c r="J6" s="110"/>
      <c r="K6" s="109">
        <v>200000.0</v>
      </c>
      <c r="L6" s="109">
        <f t="shared" si="2"/>
        <v>200000</v>
      </c>
      <c r="M6" s="95"/>
      <c r="N6" s="95"/>
      <c r="O6" s="95"/>
      <c r="P6" s="95"/>
      <c r="Q6" s="111" t="s">
        <v>124</v>
      </c>
      <c r="R6" s="110">
        <v>200.0</v>
      </c>
      <c r="S6" s="95"/>
      <c r="T6" s="95"/>
      <c r="U6" s="95"/>
      <c r="V6" s="95"/>
      <c r="X6" s="95"/>
      <c r="Y6" s="95"/>
      <c r="Z6" s="95"/>
      <c r="AA6" s="95"/>
    </row>
    <row r="7" ht="15.0" customHeight="1">
      <c r="A7" s="95"/>
      <c r="B7" s="102" t="s">
        <v>125</v>
      </c>
      <c r="C7" s="103">
        <f>L8/1000000</f>
        <v>22.2</v>
      </c>
      <c r="D7" s="104">
        <f t="shared" si="1"/>
        <v>0.0124793276</v>
      </c>
      <c r="E7" s="95"/>
      <c r="F7" s="114"/>
      <c r="G7" s="107"/>
      <c r="H7" s="107" t="s">
        <v>126</v>
      </c>
      <c r="I7" s="108">
        <v>1.0</v>
      </c>
      <c r="J7" s="110"/>
      <c r="K7" s="109">
        <v>700000.0</v>
      </c>
      <c r="L7" s="109">
        <f t="shared" si="2"/>
        <v>700000</v>
      </c>
      <c r="M7" s="95"/>
      <c r="N7" s="95"/>
      <c r="O7" s="95"/>
      <c r="P7" s="95"/>
      <c r="Q7" s="115" t="s">
        <v>12</v>
      </c>
      <c r="R7" s="116">
        <f>SUM(R4:R6)</f>
        <v>1330</v>
      </c>
      <c r="S7" s="95"/>
      <c r="T7" s="95"/>
      <c r="U7" s="95"/>
      <c r="W7" s="99" t="s">
        <v>127</v>
      </c>
      <c r="X7" s="95"/>
      <c r="Y7" s="95"/>
      <c r="Z7" s="95"/>
      <c r="AA7" s="95"/>
    </row>
    <row r="8" ht="15.0" customHeight="1">
      <c r="A8" s="95"/>
      <c r="B8" s="102" t="s">
        <v>128</v>
      </c>
      <c r="C8" s="103">
        <f>L18/1000000</f>
        <v>9.75</v>
      </c>
      <c r="D8" s="117">
        <f t="shared" si="1"/>
        <v>0.00548078577</v>
      </c>
      <c r="E8" s="95"/>
      <c r="F8" s="95"/>
      <c r="G8" s="115" t="s">
        <v>12</v>
      </c>
      <c r="H8" s="118"/>
      <c r="I8" s="118"/>
      <c r="J8" s="118"/>
      <c r="K8" s="118"/>
      <c r="L8" s="116">
        <f>SUM(L4:L7)</f>
        <v>22200000</v>
      </c>
      <c r="M8" s="95"/>
      <c r="N8" s="95"/>
      <c r="O8" s="95"/>
      <c r="P8" s="95"/>
      <c r="Q8" s="95"/>
      <c r="R8" s="95"/>
      <c r="S8" s="95"/>
      <c r="T8" s="95"/>
      <c r="U8" s="95"/>
      <c r="W8" s="113">
        <f>W5-W4</f>
        <v>462.5785545</v>
      </c>
      <c r="X8" s="95"/>
      <c r="Y8" s="95"/>
      <c r="Z8" s="95"/>
      <c r="AA8" s="95"/>
    </row>
    <row r="9" ht="15.0" customHeight="1">
      <c r="A9" s="95"/>
      <c r="B9" s="115" t="s">
        <v>12</v>
      </c>
      <c r="C9" s="116">
        <f t="shared" ref="C9:D9" si="4">SUM(C4:C8)</f>
        <v>1778.942</v>
      </c>
      <c r="D9" s="119">
        <f t="shared" si="4"/>
        <v>1</v>
      </c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 t="s">
        <v>129</v>
      </c>
      <c r="R9" s="120">
        <f>200000</f>
        <v>200000</v>
      </c>
      <c r="S9" s="95"/>
      <c r="T9" s="95"/>
      <c r="U9" s="95"/>
      <c r="V9" s="95"/>
      <c r="W9" s="95"/>
      <c r="X9" s="95"/>
      <c r="Y9" s="95"/>
      <c r="Z9" s="95"/>
      <c r="AA9" s="95"/>
    </row>
    <row r="10" ht="15.0" customHeight="1">
      <c r="A10" s="95"/>
      <c r="B10" s="95"/>
      <c r="C10" s="95"/>
      <c r="D10" s="95"/>
      <c r="E10" s="95"/>
      <c r="F10" s="114" t="s">
        <v>130</v>
      </c>
      <c r="G10" s="107"/>
      <c r="H10" s="107" t="s">
        <v>131</v>
      </c>
      <c r="I10" s="108">
        <v>1.0</v>
      </c>
      <c r="J10" s="110"/>
      <c r="K10" s="109">
        <v>200000.0</v>
      </c>
      <c r="L10" s="109">
        <f t="shared" ref="L10:L14" si="5">IF(J10="",I10*K10,I10*J10*$O$3)</f>
        <v>200000</v>
      </c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</row>
    <row r="11" ht="15.0" customHeight="1">
      <c r="A11" s="95"/>
      <c r="B11" s="97" t="s">
        <v>96</v>
      </c>
      <c r="C11" s="95"/>
      <c r="D11" s="95"/>
      <c r="E11" s="95"/>
      <c r="F11" s="114"/>
      <c r="G11" s="107"/>
      <c r="H11" s="107" t="s">
        <v>132</v>
      </c>
      <c r="I11" s="108">
        <v>8.0</v>
      </c>
      <c r="J11" s="110"/>
      <c r="K11" s="109">
        <v>500000.0</v>
      </c>
      <c r="L11" s="109">
        <f t="shared" si="5"/>
        <v>4000000</v>
      </c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</row>
    <row r="12" ht="15.0" customHeight="1">
      <c r="A12" s="95"/>
      <c r="B12" s="99" t="s">
        <v>97</v>
      </c>
      <c r="C12" s="99" t="s">
        <v>109</v>
      </c>
      <c r="D12" s="95"/>
      <c r="E12" s="95"/>
      <c r="F12" s="95"/>
      <c r="G12" s="107"/>
      <c r="H12" s="121" t="s">
        <v>133</v>
      </c>
      <c r="I12" s="122">
        <v>15.0</v>
      </c>
      <c r="J12" s="110"/>
      <c r="K12" s="123">
        <v>150000.0</v>
      </c>
      <c r="L12" s="109">
        <f t="shared" si="5"/>
        <v>2250000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</row>
    <row r="13" ht="15.0" customHeight="1">
      <c r="A13" s="95"/>
      <c r="B13" s="112" t="s">
        <v>117</v>
      </c>
      <c r="C13" s="110" t="str">
        <f t="shared" ref="C13:C14" si="6">#REF!</f>
        <v>#REF!</v>
      </c>
      <c r="D13" s="95"/>
      <c r="E13" s="95"/>
      <c r="F13" s="95"/>
      <c r="G13" s="107"/>
      <c r="H13" s="121" t="s">
        <v>134</v>
      </c>
      <c r="I13" s="122">
        <v>3.0</v>
      </c>
      <c r="J13" s="110"/>
      <c r="K13" s="123">
        <v>200000.0</v>
      </c>
      <c r="L13" s="109">
        <f t="shared" si="5"/>
        <v>600000</v>
      </c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</row>
    <row r="14" ht="15.0" customHeight="1">
      <c r="A14" s="95"/>
      <c r="B14" s="112" t="s">
        <v>121</v>
      </c>
      <c r="C14" s="110" t="str">
        <f t="shared" si="6"/>
        <v>#REF!</v>
      </c>
      <c r="D14" s="95"/>
      <c r="E14" s="95"/>
      <c r="F14" s="95"/>
      <c r="G14" s="107"/>
      <c r="H14" s="121" t="s">
        <v>135</v>
      </c>
      <c r="I14" s="122">
        <v>6.0</v>
      </c>
      <c r="J14" s="110"/>
      <c r="K14" s="123">
        <v>450000.0</v>
      </c>
      <c r="L14" s="109">
        <f t="shared" si="5"/>
        <v>2700000</v>
      </c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</row>
    <row r="15" ht="15.0" customHeight="1">
      <c r="A15" s="95"/>
      <c r="B15" s="95"/>
      <c r="C15" s="120"/>
      <c r="D15" s="95"/>
      <c r="E15" s="95"/>
      <c r="F15" s="95"/>
      <c r="G15" s="107"/>
      <c r="H15" s="107"/>
      <c r="I15" s="108"/>
      <c r="J15" s="110"/>
      <c r="K15" s="109"/>
      <c r="L15" s="109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</row>
    <row r="16" ht="15.0" customHeight="1">
      <c r="A16" s="95"/>
      <c r="B16" s="95"/>
      <c r="C16" s="120"/>
      <c r="D16" s="95"/>
      <c r="E16" s="95"/>
      <c r="F16" s="95"/>
      <c r="G16" s="107"/>
      <c r="H16" s="107"/>
      <c r="I16" s="108"/>
      <c r="J16" s="110"/>
      <c r="K16" s="109"/>
      <c r="L16" s="109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ht="15.0" customHeight="1">
      <c r="A17" s="95"/>
      <c r="B17" s="95"/>
      <c r="C17" s="120"/>
      <c r="D17" s="95"/>
      <c r="E17" s="95"/>
      <c r="F17" s="95"/>
      <c r="G17" s="107"/>
      <c r="H17" s="107"/>
      <c r="I17" s="108"/>
      <c r="J17" s="110"/>
      <c r="K17" s="109"/>
      <c r="L17" s="109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</row>
    <row r="18" ht="15.0" customHeight="1">
      <c r="A18" s="95"/>
      <c r="B18" s="95"/>
      <c r="C18" s="120"/>
      <c r="D18" s="95"/>
      <c r="E18" s="95"/>
      <c r="F18" s="95"/>
      <c r="G18" s="115" t="s">
        <v>12</v>
      </c>
      <c r="H18" s="118"/>
      <c r="I18" s="118"/>
      <c r="J18" s="118"/>
      <c r="K18" s="118"/>
      <c r="L18" s="116">
        <f>SUM(L10:L17)</f>
        <v>9750000</v>
      </c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</row>
    <row r="19" ht="15.0" customHeight="1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</row>
    <row r="20" ht="15.0" customHeight="1">
      <c r="A20" s="95"/>
      <c r="B20" s="95"/>
      <c r="C20" s="95"/>
      <c r="D20" s="95"/>
      <c r="E20" s="95"/>
      <c r="F20" s="114" t="s">
        <v>136</v>
      </c>
      <c r="G20" s="106" t="s">
        <v>137</v>
      </c>
      <c r="H20" s="107" t="s">
        <v>138</v>
      </c>
      <c r="I20" s="108">
        <v>1.0</v>
      </c>
      <c r="J20" s="109">
        <v>13500.0</v>
      </c>
      <c r="K20" s="110"/>
      <c r="L20" s="109">
        <f t="shared" ref="L20:L34" si="7">IF(J20="",I20*K20,I20*J20*$O$3)</f>
        <v>18360000</v>
      </c>
      <c r="M20" s="95"/>
      <c r="N20" s="95"/>
      <c r="O20" s="95"/>
      <c r="P20" s="95"/>
      <c r="Q20" s="120"/>
      <c r="R20" s="95"/>
      <c r="S20" s="95"/>
      <c r="T20" s="95"/>
      <c r="U20" s="95"/>
      <c r="V20" s="95"/>
      <c r="W20" s="95"/>
      <c r="X20" s="95"/>
      <c r="Y20" s="95"/>
      <c r="Z20" s="95"/>
      <c r="AA20" s="95"/>
    </row>
    <row r="21" ht="15.0" customHeight="1">
      <c r="A21" s="95"/>
      <c r="B21" s="95"/>
      <c r="C21" s="95"/>
      <c r="D21" s="95"/>
      <c r="E21" s="95"/>
      <c r="F21" s="114"/>
      <c r="G21" s="107"/>
      <c r="H21" s="107" t="s">
        <v>139</v>
      </c>
      <c r="I21" s="108">
        <v>1.0</v>
      </c>
      <c r="J21" s="109">
        <v>15000.0</v>
      </c>
      <c r="K21" s="110"/>
      <c r="L21" s="109">
        <f t="shared" si="7"/>
        <v>20400000</v>
      </c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</row>
    <row r="22" ht="15.0" customHeight="1">
      <c r="A22" s="95"/>
      <c r="B22" s="95"/>
      <c r="C22" s="95"/>
      <c r="D22" s="95"/>
      <c r="E22" s="95"/>
      <c r="F22" s="114"/>
      <c r="G22" s="107"/>
      <c r="H22" s="107" t="s">
        <v>140</v>
      </c>
      <c r="I22" s="108">
        <v>4.0</v>
      </c>
      <c r="J22" s="109">
        <v>5000.0</v>
      </c>
      <c r="K22" s="110"/>
      <c r="L22" s="109">
        <f t="shared" si="7"/>
        <v>27200000</v>
      </c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</row>
    <row r="23" ht="15.0" customHeight="1">
      <c r="A23" s="95"/>
      <c r="B23" s="95"/>
      <c r="C23" s="95"/>
      <c r="D23" s="95"/>
      <c r="E23" s="95"/>
      <c r="F23" s="114"/>
      <c r="G23" s="107"/>
      <c r="H23" s="107" t="s">
        <v>141</v>
      </c>
      <c r="I23" s="108">
        <v>1.0</v>
      </c>
      <c r="J23" s="109">
        <v>100000.0</v>
      </c>
      <c r="K23" s="110"/>
      <c r="L23" s="109">
        <f t="shared" si="7"/>
        <v>136000000</v>
      </c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ht="15.0" customHeight="1">
      <c r="A24" s="95"/>
      <c r="B24" s="95"/>
      <c r="C24" s="95"/>
      <c r="D24" s="95"/>
      <c r="E24" s="95"/>
      <c r="F24" s="114"/>
      <c r="G24" s="107"/>
      <c r="H24" s="107" t="s">
        <v>142</v>
      </c>
      <c r="I24" s="108">
        <v>1.0</v>
      </c>
      <c r="J24" s="109">
        <v>12000.0</v>
      </c>
      <c r="K24" s="110"/>
      <c r="L24" s="109">
        <f t="shared" si="7"/>
        <v>16320000</v>
      </c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ht="15.0" customHeight="1">
      <c r="A25" s="95"/>
      <c r="B25" s="95"/>
      <c r="C25" s="95"/>
      <c r="D25" s="95"/>
      <c r="E25" s="95"/>
      <c r="F25" s="114"/>
      <c r="G25" s="107"/>
      <c r="H25" s="107" t="s">
        <v>143</v>
      </c>
      <c r="I25" s="108">
        <v>1.0</v>
      </c>
      <c r="J25" s="109">
        <v>4000.0</v>
      </c>
      <c r="K25" s="110"/>
      <c r="L25" s="109">
        <f t="shared" si="7"/>
        <v>5440000</v>
      </c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ht="15.0" customHeight="1">
      <c r="A26" s="95"/>
      <c r="B26" s="95"/>
      <c r="C26" s="95"/>
      <c r="D26" s="95"/>
      <c r="E26" s="95"/>
      <c r="F26" s="114"/>
      <c r="G26" s="106" t="s">
        <v>144</v>
      </c>
      <c r="H26" s="107" t="s">
        <v>145</v>
      </c>
      <c r="I26" s="108">
        <v>1.0</v>
      </c>
      <c r="J26" s="110"/>
      <c r="K26" s="109">
        <v>2500000.0</v>
      </c>
      <c r="L26" s="109">
        <f t="shared" si="7"/>
        <v>2500000</v>
      </c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ht="15.0" customHeight="1">
      <c r="A27" s="95"/>
      <c r="B27" s="95"/>
      <c r="C27" s="95"/>
      <c r="D27" s="95"/>
      <c r="E27" s="95"/>
      <c r="F27" s="114"/>
      <c r="G27" s="107"/>
      <c r="H27" s="107" t="s">
        <v>146</v>
      </c>
      <c r="I27" s="108">
        <v>1.0</v>
      </c>
      <c r="J27" s="110"/>
      <c r="K27" s="109">
        <v>2000000.0</v>
      </c>
      <c r="L27" s="109">
        <f t="shared" si="7"/>
        <v>2000000</v>
      </c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ht="15.0" customHeight="1">
      <c r="A28" s="95"/>
      <c r="B28" s="95"/>
      <c r="C28" s="95"/>
      <c r="D28" s="95"/>
      <c r="E28" s="95"/>
      <c r="F28" s="114"/>
      <c r="G28" s="107"/>
      <c r="H28" s="107" t="s">
        <v>147</v>
      </c>
      <c r="I28" s="108">
        <v>4.0</v>
      </c>
      <c r="J28" s="110"/>
      <c r="K28" s="109">
        <v>510000.0</v>
      </c>
      <c r="L28" s="109">
        <f t="shared" si="7"/>
        <v>2040000</v>
      </c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</row>
    <row r="29" ht="15.0" customHeight="1">
      <c r="A29" s="95"/>
      <c r="B29" s="95"/>
      <c r="C29" s="95"/>
      <c r="D29" s="95"/>
      <c r="E29" s="95"/>
      <c r="F29" s="114"/>
      <c r="G29" s="107"/>
      <c r="H29" s="107" t="s">
        <v>148</v>
      </c>
      <c r="I29" s="108">
        <v>2.0</v>
      </c>
      <c r="J29" s="110"/>
      <c r="K29" s="109">
        <v>1.5E7</v>
      </c>
      <c r="L29" s="109">
        <f t="shared" si="7"/>
        <v>30000000</v>
      </c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ht="15.0" customHeight="1">
      <c r="A30" s="95"/>
      <c r="B30" s="95"/>
      <c r="C30" s="95"/>
      <c r="D30" s="95"/>
      <c r="E30" s="95"/>
      <c r="F30" s="114"/>
      <c r="G30" s="107"/>
      <c r="H30" s="107" t="s">
        <v>149</v>
      </c>
      <c r="I30" s="108">
        <v>1.0</v>
      </c>
      <c r="J30" s="110"/>
      <c r="K30" s="109">
        <v>1900000.0</v>
      </c>
      <c r="L30" s="109">
        <f t="shared" si="7"/>
        <v>1900000</v>
      </c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ht="15.0" customHeight="1">
      <c r="A31" s="95"/>
      <c r="B31" s="95"/>
      <c r="C31" s="95"/>
      <c r="D31" s="95"/>
      <c r="E31" s="95"/>
      <c r="F31" s="114"/>
      <c r="G31" s="107"/>
      <c r="H31" s="107" t="s">
        <v>150</v>
      </c>
      <c r="I31" s="108">
        <v>1.0</v>
      </c>
      <c r="J31" s="109">
        <v>500.0</v>
      </c>
      <c r="K31" s="110"/>
      <c r="L31" s="109">
        <f t="shared" si="7"/>
        <v>680000</v>
      </c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ht="15.0" customHeight="1">
      <c r="A32" s="95"/>
      <c r="B32" s="95"/>
      <c r="C32" s="95"/>
      <c r="D32" s="95"/>
      <c r="E32" s="95"/>
      <c r="F32" s="114"/>
      <c r="G32" s="107"/>
      <c r="H32" s="107" t="s">
        <v>151</v>
      </c>
      <c r="I32" s="108">
        <v>4.0</v>
      </c>
      <c r="J32" s="110"/>
      <c r="K32" s="109">
        <v>400000.0</v>
      </c>
      <c r="L32" s="109">
        <f t="shared" si="7"/>
        <v>1600000</v>
      </c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ht="15.0" customHeight="1">
      <c r="A33" s="95"/>
      <c r="B33" s="95"/>
      <c r="C33" s="95"/>
      <c r="D33" s="95"/>
      <c r="E33" s="95"/>
      <c r="F33" s="114"/>
      <c r="G33" s="107"/>
      <c r="H33" s="107" t="s">
        <v>152</v>
      </c>
      <c r="I33" s="108">
        <v>1.0</v>
      </c>
      <c r="J33" s="109">
        <v>3200.0</v>
      </c>
      <c r="K33" s="110"/>
      <c r="L33" s="109">
        <f t="shared" si="7"/>
        <v>4352000</v>
      </c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ht="15.0" customHeight="1">
      <c r="A34" s="95"/>
      <c r="B34" s="95"/>
      <c r="C34" s="95"/>
      <c r="D34" s="95"/>
      <c r="E34" s="95"/>
      <c r="F34" s="114"/>
      <c r="G34" s="107"/>
      <c r="H34" s="107" t="s">
        <v>143</v>
      </c>
      <c r="I34" s="108">
        <v>1.0</v>
      </c>
      <c r="J34" s="109">
        <v>50000.0</v>
      </c>
      <c r="K34" s="110"/>
      <c r="L34" s="109">
        <f t="shared" si="7"/>
        <v>68000000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ht="15.0" customHeight="1">
      <c r="A35" s="95"/>
      <c r="B35" s="95"/>
      <c r="C35" s="95"/>
      <c r="D35" s="95"/>
      <c r="E35" s="95"/>
      <c r="F35" s="95"/>
      <c r="G35" s="115" t="s">
        <v>12</v>
      </c>
      <c r="H35" s="118"/>
      <c r="I35" s="118"/>
      <c r="J35" s="118"/>
      <c r="K35" s="118"/>
      <c r="L35" s="116">
        <f>SUM(L20:L34)</f>
        <v>336792000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ht="15.0" customHeight="1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ht="15.0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ht="15.0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ht="15.0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ht="15.0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</row>
    <row r="41" ht="15.0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</row>
    <row r="42" ht="15.0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</row>
    <row r="43" ht="15.0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</row>
    <row r="44" ht="15.0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</row>
    <row r="45" ht="15.0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</row>
    <row r="46" ht="15.0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</row>
    <row r="47" ht="15.0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</row>
    <row r="48" ht="15.0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</row>
    <row r="49" ht="15.0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</row>
    <row r="50" ht="15.0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</row>
    <row r="51" ht="15.0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</row>
    <row r="52" ht="15.0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</row>
    <row r="53" ht="15.0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</row>
    <row r="54" ht="15.0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</row>
    <row r="55" ht="15.0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</row>
    <row r="56" ht="15.0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</row>
    <row r="57" ht="15.0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</row>
    <row r="58" ht="15.0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</row>
    <row r="59" ht="15.0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</row>
    <row r="60" ht="15.0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</row>
    <row r="61" ht="15.0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</row>
    <row r="62" ht="15.0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</row>
    <row r="63" ht="15.0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</row>
    <row r="64" ht="15.0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</row>
    <row r="65" ht="15.0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</row>
    <row r="66" ht="15.0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</row>
    <row r="67" ht="15.0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</row>
    <row r="68" ht="15.0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</row>
    <row r="69" ht="15.0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</row>
    <row r="70" ht="15.0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</row>
    <row r="71" ht="15.0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</row>
    <row r="72" ht="15.0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</row>
    <row r="73" ht="15.0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</row>
    <row r="74" ht="15.0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</row>
    <row r="75" ht="15.0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</row>
    <row r="76" ht="15.0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</row>
    <row r="77" ht="15.0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</row>
    <row r="78" ht="15.0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</row>
    <row r="79" ht="15.0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</row>
    <row r="80" ht="15.0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</row>
    <row r="81" ht="15.0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</row>
    <row r="82" ht="15.0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</row>
    <row r="83" ht="15.0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</row>
    <row r="84" ht="15.0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</row>
    <row r="85" ht="15.0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</row>
    <row r="86" ht="15.0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</row>
    <row r="87" ht="15.0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</row>
    <row r="88" ht="15.0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</row>
    <row r="89" ht="15.0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</row>
    <row r="90" ht="15.0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</row>
    <row r="91" ht="15.0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</row>
    <row r="92" ht="15.0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</row>
    <row r="93" ht="15.0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</row>
    <row r="94" ht="15.0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</row>
    <row r="95" ht="15.0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</row>
    <row r="96" ht="15.0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</row>
    <row r="97" ht="15.0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</row>
    <row r="98" ht="15.0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</row>
    <row r="99" ht="15.0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</row>
    <row r="100" ht="15.0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</row>
    <row r="101" ht="15.0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</row>
    <row r="102" ht="15.0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</row>
    <row r="103" ht="15.0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</row>
    <row r="104" ht="15.0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</row>
    <row r="105" ht="15.0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</row>
    <row r="106" ht="15.0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</row>
    <row r="107" ht="15.0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</row>
    <row r="108" ht="15.0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</row>
    <row r="109" ht="15.0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</row>
    <row r="110" ht="15.0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</row>
    <row r="111" ht="15.0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</row>
    <row r="112" ht="15.0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</row>
    <row r="113" ht="15.0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</row>
    <row r="114" ht="15.0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</row>
    <row r="115" ht="15.0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</row>
    <row r="116" ht="15.0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</row>
    <row r="117" ht="15.0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</row>
    <row r="118" ht="15.0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</row>
    <row r="119" ht="15.0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</row>
    <row r="120" ht="15.0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</row>
    <row r="121" ht="15.0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</row>
    <row r="122" ht="15.0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</row>
    <row r="123" ht="15.0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</row>
    <row r="124" ht="15.0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</row>
    <row r="125" ht="15.0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</row>
    <row r="126" ht="15.0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</row>
    <row r="127" ht="15.0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</row>
    <row r="128" ht="15.0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</row>
    <row r="129" ht="15.0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</row>
    <row r="130" ht="15.0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</row>
    <row r="131" ht="15.0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</row>
    <row r="132" ht="15.0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</row>
    <row r="133" ht="15.0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</row>
    <row r="134" ht="15.0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</row>
    <row r="135" ht="15.0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</row>
    <row r="136" ht="15.0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</row>
    <row r="137" ht="15.0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</row>
    <row r="138" ht="15.0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</row>
    <row r="139" ht="15.0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</row>
    <row r="140" ht="15.0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</row>
    <row r="141" ht="15.0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</row>
    <row r="142" ht="15.0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</row>
    <row r="143" ht="15.0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</row>
    <row r="144" ht="15.0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</row>
    <row r="145" ht="15.0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</row>
    <row r="146" ht="15.0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</row>
    <row r="147" ht="15.0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</row>
    <row r="148" ht="15.0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</row>
    <row r="149" ht="15.0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</row>
    <row r="150" ht="15.0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</row>
    <row r="151" ht="15.0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</row>
    <row r="152" ht="15.0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</row>
    <row r="153" ht="15.0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</row>
    <row r="154" ht="15.0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</row>
    <row r="155" ht="15.0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</row>
    <row r="156" ht="15.0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</row>
    <row r="157" ht="15.0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</row>
    <row r="158" ht="15.0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</row>
    <row r="159" ht="15.0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</row>
    <row r="160" ht="15.0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</row>
    <row r="161" ht="15.0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</row>
    <row r="162" ht="15.0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</row>
    <row r="163" ht="15.0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</row>
    <row r="164" ht="15.0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</row>
    <row r="165" ht="15.0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</row>
    <row r="166" ht="15.0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</row>
    <row r="167" ht="15.0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</row>
    <row r="168" ht="15.0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</row>
    <row r="169" ht="15.0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</row>
    <row r="170" ht="15.0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</row>
    <row r="171" ht="15.0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</row>
    <row r="172" ht="15.0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</row>
    <row r="173" ht="15.0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</row>
    <row r="174" ht="15.0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</row>
    <row r="175" ht="15.0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</row>
    <row r="176" ht="15.0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</row>
    <row r="177" ht="15.0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</row>
    <row r="178" ht="15.0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</row>
    <row r="179" ht="15.0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</row>
    <row r="180" ht="15.0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</row>
    <row r="181" ht="15.0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</row>
    <row r="182" ht="15.0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</row>
    <row r="183" ht="15.0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</row>
    <row r="184" ht="15.0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</row>
    <row r="185" ht="15.0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</row>
    <row r="186" ht="15.0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</row>
    <row r="187" ht="15.0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</row>
    <row r="188" ht="15.0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</row>
    <row r="189" ht="15.0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</row>
    <row r="190" ht="15.0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</row>
    <row r="191" ht="15.0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</row>
    <row r="192" ht="15.0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</row>
    <row r="193" ht="15.0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</row>
    <row r="194" ht="15.0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</row>
    <row r="195" ht="15.0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</row>
    <row r="196" ht="15.0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</row>
    <row r="197" ht="15.0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</row>
    <row r="198" ht="15.0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</row>
    <row r="199" ht="15.0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</row>
    <row r="200" ht="15.0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</row>
    <row r="201" ht="15.0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</row>
    <row r="202" ht="15.0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</row>
    <row r="203" ht="15.0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</row>
    <row r="204" ht="15.0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</row>
    <row r="205" ht="15.0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</row>
    <row r="206" ht="15.0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</row>
    <row r="207" ht="15.0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</row>
    <row r="208" ht="15.0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</row>
    <row r="209" ht="15.0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</row>
    <row r="210" ht="15.0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</row>
    <row r="211" ht="15.0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</row>
    <row r="212" ht="15.0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</row>
    <row r="213" ht="15.0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</row>
    <row r="214" ht="15.0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</row>
    <row r="215" ht="15.0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</row>
    <row r="216" ht="15.0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</row>
    <row r="217" ht="15.0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</row>
    <row r="218" ht="15.0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</row>
    <row r="219" ht="15.0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</row>
    <row r="220" ht="15.0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</row>
    <row r="221" ht="15.0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</row>
    <row r="222" ht="15.0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</row>
    <row r="223" ht="15.0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</row>
    <row r="224" ht="15.0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</row>
    <row r="225" ht="15.0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</row>
    <row r="226" ht="15.0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</row>
    <row r="227" ht="15.0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</row>
    <row r="228" ht="15.0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</row>
    <row r="229" ht="15.0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</row>
    <row r="230" ht="15.0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</row>
    <row r="231" ht="15.0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</row>
    <row r="232" ht="15.0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</row>
    <row r="233" ht="15.0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</row>
    <row r="234" ht="15.0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</row>
    <row r="235" ht="15.0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</row>
    <row r="236" ht="15.0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</row>
    <row r="237" ht="15.0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</row>
    <row r="238" ht="15.0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</row>
    <row r="239" ht="15.0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</row>
    <row r="240" ht="15.0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</row>
    <row r="241" ht="15.0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</row>
    <row r="242" ht="15.0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</row>
    <row r="243" ht="15.0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</row>
    <row r="244" ht="15.0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</row>
    <row r="245" ht="15.0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</row>
    <row r="246" ht="15.0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</row>
    <row r="247" ht="15.0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</row>
    <row r="248" ht="15.0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</row>
    <row r="249" ht="15.0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</row>
    <row r="250" ht="15.0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</row>
    <row r="251" ht="15.0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</row>
    <row r="252" ht="15.0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</row>
    <row r="253" ht="15.0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</row>
    <row r="254" ht="15.0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</row>
    <row r="255" ht="15.0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</row>
    <row r="256" ht="15.0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</row>
    <row r="257" ht="15.0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</row>
    <row r="258" ht="15.0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</row>
    <row r="259" ht="15.0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</row>
    <row r="260" ht="15.0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</row>
    <row r="261" ht="15.0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</row>
    <row r="262" ht="15.0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</row>
    <row r="263" ht="15.0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</row>
    <row r="264" ht="15.0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</row>
    <row r="265" ht="15.0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</row>
    <row r="266" ht="15.0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</row>
    <row r="267" ht="15.0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</row>
    <row r="268" ht="15.0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</row>
    <row r="269" ht="15.0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</row>
    <row r="270" ht="15.0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</row>
    <row r="271" ht="15.0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</row>
    <row r="272" ht="15.0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</row>
    <row r="273" ht="15.0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</row>
    <row r="274" ht="15.0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</row>
    <row r="275" ht="15.0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</row>
    <row r="276" ht="15.0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</row>
    <row r="277" ht="15.0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</row>
    <row r="278" ht="15.0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</row>
    <row r="279" ht="15.0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</row>
    <row r="280" ht="15.0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</row>
    <row r="281" ht="15.0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</row>
    <row r="282" ht="15.0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</row>
    <row r="283" ht="15.0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</row>
    <row r="284" ht="15.0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</row>
    <row r="285" ht="15.0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</row>
    <row r="286" ht="15.0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</row>
    <row r="287" ht="15.0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</row>
    <row r="288" ht="15.0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</row>
    <row r="289" ht="15.0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</row>
    <row r="290" ht="15.0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</row>
    <row r="291" ht="15.0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</row>
    <row r="292" ht="15.0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</row>
    <row r="293" ht="15.0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</row>
    <row r="294" ht="15.0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</row>
    <row r="295" ht="15.0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</row>
    <row r="296" ht="15.0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</row>
    <row r="297" ht="15.0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</row>
    <row r="298" ht="15.0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</row>
    <row r="299" ht="15.0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</row>
    <row r="300" ht="15.0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</row>
    <row r="301" ht="15.0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</row>
    <row r="302" ht="15.0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</row>
    <row r="303" ht="15.0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</row>
    <row r="304" ht="15.0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</row>
    <row r="305" ht="15.0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</row>
    <row r="306" ht="15.0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</row>
    <row r="307" ht="15.0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</row>
    <row r="308" ht="15.0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</row>
    <row r="309" ht="15.0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</row>
    <row r="310" ht="15.0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</row>
    <row r="311" ht="15.0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</row>
    <row r="312" ht="15.0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</row>
    <row r="313" ht="15.0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</row>
    <row r="314" ht="15.0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</row>
    <row r="315" ht="15.0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</row>
    <row r="316" ht="15.0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</row>
    <row r="317" ht="15.0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</row>
    <row r="318" ht="15.0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</row>
    <row r="319" ht="15.0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</row>
    <row r="320" ht="15.0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</row>
    <row r="321" ht="15.0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</row>
    <row r="322" ht="15.0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</row>
    <row r="323" ht="15.0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</row>
    <row r="324" ht="15.0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</row>
    <row r="325" ht="15.0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</row>
    <row r="326" ht="15.0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</row>
    <row r="327" ht="15.0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</row>
    <row r="328" ht="15.0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</row>
    <row r="329" ht="15.0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</row>
    <row r="330" ht="15.0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</row>
    <row r="331" ht="15.0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</row>
    <row r="332" ht="15.0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</row>
    <row r="333" ht="15.0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</row>
    <row r="334" ht="15.0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</row>
    <row r="335" ht="15.0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</row>
    <row r="336" ht="15.0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</row>
    <row r="337" ht="15.0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</row>
    <row r="338" ht="15.0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</row>
    <row r="339" ht="15.0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</row>
    <row r="340" ht="15.0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</row>
    <row r="341" ht="15.0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</row>
    <row r="342" ht="15.0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</row>
    <row r="343" ht="15.0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</row>
    <row r="344" ht="15.0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</row>
    <row r="345" ht="15.0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</row>
    <row r="346" ht="15.0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</row>
    <row r="347" ht="15.0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</row>
    <row r="348" ht="15.0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</row>
    <row r="349" ht="15.0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</row>
    <row r="350" ht="15.0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</row>
    <row r="351" ht="15.0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</row>
    <row r="352" ht="15.0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</row>
    <row r="353" ht="15.0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</row>
    <row r="354" ht="15.0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</row>
    <row r="355" ht="15.0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</row>
    <row r="356" ht="15.0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</row>
    <row r="357" ht="15.0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</row>
    <row r="358" ht="15.0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</row>
    <row r="359" ht="15.0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</row>
    <row r="360" ht="15.0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</row>
    <row r="361" ht="15.0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</row>
    <row r="362" ht="15.0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</row>
    <row r="363" ht="15.0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</row>
    <row r="364" ht="15.0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</row>
    <row r="365" ht="15.0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</row>
    <row r="366" ht="15.0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</row>
    <row r="367" ht="15.0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</row>
    <row r="368" ht="15.0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</row>
    <row r="369" ht="15.0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</row>
    <row r="370" ht="15.0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</row>
    <row r="371" ht="15.0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</row>
    <row r="372" ht="15.0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</row>
    <row r="373" ht="15.0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</row>
    <row r="374" ht="15.0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</row>
    <row r="375" ht="15.0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</row>
    <row r="376" ht="15.0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</row>
    <row r="377" ht="15.0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</row>
    <row r="378" ht="15.0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</row>
    <row r="379" ht="15.0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</row>
    <row r="380" ht="15.0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</row>
    <row r="381" ht="15.0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</row>
    <row r="382" ht="15.0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</row>
    <row r="383" ht="15.0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</row>
    <row r="384" ht="15.0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</row>
    <row r="385" ht="15.0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</row>
    <row r="386" ht="15.0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</row>
    <row r="387" ht="15.0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</row>
    <row r="388" ht="15.0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</row>
    <row r="389" ht="15.0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</row>
    <row r="390" ht="15.0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</row>
    <row r="391" ht="15.0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</row>
    <row r="392" ht="15.0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</row>
    <row r="393" ht="15.0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</row>
    <row r="394" ht="15.0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</row>
    <row r="395" ht="15.0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</row>
    <row r="396" ht="15.0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</row>
    <row r="397" ht="15.0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</row>
    <row r="398" ht="15.0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</row>
    <row r="399" ht="15.0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</row>
    <row r="400" ht="15.0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</row>
    <row r="401" ht="15.0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</row>
    <row r="402" ht="15.0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</row>
    <row r="403" ht="15.0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</row>
    <row r="404" ht="15.0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</row>
    <row r="405" ht="15.0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</row>
    <row r="406" ht="15.0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</row>
    <row r="407" ht="15.0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</row>
    <row r="408" ht="15.0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</row>
    <row r="409" ht="15.0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</row>
    <row r="410" ht="15.0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</row>
    <row r="411" ht="15.0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</row>
    <row r="412" ht="15.0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</row>
    <row r="413" ht="15.0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</row>
    <row r="414" ht="15.0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</row>
    <row r="415" ht="15.0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</row>
    <row r="416" ht="15.0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</row>
    <row r="417" ht="15.0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</row>
    <row r="418" ht="15.0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</row>
    <row r="419" ht="15.0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</row>
    <row r="420" ht="15.0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</row>
    <row r="421" ht="15.0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</row>
    <row r="422" ht="15.0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</row>
    <row r="423" ht="15.0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</row>
    <row r="424" ht="15.0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</row>
    <row r="425" ht="15.0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</row>
    <row r="426" ht="15.0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</row>
    <row r="427" ht="15.0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</row>
    <row r="428" ht="15.0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</row>
    <row r="429" ht="15.0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</row>
    <row r="430" ht="15.0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</row>
    <row r="431" ht="15.0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</row>
    <row r="432" ht="15.0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</row>
    <row r="433" ht="15.0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</row>
    <row r="434" ht="15.0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</row>
    <row r="435" ht="15.0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</row>
    <row r="436" ht="15.0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</row>
    <row r="437" ht="15.0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</row>
    <row r="438" ht="15.0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</row>
    <row r="439" ht="15.0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</row>
    <row r="440" ht="15.0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</row>
    <row r="441" ht="15.0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</row>
    <row r="442" ht="15.0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</row>
    <row r="443" ht="15.0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</row>
    <row r="444" ht="15.0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</row>
    <row r="445" ht="15.0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</row>
    <row r="446" ht="15.0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</row>
    <row r="447" ht="15.0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</row>
    <row r="448" ht="15.0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</row>
    <row r="449" ht="15.0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</row>
    <row r="450" ht="15.0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</row>
    <row r="451" ht="15.0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</row>
    <row r="452" ht="15.0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</row>
    <row r="453" ht="15.0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</row>
    <row r="454" ht="15.0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</row>
    <row r="455" ht="15.0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</row>
    <row r="456" ht="15.0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</row>
    <row r="457" ht="15.0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</row>
    <row r="458" ht="15.0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</row>
    <row r="459" ht="15.0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</row>
    <row r="460" ht="15.0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</row>
    <row r="461" ht="15.0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</row>
    <row r="462" ht="15.0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</row>
    <row r="463" ht="15.0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</row>
    <row r="464" ht="15.0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</row>
    <row r="465" ht="15.0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</row>
    <row r="466" ht="15.0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</row>
    <row r="467" ht="15.0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</row>
    <row r="468" ht="15.0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</row>
    <row r="469" ht="15.0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</row>
    <row r="470" ht="15.0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</row>
    <row r="471" ht="15.0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</row>
    <row r="472" ht="15.0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</row>
    <row r="473" ht="15.0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</row>
    <row r="474" ht="15.0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</row>
    <row r="475" ht="15.0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</row>
    <row r="476" ht="15.0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</row>
    <row r="477" ht="15.0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</row>
    <row r="478" ht="15.0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</row>
    <row r="479" ht="15.0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</row>
    <row r="480" ht="15.0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</row>
    <row r="481" ht="15.0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</row>
    <row r="482" ht="15.0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</row>
    <row r="483" ht="15.0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</row>
    <row r="484" ht="15.0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</row>
    <row r="485" ht="15.0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</row>
    <row r="486" ht="15.0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</row>
    <row r="487" ht="15.0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</row>
    <row r="488" ht="15.0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</row>
    <row r="489" ht="15.0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</row>
    <row r="490" ht="15.0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</row>
    <row r="491" ht="15.0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</row>
    <row r="492" ht="15.0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</row>
    <row r="493" ht="15.0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</row>
    <row r="494" ht="15.0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</row>
    <row r="495" ht="15.0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</row>
    <row r="496" ht="15.0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</row>
    <row r="497" ht="15.0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</row>
    <row r="498" ht="15.0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</row>
    <row r="499" ht="15.0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</row>
    <row r="500" ht="15.0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</row>
    <row r="501" ht="15.0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</row>
    <row r="502" ht="15.0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</row>
    <row r="503" ht="15.0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</row>
    <row r="504" ht="15.0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</row>
    <row r="505" ht="15.0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</row>
    <row r="506" ht="15.0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</row>
    <row r="507" ht="15.0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</row>
    <row r="508" ht="15.0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</row>
    <row r="509" ht="15.0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</row>
    <row r="510" ht="15.0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</row>
    <row r="511" ht="15.0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</row>
    <row r="512" ht="15.0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</row>
    <row r="513" ht="15.0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</row>
    <row r="514" ht="15.0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</row>
    <row r="515" ht="15.0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</row>
    <row r="516" ht="15.0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</row>
    <row r="517" ht="15.0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</row>
    <row r="518" ht="15.0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</row>
    <row r="519" ht="15.0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</row>
    <row r="520" ht="15.0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</row>
    <row r="521" ht="15.0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</row>
    <row r="522" ht="15.0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</row>
    <row r="523" ht="15.0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</row>
    <row r="524" ht="15.0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</row>
    <row r="525" ht="15.0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</row>
    <row r="526" ht="15.0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</row>
    <row r="527" ht="15.0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</row>
    <row r="528" ht="15.0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</row>
    <row r="529" ht="15.0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</row>
    <row r="530" ht="15.0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</row>
    <row r="531" ht="15.0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</row>
    <row r="532" ht="15.0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</row>
    <row r="533" ht="15.0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</row>
    <row r="534" ht="15.0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</row>
    <row r="535" ht="15.0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</row>
    <row r="536" ht="15.0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</row>
    <row r="537" ht="15.0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</row>
    <row r="538" ht="15.0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</row>
    <row r="539" ht="15.0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</row>
    <row r="540" ht="15.0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</row>
    <row r="541" ht="15.0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</row>
    <row r="542" ht="15.0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</row>
    <row r="543" ht="15.0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</row>
    <row r="544" ht="15.0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</row>
    <row r="545" ht="15.0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</row>
    <row r="546" ht="15.0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</row>
    <row r="547" ht="15.0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</row>
    <row r="548" ht="15.0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</row>
    <row r="549" ht="15.0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</row>
    <row r="550" ht="15.0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</row>
    <row r="551" ht="15.0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</row>
    <row r="552" ht="15.0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</row>
    <row r="553" ht="15.0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</row>
    <row r="554" ht="15.0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</row>
    <row r="555" ht="15.0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</row>
    <row r="556" ht="15.0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</row>
    <row r="557" ht="15.0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</row>
    <row r="558" ht="15.0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</row>
    <row r="559" ht="15.0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</row>
    <row r="560" ht="15.0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</row>
    <row r="561" ht="15.0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</row>
    <row r="562" ht="15.0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</row>
    <row r="563" ht="15.0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</row>
    <row r="564" ht="15.0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</row>
    <row r="565" ht="15.0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</row>
    <row r="566" ht="15.0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</row>
    <row r="567" ht="15.0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</row>
    <row r="568" ht="15.0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</row>
    <row r="569" ht="15.0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</row>
    <row r="570" ht="15.0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</row>
    <row r="571" ht="15.0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</row>
    <row r="572" ht="15.0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</row>
    <row r="573" ht="15.0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</row>
    <row r="574" ht="15.0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</row>
    <row r="575" ht="15.0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</row>
    <row r="576" ht="15.0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</row>
    <row r="577" ht="15.0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</row>
    <row r="578" ht="15.0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</row>
    <row r="579" ht="15.0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</row>
    <row r="580" ht="15.0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</row>
    <row r="581" ht="15.0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</row>
    <row r="582" ht="15.0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</row>
    <row r="583" ht="15.0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</row>
    <row r="584" ht="15.0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</row>
    <row r="585" ht="15.0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</row>
    <row r="586" ht="15.0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</row>
    <row r="587" ht="15.0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</row>
    <row r="588" ht="15.0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</row>
    <row r="589" ht="15.0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</row>
    <row r="590" ht="15.0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</row>
    <row r="591" ht="15.0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</row>
    <row r="592" ht="15.0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</row>
    <row r="593" ht="15.0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</row>
    <row r="594" ht="15.0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</row>
    <row r="595" ht="15.0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</row>
    <row r="596" ht="15.0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</row>
    <row r="597" ht="15.0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</row>
    <row r="598" ht="15.0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</row>
    <row r="599" ht="15.0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</row>
    <row r="600" ht="15.0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</row>
    <row r="601" ht="15.0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</row>
    <row r="602" ht="15.0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</row>
    <row r="603" ht="15.0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</row>
    <row r="604" ht="15.0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</row>
    <row r="605" ht="15.0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</row>
    <row r="606" ht="15.0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</row>
    <row r="607" ht="15.0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</row>
    <row r="608" ht="15.0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</row>
    <row r="609" ht="15.0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</row>
    <row r="610" ht="15.0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</row>
    <row r="611" ht="15.0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</row>
    <row r="612" ht="15.0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</row>
    <row r="613" ht="15.0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</row>
    <row r="614" ht="15.0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</row>
    <row r="615" ht="15.0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</row>
    <row r="616" ht="15.0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</row>
    <row r="617" ht="15.0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</row>
    <row r="618" ht="15.0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</row>
    <row r="619" ht="15.0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</row>
    <row r="620" ht="15.0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</row>
    <row r="621" ht="15.0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</row>
    <row r="622" ht="15.0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</row>
    <row r="623" ht="15.0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</row>
    <row r="624" ht="15.0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</row>
    <row r="625" ht="15.0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</row>
    <row r="626" ht="15.0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</row>
    <row r="627" ht="15.0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</row>
    <row r="628" ht="15.0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</row>
    <row r="629" ht="15.0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</row>
    <row r="630" ht="15.0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</row>
    <row r="631" ht="15.0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</row>
    <row r="632" ht="15.0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</row>
    <row r="633" ht="15.0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</row>
    <row r="634" ht="15.0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</row>
    <row r="635" ht="15.0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</row>
    <row r="636" ht="15.0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</row>
    <row r="637" ht="15.0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</row>
    <row r="638" ht="15.0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</row>
    <row r="639" ht="15.0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</row>
    <row r="640" ht="15.0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</row>
    <row r="641" ht="15.0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</row>
    <row r="642" ht="15.0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</row>
    <row r="643" ht="15.0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</row>
    <row r="644" ht="15.0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</row>
    <row r="645" ht="15.0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</row>
    <row r="646" ht="15.0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</row>
    <row r="647" ht="15.0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</row>
    <row r="648" ht="15.0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</row>
    <row r="649" ht="15.0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</row>
    <row r="650" ht="15.0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</row>
    <row r="651" ht="15.0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</row>
    <row r="652" ht="15.0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</row>
    <row r="653" ht="15.0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</row>
    <row r="654" ht="15.0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</row>
    <row r="655" ht="15.0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</row>
    <row r="656" ht="15.0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</row>
    <row r="657" ht="15.0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</row>
    <row r="658" ht="15.0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</row>
    <row r="659" ht="15.0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</row>
    <row r="660" ht="15.0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</row>
    <row r="661" ht="15.0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</row>
    <row r="662" ht="15.0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</row>
    <row r="663" ht="15.0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</row>
    <row r="664" ht="15.0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</row>
    <row r="665" ht="15.0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</row>
    <row r="666" ht="15.0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</row>
    <row r="667" ht="15.0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</row>
    <row r="668" ht="15.0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</row>
    <row r="669" ht="15.0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</row>
    <row r="670" ht="15.0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</row>
    <row r="671" ht="15.0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</row>
    <row r="672" ht="15.0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</row>
    <row r="673" ht="15.0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</row>
    <row r="674" ht="15.0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</row>
    <row r="675" ht="15.0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</row>
    <row r="676" ht="15.0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</row>
    <row r="677" ht="15.0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</row>
    <row r="678" ht="15.0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</row>
    <row r="679" ht="15.0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</row>
    <row r="680" ht="15.0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</row>
    <row r="681" ht="15.0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</row>
    <row r="682" ht="15.0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</row>
    <row r="683" ht="15.0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</row>
    <row r="684" ht="15.0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</row>
    <row r="685" ht="15.0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</row>
    <row r="686" ht="15.0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</row>
    <row r="687" ht="15.0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</row>
    <row r="688" ht="15.0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</row>
    <row r="689" ht="15.0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</row>
    <row r="690" ht="15.0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</row>
    <row r="691" ht="15.0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</row>
    <row r="692" ht="15.0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</row>
    <row r="693" ht="15.0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</row>
    <row r="694" ht="15.0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</row>
    <row r="695" ht="15.0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</row>
    <row r="696" ht="15.0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</row>
    <row r="697" ht="15.0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</row>
    <row r="698" ht="15.0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</row>
    <row r="699" ht="15.0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</row>
    <row r="700" ht="15.0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</row>
    <row r="701" ht="15.0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</row>
    <row r="702" ht="15.0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</row>
    <row r="703" ht="15.0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</row>
    <row r="704" ht="15.0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</row>
    <row r="705" ht="15.0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</row>
    <row r="706" ht="15.0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</row>
    <row r="707" ht="15.0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</row>
    <row r="708" ht="15.0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</row>
    <row r="709" ht="15.0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</row>
    <row r="710" ht="15.0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</row>
    <row r="711" ht="15.0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</row>
    <row r="712" ht="15.0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</row>
    <row r="713" ht="15.0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</row>
    <row r="714" ht="15.0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</row>
    <row r="715" ht="15.0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</row>
    <row r="716" ht="15.0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</row>
    <row r="717" ht="15.0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</row>
    <row r="718" ht="15.0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</row>
    <row r="719" ht="15.0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</row>
    <row r="720" ht="15.0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</row>
    <row r="721" ht="15.0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</row>
    <row r="722" ht="15.0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</row>
    <row r="723" ht="15.0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</row>
    <row r="724" ht="15.0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</row>
    <row r="725" ht="15.0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</row>
    <row r="726" ht="15.0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</row>
    <row r="727" ht="15.0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</row>
    <row r="728" ht="15.0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</row>
    <row r="729" ht="15.0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</row>
    <row r="730" ht="15.0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</row>
    <row r="731" ht="15.0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</row>
    <row r="732" ht="15.0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</row>
    <row r="733" ht="15.0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</row>
    <row r="734" ht="15.0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</row>
    <row r="735" ht="15.0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</row>
    <row r="736" ht="15.0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</row>
    <row r="737" ht="15.0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</row>
    <row r="738" ht="15.0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</row>
    <row r="739" ht="15.0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</row>
    <row r="740" ht="15.0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</row>
    <row r="741" ht="15.0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</row>
    <row r="742" ht="15.0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</row>
    <row r="743" ht="15.0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</row>
    <row r="744" ht="15.0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</row>
    <row r="745" ht="15.0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</row>
    <row r="746" ht="15.0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</row>
    <row r="747" ht="15.0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</row>
    <row r="748" ht="15.0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</row>
    <row r="749" ht="15.0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</row>
    <row r="750" ht="15.0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</row>
    <row r="751" ht="15.0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</row>
    <row r="752" ht="15.0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</row>
    <row r="753" ht="15.0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</row>
    <row r="754" ht="15.0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</row>
    <row r="755" ht="15.0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</row>
    <row r="756" ht="15.0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</row>
    <row r="757" ht="15.0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</row>
    <row r="758" ht="15.0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</row>
    <row r="759" ht="15.0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</row>
    <row r="760" ht="15.0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</row>
    <row r="761" ht="15.0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</row>
    <row r="762" ht="15.0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</row>
    <row r="763" ht="15.0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</row>
    <row r="764" ht="15.0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</row>
    <row r="765" ht="15.0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</row>
    <row r="766" ht="15.0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</row>
    <row r="767" ht="15.0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</row>
    <row r="768" ht="15.0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</row>
    <row r="769" ht="15.0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</row>
    <row r="770" ht="15.0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</row>
    <row r="771" ht="15.0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</row>
    <row r="772" ht="15.0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</row>
    <row r="773" ht="15.0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</row>
    <row r="774" ht="15.0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</row>
    <row r="775" ht="15.0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</row>
    <row r="776" ht="15.0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</row>
    <row r="777" ht="15.0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</row>
    <row r="778" ht="15.0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</row>
    <row r="779" ht="15.0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</row>
    <row r="780" ht="15.0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</row>
    <row r="781" ht="15.0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</row>
    <row r="782" ht="15.0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</row>
    <row r="783" ht="15.0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</row>
    <row r="784" ht="15.0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</row>
    <row r="785" ht="15.0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</row>
    <row r="786" ht="15.0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</row>
    <row r="787" ht="15.0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</row>
    <row r="788" ht="15.0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</row>
    <row r="789" ht="15.0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</row>
    <row r="790" ht="15.0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</row>
    <row r="791" ht="15.0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</row>
    <row r="792" ht="15.0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</row>
    <row r="793" ht="15.0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</row>
    <row r="794" ht="15.0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</row>
    <row r="795" ht="15.0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</row>
    <row r="796" ht="15.0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</row>
    <row r="797" ht="15.0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</row>
    <row r="798" ht="15.0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</row>
    <row r="799" ht="15.0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</row>
    <row r="800" ht="15.0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</row>
    <row r="801" ht="15.0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</row>
    <row r="802" ht="15.0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</row>
    <row r="803" ht="15.0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</row>
    <row r="804" ht="15.0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</row>
    <row r="805" ht="15.0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</row>
    <row r="806" ht="15.0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</row>
    <row r="807" ht="15.0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</row>
    <row r="808" ht="15.0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</row>
    <row r="809" ht="15.0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</row>
    <row r="810" ht="15.0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</row>
    <row r="811" ht="15.0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</row>
    <row r="812" ht="15.0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</row>
    <row r="813" ht="15.0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</row>
    <row r="814" ht="15.0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</row>
    <row r="815" ht="15.0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</row>
    <row r="816" ht="15.0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</row>
    <row r="817" ht="15.0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</row>
    <row r="818" ht="15.0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</row>
    <row r="819" ht="15.0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</row>
    <row r="820" ht="15.0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</row>
    <row r="821" ht="15.0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</row>
    <row r="822" ht="15.0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</row>
    <row r="823" ht="15.0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</row>
    <row r="824" ht="15.0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</row>
    <row r="825" ht="15.0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</row>
    <row r="826" ht="15.0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</row>
    <row r="827" ht="15.0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</row>
    <row r="828" ht="15.0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</row>
    <row r="829" ht="15.0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</row>
    <row r="830" ht="15.0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</row>
    <row r="831" ht="15.0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</row>
    <row r="832" ht="15.0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</row>
    <row r="833" ht="15.0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</row>
    <row r="834" ht="15.0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</row>
    <row r="835" ht="15.0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</row>
    <row r="836" ht="15.0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</row>
    <row r="837" ht="15.0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</row>
    <row r="838" ht="15.0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</row>
    <row r="839" ht="15.0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</row>
    <row r="840" ht="15.0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</row>
    <row r="841" ht="15.0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</row>
    <row r="842" ht="15.0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</row>
    <row r="843" ht="15.0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</row>
    <row r="844" ht="15.0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</row>
    <row r="845" ht="15.0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</row>
    <row r="846" ht="15.0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</row>
    <row r="847" ht="15.0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</row>
    <row r="848" ht="15.0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</row>
    <row r="849" ht="15.0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</row>
    <row r="850" ht="15.0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</row>
    <row r="851" ht="15.0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</row>
    <row r="852" ht="15.0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</row>
    <row r="853" ht="15.0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</row>
    <row r="854" ht="15.0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</row>
    <row r="855" ht="15.0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</row>
    <row r="856" ht="15.0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</row>
    <row r="857" ht="15.0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</row>
    <row r="858" ht="15.0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</row>
    <row r="859" ht="15.0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</row>
    <row r="860" ht="15.0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</row>
    <row r="861" ht="15.0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</row>
    <row r="862" ht="15.0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</row>
    <row r="863" ht="15.0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</row>
    <row r="864" ht="15.0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</row>
    <row r="865" ht="15.0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</row>
    <row r="866" ht="15.0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</row>
    <row r="867" ht="15.0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</row>
    <row r="868" ht="15.0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</row>
    <row r="869" ht="15.0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</row>
    <row r="870" ht="15.0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</row>
    <row r="871" ht="15.0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</row>
    <row r="872" ht="15.0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</row>
    <row r="873" ht="15.0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</row>
    <row r="874" ht="15.0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</row>
    <row r="875" ht="15.0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</row>
    <row r="876" ht="15.0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</row>
    <row r="877" ht="15.0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</row>
    <row r="878" ht="15.0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</row>
    <row r="879" ht="15.0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</row>
    <row r="880" ht="15.0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</row>
    <row r="881" ht="15.0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</row>
    <row r="882" ht="15.0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</row>
    <row r="883" ht="15.0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</row>
    <row r="884" ht="15.0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</row>
    <row r="885" ht="15.0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</row>
    <row r="886" ht="15.0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</row>
    <row r="887" ht="15.0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</row>
    <row r="888" ht="15.0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</row>
    <row r="889" ht="15.0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</row>
    <row r="890" ht="15.0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</row>
    <row r="891" ht="15.0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</row>
    <row r="892" ht="15.0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</row>
    <row r="893" ht="15.0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</row>
    <row r="894" ht="15.0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</row>
    <row r="895" ht="15.0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</row>
    <row r="896" ht="15.0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</row>
    <row r="897" ht="15.0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</row>
    <row r="898" ht="15.0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</row>
    <row r="899" ht="15.0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</row>
    <row r="900" ht="15.0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</row>
    <row r="901" ht="15.0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</row>
    <row r="902" ht="15.0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</row>
    <row r="903" ht="15.0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</row>
    <row r="904" ht="15.0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</row>
    <row r="905" ht="15.0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</row>
    <row r="906" ht="15.0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</row>
    <row r="907" ht="15.0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</row>
    <row r="908" ht="15.0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</row>
    <row r="909" ht="15.0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</row>
    <row r="910" ht="15.0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</row>
    <row r="911" ht="15.0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</row>
    <row r="912" ht="15.0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</row>
    <row r="913" ht="15.0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</row>
    <row r="914" ht="15.0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</row>
    <row r="915" ht="15.0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</row>
    <row r="916" ht="15.0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</row>
    <row r="917" ht="15.0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</row>
    <row r="918" ht="15.0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</row>
    <row r="919" ht="15.0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</row>
    <row r="920" ht="15.0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</row>
    <row r="921" ht="15.0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</row>
    <row r="922" ht="15.0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</row>
    <row r="923" ht="15.0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</row>
    <row r="924" ht="15.0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</row>
    <row r="925" ht="15.0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</row>
    <row r="926" ht="15.0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</row>
    <row r="927" ht="15.0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</row>
    <row r="928" ht="15.0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</row>
    <row r="929" ht="15.0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</row>
    <row r="930" ht="15.0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</row>
    <row r="931" ht="15.0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</row>
    <row r="932" ht="15.0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</row>
    <row r="933" ht="15.0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</row>
    <row r="934" ht="15.0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</row>
    <row r="935" ht="15.0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</row>
    <row r="936" ht="15.0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</row>
    <row r="937" ht="15.0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</row>
    <row r="938" ht="15.0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</row>
    <row r="939" ht="15.0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</row>
    <row r="940" ht="15.0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</row>
    <row r="941" ht="15.0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</row>
    <row r="942" ht="15.0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</row>
    <row r="943" ht="15.0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</row>
    <row r="944" ht="15.0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</row>
    <row r="945" ht="15.0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</row>
    <row r="946" ht="15.0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</row>
    <row r="947" ht="15.0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</row>
    <row r="948" ht="15.0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</row>
    <row r="949" ht="15.0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</row>
    <row r="950" ht="15.0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</row>
    <row r="951" ht="15.0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</row>
    <row r="952" ht="15.0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</row>
    <row r="953" ht="15.0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</row>
    <row r="954" ht="15.0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</row>
    <row r="955" ht="15.0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</row>
    <row r="956" ht="15.0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</row>
    <row r="957" ht="15.0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</row>
    <row r="958" ht="15.0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</row>
    <row r="959" ht="15.0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</row>
    <row r="960" ht="15.0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</row>
    <row r="961" ht="15.0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</row>
    <row r="962" ht="15.0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</row>
    <row r="963" ht="15.0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</row>
    <row r="964" ht="15.0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</row>
    <row r="965" ht="15.0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</row>
    <row r="966" ht="15.0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</row>
    <row r="967" ht="15.0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</row>
    <row r="968" ht="15.0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</row>
    <row r="969" ht="15.0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</row>
    <row r="970" ht="15.0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</row>
    <row r="971" ht="15.0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</row>
    <row r="972" ht="15.0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</row>
    <row r="973" ht="15.0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</row>
    <row r="974" ht="15.0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</row>
    <row r="975" ht="15.0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</row>
    <row r="976" ht="15.0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</row>
    <row r="977" ht="15.0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</row>
    <row r="978" ht="15.0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</row>
    <row r="979" ht="15.0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</row>
    <row r="980" ht="15.0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</row>
    <row r="981" ht="15.0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</row>
    <row r="982" ht="15.0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</row>
    <row r="983" ht="15.0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</row>
    <row r="984" ht="15.0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</row>
    <row r="985" ht="15.0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</row>
    <row r="986" ht="15.0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</row>
    <row r="987" ht="15.0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</row>
    <row r="988" ht="15.0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</row>
    <row r="989" ht="15.0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</row>
    <row r="990" ht="15.0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</row>
    <row r="991" ht="15.0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</row>
    <row r="992" ht="15.0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</row>
    <row r="993" ht="15.0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</row>
    <row r="994" ht="15.0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</row>
    <row r="995" ht="15.0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</row>
    <row r="996" ht="15.0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</row>
    <row r="997" ht="15.0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</row>
    <row r="998" ht="15.0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</row>
    <row r="999" ht="15.0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</row>
    <row r="1000" ht="15.0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</row>
    <row r="1001" ht="15.0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</row>
    <row r="1002" ht="15.0" customHeight="1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</row>
    <row r="1003" ht="15.0" customHeight="1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</row>
    <row r="1004" ht="15.0" customHeight="1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</row>
    <row r="1005" ht="15.0" customHeight="1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</row>
    <row r="1006" ht="15.0" customHeight="1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0"/>
    <col customWidth="1" min="3" max="3" width="12.29"/>
    <col customWidth="1" min="4" max="4" width="7.43"/>
    <col customWidth="1" min="5" max="5" width="10.71"/>
    <col customWidth="1" min="6" max="6" width="20.29"/>
    <col customWidth="1" min="7" max="7" width="13.29"/>
    <col customWidth="1" min="8" max="9" width="10.71"/>
    <col customWidth="1" min="10" max="11" width="16.57"/>
    <col customWidth="1" min="12" max="12" width="3.29"/>
    <col customWidth="1" min="13" max="13" width="6.71"/>
    <col customWidth="1" min="14" max="14" width="24.0"/>
    <col customWidth="1" min="15" max="15" width="15.0"/>
    <col customWidth="1" min="16" max="17" width="14.14"/>
    <col customWidth="1" min="18" max="18" width="1.71"/>
    <col customWidth="1" min="19" max="28" width="10.71"/>
  </cols>
  <sheetData>
    <row r="1" ht="9.0" customHeight="1">
      <c r="A1" s="124"/>
      <c r="B1" s="1"/>
      <c r="C1" s="1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</row>
    <row r="2" ht="17.25" customHeight="1">
      <c r="A2" s="124"/>
      <c r="B2" s="125" t="s">
        <v>153</v>
      </c>
      <c r="C2" s="1"/>
      <c r="D2" s="124"/>
      <c r="E2" s="124"/>
      <c r="F2" s="126" t="s">
        <v>154</v>
      </c>
      <c r="G2" s="124"/>
      <c r="H2" s="124"/>
      <c r="I2" s="124"/>
      <c r="J2" s="124"/>
      <c r="K2" s="124"/>
      <c r="L2" s="124"/>
      <c r="M2" s="126" t="s">
        <v>155</v>
      </c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ht="17.25" customHeight="1">
      <c r="A3" s="124"/>
      <c r="B3" s="127" t="s">
        <v>97</v>
      </c>
      <c r="C3" s="127" t="s">
        <v>98</v>
      </c>
      <c r="D3" s="128" t="s">
        <v>99</v>
      </c>
      <c r="E3" s="124"/>
      <c r="F3" s="127" t="s">
        <v>156</v>
      </c>
      <c r="G3" s="127" t="s">
        <v>157</v>
      </c>
      <c r="H3" s="128" t="s">
        <v>158</v>
      </c>
      <c r="I3" s="127" t="s">
        <v>102</v>
      </c>
      <c r="J3" s="128" t="s">
        <v>159</v>
      </c>
      <c r="K3" s="128" t="s">
        <v>160</v>
      </c>
      <c r="L3" s="124"/>
      <c r="M3" s="127" t="s">
        <v>47</v>
      </c>
      <c r="N3" s="127" t="s">
        <v>6</v>
      </c>
      <c r="O3" s="127" t="s">
        <v>161</v>
      </c>
      <c r="P3" s="127" t="s">
        <v>162</v>
      </c>
      <c r="Q3" s="128" t="s">
        <v>163</v>
      </c>
      <c r="R3" s="124"/>
      <c r="S3" s="127" t="s">
        <v>36</v>
      </c>
      <c r="T3" s="127" t="s">
        <v>164</v>
      </c>
      <c r="U3" s="124"/>
      <c r="V3" s="124"/>
      <c r="W3" s="124"/>
      <c r="X3" s="124"/>
      <c r="Y3" s="124"/>
      <c r="Z3" s="124"/>
      <c r="AA3" s="124"/>
      <c r="AB3" s="124"/>
    </row>
    <row r="4" ht="17.25" customHeight="1">
      <c r="A4" s="124"/>
      <c r="B4" s="129" t="s">
        <v>154</v>
      </c>
      <c r="C4" s="54">
        <f>$K$14/1000000</f>
        <v>1356.52032</v>
      </c>
      <c r="D4" s="130">
        <f t="shared" ref="D4:D6" si="1">C4/$C$7</f>
        <v>0.4126219123</v>
      </c>
      <c r="E4" s="124"/>
      <c r="F4" s="129" t="s">
        <v>165</v>
      </c>
      <c r="G4" s="54" t="s">
        <v>166</v>
      </c>
      <c r="H4" s="59" t="s">
        <v>167</v>
      </c>
      <c r="I4" s="59">
        <v>37.0</v>
      </c>
      <c r="J4" s="59">
        <v>1072000.0</v>
      </c>
      <c r="K4" s="54">
        <f t="shared" ref="K4:K13" si="2">I4*J4*12*1.24</f>
        <v>590200320</v>
      </c>
      <c r="L4" s="124"/>
      <c r="M4" s="51" t="s">
        <v>52</v>
      </c>
      <c r="N4" s="54" t="s">
        <v>53</v>
      </c>
      <c r="O4" s="54">
        <v>1775.67</v>
      </c>
      <c r="P4" s="54">
        <f>VLOOKUP(M4,Produccion!$C$14:$E$20,3,0)</f>
        <v>48000</v>
      </c>
      <c r="Q4" s="54">
        <f t="shared" ref="Q4:Q11" si="3">O4*P4</f>
        <v>85232160</v>
      </c>
      <c r="R4" s="124"/>
      <c r="S4" s="54">
        <f>VLOOKUP(M4,Produccion!$C$14:$G$20,5,0)</f>
        <v>13700</v>
      </c>
      <c r="T4" s="131">
        <f t="shared" ref="T4:T11" si="4">O4/S4</f>
        <v>0.1296109489</v>
      </c>
      <c r="U4" s="124"/>
      <c r="V4" s="124"/>
      <c r="W4" s="124"/>
      <c r="X4" s="124"/>
      <c r="Y4" s="124"/>
      <c r="Z4" s="124"/>
      <c r="AA4" s="124"/>
      <c r="AB4" s="124"/>
    </row>
    <row r="5" ht="17.25" customHeight="1">
      <c r="A5" s="124"/>
      <c r="B5" s="129" t="s">
        <v>155</v>
      </c>
      <c r="C5" s="54">
        <f>Q12/1000000</f>
        <v>944.7734205</v>
      </c>
      <c r="D5" s="130">
        <f t="shared" si="1"/>
        <v>0.2873780877</v>
      </c>
      <c r="E5" s="124"/>
      <c r="F5" s="132" t="s">
        <v>168</v>
      </c>
      <c r="G5" s="59" t="s">
        <v>169</v>
      </c>
      <c r="H5" s="59" t="s">
        <v>170</v>
      </c>
      <c r="I5" s="59">
        <v>3.0</v>
      </c>
      <c r="J5" s="59">
        <v>2200000.0</v>
      </c>
      <c r="K5" s="54">
        <f t="shared" si="2"/>
        <v>98208000</v>
      </c>
      <c r="L5" s="124"/>
      <c r="M5" s="51" t="s">
        <v>54</v>
      </c>
      <c r="N5" s="54" t="s">
        <v>55</v>
      </c>
      <c r="O5" s="54">
        <v>1498.67</v>
      </c>
      <c r="P5" s="54">
        <f>VLOOKUP(M5,Produccion!$C$14:$E$20,3,0)</f>
        <v>27750</v>
      </c>
      <c r="Q5" s="54">
        <f t="shared" si="3"/>
        <v>41588092.5</v>
      </c>
      <c r="R5" s="124"/>
      <c r="S5" s="54">
        <f>VLOOKUP(M5,Produccion!$C$14:$G$20,5,0)</f>
        <v>10500</v>
      </c>
      <c r="T5" s="131">
        <f t="shared" si="4"/>
        <v>0.1427304762</v>
      </c>
      <c r="U5" s="124"/>
      <c r="V5" s="124"/>
      <c r="W5" s="124"/>
      <c r="X5" s="124"/>
      <c r="Y5" s="124"/>
      <c r="Z5" s="124"/>
      <c r="AA5" s="124"/>
      <c r="AB5" s="124"/>
    </row>
    <row r="6" ht="17.25" customHeight="1">
      <c r="A6" s="124"/>
      <c r="B6" s="132" t="s">
        <v>171</v>
      </c>
      <c r="C6" s="54">
        <f>SUM(C4:C5)/0.7*0.3</f>
        <v>986.2687459</v>
      </c>
      <c r="D6" s="130">
        <f t="shared" si="1"/>
        <v>0.3</v>
      </c>
      <c r="E6" s="124"/>
      <c r="F6" s="132" t="s">
        <v>172</v>
      </c>
      <c r="G6" s="59" t="s">
        <v>169</v>
      </c>
      <c r="H6" s="59" t="s">
        <v>170</v>
      </c>
      <c r="I6" s="59">
        <v>4.0</v>
      </c>
      <c r="J6" s="59">
        <v>2200000.0</v>
      </c>
      <c r="K6" s="54">
        <f t="shared" si="2"/>
        <v>130944000</v>
      </c>
      <c r="L6" s="124"/>
      <c r="M6" s="51" t="s">
        <v>56</v>
      </c>
      <c r="N6" s="54" t="s">
        <v>57</v>
      </c>
      <c r="O6" s="54">
        <v>2404.98</v>
      </c>
      <c r="P6" s="54">
        <f>VLOOKUP(M6,Produccion!$C$14:$E$20,3,0)</f>
        <v>78000</v>
      </c>
      <c r="Q6" s="54">
        <f t="shared" si="3"/>
        <v>187588440</v>
      </c>
      <c r="R6" s="124"/>
      <c r="S6" s="54">
        <f>VLOOKUP(M6,Produccion!$C$14:$G$20,5,0)</f>
        <v>11000</v>
      </c>
      <c r="T6" s="131">
        <f t="shared" si="4"/>
        <v>0.2186345455</v>
      </c>
      <c r="U6" s="124"/>
      <c r="V6" s="124"/>
      <c r="W6" s="124"/>
      <c r="X6" s="124"/>
      <c r="Y6" s="124"/>
      <c r="Z6" s="124"/>
      <c r="AA6" s="124"/>
      <c r="AB6" s="124"/>
    </row>
    <row r="7" ht="17.25" customHeight="1">
      <c r="A7" s="124"/>
      <c r="B7" s="133" t="s">
        <v>12</v>
      </c>
      <c r="C7" s="65">
        <f t="shared" ref="C7:D7" si="5">SUM(C4:C6)</f>
        <v>3287.562486</v>
      </c>
      <c r="D7" s="134">
        <f t="shared" si="5"/>
        <v>1</v>
      </c>
      <c r="E7" s="124"/>
      <c r="F7" s="132" t="s">
        <v>165</v>
      </c>
      <c r="G7" s="59" t="s">
        <v>173</v>
      </c>
      <c r="H7" s="59" t="s">
        <v>167</v>
      </c>
      <c r="I7" s="59">
        <v>2.0</v>
      </c>
      <c r="J7" s="59">
        <v>2000000.0</v>
      </c>
      <c r="K7" s="54">
        <f t="shared" si="2"/>
        <v>59520000</v>
      </c>
      <c r="L7" s="124"/>
      <c r="M7" s="51" t="s">
        <v>58</v>
      </c>
      <c r="N7" s="54" t="s">
        <v>92</v>
      </c>
      <c r="O7" s="54">
        <v>974.85</v>
      </c>
      <c r="P7" s="54">
        <f>VLOOKUP(M7,Produccion!$C$14:$E$20,3,0)</f>
        <v>31200</v>
      </c>
      <c r="Q7" s="54">
        <f t="shared" si="3"/>
        <v>30415320</v>
      </c>
      <c r="R7" s="124"/>
      <c r="S7" s="54">
        <f>VLOOKUP(M7,Produccion!$C$14:$G$20,5,0)</f>
        <v>7000</v>
      </c>
      <c r="T7" s="131">
        <f t="shared" si="4"/>
        <v>0.1392642857</v>
      </c>
      <c r="U7" s="124"/>
      <c r="V7" s="124"/>
      <c r="W7" s="124"/>
      <c r="X7" s="124"/>
      <c r="Y7" s="124"/>
      <c r="Z7" s="124"/>
      <c r="AA7" s="124"/>
      <c r="AB7" s="124"/>
    </row>
    <row r="8" ht="17.25" customHeight="1">
      <c r="A8" s="124"/>
      <c r="B8" s="124"/>
      <c r="C8" s="124"/>
      <c r="D8" s="124"/>
      <c r="E8" s="124"/>
      <c r="F8" s="132" t="s">
        <v>165</v>
      </c>
      <c r="G8" s="59" t="s">
        <v>174</v>
      </c>
      <c r="H8" s="59" t="s">
        <v>167</v>
      </c>
      <c r="I8" s="59">
        <v>4.0</v>
      </c>
      <c r="J8" s="59">
        <v>2500000.0</v>
      </c>
      <c r="K8" s="54">
        <f t="shared" si="2"/>
        <v>148800000</v>
      </c>
      <c r="L8" s="124"/>
      <c r="M8" s="51" t="s">
        <v>60</v>
      </c>
      <c r="N8" s="54" t="s">
        <v>41</v>
      </c>
      <c r="O8" s="54">
        <v>1958.97</v>
      </c>
      <c r="P8" s="54">
        <f>VLOOKUP(M8,Produccion!$C$14:$E$20,3,0)</f>
        <v>52800</v>
      </c>
      <c r="Q8" s="54">
        <f t="shared" si="3"/>
        <v>103433616</v>
      </c>
      <c r="R8" s="124"/>
      <c r="S8" s="54">
        <f>VLOOKUP(M8,Produccion!$C$14:$G$20,5,0)</f>
        <v>10500</v>
      </c>
      <c r="T8" s="131">
        <f t="shared" si="4"/>
        <v>0.1865685714</v>
      </c>
      <c r="U8" s="124"/>
      <c r="V8" s="124"/>
      <c r="W8" s="124"/>
      <c r="X8" s="124"/>
      <c r="Y8" s="124"/>
      <c r="Z8" s="124"/>
      <c r="AA8" s="124"/>
      <c r="AB8" s="124"/>
    </row>
    <row r="9" ht="17.25" customHeight="1">
      <c r="A9" s="124"/>
      <c r="B9" s="1"/>
      <c r="C9" s="1"/>
      <c r="D9" s="124"/>
      <c r="E9" s="124"/>
      <c r="F9" s="132" t="s">
        <v>172</v>
      </c>
      <c r="G9" s="59" t="s">
        <v>175</v>
      </c>
      <c r="H9" s="59" t="s">
        <v>170</v>
      </c>
      <c r="I9" s="59">
        <v>1.0</v>
      </c>
      <c r="J9" s="59">
        <v>3400000.0</v>
      </c>
      <c r="K9" s="54">
        <f t="shared" si="2"/>
        <v>50592000</v>
      </c>
      <c r="L9" s="124"/>
      <c r="M9" s="51" t="s">
        <v>61</v>
      </c>
      <c r="N9" s="54" t="s">
        <v>62</v>
      </c>
      <c r="O9" s="54">
        <v>3034.2</v>
      </c>
      <c r="P9" s="54">
        <f>VLOOKUP(M9,Produccion!$C$14:$E$20,3,0)</f>
        <v>75000</v>
      </c>
      <c r="Q9" s="54">
        <f t="shared" si="3"/>
        <v>227565000</v>
      </c>
      <c r="R9" s="124"/>
      <c r="S9" s="54">
        <f>VLOOKUP(M9,Produccion!$C$14:$G$20,5,0)</f>
        <v>12700</v>
      </c>
      <c r="T9" s="131">
        <f t="shared" si="4"/>
        <v>0.2389133858</v>
      </c>
      <c r="U9" s="124"/>
      <c r="V9" s="124"/>
      <c r="W9" s="124"/>
      <c r="X9" s="124"/>
      <c r="Y9" s="124"/>
      <c r="Z9" s="124"/>
      <c r="AA9" s="124"/>
      <c r="AB9" s="124"/>
    </row>
    <row r="10" ht="17.25" customHeight="1">
      <c r="A10" s="124"/>
      <c r="B10" s="1"/>
      <c r="C10" s="15"/>
      <c r="D10" s="124"/>
      <c r="E10" s="124"/>
      <c r="F10" s="132" t="s">
        <v>168</v>
      </c>
      <c r="G10" s="59" t="s">
        <v>175</v>
      </c>
      <c r="H10" s="59" t="s">
        <v>170</v>
      </c>
      <c r="I10" s="59">
        <v>1.0</v>
      </c>
      <c r="J10" s="59">
        <v>3400000.0</v>
      </c>
      <c r="K10" s="54">
        <f t="shared" si="2"/>
        <v>50592000</v>
      </c>
      <c r="L10" s="124"/>
      <c r="M10" s="51" t="s">
        <v>63</v>
      </c>
      <c r="N10" s="54" t="s">
        <v>43</v>
      </c>
      <c r="O10" s="54">
        <v>3798.74</v>
      </c>
      <c r="P10" s="54">
        <f>VLOOKUP(M10,Produccion!$C$14:$E$20,3,0)</f>
        <v>70800</v>
      </c>
      <c r="Q10" s="54">
        <f t="shared" si="3"/>
        <v>268950792</v>
      </c>
      <c r="R10" s="124"/>
      <c r="S10" s="54">
        <f>VLOOKUP(M10,Produccion!$C$14:$G$20,5,0)</f>
        <v>12000</v>
      </c>
      <c r="T10" s="131">
        <f t="shared" si="4"/>
        <v>0.3165616667</v>
      </c>
      <c r="U10" s="124"/>
      <c r="V10" s="124"/>
      <c r="W10" s="124"/>
      <c r="X10" s="124"/>
      <c r="Y10" s="124"/>
      <c r="Z10" s="124"/>
      <c r="AA10" s="124"/>
      <c r="AB10" s="124"/>
    </row>
    <row r="11" ht="17.25" customHeight="1">
      <c r="A11" s="124"/>
      <c r="B11" s="1"/>
      <c r="C11" s="1"/>
      <c r="D11" s="124"/>
      <c r="E11" s="124"/>
      <c r="F11" s="132" t="s">
        <v>165</v>
      </c>
      <c r="G11" s="59" t="s">
        <v>175</v>
      </c>
      <c r="H11" s="59" t="s">
        <v>167</v>
      </c>
      <c r="I11" s="59">
        <v>1.0</v>
      </c>
      <c r="J11" s="59">
        <v>3400000.0</v>
      </c>
      <c r="K11" s="54">
        <f t="shared" si="2"/>
        <v>50592000</v>
      </c>
      <c r="L11" s="124"/>
      <c r="M11" s="51" t="s">
        <v>64</v>
      </c>
      <c r="N11" s="54" t="s">
        <v>43</v>
      </c>
      <c r="O11" s="54">
        <v>3798.74</v>
      </c>
      <c r="P11" s="54" t="str">
        <f>VLOOKUP(M11,Produccion!C21,E1000,3,0)</f>
        <v>#N/A</v>
      </c>
      <c r="Q11" s="54" t="str">
        <f t="shared" si="3"/>
        <v>#N/A</v>
      </c>
      <c r="R11" s="124"/>
      <c r="S11" s="54" t="str">
        <f>VLOOKUP(M11,Produccion!$C$14:$G$20,5,0)</f>
        <v>#N/A</v>
      </c>
      <c r="T11" s="131" t="str">
        <f t="shared" si="4"/>
        <v>#N/A</v>
      </c>
      <c r="U11" s="124"/>
      <c r="V11" s="124"/>
      <c r="W11" s="124"/>
      <c r="X11" s="124"/>
      <c r="Y11" s="124"/>
      <c r="Z11" s="124"/>
      <c r="AA11" s="124"/>
      <c r="AB11" s="124"/>
    </row>
    <row r="12" ht="17.25" customHeight="1">
      <c r="A12" s="124"/>
      <c r="B12" s="1"/>
      <c r="C12" s="15"/>
      <c r="D12" s="124"/>
      <c r="E12" s="124"/>
      <c r="F12" s="132" t="s">
        <v>176</v>
      </c>
      <c r="G12" s="59" t="s">
        <v>175</v>
      </c>
      <c r="H12" s="59" t="s">
        <v>170</v>
      </c>
      <c r="I12" s="59">
        <v>1.0</v>
      </c>
      <c r="J12" s="59">
        <v>3400000.0</v>
      </c>
      <c r="K12" s="54">
        <f t="shared" si="2"/>
        <v>50592000</v>
      </c>
      <c r="L12" s="124"/>
      <c r="M12" s="133" t="s">
        <v>12</v>
      </c>
      <c r="N12" s="65"/>
      <c r="O12" s="65"/>
      <c r="P12" s="65"/>
      <c r="Q12" s="65">
        <f>SUM(Q4:Q10)</f>
        <v>944773420.5</v>
      </c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</row>
    <row r="13" ht="17.25" customHeight="1">
      <c r="A13" s="124"/>
      <c r="B13" s="1"/>
      <c r="C13" s="1"/>
      <c r="D13" s="124"/>
      <c r="E13" s="124"/>
      <c r="F13" s="132" t="s">
        <v>177</v>
      </c>
      <c r="G13" s="59" t="s">
        <v>178</v>
      </c>
      <c r="H13" s="59" t="s">
        <v>170</v>
      </c>
      <c r="I13" s="59">
        <v>1.0</v>
      </c>
      <c r="J13" s="59">
        <v>8500000.0</v>
      </c>
      <c r="K13" s="54">
        <f t="shared" si="2"/>
        <v>126480000</v>
      </c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</row>
    <row r="14" ht="17.25" customHeight="1">
      <c r="A14" s="124"/>
      <c r="B14" s="1"/>
      <c r="C14" s="1"/>
      <c r="D14" s="124"/>
      <c r="E14" s="124"/>
      <c r="F14" s="133" t="s">
        <v>12</v>
      </c>
      <c r="G14" s="65"/>
      <c r="H14" s="65"/>
      <c r="I14" s="65">
        <f t="shared" ref="I14:K14" si="6">SUM(I4:I13)</f>
        <v>55</v>
      </c>
      <c r="J14" s="65">
        <f t="shared" si="6"/>
        <v>32072000</v>
      </c>
      <c r="K14" s="65">
        <f t="shared" si="6"/>
        <v>1356520320</v>
      </c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</row>
    <row r="15" ht="17.25" customHeight="1">
      <c r="A15" s="124"/>
      <c r="B15" s="1"/>
      <c r="C15" s="1"/>
      <c r="D15" s="124"/>
      <c r="E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</row>
    <row r="16" ht="17.25" customHeight="1">
      <c r="A16" s="124"/>
      <c r="B16" s="1"/>
      <c r="C16" s="1"/>
      <c r="D16" s="124"/>
      <c r="E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</row>
    <row r="17" ht="17.25" customHeight="1">
      <c r="A17" s="124"/>
      <c r="B17" s="1"/>
      <c r="C17" s="1"/>
      <c r="D17" s="124"/>
      <c r="E17" s="124"/>
      <c r="F17" s="126" t="s">
        <v>179</v>
      </c>
      <c r="G17" s="1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</row>
    <row r="18" ht="17.25" customHeight="1">
      <c r="A18" s="124"/>
      <c r="B18" s="1"/>
      <c r="C18" s="1"/>
      <c r="D18" s="124"/>
      <c r="E18" s="124"/>
      <c r="F18" s="127" t="s">
        <v>97</v>
      </c>
      <c r="G18" s="127" t="s">
        <v>98</v>
      </c>
      <c r="H18" s="128" t="s">
        <v>99</v>
      </c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</row>
    <row r="19" ht="17.25" customHeight="1">
      <c r="A19" s="124"/>
      <c r="B19" s="1"/>
      <c r="C19" s="1"/>
      <c r="D19" s="124"/>
      <c r="E19" s="124"/>
      <c r="F19" s="132" t="s">
        <v>180</v>
      </c>
      <c r="G19" s="54">
        <f>SUMIF(H4:H13,"Directo",J4:J13)</f>
        <v>8972000</v>
      </c>
      <c r="H19" s="130">
        <f t="shared" ref="H19:H20" si="7">G19/$G$21</f>
        <v>0.2797455725</v>
      </c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ht="17.25" customHeight="1">
      <c r="A20" s="124"/>
      <c r="B20" s="1"/>
      <c r="C20" s="1"/>
      <c r="D20" s="124"/>
      <c r="E20" s="124"/>
      <c r="F20" s="132" t="s">
        <v>181</v>
      </c>
      <c r="G20" s="54">
        <f>SUMIF(H4:H13,"Indirecto",J4:J13)</f>
        <v>23100000</v>
      </c>
      <c r="H20" s="130">
        <f t="shared" si="7"/>
        <v>0.7202544275</v>
      </c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1" ht="17.25" customHeight="1">
      <c r="A21" s="124"/>
      <c r="B21" s="1"/>
      <c r="C21" s="1"/>
      <c r="D21" s="124"/>
      <c r="E21" s="124"/>
      <c r="F21" s="133" t="s">
        <v>12</v>
      </c>
      <c r="G21" s="65">
        <f t="shared" ref="G21:H21" si="8">SUM(G19:G20)</f>
        <v>32072000</v>
      </c>
      <c r="H21" s="134">
        <f t="shared" si="8"/>
        <v>1</v>
      </c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</row>
    <row r="22" ht="17.25" customHeight="1">
      <c r="A22" s="124"/>
      <c r="B22" s="1"/>
      <c r="C22" s="1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</row>
    <row r="23" ht="17.25" customHeight="1">
      <c r="A23" s="124"/>
      <c r="B23" s="1"/>
      <c r="C23" s="1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</row>
    <row r="24" ht="17.25" customHeight="1">
      <c r="A24" s="124"/>
      <c r="B24" s="1"/>
      <c r="C24" s="1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</row>
    <row r="25" ht="17.25" customHeight="1">
      <c r="A25" s="124"/>
      <c r="B25" s="1"/>
      <c r="C25" s="1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</row>
    <row r="26" ht="17.25" customHeight="1">
      <c r="A26" s="124"/>
      <c r="B26" s="1"/>
      <c r="C26" s="1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</row>
    <row r="27" ht="17.25" customHeight="1">
      <c r="A27" s="124"/>
      <c r="B27" s="1"/>
      <c r="C27" s="1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</row>
    <row r="28" ht="17.25" customHeight="1">
      <c r="A28" s="124"/>
      <c r="B28" s="1"/>
      <c r="C28" s="1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</row>
    <row r="29" ht="17.25" customHeight="1">
      <c r="A29" s="124"/>
      <c r="B29" s="1"/>
      <c r="C29" s="1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</row>
    <row r="30" ht="17.25" customHeight="1">
      <c r="A30" s="124"/>
      <c r="B30" s="1"/>
      <c r="C30" s="1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</row>
    <row r="31" ht="17.25" customHeight="1">
      <c r="A31" s="124"/>
      <c r="B31" s="1"/>
      <c r="C31" s="1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</row>
    <row r="32" ht="17.25" customHeight="1">
      <c r="A32" s="124"/>
      <c r="B32" s="1"/>
      <c r="C32" s="1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</row>
    <row r="33" ht="17.25" customHeight="1">
      <c r="A33" s="124"/>
      <c r="B33" s="1"/>
      <c r="C33" s="1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</row>
    <row r="34" ht="17.25" customHeight="1">
      <c r="A34" s="124"/>
      <c r="B34" s="1"/>
      <c r="C34" s="1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</row>
    <row r="35" ht="17.25" customHeight="1">
      <c r="A35" s="124"/>
      <c r="B35" s="1"/>
      <c r="C35" s="1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</row>
    <row r="36" ht="17.25" customHeight="1">
      <c r="A36" s="124"/>
      <c r="B36" s="1"/>
      <c r="C36" s="1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</row>
    <row r="37" ht="17.25" customHeight="1">
      <c r="A37" s="124"/>
      <c r="B37" s="1"/>
      <c r="C37" s="1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</row>
    <row r="38" ht="17.25" customHeight="1">
      <c r="A38" s="124"/>
      <c r="B38" s="1"/>
      <c r="C38" s="1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</row>
    <row r="39" ht="17.25" customHeight="1">
      <c r="A39" s="124"/>
      <c r="B39" s="1"/>
      <c r="C39" s="1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</row>
    <row r="40" ht="17.25" customHeight="1">
      <c r="A40" s="124"/>
      <c r="B40" s="1"/>
      <c r="C40" s="1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</row>
    <row r="41" ht="17.25" customHeight="1">
      <c r="A41" s="124"/>
      <c r="B41" s="1"/>
      <c r="C41" s="1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</row>
    <row r="42" ht="17.25" customHeight="1">
      <c r="A42" s="124"/>
      <c r="B42" s="1"/>
      <c r="C42" s="1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</row>
    <row r="43" ht="17.25" customHeight="1">
      <c r="A43" s="124"/>
      <c r="B43" s="1"/>
      <c r="C43" s="1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4"/>
    </row>
    <row r="44" ht="17.25" customHeight="1">
      <c r="A44" s="124"/>
      <c r="B44" s="1"/>
      <c r="C44" s="1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4"/>
    </row>
    <row r="45" ht="17.25" customHeight="1">
      <c r="A45" s="124"/>
      <c r="B45" s="1"/>
      <c r="C45" s="1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</row>
    <row r="46" ht="17.25" customHeight="1">
      <c r="A46" s="124"/>
      <c r="B46" s="1"/>
      <c r="C46" s="1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</row>
    <row r="47" ht="17.25" customHeight="1">
      <c r="A47" s="124"/>
      <c r="B47" s="1"/>
      <c r="C47" s="1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4"/>
    </row>
    <row r="48" ht="17.25" customHeight="1">
      <c r="A48" s="124"/>
      <c r="B48" s="1"/>
      <c r="C48" s="1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</row>
    <row r="49" ht="17.25" customHeight="1">
      <c r="A49" s="124"/>
      <c r="B49" s="1"/>
      <c r="C49" s="1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</row>
    <row r="50" ht="17.25" customHeight="1">
      <c r="A50" s="124"/>
      <c r="B50" s="1"/>
      <c r="C50" s="1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</row>
    <row r="51" ht="17.25" customHeight="1">
      <c r="A51" s="124"/>
      <c r="B51" s="1"/>
      <c r="C51" s="1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</row>
    <row r="52" ht="17.25" customHeight="1">
      <c r="A52" s="124"/>
      <c r="B52" s="1"/>
      <c r="C52" s="1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</row>
    <row r="53" ht="17.25" customHeight="1">
      <c r="A53" s="124"/>
      <c r="B53" s="1"/>
      <c r="C53" s="1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</row>
    <row r="54" ht="17.25" customHeight="1">
      <c r="A54" s="124"/>
      <c r="B54" s="1"/>
      <c r="C54" s="1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</row>
    <row r="55" ht="17.25" customHeight="1">
      <c r="A55" s="124"/>
      <c r="B55" s="1"/>
      <c r="C55" s="1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4"/>
    </row>
    <row r="56" ht="17.25" customHeight="1">
      <c r="A56" s="124"/>
      <c r="B56" s="1"/>
      <c r="C56" s="1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4"/>
    </row>
    <row r="57" ht="17.25" customHeight="1">
      <c r="A57" s="124"/>
      <c r="B57" s="1"/>
      <c r="C57" s="1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4"/>
    </row>
    <row r="58" ht="17.25" customHeight="1">
      <c r="A58" s="124"/>
      <c r="B58" s="1"/>
      <c r="C58" s="1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4"/>
    </row>
    <row r="59" ht="17.25" customHeight="1">
      <c r="A59" s="124"/>
      <c r="B59" s="1"/>
      <c r="C59" s="1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</row>
    <row r="60" ht="17.25" customHeight="1">
      <c r="A60" s="124"/>
      <c r="B60" s="1"/>
      <c r="C60" s="1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</row>
    <row r="61" ht="17.25" customHeight="1">
      <c r="A61" s="124"/>
      <c r="B61" s="1"/>
      <c r="C61" s="1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</row>
    <row r="62" ht="17.25" customHeight="1">
      <c r="A62" s="124"/>
      <c r="B62" s="1"/>
      <c r="C62" s="1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4"/>
    </row>
    <row r="63" ht="17.25" customHeight="1">
      <c r="A63" s="124"/>
      <c r="B63" s="1"/>
      <c r="C63" s="1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</row>
    <row r="64" ht="17.25" customHeight="1">
      <c r="A64" s="124"/>
      <c r="B64" s="1"/>
      <c r="C64" s="1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</row>
    <row r="65" ht="17.25" customHeight="1">
      <c r="A65" s="124"/>
      <c r="B65" s="1"/>
      <c r="C65" s="1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</row>
    <row r="66" ht="17.25" customHeight="1">
      <c r="A66" s="124"/>
      <c r="B66" s="1"/>
      <c r="C66" s="1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</row>
    <row r="67" ht="17.25" customHeight="1">
      <c r="A67" s="124"/>
      <c r="B67" s="1"/>
      <c r="C67" s="1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</row>
    <row r="68" ht="17.25" customHeight="1">
      <c r="A68" s="124"/>
      <c r="B68" s="1"/>
      <c r="C68" s="1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</row>
    <row r="69" ht="17.25" customHeight="1">
      <c r="A69" s="124"/>
      <c r="B69" s="1"/>
      <c r="C69" s="1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</row>
    <row r="70" ht="17.25" customHeight="1">
      <c r="A70" s="124"/>
      <c r="B70" s="1"/>
      <c r="C70" s="1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</row>
    <row r="71" ht="17.25" customHeight="1">
      <c r="A71" s="124"/>
      <c r="B71" s="1"/>
      <c r="C71" s="1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</row>
    <row r="72" ht="17.25" customHeight="1">
      <c r="A72" s="124"/>
      <c r="B72" s="1"/>
      <c r="C72" s="1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</row>
    <row r="73" ht="17.25" customHeight="1">
      <c r="A73" s="124"/>
      <c r="B73" s="1"/>
      <c r="C73" s="1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</row>
    <row r="74" ht="17.25" customHeight="1">
      <c r="A74" s="124"/>
      <c r="B74" s="1"/>
      <c r="C74" s="1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</row>
    <row r="75" ht="17.25" customHeight="1">
      <c r="A75" s="124"/>
      <c r="B75" s="1"/>
      <c r="C75" s="1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</row>
    <row r="76" ht="17.25" customHeight="1">
      <c r="A76" s="124"/>
      <c r="B76" s="1"/>
      <c r="C76" s="1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</row>
    <row r="77" ht="17.25" customHeight="1">
      <c r="A77" s="124"/>
      <c r="B77" s="1"/>
      <c r="C77" s="1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</row>
    <row r="78" ht="17.25" customHeight="1">
      <c r="A78" s="124"/>
      <c r="B78" s="1"/>
      <c r="C78" s="1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</row>
    <row r="79" ht="17.25" customHeight="1">
      <c r="A79" s="124"/>
      <c r="B79" s="1"/>
      <c r="C79" s="1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</row>
    <row r="80" ht="17.25" customHeight="1">
      <c r="A80" s="124"/>
      <c r="B80" s="1"/>
      <c r="C80" s="1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</row>
    <row r="81" ht="17.25" customHeight="1">
      <c r="A81" s="124"/>
      <c r="B81" s="1"/>
      <c r="C81" s="1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</row>
    <row r="82" ht="17.25" customHeight="1">
      <c r="A82" s="124"/>
      <c r="B82" s="1"/>
      <c r="C82" s="1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</row>
    <row r="83" ht="17.25" customHeight="1">
      <c r="A83" s="124"/>
      <c r="B83" s="1"/>
      <c r="C83" s="1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</row>
    <row r="84" ht="17.25" customHeight="1">
      <c r="A84" s="124"/>
      <c r="B84" s="1"/>
      <c r="C84" s="1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</row>
    <row r="85" ht="17.25" customHeight="1">
      <c r="A85" s="124"/>
      <c r="B85" s="1"/>
      <c r="C85" s="1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</row>
    <row r="86" ht="17.25" customHeight="1">
      <c r="A86" s="124"/>
      <c r="B86" s="1"/>
      <c r="C86" s="1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</row>
    <row r="87" ht="17.25" customHeight="1">
      <c r="A87" s="124"/>
      <c r="B87" s="1"/>
      <c r="C87" s="1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</row>
    <row r="88" ht="17.25" customHeight="1">
      <c r="A88" s="124"/>
      <c r="B88" s="1"/>
      <c r="C88" s="1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</row>
    <row r="89" ht="17.25" customHeight="1">
      <c r="A89" s="124"/>
      <c r="B89" s="1"/>
      <c r="C89" s="1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</row>
    <row r="90" ht="17.25" customHeight="1">
      <c r="A90" s="124"/>
      <c r="B90" s="1"/>
      <c r="C90" s="1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</row>
    <row r="91" ht="17.25" customHeight="1">
      <c r="A91" s="124"/>
      <c r="B91" s="1"/>
      <c r="C91" s="1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</row>
    <row r="92" ht="17.25" customHeight="1">
      <c r="A92" s="124"/>
      <c r="B92" s="1"/>
      <c r="C92" s="1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</row>
    <row r="93" ht="17.25" customHeight="1">
      <c r="A93" s="124"/>
      <c r="B93" s="1"/>
      <c r="C93" s="1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</row>
    <row r="94" ht="17.25" customHeight="1">
      <c r="A94" s="124"/>
      <c r="B94" s="1"/>
      <c r="C94" s="1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</row>
    <row r="95" ht="17.25" customHeight="1">
      <c r="A95" s="124"/>
      <c r="B95" s="1"/>
      <c r="C95" s="1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</row>
    <row r="96" ht="17.25" customHeight="1">
      <c r="A96" s="124"/>
      <c r="B96" s="1"/>
      <c r="C96" s="1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</row>
    <row r="97" ht="17.25" customHeight="1">
      <c r="A97" s="124"/>
      <c r="B97" s="1"/>
      <c r="C97" s="1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</row>
    <row r="98" ht="17.25" customHeight="1">
      <c r="A98" s="124"/>
      <c r="B98" s="1"/>
      <c r="C98" s="1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</row>
    <row r="99" ht="17.25" customHeight="1">
      <c r="A99" s="124"/>
      <c r="B99" s="1"/>
      <c r="C99" s="1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</row>
    <row r="100" ht="17.25" customHeight="1">
      <c r="A100" s="124"/>
      <c r="B100" s="1"/>
      <c r="C100" s="1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</row>
    <row r="101" ht="17.25" customHeight="1">
      <c r="A101" s="124"/>
      <c r="B101" s="1"/>
      <c r="C101" s="1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</row>
    <row r="102" ht="17.25" customHeight="1">
      <c r="A102" s="124"/>
      <c r="B102" s="1"/>
      <c r="C102" s="1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</row>
    <row r="103" ht="17.25" customHeight="1">
      <c r="A103" s="124"/>
      <c r="B103" s="1"/>
      <c r="C103" s="1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</row>
    <row r="104" ht="17.25" customHeight="1">
      <c r="A104" s="124"/>
      <c r="B104" s="1"/>
      <c r="C104" s="1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</row>
    <row r="105" ht="17.25" customHeight="1">
      <c r="A105" s="124"/>
      <c r="B105" s="1"/>
      <c r="C105" s="1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</row>
    <row r="106" ht="17.25" customHeight="1">
      <c r="A106" s="124"/>
      <c r="B106" s="1"/>
      <c r="C106" s="1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</row>
    <row r="107" ht="17.25" customHeight="1">
      <c r="A107" s="124"/>
      <c r="B107" s="1"/>
      <c r="C107" s="1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</row>
    <row r="108" ht="17.25" customHeight="1">
      <c r="A108" s="124"/>
      <c r="B108" s="1"/>
      <c r="C108" s="1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</row>
    <row r="109" ht="17.25" customHeight="1">
      <c r="A109" s="124"/>
      <c r="B109" s="1"/>
      <c r="C109" s="1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</row>
    <row r="110" ht="17.25" customHeight="1">
      <c r="A110" s="124"/>
      <c r="B110" s="1"/>
      <c r="C110" s="1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</row>
    <row r="111" ht="17.25" customHeight="1">
      <c r="A111" s="124"/>
      <c r="B111" s="1"/>
      <c r="C111" s="1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</row>
    <row r="112" ht="17.25" customHeight="1">
      <c r="A112" s="124"/>
      <c r="B112" s="1"/>
      <c r="C112" s="1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</row>
    <row r="113" ht="17.25" customHeight="1">
      <c r="A113" s="124"/>
      <c r="B113" s="1"/>
      <c r="C113" s="1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</row>
    <row r="114" ht="17.25" customHeight="1">
      <c r="A114" s="124"/>
      <c r="B114" s="1"/>
      <c r="C114" s="1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</row>
    <row r="115" ht="17.25" customHeight="1">
      <c r="A115" s="124"/>
      <c r="B115" s="1"/>
      <c r="C115" s="1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</row>
    <row r="116" ht="17.25" customHeight="1">
      <c r="A116" s="124"/>
      <c r="B116" s="1"/>
      <c r="C116" s="1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</row>
    <row r="117" ht="17.25" customHeight="1">
      <c r="A117" s="124"/>
      <c r="B117" s="1"/>
      <c r="C117" s="1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</row>
    <row r="118" ht="17.25" customHeight="1">
      <c r="A118" s="124"/>
      <c r="B118" s="1"/>
      <c r="C118" s="1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</row>
    <row r="119" ht="17.25" customHeight="1">
      <c r="A119" s="124"/>
      <c r="B119" s="1"/>
      <c r="C119" s="1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</row>
    <row r="120" ht="17.25" customHeight="1">
      <c r="A120" s="124"/>
      <c r="B120" s="1"/>
      <c r="C120" s="1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</row>
    <row r="121" ht="17.25" customHeight="1">
      <c r="A121" s="124"/>
      <c r="B121" s="1"/>
      <c r="C121" s="1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</row>
    <row r="122" ht="17.25" customHeight="1">
      <c r="A122" s="124"/>
      <c r="B122" s="1"/>
      <c r="C122" s="1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</row>
    <row r="123" ht="17.25" customHeight="1">
      <c r="A123" s="124"/>
      <c r="B123" s="1"/>
      <c r="C123" s="1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</row>
    <row r="124" ht="17.25" customHeight="1">
      <c r="A124" s="124"/>
      <c r="B124" s="1"/>
      <c r="C124" s="1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</row>
    <row r="125" ht="17.25" customHeight="1">
      <c r="A125" s="124"/>
      <c r="B125" s="1"/>
      <c r="C125" s="1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</row>
    <row r="126" ht="17.25" customHeight="1">
      <c r="A126" s="124"/>
      <c r="B126" s="1"/>
      <c r="C126" s="1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</row>
    <row r="127" ht="17.25" customHeight="1">
      <c r="A127" s="124"/>
      <c r="B127" s="1"/>
      <c r="C127" s="1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</row>
    <row r="128" ht="17.25" customHeight="1">
      <c r="A128" s="124"/>
      <c r="B128" s="1"/>
      <c r="C128" s="1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</row>
    <row r="129" ht="17.25" customHeight="1">
      <c r="A129" s="124"/>
      <c r="B129" s="1"/>
      <c r="C129" s="1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</row>
    <row r="130" ht="17.25" customHeight="1">
      <c r="A130" s="124"/>
      <c r="B130" s="1"/>
      <c r="C130" s="1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</row>
    <row r="131" ht="17.25" customHeight="1">
      <c r="A131" s="124"/>
      <c r="B131" s="1"/>
      <c r="C131" s="1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</row>
    <row r="132" ht="17.25" customHeight="1">
      <c r="A132" s="124"/>
      <c r="B132" s="1"/>
      <c r="C132" s="1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</row>
    <row r="133" ht="17.25" customHeight="1">
      <c r="A133" s="124"/>
      <c r="B133" s="1"/>
      <c r="C133" s="1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</row>
    <row r="134" ht="17.25" customHeight="1">
      <c r="A134" s="124"/>
      <c r="B134" s="1"/>
      <c r="C134" s="1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</row>
    <row r="135" ht="17.25" customHeight="1">
      <c r="A135" s="124"/>
      <c r="B135" s="1"/>
      <c r="C135" s="1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</row>
    <row r="136" ht="17.25" customHeight="1">
      <c r="A136" s="124"/>
      <c r="B136" s="1"/>
      <c r="C136" s="1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</row>
    <row r="137" ht="17.25" customHeight="1">
      <c r="A137" s="124"/>
      <c r="B137" s="1"/>
      <c r="C137" s="1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</row>
    <row r="138" ht="17.25" customHeight="1">
      <c r="A138" s="124"/>
      <c r="B138" s="1"/>
      <c r="C138" s="1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</row>
    <row r="139" ht="17.25" customHeight="1">
      <c r="A139" s="124"/>
      <c r="B139" s="1"/>
      <c r="C139" s="1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</row>
    <row r="140" ht="17.25" customHeight="1">
      <c r="A140" s="124"/>
      <c r="B140" s="1"/>
      <c r="C140" s="1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</row>
    <row r="141" ht="17.25" customHeight="1">
      <c r="A141" s="124"/>
      <c r="B141" s="1"/>
      <c r="C141" s="1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</row>
    <row r="142" ht="17.25" customHeight="1">
      <c r="A142" s="124"/>
      <c r="B142" s="1"/>
      <c r="C142" s="1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</row>
    <row r="143" ht="17.25" customHeight="1">
      <c r="A143" s="124"/>
      <c r="B143" s="1"/>
      <c r="C143" s="1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</row>
    <row r="144" ht="17.25" customHeight="1">
      <c r="A144" s="124"/>
      <c r="B144" s="1"/>
      <c r="C144" s="1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</row>
    <row r="145" ht="17.25" customHeight="1">
      <c r="A145" s="124"/>
      <c r="B145" s="1"/>
      <c r="C145" s="1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</row>
    <row r="146" ht="17.25" customHeight="1">
      <c r="A146" s="124"/>
      <c r="B146" s="1"/>
      <c r="C146" s="1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</row>
    <row r="147" ht="17.25" customHeight="1">
      <c r="A147" s="124"/>
      <c r="B147" s="1"/>
      <c r="C147" s="1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</row>
    <row r="148" ht="17.25" customHeight="1">
      <c r="A148" s="124"/>
      <c r="B148" s="1"/>
      <c r="C148" s="1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</row>
    <row r="149" ht="17.25" customHeight="1">
      <c r="A149" s="124"/>
      <c r="B149" s="1"/>
      <c r="C149" s="1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</row>
    <row r="150" ht="17.25" customHeight="1">
      <c r="A150" s="124"/>
      <c r="B150" s="1"/>
      <c r="C150" s="1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</row>
    <row r="151" ht="17.25" customHeight="1">
      <c r="A151" s="124"/>
      <c r="B151" s="1"/>
      <c r="C151" s="1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</row>
    <row r="152" ht="17.25" customHeight="1">
      <c r="A152" s="124"/>
      <c r="B152" s="1"/>
      <c r="C152" s="1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</row>
    <row r="153" ht="17.25" customHeight="1">
      <c r="A153" s="124"/>
      <c r="B153" s="1"/>
      <c r="C153" s="1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</row>
    <row r="154" ht="17.25" customHeight="1">
      <c r="A154" s="124"/>
      <c r="B154" s="1"/>
      <c r="C154" s="1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</row>
    <row r="155" ht="17.25" customHeight="1">
      <c r="A155" s="124"/>
      <c r="B155" s="1"/>
      <c r="C155" s="1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</row>
    <row r="156" ht="17.25" customHeight="1">
      <c r="A156" s="124"/>
      <c r="B156" s="1"/>
      <c r="C156" s="1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</row>
    <row r="157" ht="17.25" customHeight="1">
      <c r="A157" s="124"/>
      <c r="B157" s="1"/>
      <c r="C157" s="1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</row>
    <row r="158" ht="17.25" customHeight="1">
      <c r="A158" s="124"/>
      <c r="B158" s="1"/>
      <c r="C158" s="1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</row>
    <row r="159" ht="17.25" customHeight="1">
      <c r="A159" s="124"/>
      <c r="B159" s="1"/>
      <c r="C159" s="1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</row>
    <row r="160" ht="17.25" customHeight="1">
      <c r="A160" s="124"/>
      <c r="B160" s="1"/>
      <c r="C160" s="1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</row>
    <row r="161" ht="17.25" customHeight="1">
      <c r="A161" s="124"/>
      <c r="B161" s="1"/>
      <c r="C161" s="1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</row>
    <row r="162" ht="17.25" customHeight="1">
      <c r="A162" s="124"/>
      <c r="B162" s="1"/>
      <c r="C162" s="1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</row>
    <row r="163" ht="17.25" customHeight="1">
      <c r="A163" s="124"/>
      <c r="B163" s="1"/>
      <c r="C163" s="1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</row>
    <row r="164" ht="17.25" customHeight="1">
      <c r="A164" s="124"/>
      <c r="B164" s="1"/>
      <c r="C164" s="1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</row>
    <row r="165" ht="17.25" customHeight="1">
      <c r="A165" s="124"/>
      <c r="B165" s="1"/>
      <c r="C165" s="1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</row>
    <row r="166" ht="17.25" customHeight="1">
      <c r="A166" s="124"/>
      <c r="B166" s="1"/>
      <c r="C166" s="1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</row>
    <row r="167" ht="17.25" customHeight="1">
      <c r="A167" s="124"/>
      <c r="B167" s="1"/>
      <c r="C167" s="1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</row>
    <row r="168" ht="17.25" customHeight="1">
      <c r="A168" s="124"/>
      <c r="B168" s="1"/>
      <c r="C168" s="1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</row>
    <row r="169" ht="17.25" customHeight="1">
      <c r="A169" s="124"/>
      <c r="B169" s="1"/>
      <c r="C169" s="1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</row>
    <row r="170" ht="17.25" customHeight="1">
      <c r="A170" s="124"/>
      <c r="B170" s="1"/>
      <c r="C170" s="1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</row>
    <row r="171" ht="17.25" customHeight="1">
      <c r="A171" s="124"/>
      <c r="B171" s="1"/>
      <c r="C171" s="1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</row>
    <row r="172" ht="17.25" customHeight="1">
      <c r="A172" s="124"/>
      <c r="B172" s="1"/>
      <c r="C172" s="1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</row>
    <row r="173" ht="17.25" customHeight="1">
      <c r="A173" s="124"/>
      <c r="B173" s="1"/>
      <c r="C173" s="1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</row>
    <row r="174" ht="17.25" customHeight="1">
      <c r="A174" s="124"/>
      <c r="B174" s="1"/>
      <c r="C174" s="1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</row>
    <row r="175" ht="17.25" customHeight="1">
      <c r="A175" s="124"/>
      <c r="B175" s="1"/>
      <c r="C175" s="1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</row>
    <row r="176" ht="17.25" customHeight="1">
      <c r="A176" s="124"/>
      <c r="B176" s="1"/>
      <c r="C176" s="1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</row>
    <row r="177" ht="17.25" customHeight="1">
      <c r="A177" s="124"/>
      <c r="B177" s="1"/>
      <c r="C177" s="1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</row>
    <row r="178" ht="17.25" customHeight="1">
      <c r="A178" s="124"/>
      <c r="B178" s="1"/>
      <c r="C178" s="1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</row>
    <row r="179" ht="17.25" customHeight="1">
      <c r="A179" s="124"/>
      <c r="B179" s="1"/>
      <c r="C179" s="1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</row>
    <row r="180" ht="17.25" customHeight="1">
      <c r="A180" s="124"/>
      <c r="B180" s="1"/>
      <c r="C180" s="1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</row>
    <row r="181" ht="17.25" customHeight="1">
      <c r="A181" s="124"/>
      <c r="B181" s="1"/>
      <c r="C181" s="1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</row>
    <row r="182" ht="17.25" customHeight="1">
      <c r="A182" s="124"/>
      <c r="B182" s="1"/>
      <c r="C182" s="1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</row>
    <row r="183" ht="17.25" customHeight="1">
      <c r="A183" s="124"/>
      <c r="B183" s="1"/>
      <c r="C183" s="1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</row>
    <row r="184" ht="17.25" customHeight="1">
      <c r="A184" s="124"/>
      <c r="B184" s="1"/>
      <c r="C184" s="1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</row>
    <row r="185" ht="17.25" customHeight="1">
      <c r="A185" s="124"/>
      <c r="B185" s="1"/>
      <c r="C185" s="1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</row>
    <row r="186" ht="17.25" customHeight="1">
      <c r="A186" s="124"/>
      <c r="B186" s="1"/>
      <c r="C186" s="1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</row>
    <row r="187" ht="17.25" customHeight="1">
      <c r="A187" s="124"/>
      <c r="B187" s="1"/>
      <c r="C187" s="1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</row>
    <row r="188" ht="17.25" customHeight="1">
      <c r="A188" s="124"/>
      <c r="B188" s="1"/>
      <c r="C188" s="1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</row>
    <row r="189" ht="17.25" customHeight="1">
      <c r="A189" s="124"/>
      <c r="B189" s="1"/>
      <c r="C189" s="1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</row>
    <row r="190" ht="17.25" customHeight="1">
      <c r="A190" s="124"/>
      <c r="B190" s="1"/>
      <c r="C190" s="1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</row>
    <row r="191" ht="17.25" customHeight="1">
      <c r="A191" s="124"/>
      <c r="B191" s="1"/>
      <c r="C191" s="1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</row>
    <row r="192" ht="17.25" customHeight="1">
      <c r="A192" s="124"/>
      <c r="B192" s="1"/>
      <c r="C192" s="1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</row>
    <row r="193" ht="17.25" customHeight="1">
      <c r="A193" s="124"/>
      <c r="B193" s="1"/>
      <c r="C193" s="1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</row>
    <row r="194" ht="17.25" customHeight="1">
      <c r="A194" s="124"/>
      <c r="B194" s="1"/>
      <c r="C194" s="1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</row>
    <row r="195" ht="17.25" customHeight="1">
      <c r="A195" s="124"/>
      <c r="B195" s="1"/>
      <c r="C195" s="1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</row>
    <row r="196" ht="17.25" customHeight="1">
      <c r="A196" s="124"/>
      <c r="B196" s="1"/>
      <c r="C196" s="1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</row>
    <row r="197" ht="17.25" customHeight="1">
      <c r="A197" s="124"/>
      <c r="B197" s="1"/>
      <c r="C197" s="1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</row>
    <row r="198" ht="17.25" customHeight="1">
      <c r="A198" s="124"/>
      <c r="B198" s="1"/>
      <c r="C198" s="1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</row>
    <row r="199" ht="17.25" customHeight="1">
      <c r="A199" s="124"/>
      <c r="B199" s="1"/>
      <c r="C199" s="1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</row>
    <row r="200" ht="17.25" customHeight="1">
      <c r="A200" s="124"/>
      <c r="B200" s="1"/>
      <c r="C200" s="1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</row>
    <row r="201" ht="17.25" customHeight="1">
      <c r="A201" s="124"/>
      <c r="B201" s="1"/>
      <c r="C201" s="1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</row>
    <row r="202" ht="17.25" customHeight="1">
      <c r="A202" s="124"/>
      <c r="B202" s="1"/>
      <c r="C202" s="1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</row>
    <row r="203" ht="17.25" customHeight="1">
      <c r="A203" s="124"/>
      <c r="B203" s="1"/>
      <c r="C203" s="1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</row>
    <row r="204" ht="17.25" customHeight="1">
      <c r="A204" s="124"/>
      <c r="B204" s="1"/>
      <c r="C204" s="1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</row>
    <row r="205" ht="17.25" customHeight="1">
      <c r="A205" s="124"/>
      <c r="B205" s="1"/>
      <c r="C205" s="1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</row>
    <row r="206" ht="17.25" customHeight="1">
      <c r="A206" s="124"/>
      <c r="B206" s="1"/>
      <c r="C206" s="1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</row>
    <row r="207" ht="17.25" customHeight="1">
      <c r="A207" s="124"/>
      <c r="B207" s="1"/>
      <c r="C207" s="1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</row>
    <row r="208" ht="17.25" customHeight="1">
      <c r="A208" s="124"/>
      <c r="B208" s="1"/>
      <c r="C208" s="1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</row>
    <row r="209" ht="17.25" customHeight="1">
      <c r="A209" s="124"/>
      <c r="B209" s="1"/>
      <c r="C209" s="1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ht="17.25" customHeight="1">
      <c r="A210" s="124"/>
      <c r="B210" s="1"/>
      <c r="C210" s="1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ht="17.25" customHeight="1">
      <c r="A211" s="124"/>
      <c r="B211" s="1"/>
      <c r="C211" s="1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ht="17.25" customHeight="1">
      <c r="A212" s="124"/>
      <c r="B212" s="1"/>
      <c r="C212" s="1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ht="17.25" customHeight="1">
      <c r="A213" s="124"/>
      <c r="B213" s="1"/>
      <c r="C213" s="1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ht="17.25" customHeight="1">
      <c r="A214" s="124"/>
      <c r="B214" s="1"/>
      <c r="C214" s="1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ht="17.25" customHeight="1">
      <c r="A215" s="124"/>
      <c r="B215" s="1"/>
      <c r="C215" s="1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ht="17.25" customHeight="1">
      <c r="A216" s="124"/>
      <c r="B216" s="1"/>
      <c r="C216" s="1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ht="17.25" customHeight="1">
      <c r="A217" s="124"/>
      <c r="B217" s="1"/>
      <c r="C217" s="1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ht="17.25" customHeight="1">
      <c r="A218" s="124"/>
      <c r="B218" s="1"/>
      <c r="C218" s="1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ht="17.25" customHeight="1">
      <c r="A219" s="124"/>
      <c r="B219" s="1"/>
      <c r="C219" s="1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ht="17.25" customHeight="1">
      <c r="A220" s="124"/>
      <c r="B220" s="1"/>
      <c r="C220" s="1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ht="17.25" customHeight="1">
      <c r="A221" s="124"/>
      <c r="B221" s="1"/>
      <c r="C221" s="1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ht="17.25" customHeight="1">
      <c r="A222" s="124"/>
      <c r="B222" s="1"/>
      <c r="C222" s="1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ht="17.25" customHeight="1">
      <c r="A223" s="124"/>
      <c r="B223" s="1"/>
      <c r="C223" s="1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ht="17.25" customHeight="1">
      <c r="A224" s="124"/>
      <c r="B224" s="1"/>
      <c r="C224" s="1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ht="17.25" customHeight="1">
      <c r="A225" s="124"/>
      <c r="B225" s="1"/>
      <c r="C225" s="1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ht="17.25" customHeight="1">
      <c r="A226" s="124"/>
      <c r="B226" s="1"/>
      <c r="C226" s="1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ht="17.25" customHeight="1">
      <c r="A227" s="124"/>
      <c r="B227" s="1"/>
      <c r="C227" s="1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ht="17.25" customHeight="1">
      <c r="A228" s="124"/>
      <c r="B228" s="1"/>
      <c r="C228" s="1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ht="17.25" customHeight="1">
      <c r="A229" s="124"/>
      <c r="B229" s="1"/>
      <c r="C229" s="1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ht="17.25" customHeight="1">
      <c r="A230" s="124"/>
      <c r="B230" s="1"/>
      <c r="C230" s="1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ht="17.25" customHeight="1">
      <c r="A231" s="124"/>
      <c r="B231" s="1"/>
      <c r="C231" s="1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ht="17.25" customHeight="1">
      <c r="A232" s="124"/>
      <c r="B232" s="1"/>
      <c r="C232" s="1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ht="17.25" customHeight="1">
      <c r="A233" s="124"/>
      <c r="B233" s="1"/>
      <c r="C233" s="1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ht="17.25" customHeight="1">
      <c r="A234" s="124"/>
      <c r="B234" s="1"/>
      <c r="C234" s="1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ht="17.25" customHeight="1">
      <c r="A235" s="124"/>
      <c r="B235" s="1"/>
      <c r="C235" s="1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ht="17.25" customHeight="1">
      <c r="A236" s="124"/>
      <c r="B236" s="1"/>
      <c r="C236" s="1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ht="17.25" customHeight="1">
      <c r="A237" s="124"/>
      <c r="B237" s="1"/>
      <c r="C237" s="1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ht="17.25" customHeight="1">
      <c r="A238" s="124"/>
      <c r="B238" s="1"/>
      <c r="C238" s="1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ht="17.25" customHeight="1">
      <c r="A239" s="124"/>
      <c r="B239" s="1"/>
      <c r="C239" s="1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ht="17.25" customHeight="1">
      <c r="A240" s="124"/>
      <c r="B240" s="1"/>
      <c r="C240" s="1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ht="17.25" customHeight="1">
      <c r="A241" s="124"/>
      <c r="B241" s="1"/>
      <c r="C241" s="1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ht="17.25" customHeight="1">
      <c r="A242" s="124"/>
      <c r="B242" s="1"/>
      <c r="C242" s="1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ht="17.25" customHeight="1">
      <c r="A243" s="124"/>
      <c r="B243" s="1"/>
      <c r="C243" s="1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ht="17.25" customHeight="1">
      <c r="A244" s="124"/>
      <c r="B244" s="1"/>
      <c r="C244" s="1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</row>
    <row r="245" ht="17.25" customHeight="1">
      <c r="A245" s="124"/>
      <c r="B245" s="1"/>
      <c r="C245" s="1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</row>
    <row r="246" ht="17.25" customHeight="1">
      <c r="A246" s="124"/>
      <c r="B246" s="1"/>
      <c r="C246" s="1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</row>
    <row r="247" ht="17.25" customHeight="1">
      <c r="A247" s="124"/>
      <c r="B247" s="1"/>
      <c r="C247" s="1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</row>
    <row r="248" ht="17.25" customHeight="1">
      <c r="A248" s="124"/>
      <c r="B248" s="1"/>
      <c r="C248" s="1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</row>
    <row r="249" ht="17.25" customHeight="1">
      <c r="A249" s="124"/>
      <c r="B249" s="1"/>
      <c r="C249" s="1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4"/>
    </row>
    <row r="250" ht="17.25" customHeight="1">
      <c r="A250" s="124"/>
      <c r="B250" s="1"/>
      <c r="C250" s="1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4"/>
    </row>
    <row r="251" ht="17.25" customHeight="1">
      <c r="A251" s="124"/>
      <c r="B251" s="1"/>
      <c r="C251" s="1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4"/>
    </row>
    <row r="252" ht="17.25" customHeight="1">
      <c r="A252" s="124"/>
      <c r="B252" s="1"/>
      <c r="C252" s="1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4"/>
    </row>
    <row r="253" ht="17.25" customHeight="1">
      <c r="A253" s="124"/>
      <c r="B253" s="1"/>
      <c r="C253" s="1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4"/>
    </row>
    <row r="254" ht="17.25" customHeight="1">
      <c r="A254" s="124"/>
      <c r="B254" s="1"/>
      <c r="C254" s="1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4"/>
    </row>
    <row r="255" ht="17.25" customHeight="1">
      <c r="A255" s="124"/>
      <c r="B255" s="1"/>
      <c r="C255" s="1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4"/>
    </row>
    <row r="256" ht="17.25" customHeight="1">
      <c r="A256" s="124"/>
      <c r="B256" s="1"/>
      <c r="C256" s="1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4"/>
    </row>
    <row r="257" ht="17.25" customHeight="1">
      <c r="A257" s="124"/>
      <c r="B257" s="1"/>
      <c r="C257" s="1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4"/>
    </row>
    <row r="258" ht="17.25" customHeight="1">
      <c r="A258" s="124"/>
      <c r="B258" s="1"/>
      <c r="C258" s="1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4"/>
    </row>
    <row r="259" ht="17.25" customHeight="1">
      <c r="A259" s="124"/>
      <c r="B259" s="1"/>
      <c r="C259" s="1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4"/>
    </row>
    <row r="260" ht="17.25" customHeight="1">
      <c r="A260" s="124"/>
      <c r="B260" s="1"/>
      <c r="C260" s="1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4"/>
    </row>
    <row r="261" ht="17.25" customHeight="1">
      <c r="A261" s="124"/>
      <c r="B261" s="1"/>
      <c r="C261" s="1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4"/>
    </row>
    <row r="262" ht="17.25" customHeight="1">
      <c r="A262" s="124"/>
      <c r="B262" s="1"/>
      <c r="C262" s="1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4"/>
    </row>
    <row r="263" ht="17.25" customHeight="1">
      <c r="A263" s="124"/>
      <c r="B263" s="1"/>
      <c r="C263" s="1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4"/>
    </row>
    <row r="264" ht="17.25" customHeight="1">
      <c r="A264" s="124"/>
      <c r="B264" s="1"/>
      <c r="C264" s="1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4"/>
    </row>
    <row r="265" ht="17.25" customHeight="1">
      <c r="A265" s="124"/>
      <c r="B265" s="1"/>
      <c r="C265" s="1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4"/>
    </row>
    <row r="266" ht="17.25" customHeight="1">
      <c r="A266" s="124"/>
      <c r="B266" s="1"/>
      <c r="C266" s="1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4"/>
    </row>
    <row r="267" ht="17.25" customHeight="1">
      <c r="A267" s="124"/>
      <c r="B267" s="1"/>
      <c r="C267" s="1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4"/>
    </row>
    <row r="268" ht="17.25" customHeight="1">
      <c r="A268" s="124"/>
      <c r="B268" s="1"/>
      <c r="C268" s="1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4"/>
    </row>
    <row r="269" ht="17.25" customHeight="1">
      <c r="A269" s="124"/>
      <c r="B269" s="1"/>
      <c r="C269" s="1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4"/>
    </row>
    <row r="270" ht="17.25" customHeight="1">
      <c r="A270" s="124"/>
      <c r="B270" s="1"/>
      <c r="C270" s="1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4"/>
    </row>
    <row r="271" ht="17.25" customHeight="1">
      <c r="A271" s="124"/>
      <c r="B271" s="1"/>
      <c r="C271" s="1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4"/>
    </row>
    <row r="272" ht="17.25" customHeight="1">
      <c r="A272" s="124"/>
      <c r="B272" s="1"/>
      <c r="C272" s="1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4"/>
    </row>
    <row r="273" ht="17.25" customHeight="1">
      <c r="A273" s="124"/>
      <c r="B273" s="1"/>
      <c r="C273" s="1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4"/>
    </row>
    <row r="274" ht="17.25" customHeight="1">
      <c r="A274" s="124"/>
      <c r="B274" s="1"/>
      <c r="C274" s="1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4"/>
    </row>
    <row r="275" ht="17.25" customHeight="1">
      <c r="A275" s="124"/>
      <c r="B275" s="1"/>
      <c r="C275" s="1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4"/>
    </row>
    <row r="276" ht="17.25" customHeight="1">
      <c r="A276" s="124"/>
      <c r="B276" s="1"/>
      <c r="C276" s="1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4"/>
    </row>
    <row r="277" ht="17.25" customHeight="1">
      <c r="A277" s="124"/>
      <c r="B277" s="1"/>
      <c r="C277" s="1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4"/>
    </row>
    <row r="278" ht="17.25" customHeight="1">
      <c r="A278" s="124"/>
      <c r="B278" s="1"/>
      <c r="C278" s="1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4"/>
    </row>
    <row r="279" ht="17.25" customHeight="1">
      <c r="A279" s="124"/>
      <c r="B279" s="1"/>
      <c r="C279" s="1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4"/>
    </row>
    <row r="280" ht="17.25" customHeight="1">
      <c r="A280" s="124"/>
      <c r="B280" s="1"/>
      <c r="C280" s="1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4"/>
    </row>
    <row r="281" ht="17.25" customHeight="1">
      <c r="A281" s="124"/>
      <c r="B281" s="1"/>
      <c r="C281" s="1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4"/>
    </row>
    <row r="282" ht="17.25" customHeight="1">
      <c r="A282" s="124"/>
      <c r="B282" s="1"/>
      <c r="C282" s="1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4"/>
    </row>
    <row r="283" ht="17.25" customHeight="1">
      <c r="A283" s="124"/>
      <c r="B283" s="1"/>
      <c r="C283" s="1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4"/>
    </row>
    <row r="284" ht="17.25" customHeight="1">
      <c r="A284" s="124"/>
      <c r="B284" s="1"/>
      <c r="C284" s="1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4"/>
    </row>
    <row r="285" ht="17.25" customHeight="1">
      <c r="A285" s="124"/>
      <c r="B285" s="1"/>
      <c r="C285" s="1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4"/>
    </row>
    <row r="286" ht="17.25" customHeight="1">
      <c r="A286" s="124"/>
      <c r="B286" s="1"/>
      <c r="C286" s="1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4"/>
    </row>
    <row r="287" ht="17.25" customHeight="1">
      <c r="A287" s="124"/>
      <c r="B287" s="1"/>
      <c r="C287" s="1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4"/>
    </row>
    <row r="288" ht="17.25" customHeight="1">
      <c r="A288" s="124"/>
      <c r="B288" s="1"/>
      <c r="C288" s="1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4"/>
    </row>
    <row r="289" ht="17.25" customHeight="1">
      <c r="A289" s="124"/>
      <c r="B289" s="1"/>
      <c r="C289" s="1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4"/>
    </row>
    <row r="290" ht="17.25" customHeight="1">
      <c r="A290" s="124"/>
      <c r="B290" s="1"/>
      <c r="C290" s="1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4"/>
    </row>
    <row r="291" ht="17.25" customHeight="1">
      <c r="A291" s="124"/>
      <c r="B291" s="1"/>
      <c r="C291" s="1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4"/>
    </row>
    <row r="292" ht="17.25" customHeight="1">
      <c r="A292" s="124"/>
      <c r="B292" s="1"/>
      <c r="C292" s="1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4"/>
    </row>
    <row r="293" ht="17.25" customHeight="1">
      <c r="A293" s="124"/>
      <c r="B293" s="1"/>
      <c r="C293" s="1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4"/>
    </row>
    <row r="294" ht="17.25" customHeight="1">
      <c r="A294" s="124"/>
      <c r="B294" s="1"/>
      <c r="C294" s="1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4"/>
    </row>
    <row r="295" ht="17.25" customHeight="1">
      <c r="A295" s="124"/>
      <c r="B295" s="1"/>
      <c r="C295" s="1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4"/>
    </row>
    <row r="296" ht="17.25" customHeight="1">
      <c r="A296" s="124"/>
      <c r="B296" s="1"/>
      <c r="C296" s="1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4"/>
    </row>
    <row r="297" ht="17.25" customHeight="1">
      <c r="A297" s="124"/>
      <c r="B297" s="1"/>
      <c r="C297" s="1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4"/>
    </row>
    <row r="298" ht="17.25" customHeight="1">
      <c r="A298" s="124"/>
      <c r="B298" s="1"/>
      <c r="C298" s="1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4"/>
    </row>
    <row r="299" ht="17.25" customHeight="1">
      <c r="A299" s="124"/>
      <c r="B299" s="1"/>
      <c r="C299" s="1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4"/>
    </row>
    <row r="300" ht="17.25" customHeight="1">
      <c r="A300" s="124"/>
      <c r="B300" s="1"/>
      <c r="C300" s="1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4"/>
    </row>
    <row r="301" ht="17.25" customHeight="1">
      <c r="A301" s="124"/>
      <c r="B301" s="1"/>
      <c r="C301" s="1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4"/>
    </row>
    <row r="302" ht="17.25" customHeight="1">
      <c r="A302" s="124"/>
      <c r="B302" s="1"/>
      <c r="C302" s="1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4"/>
    </row>
    <row r="303" ht="17.25" customHeight="1">
      <c r="A303" s="124"/>
      <c r="B303" s="1"/>
      <c r="C303" s="1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4"/>
    </row>
    <row r="304" ht="17.25" customHeight="1">
      <c r="A304" s="124"/>
      <c r="B304" s="1"/>
      <c r="C304" s="1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4"/>
    </row>
    <row r="305" ht="17.25" customHeight="1">
      <c r="A305" s="124"/>
      <c r="B305" s="1"/>
      <c r="C305" s="1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4"/>
    </row>
    <row r="306" ht="17.25" customHeight="1">
      <c r="A306" s="124"/>
      <c r="B306" s="1"/>
      <c r="C306" s="1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4"/>
    </row>
    <row r="307" ht="17.25" customHeight="1">
      <c r="A307" s="124"/>
      <c r="B307" s="1"/>
      <c r="C307" s="1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4"/>
    </row>
    <row r="308" ht="17.25" customHeight="1">
      <c r="A308" s="124"/>
      <c r="B308" s="1"/>
      <c r="C308" s="1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4"/>
    </row>
    <row r="309" ht="17.25" customHeight="1">
      <c r="A309" s="124"/>
      <c r="B309" s="1"/>
      <c r="C309" s="1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4"/>
    </row>
    <row r="310" ht="17.25" customHeight="1">
      <c r="A310" s="124"/>
      <c r="B310" s="1"/>
      <c r="C310" s="1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4"/>
    </row>
    <row r="311" ht="17.25" customHeight="1">
      <c r="A311" s="124"/>
      <c r="B311" s="1"/>
      <c r="C311" s="1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4"/>
    </row>
    <row r="312" ht="17.25" customHeight="1">
      <c r="A312" s="124"/>
      <c r="B312" s="1"/>
      <c r="C312" s="1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4"/>
    </row>
    <row r="313" ht="17.25" customHeight="1">
      <c r="A313" s="124"/>
      <c r="B313" s="1"/>
      <c r="C313" s="1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4"/>
    </row>
    <row r="314" ht="17.25" customHeight="1">
      <c r="A314" s="124"/>
      <c r="B314" s="1"/>
      <c r="C314" s="1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4"/>
    </row>
    <row r="315" ht="17.25" customHeight="1">
      <c r="A315" s="124"/>
      <c r="B315" s="1"/>
      <c r="C315" s="1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4"/>
    </row>
    <row r="316" ht="17.25" customHeight="1">
      <c r="A316" s="124"/>
      <c r="B316" s="1"/>
      <c r="C316" s="1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4"/>
    </row>
    <row r="317" ht="17.25" customHeight="1">
      <c r="A317" s="124"/>
      <c r="B317" s="1"/>
      <c r="C317" s="1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4"/>
    </row>
    <row r="318" ht="17.25" customHeight="1">
      <c r="A318" s="124"/>
      <c r="B318" s="1"/>
      <c r="C318" s="1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4"/>
    </row>
    <row r="319" ht="17.25" customHeight="1">
      <c r="A319" s="124"/>
      <c r="B319" s="1"/>
      <c r="C319" s="1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4"/>
    </row>
    <row r="320" ht="17.25" customHeight="1">
      <c r="A320" s="124"/>
      <c r="B320" s="1"/>
      <c r="C320" s="1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4"/>
    </row>
    <row r="321" ht="17.25" customHeight="1">
      <c r="A321" s="124"/>
      <c r="B321" s="1"/>
      <c r="C321" s="1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4"/>
    </row>
    <row r="322" ht="17.25" customHeight="1">
      <c r="A322" s="124"/>
      <c r="B322" s="1"/>
      <c r="C322" s="1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4"/>
    </row>
    <row r="323" ht="17.25" customHeight="1">
      <c r="A323" s="124"/>
      <c r="B323" s="1"/>
      <c r="C323" s="1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4"/>
    </row>
    <row r="324" ht="17.25" customHeight="1">
      <c r="A324" s="124"/>
      <c r="B324" s="1"/>
      <c r="C324" s="1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4"/>
    </row>
    <row r="325" ht="17.25" customHeight="1">
      <c r="A325" s="124"/>
      <c r="B325" s="1"/>
      <c r="C325" s="1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4"/>
    </row>
    <row r="326" ht="17.25" customHeight="1">
      <c r="A326" s="124"/>
      <c r="B326" s="1"/>
      <c r="C326" s="1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4"/>
    </row>
    <row r="327" ht="17.25" customHeight="1">
      <c r="A327" s="124"/>
      <c r="B327" s="1"/>
      <c r="C327" s="1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4"/>
    </row>
    <row r="328" ht="17.25" customHeight="1">
      <c r="A328" s="124"/>
      <c r="B328" s="1"/>
      <c r="C328" s="1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4"/>
    </row>
    <row r="329" ht="17.25" customHeight="1">
      <c r="A329" s="124"/>
      <c r="B329" s="1"/>
      <c r="C329" s="1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4"/>
    </row>
    <row r="330" ht="17.25" customHeight="1">
      <c r="A330" s="124"/>
      <c r="B330" s="1"/>
      <c r="C330" s="1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4"/>
    </row>
    <row r="331" ht="17.25" customHeight="1">
      <c r="A331" s="124"/>
      <c r="B331" s="1"/>
      <c r="C331" s="1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4"/>
    </row>
    <row r="332" ht="17.25" customHeight="1">
      <c r="A332" s="124"/>
      <c r="B332" s="1"/>
      <c r="C332" s="1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4"/>
    </row>
    <row r="333" ht="17.25" customHeight="1">
      <c r="A333" s="124"/>
      <c r="B333" s="1"/>
      <c r="C333" s="1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4"/>
    </row>
    <row r="334" ht="17.25" customHeight="1">
      <c r="A334" s="124"/>
      <c r="B334" s="1"/>
      <c r="C334" s="1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4"/>
    </row>
    <row r="335" ht="17.25" customHeight="1">
      <c r="A335" s="124"/>
      <c r="B335" s="1"/>
      <c r="C335" s="1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4"/>
    </row>
    <row r="336" ht="17.25" customHeight="1">
      <c r="A336" s="124"/>
      <c r="B336" s="1"/>
      <c r="C336" s="1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4"/>
    </row>
    <row r="337" ht="17.25" customHeight="1">
      <c r="A337" s="124"/>
      <c r="B337" s="1"/>
      <c r="C337" s="1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4"/>
    </row>
    <row r="338" ht="17.25" customHeight="1">
      <c r="A338" s="124"/>
      <c r="B338" s="1"/>
      <c r="C338" s="1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4"/>
    </row>
    <row r="339" ht="17.25" customHeight="1">
      <c r="A339" s="124"/>
      <c r="B339" s="1"/>
      <c r="C339" s="1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4"/>
    </row>
    <row r="340" ht="17.25" customHeight="1">
      <c r="A340" s="124"/>
      <c r="B340" s="1"/>
      <c r="C340" s="1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4"/>
    </row>
    <row r="341" ht="17.25" customHeight="1">
      <c r="A341" s="124"/>
      <c r="B341" s="1"/>
      <c r="C341" s="1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4"/>
    </row>
    <row r="342" ht="17.25" customHeight="1">
      <c r="A342" s="124"/>
      <c r="B342" s="1"/>
      <c r="C342" s="1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4"/>
    </row>
    <row r="343" ht="17.25" customHeight="1">
      <c r="A343" s="124"/>
      <c r="B343" s="1"/>
      <c r="C343" s="1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4"/>
    </row>
    <row r="344" ht="17.25" customHeight="1">
      <c r="A344" s="124"/>
      <c r="B344" s="1"/>
      <c r="C344" s="1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4"/>
    </row>
    <row r="345" ht="17.25" customHeight="1">
      <c r="A345" s="124"/>
      <c r="B345" s="1"/>
      <c r="C345" s="1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4"/>
    </row>
    <row r="346" ht="17.25" customHeight="1">
      <c r="A346" s="124"/>
      <c r="B346" s="1"/>
      <c r="C346" s="1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4"/>
    </row>
    <row r="347" ht="17.25" customHeight="1">
      <c r="A347" s="124"/>
      <c r="B347" s="1"/>
      <c r="C347" s="1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4"/>
    </row>
    <row r="348" ht="17.25" customHeight="1">
      <c r="A348" s="124"/>
      <c r="B348" s="1"/>
      <c r="C348" s="1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4"/>
    </row>
    <row r="349" ht="17.25" customHeight="1">
      <c r="A349" s="124"/>
      <c r="B349" s="1"/>
      <c r="C349" s="1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4"/>
    </row>
    <row r="350" ht="17.25" customHeight="1">
      <c r="A350" s="124"/>
      <c r="B350" s="1"/>
      <c r="C350" s="1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4"/>
    </row>
    <row r="351" ht="17.25" customHeight="1">
      <c r="A351" s="124"/>
      <c r="B351" s="1"/>
      <c r="C351" s="1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4"/>
    </row>
    <row r="352" ht="17.25" customHeight="1">
      <c r="A352" s="124"/>
      <c r="B352" s="1"/>
      <c r="C352" s="1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4"/>
    </row>
    <row r="353" ht="17.25" customHeight="1">
      <c r="A353" s="124"/>
      <c r="B353" s="1"/>
      <c r="C353" s="1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4"/>
    </row>
    <row r="354" ht="17.25" customHeight="1">
      <c r="A354" s="124"/>
      <c r="B354" s="1"/>
      <c r="C354" s="1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4"/>
    </row>
    <row r="355" ht="17.25" customHeight="1">
      <c r="A355" s="124"/>
      <c r="B355" s="1"/>
      <c r="C355" s="1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4"/>
    </row>
    <row r="356" ht="17.25" customHeight="1">
      <c r="A356" s="124"/>
      <c r="B356" s="1"/>
      <c r="C356" s="1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4"/>
    </row>
    <row r="357" ht="17.25" customHeight="1">
      <c r="A357" s="124"/>
      <c r="B357" s="1"/>
      <c r="C357" s="1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4"/>
    </row>
    <row r="358" ht="17.25" customHeight="1">
      <c r="A358" s="124"/>
      <c r="B358" s="1"/>
      <c r="C358" s="1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4"/>
    </row>
    <row r="359" ht="17.25" customHeight="1">
      <c r="A359" s="124"/>
      <c r="B359" s="1"/>
      <c r="C359" s="1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4"/>
    </row>
    <row r="360" ht="17.25" customHeight="1">
      <c r="A360" s="124"/>
      <c r="B360" s="1"/>
      <c r="C360" s="1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4"/>
    </row>
    <row r="361" ht="17.25" customHeight="1">
      <c r="A361" s="124"/>
      <c r="B361" s="1"/>
      <c r="C361" s="1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4"/>
    </row>
    <row r="362" ht="17.25" customHeight="1">
      <c r="A362" s="124"/>
      <c r="B362" s="1"/>
      <c r="C362" s="1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4"/>
    </row>
    <row r="363" ht="17.25" customHeight="1">
      <c r="A363" s="124"/>
      <c r="B363" s="1"/>
      <c r="C363" s="1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4"/>
    </row>
    <row r="364" ht="17.25" customHeight="1">
      <c r="A364" s="124"/>
      <c r="B364" s="1"/>
      <c r="C364" s="1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4"/>
    </row>
    <row r="365" ht="17.25" customHeight="1">
      <c r="A365" s="124"/>
      <c r="B365" s="1"/>
      <c r="C365" s="1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4"/>
    </row>
    <row r="366" ht="17.25" customHeight="1">
      <c r="A366" s="124"/>
      <c r="B366" s="1"/>
      <c r="C366" s="1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4"/>
    </row>
    <row r="367" ht="17.25" customHeight="1">
      <c r="A367" s="124"/>
      <c r="B367" s="1"/>
      <c r="C367" s="1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4"/>
    </row>
    <row r="368" ht="17.25" customHeight="1">
      <c r="A368" s="124"/>
      <c r="B368" s="1"/>
      <c r="C368" s="1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4"/>
    </row>
    <row r="369" ht="17.25" customHeight="1">
      <c r="A369" s="124"/>
      <c r="B369" s="1"/>
      <c r="C369" s="1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4"/>
    </row>
    <row r="370" ht="17.25" customHeight="1">
      <c r="A370" s="124"/>
      <c r="B370" s="1"/>
      <c r="C370" s="1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4"/>
    </row>
    <row r="371" ht="17.25" customHeight="1">
      <c r="A371" s="124"/>
      <c r="B371" s="1"/>
      <c r="C371" s="1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4"/>
    </row>
    <row r="372" ht="17.25" customHeight="1">
      <c r="A372" s="124"/>
      <c r="B372" s="1"/>
      <c r="C372" s="1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4"/>
    </row>
    <row r="373" ht="17.25" customHeight="1">
      <c r="A373" s="124"/>
      <c r="B373" s="1"/>
      <c r="C373" s="1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4"/>
    </row>
    <row r="374" ht="17.25" customHeight="1">
      <c r="A374" s="124"/>
      <c r="B374" s="1"/>
      <c r="C374" s="1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4"/>
    </row>
    <row r="375" ht="17.25" customHeight="1">
      <c r="A375" s="124"/>
      <c r="B375" s="1"/>
      <c r="C375" s="1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4"/>
    </row>
    <row r="376" ht="17.25" customHeight="1">
      <c r="A376" s="124"/>
      <c r="B376" s="1"/>
      <c r="C376" s="1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4"/>
    </row>
    <row r="377" ht="17.25" customHeight="1">
      <c r="A377" s="124"/>
      <c r="B377" s="1"/>
      <c r="C377" s="1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4"/>
    </row>
    <row r="378" ht="17.25" customHeight="1">
      <c r="A378" s="124"/>
      <c r="B378" s="1"/>
      <c r="C378" s="1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4"/>
    </row>
    <row r="379" ht="17.25" customHeight="1">
      <c r="A379" s="124"/>
      <c r="B379" s="1"/>
      <c r="C379" s="1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4"/>
    </row>
    <row r="380" ht="17.25" customHeight="1">
      <c r="A380" s="124"/>
      <c r="B380" s="1"/>
      <c r="C380" s="1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4"/>
    </row>
    <row r="381" ht="17.25" customHeight="1">
      <c r="A381" s="124"/>
      <c r="B381" s="1"/>
      <c r="C381" s="1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4"/>
    </row>
    <row r="382" ht="17.25" customHeight="1">
      <c r="A382" s="124"/>
      <c r="B382" s="1"/>
      <c r="C382" s="1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4"/>
    </row>
    <row r="383" ht="17.25" customHeight="1">
      <c r="A383" s="124"/>
      <c r="B383" s="1"/>
      <c r="C383" s="1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4"/>
    </row>
    <row r="384" ht="17.25" customHeight="1">
      <c r="A384" s="124"/>
      <c r="B384" s="1"/>
      <c r="C384" s="1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4"/>
    </row>
    <row r="385" ht="17.25" customHeight="1">
      <c r="A385" s="124"/>
      <c r="B385" s="1"/>
      <c r="C385" s="1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</row>
    <row r="386" ht="17.25" customHeight="1">
      <c r="A386" s="124"/>
      <c r="B386" s="1"/>
      <c r="C386" s="1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</row>
    <row r="387" ht="17.25" customHeight="1">
      <c r="A387" s="124"/>
      <c r="B387" s="1"/>
      <c r="C387" s="1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4"/>
    </row>
    <row r="388" ht="17.25" customHeight="1">
      <c r="A388" s="124"/>
      <c r="B388" s="1"/>
      <c r="C388" s="1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4"/>
    </row>
    <row r="389" ht="17.25" customHeight="1">
      <c r="A389" s="124"/>
      <c r="B389" s="1"/>
      <c r="C389" s="1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4"/>
    </row>
    <row r="390" ht="17.25" customHeight="1">
      <c r="A390" s="124"/>
      <c r="B390" s="1"/>
      <c r="C390" s="1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4"/>
    </row>
    <row r="391" ht="17.25" customHeight="1">
      <c r="A391" s="124"/>
      <c r="B391" s="1"/>
      <c r="C391" s="1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4"/>
    </row>
    <row r="392" ht="17.25" customHeight="1">
      <c r="A392" s="124"/>
      <c r="B392" s="1"/>
      <c r="C392" s="1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4"/>
    </row>
    <row r="393" ht="17.25" customHeight="1">
      <c r="A393" s="124"/>
      <c r="B393" s="1"/>
      <c r="C393" s="1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4"/>
    </row>
    <row r="394" ht="17.25" customHeight="1">
      <c r="A394" s="124"/>
      <c r="B394" s="1"/>
      <c r="C394" s="1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4"/>
    </row>
    <row r="395" ht="17.25" customHeight="1">
      <c r="A395" s="124"/>
      <c r="B395" s="1"/>
      <c r="C395" s="1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4"/>
    </row>
    <row r="396" ht="17.25" customHeight="1">
      <c r="A396" s="124"/>
      <c r="B396" s="1"/>
      <c r="C396" s="1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4"/>
    </row>
    <row r="397" ht="17.25" customHeight="1">
      <c r="A397" s="124"/>
      <c r="B397" s="1"/>
      <c r="C397" s="1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4"/>
    </row>
    <row r="398" ht="17.25" customHeight="1">
      <c r="A398" s="124"/>
      <c r="B398" s="1"/>
      <c r="C398" s="1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4"/>
    </row>
    <row r="399" ht="17.25" customHeight="1">
      <c r="A399" s="124"/>
      <c r="B399" s="1"/>
      <c r="C399" s="1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4"/>
    </row>
    <row r="400" ht="17.25" customHeight="1">
      <c r="A400" s="124"/>
      <c r="B400" s="1"/>
      <c r="C400" s="1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4"/>
    </row>
    <row r="401" ht="17.25" customHeight="1">
      <c r="A401" s="124"/>
      <c r="B401" s="1"/>
      <c r="C401" s="1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4"/>
    </row>
    <row r="402" ht="17.25" customHeight="1">
      <c r="A402" s="124"/>
      <c r="B402" s="1"/>
      <c r="C402" s="1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4"/>
    </row>
    <row r="403" ht="17.25" customHeight="1">
      <c r="A403" s="124"/>
      <c r="B403" s="1"/>
      <c r="C403" s="1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4"/>
    </row>
    <row r="404" ht="17.25" customHeight="1">
      <c r="A404" s="124"/>
      <c r="B404" s="1"/>
      <c r="C404" s="1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4"/>
    </row>
    <row r="405" ht="17.25" customHeight="1">
      <c r="A405" s="124"/>
      <c r="B405" s="1"/>
      <c r="C405" s="1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4"/>
    </row>
    <row r="406" ht="17.25" customHeight="1">
      <c r="A406" s="124"/>
      <c r="B406" s="1"/>
      <c r="C406" s="1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4"/>
    </row>
    <row r="407" ht="17.25" customHeight="1">
      <c r="A407" s="124"/>
      <c r="B407" s="1"/>
      <c r="C407" s="1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4"/>
    </row>
    <row r="408" ht="17.25" customHeight="1">
      <c r="A408" s="124"/>
      <c r="B408" s="1"/>
      <c r="C408" s="1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4"/>
    </row>
    <row r="409" ht="17.25" customHeight="1">
      <c r="A409" s="124"/>
      <c r="B409" s="1"/>
      <c r="C409" s="1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4"/>
    </row>
    <row r="410" ht="17.25" customHeight="1">
      <c r="A410" s="124"/>
      <c r="B410" s="1"/>
      <c r="C410" s="1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4"/>
    </row>
    <row r="411" ht="17.25" customHeight="1">
      <c r="A411" s="124"/>
      <c r="B411" s="1"/>
      <c r="C411" s="1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4"/>
    </row>
    <row r="412" ht="17.25" customHeight="1">
      <c r="A412" s="124"/>
      <c r="B412" s="1"/>
      <c r="C412" s="1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4"/>
    </row>
    <row r="413" ht="17.25" customHeight="1">
      <c r="A413" s="124"/>
      <c r="B413" s="1"/>
      <c r="C413" s="1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4"/>
    </row>
    <row r="414" ht="17.25" customHeight="1">
      <c r="A414" s="124"/>
      <c r="B414" s="1"/>
      <c r="C414" s="1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4"/>
    </row>
    <row r="415" ht="17.25" customHeight="1">
      <c r="A415" s="124"/>
      <c r="B415" s="1"/>
      <c r="C415" s="1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4"/>
    </row>
    <row r="416" ht="17.25" customHeight="1">
      <c r="A416" s="124"/>
      <c r="B416" s="1"/>
      <c r="C416" s="1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4"/>
    </row>
    <row r="417" ht="17.25" customHeight="1">
      <c r="A417" s="124"/>
      <c r="B417" s="1"/>
      <c r="C417" s="1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4"/>
    </row>
    <row r="418" ht="17.25" customHeight="1">
      <c r="A418" s="124"/>
      <c r="B418" s="1"/>
      <c r="C418" s="1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4"/>
    </row>
    <row r="419" ht="17.25" customHeight="1">
      <c r="A419" s="124"/>
      <c r="B419" s="1"/>
      <c r="C419" s="1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4"/>
    </row>
    <row r="420" ht="17.25" customHeight="1">
      <c r="A420" s="124"/>
      <c r="B420" s="1"/>
      <c r="C420" s="1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4"/>
    </row>
    <row r="421" ht="17.25" customHeight="1">
      <c r="A421" s="124"/>
      <c r="B421" s="1"/>
      <c r="C421" s="1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4"/>
    </row>
    <row r="422" ht="17.25" customHeight="1">
      <c r="A422" s="124"/>
      <c r="B422" s="1"/>
      <c r="C422" s="1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4"/>
    </row>
    <row r="423" ht="17.25" customHeight="1">
      <c r="A423" s="124"/>
      <c r="B423" s="1"/>
      <c r="C423" s="1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4"/>
    </row>
    <row r="424" ht="17.25" customHeight="1">
      <c r="A424" s="124"/>
      <c r="B424" s="1"/>
      <c r="C424" s="1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4"/>
    </row>
    <row r="425" ht="17.25" customHeight="1">
      <c r="A425" s="124"/>
      <c r="B425" s="1"/>
      <c r="C425" s="1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4"/>
    </row>
    <row r="426" ht="17.25" customHeight="1">
      <c r="A426" s="124"/>
      <c r="B426" s="1"/>
      <c r="C426" s="1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4"/>
    </row>
    <row r="427" ht="17.25" customHeight="1">
      <c r="A427" s="124"/>
      <c r="B427" s="1"/>
      <c r="C427" s="1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4"/>
    </row>
    <row r="428" ht="17.25" customHeight="1">
      <c r="A428" s="124"/>
      <c r="B428" s="1"/>
      <c r="C428" s="1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4"/>
    </row>
    <row r="429" ht="17.25" customHeight="1">
      <c r="A429" s="124"/>
      <c r="B429" s="1"/>
      <c r="C429" s="1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4"/>
    </row>
    <row r="430" ht="17.25" customHeight="1">
      <c r="A430" s="124"/>
      <c r="B430" s="1"/>
      <c r="C430" s="1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4"/>
    </row>
    <row r="431" ht="17.25" customHeight="1">
      <c r="A431" s="124"/>
      <c r="B431" s="1"/>
      <c r="C431" s="1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4"/>
    </row>
    <row r="432" ht="17.25" customHeight="1">
      <c r="A432" s="124"/>
      <c r="B432" s="1"/>
      <c r="C432" s="1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4"/>
    </row>
    <row r="433" ht="17.25" customHeight="1">
      <c r="A433" s="124"/>
      <c r="B433" s="1"/>
      <c r="C433" s="1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4"/>
    </row>
    <row r="434" ht="17.25" customHeight="1">
      <c r="A434" s="124"/>
      <c r="B434" s="1"/>
      <c r="C434" s="1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4"/>
    </row>
    <row r="435" ht="17.25" customHeight="1">
      <c r="A435" s="124"/>
      <c r="B435" s="1"/>
      <c r="C435" s="1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4"/>
    </row>
    <row r="436" ht="17.25" customHeight="1">
      <c r="A436" s="124"/>
      <c r="B436" s="1"/>
      <c r="C436" s="1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4"/>
    </row>
    <row r="437" ht="17.25" customHeight="1">
      <c r="A437" s="124"/>
      <c r="B437" s="1"/>
      <c r="C437" s="1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4"/>
    </row>
    <row r="438" ht="17.25" customHeight="1">
      <c r="A438" s="124"/>
      <c r="B438" s="1"/>
      <c r="C438" s="1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</row>
    <row r="439" ht="17.25" customHeight="1">
      <c r="A439" s="124"/>
      <c r="B439" s="1"/>
      <c r="C439" s="1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4"/>
    </row>
    <row r="440" ht="17.25" customHeight="1">
      <c r="A440" s="124"/>
      <c r="B440" s="1"/>
      <c r="C440" s="1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4"/>
    </row>
    <row r="441" ht="17.25" customHeight="1">
      <c r="A441" s="124"/>
      <c r="B441" s="1"/>
      <c r="C441" s="1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4"/>
    </row>
    <row r="442" ht="17.25" customHeight="1">
      <c r="A442" s="124"/>
      <c r="B442" s="1"/>
      <c r="C442" s="1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4"/>
    </row>
    <row r="443" ht="17.25" customHeight="1">
      <c r="A443" s="124"/>
      <c r="B443" s="1"/>
      <c r="C443" s="1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4"/>
    </row>
    <row r="444" ht="17.25" customHeight="1">
      <c r="A444" s="124"/>
      <c r="B444" s="1"/>
      <c r="C444" s="1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4"/>
    </row>
    <row r="445" ht="17.25" customHeight="1">
      <c r="A445" s="124"/>
      <c r="B445" s="1"/>
      <c r="C445" s="1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4"/>
    </row>
    <row r="446" ht="17.25" customHeight="1">
      <c r="A446" s="124"/>
      <c r="B446" s="1"/>
      <c r="C446" s="1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4"/>
    </row>
    <row r="447" ht="17.25" customHeight="1">
      <c r="A447" s="124"/>
      <c r="B447" s="1"/>
      <c r="C447" s="1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4"/>
    </row>
    <row r="448" ht="17.25" customHeight="1">
      <c r="A448" s="124"/>
      <c r="B448" s="1"/>
      <c r="C448" s="1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4"/>
    </row>
    <row r="449" ht="17.25" customHeight="1">
      <c r="A449" s="124"/>
      <c r="B449" s="1"/>
      <c r="C449" s="1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4"/>
    </row>
    <row r="450" ht="17.25" customHeight="1">
      <c r="A450" s="124"/>
      <c r="B450" s="1"/>
      <c r="C450" s="1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4"/>
    </row>
    <row r="451" ht="17.25" customHeight="1">
      <c r="A451" s="124"/>
      <c r="B451" s="1"/>
      <c r="C451" s="1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4"/>
    </row>
    <row r="452" ht="17.25" customHeight="1">
      <c r="A452" s="124"/>
      <c r="B452" s="1"/>
      <c r="C452" s="1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4"/>
    </row>
    <row r="453" ht="17.25" customHeight="1">
      <c r="A453" s="124"/>
      <c r="B453" s="1"/>
      <c r="C453" s="1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4"/>
    </row>
    <row r="454" ht="17.25" customHeight="1">
      <c r="A454" s="124"/>
      <c r="B454" s="1"/>
      <c r="C454" s="1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4"/>
    </row>
    <row r="455" ht="17.25" customHeight="1">
      <c r="A455" s="124"/>
      <c r="B455" s="1"/>
      <c r="C455" s="1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4"/>
    </row>
    <row r="456" ht="17.25" customHeight="1">
      <c r="A456" s="124"/>
      <c r="B456" s="1"/>
      <c r="C456" s="1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4"/>
    </row>
    <row r="457" ht="17.25" customHeight="1">
      <c r="A457" s="124"/>
      <c r="B457" s="1"/>
      <c r="C457" s="1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4"/>
    </row>
    <row r="458" ht="17.25" customHeight="1">
      <c r="A458" s="124"/>
      <c r="B458" s="1"/>
      <c r="C458" s="1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4"/>
    </row>
    <row r="459" ht="17.25" customHeight="1">
      <c r="A459" s="124"/>
      <c r="B459" s="1"/>
      <c r="C459" s="1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4"/>
    </row>
    <row r="460" ht="17.25" customHeight="1">
      <c r="A460" s="124"/>
      <c r="B460" s="1"/>
      <c r="C460" s="1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</row>
    <row r="461" ht="17.25" customHeight="1">
      <c r="A461" s="124"/>
      <c r="B461" s="1"/>
      <c r="C461" s="1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4"/>
    </row>
    <row r="462" ht="17.25" customHeight="1">
      <c r="A462" s="124"/>
      <c r="B462" s="1"/>
      <c r="C462" s="1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4"/>
    </row>
    <row r="463" ht="17.25" customHeight="1">
      <c r="A463" s="124"/>
      <c r="B463" s="1"/>
      <c r="C463" s="1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4"/>
    </row>
    <row r="464" ht="17.25" customHeight="1">
      <c r="A464" s="124"/>
      <c r="B464" s="1"/>
      <c r="C464" s="1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4"/>
    </row>
    <row r="465" ht="17.25" customHeight="1">
      <c r="A465" s="124"/>
      <c r="B465" s="1"/>
      <c r="C465" s="1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4"/>
    </row>
    <row r="466" ht="17.25" customHeight="1">
      <c r="A466" s="124"/>
      <c r="B466" s="1"/>
      <c r="C466" s="1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4"/>
    </row>
    <row r="467" ht="17.25" customHeight="1">
      <c r="A467" s="124"/>
      <c r="B467" s="1"/>
      <c r="C467" s="1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4"/>
    </row>
    <row r="468" ht="17.25" customHeight="1">
      <c r="A468" s="124"/>
      <c r="B468" s="1"/>
      <c r="C468" s="1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4"/>
    </row>
    <row r="469" ht="17.25" customHeight="1">
      <c r="A469" s="124"/>
      <c r="B469" s="1"/>
      <c r="C469" s="1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4"/>
    </row>
    <row r="470" ht="17.25" customHeight="1">
      <c r="A470" s="124"/>
      <c r="B470" s="1"/>
      <c r="C470" s="1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4"/>
    </row>
    <row r="471" ht="17.25" customHeight="1">
      <c r="A471" s="124"/>
      <c r="B471" s="1"/>
      <c r="C471" s="1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4"/>
    </row>
    <row r="472" ht="17.25" customHeight="1">
      <c r="A472" s="124"/>
      <c r="B472" s="1"/>
      <c r="C472" s="1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4"/>
    </row>
    <row r="473" ht="17.25" customHeight="1">
      <c r="A473" s="124"/>
      <c r="B473" s="1"/>
      <c r="C473" s="1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4"/>
    </row>
    <row r="474" ht="17.25" customHeight="1">
      <c r="A474" s="124"/>
      <c r="B474" s="1"/>
      <c r="C474" s="1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4"/>
    </row>
    <row r="475" ht="17.25" customHeight="1">
      <c r="A475" s="124"/>
      <c r="B475" s="1"/>
      <c r="C475" s="1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4"/>
    </row>
    <row r="476" ht="17.25" customHeight="1">
      <c r="A476" s="124"/>
      <c r="B476" s="1"/>
      <c r="C476" s="1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4"/>
    </row>
    <row r="477" ht="17.25" customHeight="1">
      <c r="A477" s="124"/>
      <c r="B477" s="1"/>
      <c r="C477" s="1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4"/>
    </row>
    <row r="478" ht="17.25" customHeight="1">
      <c r="A478" s="124"/>
      <c r="B478" s="1"/>
      <c r="C478" s="1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4"/>
    </row>
    <row r="479" ht="17.25" customHeight="1">
      <c r="A479" s="124"/>
      <c r="B479" s="1"/>
      <c r="C479" s="1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4"/>
    </row>
    <row r="480" ht="17.25" customHeight="1">
      <c r="A480" s="124"/>
      <c r="B480" s="1"/>
      <c r="C480" s="1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4"/>
    </row>
    <row r="481" ht="17.25" customHeight="1">
      <c r="A481" s="124"/>
      <c r="B481" s="1"/>
      <c r="C481" s="1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4"/>
    </row>
    <row r="482" ht="17.25" customHeight="1">
      <c r="A482" s="124"/>
      <c r="B482" s="1"/>
      <c r="C482" s="1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4"/>
    </row>
    <row r="483" ht="17.25" customHeight="1">
      <c r="A483" s="124"/>
      <c r="B483" s="1"/>
      <c r="C483" s="1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4"/>
    </row>
    <row r="484" ht="17.25" customHeight="1">
      <c r="A484" s="124"/>
      <c r="B484" s="1"/>
      <c r="C484" s="1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4"/>
    </row>
    <row r="485" ht="17.25" customHeight="1">
      <c r="A485" s="124"/>
      <c r="B485" s="1"/>
      <c r="C485" s="1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4"/>
    </row>
    <row r="486" ht="17.25" customHeight="1">
      <c r="A486" s="124"/>
      <c r="B486" s="1"/>
      <c r="C486" s="1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4"/>
    </row>
    <row r="487" ht="17.25" customHeight="1">
      <c r="A487" s="124"/>
      <c r="B487" s="1"/>
      <c r="C487" s="1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4"/>
    </row>
    <row r="488" ht="17.25" customHeight="1">
      <c r="A488" s="124"/>
      <c r="B488" s="1"/>
      <c r="C488" s="1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4"/>
    </row>
    <row r="489" ht="17.25" customHeight="1">
      <c r="A489" s="124"/>
      <c r="B489" s="1"/>
      <c r="C489" s="1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4"/>
    </row>
    <row r="490" ht="17.25" customHeight="1">
      <c r="A490" s="124"/>
      <c r="B490" s="1"/>
      <c r="C490" s="1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4"/>
    </row>
    <row r="491" ht="17.25" customHeight="1">
      <c r="A491" s="124"/>
      <c r="B491" s="1"/>
      <c r="C491" s="1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4"/>
    </row>
    <row r="492" ht="17.25" customHeight="1">
      <c r="A492" s="124"/>
      <c r="B492" s="1"/>
      <c r="C492" s="1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4"/>
    </row>
    <row r="493" ht="17.25" customHeight="1">
      <c r="A493" s="124"/>
      <c r="B493" s="1"/>
      <c r="C493" s="1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4"/>
    </row>
    <row r="494" ht="17.25" customHeight="1">
      <c r="A494" s="124"/>
      <c r="B494" s="1"/>
      <c r="C494" s="1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4"/>
    </row>
    <row r="495" ht="17.25" customHeight="1">
      <c r="A495" s="124"/>
      <c r="B495" s="1"/>
      <c r="C495" s="1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4"/>
    </row>
    <row r="496" ht="17.25" customHeight="1">
      <c r="A496" s="124"/>
      <c r="B496" s="1"/>
      <c r="C496" s="1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4"/>
    </row>
    <row r="497" ht="17.25" customHeight="1">
      <c r="A497" s="124"/>
      <c r="B497" s="1"/>
      <c r="C497" s="1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4"/>
    </row>
    <row r="498" ht="17.25" customHeight="1">
      <c r="A498" s="124"/>
      <c r="B498" s="1"/>
      <c r="C498" s="1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4"/>
    </row>
    <row r="499" ht="17.25" customHeight="1">
      <c r="A499" s="124"/>
      <c r="B499" s="1"/>
      <c r="C499" s="1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4"/>
    </row>
    <row r="500" ht="17.25" customHeight="1">
      <c r="A500" s="124"/>
      <c r="B500" s="1"/>
      <c r="C500" s="1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4"/>
    </row>
    <row r="501" ht="17.25" customHeight="1">
      <c r="A501" s="124"/>
      <c r="B501" s="1"/>
      <c r="C501" s="1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4"/>
    </row>
    <row r="502" ht="17.25" customHeight="1">
      <c r="A502" s="124"/>
      <c r="B502" s="1"/>
      <c r="C502" s="1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4"/>
    </row>
    <row r="503" ht="17.25" customHeight="1">
      <c r="A503" s="124"/>
      <c r="B503" s="1"/>
      <c r="C503" s="1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4"/>
    </row>
    <row r="504" ht="17.25" customHeight="1">
      <c r="A504" s="124"/>
      <c r="B504" s="1"/>
      <c r="C504" s="1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4"/>
    </row>
    <row r="505" ht="17.25" customHeight="1">
      <c r="A505" s="124"/>
      <c r="B505" s="1"/>
      <c r="C505" s="1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4"/>
    </row>
    <row r="506" ht="17.25" customHeight="1">
      <c r="A506" s="124"/>
      <c r="B506" s="1"/>
      <c r="C506" s="1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</row>
    <row r="507" ht="17.25" customHeight="1">
      <c r="A507" s="124"/>
      <c r="B507" s="1"/>
      <c r="C507" s="1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4"/>
    </row>
    <row r="508" ht="17.25" customHeight="1">
      <c r="A508" s="124"/>
      <c r="B508" s="1"/>
      <c r="C508" s="1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4"/>
    </row>
    <row r="509" ht="17.25" customHeight="1">
      <c r="A509" s="124"/>
      <c r="B509" s="1"/>
      <c r="C509" s="1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4"/>
    </row>
    <row r="510" ht="17.25" customHeight="1">
      <c r="A510" s="124"/>
      <c r="B510" s="1"/>
      <c r="C510" s="1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4"/>
    </row>
    <row r="511" ht="17.25" customHeight="1">
      <c r="A511" s="124"/>
      <c r="B511" s="1"/>
      <c r="C511" s="1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4"/>
    </row>
    <row r="512" ht="17.25" customHeight="1">
      <c r="A512" s="124"/>
      <c r="B512" s="1"/>
      <c r="C512" s="1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4"/>
    </row>
    <row r="513" ht="17.25" customHeight="1">
      <c r="A513" s="124"/>
      <c r="B513" s="1"/>
      <c r="C513" s="1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4"/>
    </row>
    <row r="514" ht="17.25" customHeight="1">
      <c r="A514" s="124"/>
      <c r="B514" s="1"/>
      <c r="C514" s="1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4"/>
    </row>
    <row r="515" ht="17.25" customHeight="1">
      <c r="A515" s="124"/>
      <c r="B515" s="1"/>
      <c r="C515" s="1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4"/>
    </row>
    <row r="516" ht="17.25" customHeight="1">
      <c r="A516" s="124"/>
      <c r="B516" s="1"/>
      <c r="C516" s="1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4"/>
    </row>
    <row r="517" ht="17.25" customHeight="1">
      <c r="A517" s="124"/>
      <c r="B517" s="1"/>
      <c r="C517" s="1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4"/>
    </row>
    <row r="518" ht="17.25" customHeight="1">
      <c r="A518" s="124"/>
      <c r="B518" s="1"/>
      <c r="C518" s="1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4"/>
    </row>
    <row r="519" ht="17.25" customHeight="1">
      <c r="A519" s="124"/>
      <c r="B519" s="1"/>
      <c r="C519" s="1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4"/>
    </row>
    <row r="520" ht="17.25" customHeight="1">
      <c r="A520" s="124"/>
      <c r="B520" s="1"/>
      <c r="C520" s="1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4"/>
    </row>
    <row r="521" ht="17.25" customHeight="1">
      <c r="A521" s="124"/>
      <c r="B521" s="1"/>
      <c r="C521" s="1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4"/>
    </row>
    <row r="522" ht="17.25" customHeight="1">
      <c r="A522" s="124"/>
      <c r="B522" s="1"/>
      <c r="C522" s="1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4"/>
    </row>
    <row r="523" ht="17.25" customHeight="1">
      <c r="A523" s="124"/>
      <c r="B523" s="1"/>
      <c r="C523" s="1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4"/>
    </row>
    <row r="524" ht="17.25" customHeight="1">
      <c r="A524" s="124"/>
      <c r="B524" s="1"/>
      <c r="C524" s="1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4"/>
    </row>
    <row r="525" ht="17.25" customHeight="1">
      <c r="A525" s="124"/>
      <c r="B525" s="1"/>
      <c r="C525" s="1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4"/>
    </row>
    <row r="526" ht="17.25" customHeight="1">
      <c r="A526" s="124"/>
      <c r="B526" s="1"/>
      <c r="C526" s="1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4"/>
    </row>
    <row r="527" ht="17.25" customHeight="1">
      <c r="A527" s="124"/>
      <c r="B527" s="1"/>
      <c r="C527" s="1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4"/>
    </row>
    <row r="528" ht="17.25" customHeight="1">
      <c r="A528" s="124"/>
      <c r="B528" s="1"/>
      <c r="C528" s="1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4"/>
    </row>
    <row r="529" ht="17.25" customHeight="1">
      <c r="A529" s="124"/>
      <c r="B529" s="1"/>
      <c r="C529" s="1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4"/>
    </row>
    <row r="530" ht="17.25" customHeight="1">
      <c r="A530" s="124"/>
      <c r="B530" s="1"/>
      <c r="C530" s="1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4"/>
    </row>
    <row r="531" ht="17.25" customHeight="1">
      <c r="A531" s="124"/>
      <c r="B531" s="1"/>
      <c r="C531" s="1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4"/>
    </row>
    <row r="532" ht="17.25" customHeight="1">
      <c r="A532" s="124"/>
      <c r="B532" s="1"/>
      <c r="C532" s="1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4"/>
    </row>
    <row r="533" ht="17.25" customHeight="1">
      <c r="A533" s="124"/>
      <c r="B533" s="1"/>
      <c r="C533" s="1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4"/>
    </row>
    <row r="534" ht="17.25" customHeight="1">
      <c r="A534" s="124"/>
      <c r="B534" s="1"/>
      <c r="C534" s="1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4"/>
    </row>
    <row r="535" ht="17.25" customHeight="1">
      <c r="A535" s="124"/>
      <c r="B535" s="1"/>
      <c r="C535" s="1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4"/>
    </row>
    <row r="536" ht="17.25" customHeight="1">
      <c r="A536" s="124"/>
      <c r="B536" s="1"/>
      <c r="C536" s="1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4"/>
    </row>
    <row r="537" ht="17.25" customHeight="1">
      <c r="A537" s="124"/>
      <c r="B537" s="1"/>
      <c r="C537" s="1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4"/>
    </row>
    <row r="538" ht="17.25" customHeight="1">
      <c r="A538" s="124"/>
      <c r="B538" s="1"/>
      <c r="C538" s="1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4"/>
    </row>
    <row r="539" ht="17.25" customHeight="1">
      <c r="A539" s="124"/>
      <c r="B539" s="1"/>
      <c r="C539" s="1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4"/>
    </row>
    <row r="540" ht="17.25" customHeight="1">
      <c r="A540" s="124"/>
      <c r="B540" s="1"/>
      <c r="C540" s="1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4"/>
    </row>
    <row r="541" ht="17.25" customHeight="1">
      <c r="A541" s="124"/>
      <c r="B541" s="1"/>
      <c r="C541" s="1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4"/>
    </row>
    <row r="542" ht="17.25" customHeight="1">
      <c r="A542" s="124"/>
      <c r="B542" s="1"/>
      <c r="C542" s="1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4"/>
    </row>
    <row r="543" ht="17.25" customHeight="1">
      <c r="A543" s="124"/>
      <c r="B543" s="1"/>
      <c r="C543" s="1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4"/>
    </row>
    <row r="544" ht="17.25" customHeight="1">
      <c r="A544" s="124"/>
      <c r="B544" s="1"/>
      <c r="C544" s="1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4"/>
    </row>
    <row r="545" ht="17.25" customHeight="1">
      <c r="A545" s="124"/>
      <c r="B545" s="1"/>
      <c r="C545" s="1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4"/>
    </row>
    <row r="546" ht="17.25" customHeight="1">
      <c r="A546" s="124"/>
      <c r="B546" s="1"/>
      <c r="C546" s="1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4"/>
    </row>
    <row r="547" ht="17.25" customHeight="1">
      <c r="A547" s="124"/>
      <c r="B547" s="1"/>
      <c r="C547" s="1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4"/>
    </row>
    <row r="548" ht="17.25" customHeight="1">
      <c r="A548" s="124"/>
      <c r="B548" s="1"/>
      <c r="C548" s="1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4"/>
    </row>
    <row r="549" ht="17.25" customHeight="1">
      <c r="A549" s="124"/>
      <c r="B549" s="1"/>
      <c r="C549" s="1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4"/>
    </row>
    <row r="550" ht="17.25" customHeight="1">
      <c r="A550" s="124"/>
      <c r="B550" s="1"/>
      <c r="C550" s="1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4"/>
    </row>
    <row r="551" ht="17.25" customHeight="1">
      <c r="A551" s="124"/>
      <c r="B551" s="1"/>
      <c r="C551" s="1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4"/>
    </row>
    <row r="552" ht="17.25" customHeight="1">
      <c r="A552" s="124"/>
      <c r="B552" s="1"/>
      <c r="C552" s="1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4"/>
    </row>
    <row r="553" ht="17.25" customHeight="1">
      <c r="A553" s="124"/>
      <c r="B553" s="1"/>
      <c r="C553" s="1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4"/>
    </row>
    <row r="554" ht="17.25" customHeight="1">
      <c r="A554" s="124"/>
      <c r="B554" s="1"/>
      <c r="C554" s="1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4"/>
    </row>
    <row r="555" ht="17.25" customHeight="1">
      <c r="A555" s="124"/>
      <c r="B555" s="1"/>
      <c r="C555" s="1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4"/>
    </row>
    <row r="556" ht="17.25" customHeight="1">
      <c r="A556" s="124"/>
      <c r="B556" s="1"/>
      <c r="C556" s="1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4"/>
    </row>
    <row r="557" ht="17.25" customHeight="1">
      <c r="A557" s="124"/>
      <c r="B557" s="1"/>
      <c r="C557" s="1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4"/>
    </row>
    <row r="558" ht="17.25" customHeight="1">
      <c r="A558" s="124"/>
      <c r="B558" s="1"/>
      <c r="C558" s="1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4"/>
    </row>
    <row r="559" ht="17.25" customHeight="1">
      <c r="A559" s="124"/>
      <c r="B559" s="1"/>
      <c r="C559" s="1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4"/>
    </row>
    <row r="560" ht="17.25" customHeight="1">
      <c r="A560" s="124"/>
      <c r="B560" s="1"/>
      <c r="C560" s="1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4"/>
    </row>
    <row r="561" ht="17.25" customHeight="1">
      <c r="A561" s="124"/>
      <c r="B561" s="1"/>
      <c r="C561" s="1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4"/>
    </row>
    <row r="562" ht="17.25" customHeight="1">
      <c r="A562" s="124"/>
      <c r="B562" s="1"/>
      <c r="C562" s="1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4"/>
    </row>
    <row r="563" ht="17.25" customHeight="1">
      <c r="A563" s="124"/>
      <c r="B563" s="1"/>
      <c r="C563" s="1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4"/>
    </row>
    <row r="564" ht="17.25" customHeight="1">
      <c r="A564" s="124"/>
      <c r="B564" s="1"/>
      <c r="C564" s="1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4"/>
    </row>
    <row r="565" ht="17.25" customHeight="1">
      <c r="A565" s="124"/>
      <c r="B565" s="1"/>
      <c r="C565" s="1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4"/>
    </row>
    <row r="566" ht="17.25" customHeight="1">
      <c r="A566" s="124"/>
      <c r="B566" s="1"/>
      <c r="C566" s="1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4"/>
    </row>
    <row r="567" ht="17.25" customHeight="1">
      <c r="A567" s="124"/>
      <c r="B567" s="1"/>
      <c r="C567" s="1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4"/>
    </row>
    <row r="568" ht="17.25" customHeight="1">
      <c r="A568" s="124"/>
      <c r="B568" s="1"/>
      <c r="C568" s="1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4"/>
    </row>
    <row r="569" ht="17.25" customHeight="1">
      <c r="A569" s="124"/>
      <c r="B569" s="1"/>
      <c r="C569" s="1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4"/>
    </row>
    <row r="570" ht="17.25" customHeight="1">
      <c r="A570" s="124"/>
      <c r="B570" s="1"/>
      <c r="C570" s="1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4"/>
    </row>
    <row r="571" ht="17.25" customHeight="1">
      <c r="A571" s="124"/>
      <c r="B571" s="1"/>
      <c r="C571" s="1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4"/>
    </row>
    <row r="572" ht="17.25" customHeight="1">
      <c r="A572" s="124"/>
      <c r="B572" s="1"/>
      <c r="C572" s="1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4"/>
    </row>
    <row r="573" ht="17.25" customHeight="1">
      <c r="A573" s="124"/>
      <c r="B573" s="1"/>
      <c r="C573" s="1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4"/>
    </row>
    <row r="574" ht="17.25" customHeight="1">
      <c r="A574" s="124"/>
      <c r="B574" s="1"/>
      <c r="C574" s="1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4"/>
    </row>
    <row r="575" ht="17.25" customHeight="1">
      <c r="A575" s="124"/>
      <c r="B575" s="1"/>
      <c r="C575" s="1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4"/>
    </row>
    <row r="576" ht="17.25" customHeight="1">
      <c r="A576" s="124"/>
      <c r="B576" s="1"/>
      <c r="C576" s="1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4"/>
    </row>
    <row r="577" ht="17.25" customHeight="1">
      <c r="A577" s="124"/>
      <c r="B577" s="1"/>
      <c r="C577" s="1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4"/>
    </row>
    <row r="578" ht="17.25" customHeight="1">
      <c r="A578" s="124"/>
      <c r="B578" s="1"/>
      <c r="C578" s="1"/>
      <c r="D578" s="124"/>
      <c r="E578" s="124"/>
      <c r="F578" s="124"/>
      <c r="G578" s="124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4"/>
    </row>
    <row r="579" ht="17.25" customHeight="1">
      <c r="A579" s="124"/>
      <c r="B579" s="1"/>
      <c r="C579" s="1"/>
      <c r="D579" s="124"/>
      <c r="E579" s="124"/>
      <c r="F579" s="124"/>
      <c r="G579" s="124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4"/>
    </row>
    <row r="580" ht="17.25" customHeight="1">
      <c r="A580" s="124"/>
      <c r="B580" s="1"/>
      <c r="C580" s="1"/>
      <c r="D580" s="124"/>
      <c r="E580" s="124"/>
      <c r="F580" s="124"/>
      <c r="G580" s="124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4"/>
    </row>
    <row r="581" ht="17.25" customHeight="1">
      <c r="A581" s="124"/>
      <c r="B581" s="1"/>
      <c r="C581" s="1"/>
      <c r="D581" s="124"/>
      <c r="E581" s="124"/>
      <c r="F581" s="124"/>
      <c r="G581" s="124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4"/>
    </row>
    <row r="582" ht="17.25" customHeight="1">
      <c r="A582" s="124"/>
      <c r="B582" s="1"/>
      <c r="C582" s="1"/>
      <c r="D582" s="124"/>
      <c r="E582" s="124"/>
      <c r="F582" s="124"/>
      <c r="G582" s="124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4"/>
    </row>
    <row r="583" ht="17.25" customHeight="1">
      <c r="A583" s="124"/>
      <c r="B583" s="1"/>
      <c r="C583" s="1"/>
      <c r="D583" s="124"/>
      <c r="E583" s="124"/>
      <c r="F583" s="124"/>
      <c r="G583" s="124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4"/>
    </row>
    <row r="584" ht="17.25" customHeight="1">
      <c r="A584" s="124"/>
      <c r="B584" s="1"/>
      <c r="C584" s="1"/>
      <c r="D584" s="124"/>
      <c r="E584" s="124"/>
      <c r="F584" s="124"/>
      <c r="G584" s="124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4"/>
    </row>
    <row r="585" ht="17.25" customHeight="1">
      <c r="A585" s="124"/>
      <c r="B585" s="1"/>
      <c r="C585" s="1"/>
      <c r="D585" s="124"/>
      <c r="E585" s="124"/>
      <c r="F585" s="124"/>
      <c r="G585" s="124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4"/>
    </row>
    <row r="586" ht="17.25" customHeight="1">
      <c r="A586" s="124"/>
      <c r="B586" s="1"/>
      <c r="C586" s="1"/>
      <c r="D586" s="124"/>
      <c r="E586" s="124"/>
      <c r="F586" s="124"/>
      <c r="G586" s="124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4"/>
    </row>
    <row r="587" ht="17.25" customHeight="1">
      <c r="A587" s="124"/>
      <c r="B587" s="1"/>
      <c r="C587" s="1"/>
      <c r="D587" s="124"/>
      <c r="E587" s="124"/>
      <c r="F587" s="124"/>
      <c r="G587" s="124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4"/>
    </row>
    <row r="588" ht="17.25" customHeight="1">
      <c r="A588" s="124"/>
      <c r="B588" s="1"/>
      <c r="C588" s="1"/>
      <c r="D588" s="124"/>
      <c r="E588" s="124"/>
      <c r="F588" s="124"/>
      <c r="G588" s="124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4"/>
    </row>
    <row r="589" ht="17.25" customHeight="1">
      <c r="A589" s="124"/>
      <c r="B589" s="1"/>
      <c r="C589" s="1"/>
      <c r="D589" s="124"/>
      <c r="E589" s="124"/>
      <c r="F589" s="124"/>
      <c r="G589" s="124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4"/>
    </row>
    <row r="590" ht="17.25" customHeight="1">
      <c r="A590" s="124"/>
      <c r="B590" s="1"/>
      <c r="C590" s="1"/>
      <c r="D590" s="124"/>
      <c r="E590" s="124"/>
      <c r="F590" s="124"/>
      <c r="G590" s="124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4"/>
    </row>
    <row r="591" ht="17.25" customHeight="1">
      <c r="A591" s="124"/>
      <c r="B591" s="1"/>
      <c r="C591" s="1"/>
      <c r="D591" s="124"/>
      <c r="E591" s="124"/>
      <c r="F591" s="124"/>
      <c r="G591" s="124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4"/>
    </row>
    <row r="592" ht="17.25" customHeight="1">
      <c r="A592" s="124"/>
      <c r="B592" s="1"/>
      <c r="C592" s="1"/>
      <c r="D592" s="124"/>
      <c r="E592" s="124"/>
      <c r="F592" s="124"/>
      <c r="G592" s="124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4"/>
    </row>
    <row r="593" ht="17.25" customHeight="1">
      <c r="A593" s="124"/>
      <c r="B593" s="1"/>
      <c r="C593" s="1"/>
      <c r="D593" s="124"/>
      <c r="E593" s="124"/>
      <c r="F593" s="124"/>
      <c r="G593" s="124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4"/>
    </row>
    <row r="594" ht="17.25" customHeight="1">
      <c r="A594" s="124"/>
      <c r="B594" s="1"/>
      <c r="C594" s="1"/>
      <c r="D594" s="124"/>
      <c r="E594" s="124"/>
      <c r="F594" s="124"/>
      <c r="G594" s="124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4"/>
    </row>
    <row r="595" ht="17.25" customHeight="1">
      <c r="A595" s="124"/>
      <c r="B595" s="1"/>
      <c r="C595" s="1"/>
      <c r="D595" s="124"/>
      <c r="E595" s="124"/>
      <c r="F595" s="124"/>
      <c r="G595" s="124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4"/>
    </row>
    <row r="596" ht="17.25" customHeight="1">
      <c r="A596" s="124"/>
      <c r="B596" s="1"/>
      <c r="C596" s="1"/>
      <c r="D596" s="124"/>
      <c r="E596" s="124"/>
      <c r="F596" s="124"/>
      <c r="G596" s="124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4"/>
    </row>
    <row r="597" ht="17.25" customHeight="1">
      <c r="A597" s="124"/>
      <c r="B597" s="1"/>
      <c r="C597" s="1"/>
      <c r="D597" s="124"/>
      <c r="E597" s="124"/>
      <c r="F597" s="124"/>
      <c r="G597" s="124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4"/>
    </row>
    <row r="598" ht="17.25" customHeight="1">
      <c r="A598" s="124"/>
      <c r="B598" s="1"/>
      <c r="C598" s="1"/>
      <c r="D598" s="124"/>
      <c r="E598" s="124"/>
      <c r="F598" s="124"/>
      <c r="G598" s="124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4"/>
    </row>
    <row r="599" ht="17.25" customHeight="1">
      <c r="A599" s="124"/>
      <c r="B599" s="1"/>
      <c r="C599" s="1"/>
      <c r="D599" s="124"/>
      <c r="E599" s="124"/>
      <c r="F599" s="124"/>
      <c r="G599" s="124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4"/>
    </row>
    <row r="600" ht="17.25" customHeight="1">
      <c r="A600" s="124"/>
      <c r="B600" s="1"/>
      <c r="C600" s="1"/>
      <c r="D600" s="124"/>
      <c r="E600" s="124"/>
      <c r="F600" s="124"/>
      <c r="G600" s="124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4"/>
    </row>
    <row r="601" ht="17.25" customHeight="1">
      <c r="A601" s="124"/>
      <c r="B601" s="1"/>
      <c r="C601" s="1"/>
      <c r="D601" s="124"/>
      <c r="E601" s="124"/>
      <c r="F601" s="124"/>
      <c r="G601" s="124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4"/>
    </row>
    <row r="602" ht="17.25" customHeight="1">
      <c r="A602" s="124"/>
      <c r="B602" s="1"/>
      <c r="C602" s="1"/>
      <c r="D602" s="124"/>
      <c r="E602" s="124"/>
      <c r="F602" s="124"/>
      <c r="G602" s="124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4"/>
    </row>
    <row r="603" ht="17.25" customHeight="1">
      <c r="A603" s="124"/>
      <c r="B603" s="1"/>
      <c r="C603" s="1"/>
      <c r="D603" s="124"/>
      <c r="E603" s="124"/>
      <c r="F603" s="124"/>
      <c r="G603" s="124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4"/>
    </row>
    <row r="604" ht="17.25" customHeight="1">
      <c r="A604" s="124"/>
      <c r="B604" s="1"/>
      <c r="C604" s="1"/>
      <c r="D604" s="124"/>
      <c r="E604" s="124"/>
      <c r="F604" s="124"/>
      <c r="G604" s="124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4"/>
    </row>
    <row r="605" ht="17.25" customHeight="1">
      <c r="A605" s="124"/>
      <c r="B605" s="1"/>
      <c r="C605" s="1"/>
      <c r="D605" s="124"/>
      <c r="E605" s="124"/>
      <c r="F605" s="124"/>
      <c r="G605" s="124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4"/>
    </row>
    <row r="606" ht="17.25" customHeight="1">
      <c r="A606" s="124"/>
      <c r="B606" s="1"/>
      <c r="C606" s="1"/>
      <c r="D606" s="124"/>
      <c r="E606" s="124"/>
      <c r="F606" s="124"/>
      <c r="G606" s="124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4"/>
    </row>
    <row r="607" ht="17.25" customHeight="1">
      <c r="A607" s="124"/>
      <c r="B607" s="1"/>
      <c r="C607" s="1"/>
      <c r="D607" s="124"/>
      <c r="E607" s="124"/>
      <c r="F607" s="124"/>
      <c r="G607" s="124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4"/>
    </row>
    <row r="608" ht="17.25" customHeight="1">
      <c r="A608" s="124"/>
      <c r="B608" s="1"/>
      <c r="C608" s="1"/>
      <c r="D608" s="124"/>
      <c r="E608" s="124"/>
      <c r="F608" s="124"/>
      <c r="G608" s="124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4"/>
    </row>
    <row r="609" ht="17.25" customHeight="1">
      <c r="A609" s="124"/>
      <c r="B609" s="1"/>
      <c r="C609" s="1"/>
      <c r="D609" s="124"/>
      <c r="E609" s="124"/>
      <c r="F609" s="124"/>
      <c r="G609" s="124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4"/>
    </row>
    <row r="610" ht="17.25" customHeight="1">
      <c r="A610" s="124"/>
      <c r="B610" s="1"/>
      <c r="C610" s="1"/>
      <c r="D610" s="124"/>
      <c r="E610" s="124"/>
      <c r="F610" s="124"/>
      <c r="G610" s="124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4"/>
    </row>
    <row r="611" ht="17.25" customHeight="1">
      <c r="A611" s="124"/>
      <c r="B611" s="1"/>
      <c r="C611" s="1"/>
      <c r="D611" s="124"/>
      <c r="E611" s="124"/>
      <c r="F611" s="124"/>
      <c r="G611" s="124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4"/>
    </row>
    <row r="612" ht="17.25" customHeight="1">
      <c r="A612" s="124"/>
      <c r="B612" s="1"/>
      <c r="C612" s="1"/>
      <c r="D612" s="124"/>
      <c r="E612" s="124"/>
      <c r="F612" s="124"/>
      <c r="G612" s="124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4"/>
    </row>
    <row r="613" ht="17.25" customHeight="1">
      <c r="A613" s="124"/>
      <c r="B613" s="1"/>
      <c r="C613" s="1"/>
      <c r="D613" s="124"/>
      <c r="E613" s="124"/>
      <c r="F613" s="124"/>
      <c r="G613" s="124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4"/>
    </row>
    <row r="614" ht="17.25" customHeight="1">
      <c r="A614" s="124"/>
      <c r="B614" s="1"/>
      <c r="C614" s="1"/>
      <c r="D614" s="124"/>
      <c r="E614" s="124"/>
      <c r="F614" s="124"/>
      <c r="G614" s="124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4"/>
    </row>
    <row r="615" ht="17.25" customHeight="1">
      <c r="A615" s="124"/>
      <c r="B615" s="1"/>
      <c r="C615" s="1"/>
      <c r="D615" s="124"/>
      <c r="E615" s="124"/>
      <c r="F615" s="124"/>
      <c r="G615" s="124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4"/>
    </row>
    <row r="616" ht="17.25" customHeight="1">
      <c r="A616" s="124"/>
      <c r="B616" s="1"/>
      <c r="C616" s="1"/>
      <c r="D616" s="124"/>
      <c r="E616" s="124"/>
      <c r="F616" s="124"/>
      <c r="G616" s="124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4"/>
    </row>
    <row r="617" ht="17.25" customHeight="1">
      <c r="A617" s="124"/>
      <c r="B617" s="1"/>
      <c r="C617" s="1"/>
      <c r="D617" s="124"/>
      <c r="E617" s="124"/>
      <c r="F617" s="124"/>
      <c r="G617" s="124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4"/>
    </row>
    <row r="618" ht="17.25" customHeight="1">
      <c r="A618" s="124"/>
      <c r="B618" s="1"/>
      <c r="C618" s="1"/>
      <c r="D618" s="124"/>
      <c r="E618" s="124"/>
      <c r="F618" s="124"/>
      <c r="G618" s="124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4"/>
    </row>
    <row r="619" ht="17.25" customHeight="1">
      <c r="A619" s="124"/>
      <c r="B619" s="1"/>
      <c r="C619" s="1"/>
      <c r="D619" s="124"/>
      <c r="E619" s="124"/>
      <c r="F619" s="124"/>
      <c r="G619" s="124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4"/>
    </row>
    <row r="620" ht="17.25" customHeight="1">
      <c r="A620" s="124"/>
      <c r="B620" s="1"/>
      <c r="C620" s="1"/>
      <c r="D620" s="124"/>
      <c r="E620" s="124"/>
      <c r="F620" s="124"/>
      <c r="G620" s="124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4"/>
    </row>
    <row r="621" ht="17.25" customHeight="1">
      <c r="A621" s="124"/>
      <c r="B621" s="1"/>
      <c r="C621" s="1"/>
      <c r="D621" s="124"/>
      <c r="E621" s="124"/>
      <c r="F621" s="124"/>
      <c r="G621" s="124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4"/>
    </row>
    <row r="622" ht="17.25" customHeight="1">
      <c r="A622" s="124"/>
      <c r="B622" s="1"/>
      <c r="C622" s="1"/>
      <c r="D622" s="124"/>
      <c r="E622" s="124"/>
      <c r="F622" s="124"/>
      <c r="G622" s="124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4"/>
    </row>
    <row r="623" ht="17.25" customHeight="1">
      <c r="A623" s="124"/>
      <c r="B623" s="1"/>
      <c r="C623" s="1"/>
      <c r="D623" s="124"/>
      <c r="E623" s="124"/>
      <c r="F623" s="124"/>
      <c r="G623" s="124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4"/>
    </row>
    <row r="624" ht="17.25" customHeight="1">
      <c r="A624" s="124"/>
      <c r="B624" s="1"/>
      <c r="C624" s="1"/>
      <c r="D624" s="124"/>
      <c r="E624" s="124"/>
      <c r="F624" s="124"/>
      <c r="G624" s="124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4"/>
    </row>
    <row r="625" ht="17.25" customHeight="1">
      <c r="A625" s="124"/>
      <c r="B625" s="1"/>
      <c r="C625" s="1"/>
      <c r="D625" s="124"/>
      <c r="E625" s="124"/>
      <c r="F625" s="124"/>
      <c r="G625" s="124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4"/>
    </row>
    <row r="626" ht="17.25" customHeight="1">
      <c r="A626" s="124"/>
      <c r="B626" s="1"/>
      <c r="C626" s="1"/>
      <c r="D626" s="124"/>
      <c r="E626" s="124"/>
      <c r="F626" s="124"/>
      <c r="G626" s="124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4"/>
    </row>
    <row r="627" ht="17.25" customHeight="1">
      <c r="A627" s="124"/>
      <c r="B627" s="1"/>
      <c r="C627" s="1"/>
      <c r="D627" s="124"/>
      <c r="E627" s="124"/>
      <c r="F627" s="124"/>
      <c r="G627" s="124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4"/>
    </row>
    <row r="628" ht="17.25" customHeight="1">
      <c r="A628" s="124"/>
      <c r="B628" s="1"/>
      <c r="C628" s="1"/>
      <c r="D628" s="124"/>
      <c r="E628" s="124"/>
      <c r="F628" s="124"/>
      <c r="G628" s="124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4"/>
    </row>
    <row r="629" ht="17.25" customHeight="1">
      <c r="A629" s="124"/>
      <c r="B629" s="1"/>
      <c r="C629" s="1"/>
      <c r="D629" s="124"/>
      <c r="E629" s="124"/>
      <c r="F629" s="124"/>
      <c r="G629" s="124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4"/>
    </row>
    <row r="630" ht="17.25" customHeight="1">
      <c r="A630" s="124"/>
      <c r="B630" s="1"/>
      <c r="C630" s="1"/>
      <c r="D630" s="124"/>
      <c r="E630" s="124"/>
      <c r="F630" s="124"/>
      <c r="G630" s="124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4"/>
    </row>
    <row r="631" ht="17.25" customHeight="1">
      <c r="A631" s="124"/>
      <c r="B631" s="1"/>
      <c r="C631" s="1"/>
      <c r="D631" s="124"/>
      <c r="E631" s="124"/>
      <c r="F631" s="124"/>
      <c r="G631" s="124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4"/>
    </row>
    <row r="632" ht="17.25" customHeight="1">
      <c r="A632" s="124"/>
      <c r="B632" s="1"/>
      <c r="C632" s="1"/>
      <c r="D632" s="124"/>
      <c r="E632" s="124"/>
      <c r="F632" s="124"/>
      <c r="G632" s="124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4"/>
    </row>
    <row r="633" ht="17.25" customHeight="1">
      <c r="A633" s="124"/>
      <c r="B633" s="1"/>
      <c r="C633" s="1"/>
      <c r="D633" s="124"/>
      <c r="E633" s="124"/>
      <c r="F633" s="124"/>
      <c r="G633" s="124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4"/>
    </row>
    <row r="634" ht="17.25" customHeight="1">
      <c r="A634" s="124"/>
      <c r="B634" s="1"/>
      <c r="C634" s="1"/>
      <c r="D634" s="124"/>
      <c r="E634" s="124"/>
      <c r="F634" s="124"/>
      <c r="G634" s="124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4"/>
    </row>
    <row r="635" ht="17.25" customHeight="1">
      <c r="A635" s="124"/>
      <c r="B635" s="1"/>
      <c r="C635" s="1"/>
      <c r="D635" s="124"/>
      <c r="E635" s="124"/>
      <c r="F635" s="124"/>
      <c r="G635" s="124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4"/>
    </row>
    <row r="636" ht="17.25" customHeight="1">
      <c r="A636" s="124"/>
      <c r="B636" s="1"/>
      <c r="C636" s="1"/>
      <c r="D636" s="124"/>
      <c r="E636" s="124"/>
      <c r="F636" s="124"/>
      <c r="G636" s="124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4"/>
    </row>
    <row r="637" ht="17.25" customHeight="1">
      <c r="A637" s="124"/>
      <c r="B637" s="1"/>
      <c r="C637" s="1"/>
      <c r="D637" s="124"/>
      <c r="E637" s="124"/>
      <c r="F637" s="124"/>
      <c r="G637" s="124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4"/>
    </row>
    <row r="638" ht="17.25" customHeight="1">
      <c r="A638" s="124"/>
      <c r="B638" s="1"/>
      <c r="C638" s="1"/>
      <c r="D638" s="124"/>
      <c r="E638" s="124"/>
      <c r="F638" s="124"/>
      <c r="G638" s="124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4"/>
    </row>
    <row r="639" ht="17.25" customHeight="1">
      <c r="A639" s="124"/>
      <c r="B639" s="1"/>
      <c r="C639" s="1"/>
      <c r="D639" s="124"/>
      <c r="E639" s="124"/>
      <c r="F639" s="124"/>
      <c r="G639" s="124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4"/>
    </row>
    <row r="640" ht="17.25" customHeight="1">
      <c r="A640" s="124"/>
      <c r="B640" s="1"/>
      <c r="C640" s="1"/>
      <c r="D640" s="124"/>
      <c r="E640" s="124"/>
      <c r="F640" s="124"/>
      <c r="G640" s="124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4"/>
    </row>
    <row r="641" ht="17.25" customHeight="1">
      <c r="A641" s="124"/>
      <c r="B641" s="1"/>
      <c r="C641" s="1"/>
      <c r="D641" s="124"/>
      <c r="E641" s="124"/>
      <c r="F641" s="124"/>
      <c r="G641" s="124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4"/>
    </row>
    <row r="642" ht="17.25" customHeight="1">
      <c r="A642" s="124"/>
      <c r="B642" s="1"/>
      <c r="C642" s="1"/>
      <c r="D642" s="124"/>
      <c r="E642" s="124"/>
      <c r="F642" s="124"/>
      <c r="G642" s="124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4"/>
    </row>
    <row r="643" ht="17.25" customHeight="1">
      <c r="A643" s="124"/>
      <c r="B643" s="1"/>
      <c r="C643" s="1"/>
      <c r="D643" s="124"/>
      <c r="E643" s="124"/>
      <c r="F643" s="124"/>
      <c r="G643" s="124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4"/>
    </row>
    <row r="644" ht="17.25" customHeight="1">
      <c r="A644" s="124"/>
      <c r="B644" s="1"/>
      <c r="C644" s="1"/>
      <c r="D644" s="124"/>
      <c r="E644" s="124"/>
      <c r="F644" s="124"/>
      <c r="G644" s="124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4"/>
    </row>
    <row r="645" ht="17.25" customHeight="1">
      <c r="A645" s="124"/>
      <c r="B645" s="1"/>
      <c r="C645" s="1"/>
      <c r="D645" s="124"/>
      <c r="E645" s="124"/>
      <c r="F645" s="124"/>
      <c r="G645" s="124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4"/>
    </row>
    <row r="646" ht="17.25" customHeight="1">
      <c r="A646" s="124"/>
      <c r="B646" s="1"/>
      <c r="C646" s="1"/>
      <c r="D646" s="124"/>
      <c r="E646" s="124"/>
      <c r="F646" s="124"/>
      <c r="G646" s="124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4"/>
    </row>
    <row r="647" ht="17.25" customHeight="1">
      <c r="A647" s="124"/>
      <c r="B647" s="1"/>
      <c r="C647" s="1"/>
      <c r="D647" s="124"/>
      <c r="E647" s="124"/>
      <c r="F647" s="124"/>
      <c r="G647" s="124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4"/>
    </row>
    <row r="648" ht="17.25" customHeight="1">
      <c r="A648" s="124"/>
      <c r="B648" s="1"/>
      <c r="C648" s="1"/>
      <c r="D648" s="124"/>
      <c r="E648" s="124"/>
      <c r="F648" s="124"/>
      <c r="G648" s="124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4"/>
    </row>
    <row r="649" ht="17.25" customHeight="1">
      <c r="A649" s="124"/>
      <c r="B649" s="1"/>
      <c r="C649" s="1"/>
      <c r="D649" s="124"/>
      <c r="E649" s="124"/>
      <c r="F649" s="124"/>
      <c r="G649" s="124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4"/>
    </row>
    <row r="650" ht="17.25" customHeight="1">
      <c r="A650" s="124"/>
      <c r="B650" s="1"/>
      <c r="C650" s="1"/>
      <c r="D650" s="124"/>
      <c r="E650" s="124"/>
      <c r="F650" s="124"/>
      <c r="G650" s="124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4"/>
    </row>
    <row r="651" ht="17.25" customHeight="1">
      <c r="A651" s="124"/>
      <c r="B651" s="1"/>
      <c r="C651" s="1"/>
      <c r="D651" s="124"/>
      <c r="E651" s="124"/>
      <c r="F651" s="124"/>
      <c r="G651" s="124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4"/>
    </row>
    <row r="652" ht="17.25" customHeight="1">
      <c r="A652" s="124"/>
      <c r="B652" s="1"/>
      <c r="C652" s="1"/>
      <c r="D652" s="124"/>
      <c r="E652" s="124"/>
      <c r="F652" s="124"/>
      <c r="G652" s="124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4"/>
    </row>
    <row r="653" ht="17.25" customHeight="1">
      <c r="A653" s="124"/>
      <c r="B653" s="1"/>
      <c r="C653" s="1"/>
      <c r="D653" s="124"/>
      <c r="E653" s="124"/>
      <c r="F653" s="124"/>
      <c r="G653" s="124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4"/>
    </row>
    <row r="654" ht="17.25" customHeight="1">
      <c r="A654" s="124"/>
      <c r="B654" s="1"/>
      <c r="C654" s="1"/>
      <c r="D654" s="124"/>
      <c r="E654" s="124"/>
      <c r="F654" s="124"/>
      <c r="G654" s="124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4"/>
    </row>
    <row r="655" ht="17.25" customHeight="1">
      <c r="A655" s="124"/>
      <c r="B655" s="1"/>
      <c r="C655" s="1"/>
      <c r="D655" s="124"/>
      <c r="E655" s="124"/>
      <c r="F655" s="124"/>
      <c r="G655" s="124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4"/>
    </row>
    <row r="656" ht="17.25" customHeight="1">
      <c r="A656" s="124"/>
      <c r="B656" s="1"/>
      <c r="C656" s="1"/>
      <c r="D656" s="124"/>
      <c r="E656" s="124"/>
      <c r="F656" s="124"/>
      <c r="G656" s="124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4"/>
    </row>
    <row r="657" ht="17.25" customHeight="1">
      <c r="A657" s="124"/>
      <c r="B657" s="1"/>
      <c r="C657" s="1"/>
      <c r="D657" s="124"/>
      <c r="E657" s="124"/>
      <c r="F657" s="124"/>
      <c r="G657" s="124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4"/>
    </row>
    <row r="658" ht="17.25" customHeight="1">
      <c r="A658" s="124"/>
      <c r="B658" s="1"/>
      <c r="C658" s="1"/>
      <c r="D658" s="124"/>
      <c r="E658" s="124"/>
      <c r="F658" s="124"/>
      <c r="G658" s="124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4"/>
    </row>
    <row r="659" ht="17.25" customHeight="1">
      <c r="A659" s="124"/>
      <c r="B659" s="1"/>
      <c r="C659" s="1"/>
      <c r="D659" s="124"/>
      <c r="E659" s="124"/>
      <c r="F659" s="124"/>
      <c r="G659" s="124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4"/>
    </row>
    <row r="660" ht="17.25" customHeight="1">
      <c r="A660" s="124"/>
      <c r="B660" s="1"/>
      <c r="C660" s="1"/>
      <c r="D660" s="124"/>
      <c r="E660" s="124"/>
      <c r="F660" s="124"/>
      <c r="G660" s="124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4"/>
    </row>
    <row r="661" ht="17.25" customHeight="1">
      <c r="A661" s="124"/>
      <c r="B661" s="1"/>
      <c r="C661" s="1"/>
      <c r="D661" s="124"/>
      <c r="E661" s="124"/>
      <c r="F661" s="124"/>
      <c r="G661" s="124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4"/>
    </row>
    <row r="662" ht="17.25" customHeight="1">
      <c r="A662" s="124"/>
      <c r="B662" s="1"/>
      <c r="C662" s="1"/>
      <c r="D662" s="124"/>
      <c r="E662" s="124"/>
      <c r="F662" s="124"/>
      <c r="G662" s="124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4"/>
    </row>
    <row r="663" ht="17.25" customHeight="1">
      <c r="A663" s="124"/>
      <c r="B663" s="1"/>
      <c r="C663" s="1"/>
      <c r="D663" s="124"/>
      <c r="E663" s="124"/>
      <c r="F663" s="124"/>
      <c r="G663" s="124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4"/>
    </row>
    <row r="664" ht="17.25" customHeight="1">
      <c r="A664" s="124"/>
      <c r="B664" s="1"/>
      <c r="C664" s="1"/>
      <c r="D664" s="124"/>
      <c r="E664" s="124"/>
      <c r="F664" s="124"/>
      <c r="G664" s="124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4"/>
    </row>
    <row r="665" ht="17.25" customHeight="1">
      <c r="A665" s="124"/>
      <c r="B665" s="1"/>
      <c r="C665" s="1"/>
      <c r="D665" s="124"/>
      <c r="E665" s="124"/>
      <c r="F665" s="124"/>
      <c r="G665" s="124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4"/>
    </row>
    <row r="666" ht="17.25" customHeight="1">
      <c r="A666" s="124"/>
      <c r="B666" s="1"/>
      <c r="C666" s="1"/>
      <c r="D666" s="124"/>
      <c r="E666" s="124"/>
      <c r="F666" s="124"/>
      <c r="G666" s="124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4"/>
    </row>
    <row r="667" ht="17.25" customHeight="1">
      <c r="A667" s="124"/>
      <c r="B667" s="1"/>
      <c r="C667" s="1"/>
      <c r="D667" s="124"/>
      <c r="E667" s="124"/>
      <c r="F667" s="124"/>
      <c r="G667" s="124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4"/>
    </row>
    <row r="668" ht="17.25" customHeight="1">
      <c r="A668" s="124"/>
      <c r="B668" s="1"/>
      <c r="C668" s="1"/>
      <c r="D668" s="124"/>
      <c r="E668" s="124"/>
      <c r="F668" s="124"/>
      <c r="G668" s="124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4"/>
    </row>
    <row r="669" ht="17.25" customHeight="1">
      <c r="A669" s="124"/>
      <c r="B669" s="1"/>
      <c r="C669" s="1"/>
      <c r="D669" s="124"/>
      <c r="E669" s="124"/>
      <c r="F669" s="124"/>
      <c r="G669" s="124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4"/>
    </row>
    <row r="670" ht="17.25" customHeight="1">
      <c r="A670" s="124"/>
      <c r="B670" s="1"/>
      <c r="C670" s="1"/>
      <c r="D670" s="124"/>
      <c r="E670" s="124"/>
      <c r="F670" s="124"/>
      <c r="G670" s="124"/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4"/>
    </row>
    <row r="671" ht="17.25" customHeight="1">
      <c r="A671" s="124"/>
      <c r="B671" s="1"/>
      <c r="C671" s="1"/>
      <c r="D671" s="124"/>
      <c r="E671" s="124"/>
      <c r="F671" s="124"/>
      <c r="G671" s="124"/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4"/>
    </row>
    <row r="672" ht="17.25" customHeight="1">
      <c r="A672" s="124"/>
      <c r="B672" s="1"/>
      <c r="C672" s="1"/>
      <c r="D672" s="124"/>
      <c r="E672" s="124"/>
      <c r="F672" s="124"/>
      <c r="G672" s="124"/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4"/>
    </row>
    <row r="673" ht="17.25" customHeight="1">
      <c r="A673" s="124"/>
      <c r="B673" s="1"/>
      <c r="C673" s="1"/>
      <c r="D673" s="124"/>
      <c r="E673" s="124"/>
      <c r="F673" s="124"/>
      <c r="G673" s="124"/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4"/>
    </row>
    <row r="674" ht="17.25" customHeight="1">
      <c r="A674" s="124"/>
      <c r="B674" s="1"/>
      <c r="C674" s="1"/>
      <c r="D674" s="124"/>
      <c r="E674" s="124"/>
      <c r="F674" s="124"/>
      <c r="G674" s="124"/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4"/>
    </row>
    <row r="675" ht="17.25" customHeight="1">
      <c r="A675" s="124"/>
      <c r="B675" s="1"/>
      <c r="C675" s="1"/>
      <c r="D675" s="124"/>
      <c r="E675" s="124"/>
      <c r="F675" s="124"/>
      <c r="G675" s="124"/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4"/>
    </row>
    <row r="676" ht="17.25" customHeight="1">
      <c r="A676" s="124"/>
      <c r="B676" s="1"/>
      <c r="C676" s="1"/>
      <c r="D676" s="124"/>
      <c r="E676" s="124"/>
      <c r="F676" s="124"/>
      <c r="G676" s="124"/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4"/>
    </row>
    <row r="677" ht="17.25" customHeight="1">
      <c r="A677" s="124"/>
      <c r="B677" s="1"/>
      <c r="C677" s="1"/>
      <c r="D677" s="124"/>
      <c r="E677" s="124"/>
      <c r="F677" s="124"/>
      <c r="G677" s="124"/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4"/>
    </row>
    <row r="678" ht="17.25" customHeight="1">
      <c r="A678" s="124"/>
      <c r="B678" s="1"/>
      <c r="C678" s="1"/>
      <c r="D678" s="124"/>
      <c r="E678" s="124"/>
      <c r="F678" s="124"/>
      <c r="G678" s="124"/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4"/>
    </row>
    <row r="679" ht="17.25" customHeight="1">
      <c r="A679" s="124"/>
      <c r="B679" s="1"/>
      <c r="C679" s="1"/>
      <c r="D679" s="124"/>
      <c r="E679" s="124"/>
      <c r="F679" s="124"/>
      <c r="G679" s="124"/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4"/>
    </row>
    <row r="680" ht="17.25" customHeight="1">
      <c r="A680" s="124"/>
      <c r="B680" s="1"/>
      <c r="C680" s="1"/>
      <c r="D680" s="124"/>
      <c r="E680" s="124"/>
      <c r="F680" s="124"/>
      <c r="G680" s="124"/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4"/>
    </row>
    <row r="681" ht="17.25" customHeight="1">
      <c r="A681" s="124"/>
      <c r="B681" s="1"/>
      <c r="C681" s="1"/>
      <c r="D681" s="124"/>
      <c r="E681" s="124"/>
      <c r="F681" s="124"/>
      <c r="G681" s="124"/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4"/>
    </row>
    <row r="682" ht="17.25" customHeight="1">
      <c r="A682" s="124"/>
      <c r="B682" s="1"/>
      <c r="C682" s="1"/>
      <c r="D682" s="124"/>
      <c r="E682" s="124"/>
      <c r="F682" s="124"/>
      <c r="G682" s="124"/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4"/>
    </row>
    <row r="683" ht="17.25" customHeight="1">
      <c r="A683" s="124"/>
      <c r="B683" s="1"/>
      <c r="C683" s="1"/>
      <c r="D683" s="124"/>
      <c r="E683" s="124"/>
      <c r="F683" s="124"/>
      <c r="G683" s="124"/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4"/>
    </row>
    <row r="684" ht="17.25" customHeight="1">
      <c r="A684" s="124"/>
      <c r="B684" s="1"/>
      <c r="C684" s="1"/>
      <c r="D684" s="124"/>
      <c r="E684" s="124"/>
      <c r="F684" s="124"/>
      <c r="G684" s="124"/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4"/>
    </row>
    <row r="685" ht="17.25" customHeight="1">
      <c r="A685" s="124"/>
      <c r="B685" s="1"/>
      <c r="C685" s="1"/>
      <c r="D685" s="124"/>
      <c r="E685" s="124"/>
      <c r="F685" s="124"/>
      <c r="G685" s="124"/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4"/>
    </row>
    <row r="686" ht="17.25" customHeight="1">
      <c r="A686" s="124"/>
      <c r="B686" s="1"/>
      <c r="C686" s="1"/>
      <c r="D686" s="124"/>
      <c r="E686" s="124"/>
      <c r="F686" s="124"/>
      <c r="G686" s="124"/>
      <c r="H686" s="124"/>
      <c r="I686" s="124"/>
      <c r="J686" s="124"/>
      <c r="K686" s="124"/>
      <c r="L686" s="124"/>
      <c r="M686" s="124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4"/>
    </row>
    <row r="687" ht="17.25" customHeight="1">
      <c r="A687" s="124"/>
      <c r="B687" s="1"/>
      <c r="C687" s="1"/>
      <c r="D687" s="124"/>
      <c r="E687" s="124"/>
      <c r="F687" s="124"/>
      <c r="G687" s="124"/>
      <c r="H687" s="124"/>
      <c r="I687" s="124"/>
      <c r="J687" s="124"/>
      <c r="K687" s="124"/>
      <c r="L687" s="124"/>
      <c r="M687" s="124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4"/>
    </row>
    <row r="688" ht="17.25" customHeight="1">
      <c r="A688" s="124"/>
      <c r="B688" s="1"/>
      <c r="C688" s="1"/>
      <c r="D688" s="124"/>
      <c r="E688" s="124"/>
      <c r="F688" s="124"/>
      <c r="G688" s="124"/>
      <c r="H688" s="124"/>
      <c r="I688" s="124"/>
      <c r="J688" s="124"/>
      <c r="K688" s="124"/>
      <c r="L688" s="124"/>
      <c r="M688" s="124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4"/>
    </row>
    <row r="689" ht="17.25" customHeight="1">
      <c r="A689" s="124"/>
      <c r="B689" s="1"/>
      <c r="C689" s="1"/>
      <c r="D689" s="124"/>
      <c r="E689" s="124"/>
      <c r="F689" s="124"/>
      <c r="G689" s="124"/>
      <c r="H689" s="124"/>
      <c r="I689" s="124"/>
      <c r="J689" s="124"/>
      <c r="K689" s="124"/>
      <c r="L689" s="124"/>
      <c r="M689" s="124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4"/>
    </row>
    <row r="690" ht="17.25" customHeight="1">
      <c r="A690" s="124"/>
      <c r="B690" s="1"/>
      <c r="C690" s="1"/>
      <c r="D690" s="124"/>
      <c r="E690" s="124"/>
      <c r="F690" s="124"/>
      <c r="G690" s="124"/>
      <c r="H690" s="124"/>
      <c r="I690" s="124"/>
      <c r="J690" s="124"/>
      <c r="K690" s="124"/>
      <c r="L690" s="124"/>
      <c r="M690" s="124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4"/>
    </row>
    <row r="691" ht="17.25" customHeight="1">
      <c r="A691" s="124"/>
      <c r="B691" s="1"/>
      <c r="C691" s="1"/>
      <c r="D691" s="124"/>
      <c r="E691" s="124"/>
      <c r="F691" s="124"/>
      <c r="G691" s="124"/>
      <c r="H691" s="124"/>
      <c r="I691" s="124"/>
      <c r="J691" s="124"/>
      <c r="K691" s="124"/>
      <c r="L691" s="124"/>
      <c r="M691" s="124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4"/>
    </row>
    <row r="692" ht="17.25" customHeight="1">
      <c r="A692" s="124"/>
      <c r="B692" s="1"/>
      <c r="C692" s="1"/>
      <c r="D692" s="124"/>
      <c r="E692" s="124"/>
      <c r="F692" s="124"/>
      <c r="G692" s="124"/>
      <c r="H692" s="124"/>
      <c r="I692" s="124"/>
      <c r="J692" s="124"/>
      <c r="K692" s="124"/>
      <c r="L692" s="124"/>
      <c r="M692" s="124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4"/>
    </row>
    <row r="693" ht="17.25" customHeight="1">
      <c r="A693" s="124"/>
      <c r="B693" s="1"/>
      <c r="C693" s="1"/>
      <c r="D693" s="124"/>
      <c r="E693" s="124"/>
      <c r="F693" s="124"/>
      <c r="G693" s="124"/>
      <c r="H693" s="124"/>
      <c r="I693" s="124"/>
      <c r="J693" s="124"/>
      <c r="K693" s="124"/>
      <c r="L693" s="124"/>
      <c r="M693" s="124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4"/>
    </row>
    <row r="694" ht="17.25" customHeight="1">
      <c r="A694" s="124"/>
      <c r="B694" s="1"/>
      <c r="C694" s="1"/>
      <c r="D694" s="124"/>
      <c r="E694" s="124"/>
      <c r="F694" s="124"/>
      <c r="G694" s="124"/>
      <c r="H694" s="124"/>
      <c r="I694" s="124"/>
      <c r="J694" s="124"/>
      <c r="K694" s="124"/>
      <c r="L694" s="124"/>
      <c r="M694" s="124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4"/>
    </row>
    <row r="695" ht="17.25" customHeight="1">
      <c r="A695" s="124"/>
      <c r="B695" s="1"/>
      <c r="C695" s="1"/>
      <c r="D695" s="124"/>
      <c r="E695" s="124"/>
      <c r="F695" s="124"/>
      <c r="G695" s="124"/>
      <c r="H695" s="124"/>
      <c r="I695" s="124"/>
      <c r="J695" s="124"/>
      <c r="K695" s="124"/>
      <c r="L695" s="124"/>
      <c r="M695" s="124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4"/>
    </row>
    <row r="696" ht="17.25" customHeight="1">
      <c r="A696" s="124"/>
      <c r="B696" s="1"/>
      <c r="C696" s="1"/>
      <c r="D696" s="124"/>
      <c r="E696" s="124"/>
      <c r="F696" s="124"/>
      <c r="G696" s="124"/>
      <c r="H696" s="124"/>
      <c r="I696" s="124"/>
      <c r="J696" s="124"/>
      <c r="K696" s="124"/>
      <c r="L696" s="124"/>
      <c r="M696" s="124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4"/>
    </row>
    <row r="697" ht="17.25" customHeight="1">
      <c r="A697" s="124"/>
      <c r="B697" s="1"/>
      <c r="C697" s="1"/>
      <c r="D697" s="124"/>
      <c r="E697" s="124"/>
      <c r="F697" s="124"/>
      <c r="G697" s="124"/>
      <c r="H697" s="124"/>
      <c r="I697" s="124"/>
      <c r="J697" s="124"/>
      <c r="K697" s="124"/>
      <c r="L697" s="124"/>
      <c r="M697" s="124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4"/>
    </row>
    <row r="698" ht="17.25" customHeight="1">
      <c r="A698" s="124"/>
      <c r="B698" s="1"/>
      <c r="C698" s="1"/>
      <c r="D698" s="124"/>
      <c r="E698" s="124"/>
      <c r="F698" s="124"/>
      <c r="G698" s="124"/>
      <c r="H698" s="124"/>
      <c r="I698" s="124"/>
      <c r="J698" s="124"/>
      <c r="K698" s="124"/>
      <c r="L698" s="124"/>
      <c r="M698" s="124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4"/>
    </row>
    <row r="699" ht="17.25" customHeight="1">
      <c r="A699" s="124"/>
      <c r="B699" s="1"/>
      <c r="C699" s="1"/>
      <c r="D699" s="124"/>
      <c r="E699" s="124"/>
      <c r="F699" s="124"/>
      <c r="G699" s="124"/>
      <c r="H699" s="124"/>
      <c r="I699" s="124"/>
      <c r="J699" s="124"/>
      <c r="K699" s="124"/>
      <c r="L699" s="124"/>
      <c r="M699" s="124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4"/>
    </row>
    <row r="700" ht="17.25" customHeight="1">
      <c r="A700" s="124"/>
      <c r="B700" s="1"/>
      <c r="C700" s="1"/>
      <c r="D700" s="124"/>
      <c r="E700" s="124"/>
      <c r="F700" s="124"/>
      <c r="G700" s="124"/>
      <c r="H700" s="124"/>
      <c r="I700" s="124"/>
      <c r="J700" s="124"/>
      <c r="K700" s="124"/>
      <c r="L700" s="124"/>
      <c r="M700" s="124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4"/>
    </row>
    <row r="701" ht="17.25" customHeight="1">
      <c r="A701" s="124"/>
      <c r="B701" s="1"/>
      <c r="C701" s="1"/>
      <c r="D701" s="124"/>
      <c r="E701" s="124"/>
      <c r="F701" s="124"/>
      <c r="G701" s="124"/>
      <c r="H701" s="124"/>
      <c r="I701" s="124"/>
      <c r="J701" s="124"/>
      <c r="K701" s="124"/>
      <c r="L701" s="124"/>
      <c r="M701" s="124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4"/>
    </row>
    <row r="702" ht="17.25" customHeight="1">
      <c r="A702" s="124"/>
      <c r="B702" s="1"/>
      <c r="C702" s="1"/>
      <c r="D702" s="124"/>
      <c r="E702" s="124"/>
      <c r="F702" s="124"/>
      <c r="G702" s="124"/>
      <c r="H702" s="124"/>
      <c r="I702" s="124"/>
      <c r="J702" s="124"/>
      <c r="K702" s="124"/>
      <c r="L702" s="124"/>
      <c r="M702" s="124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4"/>
    </row>
    <row r="703" ht="17.25" customHeight="1">
      <c r="A703" s="124"/>
      <c r="B703" s="1"/>
      <c r="C703" s="1"/>
      <c r="D703" s="124"/>
      <c r="E703" s="124"/>
      <c r="F703" s="124"/>
      <c r="G703" s="124"/>
      <c r="H703" s="124"/>
      <c r="I703" s="124"/>
      <c r="J703" s="124"/>
      <c r="K703" s="124"/>
      <c r="L703" s="124"/>
      <c r="M703" s="124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4"/>
    </row>
    <row r="704" ht="17.25" customHeight="1">
      <c r="A704" s="124"/>
      <c r="B704" s="1"/>
      <c r="C704" s="1"/>
      <c r="D704" s="124"/>
      <c r="E704" s="124"/>
      <c r="F704" s="124"/>
      <c r="G704" s="124"/>
      <c r="H704" s="124"/>
      <c r="I704" s="124"/>
      <c r="J704" s="124"/>
      <c r="K704" s="124"/>
      <c r="L704" s="124"/>
      <c r="M704" s="124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4"/>
    </row>
    <row r="705" ht="17.25" customHeight="1">
      <c r="A705" s="124"/>
      <c r="B705" s="1"/>
      <c r="C705" s="1"/>
      <c r="D705" s="124"/>
      <c r="E705" s="124"/>
      <c r="F705" s="124"/>
      <c r="G705" s="124"/>
      <c r="H705" s="124"/>
      <c r="I705" s="124"/>
      <c r="J705" s="124"/>
      <c r="K705" s="124"/>
      <c r="L705" s="124"/>
      <c r="M705" s="124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4"/>
    </row>
    <row r="706" ht="17.25" customHeight="1">
      <c r="A706" s="124"/>
      <c r="B706" s="1"/>
      <c r="C706" s="1"/>
      <c r="D706" s="124"/>
      <c r="E706" s="124"/>
      <c r="F706" s="124"/>
      <c r="G706" s="124"/>
      <c r="H706" s="124"/>
      <c r="I706" s="124"/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4"/>
    </row>
    <row r="707" ht="17.25" customHeight="1">
      <c r="A707" s="124"/>
      <c r="B707" s="1"/>
      <c r="C707" s="1"/>
      <c r="D707" s="124"/>
      <c r="E707" s="124"/>
      <c r="F707" s="124"/>
      <c r="G707" s="124"/>
      <c r="H707" s="124"/>
      <c r="I707" s="124"/>
      <c r="J707" s="124"/>
      <c r="K707" s="124"/>
      <c r="L707" s="124"/>
      <c r="M707" s="124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4"/>
    </row>
    <row r="708" ht="17.25" customHeight="1">
      <c r="A708" s="124"/>
      <c r="B708" s="1"/>
      <c r="C708" s="1"/>
      <c r="D708" s="124"/>
      <c r="E708" s="124"/>
      <c r="F708" s="124"/>
      <c r="G708" s="124"/>
      <c r="H708" s="124"/>
      <c r="I708" s="124"/>
      <c r="J708" s="124"/>
      <c r="K708" s="124"/>
      <c r="L708" s="124"/>
      <c r="M708" s="124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4"/>
    </row>
    <row r="709" ht="17.25" customHeight="1">
      <c r="A709" s="124"/>
      <c r="B709" s="1"/>
      <c r="C709" s="1"/>
      <c r="D709" s="124"/>
      <c r="E709" s="124"/>
      <c r="F709" s="124"/>
      <c r="G709" s="124"/>
      <c r="H709" s="124"/>
      <c r="I709" s="124"/>
      <c r="J709" s="124"/>
      <c r="K709" s="124"/>
      <c r="L709" s="124"/>
      <c r="M709" s="124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4"/>
    </row>
    <row r="710" ht="17.25" customHeight="1">
      <c r="A710" s="124"/>
      <c r="B710" s="1"/>
      <c r="C710" s="1"/>
      <c r="D710" s="124"/>
      <c r="E710" s="124"/>
      <c r="F710" s="124"/>
      <c r="G710" s="124"/>
      <c r="H710" s="124"/>
      <c r="I710" s="124"/>
      <c r="J710" s="124"/>
      <c r="K710" s="124"/>
      <c r="L710" s="124"/>
      <c r="M710" s="124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4"/>
    </row>
    <row r="711" ht="17.25" customHeight="1">
      <c r="A711" s="124"/>
      <c r="B711" s="1"/>
      <c r="C711" s="1"/>
      <c r="D711" s="124"/>
      <c r="E711" s="124"/>
      <c r="F711" s="124"/>
      <c r="G711" s="124"/>
      <c r="H711" s="124"/>
      <c r="I711" s="124"/>
      <c r="J711" s="124"/>
      <c r="K711" s="124"/>
      <c r="L711" s="124"/>
      <c r="M711" s="124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4"/>
    </row>
    <row r="712" ht="17.25" customHeight="1">
      <c r="A712" s="124"/>
      <c r="B712" s="1"/>
      <c r="C712" s="1"/>
      <c r="D712" s="124"/>
      <c r="E712" s="124"/>
      <c r="F712" s="124"/>
      <c r="G712" s="124"/>
      <c r="H712" s="124"/>
      <c r="I712" s="124"/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4"/>
    </row>
    <row r="713" ht="17.25" customHeight="1">
      <c r="A713" s="124"/>
      <c r="B713" s="1"/>
      <c r="C713" s="1"/>
      <c r="D713" s="124"/>
      <c r="E713" s="124"/>
      <c r="F713" s="124"/>
      <c r="G713" s="124"/>
      <c r="H713" s="124"/>
      <c r="I713" s="124"/>
      <c r="J713" s="124"/>
      <c r="K713" s="124"/>
      <c r="L713" s="124"/>
      <c r="M713" s="124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4"/>
    </row>
    <row r="714" ht="17.25" customHeight="1">
      <c r="A714" s="124"/>
      <c r="B714" s="1"/>
      <c r="C714" s="1"/>
      <c r="D714" s="124"/>
      <c r="E714" s="124"/>
      <c r="F714" s="124"/>
      <c r="G714" s="124"/>
      <c r="H714" s="124"/>
      <c r="I714" s="124"/>
      <c r="J714" s="124"/>
      <c r="K714" s="124"/>
      <c r="L714" s="124"/>
      <c r="M714" s="124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4"/>
    </row>
    <row r="715" ht="17.25" customHeight="1">
      <c r="A715" s="124"/>
      <c r="B715" s="1"/>
      <c r="C715" s="1"/>
      <c r="D715" s="124"/>
      <c r="E715" s="124"/>
      <c r="F715" s="124"/>
      <c r="G715" s="124"/>
      <c r="H715" s="124"/>
      <c r="I715" s="124"/>
      <c r="J715" s="124"/>
      <c r="K715" s="124"/>
      <c r="L715" s="124"/>
      <c r="M715" s="124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4"/>
    </row>
    <row r="716" ht="17.25" customHeight="1">
      <c r="A716" s="124"/>
      <c r="B716" s="1"/>
      <c r="C716" s="1"/>
      <c r="D716" s="124"/>
      <c r="E716" s="124"/>
      <c r="F716" s="124"/>
      <c r="G716" s="124"/>
      <c r="H716" s="124"/>
      <c r="I716" s="124"/>
      <c r="J716" s="124"/>
      <c r="K716" s="124"/>
      <c r="L716" s="124"/>
      <c r="M716" s="124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4"/>
    </row>
    <row r="717" ht="17.25" customHeight="1">
      <c r="A717" s="124"/>
      <c r="B717" s="1"/>
      <c r="C717" s="1"/>
      <c r="D717" s="124"/>
      <c r="E717" s="124"/>
      <c r="F717" s="124"/>
      <c r="G717" s="124"/>
      <c r="H717" s="124"/>
      <c r="I717" s="124"/>
      <c r="J717" s="124"/>
      <c r="K717" s="124"/>
      <c r="L717" s="124"/>
      <c r="M717" s="124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4"/>
    </row>
    <row r="718" ht="17.25" customHeight="1">
      <c r="A718" s="124"/>
      <c r="B718" s="1"/>
      <c r="C718" s="1"/>
      <c r="D718" s="124"/>
      <c r="E718" s="124"/>
      <c r="F718" s="124"/>
      <c r="G718" s="124"/>
      <c r="H718" s="124"/>
      <c r="I718" s="124"/>
      <c r="J718" s="124"/>
      <c r="K718" s="124"/>
      <c r="L718" s="124"/>
      <c r="M718" s="124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4"/>
    </row>
    <row r="719" ht="17.25" customHeight="1">
      <c r="A719" s="124"/>
      <c r="B719" s="1"/>
      <c r="C719" s="1"/>
      <c r="D719" s="124"/>
      <c r="E719" s="124"/>
      <c r="F719" s="124"/>
      <c r="G719" s="124"/>
      <c r="H719" s="124"/>
      <c r="I719" s="124"/>
      <c r="J719" s="124"/>
      <c r="K719" s="124"/>
      <c r="L719" s="124"/>
      <c r="M719" s="124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4"/>
    </row>
    <row r="720" ht="17.25" customHeight="1">
      <c r="A720" s="124"/>
      <c r="B720" s="1"/>
      <c r="C720" s="1"/>
      <c r="D720" s="124"/>
      <c r="E720" s="124"/>
      <c r="F720" s="124"/>
      <c r="G720" s="124"/>
      <c r="H720" s="124"/>
      <c r="I720" s="124"/>
      <c r="J720" s="124"/>
      <c r="K720" s="124"/>
      <c r="L720" s="124"/>
      <c r="M720" s="124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4"/>
    </row>
    <row r="721" ht="17.25" customHeight="1">
      <c r="A721" s="124"/>
      <c r="B721" s="1"/>
      <c r="C721" s="1"/>
      <c r="D721" s="124"/>
      <c r="E721" s="124"/>
      <c r="F721" s="124"/>
      <c r="G721" s="124"/>
      <c r="H721" s="124"/>
      <c r="I721" s="124"/>
      <c r="J721" s="124"/>
      <c r="K721" s="124"/>
      <c r="L721" s="124"/>
      <c r="M721" s="124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4"/>
    </row>
    <row r="722" ht="17.25" customHeight="1">
      <c r="A722" s="124"/>
      <c r="B722" s="1"/>
      <c r="C722" s="1"/>
      <c r="D722" s="124"/>
      <c r="E722" s="124"/>
      <c r="F722" s="124"/>
      <c r="G722" s="124"/>
      <c r="H722" s="124"/>
      <c r="I722" s="124"/>
      <c r="J722" s="124"/>
      <c r="K722" s="124"/>
      <c r="L722" s="124"/>
      <c r="M722" s="124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4"/>
    </row>
    <row r="723" ht="17.25" customHeight="1">
      <c r="A723" s="124"/>
      <c r="B723" s="1"/>
      <c r="C723" s="1"/>
      <c r="D723" s="124"/>
      <c r="E723" s="124"/>
      <c r="F723" s="124"/>
      <c r="G723" s="124"/>
      <c r="H723" s="124"/>
      <c r="I723" s="124"/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4"/>
    </row>
    <row r="724" ht="17.25" customHeight="1">
      <c r="A724" s="124"/>
      <c r="B724" s="1"/>
      <c r="C724" s="1"/>
      <c r="D724" s="124"/>
      <c r="E724" s="124"/>
      <c r="F724" s="124"/>
      <c r="G724" s="124"/>
      <c r="H724" s="124"/>
      <c r="I724" s="124"/>
      <c r="J724" s="124"/>
      <c r="K724" s="124"/>
      <c r="L724" s="124"/>
      <c r="M724" s="124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4"/>
    </row>
    <row r="725" ht="17.25" customHeight="1">
      <c r="A725" s="124"/>
      <c r="B725" s="1"/>
      <c r="C725" s="1"/>
      <c r="D725" s="124"/>
      <c r="E725" s="124"/>
      <c r="F725" s="124"/>
      <c r="G725" s="124"/>
      <c r="H725" s="124"/>
      <c r="I725" s="124"/>
      <c r="J725" s="124"/>
      <c r="K725" s="124"/>
      <c r="L725" s="124"/>
      <c r="M725" s="124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4"/>
    </row>
    <row r="726" ht="17.25" customHeight="1">
      <c r="A726" s="124"/>
      <c r="B726" s="1"/>
      <c r="C726" s="1"/>
      <c r="D726" s="124"/>
      <c r="E726" s="124"/>
      <c r="F726" s="124"/>
      <c r="G726" s="124"/>
      <c r="H726" s="124"/>
      <c r="I726" s="124"/>
      <c r="J726" s="124"/>
      <c r="K726" s="124"/>
      <c r="L726" s="124"/>
      <c r="M726" s="124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4"/>
    </row>
    <row r="727" ht="17.25" customHeight="1">
      <c r="A727" s="124"/>
      <c r="B727" s="1"/>
      <c r="C727" s="1"/>
      <c r="D727" s="124"/>
      <c r="E727" s="124"/>
      <c r="F727" s="124"/>
      <c r="G727" s="124"/>
      <c r="H727" s="124"/>
      <c r="I727" s="124"/>
      <c r="J727" s="124"/>
      <c r="K727" s="124"/>
      <c r="L727" s="124"/>
      <c r="M727" s="124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4"/>
    </row>
    <row r="728" ht="17.25" customHeight="1">
      <c r="A728" s="124"/>
      <c r="B728" s="1"/>
      <c r="C728" s="1"/>
      <c r="D728" s="124"/>
      <c r="E728" s="124"/>
      <c r="F728" s="124"/>
      <c r="G728" s="124"/>
      <c r="H728" s="124"/>
      <c r="I728" s="124"/>
      <c r="J728" s="124"/>
      <c r="K728" s="124"/>
      <c r="L728" s="124"/>
      <c r="M728" s="124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4"/>
    </row>
    <row r="729" ht="17.25" customHeight="1">
      <c r="A729" s="124"/>
      <c r="B729" s="1"/>
      <c r="C729" s="1"/>
      <c r="D729" s="124"/>
      <c r="E729" s="124"/>
      <c r="F729" s="124"/>
      <c r="G729" s="124"/>
      <c r="H729" s="124"/>
      <c r="I729" s="124"/>
      <c r="J729" s="124"/>
      <c r="K729" s="124"/>
      <c r="L729" s="124"/>
      <c r="M729" s="124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4"/>
    </row>
    <row r="730" ht="17.25" customHeight="1">
      <c r="A730" s="124"/>
      <c r="B730" s="1"/>
      <c r="C730" s="1"/>
      <c r="D730" s="124"/>
      <c r="E730" s="124"/>
      <c r="F730" s="124"/>
      <c r="G730" s="124"/>
      <c r="H730" s="124"/>
      <c r="I730" s="124"/>
      <c r="J730" s="124"/>
      <c r="K730" s="124"/>
      <c r="L730" s="124"/>
      <c r="M730" s="124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4"/>
    </row>
    <row r="731" ht="17.25" customHeight="1">
      <c r="A731" s="124"/>
      <c r="B731" s="1"/>
      <c r="C731" s="1"/>
      <c r="D731" s="124"/>
      <c r="E731" s="124"/>
      <c r="F731" s="124"/>
      <c r="G731" s="124"/>
      <c r="H731" s="124"/>
      <c r="I731" s="124"/>
      <c r="J731" s="124"/>
      <c r="K731" s="124"/>
      <c r="L731" s="124"/>
      <c r="M731" s="124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4"/>
    </row>
    <row r="732" ht="17.25" customHeight="1">
      <c r="A732" s="124"/>
      <c r="B732" s="1"/>
      <c r="C732" s="1"/>
      <c r="D732" s="124"/>
      <c r="E732" s="124"/>
      <c r="F732" s="124"/>
      <c r="G732" s="124"/>
      <c r="H732" s="124"/>
      <c r="I732" s="124"/>
      <c r="J732" s="124"/>
      <c r="K732" s="124"/>
      <c r="L732" s="124"/>
      <c r="M732" s="124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4"/>
    </row>
    <row r="733" ht="17.25" customHeight="1">
      <c r="A733" s="124"/>
      <c r="B733" s="1"/>
      <c r="C733" s="1"/>
      <c r="D733" s="124"/>
      <c r="E733" s="124"/>
      <c r="F733" s="124"/>
      <c r="G733" s="124"/>
      <c r="H733" s="124"/>
      <c r="I733" s="124"/>
      <c r="J733" s="124"/>
      <c r="K733" s="124"/>
      <c r="L733" s="124"/>
      <c r="M733" s="124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4"/>
    </row>
    <row r="734" ht="17.25" customHeight="1">
      <c r="A734" s="124"/>
      <c r="B734" s="1"/>
      <c r="C734" s="1"/>
      <c r="D734" s="124"/>
      <c r="E734" s="124"/>
      <c r="F734" s="124"/>
      <c r="G734" s="124"/>
      <c r="H734" s="124"/>
      <c r="I734" s="124"/>
      <c r="J734" s="124"/>
      <c r="K734" s="124"/>
      <c r="L734" s="124"/>
      <c r="M734" s="124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4"/>
    </row>
    <row r="735" ht="17.25" customHeight="1">
      <c r="A735" s="124"/>
      <c r="B735" s="1"/>
      <c r="C735" s="1"/>
      <c r="D735" s="124"/>
      <c r="E735" s="124"/>
      <c r="F735" s="124"/>
      <c r="G735" s="124"/>
      <c r="H735" s="124"/>
      <c r="I735" s="124"/>
      <c r="J735" s="124"/>
      <c r="K735" s="124"/>
      <c r="L735" s="124"/>
      <c r="M735" s="124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4"/>
    </row>
    <row r="736" ht="17.25" customHeight="1">
      <c r="A736" s="124"/>
      <c r="B736" s="1"/>
      <c r="C736" s="1"/>
      <c r="D736" s="124"/>
      <c r="E736" s="124"/>
      <c r="F736" s="124"/>
      <c r="G736" s="124"/>
      <c r="H736" s="124"/>
      <c r="I736" s="124"/>
      <c r="J736" s="124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</row>
    <row r="737" ht="17.25" customHeight="1">
      <c r="A737" s="124"/>
      <c r="B737" s="1"/>
      <c r="C737" s="1"/>
      <c r="D737" s="124"/>
      <c r="E737" s="124"/>
      <c r="F737" s="124"/>
      <c r="G737" s="124"/>
      <c r="H737" s="124"/>
      <c r="I737" s="124"/>
      <c r="J737" s="124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</row>
    <row r="738" ht="17.25" customHeight="1">
      <c r="A738" s="124"/>
      <c r="B738" s="1"/>
      <c r="C738" s="1"/>
      <c r="D738" s="124"/>
      <c r="E738" s="124"/>
      <c r="F738" s="124"/>
      <c r="G738" s="124"/>
      <c r="H738" s="124"/>
      <c r="I738" s="124"/>
      <c r="J738" s="124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</row>
    <row r="739" ht="17.25" customHeight="1">
      <c r="A739" s="124"/>
      <c r="B739" s="1"/>
      <c r="C739" s="1"/>
      <c r="D739" s="124"/>
      <c r="E739" s="124"/>
      <c r="F739" s="124"/>
      <c r="G739" s="124"/>
      <c r="H739" s="124"/>
      <c r="I739" s="124"/>
      <c r="J739" s="124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</row>
    <row r="740" ht="17.25" customHeight="1">
      <c r="A740" s="124"/>
      <c r="B740" s="1"/>
      <c r="C740" s="1"/>
      <c r="D740" s="124"/>
      <c r="E740" s="124"/>
      <c r="F740" s="124"/>
      <c r="G740" s="124"/>
      <c r="H740" s="124"/>
      <c r="I740" s="124"/>
      <c r="J740" s="124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</row>
    <row r="741" ht="17.25" customHeight="1">
      <c r="A741" s="124"/>
      <c r="B741" s="1"/>
      <c r="C741" s="1"/>
      <c r="D741" s="124"/>
      <c r="E741" s="124"/>
      <c r="F741" s="124"/>
      <c r="G741" s="124"/>
      <c r="H741" s="124"/>
      <c r="I741" s="124"/>
      <c r="J741" s="124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</row>
    <row r="742" ht="17.25" customHeight="1">
      <c r="A742" s="124"/>
      <c r="B742" s="1"/>
      <c r="C742" s="1"/>
      <c r="D742" s="124"/>
      <c r="E742" s="124"/>
      <c r="F742" s="124"/>
      <c r="G742" s="124"/>
      <c r="H742" s="124"/>
      <c r="I742" s="124"/>
      <c r="J742" s="124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</row>
    <row r="743" ht="17.25" customHeight="1">
      <c r="A743" s="124"/>
      <c r="B743" s="1"/>
      <c r="C743" s="1"/>
      <c r="D743" s="124"/>
      <c r="E743" s="124"/>
      <c r="F743" s="124"/>
      <c r="G743" s="124"/>
      <c r="H743" s="124"/>
      <c r="I743" s="124"/>
      <c r="J743" s="124"/>
      <c r="K743" s="124"/>
      <c r="L743" s="124"/>
      <c r="M743" s="124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4"/>
    </row>
    <row r="744" ht="17.25" customHeight="1">
      <c r="A744" s="124"/>
      <c r="B744" s="1"/>
      <c r="C744" s="1"/>
      <c r="D744" s="124"/>
      <c r="E744" s="124"/>
      <c r="F744" s="124"/>
      <c r="G744" s="124"/>
      <c r="H744" s="124"/>
      <c r="I744" s="124"/>
      <c r="J744" s="124"/>
      <c r="K744" s="124"/>
      <c r="L744" s="124"/>
      <c r="M744" s="124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4"/>
    </row>
    <row r="745" ht="17.25" customHeight="1">
      <c r="A745" s="124"/>
      <c r="B745" s="1"/>
      <c r="C745" s="1"/>
      <c r="D745" s="124"/>
      <c r="E745" s="124"/>
      <c r="F745" s="124"/>
      <c r="G745" s="124"/>
      <c r="H745" s="124"/>
      <c r="I745" s="124"/>
      <c r="J745" s="124"/>
      <c r="K745" s="124"/>
      <c r="L745" s="124"/>
      <c r="M745" s="124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4"/>
    </row>
    <row r="746" ht="17.25" customHeight="1">
      <c r="A746" s="124"/>
      <c r="B746" s="1"/>
      <c r="C746" s="1"/>
      <c r="D746" s="124"/>
      <c r="E746" s="124"/>
      <c r="F746" s="124"/>
      <c r="G746" s="124"/>
      <c r="H746" s="124"/>
      <c r="I746" s="124"/>
      <c r="J746" s="124"/>
      <c r="K746" s="124"/>
      <c r="L746" s="124"/>
      <c r="M746" s="124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4"/>
    </row>
    <row r="747" ht="17.25" customHeight="1">
      <c r="A747" s="124"/>
      <c r="B747" s="1"/>
      <c r="C747" s="1"/>
      <c r="D747" s="124"/>
      <c r="E747" s="124"/>
      <c r="F747" s="124"/>
      <c r="G747" s="124"/>
      <c r="H747" s="124"/>
      <c r="I747" s="124"/>
      <c r="J747" s="124"/>
      <c r="K747" s="124"/>
      <c r="L747" s="124"/>
      <c r="M747" s="124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4"/>
    </row>
    <row r="748" ht="17.25" customHeight="1">
      <c r="A748" s="124"/>
      <c r="B748" s="1"/>
      <c r="C748" s="1"/>
      <c r="D748" s="124"/>
      <c r="E748" s="124"/>
      <c r="F748" s="124"/>
      <c r="G748" s="124"/>
      <c r="H748" s="124"/>
      <c r="I748" s="124"/>
      <c r="J748" s="124"/>
      <c r="K748" s="124"/>
      <c r="L748" s="124"/>
      <c r="M748" s="124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4"/>
    </row>
    <row r="749" ht="17.25" customHeight="1">
      <c r="A749" s="124"/>
      <c r="B749" s="1"/>
      <c r="C749" s="1"/>
      <c r="D749" s="124"/>
      <c r="E749" s="124"/>
      <c r="F749" s="124"/>
      <c r="G749" s="124"/>
      <c r="H749" s="124"/>
      <c r="I749" s="124"/>
      <c r="J749" s="124"/>
      <c r="K749" s="124"/>
      <c r="L749" s="124"/>
      <c r="M749" s="124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4"/>
    </row>
    <row r="750" ht="17.25" customHeight="1">
      <c r="A750" s="124"/>
      <c r="B750" s="1"/>
      <c r="C750" s="1"/>
      <c r="D750" s="124"/>
      <c r="E750" s="124"/>
      <c r="F750" s="124"/>
      <c r="G750" s="124"/>
      <c r="H750" s="124"/>
      <c r="I750" s="124"/>
      <c r="J750" s="124"/>
      <c r="K750" s="124"/>
      <c r="L750" s="124"/>
      <c r="M750" s="124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4"/>
    </row>
    <row r="751" ht="17.25" customHeight="1">
      <c r="A751" s="124"/>
      <c r="B751" s="1"/>
      <c r="C751" s="1"/>
      <c r="D751" s="124"/>
      <c r="E751" s="124"/>
      <c r="F751" s="124"/>
      <c r="G751" s="124"/>
      <c r="H751" s="124"/>
      <c r="I751" s="124"/>
      <c r="J751" s="124"/>
      <c r="K751" s="124"/>
      <c r="L751" s="124"/>
      <c r="M751" s="124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4"/>
    </row>
    <row r="752" ht="17.25" customHeight="1">
      <c r="A752" s="124"/>
      <c r="B752" s="1"/>
      <c r="C752" s="1"/>
      <c r="D752" s="124"/>
      <c r="E752" s="124"/>
      <c r="F752" s="124"/>
      <c r="G752" s="124"/>
      <c r="H752" s="124"/>
      <c r="I752" s="124"/>
      <c r="J752" s="124"/>
      <c r="K752" s="124"/>
      <c r="L752" s="124"/>
      <c r="M752" s="124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4"/>
    </row>
    <row r="753" ht="17.25" customHeight="1">
      <c r="A753" s="124"/>
      <c r="B753" s="1"/>
      <c r="C753" s="1"/>
      <c r="D753" s="124"/>
      <c r="E753" s="124"/>
      <c r="F753" s="124"/>
      <c r="G753" s="124"/>
      <c r="H753" s="124"/>
      <c r="I753" s="124"/>
      <c r="J753" s="124"/>
      <c r="K753" s="124"/>
      <c r="L753" s="124"/>
      <c r="M753" s="124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4"/>
    </row>
    <row r="754" ht="17.25" customHeight="1">
      <c r="A754" s="124"/>
      <c r="B754" s="1"/>
      <c r="C754" s="1"/>
      <c r="D754" s="124"/>
      <c r="E754" s="124"/>
      <c r="F754" s="124"/>
      <c r="G754" s="124"/>
      <c r="H754" s="124"/>
      <c r="I754" s="124"/>
      <c r="J754" s="124"/>
      <c r="K754" s="124"/>
      <c r="L754" s="124"/>
      <c r="M754" s="124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4"/>
    </row>
    <row r="755" ht="17.25" customHeight="1">
      <c r="A755" s="124"/>
      <c r="B755" s="1"/>
      <c r="C755" s="1"/>
      <c r="D755" s="124"/>
      <c r="E755" s="124"/>
      <c r="F755" s="124"/>
      <c r="G755" s="124"/>
      <c r="H755" s="124"/>
      <c r="I755" s="124"/>
      <c r="J755" s="124"/>
      <c r="K755" s="124"/>
      <c r="L755" s="124"/>
      <c r="M755" s="124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4"/>
    </row>
    <row r="756" ht="17.25" customHeight="1">
      <c r="A756" s="124"/>
      <c r="B756" s="1"/>
      <c r="C756" s="1"/>
      <c r="D756" s="124"/>
      <c r="E756" s="124"/>
      <c r="F756" s="124"/>
      <c r="G756" s="124"/>
      <c r="H756" s="124"/>
      <c r="I756" s="124"/>
      <c r="J756" s="124"/>
      <c r="K756" s="124"/>
      <c r="L756" s="124"/>
      <c r="M756" s="124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4"/>
    </row>
    <row r="757" ht="17.25" customHeight="1">
      <c r="A757" s="124"/>
      <c r="B757" s="1"/>
      <c r="C757" s="1"/>
      <c r="D757" s="124"/>
      <c r="E757" s="124"/>
      <c r="F757" s="124"/>
      <c r="G757" s="124"/>
      <c r="H757" s="124"/>
      <c r="I757" s="124"/>
      <c r="J757" s="124"/>
      <c r="K757" s="124"/>
      <c r="L757" s="124"/>
      <c r="M757" s="124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4"/>
    </row>
    <row r="758" ht="17.25" customHeight="1">
      <c r="A758" s="124"/>
      <c r="B758" s="1"/>
      <c r="C758" s="1"/>
      <c r="D758" s="124"/>
      <c r="E758" s="124"/>
      <c r="F758" s="124"/>
      <c r="G758" s="124"/>
      <c r="H758" s="124"/>
      <c r="I758" s="124"/>
      <c r="J758" s="124"/>
      <c r="K758" s="124"/>
      <c r="L758" s="124"/>
      <c r="M758" s="124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4"/>
    </row>
    <row r="759" ht="17.25" customHeight="1">
      <c r="A759" s="124"/>
      <c r="B759" s="1"/>
      <c r="C759" s="1"/>
      <c r="D759" s="124"/>
      <c r="E759" s="124"/>
      <c r="F759" s="124"/>
      <c r="G759" s="124"/>
      <c r="H759" s="124"/>
      <c r="I759" s="124"/>
      <c r="J759" s="124"/>
      <c r="K759" s="124"/>
      <c r="L759" s="124"/>
      <c r="M759" s="124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4"/>
    </row>
    <row r="760" ht="17.25" customHeight="1">
      <c r="A760" s="124"/>
      <c r="B760" s="1"/>
      <c r="C760" s="1"/>
      <c r="D760" s="124"/>
      <c r="E760" s="124"/>
      <c r="F760" s="124"/>
      <c r="G760" s="124"/>
      <c r="H760" s="124"/>
      <c r="I760" s="124"/>
      <c r="J760" s="124"/>
      <c r="K760" s="124"/>
      <c r="L760" s="124"/>
      <c r="M760" s="124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4"/>
    </row>
    <row r="761" ht="17.25" customHeight="1">
      <c r="A761" s="124"/>
      <c r="B761" s="1"/>
      <c r="C761" s="1"/>
      <c r="D761" s="124"/>
      <c r="E761" s="124"/>
      <c r="F761" s="124"/>
      <c r="G761" s="124"/>
      <c r="H761" s="124"/>
      <c r="I761" s="124"/>
      <c r="J761" s="124"/>
      <c r="K761" s="124"/>
      <c r="L761" s="124"/>
      <c r="M761" s="124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4"/>
    </row>
    <row r="762" ht="17.25" customHeight="1">
      <c r="A762" s="124"/>
      <c r="B762" s="1"/>
      <c r="C762" s="1"/>
      <c r="D762" s="124"/>
      <c r="E762" s="124"/>
      <c r="F762" s="124"/>
      <c r="G762" s="124"/>
      <c r="H762" s="124"/>
      <c r="I762" s="124"/>
      <c r="J762" s="124"/>
      <c r="K762" s="124"/>
      <c r="L762" s="124"/>
      <c r="M762" s="124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4"/>
    </row>
    <row r="763" ht="17.25" customHeight="1">
      <c r="A763" s="124"/>
      <c r="B763" s="1"/>
      <c r="C763" s="1"/>
      <c r="D763" s="124"/>
      <c r="E763" s="124"/>
      <c r="F763" s="124"/>
      <c r="G763" s="124"/>
      <c r="H763" s="124"/>
      <c r="I763" s="124"/>
      <c r="J763" s="124"/>
      <c r="K763" s="124"/>
      <c r="L763" s="124"/>
      <c r="M763" s="124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4"/>
    </row>
    <row r="764" ht="17.25" customHeight="1">
      <c r="A764" s="124"/>
      <c r="B764" s="1"/>
      <c r="C764" s="1"/>
      <c r="D764" s="124"/>
      <c r="E764" s="124"/>
      <c r="F764" s="124"/>
      <c r="G764" s="124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</row>
    <row r="765" ht="17.25" customHeight="1">
      <c r="A765" s="124"/>
      <c r="B765" s="1"/>
      <c r="C765" s="1"/>
      <c r="D765" s="124"/>
      <c r="E765" s="124"/>
      <c r="F765" s="124"/>
      <c r="G765" s="124"/>
      <c r="H765" s="124"/>
      <c r="I765" s="124"/>
      <c r="J765" s="124"/>
      <c r="K765" s="124"/>
      <c r="L765" s="124"/>
      <c r="M765" s="124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4"/>
    </row>
    <row r="766" ht="17.25" customHeight="1">
      <c r="A766" s="124"/>
      <c r="B766" s="1"/>
      <c r="C766" s="1"/>
      <c r="D766" s="124"/>
      <c r="E766" s="124"/>
      <c r="F766" s="124"/>
      <c r="G766" s="124"/>
      <c r="H766" s="124"/>
      <c r="I766" s="124"/>
      <c r="J766" s="124"/>
      <c r="K766" s="124"/>
      <c r="L766" s="124"/>
      <c r="M766" s="124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4"/>
    </row>
    <row r="767" ht="17.25" customHeight="1">
      <c r="A767" s="124"/>
      <c r="B767" s="1"/>
      <c r="C767" s="1"/>
      <c r="D767" s="124"/>
      <c r="E767" s="124"/>
      <c r="F767" s="124"/>
      <c r="G767" s="124"/>
      <c r="H767" s="124"/>
      <c r="I767" s="124"/>
      <c r="J767" s="124"/>
      <c r="K767" s="124"/>
      <c r="L767" s="124"/>
      <c r="M767" s="124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4"/>
    </row>
    <row r="768" ht="17.25" customHeight="1">
      <c r="A768" s="124"/>
      <c r="B768" s="1"/>
      <c r="C768" s="1"/>
      <c r="D768" s="124"/>
      <c r="E768" s="124"/>
      <c r="F768" s="124"/>
      <c r="G768" s="124"/>
      <c r="H768" s="124"/>
      <c r="I768" s="124"/>
      <c r="J768" s="124"/>
      <c r="K768" s="124"/>
      <c r="L768" s="124"/>
      <c r="M768" s="124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4"/>
    </row>
    <row r="769" ht="17.25" customHeight="1">
      <c r="A769" s="124"/>
      <c r="B769" s="1"/>
      <c r="C769" s="1"/>
      <c r="D769" s="124"/>
      <c r="E769" s="124"/>
      <c r="F769" s="124"/>
      <c r="G769" s="124"/>
      <c r="H769" s="124"/>
      <c r="I769" s="124"/>
      <c r="J769" s="124"/>
      <c r="K769" s="124"/>
      <c r="L769" s="124"/>
      <c r="M769" s="124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4"/>
    </row>
    <row r="770" ht="17.25" customHeight="1">
      <c r="A770" s="124"/>
      <c r="B770" s="1"/>
      <c r="C770" s="1"/>
      <c r="D770" s="124"/>
      <c r="E770" s="124"/>
      <c r="F770" s="124"/>
      <c r="G770" s="124"/>
      <c r="H770" s="124"/>
      <c r="I770" s="124"/>
      <c r="J770" s="124"/>
      <c r="K770" s="124"/>
      <c r="L770" s="124"/>
      <c r="M770" s="124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4"/>
    </row>
    <row r="771" ht="17.25" customHeight="1">
      <c r="A771" s="124"/>
      <c r="B771" s="1"/>
      <c r="C771" s="1"/>
      <c r="D771" s="124"/>
      <c r="E771" s="124"/>
      <c r="F771" s="124"/>
      <c r="G771" s="124"/>
      <c r="H771" s="124"/>
      <c r="I771" s="124"/>
      <c r="J771" s="124"/>
      <c r="K771" s="124"/>
      <c r="L771" s="124"/>
      <c r="M771" s="124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4"/>
    </row>
    <row r="772" ht="17.25" customHeight="1">
      <c r="A772" s="124"/>
      <c r="B772" s="1"/>
      <c r="C772" s="1"/>
      <c r="D772" s="124"/>
      <c r="E772" s="124"/>
      <c r="F772" s="124"/>
      <c r="G772" s="124"/>
      <c r="H772" s="124"/>
      <c r="I772" s="124"/>
      <c r="J772" s="124"/>
      <c r="K772" s="124"/>
      <c r="L772" s="124"/>
      <c r="M772" s="124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4"/>
    </row>
    <row r="773" ht="17.25" customHeight="1">
      <c r="A773" s="124"/>
      <c r="B773" s="1"/>
      <c r="C773" s="1"/>
      <c r="D773" s="124"/>
      <c r="E773" s="124"/>
      <c r="F773" s="124"/>
      <c r="G773" s="124"/>
      <c r="H773" s="124"/>
      <c r="I773" s="124"/>
      <c r="J773" s="124"/>
      <c r="K773" s="124"/>
      <c r="L773" s="124"/>
      <c r="M773" s="124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4"/>
    </row>
    <row r="774" ht="17.25" customHeight="1">
      <c r="A774" s="124"/>
      <c r="B774" s="1"/>
      <c r="C774" s="1"/>
      <c r="D774" s="124"/>
      <c r="E774" s="124"/>
      <c r="F774" s="124"/>
      <c r="G774" s="124"/>
      <c r="H774" s="124"/>
      <c r="I774" s="124"/>
      <c r="J774" s="124"/>
      <c r="K774" s="124"/>
      <c r="L774" s="124"/>
      <c r="M774" s="124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4"/>
    </row>
    <row r="775" ht="17.25" customHeight="1">
      <c r="A775" s="124"/>
      <c r="B775" s="1"/>
      <c r="C775" s="1"/>
      <c r="D775" s="124"/>
      <c r="E775" s="124"/>
      <c r="F775" s="124"/>
      <c r="G775" s="124"/>
      <c r="H775" s="124"/>
      <c r="I775" s="124"/>
      <c r="J775" s="124"/>
      <c r="K775" s="124"/>
      <c r="L775" s="124"/>
      <c r="M775" s="124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4"/>
    </row>
    <row r="776" ht="17.25" customHeight="1">
      <c r="A776" s="124"/>
      <c r="B776" s="1"/>
      <c r="C776" s="1"/>
      <c r="D776" s="124"/>
      <c r="E776" s="124"/>
      <c r="F776" s="124"/>
      <c r="G776" s="124"/>
      <c r="H776" s="124"/>
      <c r="I776" s="124"/>
      <c r="J776" s="124"/>
      <c r="K776" s="124"/>
      <c r="L776" s="124"/>
      <c r="M776" s="124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4"/>
    </row>
    <row r="777" ht="17.25" customHeight="1">
      <c r="A777" s="124"/>
      <c r="B777" s="1"/>
      <c r="C777" s="1"/>
      <c r="D777" s="124"/>
      <c r="E777" s="124"/>
      <c r="F777" s="124"/>
      <c r="G777" s="124"/>
      <c r="H777" s="124"/>
      <c r="I777" s="124"/>
      <c r="J777" s="124"/>
      <c r="K777" s="124"/>
      <c r="L777" s="124"/>
      <c r="M777" s="124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4"/>
    </row>
    <row r="778" ht="17.25" customHeight="1">
      <c r="A778" s="124"/>
      <c r="B778" s="1"/>
      <c r="C778" s="1"/>
      <c r="D778" s="124"/>
      <c r="E778" s="124"/>
      <c r="F778" s="124"/>
      <c r="G778" s="124"/>
      <c r="H778" s="124"/>
      <c r="I778" s="124"/>
      <c r="J778" s="124"/>
      <c r="K778" s="124"/>
      <c r="L778" s="124"/>
      <c r="M778" s="124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4"/>
    </row>
    <row r="779" ht="17.25" customHeight="1">
      <c r="A779" s="124"/>
      <c r="B779" s="1"/>
      <c r="C779" s="1"/>
      <c r="D779" s="124"/>
      <c r="E779" s="124"/>
      <c r="F779" s="124"/>
      <c r="G779" s="124"/>
      <c r="H779" s="124"/>
      <c r="I779" s="124"/>
      <c r="J779" s="124"/>
      <c r="K779" s="124"/>
      <c r="L779" s="124"/>
      <c r="M779" s="124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4"/>
    </row>
    <row r="780" ht="17.25" customHeight="1">
      <c r="A780" s="124"/>
      <c r="B780" s="1"/>
      <c r="C780" s="1"/>
      <c r="D780" s="124"/>
      <c r="E780" s="124"/>
      <c r="F780" s="124"/>
      <c r="G780" s="124"/>
      <c r="H780" s="124"/>
      <c r="I780" s="124"/>
      <c r="J780" s="124"/>
      <c r="K780" s="124"/>
      <c r="L780" s="124"/>
      <c r="M780" s="124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4"/>
    </row>
    <row r="781" ht="17.25" customHeight="1">
      <c r="A781" s="124"/>
      <c r="B781" s="1"/>
      <c r="C781" s="1"/>
      <c r="D781" s="124"/>
      <c r="E781" s="124"/>
      <c r="F781" s="124"/>
      <c r="G781" s="124"/>
      <c r="H781" s="124"/>
      <c r="I781" s="124"/>
      <c r="J781" s="124"/>
      <c r="K781" s="124"/>
      <c r="L781" s="124"/>
      <c r="M781" s="124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4"/>
    </row>
    <row r="782" ht="17.25" customHeight="1">
      <c r="A782" s="124"/>
      <c r="B782" s="1"/>
      <c r="C782" s="1"/>
      <c r="D782" s="124"/>
      <c r="E782" s="124"/>
      <c r="F782" s="124"/>
      <c r="G782" s="124"/>
      <c r="H782" s="124"/>
      <c r="I782" s="124"/>
      <c r="J782" s="124"/>
      <c r="K782" s="124"/>
      <c r="L782" s="124"/>
      <c r="M782" s="124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4"/>
    </row>
    <row r="783" ht="17.25" customHeight="1">
      <c r="A783" s="124"/>
      <c r="B783" s="1"/>
      <c r="C783" s="1"/>
      <c r="D783" s="124"/>
      <c r="E783" s="124"/>
      <c r="F783" s="124"/>
      <c r="G783" s="124"/>
      <c r="H783" s="124"/>
      <c r="I783" s="124"/>
      <c r="J783" s="124"/>
      <c r="K783" s="124"/>
      <c r="L783" s="124"/>
      <c r="M783" s="124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4"/>
    </row>
    <row r="784" ht="17.25" customHeight="1">
      <c r="A784" s="124"/>
      <c r="B784" s="1"/>
      <c r="C784" s="1"/>
      <c r="D784" s="124"/>
      <c r="E784" s="124"/>
      <c r="F784" s="124"/>
      <c r="G784" s="124"/>
      <c r="H784" s="124"/>
      <c r="I784" s="124"/>
      <c r="J784" s="124"/>
      <c r="K784" s="124"/>
      <c r="L784" s="124"/>
      <c r="M784" s="124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4"/>
    </row>
    <row r="785" ht="17.25" customHeight="1">
      <c r="A785" s="124"/>
      <c r="B785" s="1"/>
      <c r="C785" s="1"/>
      <c r="D785" s="124"/>
      <c r="E785" s="124"/>
      <c r="F785" s="124"/>
      <c r="G785" s="124"/>
      <c r="H785" s="124"/>
      <c r="I785" s="124"/>
      <c r="J785" s="124"/>
      <c r="K785" s="124"/>
      <c r="L785" s="124"/>
      <c r="M785" s="124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4"/>
    </row>
    <row r="786" ht="17.25" customHeight="1">
      <c r="A786" s="124"/>
      <c r="B786" s="1"/>
      <c r="C786" s="1"/>
      <c r="D786" s="124"/>
      <c r="E786" s="124"/>
      <c r="F786" s="124"/>
      <c r="G786" s="124"/>
      <c r="H786" s="124"/>
      <c r="I786" s="124"/>
      <c r="J786" s="124"/>
      <c r="K786" s="124"/>
      <c r="L786" s="124"/>
      <c r="M786" s="124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4"/>
    </row>
    <row r="787" ht="17.25" customHeight="1">
      <c r="A787" s="124"/>
      <c r="B787" s="1"/>
      <c r="C787" s="1"/>
      <c r="D787" s="124"/>
      <c r="E787" s="124"/>
      <c r="F787" s="124"/>
      <c r="G787" s="124"/>
      <c r="H787" s="124"/>
      <c r="I787" s="124"/>
      <c r="J787" s="124"/>
      <c r="K787" s="124"/>
      <c r="L787" s="124"/>
      <c r="M787" s="124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4"/>
    </row>
    <row r="788" ht="17.25" customHeight="1">
      <c r="A788" s="124"/>
      <c r="B788" s="1"/>
      <c r="C788" s="1"/>
      <c r="D788" s="124"/>
      <c r="E788" s="124"/>
      <c r="F788" s="124"/>
      <c r="G788" s="124"/>
      <c r="H788" s="124"/>
      <c r="I788" s="124"/>
      <c r="J788" s="124"/>
      <c r="K788" s="124"/>
      <c r="L788" s="124"/>
      <c r="M788" s="124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4"/>
    </row>
    <row r="789" ht="17.25" customHeight="1">
      <c r="A789" s="124"/>
      <c r="B789" s="1"/>
      <c r="C789" s="1"/>
      <c r="D789" s="124"/>
      <c r="E789" s="124"/>
      <c r="F789" s="124"/>
      <c r="G789" s="124"/>
      <c r="H789" s="124"/>
      <c r="I789" s="124"/>
      <c r="J789" s="124"/>
      <c r="K789" s="124"/>
      <c r="L789" s="124"/>
      <c r="M789" s="124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4"/>
    </row>
    <row r="790" ht="17.25" customHeight="1">
      <c r="A790" s="124"/>
      <c r="B790" s="1"/>
      <c r="C790" s="1"/>
      <c r="D790" s="124"/>
      <c r="E790" s="124"/>
      <c r="F790" s="124"/>
      <c r="G790" s="124"/>
      <c r="H790" s="124"/>
      <c r="I790" s="124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4"/>
    </row>
    <row r="791" ht="17.25" customHeight="1">
      <c r="A791" s="124"/>
      <c r="B791" s="1"/>
      <c r="C791" s="1"/>
      <c r="D791" s="124"/>
      <c r="E791" s="124"/>
      <c r="F791" s="124"/>
      <c r="G791" s="124"/>
      <c r="H791" s="124"/>
      <c r="I791" s="124"/>
      <c r="J791" s="124"/>
      <c r="K791" s="124"/>
      <c r="L791" s="124"/>
      <c r="M791" s="124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4"/>
    </row>
    <row r="792" ht="17.25" customHeight="1">
      <c r="A792" s="124"/>
      <c r="B792" s="1"/>
      <c r="C792" s="1"/>
      <c r="D792" s="124"/>
      <c r="E792" s="124"/>
      <c r="F792" s="124"/>
      <c r="G792" s="124"/>
      <c r="H792" s="124"/>
      <c r="I792" s="124"/>
      <c r="J792" s="124"/>
      <c r="K792" s="124"/>
      <c r="L792" s="124"/>
      <c r="M792" s="124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4"/>
    </row>
    <row r="793" ht="17.25" customHeight="1">
      <c r="A793" s="124"/>
      <c r="B793" s="1"/>
      <c r="C793" s="1"/>
      <c r="D793" s="124"/>
      <c r="E793" s="124"/>
      <c r="F793" s="124"/>
      <c r="G793" s="124"/>
      <c r="H793" s="124"/>
      <c r="I793" s="124"/>
      <c r="J793" s="124"/>
      <c r="K793" s="124"/>
      <c r="L793" s="124"/>
      <c r="M793" s="124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4"/>
    </row>
    <row r="794" ht="17.25" customHeight="1">
      <c r="A794" s="124"/>
      <c r="B794" s="1"/>
      <c r="C794" s="1"/>
      <c r="D794" s="124"/>
      <c r="E794" s="124"/>
      <c r="F794" s="124"/>
      <c r="G794" s="124"/>
      <c r="H794" s="124"/>
      <c r="I794" s="124"/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</row>
    <row r="795" ht="17.25" customHeight="1">
      <c r="A795" s="124"/>
      <c r="B795" s="1"/>
      <c r="C795" s="1"/>
      <c r="D795" s="124"/>
      <c r="E795" s="124"/>
      <c r="F795" s="124"/>
      <c r="G795" s="124"/>
      <c r="H795" s="124"/>
      <c r="I795" s="124"/>
      <c r="J795" s="124"/>
      <c r="K795" s="124"/>
      <c r="L795" s="124"/>
      <c r="M795" s="124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4"/>
    </row>
    <row r="796" ht="17.25" customHeight="1">
      <c r="A796" s="124"/>
      <c r="B796" s="1"/>
      <c r="C796" s="1"/>
      <c r="D796" s="124"/>
      <c r="E796" s="124"/>
      <c r="F796" s="124"/>
      <c r="G796" s="124"/>
      <c r="H796" s="124"/>
      <c r="I796" s="124"/>
      <c r="J796" s="124"/>
      <c r="K796" s="124"/>
      <c r="L796" s="124"/>
      <c r="M796" s="124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4"/>
    </row>
    <row r="797" ht="17.25" customHeight="1">
      <c r="A797" s="124"/>
      <c r="B797" s="1"/>
      <c r="C797" s="1"/>
      <c r="D797" s="124"/>
      <c r="E797" s="124"/>
      <c r="F797" s="124"/>
      <c r="G797" s="124"/>
      <c r="H797" s="124"/>
      <c r="I797" s="124"/>
      <c r="J797" s="124"/>
      <c r="K797" s="124"/>
      <c r="L797" s="124"/>
      <c r="M797" s="124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4"/>
    </row>
    <row r="798" ht="17.25" customHeight="1">
      <c r="A798" s="124"/>
      <c r="B798" s="1"/>
      <c r="C798" s="1"/>
      <c r="D798" s="124"/>
      <c r="E798" s="124"/>
      <c r="F798" s="124"/>
      <c r="G798" s="124"/>
      <c r="H798" s="124"/>
      <c r="I798" s="124"/>
      <c r="J798" s="124"/>
      <c r="K798" s="124"/>
      <c r="L798" s="124"/>
      <c r="M798" s="124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4"/>
    </row>
    <row r="799" ht="17.25" customHeight="1">
      <c r="A799" s="124"/>
      <c r="B799" s="1"/>
      <c r="C799" s="1"/>
      <c r="D799" s="124"/>
      <c r="E799" s="124"/>
      <c r="F799" s="124"/>
      <c r="G799" s="124"/>
      <c r="H799" s="124"/>
      <c r="I799" s="124"/>
      <c r="J799" s="124"/>
      <c r="K799" s="124"/>
      <c r="L799" s="124"/>
      <c r="M799" s="124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4"/>
    </row>
    <row r="800" ht="17.25" customHeight="1">
      <c r="A800" s="124"/>
      <c r="B800" s="1"/>
      <c r="C800" s="1"/>
      <c r="D800" s="124"/>
      <c r="E800" s="124"/>
      <c r="F800" s="124"/>
      <c r="G800" s="124"/>
      <c r="H800" s="124"/>
      <c r="I800" s="124"/>
      <c r="J800" s="124"/>
      <c r="K800" s="124"/>
      <c r="L800" s="124"/>
      <c r="M800" s="124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4"/>
    </row>
    <row r="801" ht="17.25" customHeight="1">
      <c r="A801" s="124"/>
      <c r="B801" s="1"/>
      <c r="C801" s="1"/>
      <c r="D801" s="124"/>
      <c r="E801" s="124"/>
      <c r="F801" s="124"/>
      <c r="G801" s="124"/>
      <c r="H801" s="124"/>
      <c r="I801" s="124"/>
      <c r="J801" s="124"/>
      <c r="K801" s="124"/>
      <c r="L801" s="124"/>
      <c r="M801" s="124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4"/>
    </row>
    <row r="802" ht="17.25" customHeight="1">
      <c r="A802" s="124"/>
      <c r="B802" s="1"/>
      <c r="C802" s="1"/>
      <c r="D802" s="124"/>
      <c r="E802" s="124"/>
      <c r="F802" s="124"/>
      <c r="G802" s="124"/>
      <c r="H802" s="124"/>
      <c r="I802" s="124"/>
      <c r="J802" s="124"/>
      <c r="K802" s="124"/>
      <c r="L802" s="124"/>
      <c r="M802" s="124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4"/>
    </row>
    <row r="803" ht="17.25" customHeight="1">
      <c r="A803" s="124"/>
      <c r="B803" s="1"/>
      <c r="C803" s="1"/>
      <c r="D803" s="124"/>
      <c r="E803" s="124"/>
      <c r="F803" s="124"/>
      <c r="G803" s="124"/>
      <c r="H803" s="124"/>
      <c r="I803" s="124"/>
      <c r="J803" s="124"/>
      <c r="K803" s="124"/>
      <c r="L803" s="124"/>
      <c r="M803" s="124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4"/>
    </row>
    <row r="804" ht="17.25" customHeight="1">
      <c r="A804" s="124"/>
      <c r="B804" s="1"/>
      <c r="C804" s="1"/>
      <c r="D804" s="124"/>
      <c r="E804" s="124"/>
      <c r="F804" s="124"/>
      <c r="G804" s="124"/>
      <c r="H804" s="124"/>
      <c r="I804" s="124"/>
      <c r="J804" s="124"/>
      <c r="K804" s="124"/>
      <c r="L804" s="124"/>
      <c r="M804" s="124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4"/>
    </row>
    <row r="805" ht="17.25" customHeight="1">
      <c r="A805" s="124"/>
      <c r="B805" s="1"/>
      <c r="C805" s="1"/>
      <c r="D805" s="124"/>
      <c r="E805" s="124"/>
      <c r="F805" s="124"/>
      <c r="G805" s="124"/>
      <c r="H805" s="124"/>
      <c r="I805" s="124"/>
      <c r="J805" s="124"/>
      <c r="K805" s="124"/>
      <c r="L805" s="124"/>
      <c r="M805" s="124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4"/>
    </row>
    <row r="806" ht="17.25" customHeight="1">
      <c r="A806" s="124"/>
      <c r="B806" s="1"/>
      <c r="C806" s="1"/>
      <c r="D806" s="124"/>
      <c r="E806" s="124"/>
      <c r="F806" s="124"/>
      <c r="G806" s="124"/>
      <c r="H806" s="124"/>
      <c r="I806" s="124"/>
      <c r="J806" s="124"/>
      <c r="K806" s="124"/>
      <c r="L806" s="124"/>
      <c r="M806" s="124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4"/>
    </row>
    <row r="807" ht="17.25" customHeight="1">
      <c r="A807" s="124"/>
      <c r="B807" s="1"/>
      <c r="C807" s="1"/>
      <c r="D807" s="124"/>
      <c r="E807" s="124"/>
      <c r="F807" s="124"/>
      <c r="G807" s="124"/>
      <c r="H807" s="124"/>
      <c r="I807" s="124"/>
      <c r="J807" s="124"/>
      <c r="K807" s="124"/>
      <c r="L807" s="124"/>
      <c r="M807" s="124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4"/>
    </row>
    <row r="808" ht="17.25" customHeight="1">
      <c r="A808" s="124"/>
      <c r="B808" s="1"/>
      <c r="C808" s="1"/>
      <c r="D808" s="124"/>
      <c r="E808" s="124"/>
      <c r="F808" s="124"/>
      <c r="G808" s="124"/>
      <c r="H808" s="124"/>
      <c r="I808" s="124"/>
      <c r="J808" s="124"/>
      <c r="K808" s="124"/>
      <c r="L808" s="124"/>
      <c r="M808" s="124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4"/>
    </row>
    <row r="809" ht="17.25" customHeight="1">
      <c r="A809" s="124"/>
      <c r="B809" s="1"/>
      <c r="C809" s="1"/>
      <c r="D809" s="124"/>
      <c r="E809" s="124"/>
      <c r="F809" s="124"/>
      <c r="G809" s="124"/>
      <c r="H809" s="124"/>
      <c r="I809" s="124"/>
      <c r="J809" s="124"/>
      <c r="K809" s="124"/>
      <c r="L809" s="124"/>
      <c r="M809" s="124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4"/>
    </row>
    <row r="810" ht="17.25" customHeight="1">
      <c r="A810" s="124"/>
      <c r="B810" s="1"/>
      <c r="C810" s="1"/>
      <c r="D810" s="124"/>
      <c r="E810" s="124"/>
      <c r="F810" s="124"/>
      <c r="G810" s="124"/>
      <c r="H810" s="124"/>
      <c r="I810" s="124"/>
      <c r="J810" s="124"/>
      <c r="K810" s="124"/>
      <c r="L810" s="124"/>
      <c r="M810" s="124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4"/>
    </row>
    <row r="811" ht="17.25" customHeight="1">
      <c r="A811" s="124"/>
      <c r="B811" s="1"/>
      <c r="C811" s="1"/>
      <c r="D811" s="124"/>
      <c r="E811" s="124"/>
      <c r="F811" s="124"/>
      <c r="G811" s="124"/>
      <c r="H811" s="124"/>
      <c r="I811" s="124"/>
      <c r="J811" s="124"/>
      <c r="K811" s="124"/>
      <c r="L811" s="124"/>
      <c r="M811" s="124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4"/>
    </row>
    <row r="812" ht="17.25" customHeight="1">
      <c r="A812" s="124"/>
      <c r="B812" s="1"/>
      <c r="C812" s="1"/>
      <c r="D812" s="124"/>
      <c r="E812" s="124"/>
      <c r="F812" s="124"/>
      <c r="G812" s="124"/>
      <c r="H812" s="124"/>
      <c r="I812" s="124"/>
      <c r="J812" s="124"/>
      <c r="K812" s="124"/>
      <c r="L812" s="124"/>
      <c r="M812" s="124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4"/>
    </row>
    <row r="813" ht="17.25" customHeight="1">
      <c r="A813" s="124"/>
      <c r="B813" s="1"/>
      <c r="C813" s="1"/>
      <c r="D813" s="124"/>
      <c r="E813" s="124"/>
      <c r="F813" s="124"/>
      <c r="G813" s="124"/>
      <c r="H813" s="124"/>
      <c r="I813" s="124"/>
      <c r="J813" s="124"/>
      <c r="K813" s="124"/>
      <c r="L813" s="124"/>
      <c r="M813" s="124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4"/>
    </row>
    <row r="814" ht="17.25" customHeight="1">
      <c r="A814" s="124"/>
      <c r="B814" s="1"/>
      <c r="C814" s="1"/>
      <c r="D814" s="124"/>
      <c r="E814" s="124"/>
      <c r="F814" s="124"/>
      <c r="G814" s="124"/>
      <c r="H814" s="124"/>
      <c r="I814" s="124"/>
      <c r="J814" s="124"/>
      <c r="K814" s="124"/>
      <c r="L814" s="124"/>
      <c r="M814" s="124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4"/>
    </row>
    <row r="815" ht="17.25" customHeight="1">
      <c r="A815" s="124"/>
      <c r="B815" s="1"/>
      <c r="C815" s="1"/>
      <c r="D815" s="124"/>
      <c r="E815" s="124"/>
      <c r="F815" s="124"/>
      <c r="G815" s="124"/>
      <c r="H815" s="124"/>
      <c r="I815" s="124"/>
      <c r="J815" s="124"/>
      <c r="K815" s="124"/>
      <c r="L815" s="124"/>
      <c r="M815" s="124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4"/>
    </row>
    <row r="816" ht="17.25" customHeight="1">
      <c r="A816" s="124"/>
      <c r="B816" s="1"/>
      <c r="C816" s="1"/>
      <c r="D816" s="124"/>
      <c r="E816" s="124"/>
      <c r="F816" s="124"/>
      <c r="G816" s="124"/>
      <c r="H816" s="124"/>
      <c r="I816" s="124"/>
      <c r="J816" s="124"/>
      <c r="K816" s="124"/>
      <c r="L816" s="124"/>
      <c r="M816" s="124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4"/>
    </row>
    <row r="817" ht="17.25" customHeight="1">
      <c r="A817" s="124"/>
      <c r="B817" s="1"/>
      <c r="C817" s="1"/>
      <c r="D817" s="124"/>
      <c r="E817" s="124"/>
      <c r="F817" s="124"/>
      <c r="G817" s="124"/>
      <c r="H817" s="124"/>
      <c r="I817" s="124"/>
      <c r="J817" s="124"/>
      <c r="K817" s="124"/>
      <c r="L817" s="124"/>
      <c r="M817" s="124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4"/>
    </row>
    <row r="818" ht="17.25" customHeight="1">
      <c r="A818" s="124"/>
      <c r="B818" s="1"/>
      <c r="C818" s="1"/>
      <c r="D818" s="124"/>
      <c r="E818" s="124"/>
      <c r="F818" s="124"/>
      <c r="G818" s="124"/>
      <c r="H818" s="124"/>
      <c r="I818" s="124"/>
      <c r="J818" s="124"/>
      <c r="K818" s="124"/>
      <c r="L818" s="124"/>
      <c r="M818" s="124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4"/>
    </row>
    <row r="819" ht="17.25" customHeight="1">
      <c r="A819" s="124"/>
      <c r="B819" s="1"/>
      <c r="C819" s="1"/>
      <c r="D819" s="124"/>
      <c r="E819" s="124"/>
      <c r="F819" s="124"/>
      <c r="G819" s="124"/>
      <c r="H819" s="124"/>
      <c r="I819" s="124"/>
      <c r="J819" s="124"/>
      <c r="K819" s="124"/>
      <c r="L819" s="124"/>
      <c r="M819" s="124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4"/>
    </row>
    <row r="820" ht="17.25" customHeight="1">
      <c r="A820" s="124"/>
      <c r="B820" s="1"/>
      <c r="C820" s="1"/>
      <c r="D820" s="124"/>
      <c r="E820" s="124"/>
      <c r="F820" s="124"/>
      <c r="G820" s="124"/>
      <c r="H820" s="124"/>
      <c r="I820" s="124"/>
      <c r="J820" s="124"/>
      <c r="K820" s="124"/>
      <c r="L820" s="124"/>
      <c r="M820" s="124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4"/>
    </row>
    <row r="821" ht="17.25" customHeight="1">
      <c r="A821" s="124"/>
      <c r="B821" s="1"/>
      <c r="C821" s="1"/>
      <c r="D821" s="124"/>
      <c r="E821" s="124"/>
      <c r="F821" s="124"/>
      <c r="G821" s="124"/>
      <c r="H821" s="124"/>
      <c r="I821" s="124"/>
      <c r="J821" s="124"/>
      <c r="K821" s="124"/>
      <c r="L821" s="124"/>
      <c r="M821" s="124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4"/>
    </row>
    <row r="822" ht="17.25" customHeight="1">
      <c r="A822" s="124"/>
      <c r="B822" s="1"/>
      <c r="C822" s="1"/>
      <c r="D822" s="124"/>
      <c r="E822" s="124"/>
      <c r="F822" s="124"/>
      <c r="G822" s="124"/>
      <c r="H822" s="124"/>
      <c r="I822" s="124"/>
      <c r="J822" s="124"/>
      <c r="K822" s="124"/>
      <c r="L822" s="124"/>
      <c r="M822" s="124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4"/>
    </row>
    <row r="823" ht="17.25" customHeight="1">
      <c r="A823" s="124"/>
      <c r="B823" s="1"/>
      <c r="C823" s="1"/>
      <c r="D823" s="124"/>
      <c r="E823" s="124"/>
      <c r="F823" s="124"/>
      <c r="G823" s="124"/>
      <c r="H823" s="124"/>
      <c r="I823" s="124"/>
      <c r="J823" s="124"/>
      <c r="K823" s="124"/>
      <c r="L823" s="124"/>
      <c r="M823" s="124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4"/>
    </row>
    <row r="824" ht="17.25" customHeight="1">
      <c r="A824" s="124"/>
      <c r="B824" s="1"/>
      <c r="C824" s="1"/>
      <c r="D824" s="124"/>
      <c r="E824" s="124"/>
      <c r="F824" s="124"/>
      <c r="G824" s="124"/>
      <c r="H824" s="124"/>
      <c r="I824" s="124"/>
      <c r="J824" s="124"/>
      <c r="K824" s="124"/>
      <c r="L824" s="124"/>
      <c r="M824" s="124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4"/>
    </row>
    <row r="825" ht="17.25" customHeight="1">
      <c r="A825" s="124"/>
      <c r="B825" s="1"/>
      <c r="C825" s="1"/>
      <c r="D825" s="124"/>
      <c r="E825" s="124"/>
      <c r="F825" s="124"/>
      <c r="G825" s="124"/>
      <c r="H825" s="124"/>
      <c r="I825" s="124"/>
      <c r="J825" s="124"/>
      <c r="K825" s="124"/>
      <c r="L825" s="124"/>
      <c r="M825" s="124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4"/>
    </row>
    <row r="826" ht="17.25" customHeight="1">
      <c r="A826" s="124"/>
      <c r="B826" s="1"/>
      <c r="C826" s="1"/>
      <c r="D826" s="124"/>
      <c r="E826" s="124"/>
      <c r="F826" s="124"/>
      <c r="G826" s="124"/>
      <c r="H826" s="124"/>
      <c r="I826" s="124"/>
      <c r="J826" s="124"/>
      <c r="K826" s="124"/>
      <c r="L826" s="124"/>
      <c r="M826" s="124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4"/>
    </row>
    <row r="827" ht="17.25" customHeight="1">
      <c r="A827" s="124"/>
      <c r="B827" s="1"/>
      <c r="C827" s="1"/>
      <c r="D827" s="124"/>
      <c r="E827" s="124"/>
      <c r="F827" s="124"/>
      <c r="G827" s="124"/>
      <c r="H827" s="124"/>
      <c r="I827" s="124"/>
      <c r="J827" s="124"/>
      <c r="K827" s="124"/>
      <c r="L827" s="124"/>
      <c r="M827" s="124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4"/>
    </row>
    <row r="828" ht="17.25" customHeight="1">
      <c r="A828" s="124"/>
      <c r="B828" s="1"/>
      <c r="C828" s="1"/>
      <c r="D828" s="124"/>
      <c r="E828" s="124"/>
      <c r="F828" s="124"/>
      <c r="G828" s="124"/>
      <c r="H828" s="124"/>
      <c r="I828" s="124"/>
      <c r="J828" s="124"/>
      <c r="K828" s="124"/>
      <c r="L828" s="124"/>
      <c r="M828" s="124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4"/>
    </row>
    <row r="829" ht="17.25" customHeight="1">
      <c r="A829" s="124"/>
      <c r="B829" s="1"/>
      <c r="C829" s="1"/>
      <c r="D829" s="124"/>
      <c r="E829" s="124"/>
      <c r="F829" s="124"/>
      <c r="G829" s="124"/>
      <c r="H829" s="124"/>
      <c r="I829" s="124"/>
      <c r="J829" s="124"/>
      <c r="K829" s="124"/>
      <c r="L829" s="124"/>
      <c r="M829" s="124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4"/>
    </row>
    <row r="830" ht="17.25" customHeight="1">
      <c r="A830" s="124"/>
      <c r="B830" s="1"/>
      <c r="C830" s="1"/>
      <c r="D830" s="124"/>
      <c r="E830" s="124"/>
      <c r="F830" s="124"/>
      <c r="G830" s="124"/>
      <c r="H830" s="124"/>
      <c r="I830" s="124"/>
      <c r="J830" s="124"/>
      <c r="K830" s="124"/>
      <c r="L830" s="124"/>
      <c r="M830" s="124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4"/>
    </row>
    <row r="831" ht="17.25" customHeight="1">
      <c r="A831" s="124"/>
      <c r="B831" s="1"/>
      <c r="C831" s="1"/>
      <c r="D831" s="124"/>
      <c r="E831" s="124"/>
      <c r="F831" s="124"/>
      <c r="G831" s="124"/>
      <c r="H831" s="124"/>
      <c r="I831" s="124"/>
      <c r="J831" s="124"/>
      <c r="K831" s="124"/>
      <c r="L831" s="124"/>
      <c r="M831" s="124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4"/>
    </row>
    <row r="832" ht="17.25" customHeight="1">
      <c r="A832" s="124"/>
      <c r="B832" s="1"/>
      <c r="C832" s="1"/>
      <c r="D832" s="124"/>
      <c r="E832" s="124"/>
      <c r="F832" s="124"/>
      <c r="G832" s="124"/>
      <c r="H832" s="124"/>
      <c r="I832" s="124"/>
      <c r="J832" s="124"/>
      <c r="K832" s="124"/>
      <c r="L832" s="124"/>
      <c r="M832" s="124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4"/>
    </row>
    <row r="833" ht="17.25" customHeight="1">
      <c r="A833" s="124"/>
      <c r="B833" s="1"/>
      <c r="C833" s="1"/>
      <c r="D833" s="124"/>
      <c r="E833" s="124"/>
      <c r="F833" s="124"/>
      <c r="G833" s="124"/>
      <c r="H833" s="124"/>
      <c r="I833" s="124"/>
      <c r="J833" s="124"/>
      <c r="K833" s="124"/>
      <c r="L833" s="124"/>
      <c r="M833" s="124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4"/>
    </row>
    <row r="834" ht="17.25" customHeight="1">
      <c r="A834" s="124"/>
      <c r="B834" s="1"/>
      <c r="C834" s="1"/>
      <c r="D834" s="124"/>
      <c r="E834" s="124"/>
      <c r="F834" s="124"/>
      <c r="G834" s="124"/>
      <c r="H834" s="124"/>
      <c r="I834" s="124"/>
      <c r="J834" s="124"/>
      <c r="K834" s="124"/>
      <c r="L834" s="124"/>
      <c r="M834" s="124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4"/>
    </row>
    <row r="835" ht="17.25" customHeight="1">
      <c r="A835" s="124"/>
      <c r="B835" s="1"/>
      <c r="C835" s="1"/>
      <c r="D835" s="124"/>
      <c r="E835" s="124"/>
      <c r="F835" s="124"/>
      <c r="G835" s="124"/>
      <c r="H835" s="124"/>
      <c r="I835" s="124"/>
      <c r="J835" s="124"/>
      <c r="K835" s="124"/>
      <c r="L835" s="124"/>
      <c r="M835" s="124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4"/>
    </row>
    <row r="836" ht="17.25" customHeight="1">
      <c r="A836" s="124"/>
      <c r="B836" s="1"/>
      <c r="C836" s="1"/>
      <c r="D836" s="124"/>
      <c r="E836" s="124"/>
      <c r="F836" s="124"/>
      <c r="G836" s="124"/>
      <c r="H836" s="124"/>
      <c r="I836" s="124"/>
      <c r="J836" s="124"/>
      <c r="K836" s="124"/>
      <c r="L836" s="124"/>
      <c r="M836" s="124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4"/>
    </row>
    <row r="837" ht="17.25" customHeight="1">
      <c r="A837" s="124"/>
      <c r="B837" s="1"/>
      <c r="C837" s="1"/>
      <c r="D837" s="124"/>
      <c r="E837" s="124"/>
      <c r="F837" s="124"/>
      <c r="G837" s="124"/>
      <c r="H837" s="124"/>
      <c r="I837" s="124"/>
      <c r="J837" s="124"/>
      <c r="K837" s="124"/>
      <c r="L837" s="124"/>
      <c r="M837" s="124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4"/>
    </row>
    <row r="838" ht="17.25" customHeight="1">
      <c r="A838" s="124"/>
      <c r="B838" s="1"/>
      <c r="C838" s="1"/>
      <c r="D838" s="124"/>
      <c r="E838" s="124"/>
      <c r="F838" s="124"/>
      <c r="G838" s="124"/>
      <c r="H838" s="124"/>
      <c r="I838" s="124"/>
      <c r="J838" s="124"/>
      <c r="K838" s="124"/>
      <c r="L838" s="124"/>
      <c r="M838" s="124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4"/>
    </row>
    <row r="839" ht="17.25" customHeight="1">
      <c r="A839" s="124"/>
      <c r="B839" s="1"/>
      <c r="C839" s="1"/>
      <c r="D839" s="124"/>
      <c r="E839" s="124"/>
      <c r="F839" s="124"/>
      <c r="G839" s="124"/>
      <c r="H839" s="124"/>
      <c r="I839" s="124"/>
      <c r="J839" s="124"/>
      <c r="K839" s="124"/>
      <c r="L839" s="124"/>
      <c r="M839" s="124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4"/>
    </row>
    <row r="840" ht="17.25" customHeight="1">
      <c r="A840" s="124"/>
      <c r="B840" s="1"/>
      <c r="C840" s="1"/>
      <c r="D840" s="124"/>
      <c r="E840" s="124"/>
      <c r="F840" s="124"/>
      <c r="G840" s="124"/>
      <c r="H840" s="124"/>
      <c r="I840" s="124"/>
      <c r="J840" s="124"/>
      <c r="K840" s="124"/>
      <c r="L840" s="124"/>
      <c r="M840" s="124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4"/>
    </row>
    <row r="841" ht="17.25" customHeight="1">
      <c r="A841" s="124"/>
      <c r="B841" s="1"/>
      <c r="C841" s="1"/>
      <c r="D841" s="124"/>
      <c r="E841" s="124"/>
      <c r="F841" s="124"/>
      <c r="G841" s="124"/>
      <c r="H841" s="124"/>
      <c r="I841" s="124"/>
      <c r="J841" s="124"/>
      <c r="K841" s="124"/>
      <c r="L841" s="124"/>
      <c r="M841" s="124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4"/>
    </row>
    <row r="842" ht="17.25" customHeight="1">
      <c r="A842" s="124"/>
      <c r="B842" s="1"/>
      <c r="C842" s="1"/>
      <c r="D842" s="124"/>
      <c r="E842" s="124"/>
      <c r="F842" s="124"/>
      <c r="G842" s="124"/>
      <c r="H842" s="124"/>
      <c r="I842" s="124"/>
      <c r="J842" s="124"/>
      <c r="K842" s="124"/>
      <c r="L842" s="124"/>
      <c r="M842" s="124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4"/>
    </row>
    <row r="843" ht="17.25" customHeight="1">
      <c r="A843" s="124"/>
      <c r="B843" s="1"/>
      <c r="C843" s="1"/>
      <c r="D843" s="124"/>
      <c r="E843" s="124"/>
      <c r="F843" s="124"/>
      <c r="G843" s="124"/>
      <c r="H843" s="124"/>
      <c r="I843" s="124"/>
      <c r="J843" s="124"/>
      <c r="K843" s="124"/>
      <c r="L843" s="124"/>
      <c r="M843" s="124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4"/>
    </row>
    <row r="844" ht="17.25" customHeight="1">
      <c r="A844" s="124"/>
      <c r="B844" s="1"/>
      <c r="C844" s="1"/>
      <c r="D844" s="124"/>
      <c r="E844" s="124"/>
      <c r="F844" s="124"/>
      <c r="G844" s="124"/>
      <c r="H844" s="124"/>
      <c r="I844" s="124"/>
      <c r="J844" s="124"/>
      <c r="K844" s="124"/>
      <c r="L844" s="124"/>
      <c r="M844" s="124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4"/>
    </row>
    <row r="845" ht="17.25" customHeight="1">
      <c r="A845" s="124"/>
      <c r="B845" s="1"/>
      <c r="C845" s="1"/>
      <c r="D845" s="124"/>
      <c r="E845" s="124"/>
      <c r="F845" s="124"/>
      <c r="G845" s="124"/>
      <c r="H845" s="124"/>
      <c r="I845" s="124"/>
      <c r="J845" s="124"/>
      <c r="K845" s="124"/>
      <c r="L845" s="124"/>
      <c r="M845" s="124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4"/>
    </row>
    <row r="846" ht="17.25" customHeight="1">
      <c r="A846" s="124"/>
      <c r="B846" s="1"/>
      <c r="C846" s="1"/>
      <c r="D846" s="124"/>
      <c r="E846" s="124"/>
      <c r="F846" s="124"/>
      <c r="G846" s="124"/>
      <c r="H846" s="124"/>
      <c r="I846" s="124"/>
      <c r="J846" s="124"/>
      <c r="K846" s="124"/>
      <c r="L846" s="124"/>
      <c r="M846" s="124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4"/>
    </row>
    <row r="847" ht="17.25" customHeight="1">
      <c r="A847" s="124"/>
      <c r="B847" s="1"/>
      <c r="C847" s="1"/>
      <c r="D847" s="124"/>
      <c r="E847" s="124"/>
      <c r="F847" s="124"/>
      <c r="G847" s="124"/>
      <c r="H847" s="124"/>
      <c r="I847" s="124"/>
      <c r="J847" s="124"/>
      <c r="K847" s="124"/>
      <c r="L847" s="124"/>
      <c r="M847" s="124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4"/>
    </row>
    <row r="848" ht="17.25" customHeight="1">
      <c r="A848" s="124"/>
      <c r="B848" s="1"/>
      <c r="C848" s="1"/>
      <c r="D848" s="124"/>
      <c r="E848" s="124"/>
      <c r="F848" s="124"/>
      <c r="G848" s="124"/>
      <c r="H848" s="124"/>
      <c r="I848" s="124"/>
      <c r="J848" s="124"/>
      <c r="K848" s="124"/>
      <c r="L848" s="124"/>
      <c r="M848" s="124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4"/>
    </row>
    <row r="849" ht="17.25" customHeight="1">
      <c r="A849" s="124"/>
      <c r="B849" s="1"/>
      <c r="C849" s="1"/>
      <c r="D849" s="124"/>
      <c r="E849" s="124"/>
      <c r="F849" s="124"/>
      <c r="G849" s="124"/>
      <c r="H849" s="124"/>
      <c r="I849" s="124"/>
      <c r="J849" s="124"/>
      <c r="K849" s="124"/>
      <c r="L849" s="124"/>
      <c r="M849" s="124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4"/>
    </row>
    <row r="850" ht="17.25" customHeight="1">
      <c r="A850" s="124"/>
      <c r="B850" s="1"/>
      <c r="C850" s="1"/>
      <c r="D850" s="124"/>
      <c r="E850" s="124"/>
      <c r="F850" s="124"/>
      <c r="G850" s="124"/>
      <c r="H850" s="124"/>
      <c r="I850" s="124"/>
      <c r="J850" s="124"/>
      <c r="K850" s="124"/>
      <c r="L850" s="124"/>
      <c r="M850" s="124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4"/>
    </row>
    <row r="851" ht="17.25" customHeight="1">
      <c r="A851" s="124"/>
      <c r="B851" s="1"/>
      <c r="C851" s="1"/>
      <c r="D851" s="124"/>
      <c r="E851" s="124"/>
      <c r="F851" s="124"/>
      <c r="G851" s="124"/>
      <c r="H851" s="124"/>
      <c r="I851" s="124"/>
      <c r="J851" s="124"/>
      <c r="K851" s="124"/>
      <c r="L851" s="124"/>
      <c r="M851" s="124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4"/>
    </row>
    <row r="852" ht="17.25" customHeight="1">
      <c r="A852" s="124"/>
      <c r="B852" s="1"/>
      <c r="C852" s="1"/>
      <c r="D852" s="124"/>
      <c r="E852" s="124"/>
      <c r="F852" s="124"/>
      <c r="G852" s="124"/>
      <c r="H852" s="124"/>
      <c r="I852" s="124"/>
      <c r="J852" s="124"/>
      <c r="K852" s="124"/>
      <c r="L852" s="124"/>
      <c r="M852" s="124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4"/>
    </row>
    <row r="853" ht="17.25" customHeight="1">
      <c r="A853" s="124"/>
      <c r="B853" s="1"/>
      <c r="C853" s="1"/>
      <c r="D853" s="124"/>
      <c r="E853" s="124"/>
      <c r="F853" s="124"/>
      <c r="G853" s="124"/>
      <c r="H853" s="124"/>
      <c r="I853" s="124"/>
      <c r="J853" s="124"/>
      <c r="K853" s="124"/>
      <c r="L853" s="124"/>
      <c r="M853" s="124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4"/>
    </row>
    <row r="854" ht="17.25" customHeight="1">
      <c r="A854" s="124"/>
      <c r="B854" s="1"/>
      <c r="C854" s="1"/>
      <c r="D854" s="124"/>
      <c r="E854" s="124"/>
      <c r="F854" s="124"/>
      <c r="G854" s="124"/>
      <c r="H854" s="124"/>
      <c r="I854" s="124"/>
      <c r="J854" s="124"/>
      <c r="K854" s="124"/>
      <c r="L854" s="124"/>
      <c r="M854" s="124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4"/>
    </row>
    <row r="855" ht="17.25" customHeight="1">
      <c r="A855" s="124"/>
      <c r="B855" s="1"/>
      <c r="C855" s="1"/>
      <c r="D855" s="124"/>
      <c r="E855" s="124"/>
      <c r="F855" s="124"/>
      <c r="G855" s="124"/>
      <c r="H855" s="124"/>
      <c r="I855" s="124"/>
      <c r="J855" s="124"/>
      <c r="K855" s="124"/>
      <c r="L855" s="124"/>
      <c r="M855" s="124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4"/>
    </row>
    <row r="856" ht="17.25" customHeight="1">
      <c r="A856" s="124"/>
      <c r="B856" s="1"/>
      <c r="C856" s="1"/>
      <c r="D856" s="124"/>
      <c r="E856" s="124"/>
      <c r="F856" s="124"/>
      <c r="G856" s="124"/>
      <c r="H856" s="124"/>
      <c r="I856" s="124"/>
      <c r="J856" s="124"/>
      <c r="K856" s="124"/>
      <c r="L856" s="124"/>
      <c r="M856" s="124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4"/>
    </row>
    <row r="857" ht="17.25" customHeight="1">
      <c r="A857" s="124"/>
      <c r="B857" s="1"/>
      <c r="C857" s="1"/>
      <c r="D857" s="124"/>
      <c r="E857" s="124"/>
      <c r="F857" s="124"/>
      <c r="G857" s="124"/>
      <c r="H857" s="124"/>
      <c r="I857" s="124"/>
      <c r="J857" s="124"/>
      <c r="K857" s="124"/>
      <c r="L857" s="124"/>
      <c r="M857" s="124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4"/>
    </row>
    <row r="858" ht="17.25" customHeight="1">
      <c r="A858" s="124"/>
      <c r="B858" s="1"/>
      <c r="C858" s="1"/>
      <c r="D858" s="124"/>
      <c r="E858" s="124"/>
      <c r="F858" s="124"/>
      <c r="G858" s="124"/>
      <c r="H858" s="124"/>
      <c r="I858" s="124"/>
      <c r="J858" s="124"/>
      <c r="K858" s="124"/>
      <c r="L858" s="124"/>
      <c r="M858" s="124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4"/>
    </row>
    <row r="859" ht="17.25" customHeight="1">
      <c r="A859" s="124"/>
      <c r="B859" s="1"/>
      <c r="C859" s="1"/>
      <c r="D859" s="124"/>
      <c r="E859" s="124"/>
      <c r="F859" s="124"/>
      <c r="G859" s="124"/>
      <c r="H859" s="124"/>
      <c r="I859" s="124"/>
      <c r="J859" s="124"/>
      <c r="K859" s="124"/>
      <c r="L859" s="124"/>
      <c r="M859" s="124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4"/>
    </row>
    <row r="860" ht="17.25" customHeight="1">
      <c r="A860" s="124"/>
      <c r="B860" s="1"/>
      <c r="C860" s="1"/>
      <c r="D860" s="124"/>
      <c r="E860" s="124"/>
      <c r="F860" s="124"/>
      <c r="G860" s="124"/>
      <c r="H860" s="124"/>
      <c r="I860" s="124"/>
      <c r="J860" s="124"/>
      <c r="K860" s="124"/>
      <c r="L860" s="124"/>
      <c r="M860" s="124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4"/>
    </row>
    <row r="861" ht="17.25" customHeight="1">
      <c r="A861" s="124"/>
      <c r="B861" s="1"/>
      <c r="C861" s="1"/>
      <c r="D861" s="124"/>
      <c r="E861" s="124"/>
      <c r="F861" s="124"/>
      <c r="G861" s="124"/>
      <c r="H861" s="124"/>
      <c r="I861" s="124"/>
      <c r="J861" s="124"/>
      <c r="K861" s="124"/>
      <c r="L861" s="124"/>
      <c r="M861" s="124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4"/>
    </row>
    <row r="862" ht="17.25" customHeight="1">
      <c r="A862" s="124"/>
      <c r="B862" s="1"/>
      <c r="C862" s="1"/>
      <c r="D862" s="124"/>
      <c r="E862" s="124"/>
      <c r="F862" s="124"/>
      <c r="G862" s="124"/>
      <c r="H862" s="124"/>
      <c r="I862" s="124"/>
      <c r="J862" s="124"/>
      <c r="K862" s="124"/>
      <c r="L862" s="124"/>
      <c r="M862" s="124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4"/>
    </row>
    <row r="863" ht="17.25" customHeight="1">
      <c r="A863" s="124"/>
      <c r="B863" s="1"/>
      <c r="C863" s="1"/>
      <c r="D863" s="124"/>
      <c r="E863" s="124"/>
      <c r="F863" s="124"/>
      <c r="G863" s="124"/>
      <c r="H863" s="124"/>
      <c r="I863" s="124"/>
      <c r="J863" s="124"/>
      <c r="K863" s="124"/>
      <c r="L863" s="124"/>
      <c r="M863" s="124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4"/>
    </row>
    <row r="864" ht="17.25" customHeight="1">
      <c r="A864" s="124"/>
      <c r="B864" s="1"/>
      <c r="C864" s="1"/>
      <c r="D864" s="124"/>
      <c r="E864" s="124"/>
      <c r="F864" s="124"/>
      <c r="G864" s="124"/>
      <c r="H864" s="124"/>
      <c r="I864" s="124"/>
      <c r="J864" s="124"/>
      <c r="K864" s="124"/>
      <c r="L864" s="124"/>
      <c r="M864" s="124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4"/>
    </row>
    <row r="865" ht="17.25" customHeight="1">
      <c r="A865" s="124"/>
      <c r="B865" s="1"/>
      <c r="C865" s="1"/>
      <c r="D865" s="124"/>
      <c r="E865" s="124"/>
      <c r="F865" s="124"/>
      <c r="G865" s="124"/>
      <c r="H865" s="124"/>
      <c r="I865" s="124"/>
      <c r="J865" s="124"/>
      <c r="K865" s="124"/>
      <c r="L865" s="124"/>
      <c r="M865" s="124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4"/>
    </row>
    <row r="866" ht="17.25" customHeight="1">
      <c r="A866" s="124"/>
      <c r="B866" s="1"/>
      <c r="C866" s="1"/>
      <c r="D866" s="124"/>
      <c r="E866" s="124"/>
      <c r="F866" s="124"/>
      <c r="G866" s="124"/>
      <c r="H866" s="124"/>
      <c r="I866" s="124"/>
      <c r="J866" s="124"/>
      <c r="K866" s="124"/>
      <c r="L866" s="124"/>
      <c r="M866" s="124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4"/>
    </row>
    <row r="867" ht="17.25" customHeight="1">
      <c r="A867" s="124"/>
      <c r="B867" s="1"/>
      <c r="C867" s="1"/>
      <c r="D867" s="124"/>
      <c r="E867" s="124"/>
      <c r="F867" s="124"/>
      <c r="G867" s="124"/>
      <c r="H867" s="124"/>
      <c r="I867" s="124"/>
      <c r="J867" s="124"/>
      <c r="K867" s="124"/>
      <c r="L867" s="124"/>
      <c r="M867" s="124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4"/>
    </row>
    <row r="868" ht="17.25" customHeight="1">
      <c r="A868" s="124"/>
      <c r="B868" s="1"/>
      <c r="C868" s="1"/>
      <c r="D868" s="124"/>
      <c r="E868" s="124"/>
      <c r="F868" s="124"/>
      <c r="G868" s="124"/>
      <c r="H868" s="124"/>
      <c r="I868" s="124"/>
      <c r="J868" s="124"/>
      <c r="K868" s="124"/>
      <c r="L868" s="124"/>
      <c r="M868" s="124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4"/>
    </row>
    <row r="869" ht="17.25" customHeight="1">
      <c r="A869" s="124"/>
      <c r="B869" s="1"/>
      <c r="C869" s="1"/>
      <c r="D869" s="124"/>
      <c r="E869" s="124"/>
      <c r="F869" s="124"/>
      <c r="G869" s="124"/>
      <c r="H869" s="124"/>
      <c r="I869" s="124"/>
      <c r="J869" s="124"/>
      <c r="K869" s="124"/>
      <c r="L869" s="124"/>
      <c r="M869" s="124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4"/>
    </row>
    <row r="870" ht="17.25" customHeight="1">
      <c r="A870" s="124"/>
      <c r="B870" s="1"/>
      <c r="C870" s="1"/>
      <c r="D870" s="124"/>
      <c r="E870" s="124"/>
      <c r="F870" s="124"/>
      <c r="G870" s="124"/>
      <c r="H870" s="124"/>
      <c r="I870" s="124"/>
      <c r="J870" s="124"/>
      <c r="K870" s="124"/>
      <c r="L870" s="124"/>
      <c r="M870" s="124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4"/>
    </row>
    <row r="871" ht="17.25" customHeight="1">
      <c r="A871" s="124"/>
      <c r="B871" s="1"/>
      <c r="C871" s="1"/>
      <c r="D871" s="124"/>
      <c r="E871" s="124"/>
      <c r="F871" s="124"/>
      <c r="G871" s="124"/>
      <c r="H871" s="124"/>
      <c r="I871" s="124"/>
      <c r="J871" s="124"/>
      <c r="K871" s="124"/>
      <c r="L871" s="124"/>
      <c r="M871" s="124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4"/>
    </row>
    <row r="872" ht="17.25" customHeight="1">
      <c r="A872" s="124"/>
      <c r="B872" s="1"/>
      <c r="C872" s="1"/>
      <c r="D872" s="124"/>
      <c r="E872" s="124"/>
      <c r="F872" s="124"/>
      <c r="G872" s="124"/>
      <c r="H872" s="124"/>
      <c r="I872" s="124"/>
      <c r="J872" s="124"/>
      <c r="K872" s="124"/>
      <c r="L872" s="124"/>
      <c r="M872" s="124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4"/>
    </row>
    <row r="873" ht="17.25" customHeight="1">
      <c r="A873" s="124"/>
      <c r="B873" s="1"/>
      <c r="C873" s="1"/>
      <c r="D873" s="124"/>
      <c r="E873" s="124"/>
      <c r="F873" s="124"/>
      <c r="G873" s="124"/>
      <c r="H873" s="124"/>
      <c r="I873" s="124"/>
      <c r="J873" s="124"/>
      <c r="K873" s="124"/>
      <c r="L873" s="124"/>
      <c r="M873" s="124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4"/>
    </row>
    <row r="874" ht="17.25" customHeight="1">
      <c r="A874" s="124"/>
      <c r="B874" s="1"/>
      <c r="C874" s="1"/>
      <c r="D874" s="124"/>
      <c r="E874" s="124"/>
      <c r="F874" s="124"/>
      <c r="G874" s="124"/>
      <c r="H874" s="124"/>
      <c r="I874" s="124"/>
      <c r="J874" s="124"/>
      <c r="K874" s="124"/>
      <c r="L874" s="124"/>
      <c r="M874" s="124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4"/>
    </row>
    <row r="875" ht="17.25" customHeight="1">
      <c r="A875" s="124"/>
      <c r="B875" s="1"/>
      <c r="C875" s="1"/>
      <c r="D875" s="124"/>
      <c r="E875" s="124"/>
      <c r="F875" s="124"/>
      <c r="G875" s="124"/>
      <c r="H875" s="124"/>
      <c r="I875" s="124"/>
      <c r="J875" s="124"/>
      <c r="K875" s="124"/>
      <c r="L875" s="124"/>
      <c r="M875" s="124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4"/>
    </row>
    <row r="876" ht="17.25" customHeight="1">
      <c r="A876" s="124"/>
      <c r="B876" s="1"/>
      <c r="C876" s="1"/>
      <c r="D876" s="124"/>
      <c r="E876" s="124"/>
      <c r="F876" s="124"/>
      <c r="G876" s="124"/>
      <c r="H876" s="124"/>
      <c r="I876" s="124"/>
      <c r="J876" s="124"/>
      <c r="K876" s="124"/>
      <c r="L876" s="124"/>
      <c r="M876" s="124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4"/>
    </row>
    <row r="877" ht="17.25" customHeight="1">
      <c r="A877" s="124"/>
      <c r="B877" s="1"/>
      <c r="C877" s="1"/>
      <c r="D877" s="124"/>
      <c r="E877" s="124"/>
      <c r="F877" s="124"/>
      <c r="G877" s="124"/>
      <c r="H877" s="124"/>
      <c r="I877" s="124"/>
      <c r="J877" s="124"/>
      <c r="K877" s="124"/>
      <c r="L877" s="124"/>
      <c r="M877" s="124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4"/>
    </row>
    <row r="878" ht="17.25" customHeight="1">
      <c r="A878" s="124"/>
      <c r="B878" s="1"/>
      <c r="C878" s="1"/>
      <c r="D878" s="124"/>
      <c r="E878" s="124"/>
      <c r="F878" s="124"/>
      <c r="G878" s="124"/>
      <c r="H878" s="124"/>
      <c r="I878" s="124"/>
      <c r="J878" s="124"/>
      <c r="K878" s="124"/>
      <c r="L878" s="124"/>
      <c r="M878" s="124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4"/>
    </row>
    <row r="879" ht="17.25" customHeight="1">
      <c r="A879" s="124"/>
      <c r="B879" s="1"/>
      <c r="C879" s="1"/>
      <c r="D879" s="124"/>
      <c r="E879" s="124"/>
      <c r="F879" s="124"/>
      <c r="G879" s="124"/>
      <c r="H879" s="124"/>
      <c r="I879" s="124"/>
      <c r="J879" s="124"/>
      <c r="K879" s="124"/>
      <c r="L879" s="124"/>
      <c r="M879" s="124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4"/>
    </row>
    <row r="880" ht="17.25" customHeight="1">
      <c r="A880" s="124"/>
      <c r="B880" s="1"/>
      <c r="C880" s="1"/>
      <c r="D880" s="124"/>
      <c r="E880" s="124"/>
      <c r="F880" s="124"/>
      <c r="G880" s="124"/>
      <c r="H880" s="124"/>
      <c r="I880" s="124"/>
      <c r="J880" s="124"/>
      <c r="K880" s="124"/>
      <c r="L880" s="124"/>
      <c r="M880" s="124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4"/>
    </row>
    <row r="881" ht="17.25" customHeight="1">
      <c r="A881" s="124"/>
      <c r="B881" s="1"/>
      <c r="C881" s="1"/>
      <c r="D881" s="124"/>
      <c r="E881" s="124"/>
      <c r="F881" s="124"/>
      <c r="G881" s="124"/>
      <c r="H881" s="124"/>
      <c r="I881" s="124"/>
      <c r="J881" s="124"/>
      <c r="K881" s="124"/>
      <c r="L881" s="124"/>
      <c r="M881" s="124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4"/>
    </row>
    <row r="882" ht="17.25" customHeight="1">
      <c r="A882" s="124"/>
      <c r="B882" s="1"/>
      <c r="C882" s="1"/>
      <c r="D882" s="124"/>
      <c r="E882" s="124"/>
      <c r="F882" s="124"/>
      <c r="G882" s="124"/>
      <c r="H882" s="124"/>
      <c r="I882" s="124"/>
      <c r="J882" s="124"/>
      <c r="K882" s="124"/>
      <c r="L882" s="124"/>
      <c r="M882" s="124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4"/>
    </row>
    <row r="883" ht="17.25" customHeight="1">
      <c r="A883" s="124"/>
      <c r="B883" s="1"/>
      <c r="C883" s="1"/>
      <c r="D883" s="124"/>
      <c r="E883" s="124"/>
      <c r="F883" s="124"/>
      <c r="G883" s="124"/>
      <c r="H883" s="124"/>
      <c r="I883" s="124"/>
      <c r="J883" s="124"/>
      <c r="K883" s="124"/>
      <c r="L883" s="124"/>
      <c r="M883" s="124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4"/>
    </row>
    <row r="884" ht="17.25" customHeight="1">
      <c r="A884" s="124"/>
      <c r="B884" s="1"/>
      <c r="C884" s="1"/>
      <c r="D884" s="124"/>
      <c r="E884" s="124"/>
      <c r="F884" s="124"/>
      <c r="G884" s="124"/>
      <c r="H884" s="124"/>
      <c r="I884" s="124"/>
      <c r="J884" s="124"/>
      <c r="K884" s="124"/>
      <c r="L884" s="124"/>
      <c r="M884" s="124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4"/>
    </row>
    <row r="885" ht="17.25" customHeight="1">
      <c r="A885" s="124"/>
      <c r="B885" s="1"/>
      <c r="C885" s="1"/>
      <c r="D885" s="124"/>
      <c r="E885" s="124"/>
      <c r="F885" s="124"/>
      <c r="G885" s="124"/>
      <c r="H885" s="124"/>
      <c r="I885" s="124"/>
      <c r="J885" s="124"/>
      <c r="K885" s="124"/>
      <c r="L885" s="124"/>
      <c r="M885" s="124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4"/>
    </row>
    <row r="886" ht="17.25" customHeight="1">
      <c r="A886" s="124"/>
      <c r="B886" s="1"/>
      <c r="C886" s="1"/>
      <c r="D886" s="124"/>
      <c r="E886" s="124"/>
      <c r="F886" s="124"/>
      <c r="G886" s="124"/>
      <c r="H886" s="124"/>
      <c r="I886" s="124"/>
      <c r="J886" s="124"/>
      <c r="K886" s="124"/>
      <c r="L886" s="124"/>
      <c r="M886" s="124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4"/>
    </row>
    <row r="887" ht="17.25" customHeight="1">
      <c r="A887" s="124"/>
      <c r="B887" s="1"/>
      <c r="C887" s="1"/>
      <c r="D887" s="124"/>
      <c r="E887" s="124"/>
      <c r="F887" s="124"/>
      <c r="G887" s="124"/>
      <c r="H887" s="124"/>
      <c r="I887" s="124"/>
      <c r="J887" s="124"/>
      <c r="K887" s="124"/>
      <c r="L887" s="124"/>
      <c r="M887" s="124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4"/>
    </row>
    <row r="888" ht="17.25" customHeight="1">
      <c r="A888" s="124"/>
      <c r="B888" s="1"/>
      <c r="C888" s="1"/>
      <c r="D888" s="124"/>
      <c r="E888" s="124"/>
      <c r="F888" s="124"/>
      <c r="G888" s="124"/>
      <c r="H888" s="124"/>
      <c r="I888" s="124"/>
      <c r="J888" s="124"/>
      <c r="K888" s="124"/>
      <c r="L888" s="124"/>
      <c r="M888" s="124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4"/>
    </row>
    <row r="889" ht="17.25" customHeight="1">
      <c r="A889" s="124"/>
      <c r="B889" s="1"/>
      <c r="C889" s="1"/>
      <c r="D889" s="124"/>
      <c r="E889" s="124"/>
      <c r="F889" s="124"/>
      <c r="G889" s="124"/>
      <c r="H889" s="124"/>
      <c r="I889" s="124"/>
      <c r="J889" s="124"/>
      <c r="K889" s="124"/>
      <c r="L889" s="124"/>
      <c r="M889" s="124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4"/>
    </row>
    <row r="890" ht="17.25" customHeight="1">
      <c r="A890" s="124"/>
      <c r="B890" s="1"/>
      <c r="C890" s="1"/>
      <c r="D890" s="124"/>
      <c r="E890" s="124"/>
      <c r="F890" s="124"/>
      <c r="G890" s="124"/>
      <c r="H890" s="124"/>
      <c r="I890" s="124"/>
      <c r="J890" s="124"/>
      <c r="K890" s="124"/>
      <c r="L890" s="124"/>
      <c r="M890" s="124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4"/>
    </row>
    <row r="891" ht="17.25" customHeight="1">
      <c r="A891" s="124"/>
      <c r="B891" s="1"/>
      <c r="C891" s="1"/>
      <c r="D891" s="124"/>
      <c r="E891" s="124"/>
      <c r="F891" s="124"/>
      <c r="G891" s="124"/>
      <c r="H891" s="124"/>
      <c r="I891" s="124"/>
      <c r="J891" s="124"/>
      <c r="K891" s="124"/>
      <c r="L891" s="124"/>
      <c r="M891" s="124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4"/>
    </row>
    <row r="892" ht="17.25" customHeight="1">
      <c r="A892" s="124"/>
      <c r="B892" s="1"/>
      <c r="C892" s="1"/>
      <c r="D892" s="124"/>
      <c r="E892" s="124"/>
      <c r="F892" s="124"/>
      <c r="G892" s="124"/>
      <c r="H892" s="124"/>
      <c r="I892" s="124"/>
      <c r="J892" s="124"/>
      <c r="K892" s="124"/>
      <c r="L892" s="124"/>
      <c r="M892" s="124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4"/>
    </row>
    <row r="893" ht="17.25" customHeight="1">
      <c r="A893" s="124"/>
      <c r="B893" s="1"/>
      <c r="C893" s="1"/>
      <c r="D893" s="124"/>
      <c r="E893" s="124"/>
      <c r="F893" s="124"/>
      <c r="G893" s="124"/>
      <c r="H893" s="124"/>
      <c r="I893" s="124"/>
      <c r="J893" s="124"/>
      <c r="K893" s="124"/>
      <c r="L893" s="124"/>
      <c r="M893" s="124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4"/>
    </row>
    <row r="894" ht="17.25" customHeight="1">
      <c r="A894" s="124"/>
      <c r="B894" s="1"/>
      <c r="C894" s="1"/>
      <c r="D894" s="124"/>
      <c r="E894" s="124"/>
      <c r="F894" s="124"/>
      <c r="G894" s="124"/>
      <c r="H894" s="124"/>
      <c r="I894" s="124"/>
      <c r="J894" s="124"/>
      <c r="K894" s="124"/>
      <c r="L894" s="124"/>
      <c r="M894" s="124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4"/>
    </row>
    <row r="895" ht="17.25" customHeight="1">
      <c r="A895" s="124"/>
      <c r="B895" s="1"/>
      <c r="C895" s="1"/>
      <c r="D895" s="124"/>
      <c r="E895" s="124"/>
      <c r="F895" s="124"/>
      <c r="G895" s="124"/>
      <c r="H895" s="124"/>
      <c r="I895" s="124"/>
      <c r="J895" s="124"/>
      <c r="K895" s="124"/>
      <c r="L895" s="124"/>
      <c r="M895" s="124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4"/>
    </row>
    <row r="896" ht="17.25" customHeight="1">
      <c r="A896" s="124"/>
      <c r="B896" s="1"/>
      <c r="C896" s="1"/>
      <c r="D896" s="124"/>
      <c r="E896" s="124"/>
      <c r="F896" s="124"/>
      <c r="G896" s="124"/>
      <c r="H896" s="124"/>
      <c r="I896" s="124"/>
      <c r="J896" s="124"/>
      <c r="K896" s="124"/>
      <c r="L896" s="124"/>
      <c r="M896" s="124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4"/>
    </row>
    <row r="897" ht="17.25" customHeight="1">
      <c r="A897" s="124"/>
      <c r="B897" s="1"/>
      <c r="C897" s="1"/>
      <c r="D897" s="124"/>
      <c r="E897" s="124"/>
      <c r="F897" s="124"/>
      <c r="G897" s="124"/>
      <c r="H897" s="124"/>
      <c r="I897" s="124"/>
      <c r="J897" s="124"/>
      <c r="K897" s="124"/>
      <c r="L897" s="124"/>
      <c r="M897" s="124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4"/>
    </row>
    <row r="898" ht="17.25" customHeight="1">
      <c r="A898" s="124"/>
      <c r="B898" s="1"/>
      <c r="C898" s="1"/>
      <c r="D898" s="124"/>
      <c r="E898" s="124"/>
      <c r="F898" s="124"/>
      <c r="G898" s="124"/>
      <c r="H898" s="124"/>
      <c r="I898" s="124"/>
      <c r="J898" s="124"/>
      <c r="K898" s="124"/>
      <c r="L898" s="124"/>
      <c r="M898" s="124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4"/>
    </row>
    <row r="899" ht="17.25" customHeight="1">
      <c r="A899" s="124"/>
      <c r="B899" s="1"/>
      <c r="C899" s="1"/>
      <c r="D899" s="124"/>
      <c r="E899" s="124"/>
      <c r="F899" s="124"/>
      <c r="G899" s="124"/>
      <c r="H899" s="124"/>
      <c r="I899" s="124"/>
      <c r="J899" s="124"/>
      <c r="K899" s="124"/>
      <c r="L899" s="124"/>
      <c r="M899" s="124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4"/>
    </row>
    <row r="900" ht="17.25" customHeight="1">
      <c r="A900" s="124"/>
      <c r="B900" s="1"/>
      <c r="C900" s="1"/>
      <c r="D900" s="124"/>
      <c r="E900" s="124"/>
      <c r="F900" s="124"/>
      <c r="G900" s="124"/>
      <c r="H900" s="124"/>
      <c r="I900" s="124"/>
      <c r="J900" s="124"/>
      <c r="K900" s="124"/>
      <c r="L900" s="124"/>
      <c r="M900" s="124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4"/>
    </row>
    <row r="901" ht="17.25" customHeight="1">
      <c r="A901" s="124"/>
      <c r="B901" s="1"/>
      <c r="C901" s="1"/>
      <c r="D901" s="124"/>
      <c r="E901" s="124"/>
      <c r="F901" s="124"/>
      <c r="G901" s="124"/>
      <c r="H901" s="124"/>
      <c r="I901" s="124"/>
      <c r="J901" s="124"/>
      <c r="K901" s="124"/>
      <c r="L901" s="124"/>
      <c r="M901" s="124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4"/>
    </row>
    <row r="902" ht="17.25" customHeight="1">
      <c r="A902" s="124"/>
      <c r="B902" s="1"/>
      <c r="C902" s="1"/>
      <c r="D902" s="124"/>
      <c r="E902" s="124"/>
      <c r="F902" s="124"/>
      <c r="G902" s="124"/>
      <c r="H902" s="124"/>
      <c r="I902" s="124"/>
      <c r="J902" s="124"/>
      <c r="K902" s="124"/>
      <c r="L902" s="124"/>
      <c r="M902" s="124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4"/>
    </row>
    <row r="903" ht="17.25" customHeight="1">
      <c r="A903" s="124"/>
      <c r="B903" s="1"/>
      <c r="C903" s="1"/>
      <c r="D903" s="124"/>
      <c r="E903" s="124"/>
      <c r="F903" s="124"/>
      <c r="G903" s="124"/>
      <c r="H903" s="124"/>
      <c r="I903" s="124"/>
      <c r="J903" s="124"/>
      <c r="K903" s="124"/>
      <c r="L903" s="124"/>
      <c r="M903" s="124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4"/>
    </row>
    <row r="904" ht="17.25" customHeight="1">
      <c r="A904" s="124"/>
      <c r="B904" s="1"/>
      <c r="C904" s="1"/>
      <c r="D904" s="124"/>
      <c r="E904" s="124"/>
      <c r="F904" s="124"/>
      <c r="G904" s="124"/>
      <c r="H904" s="124"/>
      <c r="I904" s="124"/>
      <c r="J904" s="124"/>
      <c r="K904" s="124"/>
      <c r="L904" s="124"/>
      <c r="M904" s="124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4"/>
    </row>
    <row r="905" ht="17.25" customHeight="1">
      <c r="A905" s="124"/>
      <c r="B905" s="1"/>
      <c r="C905" s="1"/>
      <c r="D905" s="124"/>
      <c r="E905" s="124"/>
      <c r="F905" s="124"/>
      <c r="G905" s="124"/>
      <c r="H905" s="124"/>
      <c r="I905" s="124"/>
      <c r="J905" s="124"/>
      <c r="K905" s="124"/>
      <c r="L905" s="124"/>
      <c r="M905" s="124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4"/>
    </row>
    <row r="906" ht="17.25" customHeight="1">
      <c r="A906" s="124"/>
      <c r="B906" s="1"/>
      <c r="C906" s="1"/>
      <c r="D906" s="124"/>
      <c r="E906" s="124"/>
      <c r="F906" s="124"/>
      <c r="G906" s="124"/>
      <c r="H906" s="124"/>
      <c r="I906" s="124"/>
      <c r="J906" s="124"/>
      <c r="K906" s="124"/>
      <c r="L906" s="124"/>
      <c r="M906" s="124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4"/>
    </row>
    <row r="907" ht="17.25" customHeight="1">
      <c r="A907" s="124"/>
      <c r="B907" s="1"/>
      <c r="C907" s="1"/>
      <c r="D907" s="124"/>
      <c r="E907" s="124"/>
      <c r="F907" s="124"/>
      <c r="G907" s="124"/>
      <c r="H907" s="124"/>
      <c r="I907" s="124"/>
      <c r="J907" s="124"/>
      <c r="K907" s="124"/>
      <c r="L907" s="124"/>
      <c r="M907" s="124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4"/>
    </row>
    <row r="908" ht="17.25" customHeight="1">
      <c r="A908" s="124"/>
      <c r="B908" s="1"/>
      <c r="C908" s="1"/>
      <c r="D908" s="124"/>
      <c r="E908" s="124"/>
      <c r="F908" s="124"/>
      <c r="G908" s="124"/>
      <c r="H908" s="124"/>
      <c r="I908" s="124"/>
      <c r="J908" s="124"/>
      <c r="K908" s="124"/>
      <c r="L908" s="124"/>
      <c r="M908" s="124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4"/>
    </row>
    <row r="909" ht="17.25" customHeight="1">
      <c r="A909" s="124"/>
      <c r="B909" s="1"/>
      <c r="C909" s="1"/>
      <c r="D909" s="124"/>
      <c r="E909" s="124"/>
      <c r="F909" s="124"/>
      <c r="G909" s="124"/>
      <c r="H909" s="124"/>
      <c r="I909" s="124"/>
      <c r="J909" s="124"/>
      <c r="K909" s="124"/>
      <c r="L909" s="124"/>
      <c r="M909" s="124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4"/>
    </row>
    <row r="910" ht="17.25" customHeight="1">
      <c r="A910" s="124"/>
      <c r="B910" s="1"/>
      <c r="C910" s="1"/>
      <c r="D910" s="124"/>
      <c r="E910" s="124"/>
      <c r="F910" s="124"/>
      <c r="G910" s="124"/>
      <c r="H910" s="124"/>
      <c r="I910" s="124"/>
      <c r="J910" s="124"/>
      <c r="K910" s="124"/>
      <c r="L910" s="124"/>
      <c r="M910" s="124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4"/>
    </row>
    <row r="911" ht="17.25" customHeight="1">
      <c r="A911" s="124"/>
      <c r="B911" s="1"/>
      <c r="C911" s="1"/>
      <c r="D911" s="124"/>
      <c r="E911" s="124"/>
      <c r="F911" s="124"/>
      <c r="G911" s="124"/>
      <c r="H911" s="124"/>
      <c r="I911" s="124"/>
      <c r="J911" s="124"/>
      <c r="K911" s="124"/>
      <c r="L911" s="124"/>
      <c r="M911" s="124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4"/>
    </row>
    <row r="912" ht="17.25" customHeight="1">
      <c r="A912" s="124"/>
      <c r="B912" s="1"/>
      <c r="C912" s="1"/>
      <c r="D912" s="124"/>
      <c r="E912" s="124"/>
      <c r="F912" s="124"/>
      <c r="G912" s="124"/>
      <c r="H912" s="124"/>
      <c r="I912" s="124"/>
      <c r="J912" s="124"/>
      <c r="K912" s="124"/>
      <c r="L912" s="124"/>
      <c r="M912" s="124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4"/>
    </row>
    <row r="913" ht="17.25" customHeight="1">
      <c r="A913" s="124"/>
      <c r="B913" s="1"/>
      <c r="C913" s="1"/>
      <c r="D913" s="124"/>
      <c r="E913" s="124"/>
      <c r="F913" s="124"/>
      <c r="G913" s="124"/>
      <c r="H913" s="124"/>
      <c r="I913" s="124"/>
      <c r="J913" s="124"/>
      <c r="K913" s="124"/>
      <c r="L913" s="124"/>
      <c r="M913" s="124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4"/>
    </row>
    <row r="914" ht="17.25" customHeight="1">
      <c r="A914" s="124"/>
      <c r="B914" s="1"/>
      <c r="C914" s="1"/>
      <c r="D914" s="124"/>
      <c r="E914" s="124"/>
      <c r="F914" s="124"/>
      <c r="G914" s="124"/>
      <c r="H914" s="124"/>
      <c r="I914" s="124"/>
      <c r="J914" s="124"/>
      <c r="K914" s="124"/>
      <c r="L914" s="124"/>
      <c r="M914" s="124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4"/>
    </row>
    <row r="915" ht="17.25" customHeight="1">
      <c r="A915" s="124"/>
      <c r="B915" s="1"/>
      <c r="C915" s="1"/>
      <c r="D915" s="124"/>
      <c r="E915" s="124"/>
      <c r="F915" s="124"/>
      <c r="G915" s="124"/>
      <c r="H915" s="124"/>
      <c r="I915" s="124"/>
      <c r="J915" s="124"/>
      <c r="K915" s="124"/>
      <c r="L915" s="124"/>
      <c r="M915" s="124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4"/>
    </row>
    <row r="916" ht="17.25" customHeight="1">
      <c r="A916" s="124"/>
      <c r="B916" s="1"/>
      <c r="C916" s="1"/>
      <c r="D916" s="124"/>
      <c r="E916" s="124"/>
      <c r="F916" s="124"/>
      <c r="G916" s="124"/>
      <c r="H916" s="124"/>
      <c r="I916" s="124"/>
      <c r="J916" s="124"/>
      <c r="K916" s="124"/>
      <c r="L916" s="124"/>
      <c r="M916" s="124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4"/>
    </row>
    <row r="917" ht="17.25" customHeight="1">
      <c r="A917" s="124"/>
      <c r="B917" s="1"/>
      <c r="C917" s="1"/>
      <c r="D917" s="124"/>
      <c r="E917" s="124"/>
      <c r="F917" s="124"/>
      <c r="G917" s="124"/>
      <c r="H917" s="124"/>
      <c r="I917" s="124"/>
      <c r="J917" s="124"/>
      <c r="K917" s="124"/>
      <c r="L917" s="124"/>
      <c r="M917" s="124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4"/>
    </row>
    <row r="918" ht="17.25" customHeight="1">
      <c r="A918" s="124"/>
      <c r="B918" s="1"/>
      <c r="C918" s="1"/>
      <c r="D918" s="124"/>
      <c r="E918" s="124"/>
      <c r="F918" s="124"/>
      <c r="G918" s="124"/>
      <c r="H918" s="124"/>
      <c r="I918" s="124"/>
      <c r="J918" s="124"/>
      <c r="K918" s="124"/>
      <c r="L918" s="124"/>
      <c r="M918" s="124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4"/>
    </row>
    <row r="919" ht="17.25" customHeight="1">
      <c r="A919" s="124"/>
      <c r="B919" s="1"/>
      <c r="C919" s="1"/>
      <c r="D919" s="124"/>
      <c r="E919" s="124"/>
      <c r="F919" s="124"/>
      <c r="G919" s="124"/>
      <c r="H919" s="124"/>
      <c r="I919" s="124"/>
      <c r="J919" s="124"/>
      <c r="K919" s="124"/>
      <c r="L919" s="124"/>
      <c r="M919" s="124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4"/>
    </row>
    <row r="920" ht="17.25" customHeight="1">
      <c r="A920" s="124"/>
      <c r="B920" s="1"/>
      <c r="C920" s="1"/>
      <c r="D920" s="124"/>
      <c r="E920" s="124"/>
      <c r="F920" s="124"/>
      <c r="G920" s="124"/>
      <c r="H920" s="124"/>
      <c r="I920" s="124"/>
      <c r="J920" s="124"/>
      <c r="K920" s="124"/>
      <c r="L920" s="124"/>
      <c r="M920" s="124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4"/>
    </row>
    <row r="921" ht="17.25" customHeight="1">
      <c r="A921" s="124"/>
      <c r="B921" s="1"/>
      <c r="C921" s="1"/>
      <c r="D921" s="124"/>
      <c r="E921" s="124"/>
      <c r="F921" s="124"/>
      <c r="G921" s="124"/>
      <c r="H921" s="124"/>
      <c r="I921" s="124"/>
      <c r="J921" s="124"/>
      <c r="K921" s="124"/>
      <c r="L921" s="124"/>
      <c r="M921" s="124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4"/>
    </row>
    <row r="922" ht="17.25" customHeight="1">
      <c r="A922" s="124"/>
      <c r="B922" s="1"/>
      <c r="C922" s="1"/>
      <c r="D922" s="124"/>
      <c r="E922" s="124"/>
      <c r="F922" s="124"/>
      <c r="G922" s="124"/>
      <c r="H922" s="124"/>
      <c r="I922" s="124"/>
      <c r="J922" s="124"/>
      <c r="K922" s="124"/>
      <c r="L922" s="124"/>
      <c r="M922" s="124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4"/>
    </row>
    <row r="923" ht="17.25" customHeight="1">
      <c r="A923" s="124"/>
      <c r="B923" s="1"/>
      <c r="C923" s="1"/>
      <c r="D923" s="124"/>
      <c r="E923" s="124"/>
      <c r="F923" s="124"/>
      <c r="G923" s="124"/>
      <c r="H923" s="124"/>
      <c r="I923" s="124"/>
      <c r="J923" s="124"/>
      <c r="K923" s="124"/>
      <c r="L923" s="124"/>
      <c r="M923" s="124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4"/>
    </row>
    <row r="924" ht="17.25" customHeight="1">
      <c r="A924" s="124"/>
      <c r="B924" s="1"/>
      <c r="C924" s="1"/>
      <c r="D924" s="124"/>
      <c r="E924" s="124"/>
      <c r="F924" s="124"/>
      <c r="G924" s="124"/>
      <c r="H924" s="124"/>
      <c r="I924" s="124"/>
      <c r="J924" s="124"/>
      <c r="K924" s="124"/>
      <c r="L924" s="124"/>
      <c r="M924" s="124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4"/>
    </row>
    <row r="925" ht="17.25" customHeight="1">
      <c r="A925" s="124"/>
      <c r="B925" s="1"/>
      <c r="C925" s="1"/>
      <c r="D925" s="124"/>
      <c r="E925" s="124"/>
      <c r="F925" s="124"/>
      <c r="G925" s="124"/>
      <c r="H925" s="124"/>
      <c r="I925" s="124"/>
      <c r="J925" s="124"/>
      <c r="K925" s="124"/>
      <c r="L925" s="124"/>
      <c r="M925" s="124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4"/>
    </row>
    <row r="926" ht="17.25" customHeight="1">
      <c r="A926" s="124"/>
      <c r="B926" s="1"/>
      <c r="C926" s="1"/>
      <c r="D926" s="124"/>
      <c r="E926" s="124"/>
      <c r="F926" s="124"/>
      <c r="G926" s="124"/>
      <c r="H926" s="124"/>
      <c r="I926" s="124"/>
      <c r="J926" s="124"/>
      <c r="K926" s="124"/>
      <c r="L926" s="124"/>
      <c r="M926" s="124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4"/>
    </row>
    <row r="927" ht="17.25" customHeight="1">
      <c r="A927" s="124"/>
      <c r="B927" s="1"/>
      <c r="C927" s="1"/>
      <c r="D927" s="124"/>
      <c r="E927" s="124"/>
      <c r="F927" s="124"/>
      <c r="G927" s="124"/>
      <c r="H927" s="124"/>
      <c r="I927" s="124"/>
      <c r="J927" s="124"/>
      <c r="K927" s="124"/>
      <c r="L927" s="124"/>
      <c r="M927" s="124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4"/>
    </row>
    <row r="928" ht="17.25" customHeight="1">
      <c r="A928" s="124"/>
      <c r="B928" s="1"/>
      <c r="C928" s="1"/>
      <c r="D928" s="124"/>
      <c r="E928" s="124"/>
      <c r="F928" s="124"/>
      <c r="G928" s="124"/>
      <c r="H928" s="124"/>
      <c r="I928" s="124"/>
      <c r="J928" s="124"/>
      <c r="K928" s="124"/>
      <c r="L928" s="124"/>
      <c r="M928" s="124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4"/>
    </row>
    <row r="929" ht="17.25" customHeight="1">
      <c r="A929" s="124"/>
      <c r="B929" s="1"/>
      <c r="C929" s="1"/>
      <c r="D929" s="124"/>
      <c r="E929" s="124"/>
      <c r="F929" s="124"/>
      <c r="G929" s="124"/>
      <c r="H929" s="124"/>
      <c r="I929" s="124"/>
      <c r="J929" s="124"/>
      <c r="K929" s="124"/>
      <c r="L929" s="124"/>
      <c r="M929" s="124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4"/>
    </row>
    <row r="930" ht="17.25" customHeight="1">
      <c r="A930" s="124"/>
      <c r="B930" s="1"/>
      <c r="C930" s="1"/>
      <c r="D930" s="124"/>
      <c r="E930" s="124"/>
      <c r="F930" s="124"/>
      <c r="G930" s="124"/>
      <c r="H930" s="124"/>
      <c r="I930" s="124"/>
      <c r="J930" s="124"/>
      <c r="K930" s="124"/>
      <c r="L930" s="124"/>
      <c r="M930" s="124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4"/>
    </row>
    <row r="931" ht="17.25" customHeight="1">
      <c r="A931" s="124"/>
      <c r="B931" s="1"/>
      <c r="C931" s="1"/>
      <c r="D931" s="124"/>
      <c r="E931" s="124"/>
      <c r="F931" s="124"/>
      <c r="G931" s="124"/>
      <c r="H931" s="124"/>
      <c r="I931" s="124"/>
      <c r="J931" s="124"/>
      <c r="K931" s="124"/>
      <c r="L931" s="124"/>
      <c r="M931" s="124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4"/>
    </row>
    <row r="932" ht="17.25" customHeight="1">
      <c r="A932" s="124"/>
      <c r="B932" s="1"/>
      <c r="C932" s="1"/>
      <c r="D932" s="124"/>
      <c r="E932" s="124"/>
      <c r="F932" s="124"/>
      <c r="G932" s="124"/>
      <c r="H932" s="124"/>
      <c r="I932" s="124"/>
      <c r="J932" s="124"/>
      <c r="K932" s="124"/>
      <c r="L932" s="124"/>
      <c r="M932" s="124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4"/>
    </row>
    <row r="933" ht="17.25" customHeight="1">
      <c r="A933" s="124"/>
      <c r="B933" s="1"/>
      <c r="C933" s="1"/>
      <c r="D933" s="124"/>
      <c r="E933" s="124"/>
      <c r="F933" s="124"/>
      <c r="G933" s="124"/>
      <c r="H933" s="124"/>
      <c r="I933" s="124"/>
      <c r="J933" s="124"/>
      <c r="K933" s="124"/>
      <c r="L933" s="124"/>
      <c r="M933" s="124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4"/>
    </row>
    <row r="934" ht="17.25" customHeight="1">
      <c r="A934" s="124"/>
      <c r="B934" s="1"/>
      <c r="C934" s="1"/>
      <c r="D934" s="124"/>
      <c r="E934" s="124"/>
      <c r="F934" s="124"/>
      <c r="G934" s="124"/>
      <c r="H934" s="124"/>
      <c r="I934" s="124"/>
      <c r="J934" s="124"/>
      <c r="K934" s="124"/>
      <c r="L934" s="124"/>
      <c r="M934" s="124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4"/>
    </row>
    <row r="935" ht="17.25" customHeight="1">
      <c r="A935" s="124"/>
      <c r="B935" s="1"/>
      <c r="C935" s="1"/>
      <c r="D935" s="124"/>
      <c r="E935" s="124"/>
      <c r="F935" s="124"/>
      <c r="G935" s="124"/>
      <c r="H935" s="124"/>
      <c r="I935" s="124"/>
      <c r="J935" s="124"/>
      <c r="K935" s="124"/>
      <c r="L935" s="124"/>
      <c r="M935" s="124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4"/>
    </row>
    <row r="936" ht="17.25" customHeight="1">
      <c r="A936" s="124"/>
      <c r="B936" s="1"/>
      <c r="C936" s="1"/>
      <c r="D936" s="124"/>
      <c r="E936" s="124"/>
      <c r="F936" s="124"/>
      <c r="G936" s="124"/>
      <c r="H936" s="124"/>
      <c r="I936" s="124"/>
      <c r="J936" s="124"/>
      <c r="K936" s="124"/>
      <c r="L936" s="124"/>
      <c r="M936" s="124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4"/>
    </row>
    <row r="937" ht="17.25" customHeight="1">
      <c r="A937" s="124"/>
      <c r="B937" s="1"/>
      <c r="C937" s="1"/>
      <c r="D937" s="124"/>
      <c r="E937" s="124"/>
      <c r="F937" s="124"/>
      <c r="G937" s="124"/>
      <c r="H937" s="124"/>
      <c r="I937" s="124"/>
      <c r="J937" s="124"/>
      <c r="K937" s="124"/>
      <c r="L937" s="124"/>
      <c r="M937" s="124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4"/>
    </row>
    <row r="938" ht="17.25" customHeight="1">
      <c r="A938" s="124"/>
      <c r="B938" s="1"/>
      <c r="C938" s="1"/>
      <c r="D938" s="124"/>
      <c r="E938" s="124"/>
      <c r="F938" s="124"/>
      <c r="G938" s="124"/>
      <c r="H938" s="124"/>
      <c r="I938" s="124"/>
      <c r="J938" s="124"/>
      <c r="K938" s="124"/>
      <c r="L938" s="124"/>
      <c r="M938" s="124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4"/>
    </row>
    <row r="939" ht="17.25" customHeight="1">
      <c r="A939" s="124"/>
      <c r="B939" s="1"/>
      <c r="C939" s="1"/>
      <c r="D939" s="124"/>
      <c r="E939" s="124"/>
      <c r="F939" s="124"/>
      <c r="G939" s="124"/>
      <c r="H939" s="124"/>
      <c r="I939" s="124"/>
      <c r="J939" s="124"/>
      <c r="K939" s="124"/>
      <c r="L939" s="124"/>
      <c r="M939" s="124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4"/>
    </row>
    <row r="940" ht="17.25" customHeight="1">
      <c r="A940" s="124"/>
      <c r="B940" s="1"/>
      <c r="C940" s="1"/>
      <c r="D940" s="124"/>
      <c r="E940" s="124"/>
      <c r="F940" s="124"/>
      <c r="G940" s="124"/>
      <c r="H940" s="124"/>
      <c r="I940" s="124"/>
      <c r="J940" s="124"/>
      <c r="K940" s="124"/>
      <c r="L940" s="124"/>
      <c r="M940" s="124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4"/>
    </row>
    <row r="941" ht="17.25" customHeight="1">
      <c r="A941" s="124"/>
      <c r="B941" s="1"/>
      <c r="C941" s="1"/>
      <c r="D941" s="124"/>
      <c r="E941" s="124"/>
      <c r="F941" s="124"/>
      <c r="G941" s="124"/>
      <c r="H941" s="124"/>
      <c r="I941" s="124"/>
      <c r="J941" s="124"/>
      <c r="K941" s="124"/>
      <c r="L941" s="124"/>
      <c r="M941" s="124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4"/>
    </row>
    <row r="942" ht="17.25" customHeight="1">
      <c r="A942" s="124"/>
      <c r="B942" s="1"/>
      <c r="C942" s="1"/>
      <c r="D942" s="124"/>
      <c r="E942" s="124"/>
      <c r="F942" s="124"/>
      <c r="G942" s="124"/>
      <c r="H942" s="124"/>
      <c r="I942" s="124"/>
      <c r="J942" s="124"/>
      <c r="K942" s="124"/>
      <c r="L942" s="124"/>
      <c r="M942" s="124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4"/>
    </row>
    <row r="943" ht="17.25" customHeight="1">
      <c r="A943" s="124"/>
      <c r="B943" s="1"/>
      <c r="C943" s="1"/>
      <c r="D943" s="124"/>
      <c r="E943" s="124"/>
      <c r="F943" s="124"/>
      <c r="G943" s="124"/>
      <c r="H943" s="124"/>
      <c r="I943" s="124"/>
      <c r="J943" s="124"/>
      <c r="K943" s="124"/>
      <c r="L943" s="124"/>
      <c r="M943" s="124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4"/>
    </row>
    <row r="944" ht="17.25" customHeight="1">
      <c r="A944" s="124"/>
      <c r="B944" s="1"/>
      <c r="C944" s="1"/>
      <c r="D944" s="124"/>
      <c r="E944" s="124"/>
      <c r="F944" s="124"/>
      <c r="G944" s="124"/>
      <c r="H944" s="124"/>
      <c r="I944" s="124"/>
      <c r="J944" s="124"/>
      <c r="K944" s="124"/>
      <c r="L944" s="124"/>
      <c r="M944" s="124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4"/>
    </row>
    <row r="945" ht="17.25" customHeight="1">
      <c r="A945" s="124"/>
      <c r="B945" s="1"/>
      <c r="C945" s="1"/>
      <c r="D945" s="124"/>
      <c r="E945" s="124"/>
      <c r="F945" s="124"/>
      <c r="G945" s="124"/>
      <c r="H945" s="124"/>
      <c r="I945" s="124"/>
      <c r="J945" s="124"/>
      <c r="K945" s="124"/>
      <c r="L945" s="124"/>
      <c r="M945" s="124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4"/>
    </row>
    <row r="946" ht="17.25" customHeight="1">
      <c r="A946" s="124"/>
      <c r="B946" s="1"/>
      <c r="C946" s="1"/>
      <c r="D946" s="124"/>
      <c r="E946" s="124"/>
      <c r="F946" s="124"/>
      <c r="G946" s="124"/>
      <c r="H946" s="124"/>
      <c r="I946" s="124"/>
      <c r="J946" s="124"/>
      <c r="K946" s="124"/>
      <c r="L946" s="124"/>
      <c r="M946" s="124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4"/>
    </row>
    <row r="947" ht="17.25" customHeight="1">
      <c r="A947" s="124"/>
      <c r="B947" s="1"/>
      <c r="C947" s="1"/>
      <c r="D947" s="124"/>
      <c r="E947" s="124"/>
      <c r="F947" s="124"/>
      <c r="G947" s="124"/>
      <c r="H947" s="124"/>
      <c r="I947" s="124"/>
      <c r="J947" s="124"/>
      <c r="K947" s="124"/>
      <c r="L947" s="124"/>
      <c r="M947" s="124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4"/>
    </row>
    <row r="948" ht="17.25" customHeight="1">
      <c r="A948" s="124"/>
      <c r="B948" s="1"/>
      <c r="C948" s="1"/>
      <c r="D948" s="124"/>
      <c r="E948" s="124"/>
      <c r="F948" s="124"/>
      <c r="G948" s="124"/>
      <c r="H948" s="124"/>
      <c r="I948" s="124"/>
      <c r="J948" s="124"/>
      <c r="K948" s="124"/>
      <c r="L948" s="124"/>
      <c r="M948" s="124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4"/>
    </row>
    <row r="949" ht="17.25" customHeight="1">
      <c r="A949" s="124"/>
      <c r="B949" s="1"/>
      <c r="C949" s="1"/>
      <c r="D949" s="124"/>
      <c r="E949" s="124"/>
      <c r="F949" s="124"/>
      <c r="G949" s="124"/>
      <c r="H949" s="124"/>
      <c r="I949" s="124"/>
      <c r="J949" s="124"/>
      <c r="K949" s="124"/>
      <c r="L949" s="124"/>
      <c r="M949" s="124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4"/>
    </row>
    <row r="950" ht="17.25" customHeight="1">
      <c r="A950" s="124"/>
      <c r="B950" s="1"/>
      <c r="C950" s="1"/>
      <c r="D950" s="124"/>
      <c r="E950" s="124"/>
      <c r="F950" s="124"/>
      <c r="G950" s="124"/>
      <c r="H950" s="124"/>
      <c r="I950" s="124"/>
      <c r="J950" s="124"/>
      <c r="K950" s="124"/>
      <c r="L950" s="124"/>
      <c r="M950" s="124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4"/>
    </row>
    <row r="951" ht="17.25" customHeight="1">
      <c r="A951" s="124"/>
      <c r="B951" s="1"/>
      <c r="C951" s="1"/>
      <c r="D951" s="124"/>
      <c r="E951" s="124"/>
      <c r="F951" s="124"/>
      <c r="G951" s="124"/>
      <c r="H951" s="124"/>
      <c r="I951" s="124"/>
      <c r="J951" s="124"/>
      <c r="K951" s="124"/>
      <c r="L951" s="124"/>
      <c r="M951" s="124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4"/>
    </row>
    <row r="952" ht="17.25" customHeight="1">
      <c r="A952" s="124"/>
      <c r="B952" s="1"/>
      <c r="C952" s="1"/>
      <c r="D952" s="124"/>
      <c r="E952" s="124"/>
      <c r="F952" s="124"/>
      <c r="G952" s="124"/>
      <c r="H952" s="124"/>
      <c r="I952" s="124"/>
      <c r="J952" s="124"/>
      <c r="K952" s="124"/>
      <c r="L952" s="124"/>
      <c r="M952" s="124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4"/>
    </row>
    <row r="953" ht="17.25" customHeight="1">
      <c r="A953" s="124"/>
      <c r="B953" s="1"/>
      <c r="C953" s="1"/>
      <c r="D953" s="124"/>
      <c r="E953" s="124"/>
      <c r="F953" s="124"/>
      <c r="G953" s="124"/>
      <c r="H953" s="124"/>
      <c r="I953" s="124"/>
      <c r="J953" s="124"/>
      <c r="K953" s="124"/>
      <c r="L953" s="124"/>
      <c r="M953" s="124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4"/>
    </row>
    <row r="954" ht="17.25" customHeight="1">
      <c r="A954" s="124"/>
      <c r="B954" s="1"/>
      <c r="C954" s="1"/>
      <c r="D954" s="124"/>
      <c r="E954" s="124"/>
      <c r="F954" s="124"/>
      <c r="G954" s="124"/>
      <c r="H954" s="124"/>
      <c r="I954" s="124"/>
      <c r="J954" s="124"/>
      <c r="K954" s="124"/>
      <c r="L954" s="124"/>
      <c r="M954" s="124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4"/>
    </row>
    <row r="955" ht="17.25" customHeight="1">
      <c r="A955" s="124"/>
      <c r="B955" s="1"/>
      <c r="C955" s="1"/>
      <c r="D955" s="124"/>
      <c r="E955" s="124"/>
      <c r="F955" s="124"/>
      <c r="G955" s="124"/>
      <c r="H955" s="124"/>
      <c r="I955" s="124"/>
      <c r="J955" s="124"/>
      <c r="K955" s="124"/>
      <c r="L955" s="124"/>
      <c r="M955" s="124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4"/>
    </row>
    <row r="956" ht="17.25" customHeight="1">
      <c r="A956" s="124"/>
      <c r="B956" s="1"/>
      <c r="C956" s="1"/>
      <c r="D956" s="124"/>
      <c r="E956" s="124"/>
      <c r="F956" s="124"/>
      <c r="G956" s="124"/>
      <c r="H956" s="124"/>
      <c r="I956" s="124"/>
      <c r="J956" s="124"/>
      <c r="K956" s="124"/>
      <c r="L956" s="124"/>
      <c r="M956" s="124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4"/>
    </row>
    <row r="957" ht="17.25" customHeight="1">
      <c r="A957" s="124"/>
      <c r="B957" s="1"/>
      <c r="C957" s="1"/>
      <c r="D957" s="124"/>
      <c r="E957" s="124"/>
      <c r="F957" s="124"/>
      <c r="G957" s="124"/>
      <c r="H957" s="124"/>
      <c r="I957" s="124"/>
      <c r="J957" s="124"/>
      <c r="K957" s="124"/>
      <c r="L957" s="124"/>
      <c r="M957" s="124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4"/>
    </row>
    <row r="958" ht="17.25" customHeight="1">
      <c r="A958" s="124"/>
      <c r="B958" s="1"/>
      <c r="C958" s="1"/>
      <c r="D958" s="124"/>
      <c r="E958" s="124"/>
      <c r="F958" s="124"/>
      <c r="G958" s="124"/>
      <c r="H958" s="124"/>
      <c r="I958" s="124"/>
      <c r="J958" s="124"/>
      <c r="K958" s="124"/>
      <c r="L958" s="124"/>
      <c r="M958" s="124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4"/>
    </row>
    <row r="959" ht="17.25" customHeight="1">
      <c r="A959" s="124"/>
      <c r="B959" s="1"/>
      <c r="C959" s="1"/>
      <c r="D959" s="124"/>
      <c r="E959" s="124"/>
      <c r="F959" s="124"/>
      <c r="G959" s="124"/>
      <c r="H959" s="124"/>
      <c r="I959" s="124"/>
      <c r="J959" s="124"/>
      <c r="K959" s="124"/>
      <c r="L959" s="124"/>
      <c r="M959" s="124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4"/>
    </row>
    <row r="960" ht="17.25" customHeight="1">
      <c r="A960" s="124"/>
      <c r="B960" s="1"/>
      <c r="C960" s="1"/>
      <c r="D960" s="124"/>
      <c r="E960" s="124"/>
      <c r="F960" s="124"/>
      <c r="G960" s="124"/>
      <c r="H960" s="124"/>
      <c r="I960" s="124"/>
      <c r="J960" s="124"/>
      <c r="K960" s="124"/>
      <c r="L960" s="124"/>
      <c r="M960" s="124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4"/>
    </row>
    <row r="961" ht="17.25" customHeight="1">
      <c r="A961" s="124"/>
      <c r="B961" s="1"/>
      <c r="C961" s="1"/>
      <c r="D961" s="124"/>
      <c r="E961" s="124"/>
      <c r="F961" s="124"/>
      <c r="G961" s="124"/>
      <c r="H961" s="124"/>
      <c r="I961" s="124"/>
      <c r="J961" s="124"/>
      <c r="K961" s="124"/>
      <c r="L961" s="124"/>
      <c r="M961" s="124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4"/>
    </row>
    <row r="962" ht="17.25" customHeight="1">
      <c r="A962" s="124"/>
      <c r="B962" s="1"/>
      <c r="C962" s="1"/>
      <c r="D962" s="124"/>
      <c r="E962" s="124"/>
      <c r="F962" s="124"/>
      <c r="G962" s="124"/>
      <c r="H962" s="124"/>
      <c r="I962" s="124"/>
      <c r="J962" s="124"/>
      <c r="K962" s="124"/>
      <c r="L962" s="124"/>
      <c r="M962" s="124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4"/>
    </row>
    <row r="963" ht="17.25" customHeight="1">
      <c r="A963" s="124"/>
      <c r="B963" s="1"/>
      <c r="C963" s="1"/>
      <c r="D963" s="124"/>
      <c r="E963" s="124"/>
      <c r="F963" s="124"/>
      <c r="G963" s="124"/>
      <c r="H963" s="124"/>
      <c r="I963" s="124"/>
      <c r="J963" s="124"/>
      <c r="K963" s="124"/>
      <c r="L963" s="124"/>
      <c r="M963" s="124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4"/>
    </row>
    <row r="964" ht="17.25" customHeight="1">
      <c r="A964" s="124"/>
      <c r="B964" s="1"/>
      <c r="C964" s="1"/>
      <c r="D964" s="124"/>
      <c r="E964" s="124"/>
      <c r="F964" s="124"/>
      <c r="G964" s="124"/>
      <c r="H964" s="124"/>
      <c r="I964" s="124"/>
      <c r="J964" s="124"/>
      <c r="K964" s="124"/>
      <c r="L964" s="124"/>
      <c r="M964" s="124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4"/>
    </row>
    <row r="965" ht="17.25" customHeight="1">
      <c r="A965" s="124"/>
      <c r="B965" s="1"/>
      <c r="C965" s="1"/>
      <c r="D965" s="124"/>
      <c r="E965" s="124"/>
      <c r="F965" s="124"/>
      <c r="G965" s="124"/>
      <c r="H965" s="124"/>
      <c r="I965" s="124"/>
      <c r="J965" s="124"/>
      <c r="K965" s="124"/>
      <c r="L965" s="124"/>
      <c r="M965" s="124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4"/>
    </row>
    <row r="966" ht="17.25" customHeight="1">
      <c r="A966" s="124"/>
      <c r="B966" s="1"/>
      <c r="C966" s="1"/>
      <c r="D966" s="124"/>
      <c r="E966" s="124"/>
      <c r="F966" s="124"/>
      <c r="G966" s="124"/>
      <c r="H966" s="124"/>
      <c r="I966" s="124"/>
      <c r="J966" s="124"/>
      <c r="K966" s="124"/>
      <c r="L966" s="124"/>
      <c r="M966" s="124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4"/>
    </row>
    <row r="967" ht="17.25" customHeight="1">
      <c r="A967" s="124"/>
      <c r="B967" s="1"/>
      <c r="C967" s="1"/>
      <c r="D967" s="124"/>
      <c r="E967" s="124"/>
      <c r="F967" s="124"/>
      <c r="G967" s="124"/>
      <c r="H967" s="124"/>
      <c r="I967" s="124"/>
      <c r="J967" s="124"/>
      <c r="K967" s="124"/>
      <c r="L967" s="124"/>
      <c r="M967" s="124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4"/>
    </row>
    <row r="968" ht="17.25" customHeight="1">
      <c r="A968" s="124"/>
      <c r="B968" s="1"/>
      <c r="C968" s="1"/>
      <c r="D968" s="124"/>
      <c r="E968" s="124"/>
      <c r="F968" s="124"/>
      <c r="G968" s="124"/>
      <c r="H968" s="124"/>
      <c r="I968" s="124"/>
      <c r="J968" s="124"/>
      <c r="K968" s="124"/>
      <c r="L968" s="124"/>
      <c r="M968" s="124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4"/>
    </row>
    <row r="969" ht="17.25" customHeight="1">
      <c r="A969" s="124"/>
      <c r="B969" s="1"/>
      <c r="C969" s="1"/>
      <c r="D969" s="124"/>
      <c r="E969" s="124"/>
      <c r="F969" s="124"/>
      <c r="G969" s="124"/>
      <c r="H969" s="124"/>
      <c r="I969" s="124"/>
      <c r="J969" s="124"/>
      <c r="K969" s="124"/>
      <c r="L969" s="124"/>
      <c r="M969" s="124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4"/>
    </row>
    <row r="970" ht="17.25" customHeight="1">
      <c r="A970" s="124"/>
      <c r="B970" s="1"/>
      <c r="C970" s="1"/>
      <c r="D970" s="124"/>
      <c r="E970" s="124"/>
      <c r="F970" s="124"/>
      <c r="G970" s="124"/>
      <c r="H970" s="124"/>
      <c r="I970" s="124"/>
      <c r="J970" s="124"/>
      <c r="K970" s="124"/>
      <c r="L970" s="124"/>
      <c r="M970" s="124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4"/>
    </row>
    <row r="971" ht="17.25" customHeight="1">
      <c r="A971" s="124"/>
      <c r="B971" s="1"/>
      <c r="C971" s="1"/>
      <c r="D971" s="124"/>
      <c r="E971" s="124"/>
      <c r="F971" s="124"/>
      <c r="G971" s="124"/>
      <c r="H971" s="124"/>
      <c r="I971" s="124"/>
      <c r="J971" s="124"/>
      <c r="K971" s="124"/>
      <c r="L971" s="124"/>
      <c r="M971" s="124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4"/>
    </row>
    <row r="972" ht="17.25" customHeight="1">
      <c r="A972" s="124"/>
      <c r="B972" s="1"/>
      <c r="C972" s="1"/>
      <c r="D972" s="124"/>
      <c r="E972" s="124"/>
      <c r="F972" s="124"/>
      <c r="G972" s="124"/>
      <c r="H972" s="124"/>
      <c r="I972" s="124"/>
      <c r="J972" s="124"/>
      <c r="K972" s="124"/>
      <c r="L972" s="124"/>
      <c r="M972" s="124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4"/>
    </row>
    <row r="973" ht="17.25" customHeight="1">
      <c r="A973" s="124"/>
      <c r="B973" s="1"/>
      <c r="C973" s="1"/>
      <c r="D973" s="124"/>
      <c r="E973" s="124"/>
      <c r="F973" s="124"/>
      <c r="G973" s="124"/>
      <c r="H973" s="124"/>
      <c r="I973" s="124"/>
      <c r="J973" s="124"/>
      <c r="K973" s="124"/>
      <c r="L973" s="124"/>
      <c r="M973" s="124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4"/>
    </row>
    <row r="974" ht="17.25" customHeight="1">
      <c r="A974" s="124"/>
      <c r="B974" s="1"/>
      <c r="C974" s="1"/>
      <c r="D974" s="124"/>
      <c r="E974" s="124"/>
      <c r="F974" s="124"/>
      <c r="G974" s="124"/>
      <c r="H974" s="124"/>
      <c r="I974" s="124"/>
      <c r="J974" s="124"/>
      <c r="K974" s="124"/>
      <c r="L974" s="124"/>
      <c r="M974" s="124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4"/>
    </row>
    <row r="975" ht="17.25" customHeight="1">
      <c r="A975" s="124"/>
      <c r="B975" s="1"/>
      <c r="C975" s="1"/>
      <c r="D975" s="124"/>
      <c r="E975" s="124"/>
      <c r="F975" s="124"/>
      <c r="G975" s="124"/>
      <c r="H975" s="124"/>
      <c r="I975" s="124"/>
      <c r="J975" s="124"/>
      <c r="K975" s="124"/>
      <c r="L975" s="124"/>
      <c r="M975" s="124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4"/>
    </row>
    <row r="976" ht="17.25" customHeight="1">
      <c r="A976" s="124"/>
      <c r="B976" s="1"/>
      <c r="C976" s="1"/>
      <c r="D976" s="124"/>
      <c r="E976" s="124"/>
      <c r="F976" s="124"/>
      <c r="G976" s="124"/>
      <c r="H976" s="124"/>
      <c r="I976" s="124"/>
      <c r="J976" s="124"/>
      <c r="K976" s="124"/>
      <c r="L976" s="124"/>
      <c r="M976" s="124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4"/>
    </row>
    <row r="977" ht="17.25" customHeight="1">
      <c r="A977" s="124"/>
      <c r="B977" s="1"/>
      <c r="C977" s="1"/>
      <c r="D977" s="124"/>
      <c r="E977" s="124"/>
      <c r="F977" s="124"/>
      <c r="G977" s="124"/>
      <c r="H977" s="124"/>
      <c r="I977" s="124"/>
      <c r="J977" s="124"/>
      <c r="K977" s="124"/>
      <c r="L977" s="124"/>
      <c r="M977" s="124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4"/>
    </row>
    <row r="978" ht="17.25" customHeight="1">
      <c r="A978" s="124"/>
      <c r="B978" s="1"/>
      <c r="C978" s="1"/>
      <c r="D978" s="124"/>
      <c r="E978" s="124"/>
      <c r="F978" s="124"/>
      <c r="G978" s="124"/>
      <c r="H978" s="124"/>
      <c r="I978" s="124"/>
      <c r="J978" s="124"/>
      <c r="K978" s="124"/>
      <c r="L978" s="124"/>
      <c r="M978" s="124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4"/>
    </row>
    <row r="979" ht="17.25" customHeight="1">
      <c r="A979" s="124"/>
      <c r="B979" s="1"/>
      <c r="C979" s="1"/>
      <c r="D979" s="124"/>
      <c r="E979" s="124"/>
      <c r="F979" s="124"/>
      <c r="G979" s="124"/>
      <c r="H979" s="124"/>
      <c r="I979" s="124"/>
      <c r="J979" s="124"/>
      <c r="K979" s="124"/>
      <c r="L979" s="124"/>
      <c r="M979" s="124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4"/>
    </row>
    <row r="980" ht="17.25" customHeight="1">
      <c r="A980" s="124"/>
      <c r="B980" s="1"/>
      <c r="C980" s="1"/>
      <c r="D980" s="124"/>
      <c r="E980" s="124"/>
      <c r="F980" s="124"/>
      <c r="G980" s="124"/>
      <c r="H980" s="124"/>
      <c r="I980" s="124"/>
      <c r="J980" s="124"/>
      <c r="K980" s="124"/>
      <c r="L980" s="124"/>
      <c r="M980" s="124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4"/>
    </row>
    <row r="981" ht="17.25" customHeight="1">
      <c r="A981" s="124"/>
      <c r="B981" s="1"/>
      <c r="C981" s="1"/>
      <c r="D981" s="124"/>
      <c r="E981" s="124"/>
      <c r="F981" s="124"/>
      <c r="G981" s="124"/>
      <c r="H981" s="124"/>
      <c r="I981" s="124"/>
      <c r="J981" s="124"/>
      <c r="K981" s="124"/>
      <c r="L981" s="124"/>
      <c r="M981" s="124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4"/>
    </row>
    <row r="982" ht="17.25" customHeight="1">
      <c r="A982" s="124"/>
      <c r="B982" s="1"/>
      <c r="C982" s="1"/>
      <c r="D982" s="124"/>
      <c r="E982" s="124"/>
      <c r="F982" s="124"/>
      <c r="G982" s="124"/>
      <c r="H982" s="124"/>
      <c r="I982" s="124"/>
      <c r="J982" s="124"/>
      <c r="K982" s="124"/>
      <c r="L982" s="124"/>
      <c r="M982" s="124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4"/>
    </row>
    <row r="983" ht="17.25" customHeight="1">
      <c r="A983" s="124"/>
      <c r="B983" s="1"/>
      <c r="C983" s="1"/>
      <c r="D983" s="124"/>
      <c r="E983" s="124"/>
      <c r="F983" s="124"/>
      <c r="G983" s="124"/>
      <c r="H983" s="124"/>
      <c r="I983" s="124"/>
      <c r="J983" s="124"/>
      <c r="K983" s="124"/>
      <c r="L983" s="124"/>
      <c r="M983" s="124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4"/>
    </row>
    <row r="984" ht="17.25" customHeight="1">
      <c r="A984" s="124"/>
      <c r="B984" s="1"/>
      <c r="C984" s="1"/>
      <c r="D984" s="124"/>
      <c r="E984" s="124"/>
      <c r="F984" s="124"/>
      <c r="G984" s="124"/>
      <c r="H984" s="124"/>
      <c r="I984" s="124"/>
      <c r="J984" s="124"/>
      <c r="K984" s="124"/>
      <c r="L984" s="124"/>
      <c r="M984" s="124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4"/>
    </row>
    <row r="985" ht="17.25" customHeight="1">
      <c r="A985" s="124"/>
      <c r="B985" s="1"/>
      <c r="C985" s="1"/>
      <c r="D985" s="124"/>
      <c r="E985" s="124"/>
      <c r="F985" s="124"/>
      <c r="G985" s="124"/>
      <c r="H985" s="124"/>
      <c r="I985" s="124"/>
      <c r="J985" s="124"/>
      <c r="K985" s="124"/>
      <c r="L985" s="124"/>
      <c r="M985" s="124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4"/>
    </row>
    <row r="986" ht="17.25" customHeight="1">
      <c r="A986" s="124"/>
      <c r="B986" s="1"/>
      <c r="C986" s="1"/>
      <c r="D986" s="124"/>
      <c r="E986" s="124"/>
      <c r="F986" s="124"/>
      <c r="G986" s="124"/>
      <c r="H986" s="124"/>
      <c r="I986" s="124"/>
      <c r="J986" s="124"/>
      <c r="K986" s="124"/>
      <c r="L986" s="124"/>
      <c r="M986" s="124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4"/>
    </row>
    <row r="987" ht="17.25" customHeight="1">
      <c r="A987" s="124"/>
      <c r="B987" s="1"/>
      <c r="C987" s="1"/>
      <c r="D987" s="124"/>
      <c r="E987" s="124"/>
      <c r="F987" s="124"/>
      <c r="G987" s="124"/>
      <c r="H987" s="124"/>
      <c r="I987" s="124"/>
      <c r="J987" s="124"/>
      <c r="K987" s="124"/>
      <c r="L987" s="124"/>
      <c r="M987" s="124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4"/>
    </row>
    <row r="988" ht="17.25" customHeight="1">
      <c r="A988" s="124"/>
      <c r="B988" s="1"/>
      <c r="C988" s="1"/>
      <c r="D988" s="124"/>
      <c r="E988" s="124"/>
      <c r="F988" s="124"/>
      <c r="G988" s="124"/>
      <c r="H988" s="124"/>
      <c r="I988" s="124"/>
      <c r="J988" s="124"/>
      <c r="K988" s="124"/>
      <c r="L988" s="124"/>
      <c r="M988" s="124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4"/>
    </row>
    <row r="989" ht="17.25" customHeight="1">
      <c r="A989" s="124"/>
      <c r="B989" s="1"/>
      <c r="C989" s="1"/>
      <c r="D989" s="124"/>
      <c r="E989" s="124"/>
      <c r="F989" s="124"/>
      <c r="G989" s="124"/>
      <c r="H989" s="124"/>
      <c r="I989" s="124"/>
      <c r="J989" s="124"/>
      <c r="K989" s="124"/>
      <c r="L989" s="124"/>
      <c r="M989" s="124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4"/>
    </row>
    <row r="990" ht="17.25" customHeight="1">
      <c r="A990" s="124"/>
      <c r="B990" s="1"/>
      <c r="C990" s="1"/>
      <c r="D990" s="124"/>
      <c r="E990" s="124"/>
      <c r="F990" s="124"/>
      <c r="G990" s="124"/>
      <c r="H990" s="124"/>
      <c r="I990" s="124"/>
      <c r="J990" s="124"/>
      <c r="K990" s="124"/>
      <c r="L990" s="124"/>
      <c r="M990" s="124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4"/>
    </row>
    <row r="991" ht="17.25" customHeight="1">
      <c r="A991" s="124"/>
      <c r="B991" s="1"/>
      <c r="C991" s="1"/>
      <c r="D991" s="124"/>
      <c r="E991" s="124"/>
      <c r="F991" s="124"/>
      <c r="G991" s="124"/>
      <c r="H991" s="124"/>
      <c r="I991" s="124"/>
      <c r="J991" s="124"/>
      <c r="K991" s="124"/>
      <c r="L991" s="124"/>
      <c r="M991" s="124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4"/>
    </row>
    <row r="992" ht="17.25" customHeight="1">
      <c r="A992" s="124"/>
      <c r="B992" s="1"/>
      <c r="C992" s="1"/>
      <c r="D992" s="124"/>
      <c r="E992" s="124"/>
      <c r="F992" s="124"/>
      <c r="G992" s="124"/>
      <c r="H992" s="124"/>
      <c r="I992" s="124"/>
      <c r="J992" s="124"/>
      <c r="K992" s="124"/>
      <c r="L992" s="124"/>
      <c r="M992" s="124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4"/>
    </row>
    <row r="993" ht="17.25" customHeight="1">
      <c r="A993" s="124"/>
      <c r="B993" s="1"/>
      <c r="C993" s="1"/>
      <c r="D993" s="124"/>
      <c r="E993" s="124"/>
      <c r="F993" s="124"/>
      <c r="G993" s="124"/>
      <c r="H993" s="124"/>
      <c r="I993" s="124"/>
      <c r="J993" s="124"/>
      <c r="K993" s="124"/>
      <c r="L993" s="124"/>
      <c r="M993" s="124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4"/>
    </row>
    <row r="994" ht="17.25" customHeight="1">
      <c r="A994" s="124"/>
      <c r="B994" s="1"/>
      <c r="C994" s="1"/>
      <c r="D994" s="124"/>
      <c r="E994" s="124"/>
      <c r="F994" s="124"/>
      <c r="G994" s="124"/>
      <c r="H994" s="124"/>
      <c r="I994" s="124"/>
      <c r="J994" s="124"/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4"/>
    </row>
    <row r="995" ht="17.25" customHeight="1">
      <c r="A995" s="124"/>
      <c r="B995" s="1"/>
      <c r="C995" s="1"/>
      <c r="D995" s="124"/>
      <c r="E995" s="124"/>
      <c r="F995" s="124"/>
      <c r="G995" s="124"/>
      <c r="H995" s="124"/>
      <c r="I995" s="124"/>
      <c r="J995" s="124"/>
      <c r="K995" s="124"/>
      <c r="L995" s="124"/>
      <c r="M995" s="124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4"/>
    </row>
    <row r="996" ht="17.25" customHeight="1">
      <c r="A996" s="124"/>
      <c r="B996" s="1"/>
      <c r="C996" s="1"/>
      <c r="D996" s="124"/>
      <c r="E996" s="124"/>
      <c r="F996" s="124"/>
      <c r="G996" s="124"/>
      <c r="H996" s="124"/>
      <c r="I996" s="124"/>
      <c r="J996" s="124"/>
      <c r="K996" s="124"/>
      <c r="L996" s="124"/>
      <c r="M996" s="124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4"/>
    </row>
    <row r="997" ht="17.25" customHeight="1">
      <c r="A997" s="124"/>
      <c r="B997" s="1"/>
      <c r="C997" s="1"/>
      <c r="D997" s="124"/>
      <c r="E997" s="124"/>
      <c r="F997" s="124"/>
      <c r="G997" s="124"/>
      <c r="H997" s="124"/>
      <c r="I997" s="124"/>
      <c r="J997" s="124"/>
      <c r="K997" s="124"/>
      <c r="L997" s="124"/>
      <c r="M997" s="124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4"/>
    </row>
    <row r="998" ht="17.25" customHeight="1">
      <c r="A998" s="124"/>
      <c r="B998" s="1"/>
      <c r="C998" s="1"/>
      <c r="D998" s="124"/>
      <c r="E998" s="124"/>
      <c r="F998" s="124"/>
      <c r="G998" s="124"/>
      <c r="H998" s="124"/>
      <c r="I998" s="124"/>
      <c r="J998" s="124"/>
      <c r="K998" s="124"/>
      <c r="L998" s="124"/>
      <c r="M998" s="124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4"/>
    </row>
  </sheetData>
  <autoFilter ref="$F$3:$K$14">
    <sortState ref="F3:K14">
      <sortCondition ref="J3:J14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22.86"/>
    <col customWidth="1" min="3" max="13" width="10.14"/>
    <col customWidth="1" min="14" max="26" width="10.71"/>
  </cols>
  <sheetData>
    <row r="1" ht="9.0" customHeight="1">
      <c r="A1" s="135"/>
      <c r="B1" s="135"/>
      <c r="C1" s="135"/>
      <c r="D1" s="135" t="str">
        <f t="shared" ref="D1:M1" si="1">IF(E2="x","y","")</f>
        <v/>
      </c>
      <c r="E1" s="135" t="str">
        <f t="shared" si="1"/>
        <v/>
      </c>
      <c r="F1" s="135" t="str">
        <f t="shared" si="1"/>
        <v>y</v>
      </c>
      <c r="G1" s="135" t="str">
        <f t="shared" si="1"/>
        <v/>
      </c>
      <c r="H1" s="135" t="str">
        <f t="shared" si="1"/>
        <v/>
      </c>
      <c r="I1" s="135" t="str">
        <f t="shared" si="1"/>
        <v/>
      </c>
      <c r="J1" s="135" t="str">
        <f t="shared" si="1"/>
        <v/>
      </c>
      <c r="K1" s="135" t="str">
        <f t="shared" si="1"/>
        <v/>
      </c>
      <c r="L1" s="135" t="str">
        <f t="shared" si="1"/>
        <v/>
      </c>
      <c r="M1" s="135" t="str">
        <f t="shared" si="1"/>
        <v/>
      </c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 ht="17.25" customHeight="1">
      <c r="A2" s="135"/>
      <c r="B2" s="126" t="s">
        <v>182</v>
      </c>
      <c r="C2" s="135"/>
      <c r="D2" s="45" t="str">
        <f t="shared" ref="D2:M2" si="2">IF(AND(D10&gt;0,C10&lt;0),"x","")</f>
        <v/>
      </c>
      <c r="E2" s="45" t="str">
        <f t="shared" si="2"/>
        <v/>
      </c>
      <c r="F2" s="45" t="str">
        <f t="shared" si="2"/>
        <v/>
      </c>
      <c r="G2" s="45" t="str">
        <f t="shared" si="2"/>
        <v>x</v>
      </c>
      <c r="H2" s="45" t="str">
        <f t="shared" si="2"/>
        <v/>
      </c>
      <c r="I2" s="45" t="str">
        <f t="shared" si="2"/>
        <v/>
      </c>
      <c r="J2" s="45" t="str">
        <f t="shared" si="2"/>
        <v/>
      </c>
      <c r="K2" s="45" t="str">
        <f t="shared" si="2"/>
        <v/>
      </c>
      <c r="L2" s="45" t="str">
        <f t="shared" si="2"/>
        <v/>
      </c>
      <c r="M2" s="45" t="str">
        <f t="shared" si="2"/>
        <v/>
      </c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</row>
    <row r="3" ht="22.5" customHeight="1">
      <c r="A3" s="135"/>
      <c r="B3" s="128" t="s">
        <v>183</v>
      </c>
      <c r="C3" s="127">
        <v>0.0</v>
      </c>
      <c r="D3" s="127">
        <v>1.0</v>
      </c>
      <c r="E3" s="127">
        <v>2.0</v>
      </c>
      <c r="F3" s="127">
        <v>3.0</v>
      </c>
      <c r="G3" s="127">
        <v>4.0</v>
      </c>
      <c r="H3" s="127">
        <v>5.0</v>
      </c>
      <c r="I3" s="127">
        <v>6.0</v>
      </c>
      <c r="J3" s="127">
        <v>7.0</v>
      </c>
      <c r="K3" s="127">
        <v>8.0</v>
      </c>
      <c r="L3" s="127">
        <v>9.0</v>
      </c>
      <c r="M3" s="127">
        <v>10.0</v>
      </c>
      <c r="N3" s="127" t="s">
        <v>12</v>
      </c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</row>
    <row r="4" ht="22.5" customHeight="1">
      <c r="A4" s="135"/>
      <c r="B4" s="136" t="s">
        <v>184</v>
      </c>
      <c r="C4" s="137">
        <v>0.0</v>
      </c>
      <c r="D4" s="138">
        <f>Produccion!$H$22</f>
        <v>4381.875</v>
      </c>
      <c r="E4" s="138">
        <f>Produccion!$H$22</f>
        <v>4381.875</v>
      </c>
      <c r="F4" s="138">
        <f>Produccion!$H$22</f>
        <v>4381.875</v>
      </c>
      <c r="G4" s="138">
        <f>Produccion!$H$22</f>
        <v>4381.875</v>
      </c>
      <c r="H4" s="138">
        <f>Produccion!$H$22</f>
        <v>4381.875</v>
      </c>
      <c r="I4" s="138">
        <f>Produccion!$H$22</f>
        <v>4381.875</v>
      </c>
      <c r="J4" s="138">
        <f>Produccion!$H$22</f>
        <v>4381.875</v>
      </c>
      <c r="K4" s="138">
        <f>Produccion!$H$22</f>
        <v>4381.875</v>
      </c>
      <c r="L4" s="138">
        <f>Produccion!$H$22</f>
        <v>4381.875</v>
      </c>
      <c r="M4" s="138">
        <f>Produccion!$H$22</f>
        <v>4381.875</v>
      </c>
      <c r="N4" s="139">
        <f t="shared" ref="N4:N9" si="3">SUM(C4:M4)</f>
        <v>43818.75</v>
      </c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</row>
    <row r="5" ht="22.5" customHeight="1">
      <c r="A5" s="135"/>
      <c r="B5" s="140" t="s">
        <v>185</v>
      </c>
      <c r="C5" s="141">
        <f>Inversiones!C9</f>
        <v>1778.942</v>
      </c>
      <c r="D5" s="142">
        <f>Costos!$C$7+Inversiones!W8</f>
        <v>3750.141041</v>
      </c>
      <c r="E5" s="142">
        <f>Costos!$C$7</f>
        <v>3287.562486</v>
      </c>
      <c r="F5" s="142">
        <f>Costos!$C$7</f>
        <v>3287.562486</v>
      </c>
      <c r="G5" s="142">
        <f>Costos!$C$7</f>
        <v>3287.562486</v>
      </c>
      <c r="H5" s="142">
        <f>Costos!$C$7</f>
        <v>3287.562486</v>
      </c>
      <c r="I5" s="142">
        <f>Costos!$C$7</f>
        <v>3287.562486</v>
      </c>
      <c r="J5" s="142">
        <f>Costos!$C$7</f>
        <v>3287.562486</v>
      </c>
      <c r="K5" s="142">
        <f>Costos!$C$7</f>
        <v>3287.562486</v>
      </c>
      <c r="L5" s="142">
        <f>Costos!$C$7</f>
        <v>3287.562486</v>
      </c>
      <c r="M5" s="142">
        <f>Costos!$C$7-Inversiones!W8</f>
        <v>2824.983932</v>
      </c>
      <c r="N5" s="143">
        <f t="shared" si="3"/>
        <v>34654.56686</v>
      </c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</row>
    <row r="6" ht="22.5" customHeight="1">
      <c r="A6" s="135"/>
      <c r="B6" s="144" t="s">
        <v>186</v>
      </c>
      <c r="C6" s="145">
        <f t="shared" ref="C6:M6" si="4">C4-C5</f>
        <v>-1778.942</v>
      </c>
      <c r="D6" s="145">
        <f t="shared" si="4"/>
        <v>631.7339591</v>
      </c>
      <c r="E6" s="145">
        <f t="shared" si="4"/>
        <v>1094.312514</v>
      </c>
      <c r="F6" s="145">
        <f t="shared" si="4"/>
        <v>1094.312514</v>
      </c>
      <c r="G6" s="145">
        <f t="shared" si="4"/>
        <v>1094.312514</v>
      </c>
      <c r="H6" s="145">
        <f t="shared" si="4"/>
        <v>1094.312514</v>
      </c>
      <c r="I6" s="145">
        <f t="shared" si="4"/>
        <v>1094.312514</v>
      </c>
      <c r="J6" s="145">
        <f t="shared" si="4"/>
        <v>1094.312514</v>
      </c>
      <c r="K6" s="145">
        <f t="shared" si="4"/>
        <v>1094.312514</v>
      </c>
      <c r="L6" s="145">
        <f t="shared" si="4"/>
        <v>1094.312514</v>
      </c>
      <c r="M6" s="145">
        <f t="shared" si="4"/>
        <v>1556.891068</v>
      </c>
      <c r="N6" s="146">
        <f t="shared" si="3"/>
        <v>9164.183136</v>
      </c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</row>
    <row r="7" ht="22.5" customHeight="1">
      <c r="A7" s="135"/>
      <c r="B7" s="147" t="s">
        <v>187</v>
      </c>
      <c r="C7" s="148">
        <v>0.0</v>
      </c>
      <c r="D7" s="149">
        <f t="shared" ref="D7:M7" si="5">D6*5%</f>
        <v>31.58669795</v>
      </c>
      <c r="E7" s="149">
        <f t="shared" si="5"/>
        <v>54.71562568</v>
      </c>
      <c r="F7" s="149">
        <f t="shared" si="5"/>
        <v>54.71562568</v>
      </c>
      <c r="G7" s="149">
        <f t="shared" si="5"/>
        <v>54.71562568</v>
      </c>
      <c r="H7" s="149">
        <f t="shared" si="5"/>
        <v>54.71562568</v>
      </c>
      <c r="I7" s="149">
        <f t="shared" si="5"/>
        <v>54.71562568</v>
      </c>
      <c r="J7" s="149">
        <f t="shared" si="5"/>
        <v>54.71562568</v>
      </c>
      <c r="K7" s="149">
        <f t="shared" si="5"/>
        <v>54.71562568</v>
      </c>
      <c r="L7" s="149">
        <f t="shared" si="5"/>
        <v>54.71562568</v>
      </c>
      <c r="M7" s="149">
        <f t="shared" si="5"/>
        <v>77.8445534</v>
      </c>
      <c r="N7" s="150">
        <f t="shared" si="3"/>
        <v>547.1562568</v>
      </c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ht="22.5" customHeight="1">
      <c r="A8" s="135"/>
      <c r="B8" s="151" t="s">
        <v>188</v>
      </c>
      <c r="C8" s="152">
        <v>0.0</v>
      </c>
      <c r="D8" s="153">
        <f t="shared" ref="D8:M8" si="6">D6*35%</f>
        <v>221.1068857</v>
      </c>
      <c r="E8" s="153">
        <f t="shared" si="6"/>
        <v>383.0093798</v>
      </c>
      <c r="F8" s="153">
        <f t="shared" si="6"/>
        <v>383.0093798</v>
      </c>
      <c r="G8" s="153">
        <f t="shared" si="6"/>
        <v>383.0093798</v>
      </c>
      <c r="H8" s="153">
        <f t="shared" si="6"/>
        <v>383.0093798</v>
      </c>
      <c r="I8" s="153">
        <f t="shared" si="6"/>
        <v>383.0093798</v>
      </c>
      <c r="J8" s="153">
        <f t="shared" si="6"/>
        <v>383.0093798</v>
      </c>
      <c r="K8" s="153">
        <f t="shared" si="6"/>
        <v>383.0093798</v>
      </c>
      <c r="L8" s="153">
        <f t="shared" si="6"/>
        <v>383.0093798</v>
      </c>
      <c r="M8" s="153">
        <f t="shared" si="6"/>
        <v>544.9118738</v>
      </c>
      <c r="N8" s="154">
        <f t="shared" si="3"/>
        <v>3830.093798</v>
      </c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</row>
    <row r="9" ht="22.5" customHeight="1">
      <c r="A9" s="135"/>
      <c r="B9" s="155" t="s">
        <v>189</v>
      </c>
      <c r="C9" s="156">
        <f t="shared" ref="C9:M9" si="7">C6-C7-C8</f>
        <v>-1778.942</v>
      </c>
      <c r="D9" s="156">
        <f t="shared" si="7"/>
        <v>379.0403755</v>
      </c>
      <c r="E9" s="156">
        <f t="shared" si="7"/>
        <v>656.5875081</v>
      </c>
      <c r="F9" s="156">
        <f t="shared" si="7"/>
        <v>656.5875081</v>
      </c>
      <c r="G9" s="156">
        <f t="shared" si="7"/>
        <v>656.5875081</v>
      </c>
      <c r="H9" s="156">
        <f t="shared" si="7"/>
        <v>656.5875081</v>
      </c>
      <c r="I9" s="156">
        <f t="shared" si="7"/>
        <v>656.5875081</v>
      </c>
      <c r="J9" s="156">
        <f t="shared" si="7"/>
        <v>656.5875081</v>
      </c>
      <c r="K9" s="156">
        <f t="shared" si="7"/>
        <v>656.5875081</v>
      </c>
      <c r="L9" s="156">
        <f t="shared" si="7"/>
        <v>656.5875081</v>
      </c>
      <c r="M9" s="156">
        <f t="shared" si="7"/>
        <v>934.1346408</v>
      </c>
      <c r="N9" s="157">
        <f t="shared" si="3"/>
        <v>4786.933081</v>
      </c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</row>
    <row r="10" ht="22.5" customHeight="1">
      <c r="A10" s="135"/>
      <c r="B10" s="158" t="s">
        <v>190</v>
      </c>
      <c r="C10" s="159">
        <f>C9</f>
        <v>-1778.942</v>
      </c>
      <c r="D10" s="65">
        <f t="shared" ref="D10:N10" si="8">C10+D9</f>
        <v>-1399.901625</v>
      </c>
      <c r="E10" s="65">
        <f t="shared" si="8"/>
        <v>-743.3141164</v>
      </c>
      <c r="F10" s="65">
        <f t="shared" si="8"/>
        <v>-86.72660826</v>
      </c>
      <c r="G10" s="65">
        <f t="shared" si="8"/>
        <v>569.8608999</v>
      </c>
      <c r="H10" s="65">
        <f t="shared" si="8"/>
        <v>1226.448408</v>
      </c>
      <c r="I10" s="65">
        <f t="shared" si="8"/>
        <v>1883.035916</v>
      </c>
      <c r="J10" s="65">
        <f t="shared" si="8"/>
        <v>2539.623424</v>
      </c>
      <c r="K10" s="65">
        <f t="shared" si="8"/>
        <v>3196.210932</v>
      </c>
      <c r="L10" s="65">
        <f t="shared" si="8"/>
        <v>3852.798441</v>
      </c>
      <c r="M10" s="65">
        <f t="shared" si="8"/>
        <v>4786.933081</v>
      </c>
      <c r="N10" s="65">
        <f t="shared" si="8"/>
        <v>9573.866163</v>
      </c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ht="22.5" customHeight="1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</row>
    <row r="12" ht="25.5" customHeight="1">
      <c r="A12" s="135"/>
      <c r="B12" s="160" t="s">
        <v>191</v>
      </c>
      <c r="C12" s="161">
        <f>N6-N7-N8</f>
        <v>4786.933081</v>
      </c>
      <c r="D12" s="162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</row>
    <row r="13" ht="25.5" customHeight="1">
      <c r="A13" s="135"/>
      <c r="B13" s="163" t="s">
        <v>192</v>
      </c>
      <c r="C13" s="164" t="str">
        <f>HLOOKUP("x",$D$2:$M$3,2,0) &amp; " años y " &amp; ROUNDUP(-(HLOOKUP("y",$D$1:$M$10,10,0))*365/HLOOKUP("x",$D$2:$M$9,8,0),0) &amp; " días"</f>
        <v>4 años y 49 días</v>
      </c>
      <c r="D13" s="162"/>
      <c r="E13" s="135"/>
      <c r="F13" s="135"/>
      <c r="G13" s="135">
        <f>HLOOKUP("x",$D$2:$M$3,2,0)+(-(HLOOKUP("y",$D$1:$M$10,10,0))*365/HLOOKUP("x",$D$2:$M$9,8,0))/365</f>
        <v>4.1320869</v>
      </c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</row>
    <row r="14" ht="25.5" customHeight="1">
      <c r="A14" s="135"/>
      <c r="B14" s="160" t="s">
        <v>193</v>
      </c>
      <c r="C14" s="165">
        <f>IRR(C9:M9)</f>
        <v>0.3106764847</v>
      </c>
      <c r="D14" s="162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</row>
    <row r="15" ht="25.5" customHeight="1">
      <c r="A15" s="135"/>
      <c r="B15" s="160" t="s">
        <v>194</v>
      </c>
      <c r="C15" s="161">
        <f t="array" ref="C15">NPV(F15,C9:M9)</f>
        <v>1168.329443</v>
      </c>
      <c r="D15" s="162"/>
      <c r="E15" s="166" t="s">
        <v>195</v>
      </c>
      <c r="F15" s="167">
        <v>0.15</v>
      </c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 ht="12.0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  <c r="Z16" s="135"/>
    </row>
    <row r="17" ht="12.0" customHeight="1">
      <c r="A17" s="135"/>
      <c r="B17" s="168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</row>
    <row r="18" ht="12.0" customHeight="1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</row>
    <row r="19" ht="12.0" customHeight="1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</row>
    <row r="20" ht="12.0" customHeight="1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</row>
    <row r="21" ht="12.0" customHeight="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</row>
    <row r="22" ht="12.0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</row>
    <row r="23" ht="12.0" customHeight="1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</row>
    <row r="24" ht="12.0" customHeight="1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</row>
    <row r="25" ht="12.0" customHeight="1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</row>
    <row r="26" ht="12.0" customHeight="1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</row>
    <row r="27" ht="12.0" customHeight="1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</row>
    <row r="28" ht="12.0" customHeight="1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69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  <c r="Z28" s="135"/>
    </row>
    <row r="29" ht="12.0" customHeight="1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</row>
    <row r="30" ht="12.0" customHeight="1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</row>
    <row r="31" ht="12.0" customHeight="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</row>
    <row r="32" ht="12.0" customHeight="1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</row>
    <row r="33" ht="12.0" customHeight="1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</row>
    <row r="34" ht="12.0" customHeight="1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</row>
    <row r="35" ht="12.0" customHeight="1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</row>
    <row r="36" ht="12.0" customHeight="1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</row>
    <row r="37" ht="12.0" customHeight="1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 ht="12.0" customHeight="1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</row>
    <row r="39" ht="12.0" customHeight="1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</row>
    <row r="40" ht="12.0" customHeight="1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 ht="12.0" customHeight="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</row>
    <row r="42" ht="12.0" customHeight="1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</row>
    <row r="43" ht="12.0" customHeight="1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</row>
    <row r="44" ht="12.0" customHeight="1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 ht="12.0" customHeight="1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</row>
    <row r="46" ht="12.0" customHeight="1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</row>
    <row r="47" ht="12.0" customHeight="1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</row>
    <row r="48" ht="12.0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</row>
    <row r="49" ht="12.0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</row>
    <row r="50" ht="12.0" customHeight="1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 ht="12.0" customHeight="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</row>
    <row r="52" ht="12.0" customHeight="1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</row>
    <row r="53" ht="12.0" customHeight="1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12.0" customHeight="1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</row>
    <row r="55" ht="12.0" customHeight="1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</row>
    <row r="56" ht="12.0" customHeight="1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</row>
    <row r="57" ht="12.0" customHeight="1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</row>
    <row r="58" ht="12.0" customHeight="1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</row>
    <row r="59" ht="12.0" customHeight="1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</row>
    <row r="60" ht="12.0" customHeight="1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</row>
    <row r="61" ht="12.0" customHeight="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</row>
    <row r="62" ht="12.0" customHeight="1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</row>
    <row r="63" ht="12.0" customHeight="1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</row>
    <row r="64" ht="12.0" customHeight="1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</row>
    <row r="65" ht="12.0" customHeight="1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</row>
    <row r="66" ht="12.0" customHeight="1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</row>
    <row r="67" ht="12.0" customHeight="1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</row>
    <row r="68" ht="12.0" customHeight="1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</row>
    <row r="69" ht="12.0" customHeight="1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</row>
    <row r="70" ht="12.0" customHeight="1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</row>
    <row r="71" ht="12.0" customHeight="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</row>
    <row r="72" ht="12.0" customHeight="1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</row>
    <row r="73" ht="12.0" customHeight="1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</row>
    <row r="74" ht="12.0" customHeight="1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</row>
    <row r="75" ht="12.0" customHeight="1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</row>
    <row r="76" ht="12.0" customHeight="1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</row>
    <row r="77" ht="12.0" customHeight="1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</row>
    <row r="78" ht="12.0" customHeight="1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</row>
    <row r="79" ht="12.0" customHeight="1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</row>
    <row r="80" ht="12.0" customHeight="1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</row>
    <row r="81" ht="12.0" customHeight="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</row>
    <row r="82" ht="12.0" customHeight="1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</row>
    <row r="83" ht="12.0" customHeight="1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</row>
    <row r="84" ht="12.0" customHeight="1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</row>
    <row r="85" ht="12.0" customHeight="1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2.0" customHeight="1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</row>
    <row r="87" ht="12.0" customHeight="1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</row>
    <row r="88" ht="12.0" customHeight="1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</row>
    <row r="89" ht="12.0" customHeight="1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2.0" customHeight="1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2.0" customHeight="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</row>
    <row r="92" ht="12.0" customHeight="1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</row>
    <row r="93" ht="12.0" customHeight="1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</row>
    <row r="94" ht="12.0" customHeight="1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</row>
    <row r="95" ht="12.0" customHeight="1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</row>
    <row r="96" ht="12.0" customHeight="1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</row>
    <row r="97" ht="12.0" customHeight="1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</row>
    <row r="98" ht="12.0" customHeight="1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</row>
    <row r="99" ht="12.0" customHeight="1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</row>
    <row r="100" ht="12.0" customHeight="1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</row>
    <row r="101" ht="12.0" customHeight="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</row>
    <row r="102" ht="12.0" customHeight="1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</row>
    <row r="103" ht="12.0" customHeight="1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</row>
    <row r="104" ht="12.0" customHeight="1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</row>
    <row r="105" ht="12.0" customHeight="1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</row>
    <row r="106" ht="12.0" customHeight="1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</row>
    <row r="107" ht="12.0" customHeight="1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</row>
    <row r="108" ht="12.0" customHeight="1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</row>
    <row r="109" ht="12.0" customHeight="1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</row>
    <row r="110" ht="12.0" customHeight="1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</row>
    <row r="111" ht="12.0" customHeight="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</row>
    <row r="112" ht="12.0" customHeight="1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</row>
    <row r="113" ht="12.0" customHeight="1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</row>
    <row r="114" ht="12.0" customHeight="1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</row>
    <row r="115" ht="12.0" customHeight="1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</row>
    <row r="116" ht="12.0" customHeight="1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</row>
    <row r="117" ht="12.0" customHeight="1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</row>
    <row r="118" ht="12.0" customHeight="1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</row>
    <row r="119" ht="12.0" customHeight="1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</row>
    <row r="120" ht="12.0" customHeight="1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</row>
    <row r="121" ht="12.0" customHeight="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</row>
    <row r="122" ht="12.0" customHeight="1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</row>
    <row r="123" ht="12.0" customHeight="1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</row>
    <row r="124" ht="12.0" customHeight="1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</row>
    <row r="125" ht="12.0" customHeight="1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</row>
    <row r="126" ht="12.0" customHeight="1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</row>
    <row r="127" ht="12.0" customHeight="1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</row>
    <row r="128" ht="12.0" customHeight="1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</row>
    <row r="129" ht="12.0" customHeight="1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</row>
    <row r="130" ht="12.0" customHeight="1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</row>
    <row r="131" ht="12.0" customHeight="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</row>
    <row r="132" ht="12.0" customHeight="1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</row>
    <row r="133" ht="12.0" customHeight="1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</row>
    <row r="134" ht="12.0" customHeight="1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</row>
    <row r="135" ht="12.0" customHeight="1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</row>
    <row r="136" ht="12.0" customHeight="1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</row>
    <row r="137" ht="12.0" customHeight="1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</row>
    <row r="138" ht="12.0" customHeight="1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</row>
    <row r="139" ht="12.0" customHeight="1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</row>
    <row r="140" ht="12.0" customHeight="1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</row>
    <row r="141" ht="12.0" customHeight="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</row>
    <row r="142" ht="12.0" customHeight="1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</row>
    <row r="143" ht="12.0" customHeight="1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</row>
    <row r="144" ht="12.0" customHeight="1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</row>
    <row r="145" ht="12.0" customHeight="1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</row>
    <row r="146" ht="12.0" customHeight="1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</row>
    <row r="147" ht="12.0" customHeight="1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</row>
    <row r="148" ht="12.0" customHeight="1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</row>
    <row r="149" ht="12.0" customHeight="1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</row>
    <row r="150" ht="12.0" customHeight="1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</row>
    <row r="151" ht="12.0" customHeight="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</row>
    <row r="152" ht="12.0" customHeight="1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</row>
    <row r="153" ht="12.0" customHeight="1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</row>
    <row r="154" ht="12.0" customHeight="1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</row>
    <row r="155" ht="12.0" customHeight="1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</row>
    <row r="156" ht="12.0" customHeight="1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</row>
    <row r="157" ht="12.0" customHeight="1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</row>
    <row r="158" ht="12.0" customHeight="1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</row>
    <row r="159" ht="12.0" customHeight="1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</row>
    <row r="160" ht="12.0" customHeight="1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</row>
    <row r="161" ht="12.0" customHeight="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</row>
    <row r="162" ht="12.0" customHeight="1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</row>
    <row r="163" ht="12.0" customHeight="1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</row>
    <row r="164" ht="12.0" customHeight="1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</row>
    <row r="165" ht="12.0" customHeight="1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</row>
    <row r="166" ht="12.0" customHeight="1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</row>
    <row r="167" ht="12.0" customHeight="1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</row>
    <row r="168" ht="12.0" customHeight="1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</row>
    <row r="169" ht="12.0" customHeight="1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</row>
    <row r="170" ht="12.0" customHeight="1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</row>
    <row r="171" ht="12.0" customHeight="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</row>
    <row r="172" ht="12.0" customHeight="1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</row>
    <row r="173" ht="12.0" customHeight="1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</row>
    <row r="174" ht="12.0" customHeight="1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</row>
    <row r="175" ht="12.0" customHeight="1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</row>
    <row r="176" ht="12.0" customHeight="1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</row>
    <row r="177" ht="12.0" customHeight="1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</row>
    <row r="178" ht="12.0" customHeight="1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</row>
    <row r="179" ht="12.0" customHeight="1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</row>
    <row r="180" ht="12.0" customHeight="1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</row>
    <row r="181" ht="12.0" customHeight="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</row>
    <row r="182" ht="12.0" customHeight="1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</row>
    <row r="183" ht="12.0" customHeight="1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</row>
    <row r="184" ht="12.0" customHeight="1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</row>
    <row r="185" ht="12.0" customHeight="1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</row>
    <row r="186" ht="12.0" customHeight="1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</row>
    <row r="187" ht="12.0" customHeight="1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</row>
    <row r="188" ht="12.0" customHeight="1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</row>
    <row r="189" ht="12.0" customHeight="1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</row>
    <row r="190" ht="12.0" customHeight="1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</row>
    <row r="191" ht="12.0" customHeight="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</row>
    <row r="192" ht="12.0" customHeight="1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</row>
    <row r="193" ht="12.0" customHeight="1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</row>
    <row r="194" ht="12.0" customHeight="1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</row>
    <row r="195" ht="12.0" customHeight="1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</row>
    <row r="196" ht="12.0" customHeight="1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</row>
    <row r="197" ht="12.0" customHeight="1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</row>
    <row r="198" ht="12.0" customHeight="1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</row>
    <row r="199" ht="12.0" customHeight="1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</row>
    <row r="200" ht="12.0" customHeight="1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</row>
    <row r="201" ht="12.0" customHeight="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</row>
    <row r="202" ht="12.0" customHeight="1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</row>
    <row r="203" ht="12.0" customHeight="1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</row>
    <row r="204" ht="12.0" customHeight="1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</row>
    <row r="205" ht="12.0" customHeight="1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</row>
    <row r="206" ht="12.0" customHeight="1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</row>
    <row r="207" ht="12.0" customHeight="1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</row>
    <row r="208" ht="12.0" customHeight="1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</row>
    <row r="209" ht="12.0" customHeight="1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</row>
    <row r="210" ht="12.0" customHeight="1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</row>
    <row r="211" ht="12.0" customHeight="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</row>
    <row r="212" ht="12.0" customHeight="1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</row>
    <row r="213" ht="12.0" customHeight="1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</row>
    <row r="214" ht="12.0" customHeight="1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</row>
    <row r="215" ht="12.0" customHeight="1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</row>
    <row r="216" ht="12.0" customHeight="1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</row>
    <row r="217" ht="12.0" customHeight="1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</row>
    <row r="218" ht="12.0" customHeight="1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</row>
    <row r="219" ht="12.0" customHeight="1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</row>
    <row r="220" ht="12.0" customHeight="1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</row>
    <row r="221" ht="12.0" customHeight="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</row>
    <row r="222" ht="12.0" customHeight="1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</row>
    <row r="223" ht="12.0" customHeight="1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</row>
    <row r="224" ht="12.0" customHeight="1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</row>
    <row r="225" ht="12.0" customHeight="1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</row>
    <row r="226" ht="12.0" customHeight="1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</row>
    <row r="227" ht="12.0" customHeight="1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</row>
    <row r="228" ht="12.0" customHeight="1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</row>
    <row r="229" ht="12.0" customHeight="1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</row>
    <row r="230" ht="12.0" customHeight="1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</row>
    <row r="231" ht="12.0" customHeight="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</row>
    <row r="232" ht="12.0" customHeight="1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</row>
    <row r="233" ht="12.0" customHeight="1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</row>
    <row r="234" ht="12.0" customHeight="1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</row>
    <row r="235" ht="12.0" customHeight="1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</row>
    <row r="236" ht="12.0" customHeight="1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</row>
    <row r="237" ht="12.0" customHeight="1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</row>
    <row r="238" ht="12.0" customHeight="1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</row>
    <row r="239" ht="12.0" customHeight="1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</row>
    <row r="240" ht="12.0" customHeight="1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</row>
    <row r="241" ht="12.0" customHeight="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</row>
    <row r="242" ht="12.0" customHeight="1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</row>
    <row r="243" ht="12.0" customHeight="1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</row>
    <row r="244" ht="12.0" customHeight="1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</row>
    <row r="245" ht="12.0" customHeight="1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</row>
    <row r="246" ht="12.0" customHeight="1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</row>
    <row r="247" ht="12.0" customHeight="1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 ht="12.0" customHeight="1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 ht="12.0" customHeight="1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</row>
    <row r="250" ht="12.0" customHeight="1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</row>
    <row r="251" ht="12.0" customHeight="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</row>
    <row r="252" ht="12.0" customHeight="1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</row>
    <row r="253" ht="12.0" customHeight="1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</row>
    <row r="254" ht="12.0" customHeight="1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</row>
    <row r="255" ht="12.0" customHeight="1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</row>
    <row r="256" ht="12.0" customHeight="1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</row>
    <row r="257" ht="12.0" customHeight="1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</row>
    <row r="258" ht="12.0" customHeight="1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</row>
    <row r="259" ht="12.0" customHeight="1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</row>
    <row r="260" ht="12.0" customHeight="1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</row>
    <row r="261" ht="12.0" customHeight="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</row>
    <row r="262" ht="12.0" customHeight="1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</row>
    <row r="263" ht="12.0" customHeight="1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</row>
    <row r="264" ht="12.0" customHeight="1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</row>
    <row r="265" ht="12.0" customHeight="1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</row>
    <row r="266" ht="12.0" customHeight="1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</row>
    <row r="267" ht="12.0" customHeight="1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</row>
    <row r="268" ht="12.0" customHeight="1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</row>
    <row r="269" ht="12.0" customHeight="1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</row>
    <row r="270" ht="12.0" customHeight="1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</row>
    <row r="271" ht="12.0" customHeight="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</row>
    <row r="272" ht="12.0" customHeight="1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</row>
    <row r="273" ht="12.0" customHeight="1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</row>
    <row r="274" ht="12.0" customHeight="1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</row>
    <row r="275" ht="12.0" customHeight="1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</row>
    <row r="276" ht="12.0" customHeight="1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</row>
    <row r="277" ht="12.0" customHeight="1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</row>
    <row r="278" ht="12.0" customHeight="1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</row>
    <row r="279" ht="12.0" customHeight="1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</row>
    <row r="280" ht="12.0" customHeight="1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</row>
    <row r="281" ht="12.0" customHeight="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</row>
    <row r="282" ht="12.0" customHeight="1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</row>
    <row r="283" ht="12.0" customHeight="1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</row>
    <row r="284" ht="12.0" customHeight="1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</row>
    <row r="285" ht="12.0" customHeight="1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</row>
    <row r="286" ht="12.0" customHeight="1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</row>
    <row r="287" ht="12.0" customHeight="1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</row>
    <row r="288" ht="12.0" customHeight="1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</row>
    <row r="289" ht="12.0" customHeight="1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</row>
    <row r="290" ht="12.0" customHeight="1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</row>
    <row r="291" ht="12.0" customHeight="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</row>
    <row r="292" ht="12.0" customHeight="1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</row>
    <row r="293" ht="12.0" customHeight="1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</row>
    <row r="294" ht="12.0" customHeight="1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</row>
    <row r="295" ht="12.0" customHeight="1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</row>
    <row r="296" ht="12.0" customHeight="1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</row>
    <row r="297" ht="12.0" customHeight="1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</row>
    <row r="298" ht="12.0" customHeight="1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</row>
    <row r="299" ht="12.0" customHeight="1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</row>
    <row r="300" ht="12.0" customHeight="1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</row>
    <row r="301" ht="12.0" customHeight="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</row>
    <row r="302" ht="12.0" customHeight="1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</row>
    <row r="303" ht="12.0" customHeight="1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</row>
    <row r="304" ht="12.0" customHeight="1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</row>
    <row r="305" ht="12.0" customHeight="1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</row>
    <row r="306" ht="12.0" customHeight="1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</row>
    <row r="307" ht="12.0" customHeight="1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</row>
    <row r="308" ht="12.0" customHeight="1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</row>
    <row r="309" ht="12.0" customHeight="1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</row>
    <row r="310" ht="12.0" customHeight="1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</row>
    <row r="311" ht="12.0" customHeight="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</row>
    <row r="312" ht="12.0" customHeight="1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</row>
    <row r="313" ht="12.0" customHeight="1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</row>
    <row r="314" ht="12.0" customHeight="1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</row>
    <row r="315" ht="12.0" customHeight="1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</row>
    <row r="316" ht="12.0" customHeight="1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</row>
    <row r="317" ht="12.0" customHeight="1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</row>
    <row r="318" ht="12.0" customHeight="1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</row>
    <row r="319" ht="12.0" customHeight="1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</row>
    <row r="320" ht="12.0" customHeight="1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</row>
    <row r="321" ht="12.0" customHeight="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</row>
    <row r="322" ht="12.0" customHeight="1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</row>
    <row r="323" ht="12.0" customHeight="1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</row>
    <row r="324" ht="12.0" customHeight="1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</row>
    <row r="325" ht="12.0" customHeight="1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</row>
    <row r="326" ht="12.0" customHeight="1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</row>
    <row r="327" ht="12.0" customHeight="1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</row>
    <row r="328" ht="12.0" customHeight="1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</row>
    <row r="329" ht="12.0" customHeight="1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</row>
    <row r="330" ht="12.0" customHeight="1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</row>
    <row r="331" ht="12.0" customHeight="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</row>
    <row r="332" ht="12.0" customHeight="1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</row>
    <row r="333" ht="12.0" customHeight="1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</row>
    <row r="334" ht="12.0" customHeight="1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</row>
    <row r="335" ht="12.0" customHeight="1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</row>
    <row r="336" ht="12.0" customHeight="1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</row>
    <row r="337" ht="12.0" customHeight="1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</row>
    <row r="338" ht="12.0" customHeight="1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</row>
    <row r="339" ht="12.0" customHeight="1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</row>
    <row r="340" ht="12.0" customHeight="1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</row>
    <row r="341" ht="12.0" customHeight="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</row>
    <row r="342" ht="12.0" customHeight="1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</row>
    <row r="343" ht="12.0" customHeight="1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</row>
    <row r="344" ht="12.0" customHeight="1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</row>
    <row r="345" ht="12.0" customHeight="1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</row>
    <row r="346" ht="12.0" customHeight="1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</row>
    <row r="347" ht="12.0" customHeight="1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</row>
    <row r="348" ht="12.0" customHeight="1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</row>
    <row r="349" ht="12.0" customHeight="1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</row>
    <row r="350" ht="12.0" customHeight="1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</row>
    <row r="351" ht="12.0" customHeight="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</row>
    <row r="352" ht="12.0" customHeight="1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</row>
    <row r="353" ht="12.0" customHeight="1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</row>
    <row r="354" ht="12.0" customHeight="1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</row>
    <row r="355" ht="12.0" customHeight="1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</row>
    <row r="356" ht="12.0" customHeight="1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</row>
    <row r="357" ht="12.0" customHeight="1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</row>
    <row r="358" ht="12.0" customHeight="1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</row>
    <row r="359" ht="12.0" customHeight="1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</row>
    <row r="360" ht="12.0" customHeight="1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</row>
    <row r="361" ht="12.0" customHeight="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</row>
    <row r="362" ht="12.0" customHeight="1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</row>
    <row r="363" ht="12.0" customHeight="1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</row>
    <row r="364" ht="12.0" customHeight="1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</row>
    <row r="365" ht="12.0" customHeight="1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</row>
    <row r="366" ht="12.0" customHeight="1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</row>
    <row r="367" ht="12.0" customHeight="1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</row>
    <row r="368" ht="12.0" customHeight="1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</row>
    <row r="369" ht="12.0" customHeight="1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</row>
    <row r="370" ht="12.0" customHeight="1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</row>
    <row r="371" ht="12.0" customHeight="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</row>
    <row r="372" ht="12.0" customHeight="1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</row>
    <row r="373" ht="12.0" customHeight="1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</row>
    <row r="374" ht="12.0" customHeight="1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</row>
    <row r="375" ht="12.0" customHeight="1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</row>
    <row r="376" ht="12.0" customHeight="1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</row>
    <row r="377" ht="12.0" customHeight="1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</row>
    <row r="378" ht="12.0" customHeight="1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</row>
    <row r="379" ht="12.0" customHeight="1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</row>
    <row r="380" ht="12.0" customHeight="1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</row>
    <row r="381" ht="12.0" customHeight="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</row>
    <row r="382" ht="12.0" customHeight="1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</row>
    <row r="383" ht="12.0" customHeight="1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</row>
    <row r="384" ht="12.0" customHeight="1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</row>
    <row r="385" ht="12.0" customHeight="1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</row>
    <row r="386" ht="12.0" customHeight="1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</row>
    <row r="387" ht="12.0" customHeight="1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</row>
    <row r="388" ht="12.0" customHeight="1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</row>
    <row r="389" ht="12.0" customHeight="1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</row>
    <row r="390" ht="12.0" customHeight="1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</row>
    <row r="391" ht="12.0" customHeight="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</row>
    <row r="392" ht="12.0" customHeight="1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</row>
    <row r="393" ht="12.0" customHeight="1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</row>
    <row r="394" ht="12.0" customHeight="1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</row>
    <row r="395" ht="12.0" customHeight="1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</row>
    <row r="396" ht="12.0" customHeight="1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</row>
    <row r="397" ht="12.0" customHeight="1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</row>
    <row r="398" ht="12.0" customHeight="1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</row>
    <row r="399" ht="12.0" customHeight="1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</row>
    <row r="400" ht="12.0" customHeight="1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</row>
    <row r="401" ht="12.0" customHeight="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</row>
    <row r="402" ht="12.0" customHeight="1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</row>
    <row r="403" ht="12.0" customHeight="1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</row>
    <row r="404" ht="12.0" customHeight="1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</row>
    <row r="405" ht="12.0" customHeight="1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</row>
    <row r="406" ht="12.0" customHeight="1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</row>
    <row r="407" ht="12.0" customHeight="1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</row>
    <row r="408" ht="12.0" customHeight="1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</row>
    <row r="409" ht="12.0" customHeight="1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</row>
    <row r="410" ht="12.0" customHeight="1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</row>
    <row r="411" ht="12.0" customHeight="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</row>
    <row r="412" ht="12.0" customHeight="1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</row>
    <row r="413" ht="12.0" customHeight="1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</row>
    <row r="414" ht="12.0" customHeight="1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</row>
    <row r="415" ht="12.0" customHeight="1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</row>
    <row r="416" ht="12.0" customHeight="1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</row>
    <row r="417" ht="12.0" customHeight="1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</row>
    <row r="418" ht="12.0" customHeight="1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</row>
    <row r="419" ht="12.0" customHeight="1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</row>
    <row r="420" ht="12.0" customHeight="1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</row>
    <row r="421" ht="12.0" customHeight="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</row>
    <row r="422" ht="12.0" customHeight="1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</row>
    <row r="423" ht="12.0" customHeight="1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</row>
    <row r="424" ht="12.0" customHeight="1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</row>
    <row r="425" ht="12.0" customHeight="1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</row>
    <row r="426" ht="12.0" customHeight="1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</row>
    <row r="427" ht="12.0" customHeight="1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</row>
    <row r="428" ht="12.0" customHeight="1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</row>
    <row r="429" ht="12.0" customHeight="1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</row>
    <row r="430" ht="12.0" customHeight="1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</row>
    <row r="431" ht="12.0" customHeight="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</row>
    <row r="432" ht="12.0" customHeight="1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</row>
    <row r="433" ht="12.0" customHeight="1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</row>
    <row r="434" ht="12.0" customHeight="1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</row>
    <row r="435" ht="12.0" customHeight="1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</row>
    <row r="436" ht="12.0" customHeight="1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</row>
    <row r="437" ht="12.0" customHeight="1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</row>
    <row r="438" ht="12.0" customHeight="1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</row>
    <row r="439" ht="12.0" customHeight="1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</row>
    <row r="440" ht="12.0" customHeight="1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</row>
    <row r="441" ht="12.0" customHeight="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</row>
    <row r="442" ht="12.0" customHeight="1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</row>
    <row r="443" ht="12.0" customHeight="1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</row>
    <row r="444" ht="12.0" customHeight="1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</row>
    <row r="445" ht="12.0" customHeight="1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</row>
    <row r="446" ht="12.0" customHeight="1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</row>
    <row r="447" ht="12.0" customHeight="1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</row>
    <row r="448" ht="12.0" customHeight="1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</row>
    <row r="449" ht="12.0" customHeight="1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</row>
    <row r="450" ht="12.0" customHeight="1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</row>
    <row r="451" ht="12.0" customHeight="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</row>
    <row r="452" ht="12.0" customHeight="1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</row>
    <row r="453" ht="12.0" customHeight="1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</row>
    <row r="454" ht="12.0" customHeight="1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</row>
    <row r="455" ht="12.0" customHeight="1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</row>
    <row r="456" ht="12.0" customHeight="1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</row>
    <row r="457" ht="12.0" customHeight="1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</row>
    <row r="458" ht="12.0" customHeight="1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</row>
    <row r="459" ht="12.0" customHeight="1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</row>
    <row r="460" ht="12.0" customHeight="1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</row>
    <row r="461" ht="12.0" customHeight="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</row>
    <row r="462" ht="12.0" customHeight="1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</row>
    <row r="463" ht="12.0" customHeight="1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</row>
    <row r="464" ht="12.0" customHeight="1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</row>
    <row r="465" ht="12.0" customHeight="1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</row>
    <row r="466" ht="12.0" customHeight="1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</row>
    <row r="467" ht="12.0" customHeight="1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</row>
    <row r="468" ht="12.0" customHeight="1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</row>
    <row r="469" ht="12.0" customHeight="1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</row>
    <row r="470" ht="12.0" customHeight="1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</row>
    <row r="471" ht="12.0" customHeight="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</row>
    <row r="472" ht="12.0" customHeight="1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</row>
    <row r="473" ht="12.0" customHeight="1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</row>
    <row r="474" ht="12.0" customHeight="1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</row>
    <row r="475" ht="12.0" customHeight="1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</row>
    <row r="476" ht="12.0" customHeight="1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</row>
    <row r="477" ht="12.0" customHeight="1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</row>
    <row r="478" ht="12.0" customHeight="1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</row>
    <row r="479" ht="12.0" customHeight="1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</row>
    <row r="480" ht="12.0" customHeight="1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</row>
    <row r="481" ht="12.0" customHeight="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</row>
    <row r="482" ht="12.0" customHeight="1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</row>
    <row r="483" ht="12.0" customHeight="1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</row>
    <row r="484" ht="12.0" customHeight="1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</row>
    <row r="485" ht="12.0" customHeight="1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</row>
    <row r="486" ht="12.0" customHeight="1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</row>
    <row r="487" ht="12.0" customHeight="1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</row>
    <row r="488" ht="12.0" customHeight="1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</row>
    <row r="489" ht="12.0" customHeight="1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</row>
    <row r="490" ht="12.0" customHeight="1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</row>
    <row r="491" ht="12.0" customHeight="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</row>
    <row r="492" ht="12.0" customHeight="1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</row>
    <row r="493" ht="12.0" customHeight="1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</row>
    <row r="494" ht="12.0" customHeight="1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</row>
    <row r="495" ht="12.0" customHeight="1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</row>
    <row r="496" ht="12.0" customHeight="1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</row>
    <row r="497" ht="12.0" customHeight="1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</row>
    <row r="498" ht="12.0" customHeight="1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</row>
    <row r="499" ht="12.0" customHeight="1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</row>
    <row r="500" ht="12.0" customHeight="1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</row>
    <row r="501" ht="12.0" customHeight="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</row>
    <row r="502" ht="12.0" customHeight="1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</row>
    <row r="503" ht="12.0" customHeight="1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</row>
    <row r="504" ht="12.0" customHeight="1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</row>
    <row r="505" ht="12.0" customHeight="1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</row>
    <row r="506" ht="12.0" customHeight="1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</row>
    <row r="507" ht="12.0" customHeight="1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</row>
    <row r="508" ht="12.0" customHeight="1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</row>
    <row r="509" ht="12.0" customHeight="1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</row>
    <row r="510" ht="12.0" customHeight="1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</row>
    <row r="511" ht="12.0" customHeight="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</row>
    <row r="512" ht="12.0" customHeight="1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</row>
    <row r="513" ht="12.0" customHeight="1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</row>
    <row r="514" ht="12.0" customHeight="1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</row>
    <row r="515" ht="12.0" customHeight="1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</row>
    <row r="516" ht="12.0" customHeight="1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</row>
    <row r="517" ht="12.0" customHeight="1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</row>
    <row r="518" ht="12.0" customHeight="1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</row>
    <row r="519" ht="12.0" customHeight="1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</row>
    <row r="520" ht="12.0" customHeight="1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</row>
    <row r="521" ht="12.0" customHeight="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</row>
    <row r="522" ht="12.0" customHeight="1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</row>
    <row r="523" ht="12.0" customHeight="1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</row>
    <row r="524" ht="12.0" customHeight="1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</row>
    <row r="525" ht="12.0" customHeight="1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</row>
    <row r="526" ht="12.0" customHeight="1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</row>
    <row r="527" ht="12.0" customHeight="1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</row>
    <row r="528" ht="12.0" customHeight="1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</row>
    <row r="529" ht="12.0" customHeight="1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</row>
    <row r="530" ht="12.0" customHeight="1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</row>
    <row r="531" ht="12.0" customHeight="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</row>
    <row r="532" ht="12.0" customHeight="1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</row>
    <row r="533" ht="12.0" customHeight="1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</row>
    <row r="534" ht="12.0" customHeight="1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</row>
    <row r="535" ht="12.0" customHeight="1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</row>
    <row r="536" ht="12.0" customHeight="1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</row>
    <row r="537" ht="12.0" customHeight="1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</row>
    <row r="538" ht="12.0" customHeight="1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</row>
    <row r="539" ht="12.0" customHeight="1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</row>
    <row r="540" ht="12.0" customHeight="1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</row>
    <row r="541" ht="12.0" customHeight="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</row>
    <row r="542" ht="12.0" customHeight="1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</row>
    <row r="543" ht="12.0" customHeight="1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</row>
    <row r="544" ht="12.0" customHeight="1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</row>
    <row r="545" ht="12.0" customHeight="1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</row>
    <row r="546" ht="12.0" customHeight="1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</row>
    <row r="547" ht="12.0" customHeight="1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</row>
    <row r="548" ht="12.0" customHeight="1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</row>
    <row r="549" ht="12.0" customHeight="1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</row>
    <row r="550" ht="12.0" customHeight="1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</row>
    <row r="551" ht="12.0" customHeight="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</row>
    <row r="552" ht="12.0" customHeight="1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</row>
    <row r="553" ht="12.0" customHeight="1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</row>
    <row r="554" ht="12.0" customHeight="1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</row>
    <row r="555" ht="12.0" customHeight="1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</row>
    <row r="556" ht="12.0" customHeight="1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</row>
    <row r="557" ht="12.0" customHeight="1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</row>
    <row r="558" ht="12.0" customHeight="1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</row>
    <row r="559" ht="12.0" customHeight="1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</row>
    <row r="560" ht="12.0" customHeight="1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</row>
    <row r="561" ht="12.0" customHeight="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</row>
    <row r="562" ht="12.0" customHeight="1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</row>
    <row r="563" ht="12.0" customHeight="1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</row>
    <row r="564" ht="12.0" customHeight="1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</row>
    <row r="565" ht="12.0" customHeight="1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</row>
    <row r="566" ht="12.0" customHeight="1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</row>
    <row r="567" ht="12.0" customHeight="1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</row>
    <row r="568" ht="12.0" customHeight="1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</row>
    <row r="569" ht="12.0" customHeight="1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</row>
    <row r="570" ht="12.0" customHeight="1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</row>
    <row r="571" ht="12.0" customHeight="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</row>
    <row r="572" ht="12.0" customHeight="1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</row>
    <row r="573" ht="12.0" customHeight="1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</row>
    <row r="574" ht="12.0" customHeight="1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</row>
    <row r="575" ht="12.0" customHeight="1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</row>
    <row r="576" ht="12.0" customHeight="1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</row>
    <row r="577" ht="12.0" customHeight="1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</row>
    <row r="578" ht="12.0" customHeight="1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</row>
    <row r="579" ht="12.0" customHeight="1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</row>
    <row r="580" ht="12.0" customHeight="1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</row>
    <row r="581" ht="12.0" customHeight="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</row>
    <row r="582" ht="12.0" customHeight="1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</row>
    <row r="583" ht="12.0" customHeight="1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</row>
    <row r="584" ht="12.0" customHeight="1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</row>
    <row r="585" ht="12.0" customHeight="1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</row>
    <row r="586" ht="12.0" customHeight="1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</row>
    <row r="587" ht="12.0" customHeight="1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</row>
    <row r="588" ht="12.0" customHeight="1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</row>
    <row r="589" ht="12.0" customHeight="1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</row>
    <row r="590" ht="12.0" customHeight="1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</row>
    <row r="591" ht="12.0" customHeight="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</row>
    <row r="592" ht="12.0" customHeight="1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</row>
    <row r="593" ht="12.0" customHeight="1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</row>
    <row r="594" ht="12.0" customHeight="1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</row>
    <row r="595" ht="12.0" customHeight="1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</row>
    <row r="596" ht="12.0" customHeight="1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</row>
    <row r="597" ht="12.0" customHeight="1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</row>
    <row r="598" ht="12.0" customHeight="1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</row>
    <row r="599" ht="12.0" customHeight="1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</row>
    <row r="600" ht="12.0" customHeight="1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</row>
    <row r="601" ht="12.0" customHeight="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</row>
    <row r="602" ht="12.0" customHeight="1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</row>
    <row r="603" ht="12.0" customHeight="1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</row>
    <row r="604" ht="12.0" customHeight="1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</row>
    <row r="605" ht="12.0" customHeight="1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</row>
    <row r="606" ht="12.0" customHeight="1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</row>
    <row r="607" ht="12.0" customHeight="1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</row>
    <row r="608" ht="12.0" customHeight="1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</row>
    <row r="609" ht="12.0" customHeight="1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</row>
    <row r="610" ht="12.0" customHeight="1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</row>
    <row r="611" ht="12.0" customHeight="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</row>
    <row r="612" ht="12.0" customHeight="1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</row>
    <row r="613" ht="12.0" customHeight="1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</row>
    <row r="614" ht="12.0" customHeight="1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</row>
    <row r="615" ht="12.0" customHeight="1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</row>
    <row r="616" ht="12.0" customHeight="1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</row>
    <row r="617" ht="12.0" customHeight="1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</row>
    <row r="618" ht="12.0" customHeight="1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</row>
    <row r="619" ht="12.0" customHeight="1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</row>
    <row r="620" ht="12.0" customHeight="1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</row>
    <row r="621" ht="12.0" customHeight="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</row>
    <row r="622" ht="12.0" customHeight="1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</row>
    <row r="623" ht="12.0" customHeight="1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</row>
    <row r="624" ht="12.0" customHeight="1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</row>
    <row r="625" ht="12.0" customHeight="1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</row>
    <row r="626" ht="12.0" customHeight="1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</row>
    <row r="627" ht="12.0" customHeight="1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</row>
    <row r="628" ht="12.0" customHeight="1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</row>
    <row r="629" ht="12.0" customHeight="1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</row>
    <row r="630" ht="12.0" customHeight="1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</row>
    <row r="631" ht="12.0" customHeight="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</row>
    <row r="632" ht="12.0" customHeight="1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</row>
    <row r="633" ht="12.0" customHeight="1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</row>
    <row r="634" ht="12.0" customHeight="1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</row>
    <row r="635" ht="12.0" customHeight="1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</row>
    <row r="636" ht="12.0" customHeight="1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</row>
    <row r="637" ht="12.0" customHeight="1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</row>
    <row r="638" ht="12.0" customHeight="1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</row>
    <row r="639" ht="12.0" customHeight="1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</row>
    <row r="640" ht="12.0" customHeight="1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</row>
    <row r="641" ht="12.0" customHeight="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</row>
    <row r="642" ht="12.0" customHeight="1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</row>
    <row r="643" ht="12.0" customHeight="1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</row>
    <row r="644" ht="12.0" customHeight="1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</row>
    <row r="645" ht="12.0" customHeight="1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</row>
    <row r="646" ht="12.0" customHeight="1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</row>
    <row r="647" ht="12.0" customHeight="1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</row>
    <row r="648" ht="12.0" customHeight="1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</row>
    <row r="649" ht="12.0" customHeight="1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</row>
    <row r="650" ht="12.0" customHeight="1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</row>
    <row r="651" ht="12.0" customHeight="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</row>
    <row r="652" ht="12.0" customHeight="1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</row>
    <row r="653" ht="12.0" customHeight="1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</row>
    <row r="654" ht="12.0" customHeight="1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</row>
    <row r="655" ht="12.0" customHeight="1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</row>
    <row r="656" ht="12.0" customHeight="1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</row>
    <row r="657" ht="12.0" customHeight="1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</row>
    <row r="658" ht="12.0" customHeight="1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</row>
    <row r="659" ht="12.0" customHeight="1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</row>
    <row r="660" ht="12.0" customHeight="1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</row>
    <row r="661" ht="12.0" customHeight="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</row>
    <row r="662" ht="12.0" customHeight="1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</row>
    <row r="663" ht="12.0" customHeight="1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</row>
    <row r="664" ht="12.0" customHeight="1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</row>
    <row r="665" ht="12.0" customHeight="1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</row>
    <row r="666" ht="12.0" customHeight="1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</row>
    <row r="667" ht="12.0" customHeight="1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</row>
    <row r="668" ht="12.0" customHeight="1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</row>
    <row r="669" ht="12.0" customHeight="1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</row>
    <row r="670" ht="12.0" customHeight="1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</row>
    <row r="671" ht="12.0" customHeight="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</row>
    <row r="672" ht="12.0" customHeight="1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</row>
    <row r="673" ht="12.0" customHeight="1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</row>
    <row r="674" ht="12.0" customHeight="1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</row>
    <row r="675" ht="12.0" customHeight="1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</row>
    <row r="676" ht="12.0" customHeight="1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</row>
    <row r="677" ht="12.0" customHeight="1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</row>
    <row r="678" ht="12.0" customHeight="1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</row>
    <row r="679" ht="12.0" customHeight="1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</row>
    <row r="680" ht="12.0" customHeight="1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</row>
    <row r="681" ht="12.0" customHeight="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</row>
    <row r="682" ht="12.0" customHeight="1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</row>
    <row r="683" ht="12.0" customHeight="1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</row>
    <row r="684" ht="12.0" customHeight="1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</row>
    <row r="685" ht="12.0" customHeight="1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</row>
    <row r="686" ht="12.0" customHeight="1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</row>
    <row r="687" ht="12.0" customHeight="1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</row>
    <row r="688" ht="12.0" customHeight="1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</row>
    <row r="689" ht="12.0" customHeight="1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</row>
    <row r="690" ht="12.0" customHeight="1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</row>
    <row r="691" ht="12.0" customHeight="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</row>
    <row r="692" ht="12.0" customHeight="1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</row>
    <row r="693" ht="12.0" customHeight="1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</row>
    <row r="694" ht="12.0" customHeight="1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</row>
    <row r="695" ht="12.0" customHeight="1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</row>
    <row r="696" ht="12.0" customHeight="1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</row>
    <row r="697" ht="12.0" customHeight="1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</row>
    <row r="698" ht="12.0" customHeight="1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</row>
    <row r="699" ht="12.0" customHeight="1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</row>
    <row r="700" ht="12.0" customHeight="1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</row>
    <row r="701" ht="12.0" customHeight="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</row>
    <row r="702" ht="12.0" customHeight="1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</row>
    <row r="703" ht="12.0" customHeight="1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</row>
    <row r="704" ht="12.0" customHeight="1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</row>
    <row r="705" ht="12.0" customHeight="1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</row>
    <row r="706" ht="12.0" customHeight="1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</row>
    <row r="707" ht="12.0" customHeight="1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</row>
    <row r="708" ht="12.0" customHeight="1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</row>
    <row r="709" ht="12.0" customHeight="1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</row>
    <row r="710" ht="12.0" customHeight="1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</row>
    <row r="711" ht="12.0" customHeight="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</row>
    <row r="712" ht="12.0" customHeight="1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</row>
    <row r="713" ht="12.0" customHeight="1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</row>
    <row r="714" ht="12.0" customHeight="1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</row>
    <row r="715" ht="12.0" customHeight="1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</row>
    <row r="716" ht="12.0" customHeight="1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</row>
    <row r="717" ht="12.0" customHeight="1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</row>
    <row r="718" ht="12.0" customHeight="1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</row>
    <row r="719" ht="12.0" customHeight="1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</row>
    <row r="720" ht="12.0" customHeight="1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</row>
    <row r="721" ht="12.0" customHeight="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</row>
    <row r="722" ht="12.0" customHeight="1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</row>
    <row r="723" ht="12.0" customHeight="1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</row>
    <row r="724" ht="12.0" customHeight="1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</row>
    <row r="725" ht="12.0" customHeight="1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</row>
    <row r="726" ht="12.0" customHeight="1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</row>
    <row r="727" ht="12.0" customHeight="1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</row>
    <row r="728" ht="12.0" customHeight="1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</row>
    <row r="729" ht="12.0" customHeight="1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</row>
    <row r="730" ht="12.0" customHeight="1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</row>
    <row r="731" ht="12.0" customHeight="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</row>
    <row r="732" ht="12.0" customHeight="1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</row>
    <row r="733" ht="12.0" customHeight="1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</row>
    <row r="734" ht="12.0" customHeight="1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</row>
    <row r="735" ht="12.0" customHeight="1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</row>
    <row r="736" ht="12.0" customHeight="1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</row>
    <row r="737" ht="12.0" customHeight="1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</row>
    <row r="738" ht="12.0" customHeight="1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</row>
    <row r="739" ht="12.0" customHeight="1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</row>
    <row r="740" ht="12.0" customHeight="1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</row>
    <row r="741" ht="12.0" customHeight="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</row>
    <row r="742" ht="12.0" customHeight="1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</row>
    <row r="743" ht="12.0" customHeight="1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</row>
    <row r="744" ht="12.0" customHeight="1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</row>
    <row r="745" ht="12.0" customHeight="1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</row>
    <row r="746" ht="12.0" customHeight="1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</row>
    <row r="747" ht="12.0" customHeight="1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</row>
    <row r="748" ht="12.0" customHeight="1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</row>
    <row r="749" ht="12.0" customHeight="1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</row>
    <row r="750" ht="12.0" customHeight="1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</row>
    <row r="751" ht="12.0" customHeight="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</row>
    <row r="752" ht="12.0" customHeight="1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</row>
    <row r="753" ht="12.0" customHeight="1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</row>
    <row r="754" ht="12.0" customHeight="1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</row>
    <row r="755" ht="12.0" customHeight="1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</row>
    <row r="756" ht="12.0" customHeight="1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</row>
    <row r="757" ht="12.0" customHeight="1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</row>
    <row r="758" ht="12.0" customHeight="1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</row>
    <row r="759" ht="12.0" customHeight="1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</row>
    <row r="760" ht="12.0" customHeight="1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</row>
    <row r="761" ht="12.0" customHeight="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</row>
    <row r="762" ht="12.0" customHeight="1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</row>
    <row r="763" ht="12.0" customHeight="1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</row>
    <row r="764" ht="12.0" customHeight="1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</row>
    <row r="765" ht="12.0" customHeight="1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</row>
    <row r="766" ht="12.0" customHeight="1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</row>
    <row r="767" ht="12.0" customHeight="1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</row>
    <row r="768" ht="12.0" customHeight="1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</row>
    <row r="769" ht="12.0" customHeight="1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</row>
    <row r="770" ht="12.0" customHeight="1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</row>
    <row r="771" ht="12.0" customHeight="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</row>
    <row r="772" ht="12.0" customHeight="1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</row>
    <row r="773" ht="12.0" customHeight="1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</row>
    <row r="774" ht="12.0" customHeight="1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</row>
    <row r="775" ht="12.0" customHeight="1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</row>
    <row r="776" ht="12.0" customHeight="1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</row>
    <row r="777" ht="12.0" customHeight="1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</row>
    <row r="778" ht="12.0" customHeight="1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</row>
    <row r="779" ht="12.0" customHeight="1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</row>
    <row r="780" ht="12.0" customHeight="1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</row>
    <row r="781" ht="12.0" customHeight="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</row>
    <row r="782" ht="12.0" customHeight="1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</row>
    <row r="783" ht="12.0" customHeight="1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</row>
    <row r="784" ht="12.0" customHeight="1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</row>
    <row r="785" ht="12.0" customHeight="1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</row>
    <row r="786" ht="12.0" customHeight="1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</row>
    <row r="787" ht="12.0" customHeight="1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</row>
    <row r="788" ht="12.0" customHeight="1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</row>
    <row r="789" ht="12.0" customHeight="1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</row>
    <row r="790" ht="12.0" customHeight="1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</row>
    <row r="791" ht="12.0" customHeight="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</row>
    <row r="792" ht="12.0" customHeight="1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</row>
    <row r="793" ht="12.0" customHeight="1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</row>
    <row r="794" ht="12.0" customHeight="1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</row>
    <row r="795" ht="12.0" customHeight="1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</row>
    <row r="796" ht="12.0" customHeight="1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</row>
    <row r="797" ht="12.0" customHeight="1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</row>
    <row r="798" ht="12.0" customHeight="1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</row>
    <row r="799" ht="12.0" customHeight="1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</row>
    <row r="800" ht="12.0" customHeight="1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</row>
    <row r="801" ht="12.0" customHeight="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</row>
    <row r="802" ht="12.0" customHeight="1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</row>
    <row r="803" ht="12.0" customHeight="1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</row>
    <row r="804" ht="12.0" customHeight="1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</row>
    <row r="805" ht="12.0" customHeight="1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</row>
    <row r="806" ht="12.0" customHeight="1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</row>
    <row r="807" ht="12.0" customHeight="1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</row>
    <row r="808" ht="12.0" customHeight="1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</row>
    <row r="809" ht="12.0" customHeight="1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</row>
    <row r="810" ht="12.0" customHeight="1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</row>
    <row r="811" ht="12.0" customHeight="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</row>
    <row r="812" ht="12.0" customHeight="1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</row>
    <row r="813" ht="12.0" customHeight="1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</row>
    <row r="814" ht="12.0" customHeight="1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</row>
    <row r="815" ht="12.0" customHeight="1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</row>
    <row r="816" ht="12.0" customHeight="1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</row>
    <row r="817" ht="12.0" customHeight="1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</row>
    <row r="818" ht="12.0" customHeight="1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</row>
    <row r="819" ht="12.0" customHeight="1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</row>
    <row r="820" ht="12.0" customHeight="1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</row>
    <row r="821" ht="12.0" customHeight="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</row>
    <row r="822" ht="12.0" customHeight="1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</row>
    <row r="823" ht="12.0" customHeight="1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</row>
    <row r="824" ht="12.0" customHeight="1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</row>
    <row r="825" ht="12.0" customHeight="1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</row>
    <row r="826" ht="12.0" customHeight="1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</row>
    <row r="827" ht="12.0" customHeight="1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</row>
    <row r="828" ht="12.0" customHeight="1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</row>
    <row r="829" ht="12.0" customHeight="1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</row>
    <row r="830" ht="12.0" customHeight="1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</row>
    <row r="831" ht="12.0" customHeight="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</row>
    <row r="832" ht="12.0" customHeight="1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</row>
    <row r="833" ht="12.0" customHeight="1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</row>
    <row r="834" ht="12.0" customHeight="1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</row>
    <row r="835" ht="12.0" customHeight="1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</row>
    <row r="836" ht="12.0" customHeight="1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</row>
    <row r="837" ht="12.0" customHeight="1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</row>
    <row r="838" ht="12.0" customHeight="1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</row>
    <row r="839" ht="12.0" customHeight="1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</row>
    <row r="840" ht="12.0" customHeight="1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</row>
    <row r="841" ht="12.0" customHeight="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</row>
    <row r="842" ht="12.0" customHeight="1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</row>
    <row r="843" ht="12.0" customHeight="1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</row>
    <row r="844" ht="12.0" customHeight="1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</row>
    <row r="845" ht="12.0" customHeight="1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</row>
    <row r="846" ht="12.0" customHeight="1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</row>
    <row r="847" ht="12.0" customHeight="1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</row>
    <row r="848" ht="12.0" customHeight="1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</row>
    <row r="849" ht="12.0" customHeight="1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</row>
    <row r="850" ht="12.0" customHeight="1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</row>
    <row r="851" ht="12.0" customHeight="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</row>
    <row r="852" ht="12.0" customHeight="1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</row>
    <row r="853" ht="12.0" customHeight="1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</row>
    <row r="854" ht="12.0" customHeight="1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</row>
    <row r="855" ht="12.0" customHeight="1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</row>
    <row r="856" ht="12.0" customHeight="1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</row>
    <row r="857" ht="12.0" customHeight="1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</row>
    <row r="858" ht="12.0" customHeight="1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</row>
    <row r="859" ht="12.0" customHeight="1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</row>
    <row r="860" ht="12.0" customHeight="1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</row>
    <row r="861" ht="12.0" customHeight="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</row>
    <row r="862" ht="12.0" customHeight="1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</row>
    <row r="863" ht="12.0" customHeight="1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</row>
    <row r="864" ht="12.0" customHeight="1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</row>
    <row r="865" ht="12.0" customHeight="1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</row>
    <row r="866" ht="12.0" customHeight="1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</row>
    <row r="867" ht="12.0" customHeight="1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</row>
    <row r="868" ht="12.0" customHeight="1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</row>
    <row r="869" ht="12.0" customHeight="1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</row>
    <row r="870" ht="12.0" customHeight="1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</row>
    <row r="871" ht="12.0" customHeight="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</row>
    <row r="872" ht="12.0" customHeight="1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</row>
    <row r="873" ht="12.0" customHeight="1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</row>
    <row r="874" ht="12.0" customHeight="1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</row>
    <row r="875" ht="12.0" customHeight="1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</row>
    <row r="876" ht="12.0" customHeight="1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</row>
    <row r="877" ht="12.0" customHeight="1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</row>
    <row r="878" ht="12.0" customHeight="1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</row>
    <row r="879" ht="12.0" customHeight="1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</row>
    <row r="880" ht="12.0" customHeight="1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</row>
    <row r="881" ht="12.0" customHeight="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</row>
    <row r="882" ht="12.0" customHeight="1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</row>
    <row r="883" ht="12.0" customHeight="1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</row>
    <row r="884" ht="12.0" customHeight="1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</row>
    <row r="885" ht="12.0" customHeight="1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</row>
    <row r="886" ht="12.0" customHeight="1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</row>
    <row r="887" ht="12.0" customHeight="1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</row>
    <row r="888" ht="12.0" customHeight="1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</row>
    <row r="889" ht="12.0" customHeight="1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</row>
    <row r="890" ht="12.0" customHeight="1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</row>
    <row r="891" ht="12.0" customHeight="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</row>
    <row r="892" ht="12.0" customHeight="1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</row>
    <row r="893" ht="12.0" customHeight="1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</row>
    <row r="894" ht="12.0" customHeight="1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</row>
    <row r="895" ht="12.0" customHeight="1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</row>
    <row r="896" ht="12.0" customHeight="1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</row>
    <row r="897" ht="12.0" customHeight="1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</row>
    <row r="898" ht="12.0" customHeight="1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</row>
    <row r="899" ht="12.0" customHeight="1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</row>
    <row r="900" ht="12.0" customHeight="1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</row>
    <row r="901" ht="12.0" customHeight="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</row>
    <row r="902" ht="12.0" customHeight="1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</row>
    <row r="903" ht="12.0" customHeight="1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</row>
    <row r="904" ht="12.0" customHeight="1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</row>
    <row r="905" ht="12.0" customHeight="1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</row>
    <row r="906" ht="12.0" customHeight="1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</row>
    <row r="907" ht="12.0" customHeight="1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</row>
    <row r="908" ht="12.0" customHeight="1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</row>
    <row r="909" ht="12.0" customHeight="1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</row>
    <row r="910" ht="12.0" customHeight="1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</row>
    <row r="911" ht="12.0" customHeight="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</row>
    <row r="912" ht="12.0" customHeight="1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</row>
    <row r="913" ht="12.0" customHeight="1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</row>
    <row r="914" ht="12.0" customHeight="1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</row>
    <row r="915" ht="12.0" customHeight="1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</row>
    <row r="916" ht="12.0" customHeight="1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</row>
    <row r="917" ht="12.0" customHeight="1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</row>
    <row r="918" ht="12.0" customHeight="1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</row>
    <row r="919" ht="12.0" customHeight="1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</row>
    <row r="920" ht="12.0" customHeight="1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</row>
    <row r="921" ht="12.0" customHeight="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</row>
    <row r="922" ht="12.0" customHeight="1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</row>
    <row r="923" ht="12.0" customHeight="1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</row>
    <row r="924" ht="12.0" customHeight="1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</row>
    <row r="925" ht="12.0" customHeight="1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</row>
    <row r="926" ht="12.0" customHeight="1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</row>
    <row r="927" ht="12.0" customHeight="1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</row>
    <row r="928" ht="12.0" customHeight="1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</row>
    <row r="929" ht="12.0" customHeight="1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</row>
    <row r="930" ht="12.0" customHeight="1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</row>
    <row r="931" ht="12.0" customHeight="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</row>
    <row r="932" ht="12.0" customHeight="1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</row>
    <row r="933" ht="12.0" customHeight="1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</row>
    <row r="934" ht="12.0" customHeight="1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</row>
    <row r="935" ht="12.0" customHeight="1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</row>
    <row r="936" ht="12.0" customHeight="1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</row>
    <row r="937" ht="12.0" customHeight="1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</row>
    <row r="938" ht="12.0" customHeight="1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</row>
    <row r="939" ht="12.0" customHeight="1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</row>
    <row r="940" ht="12.0" customHeight="1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</row>
    <row r="941" ht="12.0" customHeight="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</row>
    <row r="942" ht="12.0" customHeight="1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</row>
    <row r="943" ht="12.0" customHeight="1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</row>
    <row r="944" ht="12.0" customHeight="1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</row>
    <row r="945" ht="12.0" customHeight="1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</row>
    <row r="946" ht="12.0" customHeight="1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</row>
    <row r="947" ht="12.0" customHeight="1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</row>
    <row r="948" ht="12.0" customHeight="1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</row>
    <row r="949" ht="12.0" customHeight="1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</row>
    <row r="950" ht="12.0" customHeight="1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</row>
    <row r="951" ht="12.0" customHeight="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</row>
    <row r="952" ht="12.0" customHeight="1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</row>
    <row r="953" ht="12.0" customHeight="1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</row>
    <row r="954" ht="12.0" customHeight="1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</row>
    <row r="955" ht="12.0" customHeight="1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</row>
    <row r="956" ht="12.0" customHeight="1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</row>
    <row r="957" ht="12.0" customHeight="1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</row>
    <row r="958" ht="12.0" customHeight="1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</row>
    <row r="959" ht="12.0" customHeight="1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</row>
    <row r="960" ht="12.0" customHeight="1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</row>
    <row r="961" ht="12.0" customHeight="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</row>
    <row r="962" ht="12.0" customHeight="1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</row>
    <row r="963" ht="12.0" customHeight="1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</row>
    <row r="964" ht="12.0" customHeight="1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</row>
    <row r="965" ht="12.0" customHeight="1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</row>
    <row r="966" ht="12.0" customHeight="1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</row>
    <row r="967" ht="12.0" customHeight="1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</row>
    <row r="968" ht="12.0" customHeight="1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</row>
    <row r="969" ht="12.0" customHeight="1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</row>
    <row r="970" ht="12.0" customHeight="1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</row>
    <row r="971" ht="12.0" customHeight="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</row>
    <row r="972" ht="12.0" customHeight="1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</row>
    <row r="973" ht="12.0" customHeight="1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</row>
    <row r="974" ht="12.0" customHeight="1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</row>
    <row r="975" ht="12.0" customHeight="1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</row>
    <row r="976" ht="12.0" customHeight="1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</row>
    <row r="977" ht="12.0" customHeight="1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</row>
    <row r="978" ht="12.0" customHeight="1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</row>
    <row r="979" ht="12.0" customHeight="1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</row>
    <row r="980" ht="12.0" customHeight="1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</row>
    <row r="981" ht="12.0" customHeight="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</row>
    <row r="982" ht="12.0" customHeight="1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</row>
    <row r="983" ht="12.0" customHeight="1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</row>
    <row r="984" ht="12.0" customHeight="1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</row>
    <row r="985" ht="12.0" customHeight="1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</row>
    <row r="986" ht="12.0" customHeight="1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</row>
    <row r="987" ht="12.0" customHeight="1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</row>
    <row r="988" ht="12.0" customHeight="1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</row>
    <row r="989" ht="12.0" customHeight="1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</row>
    <row r="990" ht="12.0" customHeight="1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</row>
    <row r="991" ht="12.0" customHeight="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</row>
    <row r="992" ht="12.0" customHeight="1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</row>
    <row r="993" ht="12.0" customHeight="1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</row>
    <row r="994" ht="12.0" customHeight="1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</row>
    <row r="995" ht="12.0" customHeight="1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</row>
    <row r="996" ht="12.0" customHeight="1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</row>
    <row r="997" ht="12.0" customHeight="1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</row>
    <row r="998" ht="12.0" customHeight="1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</row>
    <row r="999" ht="12.0" customHeight="1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</row>
    <row r="1000" ht="12.0" customHeight="1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</row>
    <row r="1001" ht="12.0" customHeight="1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</row>
  </sheetData>
  <mergeCells count="4">
    <mergeCell ref="C12:D12"/>
    <mergeCell ref="C13:D13"/>
    <mergeCell ref="C14:D14"/>
    <mergeCell ref="C15:D15"/>
  </mergeCells>
  <conditionalFormatting sqref="C10:M10">
    <cfRule type="cellIs" dxfId="0" priority="1" operator="greaterThan">
      <formula>0</formula>
    </cfRule>
  </conditionalFormatting>
  <conditionalFormatting sqref="C10:M10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2026-04-07T17:23:29Z</dcterms:created>
  <dc:creator>Albarracin, Mateo</dc:creator>
</cp:coreProperties>
</file>