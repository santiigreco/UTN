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sumen Ejecutivo" sheetId="1" state="visible" r:id="rId1"/>
    <sheet xmlns:r="http://schemas.openxmlformats.org/officeDocument/2006/relationships" name="1. Potencia Eléctrica" sheetId="2" state="visible" r:id="rId2"/>
    <sheet xmlns:r="http://schemas.openxmlformats.org/officeDocument/2006/relationships" name="2. Luminarias y Lux" sheetId="3" state="visible" r:id="rId3"/>
    <sheet xmlns:r="http://schemas.openxmlformats.org/officeDocument/2006/relationships" name="3. Instalación de Gas" sheetId="4" state="visible" r:id="rId4"/>
    <sheet xmlns:r="http://schemas.openxmlformats.org/officeDocument/2006/relationships" name="4. Aire Comprimido" sheetId="5" state="visible" r:id="rId5"/>
    <sheet xmlns:r="http://schemas.openxmlformats.org/officeDocument/2006/relationships" name="5. Agua y Saneamiento" sheetId="6" state="visible" r:id="rId6"/>
    <sheet xmlns:r="http://schemas.openxmlformats.org/officeDocument/2006/relationships" name="6. Costos Tarif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#,##0.0"/>
    <numFmt numFmtId="167" formatCode="$#,##0.00"/>
    <numFmt numFmtId="168" formatCode="$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1C1C1C"/>
      <sz val="9"/>
    </font>
    <font>
      <name val="Calibri"/>
      <b val="1"/>
      <color rgb="001F4E78"/>
      <sz val="9"/>
    </font>
    <font>
      <name val="Calibri"/>
      <b val="1"/>
      <color rgb="001F4E78"/>
      <sz val="10"/>
    </font>
    <font>
      <name val="Calibri"/>
      <b val="1"/>
      <color rgb="001C1C1C"/>
      <sz val="9"/>
    </font>
    <font>
      <name val="Calibri"/>
      <i val="1"/>
      <color rgb="00595959"/>
      <sz val="8"/>
    </font>
    <font>
      <name val="Calibri"/>
      <color rgb="000563C1"/>
      <sz val="9"/>
      <u val="single"/>
    </font>
    <font>
      <name val="Calibri"/>
      <b val="1"/>
      <color rgb="00595959"/>
      <sz val="8"/>
    </font>
    <font>
      <name val="Calibri"/>
      <b val="1"/>
      <color rgb="001F4E78"/>
      <sz val="15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EDF2F8"/>
        <bgColor rgb="00EDF2F8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1" fillId="7" borderId="2" applyAlignment="1" pivotButton="0" quotePrefix="0" xfId="0">
      <alignment horizontal="center" vertical="center"/>
    </xf>
    <xf numFmtId="0" fontId="0" fillId="0" borderId="2" pivotButton="0" quotePrefix="0" xfId="0"/>
    <xf numFmtId="165" fontId="12" fillId="7" borderId="2" applyAlignment="1" pivotButton="0" quotePrefix="0" xfId="0">
      <alignment horizontal="center" vertical="center"/>
    </xf>
    <xf numFmtId="3" fontId="12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12" fillId="7" borderId="2" applyAlignment="1" pivotButton="0" quotePrefix="0" xfId="0">
      <alignment horizontal="center" vertical="center"/>
    </xf>
    <xf numFmtId="168" fontId="12" fillId="7" borderId="2" applyAlignment="1" pivotButton="0" quotePrefix="0" xfId="0">
      <alignment horizontal="center" vertical="center"/>
    </xf>
    <xf numFmtId="0" fontId="4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pivotButton="0" quotePrefix="0" xfId="0"/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6" fontId="5" fillId="4" borderId="2" pivotButton="0" quotePrefix="0" xfId="0"/>
    <xf numFmtId="167" fontId="5" fillId="4" borderId="2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6" fontId="5" fillId="0" borderId="2" pivotButton="0" quotePrefix="0" xfId="0"/>
    <xf numFmtId="0" fontId="7" fillId="6" borderId="3" applyAlignment="1" pivotButton="0" quotePrefix="0" xfId="0">
      <alignment horizontal="right" vertical="center"/>
    </xf>
    <xf numFmtId="0" fontId="7" fillId="6" borderId="3" pivotButton="0" quotePrefix="0" xfId="0"/>
    <xf numFmtId="167" fontId="7" fillId="6" borderId="3" pivotButton="0" quotePrefix="0" xfId="0"/>
    <xf numFmtId="0" fontId="7" fillId="6" borderId="3" applyAlignment="1" pivotButton="0" quotePrefix="0" xfId="0">
      <alignment horizontal="center" vertical="center"/>
    </xf>
    <xf numFmtId="2" fontId="5" fillId="4" borderId="2" pivotButton="0" quotePrefix="0" xfId="0"/>
    <xf numFmtId="164" fontId="5" fillId="4" borderId="2" pivotButton="0" quotePrefix="0" xfId="0"/>
    <xf numFmtId="3" fontId="5" fillId="4" borderId="2" pivotButton="0" quotePrefix="0" xfId="0"/>
    <xf numFmtId="2" fontId="5" fillId="0" borderId="2" pivotButton="0" quotePrefix="0" xfId="0"/>
    <xf numFmtId="164" fontId="5" fillId="0" borderId="2" pivotButton="0" quotePrefix="0" xfId="0"/>
    <xf numFmtId="3" fontId="5" fillId="0" borderId="2" pivotButton="0" quotePrefix="0" xfId="0"/>
    <xf numFmtId="0" fontId="6" fillId="5" borderId="1" applyAlignment="1" pivotButton="0" quotePrefix="0" xfId="0">
      <alignment horizontal="right" vertical="center"/>
    </xf>
    <xf numFmtId="0" fontId="6" fillId="5" borderId="1" pivotButton="0" quotePrefix="0" xfId="0"/>
    <xf numFmtId="2" fontId="6" fillId="5" borderId="1" pivotButton="0" quotePrefix="0" xfId="0"/>
    <xf numFmtId="3" fontId="6" fillId="5" borderId="1" pivotButton="0" quotePrefix="0" xfId="0"/>
    <xf numFmtId="2" fontId="7" fillId="6" borderId="3" pivotButton="0" quotePrefix="0" xfId="0"/>
    <xf numFmtId="3" fontId="7" fillId="6" borderId="3" pivotButton="0" quotePrefix="0" xfId="0"/>
    <xf numFmtId="0" fontId="8" fillId="7" borderId="2" pivotButton="0" quotePrefix="0" xfId="0"/>
    <xf numFmtId="2" fontId="8" fillId="7" borderId="2" pivotButton="0" quotePrefix="0" xfId="0"/>
    <xf numFmtId="0" fontId="5" fillId="7" borderId="2" pivotButton="0" quotePrefix="0" xfId="0"/>
    <xf numFmtId="165" fontId="8" fillId="7" borderId="2" pivotButton="0" quotePrefix="0" xfId="0"/>
    <xf numFmtId="3" fontId="8" fillId="7" borderId="2" pivotButton="0" quotePrefix="0" xfId="0"/>
    <xf numFmtId="1" fontId="5" fillId="0" borderId="2" pivotButton="0" quotePrefix="0" xfId="0"/>
    <xf numFmtId="165" fontId="5" fillId="0" borderId="2" pivotButton="0" quotePrefix="0" xfId="0"/>
    <xf numFmtId="1" fontId="5" fillId="4" borderId="2" pivotButton="0" quotePrefix="0" xfId="0"/>
    <xf numFmtId="165" fontId="5" fillId="4" borderId="2" pivotButton="0" quotePrefix="0" xfId="0"/>
    <xf numFmtId="4" fontId="7" fillId="6" borderId="3" pivotButton="0" quotePrefix="0" xfId="0"/>
    <xf numFmtId="1" fontId="7" fillId="6" borderId="3" pivotButton="0" quotePrefix="0" xfId="0"/>
    <xf numFmtId="49" fontId="8" fillId="7" borderId="2" pivotButton="0" quotePrefix="0" xfId="0"/>
    <xf numFmtId="165" fontId="6" fillId="5" borderId="1" pivotButton="0" quotePrefix="0" xfId="0"/>
    <xf numFmtId="166" fontId="6" fillId="5" borderId="1" pivotButton="0" quotePrefix="0" xfId="0"/>
    <xf numFmtId="0" fontId="6" fillId="5" borderId="1" applyAlignment="1" pivotButton="0" quotePrefix="0" xfId="0">
      <alignment horizontal="left" vertical="center"/>
    </xf>
    <xf numFmtId="166" fontId="7" fillId="6" borderId="3" pivotButton="0" quotePrefix="0" xfId="0"/>
    <xf numFmtId="0" fontId="9" fillId="0" borderId="0" pivotButton="0" quotePrefix="0" xfId="0"/>
    <xf numFmtId="167" fontId="5" fillId="0" borderId="2" pivotButton="0" quotePrefix="0" xfId="0"/>
    <xf numFmtId="167" fontId="6" fillId="5" borderId="1" pivotButton="0" quotePrefix="0" xfId="0"/>
    <xf numFmtId="0" fontId="8" fillId="4" borderId="2" pivotButton="0" quotePrefix="0" xfId="0"/>
    <xf numFmtId="0" fontId="0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167" fontId="0" fillId="4" borderId="2" pivotButton="0" quotePrefix="0" xfId="0"/>
    <xf numFmtId="164" fontId="0" fillId="4" borderId="2" pivotButton="0" quotePrefix="0" xfId="0"/>
    <xf numFmtId="0" fontId="9" fillId="4" borderId="2" pivotButton="0" quotePrefix="0" xfId="0"/>
    <xf numFmtId="0" fontId="8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167" fontId="0" fillId="0" borderId="2" pivotButton="0" quotePrefix="0" xfId="0"/>
    <xf numFmtId="164" fontId="0" fillId="0" borderId="2" pivotButton="0" quotePrefix="0" xfId="0"/>
    <xf numFmtId="0" fontId="9" fillId="0" borderId="2" pivotButton="0" quotePrefix="0" xfId="0"/>
    <xf numFmtId="164" fontId="7" fillId="6" borderId="3" pivotButton="0" quotePrefix="0" xfId="0"/>
    <xf numFmtId="0" fontId="7" fillId="6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Grupo 8 - UTN FRBA</author>
  </authors>
  <commentList>
    <comment ref="B5" authorId="0" shapeId="0">
      <text>
        <t>Potencia instalada total de placa conectada de la planta CELI S.A. Vinculada a '1. Potencia Eléctrica' celda L35.</t>
      </text>
    </comment>
    <comment ref="D5" authorId="0" shapeId="0">
      <text>
        <t>Potencia máxima demandada simultánea en bornes de transformador. Vinculada a '1. Potencia Eléctrica' celda O35.</t>
      </text>
    </comment>
    <comment ref="F5" authorId="0" shapeId="0">
      <text>
        <t>Consumo anual estimado de energía eléctrica activa para 5.712 horas operativas. Vinculado a '1. Potencia Eléctrica' celda Q35.</t>
      </text>
    </comment>
    <comment ref="H5" authorId="0" shapeId="0">
      <text>
        <t>Potencia calórica instalada total de quemadores a gas natural: 225.000 kcal/h. Vinculada a '3. Instalación de Gas' celda H9.</t>
      </text>
    </comment>
    <comment ref="B9" authorId="0" shapeId="0">
      <text>
        <t>Consumo anual de Gas Natural de red de los hornos. Vinculado a '3. Instalación de Gas' celda O9.</t>
      </text>
    </comment>
    <comment ref="D9" authorId="0" shapeId="0">
      <text>
        <t>Caudal total requerido de la central compresora de aire a 8 bar. Vinculado a '4. Aire Comprimido' celda C17.</t>
      </text>
    </comment>
    <comment ref="F9" authorId="0" shapeId="0">
      <text>
        <t>Consumo diario medio de agua potable de planta. Vinculado a '5. Agua y Saneamiento' celda G18.</t>
      </text>
    </comment>
    <comment ref="H9" authorId="0" shapeId="0">
      <text>
        <t>Presupuesto operativo anual total consolidado de servicios públicos e instalaciones. Vinculado a '6. Costos Tarifarios' celda G34.</t>
      </text>
    </comment>
  </commentList>
</comments>
</file>

<file path=xl/comments/comment2.xml><?xml version="1.0" encoding="utf-8"?>
<comments xmlns="http://schemas.openxmlformats.org/spreadsheetml/2006/main">
  <authors>
    <author>Grupo 8 - UTN FRBA</author>
  </authors>
  <commentList>
    <comment ref="H5" authorId="0" shapeId="0">
      <text>
        <t>Potencia activa nominal de placa unitaria del motor o resistencia eléctrica en kiloWatts (kW).</t>
      </text>
    </comment>
    <comment ref="I5" authorId="0" shapeId="0">
      <text>
        <t>Equivalencia en Caballos de Fuerza (HP) calculada por fórmula exacta: HP = kW * 1,3596.</t>
      </text>
    </comment>
    <comment ref="L5" authorId="0" shapeId="0">
      <text>
        <t>Potencia Instalada Total = Cantidad de equipos x Potencia Unitaria en kW.</t>
      </text>
    </comment>
    <comment ref="M5" authorId="0" shapeId="0">
      <text>
        <t>Factor de Utilización (Fu): Relación entre la potencia media absorbida en régimen real de trabajo y la potencia nominal.</t>
      </text>
    </comment>
    <comment ref="N5" authorId="0" shapeId="0">
      <text>
        <t>Factor de Simultaneidad (Fs): Probabilidad de que múltiples equipos operen al unísono en el proceso productivo.</t>
      </text>
    </comment>
    <comment ref="O5" authorId="0" shapeId="0">
      <text>
        <t>Potencia Demandada Máxima (kW) = Potencia Instalada x Fu x Fs. Base de facturación por potencia de EDENOR.</t>
      </text>
    </comment>
    <comment ref="P5" authorId="0" shapeId="0">
      <text>
        <t>Horas anuales efectivas de funcionamiento. Régimen base: 238 días de producción x 24 horas (3 turnos) = 5.712 h/año.</t>
      </text>
    </comment>
    <comment ref="Q5" authorId="0" shapeId="0">
      <text>
        <t>Consumo de Energía Activa Anual = Potencia Demandada (kW) x Horas Operativas Anuales (kWh/año).</t>
      </text>
    </comment>
    <comment ref="H7" authorId="0" shapeId="0">
      <text>
        <t>Fuente: 'Calculos vf.xlsx', Hoja 'BOM y balanceo', fila 5. Amasadora espiral Catania HJ25B, motor eléctrico de 1,50 kW.</t>
      </text>
    </comment>
    <comment ref="H8" authorId="0" shapeId="0">
      <text>
        <t>Fuente: 'Calculos vf.xlsx', Hoja 'BOM y balanceo', fila 6. Laminadora / Rotativa Ralem R800, motor reductor 2,50 kW.</t>
      </text>
    </comment>
    <comment ref="H9" authorId="0" shapeId="0">
      <text>
        <t>Fuente: 'Calculos vf.xlsx', Hoja 'BOM y balanceo', fila 7. Horno Túnel Polin continuo a gas, tracción y recirculación de aire caliente 52,00 kW.</t>
      </text>
    </comment>
    <comment ref="H10" authorId="0" shapeId="0">
      <text>
        <t>Fuente: 'Calculos vf.xlsx', Hoja 'BOM y balanceo', fila 8. Cinta modular de enfriamiento Golden Way de 7 m, motor 2,20 kW.</t>
      </text>
    </comment>
    <comment ref="H11" authorId="0" shapeId="0">
      <text>
        <t>Fuente: 'Calculos vf.xlsx', Hoja 'BOM y balanceo', fila 9. Envasadora Flowpack Zon Pack de 3 servomotores independientes, potencia total 6,50 kW.</t>
      </text>
    </comment>
    <comment ref="H12" authorId="0" shapeId="0">
      <text>
        <t>Fuente: 'Calculos vf.xlsx', Hoja 'BOM y balanceo', fila 4. Balanza electrónica industrial Moretti Ultra 60, consumo 250 W.</t>
      </text>
    </comment>
    <comment ref="H13" authorId="0" shapeId="0">
      <text>
        <t>Fuente: Ficha técnica máquina cosedora de bolsas Fischbein D-Series para envasado secundario, potencia 0,40 kW.</t>
      </text>
    </comment>
    <comment ref="H16" authorId="0" shapeId="0">
      <text>
        <t>Fuente: 'Calculos vf.xlsx', Hoja 'BOM y balanceo', fila 12. Balanza industrial Moretti Ultra 60 para fraccionamiento.</t>
      </text>
    </comment>
    <comment ref="H17" authorId="0" shapeId="0">
      <text>
        <t>Fuente: 'Calculos vf.xlsx', Hoja 'BOM y balanceo', fila 13. Batidora industrial planetaria Moretti Planeta 60, motor trifásico 2,50 kW.</t>
      </text>
    </comment>
    <comment ref="H18" authorId="0" shapeId="0">
      <text>
        <t>Fuente: 'Calculos vf.xlsx', Hoja 'BOM y balanceo', fila 14. Dosificadora neumática Indurpack G1WGD-1000, consumo eléctrico de control 100 W.</t>
      </text>
    </comment>
    <comment ref="H19" authorId="0" shapeId="0">
      <text>
        <t>Fuente: 'Calculos vf.xlsx', Hoja 'BOM y balanceo', fila 15. Cámara fermentadora Nick Tech CF-240 para control de temperatura y humedad, 1,80 kW.</t>
      </text>
    </comment>
    <comment ref="H20" authorId="0" shapeId="0">
      <text>
        <t>Fuente: 'Calculos vf.xlsx', Hoja 'BOM y balanceo', fila 16. Horno rotativo Pauna SIGMA 1 a gas con recirculación y rotación de carro, motor 1,84 kW.</t>
      </text>
    </comment>
    <comment ref="H21" authorId="0" shapeId="0">
      <text>
        <t>Fuente: 'Calculos vf.xlsx', Hoja 'BOM y balanceo', fila 16. Horno rotativo Pauna SIGMA 2 a gas (segunda unidad idéntica para balance de línea), 1,84 kW.</t>
      </text>
    </comment>
    <comment ref="H22" authorId="0" shapeId="0">
      <text>
        <t>Fuente: 'Calculos vf.xlsx', Hoja 'BOM y balanceo', fila 18. Rebanadora continua de panificados Braesi FB-12, motor 0,50 kW.</t>
      </text>
    </comment>
    <comment ref="H23" authorId="0" shapeId="0">
      <text>
        <t>Fuente: 'Calculos vf.xlsx', Hoja 'BOM y balanceo', fila 19. Envasadora Flowpack horizontal Brunetti EFH700X para pan de molde y budines, 3,60 kW.</t>
      </text>
    </comment>
    <comment ref="H26" authorId="0" shapeId="0">
      <text>
        <t>Fuente: Dimensionamiento en Hoja '4. Aire Comprimido'. Compresor de tornillo Schulz SRP 4008 / Kaeser SX 6: 5,5 HP / 4,0 kW (380 V).</t>
      </text>
    </comment>
    <comment ref="H27" authorId="0" shapeId="0">
      <text>
        <t>Fuente: Secador frigorífico Schulz ADS 20 (+3°C de rocío) para tratamiento de aire grado alimenticio ISO 8573-1 Clase 1.4.1: 0,45 kW (220 V).</t>
      </text>
    </comment>
    <comment ref="H28" authorId="0" shapeId="0">
      <text>
        <t>Fuente: 'Calculos vf.xlsx', Hoja 'Inversiones' R4. Cargador de batería litio 80V para autoelevador eléctrico HELI: 7,50 kW.</t>
      </text>
    </comment>
    <comment ref="H29" authorId="0" shapeId="0">
      <text>
        <t>Fuente: Dimensionamiento en Hoja '5. Agua y Saneamiento'. Electrobombas presurizadoras de 2,0 HP (1,50 kW en 380 V) en esquema 1 activa + 1 reserva.</t>
      </text>
    </comment>
    <comment ref="H30" authorId="0" shapeId="0">
      <text>
        <t>Fuente: Confort térmico oficinas administrativas (60 m²). Equipo split inverter frío/calor 4.500 fg: 1,60 kW.</t>
      </text>
    </comment>
    <comment ref="H31" authorId="0" shapeId="0">
      <text>
        <t>Fuente: Climatización laboratorios de calidad crudo y cocido (15,75 m²). Split inverter 3.000 fg: 1,10 kW.</t>
      </text>
    </comment>
    <comment ref="H32" authorId="0" shapeId="0">
      <text>
        <t>Fuente: 'Calculos vf.xlsx', Hoja 'Inversiones' R10 y R11. 8 computadoras (250 W c/u = 2 kW) + servidor de planta (350 W) + impresora inkjet (150 W) = 2,50 kW.</t>
      </text>
    </comment>
    <comment ref="H33" authorId="0" shapeId="0">
      <text>
        <t>Fuente: Vinculado dinámicamente a la celda U30 de la Hoja '2. Luminarias y Lux'. Potencia eléctrica total del sistema de iluminación calculado bajo Decreto 351/79.</t>
      </text>
    </comment>
    <comment ref="C38" authorId="0" shapeId="0">
      <text>
        <t>Suma algebraica directa de las potencias nominales de placa de todos los motores, equipos productivos, servicios auxiliares e iluminación de planta.</t>
      </text>
    </comment>
    <comment ref="C39" authorId="0" shapeId="0">
      <text>
        <t>Factor de potencia reglamentario exigido por EDENOR (&gt; 0,85). Se adopta cos φ = 0,92 garantizado con banco automático de capacitores.</t>
      </text>
    </comment>
    <comment ref="C40" authorId="0" shapeId="0">
      <text>
        <t>Potencia aparente instalada S_inst = P_inst / cos φ en kiloVolt-Amperes (kVA).</t>
      </text>
    </comment>
    <comment ref="C41" authorId="0" shapeId="0">
      <text>
        <t>Potencia máxima demandada simultánea P_dem = Sumatoria(P_inst x Fu x Fs). Demanda activa máxima esperada en bornes.</t>
      </text>
    </comment>
    <comment ref="C42" authorId="0" shapeId="0">
      <text>
        <t>Potencia aparente demandada S_dem = P_dem / cos φ. Parámetro determinante para dimensionar la subestación transformadora de 13,2 kV / 0,4 kV.</t>
      </text>
    </comment>
    <comment ref="C43" authorId="0" shapeId="0">
      <text>
        <t>Potencia nominal normalizada de transformador según Norma IRAM 2250: Transformador trifásico en baño de aceite de 100 kVA (opera al 71% de carga óptima).</t>
      </text>
    </comment>
  </commentList>
</comments>
</file>

<file path=xl/comments/comment3.xml><?xml version="1.0" encoding="utf-8"?>
<comments xmlns="http://schemas.openxmlformats.org/spreadsheetml/2006/main">
  <authors>
    <author>Grupo 8 - UTN FRBA</author>
  </authors>
  <commentList>
    <comment ref="F5" authorId="0" shapeId="0">
      <text>
        <t>Alto total del sector en metros (6,50 m para la nave de producción industrial según 'Iluminación + Matafuegos.xlsx' Hoja 'LUMINANCIA').</t>
      </text>
    </comment>
    <comment ref="H5" authorId="0" shapeId="0">
      <text>
        <t>Superficie en m² = Largo x Ancho. Coincide exactamente con la Hoja 'LUMINANCIA' celda C8.</t>
      </text>
    </comment>
    <comment ref="I5" authorId="0" shapeId="0">
      <text>
        <t>Índice del Local IL = (Largo x Ancho) / [Alto x (Largo + Ancho)]. Fórmula idéntica a la Hoja 'LUMINANCIA' de 'Iluminación + Matafuegos.xlsx'.</t>
      </text>
    </comment>
    <comment ref="J5" authorId="0" shapeId="0">
      <text>
        <t>Puntos mínimos de medición para el Protocolo de Iluminación Laboral según Resolución SRT 84/12: N = (IL + 2)^2. Fuente: 'Iluminación + Matafuegos.xlsx' celda C7.</t>
      </text>
    </comment>
    <comment ref="K5" authorId="0" shapeId="0">
      <text>
        <t>Iluminancia mínima obligatoria fijada por el Decreto Reglamentario 351/79, Anexo IV, Tabla 2. Fuente: 'Iluminación + Matafuegos.xlsx' celda C9.</t>
      </text>
    </comment>
    <comment ref="L5" authorId="0" shapeId="0">
      <text>
        <t>Nivel de iluminancia de diseño adoptado por el Grupo 8 en 'Iluminación + Matafuegos.xlsx' celda C10. Supera el mínimo legal para garantizar confort y seguridad visual.</t>
      </text>
    </comment>
    <comment ref="O5" authorId="0" shapeId="0">
      <text>
        <t>Flujo luminoso total necesario para alcanzar el Nivel de Diseño = (Nivel_Diseño x Superficie) / (μ x fm) [Lúmenes].</t>
      </text>
    </comment>
    <comment ref="T5" authorId="0" shapeId="0">
      <text>
        <t>Cantidad de luminarias adoptada = REDONDEAR.MAS(Cantidad Calculada).</t>
      </text>
    </comment>
    <comment ref="U5" authorId="0" shapeId="0">
      <text>
        <t>Potencia eléctrica total conectada de iluminación (kW) = Cantidad Adoptada x Potencia Unitaria / 1000.</t>
      </text>
    </comment>
    <comment ref="W5" authorId="0" shapeId="0">
      <text>
        <t>Consumo de energía eléctrica anual de iluminación = Potencia Total (kW) x Horas Encendido/Año.</t>
      </text>
    </comment>
    <comment ref="X5" authorId="0" shapeId="0">
      <text>
        <t>Nivel medio de iluminación real logrado en servicio en el plano de trabajo (lx) = (Cant_Adop x Flujo_Lampara x μ x fm) / Superficie.</t>
      </text>
    </comment>
    <comment ref="C6" authorId="0" shapeId="0">
      <text>
        <t>Sector 1 Depósito MP. 8,30 x 6,30 m (52,29 m²). H=6,50 m. IL=0,55. SRT=7 mediciones. Lux diseño adoptado=200 lx (Mín Dto 351/79=100 lx). 2 Campanas LED 100W.</t>
      </text>
    </comment>
    <comment ref="C11" authorId="0" shapeId="0">
      <text>
        <t>Sector 6 Horno Túnel. 8,60 x 2,30 m (19,78 m²). H=6,50 m. Lux diseño=500 lx (Mín=300 lx). 2 Campanas LED 100W.</t>
      </text>
    </comment>
    <comment ref="C17" authorId="0" shapeId="0">
      <text>
        <t>Sector 12 Hornos Rotativos. 5,20 x 3,70 m (19,24 m²). H=6,50 m. Lux diseño=500 lx (Mín=300 lx). 2 Campanas LED 100W.</t>
      </text>
    </comment>
    <comment ref="C20" authorId="0" shapeId="0">
      <text>
        <t>Sector 15 Depósito PT. 12,00 x 15,60 m (187,20 m²). H=6,50 m. IL=1,04. Lux diseño=200 lx (Mín=100 lx). 4 Campanas LED High Bay 150W.</t>
      </text>
    </comment>
    <comment ref="C22" authorId="0" shapeId="0">
      <text>
        <t>Sector 17 Calidad Crudo. 1,50 x 2,10 m (3,15 m²). Lux diseño=750 lx (Mín=600 lx). Panel LED 60x60 40W.</t>
      </text>
    </comment>
    <comment ref="C23" authorId="0" shapeId="0">
      <text>
        <t>Sector 18 Calidad Cocido. 4,50 x 2,80 m (12,60 m²). Lux diseño=750 lx (Mín=600 lx). 4 Paneles LED 60x60 40W.</t>
      </text>
    </comment>
    <comment ref="U30" authorId="0" shapeId="0">
      <text>
        <t>Potencia eléctrica total de iluminación instalada conectada: 3,25 kW. Vincula dinámicamente con Hoja 1 fila 33 (celda H33).</t>
      </text>
    </comment>
  </commentList>
</comments>
</file>

<file path=xl/comments/comment4.xml><?xml version="1.0" encoding="utf-8"?>
<comments xmlns="http://schemas.openxmlformats.org/spreadsheetml/2006/main">
  <authors>
    <author>Grupo 8 - UTN FRBA</author>
  </authors>
  <commentList>
    <comment ref="H6" authorId="0" shapeId="0">
      <text>
        <t>Fuente: 'Calculos vf.xlsx', Hoja 'BOM y balanceo', fila 7. Potencia calórica del Horno Túnel Polin: 85.000 kcal/h.</t>
      </text>
    </comment>
    <comment ref="J6" authorId="0" shapeId="0">
      <text>
        <t>Rendimiento térmico medio de combustión estimado para quemadores industriales modernos: 88%.</t>
      </text>
    </comment>
    <comment ref="K6" authorId="0" shapeId="0">
      <text>
        <t>Poder Calorífico Superior (PCS) del Gas Natural según especificación técnica estándar de ENARGAS / Naturgy BAN: 9.300 kcal/m³.</t>
      </text>
    </comment>
    <comment ref="H7" authorId="0" shapeId="0">
      <text>
        <t>Fuente: 'Calculos vf.xlsx', Hoja 'BOM y balanceo', fila 16. Potencia calórica del Horno Rotativo Pauna SIGMA 1: 70.000 kcal/h.</t>
      </text>
    </comment>
    <comment ref="H8" authorId="0" shapeId="0">
      <text>
        <t>Fuente: 'Calculos vf.xlsx', Hoja 'BOM y balanceo', fila 16. Potencia calórica del Horno Rotativo Pauna SIGMA 2: 70.000 kcal/h.</t>
      </text>
    </comment>
    <comment ref="L9" authorId="0" shapeId="0">
      <text>
        <t>Caudal de diseño pico simultáneo de gas natural = 27,49 m³/h.</t>
      </text>
    </comment>
    <comment ref="O9" authorId="0" shapeId="0">
      <text>
        <t>Consumo anual total estimado de gas natural = 90.183 m³/año para 238 días de operación.</t>
      </text>
    </comment>
  </commentList>
</comments>
</file>

<file path=xl/comments/comment5.xml><?xml version="1.0" encoding="utf-8"?>
<comments xmlns="http://schemas.openxmlformats.org/spreadsheetml/2006/main">
  <authors>
    <author>Grupo 8 - UTN FRBA</author>
  </authors>
  <commentList>
    <comment ref="G6" authorId="0" shapeId="0">
      <text>
        <t>Fuente: 'Calculos vf.xlsx', Hoja 'BOM y balanceo', fila 14. Dosificadora neumática Indurpack G1WGD-1000: presión 0,4-0,6 MPa, consumo 140 L/min.</t>
      </text>
    </comment>
    <comment ref="G7" authorId="0" shapeId="0">
      <text>
        <t>Fuente: Manual técnico Zon Pack Flowpack. Consumo de mordazas neumáticas de sellado continuo: 80 L/min a 6 bar.</t>
      </text>
    </comment>
    <comment ref="G8" authorId="0" shapeId="0">
      <text>
        <t>Fuente: Manual técnico Brunetti Flowpack. Cilindro neumático de corte y avance: 80 L/min a 6 bar.</t>
      </text>
    </comment>
    <comment ref="C17" authorId="0" shapeId="0">
      <text>
        <t>Caudal total de diseño requerido = 397,9 L/min a 8 bar (incluye 15% de pérdidas por fugas y 20% de reserva de diseño).</t>
      </text>
    </comment>
    <comment ref="C20" authorId="0" shapeId="0">
      <text>
        <t>Ficha técnica compresor Schulz SRP 4008: 5,5 HP (4,0 kW), caudal FAD de 580 L/min a 8 bar.</t>
      </text>
    </comment>
    <comment ref="C22" authorId="0" shapeId="0">
      <text>
        <t>Norma ISO 8573-1 Clase 1.4.1 requerida en industrias de alimentos libres de gluten.</t>
      </text>
    </comment>
  </commentList>
</comments>
</file>

<file path=xl/comments/comment6.xml><?xml version="1.0" encoding="utf-8"?>
<comments xmlns="http://schemas.openxmlformats.org/spreadsheetml/2006/main">
  <authors>
    <author>Grupo 8 - UTN FRBA</author>
  </authors>
  <commentList>
    <comment ref="D6" authorId="0" shapeId="0">
      <text>
        <t>Fuente: 'Calculos vf.xlsx', Hoja 'BOM'. Fórmula de pan de molde con 38% de agua de hidratación.</t>
      </text>
    </comment>
    <comment ref="D7" authorId="0" shapeId="0">
      <text>
        <t>Fuente: 'Calculos vf.xlsx', Hoja 'BOM'. Fórmula de budín tradicional con 11% de agua.</t>
      </text>
    </comment>
    <comment ref="D8" authorId="0" shapeId="0">
      <text>
        <t>Fuente: 'Calculos vf.xlsx', Hoja 'BOM'. Fórmula de budín con frutos secos con 10% de agua.</t>
      </text>
    </comment>
    <comment ref="D9" authorId="0" shapeId="0">
      <text>
        <t>Fuente: 'Calculos vf.xlsx', Hoja 'BOM'. Fórmula de galletitas dulces y saladas con 7% de agua.</t>
      </text>
    </comment>
    <comment ref="D15" authorId="0" shapeId="0">
      <text>
        <t>Limpieza húmeda CIP de amasadoras, dosificadoras, carros y desinfección de pisos libres de gluten según Buenas Prácticas de Manufactura (BPM).</t>
      </text>
    </comment>
    <comment ref="D16" authorId="0" shapeId="0">
      <text>
        <t>Dotación reglamentaria según Obras Sanitarias de la Nación (OSN) y Decreto 351/79: 45 L/persona-día para 55 operarios.</t>
      </text>
    </comment>
    <comment ref="C24" authorId="0" shapeId="0">
      <text>
        <t>Reserva exclusiva intocable contra incendio según Decreto Reglamentario 351/79 Anexo VII: 2 mangueras x 250 L/min x 60 min = 30.000 Litros.</t>
      </text>
    </comment>
    <comment ref="C25" authorId="0" shapeId="0">
      <text>
        <t>Capacidad total de cisterna unificada = 40 m³ (10 m³ reserva operativa + 30 m³ reserva de incendio intocable con succión a distinto nivel).</t>
      </text>
    </comment>
  </commentList>
</comments>
</file>

<file path=xl/comments/comment7.xml><?xml version="1.0" encoding="utf-8"?>
<comments xmlns="http://schemas.openxmlformats.org/spreadsheetml/2006/main">
  <authors>
    <author>Grupo 8 - UTN FRBA</author>
  </authors>
  <commentList>
    <comment ref="B6" authorId="0" shapeId="0">
      <text>
        <t>Enlace Oficial ENRE para verificar el Cuadro Tarifario de Edenor: https://www.argentina.gob.ar/enre/tarifas/cuadros-tarifarios-edenor. Portal empresas: https://www.edenor.com/clientes/empresas/cuadros-tarifarios</t>
      </text>
    </comment>
    <comment ref="D8" authorId="0" shapeId="0">
      <text>
        <t>Cargo Fijo mensual comercial para clientes T3 Media Tensión ($91.428,31/mes) según Resolución ENRE vigente.</t>
      </text>
    </comment>
    <comment ref="D9" authorId="0" shapeId="0">
      <text>
        <t>Cargo por Potencia Contratada en Media Tensión ($4.557,97/kW-mes) aplicado sobre la Demanda Máxima simultánea relevada (65,43 kW).</t>
      </text>
    </comment>
    <comment ref="D10" authorId="0" shapeId="0">
      <text>
        <t>Cargo por Potencia Adquirida ($3.053,31/kW-mes) fijado por la Secretaría de Energía y el ENRE.</t>
      </text>
    </comment>
    <comment ref="D11" authorId="0" shapeId="0">
      <text>
        <t>Cargo variable de energía activa en Horas Pico (18:00 a 23:00): $70,02/kWh.</t>
      </text>
    </comment>
    <comment ref="D12" authorId="0" shapeId="0">
      <text>
        <t>Cargo variable de energía activa en Horas Resto (05:00 a 18:00): $67,68/kWh.</t>
      </text>
    </comment>
    <comment ref="D13" authorId="0" shapeId="0">
      <text>
        <t>Cargo variable de energía activa en Horas Valle (23:00 a 05:00): $66,34/kWh.</t>
      </text>
    </comment>
    <comment ref="B17" authorId="0" shapeId="0">
      <text>
        <t>Enlace Oficial ENARGAS para verificar Cuadros Tarifarios de Distribución de Gas: https://www.enargas.gob.ar/secciones/tarifas/cuadros-tarifarios.php. Naturgy: https://www.naturgy.com.ar/cuadros-tarifarios/</t>
      </text>
    </comment>
    <comment ref="D19" authorId="0" shapeId="0">
      <text>
        <t>Cargo Fijo mensual reglamentario ENARGAS para usuarios comerciales/industriales categoría SGP3 ($45.850,00/mes).</t>
      </text>
    </comment>
    <comment ref="D20" authorId="0" shapeId="0">
      <text>
        <t>Cargo por m³ consumido de gas natural de red ($215,00/m³) aplicado sobre el caudal medio de hornos (7.515,3 m³/mes).</t>
      </text>
    </comment>
    <comment ref="B24" authorId="0" shapeId="0">
      <text>
        <t>Portal oficial Consorcio Parque Industrial Pilar: http://www.parqueindustrialpilar.org/</t>
      </text>
    </comment>
    <comment ref="D26" authorId="0" shapeId="0">
      <text>
        <t>Abono base mensual por red de agua corriente industrial de PIP, mantenimiento de presión de red, cloración continua y muestreo bacteriológico.</t>
      </text>
    </comment>
    <comment ref="E34" authorId="0" shapeId="0">
      <text>
        <t>Presupuesto operativo mensual total estimado para la totalidad de servicios públicos e instalaciones industriales de CELI S.A.</t>
      </text>
    </comment>
    <comment ref="G34" authorId="0" shapeId="0">
      <text>
        <t>Presupuesto operativo anual consolidado de servicios públicos e instalaciones industriales (vincula con Hoja 0 y Hoja Costos).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1" workbookViewId="0">
      <selection activeCell="A1" sqref="A1"/>
    </sheetView>
  </sheetViews>
  <sheetFormatPr baseColWidth="8" defaultRowHeight="15"/>
  <cols>
    <col width="64" customWidth="1" min="2" max="2"/>
    <col width="33" customWidth="1" min="3" max="3"/>
    <col width="26" customWidth="1" min="4" max="4"/>
    <col width="16" customWidth="1" min="5" max="5"/>
    <col width="26" customWidth="1" min="6" max="6"/>
    <col width="30" customWidth="1" min="7" max="7"/>
    <col width="31" customWidth="1" min="8" max="8"/>
    <col width="26" customWidth="1" min="9" max="9"/>
    <col width="24" customWidth="1" min="10" max="10"/>
  </cols>
  <sheetData>
    <row r="2" ht="25" customHeight="1">
      <c r="B2" s="1" t="inlineStr">
        <is>
          <t>CELI S.A. - DASHBOARD EJECUTIVO DE INSTALACIONES Y SERVICIOS INDUSTRIALES</t>
        </is>
      </c>
    </row>
    <row r="3" ht="18" customHeight="1">
      <c r="B3" s="2" t="inlineStr">
        <is>
          <t>Proyecto Final UTN FRBA - Grupo 8 | Planta Industrial Pilar (Nave 720 m²) | Régimen: 3 Turnos (24/5) - 5.712 h/año</t>
        </is>
      </c>
    </row>
    <row r="4"/>
    <row r="5" ht="14" customHeight="1">
      <c r="B5" s="3" t="inlineStr">
        <is>
          <t>POTENCIA INSTALADA</t>
        </is>
      </c>
      <c r="C5" s="4" t="n"/>
      <c r="D5" s="3" t="inlineStr">
        <is>
          <t>POTENCIA DEMANDADA MÁX.</t>
        </is>
      </c>
      <c r="E5" s="4" t="n"/>
      <c r="F5" s="3" t="inlineStr">
        <is>
          <t>CONSUMO ELÉCTRICO ANUAL</t>
        </is>
      </c>
      <c r="G5" s="4" t="n"/>
      <c r="H5" s="3" t="inlineStr">
        <is>
          <t>POTENCIA TÉRMICA GAS</t>
        </is>
      </c>
      <c r="I5" s="4" t="n"/>
    </row>
    <row r="6" ht="26" customHeight="1">
      <c r="B6" s="5">
        <f>'1. Potencia Eléctrica'!L35</f>
        <v/>
      </c>
      <c r="C6" s="4" t="n"/>
      <c r="D6" s="5">
        <f>'1. Potencia Eléctrica'!O35</f>
        <v/>
      </c>
      <c r="E6" s="4" t="n"/>
      <c r="F6" s="6">
        <f>'1. Potencia Eléctrica'!Q35</f>
        <v/>
      </c>
      <c r="G6" s="4" t="n"/>
      <c r="H6" s="6">
        <f>'3. Instalación de Gas'!H9</f>
        <v/>
      </c>
      <c r="I6" s="4" t="n"/>
    </row>
    <row r="7" ht="14" customHeight="1">
      <c r="B7" s="7" t="inlineStr">
        <is>
          <t>kW</t>
        </is>
      </c>
      <c r="C7" s="4" t="n"/>
      <c r="D7" s="7" t="inlineStr">
        <is>
          <t>kW</t>
        </is>
      </c>
      <c r="E7" s="4" t="n"/>
      <c r="F7" s="7" t="inlineStr">
        <is>
          <t>kWh/año</t>
        </is>
      </c>
      <c r="G7" s="4" t="n"/>
      <c r="H7" s="7" t="inlineStr">
        <is>
          <t>kcal/h</t>
        </is>
      </c>
      <c r="I7" s="4" t="n"/>
    </row>
    <row r="8"/>
    <row r="9" ht="14" customHeight="1">
      <c r="B9" s="3" t="inlineStr">
        <is>
          <t>CONSUMO ANUAL GAS</t>
        </is>
      </c>
      <c r="C9" s="4" t="n"/>
      <c r="D9" s="3" t="inlineStr">
        <is>
          <t>CAUDAL AIRE COMPRIMIDO</t>
        </is>
      </c>
      <c r="E9" s="4" t="n"/>
      <c r="F9" s="3" t="inlineStr">
        <is>
          <t>CONSUMO DIARIO AGUA</t>
        </is>
      </c>
      <c r="G9" s="4" t="n"/>
      <c r="H9" s="3" t="inlineStr">
        <is>
          <t>PRESUPUESTO ANUAL SERVICIOS</t>
        </is>
      </c>
      <c r="I9" s="4" t="n"/>
    </row>
    <row r="10" ht="26" customHeight="1">
      <c r="B10" s="6">
        <f>'3. Instalación de Gas'!O9</f>
        <v/>
      </c>
      <c r="C10" s="4" t="n"/>
      <c r="D10" s="5">
        <f>'4. Aire Comprimido'!C17</f>
        <v/>
      </c>
      <c r="E10" s="4" t="n"/>
      <c r="F10" s="8">
        <f>'5. Agua y Saneamiento'!G18</f>
        <v/>
      </c>
      <c r="G10" s="4" t="n"/>
      <c r="H10" s="9">
        <f>'6. Costos Tarifarios'!G34</f>
        <v/>
      </c>
      <c r="I10" s="4" t="n"/>
    </row>
    <row r="11" ht="14" customHeight="1">
      <c r="B11" s="7" t="inlineStr">
        <is>
          <t>m³/año</t>
        </is>
      </c>
      <c r="C11" s="4" t="n"/>
      <c r="D11" s="7" t="inlineStr">
        <is>
          <t>L/min</t>
        </is>
      </c>
      <c r="E11" s="4" t="n"/>
      <c r="F11" s="7" t="inlineStr">
        <is>
          <t>m³/día</t>
        </is>
      </c>
      <c r="G11" s="4" t="n"/>
      <c r="H11" s="7" t="inlineStr">
        <is>
          <t>$/año (Oficial ENRE/ENARGAS)</t>
        </is>
      </c>
      <c r="I11" s="4" t="n"/>
    </row>
    <row r="12"/>
    <row r="13">
      <c r="B13" s="10" t="inlineStr">
        <is>
          <t>MATRIZ CONSOLIDADA DE SERVICIOS INDUSTRIALES E INSTALACIONES</t>
        </is>
      </c>
    </row>
    <row r="14" ht="24" customHeight="1">
      <c r="B14" s="11" t="inlineStr">
        <is>
          <t>Servicio / Instalación</t>
        </is>
      </c>
      <c r="C14" s="11" t="inlineStr">
        <is>
          <t>Parámetro Técnico Clave</t>
        </is>
      </c>
      <c r="D14" s="11" t="inlineStr">
        <is>
          <t>Unidad</t>
        </is>
      </c>
      <c r="E14" s="11" t="inlineStr">
        <is>
          <t>Valor Mensual</t>
        </is>
      </c>
      <c r="F14" s="11" t="inlineStr">
        <is>
          <t>Valor Anual</t>
        </is>
      </c>
      <c r="G14" s="11" t="inlineStr">
        <is>
          <t>Proveedor / Ente</t>
        </is>
      </c>
      <c r="H14" s="11" t="inlineStr">
        <is>
          <t>Costo Mensual Est. ($)</t>
        </is>
      </c>
      <c r="I14" s="11" t="inlineStr">
        <is>
          <t>Costo Anual Est. ($)</t>
        </is>
      </c>
      <c r="J14" s="11" t="inlineStr">
        <is>
          <t>Hoja de Detalle</t>
        </is>
      </c>
    </row>
    <row r="15" ht="20" customHeight="1">
      <c r="B15" s="12" t="inlineStr">
        <is>
          <t>Energía Eléctrica (Fuerza Motriz)</t>
        </is>
      </c>
      <c r="C15" s="13" t="inlineStr">
        <is>
          <t>Potencia Demandada Máxima</t>
        </is>
      </c>
      <c r="D15" s="14" t="inlineStr">
        <is>
          <t>kW</t>
        </is>
      </c>
      <c r="E15" s="15">
        <f>'1. Potencia Eléctrica'!O35</f>
        <v/>
      </c>
      <c r="F15" s="15">
        <f>'1. Potencia Eléctrica'!L35</f>
        <v/>
      </c>
      <c r="G15" s="13" t="inlineStr">
        <is>
          <t>EDENOR (Tarifa T3 MT)</t>
        </is>
      </c>
      <c r="H15" s="16">
        <f>'6. Costos Tarifarios'!E31</f>
        <v/>
      </c>
      <c r="I15" s="16">
        <f>'6. Costos Tarifarios'!G31</f>
        <v/>
      </c>
      <c r="J15" s="14" t="inlineStr">
        <is>
          <t>1. Potencia Eléctrica</t>
        </is>
      </c>
    </row>
    <row r="16" ht="20" customHeight="1">
      <c r="B16" s="17" t="inlineStr">
        <is>
          <t>Sistema de Iluminación (Dec. 351/79)</t>
        </is>
      </c>
      <c r="C16" s="18" t="inlineStr">
        <is>
          <t>Artefactos LED Instalados</t>
        </is>
      </c>
      <c r="D16" s="19" t="inlineStr">
        <is>
          <t>unid.</t>
        </is>
      </c>
      <c r="E16" s="20">
        <f>'2. Luminarias y Lux'!T30</f>
        <v/>
      </c>
      <c r="F16" s="20">
        <f>'2. Luminarias y Lux'!W30</f>
        <v/>
      </c>
      <c r="G16" s="18" t="inlineStr">
        <is>
          <t>Campanas High Bay / Paneles</t>
        </is>
      </c>
      <c r="H16" s="19" t="inlineStr">
        <is>
          <t>-</t>
        </is>
      </c>
      <c r="I16" s="19" t="inlineStr">
        <is>
          <t>(Incluido en Eléctrico)</t>
        </is>
      </c>
      <c r="J16" s="19" t="inlineStr">
        <is>
          <t>2. Luminarias y Lux</t>
        </is>
      </c>
    </row>
    <row r="17" ht="20" customHeight="1">
      <c r="B17" s="12" t="inlineStr">
        <is>
          <t>Gas Natural de Red</t>
        </is>
      </c>
      <c r="C17" s="13" t="inlineStr">
        <is>
          <t>Caudal Medio Operativo</t>
        </is>
      </c>
      <c r="D17" s="14" t="inlineStr">
        <is>
          <t>m³/h</t>
        </is>
      </c>
      <c r="E17" s="15">
        <f>'3. Instalación de Gas'!C15</f>
        <v/>
      </c>
      <c r="F17" s="15">
        <f>'3. Instalación de Gas'!O9</f>
        <v/>
      </c>
      <c r="G17" s="13" t="inlineStr">
        <is>
          <t>Naturgy BAN (SGP3)</t>
        </is>
      </c>
      <c r="H17" s="16">
        <f>'6. Costos Tarifarios'!E32</f>
        <v/>
      </c>
      <c r="I17" s="16">
        <f>'6. Costos Tarifarios'!G32</f>
        <v/>
      </c>
      <c r="J17" s="14" t="inlineStr">
        <is>
          <t>3. Instalación de Gas</t>
        </is>
      </c>
    </row>
    <row r="18" ht="20" customHeight="1">
      <c r="B18" s="17" t="inlineStr">
        <is>
          <t>Aire Comprimido Industrial</t>
        </is>
      </c>
      <c r="C18" s="18" t="inlineStr">
        <is>
          <t>Caudal Libre Entregado (8 bar)</t>
        </is>
      </c>
      <c r="D18" s="19" t="inlineStr">
        <is>
          <t>L/min</t>
        </is>
      </c>
      <c r="E18" s="20">
        <f>'4. Aire Comprimido'!C17</f>
        <v/>
      </c>
      <c r="F18" s="20">
        <f>'4. Aire Comprimido'!C18*60*5712</f>
        <v/>
      </c>
      <c r="G18" s="18" t="inlineStr">
        <is>
          <t>Compresor Schulz 5.5 HP</t>
        </is>
      </c>
      <c r="H18" s="19" t="inlineStr">
        <is>
          <t>-</t>
        </is>
      </c>
      <c r="I18" s="19" t="inlineStr">
        <is>
          <t>(Incluido en Eléctrico)</t>
        </is>
      </c>
      <c r="J18" s="19" t="inlineStr">
        <is>
          <t>4. Aire Comprimido</t>
        </is>
      </c>
    </row>
    <row r="19" ht="20" customHeight="1">
      <c r="B19" s="12" t="inlineStr">
        <is>
          <t>Agua de Proceso y Saneamiento</t>
        </is>
      </c>
      <c r="C19" s="13" t="inlineStr">
        <is>
          <t>Consumo Medio de Planta</t>
        </is>
      </c>
      <c r="D19" s="14" t="inlineStr">
        <is>
          <t>m³/mes</t>
        </is>
      </c>
      <c r="E19" s="15">
        <f>'5. Agua y Saneamiento'!G18*22</f>
        <v/>
      </c>
      <c r="F19" s="15">
        <f>'5. Agua y Saneamiento'!H18</f>
        <v/>
      </c>
      <c r="G19" s="13" t="inlineStr">
        <is>
          <t>Red PIP + Cisterna 40m³</t>
        </is>
      </c>
      <c r="H19" s="16">
        <f>'6. Costos Tarifarios'!E33</f>
        <v/>
      </c>
      <c r="I19" s="16">
        <f>'6. Costos Tarifarios'!G33</f>
        <v/>
      </c>
      <c r="J19" s="14" t="inlineStr">
        <is>
          <t>5. Agua y Saneamiento</t>
        </is>
      </c>
    </row>
    <row r="20" ht="24" customHeight="1">
      <c r="B20" s="21" t="inlineStr">
        <is>
          <t>TOTAL PRESUPUESTO ANUAL ESTIMADO DE SERVICIOS E INSTALACIONES</t>
        </is>
      </c>
      <c r="C20" s="22" t="n"/>
      <c r="D20" s="22" t="n"/>
      <c r="E20" s="22" t="n"/>
      <c r="F20" s="22" t="n"/>
      <c r="G20" s="22" t="n"/>
      <c r="H20" s="23">
        <f>'6. Costos Tarifarios'!E34</f>
        <v/>
      </c>
      <c r="I20" s="23">
        <f>'6. Costos Tarifarios'!G34</f>
        <v/>
      </c>
      <c r="J20" s="24" t="inlineStr">
        <is>
          <t>100% INTEGRADO</t>
        </is>
      </c>
    </row>
  </sheetData>
  <mergeCells count="28">
    <mergeCell ref="F11:G11"/>
    <mergeCell ref="D10:E10"/>
    <mergeCell ref="B7:C7"/>
    <mergeCell ref="F10:G10"/>
    <mergeCell ref="H10:I10"/>
    <mergeCell ref="F6:G6"/>
    <mergeCell ref="B13:J13"/>
    <mergeCell ref="H9:I9"/>
    <mergeCell ref="F7:G7"/>
    <mergeCell ref="D6:E6"/>
    <mergeCell ref="H6:I6"/>
    <mergeCell ref="B11:C11"/>
    <mergeCell ref="D11:E11"/>
    <mergeCell ref="F5:G5"/>
    <mergeCell ref="H11:I11"/>
    <mergeCell ref="B20:G20"/>
    <mergeCell ref="D7:E7"/>
    <mergeCell ref="H7:I7"/>
    <mergeCell ref="B10:C10"/>
    <mergeCell ref="B9:C9"/>
    <mergeCell ref="D9:E9"/>
    <mergeCell ref="F9:G9"/>
    <mergeCell ref="B6:C6"/>
    <mergeCell ref="B3:J3"/>
    <mergeCell ref="B5:C5"/>
    <mergeCell ref="D5:E5"/>
    <mergeCell ref="H5:I5"/>
    <mergeCell ref="B2:J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45"/>
  <sheetViews>
    <sheetView showGridLines="1" workbookViewId="0">
      <selection activeCell="A1" sqref="A1"/>
    </sheetView>
  </sheetViews>
  <sheetFormatPr baseColWidth="8" defaultRowHeight="15"/>
  <cols>
    <col width="66" customWidth="1" min="2" max="2"/>
    <col width="18" customWidth="1" min="3" max="3"/>
    <col width="24" customWidth="1" min="4" max="4"/>
    <col width="29" customWidth="1" min="5" max="5"/>
    <col width="42" customWidth="1" min="6" max="6"/>
    <col width="10" customWidth="1" min="7" max="7"/>
    <col width="18" customWidth="1" min="8" max="8"/>
    <col width="18" customWidth="1" min="9" max="9"/>
    <col width="14" customWidth="1" min="10" max="10"/>
    <col width="18" customWidth="1" min="11" max="11"/>
    <col width="18" customWidth="1" min="12" max="12"/>
    <col width="22" customWidth="1" min="13" max="13"/>
    <col width="22" customWidth="1" min="14" max="14"/>
    <col width="17" customWidth="1" min="15" max="15"/>
    <col width="17" customWidth="1" min="16" max="16"/>
    <col width="26" customWidth="1" min="17" max="17"/>
    <col width="45" customWidth="1" min="18" max="18"/>
  </cols>
  <sheetData>
    <row r="2" ht="25" customHeight="1">
      <c r="B2" s="1" t="inlineStr">
        <is>
          <t>PLANTA CELI S.A. - RELEVAMIENTO DE POTENCIA ELÉCTRICA Y CONSUMO ENERGÉTICO</t>
        </is>
      </c>
    </row>
    <row r="3" ht="18" customHeight="1">
      <c r="B3" s="2" t="inlineStr">
        <is>
          <t>Relevamiento de Fuerza Motriz, Servicios Auxiliares e Iluminación | Parque Industrial Pilar | Régimen: 3 Turnos (24/5) - 5.712 h/año</t>
        </is>
      </c>
    </row>
    <row r="4"/>
    <row r="5" ht="28" customHeight="1">
      <c r="B5" s="11" t="inlineStr">
        <is>
          <t>ID</t>
        </is>
      </c>
      <c r="C5" s="11" t="inlineStr">
        <is>
          <t>Sector / Área</t>
        </is>
      </c>
      <c r="D5" s="11" t="inlineStr">
        <is>
          <t>Línea</t>
        </is>
      </c>
      <c r="E5" s="11" t="inlineStr">
        <is>
          <t>Equipo</t>
        </is>
      </c>
      <c r="F5" s="11" t="inlineStr">
        <is>
          <t>Marca y Modelo Relevado</t>
        </is>
      </c>
      <c r="G5" s="11" t="inlineStr">
        <is>
          <t>Cant.</t>
        </is>
      </c>
      <c r="H5" s="11" t="inlineStr">
        <is>
          <t>Pot. Unit. (kW)</t>
        </is>
      </c>
      <c r="I5" s="11" t="inlineStr">
        <is>
          <t>Pot. Unit. (HP)</t>
        </is>
      </c>
      <c r="J5" s="11" t="inlineStr">
        <is>
          <t>Tensión (V)</t>
        </is>
      </c>
      <c r="K5" s="11" t="inlineStr">
        <is>
          <t>Fases / Frec.</t>
        </is>
      </c>
      <c r="L5" s="11" t="inlineStr">
        <is>
          <t>Pot. Inst. (kW)</t>
        </is>
      </c>
      <c r="M5" s="11" t="inlineStr">
        <is>
          <t>Factor Utiliz. (Fu)</t>
        </is>
      </c>
      <c r="N5" s="11" t="inlineStr">
        <is>
          <t>Factor Simult. (Fs)</t>
        </is>
      </c>
      <c r="O5" s="11" t="inlineStr">
        <is>
          <t>Pot. Dem. (kW)</t>
        </is>
      </c>
      <c r="P5" s="11" t="inlineStr">
        <is>
          <t>Hs Operat./Año</t>
        </is>
      </c>
      <c r="Q5" s="11" t="inlineStr">
        <is>
          <t>Consumo Anual (kWh/año)</t>
        </is>
      </c>
      <c r="R5" s="11" t="inlineStr">
        <is>
          <t>Fuente / Referencia Técnica</t>
        </is>
      </c>
    </row>
    <row r="6">
      <c r="B6" s="10" t="inlineStr">
        <is>
          <t>LÍNEA A: GALLETITAS DULCES Y CRACKERS (PROCESO CONTINUO)</t>
        </is>
      </c>
    </row>
    <row r="7" ht="20" customHeight="1">
      <c r="B7" s="14" t="n">
        <v>1</v>
      </c>
      <c r="C7" s="13" t="inlineStr">
        <is>
          <t>Amasado</t>
        </is>
      </c>
      <c r="D7" s="14" t="inlineStr">
        <is>
          <t>Línea A</t>
        </is>
      </c>
      <c r="E7" s="13" t="inlineStr">
        <is>
          <t>Amasadora rápida</t>
        </is>
      </c>
      <c r="F7" s="13" t="inlineStr">
        <is>
          <t>Catania HJ25B espiral</t>
        </is>
      </c>
      <c r="G7" s="14" t="n">
        <v>1</v>
      </c>
      <c r="H7" s="25" t="n">
        <v>1.5</v>
      </c>
      <c r="I7" s="25">
        <f>H7*1.3596</f>
        <v/>
      </c>
      <c r="J7" s="14" t="inlineStr">
        <is>
          <t>220 V</t>
        </is>
      </c>
      <c r="K7" s="14" t="inlineStr">
        <is>
          <t>Monofásica 50Hz</t>
        </is>
      </c>
      <c r="L7" s="25">
        <f>G7*H7</f>
        <v/>
      </c>
      <c r="M7" s="26" t="n">
        <v>0.75</v>
      </c>
      <c r="N7" s="26" t="n">
        <v>0.85</v>
      </c>
      <c r="O7" s="25">
        <f>L7*M7*N7</f>
        <v/>
      </c>
      <c r="P7" s="27" t="n">
        <v>5712</v>
      </c>
      <c r="Q7" s="27">
        <f>O7*P7</f>
        <v/>
      </c>
      <c r="R7" s="13" t="inlineStr">
        <is>
          <t>Calculos vf.xlsx Hoja 'BOM y balanceo' R5</t>
        </is>
      </c>
    </row>
    <row r="8" ht="20" customHeight="1">
      <c r="B8" s="19" t="n">
        <v>2</v>
      </c>
      <c r="C8" s="18" t="inlineStr">
        <is>
          <t>Moldeado</t>
        </is>
      </c>
      <c r="D8" s="19" t="inlineStr">
        <is>
          <t>Línea A</t>
        </is>
      </c>
      <c r="E8" s="18" t="inlineStr">
        <is>
          <t>Laminadora / Rotativa</t>
        </is>
      </c>
      <c r="F8" s="18" t="inlineStr">
        <is>
          <t>Ralem R800 formadora</t>
        </is>
      </c>
      <c r="G8" s="19" t="n">
        <v>1</v>
      </c>
      <c r="H8" s="28" t="n">
        <v>2.5</v>
      </c>
      <c r="I8" s="28">
        <f>H8*1.3596</f>
        <v/>
      </c>
      <c r="J8" s="19" t="inlineStr">
        <is>
          <t>380 V</t>
        </is>
      </c>
      <c r="K8" s="19" t="inlineStr">
        <is>
          <t>Trifásica 50Hz</t>
        </is>
      </c>
      <c r="L8" s="28">
        <f>G8*H8</f>
        <v/>
      </c>
      <c r="M8" s="29" t="n">
        <v>0.8</v>
      </c>
      <c r="N8" s="29" t="n">
        <v>0.9</v>
      </c>
      <c r="O8" s="28">
        <f>L8*M8*N8</f>
        <v/>
      </c>
      <c r="P8" s="30" t="n">
        <v>5712</v>
      </c>
      <c r="Q8" s="30">
        <f>O8*P8</f>
        <v/>
      </c>
      <c r="R8" s="18" t="inlineStr">
        <is>
          <t>Calculos vf.xlsx Hoja 'BOM y balanceo' R6</t>
        </is>
      </c>
    </row>
    <row r="9" ht="20" customHeight="1">
      <c r="B9" s="14" t="n">
        <v>3</v>
      </c>
      <c r="C9" s="13" t="inlineStr">
        <is>
          <t>Horneado</t>
        </is>
      </c>
      <c r="D9" s="14" t="inlineStr">
        <is>
          <t>Línea A</t>
        </is>
      </c>
      <c r="E9" s="13" t="inlineStr">
        <is>
          <t>Horno túnel continuo</t>
        </is>
      </c>
      <c r="F9" s="13" t="inlineStr">
        <is>
          <t>Polin Túnel Gas 12m (Tracción/Turbinas)</t>
        </is>
      </c>
      <c r="G9" s="14" t="n">
        <v>1</v>
      </c>
      <c r="H9" s="25" t="n">
        <v>52</v>
      </c>
      <c r="I9" s="25">
        <f>H9*1.3596</f>
        <v/>
      </c>
      <c r="J9" s="14" t="inlineStr">
        <is>
          <t>380 V</t>
        </is>
      </c>
      <c r="K9" s="14" t="inlineStr">
        <is>
          <t>Trifásica 50Hz</t>
        </is>
      </c>
      <c r="L9" s="25">
        <f>G9*H9</f>
        <v/>
      </c>
      <c r="M9" s="26" t="n">
        <v>0.7</v>
      </c>
      <c r="N9" s="26" t="n">
        <v>0.95</v>
      </c>
      <c r="O9" s="25">
        <f>L9*M9*N9</f>
        <v/>
      </c>
      <c r="P9" s="27" t="n">
        <v>5712</v>
      </c>
      <c r="Q9" s="27">
        <f>O9*P9</f>
        <v/>
      </c>
      <c r="R9" s="13" t="inlineStr">
        <is>
          <t>Calculos vf.xlsx Hoja 'BOM y balanceo' R7</t>
        </is>
      </c>
    </row>
    <row r="10" ht="20" customHeight="1">
      <c r="B10" s="19" t="n">
        <v>4</v>
      </c>
      <c r="C10" s="18" t="inlineStr">
        <is>
          <t>Enfriado</t>
        </is>
      </c>
      <c r="D10" s="19" t="inlineStr">
        <is>
          <t>Línea A</t>
        </is>
      </c>
      <c r="E10" s="18" t="inlineStr">
        <is>
          <t>Cinta de enfriamiento</t>
        </is>
      </c>
      <c r="F10" s="18" t="inlineStr">
        <is>
          <t>Golden Way Cintas modulares 7m</t>
        </is>
      </c>
      <c r="G10" s="19" t="n">
        <v>1</v>
      </c>
      <c r="H10" s="28" t="n">
        <v>2.2</v>
      </c>
      <c r="I10" s="28">
        <f>H10*1.3596</f>
        <v/>
      </c>
      <c r="J10" s="19" t="inlineStr">
        <is>
          <t>380 V</t>
        </is>
      </c>
      <c r="K10" s="19" t="inlineStr">
        <is>
          <t>Trifásica 50Hz</t>
        </is>
      </c>
      <c r="L10" s="28">
        <f>G10*H10</f>
        <v/>
      </c>
      <c r="M10" s="29" t="n">
        <v>0.65</v>
      </c>
      <c r="N10" s="29" t="n">
        <v>0.9</v>
      </c>
      <c r="O10" s="28">
        <f>L10*M10*N10</f>
        <v/>
      </c>
      <c r="P10" s="30" t="n">
        <v>5712</v>
      </c>
      <c r="Q10" s="30">
        <f>O10*P10</f>
        <v/>
      </c>
      <c r="R10" s="18" t="inlineStr">
        <is>
          <t>Calculos vf.xlsx Hoja 'BOM y balanceo' R8</t>
        </is>
      </c>
    </row>
    <row r="11" ht="20" customHeight="1">
      <c r="B11" s="14" t="n">
        <v>5</v>
      </c>
      <c r="C11" s="13" t="inlineStr">
        <is>
          <t>Empaque</t>
        </is>
      </c>
      <c r="D11" s="14" t="inlineStr">
        <is>
          <t>Línea A</t>
        </is>
      </c>
      <c r="E11" s="13" t="inlineStr">
        <is>
          <t>Envasadora Flowpack</t>
        </is>
      </c>
      <c r="F11" s="13" t="inlineStr">
        <is>
          <t>Zon Pack Flowpack horizontal servomotor</t>
        </is>
      </c>
      <c r="G11" s="14" t="n">
        <v>1</v>
      </c>
      <c r="H11" s="25" t="n">
        <v>6.5</v>
      </c>
      <c r="I11" s="25">
        <f>H11*1.3596</f>
        <v/>
      </c>
      <c r="J11" s="14" t="inlineStr">
        <is>
          <t>380 V</t>
        </is>
      </c>
      <c r="K11" s="14" t="inlineStr">
        <is>
          <t>Trifásica 50Hz</t>
        </is>
      </c>
      <c r="L11" s="25">
        <f>G11*H11</f>
        <v/>
      </c>
      <c r="M11" s="26" t="n">
        <v>0.7</v>
      </c>
      <c r="N11" s="26" t="n">
        <v>0.85</v>
      </c>
      <c r="O11" s="25">
        <f>L11*M11*N11</f>
        <v/>
      </c>
      <c r="P11" s="27" t="n">
        <v>5712</v>
      </c>
      <c r="Q11" s="27">
        <f>O11*P11</f>
        <v/>
      </c>
      <c r="R11" s="13" t="inlineStr">
        <is>
          <t>Calculos vf.xlsx Hoja 'BOM y balanceo' R9</t>
        </is>
      </c>
    </row>
    <row r="12" ht="20" customHeight="1">
      <c r="B12" s="19" t="n">
        <v>6</v>
      </c>
      <c r="C12" s="18" t="inlineStr">
        <is>
          <t>Fraccionamiento</t>
        </is>
      </c>
      <c r="D12" s="19" t="inlineStr">
        <is>
          <t>Línea A</t>
        </is>
      </c>
      <c r="E12" s="18" t="inlineStr">
        <is>
          <t>Balanza / Fraccionadora</t>
        </is>
      </c>
      <c r="F12" s="18" t="inlineStr">
        <is>
          <t>Moretti Ultra 60 macro y micro pesaje</t>
        </is>
      </c>
      <c r="G12" s="19" t="n">
        <v>1</v>
      </c>
      <c r="H12" s="28" t="n">
        <v>0.25</v>
      </c>
      <c r="I12" s="28">
        <f>H12*1.3596</f>
        <v/>
      </c>
      <c r="J12" s="19" t="inlineStr">
        <is>
          <t>220 V</t>
        </is>
      </c>
      <c r="K12" s="19" t="inlineStr">
        <is>
          <t>Monofásica 50Hz</t>
        </is>
      </c>
      <c r="L12" s="28">
        <f>G12*H12</f>
        <v/>
      </c>
      <c r="M12" s="29" t="n">
        <v>0.5</v>
      </c>
      <c r="N12" s="29" t="n">
        <v>0.6</v>
      </c>
      <c r="O12" s="28">
        <f>L12*M12*N12</f>
        <v/>
      </c>
      <c r="P12" s="30" t="n">
        <v>5712</v>
      </c>
      <c r="Q12" s="30">
        <f>O12*P12</f>
        <v/>
      </c>
      <c r="R12" s="18" t="inlineStr">
        <is>
          <t>Calculos vf.xlsx Hoja 'BOM y balanceo' R4</t>
        </is>
      </c>
    </row>
    <row r="13" ht="20" customHeight="1">
      <c r="B13" s="14" t="n">
        <v>7</v>
      </c>
      <c r="C13" s="13" t="inlineStr">
        <is>
          <t>Final de Línea</t>
        </is>
      </c>
      <c r="D13" s="14" t="inlineStr">
        <is>
          <t>Línea A</t>
        </is>
      </c>
      <c r="E13" s="13" t="inlineStr">
        <is>
          <t>Cosedora de bolsas / Cajas</t>
        </is>
      </c>
      <c r="F13" s="13" t="inlineStr">
        <is>
          <t>Fischbein D-Series cerradora bolsas</t>
        </is>
      </c>
      <c r="G13" s="14" t="n">
        <v>1</v>
      </c>
      <c r="H13" s="25" t="n">
        <v>0.4</v>
      </c>
      <c r="I13" s="25">
        <f>H13*1.3596</f>
        <v/>
      </c>
      <c r="J13" s="14" t="inlineStr">
        <is>
          <t>220 V</t>
        </is>
      </c>
      <c r="K13" s="14" t="inlineStr">
        <is>
          <t>Monofásica 50Hz</t>
        </is>
      </c>
      <c r="L13" s="25">
        <f>G13*H13</f>
        <v/>
      </c>
      <c r="M13" s="26" t="n">
        <v>0.4</v>
      </c>
      <c r="N13" s="26" t="n">
        <v>0.5</v>
      </c>
      <c r="O13" s="25">
        <f>L13*M13*N13</f>
        <v/>
      </c>
      <c r="P13" s="27" t="n">
        <v>5712</v>
      </c>
      <c r="Q13" s="27">
        <f>O13*P13</f>
        <v/>
      </c>
      <c r="R13" s="13" t="inlineStr">
        <is>
          <t>Manual empaque secundario</t>
        </is>
      </c>
    </row>
    <row r="14">
      <c r="B14" s="31" t="inlineStr">
        <is>
          <t>SUBTOTAL LÍNEA A (GALLETITAS)</t>
        </is>
      </c>
      <c r="C14" s="32" t="n"/>
      <c r="D14" s="32" t="n"/>
      <c r="E14" s="32" t="n"/>
      <c r="F14" s="32" t="n"/>
      <c r="G14" s="32">
        <f>SUM(G7:G13)</f>
        <v/>
      </c>
      <c r="H14" s="32" t="n"/>
      <c r="I14" s="32" t="n"/>
      <c r="J14" s="32" t="n"/>
      <c r="K14" s="32" t="n"/>
      <c r="L14" s="33">
        <f>SUM(L7:L13)</f>
        <v/>
      </c>
      <c r="M14" s="32" t="n"/>
      <c r="N14" s="32" t="n"/>
      <c r="O14" s="33">
        <f>SUM(O7:O13)</f>
        <v/>
      </c>
      <c r="P14" s="32" t="n"/>
      <c r="Q14" s="34">
        <f>SUM(Q7:Q13)</f>
        <v/>
      </c>
      <c r="R14" s="32" t="n"/>
    </row>
    <row r="15">
      <c r="B15" s="10" t="inlineStr">
        <is>
          <t>LÍNEA B: PANIFICADOS Y BUDINES (PROCESO POR BATCH)</t>
        </is>
      </c>
    </row>
    <row r="16" ht="20" customHeight="1">
      <c r="B16" s="19" t="n">
        <v>8</v>
      </c>
      <c r="C16" s="18" t="inlineStr">
        <is>
          <t>Pesado</t>
        </is>
      </c>
      <c r="D16" s="19" t="inlineStr">
        <is>
          <t>Línea B</t>
        </is>
      </c>
      <c r="E16" s="18" t="inlineStr">
        <is>
          <t>Balanza de precisión</t>
        </is>
      </c>
      <c r="F16" s="18" t="inlineStr">
        <is>
          <t>Moretti Ultra 60 macro/micro</t>
        </is>
      </c>
      <c r="G16" s="19" t="n">
        <v>1</v>
      </c>
      <c r="H16" s="28" t="n">
        <v>0.25</v>
      </c>
      <c r="I16" s="28">
        <f>H16*1.3596</f>
        <v/>
      </c>
      <c r="J16" s="19" t="inlineStr">
        <is>
          <t>220 V</t>
        </is>
      </c>
      <c r="K16" s="19" t="inlineStr">
        <is>
          <t>Monofásica 50Hz</t>
        </is>
      </c>
      <c r="L16" s="28">
        <f>G16*H16</f>
        <v/>
      </c>
      <c r="M16" s="29" t="n">
        <v>0.5</v>
      </c>
      <c r="N16" s="29" t="n">
        <v>0.6</v>
      </c>
      <c r="O16" s="28">
        <f>L16*M16*N16</f>
        <v/>
      </c>
      <c r="P16" s="30" t="n">
        <v>5712</v>
      </c>
      <c r="Q16" s="30">
        <f>O16*P16</f>
        <v/>
      </c>
      <c r="R16" s="18" t="inlineStr">
        <is>
          <t>Calculos vf.xlsx Hoja 'BOM y balanceo' R12</t>
        </is>
      </c>
    </row>
    <row r="17" ht="20" customHeight="1">
      <c r="B17" s="14" t="n">
        <v>9</v>
      </c>
      <c r="C17" s="13" t="inlineStr">
        <is>
          <t>Batido</t>
        </is>
      </c>
      <c r="D17" s="14" t="inlineStr">
        <is>
          <t>Línea B</t>
        </is>
      </c>
      <c r="E17" s="13" t="inlineStr">
        <is>
          <t>Batidora planetaria</t>
        </is>
      </c>
      <c r="F17" s="13" t="inlineStr">
        <is>
          <t>Moretti Planeta 60 industrial</t>
        </is>
      </c>
      <c r="G17" s="14" t="n">
        <v>1</v>
      </c>
      <c r="H17" s="25" t="n">
        <v>2.5</v>
      </c>
      <c r="I17" s="25">
        <f>H17*1.3596</f>
        <v/>
      </c>
      <c r="J17" s="14" t="inlineStr">
        <is>
          <t>380 V</t>
        </is>
      </c>
      <c r="K17" s="14" t="inlineStr">
        <is>
          <t>Trifásica 50Hz</t>
        </is>
      </c>
      <c r="L17" s="25">
        <f>G17*H17</f>
        <v/>
      </c>
      <c r="M17" s="26" t="n">
        <v>0.7</v>
      </c>
      <c r="N17" s="26" t="n">
        <v>0.85</v>
      </c>
      <c r="O17" s="25">
        <f>L17*M17*N17</f>
        <v/>
      </c>
      <c r="P17" s="27" t="n">
        <v>5712</v>
      </c>
      <c r="Q17" s="27">
        <f>O17*P17</f>
        <v/>
      </c>
      <c r="R17" s="13" t="inlineStr">
        <is>
          <t>Calculos vf.xlsx Hoja 'BOM y balanceo' R13</t>
        </is>
      </c>
    </row>
    <row r="18" ht="20" customHeight="1">
      <c r="B18" s="19" t="n">
        <v>10</v>
      </c>
      <c r="C18" s="18" t="inlineStr">
        <is>
          <t>Dosificado</t>
        </is>
      </c>
      <c r="D18" s="19" t="inlineStr">
        <is>
          <t>Línea B</t>
        </is>
      </c>
      <c r="E18" s="18" t="inlineStr">
        <is>
          <t>Dosificadora de tolva</t>
        </is>
      </c>
      <c r="F18" s="18" t="inlineStr">
        <is>
          <t>Indurpack G1WGD-1000 neumática/eléc</t>
        </is>
      </c>
      <c r="G18" s="19" t="n">
        <v>1</v>
      </c>
      <c r="H18" s="28" t="n">
        <v>0.1</v>
      </c>
      <c r="I18" s="28">
        <f>H18*1.3596</f>
        <v/>
      </c>
      <c r="J18" s="19" t="inlineStr">
        <is>
          <t>220 V</t>
        </is>
      </c>
      <c r="K18" s="19" t="inlineStr">
        <is>
          <t>Monofásica 50Hz</t>
        </is>
      </c>
      <c r="L18" s="28">
        <f>G18*H18</f>
        <v/>
      </c>
      <c r="M18" s="29" t="n">
        <v>0.6</v>
      </c>
      <c r="N18" s="29" t="n">
        <v>0.8</v>
      </c>
      <c r="O18" s="28">
        <f>L18*M18*N18</f>
        <v/>
      </c>
      <c r="P18" s="30" t="n">
        <v>5712</v>
      </c>
      <c r="Q18" s="30">
        <f>O18*P18</f>
        <v/>
      </c>
      <c r="R18" s="18" t="inlineStr">
        <is>
          <t>Calculos vf.xlsx Hoja 'BOM y balanceo' R14</t>
        </is>
      </c>
    </row>
    <row r="19" ht="20" customHeight="1">
      <c r="B19" s="14" t="n">
        <v>11</v>
      </c>
      <c r="C19" s="13" t="inlineStr">
        <is>
          <t>Fermentación</t>
        </is>
      </c>
      <c r="D19" s="14" t="inlineStr">
        <is>
          <t>Línea B</t>
        </is>
      </c>
      <c r="E19" s="13" t="inlineStr">
        <is>
          <t>Cámara fermentadora</t>
        </is>
      </c>
      <c r="F19" s="13" t="inlineStr">
        <is>
          <t>Nick Tech CF-240 calor/humedad</t>
        </is>
      </c>
      <c r="G19" s="14" t="n">
        <v>1</v>
      </c>
      <c r="H19" s="25" t="n">
        <v>1.8</v>
      </c>
      <c r="I19" s="25">
        <f>H19*1.3596</f>
        <v/>
      </c>
      <c r="J19" s="14" t="inlineStr">
        <is>
          <t>220 V</t>
        </is>
      </c>
      <c r="K19" s="14" t="inlineStr">
        <is>
          <t>Monofásica 50Hz</t>
        </is>
      </c>
      <c r="L19" s="25">
        <f>G19*H19</f>
        <v/>
      </c>
      <c r="M19" s="26" t="n">
        <v>0.65</v>
      </c>
      <c r="N19" s="26" t="n">
        <v>0.9</v>
      </c>
      <c r="O19" s="25">
        <f>L19*M19*N19</f>
        <v/>
      </c>
      <c r="P19" s="27" t="n">
        <v>5712</v>
      </c>
      <c r="Q19" s="27">
        <f>O19*P19</f>
        <v/>
      </c>
      <c r="R19" s="13" t="inlineStr">
        <is>
          <t>Calculos vf.xlsx Hoja 'BOM y balanceo' R15</t>
        </is>
      </c>
    </row>
    <row r="20" ht="20" customHeight="1">
      <c r="B20" s="19" t="n">
        <v>12</v>
      </c>
      <c r="C20" s="18" t="inlineStr">
        <is>
          <t>Horneado</t>
        </is>
      </c>
      <c r="D20" s="19" t="inlineStr">
        <is>
          <t>Línea B</t>
        </is>
      </c>
      <c r="E20" s="18" t="inlineStr">
        <is>
          <t>Horno rotativo a gas</t>
        </is>
      </c>
      <c r="F20" s="18" t="inlineStr">
        <is>
          <t>Pauna SIGMA rotativo carro (Horno 1)</t>
        </is>
      </c>
      <c r="G20" s="19" t="n">
        <v>1</v>
      </c>
      <c r="H20" s="28" t="n">
        <v>1.84</v>
      </c>
      <c r="I20" s="28">
        <f>H20*1.3596</f>
        <v/>
      </c>
      <c r="J20" s="19" t="inlineStr">
        <is>
          <t>380 V</t>
        </is>
      </c>
      <c r="K20" s="19" t="inlineStr">
        <is>
          <t>Trifásica 50Hz</t>
        </is>
      </c>
      <c r="L20" s="28">
        <f>G20*H20</f>
        <v/>
      </c>
      <c r="M20" s="29" t="n">
        <v>0.75</v>
      </c>
      <c r="N20" s="29" t="n">
        <v>0.9</v>
      </c>
      <c r="O20" s="28">
        <f>L20*M20*N20</f>
        <v/>
      </c>
      <c r="P20" s="30" t="n">
        <v>5712</v>
      </c>
      <c r="Q20" s="30">
        <f>O20*P20</f>
        <v/>
      </c>
      <c r="R20" s="18" t="inlineStr">
        <is>
          <t>Calculos vf.xlsx Hoja 'BOM y balanceo' R16</t>
        </is>
      </c>
    </row>
    <row r="21" ht="20" customHeight="1">
      <c r="B21" s="14" t="n">
        <v>13</v>
      </c>
      <c r="C21" s="13" t="inlineStr">
        <is>
          <t>Horneado</t>
        </is>
      </c>
      <c r="D21" s="14" t="inlineStr">
        <is>
          <t>Línea B</t>
        </is>
      </c>
      <c r="E21" s="13" t="inlineStr">
        <is>
          <t>Horno rotativo a gas</t>
        </is>
      </c>
      <c r="F21" s="13" t="inlineStr">
        <is>
          <t>Pauna SIGMA rotativo carro (Horno 2)</t>
        </is>
      </c>
      <c r="G21" s="14" t="n">
        <v>1</v>
      </c>
      <c r="H21" s="25" t="n">
        <v>1.84</v>
      </c>
      <c r="I21" s="25">
        <f>H21*1.3596</f>
        <v/>
      </c>
      <c r="J21" s="14" t="inlineStr">
        <is>
          <t>380 V</t>
        </is>
      </c>
      <c r="K21" s="14" t="inlineStr">
        <is>
          <t>Trifásica 50Hz</t>
        </is>
      </c>
      <c r="L21" s="25">
        <f>G21*H21</f>
        <v/>
      </c>
      <c r="M21" s="26" t="n">
        <v>0.75</v>
      </c>
      <c r="N21" s="26" t="n">
        <v>0.9</v>
      </c>
      <c r="O21" s="25">
        <f>L21*M21*N21</f>
        <v/>
      </c>
      <c r="P21" s="27" t="n">
        <v>5712</v>
      </c>
      <c r="Q21" s="27">
        <f>O21*P21</f>
        <v/>
      </c>
      <c r="R21" s="13" t="inlineStr">
        <is>
          <t>Calculos vf.xlsx Hoja 'BOM y balanceo' R16</t>
        </is>
      </c>
    </row>
    <row r="22" ht="20" customHeight="1">
      <c r="B22" s="19" t="n">
        <v>14</v>
      </c>
      <c r="C22" s="18" t="inlineStr">
        <is>
          <t>Desmolde/Corte</t>
        </is>
      </c>
      <c r="D22" s="19" t="inlineStr">
        <is>
          <t>Línea B</t>
        </is>
      </c>
      <c r="E22" s="18" t="inlineStr">
        <is>
          <t>Cortadora / Rebanadora</t>
        </is>
      </c>
      <c r="F22" s="18" t="inlineStr">
        <is>
          <t>Braesi FB-12 rebanadora industrial</t>
        </is>
      </c>
      <c r="G22" s="19" t="n">
        <v>1</v>
      </c>
      <c r="H22" s="28" t="n">
        <v>0.5</v>
      </c>
      <c r="I22" s="28">
        <f>H22*1.3596</f>
        <v/>
      </c>
      <c r="J22" s="19" t="inlineStr">
        <is>
          <t>220 V</t>
        </is>
      </c>
      <c r="K22" s="19" t="inlineStr">
        <is>
          <t>Monofásica 50Hz</t>
        </is>
      </c>
      <c r="L22" s="28">
        <f>G22*H22</f>
        <v/>
      </c>
      <c r="M22" s="29" t="n">
        <v>0.4</v>
      </c>
      <c r="N22" s="29" t="n">
        <v>0.6</v>
      </c>
      <c r="O22" s="28">
        <f>L22*M22*N22</f>
        <v/>
      </c>
      <c r="P22" s="30" t="n">
        <v>5712</v>
      </c>
      <c r="Q22" s="30">
        <f>O22*P22</f>
        <v/>
      </c>
      <c r="R22" s="18" t="inlineStr">
        <is>
          <t>Calculos vf.xlsx Hoja 'BOM y balanceo' R18</t>
        </is>
      </c>
    </row>
    <row r="23" ht="20" customHeight="1">
      <c r="B23" s="14" t="n">
        <v>15</v>
      </c>
      <c r="C23" s="13" t="inlineStr">
        <is>
          <t>Envasado</t>
        </is>
      </c>
      <c r="D23" s="14" t="inlineStr">
        <is>
          <t>Línea B</t>
        </is>
      </c>
      <c r="E23" s="13" t="inlineStr">
        <is>
          <t>Envasadora Flowpack</t>
        </is>
      </c>
      <c r="F23" s="13" t="inlineStr">
        <is>
          <t>Brunetti EFH700X servocontrolada</t>
        </is>
      </c>
      <c r="G23" s="14" t="n">
        <v>1</v>
      </c>
      <c r="H23" s="25" t="n">
        <v>3.6</v>
      </c>
      <c r="I23" s="25">
        <f>H23*1.3596</f>
        <v/>
      </c>
      <c r="J23" s="14" t="inlineStr">
        <is>
          <t>380 V</t>
        </is>
      </c>
      <c r="K23" s="14" t="inlineStr">
        <is>
          <t>Trifásica 50Hz</t>
        </is>
      </c>
      <c r="L23" s="25">
        <f>G23*H23</f>
        <v/>
      </c>
      <c r="M23" s="26" t="n">
        <v>0.7</v>
      </c>
      <c r="N23" s="26" t="n">
        <v>0.85</v>
      </c>
      <c r="O23" s="25">
        <f>L23*M23*N23</f>
        <v/>
      </c>
      <c r="P23" s="27" t="n">
        <v>5712</v>
      </c>
      <c r="Q23" s="27">
        <f>O23*P23</f>
        <v/>
      </c>
      <c r="R23" s="13" t="inlineStr">
        <is>
          <t>Calculos vf.xlsx Hoja 'BOM y balanceo' R19</t>
        </is>
      </c>
    </row>
    <row r="24">
      <c r="B24" s="31" t="inlineStr">
        <is>
          <t>SUBTOTAL LÍNEA B (PANIFICADOS)</t>
        </is>
      </c>
      <c r="C24" s="32" t="n"/>
      <c r="D24" s="32" t="n"/>
      <c r="E24" s="32" t="n"/>
      <c r="F24" s="32" t="n"/>
      <c r="G24" s="32">
        <f>SUM(G16:G23)</f>
        <v/>
      </c>
      <c r="H24" s="32" t="n"/>
      <c r="I24" s="32" t="n"/>
      <c r="J24" s="32" t="n"/>
      <c r="K24" s="32" t="n"/>
      <c r="L24" s="33">
        <f>SUM(L16:L23)</f>
        <v/>
      </c>
      <c r="M24" s="32" t="n"/>
      <c r="N24" s="32" t="n"/>
      <c r="O24" s="33">
        <f>SUM(O16:O23)</f>
        <v/>
      </c>
      <c r="P24" s="32" t="n"/>
      <c r="Q24" s="34">
        <f>SUM(Q16:Q23)</f>
        <v/>
      </c>
      <c r="R24" s="32" t="n"/>
    </row>
    <row r="25">
      <c r="B25" s="10" t="inlineStr">
        <is>
          <t>SERVICIOS AUXILIARES, ILUMINACIÓN GENERAL E INSTALACIONES</t>
        </is>
      </c>
    </row>
    <row r="26" ht="20" customHeight="1">
      <c r="B26" s="19" t="n">
        <v>16</v>
      </c>
      <c r="C26" s="18" t="inlineStr">
        <is>
          <t>Servicios</t>
        </is>
      </c>
      <c r="D26" s="19" t="inlineStr">
        <is>
          <t>Auxiliares</t>
        </is>
      </c>
      <c r="E26" s="18" t="inlineStr">
        <is>
          <t>Compresor tornillo aire</t>
        </is>
      </c>
      <c r="F26" s="18" t="inlineStr">
        <is>
          <t>Schulz SRP 4008 / Kaeser SX 6 (5,5 HP)</t>
        </is>
      </c>
      <c r="G26" s="19" t="n">
        <v>1</v>
      </c>
      <c r="H26" s="28" t="n">
        <v>4</v>
      </c>
      <c r="I26" s="28">
        <f>H26*1.3596</f>
        <v/>
      </c>
      <c r="J26" s="19" t="inlineStr">
        <is>
          <t>380 V</t>
        </is>
      </c>
      <c r="K26" s="19" t="inlineStr">
        <is>
          <t>Trifásica 50Hz</t>
        </is>
      </c>
      <c r="L26" s="28">
        <f>G26*H26</f>
        <v/>
      </c>
      <c r="M26" s="29" t="n">
        <v>0.65</v>
      </c>
      <c r="N26" s="29" t="n">
        <v>0.7</v>
      </c>
      <c r="O26" s="28">
        <f>L26*M26*N26</f>
        <v/>
      </c>
      <c r="P26" s="30" t="n">
        <v>5712</v>
      </c>
      <c r="Q26" s="30">
        <f>O26*P26</f>
        <v/>
      </c>
      <c r="R26" s="18" t="inlineStr">
        <is>
          <t>Hoja '4. Aire Comprimido'</t>
        </is>
      </c>
    </row>
    <row r="27" ht="20" customHeight="1">
      <c r="B27" s="14" t="n">
        <v>17</v>
      </c>
      <c r="C27" s="13" t="inlineStr">
        <is>
          <t>Servicios</t>
        </is>
      </c>
      <c r="D27" s="14" t="inlineStr">
        <is>
          <t>Auxiliares</t>
        </is>
      </c>
      <c r="E27" s="13" t="inlineStr">
        <is>
          <t>Secador frigorífico aire</t>
        </is>
      </c>
      <c r="F27" s="13" t="inlineStr">
        <is>
          <t>Schulz ADS 20 (+3°C rocío)</t>
        </is>
      </c>
      <c r="G27" s="14" t="n">
        <v>1</v>
      </c>
      <c r="H27" s="25" t="n">
        <v>0.45</v>
      </c>
      <c r="I27" s="25">
        <f>H27*1.3596</f>
        <v/>
      </c>
      <c r="J27" s="14" t="inlineStr">
        <is>
          <t>220 V</t>
        </is>
      </c>
      <c r="K27" s="14" t="inlineStr">
        <is>
          <t>Monofásica 50Hz</t>
        </is>
      </c>
      <c r="L27" s="25">
        <f>G27*H27</f>
        <v/>
      </c>
      <c r="M27" s="26" t="n">
        <v>0.7</v>
      </c>
      <c r="N27" s="26" t="n">
        <v>0.8</v>
      </c>
      <c r="O27" s="25">
        <f>L27*M27*N27</f>
        <v/>
      </c>
      <c r="P27" s="27" t="n">
        <v>5712</v>
      </c>
      <c r="Q27" s="27">
        <f>O27*P27</f>
        <v/>
      </c>
      <c r="R27" s="13" t="inlineStr">
        <is>
          <t>Hoja '4. Aire Comprimido'</t>
        </is>
      </c>
    </row>
    <row r="28" ht="20" customHeight="1">
      <c r="B28" s="19" t="n">
        <v>18</v>
      </c>
      <c r="C28" s="18" t="inlineStr">
        <is>
          <t>Almacén</t>
        </is>
      </c>
      <c r="D28" s="19" t="inlineStr">
        <is>
          <t>Auxiliares</t>
        </is>
      </c>
      <c r="E28" s="18" t="inlineStr">
        <is>
          <t>Cargador autoelevador</t>
        </is>
      </c>
      <c r="F28" s="18" t="inlineStr">
        <is>
          <t>HELI Cargador batería Litio 80V</t>
        </is>
      </c>
      <c r="G28" s="19" t="n">
        <v>1</v>
      </c>
      <c r="H28" s="28" t="n">
        <v>7.5</v>
      </c>
      <c r="I28" s="28">
        <f>H28*1.3596</f>
        <v/>
      </c>
      <c r="J28" s="19" t="inlineStr">
        <is>
          <t>380 V</t>
        </is>
      </c>
      <c r="K28" s="19" t="inlineStr">
        <is>
          <t>Trifásica 50Hz</t>
        </is>
      </c>
      <c r="L28" s="28">
        <f>G28*H28</f>
        <v/>
      </c>
      <c r="M28" s="29" t="n">
        <v>0.6</v>
      </c>
      <c r="N28" s="29" t="n">
        <v>0.5</v>
      </c>
      <c r="O28" s="28">
        <f>L28*M28*N28</f>
        <v/>
      </c>
      <c r="P28" s="30" t="n">
        <v>2000</v>
      </c>
      <c r="Q28" s="30">
        <f>O28*P28</f>
        <v/>
      </c>
      <c r="R28" s="18" t="inlineStr">
        <is>
          <t>Calculos vf.xlsx Hoja 'Inversiones' R4</t>
        </is>
      </c>
    </row>
    <row r="29" ht="20" customHeight="1">
      <c r="B29" s="14" t="n">
        <v>19</v>
      </c>
      <c r="C29" s="13" t="inlineStr">
        <is>
          <t>Servicios</t>
        </is>
      </c>
      <c r="D29" s="14" t="inlineStr">
        <is>
          <t>Auxiliares</t>
        </is>
      </c>
      <c r="E29" s="13" t="inlineStr">
        <is>
          <t>Bombas presurizadoras agua</t>
        </is>
      </c>
      <c r="F29" s="13" t="inlineStr">
        <is>
          <t>Rowa / Motorarg 2 HP (1 activa + 1 res)</t>
        </is>
      </c>
      <c r="G29" s="14" t="n">
        <v>1</v>
      </c>
      <c r="H29" s="25" t="n">
        <v>1.5</v>
      </c>
      <c r="I29" s="25">
        <f>H29*1.3596</f>
        <v/>
      </c>
      <c r="J29" s="14" t="inlineStr">
        <is>
          <t>380 V</t>
        </is>
      </c>
      <c r="K29" s="14" t="inlineStr">
        <is>
          <t>Trifásica 50Hz</t>
        </is>
      </c>
      <c r="L29" s="25">
        <f>G29*H29</f>
        <v/>
      </c>
      <c r="M29" s="26" t="n">
        <v>0.5</v>
      </c>
      <c r="N29" s="26" t="n">
        <v>0.6</v>
      </c>
      <c r="O29" s="25">
        <f>L29*M29*N29</f>
        <v/>
      </c>
      <c r="P29" s="27" t="n">
        <v>5712</v>
      </c>
      <c r="Q29" s="27">
        <f>O29*P29</f>
        <v/>
      </c>
      <c r="R29" s="13" t="inlineStr">
        <is>
          <t>Hoja '5. Agua y Saneamiento'</t>
        </is>
      </c>
    </row>
    <row r="30" ht="20" customHeight="1">
      <c r="B30" s="19" t="n">
        <v>20</v>
      </c>
      <c r="C30" s="18" t="inlineStr">
        <is>
          <t>Administración</t>
        </is>
      </c>
      <c r="D30" s="19" t="inlineStr">
        <is>
          <t>Auxiliares</t>
        </is>
      </c>
      <c r="E30" s="18" t="inlineStr">
        <is>
          <t>Climatización Oficinas</t>
        </is>
      </c>
      <c r="F30" s="18" t="inlineStr">
        <is>
          <t>Split Inverter Frío/Calor 4500 fg</t>
        </is>
      </c>
      <c r="G30" s="19" t="n">
        <v>1</v>
      </c>
      <c r="H30" s="28" t="n">
        <v>1.6</v>
      </c>
      <c r="I30" s="28">
        <f>H30*1.3596</f>
        <v/>
      </c>
      <c r="J30" s="19" t="inlineStr">
        <is>
          <t>220 V</t>
        </is>
      </c>
      <c r="K30" s="19" t="inlineStr">
        <is>
          <t>Monofásica 50Hz</t>
        </is>
      </c>
      <c r="L30" s="28">
        <f>G30*H30</f>
        <v/>
      </c>
      <c r="M30" s="29" t="n">
        <v>0.4</v>
      </c>
      <c r="N30" s="29" t="n">
        <v>0.6</v>
      </c>
      <c r="O30" s="28">
        <f>L30*M30*N30</f>
        <v/>
      </c>
      <c r="P30" s="30" t="n">
        <v>2500</v>
      </c>
      <c r="Q30" s="30">
        <f>O30*P30</f>
        <v/>
      </c>
      <c r="R30" s="18" t="inlineStr">
        <is>
          <t>Confort térmico oficinas 60m²</t>
        </is>
      </c>
    </row>
    <row r="31" ht="20" customHeight="1">
      <c r="B31" s="14" t="n">
        <v>21</v>
      </c>
      <c r="C31" s="13" t="inlineStr">
        <is>
          <t>Calidad</t>
        </is>
      </c>
      <c r="D31" s="14" t="inlineStr">
        <is>
          <t>Auxiliares</t>
        </is>
      </c>
      <c r="E31" s="13" t="inlineStr">
        <is>
          <t>Climatización Laboratorios</t>
        </is>
      </c>
      <c r="F31" s="13" t="inlineStr">
        <is>
          <t>Split Inverter Frío/Calor 3000 fg</t>
        </is>
      </c>
      <c r="G31" s="14" t="n">
        <v>1</v>
      </c>
      <c r="H31" s="25" t="n">
        <v>1.1</v>
      </c>
      <c r="I31" s="25">
        <f>H31*1.3596</f>
        <v/>
      </c>
      <c r="J31" s="14" t="inlineStr">
        <is>
          <t>220 V</t>
        </is>
      </c>
      <c r="K31" s="14" t="inlineStr">
        <is>
          <t>Monofásica 50Hz</t>
        </is>
      </c>
      <c r="L31" s="25">
        <f>G31*H31</f>
        <v/>
      </c>
      <c r="M31" s="26" t="n">
        <v>0.5</v>
      </c>
      <c r="N31" s="26" t="n">
        <v>0.7</v>
      </c>
      <c r="O31" s="25">
        <f>L31*M31*N31</f>
        <v/>
      </c>
      <c r="P31" s="27" t="n">
        <v>5712</v>
      </c>
      <c r="Q31" s="27">
        <f>O31*P31</f>
        <v/>
      </c>
      <c r="R31" s="13" t="inlineStr">
        <is>
          <t>Laboratorio calidad crudo/cocido</t>
        </is>
      </c>
    </row>
    <row r="32" ht="20" customHeight="1">
      <c r="B32" s="19" t="n">
        <v>22</v>
      </c>
      <c r="C32" s="18" t="inlineStr">
        <is>
          <t>Administración</t>
        </is>
      </c>
      <c r="D32" s="19" t="inlineStr">
        <is>
          <t>Auxiliares</t>
        </is>
      </c>
      <c r="E32" s="18" t="inlineStr">
        <is>
          <t>Equipos Informática y Red</t>
        </is>
      </c>
      <c r="F32" s="18" t="inlineStr">
        <is>
          <t>8 PC + Servidor + Impresora</t>
        </is>
      </c>
      <c r="G32" s="19" t="n">
        <v>1</v>
      </c>
      <c r="H32" s="28" t="n">
        <v>2.5</v>
      </c>
      <c r="I32" s="28">
        <f>H32*1.3596</f>
        <v/>
      </c>
      <c r="J32" s="19" t="inlineStr">
        <is>
          <t>220 V</t>
        </is>
      </c>
      <c r="K32" s="19" t="inlineStr">
        <is>
          <t>Monofásica 50Hz</t>
        </is>
      </c>
      <c r="L32" s="28">
        <f>G32*H32</f>
        <v/>
      </c>
      <c r="M32" s="29" t="n">
        <v>0.6</v>
      </c>
      <c r="N32" s="29" t="n">
        <v>0.7</v>
      </c>
      <c r="O32" s="28">
        <f>L32*M32*N32</f>
        <v/>
      </c>
      <c r="P32" s="30" t="n">
        <v>2500</v>
      </c>
      <c r="Q32" s="30">
        <f>O32*P32</f>
        <v/>
      </c>
      <c r="R32" s="18" t="inlineStr">
        <is>
          <t>Calculos vf.xlsx Hoja 'Inversiones' R10</t>
        </is>
      </c>
    </row>
    <row r="33" ht="20" customHeight="1">
      <c r="B33" s="14" t="n">
        <v>23</v>
      </c>
      <c r="C33" s="13" t="inlineStr">
        <is>
          <t>Iluminación</t>
        </is>
      </c>
      <c r="D33" s="14" t="inlineStr">
        <is>
          <t>Planta</t>
        </is>
      </c>
      <c r="E33" s="13" t="inlineStr">
        <is>
          <t>Sistema Iluminación LED</t>
        </is>
      </c>
      <c r="F33" s="13" t="inlineStr">
        <is>
          <t>Luminarias nave, depósitos y oficinas</t>
        </is>
      </c>
      <c r="G33" s="14" t="n">
        <v>1</v>
      </c>
      <c r="H33" s="25">
        <f>'2. Luminarias y Lux'!U30</f>
        <v/>
      </c>
      <c r="I33" s="25">
        <f>H33*1.3596</f>
        <v/>
      </c>
      <c r="J33" s="14" t="inlineStr">
        <is>
          <t>220 V</t>
        </is>
      </c>
      <c r="K33" s="14" t="inlineStr">
        <is>
          <t>Monofásica 50Hz</t>
        </is>
      </c>
      <c r="L33" s="25">
        <f>G33*H33</f>
        <v/>
      </c>
      <c r="M33" s="26" t="n">
        <v>1</v>
      </c>
      <c r="N33" s="26" t="n">
        <v>1</v>
      </c>
      <c r="O33" s="25">
        <f>L33*M33*N33</f>
        <v/>
      </c>
      <c r="P33" s="27" t="n">
        <v>5712</v>
      </c>
      <c r="Q33" s="27">
        <f>O33*P33</f>
        <v/>
      </c>
      <c r="R33" s="13" t="inlineStr">
        <is>
          <t>Hoja '2. Luminarias y Lux'</t>
        </is>
      </c>
    </row>
    <row r="34">
      <c r="B34" s="31" t="inlineStr">
        <is>
          <t>SUBTOTAL SERVICIOS AUXILIARES E INSTALACIONES</t>
        </is>
      </c>
      <c r="C34" s="32" t="n"/>
      <c r="D34" s="32" t="n"/>
      <c r="E34" s="32" t="n"/>
      <c r="F34" s="32" t="n"/>
      <c r="G34" s="32">
        <f>SUM(G26:G33)</f>
        <v/>
      </c>
      <c r="H34" s="32" t="n"/>
      <c r="I34" s="32" t="n"/>
      <c r="J34" s="32" t="n"/>
      <c r="K34" s="32" t="n"/>
      <c r="L34" s="33">
        <f>SUM(L26:L33)</f>
        <v/>
      </c>
      <c r="M34" s="32" t="n"/>
      <c r="N34" s="32" t="n"/>
      <c r="O34" s="33">
        <f>SUM(O26:O33)</f>
        <v/>
      </c>
      <c r="P34" s="32" t="n"/>
      <c r="Q34" s="34">
        <f>SUM(Q26:Q33)</f>
        <v/>
      </c>
      <c r="R34" s="32" t="n"/>
    </row>
    <row r="35" ht="24" customHeight="1">
      <c r="B35" s="21" t="inlineStr">
        <is>
          <t>TOTAL GENERAL PLANTA INDUSTRIAL CELI S.A.</t>
        </is>
      </c>
      <c r="C35" s="22" t="n"/>
      <c r="D35" s="22" t="n"/>
      <c r="E35" s="22" t="n"/>
      <c r="F35" s="22" t="n"/>
      <c r="G35" s="22">
        <f>G14+G24+G34</f>
        <v/>
      </c>
      <c r="H35" s="22" t="n"/>
      <c r="I35" s="22" t="n"/>
      <c r="J35" s="22" t="n"/>
      <c r="K35" s="22" t="n"/>
      <c r="L35" s="35">
        <f>L14+L24+L34</f>
        <v/>
      </c>
      <c r="M35" s="22" t="n"/>
      <c r="N35" s="22" t="n"/>
      <c r="O35" s="35">
        <f>O14+O24+O34</f>
        <v/>
      </c>
      <c r="P35" s="22" t="n"/>
      <c r="Q35" s="36">
        <f>Q14+Q24+Q34</f>
        <v/>
      </c>
      <c r="R35" s="22" t="n"/>
    </row>
    <row r="36"/>
    <row r="37">
      <c r="B37" s="10" t="inlineStr">
        <is>
          <t>PARÁMETROS ELÉCTRICOS DE DISEÑO Y DIMENSIONAMIENTO DE ACOMETIDA</t>
        </is>
      </c>
    </row>
    <row r="38">
      <c r="B38" s="37" t="inlineStr">
        <is>
          <t>Potencia Total Instalada (P_inst):</t>
        </is>
      </c>
      <c r="C38" s="38">
        <f>L35</f>
        <v/>
      </c>
      <c r="D38" s="39" t="inlineStr">
        <is>
          <t>kW</t>
        </is>
      </c>
    </row>
    <row r="39">
      <c r="B39" s="37" t="inlineStr">
        <is>
          <t>Factor de Potencia de Planta adoptado (cos φ):</t>
        </is>
      </c>
      <c r="C39" s="38" t="n">
        <v>0.92</v>
      </c>
      <c r="D39" s="39" t="inlineStr">
        <is>
          <t>-</t>
        </is>
      </c>
    </row>
    <row r="40">
      <c r="B40" s="37" t="inlineStr">
        <is>
          <t>Potencia Aparente Instalada (S_inst):</t>
        </is>
      </c>
      <c r="C40" s="38">
        <f>C38/C39</f>
        <v/>
      </c>
      <c r="D40" s="39" t="inlineStr">
        <is>
          <t>kVA</t>
        </is>
      </c>
    </row>
    <row r="41">
      <c r="B41" s="37" t="inlineStr">
        <is>
          <t>Potencia Máxima Demandada Simultánea (P_dem):</t>
        </is>
      </c>
      <c r="C41" s="38">
        <f>O35</f>
        <v/>
      </c>
      <c r="D41" s="39" t="inlineStr">
        <is>
          <t>kW</t>
        </is>
      </c>
    </row>
    <row r="42">
      <c r="B42" s="37" t="inlineStr">
        <is>
          <t>Potencia Aparente Demandada Simultánea (S_dem):</t>
        </is>
      </c>
      <c r="C42" s="38">
        <f>C41/C39</f>
        <v/>
      </c>
      <c r="D42" s="39" t="inlineStr">
        <is>
          <t>kVA</t>
        </is>
      </c>
    </row>
    <row r="43">
      <c r="B43" s="37" t="inlineStr">
        <is>
          <t>Capacidad de Transformador Industrial Recomendada:</t>
        </is>
      </c>
      <c r="C43" s="40" t="n">
        <v>100</v>
      </c>
      <c r="D43" s="39" t="inlineStr">
        <is>
          <t>kVA (Norma IRAM 2250)</t>
        </is>
      </c>
    </row>
    <row r="44">
      <c r="B44" s="37" t="inlineStr">
        <is>
          <t>Consumo Eléctrico Promedio Mensual:</t>
        </is>
      </c>
      <c r="C44" s="41">
        <f>Q35/12</f>
        <v/>
      </c>
      <c r="D44" s="39" t="inlineStr">
        <is>
          <t>kWh/mes</t>
        </is>
      </c>
    </row>
    <row r="45">
      <c r="B45" s="37" t="inlineStr">
        <is>
          <t>Consumo Eléctrico Promedio Diario (238 días prod):</t>
        </is>
      </c>
      <c r="C45" s="41">
        <f>Q35/238</f>
        <v/>
      </c>
      <c r="D45" s="39" t="inlineStr">
        <is>
          <t>kWh/día</t>
        </is>
      </c>
    </row>
  </sheetData>
  <mergeCells count="10">
    <mergeCell ref="B24:F24"/>
    <mergeCell ref="B34:F34"/>
    <mergeCell ref="B15:R15"/>
    <mergeCell ref="B6:R6"/>
    <mergeCell ref="B3:R3"/>
    <mergeCell ref="B2:R2"/>
    <mergeCell ref="B25:R25"/>
    <mergeCell ref="B14:F14"/>
    <mergeCell ref="B37:H37"/>
    <mergeCell ref="B35:F3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Y30"/>
  <sheetViews>
    <sheetView showGridLines="1" workbookViewId="0">
      <selection activeCell="A1" sqref="A1"/>
    </sheetView>
  </sheetViews>
  <sheetFormatPr baseColWidth="8" defaultRowHeight="15"/>
  <cols>
    <col width="45" customWidth="1" min="2" max="2"/>
    <col width="34" customWidth="1" min="3" max="3"/>
    <col width="32" customWidth="1" min="4" max="4"/>
    <col width="14" customWidth="1" min="5" max="5"/>
    <col width="14" customWidth="1" min="6" max="6"/>
    <col width="13" customWidth="1" min="7" max="7"/>
    <col width="20" customWidth="1" min="8" max="8"/>
    <col width="20" customWidth="1" min="9" max="9"/>
    <col width="31" customWidth="1" min="10" max="10"/>
    <col width="23" customWidth="1" min="11" max="11"/>
    <col width="29" customWidth="1" min="12" max="12"/>
    <col width="20" customWidth="1" min="13" max="13"/>
    <col width="20" customWidth="1" min="14" max="14"/>
    <col width="24" customWidth="1" min="15" max="15"/>
    <col width="37" customWidth="1" min="16" max="16"/>
    <col width="17" customWidth="1" min="17" max="17"/>
    <col width="21" customWidth="1" min="18" max="18"/>
    <col width="14" customWidth="1" min="19" max="19"/>
    <col width="14" customWidth="1" min="20" max="20"/>
    <col width="18" customWidth="1" min="21" max="21"/>
    <col width="19" customWidth="1" min="22" max="22"/>
    <col width="26" customWidth="1" min="23" max="23"/>
    <col width="27" customWidth="1" min="24" max="24"/>
    <col width="25" customWidth="1" min="25" max="25"/>
  </cols>
  <sheetData>
    <row r="2" ht="25" customHeight="1">
      <c r="B2" s="1" t="inlineStr">
        <is>
          <t>PLANTA CELI S.A. - CÁLCULO LUMINOTÉCNICO Y CUMPLIMIENTO DECRETO 351/79</t>
        </is>
      </c>
    </row>
    <row r="3" ht="18" customHeight="1">
      <c r="B3" s="2" t="inlineStr">
        <is>
          <t>Articulado con 'Iluminación + Matafuegos.xlsx' | Método del Flujo Luminoso para Niveles de Diseño y Protocolo Res. SRT 84/12</t>
        </is>
      </c>
    </row>
    <row r="4"/>
    <row r="5" ht="28" customHeight="1">
      <c r="B5" s="11" t="inlineStr">
        <is>
          <t>ID</t>
        </is>
      </c>
      <c r="C5" s="11" t="inlineStr">
        <is>
          <t>Sector / Puesto</t>
        </is>
      </c>
      <c r="D5" s="11" t="inlineStr">
        <is>
          <t>Tipo de Área</t>
        </is>
      </c>
      <c r="E5" s="11" t="inlineStr">
        <is>
          <t>Largo a (m)</t>
        </is>
      </c>
      <c r="F5" s="11" t="inlineStr">
        <is>
          <t>Ancho b (m)</t>
        </is>
      </c>
      <c r="G5" s="11" t="inlineStr">
        <is>
          <t>Alto H (m)</t>
        </is>
      </c>
      <c r="H5" s="11" t="inlineStr">
        <is>
          <t>Superficie S (m²)</t>
        </is>
      </c>
      <c r="I5" s="11" t="inlineStr">
        <is>
          <t>Índice Local (IL)</t>
        </is>
      </c>
      <c r="J5" s="11" t="inlineStr">
        <is>
          <t>Puntos Med. (Res. SRT 84/12)</t>
        </is>
      </c>
      <c r="K5" s="11" t="inlineStr">
        <is>
          <t>Lux Mín. Dto. 351/79</t>
        </is>
      </c>
      <c r="L5" s="11" t="inlineStr">
        <is>
          <t>Nivel Diseño Adoptado (lx)</t>
        </is>
      </c>
      <c r="M5" s="11" t="inlineStr">
        <is>
          <t>Coef. Utiliz. (μ)</t>
        </is>
      </c>
      <c r="N5" s="11" t="inlineStr">
        <is>
          <t>Factor Mant. (fm)</t>
        </is>
      </c>
      <c r="O5" s="11" t="inlineStr">
        <is>
          <t>Flujo Total Req. (lm)</t>
        </is>
      </c>
      <c r="P5" s="11" t="inlineStr">
        <is>
          <t>Artefacto Seleccionado</t>
        </is>
      </c>
      <c r="Q5" s="11" t="inlineStr">
        <is>
          <t>Pot. Unit. (W)</t>
        </is>
      </c>
      <c r="R5" s="11" t="inlineStr">
        <is>
          <t>Flujo Lámpara (lm)</t>
        </is>
      </c>
      <c r="S5" s="11" t="inlineStr">
        <is>
          <t>Cant. Calc.</t>
        </is>
      </c>
      <c r="T5" s="11" t="inlineStr">
        <is>
          <t>Cant. Adop.</t>
        </is>
      </c>
      <c r="U5" s="11" t="inlineStr">
        <is>
          <t>Pot. Total (kW)</t>
        </is>
      </c>
      <c r="V5" s="11" t="inlineStr">
        <is>
          <t>Hs Encendido/Año</t>
        </is>
      </c>
      <c r="W5" s="11" t="inlineStr">
        <is>
          <t>Consumo Anual (kWh/año)</t>
        </is>
      </c>
      <c r="X5" s="11" t="inlineStr">
        <is>
          <t>Nivel Medio Logrado (lx)</t>
        </is>
      </c>
      <c r="Y5" s="11" t="inlineStr">
        <is>
          <t>Cumplimiento Normativo</t>
        </is>
      </c>
    </row>
    <row r="6" ht="20" customHeight="1">
      <c r="B6" s="19" t="n">
        <v>1</v>
      </c>
      <c r="C6" s="18" t="inlineStr">
        <is>
          <t>Deposito MP</t>
        </is>
      </c>
      <c r="D6" s="18" t="inlineStr">
        <is>
          <t>Almacén Materias Primas</t>
        </is>
      </c>
      <c r="E6" s="28" t="n">
        <v>8.300000000000001</v>
      </c>
      <c r="F6" s="28" t="n">
        <v>6.3</v>
      </c>
      <c r="G6" s="28" t="n">
        <v>6.5</v>
      </c>
      <c r="H6" s="28">
        <f>E6*F6</f>
        <v/>
      </c>
      <c r="I6" s="28">
        <f>(E6*F6)/(G6*(E6+F6))</f>
        <v/>
      </c>
      <c r="J6" s="42">
        <f>(I6+2)^2</f>
        <v/>
      </c>
      <c r="K6" s="42" t="n">
        <v>100</v>
      </c>
      <c r="L6" s="42" t="n">
        <v>200</v>
      </c>
      <c r="M6" s="28" t="n">
        <v>0.65</v>
      </c>
      <c r="N6" s="28" t="n">
        <v>0.8</v>
      </c>
      <c r="O6" s="30">
        <f>(L6*H6)/(M6*N6)</f>
        <v/>
      </c>
      <c r="P6" s="18" t="inlineStr">
        <is>
          <t>Campana LED High Bay IP65 100W</t>
        </is>
      </c>
      <c r="Q6" s="42" t="n">
        <v>100</v>
      </c>
      <c r="R6" s="30" t="n">
        <v>13500</v>
      </c>
      <c r="S6" s="28">
        <f>O6/R6</f>
        <v/>
      </c>
      <c r="T6" s="42">
        <f>ROUNDUP(S6,0)</f>
        <v/>
      </c>
      <c r="U6" s="28">
        <f>T6*Q6/1000</f>
        <v/>
      </c>
      <c r="V6" s="30" t="n">
        <v>5712</v>
      </c>
      <c r="W6" s="30">
        <f>U6*V6</f>
        <v/>
      </c>
      <c r="X6" s="43">
        <f>(T6*R6*M6*N6)/H6</f>
        <v/>
      </c>
      <c r="Y6" s="19">
        <f>IF(X6&gt;=K6,"CUMPLE DTO 351/79","NO CUMPLE")</f>
        <v/>
      </c>
    </row>
    <row r="7" ht="20" customHeight="1">
      <c r="B7" s="14" t="n">
        <v>2</v>
      </c>
      <c r="C7" s="13" t="inlineStr">
        <is>
          <t>Aduana MP (recepcion y control)</t>
        </is>
      </c>
      <c r="D7" s="13" t="inlineStr">
        <is>
          <t>Control y Desinfección</t>
        </is>
      </c>
      <c r="E7" s="25" t="n">
        <v>3.8</v>
      </c>
      <c r="F7" s="25" t="n">
        <v>3.8</v>
      </c>
      <c r="G7" s="25" t="n">
        <v>6.5</v>
      </c>
      <c r="H7" s="25">
        <f>E7*F7</f>
        <v/>
      </c>
      <c r="I7" s="25">
        <f>(E7*F7)/(G7*(E7+F7))</f>
        <v/>
      </c>
      <c r="J7" s="44">
        <f>(I7+2)^2</f>
        <v/>
      </c>
      <c r="K7" s="44" t="n">
        <v>300</v>
      </c>
      <c r="L7" s="44" t="n">
        <v>500</v>
      </c>
      <c r="M7" s="25" t="n">
        <v>0.6</v>
      </c>
      <c r="N7" s="25" t="n">
        <v>0.8</v>
      </c>
      <c r="O7" s="27">
        <f>(L7*H7)/(M7*N7)</f>
        <v/>
      </c>
      <c r="P7" s="13" t="inlineStr">
        <is>
          <t>Artefacto Lineal Estanco LED 2x18W</t>
        </is>
      </c>
      <c r="Q7" s="44" t="n">
        <v>36</v>
      </c>
      <c r="R7" s="27" t="n">
        <v>3600</v>
      </c>
      <c r="S7" s="25">
        <f>O7/R7</f>
        <v/>
      </c>
      <c r="T7" s="44">
        <f>ROUNDUP(S7,0)</f>
        <v/>
      </c>
      <c r="U7" s="25">
        <f>T7*Q7/1000</f>
        <v/>
      </c>
      <c r="V7" s="27" t="n">
        <v>5712</v>
      </c>
      <c r="W7" s="27">
        <f>U7*V7</f>
        <v/>
      </c>
      <c r="X7" s="45">
        <f>(T7*R7*M7*N7)/H7</f>
        <v/>
      </c>
      <c r="Y7" s="14">
        <f>IF(X7&gt;=K7,"CUMPLE DTO 351/79","NO CUMPLE")</f>
        <v/>
      </c>
    </row>
    <row r="8" ht="20" customHeight="1">
      <c r="B8" s="19" t="n">
        <v>3</v>
      </c>
      <c r="C8" s="18" t="inlineStr">
        <is>
          <t>Seccion Pesado (macro y micro)</t>
        </is>
      </c>
      <c r="D8" s="18" t="inlineStr">
        <is>
          <t>Pesaje y Fraccionamiento</t>
        </is>
      </c>
      <c r="E8" s="28" t="n">
        <v>2</v>
      </c>
      <c r="F8" s="28" t="n">
        <v>3.8</v>
      </c>
      <c r="G8" s="28" t="n">
        <v>6.5</v>
      </c>
      <c r="H8" s="28">
        <f>E8*F8</f>
        <v/>
      </c>
      <c r="I8" s="28">
        <f>(E8*F8)/(G8*(E8+F8))</f>
        <v/>
      </c>
      <c r="J8" s="42">
        <f>(I8+2)^2</f>
        <v/>
      </c>
      <c r="K8" s="42" t="n">
        <v>400</v>
      </c>
      <c r="L8" s="42" t="n">
        <v>500</v>
      </c>
      <c r="M8" s="28" t="n">
        <v>0.6</v>
      </c>
      <c r="N8" s="28" t="n">
        <v>0.8</v>
      </c>
      <c r="O8" s="30">
        <f>(L8*H8)/(M8*N8)</f>
        <v/>
      </c>
      <c r="P8" s="18" t="inlineStr">
        <is>
          <t>Artefacto Lineal Estanco LED 2x18W</t>
        </is>
      </c>
      <c r="Q8" s="42" t="n">
        <v>36</v>
      </c>
      <c r="R8" s="30" t="n">
        <v>3600</v>
      </c>
      <c r="S8" s="28">
        <f>O8/R8</f>
        <v/>
      </c>
      <c r="T8" s="42">
        <f>ROUNDUP(S8,0)</f>
        <v/>
      </c>
      <c r="U8" s="28">
        <f>T8*Q8/1000</f>
        <v/>
      </c>
      <c r="V8" s="30" t="n">
        <v>5712</v>
      </c>
      <c r="W8" s="30">
        <f>U8*V8</f>
        <v/>
      </c>
      <c r="X8" s="43">
        <f>(T8*R8*M8*N8)/H8</f>
        <v/>
      </c>
      <c r="Y8" s="19">
        <f>IF(X8&gt;=K8,"CUMPLE DTO 351/79","NO CUMPLE")</f>
        <v/>
      </c>
    </row>
    <row r="9" ht="20" customHeight="1">
      <c r="B9" s="14" t="n">
        <v>4</v>
      </c>
      <c r="C9" s="13" t="inlineStr">
        <is>
          <t>Amasado</t>
        </is>
      </c>
      <c r="D9" s="13" t="inlineStr">
        <is>
          <t>Elaboración Galletitas</t>
        </is>
      </c>
      <c r="E9" s="25" t="n">
        <v>2.4</v>
      </c>
      <c r="F9" s="25" t="n">
        <v>2.2</v>
      </c>
      <c r="G9" s="25" t="n">
        <v>6.5</v>
      </c>
      <c r="H9" s="25">
        <f>E9*F9</f>
        <v/>
      </c>
      <c r="I9" s="25">
        <f>(E9*F9)/(G9*(E9+F9))</f>
        <v/>
      </c>
      <c r="J9" s="44">
        <f>(I9+2)^2</f>
        <v/>
      </c>
      <c r="K9" s="44" t="n">
        <v>200</v>
      </c>
      <c r="L9" s="44" t="n">
        <v>300</v>
      </c>
      <c r="M9" s="25" t="n">
        <v>0.6</v>
      </c>
      <c r="N9" s="25" t="n">
        <v>0.8</v>
      </c>
      <c r="O9" s="27">
        <f>(L9*H9)/(M9*N9)</f>
        <v/>
      </c>
      <c r="P9" s="13" t="inlineStr">
        <is>
          <t>Artefacto Lineal Estanco LED 2x18W</t>
        </is>
      </c>
      <c r="Q9" s="44" t="n">
        <v>36</v>
      </c>
      <c r="R9" s="27" t="n">
        <v>3600</v>
      </c>
      <c r="S9" s="25">
        <f>O9/R9</f>
        <v/>
      </c>
      <c r="T9" s="44">
        <f>ROUNDUP(S9,0)</f>
        <v/>
      </c>
      <c r="U9" s="25">
        <f>T9*Q9/1000</f>
        <v/>
      </c>
      <c r="V9" s="27" t="n">
        <v>5712</v>
      </c>
      <c r="W9" s="27">
        <f>U9*V9</f>
        <v/>
      </c>
      <c r="X9" s="45">
        <f>(T9*R9*M9*N9)/H9</f>
        <v/>
      </c>
      <c r="Y9" s="14">
        <f>IF(X9&gt;=K9,"CUMPLE DTO 351/79","NO CUMPLE")</f>
        <v/>
      </c>
    </row>
    <row r="10" ht="20" customHeight="1">
      <c r="B10" s="19" t="n">
        <v>5</v>
      </c>
      <c r="C10" s="18" t="inlineStr">
        <is>
          <t>Moldeado</t>
        </is>
      </c>
      <c r="D10" s="18" t="inlineStr">
        <is>
          <t>Moldeo y Formado</t>
        </is>
      </c>
      <c r="E10" s="28" t="n">
        <v>2.5</v>
      </c>
      <c r="F10" s="28" t="n">
        <v>2.3</v>
      </c>
      <c r="G10" s="28" t="n">
        <v>6.5</v>
      </c>
      <c r="H10" s="28">
        <f>E10*F10</f>
        <v/>
      </c>
      <c r="I10" s="28">
        <f>(E10*F10)/(G10*(E10+F10))</f>
        <v/>
      </c>
      <c r="J10" s="42">
        <f>(I10+2)^2</f>
        <v/>
      </c>
      <c r="K10" s="42" t="n">
        <v>400</v>
      </c>
      <c r="L10" s="42" t="n">
        <v>500</v>
      </c>
      <c r="M10" s="28" t="n">
        <v>0.6</v>
      </c>
      <c r="N10" s="28" t="n">
        <v>0.8</v>
      </c>
      <c r="O10" s="30">
        <f>(L10*H10)/(M10*N10)</f>
        <v/>
      </c>
      <c r="P10" s="18" t="inlineStr">
        <is>
          <t>Artefacto Lineal Estanco LED 2x18W</t>
        </is>
      </c>
      <c r="Q10" s="42" t="n">
        <v>36</v>
      </c>
      <c r="R10" s="30" t="n">
        <v>3600</v>
      </c>
      <c r="S10" s="28">
        <f>O10/R10</f>
        <v/>
      </c>
      <c r="T10" s="42">
        <f>ROUNDUP(S10,0)</f>
        <v/>
      </c>
      <c r="U10" s="28">
        <f>T10*Q10/1000</f>
        <v/>
      </c>
      <c r="V10" s="30" t="n">
        <v>5712</v>
      </c>
      <c r="W10" s="30">
        <f>U10*V10</f>
        <v/>
      </c>
      <c r="X10" s="43">
        <f>(T10*R10*M10*N10)/H10</f>
        <v/>
      </c>
      <c r="Y10" s="19">
        <f>IF(X10&gt;=K10,"CUMPLE DTO 351/79","NO CUMPLE")</f>
        <v/>
      </c>
    </row>
    <row r="11" ht="20" customHeight="1">
      <c r="B11" s="14" t="n">
        <v>6</v>
      </c>
      <c r="C11" s="13" t="inlineStr">
        <is>
          <t>Horno Tunel</t>
        </is>
      </c>
      <c r="D11" s="13" t="inlineStr">
        <is>
          <t>Horneado Continuo Galletitas</t>
        </is>
      </c>
      <c r="E11" s="25" t="n">
        <v>8.6</v>
      </c>
      <c r="F11" s="25" t="n">
        <v>2.3</v>
      </c>
      <c r="G11" s="25" t="n">
        <v>6.5</v>
      </c>
      <c r="H11" s="25">
        <f>E11*F11</f>
        <v/>
      </c>
      <c r="I11" s="25">
        <f>(E11*F11)/(G11*(E11+F11))</f>
        <v/>
      </c>
      <c r="J11" s="44">
        <f>(I11+2)^2</f>
        <v/>
      </c>
      <c r="K11" s="44" t="n">
        <v>300</v>
      </c>
      <c r="L11" s="44" t="n">
        <v>500</v>
      </c>
      <c r="M11" s="25" t="n">
        <v>0.6</v>
      </c>
      <c r="N11" s="25" t="n">
        <v>0.8</v>
      </c>
      <c r="O11" s="27">
        <f>(L11*H11)/(M11*N11)</f>
        <v/>
      </c>
      <c r="P11" s="13" t="inlineStr">
        <is>
          <t>Campana LED High Bay IP65 100W</t>
        </is>
      </c>
      <c r="Q11" s="44" t="n">
        <v>100</v>
      </c>
      <c r="R11" s="27" t="n">
        <v>13500</v>
      </c>
      <c r="S11" s="25">
        <f>O11/R11</f>
        <v/>
      </c>
      <c r="T11" s="44">
        <f>ROUNDUP(S11,0)</f>
        <v/>
      </c>
      <c r="U11" s="25">
        <f>T11*Q11/1000</f>
        <v/>
      </c>
      <c r="V11" s="27" t="n">
        <v>5712</v>
      </c>
      <c r="W11" s="27">
        <f>U11*V11</f>
        <v/>
      </c>
      <c r="X11" s="45">
        <f>(T11*R11*M11*N11)/H11</f>
        <v/>
      </c>
      <c r="Y11" s="14">
        <f>IF(X11&gt;=K11,"CUMPLE DTO 351/79","NO CUMPLE")</f>
        <v/>
      </c>
    </row>
    <row r="12" ht="20" customHeight="1">
      <c r="B12" s="19" t="n">
        <v>7</v>
      </c>
      <c r="C12" s="18" t="inlineStr">
        <is>
          <t>Cinta Enfriado</t>
        </is>
      </c>
      <c r="D12" s="18" t="inlineStr">
        <is>
          <t>Enfriamiento Galletitas</t>
        </is>
      </c>
      <c r="E12" s="28" t="n">
        <v>7</v>
      </c>
      <c r="F12" s="28" t="n">
        <v>1.2</v>
      </c>
      <c r="G12" s="28" t="n">
        <v>6.5</v>
      </c>
      <c r="H12" s="28">
        <f>E12*F12</f>
        <v/>
      </c>
      <c r="I12" s="28">
        <f>(E12*F12)/(G12*(E12+F12))</f>
        <v/>
      </c>
      <c r="J12" s="42">
        <f>(I12+2)^2</f>
        <v/>
      </c>
      <c r="K12" s="42" t="n">
        <v>300</v>
      </c>
      <c r="L12" s="42" t="n">
        <v>750</v>
      </c>
      <c r="M12" s="28" t="n">
        <v>0.6</v>
      </c>
      <c r="N12" s="28" t="n">
        <v>0.8</v>
      </c>
      <c r="O12" s="30">
        <f>(L12*H12)/(M12*N12)</f>
        <v/>
      </c>
      <c r="P12" s="18" t="inlineStr">
        <is>
          <t>Artefacto Lineal Estanco LED 2x18W</t>
        </is>
      </c>
      <c r="Q12" s="42" t="n">
        <v>36</v>
      </c>
      <c r="R12" s="30" t="n">
        <v>3600</v>
      </c>
      <c r="S12" s="28">
        <f>O12/R12</f>
        <v/>
      </c>
      <c r="T12" s="42">
        <f>ROUNDUP(S12,0)</f>
        <v/>
      </c>
      <c r="U12" s="28">
        <f>T12*Q12/1000</f>
        <v/>
      </c>
      <c r="V12" s="30" t="n">
        <v>5712</v>
      </c>
      <c r="W12" s="30">
        <f>U12*V12</f>
        <v/>
      </c>
      <c r="X12" s="43">
        <f>(T12*R12*M12*N12)/H12</f>
        <v/>
      </c>
      <c r="Y12" s="19">
        <f>IF(X12&gt;=K12,"CUMPLE DTO 351/79","NO CUMPLE")</f>
        <v/>
      </c>
    </row>
    <row r="13" ht="20" customHeight="1">
      <c r="B13" s="14" t="n">
        <v>8</v>
      </c>
      <c r="C13" s="13" t="inlineStr">
        <is>
          <t>Envasado 1</t>
        </is>
      </c>
      <c r="D13" s="13" t="inlineStr">
        <is>
          <t>Envasado Primario Galletitas</t>
        </is>
      </c>
      <c r="E13" s="25" t="n">
        <v>4.3</v>
      </c>
      <c r="F13" s="25" t="n">
        <v>4</v>
      </c>
      <c r="G13" s="25" t="n">
        <v>6.5</v>
      </c>
      <c r="H13" s="25">
        <f>E13*F13</f>
        <v/>
      </c>
      <c r="I13" s="25">
        <f>(E13*F13)/(G13*(E13+F13))</f>
        <v/>
      </c>
      <c r="J13" s="44">
        <f>(I13+2)^2</f>
        <v/>
      </c>
      <c r="K13" s="44" t="n">
        <v>300</v>
      </c>
      <c r="L13" s="44" t="n">
        <v>500</v>
      </c>
      <c r="M13" s="25" t="n">
        <v>0.65</v>
      </c>
      <c r="N13" s="25" t="n">
        <v>0.8</v>
      </c>
      <c r="O13" s="27">
        <f>(L13*H13)/(M13*N13)</f>
        <v/>
      </c>
      <c r="P13" s="13" t="inlineStr">
        <is>
          <t>Artefacto Lineal Estanco LED 2x18W</t>
        </is>
      </c>
      <c r="Q13" s="44" t="n">
        <v>36</v>
      </c>
      <c r="R13" s="27" t="n">
        <v>3600</v>
      </c>
      <c r="S13" s="25">
        <f>O13/R13</f>
        <v/>
      </c>
      <c r="T13" s="44">
        <f>ROUNDUP(S13,0)</f>
        <v/>
      </c>
      <c r="U13" s="25">
        <f>T13*Q13/1000</f>
        <v/>
      </c>
      <c r="V13" s="27" t="n">
        <v>5712</v>
      </c>
      <c r="W13" s="27">
        <f>U13*V13</f>
        <v/>
      </c>
      <c r="X13" s="45">
        <f>(T13*R13*M13*N13)/H13</f>
        <v/>
      </c>
      <c r="Y13" s="14">
        <f>IF(X13&gt;=K13,"CUMPLE DTO 351/79","NO CUMPLE")</f>
        <v/>
      </c>
    </row>
    <row r="14" ht="20" customHeight="1">
      <c r="B14" s="19" t="n">
        <v>9</v>
      </c>
      <c r="C14" s="18" t="inlineStr">
        <is>
          <t>Batido Panif.</t>
        </is>
      </c>
      <c r="D14" s="18" t="inlineStr">
        <is>
          <t>Batido de Masas Panificados</t>
        </is>
      </c>
      <c r="E14" s="28" t="n">
        <v>2.2</v>
      </c>
      <c r="F14" s="28" t="n">
        <v>1.6</v>
      </c>
      <c r="G14" s="28" t="n">
        <v>6.5</v>
      </c>
      <c r="H14" s="28">
        <f>E14*F14</f>
        <v/>
      </c>
      <c r="I14" s="28">
        <f>(E14*F14)/(G14*(E14+F14))</f>
        <v/>
      </c>
      <c r="J14" s="42">
        <f>(I14+2)^2</f>
        <v/>
      </c>
      <c r="K14" s="42" t="n">
        <v>400</v>
      </c>
      <c r="L14" s="42" t="n">
        <v>500</v>
      </c>
      <c r="M14" s="28" t="n">
        <v>0.6</v>
      </c>
      <c r="N14" s="28" t="n">
        <v>0.8</v>
      </c>
      <c r="O14" s="30">
        <f>(L14*H14)/(M14*N14)</f>
        <v/>
      </c>
      <c r="P14" s="18" t="inlineStr">
        <is>
          <t>Artefacto Lineal Estanco LED 2x18W</t>
        </is>
      </c>
      <c r="Q14" s="42" t="n">
        <v>36</v>
      </c>
      <c r="R14" s="30" t="n">
        <v>3600</v>
      </c>
      <c r="S14" s="28">
        <f>O14/R14</f>
        <v/>
      </c>
      <c r="T14" s="42">
        <f>ROUNDUP(S14,0)</f>
        <v/>
      </c>
      <c r="U14" s="28">
        <f>T14*Q14/1000</f>
        <v/>
      </c>
      <c r="V14" s="30" t="n">
        <v>5712</v>
      </c>
      <c r="W14" s="30">
        <f>U14*V14</f>
        <v/>
      </c>
      <c r="X14" s="43">
        <f>(T14*R14*M14*N14)/H14</f>
        <v/>
      </c>
      <c r="Y14" s="19">
        <f>IF(X14&gt;=K14,"CUMPLE DTO 351/79","NO CUMPLE")</f>
        <v/>
      </c>
    </row>
    <row r="15" ht="20" customHeight="1">
      <c r="B15" s="14" t="n">
        <v>10</v>
      </c>
      <c r="C15" s="13" t="inlineStr">
        <is>
          <t>Dosificado</t>
        </is>
      </c>
      <c r="D15" s="13" t="inlineStr">
        <is>
          <t>Dosificación en Molde</t>
        </is>
      </c>
      <c r="E15" s="25" t="n">
        <v>2</v>
      </c>
      <c r="F15" s="25" t="n">
        <v>1.5</v>
      </c>
      <c r="G15" s="25" t="n">
        <v>6.5</v>
      </c>
      <c r="H15" s="25">
        <f>E15*F15</f>
        <v/>
      </c>
      <c r="I15" s="25">
        <f>(E15*F15)/(G15*(E15+F15))</f>
        <v/>
      </c>
      <c r="J15" s="44">
        <f>(I15+2)^2</f>
        <v/>
      </c>
      <c r="K15" s="44" t="n">
        <v>400</v>
      </c>
      <c r="L15" s="44" t="n">
        <v>500</v>
      </c>
      <c r="M15" s="25" t="n">
        <v>0.6</v>
      </c>
      <c r="N15" s="25" t="n">
        <v>0.8</v>
      </c>
      <c r="O15" s="27">
        <f>(L15*H15)/(M15*N15)</f>
        <v/>
      </c>
      <c r="P15" s="13" t="inlineStr">
        <is>
          <t>Artefacto Lineal Estanco LED 2x18W</t>
        </is>
      </c>
      <c r="Q15" s="44" t="n">
        <v>36</v>
      </c>
      <c r="R15" s="27" t="n">
        <v>3600</v>
      </c>
      <c r="S15" s="25">
        <f>O15/R15</f>
        <v/>
      </c>
      <c r="T15" s="44">
        <f>ROUNDUP(S15,0)</f>
        <v/>
      </c>
      <c r="U15" s="25">
        <f>T15*Q15/1000</f>
        <v/>
      </c>
      <c r="V15" s="27" t="n">
        <v>5712</v>
      </c>
      <c r="W15" s="27">
        <f>U15*V15</f>
        <v/>
      </c>
      <c r="X15" s="45">
        <f>(T15*R15*M15*N15)/H15</f>
        <v/>
      </c>
      <c r="Y15" s="14">
        <f>IF(X15&gt;=K15,"CUMPLE DTO 351/79","NO CUMPLE")</f>
        <v/>
      </c>
    </row>
    <row r="16" ht="20" customHeight="1">
      <c r="B16" s="19" t="n">
        <v>11</v>
      </c>
      <c r="C16" s="18" t="inlineStr">
        <is>
          <t>Fermentador</t>
        </is>
      </c>
      <c r="D16" s="18" t="inlineStr">
        <is>
          <t>Cámara Fermentación</t>
        </is>
      </c>
      <c r="E16" s="28" t="n">
        <v>1.5</v>
      </c>
      <c r="F16" s="28" t="n">
        <v>1.2</v>
      </c>
      <c r="G16" s="28" t="n">
        <v>6.5</v>
      </c>
      <c r="H16" s="28">
        <f>E16*F16</f>
        <v/>
      </c>
      <c r="I16" s="28">
        <f>(E16*F16)/(G16*(E16+F16))</f>
        <v/>
      </c>
      <c r="J16" s="42">
        <f>(I16+2)^2</f>
        <v/>
      </c>
      <c r="K16" s="42" t="n">
        <v>100</v>
      </c>
      <c r="L16" s="42" t="n">
        <v>200</v>
      </c>
      <c r="M16" s="28" t="n">
        <v>0.6</v>
      </c>
      <c r="N16" s="28" t="n">
        <v>0.8</v>
      </c>
      <c r="O16" s="30">
        <f>(L16*H16)/(M16*N16)</f>
        <v/>
      </c>
      <c r="P16" s="18" t="inlineStr">
        <is>
          <t>Plafon Downlight LED IP44 18W</t>
        </is>
      </c>
      <c r="Q16" s="42" t="n">
        <v>18</v>
      </c>
      <c r="R16" s="30" t="n">
        <v>1600</v>
      </c>
      <c r="S16" s="28">
        <f>O16/R16</f>
        <v/>
      </c>
      <c r="T16" s="42">
        <f>ROUNDUP(S16,0)</f>
        <v/>
      </c>
      <c r="U16" s="28">
        <f>T16*Q16/1000</f>
        <v/>
      </c>
      <c r="V16" s="30" t="n">
        <v>5712</v>
      </c>
      <c r="W16" s="30">
        <f>U16*V16</f>
        <v/>
      </c>
      <c r="X16" s="43">
        <f>(T16*R16*M16*N16)/H16</f>
        <v/>
      </c>
      <c r="Y16" s="19">
        <f>IF(X16&gt;=K16,"CUMPLE DTO 351/79","NO CUMPLE")</f>
        <v/>
      </c>
    </row>
    <row r="17" ht="20" customHeight="1">
      <c r="B17" s="14" t="n">
        <v>12</v>
      </c>
      <c r="C17" s="13" t="inlineStr">
        <is>
          <t>Hornos Rotativos</t>
        </is>
      </c>
      <c r="D17" s="13" t="inlineStr">
        <is>
          <t>Horneado Panificados</t>
        </is>
      </c>
      <c r="E17" s="25" t="n">
        <v>5.2</v>
      </c>
      <c r="F17" s="25" t="n">
        <v>3.7</v>
      </c>
      <c r="G17" s="25" t="n">
        <v>6.5</v>
      </c>
      <c r="H17" s="25">
        <f>E17*F17</f>
        <v/>
      </c>
      <c r="I17" s="25">
        <f>(E17*F17)/(G17*(E17+F17))</f>
        <v/>
      </c>
      <c r="J17" s="44">
        <f>(I17+2)^2</f>
        <v/>
      </c>
      <c r="K17" s="44" t="n">
        <v>300</v>
      </c>
      <c r="L17" s="44" t="n">
        <v>500</v>
      </c>
      <c r="M17" s="25" t="n">
        <v>0.65</v>
      </c>
      <c r="N17" s="25" t="n">
        <v>0.8</v>
      </c>
      <c r="O17" s="27">
        <f>(L17*H17)/(M17*N17)</f>
        <v/>
      </c>
      <c r="P17" s="13" t="inlineStr">
        <is>
          <t>Campana LED High Bay IP65 100W</t>
        </is>
      </c>
      <c r="Q17" s="44" t="n">
        <v>100</v>
      </c>
      <c r="R17" s="27" t="n">
        <v>13500</v>
      </c>
      <c r="S17" s="25">
        <f>O17/R17</f>
        <v/>
      </c>
      <c r="T17" s="44">
        <f>ROUNDUP(S17,0)</f>
        <v/>
      </c>
      <c r="U17" s="25">
        <f>T17*Q17/1000</f>
        <v/>
      </c>
      <c r="V17" s="27" t="n">
        <v>5712</v>
      </c>
      <c r="W17" s="27">
        <f>U17*V17</f>
        <v/>
      </c>
      <c r="X17" s="45">
        <f>(T17*R17*M17*N17)/H17</f>
        <v/>
      </c>
      <c r="Y17" s="14">
        <f>IF(X17&gt;=K17,"CUMPLE DTO 351/79","NO CUMPLE")</f>
        <v/>
      </c>
    </row>
    <row r="18" ht="20" customHeight="1">
      <c r="B18" s="19" t="n">
        <v>13</v>
      </c>
      <c r="C18" s="18" t="inlineStr">
        <is>
          <t>Enfriado</t>
        </is>
      </c>
      <c r="D18" s="18" t="inlineStr">
        <is>
          <t>Sector Enfriado Panificados</t>
        </is>
      </c>
      <c r="E18" s="28" t="n">
        <v>2.6</v>
      </c>
      <c r="F18" s="28" t="n">
        <v>2</v>
      </c>
      <c r="G18" s="28" t="n">
        <v>6.5</v>
      </c>
      <c r="H18" s="28">
        <f>E18*F18</f>
        <v/>
      </c>
      <c r="I18" s="28">
        <f>(E18*F18)/(G18*(E18+F18))</f>
        <v/>
      </c>
      <c r="J18" s="42">
        <f>(I18+2)^2</f>
        <v/>
      </c>
      <c r="K18" s="42" t="n">
        <v>200</v>
      </c>
      <c r="L18" s="42" t="n">
        <v>300</v>
      </c>
      <c r="M18" s="28" t="n">
        <v>0.6</v>
      </c>
      <c r="N18" s="28" t="n">
        <v>0.8</v>
      </c>
      <c r="O18" s="30">
        <f>(L18*H18)/(M18*N18)</f>
        <v/>
      </c>
      <c r="P18" s="18" t="inlineStr">
        <is>
          <t>Artefacto Lineal Estanco LED 2x18W</t>
        </is>
      </c>
      <c r="Q18" s="42" t="n">
        <v>36</v>
      </c>
      <c r="R18" s="30" t="n">
        <v>3600</v>
      </c>
      <c r="S18" s="28">
        <f>O18/R18</f>
        <v/>
      </c>
      <c r="T18" s="42">
        <f>ROUNDUP(S18,0)</f>
        <v/>
      </c>
      <c r="U18" s="28">
        <f>T18*Q18/1000</f>
        <v/>
      </c>
      <c r="V18" s="30" t="n">
        <v>5712</v>
      </c>
      <c r="W18" s="30">
        <f>U18*V18</f>
        <v/>
      </c>
      <c r="X18" s="43">
        <f>(T18*R18*M18*N18)/H18</f>
        <v/>
      </c>
      <c r="Y18" s="19">
        <f>IF(X18&gt;=K18,"CUMPLE DTO 351/79","NO CUMPLE")</f>
        <v/>
      </c>
    </row>
    <row r="19" ht="20" customHeight="1">
      <c r="B19" s="14" t="n">
        <v>14</v>
      </c>
      <c r="C19" s="13" t="inlineStr">
        <is>
          <t>Envasado</t>
        </is>
      </c>
      <c r="D19" s="13" t="inlineStr">
        <is>
          <t>Envasado Primario Panificados</t>
        </is>
      </c>
      <c r="E19" s="25" t="n">
        <v>4.8</v>
      </c>
      <c r="F19" s="25" t="n">
        <v>4.8</v>
      </c>
      <c r="G19" s="25" t="n">
        <v>6.5</v>
      </c>
      <c r="H19" s="25">
        <f>E19*F19</f>
        <v/>
      </c>
      <c r="I19" s="25">
        <f>(E19*F19)/(G19*(E19+F19))</f>
        <v/>
      </c>
      <c r="J19" s="44">
        <f>(I19+2)^2</f>
        <v/>
      </c>
      <c r="K19" s="44" t="n">
        <v>300</v>
      </c>
      <c r="L19" s="44" t="n">
        <v>500</v>
      </c>
      <c r="M19" s="25" t="n">
        <v>0.65</v>
      </c>
      <c r="N19" s="25" t="n">
        <v>0.8</v>
      </c>
      <c r="O19" s="27">
        <f>(L19*H19)/(M19*N19)</f>
        <v/>
      </c>
      <c r="P19" s="13" t="inlineStr">
        <is>
          <t>Artefacto Lineal Estanco LED 2x18W</t>
        </is>
      </c>
      <c r="Q19" s="44" t="n">
        <v>36</v>
      </c>
      <c r="R19" s="27" t="n">
        <v>3600</v>
      </c>
      <c r="S19" s="25">
        <f>O19/R19</f>
        <v/>
      </c>
      <c r="T19" s="44">
        <f>ROUNDUP(S19,0)</f>
        <v/>
      </c>
      <c r="U19" s="25">
        <f>T19*Q19/1000</f>
        <v/>
      </c>
      <c r="V19" s="27" t="n">
        <v>5712</v>
      </c>
      <c r="W19" s="27">
        <f>U19*V19</f>
        <v/>
      </c>
      <c r="X19" s="45">
        <f>(T19*R19*M19*N19)/H19</f>
        <v/>
      </c>
      <c r="Y19" s="14">
        <f>IF(X19&gt;=K19,"CUMPLE DTO 351/79","NO CUMPLE")</f>
        <v/>
      </c>
    </row>
    <row r="20" ht="20" customHeight="1">
      <c r="B20" s="19" t="n">
        <v>15</v>
      </c>
      <c r="C20" s="18" t="inlineStr">
        <is>
          <t>Deposito PT</t>
        </is>
      </c>
      <c r="D20" s="18" t="inlineStr">
        <is>
          <t>Almacén Producto Terminado</t>
        </is>
      </c>
      <c r="E20" s="28" t="n">
        <v>12</v>
      </c>
      <c r="F20" s="28" t="n">
        <v>15.6</v>
      </c>
      <c r="G20" s="28" t="n">
        <v>6.5</v>
      </c>
      <c r="H20" s="28">
        <f>E20*F20</f>
        <v/>
      </c>
      <c r="I20" s="28">
        <f>(E20*F20)/(G20*(E20+F20))</f>
        <v/>
      </c>
      <c r="J20" s="42">
        <f>(I20+2)^2</f>
        <v/>
      </c>
      <c r="K20" s="42" t="n">
        <v>100</v>
      </c>
      <c r="L20" s="42" t="n">
        <v>200</v>
      </c>
      <c r="M20" s="28" t="n">
        <v>0.7</v>
      </c>
      <c r="N20" s="28" t="n">
        <v>0.8</v>
      </c>
      <c r="O20" s="30">
        <f>(L20*H20)/(M20*N20)</f>
        <v/>
      </c>
      <c r="P20" s="18" t="inlineStr">
        <is>
          <t>Campana LED High Bay IP65 150W</t>
        </is>
      </c>
      <c r="Q20" s="42" t="n">
        <v>150</v>
      </c>
      <c r="R20" s="30" t="n">
        <v>20000</v>
      </c>
      <c r="S20" s="28">
        <f>O20/R20</f>
        <v/>
      </c>
      <c r="T20" s="42">
        <f>ROUNDUP(S20,0)</f>
        <v/>
      </c>
      <c r="U20" s="28">
        <f>T20*Q20/1000</f>
        <v/>
      </c>
      <c r="V20" s="30" t="n">
        <v>5712</v>
      </c>
      <c r="W20" s="30">
        <f>U20*V20</f>
        <v/>
      </c>
      <c r="X20" s="43">
        <f>(T20*R20*M20*N20)/H20</f>
        <v/>
      </c>
      <c r="Y20" s="19">
        <f>IF(X20&gt;=K20,"CUMPLE DTO 351/79","NO CUMPLE")</f>
        <v/>
      </c>
    </row>
    <row r="21" ht="20" customHeight="1">
      <c r="B21" s="14" t="n">
        <v>16</v>
      </c>
      <c r="C21" s="13" t="inlineStr">
        <is>
          <t>Lavado / Scrap</t>
        </is>
      </c>
      <c r="D21" s="13" t="inlineStr">
        <is>
          <t>Higiene y Desinfección</t>
        </is>
      </c>
      <c r="E21" s="25" t="n">
        <v>2.9</v>
      </c>
      <c r="F21" s="25" t="n">
        <v>2</v>
      </c>
      <c r="G21" s="25" t="n">
        <v>6.5</v>
      </c>
      <c r="H21" s="25">
        <f>E21*F21</f>
        <v/>
      </c>
      <c r="I21" s="25">
        <f>(E21*F21)/(G21*(E21+F21))</f>
        <v/>
      </c>
      <c r="J21" s="44">
        <f>(I21+2)^2</f>
        <v/>
      </c>
      <c r="K21" s="44" t="n">
        <v>200</v>
      </c>
      <c r="L21" s="44" t="n">
        <v>300</v>
      </c>
      <c r="M21" s="25" t="n">
        <v>0.6</v>
      </c>
      <c r="N21" s="25" t="n">
        <v>0.8</v>
      </c>
      <c r="O21" s="27">
        <f>(L21*H21)/(M21*N21)</f>
        <v/>
      </c>
      <c r="P21" s="13" t="inlineStr">
        <is>
          <t>Artefacto Lineal Estanco LED 2x18W</t>
        </is>
      </c>
      <c r="Q21" s="44" t="n">
        <v>36</v>
      </c>
      <c r="R21" s="27" t="n">
        <v>3600</v>
      </c>
      <c r="S21" s="25">
        <f>O21/R21</f>
        <v/>
      </c>
      <c r="T21" s="44">
        <f>ROUNDUP(S21,0)</f>
        <v/>
      </c>
      <c r="U21" s="25">
        <f>T21*Q21/1000</f>
        <v/>
      </c>
      <c r="V21" s="27" t="n">
        <v>5712</v>
      </c>
      <c r="W21" s="27">
        <f>U21*V21</f>
        <v/>
      </c>
      <c r="X21" s="45">
        <f>(T21*R21*M21*N21)/H21</f>
        <v/>
      </c>
      <c r="Y21" s="14">
        <f>IF(X21&gt;=K21,"CUMPLE DTO 351/79","NO CUMPLE")</f>
        <v/>
      </c>
    </row>
    <row r="22" ht="20" customHeight="1">
      <c r="B22" s="19" t="n">
        <v>17</v>
      </c>
      <c r="C22" s="18" t="inlineStr">
        <is>
          <t>Calidad Crudo</t>
        </is>
      </c>
      <c r="D22" s="18" t="inlineStr">
        <is>
          <t>Laboratorio Calidad</t>
        </is>
      </c>
      <c r="E22" s="28" t="n">
        <v>1.5</v>
      </c>
      <c r="F22" s="28" t="n">
        <v>2.1</v>
      </c>
      <c r="G22" s="28" t="n">
        <v>6.5</v>
      </c>
      <c r="H22" s="28">
        <f>E22*F22</f>
        <v/>
      </c>
      <c r="I22" s="28">
        <f>(E22*F22)/(G22*(E22+F22))</f>
        <v/>
      </c>
      <c r="J22" s="42">
        <f>(I22+2)^2</f>
        <v/>
      </c>
      <c r="K22" s="42" t="n">
        <v>600</v>
      </c>
      <c r="L22" s="42" t="n">
        <v>750</v>
      </c>
      <c r="M22" s="28" t="n">
        <v>0.6</v>
      </c>
      <c r="N22" s="28" t="n">
        <v>0.85</v>
      </c>
      <c r="O22" s="30">
        <f>(L22*H22)/(M22*N22)</f>
        <v/>
      </c>
      <c r="P22" s="18" t="inlineStr">
        <is>
          <t>Panel LED 60x60 cm 40W Embutir</t>
        </is>
      </c>
      <c r="Q22" s="42" t="n">
        <v>40</v>
      </c>
      <c r="R22" s="30" t="n">
        <v>4000</v>
      </c>
      <c r="S22" s="28">
        <f>O22/R22</f>
        <v/>
      </c>
      <c r="T22" s="42">
        <f>ROUNDUP(S22,0)</f>
        <v/>
      </c>
      <c r="U22" s="28">
        <f>T22*Q22/1000</f>
        <v/>
      </c>
      <c r="V22" s="30" t="n">
        <v>5712</v>
      </c>
      <c r="W22" s="30">
        <f>U22*V22</f>
        <v/>
      </c>
      <c r="X22" s="43">
        <f>(T22*R22*M22*N22)/H22</f>
        <v/>
      </c>
      <c r="Y22" s="19">
        <f>IF(X22&gt;=K22,"CUMPLE DTO 351/79","NO CUMPLE")</f>
        <v/>
      </c>
    </row>
    <row r="23" ht="20" customHeight="1">
      <c r="B23" s="14" t="n">
        <v>18</v>
      </c>
      <c r="C23" s="13" t="inlineStr">
        <is>
          <t>Calidad Cocido</t>
        </is>
      </c>
      <c r="D23" s="13" t="inlineStr">
        <is>
          <t>Laboratorio Calidad</t>
        </is>
      </c>
      <c r="E23" s="25" t="n">
        <v>4.5</v>
      </c>
      <c r="F23" s="25" t="n">
        <v>2.8</v>
      </c>
      <c r="G23" s="25" t="n">
        <v>6.5</v>
      </c>
      <c r="H23" s="25">
        <f>E23*F23</f>
        <v/>
      </c>
      <c r="I23" s="25">
        <f>(E23*F23)/(G23*(E23+F23))</f>
        <v/>
      </c>
      <c r="J23" s="44">
        <f>(I23+2)^2</f>
        <v/>
      </c>
      <c r="K23" s="44" t="n">
        <v>600</v>
      </c>
      <c r="L23" s="44" t="n">
        <v>750</v>
      </c>
      <c r="M23" s="25" t="n">
        <v>0.65</v>
      </c>
      <c r="N23" s="25" t="n">
        <v>0.85</v>
      </c>
      <c r="O23" s="27">
        <f>(L23*H23)/(M23*N23)</f>
        <v/>
      </c>
      <c r="P23" s="13" t="inlineStr">
        <is>
          <t>Panel LED 60x60 cm 40W Embutir</t>
        </is>
      </c>
      <c r="Q23" s="44" t="n">
        <v>40</v>
      </c>
      <c r="R23" s="27" t="n">
        <v>4000</v>
      </c>
      <c r="S23" s="25">
        <f>O23/R23</f>
        <v/>
      </c>
      <c r="T23" s="44">
        <f>ROUNDUP(S23,0)</f>
        <v/>
      </c>
      <c r="U23" s="25">
        <f>T23*Q23/1000</f>
        <v/>
      </c>
      <c r="V23" s="27" t="n">
        <v>5712</v>
      </c>
      <c r="W23" s="27">
        <f>U23*V23</f>
        <v/>
      </c>
      <c r="X23" s="45">
        <f>(T23*R23*M23*N23)/H23</f>
        <v/>
      </c>
      <c r="Y23" s="14">
        <f>IF(X23&gt;=K23,"CUMPLE DTO 351/79","NO CUMPLE")</f>
        <v/>
      </c>
    </row>
    <row r="24" ht="20" customHeight="1">
      <c r="B24" s="19" t="n">
        <v>19</v>
      </c>
      <c r="C24" s="18" t="inlineStr">
        <is>
          <t>Oficinas Administrativas</t>
        </is>
      </c>
      <c r="D24" s="18" t="inlineStr">
        <is>
          <t>Administración</t>
        </is>
      </c>
      <c r="E24" s="28" t="n">
        <v>10</v>
      </c>
      <c r="F24" s="28" t="n">
        <v>6</v>
      </c>
      <c r="G24" s="28" t="n">
        <v>3</v>
      </c>
      <c r="H24" s="28">
        <f>E24*F24</f>
        <v/>
      </c>
      <c r="I24" s="28">
        <f>(E24*F24)/(G24*(E24+F24))</f>
        <v/>
      </c>
      <c r="J24" s="42">
        <f>(I24+2)^2</f>
        <v/>
      </c>
      <c r="K24" s="42" t="n">
        <v>400</v>
      </c>
      <c r="L24" s="42" t="n">
        <v>500</v>
      </c>
      <c r="M24" s="28" t="n">
        <v>0.6</v>
      </c>
      <c r="N24" s="28" t="n">
        <v>0.85</v>
      </c>
      <c r="O24" s="30">
        <f>(L24*H24)/(M24*N24)</f>
        <v/>
      </c>
      <c r="P24" s="18" t="inlineStr">
        <is>
          <t>Panel LED 60x60 cm 40W Embutir</t>
        </is>
      </c>
      <c r="Q24" s="42" t="n">
        <v>40</v>
      </c>
      <c r="R24" s="30" t="n">
        <v>4000</v>
      </c>
      <c r="S24" s="28">
        <f>O24/R24</f>
        <v/>
      </c>
      <c r="T24" s="42">
        <f>ROUNDUP(S24,0)</f>
        <v/>
      </c>
      <c r="U24" s="28">
        <f>T24*Q24/1000</f>
        <v/>
      </c>
      <c r="V24" s="30" t="n">
        <v>2500</v>
      </c>
      <c r="W24" s="30">
        <f>U24*V24</f>
        <v/>
      </c>
      <c r="X24" s="43">
        <f>(T24*R24*M24*N24)/H24</f>
        <v/>
      </c>
      <c r="Y24" s="19">
        <f>IF(X24&gt;=K24,"CUMPLE DTO 351/79","NO CUMPLE")</f>
        <v/>
      </c>
    </row>
    <row r="25" ht="20" customHeight="1">
      <c r="B25" s="14" t="n">
        <v>20</v>
      </c>
      <c r="C25" s="13" t="inlineStr">
        <is>
          <t>Comedor del Personal</t>
        </is>
      </c>
      <c r="D25" s="13" t="inlineStr">
        <is>
          <t>Comedor</t>
        </is>
      </c>
      <c r="E25" s="25" t="n">
        <v>6</v>
      </c>
      <c r="F25" s="25" t="n">
        <v>5</v>
      </c>
      <c r="G25" s="25" t="n">
        <v>3</v>
      </c>
      <c r="H25" s="25">
        <f>E25*F25</f>
        <v/>
      </c>
      <c r="I25" s="25">
        <f>(E25*F25)/(G25*(E25+F25))</f>
        <v/>
      </c>
      <c r="J25" s="44">
        <f>(I25+2)^2</f>
        <v/>
      </c>
      <c r="K25" s="44" t="n">
        <v>200</v>
      </c>
      <c r="L25" s="44" t="n">
        <v>300</v>
      </c>
      <c r="M25" s="25" t="n">
        <v>0.6</v>
      </c>
      <c r="N25" s="25" t="n">
        <v>0.85</v>
      </c>
      <c r="O25" s="27">
        <f>(L25*H25)/(M25*N25)</f>
        <v/>
      </c>
      <c r="P25" s="13" t="inlineStr">
        <is>
          <t>Panel LED 60x60 cm 40W Embutir</t>
        </is>
      </c>
      <c r="Q25" s="44" t="n">
        <v>40</v>
      </c>
      <c r="R25" s="27" t="n">
        <v>4000</v>
      </c>
      <c r="S25" s="25">
        <f>O25/R25</f>
        <v/>
      </c>
      <c r="T25" s="44">
        <f>ROUNDUP(S25,0)</f>
        <v/>
      </c>
      <c r="U25" s="25">
        <f>T25*Q25/1000</f>
        <v/>
      </c>
      <c r="V25" s="27" t="n">
        <v>2500</v>
      </c>
      <c r="W25" s="27">
        <f>U25*V25</f>
        <v/>
      </c>
      <c r="X25" s="45">
        <f>(T25*R25*M25*N25)/H25</f>
        <v/>
      </c>
      <c r="Y25" s="14">
        <f>IF(X25&gt;=K25,"CUMPLE DTO 351/79","NO CUMPLE")</f>
        <v/>
      </c>
    </row>
    <row r="26" ht="20" customHeight="1">
      <c r="B26" s="19" t="n">
        <v>21</v>
      </c>
      <c r="C26" s="18" t="inlineStr">
        <is>
          <t>Vestuarios y Sanitarios</t>
        </is>
      </c>
      <c r="D26" s="18" t="inlineStr">
        <is>
          <t>Higiene</t>
        </is>
      </c>
      <c r="E26" s="28" t="n">
        <v>6</v>
      </c>
      <c r="F26" s="28" t="n">
        <v>4</v>
      </c>
      <c r="G26" s="28" t="n">
        <v>3</v>
      </c>
      <c r="H26" s="28">
        <f>E26*F26</f>
        <v/>
      </c>
      <c r="I26" s="28">
        <f>(E26*F26)/(G26*(E26+F26))</f>
        <v/>
      </c>
      <c r="J26" s="42">
        <f>(I26+2)^2</f>
        <v/>
      </c>
      <c r="K26" s="42" t="n">
        <v>150</v>
      </c>
      <c r="L26" s="42" t="n">
        <v>200</v>
      </c>
      <c r="M26" s="28" t="n">
        <v>0.55</v>
      </c>
      <c r="N26" s="28" t="n">
        <v>0.8</v>
      </c>
      <c r="O26" s="30">
        <f>(L26*H26)/(M26*N26)</f>
        <v/>
      </c>
      <c r="P26" s="18" t="inlineStr">
        <is>
          <t>Plafon Estanco LED IP65 24W</t>
        </is>
      </c>
      <c r="Q26" s="42" t="n">
        <v>24</v>
      </c>
      <c r="R26" s="30" t="n">
        <v>2400</v>
      </c>
      <c r="S26" s="28">
        <f>O26/R26</f>
        <v/>
      </c>
      <c r="T26" s="42">
        <f>ROUNDUP(S26,0)</f>
        <v/>
      </c>
      <c r="U26" s="28">
        <f>T26*Q26/1000</f>
        <v/>
      </c>
      <c r="V26" s="30" t="n">
        <v>5712</v>
      </c>
      <c r="W26" s="30">
        <f>U26*V26</f>
        <v/>
      </c>
      <c r="X26" s="43">
        <f>(T26*R26*M26*N26)/H26</f>
        <v/>
      </c>
      <c r="Y26" s="19">
        <f>IF(X26&gt;=K26,"CUMPLE DTO 351/79","NO CUMPLE")</f>
        <v/>
      </c>
    </row>
    <row r="27" ht="20" customHeight="1">
      <c r="B27" s="14" t="n">
        <v>22</v>
      </c>
      <c r="C27" s="13" t="inlineStr">
        <is>
          <t>Sala de Máquinas y Compresor</t>
        </is>
      </c>
      <c r="D27" s="13" t="inlineStr">
        <is>
          <t>Servicios Técnicos</t>
        </is>
      </c>
      <c r="E27" s="25" t="n">
        <v>6</v>
      </c>
      <c r="F27" s="25" t="n">
        <v>4</v>
      </c>
      <c r="G27" s="25" t="n">
        <v>4</v>
      </c>
      <c r="H27" s="25">
        <f>E27*F27</f>
        <v/>
      </c>
      <c r="I27" s="25">
        <f>(E27*F27)/(G27*(E27+F27))</f>
        <v/>
      </c>
      <c r="J27" s="44">
        <f>(I27+2)^2</f>
        <v/>
      </c>
      <c r="K27" s="44" t="n">
        <v>150</v>
      </c>
      <c r="L27" s="44" t="n">
        <v>250</v>
      </c>
      <c r="M27" s="25" t="n">
        <v>0.55</v>
      </c>
      <c r="N27" s="25" t="n">
        <v>0.8</v>
      </c>
      <c r="O27" s="27">
        <f>(L27*H27)/(M27*N27)</f>
        <v/>
      </c>
      <c r="P27" s="13" t="inlineStr">
        <is>
          <t>Artefacto Lineal Estanco LED 2x18W</t>
        </is>
      </c>
      <c r="Q27" s="44" t="n">
        <v>36</v>
      </c>
      <c r="R27" s="27" t="n">
        <v>3600</v>
      </c>
      <c r="S27" s="25">
        <f>O27/R27</f>
        <v/>
      </c>
      <c r="T27" s="44">
        <f>ROUNDUP(S27,0)</f>
        <v/>
      </c>
      <c r="U27" s="25">
        <f>T27*Q27/1000</f>
        <v/>
      </c>
      <c r="V27" s="27" t="n">
        <v>5712</v>
      </c>
      <c r="W27" s="27">
        <f>U27*V27</f>
        <v/>
      </c>
      <c r="X27" s="45">
        <f>(T27*R27*M27*N27)/H27</f>
        <v/>
      </c>
      <c r="Y27" s="14">
        <f>IF(X27&gt;=K27,"CUMPLE DTO 351/79","NO CUMPLE")</f>
        <v/>
      </c>
    </row>
    <row r="28" ht="20" customHeight="1">
      <c r="B28" s="19" t="n">
        <v>23</v>
      </c>
      <c r="C28" s="18" t="inlineStr">
        <is>
          <t>Taller de Mantenimiento</t>
        </is>
      </c>
      <c r="D28" s="18" t="inlineStr">
        <is>
          <t>Mantenimiento</t>
        </is>
      </c>
      <c r="E28" s="28" t="n">
        <v>6</v>
      </c>
      <c r="F28" s="28" t="n">
        <v>4</v>
      </c>
      <c r="G28" s="28" t="n">
        <v>4</v>
      </c>
      <c r="H28" s="28">
        <f>E28*F28</f>
        <v/>
      </c>
      <c r="I28" s="28">
        <f>(E28*F28)/(G28*(E28+F28))</f>
        <v/>
      </c>
      <c r="J28" s="42">
        <f>(I28+2)^2</f>
        <v/>
      </c>
      <c r="K28" s="42" t="n">
        <v>300</v>
      </c>
      <c r="L28" s="42" t="n">
        <v>500</v>
      </c>
      <c r="M28" s="28" t="n">
        <v>0.6</v>
      </c>
      <c r="N28" s="28" t="n">
        <v>0.8</v>
      </c>
      <c r="O28" s="30">
        <f>(L28*H28)/(M28*N28)</f>
        <v/>
      </c>
      <c r="P28" s="18" t="inlineStr">
        <is>
          <t>Campana LED High Bay IP65 100W</t>
        </is>
      </c>
      <c r="Q28" s="42" t="n">
        <v>100</v>
      </c>
      <c r="R28" s="30" t="n">
        <v>13500</v>
      </c>
      <c r="S28" s="28">
        <f>O28/R28</f>
        <v/>
      </c>
      <c r="T28" s="42">
        <f>ROUNDUP(S28,0)</f>
        <v/>
      </c>
      <c r="U28" s="28">
        <f>T28*Q28/1000</f>
        <v/>
      </c>
      <c r="V28" s="30" t="n">
        <v>2500</v>
      </c>
      <c r="W28" s="30">
        <f>U28*V28</f>
        <v/>
      </c>
      <c r="X28" s="43">
        <f>(T28*R28*M28*N28)/H28</f>
        <v/>
      </c>
      <c r="Y28" s="19">
        <f>IF(X28&gt;=K28,"CUMPLE DTO 351/79","NO CUMPLE")</f>
        <v/>
      </c>
    </row>
    <row r="29" ht="20" customHeight="1">
      <c r="B29" s="14" t="n">
        <v>24</v>
      </c>
      <c r="C29" s="13" t="inlineStr">
        <is>
          <t>Circulaciones y Pasillos</t>
        </is>
      </c>
      <c r="D29" s="13" t="inlineStr">
        <is>
          <t>Circulación Interna</t>
        </is>
      </c>
      <c r="E29" s="25" t="n">
        <v>25</v>
      </c>
      <c r="F29" s="25" t="n">
        <v>2</v>
      </c>
      <c r="G29" s="25" t="n">
        <v>4</v>
      </c>
      <c r="H29" s="25">
        <f>E29*F29</f>
        <v/>
      </c>
      <c r="I29" s="25">
        <f>(E29*F29)/(G29*(E29+F29))</f>
        <v/>
      </c>
      <c r="J29" s="44">
        <f>(I29+2)^2</f>
        <v/>
      </c>
      <c r="K29" s="44" t="n">
        <v>100</v>
      </c>
      <c r="L29" s="44" t="n">
        <v>150</v>
      </c>
      <c r="M29" s="25" t="n">
        <v>0.5</v>
      </c>
      <c r="N29" s="25" t="n">
        <v>0.8</v>
      </c>
      <c r="O29" s="27">
        <f>(L29*H29)/(M29*N29)</f>
        <v/>
      </c>
      <c r="P29" s="13" t="inlineStr">
        <is>
          <t>Artefacto Lineal Estanco LED 1x18W</t>
        </is>
      </c>
      <c r="Q29" s="44" t="n">
        <v>18</v>
      </c>
      <c r="R29" s="27" t="n">
        <v>1800</v>
      </c>
      <c r="S29" s="25">
        <f>O29/R29</f>
        <v/>
      </c>
      <c r="T29" s="44">
        <f>ROUNDUP(S29,0)</f>
        <v/>
      </c>
      <c r="U29" s="25">
        <f>T29*Q29/1000</f>
        <v/>
      </c>
      <c r="V29" s="27" t="n">
        <v>5712</v>
      </c>
      <c r="W29" s="27">
        <f>U29*V29</f>
        <v/>
      </c>
      <c r="X29" s="45">
        <f>(T29*R29*M29*N29)/H29</f>
        <v/>
      </c>
      <c r="Y29" s="14">
        <f>IF(X29&gt;=K29,"CUMPLE DTO 351/79","NO CUMPLE")</f>
        <v/>
      </c>
    </row>
    <row r="30" ht="24" customHeight="1">
      <c r="B30" s="21" t="inlineStr">
        <is>
          <t>TOTALES SISTEMA DE ILUMINACIÓN PLANTA CELI</t>
        </is>
      </c>
      <c r="C30" s="22" t="n"/>
      <c r="D30" s="22" t="n"/>
      <c r="E30" s="22" t="n"/>
      <c r="F30" s="22" t="n"/>
      <c r="G30" s="22" t="n"/>
      <c r="H30" s="46">
        <f>SUM(H6:H29)</f>
        <v/>
      </c>
      <c r="I30" s="22" t="n"/>
      <c r="J30" s="47">
        <f>SUM(J6:J29)</f>
        <v/>
      </c>
      <c r="K30" s="22" t="n"/>
      <c r="L30" s="22" t="n"/>
      <c r="M30" s="22" t="n"/>
      <c r="N30" s="22" t="n"/>
      <c r="O30" s="36">
        <f>SUM(O6:O29)</f>
        <v/>
      </c>
      <c r="P30" s="22" t="n"/>
      <c r="Q30" s="22" t="n"/>
      <c r="R30" s="22" t="n"/>
      <c r="S30" s="22" t="n"/>
      <c r="T30" s="47">
        <f>SUM(T6:T29)</f>
        <v/>
      </c>
      <c r="U30" s="35">
        <f>SUM(U6:U29)</f>
        <v/>
      </c>
      <c r="V30" s="22" t="n"/>
      <c r="W30" s="36">
        <f>SUM(W6:W29)</f>
        <v/>
      </c>
      <c r="X30" s="22" t="n"/>
      <c r="Y30" s="24" t="inlineStr">
        <is>
          <t>100% CUMPLE</t>
        </is>
      </c>
    </row>
  </sheetData>
  <mergeCells count="3">
    <mergeCell ref="B3:Y3"/>
    <mergeCell ref="B30:G30"/>
    <mergeCell ref="B2:Y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19"/>
  <sheetViews>
    <sheetView showGridLines="1" workbookViewId="0">
      <selection activeCell="A1" sqref="A1"/>
    </sheetView>
  </sheetViews>
  <sheetFormatPr baseColWidth="8" defaultRowHeight="15"/>
  <cols>
    <col width="66" customWidth="1" min="2" max="2"/>
    <col width="53" customWidth="1" min="3" max="3"/>
    <col width="31" customWidth="1" min="4" max="4"/>
    <col width="30" customWidth="1" min="5" max="5"/>
    <col width="40" customWidth="1" min="6" max="6"/>
    <col width="21" customWidth="1" min="7" max="7"/>
    <col width="24" customWidth="1" min="8" max="8"/>
    <col width="20" customWidth="1" min="9" max="9"/>
    <col width="18" customWidth="1" min="10" max="10"/>
    <col width="19" customWidth="1" min="11" max="11"/>
    <col width="21" customWidth="1" min="12" max="12"/>
    <col width="13" customWidth="1" min="13" max="13"/>
    <col width="11" customWidth="1" min="14" max="14"/>
    <col width="25" customWidth="1" min="15" max="15"/>
    <col width="45" customWidth="1" min="16" max="16"/>
  </cols>
  <sheetData>
    <row r="2" ht="25" customHeight="1">
      <c r="B2" s="1" t="inlineStr">
        <is>
          <t>PLANTA CELI S.A. - RELEVAMIENTO DE GAS NATURAL DE RED Y CONSUMO TÉRMICO</t>
        </is>
      </c>
    </row>
    <row r="3" ht="18" customHeight="1">
      <c r="B3" s="2" t="inlineStr">
        <is>
          <t>Gasoducto Industrial Parque Industrial Pilar | Distribuidora: Naturgy BAN S.A. | Norma NAG-200</t>
        </is>
      </c>
    </row>
    <row r="4"/>
    <row r="5" ht="28" customHeight="1">
      <c r="B5" s="11" t="inlineStr">
        <is>
          <t>ID</t>
        </is>
      </c>
      <c r="C5" s="11" t="inlineStr">
        <is>
          <t>Equipo Consumidor</t>
        </is>
      </c>
      <c r="D5" s="11" t="inlineStr">
        <is>
          <t>Línea</t>
        </is>
      </c>
      <c r="E5" s="11" t="inlineStr">
        <is>
          <t>Ubicación</t>
        </is>
      </c>
      <c r="F5" s="11" t="inlineStr">
        <is>
          <t>Tipo Quemador</t>
        </is>
      </c>
      <c r="G5" s="11" t="inlineStr">
        <is>
          <t>Combustible</t>
        </is>
      </c>
      <c r="H5" s="11" t="inlineStr">
        <is>
          <t>Pot. Térmica (kcal/h)</t>
        </is>
      </c>
      <c r="I5" s="11" t="inlineStr">
        <is>
          <t>Pot. Térmica (kW)</t>
        </is>
      </c>
      <c r="J5" s="11" t="inlineStr">
        <is>
          <t>Rendimiento (η)</t>
        </is>
      </c>
      <c r="K5" s="11" t="inlineStr">
        <is>
          <t>P.C.S. (kcal/m³)</t>
        </is>
      </c>
      <c r="L5" s="11" t="inlineStr">
        <is>
          <t>Caudal Pico (m³/h)</t>
        </is>
      </c>
      <c r="M5" s="11" t="inlineStr">
        <is>
          <t>Hs Uso/Día</t>
        </is>
      </c>
      <c r="N5" s="11" t="inlineStr">
        <is>
          <t>Días/Año</t>
        </is>
      </c>
      <c r="O5" s="11" t="inlineStr">
        <is>
          <t>Consumo Anual (m³/año)</t>
        </is>
      </c>
      <c r="P5" s="11" t="inlineStr">
        <is>
          <t>Fuente / Referencia</t>
        </is>
      </c>
    </row>
    <row r="6" ht="20" customHeight="1">
      <c r="B6" s="19" t="n">
        <v>1</v>
      </c>
      <c r="C6" s="18" t="inlineStr">
        <is>
          <t>Horno Túnel Continuo Polin</t>
        </is>
      </c>
      <c r="D6" s="18" t="inlineStr">
        <is>
          <t>Línea A Galletitas</t>
        </is>
      </c>
      <c r="E6" s="18" t="inlineStr">
        <is>
          <t>Nave Producción Sector [6]</t>
        </is>
      </c>
      <c r="F6" s="18" t="inlineStr">
        <is>
          <t>Atmosférico multigas con control mod.</t>
        </is>
      </c>
      <c r="G6" s="19" t="inlineStr">
        <is>
          <t>Gas Natural de Red</t>
        </is>
      </c>
      <c r="H6" s="30" t="n">
        <v>85000</v>
      </c>
      <c r="I6" s="28">
        <f>H6*0.001163</f>
        <v/>
      </c>
      <c r="J6" s="29" t="n">
        <v>0.88</v>
      </c>
      <c r="K6" s="30" t="n">
        <v>9300</v>
      </c>
      <c r="L6" s="28">
        <f>H6/(K6*J6)</f>
        <v/>
      </c>
      <c r="M6" s="43" t="n">
        <v>16</v>
      </c>
      <c r="N6" s="42" t="n">
        <v>238</v>
      </c>
      <c r="O6" s="30">
        <f>L6*M6*N6</f>
        <v/>
      </c>
      <c r="P6" s="18" t="inlineStr">
        <is>
          <t>Calculos vf.xlsx Hoja 'BOM y balanceo' R7</t>
        </is>
      </c>
    </row>
    <row r="7" ht="20" customHeight="1">
      <c r="B7" s="14" t="n">
        <v>2</v>
      </c>
      <c r="C7" s="13" t="inlineStr">
        <is>
          <t>Horno Rotativo Pauna SIGMA (Horno 1)</t>
        </is>
      </c>
      <c r="D7" s="13" t="inlineStr">
        <is>
          <t>Línea B Panificados</t>
        </is>
      </c>
      <c r="E7" s="13" t="inlineStr">
        <is>
          <t>Nave Producción Sector [12]</t>
        </is>
      </c>
      <c r="F7" s="13" t="inlineStr">
        <is>
          <t>Quemador presurizado automático</t>
        </is>
      </c>
      <c r="G7" s="14" t="inlineStr">
        <is>
          <t>Gas Natural de Red</t>
        </is>
      </c>
      <c r="H7" s="27" t="n">
        <v>70000</v>
      </c>
      <c r="I7" s="25">
        <f>H7*0.001163</f>
        <v/>
      </c>
      <c r="J7" s="26" t="n">
        <v>0.88</v>
      </c>
      <c r="K7" s="27" t="n">
        <v>9300</v>
      </c>
      <c r="L7" s="25">
        <f>H7/(K7*J7)</f>
        <v/>
      </c>
      <c r="M7" s="45" t="n">
        <v>14</v>
      </c>
      <c r="N7" s="44" t="n">
        <v>238</v>
      </c>
      <c r="O7" s="27">
        <f>L7*M7*N7</f>
        <v/>
      </c>
      <c r="P7" s="13" t="inlineStr">
        <is>
          <t>Calculos vf.xlsx Hoja 'BOM y balanceo' R16</t>
        </is>
      </c>
    </row>
    <row r="8" ht="20" customHeight="1">
      <c r="B8" s="19" t="n">
        <v>3</v>
      </c>
      <c r="C8" s="18" t="inlineStr">
        <is>
          <t>Horno Rotativo Pauna SIGMA (Horno 2)</t>
        </is>
      </c>
      <c r="D8" s="18" t="inlineStr">
        <is>
          <t>Línea B Panificados</t>
        </is>
      </c>
      <c r="E8" s="18" t="inlineStr">
        <is>
          <t>Nave Producción Sector [12]</t>
        </is>
      </c>
      <c r="F8" s="18" t="inlineStr">
        <is>
          <t>Quemador presurizado automático</t>
        </is>
      </c>
      <c r="G8" s="19" t="inlineStr">
        <is>
          <t>Gas Natural de Red</t>
        </is>
      </c>
      <c r="H8" s="30" t="n">
        <v>70000</v>
      </c>
      <c r="I8" s="28">
        <f>H8*0.001163</f>
        <v/>
      </c>
      <c r="J8" s="29" t="n">
        <v>0.88</v>
      </c>
      <c r="K8" s="30" t="n">
        <v>9300</v>
      </c>
      <c r="L8" s="28">
        <f>H8/(K8*J8)</f>
        <v/>
      </c>
      <c r="M8" s="43" t="n">
        <v>14</v>
      </c>
      <c r="N8" s="42" t="n">
        <v>238</v>
      </c>
      <c r="O8" s="30">
        <f>L8*M8*N8</f>
        <v/>
      </c>
      <c r="P8" s="18" t="inlineStr">
        <is>
          <t>Calculos vf.xlsx Hoja 'BOM y balanceo' R16</t>
        </is>
      </c>
    </row>
    <row r="9" ht="24" customHeight="1">
      <c r="B9" s="21" t="inlineStr">
        <is>
          <t>TOTAL CONSUMO TÉRMICO Y GAS NATURAL</t>
        </is>
      </c>
      <c r="C9" s="22" t="n"/>
      <c r="D9" s="22" t="n"/>
      <c r="E9" s="22" t="n"/>
      <c r="F9" s="22" t="n"/>
      <c r="G9" s="22" t="n"/>
      <c r="H9" s="36">
        <f>SUM(H6:H8)</f>
        <v/>
      </c>
      <c r="I9" s="35">
        <f>SUM(I6:I8)</f>
        <v/>
      </c>
      <c r="J9" s="22" t="n"/>
      <c r="K9" s="22" t="n"/>
      <c r="L9" s="35">
        <f>SUM(L6:L8)</f>
        <v/>
      </c>
      <c r="M9" s="22" t="n"/>
      <c r="N9" s="22" t="n"/>
      <c r="O9" s="36">
        <f>SUM(O6:O8)</f>
        <v/>
      </c>
      <c r="P9" s="22" t="n"/>
    </row>
    <row r="10"/>
    <row r="11">
      <c r="B11" s="10" t="inlineStr">
        <is>
          <t>PARÁMETROS DE DISEÑO DE LA INSTALACIÓN INTERNA DE GAS (NAG-200)</t>
        </is>
      </c>
    </row>
    <row r="12">
      <c r="B12" s="37" t="inlineStr">
        <is>
          <t>Potencia Térmica Total Instalada:</t>
        </is>
      </c>
      <c r="C12" s="41">
        <f>H9</f>
        <v/>
      </c>
      <c r="D12" s="39" t="inlineStr">
        <is>
          <t>kcal/h</t>
        </is>
      </c>
    </row>
    <row r="13">
      <c r="B13" s="37" t="inlineStr">
        <is>
          <t>Potencia Térmica Total en kW:</t>
        </is>
      </c>
      <c r="C13" s="38">
        <f>I9</f>
        <v/>
      </c>
      <c r="D13" s="39" t="inlineStr">
        <is>
          <t>kW</t>
        </is>
      </c>
    </row>
    <row r="14">
      <c r="B14" s="37" t="inlineStr">
        <is>
          <t>Poder Calorífico Superior del Gas (PCS):</t>
        </is>
      </c>
      <c r="C14" s="41" t="n">
        <v>9300</v>
      </c>
      <c r="D14" s="39" t="inlineStr">
        <is>
          <t>kcal/m³ (Naturgy BAN)</t>
        </is>
      </c>
    </row>
    <row r="15">
      <c r="B15" s="37" t="inlineStr">
        <is>
          <t>Caudal Máximo Simultáneo de Diseño:</t>
        </is>
      </c>
      <c r="C15" s="38">
        <f>L9</f>
        <v/>
      </c>
      <c r="D15" s="39" t="inlineStr">
        <is>
          <t>m³/h</t>
        </is>
      </c>
    </row>
    <row r="16">
      <c r="B16" s="37" t="inlineStr">
        <is>
          <t>Presión de Suministro en Red Externa (Media Presión):</t>
        </is>
      </c>
      <c r="C16" s="40" t="n">
        <v>1.5</v>
      </c>
      <c r="D16" s="39" t="inlineStr">
        <is>
          <t>bar (Red Industrial PIP)</t>
        </is>
      </c>
    </row>
    <row r="17">
      <c r="B17" s="37" t="inlineStr">
        <is>
          <t>Presión de Trabajo en Quemadores Internos:</t>
        </is>
      </c>
      <c r="C17" s="40" t="n">
        <v>20</v>
      </c>
      <c r="D17" s="39" t="inlineStr">
        <is>
          <t>mbar (Baja Presión Regulada)</t>
        </is>
      </c>
    </row>
    <row r="18">
      <c r="B18" s="37" t="inlineStr">
        <is>
          <t>Medidor de Gas Industrial Recomendado:</t>
        </is>
      </c>
      <c r="C18" s="48" t="inlineStr">
        <is>
          <t>Medidor rotativo G-25 (Capacidad: hasta 40 m³/h)</t>
        </is>
      </c>
      <c r="D18" s="39" t="inlineStr">
        <is>
          <t>-</t>
        </is>
      </c>
    </row>
    <row r="19">
      <c r="B19" s="37" t="inlineStr">
        <is>
          <t>Diámetro Cañería Colectora Principal de Gas:</t>
        </is>
      </c>
      <c r="C19" s="48" t="inlineStr">
        <is>
          <t>1.1/2" (Ø 40 mm) ASTM A-53 con revestimiento epoxi</t>
        </is>
      </c>
      <c r="D19" s="39" t="inlineStr">
        <is>
          <t>-</t>
        </is>
      </c>
    </row>
  </sheetData>
  <mergeCells count="4">
    <mergeCell ref="B3:O3"/>
    <mergeCell ref="B2:O2"/>
    <mergeCell ref="B9:G9"/>
    <mergeCell ref="B11:H1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23"/>
  <sheetViews>
    <sheetView showGridLines="1" workbookViewId="0">
      <selection activeCell="A1" sqref="A1"/>
    </sheetView>
  </sheetViews>
  <sheetFormatPr baseColWidth="8" defaultRowHeight="15"/>
  <cols>
    <col width="66" customWidth="1" min="2" max="2"/>
    <col width="67" customWidth="1" min="3" max="3"/>
    <col width="54" customWidth="1" min="4" max="4"/>
    <col width="25" customWidth="1" min="5" max="5"/>
    <col width="24" customWidth="1" min="6" max="6"/>
    <col width="22" customWidth="1" min="7" max="7"/>
    <col width="16" customWidth="1" min="8" max="8"/>
    <col width="13" customWidth="1" min="9" max="9"/>
    <col width="22" customWidth="1" min="10" max="10"/>
    <col width="27" customWidth="1" min="11" max="11"/>
    <col width="26" customWidth="1" min="12" max="12"/>
    <col width="68" customWidth="1" min="13" max="13"/>
  </cols>
  <sheetData>
    <row r="2" ht="25" customHeight="1">
      <c r="B2" s="1" t="inlineStr">
        <is>
          <t>PLANTA CELI S.A. - RELEVAMIENTO DE AIRE COMPRIMIDO INDUSTRIAL (ISO 8573-1)</t>
        </is>
      </c>
    </row>
    <row r="3" ht="18" customHeight="1">
      <c r="B3" s="2" t="inlineStr">
        <is>
          <t>Central Compresora a Tornillo, Tratamiento Grado Alimenticio y Red Neumática de Planta</t>
        </is>
      </c>
    </row>
    <row r="4"/>
    <row r="5" ht="28" customHeight="1">
      <c r="B5" s="11" t="inlineStr">
        <is>
          <t>ID</t>
        </is>
      </c>
      <c r="C5" s="11" t="inlineStr">
        <is>
          <t>Equipo Consumidor Neumático</t>
        </is>
      </c>
      <c r="D5" s="11" t="inlineStr">
        <is>
          <t>Línea / Proceso</t>
        </is>
      </c>
      <c r="E5" s="11" t="inlineStr">
        <is>
          <t>Sector</t>
        </is>
      </c>
      <c r="F5" s="11" t="inlineStr">
        <is>
          <t>Presión Trabajo (bar)</t>
        </is>
      </c>
      <c r="G5" s="11" t="inlineStr">
        <is>
          <t>Caudal Nom. (L/min)</t>
        </is>
      </c>
      <c r="H5" s="11" t="inlineStr">
        <is>
          <t>Caudal (m³/h)</t>
        </is>
      </c>
      <c r="I5" s="11" t="inlineStr">
        <is>
          <t>Ciclos/min</t>
        </is>
      </c>
      <c r="J5" s="11" t="inlineStr">
        <is>
          <t>Factor Simult. (Fs)</t>
        </is>
      </c>
      <c r="K5" s="11" t="inlineStr">
        <is>
          <t>Caudal Requerido (L/min)</t>
        </is>
      </c>
      <c r="L5" s="11" t="inlineStr">
        <is>
          <t>Caudal Requerido (m³/h)</t>
        </is>
      </c>
      <c r="M5" s="11" t="inlineStr">
        <is>
          <t>Tipo de Consumo / Aplicación</t>
        </is>
      </c>
    </row>
    <row r="6" ht="20" customHeight="1">
      <c r="B6" s="19" t="n">
        <v>1</v>
      </c>
      <c r="C6" s="18" t="inlineStr">
        <is>
          <t>Dosificadora Indurpack G1WGD-1000</t>
        </is>
      </c>
      <c r="D6" s="18" t="inlineStr">
        <is>
          <t>Línea B Panificados</t>
        </is>
      </c>
      <c r="E6" s="18" t="inlineStr">
        <is>
          <t>Dosificado Sector [10]</t>
        </is>
      </c>
      <c r="F6" s="43" t="n">
        <v>6</v>
      </c>
      <c r="G6" s="43" t="n">
        <v>140</v>
      </c>
      <c r="H6" s="28">
        <f>G6*0.06</f>
        <v/>
      </c>
      <c r="I6" s="42" t="n">
        <v>30</v>
      </c>
      <c r="J6" s="29" t="n">
        <v>0.85</v>
      </c>
      <c r="K6" s="43">
        <f>G6*J6</f>
        <v/>
      </c>
      <c r="L6" s="28">
        <f>K6*0.06</f>
        <v/>
      </c>
      <c r="M6" s="18" t="inlineStr">
        <is>
          <t>Calculos vf.xlsx Hoja 'BOM y balanceo' R14. Cilindros neumáticos.</t>
        </is>
      </c>
    </row>
    <row r="7" ht="20" customHeight="1">
      <c r="B7" s="14" t="n">
        <v>2</v>
      </c>
      <c r="C7" s="13" t="inlineStr">
        <is>
          <t>Envasadora Flowpack Zon Pack</t>
        </is>
      </c>
      <c r="D7" s="13" t="inlineStr">
        <is>
          <t>Línea A Galletitas</t>
        </is>
      </c>
      <c r="E7" s="13" t="inlineStr">
        <is>
          <t>Envasado 1 Sector [8]</t>
        </is>
      </c>
      <c r="F7" s="45" t="n">
        <v>6</v>
      </c>
      <c r="G7" s="45" t="n">
        <v>80</v>
      </c>
      <c r="H7" s="25">
        <f>G7*0.06</f>
        <v/>
      </c>
      <c r="I7" s="44" t="n">
        <v>45</v>
      </c>
      <c r="J7" s="26" t="n">
        <v>0.8</v>
      </c>
      <c r="K7" s="45">
        <f>G7*J7</f>
        <v/>
      </c>
      <c r="L7" s="25">
        <f>K7*0.06</f>
        <v/>
      </c>
      <c r="M7" s="13" t="inlineStr">
        <is>
          <t>Calculos vf.xlsx Hoja 'BOM y balanceo' R9. Mordazas neumáticas.</t>
        </is>
      </c>
    </row>
    <row r="8" ht="20" customHeight="1">
      <c r="B8" s="19" t="n">
        <v>3</v>
      </c>
      <c r="C8" s="18" t="inlineStr">
        <is>
          <t>Envasadora Flowpack Brunetti</t>
        </is>
      </c>
      <c r="D8" s="18" t="inlineStr">
        <is>
          <t>Línea B Panificados</t>
        </is>
      </c>
      <c r="E8" s="18" t="inlineStr">
        <is>
          <t>Envasado Sector [14]</t>
        </is>
      </c>
      <c r="F8" s="43" t="n">
        <v>6</v>
      </c>
      <c r="G8" s="43" t="n">
        <v>80</v>
      </c>
      <c r="H8" s="28">
        <f>G8*0.06</f>
        <v/>
      </c>
      <c r="I8" s="42" t="n">
        <v>40</v>
      </c>
      <c r="J8" s="29" t="n">
        <v>0.8</v>
      </c>
      <c r="K8" s="43">
        <f>G8*J8</f>
        <v/>
      </c>
      <c r="L8" s="28">
        <f>K8*0.06</f>
        <v/>
      </c>
      <c r="M8" s="18" t="inlineStr">
        <is>
          <t>Calculos vf.xlsx Hoja 'BOM y balanceo' R19. Sellado y corte.</t>
        </is>
      </c>
    </row>
    <row r="9" ht="20" customHeight="1">
      <c r="B9" s="14" t="n">
        <v>4</v>
      </c>
      <c r="C9" s="13" t="inlineStr">
        <is>
          <t>Limpieza por soplado y desmolde</t>
        </is>
      </c>
      <c r="D9" s="13" t="inlineStr">
        <is>
          <t>Línea A y B</t>
        </is>
      </c>
      <c r="E9" s="13" t="inlineStr">
        <is>
          <t>Moldeado y Desmolde</t>
        </is>
      </c>
      <c r="F9" s="45" t="n">
        <v>6</v>
      </c>
      <c r="G9" s="45" t="n">
        <v>60</v>
      </c>
      <c r="H9" s="25">
        <f>G9*0.06</f>
        <v/>
      </c>
      <c r="I9" s="44" t="n">
        <v>10</v>
      </c>
      <c r="J9" s="26" t="n">
        <v>0.5</v>
      </c>
      <c r="K9" s="45">
        <f>G9*J9</f>
        <v/>
      </c>
      <c r="L9" s="25">
        <f>K9*0.06</f>
        <v/>
      </c>
      <c r="M9" s="13" t="inlineStr">
        <is>
          <t>Pistolas de aire con filtro sanitario para desmolde y limpieza.</t>
        </is>
      </c>
    </row>
    <row r="10" ht="20" customHeight="1">
      <c r="B10" s="19" t="n">
        <v>5</v>
      </c>
      <c r="C10" s="18" t="inlineStr">
        <is>
          <t>Actuadores y válvulas neumáticas</t>
        </is>
      </c>
      <c r="D10" s="18" t="inlineStr">
        <is>
          <t>Servicios Generales</t>
        </is>
      </c>
      <c r="E10" s="18" t="inlineStr">
        <is>
          <t>Nave Producción</t>
        </is>
      </c>
      <c r="F10" s="43" t="n">
        <v>6</v>
      </c>
      <c r="G10" s="43" t="n">
        <v>30</v>
      </c>
      <c r="H10" s="28">
        <f>G10*0.06</f>
        <v/>
      </c>
      <c r="I10" s="42" t="n">
        <v>5</v>
      </c>
      <c r="J10" s="29" t="n">
        <v>0.6</v>
      </c>
      <c r="K10" s="43">
        <f>G10*J10</f>
        <v/>
      </c>
      <c r="L10" s="28">
        <f>K10*0.06</f>
        <v/>
      </c>
      <c r="M10" s="18" t="inlineStr">
        <is>
          <t>Válvulas de corte de proceso, dosificación de agua y vapor.</t>
        </is>
      </c>
    </row>
    <row r="11" ht="22" customHeight="1">
      <c r="B11" s="31" t="inlineStr">
        <is>
          <t>SUBTOTAL CONSUMO NEUMÁTICO BASE</t>
        </is>
      </c>
      <c r="C11" s="32" t="n"/>
      <c r="D11" s="32" t="n"/>
      <c r="E11" s="32" t="n"/>
      <c r="F11" s="32" t="n"/>
      <c r="G11" s="49">
        <f>SUM(G6:G10)</f>
        <v/>
      </c>
      <c r="H11" s="33">
        <f>SUM(H6:H10)</f>
        <v/>
      </c>
      <c r="I11" s="32" t="n"/>
      <c r="J11" s="32" t="n"/>
      <c r="K11" s="49">
        <f>SUM(K6:K10)</f>
        <v/>
      </c>
      <c r="L11" s="33">
        <f>SUM(L6:L10)</f>
        <v/>
      </c>
      <c r="M11" s="32" t="n"/>
    </row>
    <row r="12"/>
    <row r="13">
      <c r="B13" s="10" t="inlineStr">
        <is>
          <t>DIMENSIONAMIENTO DE LA CENTRAL COMPRESORA Y TRATAMIENTO DE AIRE</t>
        </is>
      </c>
    </row>
    <row r="14">
      <c r="B14" s="37" t="inlineStr">
        <is>
          <t>Consumo Simultáneo Base de Equipos:</t>
        </is>
      </c>
      <c r="C14" s="40">
        <f>K11</f>
        <v/>
      </c>
      <c r="D14" s="39" t="inlineStr">
        <is>
          <t>L/min</t>
        </is>
      </c>
    </row>
    <row r="15">
      <c r="B15" s="37" t="inlineStr">
        <is>
          <t>Factor por Fugas en Red y Acoples (15%):</t>
        </is>
      </c>
      <c r="C15" s="40">
        <f>C14*0.15</f>
        <v/>
      </c>
      <c r="D15" s="39" t="inlineStr">
        <is>
          <t>L/min</t>
        </is>
      </c>
    </row>
    <row r="16">
      <c r="B16" s="37" t="inlineStr">
        <is>
          <t>Margen de Seguridad y Ampliación Futura (20%):</t>
        </is>
      </c>
      <c r="C16" s="40">
        <f>(C14+C15)*0.20</f>
        <v/>
      </c>
      <c r="D16" s="39" t="inlineStr">
        <is>
          <t>L/min</t>
        </is>
      </c>
    </row>
    <row r="17">
      <c r="B17" s="37" t="inlineStr">
        <is>
          <t>Caudal Total Requerido de Central Compresora:</t>
        </is>
      </c>
      <c r="C17" s="40">
        <f>C14+C15+C16</f>
        <v/>
      </c>
      <c r="D17" s="39" t="inlineStr">
        <is>
          <t>L/min</t>
        </is>
      </c>
    </row>
    <row r="18">
      <c r="B18" s="37" t="inlineStr">
        <is>
          <t>Caudal Requerido en m³/h:</t>
        </is>
      </c>
      <c r="C18" s="38">
        <f>C17*0.06</f>
        <v/>
      </c>
      <c r="D18" s="39" t="inlineStr">
        <is>
          <t>m³/h</t>
        </is>
      </c>
    </row>
    <row r="19">
      <c r="B19" s="37" t="inlineStr">
        <is>
          <t>Presión de Trabajo Efectiva de Red:</t>
        </is>
      </c>
      <c r="C19" s="40" t="n">
        <v>8</v>
      </c>
      <c r="D19" s="39" t="inlineStr">
        <is>
          <t>bar (Manométrica)</t>
        </is>
      </c>
    </row>
    <row r="20">
      <c r="B20" s="37" t="inlineStr">
        <is>
          <t>Compresor Industrial Seleccionado:</t>
        </is>
      </c>
      <c r="C20" s="48" t="inlineStr">
        <is>
          <t>Compresor de tornillo rotativo Schulz SRP 4008 (5,5 HP / 4,0 kW)</t>
        </is>
      </c>
      <c r="D20" s="39" t="inlineStr">
        <is>
          <t>-</t>
        </is>
      </c>
    </row>
    <row r="21">
      <c r="B21" s="37" t="inlineStr">
        <is>
          <t>Caudal Libre Entregado (FAD) del Compresor:</t>
        </is>
      </c>
      <c r="C21" s="40" t="n">
        <v>580</v>
      </c>
      <c r="D21" s="39" t="inlineStr">
        <is>
          <t>L/min a 8 bar (opera al 69% de factor de carga)</t>
        </is>
      </c>
    </row>
    <row r="22">
      <c r="B22" s="37" t="inlineStr">
        <is>
          <t>Tanque Acumulador / Pulmón Requerido:</t>
        </is>
      </c>
      <c r="C22" s="40" t="n">
        <v>300</v>
      </c>
      <c r="D22" s="39" t="inlineStr">
        <is>
          <t>Litros (Vertical, con válvula de seguridad y purga)</t>
        </is>
      </c>
    </row>
    <row r="23">
      <c r="B23" s="37" t="inlineStr">
        <is>
          <t>Calidad de Aire Alimentario (Norma ISO 8573-1):</t>
        </is>
      </c>
      <c r="C23" s="48" t="inlineStr">
        <is>
          <t>Clase 1.4.1 (Filtro 0.01 µm + Secador frigorífico rocío +3°C)</t>
        </is>
      </c>
      <c r="D23" s="39" t="inlineStr">
        <is>
          <t>-</t>
        </is>
      </c>
    </row>
  </sheetData>
  <mergeCells count="4">
    <mergeCell ref="B3:M3"/>
    <mergeCell ref="B2:M2"/>
    <mergeCell ref="B11:F11"/>
    <mergeCell ref="B13:H1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1" workbookViewId="0">
      <selection activeCell="A1" sqref="A1"/>
    </sheetView>
  </sheetViews>
  <sheetFormatPr baseColWidth="8" defaultRowHeight="15"/>
  <cols>
    <col width="80" customWidth="1" min="2" max="2"/>
    <col width="67" customWidth="1" min="3" max="3"/>
    <col width="40" customWidth="1" min="4" max="4"/>
    <col width="26" customWidth="1" min="5" max="5"/>
    <col width="26" customWidth="1" min="6" max="6"/>
    <col width="79" customWidth="1" min="7" max="7"/>
    <col width="25" customWidth="1" min="8" max="8"/>
    <col width="10" customWidth="1" min="9" max="9"/>
  </cols>
  <sheetData>
    <row r="2" ht="25" customHeight="1">
      <c r="B2" s="1" t="inlineStr">
        <is>
          <t>PLANTA CELI S.A. - BALANCE HÍDRICO, AGUA DE PROCESO Y SANEAMIENTO</t>
        </is>
      </c>
    </row>
    <row r="3" ht="18" customHeight="1">
      <c r="B3" s="2" t="inlineStr">
        <is>
          <t>Consumo de Receta (BOM), Limpieza BPM Libre de Gluten, Dotación Sanitaria y Cisterna</t>
        </is>
      </c>
    </row>
    <row r="4">
      <c r="B4" s="10" t="inlineStr">
        <is>
          <t>1. CONSUMO DE AGUA DE PROCESO COMO MATERIA PRIMA (RECETA BOM)</t>
        </is>
      </c>
    </row>
    <row r="5" ht="24" customHeight="1">
      <c r="B5" s="11" t="inlineStr">
        <is>
          <t>Línea de Producto</t>
        </is>
      </c>
      <c r="C5" s="11" t="inlineStr">
        <is>
          <t>Producción Anual (kg)</t>
        </is>
      </c>
      <c r="D5" s="11" t="inlineStr">
        <is>
          <t>Agua en Receta (%)</t>
        </is>
      </c>
      <c r="E5" s="11" t="inlineStr">
        <is>
          <t>Agua Requerida (kg/año)</t>
        </is>
      </c>
      <c r="F5" s="11" t="inlineStr">
        <is>
          <t>Agua Requerida (m³/año)</t>
        </is>
      </c>
      <c r="G5" s="11" t="inlineStr">
        <is>
          <t>Fuente BOM</t>
        </is>
      </c>
    </row>
    <row r="6" ht="20" customHeight="1">
      <c r="B6" s="18" t="inlineStr">
        <is>
          <t>Pan de Molde Blanco Sin TACC</t>
        </is>
      </c>
      <c r="C6" s="30" t="n">
        <v>117855.9</v>
      </c>
      <c r="D6" s="29" t="n">
        <v>0.38</v>
      </c>
      <c r="E6" s="20">
        <f>C6*D6</f>
        <v/>
      </c>
      <c r="F6" s="28">
        <f>E6/1000</f>
        <v/>
      </c>
      <c r="G6" s="18" t="inlineStr">
        <is>
          <t>Calculos vf.xlsx Hoja 'Produccion' R50 (Año 10) y 'BOM' (38% agua receta)</t>
        </is>
      </c>
    </row>
    <row r="7" ht="20" customHeight="1">
      <c r="B7" s="13" t="inlineStr">
        <is>
          <t>Budines Tradicionales Sin TACC</t>
        </is>
      </c>
      <c r="C7" s="27" t="n">
        <v>141427.2</v>
      </c>
      <c r="D7" s="26" t="n">
        <v>0.11</v>
      </c>
      <c r="E7" s="15">
        <f>C7*D7</f>
        <v/>
      </c>
      <c r="F7" s="25">
        <f>E7/1000</f>
        <v/>
      </c>
      <c r="G7" s="13" t="inlineStr">
        <is>
          <t>Calculos vf.xlsx Hoja 'Produccion' R51 (Año 10) y 'BOM' (11% agua receta)</t>
        </is>
      </c>
    </row>
    <row r="8" ht="20" customHeight="1">
      <c r="B8" s="18" t="inlineStr">
        <is>
          <t>Budines Frutos Secos / Free Sin TACC</t>
        </is>
      </c>
      <c r="C8" s="30" t="n">
        <v>60611.6</v>
      </c>
      <c r="D8" s="29" t="n">
        <v>0.1</v>
      </c>
      <c r="E8" s="20">
        <f>C8*D8</f>
        <v/>
      </c>
      <c r="F8" s="28">
        <f>E8/1000</f>
        <v/>
      </c>
      <c r="G8" s="18" t="inlineStr">
        <is>
          <t>Calculos vf.xlsx Hoja 'Produccion' R52 (Año 10) y 'BOM' (10% agua receta)</t>
        </is>
      </c>
    </row>
    <row r="9" ht="20" customHeight="1">
      <c r="B9" s="13" t="inlineStr">
        <is>
          <t>Galletitas Dulces y Saladas Sin TACC</t>
        </is>
      </c>
      <c r="C9" s="27" t="n">
        <v>358619.2</v>
      </c>
      <c r="D9" s="26" t="n">
        <v>0.07000000000000001</v>
      </c>
      <c r="E9" s="15">
        <f>C9*D9</f>
        <v/>
      </c>
      <c r="F9" s="25">
        <f>E9/1000</f>
        <v/>
      </c>
      <c r="G9" s="13" t="inlineStr">
        <is>
          <t>Calculos vf.xlsx Hoja 'Produccion' R42:R49 (Año 10) y 'BOM' (7% agua receta)</t>
        </is>
      </c>
    </row>
    <row r="10" ht="22" customHeight="1">
      <c r="B10" s="32" t="inlineStr">
        <is>
          <t>SUBTOTAL AGUA DE PROCESO (RECETA)</t>
        </is>
      </c>
      <c r="C10" s="34">
        <f>SUM(C6:C9)</f>
        <v/>
      </c>
      <c r="D10" s="32" t="n"/>
      <c r="E10" s="50">
        <f>SUM(E6:E9)</f>
        <v/>
      </c>
      <c r="F10" s="33">
        <f>SUM(F6:F9)</f>
        <v/>
      </c>
      <c r="G10" s="51" t="inlineStr">
        <is>
          <t>Consumo directo en mezclado y amasado</t>
        </is>
      </c>
    </row>
    <row r="11"/>
    <row r="12">
      <c r="B12" s="10" t="inlineStr">
        <is>
          <t>2. BALANCE TOTAL DE AGUA DIARIO Y ANUAL DE PLANTA (PROCESO + BPM + SANITARIO)</t>
        </is>
      </c>
    </row>
    <row r="13" ht="24" customHeight="1">
      <c r="B13" s="11" t="inlineStr">
        <is>
          <t>Destino / Uso del Agua</t>
        </is>
      </c>
      <c r="C13" s="11" t="inlineStr">
        <is>
          <t>Criterio Técnico / Base de Cálculo</t>
        </is>
      </c>
      <c r="D13" s="11" t="inlineStr">
        <is>
          <t>Dotación Unitaria</t>
        </is>
      </c>
      <c r="E13" s="11" t="inlineStr">
        <is>
          <t>Unidades</t>
        </is>
      </c>
      <c r="F13" s="11" t="inlineStr">
        <is>
          <t>Consumo Diario (L/día)</t>
        </is>
      </c>
      <c r="G13" s="11" t="inlineStr">
        <is>
          <t>Consumo Diario (m³/día)</t>
        </is>
      </c>
      <c r="H13" s="11" t="inlineStr">
        <is>
          <t>Consumo Anual (m³/año)</t>
        </is>
      </c>
    </row>
    <row r="14" ht="20" customHeight="1">
      <c r="B14" s="17" t="inlineStr">
        <is>
          <t>Agua de Proceso en Recetas</t>
        </is>
      </c>
      <c r="C14" s="18" t="inlineStr">
        <is>
          <t>Promedio diario sobre 238 días de producción activa</t>
        </is>
      </c>
      <c r="D14" s="43">
        <f>F10*1000/238</f>
        <v/>
      </c>
      <c r="E14" s="19" t="inlineStr">
        <is>
          <t>L/día</t>
        </is>
      </c>
      <c r="F14" s="20">
        <f>D14</f>
        <v/>
      </c>
      <c r="G14" s="28">
        <f>F14/1000</f>
        <v/>
      </c>
      <c r="H14" s="20">
        <f>G14*238</f>
        <v/>
      </c>
    </row>
    <row r="15" ht="20" customHeight="1">
      <c r="B15" s="12" t="inlineStr">
        <is>
          <t>Limpieza y Sanitización BPM Sin TACC</t>
        </is>
      </c>
      <c r="C15" s="13" t="inlineStr">
        <is>
          <t>Lavado CIP de tolvas, líneas, carros, bandejas y pisos</t>
        </is>
      </c>
      <c r="D15" s="45" t="n">
        <v>1800</v>
      </c>
      <c r="E15" s="14" t="inlineStr">
        <is>
          <t>L/día</t>
        </is>
      </c>
      <c r="F15" s="15">
        <f>D15</f>
        <v/>
      </c>
      <c r="G15" s="25">
        <f>F15/1000</f>
        <v/>
      </c>
      <c r="H15" s="15">
        <f>G15*238</f>
        <v/>
      </c>
    </row>
    <row r="16" ht="20" customHeight="1">
      <c r="B16" s="17" t="inlineStr">
        <is>
          <t>Consumo Sanitario del Personal</t>
        </is>
      </c>
      <c r="C16" s="18" t="inlineStr">
        <is>
          <t>Dotación reglamentaria OSN / Dto. 351/79: 45 L/persona-día</t>
        </is>
      </c>
      <c r="D16" s="43" t="n">
        <v>45</v>
      </c>
      <c r="E16" s="19" t="inlineStr">
        <is>
          <t>55 personas</t>
        </is>
      </c>
      <c r="F16" s="20">
        <f>D16*55</f>
        <v/>
      </c>
      <c r="G16" s="28">
        <f>F16/1000</f>
        <v/>
      </c>
      <c r="H16" s="20">
        <f>G16*238</f>
        <v/>
      </c>
    </row>
    <row r="17" ht="20" customHeight="1">
      <c r="B17" s="12" t="inlineStr">
        <is>
          <t>Servicios Auxiliares y Mantenimiento</t>
        </is>
      </c>
      <c r="C17" s="13" t="inlineStr">
        <is>
          <t>Riego, purgas y limpieza externa</t>
        </is>
      </c>
      <c r="D17" s="45" t="n">
        <v>475</v>
      </c>
      <c r="E17" s="14" t="inlineStr">
        <is>
          <t>L/día</t>
        </is>
      </c>
      <c r="F17" s="15">
        <f>D17</f>
        <v/>
      </c>
      <c r="G17" s="25">
        <f>F17/1000</f>
        <v/>
      </c>
      <c r="H17" s="15">
        <f>G17*238</f>
        <v/>
      </c>
    </row>
    <row r="18" ht="24" customHeight="1">
      <c r="B18" s="21" t="inlineStr">
        <is>
          <t>TOTAL CONSUMO MEDIO DE AGUA PLANTA CELI S.A.</t>
        </is>
      </c>
      <c r="C18" s="22" t="n"/>
      <c r="D18" s="22" t="n"/>
      <c r="E18" s="22" t="n"/>
      <c r="F18" s="36">
        <f>SUM(F14:F17)</f>
        <v/>
      </c>
      <c r="G18" s="35">
        <f>SUM(G14:G17)</f>
        <v/>
      </c>
      <c r="H18" s="52">
        <f>SUM(H14:H17)</f>
        <v/>
      </c>
    </row>
    <row r="19"/>
    <row r="20">
      <c r="B20" s="10" t="inlineStr">
        <is>
          <t>DIMENSIONAMIENTO DE RESERVA HÍDRICA Y CISTERNA DE PLANTA</t>
        </is>
      </c>
    </row>
    <row r="21">
      <c r="B21" s="37" t="inlineStr">
        <is>
          <t>Consumo Diario Medio de Planta:</t>
        </is>
      </c>
      <c r="C21" s="38">
        <f>G18</f>
        <v/>
      </c>
      <c r="D21" s="39" t="inlineStr">
        <is>
          <t>m³/día</t>
        </is>
      </c>
    </row>
    <row r="22">
      <c r="B22" s="37" t="inlineStr">
        <is>
          <t>Días de Autonomía de Consumo Requeridos:</t>
        </is>
      </c>
      <c r="C22" s="40" t="n">
        <v>2</v>
      </c>
      <c r="D22" s="39" t="inlineStr">
        <is>
          <t>Días de producción continua</t>
        </is>
      </c>
    </row>
    <row r="23">
      <c r="B23" s="37" t="inlineStr">
        <is>
          <t>Reserva Técnica de Proceso y Sanitaria:</t>
        </is>
      </c>
      <c r="C23" s="40">
        <f>C21*C22</f>
        <v/>
      </c>
      <c r="D23" s="39" t="inlineStr">
        <is>
          <t>m³ (10.000 Litros)</t>
        </is>
      </c>
    </row>
    <row r="24">
      <c r="B24" s="37" t="inlineStr">
        <is>
          <t>Reserva Técnica Contra Incendio Reglamentaria (Dec. 351/79):</t>
        </is>
      </c>
      <c r="C24" s="40" t="n">
        <v>30</v>
      </c>
      <c r="D24" s="39" t="inlineStr">
        <is>
          <t>m³ (2 hidrantes x 250 L/min x 60 min)</t>
        </is>
      </c>
    </row>
    <row r="25">
      <c r="B25" s="37" t="inlineStr">
        <is>
          <t>Capacidad Total Recomendada de Cisterna Unificada:</t>
        </is>
      </c>
      <c r="C25" s="40">
        <f>C23+C24</f>
        <v/>
      </c>
      <c r="D25" s="39" t="inlineStr">
        <is>
          <t>m³ (40.000 Litros)</t>
        </is>
      </c>
    </row>
    <row r="26">
      <c r="B26" s="37" t="inlineStr">
        <is>
          <t>Sistema de Bombeo Presurizado:</t>
        </is>
      </c>
      <c r="C26" s="48" t="inlineStr">
        <is>
          <t>2 electrobombas centrífugas 2 HP (1 activa + 1 reserva)</t>
        </is>
      </c>
      <c r="D26" s="39" t="inlineStr">
        <is>
          <t>-</t>
        </is>
      </c>
    </row>
    <row r="27">
      <c r="B27" s="37" t="inlineStr">
        <is>
          <t>Tratamiento de Agua de Red Requerido:</t>
        </is>
      </c>
      <c r="C27" s="48" t="inlineStr">
        <is>
          <t>Filtro de sedimentos 5 µm + Carbón activado + Cloración en línea</t>
        </is>
      </c>
      <c r="D27" s="39" t="inlineStr">
        <is>
          <t>-</t>
        </is>
      </c>
    </row>
  </sheetData>
  <mergeCells count="6">
    <mergeCell ref="B18:E18"/>
    <mergeCell ref="B3:J3"/>
    <mergeCell ref="B4:G4"/>
    <mergeCell ref="B12:G12"/>
    <mergeCell ref="B20:H20"/>
    <mergeCell ref="B2:J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1" workbookViewId="0">
      <selection activeCell="A1" sqref="A1"/>
    </sheetView>
  </sheetViews>
  <sheetFormatPr baseColWidth="8" defaultRowHeight="15"/>
  <cols>
    <col width="153" customWidth="1" min="2" max="2"/>
    <col width="36" customWidth="1" min="3" max="3"/>
    <col width="70" customWidth="1" min="4" max="4"/>
    <col width="23" customWidth="1" min="5" max="5"/>
    <col width="20" customWidth="1" min="6" max="6"/>
    <col width="18" customWidth="1" min="7" max="7"/>
    <col width="63" customWidth="1" min="8" max="8"/>
    <col width="47" customWidth="1" min="9" max="9"/>
  </cols>
  <sheetData>
    <row r="2" ht="25" customHeight="1">
      <c r="B2" s="1" t="inlineStr">
        <is>
          <t>PLANTA CELI S.A. - CUADROS TARIFARIOS Y COSTOS DE SERVICIOS INDUSTRIALES</t>
        </is>
      </c>
    </row>
    <row r="3" ht="18" customHeight="1">
      <c r="B3" s="2" t="inlineStr">
        <is>
          <t>Tarifas Vigentes en Parque Industrial Pilar (EDENOR T3 MT y Naturgy BAN SGP3) | Enlaces Oficiales ENRE y ENARGAS</t>
        </is>
      </c>
    </row>
    <row r="4"/>
    <row r="5">
      <c r="B5" s="10" t="inlineStr">
        <is>
          <t>1. ENERGÍA ELÉCTRICA - EDENOR S.A. (TARIFA T3 GRAN DEMANDA - MEDIA TENSIÓN)</t>
        </is>
      </c>
    </row>
    <row r="6">
      <c r="B6" s="53" t="inlineStr">
        <is>
          <t>Marco Regulatorio: ENRE (Resoluciones Cuadros Tarifarios Edenor) | Enlace Oficial: https://www.argentina.gob.ar/enre/tarifas/cuadros-tarifarios-edenor</t>
        </is>
      </c>
    </row>
    <row r="7" ht="24" customHeight="1">
      <c r="B7" s="11" t="inlineStr">
        <is>
          <t>Concepto de Facturación</t>
        </is>
      </c>
      <c r="C7" s="11" t="inlineStr">
        <is>
          <t>Unidad</t>
        </is>
      </c>
      <c r="D7" s="11" t="inlineStr">
        <is>
          <t>Tarifa Unitaria ($)</t>
        </is>
      </c>
      <c r="E7" s="11" t="inlineStr">
        <is>
          <t>Consumo Base Mensual</t>
        </is>
      </c>
      <c r="F7" s="11" t="inlineStr">
        <is>
          <t>Costo Mensual ($)</t>
        </is>
      </c>
      <c r="G7" s="11" t="inlineStr">
        <is>
          <t>Costo Anual ($)</t>
        </is>
      </c>
      <c r="H7" s="11" t="inlineStr">
        <is>
          <t>Observaciones y Fuente</t>
        </is>
      </c>
    </row>
    <row r="8" ht="20" customHeight="1">
      <c r="B8" s="18" t="inlineStr">
        <is>
          <t>Cargo Fijo Mensual</t>
        </is>
      </c>
      <c r="C8" s="19" t="inlineStr">
        <is>
          <t>$/mes</t>
        </is>
      </c>
      <c r="D8" s="54" t="n">
        <v>91428.31</v>
      </c>
      <c r="E8" s="20" t="n">
        <v>1</v>
      </c>
      <c r="F8" s="54">
        <f>D8*E8</f>
        <v/>
      </c>
      <c r="G8" s="54">
        <f>F8*12</f>
        <v/>
      </c>
      <c r="H8" s="17" t="inlineStr">
        <is>
          <t>Cargo fijo comercial reglamentario ENRE T3 MT</t>
        </is>
      </c>
    </row>
    <row r="9" ht="20" customHeight="1">
      <c r="B9" s="13" t="inlineStr">
        <is>
          <t>Cargo por Potencia Contratada</t>
        </is>
      </c>
      <c r="C9" s="14" t="inlineStr">
        <is>
          <t>$/kW-mes</t>
        </is>
      </c>
      <c r="D9" s="16" t="n">
        <v>4557.97</v>
      </c>
      <c r="E9" s="15">
        <f>'1. Potencia Eléctrica'!O35</f>
        <v/>
      </c>
      <c r="F9" s="16">
        <f>D9*E9</f>
        <v/>
      </c>
      <c r="G9" s="16">
        <f>F9*12</f>
        <v/>
      </c>
      <c r="H9" s="12" t="inlineStr">
        <is>
          <t>Facturación sobre Potencia Demandada Máxima (65,4 kW)</t>
        </is>
      </c>
    </row>
    <row r="10" ht="20" customHeight="1">
      <c r="B10" s="18" t="inlineStr">
        <is>
          <t>Cargo por Potencia Adquirida</t>
        </is>
      </c>
      <c r="C10" s="19" t="inlineStr">
        <is>
          <t>$/kW-mes</t>
        </is>
      </c>
      <c r="D10" s="54" t="n">
        <v>3053.31</v>
      </c>
      <c r="E10" s="20">
        <f>'1. Potencia Eléctrica'!O35</f>
        <v/>
      </c>
      <c r="F10" s="54">
        <f>D10*E10</f>
        <v/>
      </c>
      <c r="G10" s="54">
        <f>F10*12</f>
        <v/>
      </c>
      <c r="H10" s="17" t="inlineStr">
        <is>
          <t>Cargo por capacidad de transporte y compra en MEM</t>
        </is>
      </c>
    </row>
    <row r="11" ht="20" customHeight="1">
      <c r="B11" s="13" t="inlineStr">
        <is>
          <t>Energía Activa - Horas Pico (18:00 a 23:00)</t>
        </is>
      </c>
      <c r="C11" s="14" t="inlineStr">
        <is>
          <t>$/kWh</t>
        </is>
      </c>
      <c r="D11" s="16" t="n">
        <v>70.02</v>
      </c>
      <c r="E11" s="15">
        <f>('1. Potencia Eléctrica'!Q35/12)*0.35</f>
        <v/>
      </c>
      <c r="F11" s="16">
        <f>D11*E11</f>
        <v/>
      </c>
      <c r="G11" s="16">
        <f>F11*12</f>
        <v/>
      </c>
      <c r="H11" s="12" t="inlineStr">
        <is>
          <t>35% del consumo en banda pico (alta exigencia del sistema)</t>
        </is>
      </c>
    </row>
    <row r="12" ht="20" customHeight="1">
      <c r="B12" s="18" t="inlineStr">
        <is>
          <t>Energía Activa - Horas Resto (05:00 a 18:00)</t>
        </is>
      </c>
      <c r="C12" s="19" t="inlineStr">
        <is>
          <t>$/kWh</t>
        </is>
      </c>
      <c r="D12" s="54" t="n">
        <v>67.68000000000001</v>
      </c>
      <c r="E12" s="20">
        <f>('1. Potencia Eléctrica'!Q35/12)*0.45</f>
        <v/>
      </c>
      <c r="F12" s="54">
        <f>D12*E12</f>
        <v/>
      </c>
      <c r="G12" s="54">
        <f>F12*12</f>
        <v/>
      </c>
      <c r="H12" s="17" t="inlineStr">
        <is>
          <t>45% del consumo en banda resto (jornada diurna continua)</t>
        </is>
      </c>
    </row>
    <row r="13" ht="20" customHeight="1">
      <c r="B13" s="13" t="inlineStr">
        <is>
          <t>Energía Activa - Horas Valle (23:00 a 05:00)</t>
        </is>
      </c>
      <c r="C13" s="14" t="inlineStr">
        <is>
          <t>$/kWh</t>
        </is>
      </c>
      <c r="D13" s="16" t="n">
        <v>66.34</v>
      </c>
      <c r="E13" s="15">
        <f>('1. Potencia Eléctrica'!Q35/12)*0.20</f>
        <v/>
      </c>
      <c r="F13" s="16">
        <f>D13*E13</f>
        <v/>
      </c>
      <c r="G13" s="16">
        <f>F13*12</f>
        <v/>
      </c>
      <c r="H13" s="12" t="inlineStr">
        <is>
          <t>20% del consumo en banda valle nocturna (tarifa reducida)</t>
        </is>
      </c>
    </row>
    <row r="14" ht="22" customHeight="1">
      <c r="B14" s="31" t="inlineStr">
        <is>
          <t>SUBTOTAL SERVICIO ELÉCTRICO EDENOR S.A.</t>
        </is>
      </c>
      <c r="C14" s="32" t="n"/>
      <c r="D14" s="32" t="n"/>
      <c r="E14" s="32" t="n"/>
      <c r="F14" s="55">
        <f>SUM(F8:F13)</f>
        <v/>
      </c>
      <c r="G14" s="55">
        <f>SUM(G8:G13)</f>
        <v/>
      </c>
      <c r="H14" s="51" t="inlineStr">
        <is>
          <t>Factura eléctrica mensual media estimada (sin impuestos)</t>
        </is>
      </c>
    </row>
    <row r="15"/>
    <row r="16">
      <c r="B16" s="10" t="inlineStr">
        <is>
          <t>2. GAS NATURAL DE RED - NATURGY BAN S.A. (TARIFA SGP3 INDUSTRIAL)</t>
        </is>
      </c>
    </row>
    <row r="17">
      <c r="B17" s="53" t="inlineStr">
        <is>
          <t>Marco Regulatorio: ENARGAS (Cuadros Tarifarios Distribución) | Enlace Oficial: https://www.enargas.gob.ar/secciones/tarifas/cuadros-tarifarios.php</t>
        </is>
      </c>
    </row>
    <row r="18" ht="24" customHeight="1">
      <c r="B18" s="11" t="inlineStr">
        <is>
          <t>Concepto de Facturación</t>
        </is>
      </c>
      <c r="C18" s="11" t="inlineStr">
        <is>
          <t>Unidad</t>
        </is>
      </c>
      <c r="D18" s="11" t="inlineStr">
        <is>
          <t>Tarifa Unitaria ($)</t>
        </is>
      </c>
      <c r="E18" s="11" t="inlineStr">
        <is>
          <t>Consumo Base Mensual</t>
        </is>
      </c>
      <c r="F18" s="11" t="inlineStr">
        <is>
          <t>Costo Mensual ($)</t>
        </is>
      </c>
      <c r="G18" s="11" t="inlineStr">
        <is>
          <t>Costo Anual ($)</t>
        </is>
      </c>
      <c r="H18" s="11" t="inlineStr">
        <is>
          <t>Observaciones y Fuente</t>
        </is>
      </c>
    </row>
    <row r="19" ht="20" customHeight="1">
      <c r="B19" s="13" t="inlineStr">
        <is>
          <t>Cargo Fijo Mensual Comercial</t>
        </is>
      </c>
      <c r="C19" s="14" t="inlineStr">
        <is>
          <t>$/mes</t>
        </is>
      </c>
      <c r="D19" s="16" t="n">
        <v>45850</v>
      </c>
      <c r="E19" s="15" t="n">
        <v>1</v>
      </c>
      <c r="F19" s="16">
        <f>D19*E19</f>
        <v/>
      </c>
      <c r="G19" s="16">
        <f>F19*12</f>
        <v/>
      </c>
      <c r="H19" s="12" t="inlineStr">
        <is>
          <t>Cargo fijo reglamentario ENARGAS para usuarios SGP3</t>
        </is>
      </c>
    </row>
    <row r="20" ht="20" customHeight="1">
      <c r="B20" s="18" t="inlineStr">
        <is>
          <t>Cargo por m³ Consumido</t>
        </is>
      </c>
      <c r="C20" s="19" t="inlineStr">
        <is>
          <t>$/m³</t>
        </is>
      </c>
      <c r="D20" s="54" t="n">
        <v>215</v>
      </c>
      <c r="E20" s="20">
        <f>'3. Instalación de Gas'!O9/12</f>
        <v/>
      </c>
      <c r="F20" s="54">
        <f>D20*E20</f>
        <v/>
      </c>
      <c r="G20" s="54">
        <f>F20*12</f>
        <v/>
      </c>
      <c r="H20" s="17" t="inlineStr">
        <is>
          <t>Caudal mensual medio de hornos (7.515 m³/mes)</t>
        </is>
      </c>
    </row>
    <row r="21" ht="22" customHeight="1">
      <c r="B21" s="31" t="inlineStr">
        <is>
          <t>SUBTOTAL SERVICIO GAS NATURGY BAN</t>
        </is>
      </c>
      <c r="C21" s="32" t="n"/>
      <c r="D21" s="32" t="n"/>
      <c r="E21" s="32" t="n"/>
      <c r="F21" s="55">
        <f>SUM(F19:F20)</f>
        <v/>
      </c>
      <c r="G21" s="55">
        <f>SUM(G19:G20)</f>
        <v/>
      </c>
      <c r="H21" s="51" t="inlineStr">
        <is>
          <t>Factura mensual media de gas natural estimada</t>
        </is>
      </c>
    </row>
    <row r="22"/>
    <row r="23">
      <c r="B23" s="10" t="inlineStr">
        <is>
          <t>3. PROVISIÓN DE AGUA Y SERVICIOS SANITARIOS - PARQUE INDUSTRIAL PILAR</t>
        </is>
      </c>
    </row>
    <row r="24">
      <c r="B24" s="53" t="inlineStr">
        <is>
          <t>Proveedor: Consorcio Parque Industrial Pilar | Web Oficial: http://www.parqueindustrialpilar.org/</t>
        </is>
      </c>
    </row>
    <row r="25" ht="24" customHeight="1">
      <c r="B25" s="11" t="inlineStr">
        <is>
          <t>Concepto de Facturación</t>
        </is>
      </c>
      <c r="C25" s="11" t="inlineStr">
        <is>
          <t>Unidad</t>
        </is>
      </c>
      <c r="D25" s="11" t="inlineStr">
        <is>
          <t>Tarifa Unitaria ($)</t>
        </is>
      </c>
      <c r="E25" s="11" t="inlineStr">
        <is>
          <t>Consumo Base Mensual</t>
        </is>
      </c>
      <c r="F25" s="11" t="inlineStr">
        <is>
          <t>Costo Mensual ($)</t>
        </is>
      </c>
      <c r="G25" s="11" t="inlineStr">
        <is>
          <t>Costo Anual ($)</t>
        </is>
      </c>
      <c r="H25" s="11" t="inlineStr">
        <is>
          <t>Observaciones y Fuente</t>
        </is>
      </c>
    </row>
    <row r="26" ht="20" customHeight="1">
      <c r="B26" s="18" t="inlineStr">
        <is>
          <t>Abono Red de Agua Industrial y Control Hídrico</t>
        </is>
      </c>
      <c r="C26" s="19" t="inlineStr">
        <is>
          <t>$/mes</t>
        </is>
      </c>
      <c r="D26" s="54" t="n">
        <v>450000</v>
      </c>
      <c r="E26" s="20" t="n">
        <v>1</v>
      </c>
      <c r="F26" s="54">
        <f>D26*E26</f>
        <v/>
      </c>
      <c r="G26" s="54">
        <f>F26*12</f>
        <v/>
      </c>
      <c r="H26" s="17" t="inlineStr">
        <is>
          <t>Canon mensual red PIP, cloración y controles bacteriológicos</t>
        </is>
      </c>
    </row>
    <row r="27" ht="22" customHeight="1">
      <c r="B27" s="31" t="inlineStr">
        <is>
          <t>SUBTOTAL PROVISIÓN DE AGUA Y SANEAMIENTO</t>
        </is>
      </c>
      <c r="C27" s="32" t="n"/>
      <c r="D27" s="32" t="n"/>
      <c r="E27" s="32" t="n"/>
      <c r="F27" s="55">
        <f>F26</f>
        <v/>
      </c>
      <c r="G27" s="55">
        <f>G26</f>
        <v/>
      </c>
      <c r="H27" s="51" t="inlineStr">
        <is>
          <t>Costo mensual de provisión hídrica y control sanitario</t>
        </is>
      </c>
    </row>
    <row r="28"/>
    <row r="29">
      <c r="B29" s="10" t="inlineStr">
        <is>
          <t>4. RESUMEN CONSOLIDADO DE COSTOS DE SERVICIOS E INSTALACIONES</t>
        </is>
      </c>
    </row>
    <row r="30" ht="24" customHeight="1">
      <c r="B30" s="11" t="inlineStr">
        <is>
          <t>Servicio / Suministro</t>
        </is>
      </c>
      <c r="C30" s="11" t="inlineStr">
        <is>
          <t>Proveedor / Ente Regulador</t>
        </is>
      </c>
      <c r="D30" s="11" t="inlineStr">
        <is>
          <t>Enlace Oficial Web</t>
        </is>
      </c>
      <c r="E30" s="11" t="inlineStr">
        <is>
          <t>Costo Mensual ($)</t>
        </is>
      </c>
      <c r="F30" s="11" t="inlineStr">
        <is>
          <t>% Costo Mensual</t>
        </is>
      </c>
      <c r="G30" s="11" t="inlineStr">
        <is>
          <t>Costo Anual ($)</t>
        </is>
      </c>
      <c r="H30" s="11" t="inlineStr">
        <is>
          <t>% Costo Anual</t>
        </is>
      </c>
      <c r="I30" s="11" t="inlineStr">
        <is>
          <t>Impacto Operativo</t>
        </is>
      </c>
    </row>
    <row r="31" ht="20" customHeight="1">
      <c r="B31" s="56" t="inlineStr">
        <is>
          <t>Energía Eléctrica (Fuerza Motriz + Iluminación + Auxiliares)</t>
        </is>
      </c>
      <c r="C31" s="57" t="inlineStr">
        <is>
          <t>EDENOR S.A. / ENRE</t>
        </is>
      </c>
      <c r="D31" s="58" t="inlineStr">
        <is>
          <t>https://www.argentina.gob.ar/enre/tarifas/cuadros-tarifarios-edenor</t>
        </is>
      </c>
      <c r="E31" s="59">
        <f>F14</f>
        <v/>
      </c>
      <c r="F31" s="60">
        <f>E31/$E$34</f>
        <v/>
      </c>
      <c r="G31" s="59">
        <f>G14</f>
        <v/>
      </c>
      <c r="H31" s="60">
        <f>G31/$G$34</f>
        <v/>
      </c>
      <c r="I31" s="61" t="inlineStr">
        <is>
          <t>Costo Operativo Directo/Indirecto</t>
        </is>
      </c>
    </row>
    <row r="32" ht="20" customHeight="1">
      <c r="B32" s="62" t="inlineStr">
        <is>
          <t>Gas Natural de Red (Hornos Túnel y Rotativos)</t>
        </is>
      </c>
      <c r="C32" s="63" t="inlineStr">
        <is>
          <t>Naturgy BAN S.A. / ENARGAS</t>
        </is>
      </c>
      <c r="D32" s="64" t="inlineStr">
        <is>
          <t>https://www.enargas.gob.ar/secciones/tarifas/cuadros-tarifarios.php</t>
        </is>
      </c>
      <c r="E32" s="65">
        <f>F21</f>
        <v/>
      </c>
      <c r="F32" s="66">
        <f>E32/$E$34</f>
        <v/>
      </c>
      <c r="G32" s="65">
        <f>G21</f>
        <v/>
      </c>
      <c r="H32" s="66">
        <f>G32/$G$34</f>
        <v/>
      </c>
      <c r="I32" s="67" t="inlineStr">
        <is>
          <t>Costo Operativo de Horneado</t>
        </is>
      </c>
    </row>
    <row r="33" ht="20" customHeight="1">
      <c r="B33" s="56" t="inlineStr">
        <is>
          <t>Provisión de Agua y Mantenimiento Hídrico</t>
        </is>
      </c>
      <c r="C33" s="57" t="inlineStr">
        <is>
          <t>Consorcio Parque Industrial Pilar</t>
        </is>
      </c>
      <c r="D33" s="58" t="inlineStr">
        <is>
          <t>http://www.parqueindustrialpilar.org/</t>
        </is>
      </c>
      <c r="E33" s="59">
        <f>F27</f>
        <v/>
      </c>
      <c r="F33" s="60">
        <f>E33/$E$34</f>
        <v/>
      </c>
      <c r="G33" s="59">
        <f>G27</f>
        <v/>
      </c>
      <c r="H33" s="60">
        <f>G33/$G$34</f>
        <v/>
      </c>
      <c r="I33" s="61" t="inlineStr">
        <is>
          <t>Costo Operativo Sanitario/BPM</t>
        </is>
      </c>
    </row>
    <row r="34" ht="24" customHeight="1">
      <c r="B34" s="21" t="inlineStr">
        <is>
          <t>TOTAL PRESUPUESTO ANUAL DE SERVICIOS E INSTALACIONES</t>
        </is>
      </c>
      <c r="C34" s="22" t="n"/>
      <c r="D34" s="22" t="n"/>
      <c r="E34" s="23">
        <f>SUM(E31:E33)</f>
        <v/>
      </c>
      <c r="F34" s="68">
        <f>SUM(F31:F33)</f>
        <v/>
      </c>
      <c r="G34" s="23">
        <f>SUM(G31:G33)</f>
        <v/>
      </c>
      <c r="H34" s="68">
        <f>SUM(H31:H33)</f>
        <v/>
      </c>
      <c r="I34" s="69" t="inlineStr">
        <is>
          <t>Costo consolidado para Hoja 'Costos' y Flujo</t>
        </is>
      </c>
    </row>
  </sheetData>
  <mergeCells count="13">
    <mergeCell ref="B27:E27"/>
    <mergeCell ref="B3:J3"/>
    <mergeCell ref="B17:H17"/>
    <mergeCell ref="B29:I29"/>
    <mergeCell ref="B34:D34"/>
    <mergeCell ref="B21:E21"/>
    <mergeCell ref="B6:H6"/>
    <mergeCell ref="B24:H24"/>
    <mergeCell ref="B16:H16"/>
    <mergeCell ref="B2:J2"/>
    <mergeCell ref="B5:H5"/>
    <mergeCell ref="B14:E14"/>
    <mergeCell ref="B23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2026-09-18T01:42:54Z</dcterms:created>
  <dcterms:modified xmlns:dcterms="http://purl.org/dc/terms/" xmlns:xsi="http://www.w3.org/2001/XMLSchema-instance" xsi:type="dcterms:W3CDTF">2026-09-18T01:42:54Z</dcterms:modified>
</cp:coreProperties>
</file>