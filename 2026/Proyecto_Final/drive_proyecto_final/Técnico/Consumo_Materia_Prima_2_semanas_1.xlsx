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v\Downloads\"/>
    </mc:Choice>
  </mc:AlternateContent>
  <xr:revisionPtr revIDLastSave="0" documentId="13_ncr:1_{DD3EE4CB-EE0E-4747-90CD-CD025F272A76}" xr6:coauthVersionLast="47" xr6:coauthVersionMax="47" xr10:uidLastSave="{00000000-0000-0000-0000-000000000000}"/>
  <bookViews>
    <workbookView xWindow="-120" yWindow="-120" windowWidth="20730" windowHeight="11160" tabRatio="500" firstSheet="1" activeTab="1" xr2:uid="{00000000-000D-0000-FFFF-FFFF00000000}"/>
  </bookViews>
  <sheets>
    <sheet name="Programacion" sheetId="1" r:id="rId1"/>
    <sheet name="Formulas" sheetId="2" r:id="rId2"/>
    <sheet name="Detalle_Consumo" sheetId="3" r:id="rId3"/>
    <sheet name="Resumen_Semana1" sheetId="4" r:id="rId4"/>
    <sheet name="Resumen_Semana2" sheetId="5" r:id="rId5"/>
    <sheet name="Programacion_PanesBudines" sheetId="6" r:id="rId6"/>
    <sheet name="Detalle_Consumo_PanesBudines" sheetId="7" r:id="rId7"/>
    <sheet name="Resumen_PanesBudines" sheetId="8" r:id="rId8"/>
    <sheet name="Resumen_2Semana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9" l="1"/>
  <c r="E8" i="9"/>
  <c r="C10" i="9"/>
  <c r="D10" i="9"/>
  <c r="E10" i="9"/>
  <c r="D11" i="9"/>
  <c r="E11" i="9"/>
  <c r="C12" i="9"/>
  <c r="D13" i="9"/>
  <c r="E13" i="9"/>
  <c r="B14" i="9"/>
  <c r="B15" i="9"/>
  <c r="C15" i="9"/>
  <c r="C17" i="9"/>
  <c r="D17" i="9"/>
  <c r="E17" i="9"/>
  <c r="C18" i="9"/>
  <c r="D19" i="9"/>
  <c r="E19" i="9"/>
  <c r="B21" i="9"/>
  <c r="C23" i="9"/>
  <c r="D23" i="9"/>
  <c r="E23" i="9"/>
  <c r="C24" i="9"/>
  <c r="D26" i="9"/>
  <c r="E26" i="9"/>
  <c r="B27" i="9"/>
  <c r="D27" i="9"/>
  <c r="E27" i="9"/>
  <c r="B28" i="9"/>
  <c r="D28" i="9"/>
  <c r="E28" i="9"/>
  <c r="D29" i="9"/>
  <c r="E29" i="9"/>
  <c r="C30" i="9"/>
  <c r="B31" i="9"/>
  <c r="C32" i="9"/>
  <c r="D32" i="9"/>
  <c r="E32" i="9"/>
  <c r="C33" i="9"/>
  <c r="D33" i="9"/>
  <c r="E33" i="9"/>
  <c r="B34" i="9"/>
  <c r="D34" i="9"/>
  <c r="E34" i="9"/>
  <c r="C35" i="9"/>
  <c r="D35" i="9"/>
  <c r="E35" i="9"/>
  <c r="C36" i="9"/>
  <c r="D36" i="9"/>
  <c r="E36" i="9"/>
  <c r="B37" i="9"/>
  <c r="C37" i="9"/>
  <c r="D38" i="9"/>
  <c r="E38" i="9"/>
  <c r="D39" i="9"/>
  <c r="E39" i="9"/>
  <c r="B40" i="9"/>
  <c r="C40" i="9"/>
  <c r="B41" i="9"/>
  <c r="D43" i="9"/>
  <c r="E43" i="9"/>
  <c r="C44" i="9"/>
  <c r="D44" i="9"/>
  <c r="E44" i="9"/>
  <c r="D45" i="9"/>
  <c r="E45" i="9"/>
  <c r="C46" i="9"/>
  <c r="D46" i="9"/>
  <c r="E46" i="9"/>
  <c r="C47" i="9"/>
  <c r="D47" i="9"/>
  <c r="E47" i="9"/>
  <c r="B48" i="9"/>
  <c r="D48" i="9"/>
  <c r="E48" i="9"/>
  <c r="B49" i="9"/>
  <c r="C49" i="9"/>
  <c r="C50" i="9"/>
  <c r="D50" i="9"/>
  <c r="E50" i="9"/>
  <c r="E118" i="7"/>
  <c r="D118" i="7"/>
  <c r="C118" i="7"/>
  <c r="B118" i="7"/>
  <c r="A118" i="7"/>
  <c r="E117" i="7"/>
  <c r="D117" i="7"/>
  <c r="C117" i="7"/>
  <c r="B117" i="7"/>
  <c r="A117" i="7"/>
  <c r="E116" i="7"/>
  <c r="D116" i="7"/>
  <c r="C116" i="7"/>
  <c r="B116" i="7"/>
  <c r="A116" i="7"/>
  <c r="E115" i="7"/>
  <c r="D115" i="7"/>
  <c r="C115" i="7"/>
  <c r="B115" i="7"/>
  <c r="A115" i="7"/>
  <c r="E114" i="7"/>
  <c r="D114" i="7"/>
  <c r="C114" i="7"/>
  <c r="B114" i="7"/>
  <c r="A114" i="7"/>
  <c r="E113" i="7"/>
  <c r="D113" i="7"/>
  <c r="C113" i="7"/>
  <c r="B113" i="7"/>
  <c r="A113" i="7"/>
  <c r="E112" i="7"/>
  <c r="D112" i="7"/>
  <c r="C112" i="7"/>
  <c r="B112" i="7"/>
  <c r="A112" i="7"/>
  <c r="E111" i="7"/>
  <c r="D111" i="7"/>
  <c r="C111" i="7"/>
  <c r="B111" i="7"/>
  <c r="A111" i="7"/>
  <c r="E110" i="7"/>
  <c r="D110" i="7"/>
  <c r="C110" i="7"/>
  <c r="B110" i="7"/>
  <c r="A110" i="7"/>
  <c r="E109" i="7"/>
  <c r="D109" i="7"/>
  <c r="C109" i="7"/>
  <c r="B109" i="7"/>
  <c r="A109" i="7"/>
  <c r="E108" i="7"/>
  <c r="D108" i="7"/>
  <c r="C108" i="7"/>
  <c r="B108" i="7"/>
  <c r="A108" i="7"/>
  <c r="E107" i="7"/>
  <c r="D107" i="7"/>
  <c r="C107" i="7"/>
  <c r="B107" i="7"/>
  <c r="A107" i="7"/>
  <c r="E106" i="7"/>
  <c r="D106" i="7"/>
  <c r="C106" i="7"/>
  <c r="B106" i="7"/>
  <c r="A106" i="7"/>
  <c r="E105" i="7"/>
  <c r="D105" i="7"/>
  <c r="C105" i="7"/>
  <c r="B105" i="7"/>
  <c r="A105" i="7"/>
  <c r="E104" i="7"/>
  <c r="D104" i="7"/>
  <c r="C104" i="7"/>
  <c r="B104" i="7"/>
  <c r="A104" i="7"/>
  <c r="E103" i="7"/>
  <c r="D103" i="7"/>
  <c r="C103" i="7"/>
  <c r="B103" i="7"/>
  <c r="A103" i="7"/>
  <c r="E102" i="7"/>
  <c r="D102" i="7"/>
  <c r="C102" i="7"/>
  <c r="B102" i="7"/>
  <c r="A102" i="7"/>
  <c r="E101" i="7"/>
  <c r="D101" i="7"/>
  <c r="C101" i="7"/>
  <c r="B101" i="7"/>
  <c r="A101" i="7"/>
  <c r="E100" i="7"/>
  <c r="D100" i="7"/>
  <c r="C100" i="7"/>
  <c r="B100" i="7"/>
  <c r="A100" i="7"/>
  <c r="E99" i="7"/>
  <c r="D99" i="7"/>
  <c r="C99" i="7"/>
  <c r="B99" i="7"/>
  <c r="A99" i="7"/>
  <c r="E98" i="7"/>
  <c r="D98" i="7"/>
  <c r="C98" i="7"/>
  <c r="B98" i="7"/>
  <c r="A98" i="7"/>
  <c r="E97" i="7"/>
  <c r="D97" i="7"/>
  <c r="C97" i="7"/>
  <c r="B97" i="7"/>
  <c r="A97" i="7"/>
  <c r="E96" i="7"/>
  <c r="D96" i="7"/>
  <c r="C96" i="7"/>
  <c r="B96" i="7"/>
  <c r="A96" i="7"/>
  <c r="E95" i="7"/>
  <c r="D95" i="7"/>
  <c r="C95" i="7"/>
  <c r="B95" i="7"/>
  <c r="A95" i="7"/>
  <c r="E94" i="7"/>
  <c r="D94" i="7"/>
  <c r="C94" i="7"/>
  <c r="B94" i="7"/>
  <c r="A94" i="7"/>
  <c r="E93" i="7"/>
  <c r="D93" i="7"/>
  <c r="C93" i="7"/>
  <c r="B93" i="7"/>
  <c r="A93" i="7"/>
  <c r="E92" i="7"/>
  <c r="D92" i="7"/>
  <c r="C92" i="7"/>
  <c r="B92" i="7"/>
  <c r="A92" i="7"/>
  <c r="E91" i="7"/>
  <c r="D91" i="7"/>
  <c r="C91" i="7"/>
  <c r="B91" i="7"/>
  <c r="A91" i="7"/>
  <c r="E90" i="7"/>
  <c r="D90" i="7"/>
  <c r="C90" i="7"/>
  <c r="B90" i="7"/>
  <c r="A90" i="7"/>
  <c r="E89" i="7"/>
  <c r="D89" i="7"/>
  <c r="C89" i="7"/>
  <c r="B89" i="7"/>
  <c r="A89" i="7"/>
  <c r="E88" i="7"/>
  <c r="D88" i="7"/>
  <c r="C88" i="7"/>
  <c r="B88" i="7"/>
  <c r="A88" i="7"/>
  <c r="E87" i="7"/>
  <c r="D87" i="7"/>
  <c r="C87" i="7"/>
  <c r="B87" i="7"/>
  <c r="A87" i="7"/>
  <c r="E86" i="7"/>
  <c r="D86" i="7"/>
  <c r="C86" i="7"/>
  <c r="B86" i="7"/>
  <c r="A86" i="7"/>
  <c r="E85" i="7"/>
  <c r="D85" i="7"/>
  <c r="C85" i="7"/>
  <c r="B85" i="7"/>
  <c r="A85" i="7"/>
  <c r="E84" i="7"/>
  <c r="D84" i="7"/>
  <c r="C84" i="7"/>
  <c r="B84" i="7"/>
  <c r="A84" i="7"/>
  <c r="E83" i="7"/>
  <c r="D83" i="7"/>
  <c r="C83" i="7"/>
  <c r="B83" i="7"/>
  <c r="A83" i="7"/>
  <c r="E82" i="7"/>
  <c r="D82" i="7"/>
  <c r="C82" i="7"/>
  <c r="B82" i="7"/>
  <c r="A82" i="7"/>
  <c r="E81" i="7"/>
  <c r="D81" i="7"/>
  <c r="C81" i="7"/>
  <c r="B81" i="7"/>
  <c r="A81" i="7"/>
  <c r="E80" i="7"/>
  <c r="D80" i="7"/>
  <c r="C80" i="7"/>
  <c r="B80" i="7"/>
  <c r="A80" i="7"/>
  <c r="E79" i="7"/>
  <c r="D79" i="7"/>
  <c r="C79" i="7"/>
  <c r="B79" i="7"/>
  <c r="A79" i="7"/>
  <c r="E78" i="7"/>
  <c r="D78" i="7"/>
  <c r="C78" i="7"/>
  <c r="B78" i="7"/>
  <c r="A78" i="7"/>
  <c r="E77" i="7"/>
  <c r="D77" i="7"/>
  <c r="C77" i="7"/>
  <c r="B77" i="7"/>
  <c r="A77" i="7"/>
  <c r="E76" i="7"/>
  <c r="D76" i="7"/>
  <c r="C76" i="7"/>
  <c r="B76" i="7"/>
  <c r="A76" i="7"/>
  <c r="E75" i="7"/>
  <c r="D75" i="7"/>
  <c r="C75" i="7"/>
  <c r="B75" i="7"/>
  <c r="A75" i="7"/>
  <c r="E74" i="7"/>
  <c r="D74" i="7"/>
  <c r="C74" i="7"/>
  <c r="B74" i="7"/>
  <c r="A74" i="7"/>
  <c r="E73" i="7"/>
  <c r="D73" i="7"/>
  <c r="C73" i="7"/>
  <c r="B73" i="7"/>
  <c r="A73" i="7"/>
  <c r="E72" i="7"/>
  <c r="D72" i="7"/>
  <c r="C72" i="7"/>
  <c r="B72" i="7"/>
  <c r="A72" i="7"/>
  <c r="E71" i="7"/>
  <c r="D71" i="7"/>
  <c r="C71" i="7"/>
  <c r="B71" i="7"/>
  <c r="A71" i="7"/>
  <c r="E70" i="7"/>
  <c r="D70" i="7"/>
  <c r="C70" i="7"/>
  <c r="B70" i="7"/>
  <c r="A70" i="7"/>
  <c r="E69" i="7"/>
  <c r="D69" i="7"/>
  <c r="C69" i="7"/>
  <c r="B69" i="7"/>
  <c r="A69" i="7"/>
  <c r="E68" i="7"/>
  <c r="D68" i="7"/>
  <c r="C68" i="7"/>
  <c r="B68" i="7"/>
  <c r="A68" i="7"/>
  <c r="E67" i="7"/>
  <c r="D67" i="7"/>
  <c r="C67" i="7"/>
  <c r="B67" i="7"/>
  <c r="A67" i="7"/>
  <c r="E66" i="7"/>
  <c r="D66" i="7"/>
  <c r="C66" i="7"/>
  <c r="B66" i="7"/>
  <c r="A66" i="7"/>
  <c r="E65" i="7"/>
  <c r="D65" i="7"/>
  <c r="C65" i="7"/>
  <c r="B65" i="7"/>
  <c r="A65" i="7"/>
  <c r="E64" i="7"/>
  <c r="D64" i="7"/>
  <c r="C64" i="7"/>
  <c r="B64" i="7"/>
  <c r="A64" i="7"/>
  <c r="E63" i="7"/>
  <c r="D63" i="7"/>
  <c r="C63" i="7"/>
  <c r="B63" i="7"/>
  <c r="A63" i="7"/>
  <c r="E62" i="7"/>
  <c r="D62" i="7"/>
  <c r="C62" i="7"/>
  <c r="B62" i="7"/>
  <c r="A62" i="7"/>
  <c r="E61" i="7"/>
  <c r="D61" i="7"/>
  <c r="C61" i="7"/>
  <c r="B61" i="7"/>
  <c r="A61" i="7"/>
  <c r="E60" i="7"/>
  <c r="D60" i="7"/>
  <c r="C60" i="7"/>
  <c r="B60" i="7"/>
  <c r="A60" i="7"/>
  <c r="E59" i="7"/>
  <c r="D59" i="7"/>
  <c r="C59" i="7"/>
  <c r="B59" i="7"/>
  <c r="A59" i="7"/>
  <c r="E58" i="7"/>
  <c r="D58" i="7"/>
  <c r="C58" i="7"/>
  <c r="B58" i="7"/>
  <c r="A58" i="7"/>
  <c r="E57" i="7"/>
  <c r="D57" i="7"/>
  <c r="C57" i="7"/>
  <c r="B57" i="7"/>
  <c r="A57" i="7"/>
  <c r="E56" i="7"/>
  <c r="D56" i="7"/>
  <c r="C56" i="7"/>
  <c r="B56" i="7"/>
  <c r="A56" i="7"/>
  <c r="E55" i="7"/>
  <c r="D55" i="7"/>
  <c r="C55" i="7"/>
  <c r="B55" i="7"/>
  <c r="A55" i="7"/>
  <c r="E54" i="7"/>
  <c r="D54" i="7"/>
  <c r="C54" i="7"/>
  <c r="B54" i="7"/>
  <c r="A54" i="7"/>
  <c r="E53" i="7"/>
  <c r="D53" i="7"/>
  <c r="C53" i="7"/>
  <c r="B53" i="7"/>
  <c r="A53" i="7"/>
  <c r="E52" i="7"/>
  <c r="D52" i="7"/>
  <c r="C52" i="7"/>
  <c r="B52" i="7"/>
  <c r="A52" i="7"/>
  <c r="E51" i="7"/>
  <c r="D51" i="7"/>
  <c r="C51" i="7"/>
  <c r="B51" i="7"/>
  <c r="A51" i="7"/>
  <c r="E50" i="7"/>
  <c r="D50" i="7"/>
  <c r="C50" i="7"/>
  <c r="B50" i="7"/>
  <c r="A50" i="7"/>
  <c r="E49" i="7"/>
  <c r="D49" i="7"/>
  <c r="C49" i="7"/>
  <c r="B49" i="7"/>
  <c r="A49" i="7"/>
  <c r="E48" i="7"/>
  <c r="D48" i="7"/>
  <c r="C48" i="7"/>
  <c r="B48" i="7"/>
  <c r="A48" i="7"/>
  <c r="E47" i="7"/>
  <c r="D47" i="7"/>
  <c r="C47" i="7"/>
  <c r="B47" i="7"/>
  <c r="A47" i="7"/>
  <c r="E46" i="7"/>
  <c r="D46" i="7"/>
  <c r="C46" i="7"/>
  <c r="B46" i="7"/>
  <c r="A46" i="7"/>
  <c r="E45" i="7"/>
  <c r="D45" i="7"/>
  <c r="C45" i="7"/>
  <c r="B45" i="7"/>
  <c r="A45" i="7"/>
  <c r="E44" i="7"/>
  <c r="D44" i="7"/>
  <c r="C44" i="7"/>
  <c r="B44" i="7"/>
  <c r="A44" i="7"/>
  <c r="E43" i="7"/>
  <c r="D43" i="7"/>
  <c r="C43" i="7"/>
  <c r="B43" i="7"/>
  <c r="A43" i="7"/>
  <c r="E42" i="7"/>
  <c r="D42" i="7"/>
  <c r="C42" i="7"/>
  <c r="B42" i="7"/>
  <c r="A42" i="7"/>
  <c r="E41" i="7"/>
  <c r="D41" i="7"/>
  <c r="C41" i="7"/>
  <c r="B41" i="7"/>
  <c r="A41" i="7"/>
  <c r="E40" i="7"/>
  <c r="D40" i="7"/>
  <c r="C40" i="7"/>
  <c r="B40" i="7"/>
  <c r="A40" i="7"/>
  <c r="E39" i="7"/>
  <c r="D39" i="7"/>
  <c r="C39" i="7"/>
  <c r="B39" i="7"/>
  <c r="A39" i="7"/>
  <c r="E38" i="7"/>
  <c r="D38" i="7"/>
  <c r="C38" i="7"/>
  <c r="B38" i="7"/>
  <c r="A38" i="7"/>
  <c r="E37" i="7"/>
  <c r="D37" i="7"/>
  <c r="C37" i="7"/>
  <c r="B37" i="7"/>
  <c r="A37" i="7"/>
  <c r="E36" i="7"/>
  <c r="D36" i="7"/>
  <c r="C36" i="7"/>
  <c r="B36" i="7"/>
  <c r="A36" i="7"/>
  <c r="E35" i="7"/>
  <c r="D35" i="7"/>
  <c r="C35" i="7"/>
  <c r="B35" i="7"/>
  <c r="A35" i="7"/>
  <c r="E34" i="7"/>
  <c r="D34" i="7"/>
  <c r="C34" i="7"/>
  <c r="B34" i="7"/>
  <c r="A34" i="7"/>
  <c r="E33" i="7"/>
  <c r="D33" i="7"/>
  <c r="C33" i="7"/>
  <c r="B33" i="7"/>
  <c r="A33" i="7"/>
  <c r="E32" i="7"/>
  <c r="D32" i="7"/>
  <c r="C32" i="7"/>
  <c r="B32" i="7"/>
  <c r="A32" i="7"/>
  <c r="E31" i="7"/>
  <c r="D31" i="7"/>
  <c r="C31" i="7"/>
  <c r="B31" i="7"/>
  <c r="A31" i="7"/>
  <c r="E30" i="7"/>
  <c r="D30" i="7"/>
  <c r="C30" i="7"/>
  <c r="B30" i="7"/>
  <c r="A30" i="7"/>
  <c r="E29" i="7"/>
  <c r="D29" i="7"/>
  <c r="C29" i="7"/>
  <c r="B29" i="7"/>
  <c r="A29" i="7"/>
  <c r="E28" i="7"/>
  <c r="D28" i="7"/>
  <c r="C28" i="7"/>
  <c r="B28" i="7"/>
  <c r="A28" i="7"/>
  <c r="E27" i="7"/>
  <c r="D27" i="7"/>
  <c r="C27" i="7"/>
  <c r="B27" i="7"/>
  <c r="A27" i="7"/>
  <c r="E26" i="7"/>
  <c r="D26" i="7"/>
  <c r="C26" i="7"/>
  <c r="B26" i="7"/>
  <c r="A26" i="7"/>
  <c r="E25" i="7"/>
  <c r="D25" i="7"/>
  <c r="C25" i="7"/>
  <c r="B25" i="7"/>
  <c r="A25" i="7"/>
  <c r="E24" i="7"/>
  <c r="D24" i="7"/>
  <c r="C24" i="7"/>
  <c r="B24" i="7"/>
  <c r="A24" i="7"/>
  <c r="E23" i="7"/>
  <c r="D23" i="7"/>
  <c r="C23" i="7"/>
  <c r="B23" i="7"/>
  <c r="A23" i="7"/>
  <c r="E22" i="7"/>
  <c r="D22" i="7"/>
  <c r="C22" i="7"/>
  <c r="B22" i="7"/>
  <c r="A22" i="7"/>
  <c r="E21" i="7"/>
  <c r="D21" i="7"/>
  <c r="C21" i="7"/>
  <c r="B21" i="7"/>
  <c r="A21" i="7"/>
  <c r="E20" i="7"/>
  <c r="D20" i="7"/>
  <c r="C20" i="7"/>
  <c r="B20" i="7"/>
  <c r="A20" i="7"/>
  <c r="E19" i="7"/>
  <c r="D19" i="7"/>
  <c r="C19" i="7"/>
  <c r="B19" i="7"/>
  <c r="A19" i="7"/>
  <c r="E18" i="7"/>
  <c r="D18" i="7"/>
  <c r="C18" i="7"/>
  <c r="B18" i="7"/>
  <c r="A18" i="7"/>
  <c r="E17" i="7"/>
  <c r="D17" i="7"/>
  <c r="C17" i="7"/>
  <c r="B17" i="7"/>
  <c r="A17" i="7"/>
  <c r="E16" i="7"/>
  <c r="D16" i="7"/>
  <c r="C16" i="7"/>
  <c r="B16" i="7"/>
  <c r="A16" i="7"/>
  <c r="E15" i="7"/>
  <c r="D15" i="7"/>
  <c r="C15" i="7"/>
  <c r="B15" i="7"/>
  <c r="A15" i="7"/>
  <c r="E14" i="7"/>
  <c r="D14" i="7"/>
  <c r="C14" i="7"/>
  <c r="B14" i="7"/>
  <c r="A14" i="7"/>
  <c r="E13" i="7"/>
  <c r="D13" i="7"/>
  <c r="C13" i="7"/>
  <c r="B13" i="7"/>
  <c r="A13" i="7"/>
  <c r="E12" i="7"/>
  <c r="D12" i="7"/>
  <c r="C12" i="7"/>
  <c r="B12" i="7"/>
  <c r="A12" i="7"/>
  <c r="E11" i="7"/>
  <c r="D11" i="7"/>
  <c r="C11" i="7"/>
  <c r="B11" i="7"/>
  <c r="A11" i="7"/>
  <c r="F10" i="7"/>
  <c r="E10" i="7"/>
  <c r="D10" i="7"/>
  <c r="C10" i="7"/>
  <c r="B10" i="7"/>
  <c r="A10" i="7"/>
  <c r="E9" i="7"/>
  <c r="D9" i="7"/>
  <c r="C9" i="7"/>
  <c r="B9" i="7"/>
  <c r="A9" i="7"/>
  <c r="E8" i="7"/>
  <c r="D8" i="7"/>
  <c r="C8" i="7"/>
  <c r="B8" i="7"/>
  <c r="A8" i="7"/>
  <c r="E7" i="7"/>
  <c r="D7" i="7"/>
  <c r="C7" i="7"/>
  <c r="B7" i="7"/>
  <c r="A7" i="7"/>
  <c r="F6" i="7"/>
  <c r="E6" i="7"/>
  <c r="G6" i="7" s="1"/>
  <c r="D6" i="7"/>
  <c r="C6" i="7"/>
  <c r="B6" i="7"/>
  <c r="A6" i="7"/>
  <c r="E5" i="7"/>
  <c r="D5" i="7"/>
  <c r="C5" i="7"/>
  <c r="B5" i="7"/>
  <c r="A5" i="7"/>
  <c r="E4" i="7"/>
  <c r="D4" i="7"/>
  <c r="C4" i="7"/>
  <c r="B4" i="7"/>
  <c r="A4" i="7"/>
  <c r="E3" i="7"/>
  <c r="D3" i="7"/>
  <c r="C3" i="7"/>
  <c r="B3" i="7"/>
  <c r="A3" i="7"/>
  <c r="F2" i="7"/>
  <c r="E2" i="7"/>
  <c r="D2" i="7"/>
  <c r="C2" i="7"/>
  <c r="B2" i="7"/>
  <c r="A2" i="7"/>
  <c r="G9" i="6"/>
  <c r="F118" i="7" s="1"/>
  <c r="G8" i="6"/>
  <c r="G7" i="6"/>
  <c r="G6" i="6"/>
  <c r="F70" i="7" s="1"/>
  <c r="G5" i="6"/>
  <c r="F54" i="7" s="1"/>
  <c r="G4" i="6"/>
  <c r="G3" i="6"/>
  <c r="F23" i="7" s="1"/>
  <c r="G2" i="6"/>
  <c r="F11" i="7" s="1"/>
  <c r="G11" i="7" s="1"/>
  <c r="F218" i="3"/>
  <c r="E218" i="3"/>
  <c r="D218" i="3"/>
  <c r="C218" i="3"/>
  <c r="B218" i="3"/>
  <c r="A218" i="3"/>
  <c r="F217" i="3"/>
  <c r="E217" i="3"/>
  <c r="D217" i="3"/>
  <c r="C217" i="3"/>
  <c r="B217" i="3"/>
  <c r="A217" i="3"/>
  <c r="F216" i="3"/>
  <c r="E216" i="3"/>
  <c r="D216" i="3"/>
  <c r="C216" i="3"/>
  <c r="B216" i="3"/>
  <c r="A216" i="3"/>
  <c r="F215" i="3"/>
  <c r="E215" i="3"/>
  <c r="D215" i="3"/>
  <c r="C215" i="3"/>
  <c r="B215" i="3"/>
  <c r="A215" i="3"/>
  <c r="F214" i="3"/>
  <c r="E214" i="3"/>
  <c r="D214" i="3"/>
  <c r="C214" i="3"/>
  <c r="B214" i="3"/>
  <c r="A214" i="3"/>
  <c r="G213" i="3"/>
  <c r="H213" i="3" s="1"/>
  <c r="F213" i="3"/>
  <c r="E213" i="3"/>
  <c r="D213" i="3"/>
  <c r="C213" i="3"/>
  <c r="B213" i="3"/>
  <c r="A213" i="3"/>
  <c r="F212" i="3"/>
  <c r="E212" i="3"/>
  <c r="D212" i="3"/>
  <c r="C212" i="3"/>
  <c r="B212" i="3"/>
  <c r="A212" i="3"/>
  <c r="F211" i="3"/>
  <c r="E211" i="3"/>
  <c r="D211" i="3"/>
  <c r="C211" i="3"/>
  <c r="B211" i="3"/>
  <c r="A211" i="3"/>
  <c r="F210" i="3"/>
  <c r="E210" i="3"/>
  <c r="D210" i="3"/>
  <c r="C210" i="3"/>
  <c r="B210" i="3"/>
  <c r="A210" i="3"/>
  <c r="F209" i="3"/>
  <c r="E209" i="3"/>
  <c r="D209" i="3"/>
  <c r="C209" i="3"/>
  <c r="B209" i="3"/>
  <c r="A209" i="3"/>
  <c r="F208" i="3"/>
  <c r="E208" i="3"/>
  <c r="D208" i="3"/>
  <c r="C208" i="3"/>
  <c r="B208" i="3"/>
  <c r="A208" i="3"/>
  <c r="F207" i="3"/>
  <c r="E207" i="3"/>
  <c r="D207" i="3"/>
  <c r="C207" i="3"/>
  <c r="B207" i="3"/>
  <c r="A207" i="3"/>
  <c r="F206" i="3"/>
  <c r="E206" i="3"/>
  <c r="D206" i="3"/>
  <c r="C206" i="3"/>
  <c r="B206" i="3"/>
  <c r="A206" i="3"/>
  <c r="F205" i="3"/>
  <c r="E205" i="3"/>
  <c r="D205" i="3"/>
  <c r="C205" i="3"/>
  <c r="B205" i="3"/>
  <c r="A205" i="3"/>
  <c r="F204" i="3"/>
  <c r="E204" i="3"/>
  <c r="D204" i="3"/>
  <c r="C204" i="3"/>
  <c r="B204" i="3"/>
  <c r="A204" i="3"/>
  <c r="F203" i="3"/>
  <c r="E203" i="3"/>
  <c r="D203" i="3"/>
  <c r="C203" i="3"/>
  <c r="B203" i="3"/>
  <c r="A203" i="3"/>
  <c r="F202" i="3"/>
  <c r="E202" i="3"/>
  <c r="D202" i="3"/>
  <c r="C202" i="3"/>
  <c r="B202" i="3"/>
  <c r="A202" i="3"/>
  <c r="F201" i="3"/>
  <c r="E201" i="3"/>
  <c r="D201" i="3"/>
  <c r="C201" i="3"/>
  <c r="B201" i="3"/>
  <c r="A201" i="3"/>
  <c r="F200" i="3"/>
  <c r="E200" i="3"/>
  <c r="D200" i="3"/>
  <c r="C200" i="3"/>
  <c r="B200" i="3"/>
  <c r="A200" i="3"/>
  <c r="F199" i="3"/>
  <c r="E199" i="3"/>
  <c r="D199" i="3"/>
  <c r="C199" i="3"/>
  <c r="B199" i="3"/>
  <c r="A199" i="3"/>
  <c r="F198" i="3"/>
  <c r="E198" i="3"/>
  <c r="D198" i="3"/>
  <c r="C198" i="3"/>
  <c r="B198" i="3"/>
  <c r="A198" i="3"/>
  <c r="G197" i="3"/>
  <c r="H197" i="3" s="1"/>
  <c r="F197" i="3"/>
  <c r="E197" i="3"/>
  <c r="D197" i="3"/>
  <c r="C197" i="3"/>
  <c r="B197" i="3"/>
  <c r="A197" i="3"/>
  <c r="F196" i="3"/>
  <c r="E196" i="3"/>
  <c r="D196" i="3"/>
  <c r="C196" i="3"/>
  <c r="B196" i="3"/>
  <c r="A196" i="3"/>
  <c r="F195" i="3"/>
  <c r="E195" i="3"/>
  <c r="D195" i="3"/>
  <c r="C195" i="3"/>
  <c r="B195" i="3"/>
  <c r="A195" i="3"/>
  <c r="F194" i="3"/>
  <c r="E194" i="3"/>
  <c r="D194" i="3"/>
  <c r="C194" i="3"/>
  <c r="B194" i="3"/>
  <c r="A194" i="3"/>
  <c r="F193" i="3"/>
  <c r="E193" i="3"/>
  <c r="D193" i="3"/>
  <c r="C193" i="3"/>
  <c r="B193" i="3"/>
  <c r="A193" i="3"/>
  <c r="F192" i="3"/>
  <c r="E192" i="3"/>
  <c r="D192" i="3"/>
  <c r="C192" i="3"/>
  <c r="B192" i="3"/>
  <c r="A192" i="3"/>
  <c r="F191" i="3"/>
  <c r="E191" i="3"/>
  <c r="D191" i="3"/>
  <c r="C191" i="3"/>
  <c r="B191" i="3"/>
  <c r="A191" i="3"/>
  <c r="F190" i="3"/>
  <c r="E190" i="3"/>
  <c r="D190" i="3"/>
  <c r="C190" i="3"/>
  <c r="B190" i="3"/>
  <c r="A190" i="3"/>
  <c r="F189" i="3"/>
  <c r="E189" i="3"/>
  <c r="D189" i="3"/>
  <c r="C189" i="3"/>
  <c r="B189" i="3"/>
  <c r="A189" i="3"/>
  <c r="F188" i="3"/>
  <c r="E188" i="3"/>
  <c r="D188" i="3"/>
  <c r="C188" i="3"/>
  <c r="B188" i="3"/>
  <c r="A188" i="3"/>
  <c r="F187" i="3"/>
  <c r="E187" i="3"/>
  <c r="D187" i="3"/>
  <c r="C187" i="3"/>
  <c r="B187" i="3"/>
  <c r="A187" i="3"/>
  <c r="F186" i="3"/>
  <c r="E186" i="3"/>
  <c r="D186" i="3"/>
  <c r="C186" i="3"/>
  <c r="B186" i="3"/>
  <c r="A186" i="3"/>
  <c r="F185" i="3"/>
  <c r="E185" i="3"/>
  <c r="D185" i="3"/>
  <c r="C185" i="3"/>
  <c r="B185" i="3"/>
  <c r="A185" i="3"/>
  <c r="F184" i="3"/>
  <c r="E184" i="3"/>
  <c r="D184" i="3"/>
  <c r="C184" i="3"/>
  <c r="B184" i="3"/>
  <c r="A184" i="3"/>
  <c r="F183" i="3"/>
  <c r="E183" i="3"/>
  <c r="D183" i="3"/>
  <c r="C183" i="3"/>
  <c r="B183" i="3"/>
  <c r="A183" i="3"/>
  <c r="F182" i="3"/>
  <c r="E182" i="3"/>
  <c r="D182" i="3"/>
  <c r="C182" i="3"/>
  <c r="B182" i="3"/>
  <c r="A182" i="3"/>
  <c r="G181" i="3"/>
  <c r="H181" i="3" s="1"/>
  <c r="F181" i="3"/>
  <c r="E181" i="3"/>
  <c r="D181" i="3"/>
  <c r="C181" i="3"/>
  <c r="B181" i="3"/>
  <c r="A181" i="3"/>
  <c r="F180" i="3"/>
  <c r="E180" i="3"/>
  <c r="D180" i="3"/>
  <c r="C180" i="3"/>
  <c r="B180" i="3"/>
  <c r="A180" i="3"/>
  <c r="F179" i="3"/>
  <c r="E179" i="3"/>
  <c r="D179" i="3"/>
  <c r="C179" i="3"/>
  <c r="B179" i="3"/>
  <c r="A179" i="3"/>
  <c r="F178" i="3"/>
  <c r="E178" i="3"/>
  <c r="D178" i="3"/>
  <c r="C178" i="3"/>
  <c r="B178" i="3"/>
  <c r="A178" i="3"/>
  <c r="F177" i="3"/>
  <c r="E177" i="3"/>
  <c r="D177" i="3"/>
  <c r="C177" i="3"/>
  <c r="B177" i="3"/>
  <c r="A177" i="3"/>
  <c r="F176" i="3"/>
  <c r="E176" i="3"/>
  <c r="D176" i="3"/>
  <c r="C176" i="3"/>
  <c r="B176" i="3"/>
  <c r="A176" i="3"/>
  <c r="F175" i="3"/>
  <c r="E175" i="3"/>
  <c r="D175" i="3"/>
  <c r="C175" i="3"/>
  <c r="B175" i="3"/>
  <c r="A175" i="3"/>
  <c r="F174" i="3"/>
  <c r="E174" i="3"/>
  <c r="D174" i="3"/>
  <c r="C174" i="3"/>
  <c r="B174" i="3"/>
  <c r="A174" i="3"/>
  <c r="F173" i="3"/>
  <c r="E173" i="3"/>
  <c r="D173" i="3"/>
  <c r="C173" i="3"/>
  <c r="B173" i="3"/>
  <c r="A173" i="3"/>
  <c r="F172" i="3"/>
  <c r="E172" i="3"/>
  <c r="D172" i="3"/>
  <c r="C172" i="3"/>
  <c r="B172" i="3"/>
  <c r="A172" i="3"/>
  <c r="F171" i="3"/>
  <c r="E171" i="3"/>
  <c r="D171" i="3"/>
  <c r="C171" i="3"/>
  <c r="B171" i="3"/>
  <c r="A171" i="3"/>
  <c r="F170" i="3"/>
  <c r="E170" i="3"/>
  <c r="D170" i="3"/>
  <c r="C170" i="3"/>
  <c r="B170" i="3"/>
  <c r="A170" i="3"/>
  <c r="F169" i="3"/>
  <c r="E169" i="3"/>
  <c r="D169" i="3"/>
  <c r="C169" i="3"/>
  <c r="B169" i="3"/>
  <c r="A169" i="3"/>
  <c r="F168" i="3"/>
  <c r="E168" i="3"/>
  <c r="D168" i="3"/>
  <c r="C168" i="3"/>
  <c r="B168" i="3"/>
  <c r="A168" i="3"/>
  <c r="F167" i="3"/>
  <c r="E167" i="3"/>
  <c r="D167" i="3"/>
  <c r="C167" i="3"/>
  <c r="B167" i="3"/>
  <c r="A167" i="3"/>
  <c r="F166" i="3"/>
  <c r="E166" i="3"/>
  <c r="D166" i="3"/>
  <c r="C166" i="3"/>
  <c r="B166" i="3"/>
  <c r="A166" i="3"/>
  <c r="G165" i="3"/>
  <c r="H165" i="3" s="1"/>
  <c r="F165" i="3"/>
  <c r="E165" i="3"/>
  <c r="D165" i="3"/>
  <c r="C165" i="3"/>
  <c r="B165" i="3"/>
  <c r="A165" i="3"/>
  <c r="F164" i="3"/>
  <c r="E164" i="3"/>
  <c r="D164" i="3"/>
  <c r="C164" i="3"/>
  <c r="B164" i="3"/>
  <c r="A164" i="3"/>
  <c r="F163" i="3"/>
  <c r="E163" i="3"/>
  <c r="D163" i="3"/>
  <c r="C163" i="3"/>
  <c r="B163" i="3"/>
  <c r="A163" i="3"/>
  <c r="F162" i="3"/>
  <c r="E162" i="3"/>
  <c r="D162" i="3"/>
  <c r="C162" i="3"/>
  <c r="B162" i="3"/>
  <c r="A162" i="3"/>
  <c r="F161" i="3"/>
  <c r="E161" i="3"/>
  <c r="D161" i="3"/>
  <c r="C161" i="3"/>
  <c r="B161" i="3"/>
  <c r="A161" i="3"/>
  <c r="F160" i="3"/>
  <c r="E160" i="3"/>
  <c r="D160" i="3"/>
  <c r="C160" i="3"/>
  <c r="B160" i="3"/>
  <c r="A160" i="3"/>
  <c r="F159" i="3"/>
  <c r="E159" i="3"/>
  <c r="D159" i="3"/>
  <c r="C159" i="3"/>
  <c r="B159" i="3"/>
  <c r="A159" i="3"/>
  <c r="F158" i="3"/>
  <c r="E158" i="3"/>
  <c r="D158" i="3"/>
  <c r="C158" i="3"/>
  <c r="B158" i="3"/>
  <c r="A158" i="3"/>
  <c r="F157" i="3"/>
  <c r="E157" i="3"/>
  <c r="D157" i="3"/>
  <c r="C157" i="3"/>
  <c r="B157" i="3"/>
  <c r="A157" i="3"/>
  <c r="F156" i="3"/>
  <c r="E156" i="3"/>
  <c r="D156" i="3"/>
  <c r="C156" i="3"/>
  <c r="B156" i="3"/>
  <c r="A156" i="3"/>
  <c r="F155" i="3"/>
  <c r="E155" i="3"/>
  <c r="D155" i="3"/>
  <c r="C155" i="3"/>
  <c r="B155" i="3"/>
  <c r="A155" i="3"/>
  <c r="F154" i="3"/>
  <c r="E154" i="3"/>
  <c r="D154" i="3"/>
  <c r="C154" i="3"/>
  <c r="B154" i="3"/>
  <c r="A154" i="3"/>
  <c r="F153" i="3"/>
  <c r="E153" i="3"/>
  <c r="D153" i="3"/>
  <c r="C153" i="3"/>
  <c r="B153" i="3"/>
  <c r="A153" i="3"/>
  <c r="F152" i="3"/>
  <c r="E152" i="3"/>
  <c r="D152" i="3"/>
  <c r="C152" i="3"/>
  <c r="B152" i="3"/>
  <c r="A152" i="3"/>
  <c r="F151" i="3"/>
  <c r="E151" i="3"/>
  <c r="D151" i="3"/>
  <c r="C151" i="3"/>
  <c r="B151" i="3"/>
  <c r="A151" i="3"/>
  <c r="F150" i="3"/>
  <c r="E150" i="3"/>
  <c r="D150" i="3"/>
  <c r="C150" i="3"/>
  <c r="B150" i="3"/>
  <c r="A150" i="3"/>
  <c r="G149" i="3"/>
  <c r="H149" i="3" s="1"/>
  <c r="F149" i="3"/>
  <c r="E149" i="3"/>
  <c r="D149" i="3"/>
  <c r="C149" i="3"/>
  <c r="B149" i="3"/>
  <c r="A149" i="3"/>
  <c r="F148" i="3"/>
  <c r="E148" i="3"/>
  <c r="D148" i="3"/>
  <c r="C148" i="3"/>
  <c r="B148" i="3"/>
  <c r="A148" i="3"/>
  <c r="F147" i="3"/>
  <c r="E147" i="3"/>
  <c r="D147" i="3"/>
  <c r="C147" i="3"/>
  <c r="B147" i="3"/>
  <c r="A147" i="3"/>
  <c r="F146" i="3"/>
  <c r="E146" i="3"/>
  <c r="D146" i="3"/>
  <c r="C146" i="3"/>
  <c r="B146" i="3"/>
  <c r="A146" i="3"/>
  <c r="F145" i="3"/>
  <c r="E145" i="3"/>
  <c r="D145" i="3"/>
  <c r="C145" i="3"/>
  <c r="B145" i="3"/>
  <c r="A145" i="3"/>
  <c r="F144" i="3"/>
  <c r="E144" i="3"/>
  <c r="D144" i="3"/>
  <c r="C144" i="3"/>
  <c r="B144" i="3"/>
  <c r="A144" i="3"/>
  <c r="F143" i="3"/>
  <c r="E143" i="3"/>
  <c r="D143" i="3"/>
  <c r="C143" i="3"/>
  <c r="B143" i="3"/>
  <c r="A143" i="3"/>
  <c r="F142" i="3"/>
  <c r="E142" i="3"/>
  <c r="D142" i="3"/>
  <c r="C142" i="3"/>
  <c r="B142" i="3"/>
  <c r="A142" i="3"/>
  <c r="F141" i="3"/>
  <c r="E141" i="3"/>
  <c r="D141" i="3"/>
  <c r="C141" i="3"/>
  <c r="B141" i="3"/>
  <c r="A141" i="3"/>
  <c r="F140" i="3"/>
  <c r="E140" i="3"/>
  <c r="D140" i="3"/>
  <c r="C140" i="3"/>
  <c r="B140" i="3"/>
  <c r="A140" i="3"/>
  <c r="F139" i="3"/>
  <c r="E139" i="3"/>
  <c r="D139" i="3"/>
  <c r="C139" i="3"/>
  <c r="B139" i="3"/>
  <c r="A139" i="3"/>
  <c r="F138" i="3"/>
  <c r="E138" i="3"/>
  <c r="D138" i="3"/>
  <c r="C138" i="3"/>
  <c r="B138" i="3"/>
  <c r="A138" i="3"/>
  <c r="F137" i="3"/>
  <c r="E137" i="3"/>
  <c r="D137" i="3"/>
  <c r="C137" i="3"/>
  <c r="B137" i="3"/>
  <c r="A137" i="3"/>
  <c r="F136" i="3"/>
  <c r="E136" i="3"/>
  <c r="D136" i="3"/>
  <c r="C136" i="3"/>
  <c r="B136" i="3"/>
  <c r="A136" i="3"/>
  <c r="F135" i="3"/>
  <c r="E135" i="3"/>
  <c r="D135" i="3"/>
  <c r="C135" i="3"/>
  <c r="B135" i="3"/>
  <c r="A135" i="3"/>
  <c r="F134" i="3"/>
  <c r="E134" i="3"/>
  <c r="D134" i="3"/>
  <c r="C134" i="3"/>
  <c r="B134" i="3"/>
  <c r="A134" i="3"/>
  <c r="F133" i="3"/>
  <c r="E133" i="3"/>
  <c r="D133" i="3"/>
  <c r="C133" i="3"/>
  <c r="B133" i="3"/>
  <c r="A133" i="3"/>
  <c r="F132" i="3"/>
  <c r="E132" i="3"/>
  <c r="D132" i="3"/>
  <c r="C132" i="3"/>
  <c r="B132" i="3"/>
  <c r="A132" i="3"/>
  <c r="F131" i="3"/>
  <c r="E131" i="3"/>
  <c r="D131" i="3"/>
  <c r="C131" i="3"/>
  <c r="B131" i="3"/>
  <c r="A131" i="3"/>
  <c r="F130" i="3"/>
  <c r="E130" i="3"/>
  <c r="D130" i="3"/>
  <c r="C130" i="3"/>
  <c r="B130" i="3"/>
  <c r="A130" i="3"/>
  <c r="F129" i="3"/>
  <c r="E129" i="3"/>
  <c r="D129" i="3"/>
  <c r="C129" i="3"/>
  <c r="B129" i="3"/>
  <c r="A129" i="3"/>
  <c r="F128" i="3"/>
  <c r="E128" i="3"/>
  <c r="D128" i="3"/>
  <c r="C128" i="3"/>
  <c r="B128" i="3"/>
  <c r="A128" i="3"/>
  <c r="F127" i="3"/>
  <c r="E127" i="3"/>
  <c r="D127" i="3"/>
  <c r="C127" i="3"/>
  <c r="B127" i="3"/>
  <c r="A127" i="3"/>
  <c r="F126" i="3"/>
  <c r="E126" i="3"/>
  <c r="D126" i="3"/>
  <c r="C126" i="3"/>
  <c r="B126" i="3"/>
  <c r="A126" i="3"/>
  <c r="F125" i="3"/>
  <c r="E125" i="3"/>
  <c r="D125" i="3"/>
  <c r="C125" i="3"/>
  <c r="B125" i="3"/>
  <c r="A125" i="3"/>
  <c r="F124" i="3"/>
  <c r="E124" i="3"/>
  <c r="D124" i="3"/>
  <c r="C124" i="3"/>
  <c r="B124" i="3"/>
  <c r="A124" i="3"/>
  <c r="F123" i="3"/>
  <c r="E123" i="3"/>
  <c r="D123" i="3"/>
  <c r="C123" i="3"/>
  <c r="B123" i="3"/>
  <c r="A123" i="3"/>
  <c r="F122" i="3"/>
  <c r="E122" i="3"/>
  <c r="D122" i="3"/>
  <c r="C122" i="3"/>
  <c r="B122" i="3"/>
  <c r="A122" i="3"/>
  <c r="F121" i="3"/>
  <c r="E121" i="3"/>
  <c r="D121" i="3"/>
  <c r="C121" i="3"/>
  <c r="B121" i="3"/>
  <c r="A121" i="3"/>
  <c r="F120" i="3"/>
  <c r="E120" i="3"/>
  <c r="D120" i="3"/>
  <c r="C120" i="3"/>
  <c r="B120" i="3"/>
  <c r="A120" i="3"/>
  <c r="F119" i="3"/>
  <c r="E119" i="3"/>
  <c r="D119" i="3"/>
  <c r="C119" i="3"/>
  <c r="B119" i="3"/>
  <c r="A119" i="3"/>
  <c r="F118" i="3"/>
  <c r="E118" i="3"/>
  <c r="D118" i="3"/>
  <c r="C118" i="3"/>
  <c r="B118" i="3"/>
  <c r="A118" i="3"/>
  <c r="F117" i="3"/>
  <c r="E117" i="3"/>
  <c r="D117" i="3"/>
  <c r="C117" i="3"/>
  <c r="B117" i="3"/>
  <c r="A117" i="3"/>
  <c r="F116" i="3"/>
  <c r="E116" i="3"/>
  <c r="D116" i="3"/>
  <c r="C116" i="3"/>
  <c r="B116" i="3"/>
  <c r="A116" i="3"/>
  <c r="F115" i="3"/>
  <c r="E115" i="3"/>
  <c r="D115" i="3"/>
  <c r="C115" i="3"/>
  <c r="B115" i="3"/>
  <c r="A115" i="3"/>
  <c r="F114" i="3"/>
  <c r="E114" i="3"/>
  <c r="D114" i="3"/>
  <c r="C114" i="3"/>
  <c r="B114" i="3"/>
  <c r="A114" i="3"/>
  <c r="F113" i="3"/>
  <c r="E113" i="3"/>
  <c r="D113" i="3"/>
  <c r="C113" i="3"/>
  <c r="B113" i="3"/>
  <c r="A113" i="3"/>
  <c r="F112" i="3"/>
  <c r="E112" i="3"/>
  <c r="D112" i="3"/>
  <c r="C112" i="3"/>
  <c r="B112" i="3"/>
  <c r="A112" i="3"/>
  <c r="F111" i="3"/>
  <c r="E111" i="3"/>
  <c r="D111" i="3"/>
  <c r="C111" i="3"/>
  <c r="B111" i="3"/>
  <c r="A111" i="3"/>
  <c r="F110" i="3"/>
  <c r="E110" i="3"/>
  <c r="D110" i="3"/>
  <c r="C110" i="3"/>
  <c r="B110" i="3"/>
  <c r="A110" i="3"/>
  <c r="F109" i="3"/>
  <c r="E109" i="3"/>
  <c r="D109" i="3"/>
  <c r="C109" i="3"/>
  <c r="B109" i="3"/>
  <c r="A109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F106" i="3"/>
  <c r="E106" i="3"/>
  <c r="D106" i="3"/>
  <c r="C106" i="3"/>
  <c r="B106" i="3"/>
  <c r="A106" i="3"/>
  <c r="F105" i="3"/>
  <c r="E105" i="3"/>
  <c r="D105" i="3"/>
  <c r="C105" i="3"/>
  <c r="B105" i="3"/>
  <c r="A105" i="3"/>
  <c r="F104" i="3"/>
  <c r="E104" i="3"/>
  <c r="D104" i="3"/>
  <c r="C104" i="3"/>
  <c r="B104" i="3"/>
  <c r="A104" i="3"/>
  <c r="F103" i="3"/>
  <c r="E103" i="3"/>
  <c r="D103" i="3"/>
  <c r="C103" i="3"/>
  <c r="B103" i="3"/>
  <c r="A103" i="3"/>
  <c r="F102" i="3"/>
  <c r="E102" i="3"/>
  <c r="D102" i="3"/>
  <c r="C102" i="3"/>
  <c r="B102" i="3"/>
  <c r="A102" i="3"/>
  <c r="F101" i="3"/>
  <c r="E101" i="3"/>
  <c r="D101" i="3"/>
  <c r="C101" i="3"/>
  <c r="B101" i="3"/>
  <c r="A101" i="3"/>
  <c r="F100" i="3"/>
  <c r="E100" i="3"/>
  <c r="D100" i="3"/>
  <c r="C100" i="3"/>
  <c r="B100" i="3"/>
  <c r="A100" i="3"/>
  <c r="F99" i="3"/>
  <c r="E99" i="3"/>
  <c r="D99" i="3"/>
  <c r="C99" i="3"/>
  <c r="B99" i="3"/>
  <c r="A99" i="3"/>
  <c r="F98" i="3"/>
  <c r="E98" i="3"/>
  <c r="D98" i="3"/>
  <c r="C98" i="3"/>
  <c r="B98" i="3"/>
  <c r="A98" i="3"/>
  <c r="F97" i="3"/>
  <c r="E97" i="3"/>
  <c r="D97" i="3"/>
  <c r="C97" i="3"/>
  <c r="B97" i="3"/>
  <c r="A97" i="3"/>
  <c r="F96" i="3"/>
  <c r="E96" i="3"/>
  <c r="D96" i="3"/>
  <c r="C96" i="3"/>
  <c r="B96" i="3"/>
  <c r="A96" i="3"/>
  <c r="F95" i="3"/>
  <c r="E95" i="3"/>
  <c r="D95" i="3"/>
  <c r="C95" i="3"/>
  <c r="B95" i="3"/>
  <c r="A95" i="3"/>
  <c r="F94" i="3"/>
  <c r="E94" i="3"/>
  <c r="D94" i="3"/>
  <c r="C94" i="3"/>
  <c r="B94" i="3"/>
  <c r="A94" i="3"/>
  <c r="F93" i="3"/>
  <c r="E93" i="3"/>
  <c r="D93" i="3"/>
  <c r="C93" i="3"/>
  <c r="B93" i="3"/>
  <c r="A93" i="3"/>
  <c r="F92" i="3"/>
  <c r="E92" i="3"/>
  <c r="D92" i="3"/>
  <c r="C92" i="3"/>
  <c r="B92" i="3"/>
  <c r="A92" i="3"/>
  <c r="F91" i="3"/>
  <c r="E91" i="3"/>
  <c r="D91" i="3"/>
  <c r="C91" i="3"/>
  <c r="B91" i="3"/>
  <c r="A91" i="3"/>
  <c r="F90" i="3"/>
  <c r="E90" i="3"/>
  <c r="D90" i="3"/>
  <c r="C90" i="3"/>
  <c r="B90" i="3"/>
  <c r="A90" i="3"/>
  <c r="F89" i="3"/>
  <c r="E89" i="3"/>
  <c r="D89" i="3"/>
  <c r="C89" i="3"/>
  <c r="B89" i="3"/>
  <c r="A89" i="3"/>
  <c r="F88" i="3"/>
  <c r="H88" i="3" s="1"/>
  <c r="E88" i="3"/>
  <c r="D88" i="3"/>
  <c r="C88" i="3"/>
  <c r="B88" i="3"/>
  <c r="A88" i="3"/>
  <c r="F87" i="3"/>
  <c r="E87" i="3"/>
  <c r="D87" i="3"/>
  <c r="C87" i="3"/>
  <c r="B87" i="3"/>
  <c r="A87" i="3"/>
  <c r="F86" i="3"/>
  <c r="E86" i="3"/>
  <c r="D86" i="3"/>
  <c r="C86" i="3"/>
  <c r="B86" i="3"/>
  <c r="A86" i="3"/>
  <c r="F85" i="3"/>
  <c r="E85" i="3"/>
  <c r="D85" i="3"/>
  <c r="C85" i="3"/>
  <c r="B85" i="3"/>
  <c r="A85" i="3"/>
  <c r="F84" i="3"/>
  <c r="E84" i="3"/>
  <c r="D84" i="3"/>
  <c r="C84" i="3"/>
  <c r="B84" i="3"/>
  <c r="A84" i="3"/>
  <c r="F83" i="3"/>
  <c r="E83" i="3"/>
  <c r="D83" i="3"/>
  <c r="C83" i="3"/>
  <c r="B83" i="3"/>
  <c r="A83" i="3"/>
  <c r="F82" i="3"/>
  <c r="E82" i="3"/>
  <c r="D82" i="3"/>
  <c r="C82" i="3"/>
  <c r="B82" i="3"/>
  <c r="A82" i="3"/>
  <c r="F81" i="3"/>
  <c r="E81" i="3"/>
  <c r="D81" i="3"/>
  <c r="C81" i="3"/>
  <c r="B81" i="3"/>
  <c r="A81" i="3"/>
  <c r="F80" i="3"/>
  <c r="E80" i="3"/>
  <c r="D80" i="3"/>
  <c r="C80" i="3"/>
  <c r="B80" i="3"/>
  <c r="A80" i="3"/>
  <c r="F79" i="3"/>
  <c r="E79" i="3"/>
  <c r="D79" i="3"/>
  <c r="C79" i="3"/>
  <c r="B79" i="3"/>
  <c r="A79" i="3"/>
  <c r="F78" i="3"/>
  <c r="E78" i="3"/>
  <c r="D78" i="3"/>
  <c r="C78" i="3"/>
  <c r="B78" i="3"/>
  <c r="A78" i="3"/>
  <c r="F77" i="3"/>
  <c r="E77" i="3"/>
  <c r="D77" i="3"/>
  <c r="C77" i="3"/>
  <c r="B77" i="3"/>
  <c r="A77" i="3"/>
  <c r="F76" i="3"/>
  <c r="E76" i="3"/>
  <c r="D76" i="3"/>
  <c r="C76" i="3"/>
  <c r="B76" i="3"/>
  <c r="A76" i="3"/>
  <c r="F75" i="3"/>
  <c r="E75" i="3"/>
  <c r="D75" i="3"/>
  <c r="C75" i="3"/>
  <c r="B75" i="3"/>
  <c r="A75" i="3"/>
  <c r="F74" i="3"/>
  <c r="E74" i="3"/>
  <c r="D74" i="3"/>
  <c r="C74" i="3"/>
  <c r="B74" i="3"/>
  <c r="A74" i="3"/>
  <c r="F73" i="3"/>
  <c r="E73" i="3"/>
  <c r="D73" i="3"/>
  <c r="C73" i="3"/>
  <c r="B73" i="3"/>
  <c r="A73" i="3"/>
  <c r="F72" i="3"/>
  <c r="H72" i="3" s="1"/>
  <c r="E72" i="3"/>
  <c r="D72" i="3"/>
  <c r="C72" i="3"/>
  <c r="B72" i="3"/>
  <c r="A72" i="3"/>
  <c r="F71" i="3"/>
  <c r="E71" i="3"/>
  <c r="D71" i="3"/>
  <c r="C71" i="3"/>
  <c r="B71" i="3"/>
  <c r="A71" i="3"/>
  <c r="F70" i="3"/>
  <c r="E70" i="3"/>
  <c r="D70" i="3"/>
  <c r="C70" i="3"/>
  <c r="B70" i="3"/>
  <c r="A70" i="3"/>
  <c r="F69" i="3"/>
  <c r="E69" i="3"/>
  <c r="D69" i="3"/>
  <c r="C69" i="3"/>
  <c r="B69" i="3"/>
  <c r="A69" i="3"/>
  <c r="F68" i="3"/>
  <c r="E68" i="3"/>
  <c r="D68" i="3"/>
  <c r="C68" i="3"/>
  <c r="B68" i="3"/>
  <c r="A68" i="3"/>
  <c r="F67" i="3"/>
  <c r="E67" i="3"/>
  <c r="D67" i="3"/>
  <c r="C67" i="3"/>
  <c r="B67" i="3"/>
  <c r="A67" i="3"/>
  <c r="F66" i="3"/>
  <c r="E66" i="3"/>
  <c r="D66" i="3"/>
  <c r="C66" i="3"/>
  <c r="B66" i="3"/>
  <c r="A66" i="3"/>
  <c r="F65" i="3"/>
  <c r="E65" i="3"/>
  <c r="D65" i="3"/>
  <c r="C65" i="3"/>
  <c r="B65" i="3"/>
  <c r="A65" i="3"/>
  <c r="F64" i="3"/>
  <c r="E64" i="3"/>
  <c r="D64" i="3"/>
  <c r="C64" i="3"/>
  <c r="B64" i="3"/>
  <c r="A64" i="3"/>
  <c r="F63" i="3"/>
  <c r="E63" i="3"/>
  <c r="D63" i="3"/>
  <c r="C63" i="3"/>
  <c r="B63" i="3"/>
  <c r="A63" i="3"/>
  <c r="F62" i="3"/>
  <c r="E62" i="3"/>
  <c r="D62" i="3"/>
  <c r="C62" i="3"/>
  <c r="B62" i="3"/>
  <c r="A62" i="3"/>
  <c r="F61" i="3"/>
  <c r="E61" i="3"/>
  <c r="D61" i="3"/>
  <c r="C61" i="3"/>
  <c r="B61" i="3"/>
  <c r="A61" i="3"/>
  <c r="F60" i="3"/>
  <c r="E60" i="3"/>
  <c r="D60" i="3"/>
  <c r="C60" i="3"/>
  <c r="B60" i="3"/>
  <c r="A60" i="3"/>
  <c r="F59" i="3"/>
  <c r="E59" i="3"/>
  <c r="D59" i="3"/>
  <c r="C59" i="3"/>
  <c r="B59" i="3"/>
  <c r="A59" i="3"/>
  <c r="F58" i="3"/>
  <c r="E58" i="3"/>
  <c r="D58" i="3"/>
  <c r="C58" i="3"/>
  <c r="B58" i="3"/>
  <c r="A58" i="3"/>
  <c r="F57" i="3"/>
  <c r="E57" i="3"/>
  <c r="D57" i="3"/>
  <c r="C57" i="3"/>
  <c r="B57" i="3"/>
  <c r="A57" i="3"/>
  <c r="F56" i="3"/>
  <c r="E56" i="3"/>
  <c r="D56" i="3"/>
  <c r="C56" i="3"/>
  <c r="B56" i="3"/>
  <c r="A56" i="3"/>
  <c r="F55" i="3"/>
  <c r="E55" i="3"/>
  <c r="D55" i="3"/>
  <c r="C55" i="3"/>
  <c r="B55" i="3"/>
  <c r="A55" i="3"/>
  <c r="F54" i="3"/>
  <c r="E54" i="3"/>
  <c r="D54" i="3"/>
  <c r="C54" i="3"/>
  <c r="B54" i="3"/>
  <c r="A54" i="3"/>
  <c r="F53" i="3"/>
  <c r="E53" i="3"/>
  <c r="D53" i="3"/>
  <c r="C53" i="3"/>
  <c r="B53" i="3"/>
  <c r="A53" i="3"/>
  <c r="F52" i="3"/>
  <c r="E52" i="3"/>
  <c r="D52" i="3"/>
  <c r="C52" i="3"/>
  <c r="B52" i="3"/>
  <c r="A52" i="3"/>
  <c r="F51" i="3"/>
  <c r="E51" i="3"/>
  <c r="D51" i="3"/>
  <c r="C51" i="3"/>
  <c r="B51" i="3"/>
  <c r="A51" i="3"/>
  <c r="F50" i="3"/>
  <c r="E50" i="3"/>
  <c r="D50" i="3"/>
  <c r="C50" i="3"/>
  <c r="B50" i="3"/>
  <c r="A50" i="3"/>
  <c r="F49" i="3"/>
  <c r="E49" i="3"/>
  <c r="D49" i="3"/>
  <c r="C49" i="3"/>
  <c r="B49" i="3"/>
  <c r="A49" i="3"/>
  <c r="F48" i="3"/>
  <c r="E48" i="3"/>
  <c r="D48" i="3"/>
  <c r="C48" i="3"/>
  <c r="B48" i="3"/>
  <c r="A48" i="3"/>
  <c r="F47" i="3"/>
  <c r="E47" i="3"/>
  <c r="D47" i="3"/>
  <c r="C47" i="3"/>
  <c r="B47" i="3"/>
  <c r="A47" i="3"/>
  <c r="F46" i="3"/>
  <c r="E46" i="3"/>
  <c r="D46" i="3"/>
  <c r="C46" i="3"/>
  <c r="B46" i="3"/>
  <c r="A46" i="3"/>
  <c r="F45" i="3"/>
  <c r="E45" i="3"/>
  <c r="D45" i="3"/>
  <c r="C45" i="3"/>
  <c r="B45" i="3"/>
  <c r="A45" i="3"/>
  <c r="F44" i="3"/>
  <c r="E44" i="3"/>
  <c r="D44" i="3"/>
  <c r="C44" i="3"/>
  <c r="B44" i="3"/>
  <c r="A44" i="3"/>
  <c r="F43" i="3"/>
  <c r="E43" i="3"/>
  <c r="D43" i="3"/>
  <c r="C43" i="3"/>
  <c r="B43" i="3"/>
  <c r="A43" i="3"/>
  <c r="F42" i="3"/>
  <c r="E42" i="3"/>
  <c r="D42" i="3"/>
  <c r="C42" i="3"/>
  <c r="B42" i="3"/>
  <c r="A42" i="3"/>
  <c r="F41" i="3"/>
  <c r="E41" i="3"/>
  <c r="D41" i="3"/>
  <c r="C41" i="3"/>
  <c r="B41" i="3"/>
  <c r="A41" i="3"/>
  <c r="F40" i="3"/>
  <c r="E40" i="3"/>
  <c r="D40" i="3"/>
  <c r="C40" i="3"/>
  <c r="B40" i="3"/>
  <c r="A40" i="3"/>
  <c r="F39" i="3"/>
  <c r="E39" i="3"/>
  <c r="D39" i="3"/>
  <c r="C39" i="3"/>
  <c r="B39" i="3"/>
  <c r="A39" i="3"/>
  <c r="F38" i="3"/>
  <c r="E38" i="3"/>
  <c r="D38" i="3"/>
  <c r="C38" i="3"/>
  <c r="B38" i="3"/>
  <c r="A38" i="3"/>
  <c r="F37" i="3"/>
  <c r="E37" i="3"/>
  <c r="D37" i="3"/>
  <c r="C37" i="3"/>
  <c r="B37" i="3"/>
  <c r="A37" i="3"/>
  <c r="F36" i="3"/>
  <c r="E36" i="3"/>
  <c r="D36" i="3"/>
  <c r="C36" i="3"/>
  <c r="B36" i="3"/>
  <c r="A36" i="3"/>
  <c r="F35" i="3"/>
  <c r="E35" i="3"/>
  <c r="D35" i="3"/>
  <c r="C35" i="3"/>
  <c r="B35" i="3"/>
  <c r="A35" i="3"/>
  <c r="F34" i="3"/>
  <c r="E34" i="3"/>
  <c r="D34" i="3"/>
  <c r="C34" i="3"/>
  <c r="B34" i="3"/>
  <c r="A34" i="3"/>
  <c r="F33" i="3"/>
  <c r="E33" i="3"/>
  <c r="D33" i="3"/>
  <c r="C33" i="3"/>
  <c r="B33" i="3"/>
  <c r="A33" i="3"/>
  <c r="F32" i="3"/>
  <c r="E32" i="3"/>
  <c r="D32" i="3"/>
  <c r="C32" i="3"/>
  <c r="B32" i="3"/>
  <c r="A32" i="3"/>
  <c r="F31" i="3"/>
  <c r="E31" i="3"/>
  <c r="D31" i="3"/>
  <c r="C31" i="3"/>
  <c r="B31" i="3"/>
  <c r="A31" i="3"/>
  <c r="F30" i="3"/>
  <c r="E30" i="3"/>
  <c r="D30" i="3"/>
  <c r="C30" i="3"/>
  <c r="B30" i="3"/>
  <c r="A30" i="3"/>
  <c r="F29" i="3"/>
  <c r="E29" i="3"/>
  <c r="D29" i="3"/>
  <c r="C29" i="3"/>
  <c r="B29" i="3"/>
  <c r="A29" i="3"/>
  <c r="F28" i="3"/>
  <c r="E28" i="3"/>
  <c r="D28" i="3"/>
  <c r="C28" i="3"/>
  <c r="B28" i="3"/>
  <c r="A28" i="3"/>
  <c r="F27" i="3"/>
  <c r="E27" i="3"/>
  <c r="D27" i="3"/>
  <c r="C27" i="3"/>
  <c r="B27" i="3"/>
  <c r="A27" i="3"/>
  <c r="F26" i="3"/>
  <c r="E26" i="3"/>
  <c r="D26" i="3"/>
  <c r="C26" i="3"/>
  <c r="B26" i="3"/>
  <c r="A26" i="3"/>
  <c r="F25" i="3"/>
  <c r="E25" i="3"/>
  <c r="D25" i="3"/>
  <c r="C25" i="3"/>
  <c r="B25" i="3"/>
  <c r="A25" i="3"/>
  <c r="F24" i="3"/>
  <c r="E24" i="3"/>
  <c r="D24" i="3"/>
  <c r="C24" i="3"/>
  <c r="B24" i="3"/>
  <c r="A24" i="3"/>
  <c r="F23" i="3"/>
  <c r="E23" i="3"/>
  <c r="D23" i="3"/>
  <c r="C23" i="3"/>
  <c r="B23" i="3"/>
  <c r="A23" i="3"/>
  <c r="F22" i="3"/>
  <c r="E22" i="3"/>
  <c r="D22" i="3"/>
  <c r="C22" i="3"/>
  <c r="B22" i="3"/>
  <c r="A22" i="3"/>
  <c r="F21" i="3"/>
  <c r="E21" i="3"/>
  <c r="D21" i="3"/>
  <c r="C21" i="3"/>
  <c r="B21" i="3"/>
  <c r="A21" i="3"/>
  <c r="F20" i="3"/>
  <c r="E20" i="3"/>
  <c r="D20" i="3"/>
  <c r="C20" i="3"/>
  <c r="B20" i="3"/>
  <c r="A20" i="3"/>
  <c r="F19" i="3"/>
  <c r="E19" i="3"/>
  <c r="D19" i="3"/>
  <c r="C19" i="3"/>
  <c r="B19" i="3"/>
  <c r="A19" i="3"/>
  <c r="F18" i="3"/>
  <c r="E18" i="3"/>
  <c r="D18" i="3"/>
  <c r="C18" i="3"/>
  <c r="B18" i="3"/>
  <c r="A18" i="3"/>
  <c r="F17" i="3"/>
  <c r="E17" i="3"/>
  <c r="D17" i="3"/>
  <c r="C17" i="3"/>
  <c r="B17" i="3"/>
  <c r="A17" i="3"/>
  <c r="F16" i="3"/>
  <c r="E16" i="3"/>
  <c r="D16" i="3"/>
  <c r="C16" i="3"/>
  <c r="B16" i="3"/>
  <c r="A16" i="3"/>
  <c r="F15" i="3"/>
  <c r="H15" i="3" s="1"/>
  <c r="E15" i="3"/>
  <c r="D15" i="3"/>
  <c r="C15" i="3"/>
  <c r="B15" i="3"/>
  <c r="A15" i="3"/>
  <c r="F14" i="3"/>
  <c r="E14" i="3"/>
  <c r="D14" i="3"/>
  <c r="C14" i="3"/>
  <c r="B14" i="3"/>
  <c r="A14" i="3"/>
  <c r="F13" i="3"/>
  <c r="E13" i="3"/>
  <c r="D13" i="3"/>
  <c r="C13" i="3"/>
  <c r="B13" i="3"/>
  <c r="A13" i="3"/>
  <c r="F12" i="3"/>
  <c r="E12" i="3"/>
  <c r="D12" i="3"/>
  <c r="C12" i="3"/>
  <c r="B12" i="3"/>
  <c r="A12" i="3"/>
  <c r="F11" i="3"/>
  <c r="E11" i="3"/>
  <c r="D11" i="3"/>
  <c r="C11" i="3"/>
  <c r="B11" i="3"/>
  <c r="A11" i="3"/>
  <c r="F10" i="3"/>
  <c r="E10" i="3"/>
  <c r="D10" i="3"/>
  <c r="C10" i="3"/>
  <c r="B10" i="3"/>
  <c r="A10" i="3"/>
  <c r="F9" i="3"/>
  <c r="E9" i="3"/>
  <c r="D9" i="3"/>
  <c r="C9" i="3"/>
  <c r="B9" i="3"/>
  <c r="A9" i="3"/>
  <c r="F8" i="3"/>
  <c r="E8" i="3"/>
  <c r="D8" i="3"/>
  <c r="C8" i="3"/>
  <c r="B8" i="3"/>
  <c r="A8" i="3"/>
  <c r="F7" i="3"/>
  <c r="E7" i="3"/>
  <c r="D7" i="3"/>
  <c r="C7" i="3"/>
  <c r="B7" i="3"/>
  <c r="A7" i="3"/>
  <c r="F6" i="3"/>
  <c r="E6" i="3"/>
  <c r="D6" i="3"/>
  <c r="C6" i="3"/>
  <c r="B6" i="3"/>
  <c r="A6" i="3"/>
  <c r="F5" i="3"/>
  <c r="E5" i="3"/>
  <c r="D5" i="3"/>
  <c r="C5" i="3"/>
  <c r="B5" i="3"/>
  <c r="A5" i="3"/>
  <c r="F4" i="3"/>
  <c r="E4" i="3"/>
  <c r="D4" i="3"/>
  <c r="C4" i="3"/>
  <c r="B4" i="3"/>
  <c r="A4" i="3"/>
  <c r="F3" i="3"/>
  <c r="E3" i="3"/>
  <c r="D3" i="3"/>
  <c r="C3" i="3"/>
  <c r="B3" i="3"/>
  <c r="A3" i="3"/>
  <c r="F2" i="3"/>
  <c r="E2" i="3"/>
  <c r="D2" i="3"/>
  <c r="C2" i="3"/>
  <c r="B2" i="3"/>
  <c r="A2" i="3"/>
  <c r="H15" i="1"/>
  <c r="G205" i="3" s="1"/>
  <c r="H205" i="3" s="1"/>
  <c r="H14" i="1"/>
  <c r="G185" i="3" s="1"/>
  <c r="H185" i="3" s="1"/>
  <c r="H13" i="1"/>
  <c r="H12" i="1"/>
  <c r="H11" i="1"/>
  <c r="G141" i="3" s="1"/>
  <c r="H141" i="3" s="1"/>
  <c r="H10" i="1"/>
  <c r="H9" i="1"/>
  <c r="H8" i="1"/>
  <c r="G104" i="3" s="1"/>
  <c r="H7" i="1"/>
  <c r="G88" i="3" s="1"/>
  <c r="H6" i="1"/>
  <c r="G72" i="3" s="1"/>
  <c r="H5" i="1"/>
  <c r="G56" i="3" s="1"/>
  <c r="H4" i="1"/>
  <c r="G41" i="3" s="1"/>
  <c r="H3" i="1"/>
  <c r="G29" i="3" s="1"/>
  <c r="H2" i="1"/>
  <c r="G15" i="3" s="1"/>
  <c r="D14" i="8" l="1"/>
  <c r="C19" i="5"/>
  <c r="D21" i="8"/>
  <c r="H12" i="3"/>
  <c r="H30" i="3"/>
  <c r="C2" i="4" s="1"/>
  <c r="H52" i="3"/>
  <c r="D14" i="4" s="1"/>
  <c r="H56" i="3"/>
  <c r="H60" i="3"/>
  <c r="H68" i="3"/>
  <c r="D33" i="4" s="1"/>
  <c r="H78" i="3"/>
  <c r="H86" i="3"/>
  <c r="E34" i="4" s="1"/>
  <c r="H18" i="3"/>
  <c r="H5" i="3"/>
  <c r="B5" i="4" s="1"/>
  <c r="H13" i="3"/>
  <c r="H29" i="3"/>
  <c r="H31" i="3"/>
  <c r="C18" i="4" s="1"/>
  <c r="H39" i="3"/>
  <c r="C21" i="4" s="1"/>
  <c r="H41" i="3"/>
  <c r="H47" i="3"/>
  <c r="H55" i="3"/>
  <c r="H95" i="3"/>
  <c r="G162" i="3"/>
  <c r="H162" i="3" s="1"/>
  <c r="G158" i="3"/>
  <c r="H158" i="3" s="1"/>
  <c r="G154" i="3"/>
  <c r="H154" i="3" s="1"/>
  <c r="G163" i="3"/>
  <c r="H163" i="3" s="1"/>
  <c r="D22" i="5" s="1"/>
  <c r="G159" i="3"/>
  <c r="H159" i="3" s="1"/>
  <c r="G155" i="3"/>
  <c r="H155" i="3" s="1"/>
  <c r="G151" i="3"/>
  <c r="H151" i="3" s="1"/>
  <c r="G164" i="3"/>
  <c r="H164" i="3" s="1"/>
  <c r="D17" i="5" s="1"/>
  <c r="G160" i="3"/>
  <c r="H160" i="3" s="1"/>
  <c r="G156" i="3"/>
  <c r="H156" i="3" s="1"/>
  <c r="G152" i="3"/>
  <c r="H152" i="3" s="1"/>
  <c r="G99" i="3"/>
  <c r="H99" i="3" s="1"/>
  <c r="F32" i="4" s="1"/>
  <c r="F14" i="4"/>
  <c r="E10" i="5"/>
  <c r="G120" i="3"/>
  <c r="G119" i="3"/>
  <c r="H119" i="3" s="1"/>
  <c r="B16" i="5" s="1"/>
  <c r="G118" i="3"/>
  <c r="G117" i="3"/>
  <c r="G116" i="3"/>
  <c r="G115" i="3"/>
  <c r="H115" i="3" s="1"/>
  <c r="B12" i="5" s="1"/>
  <c r="G114" i="3"/>
  <c r="G113" i="3"/>
  <c r="G112" i="3"/>
  <c r="G111" i="3"/>
  <c r="H111" i="3" s="1"/>
  <c r="B8" i="5" s="1"/>
  <c r="G110" i="3"/>
  <c r="G109" i="3"/>
  <c r="G182" i="3"/>
  <c r="H182" i="3" s="1"/>
  <c r="G178" i="3"/>
  <c r="H178" i="3" s="1"/>
  <c r="D26" i="5" s="1"/>
  <c r="G174" i="3"/>
  <c r="H174" i="3" s="1"/>
  <c r="G170" i="3"/>
  <c r="H170" i="3" s="1"/>
  <c r="G166" i="3"/>
  <c r="H166" i="3" s="1"/>
  <c r="G179" i="3"/>
  <c r="H179" i="3" s="1"/>
  <c r="G175" i="3"/>
  <c r="H175" i="3" s="1"/>
  <c r="G171" i="3"/>
  <c r="H171" i="3" s="1"/>
  <c r="G167" i="3"/>
  <c r="H167" i="3" s="1"/>
  <c r="G180" i="3"/>
  <c r="H180" i="3" s="1"/>
  <c r="G176" i="3"/>
  <c r="H176" i="3" s="1"/>
  <c r="G172" i="3"/>
  <c r="H172" i="3" s="1"/>
  <c r="G168" i="3"/>
  <c r="H168" i="3" s="1"/>
  <c r="G98" i="3"/>
  <c r="G102" i="3"/>
  <c r="G106" i="3"/>
  <c r="H109" i="3"/>
  <c r="H113" i="3"/>
  <c r="B10" i="5" s="1"/>
  <c r="H117" i="3"/>
  <c r="G153" i="3"/>
  <c r="H153" i="3" s="1"/>
  <c r="G169" i="3"/>
  <c r="H169" i="3" s="1"/>
  <c r="G201" i="3"/>
  <c r="H201" i="3" s="1"/>
  <c r="G217" i="3"/>
  <c r="H217" i="3" s="1"/>
  <c r="F28" i="5" s="1"/>
  <c r="D3" i="4"/>
  <c r="F8" i="4"/>
  <c r="D17" i="4"/>
  <c r="B26" i="4"/>
  <c r="B28" i="5"/>
  <c r="D27" i="5"/>
  <c r="B26" i="5"/>
  <c r="B24" i="5"/>
  <c r="F23" i="5"/>
  <c r="B23" i="5"/>
  <c r="F21" i="5"/>
  <c r="B21" i="5"/>
  <c r="D20" i="5"/>
  <c r="F19" i="5"/>
  <c r="B19" i="5"/>
  <c r="D18" i="5"/>
  <c r="F17" i="5"/>
  <c r="D16" i="5"/>
  <c r="D12" i="5"/>
  <c r="C27" i="5"/>
  <c r="C25" i="5"/>
  <c r="C22" i="5"/>
  <c r="E21" i="5"/>
  <c r="E19" i="5"/>
  <c r="C18" i="5"/>
  <c r="E9" i="5"/>
  <c r="E7" i="5"/>
  <c r="E5" i="5"/>
  <c r="D28" i="5"/>
  <c r="B27" i="5"/>
  <c r="F25" i="5"/>
  <c r="B25" i="5"/>
  <c r="D24" i="5"/>
  <c r="D23" i="5"/>
  <c r="B22" i="5"/>
  <c r="D21" i="5"/>
  <c r="F20" i="5"/>
  <c r="B20" i="5"/>
  <c r="D19" i="5"/>
  <c r="F18" i="5"/>
  <c r="B18" i="5"/>
  <c r="F16" i="5"/>
  <c r="D15" i="5"/>
  <c r="F14" i="5"/>
  <c r="B14" i="5"/>
  <c r="D13" i="5"/>
  <c r="F12" i="5"/>
  <c r="C28" i="5"/>
  <c r="E18" i="5"/>
  <c r="D10" i="5"/>
  <c r="D9" i="5"/>
  <c r="E8" i="5"/>
  <c r="F7" i="5"/>
  <c r="B4" i="5"/>
  <c r="C34" i="4"/>
  <c r="C32" i="4"/>
  <c r="C30" i="4"/>
  <c r="C29" i="4"/>
  <c r="C27" i="4"/>
  <c r="E26" i="4"/>
  <c r="C25" i="4"/>
  <c r="E24" i="4"/>
  <c r="C23" i="4"/>
  <c r="E22" i="4"/>
  <c r="E20" i="4"/>
  <c r="C17" i="4"/>
  <c r="E16" i="4"/>
  <c r="C15" i="4"/>
  <c r="E14" i="4"/>
  <c r="C13" i="4"/>
  <c r="C11" i="4"/>
  <c r="E10" i="4"/>
  <c r="C9" i="4"/>
  <c r="E8" i="4"/>
  <c r="E6" i="4"/>
  <c r="C5" i="4"/>
  <c r="E4" i="4"/>
  <c r="C3" i="4"/>
  <c r="E27" i="5"/>
  <c r="C23" i="5"/>
  <c r="E20" i="5"/>
  <c r="E12" i="5"/>
  <c r="B11" i="5"/>
  <c r="D8" i="5"/>
  <c r="D7" i="5"/>
  <c r="F4" i="5"/>
  <c r="B3" i="5"/>
  <c r="D2" i="5"/>
  <c r="B34" i="4"/>
  <c r="B32" i="4"/>
  <c r="B30" i="4"/>
  <c r="B29" i="4"/>
  <c r="F27" i="4"/>
  <c r="B27" i="4"/>
  <c r="F25" i="4"/>
  <c r="B25" i="4"/>
  <c r="D24" i="4"/>
  <c r="F23" i="4"/>
  <c r="B23" i="4"/>
  <c r="F21" i="4"/>
  <c r="B21" i="4"/>
  <c r="D20" i="4"/>
  <c r="F19" i="4"/>
  <c r="B19" i="4"/>
  <c r="B18" i="4"/>
  <c r="F17" i="4"/>
  <c r="D16" i="4"/>
  <c r="B15" i="4"/>
  <c r="F13" i="4"/>
  <c r="F11" i="4"/>
  <c r="C24" i="5"/>
  <c r="E22" i="5"/>
  <c r="E14" i="5"/>
  <c r="F10" i="5"/>
  <c r="D6" i="5"/>
  <c r="D5" i="5"/>
  <c r="F3" i="5"/>
  <c r="C35" i="4"/>
  <c r="C33" i="4"/>
  <c r="C31" i="4"/>
  <c r="E29" i="4"/>
  <c r="C28" i="4"/>
  <c r="E27" i="4"/>
  <c r="C26" i="4"/>
  <c r="E25" i="4"/>
  <c r="C24" i="4"/>
  <c r="E23" i="4"/>
  <c r="E21" i="4"/>
  <c r="E19" i="4"/>
  <c r="E17" i="4"/>
  <c r="C16" i="4"/>
  <c r="E15" i="4"/>
  <c r="E13" i="4"/>
  <c r="E11" i="4"/>
  <c r="C10" i="4"/>
  <c r="E9" i="4"/>
  <c r="C8" i="4"/>
  <c r="C6" i="4"/>
  <c r="E5" i="4"/>
  <c r="C4" i="4"/>
  <c r="E3" i="4"/>
  <c r="C26" i="5"/>
  <c r="E16" i="5"/>
  <c r="F9" i="5"/>
  <c r="B6" i="5"/>
  <c r="F2" i="5"/>
  <c r="B35" i="4"/>
  <c r="B28" i="4"/>
  <c r="F22" i="4"/>
  <c r="B20" i="4"/>
  <c r="F16" i="4"/>
  <c r="D11" i="4"/>
  <c r="F9" i="4"/>
  <c r="D8" i="4"/>
  <c r="F5" i="4"/>
  <c r="D4" i="4"/>
  <c r="F8" i="5"/>
  <c r="C5" i="5"/>
  <c r="F24" i="4"/>
  <c r="B22" i="4"/>
  <c r="D13" i="4"/>
  <c r="F10" i="4"/>
  <c r="D9" i="4"/>
  <c r="F6" i="4"/>
  <c r="D5" i="4"/>
  <c r="D4" i="5"/>
  <c r="B31" i="4"/>
  <c r="F26" i="4"/>
  <c r="B24" i="4"/>
  <c r="D21" i="4"/>
  <c r="D15" i="4"/>
  <c r="D6" i="4"/>
  <c r="F3" i="4"/>
  <c r="H98" i="3"/>
  <c r="F12" i="4" s="1"/>
  <c r="G103" i="3"/>
  <c r="H106" i="3"/>
  <c r="B33" i="4"/>
  <c r="G136" i="3"/>
  <c r="H136" i="3" s="1"/>
  <c r="C17" i="5" s="1"/>
  <c r="G135" i="3"/>
  <c r="H135" i="3" s="1"/>
  <c r="C16" i="5" s="1"/>
  <c r="G134" i="3"/>
  <c r="H134" i="3" s="1"/>
  <c r="C15" i="5" s="1"/>
  <c r="G133" i="3"/>
  <c r="H133" i="3" s="1"/>
  <c r="C14" i="5" s="1"/>
  <c r="G132" i="3"/>
  <c r="H132" i="3" s="1"/>
  <c r="G131" i="3"/>
  <c r="H131" i="3" s="1"/>
  <c r="C12" i="5" s="1"/>
  <c r="G130" i="3"/>
  <c r="H130" i="3" s="1"/>
  <c r="C11" i="5" s="1"/>
  <c r="G129" i="3"/>
  <c r="H129" i="3" s="1"/>
  <c r="C10" i="5" s="1"/>
  <c r="G128" i="3"/>
  <c r="H128" i="3" s="1"/>
  <c r="C9" i="5" s="1"/>
  <c r="G127" i="3"/>
  <c r="H127" i="3" s="1"/>
  <c r="C8" i="5" s="1"/>
  <c r="G126" i="3"/>
  <c r="H126" i="3" s="1"/>
  <c r="C7" i="5" s="1"/>
  <c r="G125" i="3"/>
  <c r="H125" i="3" s="1"/>
  <c r="C6" i="5" s="1"/>
  <c r="G124" i="3"/>
  <c r="H124" i="3" s="1"/>
  <c r="G123" i="3"/>
  <c r="H123" i="3" s="1"/>
  <c r="C4" i="5" s="1"/>
  <c r="G122" i="3"/>
  <c r="H122" i="3" s="1"/>
  <c r="C3" i="5" s="1"/>
  <c r="G121" i="3"/>
  <c r="H121" i="3" s="1"/>
  <c r="C2" i="5" s="1"/>
  <c r="G198" i="3"/>
  <c r="H198" i="3" s="1"/>
  <c r="G194" i="3"/>
  <c r="H194" i="3" s="1"/>
  <c r="E13" i="5" s="1"/>
  <c r="G190" i="3"/>
  <c r="H190" i="3" s="1"/>
  <c r="E24" i="5" s="1"/>
  <c r="G186" i="3"/>
  <c r="H186" i="3" s="1"/>
  <c r="E4" i="5" s="1"/>
  <c r="G199" i="3"/>
  <c r="H199" i="3" s="1"/>
  <c r="E28" i="5" s="1"/>
  <c r="G195" i="3"/>
  <c r="H195" i="3" s="1"/>
  <c r="G191" i="3"/>
  <c r="H191" i="3" s="1"/>
  <c r="E25" i="5" s="1"/>
  <c r="G187" i="3"/>
  <c r="H187" i="3" s="1"/>
  <c r="E23" i="5" s="1"/>
  <c r="G183" i="3"/>
  <c r="H183" i="3" s="1"/>
  <c r="E2" i="5" s="1"/>
  <c r="G200" i="3"/>
  <c r="H200" i="3" s="1"/>
  <c r="E17" i="5" s="1"/>
  <c r="G196" i="3"/>
  <c r="H196" i="3" s="1"/>
  <c r="E26" i="5" s="1"/>
  <c r="G192" i="3"/>
  <c r="H192" i="3" s="1"/>
  <c r="E11" i="5" s="1"/>
  <c r="G188" i="3"/>
  <c r="H188" i="3" s="1"/>
  <c r="E6" i="5" s="1"/>
  <c r="G184" i="3"/>
  <c r="H184" i="3" s="1"/>
  <c r="E3" i="5" s="1"/>
  <c r="G2" i="3"/>
  <c r="H2" i="3" s="1"/>
  <c r="G3" i="3"/>
  <c r="H3" i="3" s="1"/>
  <c r="B3" i="4" s="1"/>
  <c r="G4" i="3"/>
  <c r="H4" i="3" s="1"/>
  <c r="B4" i="4" s="1"/>
  <c r="G5" i="3"/>
  <c r="G6" i="3"/>
  <c r="H6" i="3" s="1"/>
  <c r="B6" i="4" s="1"/>
  <c r="G7" i="3"/>
  <c r="H7" i="3" s="1"/>
  <c r="B7" i="4" s="1"/>
  <c r="G8" i="3"/>
  <c r="H8" i="3" s="1"/>
  <c r="B8" i="4" s="1"/>
  <c r="G9" i="3"/>
  <c r="H9" i="3" s="1"/>
  <c r="G10" i="3"/>
  <c r="H10" i="3" s="1"/>
  <c r="G11" i="3"/>
  <c r="H11" i="3" s="1"/>
  <c r="B11" i="4" s="1"/>
  <c r="G12" i="3"/>
  <c r="G13" i="3"/>
  <c r="G14" i="3"/>
  <c r="H14" i="3" s="1"/>
  <c r="G16" i="3"/>
  <c r="H16" i="3" s="1"/>
  <c r="G17" i="3"/>
  <c r="H17" i="3" s="1"/>
  <c r="G18" i="3"/>
  <c r="G19" i="3"/>
  <c r="H19" i="3" s="1"/>
  <c r="B16" i="4" s="1"/>
  <c r="G20" i="3"/>
  <c r="H20" i="3" s="1"/>
  <c r="B17" i="4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B12" i="4" s="1"/>
  <c r="G27" i="3"/>
  <c r="H27" i="3" s="1"/>
  <c r="B13" i="4" s="1"/>
  <c r="G28" i="3"/>
  <c r="H28" i="3" s="1"/>
  <c r="G30" i="3"/>
  <c r="G31" i="3"/>
  <c r="G32" i="3"/>
  <c r="H32" i="3" s="1"/>
  <c r="G33" i="3"/>
  <c r="H33" i="3" s="1"/>
  <c r="C7" i="4" s="1"/>
  <c r="G34" i="3"/>
  <c r="H34" i="3" s="1"/>
  <c r="C19" i="4" s="1"/>
  <c r="G35" i="3"/>
  <c r="H35" i="3" s="1"/>
  <c r="C20" i="4" s="1"/>
  <c r="G36" i="3"/>
  <c r="H36" i="3" s="1"/>
  <c r="G37" i="3"/>
  <c r="H37" i="3" s="1"/>
  <c r="C12" i="4" s="1"/>
  <c r="G38" i="3"/>
  <c r="H38" i="3" s="1"/>
  <c r="C14" i="4" s="1"/>
  <c r="G39" i="3"/>
  <c r="G40" i="3"/>
  <c r="H40" i="3" s="1"/>
  <c r="C22" i="4" s="1"/>
  <c r="G42" i="3"/>
  <c r="H42" i="3" s="1"/>
  <c r="D2" i="4" s="1"/>
  <c r="G43" i="3"/>
  <c r="H43" i="3" s="1"/>
  <c r="G44" i="3"/>
  <c r="H44" i="3" s="1"/>
  <c r="G45" i="3"/>
  <c r="H45" i="3" s="1"/>
  <c r="D23" i="4" s="1"/>
  <c r="G46" i="3"/>
  <c r="H46" i="3" s="1"/>
  <c r="D19" i="4" s="1"/>
  <c r="G47" i="3"/>
  <c r="G48" i="3"/>
  <c r="H48" i="3" s="1"/>
  <c r="D25" i="4" s="1"/>
  <c r="G49" i="3"/>
  <c r="H49" i="3" s="1"/>
  <c r="D26" i="4" s="1"/>
  <c r="G50" i="3"/>
  <c r="H50" i="3" s="1"/>
  <c r="D27" i="4" s="1"/>
  <c r="G51" i="3"/>
  <c r="H51" i="3" s="1"/>
  <c r="G52" i="3"/>
  <c r="G53" i="3"/>
  <c r="H53" i="3" s="1"/>
  <c r="D10" i="4" s="1"/>
  <c r="G54" i="3"/>
  <c r="H54" i="3" s="1"/>
  <c r="D22" i="4" s="1"/>
  <c r="G55" i="3"/>
  <c r="G57" i="3"/>
  <c r="H57" i="3" s="1"/>
  <c r="G58" i="3"/>
  <c r="H58" i="3" s="1"/>
  <c r="G59" i="3"/>
  <c r="H59" i="3" s="1"/>
  <c r="G60" i="3"/>
  <c r="G61" i="3"/>
  <c r="H61" i="3" s="1"/>
  <c r="D28" i="4" s="1"/>
  <c r="G62" i="3"/>
  <c r="H62" i="3" s="1"/>
  <c r="D29" i="4" s="1"/>
  <c r="G63" i="3"/>
  <c r="H63" i="3" s="1"/>
  <c r="G64" i="3"/>
  <c r="H64" i="3" s="1"/>
  <c r="D30" i="4" s="1"/>
  <c r="G65" i="3"/>
  <c r="H65" i="3" s="1"/>
  <c r="D31" i="4" s="1"/>
  <c r="G66" i="3"/>
  <c r="H66" i="3" s="1"/>
  <c r="G67" i="3"/>
  <c r="H67" i="3" s="1"/>
  <c r="D32" i="4" s="1"/>
  <c r="G68" i="3"/>
  <c r="G69" i="3"/>
  <c r="H69" i="3" s="1"/>
  <c r="G70" i="3"/>
  <c r="H70" i="3" s="1"/>
  <c r="D34" i="4" s="1"/>
  <c r="G71" i="3"/>
  <c r="H71" i="3" s="1"/>
  <c r="D35" i="4" s="1"/>
  <c r="G73" i="3"/>
  <c r="H73" i="3" s="1"/>
  <c r="G74" i="3"/>
  <c r="H74" i="3" s="1"/>
  <c r="E2" i="4" s="1"/>
  <c r="G75" i="3"/>
  <c r="H75" i="3" s="1"/>
  <c r="E7" i="4" s="1"/>
  <c r="G76" i="3"/>
  <c r="H76" i="3" s="1"/>
  <c r="G77" i="3"/>
  <c r="H77" i="3" s="1"/>
  <c r="E28" i="4" s="1"/>
  <c r="G78" i="3"/>
  <c r="G79" i="3"/>
  <c r="H79" i="3" s="1"/>
  <c r="G80" i="3"/>
  <c r="H80" i="3" s="1"/>
  <c r="E30" i="4" s="1"/>
  <c r="G81" i="3"/>
  <c r="H81" i="3" s="1"/>
  <c r="E31" i="4" s="1"/>
  <c r="G82" i="3"/>
  <c r="H82" i="3" s="1"/>
  <c r="E12" i="4" s="1"/>
  <c r="G83" i="3"/>
  <c r="H83" i="3" s="1"/>
  <c r="E32" i="4" s="1"/>
  <c r="G84" i="3"/>
  <c r="H84" i="3" s="1"/>
  <c r="E33" i="4" s="1"/>
  <c r="G85" i="3"/>
  <c r="H85" i="3" s="1"/>
  <c r="G86" i="3"/>
  <c r="G87" i="3"/>
  <c r="H87" i="3" s="1"/>
  <c r="E35" i="4" s="1"/>
  <c r="G89" i="3"/>
  <c r="H89" i="3" s="1"/>
  <c r="F18" i="4" s="1"/>
  <c r="G90" i="3"/>
  <c r="H90" i="3" s="1"/>
  <c r="F2" i="4" s="1"/>
  <c r="G91" i="3"/>
  <c r="H91" i="3" s="1"/>
  <c r="F7" i="4" s="1"/>
  <c r="G92" i="3"/>
  <c r="H92" i="3" s="1"/>
  <c r="G93" i="3"/>
  <c r="H93" i="3" s="1"/>
  <c r="F28" i="4" s="1"/>
  <c r="G94" i="3"/>
  <c r="H94" i="3" s="1"/>
  <c r="F29" i="4" s="1"/>
  <c r="G95" i="3"/>
  <c r="G96" i="3"/>
  <c r="H96" i="3" s="1"/>
  <c r="F30" i="4" s="1"/>
  <c r="G97" i="3"/>
  <c r="H97" i="3" s="1"/>
  <c r="F31" i="4" s="1"/>
  <c r="G101" i="3"/>
  <c r="H101" i="3" s="1"/>
  <c r="H104" i="3"/>
  <c r="F15" i="4" s="1"/>
  <c r="G105" i="3"/>
  <c r="H105" i="3" s="1"/>
  <c r="B2" i="5" s="1"/>
  <c r="G157" i="3"/>
  <c r="H157" i="3" s="1"/>
  <c r="G173" i="3"/>
  <c r="H173" i="3" s="1"/>
  <c r="D25" i="5" s="1"/>
  <c r="G189" i="3"/>
  <c r="H189" i="3" s="1"/>
  <c r="F4" i="4"/>
  <c r="D3" i="5"/>
  <c r="G14" i="7"/>
  <c r="H102" i="3"/>
  <c r="F34" i="4" s="1"/>
  <c r="G150" i="3"/>
  <c r="H150" i="3" s="1"/>
  <c r="G146" i="3"/>
  <c r="H146" i="3" s="1"/>
  <c r="C13" i="5" s="1"/>
  <c r="G142" i="3"/>
  <c r="H142" i="3" s="1"/>
  <c r="C20" i="5" s="1"/>
  <c r="G147" i="3"/>
  <c r="H147" i="3" s="1"/>
  <c r="G143" i="3"/>
  <c r="H143" i="3" s="1"/>
  <c r="G148" i="3"/>
  <c r="H148" i="3" s="1"/>
  <c r="G144" i="3"/>
  <c r="H144" i="3" s="1"/>
  <c r="C21" i="5" s="1"/>
  <c r="G140" i="3"/>
  <c r="H140" i="3" s="1"/>
  <c r="G139" i="3"/>
  <c r="H139" i="3" s="1"/>
  <c r="G138" i="3"/>
  <c r="H138" i="3" s="1"/>
  <c r="G137" i="3"/>
  <c r="H137" i="3" s="1"/>
  <c r="G218" i="3"/>
  <c r="H218" i="3" s="1"/>
  <c r="G214" i="3"/>
  <c r="H214" i="3" s="1"/>
  <c r="F26" i="5" s="1"/>
  <c r="G210" i="3"/>
  <c r="H210" i="3" s="1"/>
  <c r="F11" i="5" s="1"/>
  <c r="G206" i="3"/>
  <c r="H206" i="3" s="1"/>
  <c r="F6" i="5" s="1"/>
  <c r="G202" i="3"/>
  <c r="H202" i="3" s="1"/>
  <c r="G215" i="3"/>
  <c r="H215" i="3" s="1"/>
  <c r="F22" i="5" s="1"/>
  <c r="G211" i="3"/>
  <c r="H211" i="3" s="1"/>
  <c r="F15" i="5" s="1"/>
  <c r="G207" i="3"/>
  <c r="H207" i="3" s="1"/>
  <c r="G203" i="3"/>
  <c r="H203" i="3" s="1"/>
  <c r="F5" i="5" s="1"/>
  <c r="G216" i="3"/>
  <c r="H216" i="3" s="1"/>
  <c r="F27" i="5" s="1"/>
  <c r="G212" i="3"/>
  <c r="H212" i="3" s="1"/>
  <c r="F13" i="5" s="1"/>
  <c r="G208" i="3"/>
  <c r="H208" i="3" s="1"/>
  <c r="F24" i="5" s="1"/>
  <c r="G204" i="3"/>
  <c r="H204" i="3" s="1"/>
  <c r="G100" i="3"/>
  <c r="H100" i="3" s="1"/>
  <c r="F33" i="4" s="1"/>
  <c r="H103" i="3"/>
  <c r="F35" i="4" s="1"/>
  <c r="H107" i="3"/>
  <c r="G108" i="3"/>
  <c r="H108" i="3" s="1"/>
  <c r="B5" i="5" s="1"/>
  <c r="H110" i="3"/>
  <c r="B7" i="5" s="1"/>
  <c r="H112" i="3"/>
  <c r="B9" i="5" s="1"/>
  <c r="H114" i="3"/>
  <c r="H116" i="3"/>
  <c r="B13" i="5" s="1"/>
  <c r="H118" i="3"/>
  <c r="B15" i="5" s="1"/>
  <c r="H120" i="3"/>
  <c r="B17" i="5" s="1"/>
  <c r="G145" i="3"/>
  <c r="H145" i="3" s="1"/>
  <c r="G161" i="3"/>
  <c r="H161" i="3" s="1"/>
  <c r="D11" i="5" s="1"/>
  <c r="G177" i="3"/>
  <c r="H177" i="3" s="1"/>
  <c r="D14" i="5" s="1"/>
  <c r="G193" i="3"/>
  <c r="H193" i="3" s="1"/>
  <c r="E15" i="5" s="1"/>
  <c r="G209" i="3"/>
  <c r="H209" i="3" s="1"/>
  <c r="F20" i="4"/>
  <c r="F14" i="7"/>
  <c r="G23" i="7"/>
  <c r="C17" i="8" s="1"/>
  <c r="G25" i="7"/>
  <c r="G80" i="7"/>
  <c r="G88" i="7"/>
  <c r="F7" i="8" s="1"/>
  <c r="B16" i="8"/>
  <c r="G2" i="7"/>
  <c r="B2" i="8" s="1"/>
  <c r="G10" i="7"/>
  <c r="B10" i="8" s="1"/>
  <c r="F25" i="7"/>
  <c r="F21" i="7"/>
  <c r="G21" i="7" s="1"/>
  <c r="F24" i="7"/>
  <c r="G24" i="7" s="1"/>
  <c r="C12" i="8" s="1"/>
  <c r="F15" i="7"/>
  <c r="G15" i="7" s="1"/>
  <c r="F27" i="7"/>
  <c r="G27" i="7" s="1"/>
  <c r="F22" i="7"/>
  <c r="G22" i="7" s="1"/>
  <c r="F19" i="7"/>
  <c r="G19" i="7" s="1"/>
  <c r="C15" i="8" s="1"/>
  <c r="F16" i="7"/>
  <c r="G16" i="7" s="1"/>
  <c r="C3" i="8" s="1"/>
  <c r="F28" i="7"/>
  <c r="G28" i="7" s="1"/>
  <c r="F20" i="7"/>
  <c r="G20" i="7" s="1"/>
  <c r="F17" i="7"/>
  <c r="G17" i="7" s="1"/>
  <c r="F87" i="7"/>
  <c r="G87" i="7" s="1"/>
  <c r="F83" i="7"/>
  <c r="G83" i="7" s="1"/>
  <c r="F79" i="7"/>
  <c r="G79" i="7" s="1"/>
  <c r="E5" i="8" s="1"/>
  <c r="F75" i="7"/>
  <c r="G75" i="7" s="1"/>
  <c r="F84" i="7"/>
  <c r="G84" i="7" s="1"/>
  <c r="F80" i="7"/>
  <c r="F76" i="7"/>
  <c r="G76" i="7" s="1"/>
  <c r="F85" i="7"/>
  <c r="F81" i="7"/>
  <c r="F77" i="7"/>
  <c r="F73" i="7"/>
  <c r="F82" i="7"/>
  <c r="G82" i="7" s="1"/>
  <c r="F74" i="7"/>
  <c r="G74" i="7" s="1"/>
  <c r="F86" i="7"/>
  <c r="G86" i="7" s="1"/>
  <c r="F78" i="7"/>
  <c r="G78" i="7" s="1"/>
  <c r="E15" i="8" s="1"/>
  <c r="G5" i="7"/>
  <c r="B5" i="8" s="1"/>
  <c r="F18" i="7"/>
  <c r="F26" i="7"/>
  <c r="G30" i="7"/>
  <c r="C14" i="8" s="1"/>
  <c r="G54" i="7"/>
  <c r="G62" i="7"/>
  <c r="G70" i="7"/>
  <c r="G118" i="7"/>
  <c r="F11" i="8"/>
  <c r="F43" i="7"/>
  <c r="G43" i="7" s="1"/>
  <c r="F39" i="7"/>
  <c r="G39" i="7" s="1"/>
  <c r="F35" i="7"/>
  <c r="G35" i="7" s="1"/>
  <c r="F31" i="7"/>
  <c r="G31" i="7" s="1"/>
  <c r="F44" i="7"/>
  <c r="G44" i="7" s="1"/>
  <c r="F40" i="7"/>
  <c r="G40" i="7" s="1"/>
  <c r="F36" i="7"/>
  <c r="G36" i="7" s="1"/>
  <c r="F32" i="7"/>
  <c r="G32" i="7" s="1"/>
  <c r="F41" i="7"/>
  <c r="G41" i="7" s="1"/>
  <c r="F37" i="7"/>
  <c r="G37" i="7" s="1"/>
  <c r="C8" i="8" s="1"/>
  <c r="F33" i="7"/>
  <c r="F29" i="7"/>
  <c r="F99" i="7"/>
  <c r="G99" i="7" s="1"/>
  <c r="F18" i="8" s="1"/>
  <c r="F95" i="7"/>
  <c r="G95" i="7" s="1"/>
  <c r="F91" i="7"/>
  <c r="G91" i="7" s="1"/>
  <c r="F100" i="7"/>
  <c r="F96" i="7"/>
  <c r="G96" i="7" s="1"/>
  <c r="F92" i="7"/>
  <c r="F88" i="7"/>
  <c r="F101" i="7"/>
  <c r="F97" i="7"/>
  <c r="F93" i="7"/>
  <c r="G93" i="7" s="1"/>
  <c r="F89" i="7"/>
  <c r="F5" i="7"/>
  <c r="F9" i="7"/>
  <c r="G9" i="7" s="1"/>
  <c r="B9" i="8" s="1"/>
  <c r="F13" i="7"/>
  <c r="G13" i="7" s="1"/>
  <c r="B13" i="8" s="1"/>
  <c r="F30" i="7"/>
  <c r="G33" i="7"/>
  <c r="C2" i="8" s="1"/>
  <c r="F38" i="7"/>
  <c r="G38" i="7" s="1"/>
  <c r="F46" i="7"/>
  <c r="G46" i="7" s="1"/>
  <c r="D3" i="8" s="1"/>
  <c r="G57" i="7"/>
  <c r="F62" i="7"/>
  <c r="G73" i="7"/>
  <c r="G81" i="7"/>
  <c r="G89" i="7"/>
  <c r="F94" i="7"/>
  <c r="G94" i="7" s="1"/>
  <c r="G97" i="7"/>
  <c r="F102" i="7"/>
  <c r="G102" i="7" s="1"/>
  <c r="F110" i="7"/>
  <c r="G110" i="7" s="1"/>
  <c r="G113" i="7"/>
  <c r="D4" i="8"/>
  <c r="F9" i="8"/>
  <c r="D12" i="8"/>
  <c r="D19" i="8"/>
  <c r="B22" i="8"/>
  <c r="F55" i="7"/>
  <c r="G55" i="7" s="1"/>
  <c r="F51" i="7"/>
  <c r="G51" i="7" s="1"/>
  <c r="F47" i="7"/>
  <c r="G47" i="7" s="1"/>
  <c r="F56" i="7"/>
  <c r="G56" i="7" s="1"/>
  <c r="F52" i="7"/>
  <c r="G52" i="7" s="1"/>
  <c r="D9" i="8" s="1"/>
  <c r="F48" i="7"/>
  <c r="G48" i="7" s="1"/>
  <c r="F53" i="7"/>
  <c r="F49" i="7"/>
  <c r="G49" i="7" s="1"/>
  <c r="D6" i="8" s="1"/>
  <c r="F45" i="7"/>
  <c r="F115" i="7"/>
  <c r="G115" i="7" s="1"/>
  <c r="F111" i="7"/>
  <c r="G111" i="7" s="1"/>
  <c r="F107" i="7"/>
  <c r="G107" i="7" s="1"/>
  <c r="F103" i="7"/>
  <c r="G103" i="7" s="1"/>
  <c r="F116" i="7"/>
  <c r="F112" i="7"/>
  <c r="G112" i="7" s="1"/>
  <c r="F108" i="7"/>
  <c r="G108" i="7" s="1"/>
  <c r="F21" i="8" s="1"/>
  <c r="F104" i="7"/>
  <c r="G104" i="7" s="1"/>
  <c r="F14" i="8" s="1"/>
  <c r="F117" i="7"/>
  <c r="F113" i="7"/>
  <c r="F109" i="7"/>
  <c r="G109" i="7" s="1"/>
  <c r="F105" i="7"/>
  <c r="G105" i="7" s="1"/>
  <c r="F4" i="7"/>
  <c r="G4" i="7" s="1"/>
  <c r="F8" i="7"/>
  <c r="G8" i="7" s="1"/>
  <c r="F12" i="7"/>
  <c r="G12" i="7" s="1"/>
  <c r="B12" i="8" s="1"/>
  <c r="G34" i="7"/>
  <c r="G50" i="7"/>
  <c r="D7" i="8" s="1"/>
  <c r="G66" i="7"/>
  <c r="E16" i="8" s="1"/>
  <c r="G92" i="7"/>
  <c r="G100" i="7"/>
  <c r="F19" i="8" s="1"/>
  <c r="G116" i="7"/>
  <c r="F22" i="8" s="1"/>
  <c r="D17" i="8"/>
  <c r="B20" i="8"/>
  <c r="F71" i="7"/>
  <c r="G71" i="7" s="1"/>
  <c r="E13" i="8" s="1"/>
  <c r="F67" i="7"/>
  <c r="G67" i="7" s="1"/>
  <c r="F63" i="7"/>
  <c r="G63" i="7" s="1"/>
  <c r="F59" i="7"/>
  <c r="G59" i="7" s="1"/>
  <c r="F72" i="7"/>
  <c r="G72" i="7" s="1"/>
  <c r="E20" i="8" s="1"/>
  <c r="F68" i="7"/>
  <c r="G68" i="7" s="1"/>
  <c r="E12" i="8" s="1"/>
  <c r="F64" i="7"/>
  <c r="G64" i="7" s="1"/>
  <c r="F60" i="7"/>
  <c r="G60" i="7" s="1"/>
  <c r="F69" i="7"/>
  <c r="G69" i="7" s="1"/>
  <c r="F65" i="7"/>
  <c r="G65" i="7" s="1"/>
  <c r="E8" i="8" s="1"/>
  <c r="F61" i="7"/>
  <c r="F57" i="7"/>
  <c r="E22" i="8"/>
  <c r="C21" i="8"/>
  <c r="E11" i="8"/>
  <c r="C10" i="8"/>
  <c r="E9" i="8"/>
  <c r="E7" i="8"/>
  <c r="C6" i="8"/>
  <c r="C4" i="8"/>
  <c r="E3" i="8"/>
  <c r="D22" i="8"/>
  <c r="B21" i="8"/>
  <c r="D20" i="8"/>
  <c r="B19" i="8"/>
  <c r="D18" i="8"/>
  <c r="F17" i="8"/>
  <c r="B17" i="8"/>
  <c r="D16" i="8"/>
  <c r="B15" i="8"/>
  <c r="B14" i="8"/>
  <c r="D13" i="8"/>
  <c r="D11" i="8"/>
  <c r="F10" i="8"/>
  <c r="F8" i="8"/>
  <c r="B8" i="8"/>
  <c r="F6" i="8"/>
  <c r="B6" i="8"/>
  <c r="D5" i="8"/>
  <c r="F4" i="8"/>
  <c r="B4" i="8"/>
  <c r="F2" i="8"/>
  <c r="E21" i="8"/>
  <c r="C20" i="8"/>
  <c r="E17" i="8"/>
  <c r="C13" i="8"/>
  <c r="C11" i="8"/>
  <c r="E10" i="8"/>
  <c r="C9" i="8"/>
  <c r="E6" i="8"/>
  <c r="C5" i="8"/>
  <c r="E4" i="8"/>
  <c r="E2" i="8"/>
  <c r="F3" i="7"/>
  <c r="G3" i="7" s="1"/>
  <c r="B3" i="8" s="1"/>
  <c r="F7" i="7"/>
  <c r="G7" i="7" s="1"/>
  <c r="B7" i="8" s="1"/>
  <c r="G18" i="7"/>
  <c r="G26" i="7"/>
  <c r="C19" i="8" s="1"/>
  <c r="G29" i="7"/>
  <c r="C7" i="8" s="1"/>
  <c r="F34" i="7"/>
  <c r="F42" i="7"/>
  <c r="G42" i="7" s="1"/>
  <c r="C22" i="8" s="1"/>
  <c r="G45" i="7"/>
  <c r="D2" i="8" s="1"/>
  <c r="F50" i="7"/>
  <c r="G53" i="7"/>
  <c r="D10" i="8" s="1"/>
  <c r="F58" i="7"/>
  <c r="G58" i="7" s="1"/>
  <c r="E14" i="8" s="1"/>
  <c r="G61" i="7"/>
  <c r="F66" i="7"/>
  <c r="G77" i="7"/>
  <c r="G85" i="7"/>
  <c r="E19" i="8" s="1"/>
  <c r="F90" i="7"/>
  <c r="G90" i="7" s="1"/>
  <c r="F98" i="7"/>
  <c r="G98" i="7" s="1"/>
  <c r="F12" i="8" s="1"/>
  <c r="G101" i="7"/>
  <c r="F13" i="8" s="1"/>
  <c r="F106" i="7"/>
  <c r="G106" i="7" s="1"/>
  <c r="F114" i="7"/>
  <c r="G114" i="7" s="1"/>
  <c r="G117" i="7"/>
  <c r="F5" i="8"/>
  <c r="D8" i="8"/>
  <c r="B11" i="8"/>
  <c r="D15" i="8"/>
  <c r="B18" i="8"/>
  <c r="F20" i="8"/>
  <c r="G9" i="5" l="1"/>
  <c r="C22" i="9" s="1"/>
  <c r="G7" i="5"/>
  <c r="C28" i="9" s="1"/>
  <c r="F28" i="9" s="1"/>
  <c r="H28" i="9" s="1"/>
  <c r="G5" i="8"/>
  <c r="G15" i="5"/>
  <c r="C25" i="9" s="1"/>
  <c r="G5" i="4"/>
  <c r="B23" i="9" s="1"/>
  <c r="F23" i="9" s="1"/>
  <c r="H23" i="9" s="1"/>
  <c r="G17" i="5"/>
  <c r="G8" i="4"/>
  <c r="B35" i="9" s="1"/>
  <c r="F35" i="9" s="1"/>
  <c r="H35" i="9" s="1"/>
  <c r="G4" i="4"/>
  <c r="B12" i="9" s="1"/>
  <c r="G13" i="8"/>
  <c r="G17" i="4"/>
  <c r="B36" i="9" s="1"/>
  <c r="F36" i="9" s="1"/>
  <c r="H36" i="9" s="1"/>
  <c r="G11" i="4"/>
  <c r="B46" i="9" s="1"/>
  <c r="F46" i="9" s="1"/>
  <c r="H46" i="9" s="1"/>
  <c r="G3" i="4"/>
  <c r="B6" i="9" s="1"/>
  <c r="G24" i="4"/>
  <c r="B44" i="9" s="1"/>
  <c r="F44" i="9" s="1"/>
  <c r="H44" i="9" s="1"/>
  <c r="G11" i="8"/>
  <c r="G9" i="8"/>
  <c r="G10" i="8"/>
  <c r="G13" i="5"/>
  <c r="C34" i="9" s="1"/>
  <c r="F34" i="9" s="1"/>
  <c r="H34" i="9" s="1"/>
  <c r="G13" i="4"/>
  <c r="B22" i="9" s="1"/>
  <c r="G16" i="4"/>
  <c r="B32" i="9" s="1"/>
  <c r="F32" i="9" s="1"/>
  <c r="H32" i="9" s="1"/>
  <c r="G6" i="4"/>
  <c r="B24" i="9" s="1"/>
  <c r="C29" i="5"/>
  <c r="D23" i="8"/>
  <c r="B14" i="4"/>
  <c r="G14" i="4" s="1"/>
  <c r="B29" i="9" s="1"/>
  <c r="B10" i="4"/>
  <c r="G10" i="4" s="1"/>
  <c r="B25" i="9" s="1"/>
  <c r="B2" i="4"/>
  <c r="G5" i="5"/>
  <c r="C8" i="9" s="1"/>
  <c r="B29" i="5"/>
  <c r="G2" i="5"/>
  <c r="C6" i="9" s="1"/>
  <c r="E18" i="8"/>
  <c r="E23" i="8" s="1"/>
  <c r="G2" i="8"/>
  <c r="B23" i="8"/>
  <c r="C18" i="8"/>
  <c r="G18" i="8" s="1"/>
  <c r="D7" i="4"/>
  <c r="G7" i="4" s="1"/>
  <c r="B8" i="9" s="1"/>
  <c r="B9" i="4"/>
  <c r="G9" i="4" s="1"/>
  <c r="B33" i="9" s="1"/>
  <c r="F33" i="9" s="1"/>
  <c r="H33" i="9" s="1"/>
  <c r="G10" i="5"/>
  <c r="C38" i="9" s="1"/>
  <c r="G8" i="5"/>
  <c r="C21" i="9" s="1"/>
  <c r="G12" i="5"/>
  <c r="C31" i="9" s="1"/>
  <c r="G16" i="5"/>
  <c r="C41" i="9" s="1"/>
  <c r="C36" i="4"/>
  <c r="G12" i="8"/>
  <c r="F15" i="8"/>
  <c r="G15" i="8" s="1"/>
  <c r="F16" i="8"/>
  <c r="G7" i="8"/>
  <c r="C16" i="8"/>
  <c r="C23" i="8" s="1"/>
  <c r="F36" i="4"/>
  <c r="E18" i="4"/>
  <c r="E36" i="4" s="1"/>
  <c r="D12" i="4"/>
  <c r="G12" i="4" s="1"/>
  <c r="B20" i="9" s="1"/>
  <c r="D18" i="4"/>
  <c r="E29" i="5"/>
  <c r="G14" i="8"/>
  <c r="G22" i="8"/>
  <c r="G35" i="4"/>
  <c r="B50" i="9" s="1"/>
  <c r="F50" i="9" s="1"/>
  <c r="H50" i="9" s="1"/>
  <c r="G20" i="8"/>
  <c r="G28" i="4"/>
  <c r="B17" i="9" s="1"/>
  <c r="F17" i="9" s="1"/>
  <c r="H17" i="9" s="1"/>
  <c r="F29" i="5"/>
  <c r="G23" i="4"/>
  <c r="B19" i="9" s="1"/>
  <c r="G30" i="4"/>
  <c r="B38" i="9" s="1"/>
  <c r="G14" i="5"/>
  <c r="C29" i="9" s="1"/>
  <c r="G22" i="5"/>
  <c r="C45" i="9" s="1"/>
  <c r="G21" i="5"/>
  <c r="C39" i="9" s="1"/>
  <c r="G28" i="5"/>
  <c r="C48" i="9" s="1"/>
  <c r="F48" i="9" s="1"/>
  <c r="H48" i="9" s="1"/>
  <c r="G6" i="8"/>
  <c r="G21" i="8"/>
  <c r="G25" i="4"/>
  <c r="B26" i="9" s="1"/>
  <c r="G32" i="4"/>
  <c r="B10" i="9" s="1"/>
  <c r="F10" i="9" s="1"/>
  <c r="H10" i="9" s="1"/>
  <c r="G4" i="5"/>
  <c r="G23" i="5"/>
  <c r="C14" i="9" s="1"/>
  <c r="G26" i="4"/>
  <c r="B30" i="9" s="1"/>
  <c r="G4" i="8"/>
  <c r="G19" i="8"/>
  <c r="F3" i="8"/>
  <c r="F23" i="8" s="1"/>
  <c r="G17" i="8"/>
  <c r="G22" i="4"/>
  <c r="B45" i="9" s="1"/>
  <c r="G20" i="4"/>
  <c r="B18" i="9" s="1"/>
  <c r="G6" i="5"/>
  <c r="C11" i="9" s="1"/>
  <c r="G15" i="4"/>
  <c r="G21" i="4"/>
  <c r="B43" i="9" s="1"/>
  <c r="G29" i="4"/>
  <c r="B11" i="9" s="1"/>
  <c r="D29" i="5"/>
  <c r="G20" i="5"/>
  <c r="C26" i="9" s="1"/>
  <c r="G27" i="5"/>
  <c r="C43" i="9" s="1"/>
  <c r="G19" i="5"/>
  <c r="C13" i="9" s="1"/>
  <c r="G26" i="5"/>
  <c r="C42" i="9" s="1"/>
  <c r="G8" i="8"/>
  <c r="G33" i="4"/>
  <c r="B9" i="9" s="1"/>
  <c r="G31" i="4"/>
  <c r="B47" i="9" s="1"/>
  <c r="F47" i="9" s="1"/>
  <c r="H47" i="9" s="1"/>
  <c r="G19" i="4"/>
  <c r="B13" i="9" s="1"/>
  <c r="G27" i="4"/>
  <c r="B39" i="9" s="1"/>
  <c r="F39" i="9" s="1"/>
  <c r="H39" i="9" s="1"/>
  <c r="G34" i="4"/>
  <c r="B42" i="9" s="1"/>
  <c r="G3" i="5"/>
  <c r="C7" i="9" s="1"/>
  <c r="G11" i="5"/>
  <c r="C20" i="9" s="1"/>
  <c r="G18" i="5"/>
  <c r="C19" i="9" s="1"/>
  <c r="G25" i="5"/>
  <c r="C27" i="9" s="1"/>
  <c r="F27" i="9" s="1"/>
  <c r="H27" i="9" s="1"/>
  <c r="G24" i="5"/>
  <c r="C16" i="9" s="1"/>
  <c r="D24" i="9" l="1"/>
  <c r="E24" i="9"/>
  <c r="F38" i="9"/>
  <c r="H38" i="9" s="1"/>
  <c r="F13" i="9"/>
  <c r="H13" i="9" s="1"/>
  <c r="C9" i="9"/>
  <c r="C51" i="9" s="1"/>
  <c r="F8" i="9"/>
  <c r="H8" i="9" s="1"/>
  <c r="F43" i="9"/>
  <c r="H43" i="9" s="1"/>
  <c r="F45" i="9"/>
  <c r="H45" i="9" s="1"/>
  <c r="D6" i="9"/>
  <c r="E6" i="9"/>
  <c r="D49" i="9"/>
  <c r="E49" i="9"/>
  <c r="D15" i="9"/>
  <c r="E15" i="9"/>
  <c r="D9" i="9"/>
  <c r="E9" i="9"/>
  <c r="F29" i="9"/>
  <c r="H29" i="9" s="1"/>
  <c r="D30" i="9"/>
  <c r="E30" i="9"/>
  <c r="D12" i="9"/>
  <c r="E12" i="9"/>
  <c r="D14" i="9"/>
  <c r="E14" i="9"/>
  <c r="D18" i="9"/>
  <c r="E18" i="9"/>
  <c r="D22" i="9"/>
  <c r="E22" i="9"/>
  <c r="F26" i="9"/>
  <c r="H26" i="9" s="1"/>
  <c r="F19" i="9"/>
  <c r="H19" i="9" s="1"/>
  <c r="D31" i="9"/>
  <c r="E31" i="9"/>
  <c r="D40" i="9"/>
  <c r="E40" i="9"/>
  <c r="D16" i="9"/>
  <c r="E16" i="9"/>
  <c r="D25" i="9"/>
  <c r="E25" i="9"/>
  <c r="F11" i="9"/>
  <c r="H11" i="9" s="1"/>
  <c r="D41" i="9"/>
  <c r="E41" i="9"/>
  <c r="D42" i="9"/>
  <c r="E42" i="9"/>
  <c r="D20" i="9"/>
  <c r="E20" i="9"/>
  <c r="D37" i="9"/>
  <c r="E37" i="9"/>
  <c r="G18" i="4"/>
  <c r="B16" i="9" s="1"/>
  <c r="G16" i="8"/>
  <c r="D36" i="4"/>
  <c r="G3" i="8"/>
  <c r="G29" i="5"/>
  <c r="B36" i="4"/>
  <c r="G2" i="4"/>
  <c r="F18" i="9" l="1"/>
  <c r="H18" i="9" s="1"/>
  <c r="F12" i="9"/>
  <c r="H12" i="9" s="1"/>
  <c r="F24" i="9"/>
  <c r="H24" i="9" s="1"/>
  <c r="F31" i="9"/>
  <c r="H31" i="9" s="1"/>
  <c r="F14" i="9"/>
  <c r="H14" i="9" s="1"/>
  <c r="F30" i="9"/>
  <c r="H30" i="9" s="1"/>
  <c r="F6" i="9"/>
  <c r="F22" i="9"/>
  <c r="H22" i="9" s="1"/>
  <c r="F16" i="9"/>
  <c r="H16" i="9" s="1"/>
  <c r="F9" i="9"/>
  <c r="H9" i="9" s="1"/>
  <c r="F20" i="9"/>
  <c r="H20" i="9" s="1"/>
  <c r="F42" i="9"/>
  <c r="H42" i="9" s="1"/>
  <c r="F41" i="9"/>
  <c r="H41" i="9" s="1"/>
  <c r="F25" i="9"/>
  <c r="H25" i="9" s="1"/>
  <c r="F49" i="9"/>
  <c r="H49" i="9" s="1"/>
  <c r="F37" i="9"/>
  <c r="H37" i="9" s="1"/>
  <c r="G36" i="4"/>
  <c r="B7" i="9"/>
  <c r="H6" i="9"/>
  <c r="D21" i="9"/>
  <c r="E21" i="9"/>
  <c r="G23" i="8"/>
  <c r="D7" i="9"/>
  <c r="E7" i="9"/>
  <c r="F40" i="9"/>
  <c r="H40" i="9" s="1"/>
  <c r="F15" i="9"/>
  <c r="H15" i="9" s="1"/>
  <c r="D51" i="9" l="1"/>
  <c r="E51" i="9"/>
  <c r="F21" i="9"/>
  <c r="H21" i="9" s="1"/>
  <c r="F7" i="9"/>
  <c r="B51" i="9"/>
  <c r="H7" i="9" l="1"/>
  <c r="F51" i="9"/>
</calcChain>
</file>

<file path=xl/sharedStrings.xml><?xml version="1.0" encoding="utf-8"?>
<sst xmlns="http://schemas.openxmlformats.org/spreadsheetml/2006/main" count="763" uniqueCount="107">
  <si>
    <t>Semana</t>
  </si>
  <si>
    <t>Dia</t>
  </si>
  <si>
    <t>Producto</t>
  </si>
  <si>
    <t>Codigo</t>
  </si>
  <si>
    <t>Turnos</t>
  </si>
  <si>
    <t>Amasijos x turno</t>
  </si>
  <si>
    <t>Kg x amasijo</t>
  </si>
  <si>
    <t>Kg mezcla total</t>
  </si>
  <si>
    <t>Semana 1</t>
  </si>
  <si>
    <t>Lunes</t>
  </si>
  <si>
    <t>Bizcochos sabor queso 150gr</t>
  </si>
  <si>
    <t>A05</t>
  </si>
  <si>
    <t>Bizcochos sabor queso free</t>
  </si>
  <si>
    <t>A06</t>
  </si>
  <si>
    <t>Martes</t>
  </si>
  <si>
    <t>Galletitas simil chocolina</t>
  </si>
  <si>
    <t>A03</t>
  </si>
  <si>
    <t>Miercoles</t>
  </si>
  <si>
    <t>Galletita simil chocolina free</t>
  </si>
  <si>
    <t>A02</t>
  </si>
  <si>
    <t>Pepas de batata</t>
  </si>
  <si>
    <t>A04</t>
  </si>
  <si>
    <t>Jueves</t>
  </si>
  <si>
    <t>Viernes</t>
  </si>
  <si>
    <t>Semana 2</t>
  </si>
  <si>
    <t>Polvorones</t>
  </si>
  <si>
    <t>A08</t>
  </si>
  <si>
    <t>Polvorones free</t>
  </si>
  <si>
    <t>A07</t>
  </si>
  <si>
    <t>Galletitas con chip</t>
  </si>
  <si>
    <t>A01</t>
  </si>
  <si>
    <t>Mapeo confirmado por Bren: Polvorones=A08, Polvorones free=A07, Galletitas con chip=A01, Bizcochos sabor queso=A05, Bizcochos sabor queso free=A06.</t>
  </si>
  <si>
    <t>Ingrediente</t>
  </si>
  <si>
    <t>Porcentaje</t>
  </si>
  <si>
    <t>Galletitas con chip (Chocolate con chips picante)</t>
  </si>
  <si>
    <t>FÉCULA DE MAÍZ</t>
  </si>
  <si>
    <t>HARINA DE ARROZ</t>
  </si>
  <si>
    <t>ACEITE VEGETAL INTERESTERIFICADO</t>
  </si>
  <si>
    <t>CHIPS DE CHOCOLATE</t>
  </si>
  <si>
    <t>JARABE DE GLUCOSA</t>
  </si>
  <si>
    <t>HUEVO EN POLVO DESHIDRATADO</t>
  </si>
  <si>
    <t>MIEL</t>
  </si>
  <si>
    <t>GOMA XÁNTICA</t>
  </si>
  <si>
    <t>SAL</t>
  </si>
  <si>
    <t>BICARBONATO DE AMONIO</t>
  </si>
  <si>
    <t>BICARBONATO DE SODIO</t>
  </si>
  <si>
    <t>ESENCIA DE VAINILLA</t>
  </si>
  <si>
    <t>ESENCIA DE CHOCOLATE</t>
  </si>
  <si>
    <t>BICARBONATO DE CALCIO</t>
  </si>
  <si>
    <t>JALAPEÑO DESHIDRATADO EN POLVO</t>
  </si>
  <si>
    <t>AGUA</t>
  </si>
  <si>
    <t>PASTA DE PASAS DE UVA</t>
  </si>
  <si>
    <t>CACAO ALCALINO</t>
  </si>
  <si>
    <t>ACEITE DE COCO</t>
  </si>
  <si>
    <t>FIBRA DE BAMBÚ</t>
  </si>
  <si>
    <t>PSYLLIUM</t>
  </si>
  <si>
    <t>EDULCORANTE</t>
  </si>
  <si>
    <t>LECHE EN POLVO</t>
  </si>
  <si>
    <t>JARABE DE MAÍZ ALTA FRUCTOSA</t>
  </si>
  <si>
    <t>LECITINA DE SOJA</t>
  </si>
  <si>
    <t>ESENCIA DE LECHE CONDENSADA</t>
  </si>
  <si>
    <t>MERMELADA DE BATATA</t>
  </si>
  <si>
    <t>AZÚCAR</t>
  </si>
  <si>
    <t>ÁCIDO CÍTRICO</t>
  </si>
  <si>
    <t>FÉCULA DE MANDIOCA</t>
  </si>
  <si>
    <t>QUESO DESCREMADO EN POLVO</t>
  </si>
  <si>
    <t>ACEITE DE GIRASOL ALTO OLEICO</t>
  </si>
  <si>
    <t>CLARA DE HUEVO EN POLVO</t>
  </si>
  <si>
    <t>DEXTROSA</t>
  </si>
  <si>
    <t>ESENCIA DE QUESO</t>
  </si>
  <si>
    <t>POLVO PARA HORNEAR</t>
  </si>
  <si>
    <t>QUESO RALLADO</t>
  </si>
  <si>
    <t>GRASA VACUNA</t>
  </si>
  <si>
    <t>Polvorones free (Galletita de pasas y cacao)</t>
  </si>
  <si>
    <t>PANACEA</t>
  </si>
  <si>
    <t>PROPIONATO DE CALCIO</t>
  </si>
  <si>
    <t>Polvorones (Galletita de vainilla / citricos)</t>
  </si>
  <si>
    <t>EDULZUGAR</t>
  </si>
  <si>
    <t>ESENCIA DE VAINILLA / NARANJA / LIMÓN</t>
  </si>
  <si>
    <t>B01</t>
  </si>
  <si>
    <t>Pan de molde</t>
  </si>
  <si>
    <t>FIBRA C 200</t>
  </si>
  <si>
    <t>LEVADURA</t>
  </si>
  <si>
    <t>B02</t>
  </si>
  <si>
    <t>Budin de vainilla / citricos</t>
  </si>
  <si>
    <t>MARGARINA</t>
  </si>
  <si>
    <t>SORBATO DE POTASIO</t>
  </si>
  <si>
    <t>B03</t>
  </si>
  <si>
    <t>Budin con chips de chocolate</t>
  </si>
  <si>
    <t>Kg mezcla</t>
  </si>
  <si>
    <t>Kg consumido</t>
  </si>
  <si>
    <t>Materia Prima</t>
  </si>
  <si>
    <t>Total Semana 1 (kg)</t>
  </si>
  <si>
    <t>TOTAL GENERAL (kg)</t>
  </si>
  <si>
    <t>Total Semana 2 (kg)</t>
  </si>
  <si>
    <t>Batidos x turno</t>
  </si>
  <si>
    <t>Kg x batido</t>
  </si>
  <si>
    <t>Supuestos confirmados por Bren: 30 kg por batido, 6 batidos por turno. "BUDIN" alterna entre B02 y B03 turno a turno de forma continua en toda la semana (no se reinicia cada dia).</t>
  </si>
  <si>
    <t>Total Semana (kg)</t>
  </si>
  <si>
    <t>CONSUMO DE MATERIA PRIMA - TOTAL 2 SEMANAS (Galletitas + Panes y Budines)</t>
  </si>
  <si>
    <t>Galletitas Sem 1 (kg)</t>
  </si>
  <si>
    <t>Galletitas Sem 2 (kg)</t>
  </si>
  <si>
    <t>TOTAL 2 Semanas (kg)</t>
  </si>
  <si>
    <t>Panes y Budines Sem 1 (kg)</t>
  </si>
  <si>
    <t>Panes y Budines Sem 2 (kg)</t>
  </si>
  <si>
    <t>Peso de pallet</t>
  </si>
  <si>
    <t>Pallets por producto cada 2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</si>
</sst>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9" formatCode="0.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color rgb="FF1F4E78"/>
      <name val="Arial"/>
      <charset val="1"/>
    </font>
    <font>
      <b/>
      <sz val="11"/>
      <name val="Arial"/>
      <charset val="1"/>
    </font>
    <font>
      <b/>
      <sz val="11"/>
      <color theme="1"/>
      <name val="Calibri"/>
      <family val="2"/>
      <charset val="1"/>
    </font>
    <font>
      <b/>
      <sz val="13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D9E1F2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0" xfId="0" applyFont="1"/>
    <xf numFmtId="10" fontId="2" fillId="0" borderId="1" xfId="0" applyNumberFormat="1" applyFont="1" applyBorder="1"/>
    <xf numFmtId="164" fontId="2" fillId="0" borderId="1" xfId="0" applyNumberFormat="1" applyFont="1" applyBorder="1"/>
    <xf numFmtId="164" fontId="4" fillId="0" borderId="1" xfId="0" applyNumberFormat="1" applyFont="1" applyBorder="1"/>
    <xf numFmtId="0" fontId="4" fillId="3" borderId="0" xfId="0" applyFont="1" applyFill="1"/>
    <xf numFmtId="164" fontId="4" fillId="3" borderId="0" xfId="0" applyNumberFormat="1" applyFont="1" applyFill="1"/>
    <xf numFmtId="0" fontId="1" fillId="4" borderId="1" xfId="0" applyFont="1" applyFill="1" applyBorder="1" applyAlignment="1">
      <alignment horizontal="center" vertical="center" wrapText="1"/>
    </xf>
    <xf numFmtId="0" fontId="4" fillId="5" borderId="0" xfId="0" applyFont="1" applyFill="1"/>
    <xf numFmtId="164" fontId="4" fillId="5" borderId="0" xfId="0" applyNumberFormat="1" applyFont="1" applyFill="1"/>
    <xf numFmtId="0" fontId="6" fillId="0" borderId="0" xfId="0" applyFont="1"/>
    <xf numFmtId="0" fontId="0" fillId="0" borderId="5" xfId="0" applyBorder="1"/>
    <xf numFmtId="164" fontId="0" fillId="0" borderId="6" xfId="0" applyNumberFormat="1" applyBorder="1"/>
    <xf numFmtId="164" fontId="5" fillId="0" borderId="7" xfId="0" applyNumberFormat="1" applyFont="1" applyBorder="1"/>
    <xf numFmtId="0" fontId="5" fillId="7" borderId="5" xfId="0" applyFont="1" applyFill="1" applyBorder="1"/>
    <xf numFmtId="164" fontId="5" fillId="7" borderId="6" xfId="0" applyNumberFormat="1" applyFont="1" applyFill="1" applyBorder="1"/>
    <xf numFmtId="164" fontId="5" fillId="7" borderId="7" xfId="0" applyNumberFormat="1" applyFont="1" applyFill="1" applyBorder="1"/>
    <xf numFmtId="0" fontId="7" fillId="6" borderId="2" xfId="0" applyFont="1" applyFill="1" applyBorder="1" applyAlignment="1">
      <alignment horizontal="center" wrapText="1"/>
    </xf>
    <xf numFmtId="0" fontId="7" fillId="6" borderId="3" xfId="0" applyFont="1" applyFill="1" applyBorder="1" applyAlignment="1">
      <alignment horizontal="center" wrapText="1"/>
    </xf>
    <xf numFmtId="0" fontId="7" fillId="6" borderId="4" xfId="0" applyFont="1" applyFill="1" applyBorder="1" applyAlignment="1">
      <alignment horizontal="center" wrapText="1"/>
    </xf>
    <xf numFmtId="164" fontId="0" fillId="0" borderId="6" xfId="0" applyNumberFormat="1" applyFont="1" applyBorder="1"/>
    <xf numFmtId="164" fontId="0" fillId="7" borderId="6" xfId="0" applyNumberFormat="1" applyFont="1" applyFill="1" applyBorder="1"/>
    <xf numFmtId="1" fontId="0" fillId="0" borderId="0" xfId="0" applyNumberFormat="1"/>
    <xf numFmtId="0" fontId="7" fillId="6" borderId="0" xfId="0" applyFont="1" applyFill="1" applyBorder="1" applyAlignment="1">
      <alignment horizontal="center" wrapText="1"/>
    </xf>
    <xf numFmtId="1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0403427-35FB-4E97-AB62-05E675F373FC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46bb9d06-cb18-42ea-bfd6-e84bbaae1758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1F33ED1-903D-4238-A105-50B037511EFE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23083b58-0e05-451b-9387-3ee77db9f0e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0" customWidth="1"/>
    <col min="2" max="2" width="11" customWidth="1"/>
    <col min="3" max="3" width="32" customWidth="1"/>
    <col min="4" max="4" width="13" customWidth="1"/>
    <col min="5" max="5" width="8" customWidth="1"/>
    <col min="6" max="6" width="15" customWidth="1"/>
    <col min="7" max="7" width="12" customWidth="1"/>
    <col min="8" max="8" width="15" customWidth="1"/>
  </cols>
  <sheetData>
    <row r="1" spans="1:8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2</v>
      </c>
      <c r="F2" s="2">
        <v>12</v>
      </c>
      <c r="G2" s="2">
        <v>50</v>
      </c>
      <c r="H2" s="2">
        <f t="shared" ref="H2:H15" si="0">E2*F2*G2</f>
        <v>1200</v>
      </c>
    </row>
    <row r="3" spans="1:8" ht="15" customHeight="1" x14ac:dyDescent="0.25">
      <c r="A3" s="2" t="s">
        <v>8</v>
      </c>
      <c r="B3" s="2" t="s">
        <v>9</v>
      </c>
      <c r="C3" s="2" t="s">
        <v>12</v>
      </c>
      <c r="D3" s="2" t="s">
        <v>13</v>
      </c>
      <c r="E3" s="2">
        <v>1</v>
      </c>
      <c r="F3" s="2">
        <v>12</v>
      </c>
      <c r="G3" s="2">
        <v>50</v>
      </c>
      <c r="H3" s="2">
        <f t="shared" si="0"/>
        <v>600</v>
      </c>
    </row>
    <row r="4" spans="1:8" ht="15" customHeight="1" x14ac:dyDescent="0.25">
      <c r="A4" s="2" t="s">
        <v>8</v>
      </c>
      <c r="B4" s="2" t="s">
        <v>14</v>
      </c>
      <c r="C4" s="2" t="s">
        <v>15</v>
      </c>
      <c r="D4" s="2" t="s">
        <v>16</v>
      </c>
      <c r="E4" s="2">
        <v>3</v>
      </c>
      <c r="F4" s="2">
        <v>12</v>
      </c>
      <c r="G4" s="2">
        <v>50</v>
      </c>
      <c r="H4" s="2">
        <f t="shared" si="0"/>
        <v>1800</v>
      </c>
    </row>
    <row r="5" spans="1:8" ht="15" customHeight="1" x14ac:dyDescent="0.25">
      <c r="A5" s="2" t="s">
        <v>8</v>
      </c>
      <c r="B5" s="2" t="s">
        <v>17</v>
      </c>
      <c r="C5" s="2" t="s">
        <v>18</v>
      </c>
      <c r="D5" s="2" t="s">
        <v>19</v>
      </c>
      <c r="E5" s="2">
        <v>1</v>
      </c>
      <c r="F5" s="2">
        <v>12</v>
      </c>
      <c r="G5" s="2">
        <v>50</v>
      </c>
      <c r="H5" s="2">
        <f t="shared" si="0"/>
        <v>600</v>
      </c>
    </row>
    <row r="6" spans="1:8" ht="15" customHeight="1" x14ac:dyDescent="0.25">
      <c r="A6" s="2" t="s">
        <v>8</v>
      </c>
      <c r="B6" s="2" t="s">
        <v>17</v>
      </c>
      <c r="C6" s="2" t="s">
        <v>20</v>
      </c>
      <c r="D6" s="2" t="s">
        <v>21</v>
      </c>
      <c r="E6" s="2">
        <v>2</v>
      </c>
      <c r="F6" s="2">
        <v>12</v>
      </c>
      <c r="G6" s="2">
        <v>50</v>
      </c>
      <c r="H6" s="2">
        <f t="shared" si="0"/>
        <v>1200</v>
      </c>
    </row>
    <row r="7" spans="1:8" ht="15" customHeight="1" x14ac:dyDescent="0.25">
      <c r="A7" s="2" t="s">
        <v>8</v>
      </c>
      <c r="B7" s="2" t="s">
        <v>22</v>
      </c>
      <c r="C7" s="2" t="s">
        <v>20</v>
      </c>
      <c r="D7" s="2" t="s">
        <v>21</v>
      </c>
      <c r="E7" s="2">
        <v>3</v>
      </c>
      <c r="F7" s="2">
        <v>12</v>
      </c>
      <c r="G7" s="2">
        <v>50</v>
      </c>
      <c r="H7" s="2">
        <f t="shared" si="0"/>
        <v>1800</v>
      </c>
    </row>
    <row r="8" spans="1:8" ht="15" customHeight="1" x14ac:dyDescent="0.25">
      <c r="A8" s="2" t="s">
        <v>8</v>
      </c>
      <c r="B8" s="2" t="s">
        <v>23</v>
      </c>
      <c r="C8" s="2" t="s">
        <v>20</v>
      </c>
      <c r="D8" s="2" t="s">
        <v>21</v>
      </c>
      <c r="E8" s="2">
        <v>3</v>
      </c>
      <c r="F8" s="2">
        <v>12</v>
      </c>
      <c r="G8" s="2">
        <v>50</v>
      </c>
      <c r="H8" s="2">
        <f t="shared" si="0"/>
        <v>1800</v>
      </c>
    </row>
    <row r="9" spans="1:8" ht="15" customHeight="1" x14ac:dyDescent="0.25">
      <c r="A9" s="2" t="s">
        <v>24</v>
      </c>
      <c r="B9" s="2" t="s">
        <v>9</v>
      </c>
      <c r="C9" s="2" t="s">
        <v>25</v>
      </c>
      <c r="D9" s="2" t="s">
        <v>26</v>
      </c>
      <c r="E9" s="2">
        <v>3</v>
      </c>
      <c r="F9" s="2">
        <v>12</v>
      </c>
      <c r="G9" s="2">
        <v>50</v>
      </c>
      <c r="H9" s="2">
        <f t="shared" si="0"/>
        <v>1800</v>
      </c>
    </row>
    <row r="10" spans="1:8" ht="15" customHeight="1" x14ac:dyDescent="0.25">
      <c r="A10" s="2" t="s">
        <v>24</v>
      </c>
      <c r="B10" s="2" t="s">
        <v>14</v>
      </c>
      <c r="C10" s="2" t="s">
        <v>25</v>
      </c>
      <c r="D10" s="2" t="s">
        <v>26</v>
      </c>
      <c r="E10" s="2">
        <v>2</v>
      </c>
      <c r="F10" s="2">
        <v>12</v>
      </c>
      <c r="G10" s="2">
        <v>50</v>
      </c>
      <c r="H10" s="2">
        <f t="shared" si="0"/>
        <v>1200</v>
      </c>
    </row>
    <row r="11" spans="1:8" ht="15" customHeight="1" x14ac:dyDescent="0.25">
      <c r="A11" s="2" t="s">
        <v>24</v>
      </c>
      <c r="B11" s="2" t="s">
        <v>14</v>
      </c>
      <c r="C11" s="2" t="s">
        <v>27</v>
      </c>
      <c r="D11" s="2" t="s">
        <v>28</v>
      </c>
      <c r="E11" s="2">
        <v>1</v>
      </c>
      <c r="F11" s="2">
        <v>12</v>
      </c>
      <c r="G11" s="2">
        <v>50</v>
      </c>
      <c r="H11" s="2">
        <f t="shared" si="0"/>
        <v>600</v>
      </c>
    </row>
    <row r="12" spans="1:8" ht="15" customHeight="1" x14ac:dyDescent="0.25">
      <c r="A12" s="2" t="s">
        <v>24</v>
      </c>
      <c r="B12" s="2" t="s">
        <v>17</v>
      </c>
      <c r="C12" s="2" t="s">
        <v>27</v>
      </c>
      <c r="D12" s="2" t="s">
        <v>28</v>
      </c>
      <c r="E12" s="2">
        <v>1</v>
      </c>
      <c r="F12" s="2">
        <v>12</v>
      </c>
      <c r="G12" s="2">
        <v>50</v>
      </c>
      <c r="H12" s="2">
        <f t="shared" si="0"/>
        <v>600</v>
      </c>
    </row>
    <row r="13" spans="1:8" ht="15" customHeight="1" x14ac:dyDescent="0.25">
      <c r="A13" s="2" t="s">
        <v>24</v>
      </c>
      <c r="B13" s="2" t="s">
        <v>17</v>
      </c>
      <c r="C13" s="2" t="s">
        <v>29</v>
      </c>
      <c r="D13" s="2" t="s">
        <v>30</v>
      </c>
      <c r="E13" s="2">
        <v>2</v>
      </c>
      <c r="F13" s="2">
        <v>12</v>
      </c>
      <c r="G13" s="2">
        <v>50</v>
      </c>
      <c r="H13" s="2">
        <f t="shared" si="0"/>
        <v>1200</v>
      </c>
    </row>
    <row r="14" spans="1:8" ht="15" customHeight="1" x14ac:dyDescent="0.25">
      <c r="A14" s="2" t="s">
        <v>24</v>
      </c>
      <c r="B14" s="2" t="s">
        <v>22</v>
      </c>
      <c r="C14" s="2" t="s">
        <v>29</v>
      </c>
      <c r="D14" s="2" t="s">
        <v>30</v>
      </c>
      <c r="E14" s="2">
        <v>3</v>
      </c>
      <c r="F14" s="2">
        <v>12</v>
      </c>
      <c r="G14" s="2">
        <v>50</v>
      </c>
      <c r="H14" s="2">
        <f t="shared" si="0"/>
        <v>1800</v>
      </c>
    </row>
    <row r="15" spans="1:8" ht="15" customHeight="1" x14ac:dyDescent="0.25">
      <c r="A15" s="2" t="s">
        <v>24</v>
      </c>
      <c r="B15" s="2" t="s">
        <v>23</v>
      </c>
      <c r="C15" s="2" t="s">
        <v>29</v>
      </c>
      <c r="D15" s="2" t="s">
        <v>30</v>
      </c>
      <c r="E15" s="2">
        <v>3</v>
      </c>
      <c r="F15" s="2">
        <v>12</v>
      </c>
      <c r="G15" s="2">
        <v>50</v>
      </c>
      <c r="H15" s="2">
        <f t="shared" si="0"/>
        <v>1800</v>
      </c>
    </row>
    <row r="17" spans="1:1" ht="15" customHeight="1" x14ac:dyDescent="0.25">
      <c r="A17" s="3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3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0" customWidth="1"/>
    <col min="2" max="2" width="45" customWidth="1"/>
    <col min="3" max="3" width="34" customWidth="1"/>
    <col min="4" max="4" width="14" customWidth="1"/>
  </cols>
  <sheetData>
    <row r="1" spans="1:4" ht="15" customHeight="1" x14ac:dyDescent="0.25">
      <c r="A1" s="1" t="s">
        <v>3</v>
      </c>
      <c r="B1" s="1" t="s">
        <v>2</v>
      </c>
      <c r="C1" s="1" t="s">
        <v>32</v>
      </c>
      <c r="D1" s="1" t="s">
        <v>33</v>
      </c>
    </row>
    <row r="2" spans="1:4" ht="15" customHeight="1" x14ac:dyDescent="0.25">
      <c r="A2" s="2" t="s">
        <v>30</v>
      </c>
      <c r="B2" s="2" t="s">
        <v>34</v>
      </c>
      <c r="C2" s="2" t="s">
        <v>35</v>
      </c>
      <c r="D2" s="4">
        <v>0.24645</v>
      </c>
    </row>
    <row r="3" spans="1:4" ht="15" customHeight="1" x14ac:dyDescent="0.25">
      <c r="A3" s="2" t="s">
        <v>30</v>
      </c>
      <c r="B3" s="2" t="s">
        <v>34</v>
      </c>
      <c r="C3" s="2" t="s">
        <v>36</v>
      </c>
      <c r="D3" s="4">
        <v>0.16739999999999999</v>
      </c>
    </row>
    <row r="4" spans="1:4" ht="15" customHeight="1" x14ac:dyDescent="0.25">
      <c r="A4" s="2" t="s">
        <v>30</v>
      </c>
      <c r="B4" s="2" t="s">
        <v>34</v>
      </c>
      <c r="C4" s="2" t="s">
        <v>37</v>
      </c>
      <c r="D4" s="4">
        <v>0.13950000000000001</v>
      </c>
    </row>
    <row r="5" spans="1:4" ht="15" customHeight="1" x14ac:dyDescent="0.25">
      <c r="A5" s="2" t="s">
        <v>30</v>
      </c>
      <c r="B5" s="2" t="s">
        <v>34</v>
      </c>
      <c r="C5" s="2" t="s">
        <v>62</v>
      </c>
      <c r="D5" s="4">
        <v>0.13020000000000001</v>
      </c>
    </row>
    <row r="6" spans="1:4" ht="15" customHeight="1" x14ac:dyDescent="0.25">
      <c r="A6" s="2" t="s">
        <v>30</v>
      </c>
      <c r="B6" s="2" t="s">
        <v>34</v>
      </c>
      <c r="C6" s="2" t="s">
        <v>38</v>
      </c>
      <c r="D6" s="4">
        <v>8.3699999999999997E-2</v>
      </c>
    </row>
    <row r="7" spans="1:4" ht="15" customHeight="1" x14ac:dyDescent="0.25">
      <c r="A7" s="2" t="s">
        <v>30</v>
      </c>
      <c r="B7" s="2" t="s">
        <v>34</v>
      </c>
      <c r="C7" s="2" t="s">
        <v>39</v>
      </c>
      <c r="D7" s="4">
        <v>5.5800000000000002E-2</v>
      </c>
    </row>
    <row r="8" spans="1:4" ht="15" customHeight="1" x14ac:dyDescent="0.25">
      <c r="A8" s="2" t="s">
        <v>30</v>
      </c>
      <c r="B8" s="2" t="s">
        <v>34</v>
      </c>
      <c r="C8" s="2" t="s">
        <v>52</v>
      </c>
      <c r="D8" s="4">
        <v>3.7199999999999997E-2</v>
      </c>
    </row>
    <row r="9" spans="1:4" ht="15" customHeight="1" x14ac:dyDescent="0.25">
      <c r="A9" s="2" t="s">
        <v>30</v>
      </c>
      <c r="B9" s="2" t="s">
        <v>34</v>
      </c>
      <c r="C9" s="2" t="s">
        <v>40</v>
      </c>
      <c r="D9" s="4">
        <v>1.8599999999999998E-2</v>
      </c>
    </row>
    <row r="10" spans="1:4" ht="15" customHeight="1" x14ac:dyDescent="0.25">
      <c r="A10" s="2" t="s">
        <v>30</v>
      </c>
      <c r="B10" s="2" t="s">
        <v>34</v>
      </c>
      <c r="C10" s="2" t="s">
        <v>41</v>
      </c>
      <c r="D10" s="4">
        <v>1.8599999999999998E-2</v>
      </c>
    </row>
    <row r="11" spans="1:4" ht="15" customHeight="1" x14ac:dyDescent="0.25">
      <c r="A11" s="2" t="s">
        <v>30</v>
      </c>
      <c r="B11" s="2" t="s">
        <v>34</v>
      </c>
      <c r="C11" s="2" t="s">
        <v>42</v>
      </c>
      <c r="D11" s="4">
        <v>7.4400000000000004E-3</v>
      </c>
    </row>
    <row r="12" spans="1:4" ht="15" customHeight="1" x14ac:dyDescent="0.25">
      <c r="A12" s="2" t="s">
        <v>30</v>
      </c>
      <c r="B12" s="2" t="s">
        <v>34</v>
      </c>
      <c r="C12" s="2" t="s">
        <v>43</v>
      </c>
      <c r="D12" s="4">
        <v>4.6499999999999996E-3</v>
      </c>
    </row>
    <row r="13" spans="1:4" ht="15" customHeight="1" x14ac:dyDescent="0.25">
      <c r="A13" s="2" t="s">
        <v>30</v>
      </c>
      <c r="B13" s="2" t="s">
        <v>34</v>
      </c>
      <c r="C13" s="2" t="s">
        <v>44</v>
      </c>
      <c r="D13" s="4">
        <v>4.6499999999999996E-3</v>
      </c>
    </row>
    <row r="14" spans="1:4" ht="15" customHeight="1" x14ac:dyDescent="0.25">
      <c r="A14" s="2" t="s">
        <v>30</v>
      </c>
      <c r="B14" s="2" t="s">
        <v>34</v>
      </c>
      <c r="C14" s="2" t="s">
        <v>45</v>
      </c>
      <c r="D14" s="4">
        <v>4.6499999999999996E-3</v>
      </c>
    </row>
    <row r="15" spans="1:4" ht="15" customHeight="1" x14ac:dyDescent="0.25">
      <c r="A15" s="2" t="s">
        <v>30</v>
      </c>
      <c r="B15" s="2" t="s">
        <v>34</v>
      </c>
      <c r="C15" s="2" t="s">
        <v>46</v>
      </c>
      <c r="D15" s="4">
        <v>3.7200000000000002E-3</v>
      </c>
    </row>
    <row r="16" spans="1:4" ht="15" customHeight="1" x14ac:dyDescent="0.25">
      <c r="A16" s="2" t="s">
        <v>30</v>
      </c>
      <c r="B16" s="2" t="s">
        <v>34</v>
      </c>
      <c r="C16" s="2" t="s">
        <v>47</v>
      </c>
      <c r="D16" s="4">
        <v>2.7899999999999999E-3</v>
      </c>
    </row>
    <row r="17" spans="1:4" ht="15" customHeight="1" x14ac:dyDescent="0.25">
      <c r="A17" s="2" t="s">
        <v>30</v>
      </c>
      <c r="B17" s="2" t="s">
        <v>34</v>
      </c>
      <c r="C17" s="2" t="s">
        <v>48</v>
      </c>
      <c r="D17" s="4">
        <v>2.7899999999999999E-3</v>
      </c>
    </row>
    <row r="18" spans="1:4" ht="15" customHeight="1" x14ac:dyDescent="0.25">
      <c r="A18" s="2" t="s">
        <v>30</v>
      </c>
      <c r="B18" s="2" t="s">
        <v>34</v>
      </c>
      <c r="C18" s="2" t="s">
        <v>49</v>
      </c>
      <c r="D18" s="4">
        <v>1.8600000000000001E-3</v>
      </c>
    </row>
    <row r="19" spans="1:4" ht="15" customHeight="1" x14ac:dyDescent="0.25">
      <c r="A19" s="2" t="s">
        <v>30</v>
      </c>
      <c r="B19" s="2" t="s">
        <v>34</v>
      </c>
      <c r="C19" s="2" t="s">
        <v>50</v>
      </c>
      <c r="D19" s="4">
        <v>7.0000000000000007E-2</v>
      </c>
    </row>
    <row r="20" spans="1:4" ht="15" customHeight="1" x14ac:dyDescent="0.25">
      <c r="A20" s="2" t="s">
        <v>19</v>
      </c>
      <c r="B20" s="2" t="s">
        <v>18</v>
      </c>
      <c r="C20" s="2" t="s">
        <v>36</v>
      </c>
      <c r="D20" s="4">
        <v>0.25109999999999999</v>
      </c>
    </row>
    <row r="21" spans="1:4" ht="15" customHeight="1" x14ac:dyDescent="0.25">
      <c r="A21" s="2" t="s">
        <v>19</v>
      </c>
      <c r="B21" s="2" t="s">
        <v>18</v>
      </c>
      <c r="C21" s="2" t="s">
        <v>35</v>
      </c>
      <c r="D21" s="4">
        <v>0.22320000000000001</v>
      </c>
    </row>
    <row r="22" spans="1:4" ht="15" customHeight="1" x14ac:dyDescent="0.25">
      <c r="A22" s="2" t="s">
        <v>19</v>
      </c>
      <c r="B22" s="2" t="s">
        <v>18</v>
      </c>
      <c r="C22" s="2" t="s">
        <v>37</v>
      </c>
      <c r="D22" s="4">
        <v>0.13020000000000001</v>
      </c>
    </row>
    <row r="23" spans="1:4" ht="15" customHeight="1" x14ac:dyDescent="0.25">
      <c r="A23" s="2" t="s">
        <v>19</v>
      </c>
      <c r="B23" s="2" t="s">
        <v>18</v>
      </c>
      <c r="C23" s="2" t="s">
        <v>51</v>
      </c>
      <c r="D23" s="4">
        <v>0.12089999999999999</v>
      </c>
    </row>
    <row r="24" spans="1:4" ht="15" customHeight="1" x14ac:dyDescent="0.25">
      <c r="A24" s="2" t="s">
        <v>19</v>
      </c>
      <c r="B24" s="2" t="s">
        <v>18</v>
      </c>
      <c r="C24" s="2" t="s">
        <v>52</v>
      </c>
      <c r="D24" s="4">
        <v>5.5800000000000002E-2</v>
      </c>
    </row>
    <row r="25" spans="1:4" ht="15" customHeight="1" x14ac:dyDescent="0.25">
      <c r="A25" s="2" t="s">
        <v>19</v>
      </c>
      <c r="B25" s="2" t="s">
        <v>18</v>
      </c>
      <c r="C25" s="2" t="s">
        <v>53</v>
      </c>
      <c r="D25" s="4">
        <v>4.65E-2</v>
      </c>
    </row>
    <row r="26" spans="1:4" ht="15" customHeight="1" x14ac:dyDescent="0.25">
      <c r="A26" s="2" t="s">
        <v>19</v>
      </c>
      <c r="B26" s="2" t="s">
        <v>18</v>
      </c>
      <c r="C26" s="2" t="s">
        <v>54</v>
      </c>
      <c r="D26" s="4">
        <v>3.7199999999999997E-2</v>
      </c>
    </row>
    <row r="27" spans="1:4" ht="15" customHeight="1" x14ac:dyDescent="0.25">
      <c r="A27" s="2" t="s">
        <v>19</v>
      </c>
      <c r="B27" s="2" t="s">
        <v>18</v>
      </c>
      <c r="C27" s="2" t="s">
        <v>55</v>
      </c>
      <c r="D27" s="4">
        <v>2.7900000000000001E-2</v>
      </c>
    </row>
    <row r="28" spans="1:4" ht="15" customHeight="1" x14ac:dyDescent="0.25">
      <c r="A28" s="2" t="s">
        <v>19</v>
      </c>
      <c r="B28" s="2" t="s">
        <v>18</v>
      </c>
      <c r="C28" s="2" t="s">
        <v>56</v>
      </c>
      <c r="D28" s="4">
        <v>1.3950000000000001E-2</v>
      </c>
    </row>
    <row r="29" spans="1:4" ht="15" customHeight="1" x14ac:dyDescent="0.25">
      <c r="A29" s="2" t="s">
        <v>19</v>
      </c>
      <c r="B29" s="2" t="s">
        <v>18</v>
      </c>
      <c r="C29" s="2" t="s">
        <v>42</v>
      </c>
      <c r="D29" s="4">
        <v>9.2999999999999992E-3</v>
      </c>
    </row>
    <row r="30" spans="1:4" ht="15" customHeight="1" x14ac:dyDescent="0.25">
      <c r="A30" s="2" t="s">
        <v>19</v>
      </c>
      <c r="B30" s="2" t="s">
        <v>18</v>
      </c>
      <c r="C30" s="2" t="s">
        <v>45</v>
      </c>
      <c r="D30" s="4">
        <v>4.6499999999999996E-3</v>
      </c>
    </row>
    <row r="31" spans="1:4" ht="15" customHeight="1" x14ac:dyDescent="0.25">
      <c r="A31" s="2" t="s">
        <v>19</v>
      </c>
      <c r="B31" s="2" t="s">
        <v>18</v>
      </c>
      <c r="C31" s="2" t="s">
        <v>43</v>
      </c>
      <c r="D31" s="4">
        <v>3.7200000000000002E-3</v>
      </c>
    </row>
    <row r="32" spans="1:4" ht="15" customHeight="1" x14ac:dyDescent="0.25">
      <c r="A32" s="2" t="s">
        <v>19</v>
      </c>
      <c r="B32" s="2" t="s">
        <v>18</v>
      </c>
      <c r="C32" s="2" t="s">
        <v>47</v>
      </c>
      <c r="D32" s="4">
        <v>2.7899999999999999E-3</v>
      </c>
    </row>
    <row r="33" spans="1:4" ht="15" customHeight="1" x14ac:dyDescent="0.25">
      <c r="A33" s="2" t="s">
        <v>19</v>
      </c>
      <c r="B33" s="2" t="s">
        <v>18</v>
      </c>
      <c r="C33" s="2" t="s">
        <v>48</v>
      </c>
      <c r="D33" s="4">
        <v>2.7899999999999999E-3</v>
      </c>
    </row>
    <row r="34" spans="1:4" ht="15" customHeight="1" x14ac:dyDescent="0.25">
      <c r="A34" s="2" t="s">
        <v>19</v>
      </c>
      <c r="B34" s="2" t="s">
        <v>18</v>
      </c>
      <c r="C34" s="2" t="s">
        <v>50</v>
      </c>
      <c r="D34" s="4">
        <v>7.0000000000000007E-2</v>
      </c>
    </row>
    <row r="35" spans="1:4" ht="15" customHeight="1" x14ac:dyDescent="0.25">
      <c r="A35" s="2" t="s">
        <v>16</v>
      </c>
      <c r="B35" s="2" t="s">
        <v>15</v>
      </c>
      <c r="C35" s="2" t="s">
        <v>36</v>
      </c>
      <c r="D35" s="4">
        <v>0.25109999999999999</v>
      </c>
    </row>
    <row r="36" spans="1:4" ht="15" customHeight="1" x14ac:dyDescent="0.25">
      <c r="A36" s="2" t="s">
        <v>16</v>
      </c>
      <c r="B36" s="2" t="s">
        <v>15</v>
      </c>
      <c r="C36" s="2" t="s">
        <v>35</v>
      </c>
      <c r="D36" s="4">
        <v>0.2046</v>
      </c>
    </row>
    <row r="37" spans="1:4" ht="15" customHeight="1" x14ac:dyDescent="0.25">
      <c r="A37" s="2" t="s">
        <v>16</v>
      </c>
      <c r="B37" s="2" t="s">
        <v>15</v>
      </c>
      <c r="C37" s="2" t="s">
        <v>62</v>
      </c>
      <c r="D37" s="4">
        <v>0.16739999999999999</v>
      </c>
    </row>
    <row r="38" spans="1:4" ht="15" customHeight="1" x14ac:dyDescent="0.25">
      <c r="A38" s="2" t="s">
        <v>16</v>
      </c>
      <c r="B38" s="2" t="s">
        <v>15</v>
      </c>
      <c r="C38" s="2" t="s">
        <v>37</v>
      </c>
      <c r="D38" s="4">
        <v>0.13020000000000001</v>
      </c>
    </row>
    <row r="39" spans="1:4" ht="15" customHeight="1" x14ac:dyDescent="0.25">
      <c r="A39" s="2" t="s">
        <v>16</v>
      </c>
      <c r="B39" s="2" t="s">
        <v>15</v>
      </c>
      <c r="C39" s="2" t="s">
        <v>52</v>
      </c>
      <c r="D39" s="4">
        <v>5.5800000000000002E-2</v>
      </c>
    </row>
    <row r="40" spans="1:4" ht="15" customHeight="1" x14ac:dyDescent="0.25">
      <c r="A40" s="2" t="s">
        <v>16</v>
      </c>
      <c r="B40" s="2" t="s">
        <v>15</v>
      </c>
      <c r="C40" s="2" t="s">
        <v>57</v>
      </c>
      <c r="D40" s="4">
        <v>5.5800000000000002E-2</v>
      </c>
    </row>
    <row r="41" spans="1:4" ht="15" customHeight="1" x14ac:dyDescent="0.25">
      <c r="A41" s="2" t="s">
        <v>16</v>
      </c>
      <c r="B41" s="2" t="s">
        <v>15</v>
      </c>
      <c r="C41" s="2" t="s">
        <v>40</v>
      </c>
      <c r="D41" s="4">
        <v>3.7199999999999997E-2</v>
      </c>
    </row>
    <row r="42" spans="1:4" ht="15" customHeight="1" x14ac:dyDescent="0.25">
      <c r="A42" s="2" t="s">
        <v>16</v>
      </c>
      <c r="B42" s="2" t="s">
        <v>15</v>
      </c>
      <c r="C42" s="2" t="s">
        <v>42</v>
      </c>
      <c r="D42" s="4">
        <v>9.2999999999999992E-3</v>
      </c>
    </row>
    <row r="43" spans="1:4" ht="15" customHeight="1" x14ac:dyDescent="0.25">
      <c r="A43" s="2" t="s">
        <v>16</v>
      </c>
      <c r="B43" s="2" t="s">
        <v>15</v>
      </c>
      <c r="C43" s="2" t="s">
        <v>45</v>
      </c>
      <c r="D43" s="4">
        <v>7.4400000000000004E-3</v>
      </c>
    </row>
    <row r="44" spans="1:4" ht="15" customHeight="1" x14ac:dyDescent="0.25">
      <c r="A44" s="2" t="s">
        <v>16</v>
      </c>
      <c r="B44" s="2" t="s">
        <v>15</v>
      </c>
      <c r="C44" s="2" t="s">
        <v>48</v>
      </c>
      <c r="D44" s="4">
        <v>7.4400000000000004E-3</v>
      </c>
    </row>
    <row r="45" spans="1:4" ht="15" customHeight="1" x14ac:dyDescent="0.25">
      <c r="A45" s="2" t="s">
        <v>16</v>
      </c>
      <c r="B45" s="2" t="s">
        <v>15</v>
      </c>
      <c r="C45" s="2" t="s">
        <v>47</v>
      </c>
      <c r="D45" s="4">
        <v>3.7200000000000002E-3</v>
      </c>
    </row>
    <row r="46" spans="1:4" ht="15" customHeight="1" x14ac:dyDescent="0.25">
      <c r="A46" s="2" t="s">
        <v>16</v>
      </c>
      <c r="B46" s="2" t="s">
        <v>15</v>
      </c>
      <c r="C46" s="2" t="s">
        <v>50</v>
      </c>
      <c r="D46" s="4">
        <v>7.0000000000000007E-2</v>
      </c>
    </row>
    <row r="47" spans="1:4" ht="15" customHeight="1" x14ac:dyDescent="0.25">
      <c r="A47" s="2" t="s">
        <v>21</v>
      </c>
      <c r="B47" s="2" t="s">
        <v>20</v>
      </c>
      <c r="C47" s="2" t="s">
        <v>35</v>
      </c>
      <c r="D47" s="4">
        <v>0.19083600000000001</v>
      </c>
    </row>
    <row r="48" spans="1:4" ht="15" customHeight="1" x14ac:dyDescent="0.25">
      <c r="A48" s="2" t="s">
        <v>21</v>
      </c>
      <c r="B48" s="2" t="s">
        <v>20</v>
      </c>
      <c r="C48" s="2" t="s">
        <v>36</v>
      </c>
      <c r="D48" s="4">
        <v>0.127224</v>
      </c>
    </row>
    <row r="49" spans="1:4" ht="15" customHeight="1" x14ac:dyDescent="0.25">
      <c r="A49" s="2" t="s">
        <v>21</v>
      </c>
      <c r="B49" s="2" t="s">
        <v>20</v>
      </c>
      <c r="C49" s="2" t="s">
        <v>37</v>
      </c>
      <c r="D49" s="4">
        <v>0.10378800000000001</v>
      </c>
    </row>
    <row r="50" spans="1:4" ht="15" customHeight="1" x14ac:dyDescent="0.25">
      <c r="A50" s="2" t="s">
        <v>21</v>
      </c>
      <c r="B50" s="2" t="s">
        <v>20</v>
      </c>
      <c r="C50" s="2" t="s">
        <v>62</v>
      </c>
      <c r="D50" s="4">
        <v>9.3743999999999994E-2</v>
      </c>
    </row>
    <row r="51" spans="1:4" ht="15" customHeight="1" x14ac:dyDescent="0.25">
      <c r="A51" s="2" t="s">
        <v>21</v>
      </c>
      <c r="B51" s="2" t="s">
        <v>20</v>
      </c>
      <c r="C51" s="2" t="s">
        <v>58</v>
      </c>
      <c r="D51" s="4">
        <v>7.3655999999999999E-2</v>
      </c>
    </row>
    <row r="52" spans="1:4" ht="15" customHeight="1" x14ac:dyDescent="0.25">
      <c r="A52" s="2" t="s">
        <v>21</v>
      </c>
      <c r="B52" s="2" t="s">
        <v>20</v>
      </c>
      <c r="C52" s="2" t="s">
        <v>39</v>
      </c>
      <c r="D52" s="4">
        <v>4.0176000000000003E-2</v>
      </c>
    </row>
    <row r="53" spans="1:4" ht="15" customHeight="1" x14ac:dyDescent="0.25">
      <c r="A53" s="2" t="s">
        <v>21</v>
      </c>
      <c r="B53" s="2" t="s">
        <v>20</v>
      </c>
      <c r="C53" s="2" t="s">
        <v>52</v>
      </c>
      <c r="D53" s="4">
        <v>3.0131999999999999E-2</v>
      </c>
    </row>
    <row r="54" spans="1:4" ht="15" customHeight="1" x14ac:dyDescent="0.25">
      <c r="A54" s="2" t="s">
        <v>21</v>
      </c>
      <c r="B54" s="2" t="s">
        <v>20</v>
      </c>
      <c r="C54" s="2" t="s">
        <v>59</v>
      </c>
      <c r="D54" s="4">
        <v>3.3479999999999998E-3</v>
      </c>
    </row>
    <row r="55" spans="1:4" ht="15" customHeight="1" x14ac:dyDescent="0.25">
      <c r="A55" s="2" t="s">
        <v>21</v>
      </c>
      <c r="B55" s="2" t="s">
        <v>20</v>
      </c>
      <c r="C55" s="2" t="s">
        <v>60</v>
      </c>
      <c r="D55" s="4">
        <v>2.6784000000000001E-3</v>
      </c>
    </row>
    <row r="56" spans="1:4" ht="15" customHeight="1" x14ac:dyDescent="0.25">
      <c r="A56" s="2" t="s">
        <v>21</v>
      </c>
      <c r="B56" s="2" t="s">
        <v>20</v>
      </c>
      <c r="C56" s="2" t="s">
        <v>42</v>
      </c>
      <c r="D56" s="4">
        <v>4.0175999999999996E-3</v>
      </c>
    </row>
    <row r="57" spans="1:4" ht="15" customHeight="1" x14ac:dyDescent="0.25">
      <c r="A57" s="2" t="s">
        <v>21</v>
      </c>
      <c r="B57" s="2" t="s">
        <v>20</v>
      </c>
      <c r="C57" s="2" t="s">
        <v>61</v>
      </c>
      <c r="D57" s="4">
        <v>0.18228</v>
      </c>
    </row>
    <row r="58" spans="1:4" ht="15" customHeight="1" x14ac:dyDescent="0.25">
      <c r="A58" s="2" t="s">
        <v>21</v>
      </c>
      <c r="B58" s="2" t="s">
        <v>20</v>
      </c>
      <c r="C58" s="2" t="s">
        <v>62</v>
      </c>
      <c r="D58" s="4">
        <v>4.9475999999999999E-2</v>
      </c>
    </row>
    <row r="59" spans="1:4" ht="15" customHeight="1" x14ac:dyDescent="0.25">
      <c r="A59" s="2" t="s">
        <v>21</v>
      </c>
      <c r="B59" s="2" t="s">
        <v>20</v>
      </c>
      <c r="C59" s="2" t="s">
        <v>35</v>
      </c>
      <c r="D59" s="4">
        <v>2.6040000000000001E-2</v>
      </c>
    </row>
    <row r="60" spans="1:4" ht="15" customHeight="1" x14ac:dyDescent="0.25">
      <c r="A60" s="2" t="s">
        <v>21</v>
      </c>
      <c r="B60" s="2" t="s">
        <v>20</v>
      </c>
      <c r="C60" s="2" t="s">
        <v>46</v>
      </c>
      <c r="D60" s="4">
        <v>1.302E-3</v>
      </c>
    </row>
    <row r="61" spans="1:4" ht="15" customHeight="1" x14ac:dyDescent="0.25">
      <c r="A61" s="2" t="s">
        <v>21</v>
      </c>
      <c r="B61" s="2" t="s">
        <v>20</v>
      </c>
      <c r="C61" s="2" t="s">
        <v>63</v>
      </c>
      <c r="D61" s="4">
        <v>1.302E-3</v>
      </c>
    </row>
    <row r="62" spans="1:4" ht="15" customHeight="1" x14ac:dyDescent="0.25">
      <c r="A62" s="2" t="s">
        <v>21</v>
      </c>
      <c r="B62" s="2" t="s">
        <v>20</v>
      </c>
      <c r="C62" s="2" t="s">
        <v>50</v>
      </c>
      <c r="D62" s="4">
        <v>7.0000000000000007E-2</v>
      </c>
    </row>
    <row r="63" spans="1:4" ht="15" customHeight="1" x14ac:dyDescent="0.25">
      <c r="A63" s="2" t="s">
        <v>11</v>
      </c>
      <c r="B63" s="2" t="s">
        <v>10</v>
      </c>
      <c r="C63" s="2" t="s">
        <v>36</v>
      </c>
      <c r="D63" s="4">
        <v>0.23250000000000001</v>
      </c>
    </row>
    <row r="64" spans="1:4" ht="15" customHeight="1" x14ac:dyDescent="0.25">
      <c r="A64" s="2" t="s">
        <v>11</v>
      </c>
      <c r="B64" s="2" t="s">
        <v>10</v>
      </c>
      <c r="C64" s="2" t="s">
        <v>35</v>
      </c>
      <c r="D64" s="4">
        <v>0.1767</v>
      </c>
    </row>
    <row r="65" spans="1:4" ht="15" customHeight="1" x14ac:dyDescent="0.25">
      <c r="A65" s="2" t="s">
        <v>11</v>
      </c>
      <c r="B65" s="2" t="s">
        <v>10</v>
      </c>
      <c r="C65" s="2" t="s">
        <v>64</v>
      </c>
      <c r="D65" s="4">
        <v>0.13950000000000001</v>
      </c>
    </row>
    <row r="66" spans="1:4" ht="15" customHeight="1" x14ac:dyDescent="0.25">
      <c r="A66" s="2" t="s">
        <v>11</v>
      </c>
      <c r="B66" s="2" t="s">
        <v>10</v>
      </c>
      <c r="C66" s="2" t="s">
        <v>65</v>
      </c>
      <c r="D66" s="4">
        <v>0.12089999999999999</v>
      </c>
    </row>
    <row r="67" spans="1:4" ht="15" customHeight="1" x14ac:dyDescent="0.25">
      <c r="A67" s="2" t="s">
        <v>11</v>
      </c>
      <c r="B67" s="2" t="s">
        <v>10</v>
      </c>
      <c r="C67" s="2" t="s">
        <v>66</v>
      </c>
      <c r="D67" s="4">
        <v>7.4399999999999994E-2</v>
      </c>
    </row>
    <row r="68" spans="1:4" ht="15" customHeight="1" x14ac:dyDescent="0.25">
      <c r="A68" s="2" t="s">
        <v>11</v>
      </c>
      <c r="B68" s="2" t="s">
        <v>10</v>
      </c>
      <c r="C68" s="2" t="s">
        <v>37</v>
      </c>
      <c r="D68" s="4">
        <v>5.5800000000000002E-2</v>
      </c>
    </row>
    <row r="69" spans="1:4" ht="15" customHeight="1" x14ac:dyDescent="0.25">
      <c r="A69" s="2" t="s">
        <v>11</v>
      </c>
      <c r="B69" s="2" t="s">
        <v>10</v>
      </c>
      <c r="C69" s="2" t="s">
        <v>67</v>
      </c>
      <c r="D69" s="4">
        <v>4.65E-2</v>
      </c>
    </row>
    <row r="70" spans="1:4" ht="15" customHeight="1" x14ac:dyDescent="0.25">
      <c r="A70" s="2" t="s">
        <v>11</v>
      </c>
      <c r="B70" s="2" t="s">
        <v>10</v>
      </c>
      <c r="C70" s="2" t="s">
        <v>68</v>
      </c>
      <c r="D70" s="4">
        <v>3.7199999999999997E-2</v>
      </c>
    </row>
    <row r="71" spans="1:4" ht="15" customHeight="1" x14ac:dyDescent="0.25">
      <c r="A71" s="2" t="s">
        <v>11</v>
      </c>
      <c r="B71" s="2" t="s">
        <v>10</v>
      </c>
      <c r="C71" s="2" t="s">
        <v>43</v>
      </c>
      <c r="D71" s="4">
        <v>1.3950000000000001E-2</v>
      </c>
    </row>
    <row r="72" spans="1:4" ht="15" customHeight="1" x14ac:dyDescent="0.25">
      <c r="A72" s="2" t="s">
        <v>11</v>
      </c>
      <c r="B72" s="2" t="s">
        <v>10</v>
      </c>
      <c r="C72" s="2" t="s">
        <v>69</v>
      </c>
      <c r="D72" s="4">
        <v>9.2999999999999992E-3</v>
      </c>
    </row>
    <row r="73" spans="1:4" ht="15" customHeight="1" x14ac:dyDescent="0.25">
      <c r="A73" s="2" t="s">
        <v>11</v>
      </c>
      <c r="B73" s="2" t="s">
        <v>10</v>
      </c>
      <c r="C73" s="2" t="s">
        <v>42</v>
      </c>
      <c r="D73" s="4">
        <v>9.2999999999999992E-3</v>
      </c>
    </row>
    <row r="74" spans="1:4" ht="15" customHeight="1" x14ac:dyDescent="0.25">
      <c r="A74" s="2" t="s">
        <v>11</v>
      </c>
      <c r="B74" s="2" t="s">
        <v>10</v>
      </c>
      <c r="C74" s="2" t="s">
        <v>70</v>
      </c>
      <c r="D74" s="4">
        <v>9.2999999999999992E-3</v>
      </c>
    </row>
    <row r="75" spans="1:4" ht="15" customHeight="1" x14ac:dyDescent="0.25">
      <c r="A75" s="2" t="s">
        <v>11</v>
      </c>
      <c r="B75" s="2" t="s">
        <v>10</v>
      </c>
      <c r="C75" s="2" t="s">
        <v>45</v>
      </c>
      <c r="D75" s="4">
        <v>4.6499999999999996E-3</v>
      </c>
    </row>
    <row r="76" spans="1:4" ht="15" customHeight="1" x14ac:dyDescent="0.25">
      <c r="A76" s="2" t="s">
        <v>11</v>
      </c>
      <c r="B76" s="2" t="s">
        <v>10</v>
      </c>
      <c r="C76" s="2" t="s">
        <v>50</v>
      </c>
      <c r="D76" s="4">
        <v>7.0000000000000007E-2</v>
      </c>
    </row>
    <row r="77" spans="1:4" ht="15" customHeight="1" x14ac:dyDescent="0.25">
      <c r="A77" s="2" t="s">
        <v>13</v>
      </c>
      <c r="B77" s="2" t="s">
        <v>12</v>
      </c>
      <c r="C77" s="2" t="s">
        <v>36</v>
      </c>
      <c r="D77" s="4">
        <v>0.23250000000000001</v>
      </c>
    </row>
    <row r="78" spans="1:4" ht="15" customHeight="1" x14ac:dyDescent="0.25">
      <c r="A78" s="2" t="s">
        <v>13</v>
      </c>
      <c r="B78" s="2" t="s">
        <v>12</v>
      </c>
      <c r="C78" s="2" t="s">
        <v>35</v>
      </c>
      <c r="D78" s="4">
        <v>0.1767</v>
      </c>
    </row>
    <row r="79" spans="1:4" ht="15" customHeight="1" x14ac:dyDescent="0.25">
      <c r="A79" s="2" t="s">
        <v>13</v>
      </c>
      <c r="B79" s="2" t="s">
        <v>12</v>
      </c>
      <c r="C79" s="2" t="s">
        <v>64</v>
      </c>
      <c r="D79" s="4">
        <v>0.13020000000000001</v>
      </c>
    </row>
    <row r="80" spans="1:4" ht="15" customHeight="1" x14ac:dyDescent="0.25">
      <c r="A80" s="2" t="s">
        <v>13</v>
      </c>
      <c r="B80" s="2" t="s">
        <v>12</v>
      </c>
      <c r="C80" s="2" t="s">
        <v>71</v>
      </c>
      <c r="D80" s="4">
        <v>0.1116</v>
      </c>
    </row>
    <row r="81" spans="1:4" ht="15" customHeight="1" x14ac:dyDescent="0.25">
      <c r="A81" s="2" t="s">
        <v>13</v>
      </c>
      <c r="B81" s="2" t="s">
        <v>12</v>
      </c>
      <c r="C81" s="2" t="s">
        <v>72</v>
      </c>
      <c r="D81" s="4">
        <v>9.2999999999999999E-2</v>
      </c>
    </row>
    <row r="82" spans="1:4" ht="15" customHeight="1" x14ac:dyDescent="0.25">
      <c r="A82" s="2" t="s">
        <v>13</v>
      </c>
      <c r="B82" s="2" t="s">
        <v>12</v>
      </c>
      <c r="C82" s="2" t="s">
        <v>66</v>
      </c>
      <c r="D82" s="4">
        <v>5.5800000000000002E-2</v>
      </c>
    </row>
    <row r="83" spans="1:4" ht="15" customHeight="1" x14ac:dyDescent="0.25">
      <c r="A83" s="2" t="s">
        <v>13</v>
      </c>
      <c r="B83" s="2" t="s">
        <v>12</v>
      </c>
      <c r="C83" s="2" t="s">
        <v>40</v>
      </c>
      <c r="D83" s="4">
        <v>4.65E-2</v>
      </c>
    </row>
    <row r="84" spans="1:4" ht="15" customHeight="1" x14ac:dyDescent="0.25">
      <c r="A84" s="2" t="s">
        <v>13</v>
      </c>
      <c r="B84" s="2" t="s">
        <v>12</v>
      </c>
      <c r="C84" s="2" t="s">
        <v>68</v>
      </c>
      <c r="D84" s="4">
        <v>3.7199999999999997E-2</v>
      </c>
    </row>
    <row r="85" spans="1:4" ht="15" customHeight="1" x14ac:dyDescent="0.25">
      <c r="A85" s="2" t="s">
        <v>13</v>
      </c>
      <c r="B85" s="2" t="s">
        <v>12</v>
      </c>
      <c r="C85" s="2" t="s">
        <v>43</v>
      </c>
      <c r="D85" s="4">
        <v>1.3950000000000001E-2</v>
      </c>
    </row>
    <row r="86" spans="1:4" ht="15" customHeight="1" x14ac:dyDescent="0.25">
      <c r="A86" s="2" t="s">
        <v>13</v>
      </c>
      <c r="B86" s="2" t="s">
        <v>12</v>
      </c>
      <c r="C86" s="2" t="s">
        <v>69</v>
      </c>
      <c r="D86" s="4">
        <v>9.2999999999999992E-3</v>
      </c>
    </row>
    <row r="87" spans="1:4" ht="15" customHeight="1" x14ac:dyDescent="0.25">
      <c r="A87" s="2" t="s">
        <v>13</v>
      </c>
      <c r="B87" s="2" t="s">
        <v>12</v>
      </c>
      <c r="C87" s="2" t="s">
        <v>42</v>
      </c>
      <c r="D87" s="4">
        <v>9.2999999999999992E-3</v>
      </c>
    </row>
    <row r="88" spans="1:4" ht="15" customHeight="1" x14ac:dyDescent="0.25">
      <c r="A88" s="2" t="s">
        <v>13</v>
      </c>
      <c r="B88" s="2" t="s">
        <v>12</v>
      </c>
      <c r="C88" s="2" t="s">
        <v>70</v>
      </c>
      <c r="D88" s="4">
        <v>9.2999999999999992E-3</v>
      </c>
    </row>
    <row r="89" spans="1:4" ht="15" customHeight="1" x14ac:dyDescent="0.25">
      <c r="A89" s="2" t="s">
        <v>13</v>
      </c>
      <c r="B89" s="2" t="s">
        <v>12</v>
      </c>
      <c r="C89" s="2" t="s">
        <v>45</v>
      </c>
      <c r="D89" s="4">
        <v>4.6499999999999996E-3</v>
      </c>
    </row>
    <row r="90" spans="1:4" ht="15" customHeight="1" x14ac:dyDescent="0.25">
      <c r="A90" s="2" t="s">
        <v>13</v>
      </c>
      <c r="B90" s="2" t="s">
        <v>12</v>
      </c>
      <c r="C90" s="2" t="s">
        <v>50</v>
      </c>
      <c r="D90" s="4">
        <v>7.0000000000000007E-2</v>
      </c>
    </row>
    <row r="91" spans="1:4" ht="15" customHeight="1" x14ac:dyDescent="0.25">
      <c r="A91" s="2" t="s">
        <v>28</v>
      </c>
      <c r="B91" s="2" t="s">
        <v>73</v>
      </c>
      <c r="C91" s="2" t="s">
        <v>35</v>
      </c>
      <c r="D91" s="4">
        <v>0.22320000000000001</v>
      </c>
    </row>
    <row r="92" spans="1:4" ht="15" customHeight="1" x14ac:dyDescent="0.25">
      <c r="A92" s="2" t="s">
        <v>28</v>
      </c>
      <c r="B92" s="2" t="s">
        <v>73</v>
      </c>
      <c r="C92" s="2" t="s">
        <v>36</v>
      </c>
      <c r="D92" s="4">
        <v>0.2046</v>
      </c>
    </row>
    <row r="93" spans="1:4" ht="15" customHeight="1" x14ac:dyDescent="0.25">
      <c r="A93" s="2" t="s">
        <v>28</v>
      </c>
      <c r="B93" s="2" t="s">
        <v>73</v>
      </c>
      <c r="C93" s="2" t="s">
        <v>51</v>
      </c>
      <c r="D93" s="4">
        <v>0.14879999999999999</v>
      </c>
    </row>
    <row r="94" spans="1:4" ht="15" customHeight="1" x14ac:dyDescent="0.25">
      <c r="A94" s="2" t="s">
        <v>28</v>
      </c>
      <c r="B94" s="2" t="s">
        <v>73</v>
      </c>
      <c r="C94" s="2" t="s">
        <v>37</v>
      </c>
      <c r="D94" s="4">
        <v>0.12089999999999999</v>
      </c>
    </row>
    <row r="95" spans="1:4" ht="15" customHeight="1" x14ac:dyDescent="0.25">
      <c r="A95" s="2" t="s">
        <v>28</v>
      </c>
      <c r="B95" s="2" t="s">
        <v>73</v>
      </c>
      <c r="C95" s="2" t="s">
        <v>52</v>
      </c>
      <c r="D95" s="4">
        <v>5.5800000000000002E-2</v>
      </c>
    </row>
    <row r="96" spans="1:4" ht="15" customHeight="1" x14ac:dyDescent="0.25">
      <c r="A96" s="2" t="s">
        <v>28</v>
      </c>
      <c r="B96" s="2" t="s">
        <v>73</v>
      </c>
      <c r="C96" s="2" t="s">
        <v>54</v>
      </c>
      <c r="D96" s="4">
        <v>5.5800000000000002E-2</v>
      </c>
    </row>
    <row r="97" spans="1:4" ht="15" customHeight="1" x14ac:dyDescent="0.25">
      <c r="A97" s="2" t="s">
        <v>28</v>
      </c>
      <c r="B97" s="2" t="s">
        <v>73</v>
      </c>
      <c r="C97" s="2" t="s">
        <v>74</v>
      </c>
      <c r="D97" s="4">
        <v>3.7199999999999997E-2</v>
      </c>
    </row>
    <row r="98" spans="1:4" ht="15" customHeight="1" x14ac:dyDescent="0.25">
      <c r="A98" s="2" t="s">
        <v>28</v>
      </c>
      <c r="B98" s="2" t="s">
        <v>73</v>
      </c>
      <c r="C98" s="2" t="s">
        <v>56</v>
      </c>
      <c r="D98" s="4">
        <v>2.7900000000000001E-2</v>
      </c>
    </row>
    <row r="99" spans="1:4" ht="15" customHeight="1" x14ac:dyDescent="0.25">
      <c r="A99" s="2" t="s">
        <v>28</v>
      </c>
      <c r="B99" s="2" t="s">
        <v>73</v>
      </c>
      <c r="C99" s="2" t="s">
        <v>70</v>
      </c>
      <c r="D99" s="4">
        <v>1.8599999999999998E-2</v>
      </c>
    </row>
    <row r="100" spans="1:4" ht="15" customHeight="1" x14ac:dyDescent="0.25">
      <c r="A100" s="2" t="s">
        <v>28</v>
      </c>
      <c r="B100" s="2" t="s">
        <v>73</v>
      </c>
      <c r="C100" s="2" t="s">
        <v>44</v>
      </c>
      <c r="D100" s="4">
        <v>1.3950000000000001E-2</v>
      </c>
    </row>
    <row r="101" spans="1:4" ht="15" customHeight="1" x14ac:dyDescent="0.25">
      <c r="A101" s="2" t="s">
        <v>28</v>
      </c>
      <c r="B101" s="2" t="s">
        <v>73</v>
      </c>
      <c r="C101" s="2" t="s">
        <v>42</v>
      </c>
      <c r="D101" s="4">
        <v>9.2999999999999992E-3</v>
      </c>
    </row>
    <row r="102" spans="1:4" ht="15" customHeight="1" x14ac:dyDescent="0.25">
      <c r="A102" s="2" t="s">
        <v>28</v>
      </c>
      <c r="B102" s="2" t="s">
        <v>73</v>
      </c>
      <c r="C102" s="2" t="s">
        <v>75</v>
      </c>
      <c r="D102" s="4">
        <v>9.2999999999999992E-3</v>
      </c>
    </row>
    <row r="103" spans="1:4" ht="15" customHeight="1" x14ac:dyDescent="0.25">
      <c r="A103" s="2" t="s">
        <v>28</v>
      </c>
      <c r="B103" s="2" t="s">
        <v>73</v>
      </c>
      <c r="C103" s="2" t="s">
        <v>47</v>
      </c>
      <c r="D103" s="4">
        <v>4.6499999999999996E-3</v>
      </c>
    </row>
    <row r="104" spans="1:4" ht="15" customHeight="1" x14ac:dyDescent="0.25">
      <c r="A104" s="2" t="s">
        <v>28</v>
      </c>
      <c r="B104" s="2" t="s">
        <v>73</v>
      </c>
      <c r="C104" s="2" t="s">
        <v>50</v>
      </c>
      <c r="D104" s="4">
        <v>7.0000000000000007E-2</v>
      </c>
    </row>
    <row r="105" spans="1:4" ht="15" customHeight="1" x14ac:dyDescent="0.25">
      <c r="A105" s="2" t="s">
        <v>26</v>
      </c>
      <c r="B105" s="2" t="s">
        <v>76</v>
      </c>
      <c r="C105" s="2" t="s">
        <v>35</v>
      </c>
      <c r="D105" s="4">
        <v>0.26040000000000002</v>
      </c>
    </row>
    <row r="106" spans="1:4" ht="15" customHeight="1" x14ac:dyDescent="0.25">
      <c r="A106" s="2" t="s">
        <v>26</v>
      </c>
      <c r="B106" s="2" t="s">
        <v>76</v>
      </c>
      <c r="C106" s="2" t="s">
        <v>36</v>
      </c>
      <c r="D106" s="4">
        <v>0.1953</v>
      </c>
    </row>
    <row r="107" spans="1:4" ht="15" customHeight="1" x14ac:dyDescent="0.25">
      <c r="A107" s="2" t="s">
        <v>26</v>
      </c>
      <c r="B107" s="2" t="s">
        <v>76</v>
      </c>
      <c r="C107" s="2" t="s">
        <v>62</v>
      </c>
      <c r="D107" s="4">
        <v>0.14879999999999999</v>
      </c>
    </row>
    <row r="108" spans="1:4" ht="15" customHeight="1" x14ac:dyDescent="0.25">
      <c r="A108" s="2" t="s">
        <v>26</v>
      </c>
      <c r="B108" s="2" t="s">
        <v>76</v>
      </c>
      <c r="C108" s="2" t="s">
        <v>37</v>
      </c>
      <c r="D108" s="4">
        <v>0.13950000000000001</v>
      </c>
    </row>
    <row r="109" spans="1:4" ht="15" customHeight="1" x14ac:dyDescent="0.25">
      <c r="A109" s="2" t="s">
        <v>26</v>
      </c>
      <c r="B109" s="2" t="s">
        <v>76</v>
      </c>
      <c r="C109" s="2" t="s">
        <v>39</v>
      </c>
      <c r="D109" s="4">
        <v>5.5800000000000002E-2</v>
      </c>
    </row>
    <row r="110" spans="1:4" ht="15" customHeight="1" x14ac:dyDescent="0.25">
      <c r="A110" s="2" t="s">
        <v>26</v>
      </c>
      <c r="B110" s="2" t="s">
        <v>76</v>
      </c>
      <c r="C110" s="2" t="s">
        <v>77</v>
      </c>
      <c r="D110" s="4">
        <v>2.7900000000000001E-2</v>
      </c>
    </row>
    <row r="111" spans="1:4" ht="15" customHeight="1" x14ac:dyDescent="0.25">
      <c r="A111" s="2" t="s">
        <v>26</v>
      </c>
      <c r="B111" s="2" t="s">
        <v>76</v>
      </c>
      <c r="C111" s="2" t="s">
        <v>74</v>
      </c>
      <c r="D111" s="4">
        <v>2.7900000000000001E-2</v>
      </c>
    </row>
    <row r="112" spans="1:4" ht="15" customHeight="1" x14ac:dyDescent="0.25">
      <c r="A112" s="2" t="s">
        <v>26</v>
      </c>
      <c r="B112" s="2" t="s">
        <v>76</v>
      </c>
      <c r="C112" s="2" t="s">
        <v>70</v>
      </c>
      <c r="D112" s="4">
        <v>1.8599999999999998E-2</v>
      </c>
    </row>
    <row r="113" spans="1:4" ht="15" customHeight="1" x14ac:dyDescent="0.25">
      <c r="A113" s="2" t="s">
        <v>26</v>
      </c>
      <c r="B113" s="2" t="s">
        <v>76</v>
      </c>
      <c r="C113" s="2" t="s">
        <v>59</v>
      </c>
      <c r="D113" s="4">
        <v>9.2999999999999992E-3</v>
      </c>
    </row>
    <row r="114" spans="1:4" ht="15" customHeight="1" x14ac:dyDescent="0.25">
      <c r="A114" s="2" t="s">
        <v>26</v>
      </c>
      <c r="B114" s="2" t="s">
        <v>76</v>
      </c>
      <c r="C114" s="2" t="s">
        <v>42</v>
      </c>
      <c r="D114" s="4">
        <v>9.2999999999999992E-3</v>
      </c>
    </row>
    <row r="115" spans="1:4" ht="15" customHeight="1" x14ac:dyDescent="0.25">
      <c r="A115" s="2" t="s">
        <v>26</v>
      </c>
      <c r="B115" s="2" t="s">
        <v>76</v>
      </c>
      <c r="C115" s="2" t="s">
        <v>75</v>
      </c>
      <c r="D115" s="4">
        <v>9.2999999999999992E-3</v>
      </c>
    </row>
    <row r="116" spans="1:4" ht="15" customHeight="1" x14ac:dyDescent="0.25">
      <c r="A116" s="2" t="s">
        <v>26</v>
      </c>
      <c r="B116" s="2" t="s">
        <v>76</v>
      </c>
      <c r="C116" s="2" t="s">
        <v>44</v>
      </c>
      <c r="D116" s="4">
        <v>9.2999999999999992E-3</v>
      </c>
    </row>
    <row r="117" spans="1:4" ht="15" customHeight="1" x14ac:dyDescent="0.25">
      <c r="A117" s="2" t="s">
        <v>26</v>
      </c>
      <c r="B117" s="2" t="s">
        <v>76</v>
      </c>
      <c r="C117" s="2" t="s">
        <v>45</v>
      </c>
      <c r="D117" s="4">
        <v>9.2999999999999992E-3</v>
      </c>
    </row>
    <row r="118" spans="1:4" ht="15" customHeight="1" x14ac:dyDescent="0.25">
      <c r="A118" s="2" t="s">
        <v>26</v>
      </c>
      <c r="B118" s="2" t="s">
        <v>76</v>
      </c>
      <c r="C118" s="2" t="s">
        <v>43</v>
      </c>
      <c r="D118" s="4">
        <v>4.6499999999999996E-3</v>
      </c>
    </row>
    <row r="119" spans="1:4" ht="15" customHeight="1" x14ac:dyDescent="0.25">
      <c r="A119" s="2" t="s">
        <v>26</v>
      </c>
      <c r="B119" s="2" t="s">
        <v>76</v>
      </c>
      <c r="C119" s="2" t="s">
        <v>78</v>
      </c>
      <c r="D119" s="4">
        <v>4.6499999999999996E-3</v>
      </c>
    </row>
    <row r="120" spans="1:4" ht="15" customHeight="1" x14ac:dyDescent="0.25">
      <c r="A120" s="2" t="s">
        <v>26</v>
      </c>
      <c r="B120" s="2" t="s">
        <v>76</v>
      </c>
      <c r="C120" s="2" t="s">
        <v>50</v>
      </c>
      <c r="D120" s="4">
        <v>7.0000000000000007E-2</v>
      </c>
    </row>
    <row r="121" spans="1:4" x14ac:dyDescent="0.25">
      <c r="A121" s="2" t="s">
        <v>79</v>
      </c>
      <c r="B121" s="2" t="s">
        <v>80</v>
      </c>
      <c r="C121" s="2" t="s">
        <v>50</v>
      </c>
      <c r="D121" s="4">
        <v>0.47299999999999998</v>
      </c>
    </row>
    <row r="122" spans="1:4" x14ac:dyDescent="0.25">
      <c r="A122" s="2" t="s">
        <v>79</v>
      </c>
      <c r="B122" s="2" t="s">
        <v>80</v>
      </c>
      <c r="C122" s="2" t="s">
        <v>36</v>
      </c>
      <c r="D122" s="4">
        <v>0.13600000000000001</v>
      </c>
    </row>
    <row r="123" spans="1:4" x14ac:dyDescent="0.25">
      <c r="A123" s="2" t="s">
        <v>79</v>
      </c>
      <c r="B123" s="2" t="s">
        <v>80</v>
      </c>
      <c r="C123" s="2" t="s">
        <v>35</v>
      </c>
      <c r="D123" s="4">
        <v>0.10199999999999999</v>
      </c>
    </row>
    <row r="124" spans="1:4" x14ac:dyDescent="0.25">
      <c r="A124" s="2" t="s">
        <v>79</v>
      </c>
      <c r="B124" s="2" t="s">
        <v>80</v>
      </c>
      <c r="C124" s="2" t="s">
        <v>64</v>
      </c>
      <c r="D124" s="4">
        <v>8.5000000000000006E-2</v>
      </c>
    </row>
    <row r="125" spans="1:4" x14ac:dyDescent="0.25">
      <c r="A125" s="2" t="s">
        <v>79</v>
      </c>
      <c r="B125" s="2" t="s">
        <v>80</v>
      </c>
      <c r="C125" s="2" t="s">
        <v>66</v>
      </c>
      <c r="D125" s="4">
        <v>5.0999999999999997E-2</v>
      </c>
    </row>
    <row r="126" spans="1:4" x14ac:dyDescent="0.25">
      <c r="A126" s="2" t="s">
        <v>79</v>
      </c>
      <c r="B126" s="2" t="s">
        <v>80</v>
      </c>
      <c r="C126" s="2" t="s">
        <v>62</v>
      </c>
      <c r="D126" s="4">
        <v>3.4000000000000002E-2</v>
      </c>
    </row>
    <row r="127" spans="1:4" x14ac:dyDescent="0.25">
      <c r="A127" s="2" t="s">
        <v>79</v>
      </c>
      <c r="B127" s="2" t="s">
        <v>80</v>
      </c>
      <c r="C127" s="2" t="s">
        <v>57</v>
      </c>
      <c r="D127" s="4">
        <v>3.4000000000000002E-2</v>
      </c>
    </row>
    <row r="128" spans="1:4" x14ac:dyDescent="0.25">
      <c r="A128" s="2" t="s">
        <v>79</v>
      </c>
      <c r="B128" s="2" t="s">
        <v>80</v>
      </c>
      <c r="C128" s="2" t="s">
        <v>55</v>
      </c>
      <c r="D128" s="4">
        <v>2.5499999999999998E-2</v>
      </c>
    </row>
    <row r="129" spans="1:4" x14ac:dyDescent="0.25">
      <c r="A129" s="2" t="s">
        <v>79</v>
      </c>
      <c r="B129" s="2" t="s">
        <v>80</v>
      </c>
      <c r="C129" s="2" t="s">
        <v>81</v>
      </c>
      <c r="D129" s="4">
        <v>2.1250000000000002E-2</v>
      </c>
    </row>
    <row r="130" spans="1:4" x14ac:dyDescent="0.25">
      <c r="A130" s="2" t="s">
        <v>79</v>
      </c>
      <c r="B130" s="2" t="s">
        <v>80</v>
      </c>
      <c r="C130" s="2" t="s">
        <v>82</v>
      </c>
      <c r="D130" s="4">
        <v>1.7000000000000001E-2</v>
      </c>
    </row>
    <row r="131" spans="1:4" x14ac:dyDescent="0.25">
      <c r="A131" s="2" t="s">
        <v>79</v>
      </c>
      <c r="B131" s="2" t="s">
        <v>80</v>
      </c>
      <c r="C131" s="2" t="s">
        <v>42</v>
      </c>
      <c r="D131" s="4">
        <v>1.2749999999999999E-2</v>
      </c>
    </row>
    <row r="132" spans="1:4" x14ac:dyDescent="0.25">
      <c r="A132" s="2" t="s">
        <v>79</v>
      </c>
      <c r="B132" s="2" t="s">
        <v>80</v>
      </c>
      <c r="C132" s="2" t="s">
        <v>43</v>
      </c>
      <c r="D132" s="4">
        <v>8.5000000000000006E-3</v>
      </c>
    </row>
    <row r="133" spans="1:4" x14ac:dyDescent="0.25">
      <c r="A133" s="2" t="s">
        <v>83</v>
      </c>
      <c r="B133" s="2" t="s">
        <v>84</v>
      </c>
      <c r="C133" s="2" t="s">
        <v>62</v>
      </c>
      <c r="D133" s="4">
        <v>0.1958</v>
      </c>
    </row>
    <row r="134" spans="1:4" x14ac:dyDescent="0.25">
      <c r="A134" s="2" t="s">
        <v>83</v>
      </c>
      <c r="B134" s="2" t="s">
        <v>84</v>
      </c>
      <c r="C134" s="2" t="s">
        <v>85</v>
      </c>
      <c r="D134" s="4">
        <v>0.1424</v>
      </c>
    </row>
    <row r="135" spans="1:4" x14ac:dyDescent="0.25">
      <c r="A135" s="2" t="s">
        <v>83</v>
      </c>
      <c r="B135" s="2" t="s">
        <v>84</v>
      </c>
      <c r="C135" s="2" t="s">
        <v>36</v>
      </c>
      <c r="D135" s="4">
        <v>0.1246</v>
      </c>
    </row>
    <row r="136" spans="1:4" x14ac:dyDescent="0.25">
      <c r="A136" s="2" t="s">
        <v>83</v>
      </c>
      <c r="B136" s="2" t="s">
        <v>84</v>
      </c>
      <c r="C136" s="2" t="s">
        <v>35</v>
      </c>
      <c r="D136" s="4">
        <v>0.10680000000000001</v>
      </c>
    </row>
    <row r="137" spans="1:4" x14ac:dyDescent="0.25">
      <c r="A137" s="2" t="s">
        <v>83</v>
      </c>
      <c r="B137" s="2" t="s">
        <v>84</v>
      </c>
      <c r="C137" s="2" t="s">
        <v>50</v>
      </c>
      <c r="D137" s="4">
        <v>0.2079</v>
      </c>
    </row>
    <row r="138" spans="1:4" x14ac:dyDescent="0.25">
      <c r="A138" s="2" t="s">
        <v>83</v>
      </c>
      <c r="B138" s="2" t="s">
        <v>84</v>
      </c>
      <c r="C138" s="2" t="s">
        <v>40</v>
      </c>
      <c r="D138" s="4">
        <v>5.3400000000000003E-2</v>
      </c>
    </row>
    <row r="139" spans="1:4" x14ac:dyDescent="0.25">
      <c r="A139" s="2" t="s">
        <v>83</v>
      </c>
      <c r="B139" s="2" t="s">
        <v>84</v>
      </c>
      <c r="C139" s="2" t="s">
        <v>64</v>
      </c>
      <c r="D139" s="4">
        <v>5.3400000000000003E-2</v>
      </c>
    </row>
    <row r="140" spans="1:4" x14ac:dyDescent="0.25">
      <c r="A140" s="2" t="s">
        <v>83</v>
      </c>
      <c r="B140" s="2" t="s">
        <v>84</v>
      </c>
      <c r="C140" s="2" t="s">
        <v>57</v>
      </c>
      <c r="D140" s="4">
        <v>4.4499999999999998E-2</v>
      </c>
    </row>
    <row r="141" spans="1:4" x14ac:dyDescent="0.25">
      <c r="A141" s="2" t="s">
        <v>83</v>
      </c>
      <c r="B141" s="2" t="s">
        <v>84</v>
      </c>
      <c r="C141" s="2" t="s">
        <v>74</v>
      </c>
      <c r="D141" s="4">
        <v>1.78E-2</v>
      </c>
    </row>
    <row r="142" spans="1:4" x14ac:dyDescent="0.25">
      <c r="A142" s="2" t="s">
        <v>83</v>
      </c>
      <c r="B142" s="2" t="s">
        <v>84</v>
      </c>
      <c r="C142" s="2" t="s">
        <v>70</v>
      </c>
      <c r="D142" s="4">
        <v>1.78E-2</v>
      </c>
    </row>
    <row r="143" spans="1:4" x14ac:dyDescent="0.25">
      <c r="A143" s="2" t="s">
        <v>83</v>
      </c>
      <c r="B143" s="2" t="s">
        <v>84</v>
      </c>
      <c r="C143" s="2" t="s">
        <v>42</v>
      </c>
      <c r="D143" s="4">
        <v>8.8999999999999999E-3</v>
      </c>
    </row>
    <row r="144" spans="1:4" x14ac:dyDescent="0.25">
      <c r="A144" s="2" t="s">
        <v>83</v>
      </c>
      <c r="B144" s="2" t="s">
        <v>84</v>
      </c>
      <c r="C144" s="2" t="s">
        <v>75</v>
      </c>
      <c r="D144" s="4">
        <v>8.8999999999999999E-3</v>
      </c>
    </row>
    <row r="145" spans="1:4" x14ac:dyDescent="0.25">
      <c r="A145" s="2" t="s">
        <v>83</v>
      </c>
      <c r="B145" s="2" t="s">
        <v>84</v>
      </c>
      <c r="C145" s="2" t="s">
        <v>78</v>
      </c>
      <c r="D145" s="4">
        <v>1.068E-2</v>
      </c>
    </row>
    <row r="146" spans="1:4" x14ac:dyDescent="0.25">
      <c r="A146" s="2" t="s">
        <v>83</v>
      </c>
      <c r="B146" s="2" t="s">
        <v>84</v>
      </c>
      <c r="C146" s="2" t="s">
        <v>43</v>
      </c>
      <c r="D146" s="4">
        <v>4.45E-3</v>
      </c>
    </row>
    <row r="147" spans="1:4" x14ac:dyDescent="0.25">
      <c r="A147" s="2" t="s">
        <v>83</v>
      </c>
      <c r="B147" s="2" t="s">
        <v>84</v>
      </c>
      <c r="C147" s="2" t="s">
        <v>86</v>
      </c>
      <c r="D147" s="4">
        <v>2.6700000000000001E-3</v>
      </c>
    </row>
    <row r="148" spans="1:4" x14ac:dyDescent="0.25">
      <c r="A148" s="2" t="s">
        <v>87</v>
      </c>
      <c r="B148" s="2" t="s">
        <v>88</v>
      </c>
      <c r="C148" s="2" t="s">
        <v>62</v>
      </c>
      <c r="D148" s="4">
        <v>0.17799999999999999</v>
      </c>
    </row>
    <row r="149" spans="1:4" x14ac:dyDescent="0.25">
      <c r="A149" s="2" t="s">
        <v>87</v>
      </c>
      <c r="B149" s="2" t="s">
        <v>88</v>
      </c>
      <c r="C149" s="2" t="s">
        <v>85</v>
      </c>
      <c r="D149" s="4">
        <v>0.13350000000000001</v>
      </c>
    </row>
    <row r="150" spans="1:4" x14ac:dyDescent="0.25">
      <c r="A150" s="2" t="s">
        <v>87</v>
      </c>
      <c r="B150" s="2" t="s">
        <v>88</v>
      </c>
      <c r="C150" s="2" t="s">
        <v>36</v>
      </c>
      <c r="D150" s="4">
        <v>0.1157</v>
      </c>
    </row>
    <row r="151" spans="1:4" x14ac:dyDescent="0.25">
      <c r="A151" s="2" t="s">
        <v>87</v>
      </c>
      <c r="B151" s="2" t="s">
        <v>88</v>
      </c>
      <c r="C151" s="2" t="s">
        <v>35</v>
      </c>
      <c r="D151" s="4">
        <v>9.7900000000000001E-2</v>
      </c>
    </row>
    <row r="152" spans="1:4" x14ac:dyDescent="0.25">
      <c r="A152" s="2" t="s">
        <v>87</v>
      </c>
      <c r="B152" s="2" t="s">
        <v>88</v>
      </c>
      <c r="C152" s="2" t="s">
        <v>50</v>
      </c>
      <c r="D152" s="4">
        <v>0.19900000000000001</v>
      </c>
    </row>
    <row r="153" spans="1:4" x14ac:dyDescent="0.25">
      <c r="A153" s="2" t="s">
        <v>87</v>
      </c>
      <c r="B153" s="2" t="s">
        <v>88</v>
      </c>
      <c r="C153" s="2" t="s">
        <v>38</v>
      </c>
      <c r="D153" s="4">
        <v>8.0100000000000005E-2</v>
      </c>
    </row>
    <row r="154" spans="1:4" x14ac:dyDescent="0.25">
      <c r="A154" s="2" t="s">
        <v>87</v>
      </c>
      <c r="B154" s="2" t="s">
        <v>88</v>
      </c>
      <c r="C154" s="2" t="s">
        <v>40</v>
      </c>
      <c r="D154" s="4">
        <v>5.3400000000000003E-2</v>
      </c>
    </row>
    <row r="155" spans="1:4" x14ac:dyDescent="0.25">
      <c r="A155" s="2" t="s">
        <v>87</v>
      </c>
      <c r="B155" s="2" t="s">
        <v>88</v>
      </c>
      <c r="C155" s="2" t="s">
        <v>64</v>
      </c>
      <c r="D155" s="4">
        <v>4.4499999999999998E-2</v>
      </c>
    </row>
    <row r="156" spans="1:4" x14ac:dyDescent="0.25">
      <c r="A156" s="2" t="s">
        <v>87</v>
      </c>
      <c r="B156" s="2" t="s">
        <v>88</v>
      </c>
      <c r="C156" s="2" t="s">
        <v>57</v>
      </c>
      <c r="D156" s="4">
        <v>3.56E-2</v>
      </c>
    </row>
    <row r="157" spans="1:4" x14ac:dyDescent="0.25">
      <c r="A157" s="2" t="s">
        <v>87</v>
      </c>
      <c r="B157" s="2" t="s">
        <v>88</v>
      </c>
      <c r="C157" s="2" t="s">
        <v>74</v>
      </c>
      <c r="D157" s="4">
        <v>1.78E-2</v>
      </c>
    </row>
    <row r="158" spans="1:4" x14ac:dyDescent="0.25">
      <c r="A158" s="2" t="s">
        <v>87</v>
      </c>
      <c r="B158" s="2" t="s">
        <v>88</v>
      </c>
      <c r="C158" s="2" t="s">
        <v>70</v>
      </c>
      <c r="D158" s="4">
        <v>1.78E-2</v>
      </c>
    </row>
    <row r="159" spans="1:4" x14ac:dyDescent="0.25">
      <c r="A159" s="2" t="s">
        <v>87</v>
      </c>
      <c r="B159" s="2" t="s">
        <v>88</v>
      </c>
      <c r="C159" s="2" t="s">
        <v>42</v>
      </c>
      <c r="D159" s="4">
        <v>8.8999999999999999E-3</v>
      </c>
    </row>
    <row r="160" spans="1:4" x14ac:dyDescent="0.25">
      <c r="A160" s="2" t="s">
        <v>87</v>
      </c>
      <c r="B160" s="2" t="s">
        <v>88</v>
      </c>
      <c r="C160" s="2" t="s">
        <v>75</v>
      </c>
      <c r="D160" s="4">
        <v>8.8999999999999999E-3</v>
      </c>
    </row>
    <row r="161" spans="1:4" x14ac:dyDescent="0.25">
      <c r="A161" s="2" t="s">
        <v>87</v>
      </c>
      <c r="B161" s="2" t="s">
        <v>88</v>
      </c>
      <c r="C161" s="2" t="s">
        <v>46</v>
      </c>
      <c r="D161" s="4">
        <v>4.45E-3</v>
      </c>
    </row>
    <row r="162" spans="1:4" x14ac:dyDescent="0.25">
      <c r="A162" s="2" t="s">
        <v>87</v>
      </c>
      <c r="B162" s="2" t="s">
        <v>88</v>
      </c>
      <c r="C162" s="2" t="s">
        <v>43</v>
      </c>
      <c r="D162" s="4">
        <v>2.6700000000000001E-3</v>
      </c>
    </row>
    <row r="163" spans="1:4" x14ac:dyDescent="0.25">
      <c r="A163" s="2" t="s">
        <v>87</v>
      </c>
      <c r="B163" s="2" t="s">
        <v>88</v>
      </c>
      <c r="C163" s="2" t="s">
        <v>86</v>
      </c>
      <c r="D163" s="4">
        <v>1.7799999999999999E-3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0" customWidth="1"/>
    <col min="2" max="2" width="11" customWidth="1"/>
    <col min="3" max="3" width="30" customWidth="1"/>
    <col min="4" max="4" width="10" customWidth="1"/>
    <col min="5" max="5" width="32" customWidth="1"/>
    <col min="6" max="7" width="12" customWidth="1"/>
    <col min="8" max="8" width="14" customWidth="1"/>
  </cols>
  <sheetData>
    <row r="1" spans="1:8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33</v>
      </c>
      <c r="G1" s="1" t="s">
        <v>89</v>
      </c>
      <c r="H1" s="1" t="s">
        <v>90</v>
      </c>
    </row>
    <row r="2" spans="1:8" ht="15" customHeight="1" x14ac:dyDescent="0.25">
      <c r="A2" s="2" t="str">
        <f>Programacion!A2</f>
        <v>Semana 1</v>
      </c>
      <c r="B2" s="2" t="str">
        <f>Programacion!B2</f>
        <v>Lunes</v>
      </c>
      <c r="C2" s="2" t="str">
        <f>Programacion!C2</f>
        <v>Bizcochos sabor queso 150gr</v>
      </c>
      <c r="D2" s="2" t="str">
        <f>Programacion!D2</f>
        <v>A05</v>
      </c>
      <c r="E2" s="2" t="str">
        <f>Formulas!C63</f>
        <v>HARINA DE ARROZ</v>
      </c>
      <c r="F2" s="4">
        <f>Formulas!D63</f>
        <v>0.23250000000000001</v>
      </c>
      <c r="G2" s="5">
        <f>Programacion!H2</f>
        <v>1200</v>
      </c>
      <c r="H2" s="5">
        <f t="shared" ref="H2:H65" si="0">F2*G2</f>
        <v>279</v>
      </c>
    </row>
    <row r="3" spans="1:8" ht="15" customHeight="1" x14ac:dyDescent="0.25">
      <c r="A3" s="2" t="str">
        <f>Programacion!A2</f>
        <v>Semana 1</v>
      </c>
      <c r="B3" s="2" t="str">
        <f>Programacion!B2</f>
        <v>Lunes</v>
      </c>
      <c r="C3" s="2" t="str">
        <f>Programacion!C2</f>
        <v>Bizcochos sabor queso 150gr</v>
      </c>
      <c r="D3" s="2" t="str">
        <f>Programacion!D2</f>
        <v>A05</v>
      </c>
      <c r="E3" s="2" t="str">
        <f>Formulas!C64</f>
        <v>FÉCULA DE MAÍZ</v>
      </c>
      <c r="F3" s="4">
        <f>Formulas!D64</f>
        <v>0.1767</v>
      </c>
      <c r="G3" s="5">
        <f>Programacion!H2</f>
        <v>1200</v>
      </c>
      <c r="H3" s="5">
        <f t="shared" si="0"/>
        <v>212.04</v>
      </c>
    </row>
    <row r="4" spans="1:8" ht="15" customHeight="1" x14ac:dyDescent="0.25">
      <c r="A4" s="2" t="str">
        <f>Programacion!A2</f>
        <v>Semana 1</v>
      </c>
      <c r="B4" s="2" t="str">
        <f>Programacion!B2</f>
        <v>Lunes</v>
      </c>
      <c r="C4" s="2" t="str">
        <f>Programacion!C2</f>
        <v>Bizcochos sabor queso 150gr</v>
      </c>
      <c r="D4" s="2" t="str">
        <f>Programacion!D2</f>
        <v>A05</v>
      </c>
      <c r="E4" s="2" t="str">
        <f>Formulas!C65</f>
        <v>FÉCULA DE MANDIOCA</v>
      </c>
      <c r="F4" s="4">
        <f>Formulas!D65</f>
        <v>0.13950000000000001</v>
      </c>
      <c r="G4" s="5">
        <f>Programacion!H2</f>
        <v>1200</v>
      </c>
      <c r="H4" s="5">
        <f t="shared" si="0"/>
        <v>167.4</v>
      </c>
    </row>
    <row r="5" spans="1:8" ht="15" customHeight="1" x14ac:dyDescent="0.25">
      <c r="A5" s="2" t="str">
        <f>Programacion!A2</f>
        <v>Semana 1</v>
      </c>
      <c r="B5" s="2" t="str">
        <f>Programacion!B2</f>
        <v>Lunes</v>
      </c>
      <c r="C5" s="2" t="str">
        <f>Programacion!C2</f>
        <v>Bizcochos sabor queso 150gr</v>
      </c>
      <c r="D5" s="2" t="str">
        <f>Programacion!D2</f>
        <v>A05</v>
      </c>
      <c r="E5" s="2" t="str">
        <f>Formulas!C66</f>
        <v>QUESO DESCREMADO EN POLVO</v>
      </c>
      <c r="F5" s="4">
        <f>Formulas!D66</f>
        <v>0.12089999999999999</v>
      </c>
      <c r="G5" s="5">
        <f>Programacion!H2</f>
        <v>1200</v>
      </c>
      <c r="H5" s="5">
        <f t="shared" si="0"/>
        <v>145.07999999999998</v>
      </c>
    </row>
    <row r="6" spans="1:8" ht="15" customHeight="1" x14ac:dyDescent="0.25">
      <c r="A6" s="2" t="str">
        <f>Programacion!A2</f>
        <v>Semana 1</v>
      </c>
      <c r="B6" s="2" t="str">
        <f>Programacion!B2</f>
        <v>Lunes</v>
      </c>
      <c r="C6" s="2" t="str">
        <f>Programacion!C2</f>
        <v>Bizcochos sabor queso 150gr</v>
      </c>
      <c r="D6" s="2" t="str">
        <f>Programacion!D2</f>
        <v>A05</v>
      </c>
      <c r="E6" s="2" t="str">
        <f>Formulas!C67</f>
        <v>ACEITE DE GIRASOL ALTO OLEICO</v>
      </c>
      <c r="F6" s="4">
        <f>Formulas!D67</f>
        <v>7.4399999999999994E-2</v>
      </c>
      <c r="G6" s="5">
        <f>Programacion!H2</f>
        <v>1200</v>
      </c>
      <c r="H6" s="5">
        <f t="shared" si="0"/>
        <v>89.279999999999987</v>
      </c>
    </row>
    <row r="7" spans="1:8" ht="15" customHeight="1" x14ac:dyDescent="0.25">
      <c r="A7" s="2" t="str">
        <f>Programacion!A2</f>
        <v>Semana 1</v>
      </c>
      <c r="B7" s="2" t="str">
        <f>Programacion!B2</f>
        <v>Lunes</v>
      </c>
      <c r="C7" s="2" t="str">
        <f>Programacion!C2</f>
        <v>Bizcochos sabor queso 150gr</v>
      </c>
      <c r="D7" s="2" t="str">
        <f>Programacion!D2</f>
        <v>A05</v>
      </c>
      <c r="E7" s="2" t="str">
        <f>Formulas!C68</f>
        <v>ACEITE VEGETAL INTERESTERIFICADO</v>
      </c>
      <c r="F7" s="4">
        <f>Formulas!D68</f>
        <v>5.5800000000000002E-2</v>
      </c>
      <c r="G7" s="5">
        <f>Programacion!H2</f>
        <v>1200</v>
      </c>
      <c r="H7" s="5">
        <f t="shared" si="0"/>
        <v>66.960000000000008</v>
      </c>
    </row>
    <row r="8" spans="1:8" ht="15" customHeight="1" x14ac:dyDescent="0.25">
      <c r="A8" s="2" t="str">
        <f>Programacion!A2</f>
        <v>Semana 1</v>
      </c>
      <c r="B8" s="2" t="str">
        <f>Programacion!B2</f>
        <v>Lunes</v>
      </c>
      <c r="C8" s="2" t="str">
        <f>Programacion!C2</f>
        <v>Bizcochos sabor queso 150gr</v>
      </c>
      <c r="D8" s="2" t="str">
        <f>Programacion!D2</f>
        <v>A05</v>
      </c>
      <c r="E8" s="2" t="str">
        <f>Formulas!C69</f>
        <v>CLARA DE HUEVO EN POLVO</v>
      </c>
      <c r="F8" s="4">
        <f>Formulas!D69</f>
        <v>4.65E-2</v>
      </c>
      <c r="G8" s="5">
        <f>Programacion!H2</f>
        <v>1200</v>
      </c>
      <c r="H8" s="5">
        <f t="shared" si="0"/>
        <v>55.8</v>
      </c>
    </row>
    <row r="9" spans="1:8" ht="15" customHeight="1" x14ac:dyDescent="0.25">
      <c r="A9" s="2" t="str">
        <f>Programacion!A2</f>
        <v>Semana 1</v>
      </c>
      <c r="B9" s="2" t="str">
        <f>Programacion!B2</f>
        <v>Lunes</v>
      </c>
      <c r="C9" s="2" t="str">
        <f>Programacion!C2</f>
        <v>Bizcochos sabor queso 150gr</v>
      </c>
      <c r="D9" s="2" t="str">
        <f>Programacion!D2</f>
        <v>A05</v>
      </c>
      <c r="E9" s="2" t="str">
        <f>Formulas!C70</f>
        <v>DEXTROSA</v>
      </c>
      <c r="F9" s="4">
        <f>Formulas!D70</f>
        <v>3.7199999999999997E-2</v>
      </c>
      <c r="G9" s="5">
        <f>Programacion!H2</f>
        <v>1200</v>
      </c>
      <c r="H9" s="5">
        <f t="shared" si="0"/>
        <v>44.639999999999993</v>
      </c>
    </row>
    <row r="10" spans="1:8" ht="15" customHeight="1" x14ac:dyDescent="0.25">
      <c r="A10" s="2" t="str">
        <f>Programacion!A2</f>
        <v>Semana 1</v>
      </c>
      <c r="B10" s="2" t="str">
        <f>Programacion!B2</f>
        <v>Lunes</v>
      </c>
      <c r="C10" s="2" t="str">
        <f>Programacion!C2</f>
        <v>Bizcochos sabor queso 150gr</v>
      </c>
      <c r="D10" s="2" t="str">
        <f>Programacion!D2</f>
        <v>A05</v>
      </c>
      <c r="E10" s="2" t="str">
        <f>Formulas!C71</f>
        <v>SAL</v>
      </c>
      <c r="F10" s="4">
        <f>Formulas!D71</f>
        <v>1.3950000000000001E-2</v>
      </c>
      <c r="G10" s="5">
        <f>Programacion!H2</f>
        <v>1200</v>
      </c>
      <c r="H10" s="5">
        <f t="shared" si="0"/>
        <v>16.740000000000002</v>
      </c>
    </row>
    <row r="11" spans="1:8" ht="15" customHeight="1" x14ac:dyDescent="0.25">
      <c r="A11" s="2" t="str">
        <f>Programacion!A2</f>
        <v>Semana 1</v>
      </c>
      <c r="B11" s="2" t="str">
        <f>Programacion!B2</f>
        <v>Lunes</v>
      </c>
      <c r="C11" s="2" t="str">
        <f>Programacion!C2</f>
        <v>Bizcochos sabor queso 150gr</v>
      </c>
      <c r="D11" s="2" t="str">
        <f>Programacion!D2</f>
        <v>A05</v>
      </c>
      <c r="E11" s="2" t="str">
        <f>Formulas!C72</f>
        <v>ESENCIA DE QUESO</v>
      </c>
      <c r="F11" s="4">
        <f>Formulas!D72</f>
        <v>9.2999999999999992E-3</v>
      </c>
      <c r="G11" s="5">
        <f>Programacion!H2</f>
        <v>1200</v>
      </c>
      <c r="H11" s="5">
        <f t="shared" si="0"/>
        <v>11.159999999999998</v>
      </c>
    </row>
    <row r="12" spans="1:8" ht="15" customHeight="1" x14ac:dyDescent="0.25">
      <c r="A12" s="2" t="str">
        <f>Programacion!A2</f>
        <v>Semana 1</v>
      </c>
      <c r="B12" s="2" t="str">
        <f>Programacion!B2</f>
        <v>Lunes</v>
      </c>
      <c r="C12" s="2" t="str">
        <f>Programacion!C2</f>
        <v>Bizcochos sabor queso 150gr</v>
      </c>
      <c r="D12" s="2" t="str">
        <f>Programacion!D2</f>
        <v>A05</v>
      </c>
      <c r="E12" s="2" t="str">
        <f>Formulas!C73</f>
        <v>GOMA XÁNTICA</v>
      </c>
      <c r="F12" s="4">
        <f>Formulas!D73</f>
        <v>9.2999999999999992E-3</v>
      </c>
      <c r="G12" s="5">
        <f>Programacion!H2</f>
        <v>1200</v>
      </c>
      <c r="H12" s="5">
        <f t="shared" si="0"/>
        <v>11.159999999999998</v>
      </c>
    </row>
    <row r="13" spans="1:8" ht="15" customHeight="1" x14ac:dyDescent="0.25">
      <c r="A13" s="2" t="str">
        <f>Programacion!A2</f>
        <v>Semana 1</v>
      </c>
      <c r="B13" s="2" t="str">
        <f>Programacion!B2</f>
        <v>Lunes</v>
      </c>
      <c r="C13" s="2" t="str">
        <f>Programacion!C2</f>
        <v>Bizcochos sabor queso 150gr</v>
      </c>
      <c r="D13" s="2" t="str">
        <f>Programacion!D2</f>
        <v>A05</v>
      </c>
      <c r="E13" s="2" t="str">
        <f>Formulas!C74</f>
        <v>POLVO PARA HORNEAR</v>
      </c>
      <c r="F13" s="4">
        <f>Formulas!D74</f>
        <v>9.2999999999999992E-3</v>
      </c>
      <c r="G13" s="5">
        <f>Programacion!H2</f>
        <v>1200</v>
      </c>
      <c r="H13" s="5">
        <f t="shared" si="0"/>
        <v>11.159999999999998</v>
      </c>
    </row>
    <row r="14" spans="1:8" ht="15" customHeight="1" x14ac:dyDescent="0.25">
      <c r="A14" s="2" t="str">
        <f>Programacion!A2</f>
        <v>Semana 1</v>
      </c>
      <c r="B14" s="2" t="str">
        <f>Programacion!B2</f>
        <v>Lunes</v>
      </c>
      <c r="C14" s="2" t="str">
        <f>Programacion!C2</f>
        <v>Bizcochos sabor queso 150gr</v>
      </c>
      <c r="D14" s="2" t="str">
        <f>Programacion!D2</f>
        <v>A05</v>
      </c>
      <c r="E14" s="2" t="str">
        <f>Formulas!C75</f>
        <v>BICARBONATO DE SODIO</v>
      </c>
      <c r="F14" s="4">
        <f>Formulas!D75</f>
        <v>4.6499999999999996E-3</v>
      </c>
      <c r="G14" s="5">
        <f>Programacion!H2</f>
        <v>1200</v>
      </c>
      <c r="H14" s="5">
        <f t="shared" si="0"/>
        <v>5.5799999999999992</v>
      </c>
    </row>
    <row r="15" spans="1:8" ht="15" customHeight="1" x14ac:dyDescent="0.25">
      <c r="A15" s="2" t="str">
        <f>Programacion!A2</f>
        <v>Semana 1</v>
      </c>
      <c r="B15" s="2" t="str">
        <f>Programacion!B2</f>
        <v>Lunes</v>
      </c>
      <c r="C15" s="2" t="str">
        <f>Programacion!C2</f>
        <v>Bizcochos sabor queso 150gr</v>
      </c>
      <c r="D15" s="2" t="str">
        <f>Programacion!D2</f>
        <v>A05</v>
      </c>
      <c r="E15" s="2" t="str">
        <f>Formulas!C76</f>
        <v>AGUA</v>
      </c>
      <c r="F15" s="4">
        <f>Formulas!D76</f>
        <v>7.0000000000000007E-2</v>
      </c>
      <c r="G15" s="5">
        <f>Programacion!H2</f>
        <v>1200</v>
      </c>
      <c r="H15" s="5">
        <f t="shared" si="0"/>
        <v>84.000000000000014</v>
      </c>
    </row>
    <row r="16" spans="1:8" ht="15" customHeight="1" x14ac:dyDescent="0.25">
      <c r="A16" s="2" t="str">
        <f>Programacion!A3</f>
        <v>Semana 1</v>
      </c>
      <c r="B16" s="2" t="str">
        <f>Programacion!B3</f>
        <v>Lunes</v>
      </c>
      <c r="C16" s="2" t="str">
        <f>Programacion!C3</f>
        <v>Bizcochos sabor queso free</v>
      </c>
      <c r="D16" s="2" t="str">
        <f>Programacion!D3</f>
        <v>A06</v>
      </c>
      <c r="E16" s="2" t="str">
        <f>Formulas!C77</f>
        <v>HARINA DE ARROZ</v>
      </c>
      <c r="F16" s="4">
        <f>Formulas!D77</f>
        <v>0.23250000000000001</v>
      </c>
      <c r="G16" s="5">
        <f>Programacion!H3</f>
        <v>600</v>
      </c>
      <c r="H16" s="5">
        <f t="shared" si="0"/>
        <v>139.5</v>
      </c>
    </row>
    <row r="17" spans="1:8" ht="15" customHeight="1" x14ac:dyDescent="0.25">
      <c r="A17" s="2" t="str">
        <f>Programacion!A3</f>
        <v>Semana 1</v>
      </c>
      <c r="B17" s="2" t="str">
        <f>Programacion!B3</f>
        <v>Lunes</v>
      </c>
      <c r="C17" s="2" t="str">
        <f>Programacion!C3</f>
        <v>Bizcochos sabor queso free</v>
      </c>
      <c r="D17" s="2" t="str">
        <f>Programacion!D3</f>
        <v>A06</v>
      </c>
      <c r="E17" s="2" t="str">
        <f>Formulas!C78</f>
        <v>FÉCULA DE MAÍZ</v>
      </c>
      <c r="F17" s="4">
        <f>Formulas!D78</f>
        <v>0.1767</v>
      </c>
      <c r="G17" s="5">
        <f>Programacion!H3</f>
        <v>600</v>
      </c>
      <c r="H17" s="5">
        <f t="shared" si="0"/>
        <v>106.02</v>
      </c>
    </row>
    <row r="18" spans="1:8" ht="15" customHeight="1" x14ac:dyDescent="0.25">
      <c r="A18" s="2" t="str">
        <f>Programacion!A3</f>
        <v>Semana 1</v>
      </c>
      <c r="B18" s="2" t="str">
        <f>Programacion!B3</f>
        <v>Lunes</v>
      </c>
      <c r="C18" s="2" t="str">
        <f>Programacion!C3</f>
        <v>Bizcochos sabor queso free</v>
      </c>
      <c r="D18" s="2" t="str">
        <f>Programacion!D3</f>
        <v>A06</v>
      </c>
      <c r="E18" s="2" t="str">
        <f>Formulas!C79</f>
        <v>FÉCULA DE MANDIOCA</v>
      </c>
      <c r="F18" s="4">
        <f>Formulas!D79</f>
        <v>0.13020000000000001</v>
      </c>
      <c r="G18" s="5">
        <f>Programacion!H3</f>
        <v>600</v>
      </c>
      <c r="H18" s="5">
        <f t="shared" si="0"/>
        <v>78.12</v>
      </c>
    </row>
    <row r="19" spans="1:8" ht="15" customHeight="1" x14ac:dyDescent="0.25">
      <c r="A19" s="2" t="str">
        <f>Programacion!A3</f>
        <v>Semana 1</v>
      </c>
      <c r="B19" s="2" t="str">
        <f>Programacion!B3</f>
        <v>Lunes</v>
      </c>
      <c r="C19" s="2" t="str">
        <f>Programacion!C3</f>
        <v>Bizcochos sabor queso free</v>
      </c>
      <c r="D19" s="2" t="str">
        <f>Programacion!D3</f>
        <v>A06</v>
      </c>
      <c r="E19" s="2" t="str">
        <f>Formulas!C80</f>
        <v>QUESO RALLADO</v>
      </c>
      <c r="F19" s="4">
        <f>Formulas!D80</f>
        <v>0.1116</v>
      </c>
      <c r="G19" s="5">
        <f>Programacion!H3</f>
        <v>600</v>
      </c>
      <c r="H19" s="5">
        <f t="shared" si="0"/>
        <v>66.960000000000008</v>
      </c>
    </row>
    <row r="20" spans="1:8" ht="15" customHeight="1" x14ac:dyDescent="0.25">
      <c r="A20" s="2" t="str">
        <f>Programacion!A3</f>
        <v>Semana 1</v>
      </c>
      <c r="B20" s="2" t="str">
        <f>Programacion!B3</f>
        <v>Lunes</v>
      </c>
      <c r="C20" s="2" t="str">
        <f>Programacion!C3</f>
        <v>Bizcochos sabor queso free</v>
      </c>
      <c r="D20" s="2" t="str">
        <f>Programacion!D3</f>
        <v>A06</v>
      </c>
      <c r="E20" s="2" t="str">
        <f>Formulas!C81</f>
        <v>GRASA VACUNA</v>
      </c>
      <c r="F20" s="4">
        <f>Formulas!D81</f>
        <v>9.2999999999999999E-2</v>
      </c>
      <c r="G20" s="5">
        <f>Programacion!H3</f>
        <v>600</v>
      </c>
      <c r="H20" s="5">
        <f t="shared" si="0"/>
        <v>55.8</v>
      </c>
    </row>
    <row r="21" spans="1:8" ht="15" customHeight="1" x14ac:dyDescent="0.25">
      <c r="A21" s="2" t="str">
        <f>Programacion!A3</f>
        <v>Semana 1</v>
      </c>
      <c r="B21" s="2" t="str">
        <f>Programacion!B3</f>
        <v>Lunes</v>
      </c>
      <c r="C21" s="2" t="str">
        <f>Programacion!C3</f>
        <v>Bizcochos sabor queso free</v>
      </c>
      <c r="D21" s="2" t="str">
        <f>Programacion!D3</f>
        <v>A06</v>
      </c>
      <c r="E21" s="2" t="str">
        <f>Formulas!C82</f>
        <v>ACEITE DE GIRASOL ALTO OLEICO</v>
      </c>
      <c r="F21" s="4">
        <f>Formulas!D82</f>
        <v>5.5800000000000002E-2</v>
      </c>
      <c r="G21" s="5">
        <f>Programacion!H3</f>
        <v>600</v>
      </c>
      <c r="H21" s="5">
        <f t="shared" si="0"/>
        <v>33.480000000000004</v>
      </c>
    </row>
    <row r="22" spans="1:8" ht="15" customHeight="1" x14ac:dyDescent="0.25">
      <c r="A22" s="2" t="str">
        <f>Programacion!A3</f>
        <v>Semana 1</v>
      </c>
      <c r="B22" s="2" t="str">
        <f>Programacion!B3</f>
        <v>Lunes</v>
      </c>
      <c r="C22" s="2" t="str">
        <f>Programacion!C3</f>
        <v>Bizcochos sabor queso free</v>
      </c>
      <c r="D22" s="2" t="str">
        <f>Programacion!D3</f>
        <v>A06</v>
      </c>
      <c r="E22" s="2" t="str">
        <f>Formulas!C83</f>
        <v>HUEVO EN POLVO DESHIDRATADO</v>
      </c>
      <c r="F22" s="4">
        <f>Formulas!D83</f>
        <v>4.65E-2</v>
      </c>
      <c r="G22" s="5">
        <f>Programacion!H3</f>
        <v>600</v>
      </c>
      <c r="H22" s="5">
        <f t="shared" si="0"/>
        <v>27.9</v>
      </c>
    </row>
    <row r="23" spans="1:8" ht="15" customHeight="1" x14ac:dyDescent="0.25">
      <c r="A23" s="2" t="str">
        <f>Programacion!A3</f>
        <v>Semana 1</v>
      </c>
      <c r="B23" s="2" t="str">
        <f>Programacion!B3</f>
        <v>Lunes</v>
      </c>
      <c r="C23" s="2" t="str">
        <f>Programacion!C3</f>
        <v>Bizcochos sabor queso free</v>
      </c>
      <c r="D23" s="2" t="str">
        <f>Programacion!D3</f>
        <v>A06</v>
      </c>
      <c r="E23" s="2" t="str">
        <f>Formulas!C84</f>
        <v>DEXTROSA</v>
      </c>
      <c r="F23" s="4">
        <f>Formulas!D84</f>
        <v>3.7199999999999997E-2</v>
      </c>
      <c r="G23" s="5">
        <f>Programacion!H3</f>
        <v>600</v>
      </c>
      <c r="H23" s="5">
        <f t="shared" si="0"/>
        <v>22.319999999999997</v>
      </c>
    </row>
    <row r="24" spans="1:8" ht="15" customHeight="1" x14ac:dyDescent="0.25">
      <c r="A24" s="2" t="str">
        <f>Programacion!A3</f>
        <v>Semana 1</v>
      </c>
      <c r="B24" s="2" t="str">
        <f>Programacion!B3</f>
        <v>Lunes</v>
      </c>
      <c r="C24" s="2" t="str">
        <f>Programacion!C3</f>
        <v>Bizcochos sabor queso free</v>
      </c>
      <c r="D24" s="2" t="str">
        <f>Programacion!D3</f>
        <v>A06</v>
      </c>
      <c r="E24" s="2" t="str">
        <f>Formulas!C85</f>
        <v>SAL</v>
      </c>
      <c r="F24" s="4">
        <f>Formulas!D85</f>
        <v>1.3950000000000001E-2</v>
      </c>
      <c r="G24" s="5">
        <f>Programacion!H3</f>
        <v>600</v>
      </c>
      <c r="H24" s="5">
        <f t="shared" si="0"/>
        <v>8.370000000000001</v>
      </c>
    </row>
    <row r="25" spans="1:8" ht="15" customHeight="1" x14ac:dyDescent="0.25">
      <c r="A25" s="2" t="str">
        <f>Programacion!A3</f>
        <v>Semana 1</v>
      </c>
      <c r="B25" s="2" t="str">
        <f>Programacion!B3</f>
        <v>Lunes</v>
      </c>
      <c r="C25" s="2" t="str">
        <f>Programacion!C3</f>
        <v>Bizcochos sabor queso free</v>
      </c>
      <c r="D25" s="2" t="str">
        <f>Programacion!D3</f>
        <v>A06</v>
      </c>
      <c r="E25" s="2" t="str">
        <f>Formulas!C86</f>
        <v>ESENCIA DE QUESO</v>
      </c>
      <c r="F25" s="4">
        <f>Formulas!D86</f>
        <v>9.2999999999999992E-3</v>
      </c>
      <c r="G25" s="5">
        <f>Programacion!H3</f>
        <v>600</v>
      </c>
      <c r="H25" s="5">
        <f t="shared" si="0"/>
        <v>5.5799999999999992</v>
      </c>
    </row>
    <row r="26" spans="1:8" ht="15" customHeight="1" x14ac:dyDescent="0.25">
      <c r="A26" s="2" t="str">
        <f>Programacion!A3</f>
        <v>Semana 1</v>
      </c>
      <c r="B26" s="2" t="str">
        <f>Programacion!B3</f>
        <v>Lunes</v>
      </c>
      <c r="C26" s="2" t="str">
        <f>Programacion!C3</f>
        <v>Bizcochos sabor queso free</v>
      </c>
      <c r="D26" s="2" t="str">
        <f>Programacion!D3</f>
        <v>A06</v>
      </c>
      <c r="E26" s="2" t="str">
        <f>Formulas!C87</f>
        <v>GOMA XÁNTICA</v>
      </c>
      <c r="F26" s="4">
        <f>Formulas!D87</f>
        <v>9.2999999999999992E-3</v>
      </c>
      <c r="G26" s="5">
        <f>Programacion!H3</f>
        <v>600</v>
      </c>
      <c r="H26" s="5">
        <f t="shared" si="0"/>
        <v>5.5799999999999992</v>
      </c>
    </row>
    <row r="27" spans="1:8" ht="15" customHeight="1" x14ac:dyDescent="0.25">
      <c r="A27" s="2" t="str">
        <f>Programacion!A3</f>
        <v>Semana 1</v>
      </c>
      <c r="B27" s="2" t="str">
        <f>Programacion!B3</f>
        <v>Lunes</v>
      </c>
      <c r="C27" s="2" t="str">
        <f>Programacion!C3</f>
        <v>Bizcochos sabor queso free</v>
      </c>
      <c r="D27" s="2" t="str">
        <f>Programacion!D3</f>
        <v>A06</v>
      </c>
      <c r="E27" s="2" t="str">
        <f>Formulas!C88</f>
        <v>POLVO PARA HORNEAR</v>
      </c>
      <c r="F27" s="4">
        <f>Formulas!D88</f>
        <v>9.2999999999999992E-3</v>
      </c>
      <c r="G27" s="5">
        <f>Programacion!H3</f>
        <v>600</v>
      </c>
      <c r="H27" s="5">
        <f t="shared" si="0"/>
        <v>5.5799999999999992</v>
      </c>
    </row>
    <row r="28" spans="1:8" ht="15" customHeight="1" x14ac:dyDescent="0.25">
      <c r="A28" s="2" t="str">
        <f>Programacion!A3</f>
        <v>Semana 1</v>
      </c>
      <c r="B28" s="2" t="str">
        <f>Programacion!B3</f>
        <v>Lunes</v>
      </c>
      <c r="C28" s="2" t="str">
        <f>Programacion!C3</f>
        <v>Bizcochos sabor queso free</v>
      </c>
      <c r="D28" s="2" t="str">
        <f>Programacion!D3</f>
        <v>A06</v>
      </c>
      <c r="E28" s="2" t="str">
        <f>Formulas!C89</f>
        <v>BICARBONATO DE SODIO</v>
      </c>
      <c r="F28" s="4">
        <f>Formulas!D89</f>
        <v>4.6499999999999996E-3</v>
      </c>
      <c r="G28" s="5">
        <f>Programacion!H3</f>
        <v>600</v>
      </c>
      <c r="H28" s="5">
        <f t="shared" si="0"/>
        <v>2.7899999999999996</v>
      </c>
    </row>
    <row r="29" spans="1:8" ht="15" customHeight="1" x14ac:dyDescent="0.25">
      <c r="A29" s="2" t="str">
        <f>Programacion!A3</f>
        <v>Semana 1</v>
      </c>
      <c r="B29" s="2" t="str">
        <f>Programacion!B3</f>
        <v>Lunes</v>
      </c>
      <c r="C29" s="2" t="str">
        <f>Programacion!C3</f>
        <v>Bizcochos sabor queso free</v>
      </c>
      <c r="D29" s="2" t="str">
        <f>Programacion!D3</f>
        <v>A06</v>
      </c>
      <c r="E29" s="2" t="str">
        <f>Formulas!C90</f>
        <v>AGUA</v>
      </c>
      <c r="F29" s="4">
        <f>Formulas!D90</f>
        <v>7.0000000000000007E-2</v>
      </c>
      <c r="G29" s="5">
        <f>Programacion!H3</f>
        <v>600</v>
      </c>
      <c r="H29" s="5">
        <f t="shared" si="0"/>
        <v>42.000000000000007</v>
      </c>
    </row>
    <row r="30" spans="1:8" ht="15" customHeight="1" x14ac:dyDescent="0.25">
      <c r="A30" s="2" t="str">
        <f>Programacion!A4</f>
        <v>Semana 1</v>
      </c>
      <c r="B30" s="2" t="str">
        <f>Programacion!B4</f>
        <v>Martes</v>
      </c>
      <c r="C30" s="2" t="str">
        <f>Programacion!C4</f>
        <v>Galletitas simil chocolina</v>
      </c>
      <c r="D30" s="2" t="str">
        <f>Programacion!D4</f>
        <v>A03</v>
      </c>
      <c r="E30" s="2" t="str">
        <f>Formulas!C35</f>
        <v>HARINA DE ARROZ</v>
      </c>
      <c r="F30" s="4">
        <f>Formulas!D35</f>
        <v>0.25109999999999999</v>
      </c>
      <c r="G30" s="5">
        <f>Programacion!H4</f>
        <v>1800</v>
      </c>
      <c r="H30" s="5">
        <f t="shared" si="0"/>
        <v>451.97999999999996</v>
      </c>
    </row>
    <row r="31" spans="1:8" ht="15" customHeight="1" x14ac:dyDescent="0.25">
      <c r="A31" s="2" t="str">
        <f>Programacion!A4</f>
        <v>Semana 1</v>
      </c>
      <c r="B31" s="2" t="str">
        <f>Programacion!B4</f>
        <v>Martes</v>
      </c>
      <c r="C31" s="2" t="str">
        <f>Programacion!C4</f>
        <v>Galletitas simil chocolina</v>
      </c>
      <c r="D31" s="2" t="str">
        <f>Programacion!D4</f>
        <v>A03</v>
      </c>
      <c r="E31" s="2" t="str">
        <f>Formulas!C36</f>
        <v>FÉCULA DE MAÍZ</v>
      </c>
      <c r="F31" s="4">
        <f>Formulas!D36</f>
        <v>0.2046</v>
      </c>
      <c r="G31" s="5">
        <f>Programacion!H4</f>
        <v>1800</v>
      </c>
      <c r="H31" s="5">
        <f t="shared" si="0"/>
        <v>368.28000000000003</v>
      </c>
    </row>
    <row r="32" spans="1:8" ht="15" customHeight="1" x14ac:dyDescent="0.25">
      <c r="A32" s="2" t="str">
        <f>Programacion!A4</f>
        <v>Semana 1</v>
      </c>
      <c r="B32" s="2" t="str">
        <f>Programacion!B4</f>
        <v>Martes</v>
      </c>
      <c r="C32" s="2" t="str">
        <f>Programacion!C4</f>
        <v>Galletitas simil chocolina</v>
      </c>
      <c r="D32" s="2" t="str">
        <f>Programacion!D4</f>
        <v>A03</v>
      </c>
      <c r="E32" s="2" t="str">
        <f>Formulas!C37</f>
        <v>AZÚCAR</v>
      </c>
      <c r="F32" s="4">
        <f>Formulas!D37</f>
        <v>0.16739999999999999</v>
      </c>
      <c r="G32" s="5">
        <f>Programacion!H4</f>
        <v>1800</v>
      </c>
      <c r="H32" s="5">
        <f t="shared" si="0"/>
        <v>301.32</v>
      </c>
    </row>
    <row r="33" spans="1:8" ht="15" customHeight="1" x14ac:dyDescent="0.25">
      <c r="A33" s="2" t="str">
        <f>Programacion!A4</f>
        <v>Semana 1</v>
      </c>
      <c r="B33" s="2" t="str">
        <f>Programacion!B4</f>
        <v>Martes</v>
      </c>
      <c r="C33" s="2" t="str">
        <f>Programacion!C4</f>
        <v>Galletitas simil chocolina</v>
      </c>
      <c r="D33" s="2" t="str">
        <f>Programacion!D4</f>
        <v>A03</v>
      </c>
      <c r="E33" s="2" t="str">
        <f>Formulas!C38</f>
        <v>ACEITE VEGETAL INTERESTERIFICADO</v>
      </c>
      <c r="F33" s="4">
        <f>Formulas!D38</f>
        <v>0.13020000000000001</v>
      </c>
      <c r="G33" s="5">
        <f>Programacion!H4</f>
        <v>1800</v>
      </c>
      <c r="H33" s="5">
        <f t="shared" si="0"/>
        <v>234.36</v>
      </c>
    </row>
    <row r="34" spans="1:8" ht="15" customHeight="1" x14ac:dyDescent="0.25">
      <c r="A34" s="2" t="str">
        <f>Programacion!A4</f>
        <v>Semana 1</v>
      </c>
      <c r="B34" s="2" t="str">
        <f>Programacion!B4</f>
        <v>Martes</v>
      </c>
      <c r="C34" s="2" t="str">
        <f>Programacion!C4</f>
        <v>Galletitas simil chocolina</v>
      </c>
      <c r="D34" s="2" t="str">
        <f>Programacion!D4</f>
        <v>A03</v>
      </c>
      <c r="E34" s="2" t="str">
        <f>Formulas!C39</f>
        <v>CACAO ALCALINO</v>
      </c>
      <c r="F34" s="4">
        <f>Formulas!D39</f>
        <v>5.5800000000000002E-2</v>
      </c>
      <c r="G34" s="5">
        <f>Programacion!H4</f>
        <v>1800</v>
      </c>
      <c r="H34" s="5">
        <f t="shared" si="0"/>
        <v>100.44</v>
      </c>
    </row>
    <row r="35" spans="1:8" ht="15" customHeight="1" x14ac:dyDescent="0.25">
      <c r="A35" s="2" t="str">
        <f>Programacion!A4</f>
        <v>Semana 1</v>
      </c>
      <c r="B35" s="2" t="str">
        <f>Programacion!B4</f>
        <v>Martes</v>
      </c>
      <c r="C35" s="2" t="str">
        <f>Programacion!C4</f>
        <v>Galletitas simil chocolina</v>
      </c>
      <c r="D35" s="2" t="str">
        <f>Programacion!D4</f>
        <v>A03</v>
      </c>
      <c r="E35" s="2" t="str">
        <f>Formulas!C40</f>
        <v>LECHE EN POLVO</v>
      </c>
      <c r="F35" s="4">
        <f>Formulas!D40</f>
        <v>5.5800000000000002E-2</v>
      </c>
      <c r="G35" s="5">
        <f>Programacion!H4</f>
        <v>1800</v>
      </c>
      <c r="H35" s="5">
        <f t="shared" si="0"/>
        <v>100.44</v>
      </c>
    </row>
    <row r="36" spans="1:8" ht="15" customHeight="1" x14ac:dyDescent="0.25">
      <c r="A36" s="2" t="str">
        <f>Programacion!A4</f>
        <v>Semana 1</v>
      </c>
      <c r="B36" s="2" t="str">
        <f>Programacion!B4</f>
        <v>Martes</v>
      </c>
      <c r="C36" s="2" t="str">
        <f>Programacion!C4</f>
        <v>Galletitas simil chocolina</v>
      </c>
      <c r="D36" s="2" t="str">
        <f>Programacion!D4</f>
        <v>A03</v>
      </c>
      <c r="E36" s="2" t="str">
        <f>Formulas!C41</f>
        <v>HUEVO EN POLVO DESHIDRATADO</v>
      </c>
      <c r="F36" s="4">
        <f>Formulas!D41</f>
        <v>3.7199999999999997E-2</v>
      </c>
      <c r="G36" s="5">
        <f>Programacion!H4</f>
        <v>1800</v>
      </c>
      <c r="H36" s="5">
        <f t="shared" si="0"/>
        <v>66.959999999999994</v>
      </c>
    </row>
    <row r="37" spans="1:8" ht="15" customHeight="1" x14ac:dyDescent="0.25">
      <c r="A37" s="2" t="str">
        <f>Programacion!A4</f>
        <v>Semana 1</v>
      </c>
      <c r="B37" s="2" t="str">
        <f>Programacion!B4</f>
        <v>Martes</v>
      </c>
      <c r="C37" s="2" t="str">
        <f>Programacion!C4</f>
        <v>Galletitas simil chocolina</v>
      </c>
      <c r="D37" s="2" t="str">
        <f>Programacion!D4</f>
        <v>A03</v>
      </c>
      <c r="E37" s="2" t="str">
        <f>Formulas!C42</f>
        <v>GOMA XÁNTICA</v>
      </c>
      <c r="F37" s="4">
        <f>Formulas!D42</f>
        <v>9.2999999999999992E-3</v>
      </c>
      <c r="G37" s="5">
        <f>Programacion!H4</f>
        <v>1800</v>
      </c>
      <c r="H37" s="5">
        <f t="shared" si="0"/>
        <v>16.739999999999998</v>
      </c>
    </row>
    <row r="38" spans="1:8" ht="15" customHeight="1" x14ac:dyDescent="0.25">
      <c r="A38" s="2" t="str">
        <f>Programacion!A4</f>
        <v>Semana 1</v>
      </c>
      <c r="B38" s="2" t="str">
        <f>Programacion!B4</f>
        <v>Martes</v>
      </c>
      <c r="C38" s="2" t="str">
        <f>Programacion!C4</f>
        <v>Galletitas simil chocolina</v>
      </c>
      <c r="D38" s="2" t="str">
        <f>Programacion!D4</f>
        <v>A03</v>
      </c>
      <c r="E38" s="2" t="str">
        <f>Formulas!C43</f>
        <v>BICARBONATO DE SODIO</v>
      </c>
      <c r="F38" s="4">
        <f>Formulas!D43</f>
        <v>7.4400000000000004E-3</v>
      </c>
      <c r="G38" s="5">
        <f>Programacion!H4</f>
        <v>1800</v>
      </c>
      <c r="H38" s="5">
        <f t="shared" si="0"/>
        <v>13.392000000000001</v>
      </c>
    </row>
    <row r="39" spans="1:8" ht="15" customHeight="1" x14ac:dyDescent="0.25">
      <c r="A39" s="2" t="str">
        <f>Programacion!A4</f>
        <v>Semana 1</v>
      </c>
      <c r="B39" s="2" t="str">
        <f>Programacion!B4</f>
        <v>Martes</v>
      </c>
      <c r="C39" s="2" t="str">
        <f>Programacion!C4</f>
        <v>Galletitas simil chocolina</v>
      </c>
      <c r="D39" s="2" t="str">
        <f>Programacion!D4</f>
        <v>A03</v>
      </c>
      <c r="E39" s="2" t="str">
        <f>Formulas!C44</f>
        <v>BICARBONATO DE CALCIO</v>
      </c>
      <c r="F39" s="4">
        <f>Formulas!D44</f>
        <v>7.4400000000000004E-3</v>
      </c>
      <c r="G39" s="5">
        <f>Programacion!H4</f>
        <v>1800</v>
      </c>
      <c r="H39" s="5">
        <f t="shared" si="0"/>
        <v>13.392000000000001</v>
      </c>
    </row>
    <row r="40" spans="1:8" ht="15" customHeight="1" x14ac:dyDescent="0.25">
      <c r="A40" s="2" t="str">
        <f>Programacion!A4</f>
        <v>Semana 1</v>
      </c>
      <c r="B40" s="2" t="str">
        <f>Programacion!B4</f>
        <v>Martes</v>
      </c>
      <c r="C40" s="2" t="str">
        <f>Programacion!C4</f>
        <v>Galletitas simil chocolina</v>
      </c>
      <c r="D40" s="2" t="str">
        <f>Programacion!D4</f>
        <v>A03</v>
      </c>
      <c r="E40" s="2" t="str">
        <f>Formulas!C45</f>
        <v>ESENCIA DE CHOCOLATE</v>
      </c>
      <c r="F40" s="4">
        <f>Formulas!D45</f>
        <v>3.7200000000000002E-3</v>
      </c>
      <c r="G40" s="5">
        <f>Programacion!H4</f>
        <v>1800</v>
      </c>
      <c r="H40" s="5">
        <f t="shared" si="0"/>
        <v>6.6960000000000006</v>
      </c>
    </row>
    <row r="41" spans="1:8" ht="15" customHeight="1" x14ac:dyDescent="0.25">
      <c r="A41" s="2" t="str">
        <f>Programacion!A4</f>
        <v>Semana 1</v>
      </c>
      <c r="B41" s="2" t="str">
        <f>Programacion!B4</f>
        <v>Martes</v>
      </c>
      <c r="C41" s="2" t="str">
        <f>Programacion!C4</f>
        <v>Galletitas simil chocolina</v>
      </c>
      <c r="D41" s="2" t="str">
        <f>Programacion!D4</f>
        <v>A03</v>
      </c>
      <c r="E41" s="2" t="str">
        <f>Formulas!C46</f>
        <v>AGUA</v>
      </c>
      <c r="F41" s="4">
        <f>Formulas!D46</f>
        <v>7.0000000000000007E-2</v>
      </c>
      <c r="G41" s="5">
        <f>Programacion!H4</f>
        <v>1800</v>
      </c>
      <c r="H41" s="5">
        <f t="shared" si="0"/>
        <v>126.00000000000001</v>
      </c>
    </row>
    <row r="42" spans="1:8" ht="15" customHeight="1" x14ac:dyDescent="0.25">
      <c r="A42" s="2" t="str">
        <f>Programacion!A5</f>
        <v>Semana 1</v>
      </c>
      <c r="B42" s="2" t="str">
        <f>Programacion!B5</f>
        <v>Miercoles</v>
      </c>
      <c r="C42" s="2" t="str">
        <f>Programacion!C5</f>
        <v>Galletita simil chocolina free</v>
      </c>
      <c r="D42" s="2" t="str">
        <f>Programacion!D5</f>
        <v>A02</v>
      </c>
      <c r="E42" s="2" t="str">
        <f>Formulas!C20</f>
        <v>HARINA DE ARROZ</v>
      </c>
      <c r="F42" s="4">
        <f>Formulas!D20</f>
        <v>0.25109999999999999</v>
      </c>
      <c r="G42" s="5">
        <f>Programacion!H5</f>
        <v>600</v>
      </c>
      <c r="H42" s="5">
        <f t="shared" si="0"/>
        <v>150.66</v>
      </c>
    </row>
    <row r="43" spans="1:8" ht="15" customHeight="1" x14ac:dyDescent="0.25">
      <c r="A43" s="2" t="str">
        <f>Programacion!A5</f>
        <v>Semana 1</v>
      </c>
      <c r="B43" s="2" t="str">
        <f>Programacion!B5</f>
        <v>Miercoles</v>
      </c>
      <c r="C43" s="2" t="str">
        <f>Programacion!C5</f>
        <v>Galletita simil chocolina free</v>
      </c>
      <c r="D43" s="2" t="str">
        <f>Programacion!D5</f>
        <v>A02</v>
      </c>
      <c r="E43" s="2" t="str">
        <f>Formulas!C21</f>
        <v>FÉCULA DE MAÍZ</v>
      </c>
      <c r="F43" s="4">
        <f>Formulas!D21</f>
        <v>0.22320000000000001</v>
      </c>
      <c r="G43" s="5">
        <f>Programacion!H5</f>
        <v>600</v>
      </c>
      <c r="H43" s="5">
        <f t="shared" si="0"/>
        <v>133.92000000000002</v>
      </c>
    </row>
    <row r="44" spans="1:8" ht="15" customHeight="1" x14ac:dyDescent="0.25">
      <c r="A44" s="2" t="str">
        <f>Programacion!A5</f>
        <v>Semana 1</v>
      </c>
      <c r="B44" s="2" t="str">
        <f>Programacion!B5</f>
        <v>Miercoles</v>
      </c>
      <c r="C44" s="2" t="str">
        <f>Programacion!C5</f>
        <v>Galletita simil chocolina free</v>
      </c>
      <c r="D44" s="2" t="str">
        <f>Programacion!D5</f>
        <v>A02</v>
      </c>
      <c r="E44" s="2" t="str">
        <f>Formulas!C22</f>
        <v>ACEITE VEGETAL INTERESTERIFICADO</v>
      </c>
      <c r="F44" s="4">
        <f>Formulas!D22</f>
        <v>0.13020000000000001</v>
      </c>
      <c r="G44" s="5">
        <f>Programacion!H5</f>
        <v>600</v>
      </c>
      <c r="H44" s="5">
        <f t="shared" si="0"/>
        <v>78.12</v>
      </c>
    </row>
    <row r="45" spans="1:8" ht="15" customHeight="1" x14ac:dyDescent="0.25">
      <c r="A45" s="2" t="str">
        <f>Programacion!A5</f>
        <v>Semana 1</v>
      </c>
      <c r="B45" s="2" t="str">
        <f>Programacion!B5</f>
        <v>Miercoles</v>
      </c>
      <c r="C45" s="2" t="str">
        <f>Programacion!C5</f>
        <v>Galletita simil chocolina free</v>
      </c>
      <c r="D45" s="2" t="str">
        <f>Programacion!D5</f>
        <v>A02</v>
      </c>
      <c r="E45" s="2" t="str">
        <f>Formulas!C23</f>
        <v>PASTA DE PASAS DE UVA</v>
      </c>
      <c r="F45" s="4">
        <f>Formulas!D23</f>
        <v>0.12089999999999999</v>
      </c>
      <c r="G45" s="5">
        <f>Programacion!H5</f>
        <v>600</v>
      </c>
      <c r="H45" s="5">
        <f t="shared" si="0"/>
        <v>72.539999999999992</v>
      </c>
    </row>
    <row r="46" spans="1:8" ht="15" customHeight="1" x14ac:dyDescent="0.25">
      <c r="A46" s="2" t="str">
        <f>Programacion!A5</f>
        <v>Semana 1</v>
      </c>
      <c r="B46" s="2" t="str">
        <f>Programacion!B5</f>
        <v>Miercoles</v>
      </c>
      <c r="C46" s="2" t="str">
        <f>Programacion!C5</f>
        <v>Galletita simil chocolina free</v>
      </c>
      <c r="D46" s="2" t="str">
        <f>Programacion!D5</f>
        <v>A02</v>
      </c>
      <c r="E46" s="2" t="str">
        <f>Formulas!C24</f>
        <v>CACAO ALCALINO</v>
      </c>
      <c r="F46" s="4">
        <f>Formulas!D24</f>
        <v>5.5800000000000002E-2</v>
      </c>
      <c r="G46" s="5">
        <f>Programacion!H5</f>
        <v>600</v>
      </c>
      <c r="H46" s="5">
        <f t="shared" si="0"/>
        <v>33.480000000000004</v>
      </c>
    </row>
    <row r="47" spans="1:8" ht="15" customHeight="1" x14ac:dyDescent="0.25">
      <c r="A47" s="2" t="str">
        <f>Programacion!A5</f>
        <v>Semana 1</v>
      </c>
      <c r="B47" s="2" t="str">
        <f>Programacion!B5</f>
        <v>Miercoles</v>
      </c>
      <c r="C47" s="2" t="str">
        <f>Programacion!C5</f>
        <v>Galletita simil chocolina free</v>
      </c>
      <c r="D47" s="2" t="str">
        <f>Programacion!D5</f>
        <v>A02</v>
      </c>
      <c r="E47" s="2" t="str">
        <f>Formulas!C25</f>
        <v>ACEITE DE COCO</v>
      </c>
      <c r="F47" s="4">
        <f>Formulas!D25</f>
        <v>4.65E-2</v>
      </c>
      <c r="G47" s="5">
        <f>Programacion!H5</f>
        <v>600</v>
      </c>
      <c r="H47" s="5">
        <f t="shared" si="0"/>
        <v>27.9</v>
      </c>
    </row>
    <row r="48" spans="1:8" ht="15" customHeight="1" x14ac:dyDescent="0.25">
      <c r="A48" s="2" t="str">
        <f>Programacion!A5</f>
        <v>Semana 1</v>
      </c>
      <c r="B48" s="2" t="str">
        <f>Programacion!B5</f>
        <v>Miercoles</v>
      </c>
      <c r="C48" s="2" t="str">
        <f>Programacion!C5</f>
        <v>Galletita simil chocolina free</v>
      </c>
      <c r="D48" s="2" t="str">
        <f>Programacion!D5</f>
        <v>A02</v>
      </c>
      <c r="E48" s="2" t="str">
        <f>Formulas!C26</f>
        <v>FIBRA DE BAMBÚ</v>
      </c>
      <c r="F48" s="4">
        <f>Formulas!D26</f>
        <v>3.7199999999999997E-2</v>
      </c>
      <c r="G48" s="5">
        <f>Programacion!H5</f>
        <v>600</v>
      </c>
      <c r="H48" s="5">
        <f t="shared" si="0"/>
        <v>22.319999999999997</v>
      </c>
    </row>
    <row r="49" spans="1:8" ht="15" customHeight="1" x14ac:dyDescent="0.25">
      <c r="A49" s="2" t="str">
        <f>Programacion!A5</f>
        <v>Semana 1</v>
      </c>
      <c r="B49" s="2" t="str">
        <f>Programacion!B5</f>
        <v>Miercoles</v>
      </c>
      <c r="C49" s="2" t="str">
        <f>Programacion!C5</f>
        <v>Galletita simil chocolina free</v>
      </c>
      <c r="D49" s="2" t="str">
        <f>Programacion!D5</f>
        <v>A02</v>
      </c>
      <c r="E49" s="2" t="str">
        <f>Formulas!C27</f>
        <v>PSYLLIUM</v>
      </c>
      <c r="F49" s="4">
        <f>Formulas!D27</f>
        <v>2.7900000000000001E-2</v>
      </c>
      <c r="G49" s="5">
        <f>Programacion!H5</f>
        <v>600</v>
      </c>
      <c r="H49" s="5">
        <f t="shared" si="0"/>
        <v>16.740000000000002</v>
      </c>
    </row>
    <row r="50" spans="1:8" ht="15" customHeight="1" x14ac:dyDescent="0.25">
      <c r="A50" s="2" t="str">
        <f>Programacion!A5</f>
        <v>Semana 1</v>
      </c>
      <c r="B50" s="2" t="str">
        <f>Programacion!B5</f>
        <v>Miercoles</v>
      </c>
      <c r="C50" s="2" t="str">
        <f>Programacion!C5</f>
        <v>Galletita simil chocolina free</v>
      </c>
      <c r="D50" s="2" t="str">
        <f>Programacion!D5</f>
        <v>A02</v>
      </c>
      <c r="E50" s="2" t="str">
        <f>Formulas!C28</f>
        <v>EDULCORANTE</v>
      </c>
      <c r="F50" s="4">
        <f>Formulas!D28</f>
        <v>1.3950000000000001E-2</v>
      </c>
      <c r="G50" s="5">
        <f>Programacion!H5</f>
        <v>600</v>
      </c>
      <c r="H50" s="5">
        <f t="shared" si="0"/>
        <v>8.370000000000001</v>
      </c>
    </row>
    <row r="51" spans="1:8" ht="15" customHeight="1" x14ac:dyDescent="0.25">
      <c r="A51" s="2" t="str">
        <f>Programacion!A5</f>
        <v>Semana 1</v>
      </c>
      <c r="B51" s="2" t="str">
        <f>Programacion!B5</f>
        <v>Miercoles</v>
      </c>
      <c r="C51" s="2" t="str">
        <f>Programacion!C5</f>
        <v>Galletita simil chocolina free</v>
      </c>
      <c r="D51" s="2" t="str">
        <f>Programacion!D5</f>
        <v>A02</v>
      </c>
      <c r="E51" s="2" t="str">
        <f>Formulas!C29</f>
        <v>GOMA XÁNTICA</v>
      </c>
      <c r="F51" s="4">
        <f>Formulas!D29</f>
        <v>9.2999999999999992E-3</v>
      </c>
      <c r="G51" s="5">
        <f>Programacion!H5</f>
        <v>600</v>
      </c>
      <c r="H51" s="5">
        <f t="shared" si="0"/>
        <v>5.5799999999999992</v>
      </c>
    </row>
    <row r="52" spans="1:8" ht="15" customHeight="1" x14ac:dyDescent="0.25">
      <c r="A52" s="2" t="str">
        <f>Programacion!A5</f>
        <v>Semana 1</v>
      </c>
      <c r="B52" s="2" t="str">
        <f>Programacion!B5</f>
        <v>Miercoles</v>
      </c>
      <c r="C52" s="2" t="str">
        <f>Programacion!C5</f>
        <v>Galletita simil chocolina free</v>
      </c>
      <c r="D52" s="2" t="str">
        <f>Programacion!D5</f>
        <v>A02</v>
      </c>
      <c r="E52" s="2" t="str">
        <f>Formulas!C30</f>
        <v>BICARBONATO DE SODIO</v>
      </c>
      <c r="F52" s="4">
        <f>Formulas!D30</f>
        <v>4.6499999999999996E-3</v>
      </c>
      <c r="G52" s="5">
        <f>Programacion!H5</f>
        <v>600</v>
      </c>
      <c r="H52" s="5">
        <f t="shared" si="0"/>
        <v>2.7899999999999996</v>
      </c>
    </row>
    <row r="53" spans="1:8" ht="15" customHeight="1" x14ac:dyDescent="0.25">
      <c r="A53" s="2" t="str">
        <f>Programacion!A5</f>
        <v>Semana 1</v>
      </c>
      <c r="B53" s="2" t="str">
        <f>Programacion!B5</f>
        <v>Miercoles</v>
      </c>
      <c r="C53" s="2" t="str">
        <f>Programacion!C5</f>
        <v>Galletita simil chocolina free</v>
      </c>
      <c r="D53" s="2" t="str">
        <f>Programacion!D5</f>
        <v>A02</v>
      </c>
      <c r="E53" s="2" t="str">
        <f>Formulas!C31</f>
        <v>SAL</v>
      </c>
      <c r="F53" s="4">
        <f>Formulas!D31</f>
        <v>3.7200000000000002E-3</v>
      </c>
      <c r="G53" s="5">
        <f>Programacion!H5</f>
        <v>600</v>
      </c>
      <c r="H53" s="5">
        <f t="shared" si="0"/>
        <v>2.2320000000000002</v>
      </c>
    </row>
    <row r="54" spans="1:8" ht="15" customHeight="1" x14ac:dyDescent="0.25">
      <c r="A54" s="2" t="str">
        <f>Programacion!A5</f>
        <v>Semana 1</v>
      </c>
      <c r="B54" s="2" t="str">
        <f>Programacion!B5</f>
        <v>Miercoles</v>
      </c>
      <c r="C54" s="2" t="str">
        <f>Programacion!C5</f>
        <v>Galletita simil chocolina free</v>
      </c>
      <c r="D54" s="2" t="str">
        <f>Programacion!D5</f>
        <v>A02</v>
      </c>
      <c r="E54" s="2" t="str">
        <f>Formulas!C32</f>
        <v>ESENCIA DE CHOCOLATE</v>
      </c>
      <c r="F54" s="4">
        <f>Formulas!D32</f>
        <v>2.7899999999999999E-3</v>
      </c>
      <c r="G54" s="5">
        <f>Programacion!H5</f>
        <v>600</v>
      </c>
      <c r="H54" s="5">
        <f t="shared" si="0"/>
        <v>1.6739999999999999</v>
      </c>
    </row>
    <row r="55" spans="1:8" ht="15" customHeight="1" x14ac:dyDescent="0.25">
      <c r="A55" s="2" t="str">
        <f>Programacion!A5</f>
        <v>Semana 1</v>
      </c>
      <c r="B55" s="2" t="str">
        <f>Programacion!B5</f>
        <v>Miercoles</v>
      </c>
      <c r="C55" s="2" t="str">
        <f>Programacion!C5</f>
        <v>Galletita simil chocolina free</v>
      </c>
      <c r="D55" s="2" t="str">
        <f>Programacion!D5</f>
        <v>A02</v>
      </c>
      <c r="E55" s="2" t="str">
        <f>Formulas!C33</f>
        <v>BICARBONATO DE CALCIO</v>
      </c>
      <c r="F55" s="4">
        <f>Formulas!D33</f>
        <v>2.7899999999999999E-3</v>
      </c>
      <c r="G55" s="5">
        <f>Programacion!H5</f>
        <v>600</v>
      </c>
      <c r="H55" s="5">
        <f t="shared" si="0"/>
        <v>1.6739999999999999</v>
      </c>
    </row>
    <row r="56" spans="1:8" ht="15" customHeight="1" x14ac:dyDescent="0.25">
      <c r="A56" s="2" t="str">
        <f>Programacion!A5</f>
        <v>Semana 1</v>
      </c>
      <c r="B56" s="2" t="str">
        <f>Programacion!B5</f>
        <v>Miercoles</v>
      </c>
      <c r="C56" s="2" t="str">
        <f>Programacion!C5</f>
        <v>Galletita simil chocolina free</v>
      </c>
      <c r="D56" s="2" t="str">
        <f>Programacion!D5</f>
        <v>A02</v>
      </c>
      <c r="E56" s="2" t="str">
        <f>Formulas!C34</f>
        <v>AGUA</v>
      </c>
      <c r="F56" s="4">
        <f>Formulas!D34</f>
        <v>7.0000000000000007E-2</v>
      </c>
      <c r="G56" s="5">
        <f>Programacion!H5</f>
        <v>600</v>
      </c>
      <c r="H56" s="5">
        <f t="shared" si="0"/>
        <v>42.000000000000007</v>
      </c>
    </row>
    <row r="57" spans="1:8" ht="15" customHeight="1" x14ac:dyDescent="0.25">
      <c r="A57" s="2" t="str">
        <f>Programacion!A6</f>
        <v>Semana 1</v>
      </c>
      <c r="B57" s="2" t="str">
        <f>Programacion!B6</f>
        <v>Miercoles</v>
      </c>
      <c r="C57" s="2" t="str">
        <f>Programacion!C6</f>
        <v>Pepas de batata</v>
      </c>
      <c r="D57" s="2" t="str">
        <f>Programacion!D6</f>
        <v>A04</v>
      </c>
      <c r="E57" s="2" t="str">
        <f>Formulas!C47</f>
        <v>FÉCULA DE MAÍZ</v>
      </c>
      <c r="F57" s="4">
        <f>Formulas!D47</f>
        <v>0.19083600000000001</v>
      </c>
      <c r="G57" s="5">
        <f>Programacion!H6</f>
        <v>1200</v>
      </c>
      <c r="H57" s="5">
        <f t="shared" si="0"/>
        <v>229.00319999999999</v>
      </c>
    </row>
    <row r="58" spans="1:8" ht="15" customHeight="1" x14ac:dyDescent="0.25">
      <c r="A58" s="2" t="str">
        <f>Programacion!A6</f>
        <v>Semana 1</v>
      </c>
      <c r="B58" s="2" t="str">
        <f>Programacion!B6</f>
        <v>Miercoles</v>
      </c>
      <c r="C58" s="2" t="str">
        <f>Programacion!C6</f>
        <v>Pepas de batata</v>
      </c>
      <c r="D58" s="2" t="str">
        <f>Programacion!D6</f>
        <v>A04</v>
      </c>
      <c r="E58" s="2" t="str">
        <f>Formulas!C48</f>
        <v>HARINA DE ARROZ</v>
      </c>
      <c r="F58" s="4">
        <f>Formulas!D48</f>
        <v>0.127224</v>
      </c>
      <c r="G58" s="5">
        <f>Programacion!H6</f>
        <v>1200</v>
      </c>
      <c r="H58" s="5">
        <f t="shared" si="0"/>
        <v>152.6688</v>
      </c>
    </row>
    <row r="59" spans="1:8" ht="15" customHeight="1" x14ac:dyDescent="0.25">
      <c r="A59" s="2" t="str">
        <f>Programacion!A6</f>
        <v>Semana 1</v>
      </c>
      <c r="B59" s="2" t="str">
        <f>Programacion!B6</f>
        <v>Miercoles</v>
      </c>
      <c r="C59" s="2" t="str">
        <f>Programacion!C6</f>
        <v>Pepas de batata</v>
      </c>
      <c r="D59" s="2" t="str">
        <f>Programacion!D6</f>
        <v>A04</v>
      </c>
      <c r="E59" s="2" t="str">
        <f>Formulas!C49</f>
        <v>ACEITE VEGETAL INTERESTERIFICADO</v>
      </c>
      <c r="F59" s="4">
        <f>Formulas!D49</f>
        <v>0.10378800000000001</v>
      </c>
      <c r="G59" s="5">
        <f>Programacion!H6</f>
        <v>1200</v>
      </c>
      <c r="H59" s="5">
        <f t="shared" si="0"/>
        <v>124.54560000000001</v>
      </c>
    </row>
    <row r="60" spans="1:8" ht="15" customHeight="1" x14ac:dyDescent="0.25">
      <c r="A60" s="2" t="str">
        <f>Programacion!A6</f>
        <v>Semana 1</v>
      </c>
      <c r="B60" s="2" t="str">
        <f>Programacion!B6</f>
        <v>Miercoles</v>
      </c>
      <c r="C60" s="2" t="str">
        <f>Programacion!C6</f>
        <v>Pepas de batata</v>
      </c>
      <c r="D60" s="2" t="str">
        <f>Programacion!D6</f>
        <v>A04</v>
      </c>
      <c r="E60" s="2" t="str">
        <f>Formulas!C50</f>
        <v>AZÚCAR</v>
      </c>
      <c r="F60" s="4">
        <f>Formulas!D50</f>
        <v>9.3743999999999994E-2</v>
      </c>
      <c r="G60" s="5">
        <f>Programacion!H6</f>
        <v>1200</v>
      </c>
      <c r="H60" s="5">
        <f t="shared" si="0"/>
        <v>112.49279999999999</v>
      </c>
    </row>
    <row r="61" spans="1:8" ht="15" customHeight="1" x14ac:dyDescent="0.25">
      <c r="A61" s="2" t="str">
        <f>Programacion!A6</f>
        <v>Semana 1</v>
      </c>
      <c r="B61" s="2" t="str">
        <f>Programacion!B6</f>
        <v>Miercoles</v>
      </c>
      <c r="C61" s="2" t="str">
        <f>Programacion!C6</f>
        <v>Pepas de batata</v>
      </c>
      <c r="D61" s="2" t="str">
        <f>Programacion!D6</f>
        <v>A04</v>
      </c>
      <c r="E61" s="2" t="str">
        <f>Formulas!C51</f>
        <v>JARABE DE MAÍZ ALTA FRUCTOSA</v>
      </c>
      <c r="F61" s="4">
        <f>Formulas!D51</f>
        <v>7.3655999999999999E-2</v>
      </c>
      <c r="G61" s="5">
        <f>Programacion!H6</f>
        <v>1200</v>
      </c>
      <c r="H61" s="5">
        <f t="shared" si="0"/>
        <v>88.387199999999993</v>
      </c>
    </row>
    <row r="62" spans="1:8" ht="15" customHeight="1" x14ac:dyDescent="0.25">
      <c r="A62" s="2" t="str">
        <f>Programacion!A6</f>
        <v>Semana 1</v>
      </c>
      <c r="B62" s="2" t="str">
        <f>Programacion!B6</f>
        <v>Miercoles</v>
      </c>
      <c r="C62" s="2" t="str">
        <f>Programacion!C6</f>
        <v>Pepas de batata</v>
      </c>
      <c r="D62" s="2" t="str">
        <f>Programacion!D6</f>
        <v>A04</v>
      </c>
      <c r="E62" s="2" t="str">
        <f>Formulas!C52</f>
        <v>JARABE DE GLUCOSA</v>
      </c>
      <c r="F62" s="4">
        <f>Formulas!D52</f>
        <v>4.0176000000000003E-2</v>
      </c>
      <c r="G62" s="5">
        <f>Programacion!H6</f>
        <v>1200</v>
      </c>
      <c r="H62" s="5">
        <f t="shared" si="0"/>
        <v>48.211200000000005</v>
      </c>
    </row>
    <row r="63" spans="1:8" ht="15" customHeight="1" x14ac:dyDescent="0.25">
      <c r="A63" s="2" t="str">
        <f>Programacion!A6</f>
        <v>Semana 1</v>
      </c>
      <c r="B63" s="2" t="str">
        <f>Programacion!B6</f>
        <v>Miercoles</v>
      </c>
      <c r="C63" s="2" t="str">
        <f>Programacion!C6</f>
        <v>Pepas de batata</v>
      </c>
      <c r="D63" s="2" t="str">
        <f>Programacion!D6</f>
        <v>A04</v>
      </c>
      <c r="E63" s="2" t="str">
        <f>Formulas!C53</f>
        <v>CACAO ALCALINO</v>
      </c>
      <c r="F63" s="4">
        <f>Formulas!D53</f>
        <v>3.0131999999999999E-2</v>
      </c>
      <c r="G63" s="5">
        <f>Programacion!H6</f>
        <v>1200</v>
      </c>
      <c r="H63" s="5">
        <f t="shared" si="0"/>
        <v>36.1584</v>
      </c>
    </row>
    <row r="64" spans="1:8" ht="15" customHeight="1" x14ac:dyDescent="0.25">
      <c r="A64" s="2" t="str">
        <f>Programacion!A6</f>
        <v>Semana 1</v>
      </c>
      <c r="B64" s="2" t="str">
        <f>Programacion!B6</f>
        <v>Miercoles</v>
      </c>
      <c r="C64" s="2" t="str">
        <f>Programacion!C6</f>
        <v>Pepas de batata</v>
      </c>
      <c r="D64" s="2" t="str">
        <f>Programacion!D6</f>
        <v>A04</v>
      </c>
      <c r="E64" s="2" t="str">
        <f>Formulas!C54</f>
        <v>LECITINA DE SOJA</v>
      </c>
      <c r="F64" s="4">
        <f>Formulas!D54</f>
        <v>3.3479999999999998E-3</v>
      </c>
      <c r="G64" s="5">
        <f>Programacion!H6</f>
        <v>1200</v>
      </c>
      <c r="H64" s="5">
        <f t="shared" si="0"/>
        <v>4.0175999999999998</v>
      </c>
    </row>
    <row r="65" spans="1:8" ht="15" customHeight="1" x14ac:dyDescent="0.25">
      <c r="A65" s="2" t="str">
        <f>Programacion!A6</f>
        <v>Semana 1</v>
      </c>
      <c r="B65" s="2" t="str">
        <f>Programacion!B6</f>
        <v>Miercoles</v>
      </c>
      <c r="C65" s="2" t="str">
        <f>Programacion!C6</f>
        <v>Pepas de batata</v>
      </c>
      <c r="D65" s="2" t="str">
        <f>Programacion!D6</f>
        <v>A04</v>
      </c>
      <c r="E65" s="2" t="str">
        <f>Formulas!C55</f>
        <v>ESENCIA DE LECHE CONDENSADA</v>
      </c>
      <c r="F65" s="4">
        <f>Formulas!D55</f>
        <v>2.6784000000000001E-3</v>
      </c>
      <c r="G65" s="5">
        <f>Programacion!H6</f>
        <v>1200</v>
      </c>
      <c r="H65" s="5">
        <f t="shared" si="0"/>
        <v>3.21408</v>
      </c>
    </row>
    <row r="66" spans="1:8" ht="15" customHeight="1" x14ac:dyDescent="0.25">
      <c r="A66" s="2" t="str">
        <f>Programacion!A6</f>
        <v>Semana 1</v>
      </c>
      <c r="B66" s="2" t="str">
        <f>Programacion!B6</f>
        <v>Miercoles</v>
      </c>
      <c r="C66" s="2" t="str">
        <f>Programacion!C6</f>
        <v>Pepas de batata</v>
      </c>
      <c r="D66" s="2" t="str">
        <f>Programacion!D6</f>
        <v>A04</v>
      </c>
      <c r="E66" s="2" t="str">
        <f>Formulas!C56</f>
        <v>GOMA XÁNTICA</v>
      </c>
      <c r="F66" s="4">
        <f>Formulas!D56</f>
        <v>4.0175999999999996E-3</v>
      </c>
      <c r="G66" s="5">
        <f>Programacion!H6</f>
        <v>1200</v>
      </c>
      <c r="H66" s="5">
        <f t="shared" ref="H66:H129" si="1">F66*G66</f>
        <v>4.8211199999999996</v>
      </c>
    </row>
    <row r="67" spans="1:8" ht="15" customHeight="1" x14ac:dyDescent="0.25">
      <c r="A67" s="2" t="str">
        <f>Programacion!A6</f>
        <v>Semana 1</v>
      </c>
      <c r="B67" s="2" t="str">
        <f>Programacion!B6</f>
        <v>Miercoles</v>
      </c>
      <c r="C67" s="2" t="str">
        <f>Programacion!C6</f>
        <v>Pepas de batata</v>
      </c>
      <c r="D67" s="2" t="str">
        <f>Programacion!D6</f>
        <v>A04</v>
      </c>
      <c r="E67" s="2" t="str">
        <f>Formulas!C57</f>
        <v>MERMELADA DE BATATA</v>
      </c>
      <c r="F67" s="4">
        <f>Formulas!D57</f>
        <v>0.18228</v>
      </c>
      <c r="G67" s="5">
        <f>Programacion!H6</f>
        <v>1200</v>
      </c>
      <c r="H67" s="5">
        <f t="shared" si="1"/>
        <v>218.73599999999999</v>
      </c>
    </row>
    <row r="68" spans="1:8" ht="15" customHeight="1" x14ac:dyDescent="0.25">
      <c r="A68" s="2" t="str">
        <f>Programacion!A6</f>
        <v>Semana 1</v>
      </c>
      <c r="B68" s="2" t="str">
        <f>Programacion!B6</f>
        <v>Miercoles</v>
      </c>
      <c r="C68" s="2" t="str">
        <f>Programacion!C6</f>
        <v>Pepas de batata</v>
      </c>
      <c r="D68" s="2" t="str">
        <f>Programacion!D6</f>
        <v>A04</v>
      </c>
      <c r="E68" s="2" t="str">
        <f>Formulas!C58</f>
        <v>AZÚCAR</v>
      </c>
      <c r="F68" s="4">
        <f>Formulas!D58</f>
        <v>4.9475999999999999E-2</v>
      </c>
      <c r="G68" s="5">
        <f>Programacion!H6</f>
        <v>1200</v>
      </c>
      <c r="H68" s="5">
        <f t="shared" si="1"/>
        <v>59.371200000000002</v>
      </c>
    </row>
    <row r="69" spans="1:8" ht="15" customHeight="1" x14ac:dyDescent="0.25">
      <c r="A69" s="2" t="str">
        <f>Programacion!A6</f>
        <v>Semana 1</v>
      </c>
      <c r="B69" s="2" t="str">
        <f>Programacion!B6</f>
        <v>Miercoles</v>
      </c>
      <c r="C69" s="2" t="str">
        <f>Programacion!C6</f>
        <v>Pepas de batata</v>
      </c>
      <c r="D69" s="2" t="str">
        <f>Programacion!D6</f>
        <v>A04</v>
      </c>
      <c r="E69" s="2" t="str">
        <f>Formulas!C59</f>
        <v>FÉCULA DE MAÍZ</v>
      </c>
      <c r="F69" s="4">
        <f>Formulas!D59</f>
        <v>2.6040000000000001E-2</v>
      </c>
      <c r="G69" s="5">
        <f>Programacion!H6</f>
        <v>1200</v>
      </c>
      <c r="H69" s="5">
        <f t="shared" si="1"/>
        <v>31.248000000000001</v>
      </c>
    </row>
    <row r="70" spans="1:8" ht="15" customHeight="1" x14ac:dyDescent="0.25">
      <c r="A70" s="2" t="str">
        <f>Programacion!A6</f>
        <v>Semana 1</v>
      </c>
      <c r="B70" s="2" t="str">
        <f>Programacion!B6</f>
        <v>Miercoles</v>
      </c>
      <c r="C70" s="2" t="str">
        <f>Programacion!C6</f>
        <v>Pepas de batata</v>
      </c>
      <c r="D70" s="2" t="str">
        <f>Programacion!D6</f>
        <v>A04</v>
      </c>
      <c r="E70" s="2" t="str">
        <f>Formulas!C60</f>
        <v>ESENCIA DE VAINILLA</v>
      </c>
      <c r="F70" s="4">
        <f>Formulas!D60</f>
        <v>1.302E-3</v>
      </c>
      <c r="G70" s="5">
        <f>Programacion!H6</f>
        <v>1200</v>
      </c>
      <c r="H70" s="5">
        <f t="shared" si="1"/>
        <v>1.5624</v>
      </c>
    </row>
    <row r="71" spans="1:8" ht="15" customHeight="1" x14ac:dyDescent="0.25">
      <c r="A71" s="2" t="str">
        <f>Programacion!A6</f>
        <v>Semana 1</v>
      </c>
      <c r="B71" s="2" t="str">
        <f>Programacion!B6</f>
        <v>Miercoles</v>
      </c>
      <c r="C71" s="2" t="str">
        <f>Programacion!C6</f>
        <v>Pepas de batata</v>
      </c>
      <c r="D71" s="2" t="str">
        <f>Programacion!D6</f>
        <v>A04</v>
      </c>
      <c r="E71" s="2" t="str">
        <f>Formulas!C61</f>
        <v>ÁCIDO CÍTRICO</v>
      </c>
      <c r="F71" s="4">
        <f>Formulas!D61</f>
        <v>1.302E-3</v>
      </c>
      <c r="G71" s="5">
        <f>Programacion!H6</f>
        <v>1200</v>
      </c>
      <c r="H71" s="5">
        <f t="shared" si="1"/>
        <v>1.5624</v>
      </c>
    </row>
    <row r="72" spans="1:8" ht="15" customHeight="1" x14ac:dyDescent="0.25">
      <c r="A72" s="2" t="str">
        <f>Programacion!A6</f>
        <v>Semana 1</v>
      </c>
      <c r="B72" s="2" t="str">
        <f>Programacion!B6</f>
        <v>Miercoles</v>
      </c>
      <c r="C72" s="2" t="str">
        <f>Programacion!C6</f>
        <v>Pepas de batata</v>
      </c>
      <c r="D72" s="2" t="str">
        <f>Programacion!D6</f>
        <v>A04</v>
      </c>
      <c r="E72" s="2" t="str">
        <f>Formulas!C62</f>
        <v>AGUA</v>
      </c>
      <c r="F72" s="4">
        <f>Formulas!D62</f>
        <v>7.0000000000000007E-2</v>
      </c>
      <c r="G72" s="5">
        <f>Programacion!H6</f>
        <v>1200</v>
      </c>
      <c r="H72" s="5">
        <f t="shared" si="1"/>
        <v>84.000000000000014</v>
      </c>
    </row>
    <row r="73" spans="1:8" ht="15" customHeight="1" x14ac:dyDescent="0.25">
      <c r="A73" s="2" t="str">
        <f>Programacion!A7</f>
        <v>Semana 1</v>
      </c>
      <c r="B73" s="2" t="str">
        <f>Programacion!B7</f>
        <v>Jueves</v>
      </c>
      <c r="C73" s="2" t="str">
        <f>Programacion!C7</f>
        <v>Pepas de batata</v>
      </c>
      <c r="D73" s="2" t="str">
        <f>Programacion!D7</f>
        <v>A04</v>
      </c>
      <c r="E73" s="2" t="str">
        <f>Formulas!C47</f>
        <v>FÉCULA DE MAÍZ</v>
      </c>
      <c r="F73" s="4">
        <f>Formulas!D47</f>
        <v>0.19083600000000001</v>
      </c>
      <c r="G73" s="5">
        <f>Programacion!H7</f>
        <v>1800</v>
      </c>
      <c r="H73" s="5">
        <f t="shared" si="1"/>
        <v>343.50479999999999</v>
      </c>
    </row>
    <row r="74" spans="1:8" ht="15" customHeight="1" x14ac:dyDescent="0.25">
      <c r="A74" s="2" t="str">
        <f>Programacion!A7</f>
        <v>Semana 1</v>
      </c>
      <c r="B74" s="2" t="str">
        <f>Programacion!B7</f>
        <v>Jueves</v>
      </c>
      <c r="C74" s="2" t="str">
        <f>Programacion!C7</f>
        <v>Pepas de batata</v>
      </c>
      <c r="D74" s="2" t="str">
        <f>Programacion!D7</f>
        <v>A04</v>
      </c>
      <c r="E74" s="2" t="str">
        <f>Formulas!C48</f>
        <v>HARINA DE ARROZ</v>
      </c>
      <c r="F74" s="4">
        <f>Formulas!D48</f>
        <v>0.127224</v>
      </c>
      <c r="G74" s="5">
        <f>Programacion!H7</f>
        <v>1800</v>
      </c>
      <c r="H74" s="5">
        <f t="shared" si="1"/>
        <v>229.00319999999999</v>
      </c>
    </row>
    <row r="75" spans="1:8" ht="15" customHeight="1" x14ac:dyDescent="0.25">
      <c r="A75" s="2" t="str">
        <f>Programacion!A7</f>
        <v>Semana 1</v>
      </c>
      <c r="B75" s="2" t="str">
        <f>Programacion!B7</f>
        <v>Jueves</v>
      </c>
      <c r="C75" s="2" t="str">
        <f>Programacion!C7</f>
        <v>Pepas de batata</v>
      </c>
      <c r="D75" s="2" t="str">
        <f>Programacion!D7</f>
        <v>A04</v>
      </c>
      <c r="E75" s="2" t="str">
        <f>Formulas!C49</f>
        <v>ACEITE VEGETAL INTERESTERIFICADO</v>
      </c>
      <c r="F75" s="4">
        <f>Formulas!D49</f>
        <v>0.10378800000000001</v>
      </c>
      <c r="G75" s="5">
        <f>Programacion!H7</f>
        <v>1800</v>
      </c>
      <c r="H75" s="5">
        <f t="shared" si="1"/>
        <v>186.8184</v>
      </c>
    </row>
    <row r="76" spans="1:8" ht="15" customHeight="1" x14ac:dyDescent="0.25">
      <c r="A76" s="2" t="str">
        <f>Programacion!A7</f>
        <v>Semana 1</v>
      </c>
      <c r="B76" s="2" t="str">
        <f>Programacion!B7</f>
        <v>Jueves</v>
      </c>
      <c r="C76" s="2" t="str">
        <f>Programacion!C7</f>
        <v>Pepas de batata</v>
      </c>
      <c r="D76" s="2" t="str">
        <f>Programacion!D7</f>
        <v>A04</v>
      </c>
      <c r="E76" s="2" t="str">
        <f>Formulas!C50</f>
        <v>AZÚCAR</v>
      </c>
      <c r="F76" s="4">
        <f>Formulas!D50</f>
        <v>9.3743999999999994E-2</v>
      </c>
      <c r="G76" s="5">
        <f>Programacion!H7</f>
        <v>1800</v>
      </c>
      <c r="H76" s="5">
        <f t="shared" si="1"/>
        <v>168.73919999999998</v>
      </c>
    </row>
    <row r="77" spans="1:8" ht="15" customHeight="1" x14ac:dyDescent="0.25">
      <c r="A77" s="2" t="str">
        <f>Programacion!A7</f>
        <v>Semana 1</v>
      </c>
      <c r="B77" s="2" t="str">
        <f>Programacion!B7</f>
        <v>Jueves</v>
      </c>
      <c r="C77" s="2" t="str">
        <f>Programacion!C7</f>
        <v>Pepas de batata</v>
      </c>
      <c r="D77" s="2" t="str">
        <f>Programacion!D7</f>
        <v>A04</v>
      </c>
      <c r="E77" s="2" t="str">
        <f>Formulas!C51</f>
        <v>JARABE DE MAÍZ ALTA FRUCTOSA</v>
      </c>
      <c r="F77" s="4">
        <f>Formulas!D51</f>
        <v>7.3655999999999999E-2</v>
      </c>
      <c r="G77" s="5">
        <f>Programacion!H7</f>
        <v>1800</v>
      </c>
      <c r="H77" s="5">
        <f t="shared" si="1"/>
        <v>132.58080000000001</v>
      </c>
    </row>
    <row r="78" spans="1:8" ht="15" customHeight="1" x14ac:dyDescent="0.25">
      <c r="A78" s="2" t="str">
        <f>Programacion!A7</f>
        <v>Semana 1</v>
      </c>
      <c r="B78" s="2" t="str">
        <f>Programacion!B7</f>
        <v>Jueves</v>
      </c>
      <c r="C78" s="2" t="str">
        <f>Programacion!C7</f>
        <v>Pepas de batata</v>
      </c>
      <c r="D78" s="2" t="str">
        <f>Programacion!D7</f>
        <v>A04</v>
      </c>
      <c r="E78" s="2" t="str">
        <f>Formulas!C52</f>
        <v>JARABE DE GLUCOSA</v>
      </c>
      <c r="F78" s="4">
        <f>Formulas!D52</f>
        <v>4.0176000000000003E-2</v>
      </c>
      <c r="G78" s="5">
        <f>Programacion!H7</f>
        <v>1800</v>
      </c>
      <c r="H78" s="5">
        <f t="shared" si="1"/>
        <v>72.316800000000001</v>
      </c>
    </row>
    <row r="79" spans="1:8" ht="15" customHeight="1" x14ac:dyDescent="0.25">
      <c r="A79" s="2" t="str">
        <f>Programacion!A7</f>
        <v>Semana 1</v>
      </c>
      <c r="B79" s="2" t="str">
        <f>Programacion!B7</f>
        <v>Jueves</v>
      </c>
      <c r="C79" s="2" t="str">
        <f>Programacion!C7</f>
        <v>Pepas de batata</v>
      </c>
      <c r="D79" s="2" t="str">
        <f>Programacion!D7</f>
        <v>A04</v>
      </c>
      <c r="E79" s="2" t="str">
        <f>Formulas!C53</f>
        <v>CACAO ALCALINO</v>
      </c>
      <c r="F79" s="4">
        <f>Formulas!D53</f>
        <v>3.0131999999999999E-2</v>
      </c>
      <c r="G79" s="5">
        <f>Programacion!H7</f>
        <v>1800</v>
      </c>
      <c r="H79" s="5">
        <f t="shared" si="1"/>
        <v>54.2376</v>
      </c>
    </row>
    <row r="80" spans="1:8" ht="15" customHeight="1" x14ac:dyDescent="0.25">
      <c r="A80" s="2" t="str">
        <f>Programacion!A7</f>
        <v>Semana 1</v>
      </c>
      <c r="B80" s="2" t="str">
        <f>Programacion!B7</f>
        <v>Jueves</v>
      </c>
      <c r="C80" s="2" t="str">
        <f>Programacion!C7</f>
        <v>Pepas de batata</v>
      </c>
      <c r="D80" s="2" t="str">
        <f>Programacion!D7</f>
        <v>A04</v>
      </c>
      <c r="E80" s="2" t="str">
        <f>Formulas!C54</f>
        <v>LECITINA DE SOJA</v>
      </c>
      <c r="F80" s="4">
        <f>Formulas!D54</f>
        <v>3.3479999999999998E-3</v>
      </c>
      <c r="G80" s="5">
        <f>Programacion!H7</f>
        <v>1800</v>
      </c>
      <c r="H80" s="5">
        <f t="shared" si="1"/>
        <v>6.0263999999999998</v>
      </c>
    </row>
    <row r="81" spans="1:8" ht="15" customHeight="1" x14ac:dyDescent="0.25">
      <c r="A81" s="2" t="str">
        <f>Programacion!A7</f>
        <v>Semana 1</v>
      </c>
      <c r="B81" s="2" t="str">
        <f>Programacion!B7</f>
        <v>Jueves</v>
      </c>
      <c r="C81" s="2" t="str">
        <f>Programacion!C7</f>
        <v>Pepas de batata</v>
      </c>
      <c r="D81" s="2" t="str">
        <f>Programacion!D7</f>
        <v>A04</v>
      </c>
      <c r="E81" s="2" t="str">
        <f>Formulas!C55</f>
        <v>ESENCIA DE LECHE CONDENSADA</v>
      </c>
      <c r="F81" s="4">
        <f>Formulas!D55</f>
        <v>2.6784000000000001E-3</v>
      </c>
      <c r="G81" s="5">
        <f>Programacion!H7</f>
        <v>1800</v>
      </c>
      <c r="H81" s="5">
        <f t="shared" si="1"/>
        <v>4.8211200000000005</v>
      </c>
    </row>
    <row r="82" spans="1:8" ht="15" customHeight="1" x14ac:dyDescent="0.25">
      <c r="A82" s="2" t="str">
        <f>Programacion!A7</f>
        <v>Semana 1</v>
      </c>
      <c r="B82" s="2" t="str">
        <f>Programacion!B7</f>
        <v>Jueves</v>
      </c>
      <c r="C82" s="2" t="str">
        <f>Programacion!C7</f>
        <v>Pepas de batata</v>
      </c>
      <c r="D82" s="2" t="str">
        <f>Programacion!D7</f>
        <v>A04</v>
      </c>
      <c r="E82" s="2" t="str">
        <f>Formulas!C56</f>
        <v>GOMA XÁNTICA</v>
      </c>
      <c r="F82" s="4">
        <f>Formulas!D56</f>
        <v>4.0175999999999996E-3</v>
      </c>
      <c r="G82" s="5">
        <f>Programacion!H7</f>
        <v>1800</v>
      </c>
      <c r="H82" s="5">
        <f t="shared" si="1"/>
        <v>7.231679999999999</v>
      </c>
    </row>
    <row r="83" spans="1:8" ht="15" customHeight="1" x14ac:dyDescent="0.25">
      <c r="A83" s="2" t="str">
        <f>Programacion!A7</f>
        <v>Semana 1</v>
      </c>
      <c r="B83" s="2" t="str">
        <f>Programacion!B7</f>
        <v>Jueves</v>
      </c>
      <c r="C83" s="2" t="str">
        <f>Programacion!C7</f>
        <v>Pepas de batata</v>
      </c>
      <c r="D83" s="2" t="str">
        <f>Programacion!D7</f>
        <v>A04</v>
      </c>
      <c r="E83" s="2" t="str">
        <f>Formulas!C57</f>
        <v>MERMELADA DE BATATA</v>
      </c>
      <c r="F83" s="4">
        <f>Formulas!D57</f>
        <v>0.18228</v>
      </c>
      <c r="G83" s="5">
        <f>Programacion!H7</f>
        <v>1800</v>
      </c>
      <c r="H83" s="5">
        <f t="shared" si="1"/>
        <v>328.10399999999998</v>
      </c>
    </row>
    <row r="84" spans="1:8" ht="15" customHeight="1" x14ac:dyDescent="0.25">
      <c r="A84" s="2" t="str">
        <f>Programacion!A7</f>
        <v>Semana 1</v>
      </c>
      <c r="B84" s="2" t="str">
        <f>Programacion!B7</f>
        <v>Jueves</v>
      </c>
      <c r="C84" s="2" t="str">
        <f>Programacion!C7</f>
        <v>Pepas de batata</v>
      </c>
      <c r="D84" s="2" t="str">
        <f>Programacion!D7</f>
        <v>A04</v>
      </c>
      <c r="E84" s="2" t="str">
        <f>Formulas!C58</f>
        <v>AZÚCAR</v>
      </c>
      <c r="F84" s="4">
        <f>Formulas!D58</f>
        <v>4.9475999999999999E-2</v>
      </c>
      <c r="G84" s="5">
        <f>Programacion!H7</f>
        <v>1800</v>
      </c>
      <c r="H84" s="5">
        <f t="shared" si="1"/>
        <v>89.056799999999996</v>
      </c>
    </row>
    <row r="85" spans="1:8" ht="15" customHeight="1" x14ac:dyDescent="0.25">
      <c r="A85" s="2" t="str">
        <f>Programacion!A7</f>
        <v>Semana 1</v>
      </c>
      <c r="B85" s="2" t="str">
        <f>Programacion!B7</f>
        <v>Jueves</v>
      </c>
      <c r="C85" s="2" t="str">
        <f>Programacion!C7</f>
        <v>Pepas de batata</v>
      </c>
      <c r="D85" s="2" t="str">
        <f>Programacion!D7</f>
        <v>A04</v>
      </c>
      <c r="E85" s="2" t="str">
        <f>Formulas!C59</f>
        <v>FÉCULA DE MAÍZ</v>
      </c>
      <c r="F85" s="4">
        <f>Formulas!D59</f>
        <v>2.6040000000000001E-2</v>
      </c>
      <c r="G85" s="5">
        <f>Programacion!H7</f>
        <v>1800</v>
      </c>
      <c r="H85" s="5">
        <f t="shared" si="1"/>
        <v>46.872</v>
      </c>
    </row>
    <row r="86" spans="1:8" ht="15" customHeight="1" x14ac:dyDescent="0.25">
      <c r="A86" s="2" t="str">
        <f>Programacion!A7</f>
        <v>Semana 1</v>
      </c>
      <c r="B86" s="2" t="str">
        <f>Programacion!B7</f>
        <v>Jueves</v>
      </c>
      <c r="C86" s="2" t="str">
        <f>Programacion!C7</f>
        <v>Pepas de batata</v>
      </c>
      <c r="D86" s="2" t="str">
        <f>Programacion!D7</f>
        <v>A04</v>
      </c>
      <c r="E86" s="2" t="str">
        <f>Formulas!C60</f>
        <v>ESENCIA DE VAINILLA</v>
      </c>
      <c r="F86" s="4">
        <f>Formulas!D60</f>
        <v>1.302E-3</v>
      </c>
      <c r="G86" s="5">
        <f>Programacion!H7</f>
        <v>1800</v>
      </c>
      <c r="H86" s="5">
        <f t="shared" si="1"/>
        <v>2.3435999999999999</v>
      </c>
    </row>
    <row r="87" spans="1:8" ht="15" customHeight="1" x14ac:dyDescent="0.25">
      <c r="A87" s="2" t="str">
        <f>Programacion!A7</f>
        <v>Semana 1</v>
      </c>
      <c r="B87" s="2" t="str">
        <f>Programacion!B7</f>
        <v>Jueves</v>
      </c>
      <c r="C87" s="2" t="str">
        <f>Programacion!C7</f>
        <v>Pepas de batata</v>
      </c>
      <c r="D87" s="2" t="str">
        <f>Programacion!D7</f>
        <v>A04</v>
      </c>
      <c r="E87" s="2" t="str">
        <f>Formulas!C61</f>
        <v>ÁCIDO CÍTRICO</v>
      </c>
      <c r="F87" s="4">
        <f>Formulas!D61</f>
        <v>1.302E-3</v>
      </c>
      <c r="G87" s="5">
        <f>Programacion!H7</f>
        <v>1800</v>
      </c>
      <c r="H87" s="5">
        <f t="shared" si="1"/>
        <v>2.3435999999999999</v>
      </c>
    </row>
    <row r="88" spans="1:8" ht="15" customHeight="1" x14ac:dyDescent="0.25">
      <c r="A88" s="2" t="str">
        <f>Programacion!A7</f>
        <v>Semana 1</v>
      </c>
      <c r="B88" s="2" t="str">
        <f>Programacion!B7</f>
        <v>Jueves</v>
      </c>
      <c r="C88" s="2" t="str">
        <f>Programacion!C7</f>
        <v>Pepas de batata</v>
      </c>
      <c r="D88" s="2" t="str">
        <f>Programacion!D7</f>
        <v>A04</v>
      </c>
      <c r="E88" s="2" t="str">
        <f>Formulas!C62</f>
        <v>AGUA</v>
      </c>
      <c r="F88" s="4">
        <f>Formulas!D62</f>
        <v>7.0000000000000007E-2</v>
      </c>
      <c r="G88" s="5">
        <f>Programacion!H7</f>
        <v>1800</v>
      </c>
      <c r="H88" s="5">
        <f t="shared" si="1"/>
        <v>126.00000000000001</v>
      </c>
    </row>
    <row r="89" spans="1:8" ht="15" customHeight="1" x14ac:dyDescent="0.25">
      <c r="A89" s="2" t="str">
        <f>Programacion!A8</f>
        <v>Semana 1</v>
      </c>
      <c r="B89" s="2" t="str">
        <f>Programacion!B8</f>
        <v>Viernes</v>
      </c>
      <c r="C89" s="2" t="str">
        <f>Programacion!C8</f>
        <v>Pepas de batata</v>
      </c>
      <c r="D89" s="2" t="str">
        <f>Programacion!D8</f>
        <v>A04</v>
      </c>
      <c r="E89" s="2" t="str">
        <f>Formulas!C47</f>
        <v>FÉCULA DE MAÍZ</v>
      </c>
      <c r="F89" s="4">
        <f>Formulas!D47</f>
        <v>0.19083600000000001</v>
      </c>
      <c r="G89" s="5">
        <f>Programacion!H8</f>
        <v>1800</v>
      </c>
      <c r="H89" s="5">
        <f t="shared" si="1"/>
        <v>343.50479999999999</v>
      </c>
    </row>
    <row r="90" spans="1:8" ht="15" customHeight="1" x14ac:dyDescent="0.25">
      <c r="A90" s="2" t="str">
        <f>Programacion!A8</f>
        <v>Semana 1</v>
      </c>
      <c r="B90" s="2" t="str">
        <f>Programacion!B8</f>
        <v>Viernes</v>
      </c>
      <c r="C90" s="2" t="str">
        <f>Programacion!C8</f>
        <v>Pepas de batata</v>
      </c>
      <c r="D90" s="2" t="str">
        <f>Programacion!D8</f>
        <v>A04</v>
      </c>
      <c r="E90" s="2" t="str">
        <f>Formulas!C48</f>
        <v>HARINA DE ARROZ</v>
      </c>
      <c r="F90" s="4">
        <f>Formulas!D48</f>
        <v>0.127224</v>
      </c>
      <c r="G90" s="5">
        <f>Programacion!H8</f>
        <v>1800</v>
      </c>
      <c r="H90" s="5">
        <f t="shared" si="1"/>
        <v>229.00319999999999</v>
      </c>
    </row>
    <row r="91" spans="1:8" ht="15" customHeight="1" x14ac:dyDescent="0.25">
      <c r="A91" s="2" t="str">
        <f>Programacion!A8</f>
        <v>Semana 1</v>
      </c>
      <c r="B91" s="2" t="str">
        <f>Programacion!B8</f>
        <v>Viernes</v>
      </c>
      <c r="C91" s="2" t="str">
        <f>Programacion!C8</f>
        <v>Pepas de batata</v>
      </c>
      <c r="D91" s="2" t="str">
        <f>Programacion!D8</f>
        <v>A04</v>
      </c>
      <c r="E91" s="2" t="str">
        <f>Formulas!C49</f>
        <v>ACEITE VEGETAL INTERESTERIFICADO</v>
      </c>
      <c r="F91" s="4">
        <f>Formulas!D49</f>
        <v>0.10378800000000001</v>
      </c>
      <c r="G91" s="5">
        <f>Programacion!H8</f>
        <v>1800</v>
      </c>
      <c r="H91" s="5">
        <f t="shared" si="1"/>
        <v>186.8184</v>
      </c>
    </row>
    <row r="92" spans="1:8" ht="15" customHeight="1" x14ac:dyDescent="0.25">
      <c r="A92" s="2" t="str">
        <f>Programacion!A8</f>
        <v>Semana 1</v>
      </c>
      <c r="B92" s="2" t="str">
        <f>Programacion!B8</f>
        <v>Viernes</v>
      </c>
      <c r="C92" s="2" t="str">
        <f>Programacion!C8</f>
        <v>Pepas de batata</v>
      </c>
      <c r="D92" s="2" t="str">
        <f>Programacion!D8</f>
        <v>A04</v>
      </c>
      <c r="E92" s="2" t="str">
        <f>Formulas!C50</f>
        <v>AZÚCAR</v>
      </c>
      <c r="F92" s="4">
        <f>Formulas!D50</f>
        <v>9.3743999999999994E-2</v>
      </c>
      <c r="G92" s="5">
        <f>Programacion!H8</f>
        <v>1800</v>
      </c>
      <c r="H92" s="5">
        <f t="shared" si="1"/>
        <v>168.73919999999998</v>
      </c>
    </row>
    <row r="93" spans="1:8" ht="15" customHeight="1" x14ac:dyDescent="0.25">
      <c r="A93" s="2" t="str">
        <f>Programacion!A8</f>
        <v>Semana 1</v>
      </c>
      <c r="B93" s="2" t="str">
        <f>Programacion!B8</f>
        <v>Viernes</v>
      </c>
      <c r="C93" s="2" t="str">
        <f>Programacion!C8</f>
        <v>Pepas de batata</v>
      </c>
      <c r="D93" s="2" t="str">
        <f>Programacion!D8</f>
        <v>A04</v>
      </c>
      <c r="E93" s="2" t="str">
        <f>Formulas!C51</f>
        <v>JARABE DE MAÍZ ALTA FRUCTOSA</v>
      </c>
      <c r="F93" s="4">
        <f>Formulas!D51</f>
        <v>7.3655999999999999E-2</v>
      </c>
      <c r="G93" s="5">
        <f>Programacion!H8</f>
        <v>1800</v>
      </c>
      <c r="H93" s="5">
        <f t="shared" si="1"/>
        <v>132.58080000000001</v>
      </c>
    </row>
    <row r="94" spans="1:8" ht="15" customHeight="1" x14ac:dyDescent="0.25">
      <c r="A94" s="2" t="str">
        <f>Programacion!A8</f>
        <v>Semana 1</v>
      </c>
      <c r="B94" s="2" t="str">
        <f>Programacion!B8</f>
        <v>Viernes</v>
      </c>
      <c r="C94" s="2" t="str">
        <f>Programacion!C8</f>
        <v>Pepas de batata</v>
      </c>
      <c r="D94" s="2" t="str">
        <f>Programacion!D8</f>
        <v>A04</v>
      </c>
      <c r="E94" s="2" t="str">
        <f>Formulas!C52</f>
        <v>JARABE DE GLUCOSA</v>
      </c>
      <c r="F94" s="4">
        <f>Formulas!D52</f>
        <v>4.0176000000000003E-2</v>
      </c>
      <c r="G94" s="5">
        <f>Programacion!H8</f>
        <v>1800</v>
      </c>
      <c r="H94" s="5">
        <f t="shared" si="1"/>
        <v>72.316800000000001</v>
      </c>
    </row>
    <row r="95" spans="1:8" ht="15" customHeight="1" x14ac:dyDescent="0.25">
      <c r="A95" s="2" t="str">
        <f>Programacion!A8</f>
        <v>Semana 1</v>
      </c>
      <c r="B95" s="2" t="str">
        <f>Programacion!B8</f>
        <v>Viernes</v>
      </c>
      <c r="C95" s="2" t="str">
        <f>Programacion!C8</f>
        <v>Pepas de batata</v>
      </c>
      <c r="D95" s="2" t="str">
        <f>Programacion!D8</f>
        <v>A04</v>
      </c>
      <c r="E95" s="2" t="str">
        <f>Formulas!C53</f>
        <v>CACAO ALCALINO</v>
      </c>
      <c r="F95" s="4">
        <f>Formulas!D53</f>
        <v>3.0131999999999999E-2</v>
      </c>
      <c r="G95" s="5">
        <f>Programacion!H8</f>
        <v>1800</v>
      </c>
      <c r="H95" s="5">
        <f t="shared" si="1"/>
        <v>54.2376</v>
      </c>
    </row>
    <row r="96" spans="1:8" ht="15" customHeight="1" x14ac:dyDescent="0.25">
      <c r="A96" s="2" t="str">
        <f>Programacion!A8</f>
        <v>Semana 1</v>
      </c>
      <c r="B96" s="2" t="str">
        <f>Programacion!B8</f>
        <v>Viernes</v>
      </c>
      <c r="C96" s="2" t="str">
        <f>Programacion!C8</f>
        <v>Pepas de batata</v>
      </c>
      <c r="D96" s="2" t="str">
        <f>Programacion!D8</f>
        <v>A04</v>
      </c>
      <c r="E96" s="2" t="str">
        <f>Formulas!C54</f>
        <v>LECITINA DE SOJA</v>
      </c>
      <c r="F96" s="4">
        <f>Formulas!D54</f>
        <v>3.3479999999999998E-3</v>
      </c>
      <c r="G96" s="5">
        <f>Programacion!H8</f>
        <v>1800</v>
      </c>
      <c r="H96" s="5">
        <f t="shared" si="1"/>
        <v>6.0263999999999998</v>
      </c>
    </row>
    <row r="97" spans="1:8" ht="15" customHeight="1" x14ac:dyDescent="0.25">
      <c r="A97" s="2" t="str">
        <f>Programacion!A8</f>
        <v>Semana 1</v>
      </c>
      <c r="B97" s="2" t="str">
        <f>Programacion!B8</f>
        <v>Viernes</v>
      </c>
      <c r="C97" s="2" t="str">
        <f>Programacion!C8</f>
        <v>Pepas de batata</v>
      </c>
      <c r="D97" s="2" t="str">
        <f>Programacion!D8</f>
        <v>A04</v>
      </c>
      <c r="E97" s="2" t="str">
        <f>Formulas!C55</f>
        <v>ESENCIA DE LECHE CONDENSADA</v>
      </c>
      <c r="F97" s="4">
        <f>Formulas!D55</f>
        <v>2.6784000000000001E-3</v>
      </c>
      <c r="G97" s="5">
        <f>Programacion!H8</f>
        <v>1800</v>
      </c>
      <c r="H97" s="5">
        <f t="shared" si="1"/>
        <v>4.8211200000000005</v>
      </c>
    </row>
    <row r="98" spans="1:8" ht="15" customHeight="1" x14ac:dyDescent="0.25">
      <c r="A98" s="2" t="str">
        <f>Programacion!A8</f>
        <v>Semana 1</v>
      </c>
      <c r="B98" s="2" t="str">
        <f>Programacion!B8</f>
        <v>Viernes</v>
      </c>
      <c r="C98" s="2" t="str">
        <f>Programacion!C8</f>
        <v>Pepas de batata</v>
      </c>
      <c r="D98" s="2" t="str">
        <f>Programacion!D8</f>
        <v>A04</v>
      </c>
      <c r="E98" s="2" t="str">
        <f>Formulas!C56</f>
        <v>GOMA XÁNTICA</v>
      </c>
      <c r="F98" s="4">
        <f>Formulas!D56</f>
        <v>4.0175999999999996E-3</v>
      </c>
      <c r="G98" s="5">
        <f>Programacion!H8</f>
        <v>1800</v>
      </c>
      <c r="H98" s="5">
        <f t="shared" si="1"/>
        <v>7.231679999999999</v>
      </c>
    </row>
    <row r="99" spans="1:8" ht="15" customHeight="1" x14ac:dyDescent="0.25">
      <c r="A99" s="2" t="str">
        <f>Programacion!A8</f>
        <v>Semana 1</v>
      </c>
      <c r="B99" s="2" t="str">
        <f>Programacion!B8</f>
        <v>Viernes</v>
      </c>
      <c r="C99" s="2" t="str">
        <f>Programacion!C8</f>
        <v>Pepas de batata</v>
      </c>
      <c r="D99" s="2" t="str">
        <f>Programacion!D8</f>
        <v>A04</v>
      </c>
      <c r="E99" s="2" t="str">
        <f>Formulas!C57</f>
        <v>MERMELADA DE BATATA</v>
      </c>
      <c r="F99" s="4">
        <f>Formulas!D57</f>
        <v>0.18228</v>
      </c>
      <c r="G99" s="5">
        <f>Programacion!H8</f>
        <v>1800</v>
      </c>
      <c r="H99" s="5">
        <f t="shared" si="1"/>
        <v>328.10399999999998</v>
      </c>
    </row>
    <row r="100" spans="1:8" ht="15" customHeight="1" x14ac:dyDescent="0.25">
      <c r="A100" s="2" t="str">
        <f>Programacion!A8</f>
        <v>Semana 1</v>
      </c>
      <c r="B100" s="2" t="str">
        <f>Programacion!B8</f>
        <v>Viernes</v>
      </c>
      <c r="C100" s="2" t="str">
        <f>Programacion!C8</f>
        <v>Pepas de batata</v>
      </c>
      <c r="D100" s="2" t="str">
        <f>Programacion!D8</f>
        <v>A04</v>
      </c>
      <c r="E100" s="2" t="str">
        <f>Formulas!C58</f>
        <v>AZÚCAR</v>
      </c>
      <c r="F100" s="4">
        <f>Formulas!D58</f>
        <v>4.9475999999999999E-2</v>
      </c>
      <c r="G100" s="5">
        <f>Programacion!H8</f>
        <v>1800</v>
      </c>
      <c r="H100" s="5">
        <f t="shared" si="1"/>
        <v>89.056799999999996</v>
      </c>
    </row>
    <row r="101" spans="1:8" ht="15" customHeight="1" x14ac:dyDescent="0.25">
      <c r="A101" s="2" t="str">
        <f>Programacion!A8</f>
        <v>Semana 1</v>
      </c>
      <c r="B101" s="2" t="str">
        <f>Programacion!B8</f>
        <v>Viernes</v>
      </c>
      <c r="C101" s="2" t="str">
        <f>Programacion!C8</f>
        <v>Pepas de batata</v>
      </c>
      <c r="D101" s="2" t="str">
        <f>Programacion!D8</f>
        <v>A04</v>
      </c>
      <c r="E101" s="2" t="str">
        <f>Formulas!C59</f>
        <v>FÉCULA DE MAÍZ</v>
      </c>
      <c r="F101" s="4">
        <f>Formulas!D59</f>
        <v>2.6040000000000001E-2</v>
      </c>
      <c r="G101" s="5">
        <f>Programacion!H8</f>
        <v>1800</v>
      </c>
      <c r="H101" s="5">
        <f t="shared" si="1"/>
        <v>46.872</v>
      </c>
    </row>
    <row r="102" spans="1:8" ht="15" customHeight="1" x14ac:dyDescent="0.25">
      <c r="A102" s="2" t="str">
        <f>Programacion!A8</f>
        <v>Semana 1</v>
      </c>
      <c r="B102" s="2" t="str">
        <f>Programacion!B8</f>
        <v>Viernes</v>
      </c>
      <c r="C102" s="2" t="str">
        <f>Programacion!C8</f>
        <v>Pepas de batata</v>
      </c>
      <c r="D102" s="2" t="str">
        <f>Programacion!D8</f>
        <v>A04</v>
      </c>
      <c r="E102" s="2" t="str">
        <f>Formulas!C60</f>
        <v>ESENCIA DE VAINILLA</v>
      </c>
      <c r="F102" s="4">
        <f>Formulas!D60</f>
        <v>1.302E-3</v>
      </c>
      <c r="G102" s="5">
        <f>Programacion!H8</f>
        <v>1800</v>
      </c>
      <c r="H102" s="5">
        <f t="shared" si="1"/>
        <v>2.3435999999999999</v>
      </c>
    </row>
    <row r="103" spans="1:8" ht="15" customHeight="1" x14ac:dyDescent="0.25">
      <c r="A103" s="2" t="str">
        <f>Programacion!A8</f>
        <v>Semana 1</v>
      </c>
      <c r="B103" s="2" t="str">
        <f>Programacion!B8</f>
        <v>Viernes</v>
      </c>
      <c r="C103" s="2" t="str">
        <f>Programacion!C8</f>
        <v>Pepas de batata</v>
      </c>
      <c r="D103" s="2" t="str">
        <f>Programacion!D8</f>
        <v>A04</v>
      </c>
      <c r="E103" s="2" t="str">
        <f>Formulas!C61</f>
        <v>ÁCIDO CÍTRICO</v>
      </c>
      <c r="F103" s="4">
        <f>Formulas!D61</f>
        <v>1.302E-3</v>
      </c>
      <c r="G103" s="5">
        <f>Programacion!H8</f>
        <v>1800</v>
      </c>
      <c r="H103" s="5">
        <f t="shared" si="1"/>
        <v>2.3435999999999999</v>
      </c>
    </row>
    <row r="104" spans="1:8" ht="15" customHeight="1" x14ac:dyDescent="0.25">
      <c r="A104" s="2" t="str">
        <f>Programacion!A8</f>
        <v>Semana 1</v>
      </c>
      <c r="B104" s="2" t="str">
        <f>Programacion!B8</f>
        <v>Viernes</v>
      </c>
      <c r="C104" s="2" t="str">
        <f>Programacion!C8</f>
        <v>Pepas de batata</v>
      </c>
      <c r="D104" s="2" t="str">
        <f>Programacion!D8</f>
        <v>A04</v>
      </c>
      <c r="E104" s="2" t="str">
        <f>Formulas!C62</f>
        <v>AGUA</v>
      </c>
      <c r="F104" s="4">
        <f>Formulas!D62</f>
        <v>7.0000000000000007E-2</v>
      </c>
      <c r="G104" s="5">
        <f>Programacion!H8</f>
        <v>1800</v>
      </c>
      <c r="H104" s="5">
        <f t="shared" si="1"/>
        <v>126.00000000000001</v>
      </c>
    </row>
    <row r="105" spans="1:8" ht="15" customHeight="1" x14ac:dyDescent="0.25">
      <c r="A105" s="2" t="str">
        <f>Programacion!A9</f>
        <v>Semana 2</v>
      </c>
      <c r="B105" s="2" t="str">
        <f>Programacion!B9</f>
        <v>Lunes</v>
      </c>
      <c r="C105" s="2" t="str">
        <f>Programacion!C9</f>
        <v>Polvorones</v>
      </c>
      <c r="D105" s="2" t="str">
        <f>Programacion!D9</f>
        <v>A08</v>
      </c>
      <c r="E105" s="2" t="str">
        <f>Formulas!C105</f>
        <v>FÉCULA DE MAÍZ</v>
      </c>
      <c r="F105" s="4">
        <f>Formulas!D105</f>
        <v>0.26040000000000002</v>
      </c>
      <c r="G105" s="5">
        <f>Programacion!H9</f>
        <v>1800</v>
      </c>
      <c r="H105" s="5">
        <f t="shared" si="1"/>
        <v>468.72</v>
      </c>
    </row>
    <row r="106" spans="1:8" ht="15" customHeight="1" x14ac:dyDescent="0.25">
      <c r="A106" s="2" t="str">
        <f>Programacion!A9</f>
        <v>Semana 2</v>
      </c>
      <c r="B106" s="2" t="str">
        <f>Programacion!B9</f>
        <v>Lunes</v>
      </c>
      <c r="C106" s="2" t="str">
        <f>Programacion!C9</f>
        <v>Polvorones</v>
      </c>
      <c r="D106" s="2" t="str">
        <f>Programacion!D9</f>
        <v>A08</v>
      </c>
      <c r="E106" s="2" t="str">
        <f>Formulas!C106</f>
        <v>HARINA DE ARROZ</v>
      </c>
      <c r="F106" s="4">
        <f>Formulas!D106</f>
        <v>0.1953</v>
      </c>
      <c r="G106" s="5">
        <f>Programacion!H9</f>
        <v>1800</v>
      </c>
      <c r="H106" s="5">
        <f t="shared" si="1"/>
        <v>351.54</v>
      </c>
    </row>
    <row r="107" spans="1:8" ht="15" customHeight="1" x14ac:dyDescent="0.25">
      <c r="A107" s="2" t="str">
        <f>Programacion!A9</f>
        <v>Semana 2</v>
      </c>
      <c r="B107" s="2" t="str">
        <f>Programacion!B9</f>
        <v>Lunes</v>
      </c>
      <c r="C107" s="2" t="str">
        <f>Programacion!C9</f>
        <v>Polvorones</v>
      </c>
      <c r="D107" s="2" t="str">
        <f>Programacion!D9</f>
        <v>A08</v>
      </c>
      <c r="E107" s="2" t="str">
        <f>Formulas!C107</f>
        <v>AZÚCAR</v>
      </c>
      <c r="F107" s="4">
        <f>Formulas!D107</f>
        <v>0.14879999999999999</v>
      </c>
      <c r="G107" s="5">
        <f>Programacion!H9</f>
        <v>1800</v>
      </c>
      <c r="H107" s="5">
        <f t="shared" si="1"/>
        <v>267.83999999999997</v>
      </c>
    </row>
    <row r="108" spans="1:8" ht="15" customHeight="1" x14ac:dyDescent="0.25">
      <c r="A108" s="2" t="str">
        <f>Programacion!A9</f>
        <v>Semana 2</v>
      </c>
      <c r="B108" s="2" t="str">
        <f>Programacion!B9</f>
        <v>Lunes</v>
      </c>
      <c r="C108" s="2" t="str">
        <f>Programacion!C9</f>
        <v>Polvorones</v>
      </c>
      <c r="D108" s="2" t="str">
        <f>Programacion!D9</f>
        <v>A08</v>
      </c>
      <c r="E108" s="2" t="str">
        <f>Formulas!C108</f>
        <v>ACEITE VEGETAL INTERESTERIFICADO</v>
      </c>
      <c r="F108" s="4">
        <f>Formulas!D108</f>
        <v>0.13950000000000001</v>
      </c>
      <c r="G108" s="5">
        <f>Programacion!H9</f>
        <v>1800</v>
      </c>
      <c r="H108" s="5">
        <f t="shared" si="1"/>
        <v>251.10000000000002</v>
      </c>
    </row>
    <row r="109" spans="1:8" ht="15" customHeight="1" x14ac:dyDescent="0.25">
      <c r="A109" s="2" t="str">
        <f>Programacion!A9</f>
        <v>Semana 2</v>
      </c>
      <c r="B109" s="2" t="str">
        <f>Programacion!B9</f>
        <v>Lunes</v>
      </c>
      <c r="C109" s="2" t="str">
        <f>Programacion!C9</f>
        <v>Polvorones</v>
      </c>
      <c r="D109" s="2" t="str">
        <f>Programacion!D9</f>
        <v>A08</v>
      </c>
      <c r="E109" s="2" t="str">
        <f>Formulas!C109</f>
        <v>JARABE DE GLUCOSA</v>
      </c>
      <c r="F109" s="4">
        <f>Formulas!D109</f>
        <v>5.5800000000000002E-2</v>
      </c>
      <c r="G109" s="5">
        <f>Programacion!H9</f>
        <v>1800</v>
      </c>
      <c r="H109" s="5">
        <f t="shared" si="1"/>
        <v>100.44</v>
      </c>
    </row>
    <row r="110" spans="1:8" ht="15" customHeight="1" x14ac:dyDescent="0.25">
      <c r="A110" s="2" t="str">
        <f>Programacion!A9</f>
        <v>Semana 2</v>
      </c>
      <c r="B110" s="2" t="str">
        <f>Programacion!B9</f>
        <v>Lunes</v>
      </c>
      <c r="C110" s="2" t="str">
        <f>Programacion!C9</f>
        <v>Polvorones</v>
      </c>
      <c r="D110" s="2" t="str">
        <f>Programacion!D9</f>
        <v>A08</v>
      </c>
      <c r="E110" s="2" t="str">
        <f>Formulas!C110</f>
        <v>EDULZUGAR</v>
      </c>
      <c r="F110" s="4">
        <f>Formulas!D110</f>
        <v>2.7900000000000001E-2</v>
      </c>
      <c r="G110" s="5">
        <f>Programacion!H9</f>
        <v>1800</v>
      </c>
      <c r="H110" s="5">
        <f t="shared" si="1"/>
        <v>50.22</v>
      </c>
    </row>
    <row r="111" spans="1:8" ht="15" customHeight="1" x14ac:dyDescent="0.25">
      <c r="A111" s="2" t="str">
        <f>Programacion!A9</f>
        <v>Semana 2</v>
      </c>
      <c r="B111" s="2" t="str">
        <f>Programacion!B9</f>
        <v>Lunes</v>
      </c>
      <c r="C111" s="2" t="str">
        <f>Programacion!C9</f>
        <v>Polvorones</v>
      </c>
      <c r="D111" s="2" t="str">
        <f>Programacion!D9</f>
        <v>A08</v>
      </c>
      <c r="E111" s="2" t="str">
        <f>Formulas!C111</f>
        <v>PANACEA</v>
      </c>
      <c r="F111" s="4">
        <f>Formulas!D111</f>
        <v>2.7900000000000001E-2</v>
      </c>
      <c r="G111" s="5">
        <f>Programacion!H9</f>
        <v>1800</v>
      </c>
      <c r="H111" s="5">
        <f t="shared" si="1"/>
        <v>50.22</v>
      </c>
    </row>
    <row r="112" spans="1:8" ht="15" customHeight="1" x14ac:dyDescent="0.25">
      <c r="A112" s="2" t="str">
        <f>Programacion!A9</f>
        <v>Semana 2</v>
      </c>
      <c r="B112" s="2" t="str">
        <f>Programacion!B9</f>
        <v>Lunes</v>
      </c>
      <c r="C112" s="2" t="str">
        <f>Programacion!C9</f>
        <v>Polvorones</v>
      </c>
      <c r="D112" s="2" t="str">
        <f>Programacion!D9</f>
        <v>A08</v>
      </c>
      <c r="E112" s="2" t="str">
        <f>Formulas!C112</f>
        <v>POLVO PARA HORNEAR</v>
      </c>
      <c r="F112" s="4">
        <f>Formulas!D112</f>
        <v>1.8599999999999998E-2</v>
      </c>
      <c r="G112" s="5">
        <f>Programacion!H9</f>
        <v>1800</v>
      </c>
      <c r="H112" s="5">
        <f t="shared" si="1"/>
        <v>33.479999999999997</v>
      </c>
    </row>
    <row r="113" spans="1:8" ht="15" customHeight="1" x14ac:dyDescent="0.25">
      <c r="A113" s="2" t="str">
        <f>Programacion!A9</f>
        <v>Semana 2</v>
      </c>
      <c r="B113" s="2" t="str">
        <f>Programacion!B9</f>
        <v>Lunes</v>
      </c>
      <c r="C113" s="2" t="str">
        <f>Programacion!C9</f>
        <v>Polvorones</v>
      </c>
      <c r="D113" s="2" t="str">
        <f>Programacion!D9</f>
        <v>A08</v>
      </c>
      <c r="E113" s="2" t="str">
        <f>Formulas!C113</f>
        <v>LECITINA DE SOJA</v>
      </c>
      <c r="F113" s="4">
        <f>Formulas!D113</f>
        <v>9.2999999999999992E-3</v>
      </c>
      <c r="G113" s="5">
        <f>Programacion!H9</f>
        <v>1800</v>
      </c>
      <c r="H113" s="5">
        <f t="shared" si="1"/>
        <v>16.739999999999998</v>
      </c>
    </row>
    <row r="114" spans="1:8" ht="15" customHeight="1" x14ac:dyDescent="0.25">
      <c r="A114" s="2" t="str">
        <f>Programacion!A9</f>
        <v>Semana 2</v>
      </c>
      <c r="B114" s="2" t="str">
        <f>Programacion!B9</f>
        <v>Lunes</v>
      </c>
      <c r="C114" s="2" t="str">
        <f>Programacion!C9</f>
        <v>Polvorones</v>
      </c>
      <c r="D114" s="2" t="str">
        <f>Programacion!D9</f>
        <v>A08</v>
      </c>
      <c r="E114" s="2" t="str">
        <f>Formulas!C114</f>
        <v>GOMA XÁNTICA</v>
      </c>
      <c r="F114" s="4">
        <f>Formulas!D114</f>
        <v>9.2999999999999992E-3</v>
      </c>
      <c r="G114" s="5">
        <f>Programacion!H9</f>
        <v>1800</v>
      </c>
      <c r="H114" s="5">
        <f t="shared" si="1"/>
        <v>16.739999999999998</v>
      </c>
    </row>
    <row r="115" spans="1:8" ht="15" customHeight="1" x14ac:dyDescent="0.25">
      <c r="A115" s="2" t="str">
        <f>Programacion!A9</f>
        <v>Semana 2</v>
      </c>
      <c r="B115" s="2" t="str">
        <f>Programacion!B9</f>
        <v>Lunes</v>
      </c>
      <c r="C115" s="2" t="str">
        <f>Programacion!C9</f>
        <v>Polvorones</v>
      </c>
      <c r="D115" s="2" t="str">
        <f>Programacion!D9</f>
        <v>A08</v>
      </c>
      <c r="E115" s="2" t="str">
        <f>Formulas!C115</f>
        <v>PROPIONATO DE CALCIO</v>
      </c>
      <c r="F115" s="4">
        <f>Formulas!D115</f>
        <v>9.2999999999999992E-3</v>
      </c>
      <c r="G115" s="5">
        <f>Programacion!H9</f>
        <v>1800</v>
      </c>
      <c r="H115" s="5">
        <f t="shared" si="1"/>
        <v>16.739999999999998</v>
      </c>
    </row>
    <row r="116" spans="1:8" ht="15" customHeight="1" x14ac:dyDescent="0.25">
      <c r="A116" s="2" t="str">
        <f>Programacion!A9</f>
        <v>Semana 2</v>
      </c>
      <c r="B116" s="2" t="str">
        <f>Programacion!B9</f>
        <v>Lunes</v>
      </c>
      <c r="C116" s="2" t="str">
        <f>Programacion!C9</f>
        <v>Polvorones</v>
      </c>
      <c r="D116" s="2" t="str">
        <f>Programacion!D9</f>
        <v>A08</v>
      </c>
      <c r="E116" s="2" t="str">
        <f>Formulas!C116</f>
        <v>BICARBONATO DE AMONIO</v>
      </c>
      <c r="F116" s="4">
        <f>Formulas!D116</f>
        <v>9.2999999999999992E-3</v>
      </c>
      <c r="G116" s="5">
        <f>Programacion!H9</f>
        <v>1800</v>
      </c>
      <c r="H116" s="5">
        <f t="shared" si="1"/>
        <v>16.739999999999998</v>
      </c>
    </row>
    <row r="117" spans="1:8" ht="15" customHeight="1" x14ac:dyDescent="0.25">
      <c r="A117" s="2" t="str">
        <f>Programacion!A9</f>
        <v>Semana 2</v>
      </c>
      <c r="B117" s="2" t="str">
        <f>Programacion!B9</f>
        <v>Lunes</v>
      </c>
      <c r="C117" s="2" t="str">
        <f>Programacion!C9</f>
        <v>Polvorones</v>
      </c>
      <c r="D117" s="2" t="str">
        <f>Programacion!D9</f>
        <v>A08</v>
      </c>
      <c r="E117" s="2" t="str">
        <f>Formulas!C117</f>
        <v>BICARBONATO DE SODIO</v>
      </c>
      <c r="F117" s="4">
        <f>Formulas!D117</f>
        <v>9.2999999999999992E-3</v>
      </c>
      <c r="G117" s="5">
        <f>Programacion!H9</f>
        <v>1800</v>
      </c>
      <c r="H117" s="5">
        <f t="shared" si="1"/>
        <v>16.739999999999998</v>
      </c>
    </row>
    <row r="118" spans="1:8" ht="15" customHeight="1" x14ac:dyDescent="0.25">
      <c r="A118" s="2" t="str">
        <f>Programacion!A9</f>
        <v>Semana 2</v>
      </c>
      <c r="B118" s="2" t="str">
        <f>Programacion!B9</f>
        <v>Lunes</v>
      </c>
      <c r="C118" s="2" t="str">
        <f>Programacion!C9</f>
        <v>Polvorones</v>
      </c>
      <c r="D118" s="2" t="str">
        <f>Programacion!D9</f>
        <v>A08</v>
      </c>
      <c r="E118" s="2" t="str">
        <f>Formulas!C118</f>
        <v>SAL</v>
      </c>
      <c r="F118" s="4">
        <f>Formulas!D118</f>
        <v>4.6499999999999996E-3</v>
      </c>
      <c r="G118" s="5">
        <f>Programacion!H9</f>
        <v>1800</v>
      </c>
      <c r="H118" s="5">
        <f t="shared" si="1"/>
        <v>8.3699999999999992</v>
      </c>
    </row>
    <row r="119" spans="1:8" ht="15" customHeight="1" x14ac:dyDescent="0.25">
      <c r="A119" s="2" t="str">
        <f>Programacion!A9</f>
        <v>Semana 2</v>
      </c>
      <c r="B119" s="2" t="str">
        <f>Programacion!B9</f>
        <v>Lunes</v>
      </c>
      <c r="C119" s="2" t="str">
        <f>Programacion!C9</f>
        <v>Polvorones</v>
      </c>
      <c r="D119" s="2" t="str">
        <f>Programacion!D9</f>
        <v>A08</v>
      </c>
      <c r="E119" s="2" t="str">
        <f>Formulas!C119</f>
        <v>ESENCIA DE VAINILLA / NARANJA / LIMÓN</v>
      </c>
      <c r="F119" s="4">
        <f>Formulas!D119</f>
        <v>4.6499999999999996E-3</v>
      </c>
      <c r="G119" s="5">
        <f>Programacion!H9</f>
        <v>1800</v>
      </c>
      <c r="H119" s="5">
        <f t="shared" si="1"/>
        <v>8.3699999999999992</v>
      </c>
    </row>
    <row r="120" spans="1:8" ht="15" customHeight="1" x14ac:dyDescent="0.25">
      <c r="A120" s="2" t="str">
        <f>Programacion!A9</f>
        <v>Semana 2</v>
      </c>
      <c r="B120" s="2" t="str">
        <f>Programacion!B9</f>
        <v>Lunes</v>
      </c>
      <c r="C120" s="2" t="str">
        <f>Programacion!C9</f>
        <v>Polvorones</v>
      </c>
      <c r="D120" s="2" t="str">
        <f>Programacion!D9</f>
        <v>A08</v>
      </c>
      <c r="E120" s="2" t="str">
        <f>Formulas!C120</f>
        <v>AGUA</v>
      </c>
      <c r="F120" s="4">
        <f>Formulas!D120</f>
        <v>7.0000000000000007E-2</v>
      </c>
      <c r="G120" s="5">
        <f>Programacion!H9</f>
        <v>1800</v>
      </c>
      <c r="H120" s="5">
        <f t="shared" si="1"/>
        <v>126.00000000000001</v>
      </c>
    </row>
    <row r="121" spans="1:8" ht="15" customHeight="1" x14ac:dyDescent="0.25">
      <c r="A121" s="2" t="str">
        <f>Programacion!A10</f>
        <v>Semana 2</v>
      </c>
      <c r="B121" s="2" t="str">
        <f>Programacion!B10</f>
        <v>Martes</v>
      </c>
      <c r="C121" s="2" t="str">
        <f>Programacion!C10</f>
        <v>Polvorones</v>
      </c>
      <c r="D121" s="2" t="str">
        <f>Programacion!D10</f>
        <v>A08</v>
      </c>
      <c r="E121" s="2" t="str">
        <f>Formulas!C105</f>
        <v>FÉCULA DE MAÍZ</v>
      </c>
      <c r="F121" s="4">
        <f>Formulas!D105</f>
        <v>0.26040000000000002</v>
      </c>
      <c r="G121" s="5">
        <f>Programacion!H10</f>
        <v>1200</v>
      </c>
      <c r="H121" s="5">
        <f t="shared" si="1"/>
        <v>312.48</v>
      </c>
    </row>
    <row r="122" spans="1:8" ht="15" customHeight="1" x14ac:dyDescent="0.25">
      <c r="A122" s="2" t="str">
        <f>Programacion!A10</f>
        <v>Semana 2</v>
      </c>
      <c r="B122" s="2" t="str">
        <f>Programacion!B10</f>
        <v>Martes</v>
      </c>
      <c r="C122" s="2" t="str">
        <f>Programacion!C10</f>
        <v>Polvorones</v>
      </c>
      <c r="D122" s="2" t="str">
        <f>Programacion!D10</f>
        <v>A08</v>
      </c>
      <c r="E122" s="2" t="str">
        <f>Formulas!C106</f>
        <v>HARINA DE ARROZ</v>
      </c>
      <c r="F122" s="4">
        <f>Formulas!D106</f>
        <v>0.1953</v>
      </c>
      <c r="G122" s="5">
        <f>Programacion!H10</f>
        <v>1200</v>
      </c>
      <c r="H122" s="5">
        <f t="shared" si="1"/>
        <v>234.36</v>
      </c>
    </row>
    <row r="123" spans="1:8" ht="15" customHeight="1" x14ac:dyDescent="0.25">
      <c r="A123" s="2" t="str">
        <f>Programacion!A10</f>
        <v>Semana 2</v>
      </c>
      <c r="B123" s="2" t="str">
        <f>Programacion!B10</f>
        <v>Martes</v>
      </c>
      <c r="C123" s="2" t="str">
        <f>Programacion!C10</f>
        <v>Polvorones</v>
      </c>
      <c r="D123" s="2" t="str">
        <f>Programacion!D10</f>
        <v>A08</v>
      </c>
      <c r="E123" s="2" t="str">
        <f>Formulas!C107</f>
        <v>AZÚCAR</v>
      </c>
      <c r="F123" s="4">
        <f>Formulas!D107</f>
        <v>0.14879999999999999</v>
      </c>
      <c r="G123" s="5">
        <f>Programacion!H10</f>
        <v>1200</v>
      </c>
      <c r="H123" s="5">
        <f t="shared" si="1"/>
        <v>178.55999999999997</v>
      </c>
    </row>
    <row r="124" spans="1:8" ht="15" customHeight="1" x14ac:dyDescent="0.25">
      <c r="A124" s="2" t="str">
        <f>Programacion!A10</f>
        <v>Semana 2</v>
      </c>
      <c r="B124" s="2" t="str">
        <f>Programacion!B10</f>
        <v>Martes</v>
      </c>
      <c r="C124" s="2" t="str">
        <f>Programacion!C10</f>
        <v>Polvorones</v>
      </c>
      <c r="D124" s="2" t="str">
        <f>Programacion!D10</f>
        <v>A08</v>
      </c>
      <c r="E124" s="2" t="str">
        <f>Formulas!C108</f>
        <v>ACEITE VEGETAL INTERESTERIFICADO</v>
      </c>
      <c r="F124" s="4">
        <f>Formulas!D108</f>
        <v>0.13950000000000001</v>
      </c>
      <c r="G124" s="5">
        <f>Programacion!H10</f>
        <v>1200</v>
      </c>
      <c r="H124" s="5">
        <f t="shared" si="1"/>
        <v>167.4</v>
      </c>
    </row>
    <row r="125" spans="1:8" ht="15" customHeight="1" x14ac:dyDescent="0.25">
      <c r="A125" s="2" t="str">
        <f>Programacion!A10</f>
        <v>Semana 2</v>
      </c>
      <c r="B125" s="2" t="str">
        <f>Programacion!B10</f>
        <v>Martes</v>
      </c>
      <c r="C125" s="2" t="str">
        <f>Programacion!C10</f>
        <v>Polvorones</v>
      </c>
      <c r="D125" s="2" t="str">
        <f>Programacion!D10</f>
        <v>A08</v>
      </c>
      <c r="E125" s="2" t="str">
        <f>Formulas!C109</f>
        <v>JARABE DE GLUCOSA</v>
      </c>
      <c r="F125" s="4">
        <f>Formulas!D109</f>
        <v>5.5800000000000002E-2</v>
      </c>
      <c r="G125" s="5">
        <f>Programacion!H10</f>
        <v>1200</v>
      </c>
      <c r="H125" s="5">
        <f t="shared" si="1"/>
        <v>66.960000000000008</v>
      </c>
    </row>
    <row r="126" spans="1:8" ht="15" customHeight="1" x14ac:dyDescent="0.25">
      <c r="A126" s="2" t="str">
        <f>Programacion!A10</f>
        <v>Semana 2</v>
      </c>
      <c r="B126" s="2" t="str">
        <f>Programacion!B10</f>
        <v>Martes</v>
      </c>
      <c r="C126" s="2" t="str">
        <f>Programacion!C10</f>
        <v>Polvorones</v>
      </c>
      <c r="D126" s="2" t="str">
        <f>Programacion!D10</f>
        <v>A08</v>
      </c>
      <c r="E126" s="2" t="str">
        <f>Formulas!C110</f>
        <v>EDULZUGAR</v>
      </c>
      <c r="F126" s="4">
        <f>Formulas!D110</f>
        <v>2.7900000000000001E-2</v>
      </c>
      <c r="G126" s="5">
        <f>Programacion!H10</f>
        <v>1200</v>
      </c>
      <c r="H126" s="5">
        <f t="shared" si="1"/>
        <v>33.480000000000004</v>
      </c>
    </row>
    <row r="127" spans="1:8" ht="15" customHeight="1" x14ac:dyDescent="0.25">
      <c r="A127" s="2" t="str">
        <f>Programacion!A10</f>
        <v>Semana 2</v>
      </c>
      <c r="B127" s="2" t="str">
        <f>Programacion!B10</f>
        <v>Martes</v>
      </c>
      <c r="C127" s="2" t="str">
        <f>Programacion!C10</f>
        <v>Polvorones</v>
      </c>
      <c r="D127" s="2" t="str">
        <f>Programacion!D10</f>
        <v>A08</v>
      </c>
      <c r="E127" s="2" t="str">
        <f>Formulas!C111</f>
        <v>PANACEA</v>
      </c>
      <c r="F127" s="4">
        <f>Formulas!D111</f>
        <v>2.7900000000000001E-2</v>
      </c>
      <c r="G127" s="5">
        <f>Programacion!H10</f>
        <v>1200</v>
      </c>
      <c r="H127" s="5">
        <f t="shared" si="1"/>
        <v>33.480000000000004</v>
      </c>
    </row>
    <row r="128" spans="1:8" ht="15" customHeight="1" x14ac:dyDescent="0.25">
      <c r="A128" s="2" t="str">
        <f>Programacion!A10</f>
        <v>Semana 2</v>
      </c>
      <c r="B128" s="2" t="str">
        <f>Programacion!B10</f>
        <v>Martes</v>
      </c>
      <c r="C128" s="2" t="str">
        <f>Programacion!C10</f>
        <v>Polvorones</v>
      </c>
      <c r="D128" s="2" t="str">
        <f>Programacion!D10</f>
        <v>A08</v>
      </c>
      <c r="E128" s="2" t="str">
        <f>Formulas!C112</f>
        <v>POLVO PARA HORNEAR</v>
      </c>
      <c r="F128" s="4">
        <f>Formulas!D112</f>
        <v>1.8599999999999998E-2</v>
      </c>
      <c r="G128" s="5">
        <f>Programacion!H10</f>
        <v>1200</v>
      </c>
      <c r="H128" s="5">
        <f t="shared" si="1"/>
        <v>22.319999999999997</v>
      </c>
    </row>
    <row r="129" spans="1:8" ht="15" customHeight="1" x14ac:dyDescent="0.25">
      <c r="A129" s="2" t="str">
        <f>Programacion!A10</f>
        <v>Semana 2</v>
      </c>
      <c r="B129" s="2" t="str">
        <f>Programacion!B10</f>
        <v>Martes</v>
      </c>
      <c r="C129" s="2" t="str">
        <f>Programacion!C10</f>
        <v>Polvorones</v>
      </c>
      <c r="D129" s="2" t="str">
        <f>Programacion!D10</f>
        <v>A08</v>
      </c>
      <c r="E129" s="2" t="str">
        <f>Formulas!C113</f>
        <v>LECITINA DE SOJA</v>
      </c>
      <c r="F129" s="4">
        <f>Formulas!D113</f>
        <v>9.2999999999999992E-3</v>
      </c>
      <c r="G129" s="5">
        <f>Programacion!H10</f>
        <v>1200</v>
      </c>
      <c r="H129" s="5">
        <f t="shared" si="1"/>
        <v>11.159999999999998</v>
      </c>
    </row>
    <row r="130" spans="1:8" ht="15" customHeight="1" x14ac:dyDescent="0.25">
      <c r="A130" s="2" t="str">
        <f>Programacion!A10</f>
        <v>Semana 2</v>
      </c>
      <c r="B130" s="2" t="str">
        <f>Programacion!B10</f>
        <v>Martes</v>
      </c>
      <c r="C130" s="2" t="str">
        <f>Programacion!C10</f>
        <v>Polvorones</v>
      </c>
      <c r="D130" s="2" t="str">
        <f>Programacion!D10</f>
        <v>A08</v>
      </c>
      <c r="E130" s="2" t="str">
        <f>Formulas!C114</f>
        <v>GOMA XÁNTICA</v>
      </c>
      <c r="F130" s="4">
        <f>Formulas!D114</f>
        <v>9.2999999999999992E-3</v>
      </c>
      <c r="G130" s="5">
        <f>Programacion!H10</f>
        <v>1200</v>
      </c>
      <c r="H130" s="5">
        <f t="shared" ref="H130:H193" si="2">F130*G130</f>
        <v>11.159999999999998</v>
      </c>
    </row>
    <row r="131" spans="1:8" ht="15" customHeight="1" x14ac:dyDescent="0.25">
      <c r="A131" s="2" t="str">
        <f>Programacion!A10</f>
        <v>Semana 2</v>
      </c>
      <c r="B131" s="2" t="str">
        <f>Programacion!B10</f>
        <v>Martes</v>
      </c>
      <c r="C131" s="2" t="str">
        <f>Programacion!C10</f>
        <v>Polvorones</v>
      </c>
      <c r="D131" s="2" t="str">
        <f>Programacion!D10</f>
        <v>A08</v>
      </c>
      <c r="E131" s="2" t="str">
        <f>Formulas!C115</f>
        <v>PROPIONATO DE CALCIO</v>
      </c>
      <c r="F131" s="4">
        <f>Formulas!D115</f>
        <v>9.2999999999999992E-3</v>
      </c>
      <c r="G131" s="5">
        <f>Programacion!H10</f>
        <v>1200</v>
      </c>
      <c r="H131" s="5">
        <f t="shared" si="2"/>
        <v>11.159999999999998</v>
      </c>
    </row>
    <row r="132" spans="1:8" ht="15" customHeight="1" x14ac:dyDescent="0.25">
      <c r="A132" s="2" t="str">
        <f>Programacion!A10</f>
        <v>Semana 2</v>
      </c>
      <c r="B132" s="2" t="str">
        <f>Programacion!B10</f>
        <v>Martes</v>
      </c>
      <c r="C132" s="2" t="str">
        <f>Programacion!C10</f>
        <v>Polvorones</v>
      </c>
      <c r="D132" s="2" t="str">
        <f>Programacion!D10</f>
        <v>A08</v>
      </c>
      <c r="E132" s="2" t="str">
        <f>Formulas!C116</f>
        <v>BICARBONATO DE AMONIO</v>
      </c>
      <c r="F132" s="4">
        <f>Formulas!D116</f>
        <v>9.2999999999999992E-3</v>
      </c>
      <c r="G132" s="5">
        <f>Programacion!H10</f>
        <v>1200</v>
      </c>
      <c r="H132" s="5">
        <f t="shared" si="2"/>
        <v>11.159999999999998</v>
      </c>
    </row>
    <row r="133" spans="1:8" ht="15" customHeight="1" x14ac:dyDescent="0.25">
      <c r="A133" s="2" t="str">
        <f>Programacion!A10</f>
        <v>Semana 2</v>
      </c>
      <c r="B133" s="2" t="str">
        <f>Programacion!B10</f>
        <v>Martes</v>
      </c>
      <c r="C133" s="2" t="str">
        <f>Programacion!C10</f>
        <v>Polvorones</v>
      </c>
      <c r="D133" s="2" t="str">
        <f>Programacion!D10</f>
        <v>A08</v>
      </c>
      <c r="E133" s="2" t="str">
        <f>Formulas!C117</f>
        <v>BICARBONATO DE SODIO</v>
      </c>
      <c r="F133" s="4">
        <f>Formulas!D117</f>
        <v>9.2999999999999992E-3</v>
      </c>
      <c r="G133" s="5">
        <f>Programacion!H10</f>
        <v>1200</v>
      </c>
      <c r="H133" s="5">
        <f t="shared" si="2"/>
        <v>11.159999999999998</v>
      </c>
    </row>
    <row r="134" spans="1:8" ht="15" customHeight="1" x14ac:dyDescent="0.25">
      <c r="A134" s="2" t="str">
        <f>Programacion!A10</f>
        <v>Semana 2</v>
      </c>
      <c r="B134" s="2" t="str">
        <f>Programacion!B10</f>
        <v>Martes</v>
      </c>
      <c r="C134" s="2" t="str">
        <f>Programacion!C10</f>
        <v>Polvorones</v>
      </c>
      <c r="D134" s="2" t="str">
        <f>Programacion!D10</f>
        <v>A08</v>
      </c>
      <c r="E134" s="2" t="str">
        <f>Formulas!C118</f>
        <v>SAL</v>
      </c>
      <c r="F134" s="4">
        <f>Formulas!D118</f>
        <v>4.6499999999999996E-3</v>
      </c>
      <c r="G134" s="5">
        <f>Programacion!H10</f>
        <v>1200</v>
      </c>
      <c r="H134" s="5">
        <f t="shared" si="2"/>
        <v>5.5799999999999992</v>
      </c>
    </row>
    <row r="135" spans="1:8" ht="15" customHeight="1" x14ac:dyDescent="0.25">
      <c r="A135" s="2" t="str">
        <f>Programacion!A10</f>
        <v>Semana 2</v>
      </c>
      <c r="B135" s="2" t="str">
        <f>Programacion!B10</f>
        <v>Martes</v>
      </c>
      <c r="C135" s="2" t="str">
        <f>Programacion!C10</f>
        <v>Polvorones</v>
      </c>
      <c r="D135" s="2" t="str">
        <f>Programacion!D10</f>
        <v>A08</v>
      </c>
      <c r="E135" s="2" t="str">
        <f>Formulas!C119</f>
        <v>ESENCIA DE VAINILLA / NARANJA / LIMÓN</v>
      </c>
      <c r="F135" s="4">
        <f>Formulas!D119</f>
        <v>4.6499999999999996E-3</v>
      </c>
      <c r="G135" s="5">
        <f>Programacion!H10</f>
        <v>1200</v>
      </c>
      <c r="H135" s="5">
        <f t="shared" si="2"/>
        <v>5.5799999999999992</v>
      </c>
    </row>
    <row r="136" spans="1:8" ht="15" customHeight="1" x14ac:dyDescent="0.25">
      <c r="A136" s="2" t="str">
        <f>Programacion!A10</f>
        <v>Semana 2</v>
      </c>
      <c r="B136" s="2" t="str">
        <f>Programacion!B10</f>
        <v>Martes</v>
      </c>
      <c r="C136" s="2" t="str">
        <f>Programacion!C10</f>
        <v>Polvorones</v>
      </c>
      <c r="D136" s="2" t="str">
        <f>Programacion!D10</f>
        <v>A08</v>
      </c>
      <c r="E136" s="2" t="str">
        <f>Formulas!C120</f>
        <v>AGUA</v>
      </c>
      <c r="F136" s="4">
        <f>Formulas!D120</f>
        <v>7.0000000000000007E-2</v>
      </c>
      <c r="G136" s="5">
        <f>Programacion!H10</f>
        <v>1200</v>
      </c>
      <c r="H136" s="5">
        <f t="shared" si="2"/>
        <v>84.000000000000014</v>
      </c>
    </row>
    <row r="137" spans="1:8" ht="15" customHeight="1" x14ac:dyDescent="0.25">
      <c r="A137" s="2" t="str">
        <f>Programacion!A11</f>
        <v>Semana 2</v>
      </c>
      <c r="B137" s="2" t="str">
        <f>Programacion!B11</f>
        <v>Martes</v>
      </c>
      <c r="C137" s="2" t="str">
        <f>Programacion!C11</f>
        <v>Polvorones free</v>
      </c>
      <c r="D137" s="2" t="str">
        <f>Programacion!D11</f>
        <v>A07</v>
      </c>
      <c r="E137" s="2" t="str">
        <f>Formulas!C91</f>
        <v>FÉCULA DE MAÍZ</v>
      </c>
      <c r="F137" s="4">
        <f>Formulas!D91</f>
        <v>0.22320000000000001</v>
      </c>
      <c r="G137" s="5">
        <f>Programacion!H11</f>
        <v>600</v>
      </c>
      <c r="H137" s="5">
        <f t="shared" si="2"/>
        <v>133.92000000000002</v>
      </c>
    </row>
    <row r="138" spans="1:8" ht="15" customHeight="1" x14ac:dyDescent="0.25">
      <c r="A138" s="2" t="str">
        <f>Programacion!A11</f>
        <v>Semana 2</v>
      </c>
      <c r="B138" s="2" t="str">
        <f>Programacion!B11</f>
        <v>Martes</v>
      </c>
      <c r="C138" s="2" t="str">
        <f>Programacion!C11</f>
        <v>Polvorones free</v>
      </c>
      <c r="D138" s="2" t="str">
        <f>Programacion!D11</f>
        <v>A07</v>
      </c>
      <c r="E138" s="2" t="str">
        <f>Formulas!C92</f>
        <v>HARINA DE ARROZ</v>
      </c>
      <c r="F138" s="4">
        <f>Formulas!D92</f>
        <v>0.2046</v>
      </c>
      <c r="G138" s="5">
        <f>Programacion!H11</f>
        <v>600</v>
      </c>
      <c r="H138" s="5">
        <f t="shared" si="2"/>
        <v>122.76</v>
      </c>
    </row>
    <row r="139" spans="1:8" ht="15" customHeight="1" x14ac:dyDescent="0.25">
      <c r="A139" s="2" t="str">
        <f>Programacion!A11</f>
        <v>Semana 2</v>
      </c>
      <c r="B139" s="2" t="str">
        <f>Programacion!B11</f>
        <v>Martes</v>
      </c>
      <c r="C139" s="2" t="str">
        <f>Programacion!C11</f>
        <v>Polvorones free</v>
      </c>
      <c r="D139" s="2" t="str">
        <f>Programacion!D11</f>
        <v>A07</v>
      </c>
      <c r="E139" s="2" t="str">
        <f>Formulas!C93</f>
        <v>PASTA DE PASAS DE UVA</v>
      </c>
      <c r="F139" s="4">
        <f>Formulas!D93</f>
        <v>0.14879999999999999</v>
      </c>
      <c r="G139" s="5">
        <f>Programacion!H11</f>
        <v>600</v>
      </c>
      <c r="H139" s="5">
        <f t="shared" si="2"/>
        <v>89.279999999999987</v>
      </c>
    </row>
    <row r="140" spans="1:8" ht="15" customHeight="1" x14ac:dyDescent="0.25">
      <c r="A140" s="2" t="str">
        <f>Programacion!A11</f>
        <v>Semana 2</v>
      </c>
      <c r="B140" s="2" t="str">
        <f>Programacion!B11</f>
        <v>Martes</v>
      </c>
      <c r="C140" s="2" t="str">
        <f>Programacion!C11</f>
        <v>Polvorones free</v>
      </c>
      <c r="D140" s="2" t="str">
        <f>Programacion!D11</f>
        <v>A07</v>
      </c>
      <c r="E140" s="2" t="str">
        <f>Formulas!C94</f>
        <v>ACEITE VEGETAL INTERESTERIFICADO</v>
      </c>
      <c r="F140" s="4">
        <f>Formulas!D94</f>
        <v>0.12089999999999999</v>
      </c>
      <c r="G140" s="5">
        <f>Programacion!H11</f>
        <v>600</v>
      </c>
      <c r="H140" s="5">
        <f t="shared" si="2"/>
        <v>72.539999999999992</v>
      </c>
    </row>
    <row r="141" spans="1:8" ht="15" customHeight="1" x14ac:dyDescent="0.25">
      <c r="A141" s="2" t="str">
        <f>Programacion!A11</f>
        <v>Semana 2</v>
      </c>
      <c r="B141" s="2" t="str">
        <f>Programacion!B11</f>
        <v>Martes</v>
      </c>
      <c r="C141" s="2" t="str">
        <f>Programacion!C11</f>
        <v>Polvorones free</v>
      </c>
      <c r="D141" s="2" t="str">
        <f>Programacion!D11</f>
        <v>A07</v>
      </c>
      <c r="E141" s="2" t="str">
        <f>Formulas!C95</f>
        <v>CACAO ALCALINO</v>
      </c>
      <c r="F141" s="4">
        <f>Formulas!D95</f>
        <v>5.5800000000000002E-2</v>
      </c>
      <c r="G141" s="5">
        <f>Programacion!H11</f>
        <v>600</v>
      </c>
      <c r="H141" s="5">
        <f t="shared" si="2"/>
        <v>33.480000000000004</v>
      </c>
    </row>
    <row r="142" spans="1:8" ht="15" customHeight="1" x14ac:dyDescent="0.25">
      <c r="A142" s="2" t="str">
        <f>Programacion!A11</f>
        <v>Semana 2</v>
      </c>
      <c r="B142" s="2" t="str">
        <f>Programacion!B11</f>
        <v>Martes</v>
      </c>
      <c r="C142" s="2" t="str">
        <f>Programacion!C11</f>
        <v>Polvorones free</v>
      </c>
      <c r="D142" s="2" t="str">
        <f>Programacion!D11</f>
        <v>A07</v>
      </c>
      <c r="E142" s="2" t="str">
        <f>Formulas!C96</f>
        <v>FIBRA DE BAMBÚ</v>
      </c>
      <c r="F142" s="4">
        <f>Formulas!D96</f>
        <v>5.5800000000000002E-2</v>
      </c>
      <c r="G142" s="5">
        <f>Programacion!H11</f>
        <v>600</v>
      </c>
      <c r="H142" s="5">
        <f t="shared" si="2"/>
        <v>33.480000000000004</v>
      </c>
    </row>
    <row r="143" spans="1:8" ht="15" customHeight="1" x14ac:dyDescent="0.25">
      <c r="A143" s="2" t="str">
        <f>Programacion!A11</f>
        <v>Semana 2</v>
      </c>
      <c r="B143" s="2" t="str">
        <f>Programacion!B11</f>
        <v>Martes</v>
      </c>
      <c r="C143" s="2" t="str">
        <f>Programacion!C11</f>
        <v>Polvorones free</v>
      </c>
      <c r="D143" s="2" t="str">
        <f>Programacion!D11</f>
        <v>A07</v>
      </c>
      <c r="E143" s="2" t="str">
        <f>Formulas!C97</f>
        <v>PANACEA</v>
      </c>
      <c r="F143" s="4">
        <f>Formulas!D97</f>
        <v>3.7199999999999997E-2</v>
      </c>
      <c r="G143" s="5">
        <f>Programacion!H11</f>
        <v>600</v>
      </c>
      <c r="H143" s="5">
        <f t="shared" si="2"/>
        <v>22.319999999999997</v>
      </c>
    </row>
    <row r="144" spans="1:8" ht="15" customHeight="1" x14ac:dyDescent="0.25">
      <c r="A144" s="2" t="str">
        <f>Programacion!A11</f>
        <v>Semana 2</v>
      </c>
      <c r="B144" s="2" t="str">
        <f>Programacion!B11</f>
        <v>Martes</v>
      </c>
      <c r="C144" s="2" t="str">
        <f>Programacion!C11</f>
        <v>Polvorones free</v>
      </c>
      <c r="D144" s="2" t="str">
        <f>Programacion!D11</f>
        <v>A07</v>
      </c>
      <c r="E144" s="2" t="str">
        <f>Formulas!C98</f>
        <v>EDULCORANTE</v>
      </c>
      <c r="F144" s="4">
        <f>Formulas!D98</f>
        <v>2.7900000000000001E-2</v>
      </c>
      <c r="G144" s="5">
        <f>Programacion!H11</f>
        <v>600</v>
      </c>
      <c r="H144" s="5">
        <f t="shared" si="2"/>
        <v>16.740000000000002</v>
      </c>
    </row>
    <row r="145" spans="1:8" ht="15" customHeight="1" x14ac:dyDescent="0.25">
      <c r="A145" s="2" t="str">
        <f>Programacion!A11</f>
        <v>Semana 2</v>
      </c>
      <c r="B145" s="2" t="str">
        <f>Programacion!B11</f>
        <v>Martes</v>
      </c>
      <c r="C145" s="2" t="str">
        <f>Programacion!C11</f>
        <v>Polvorones free</v>
      </c>
      <c r="D145" s="2" t="str">
        <f>Programacion!D11</f>
        <v>A07</v>
      </c>
      <c r="E145" s="2" t="str">
        <f>Formulas!C99</f>
        <v>POLVO PARA HORNEAR</v>
      </c>
      <c r="F145" s="4">
        <f>Formulas!D99</f>
        <v>1.8599999999999998E-2</v>
      </c>
      <c r="G145" s="5">
        <f>Programacion!H11</f>
        <v>600</v>
      </c>
      <c r="H145" s="5">
        <f t="shared" si="2"/>
        <v>11.159999999999998</v>
      </c>
    </row>
    <row r="146" spans="1:8" ht="15" customHeight="1" x14ac:dyDescent="0.25">
      <c r="A146" s="2" t="str">
        <f>Programacion!A11</f>
        <v>Semana 2</v>
      </c>
      <c r="B146" s="2" t="str">
        <f>Programacion!B11</f>
        <v>Martes</v>
      </c>
      <c r="C146" s="2" t="str">
        <f>Programacion!C11</f>
        <v>Polvorones free</v>
      </c>
      <c r="D146" s="2" t="str">
        <f>Programacion!D11</f>
        <v>A07</v>
      </c>
      <c r="E146" s="2" t="str">
        <f>Formulas!C100</f>
        <v>BICARBONATO DE AMONIO</v>
      </c>
      <c r="F146" s="4">
        <f>Formulas!D100</f>
        <v>1.3950000000000001E-2</v>
      </c>
      <c r="G146" s="5">
        <f>Programacion!H11</f>
        <v>600</v>
      </c>
      <c r="H146" s="5">
        <f t="shared" si="2"/>
        <v>8.370000000000001</v>
      </c>
    </row>
    <row r="147" spans="1:8" ht="15" customHeight="1" x14ac:dyDescent="0.25">
      <c r="A147" s="2" t="str">
        <f>Programacion!A11</f>
        <v>Semana 2</v>
      </c>
      <c r="B147" s="2" t="str">
        <f>Programacion!B11</f>
        <v>Martes</v>
      </c>
      <c r="C147" s="2" t="str">
        <f>Programacion!C11</f>
        <v>Polvorones free</v>
      </c>
      <c r="D147" s="2" t="str">
        <f>Programacion!D11</f>
        <v>A07</v>
      </c>
      <c r="E147" s="2" t="str">
        <f>Formulas!C101</f>
        <v>GOMA XÁNTICA</v>
      </c>
      <c r="F147" s="4">
        <f>Formulas!D101</f>
        <v>9.2999999999999992E-3</v>
      </c>
      <c r="G147" s="5">
        <f>Programacion!H11</f>
        <v>600</v>
      </c>
      <c r="H147" s="5">
        <f t="shared" si="2"/>
        <v>5.5799999999999992</v>
      </c>
    </row>
    <row r="148" spans="1:8" ht="15" customHeight="1" x14ac:dyDescent="0.25">
      <c r="A148" s="2" t="str">
        <f>Programacion!A11</f>
        <v>Semana 2</v>
      </c>
      <c r="B148" s="2" t="str">
        <f>Programacion!B11</f>
        <v>Martes</v>
      </c>
      <c r="C148" s="2" t="str">
        <f>Programacion!C11</f>
        <v>Polvorones free</v>
      </c>
      <c r="D148" s="2" t="str">
        <f>Programacion!D11</f>
        <v>A07</v>
      </c>
      <c r="E148" s="2" t="str">
        <f>Formulas!C102</f>
        <v>PROPIONATO DE CALCIO</v>
      </c>
      <c r="F148" s="4">
        <f>Formulas!D102</f>
        <v>9.2999999999999992E-3</v>
      </c>
      <c r="G148" s="5">
        <f>Programacion!H11</f>
        <v>600</v>
      </c>
      <c r="H148" s="5">
        <f t="shared" si="2"/>
        <v>5.5799999999999992</v>
      </c>
    </row>
    <row r="149" spans="1:8" ht="15" customHeight="1" x14ac:dyDescent="0.25">
      <c r="A149" s="2" t="str">
        <f>Programacion!A11</f>
        <v>Semana 2</v>
      </c>
      <c r="B149" s="2" t="str">
        <f>Programacion!B11</f>
        <v>Martes</v>
      </c>
      <c r="C149" s="2" t="str">
        <f>Programacion!C11</f>
        <v>Polvorones free</v>
      </c>
      <c r="D149" s="2" t="str">
        <f>Programacion!D11</f>
        <v>A07</v>
      </c>
      <c r="E149" s="2" t="str">
        <f>Formulas!C103</f>
        <v>ESENCIA DE CHOCOLATE</v>
      </c>
      <c r="F149" s="4">
        <f>Formulas!D103</f>
        <v>4.6499999999999996E-3</v>
      </c>
      <c r="G149" s="5">
        <f>Programacion!H11</f>
        <v>600</v>
      </c>
      <c r="H149" s="5">
        <f t="shared" si="2"/>
        <v>2.7899999999999996</v>
      </c>
    </row>
    <row r="150" spans="1:8" ht="15" customHeight="1" x14ac:dyDescent="0.25">
      <c r="A150" s="2" t="str">
        <f>Programacion!A11</f>
        <v>Semana 2</v>
      </c>
      <c r="B150" s="2" t="str">
        <f>Programacion!B11</f>
        <v>Martes</v>
      </c>
      <c r="C150" s="2" t="str">
        <f>Programacion!C11</f>
        <v>Polvorones free</v>
      </c>
      <c r="D150" s="2" t="str">
        <f>Programacion!D11</f>
        <v>A07</v>
      </c>
      <c r="E150" s="2" t="str">
        <f>Formulas!C104</f>
        <v>AGUA</v>
      </c>
      <c r="F150" s="4">
        <f>Formulas!D104</f>
        <v>7.0000000000000007E-2</v>
      </c>
      <c r="G150" s="5">
        <f>Programacion!H11</f>
        <v>600</v>
      </c>
      <c r="H150" s="5">
        <f t="shared" si="2"/>
        <v>42.000000000000007</v>
      </c>
    </row>
    <row r="151" spans="1:8" ht="15" customHeight="1" x14ac:dyDescent="0.25">
      <c r="A151" s="2" t="str">
        <f>Programacion!A12</f>
        <v>Semana 2</v>
      </c>
      <c r="B151" s="2" t="str">
        <f>Programacion!B12</f>
        <v>Miercoles</v>
      </c>
      <c r="C151" s="2" t="str">
        <f>Programacion!C12</f>
        <v>Polvorones free</v>
      </c>
      <c r="D151" s="2" t="str">
        <f>Programacion!D12</f>
        <v>A07</v>
      </c>
      <c r="E151" s="2" t="str">
        <f>Formulas!C91</f>
        <v>FÉCULA DE MAÍZ</v>
      </c>
      <c r="F151" s="4">
        <f>Formulas!D91</f>
        <v>0.22320000000000001</v>
      </c>
      <c r="G151" s="5">
        <f>Programacion!H12</f>
        <v>600</v>
      </c>
      <c r="H151" s="5">
        <f t="shared" si="2"/>
        <v>133.92000000000002</v>
      </c>
    </row>
    <row r="152" spans="1:8" ht="15" customHeight="1" x14ac:dyDescent="0.25">
      <c r="A152" s="2" t="str">
        <f>Programacion!A12</f>
        <v>Semana 2</v>
      </c>
      <c r="B152" s="2" t="str">
        <f>Programacion!B12</f>
        <v>Miercoles</v>
      </c>
      <c r="C152" s="2" t="str">
        <f>Programacion!C12</f>
        <v>Polvorones free</v>
      </c>
      <c r="D152" s="2" t="str">
        <f>Programacion!D12</f>
        <v>A07</v>
      </c>
      <c r="E152" s="2" t="str">
        <f>Formulas!C92</f>
        <v>HARINA DE ARROZ</v>
      </c>
      <c r="F152" s="4">
        <f>Formulas!D92</f>
        <v>0.2046</v>
      </c>
      <c r="G152" s="5">
        <f>Programacion!H12</f>
        <v>600</v>
      </c>
      <c r="H152" s="5">
        <f t="shared" si="2"/>
        <v>122.76</v>
      </c>
    </row>
    <row r="153" spans="1:8" ht="15" customHeight="1" x14ac:dyDescent="0.25">
      <c r="A153" s="2" t="str">
        <f>Programacion!A12</f>
        <v>Semana 2</v>
      </c>
      <c r="B153" s="2" t="str">
        <f>Programacion!B12</f>
        <v>Miercoles</v>
      </c>
      <c r="C153" s="2" t="str">
        <f>Programacion!C12</f>
        <v>Polvorones free</v>
      </c>
      <c r="D153" s="2" t="str">
        <f>Programacion!D12</f>
        <v>A07</v>
      </c>
      <c r="E153" s="2" t="str">
        <f>Formulas!C93</f>
        <v>PASTA DE PASAS DE UVA</v>
      </c>
      <c r="F153" s="4">
        <f>Formulas!D93</f>
        <v>0.14879999999999999</v>
      </c>
      <c r="G153" s="5">
        <f>Programacion!H12</f>
        <v>600</v>
      </c>
      <c r="H153" s="5">
        <f t="shared" si="2"/>
        <v>89.279999999999987</v>
      </c>
    </row>
    <row r="154" spans="1:8" ht="15" customHeight="1" x14ac:dyDescent="0.25">
      <c r="A154" s="2" t="str">
        <f>Programacion!A12</f>
        <v>Semana 2</v>
      </c>
      <c r="B154" s="2" t="str">
        <f>Programacion!B12</f>
        <v>Miercoles</v>
      </c>
      <c r="C154" s="2" t="str">
        <f>Programacion!C12</f>
        <v>Polvorones free</v>
      </c>
      <c r="D154" s="2" t="str">
        <f>Programacion!D12</f>
        <v>A07</v>
      </c>
      <c r="E154" s="2" t="str">
        <f>Formulas!C94</f>
        <v>ACEITE VEGETAL INTERESTERIFICADO</v>
      </c>
      <c r="F154" s="4">
        <f>Formulas!D94</f>
        <v>0.12089999999999999</v>
      </c>
      <c r="G154" s="5">
        <f>Programacion!H12</f>
        <v>600</v>
      </c>
      <c r="H154" s="5">
        <f t="shared" si="2"/>
        <v>72.539999999999992</v>
      </c>
    </row>
    <row r="155" spans="1:8" ht="15" customHeight="1" x14ac:dyDescent="0.25">
      <c r="A155" s="2" t="str">
        <f>Programacion!A12</f>
        <v>Semana 2</v>
      </c>
      <c r="B155" s="2" t="str">
        <f>Programacion!B12</f>
        <v>Miercoles</v>
      </c>
      <c r="C155" s="2" t="str">
        <f>Programacion!C12</f>
        <v>Polvorones free</v>
      </c>
      <c r="D155" s="2" t="str">
        <f>Programacion!D12</f>
        <v>A07</v>
      </c>
      <c r="E155" s="2" t="str">
        <f>Formulas!C95</f>
        <v>CACAO ALCALINO</v>
      </c>
      <c r="F155" s="4">
        <f>Formulas!D95</f>
        <v>5.5800000000000002E-2</v>
      </c>
      <c r="G155" s="5">
        <f>Programacion!H12</f>
        <v>600</v>
      </c>
      <c r="H155" s="5">
        <f t="shared" si="2"/>
        <v>33.480000000000004</v>
      </c>
    </row>
    <row r="156" spans="1:8" ht="15" customHeight="1" x14ac:dyDescent="0.25">
      <c r="A156" s="2" t="str">
        <f>Programacion!A12</f>
        <v>Semana 2</v>
      </c>
      <c r="B156" s="2" t="str">
        <f>Programacion!B12</f>
        <v>Miercoles</v>
      </c>
      <c r="C156" s="2" t="str">
        <f>Programacion!C12</f>
        <v>Polvorones free</v>
      </c>
      <c r="D156" s="2" t="str">
        <f>Programacion!D12</f>
        <v>A07</v>
      </c>
      <c r="E156" s="2" t="str">
        <f>Formulas!C96</f>
        <v>FIBRA DE BAMBÚ</v>
      </c>
      <c r="F156" s="4">
        <f>Formulas!D96</f>
        <v>5.5800000000000002E-2</v>
      </c>
      <c r="G156" s="5">
        <f>Programacion!H12</f>
        <v>600</v>
      </c>
      <c r="H156" s="5">
        <f t="shared" si="2"/>
        <v>33.480000000000004</v>
      </c>
    </row>
    <row r="157" spans="1:8" ht="15" customHeight="1" x14ac:dyDescent="0.25">
      <c r="A157" s="2" t="str">
        <f>Programacion!A12</f>
        <v>Semana 2</v>
      </c>
      <c r="B157" s="2" t="str">
        <f>Programacion!B12</f>
        <v>Miercoles</v>
      </c>
      <c r="C157" s="2" t="str">
        <f>Programacion!C12</f>
        <v>Polvorones free</v>
      </c>
      <c r="D157" s="2" t="str">
        <f>Programacion!D12</f>
        <v>A07</v>
      </c>
      <c r="E157" s="2" t="str">
        <f>Formulas!C97</f>
        <v>PANACEA</v>
      </c>
      <c r="F157" s="4">
        <f>Formulas!D97</f>
        <v>3.7199999999999997E-2</v>
      </c>
      <c r="G157" s="5">
        <f>Programacion!H12</f>
        <v>600</v>
      </c>
      <c r="H157" s="5">
        <f t="shared" si="2"/>
        <v>22.319999999999997</v>
      </c>
    </row>
    <row r="158" spans="1:8" ht="15" customHeight="1" x14ac:dyDescent="0.25">
      <c r="A158" s="2" t="str">
        <f>Programacion!A12</f>
        <v>Semana 2</v>
      </c>
      <c r="B158" s="2" t="str">
        <f>Programacion!B12</f>
        <v>Miercoles</v>
      </c>
      <c r="C158" s="2" t="str">
        <f>Programacion!C12</f>
        <v>Polvorones free</v>
      </c>
      <c r="D158" s="2" t="str">
        <f>Programacion!D12</f>
        <v>A07</v>
      </c>
      <c r="E158" s="2" t="str">
        <f>Formulas!C98</f>
        <v>EDULCORANTE</v>
      </c>
      <c r="F158" s="4">
        <f>Formulas!D98</f>
        <v>2.7900000000000001E-2</v>
      </c>
      <c r="G158" s="5">
        <f>Programacion!H12</f>
        <v>600</v>
      </c>
      <c r="H158" s="5">
        <f t="shared" si="2"/>
        <v>16.740000000000002</v>
      </c>
    </row>
    <row r="159" spans="1:8" ht="15" customHeight="1" x14ac:dyDescent="0.25">
      <c r="A159" s="2" t="str">
        <f>Programacion!A12</f>
        <v>Semana 2</v>
      </c>
      <c r="B159" s="2" t="str">
        <f>Programacion!B12</f>
        <v>Miercoles</v>
      </c>
      <c r="C159" s="2" t="str">
        <f>Programacion!C12</f>
        <v>Polvorones free</v>
      </c>
      <c r="D159" s="2" t="str">
        <f>Programacion!D12</f>
        <v>A07</v>
      </c>
      <c r="E159" s="2" t="str">
        <f>Formulas!C99</f>
        <v>POLVO PARA HORNEAR</v>
      </c>
      <c r="F159" s="4">
        <f>Formulas!D99</f>
        <v>1.8599999999999998E-2</v>
      </c>
      <c r="G159" s="5">
        <f>Programacion!H12</f>
        <v>600</v>
      </c>
      <c r="H159" s="5">
        <f t="shared" si="2"/>
        <v>11.159999999999998</v>
      </c>
    </row>
    <row r="160" spans="1:8" ht="15" customHeight="1" x14ac:dyDescent="0.25">
      <c r="A160" s="2" t="str">
        <f>Programacion!A12</f>
        <v>Semana 2</v>
      </c>
      <c r="B160" s="2" t="str">
        <f>Programacion!B12</f>
        <v>Miercoles</v>
      </c>
      <c r="C160" s="2" t="str">
        <f>Programacion!C12</f>
        <v>Polvorones free</v>
      </c>
      <c r="D160" s="2" t="str">
        <f>Programacion!D12</f>
        <v>A07</v>
      </c>
      <c r="E160" s="2" t="str">
        <f>Formulas!C100</f>
        <v>BICARBONATO DE AMONIO</v>
      </c>
      <c r="F160" s="4">
        <f>Formulas!D100</f>
        <v>1.3950000000000001E-2</v>
      </c>
      <c r="G160" s="5">
        <f>Programacion!H12</f>
        <v>600</v>
      </c>
      <c r="H160" s="5">
        <f t="shared" si="2"/>
        <v>8.370000000000001</v>
      </c>
    </row>
    <row r="161" spans="1:8" ht="15" customHeight="1" x14ac:dyDescent="0.25">
      <c r="A161" s="2" t="str">
        <f>Programacion!A12</f>
        <v>Semana 2</v>
      </c>
      <c r="B161" s="2" t="str">
        <f>Programacion!B12</f>
        <v>Miercoles</v>
      </c>
      <c r="C161" s="2" t="str">
        <f>Programacion!C12</f>
        <v>Polvorones free</v>
      </c>
      <c r="D161" s="2" t="str">
        <f>Programacion!D12</f>
        <v>A07</v>
      </c>
      <c r="E161" s="2" t="str">
        <f>Formulas!C101</f>
        <v>GOMA XÁNTICA</v>
      </c>
      <c r="F161" s="4">
        <f>Formulas!D101</f>
        <v>9.2999999999999992E-3</v>
      </c>
      <c r="G161" s="5">
        <f>Programacion!H12</f>
        <v>600</v>
      </c>
      <c r="H161" s="5">
        <f t="shared" si="2"/>
        <v>5.5799999999999992</v>
      </c>
    </row>
    <row r="162" spans="1:8" ht="15" customHeight="1" x14ac:dyDescent="0.25">
      <c r="A162" s="2" t="str">
        <f>Programacion!A12</f>
        <v>Semana 2</v>
      </c>
      <c r="B162" s="2" t="str">
        <f>Programacion!B12</f>
        <v>Miercoles</v>
      </c>
      <c r="C162" s="2" t="str">
        <f>Programacion!C12</f>
        <v>Polvorones free</v>
      </c>
      <c r="D162" s="2" t="str">
        <f>Programacion!D12</f>
        <v>A07</v>
      </c>
      <c r="E162" s="2" t="str">
        <f>Formulas!C102</f>
        <v>PROPIONATO DE CALCIO</v>
      </c>
      <c r="F162" s="4">
        <f>Formulas!D102</f>
        <v>9.2999999999999992E-3</v>
      </c>
      <c r="G162" s="5">
        <f>Programacion!H12</f>
        <v>600</v>
      </c>
      <c r="H162" s="5">
        <f t="shared" si="2"/>
        <v>5.5799999999999992</v>
      </c>
    </row>
    <row r="163" spans="1:8" ht="15" customHeight="1" x14ac:dyDescent="0.25">
      <c r="A163" s="2" t="str">
        <f>Programacion!A12</f>
        <v>Semana 2</v>
      </c>
      <c r="B163" s="2" t="str">
        <f>Programacion!B12</f>
        <v>Miercoles</v>
      </c>
      <c r="C163" s="2" t="str">
        <f>Programacion!C12</f>
        <v>Polvorones free</v>
      </c>
      <c r="D163" s="2" t="str">
        <f>Programacion!D12</f>
        <v>A07</v>
      </c>
      <c r="E163" s="2" t="str">
        <f>Formulas!C103</f>
        <v>ESENCIA DE CHOCOLATE</v>
      </c>
      <c r="F163" s="4">
        <f>Formulas!D103</f>
        <v>4.6499999999999996E-3</v>
      </c>
      <c r="G163" s="5">
        <f>Programacion!H12</f>
        <v>600</v>
      </c>
      <c r="H163" s="5">
        <f t="shared" si="2"/>
        <v>2.7899999999999996</v>
      </c>
    </row>
    <row r="164" spans="1:8" ht="15" customHeight="1" x14ac:dyDescent="0.25">
      <c r="A164" s="2" t="str">
        <f>Programacion!A12</f>
        <v>Semana 2</v>
      </c>
      <c r="B164" s="2" t="str">
        <f>Programacion!B12</f>
        <v>Miercoles</v>
      </c>
      <c r="C164" s="2" t="str">
        <f>Programacion!C12</f>
        <v>Polvorones free</v>
      </c>
      <c r="D164" s="2" t="str">
        <f>Programacion!D12</f>
        <v>A07</v>
      </c>
      <c r="E164" s="2" t="str">
        <f>Formulas!C104</f>
        <v>AGUA</v>
      </c>
      <c r="F164" s="4">
        <f>Formulas!D104</f>
        <v>7.0000000000000007E-2</v>
      </c>
      <c r="G164" s="5">
        <f>Programacion!H12</f>
        <v>600</v>
      </c>
      <c r="H164" s="5">
        <f t="shared" si="2"/>
        <v>42.000000000000007</v>
      </c>
    </row>
    <row r="165" spans="1:8" ht="15" customHeight="1" x14ac:dyDescent="0.25">
      <c r="A165" s="2" t="str">
        <f>Programacion!A13</f>
        <v>Semana 2</v>
      </c>
      <c r="B165" s="2" t="str">
        <f>Programacion!B13</f>
        <v>Miercoles</v>
      </c>
      <c r="C165" s="2" t="str">
        <f>Programacion!C13</f>
        <v>Galletitas con chip</v>
      </c>
      <c r="D165" s="2" t="str">
        <f>Programacion!D13</f>
        <v>A01</v>
      </c>
      <c r="E165" s="2" t="str">
        <f>Formulas!C2</f>
        <v>FÉCULA DE MAÍZ</v>
      </c>
      <c r="F165" s="4">
        <f>Formulas!D2</f>
        <v>0.24645</v>
      </c>
      <c r="G165" s="5">
        <f>Programacion!H13</f>
        <v>1200</v>
      </c>
      <c r="H165" s="5">
        <f t="shared" si="2"/>
        <v>295.74</v>
      </c>
    </row>
    <row r="166" spans="1:8" ht="15" customHeight="1" x14ac:dyDescent="0.25">
      <c r="A166" s="2" t="str">
        <f>Programacion!A13</f>
        <v>Semana 2</v>
      </c>
      <c r="B166" s="2" t="str">
        <f>Programacion!B13</f>
        <v>Miercoles</v>
      </c>
      <c r="C166" s="2" t="str">
        <f>Programacion!C13</f>
        <v>Galletitas con chip</v>
      </c>
      <c r="D166" s="2" t="str">
        <f>Programacion!D13</f>
        <v>A01</v>
      </c>
      <c r="E166" s="2" t="str">
        <f>Formulas!C3</f>
        <v>HARINA DE ARROZ</v>
      </c>
      <c r="F166" s="4">
        <f>Formulas!D3</f>
        <v>0.16739999999999999</v>
      </c>
      <c r="G166" s="5">
        <f>Programacion!H13</f>
        <v>1200</v>
      </c>
      <c r="H166" s="5">
        <f t="shared" si="2"/>
        <v>200.88</v>
      </c>
    </row>
    <row r="167" spans="1:8" ht="15" customHeight="1" x14ac:dyDescent="0.25">
      <c r="A167" s="2" t="str">
        <f>Programacion!A13</f>
        <v>Semana 2</v>
      </c>
      <c r="B167" s="2" t="str">
        <f>Programacion!B13</f>
        <v>Miercoles</v>
      </c>
      <c r="C167" s="2" t="str">
        <f>Programacion!C13</f>
        <v>Galletitas con chip</v>
      </c>
      <c r="D167" s="2" t="str">
        <f>Programacion!D13</f>
        <v>A01</v>
      </c>
      <c r="E167" s="2" t="str">
        <f>Formulas!C4</f>
        <v>ACEITE VEGETAL INTERESTERIFICADO</v>
      </c>
      <c r="F167" s="4">
        <f>Formulas!D4</f>
        <v>0.13950000000000001</v>
      </c>
      <c r="G167" s="5">
        <f>Programacion!H13</f>
        <v>1200</v>
      </c>
      <c r="H167" s="5">
        <f t="shared" si="2"/>
        <v>167.4</v>
      </c>
    </row>
    <row r="168" spans="1:8" ht="15" customHeight="1" x14ac:dyDescent="0.25">
      <c r="A168" s="2" t="str">
        <f>Programacion!A13</f>
        <v>Semana 2</v>
      </c>
      <c r="B168" s="2" t="str">
        <f>Programacion!B13</f>
        <v>Miercoles</v>
      </c>
      <c r="C168" s="2" t="str">
        <f>Programacion!C13</f>
        <v>Galletitas con chip</v>
      </c>
      <c r="D168" s="2" t="str">
        <f>Programacion!D13</f>
        <v>A01</v>
      </c>
      <c r="E168" s="2" t="str">
        <f>Formulas!C5</f>
        <v>AZÚCAR</v>
      </c>
      <c r="F168" s="4">
        <f>Formulas!D5</f>
        <v>0.13020000000000001</v>
      </c>
      <c r="G168" s="5">
        <f>Programacion!H13</f>
        <v>1200</v>
      </c>
      <c r="H168" s="5">
        <f t="shared" si="2"/>
        <v>156.24</v>
      </c>
    </row>
    <row r="169" spans="1:8" ht="15" customHeight="1" x14ac:dyDescent="0.25">
      <c r="A169" s="2" t="str">
        <f>Programacion!A13</f>
        <v>Semana 2</v>
      </c>
      <c r="B169" s="2" t="str">
        <f>Programacion!B13</f>
        <v>Miercoles</v>
      </c>
      <c r="C169" s="2" t="str">
        <f>Programacion!C13</f>
        <v>Galletitas con chip</v>
      </c>
      <c r="D169" s="2" t="str">
        <f>Programacion!D13</f>
        <v>A01</v>
      </c>
      <c r="E169" s="2" t="str">
        <f>Formulas!C6</f>
        <v>CHIPS DE CHOCOLATE</v>
      </c>
      <c r="F169" s="4">
        <f>Formulas!D6</f>
        <v>8.3699999999999997E-2</v>
      </c>
      <c r="G169" s="5">
        <f>Programacion!H13</f>
        <v>1200</v>
      </c>
      <c r="H169" s="5">
        <f t="shared" si="2"/>
        <v>100.44</v>
      </c>
    </row>
    <row r="170" spans="1:8" ht="15" customHeight="1" x14ac:dyDescent="0.25">
      <c r="A170" s="2" t="str">
        <f>Programacion!A13</f>
        <v>Semana 2</v>
      </c>
      <c r="B170" s="2" t="str">
        <f>Programacion!B13</f>
        <v>Miercoles</v>
      </c>
      <c r="C170" s="2" t="str">
        <f>Programacion!C13</f>
        <v>Galletitas con chip</v>
      </c>
      <c r="D170" s="2" t="str">
        <f>Programacion!D13</f>
        <v>A01</v>
      </c>
      <c r="E170" s="2" t="str">
        <f>Formulas!C7</f>
        <v>JARABE DE GLUCOSA</v>
      </c>
      <c r="F170" s="4">
        <f>Formulas!D7</f>
        <v>5.5800000000000002E-2</v>
      </c>
      <c r="G170" s="5">
        <f>Programacion!H13</f>
        <v>1200</v>
      </c>
      <c r="H170" s="5">
        <f t="shared" si="2"/>
        <v>66.960000000000008</v>
      </c>
    </row>
    <row r="171" spans="1:8" ht="15" customHeight="1" x14ac:dyDescent="0.25">
      <c r="A171" s="2" t="str">
        <f>Programacion!A13</f>
        <v>Semana 2</v>
      </c>
      <c r="B171" s="2" t="str">
        <f>Programacion!B13</f>
        <v>Miercoles</v>
      </c>
      <c r="C171" s="2" t="str">
        <f>Programacion!C13</f>
        <v>Galletitas con chip</v>
      </c>
      <c r="D171" s="2" t="str">
        <f>Programacion!D13</f>
        <v>A01</v>
      </c>
      <c r="E171" s="2" t="str">
        <f>Formulas!C8</f>
        <v>CACAO ALCALINO</v>
      </c>
      <c r="F171" s="4">
        <f>Formulas!D8</f>
        <v>3.7199999999999997E-2</v>
      </c>
      <c r="G171" s="5">
        <f>Programacion!H13</f>
        <v>1200</v>
      </c>
      <c r="H171" s="5">
        <f t="shared" si="2"/>
        <v>44.639999999999993</v>
      </c>
    </row>
    <row r="172" spans="1:8" ht="15" customHeight="1" x14ac:dyDescent="0.25">
      <c r="A172" s="2" t="str">
        <f>Programacion!A13</f>
        <v>Semana 2</v>
      </c>
      <c r="B172" s="2" t="str">
        <f>Programacion!B13</f>
        <v>Miercoles</v>
      </c>
      <c r="C172" s="2" t="str">
        <f>Programacion!C13</f>
        <v>Galletitas con chip</v>
      </c>
      <c r="D172" s="2" t="str">
        <f>Programacion!D13</f>
        <v>A01</v>
      </c>
      <c r="E172" s="2" t="str">
        <f>Formulas!C9</f>
        <v>HUEVO EN POLVO DESHIDRATADO</v>
      </c>
      <c r="F172" s="4">
        <f>Formulas!D9</f>
        <v>1.8599999999999998E-2</v>
      </c>
      <c r="G172" s="5">
        <f>Programacion!H13</f>
        <v>1200</v>
      </c>
      <c r="H172" s="5">
        <f t="shared" si="2"/>
        <v>22.319999999999997</v>
      </c>
    </row>
    <row r="173" spans="1:8" ht="15" customHeight="1" x14ac:dyDescent="0.25">
      <c r="A173" s="2" t="str">
        <f>Programacion!A13</f>
        <v>Semana 2</v>
      </c>
      <c r="B173" s="2" t="str">
        <f>Programacion!B13</f>
        <v>Miercoles</v>
      </c>
      <c r="C173" s="2" t="str">
        <f>Programacion!C13</f>
        <v>Galletitas con chip</v>
      </c>
      <c r="D173" s="2" t="str">
        <f>Programacion!D13</f>
        <v>A01</v>
      </c>
      <c r="E173" s="2" t="str">
        <f>Formulas!C10</f>
        <v>MIEL</v>
      </c>
      <c r="F173" s="4">
        <f>Formulas!D10</f>
        <v>1.8599999999999998E-2</v>
      </c>
      <c r="G173" s="5">
        <f>Programacion!H13</f>
        <v>1200</v>
      </c>
      <c r="H173" s="5">
        <f t="shared" si="2"/>
        <v>22.319999999999997</v>
      </c>
    </row>
    <row r="174" spans="1:8" ht="15" customHeight="1" x14ac:dyDescent="0.25">
      <c r="A174" s="2" t="str">
        <f>Programacion!A13</f>
        <v>Semana 2</v>
      </c>
      <c r="B174" s="2" t="str">
        <f>Programacion!B13</f>
        <v>Miercoles</v>
      </c>
      <c r="C174" s="2" t="str">
        <f>Programacion!C13</f>
        <v>Galletitas con chip</v>
      </c>
      <c r="D174" s="2" t="str">
        <f>Programacion!D13</f>
        <v>A01</v>
      </c>
      <c r="E174" s="2" t="str">
        <f>Formulas!C11</f>
        <v>GOMA XÁNTICA</v>
      </c>
      <c r="F174" s="4">
        <f>Formulas!D11</f>
        <v>7.4400000000000004E-3</v>
      </c>
      <c r="G174" s="5">
        <f>Programacion!H13</f>
        <v>1200</v>
      </c>
      <c r="H174" s="5">
        <f t="shared" si="2"/>
        <v>8.9280000000000008</v>
      </c>
    </row>
    <row r="175" spans="1:8" ht="15" customHeight="1" x14ac:dyDescent="0.25">
      <c r="A175" s="2" t="str">
        <f>Programacion!A13</f>
        <v>Semana 2</v>
      </c>
      <c r="B175" s="2" t="str">
        <f>Programacion!B13</f>
        <v>Miercoles</v>
      </c>
      <c r="C175" s="2" t="str">
        <f>Programacion!C13</f>
        <v>Galletitas con chip</v>
      </c>
      <c r="D175" s="2" t="str">
        <f>Programacion!D13</f>
        <v>A01</v>
      </c>
      <c r="E175" s="2" t="str">
        <f>Formulas!C12</f>
        <v>SAL</v>
      </c>
      <c r="F175" s="4">
        <f>Formulas!D12</f>
        <v>4.6499999999999996E-3</v>
      </c>
      <c r="G175" s="5">
        <f>Programacion!H13</f>
        <v>1200</v>
      </c>
      <c r="H175" s="5">
        <f t="shared" si="2"/>
        <v>5.5799999999999992</v>
      </c>
    </row>
    <row r="176" spans="1:8" ht="15" customHeight="1" x14ac:dyDescent="0.25">
      <c r="A176" s="2" t="str">
        <f>Programacion!A13</f>
        <v>Semana 2</v>
      </c>
      <c r="B176" s="2" t="str">
        <f>Programacion!B13</f>
        <v>Miercoles</v>
      </c>
      <c r="C176" s="2" t="str">
        <f>Programacion!C13</f>
        <v>Galletitas con chip</v>
      </c>
      <c r="D176" s="2" t="str">
        <f>Programacion!D13</f>
        <v>A01</v>
      </c>
      <c r="E176" s="2" t="str">
        <f>Formulas!C13</f>
        <v>BICARBONATO DE AMONIO</v>
      </c>
      <c r="F176" s="4">
        <f>Formulas!D13</f>
        <v>4.6499999999999996E-3</v>
      </c>
      <c r="G176" s="5">
        <f>Programacion!H13</f>
        <v>1200</v>
      </c>
      <c r="H176" s="5">
        <f t="shared" si="2"/>
        <v>5.5799999999999992</v>
      </c>
    </row>
    <row r="177" spans="1:8" ht="15" customHeight="1" x14ac:dyDescent="0.25">
      <c r="A177" s="2" t="str">
        <f>Programacion!A13</f>
        <v>Semana 2</v>
      </c>
      <c r="B177" s="2" t="str">
        <f>Programacion!B13</f>
        <v>Miercoles</v>
      </c>
      <c r="C177" s="2" t="str">
        <f>Programacion!C13</f>
        <v>Galletitas con chip</v>
      </c>
      <c r="D177" s="2" t="str">
        <f>Programacion!D13</f>
        <v>A01</v>
      </c>
      <c r="E177" s="2" t="str">
        <f>Formulas!C14</f>
        <v>BICARBONATO DE SODIO</v>
      </c>
      <c r="F177" s="4">
        <f>Formulas!D14</f>
        <v>4.6499999999999996E-3</v>
      </c>
      <c r="G177" s="5">
        <f>Programacion!H13</f>
        <v>1200</v>
      </c>
      <c r="H177" s="5">
        <f t="shared" si="2"/>
        <v>5.5799999999999992</v>
      </c>
    </row>
    <row r="178" spans="1:8" ht="15" customHeight="1" x14ac:dyDescent="0.25">
      <c r="A178" s="2" t="str">
        <f>Programacion!A13</f>
        <v>Semana 2</v>
      </c>
      <c r="B178" s="2" t="str">
        <f>Programacion!B13</f>
        <v>Miercoles</v>
      </c>
      <c r="C178" s="2" t="str">
        <f>Programacion!C13</f>
        <v>Galletitas con chip</v>
      </c>
      <c r="D178" s="2" t="str">
        <f>Programacion!D13</f>
        <v>A01</v>
      </c>
      <c r="E178" s="2" t="str">
        <f>Formulas!C15</f>
        <v>ESENCIA DE VAINILLA</v>
      </c>
      <c r="F178" s="4">
        <f>Formulas!D15</f>
        <v>3.7200000000000002E-3</v>
      </c>
      <c r="G178" s="5">
        <f>Programacion!H13</f>
        <v>1200</v>
      </c>
      <c r="H178" s="5">
        <f t="shared" si="2"/>
        <v>4.4640000000000004</v>
      </c>
    </row>
    <row r="179" spans="1:8" ht="15" customHeight="1" x14ac:dyDescent="0.25">
      <c r="A179" s="2" t="str">
        <f>Programacion!A13</f>
        <v>Semana 2</v>
      </c>
      <c r="B179" s="2" t="str">
        <f>Programacion!B13</f>
        <v>Miercoles</v>
      </c>
      <c r="C179" s="2" t="str">
        <f>Programacion!C13</f>
        <v>Galletitas con chip</v>
      </c>
      <c r="D179" s="2" t="str">
        <f>Programacion!D13</f>
        <v>A01</v>
      </c>
      <c r="E179" s="2" t="str">
        <f>Formulas!C16</f>
        <v>ESENCIA DE CHOCOLATE</v>
      </c>
      <c r="F179" s="4">
        <f>Formulas!D16</f>
        <v>2.7899999999999999E-3</v>
      </c>
      <c r="G179" s="5">
        <f>Programacion!H13</f>
        <v>1200</v>
      </c>
      <c r="H179" s="5">
        <f t="shared" si="2"/>
        <v>3.3479999999999999</v>
      </c>
    </row>
    <row r="180" spans="1:8" ht="15" customHeight="1" x14ac:dyDescent="0.25">
      <c r="A180" s="2" t="str">
        <f>Programacion!A13</f>
        <v>Semana 2</v>
      </c>
      <c r="B180" s="2" t="str">
        <f>Programacion!B13</f>
        <v>Miercoles</v>
      </c>
      <c r="C180" s="2" t="str">
        <f>Programacion!C13</f>
        <v>Galletitas con chip</v>
      </c>
      <c r="D180" s="2" t="str">
        <f>Programacion!D13</f>
        <v>A01</v>
      </c>
      <c r="E180" s="2" t="str">
        <f>Formulas!C17</f>
        <v>BICARBONATO DE CALCIO</v>
      </c>
      <c r="F180" s="4">
        <f>Formulas!D17</f>
        <v>2.7899999999999999E-3</v>
      </c>
      <c r="G180" s="5">
        <f>Programacion!H13</f>
        <v>1200</v>
      </c>
      <c r="H180" s="5">
        <f t="shared" si="2"/>
        <v>3.3479999999999999</v>
      </c>
    </row>
    <row r="181" spans="1:8" ht="15" customHeight="1" x14ac:dyDescent="0.25">
      <c r="A181" s="2" t="str">
        <f>Programacion!A13</f>
        <v>Semana 2</v>
      </c>
      <c r="B181" s="2" t="str">
        <f>Programacion!B13</f>
        <v>Miercoles</v>
      </c>
      <c r="C181" s="2" t="str">
        <f>Programacion!C13</f>
        <v>Galletitas con chip</v>
      </c>
      <c r="D181" s="2" t="str">
        <f>Programacion!D13</f>
        <v>A01</v>
      </c>
      <c r="E181" s="2" t="str">
        <f>Formulas!C18</f>
        <v>JALAPEÑO DESHIDRATADO EN POLVO</v>
      </c>
      <c r="F181" s="4">
        <f>Formulas!D18</f>
        <v>1.8600000000000001E-3</v>
      </c>
      <c r="G181" s="5">
        <f>Programacion!H13</f>
        <v>1200</v>
      </c>
      <c r="H181" s="5">
        <f t="shared" si="2"/>
        <v>2.2320000000000002</v>
      </c>
    </row>
    <row r="182" spans="1:8" ht="15" customHeight="1" x14ac:dyDescent="0.25">
      <c r="A182" s="2" t="str">
        <f>Programacion!A13</f>
        <v>Semana 2</v>
      </c>
      <c r="B182" s="2" t="str">
        <f>Programacion!B13</f>
        <v>Miercoles</v>
      </c>
      <c r="C182" s="2" t="str">
        <f>Programacion!C13</f>
        <v>Galletitas con chip</v>
      </c>
      <c r="D182" s="2" t="str">
        <f>Programacion!D13</f>
        <v>A01</v>
      </c>
      <c r="E182" s="2" t="str">
        <f>Formulas!C19</f>
        <v>AGUA</v>
      </c>
      <c r="F182" s="4">
        <f>Formulas!D19</f>
        <v>7.0000000000000007E-2</v>
      </c>
      <c r="G182" s="5">
        <f>Programacion!H13</f>
        <v>1200</v>
      </c>
      <c r="H182" s="5">
        <f t="shared" si="2"/>
        <v>84.000000000000014</v>
      </c>
    </row>
    <row r="183" spans="1:8" ht="15" customHeight="1" x14ac:dyDescent="0.25">
      <c r="A183" s="2" t="str">
        <f>Programacion!A14</f>
        <v>Semana 2</v>
      </c>
      <c r="B183" s="2" t="str">
        <f>Programacion!B14</f>
        <v>Jueves</v>
      </c>
      <c r="C183" s="2" t="str">
        <f>Programacion!C14</f>
        <v>Galletitas con chip</v>
      </c>
      <c r="D183" s="2" t="str">
        <f>Programacion!D14</f>
        <v>A01</v>
      </c>
      <c r="E183" s="2" t="str">
        <f>Formulas!C2</f>
        <v>FÉCULA DE MAÍZ</v>
      </c>
      <c r="F183" s="4">
        <f>Formulas!D2</f>
        <v>0.24645</v>
      </c>
      <c r="G183" s="5">
        <f>Programacion!H14</f>
        <v>1800</v>
      </c>
      <c r="H183" s="5">
        <f t="shared" si="2"/>
        <v>443.61</v>
      </c>
    </row>
    <row r="184" spans="1:8" ht="15" customHeight="1" x14ac:dyDescent="0.25">
      <c r="A184" s="2" t="str">
        <f>Programacion!A14</f>
        <v>Semana 2</v>
      </c>
      <c r="B184" s="2" t="str">
        <f>Programacion!B14</f>
        <v>Jueves</v>
      </c>
      <c r="C184" s="2" t="str">
        <f>Programacion!C14</f>
        <v>Galletitas con chip</v>
      </c>
      <c r="D184" s="2" t="str">
        <f>Programacion!D14</f>
        <v>A01</v>
      </c>
      <c r="E184" s="2" t="str">
        <f>Formulas!C3</f>
        <v>HARINA DE ARROZ</v>
      </c>
      <c r="F184" s="4">
        <f>Formulas!D3</f>
        <v>0.16739999999999999</v>
      </c>
      <c r="G184" s="5">
        <f>Programacion!H14</f>
        <v>1800</v>
      </c>
      <c r="H184" s="5">
        <f t="shared" si="2"/>
        <v>301.32</v>
      </c>
    </row>
    <row r="185" spans="1:8" ht="15" customHeight="1" x14ac:dyDescent="0.25">
      <c r="A185" s="2" t="str">
        <f>Programacion!A14</f>
        <v>Semana 2</v>
      </c>
      <c r="B185" s="2" t="str">
        <f>Programacion!B14</f>
        <v>Jueves</v>
      </c>
      <c r="C185" s="2" t="str">
        <f>Programacion!C14</f>
        <v>Galletitas con chip</v>
      </c>
      <c r="D185" s="2" t="str">
        <f>Programacion!D14</f>
        <v>A01</v>
      </c>
      <c r="E185" s="2" t="str">
        <f>Formulas!C4</f>
        <v>ACEITE VEGETAL INTERESTERIFICADO</v>
      </c>
      <c r="F185" s="4">
        <f>Formulas!D4</f>
        <v>0.13950000000000001</v>
      </c>
      <c r="G185" s="5">
        <f>Programacion!H14</f>
        <v>1800</v>
      </c>
      <c r="H185" s="5">
        <f t="shared" si="2"/>
        <v>251.10000000000002</v>
      </c>
    </row>
    <row r="186" spans="1:8" ht="15" customHeight="1" x14ac:dyDescent="0.25">
      <c r="A186" s="2" t="str">
        <f>Programacion!A14</f>
        <v>Semana 2</v>
      </c>
      <c r="B186" s="2" t="str">
        <f>Programacion!B14</f>
        <v>Jueves</v>
      </c>
      <c r="C186" s="2" t="str">
        <f>Programacion!C14</f>
        <v>Galletitas con chip</v>
      </c>
      <c r="D186" s="2" t="str">
        <f>Programacion!D14</f>
        <v>A01</v>
      </c>
      <c r="E186" s="2" t="str">
        <f>Formulas!C5</f>
        <v>AZÚCAR</v>
      </c>
      <c r="F186" s="4">
        <f>Formulas!D5</f>
        <v>0.13020000000000001</v>
      </c>
      <c r="G186" s="5">
        <f>Programacion!H14</f>
        <v>1800</v>
      </c>
      <c r="H186" s="5">
        <f t="shared" si="2"/>
        <v>234.36</v>
      </c>
    </row>
    <row r="187" spans="1:8" ht="15" customHeight="1" x14ac:dyDescent="0.25">
      <c r="A187" s="2" t="str">
        <f>Programacion!A14</f>
        <v>Semana 2</v>
      </c>
      <c r="B187" s="2" t="str">
        <f>Programacion!B14</f>
        <v>Jueves</v>
      </c>
      <c r="C187" s="2" t="str">
        <f>Programacion!C14</f>
        <v>Galletitas con chip</v>
      </c>
      <c r="D187" s="2" t="str">
        <f>Programacion!D14</f>
        <v>A01</v>
      </c>
      <c r="E187" s="2" t="str">
        <f>Formulas!C6</f>
        <v>CHIPS DE CHOCOLATE</v>
      </c>
      <c r="F187" s="4">
        <f>Formulas!D6</f>
        <v>8.3699999999999997E-2</v>
      </c>
      <c r="G187" s="5">
        <f>Programacion!H14</f>
        <v>1800</v>
      </c>
      <c r="H187" s="5">
        <f t="shared" si="2"/>
        <v>150.66</v>
      </c>
    </row>
    <row r="188" spans="1:8" ht="15" customHeight="1" x14ac:dyDescent="0.25">
      <c r="A188" s="2" t="str">
        <f>Programacion!A14</f>
        <v>Semana 2</v>
      </c>
      <c r="B188" s="2" t="str">
        <f>Programacion!B14</f>
        <v>Jueves</v>
      </c>
      <c r="C188" s="2" t="str">
        <f>Programacion!C14</f>
        <v>Galletitas con chip</v>
      </c>
      <c r="D188" s="2" t="str">
        <f>Programacion!D14</f>
        <v>A01</v>
      </c>
      <c r="E188" s="2" t="str">
        <f>Formulas!C7</f>
        <v>JARABE DE GLUCOSA</v>
      </c>
      <c r="F188" s="4">
        <f>Formulas!D7</f>
        <v>5.5800000000000002E-2</v>
      </c>
      <c r="G188" s="5">
        <f>Programacion!H14</f>
        <v>1800</v>
      </c>
      <c r="H188" s="5">
        <f t="shared" si="2"/>
        <v>100.44</v>
      </c>
    </row>
    <row r="189" spans="1:8" ht="15" customHeight="1" x14ac:dyDescent="0.25">
      <c r="A189" s="2" t="str">
        <f>Programacion!A14</f>
        <v>Semana 2</v>
      </c>
      <c r="B189" s="2" t="str">
        <f>Programacion!B14</f>
        <v>Jueves</v>
      </c>
      <c r="C189" s="2" t="str">
        <f>Programacion!C14</f>
        <v>Galletitas con chip</v>
      </c>
      <c r="D189" s="2" t="str">
        <f>Programacion!D14</f>
        <v>A01</v>
      </c>
      <c r="E189" s="2" t="str">
        <f>Formulas!C8</f>
        <v>CACAO ALCALINO</v>
      </c>
      <c r="F189" s="4">
        <f>Formulas!D8</f>
        <v>3.7199999999999997E-2</v>
      </c>
      <c r="G189" s="5">
        <f>Programacion!H14</f>
        <v>1800</v>
      </c>
      <c r="H189" s="5">
        <f t="shared" si="2"/>
        <v>66.959999999999994</v>
      </c>
    </row>
    <row r="190" spans="1:8" ht="15" customHeight="1" x14ac:dyDescent="0.25">
      <c r="A190" s="2" t="str">
        <f>Programacion!A14</f>
        <v>Semana 2</v>
      </c>
      <c r="B190" s="2" t="str">
        <f>Programacion!B14</f>
        <v>Jueves</v>
      </c>
      <c r="C190" s="2" t="str">
        <f>Programacion!C14</f>
        <v>Galletitas con chip</v>
      </c>
      <c r="D190" s="2" t="str">
        <f>Programacion!D14</f>
        <v>A01</v>
      </c>
      <c r="E190" s="2" t="str">
        <f>Formulas!C9</f>
        <v>HUEVO EN POLVO DESHIDRATADO</v>
      </c>
      <c r="F190" s="4">
        <f>Formulas!D9</f>
        <v>1.8599999999999998E-2</v>
      </c>
      <c r="G190" s="5">
        <f>Programacion!H14</f>
        <v>1800</v>
      </c>
      <c r="H190" s="5">
        <f t="shared" si="2"/>
        <v>33.479999999999997</v>
      </c>
    </row>
    <row r="191" spans="1:8" ht="15" customHeight="1" x14ac:dyDescent="0.25">
      <c r="A191" s="2" t="str">
        <f>Programacion!A14</f>
        <v>Semana 2</v>
      </c>
      <c r="B191" s="2" t="str">
        <f>Programacion!B14</f>
        <v>Jueves</v>
      </c>
      <c r="C191" s="2" t="str">
        <f>Programacion!C14</f>
        <v>Galletitas con chip</v>
      </c>
      <c r="D191" s="2" t="str">
        <f>Programacion!D14</f>
        <v>A01</v>
      </c>
      <c r="E191" s="2" t="str">
        <f>Formulas!C10</f>
        <v>MIEL</v>
      </c>
      <c r="F191" s="4">
        <f>Formulas!D10</f>
        <v>1.8599999999999998E-2</v>
      </c>
      <c r="G191" s="5">
        <f>Programacion!H14</f>
        <v>1800</v>
      </c>
      <c r="H191" s="5">
        <f t="shared" si="2"/>
        <v>33.479999999999997</v>
      </c>
    </row>
    <row r="192" spans="1:8" ht="15" customHeight="1" x14ac:dyDescent="0.25">
      <c r="A192" s="2" t="str">
        <f>Programacion!A14</f>
        <v>Semana 2</v>
      </c>
      <c r="B192" s="2" t="str">
        <f>Programacion!B14</f>
        <v>Jueves</v>
      </c>
      <c r="C192" s="2" t="str">
        <f>Programacion!C14</f>
        <v>Galletitas con chip</v>
      </c>
      <c r="D192" s="2" t="str">
        <f>Programacion!D14</f>
        <v>A01</v>
      </c>
      <c r="E192" s="2" t="str">
        <f>Formulas!C11</f>
        <v>GOMA XÁNTICA</v>
      </c>
      <c r="F192" s="4">
        <f>Formulas!D11</f>
        <v>7.4400000000000004E-3</v>
      </c>
      <c r="G192" s="5">
        <f>Programacion!H14</f>
        <v>1800</v>
      </c>
      <c r="H192" s="5">
        <f t="shared" si="2"/>
        <v>13.392000000000001</v>
      </c>
    </row>
    <row r="193" spans="1:8" ht="15" customHeight="1" x14ac:dyDescent="0.25">
      <c r="A193" s="2" t="str">
        <f>Programacion!A14</f>
        <v>Semana 2</v>
      </c>
      <c r="B193" s="2" t="str">
        <f>Programacion!B14</f>
        <v>Jueves</v>
      </c>
      <c r="C193" s="2" t="str">
        <f>Programacion!C14</f>
        <v>Galletitas con chip</v>
      </c>
      <c r="D193" s="2" t="str">
        <f>Programacion!D14</f>
        <v>A01</v>
      </c>
      <c r="E193" s="2" t="str">
        <f>Formulas!C12</f>
        <v>SAL</v>
      </c>
      <c r="F193" s="4">
        <f>Formulas!D12</f>
        <v>4.6499999999999996E-3</v>
      </c>
      <c r="G193" s="5">
        <f>Programacion!H14</f>
        <v>1800</v>
      </c>
      <c r="H193" s="5">
        <f t="shared" si="2"/>
        <v>8.3699999999999992</v>
      </c>
    </row>
    <row r="194" spans="1:8" ht="15" customHeight="1" x14ac:dyDescent="0.25">
      <c r="A194" s="2" t="str">
        <f>Programacion!A14</f>
        <v>Semana 2</v>
      </c>
      <c r="B194" s="2" t="str">
        <f>Programacion!B14</f>
        <v>Jueves</v>
      </c>
      <c r="C194" s="2" t="str">
        <f>Programacion!C14</f>
        <v>Galletitas con chip</v>
      </c>
      <c r="D194" s="2" t="str">
        <f>Programacion!D14</f>
        <v>A01</v>
      </c>
      <c r="E194" s="2" t="str">
        <f>Formulas!C13</f>
        <v>BICARBONATO DE AMONIO</v>
      </c>
      <c r="F194" s="4">
        <f>Formulas!D13</f>
        <v>4.6499999999999996E-3</v>
      </c>
      <c r="G194" s="5">
        <f>Programacion!H14</f>
        <v>1800</v>
      </c>
      <c r="H194" s="5">
        <f t="shared" ref="H194:H257" si="3">F194*G194</f>
        <v>8.3699999999999992</v>
      </c>
    </row>
    <row r="195" spans="1:8" ht="15" customHeight="1" x14ac:dyDescent="0.25">
      <c r="A195" s="2" t="str">
        <f>Programacion!A14</f>
        <v>Semana 2</v>
      </c>
      <c r="B195" s="2" t="str">
        <f>Programacion!B14</f>
        <v>Jueves</v>
      </c>
      <c r="C195" s="2" t="str">
        <f>Programacion!C14</f>
        <v>Galletitas con chip</v>
      </c>
      <c r="D195" s="2" t="str">
        <f>Programacion!D14</f>
        <v>A01</v>
      </c>
      <c r="E195" s="2" t="str">
        <f>Formulas!C14</f>
        <v>BICARBONATO DE SODIO</v>
      </c>
      <c r="F195" s="4">
        <f>Formulas!D14</f>
        <v>4.6499999999999996E-3</v>
      </c>
      <c r="G195" s="5">
        <f>Programacion!H14</f>
        <v>1800</v>
      </c>
      <c r="H195" s="5">
        <f t="shared" si="3"/>
        <v>8.3699999999999992</v>
      </c>
    </row>
    <row r="196" spans="1:8" ht="15" customHeight="1" x14ac:dyDescent="0.25">
      <c r="A196" s="2" t="str">
        <f>Programacion!A14</f>
        <v>Semana 2</v>
      </c>
      <c r="B196" s="2" t="str">
        <f>Programacion!B14</f>
        <v>Jueves</v>
      </c>
      <c r="C196" s="2" t="str">
        <f>Programacion!C14</f>
        <v>Galletitas con chip</v>
      </c>
      <c r="D196" s="2" t="str">
        <f>Programacion!D14</f>
        <v>A01</v>
      </c>
      <c r="E196" s="2" t="str">
        <f>Formulas!C15</f>
        <v>ESENCIA DE VAINILLA</v>
      </c>
      <c r="F196" s="4">
        <f>Formulas!D15</f>
        <v>3.7200000000000002E-3</v>
      </c>
      <c r="G196" s="5">
        <f>Programacion!H14</f>
        <v>1800</v>
      </c>
      <c r="H196" s="5">
        <f t="shared" si="3"/>
        <v>6.6960000000000006</v>
      </c>
    </row>
    <row r="197" spans="1:8" ht="15" customHeight="1" x14ac:dyDescent="0.25">
      <c r="A197" s="2" t="str">
        <f>Programacion!A14</f>
        <v>Semana 2</v>
      </c>
      <c r="B197" s="2" t="str">
        <f>Programacion!B14</f>
        <v>Jueves</v>
      </c>
      <c r="C197" s="2" t="str">
        <f>Programacion!C14</f>
        <v>Galletitas con chip</v>
      </c>
      <c r="D197" s="2" t="str">
        <f>Programacion!D14</f>
        <v>A01</v>
      </c>
      <c r="E197" s="2" t="str">
        <f>Formulas!C16</f>
        <v>ESENCIA DE CHOCOLATE</v>
      </c>
      <c r="F197" s="4">
        <f>Formulas!D16</f>
        <v>2.7899999999999999E-3</v>
      </c>
      <c r="G197" s="5">
        <f>Programacion!H14</f>
        <v>1800</v>
      </c>
      <c r="H197" s="5">
        <f t="shared" si="3"/>
        <v>5.0220000000000002</v>
      </c>
    </row>
    <row r="198" spans="1:8" ht="15" customHeight="1" x14ac:dyDescent="0.25">
      <c r="A198" s="2" t="str">
        <f>Programacion!A14</f>
        <v>Semana 2</v>
      </c>
      <c r="B198" s="2" t="str">
        <f>Programacion!B14</f>
        <v>Jueves</v>
      </c>
      <c r="C198" s="2" t="str">
        <f>Programacion!C14</f>
        <v>Galletitas con chip</v>
      </c>
      <c r="D198" s="2" t="str">
        <f>Programacion!D14</f>
        <v>A01</v>
      </c>
      <c r="E198" s="2" t="str">
        <f>Formulas!C17</f>
        <v>BICARBONATO DE CALCIO</v>
      </c>
      <c r="F198" s="4">
        <f>Formulas!D17</f>
        <v>2.7899999999999999E-3</v>
      </c>
      <c r="G198" s="5">
        <f>Programacion!H14</f>
        <v>1800</v>
      </c>
      <c r="H198" s="5">
        <f t="shared" si="3"/>
        <v>5.0220000000000002</v>
      </c>
    </row>
    <row r="199" spans="1:8" ht="15" customHeight="1" x14ac:dyDescent="0.25">
      <c r="A199" s="2" t="str">
        <f>Programacion!A14</f>
        <v>Semana 2</v>
      </c>
      <c r="B199" s="2" t="str">
        <f>Programacion!B14</f>
        <v>Jueves</v>
      </c>
      <c r="C199" s="2" t="str">
        <f>Programacion!C14</f>
        <v>Galletitas con chip</v>
      </c>
      <c r="D199" s="2" t="str">
        <f>Programacion!D14</f>
        <v>A01</v>
      </c>
      <c r="E199" s="2" t="str">
        <f>Formulas!C18</f>
        <v>JALAPEÑO DESHIDRATADO EN POLVO</v>
      </c>
      <c r="F199" s="4">
        <f>Formulas!D18</f>
        <v>1.8600000000000001E-3</v>
      </c>
      <c r="G199" s="5">
        <f>Programacion!H14</f>
        <v>1800</v>
      </c>
      <c r="H199" s="5">
        <f t="shared" si="3"/>
        <v>3.3480000000000003</v>
      </c>
    </row>
    <row r="200" spans="1:8" ht="15" customHeight="1" x14ac:dyDescent="0.25">
      <c r="A200" s="2" t="str">
        <f>Programacion!A14</f>
        <v>Semana 2</v>
      </c>
      <c r="B200" s="2" t="str">
        <f>Programacion!B14</f>
        <v>Jueves</v>
      </c>
      <c r="C200" s="2" t="str">
        <f>Programacion!C14</f>
        <v>Galletitas con chip</v>
      </c>
      <c r="D200" s="2" t="str">
        <f>Programacion!D14</f>
        <v>A01</v>
      </c>
      <c r="E200" s="2" t="str">
        <f>Formulas!C19</f>
        <v>AGUA</v>
      </c>
      <c r="F200" s="4">
        <f>Formulas!D19</f>
        <v>7.0000000000000007E-2</v>
      </c>
      <c r="G200" s="5">
        <f>Programacion!H14</f>
        <v>1800</v>
      </c>
      <c r="H200" s="5">
        <f t="shared" si="3"/>
        <v>126.00000000000001</v>
      </c>
    </row>
    <row r="201" spans="1:8" ht="15" customHeight="1" x14ac:dyDescent="0.25">
      <c r="A201" s="2" t="str">
        <f>Programacion!A15</f>
        <v>Semana 2</v>
      </c>
      <c r="B201" s="2" t="str">
        <f>Programacion!B15</f>
        <v>Viernes</v>
      </c>
      <c r="C201" s="2" t="str">
        <f>Programacion!C15</f>
        <v>Galletitas con chip</v>
      </c>
      <c r="D201" s="2" t="str">
        <f>Programacion!D15</f>
        <v>A01</v>
      </c>
      <c r="E201" s="2" t="str">
        <f>Formulas!C2</f>
        <v>FÉCULA DE MAÍZ</v>
      </c>
      <c r="F201" s="4">
        <f>Formulas!D2</f>
        <v>0.24645</v>
      </c>
      <c r="G201" s="5">
        <f>Programacion!H15</f>
        <v>1800</v>
      </c>
      <c r="H201" s="5">
        <f t="shared" si="3"/>
        <v>443.61</v>
      </c>
    </row>
    <row r="202" spans="1:8" ht="15" customHeight="1" x14ac:dyDescent="0.25">
      <c r="A202" s="2" t="str">
        <f>Programacion!A15</f>
        <v>Semana 2</v>
      </c>
      <c r="B202" s="2" t="str">
        <f>Programacion!B15</f>
        <v>Viernes</v>
      </c>
      <c r="C202" s="2" t="str">
        <f>Programacion!C15</f>
        <v>Galletitas con chip</v>
      </c>
      <c r="D202" s="2" t="str">
        <f>Programacion!D15</f>
        <v>A01</v>
      </c>
      <c r="E202" s="2" t="str">
        <f>Formulas!C3</f>
        <v>HARINA DE ARROZ</v>
      </c>
      <c r="F202" s="4">
        <f>Formulas!D3</f>
        <v>0.16739999999999999</v>
      </c>
      <c r="G202" s="5">
        <f>Programacion!H15</f>
        <v>1800</v>
      </c>
      <c r="H202" s="5">
        <f t="shared" si="3"/>
        <v>301.32</v>
      </c>
    </row>
    <row r="203" spans="1:8" ht="15" customHeight="1" x14ac:dyDescent="0.25">
      <c r="A203" s="2" t="str">
        <f>Programacion!A15</f>
        <v>Semana 2</v>
      </c>
      <c r="B203" s="2" t="str">
        <f>Programacion!B15</f>
        <v>Viernes</v>
      </c>
      <c r="C203" s="2" t="str">
        <f>Programacion!C15</f>
        <v>Galletitas con chip</v>
      </c>
      <c r="D203" s="2" t="str">
        <f>Programacion!D15</f>
        <v>A01</v>
      </c>
      <c r="E203" s="2" t="str">
        <f>Formulas!C4</f>
        <v>ACEITE VEGETAL INTERESTERIFICADO</v>
      </c>
      <c r="F203" s="4">
        <f>Formulas!D4</f>
        <v>0.13950000000000001</v>
      </c>
      <c r="G203" s="5">
        <f>Programacion!H15</f>
        <v>1800</v>
      </c>
      <c r="H203" s="5">
        <f t="shared" si="3"/>
        <v>251.10000000000002</v>
      </c>
    </row>
    <row r="204" spans="1:8" ht="15" customHeight="1" x14ac:dyDescent="0.25">
      <c r="A204" s="2" t="str">
        <f>Programacion!A15</f>
        <v>Semana 2</v>
      </c>
      <c r="B204" s="2" t="str">
        <f>Programacion!B15</f>
        <v>Viernes</v>
      </c>
      <c r="C204" s="2" t="str">
        <f>Programacion!C15</f>
        <v>Galletitas con chip</v>
      </c>
      <c r="D204" s="2" t="str">
        <f>Programacion!D15</f>
        <v>A01</v>
      </c>
      <c r="E204" s="2" t="str">
        <f>Formulas!C5</f>
        <v>AZÚCAR</v>
      </c>
      <c r="F204" s="4">
        <f>Formulas!D5</f>
        <v>0.13020000000000001</v>
      </c>
      <c r="G204" s="5">
        <f>Programacion!H15</f>
        <v>1800</v>
      </c>
      <c r="H204" s="5">
        <f t="shared" si="3"/>
        <v>234.36</v>
      </c>
    </row>
    <row r="205" spans="1:8" ht="15" customHeight="1" x14ac:dyDescent="0.25">
      <c r="A205" s="2" t="str">
        <f>Programacion!A15</f>
        <v>Semana 2</v>
      </c>
      <c r="B205" s="2" t="str">
        <f>Programacion!B15</f>
        <v>Viernes</v>
      </c>
      <c r="C205" s="2" t="str">
        <f>Programacion!C15</f>
        <v>Galletitas con chip</v>
      </c>
      <c r="D205" s="2" t="str">
        <f>Programacion!D15</f>
        <v>A01</v>
      </c>
      <c r="E205" s="2" t="str">
        <f>Formulas!C6</f>
        <v>CHIPS DE CHOCOLATE</v>
      </c>
      <c r="F205" s="4">
        <f>Formulas!D6</f>
        <v>8.3699999999999997E-2</v>
      </c>
      <c r="G205" s="5">
        <f>Programacion!H15</f>
        <v>1800</v>
      </c>
      <c r="H205" s="5">
        <f t="shared" si="3"/>
        <v>150.66</v>
      </c>
    </row>
    <row r="206" spans="1:8" ht="15" customHeight="1" x14ac:dyDescent="0.25">
      <c r="A206" s="2" t="str">
        <f>Programacion!A15</f>
        <v>Semana 2</v>
      </c>
      <c r="B206" s="2" t="str">
        <f>Programacion!B15</f>
        <v>Viernes</v>
      </c>
      <c r="C206" s="2" t="str">
        <f>Programacion!C15</f>
        <v>Galletitas con chip</v>
      </c>
      <c r="D206" s="2" t="str">
        <f>Programacion!D15</f>
        <v>A01</v>
      </c>
      <c r="E206" s="2" t="str">
        <f>Formulas!C7</f>
        <v>JARABE DE GLUCOSA</v>
      </c>
      <c r="F206" s="4">
        <f>Formulas!D7</f>
        <v>5.5800000000000002E-2</v>
      </c>
      <c r="G206" s="5">
        <f>Programacion!H15</f>
        <v>1800</v>
      </c>
      <c r="H206" s="5">
        <f t="shared" si="3"/>
        <v>100.44</v>
      </c>
    </row>
    <row r="207" spans="1:8" ht="15" customHeight="1" x14ac:dyDescent="0.25">
      <c r="A207" s="2" t="str">
        <f>Programacion!A15</f>
        <v>Semana 2</v>
      </c>
      <c r="B207" s="2" t="str">
        <f>Programacion!B15</f>
        <v>Viernes</v>
      </c>
      <c r="C207" s="2" t="str">
        <f>Programacion!C15</f>
        <v>Galletitas con chip</v>
      </c>
      <c r="D207" s="2" t="str">
        <f>Programacion!D15</f>
        <v>A01</v>
      </c>
      <c r="E207" s="2" t="str">
        <f>Formulas!C8</f>
        <v>CACAO ALCALINO</v>
      </c>
      <c r="F207" s="4">
        <f>Formulas!D8</f>
        <v>3.7199999999999997E-2</v>
      </c>
      <c r="G207" s="5">
        <f>Programacion!H15</f>
        <v>1800</v>
      </c>
      <c r="H207" s="5">
        <f t="shared" si="3"/>
        <v>66.959999999999994</v>
      </c>
    </row>
    <row r="208" spans="1:8" ht="15" customHeight="1" x14ac:dyDescent="0.25">
      <c r="A208" s="2" t="str">
        <f>Programacion!A15</f>
        <v>Semana 2</v>
      </c>
      <c r="B208" s="2" t="str">
        <f>Programacion!B15</f>
        <v>Viernes</v>
      </c>
      <c r="C208" s="2" t="str">
        <f>Programacion!C15</f>
        <v>Galletitas con chip</v>
      </c>
      <c r="D208" s="2" t="str">
        <f>Programacion!D15</f>
        <v>A01</v>
      </c>
      <c r="E208" s="2" t="str">
        <f>Formulas!C9</f>
        <v>HUEVO EN POLVO DESHIDRATADO</v>
      </c>
      <c r="F208" s="4">
        <f>Formulas!D9</f>
        <v>1.8599999999999998E-2</v>
      </c>
      <c r="G208" s="5">
        <f>Programacion!H15</f>
        <v>1800</v>
      </c>
      <c r="H208" s="5">
        <f t="shared" si="3"/>
        <v>33.479999999999997</v>
      </c>
    </row>
    <row r="209" spans="1:8" ht="15" customHeight="1" x14ac:dyDescent="0.25">
      <c r="A209" s="2" t="str">
        <f>Programacion!A15</f>
        <v>Semana 2</v>
      </c>
      <c r="B209" s="2" t="str">
        <f>Programacion!B15</f>
        <v>Viernes</v>
      </c>
      <c r="C209" s="2" t="str">
        <f>Programacion!C15</f>
        <v>Galletitas con chip</v>
      </c>
      <c r="D209" s="2" t="str">
        <f>Programacion!D15</f>
        <v>A01</v>
      </c>
      <c r="E209" s="2" t="str">
        <f>Formulas!C10</f>
        <v>MIEL</v>
      </c>
      <c r="F209" s="4">
        <f>Formulas!D10</f>
        <v>1.8599999999999998E-2</v>
      </c>
      <c r="G209" s="5">
        <f>Programacion!H15</f>
        <v>1800</v>
      </c>
      <c r="H209" s="5">
        <f t="shared" si="3"/>
        <v>33.479999999999997</v>
      </c>
    </row>
    <row r="210" spans="1:8" ht="15" customHeight="1" x14ac:dyDescent="0.25">
      <c r="A210" s="2" t="str">
        <f>Programacion!A15</f>
        <v>Semana 2</v>
      </c>
      <c r="B210" s="2" t="str">
        <f>Programacion!B15</f>
        <v>Viernes</v>
      </c>
      <c r="C210" s="2" t="str">
        <f>Programacion!C15</f>
        <v>Galletitas con chip</v>
      </c>
      <c r="D210" s="2" t="str">
        <f>Programacion!D15</f>
        <v>A01</v>
      </c>
      <c r="E210" s="2" t="str">
        <f>Formulas!C11</f>
        <v>GOMA XÁNTICA</v>
      </c>
      <c r="F210" s="4">
        <f>Formulas!D11</f>
        <v>7.4400000000000004E-3</v>
      </c>
      <c r="G210" s="5">
        <f>Programacion!H15</f>
        <v>1800</v>
      </c>
      <c r="H210" s="5">
        <f t="shared" si="3"/>
        <v>13.392000000000001</v>
      </c>
    </row>
    <row r="211" spans="1:8" ht="15" customHeight="1" x14ac:dyDescent="0.25">
      <c r="A211" s="2" t="str">
        <f>Programacion!A15</f>
        <v>Semana 2</v>
      </c>
      <c r="B211" s="2" t="str">
        <f>Programacion!B15</f>
        <v>Viernes</v>
      </c>
      <c r="C211" s="2" t="str">
        <f>Programacion!C15</f>
        <v>Galletitas con chip</v>
      </c>
      <c r="D211" s="2" t="str">
        <f>Programacion!D15</f>
        <v>A01</v>
      </c>
      <c r="E211" s="2" t="str">
        <f>Formulas!C12</f>
        <v>SAL</v>
      </c>
      <c r="F211" s="4">
        <f>Formulas!D12</f>
        <v>4.6499999999999996E-3</v>
      </c>
      <c r="G211" s="5">
        <f>Programacion!H15</f>
        <v>1800</v>
      </c>
      <c r="H211" s="5">
        <f t="shared" si="3"/>
        <v>8.3699999999999992</v>
      </c>
    </row>
    <row r="212" spans="1:8" ht="15" customHeight="1" x14ac:dyDescent="0.25">
      <c r="A212" s="2" t="str">
        <f>Programacion!A15</f>
        <v>Semana 2</v>
      </c>
      <c r="B212" s="2" t="str">
        <f>Programacion!B15</f>
        <v>Viernes</v>
      </c>
      <c r="C212" s="2" t="str">
        <f>Programacion!C15</f>
        <v>Galletitas con chip</v>
      </c>
      <c r="D212" s="2" t="str">
        <f>Programacion!D15</f>
        <v>A01</v>
      </c>
      <c r="E212" s="2" t="str">
        <f>Formulas!C13</f>
        <v>BICARBONATO DE AMONIO</v>
      </c>
      <c r="F212" s="4">
        <f>Formulas!D13</f>
        <v>4.6499999999999996E-3</v>
      </c>
      <c r="G212" s="5">
        <f>Programacion!H15</f>
        <v>1800</v>
      </c>
      <c r="H212" s="5">
        <f t="shared" si="3"/>
        <v>8.3699999999999992</v>
      </c>
    </row>
    <row r="213" spans="1:8" ht="15" customHeight="1" x14ac:dyDescent="0.25">
      <c r="A213" s="2" t="str">
        <f>Programacion!A15</f>
        <v>Semana 2</v>
      </c>
      <c r="B213" s="2" t="str">
        <f>Programacion!B15</f>
        <v>Viernes</v>
      </c>
      <c r="C213" s="2" t="str">
        <f>Programacion!C15</f>
        <v>Galletitas con chip</v>
      </c>
      <c r="D213" s="2" t="str">
        <f>Programacion!D15</f>
        <v>A01</v>
      </c>
      <c r="E213" s="2" t="str">
        <f>Formulas!C14</f>
        <v>BICARBONATO DE SODIO</v>
      </c>
      <c r="F213" s="4">
        <f>Formulas!D14</f>
        <v>4.6499999999999996E-3</v>
      </c>
      <c r="G213" s="5">
        <f>Programacion!H15</f>
        <v>1800</v>
      </c>
      <c r="H213" s="5">
        <f t="shared" si="3"/>
        <v>8.3699999999999992</v>
      </c>
    </row>
    <row r="214" spans="1:8" ht="15" customHeight="1" x14ac:dyDescent="0.25">
      <c r="A214" s="2" t="str">
        <f>Programacion!A15</f>
        <v>Semana 2</v>
      </c>
      <c r="B214" s="2" t="str">
        <f>Programacion!B15</f>
        <v>Viernes</v>
      </c>
      <c r="C214" s="2" t="str">
        <f>Programacion!C15</f>
        <v>Galletitas con chip</v>
      </c>
      <c r="D214" s="2" t="str">
        <f>Programacion!D15</f>
        <v>A01</v>
      </c>
      <c r="E214" s="2" t="str">
        <f>Formulas!C15</f>
        <v>ESENCIA DE VAINILLA</v>
      </c>
      <c r="F214" s="4">
        <f>Formulas!D15</f>
        <v>3.7200000000000002E-3</v>
      </c>
      <c r="G214" s="5">
        <f>Programacion!H15</f>
        <v>1800</v>
      </c>
      <c r="H214" s="5">
        <f t="shared" si="3"/>
        <v>6.6960000000000006</v>
      </c>
    </row>
    <row r="215" spans="1:8" ht="15" customHeight="1" x14ac:dyDescent="0.25">
      <c r="A215" s="2" t="str">
        <f>Programacion!A15</f>
        <v>Semana 2</v>
      </c>
      <c r="B215" s="2" t="str">
        <f>Programacion!B15</f>
        <v>Viernes</v>
      </c>
      <c r="C215" s="2" t="str">
        <f>Programacion!C15</f>
        <v>Galletitas con chip</v>
      </c>
      <c r="D215" s="2" t="str">
        <f>Programacion!D15</f>
        <v>A01</v>
      </c>
      <c r="E215" s="2" t="str">
        <f>Formulas!C16</f>
        <v>ESENCIA DE CHOCOLATE</v>
      </c>
      <c r="F215" s="4">
        <f>Formulas!D16</f>
        <v>2.7899999999999999E-3</v>
      </c>
      <c r="G215" s="5">
        <f>Programacion!H15</f>
        <v>1800</v>
      </c>
      <c r="H215" s="5">
        <f t="shared" si="3"/>
        <v>5.0220000000000002</v>
      </c>
    </row>
    <row r="216" spans="1:8" ht="15" customHeight="1" x14ac:dyDescent="0.25">
      <c r="A216" s="2" t="str">
        <f>Programacion!A15</f>
        <v>Semana 2</v>
      </c>
      <c r="B216" s="2" t="str">
        <f>Programacion!B15</f>
        <v>Viernes</v>
      </c>
      <c r="C216" s="2" t="str">
        <f>Programacion!C15</f>
        <v>Galletitas con chip</v>
      </c>
      <c r="D216" s="2" t="str">
        <f>Programacion!D15</f>
        <v>A01</v>
      </c>
      <c r="E216" s="2" t="str">
        <f>Formulas!C17</f>
        <v>BICARBONATO DE CALCIO</v>
      </c>
      <c r="F216" s="4">
        <f>Formulas!D17</f>
        <v>2.7899999999999999E-3</v>
      </c>
      <c r="G216" s="5">
        <f>Programacion!H15</f>
        <v>1800</v>
      </c>
      <c r="H216" s="5">
        <f t="shared" si="3"/>
        <v>5.0220000000000002</v>
      </c>
    </row>
    <row r="217" spans="1:8" ht="15" customHeight="1" x14ac:dyDescent="0.25">
      <c r="A217" s="2" t="str">
        <f>Programacion!A15</f>
        <v>Semana 2</v>
      </c>
      <c r="B217" s="2" t="str">
        <f>Programacion!B15</f>
        <v>Viernes</v>
      </c>
      <c r="C217" s="2" t="str">
        <f>Programacion!C15</f>
        <v>Galletitas con chip</v>
      </c>
      <c r="D217" s="2" t="str">
        <f>Programacion!D15</f>
        <v>A01</v>
      </c>
      <c r="E217" s="2" t="str">
        <f>Formulas!C18</f>
        <v>JALAPEÑO DESHIDRATADO EN POLVO</v>
      </c>
      <c r="F217" s="4">
        <f>Formulas!D18</f>
        <v>1.8600000000000001E-3</v>
      </c>
      <c r="G217" s="5">
        <f>Programacion!H15</f>
        <v>1800</v>
      </c>
      <c r="H217" s="5">
        <f t="shared" si="3"/>
        <v>3.3480000000000003</v>
      </c>
    </row>
    <row r="218" spans="1:8" ht="15" customHeight="1" x14ac:dyDescent="0.25">
      <c r="A218" s="2" t="str">
        <f>Programacion!A15</f>
        <v>Semana 2</v>
      </c>
      <c r="B218" s="2" t="str">
        <f>Programacion!B15</f>
        <v>Viernes</v>
      </c>
      <c r="C218" s="2" t="str">
        <f>Programacion!C15</f>
        <v>Galletitas con chip</v>
      </c>
      <c r="D218" s="2" t="str">
        <f>Programacion!D15</f>
        <v>A01</v>
      </c>
      <c r="E218" s="2" t="str">
        <f>Formulas!C19</f>
        <v>AGUA</v>
      </c>
      <c r="F218" s="4">
        <f>Formulas!D19</f>
        <v>7.0000000000000007E-2</v>
      </c>
      <c r="G218" s="5">
        <f>Programacion!H15</f>
        <v>1800</v>
      </c>
      <c r="H218" s="5">
        <f t="shared" si="3"/>
        <v>126.00000000000001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" sqref="A5"/>
    </sheetView>
  </sheetViews>
  <sheetFormatPr baseColWidth="10" defaultColWidth="8.7109375" defaultRowHeight="15" x14ac:dyDescent="0.25"/>
  <cols>
    <col min="1" max="1" width="34" customWidth="1"/>
    <col min="2" max="6" width="12" customWidth="1"/>
    <col min="7" max="7" width="18" customWidth="1"/>
  </cols>
  <sheetData>
    <row r="1" spans="1:7" ht="26.25" customHeight="1" x14ac:dyDescent="0.25">
      <c r="A1" s="1" t="s">
        <v>91</v>
      </c>
      <c r="B1" s="1" t="s">
        <v>9</v>
      </c>
      <c r="C1" s="1" t="s">
        <v>14</v>
      </c>
      <c r="D1" s="1" t="s">
        <v>17</v>
      </c>
      <c r="E1" s="1" t="s">
        <v>22</v>
      </c>
      <c r="F1" s="1" t="s">
        <v>23</v>
      </c>
      <c r="G1" s="1" t="s">
        <v>92</v>
      </c>
    </row>
    <row r="2" spans="1:7" ht="15" customHeight="1" x14ac:dyDescent="0.25">
      <c r="A2" s="2" t="s">
        <v>36</v>
      </c>
      <c r="B2" s="5">
        <f>SUMIFS(Detalle_Consumo!$H:$H,Detalle_Consumo!$A:$A,"Semana 1",Detalle_Consumo!$B:$B,"Lunes",Detalle_Consumo!$E:$E,$A2)</f>
        <v>418.5</v>
      </c>
      <c r="C2" s="5">
        <f>SUMIFS(Detalle_Consumo!$H:$H,Detalle_Consumo!$A:$A,"Semana 1",Detalle_Consumo!$B:$B,"Martes",Detalle_Consumo!$E:$E,$A2)</f>
        <v>451.97999999999996</v>
      </c>
      <c r="D2" s="5">
        <f>SUMIFS(Detalle_Consumo!$H:$H,Detalle_Consumo!$A:$A,"Semana 1",Detalle_Consumo!$B:$B,"Miercoles",Detalle_Consumo!$E:$E,$A2)</f>
        <v>303.3288</v>
      </c>
      <c r="E2" s="5">
        <f>SUMIFS(Detalle_Consumo!$H:$H,Detalle_Consumo!$A:$A,"Semana 1",Detalle_Consumo!$B:$B,"Jueves",Detalle_Consumo!$E:$E,$A2)</f>
        <v>229.00319999999999</v>
      </c>
      <c r="F2" s="5">
        <f>SUMIFS(Detalle_Consumo!$H:$H,Detalle_Consumo!$A:$A,"Semana 1",Detalle_Consumo!$B:$B,"Viernes",Detalle_Consumo!$E:$E,$A2)</f>
        <v>229.00319999999999</v>
      </c>
      <c r="G2" s="6">
        <f t="shared" ref="G2:G35" si="0">SUM(B2:F2)</f>
        <v>1631.8152</v>
      </c>
    </row>
    <row r="3" spans="1:7" ht="15" customHeight="1" x14ac:dyDescent="0.25">
      <c r="A3" s="2" t="s">
        <v>35</v>
      </c>
      <c r="B3" s="5">
        <f>SUMIFS(Detalle_Consumo!$H:$H,Detalle_Consumo!$A:$A,"Semana 1",Detalle_Consumo!$B:$B,"Lunes",Detalle_Consumo!$E:$E,$A3)</f>
        <v>318.06</v>
      </c>
      <c r="C3" s="5">
        <f>SUMIFS(Detalle_Consumo!$H:$H,Detalle_Consumo!$A:$A,"Semana 1",Detalle_Consumo!$B:$B,"Martes",Detalle_Consumo!$E:$E,$A3)</f>
        <v>368.28000000000003</v>
      </c>
      <c r="D3" s="5">
        <f>SUMIFS(Detalle_Consumo!$H:$H,Detalle_Consumo!$A:$A,"Semana 1",Detalle_Consumo!$B:$B,"Miercoles",Detalle_Consumo!$E:$E,$A3)</f>
        <v>394.1712</v>
      </c>
      <c r="E3" s="5">
        <f>SUMIFS(Detalle_Consumo!$H:$H,Detalle_Consumo!$A:$A,"Semana 1",Detalle_Consumo!$B:$B,"Jueves",Detalle_Consumo!$E:$E,$A3)</f>
        <v>390.3768</v>
      </c>
      <c r="F3" s="5">
        <f>SUMIFS(Detalle_Consumo!$H:$H,Detalle_Consumo!$A:$A,"Semana 1",Detalle_Consumo!$B:$B,"Viernes",Detalle_Consumo!$E:$E,$A3)</f>
        <v>390.3768</v>
      </c>
      <c r="G3" s="6">
        <f t="shared" si="0"/>
        <v>1861.2647999999999</v>
      </c>
    </row>
    <row r="4" spans="1:7" ht="15" customHeight="1" x14ac:dyDescent="0.25">
      <c r="A4" s="2" t="s">
        <v>64</v>
      </c>
      <c r="B4" s="5">
        <f>SUMIFS(Detalle_Consumo!$H:$H,Detalle_Consumo!$A:$A,"Semana 1",Detalle_Consumo!$B:$B,"Lunes",Detalle_Consumo!$E:$E,$A4)</f>
        <v>245.52</v>
      </c>
      <c r="C4" s="5">
        <f>SUMIFS(Detalle_Consumo!$H:$H,Detalle_Consumo!$A:$A,"Semana 1",Detalle_Consumo!$B:$B,"Martes",Detalle_Consumo!$E:$E,$A4)</f>
        <v>0</v>
      </c>
      <c r="D4" s="5">
        <f>SUMIFS(Detalle_Consumo!$H:$H,Detalle_Consumo!$A:$A,"Semana 1",Detalle_Consumo!$B:$B,"Miercoles",Detalle_Consumo!$E:$E,$A4)</f>
        <v>0</v>
      </c>
      <c r="E4" s="5">
        <f>SUMIFS(Detalle_Consumo!$H:$H,Detalle_Consumo!$A:$A,"Semana 1",Detalle_Consumo!$B:$B,"Jueves",Detalle_Consumo!$E:$E,$A4)</f>
        <v>0</v>
      </c>
      <c r="F4" s="5">
        <f>SUMIFS(Detalle_Consumo!$H:$H,Detalle_Consumo!$A:$A,"Semana 1",Detalle_Consumo!$B:$B,"Viernes",Detalle_Consumo!$E:$E,$A4)</f>
        <v>0</v>
      </c>
      <c r="G4" s="6">
        <f t="shared" si="0"/>
        <v>245.52</v>
      </c>
    </row>
    <row r="5" spans="1:7" ht="15" customHeight="1" x14ac:dyDescent="0.25">
      <c r="A5" s="2" t="s">
        <v>65</v>
      </c>
      <c r="B5" s="5">
        <f>SUMIFS(Detalle_Consumo!$H:$H,Detalle_Consumo!$A:$A,"Semana 1",Detalle_Consumo!$B:$B,"Lunes",Detalle_Consumo!$E:$E,$A5)</f>
        <v>145.07999999999998</v>
      </c>
      <c r="C5" s="5">
        <f>SUMIFS(Detalle_Consumo!$H:$H,Detalle_Consumo!$A:$A,"Semana 1",Detalle_Consumo!$B:$B,"Martes",Detalle_Consumo!$E:$E,$A5)</f>
        <v>0</v>
      </c>
      <c r="D5" s="5">
        <f>SUMIFS(Detalle_Consumo!$H:$H,Detalle_Consumo!$A:$A,"Semana 1",Detalle_Consumo!$B:$B,"Miercoles",Detalle_Consumo!$E:$E,$A5)</f>
        <v>0</v>
      </c>
      <c r="E5" s="5">
        <f>SUMIFS(Detalle_Consumo!$H:$H,Detalle_Consumo!$A:$A,"Semana 1",Detalle_Consumo!$B:$B,"Jueves",Detalle_Consumo!$E:$E,$A5)</f>
        <v>0</v>
      </c>
      <c r="F5" s="5">
        <f>SUMIFS(Detalle_Consumo!$H:$H,Detalle_Consumo!$A:$A,"Semana 1",Detalle_Consumo!$B:$B,"Viernes",Detalle_Consumo!$E:$E,$A5)</f>
        <v>0</v>
      </c>
      <c r="G5" s="6">
        <f t="shared" si="0"/>
        <v>145.07999999999998</v>
      </c>
    </row>
    <row r="6" spans="1:7" ht="15" customHeight="1" x14ac:dyDescent="0.25">
      <c r="A6" s="2" t="s">
        <v>66</v>
      </c>
      <c r="B6" s="5">
        <f>SUMIFS(Detalle_Consumo!$H:$H,Detalle_Consumo!$A:$A,"Semana 1",Detalle_Consumo!$B:$B,"Lunes",Detalle_Consumo!$E:$E,$A6)</f>
        <v>122.75999999999999</v>
      </c>
      <c r="C6" s="5">
        <f>SUMIFS(Detalle_Consumo!$H:$H,Detalle_Consumo!$A:$A,"Semana 1",Detalle_Consumo!$B:$B,"Martes",Detalle_Consumo!$E:$E,$A6)</f>
        <v>0</v>
      </c>
      <c r="D6" s="5">
        <f>SUMIFS(Detalle_Consumo!$H:$H,Detalle_Consumo!$A:$A,"Semana 1",Detalle_Consumo!$B:$B,"Miercoles",Detalle_Consumo!$E:$E,$A6)</f>
        <v>0</v>
      </c>
      <c r="E6" s="5">
        <f>SUMIFS(Detalle_Consumo!$H:$H,Detalle_Consumo!$A:$A,"Semana 1",Detalle_Consumo!$B:$B,"Jueves",Detalle_Consumo!$E:$E,$A6)</f>
        <v>0</v>
      </c>
      <c r="F6" s="5">
        <f>SUMIFS(Detalle_Consumo!$H:$H,Detalle_Consumo!$A:$A,"Semana 1",Detalle_Consumo!$B:$B,"Viernes",Detalle_Consumo!$E:$E,$A6)</f>
        <v>0</v>
      </c>
      <c r="G6" s="6">
        <f t="shared" si="0"/>
        <v>122.75999999999999</v>
      </c>
    </row>
    <row r="7" spans="1:7" ht="15" customHeight="1" x14ac:dyDescent="0.25">
      <c r="A7" s="2" t="s">
        <v>37</v>
      </c>
      <c r="B7" s="5">
        <f>SUMIFS(Detalle_Consumo!$H:$H,Detalle_Consumo!$A:$A,"Semana 1",Detalle_Consumo!$B:$B,"Lunes",Detalle_Consumo!$E:$E,$A7)</f>
        <v>66.960000000000008</v>
      </c>
      <c r="C7" s="5">
        <f>SUMIFS(Detalle_Consumo!$H:$H,Detalle_Consumo!$A:$A,"Semana 1",Detalle_Consumo!$B:$B,"Martes",Detalle_Consumo!$E:$E,$A7)</f>
        <v>234.36</v>
      </c>
      <c r="D7" s="5">
        <f>SUMIFS(Detalle_Consumo!$H:$H,Detalle_Consumo!$A:$A,"Semana 1",Detalle_Consumo!$B:$B,"Miercoles",Detalle_Consumo!$E:$E,$A7)</f>
        <v>202.66560000000001</v>
      </c>
      <c r="E7" s="5">
        <f>SUMIFS(Detalle_Consumo!$H:$H,Detalle_Consumo!$A:$A,"Semana 1",Detalle_Consumo!$B:$B,"Jueves",Detalle_Consumo!$E:$E,$A7)</f>
        <v>186.8184</v>
      </c>
      <c r="F7" s="5">
        <f>SUMIFS(Detalle_Consumo!$H:$H,Detalle_Consumo!$A:$A,"Semana 1",Detalle_Consumo!$B:$B,"Viernes",Detalle_Consumo!$E:$E,$A7)</f>
        <v>186.8184</v>
      </c>
      <c r="G7" s="6">
        <f t="shared" si="0"/>
        <v>877.62240000000008</v>
      </c>
    </row>
    <row r="8" spans="1:7" ht="15" customHeight="1" x14ac:dyDescent="0.25">
      <c r="A8" s="2" t="s">
        <v>67</v>
      </c>
      <c r="B8" s="5">
        <f>SUMIFS(Detalle_Consumo!$H:$H,Detalle_Consumo!$A:$A,"Semana 1",Detalle_Consumo!$B:$B,"Lunes",Detalle_Consumo!$E:$E,$A8)</f>
        <v>55.8</v>
      </c>
      <c r="C8" s="5">
        <f>SUMIFS(Detalle_Consumo!$H:$H,Detalle_Consumo!$A:$A,"Semana 1",Detalle_Consumo!$B:$B,"Martes",Detalle_Consumo!$E:$E,$A8)</f>
        <v>0</v>
      </c>
      <c r="D8" s="5">
        <f>SUMIFS(Detalle_Consumo!$H:$H,Detalle_Consumo!$A:$A,"Semana 1",Detalle_Consumo!$B:$B,"Miercoles",Detalle_Consumo!$E:$E,$A8)</f>
        <v>0</v>
      </c>
      <c r="E8" s="5">
        <f>SUMIFS(Detalle_Consumo!$H:$H,Detalle_Consumo!$A:$A,"Semana 1",Detalle_Consumo!$B:$B,"Jueves",Detalle_Consumo!$E:$E,$A8)</f>
        <v>0</v>
      </c>
      <c r="F8" s="5">
        <f>SUMIFS(Detalle_Consumo!$H:$H,Detalle_Consumo!$A:$A,"Semana 1",Detalle_Consumo!$B:$B,"Viernes",Detalle_Consumo!$E:$E,$A8)</f>
        <v>0</v>
      </c>
      <c r="G8" s="6">
        <f t="shared" si="0"/>
        <v>55.8</v>
      </c>
    </row>
    <row r="9" spans="1:7" ht="15" customHeight="1" x14ac:dyDescent="0.25">
      <c r="A9" s="2" t="s">
        <v>68</v>
      </c>
      <c r="B9" s="5">
        <f>SUMIFS(Detalle_Consumo!$H:$H,Detalle_Consumo!$A:$A,"Semana 1",Detalle_Consumo!$B:$B,"Lunes",Detalle_Consumo!$E:$E,$A9)</f>
        <v>66.959999999999994</v>
      </c>
      <c r="C9" s="5">
        <f>SUMIFS(Detalle_Consumo!$H:$H,Detalle_Consumo!$A:$A,"Semana 1",Detalle_Consumo!$B:$B,"Martes",Detalle_Consumo!$E:$E,$A9)</f>
        <v>0</v>
      </c>
      <c r="D9" s="5">
        <f>SUMIFS(Detalle_Consumo!$H:$H,Detalle_Consumo!$A:$A,"Semana 1",Detalle_Consumo!$B:$B,"Miercoles",Detalle_Consumo!$E:$E,$A9)</f>
        <v>0</v>
      </c>
      <c r="E9" s="5">
        <f>SUMIFS(Detalle_Consumo!$H:$H,Detalle_Consumo!$A:$A,"Semana 1",Detalle_Consumo!$B:$B,"Jueves",Detalle_Consumo!$E:$E,$A9)</f>
        <v>0</v>
      </c>
      <c r="F9" s="5">
        <f>SUMIFS(Detalle_Consumo!$H:$H,Detalle_Consumo!$A:$A,"Semana 1",Detalle_Consumo!$B:$B,"Viernes",Detalle_Consumo!$E:$E,$A9)</f>
        <v>0</v>
      </c>
      <c r="G9" s="6">
        <f t="shared" si="0"/>
        <v>66.959999999999994</v>
      </c>
    </row>
    <row r="10" spans="1:7" ht="15" customHeight="1" x14ac:dyDescent="0.25">
      <c r="A10" s="2" t="s">
        <v>43</v>
      </c>
      <c r="B10" s="5">
        <f>SUMIFS(Detalle_Consumo!$H:$H,Detalle_Consumo!$A:$A,"Semana 1",Detalle_Consumo!$B:$B,"Lunes",Detalle_Consumo!$E:$E,$A10)</f>
        <v>25.110000000000003</v>
      </c>
      <c r="C10" s="5">
        <f>SUMIFS(Detalle_Consumo!$H:$H,Detalle_Consumo!$A:$A,"Semana 1",Detalle_Consumo!$B:$B,"Martes",Detalle_Consumo!$E:$E,$A10)</f>
        <v>0</v>
      </c>
      <c r="D10" s="5">
        <f>SUMIFS(Detalle_Consumo!$H:$H,Detalle_Consumo!$A:$A,"Semana 1",Detalle_Consumo!$B:$B,"Miercoles",Detalle_Consumo!$E:$E,$A10)</f>
        <v>2.2320000000000002</v>
      </c>
      <c r="E10" s="5">
        <f>SUMIFS(Detalle_Consumo!$H:$H,Detalle_Consumo!$A:$A,"Semana 1",Detalle_Consumo!$B:$B,"Jueves",Detalle_Consumo!$E:$E,$A10)</f>
        <v>0</v>
      </c>
      <c r="F10" s="5">
        <f>SUMIFS(Detalle_Consumo!$H:$H,Detalle_Consumo!$A:$A,"Semana 1",Detalle_Consumo!$B:$B,"Viernes",Detalle_Consumo!$E:$E,$A10)</f>
        <v>0</v>
      </c>
      <c r="G10" s="6">
        <f t="shared" si="0"/>
        <v>27.342000000000002</v>
      </c>
    </row>
    <row r="11" spans="1:7" ht="15" customHeight="1" x14ac:dyDescent="0.25">
      <c r="A11" s="2" t="s">
        <v>69</v>
      </c>
      <c r="B11" s="5">
        <f>SUMIFS(Detalle_Consumo!$H:$H,Detalle_Consumo!$A:$A,"Semana 1",Detalle_Consumo!$B:$B,"Lunes",Detalle_Consumo!$E:$E,$A11)</f>
        <v>16.739999999999998</v>
      </c>
      <c r="C11" s="5">
        <f>SUMIFS(Detalle_Consumo!$H:$H,Detalle_Consumo!$A:$A,"Semana 1",Detalle_Consumo!$B:$B,"Martes",Detalle_Consumo!$E:$E,$A11)</f>
        <v>0</v>
      </c>
      <c r="D11" s="5">
        <f>SUMIFS(Detalle_Consumo!$H:$H,Detalle_Consumo!$A:$A,"Semana 1",Detalle_Consumo!$B:$B,"Miercoles",Detalle_Consumo!$E:$E,$A11)</f>
        <v>0</v>
      </c>
      <c r="E11" s="5">
        <f>SUMIFS(Detalle_Consumo!$H:$H,Detalle_Consumo!$A:$A,"Semana 1",Detalle_Consumo!$B:$B,"Jueves",Detalle_Consumo!$E:$E,$A11)</f>
        <v>0</v>
      </c>
      <c r="F11" s="5">
        <f>SUMIFS(Detalle_Consumo!$H:$H,Detalle_Consumo!$A:$A,"Semana 1",Detalle_Consumo!$B:$B,"Viernes",Detalle_Consumo!$E:$E,$A11)</f>
        <v>0</v>
      </c>
      <c r="G11" s="6">
        <f t="shared" si="0"/>
        <v>16.739999999999998</v>
      </c>
    </row>
    <row r="12" spans="1:7" ht="15" customHeight="1" x14ac:dyDescent="0.25">
      <c r="A12" s="2" t="s">
        <v>42</v>
      </c>
      <c r="B12" s="5">
        <f>SUMIFS(Detalle_Consumo!$H:$H,Detalle_Consumo!$A:$A,"Semana 1",Detalle_Consumo!$B:$B,"Lunes",Detalle_Consumo!$E:$E,$A12)</f>
        <v>16.739999999999998</v>
      </c>
      <c r="C12" s="5">
        <f>SUMIFS(Detalle_Consumo!$H:$H,Detalle_Consumo!$A:$A,"Semana 1",Detalle_Consumo!$B:$B,"Martes",Detalle_Consumo!$E:$E,$A12)</f>
        <v>16.739999999999998</v>
      </c>
      <c r="D12" s="5">
        <f>SUMIFS(Detalle_Consumo!$H:$H,Detalle_Consumo!$A:$A,"Semana 1",Detalle_Consumo!$B:$B,"Miercoles",Detalle_Consumo!$E:$E,$A12)</f>
        <v>10.401119999999999</v>
      </c>
      <c r="E12" s="5">
        <f>SUMIFS(Detalle_Consumo!$H:$H,Detalle_Consumo!$A:$A,"Semana 1",Detalle_Consumo!$B:$B,"Jueves",Detalle_Consumo!$E:$E,$A12)</f>
        <v>7.231679999999999</v>
      </c>
      <c r="F12" s="5">
        <f>SUMIFS(Detalle_Consumo!$H:$H,Detalle_Consumo!$A:$A,"Semana 1",Detalle_Consumo!$B:$B,"Viernes",Detalle_Consumo!$E:$E,$A12)</f>
        <v>7.231679999999999</v>
      </c>
      <c r="G12" s="6">
        <f t="shared" si="0"/>
        <v>58.34447999999999</v>
      </c>
    </row>
    <row r="13" spans="1:7" ht="15" customHeight="1" x14ac:dyDescent="0.25">
      <c r="A13" s="2" t="s">
        <v>70</v>
      </c>
      <c r="B13" s="5">
        <f>SUMIFS(Detalle_Consumo!$H:$H,Detalle_Consumo!$A:$A,"Semana 1",Detalle_Consumo!$B:$B,"Lunes",Detalle_Consumo!$E:$E,$A13)</f>
        <v>16.739999999999998</v>
      </c>
      <c r="C13" s="5">
        <f>SUMIFS(Detalle_Consumo!$H:$H,Detalle_Consumo!$A:$A,"Semana 1",Detalle_Consumo!$B:$B,"Martes",Detalle_Consumo!$E:$E,$A13)</f>
        <v>0</v>
      </c>
      <c r="D13" s="5">
        <f>SUMIFS(Detalle_Consumo!$H:$H,Detalle_Consumo!$A:$A,"Semana 1",Detalle_Consumo!$B:$B,"Miercoles",Detalle_Consumo!$E:$E,$A13)</f>
        <v>0</v>
      </c>
      <c r="E13" s="5">
        <f>SUMIFS(Detalle_Consumo!$H:$H,Detalle_Consumo!$A:$A,"Semana 1",Detalle_Consumo!$B:$B,"Jueves",Detalle_Consumo!$E:$E,$A13)</f>
        <v>0</v>
      </c>
      <c r="F13" s="5">
        <f>SUMIFS(Detalle_Consumo!$H:$H,Detalle_Consumo!$A:$A,"Semana 1",Detalle_Consumo!$B:$B,"Viernes",Detalle_Consumo!$E:$E,$A13)</f>
        <v>0</v>
      </c>
      <c r="G13" s="6">
        <f t="shared" si="0"/>
        <v>16.739999999999998</v>
      </c>
    </row>
    <row r="14" spans="1:7" ht="15" customHeight="1" x14ac:dyDescent="0.25">
      <c r="A14" s="2" t="s">
        <v>45</v>
      </c>
      <c r="B14" s="5">
        <f>SUMIFS(Detalle_Consumo!$H:$H,Detalle_Consumo!$A:$A,"Semana 1",Detalle_Consumo!$B:$B,"Lunes",Detalle_Consumo!$E:$E,$A14)</f>
        <v>8.3699999999999992</v>
      </c>
      <c r="C14" s="5">
        <f>SUMIFS(Detalle_Consumo!$H:$H,Detalle_Consumo!$A:$A,"Semana 1",Detalle_Consumo!$B:$B,"Martes",Detalle_Consumo!$E:$E,$A14)</f>
        <v>13.392000000000001</v>
      </c>
      <c r="D14" s="5">
        <f>SUMIFS(Detalle_Consumo!$H:$H,Detalle_Consumo!$A:$A,"Semana 1",Detalle_Consumo!$B:$B,"Miercoles",Detalle_Consumo!$E:$E,$A14)</f>
        <v>2.7899999999999996</v>
      </c>
      <c r="E14" s="5">
        <f>SUMIFS(Detalle_Consumo!$H:$H,Detalle_Consumo!$A:$A,"Semana 1",Detalle_Consumo!$B:$B,"Jueves",Detalle_Consumo!$E:$E,$A14)</f>
        <v>0</v>
      </c>
      <c r="F14" s="5">
        <f>SUMIFS(Detalle_Consumo!$H:$H,Detalle_Consumo!$A:$A,"Semana 1",Detalle_Consumo!$B:$B,"Viernes",Detalle_Consumo!$E:$E,$A14)</f>
        <v>0</v>
      </c>
      <c r="G14" s="6">
        <f t="shared" si="0"/>
        <v>24.552</v>
      </c>
    </row>
    <row r="15" spans="1:7" ht="15" customHeight="1" x14ac:dyDescent="0.25">
      <c r="A15" s="2" t="s">
        <v>50</v>
      </c>
      <c r="B15" s="5">
        <f>SUMIFS(Detalle_Consumo!$H:$H,Detalle_Consumo!$A:$A,"Semana 1",Detalle_Consumo!$B:$B,"Lunes",Detalle_Consumo!$E:$E,$A15)</f>
        <v>126.00000000000003</v>
      </c>
      <c r="C15" s="5">
        <f>SUMIFS(Detalle_Consumo!$H:$H,Detalle_Consumo!$A:$A,"Semana 1",Detalle_Consumo!$B:$B,"Martes",Detalle_Consumo!$E:$E,$A15)</f>
        <v>126.00000000000001</v>
      </c>
      <c r="D15" s="5">
        <f>SUMIFS(Detalle_Consumo!$H:$H,Detalle_Consumo!$A:$A,"Semana 1",Detalle_Consumo!$B:$B,"Miercoles",Detalle_Consumo!$E:$E,$A15)</f>
        <v>126.00000000000003</v>
      </c>
      <c r="E15" s="5">
        <f>SUMIFS(Detalle_Consumo!$H:$H,Detalle_Consumo!$A:$A,"Semana 1",Detalle_Consumo!$B:$B,"Jueves",Detalle_Consumo!$E:$E,$A15)</f>
        <v>126.00000000000001</v>
      </c>
      <c r="F15" s="5">
        <f>SUMIFS(Detalle_Consumo!$H:$H,Detalle_Consumo!$A:$A,"Semana 1",Detalle_Consumo!$B:$B,"Viernes",Detalle_Consumo!$E:$E,$A15)</f>
        <v>126.00000000000001</v>
      </c>
      <c r="G15" s="6">
        <f t="shared" si="0"/>
        <v>630.00000000000011</v>
      </c>
    </row>
    <row r="16" spans="1:7" ht="15" customHeight="1" x14ac:dyDescent="0.25">
      <c r="A16" s="2" t="s">
        <v>71</v>
      </c>
      <c r="B16" s="5">
        <f>SUMIFS(Detalle_Consumo!$H:$H,Detalle_Consumo!$A:$A,"Semana 1",Detalle_Consumo!$B:$B,"Lunes",Detalle_Consumo!$E:$E,$A16)</f>
        <v>66.960000000000008</v>
      </c>
      <c r="C16" s="5">
        <f>SUMIFS(Detalle_Consumo!$H:$H,Detalle_Consumo!$A:$A,"Semana 1",Detalle_Consumo!$B:$B,"Martes",Detalle_Consumo!$E:$E,$A16)</f>
        <v>0</v>
      </c>
      <c r="D16" s="5">
        <f>SUMIFS(Detalle_Consumo!$H:$H,Detalle_Consumo!$A:$A,"Semana 1",Detalle_Consumo!$B:$B,"Miercoles",Detalle_Consumo!$E:$E,$A16)</f>
        <v>0</v>
      </c>
      <c r="E16" s="5">
        <f>SUMIFS(Detalle_Consumo!$H:$H,Detalle_Consumo!$A:$A,"Semana 1",Detalle_Consumo!$B:$B,"Jueves",Detalle_Consumo!$E:$E,$A16)</f>
        <v>0</v>
      </c>
      <c r="F16" s="5">
        <f>SUMIFS(Detalle_Consumo!$H:$H,Detalle_Consumo!$A:$A,"Semana 1",Detalle_Consumo!$B:$B,"Viernes",Detalle_Consumo!$E:$E,$A16)</f>
        <v>0</v>
      </c>
      <c r="G16" s="6">
        <f t="shared" si="0"/>
        <v>66.960000000000008</v>
      </c>
    </row>
    <row r="17" spans="1:7" ht="15" customHeight="1" x14ac:dyDescent="0.25">
      <c r="A17" s="2" t="s">
        <v>72</v>
      </c>
      <c r="B17" s="5">
        <f>SUMIFS(Detalle_Consumo!$H:$H,Detalle_Consumo!$A:$A,"Semana 1",Detalle_Consumo!$B:$B,"Lunes",Detalle_Consumo!$E:$E,$A17)</f>
        <v>55.8</v>
      </c>
      <c r="C17" s="5">
        <f>SUMIFS(Detalle_Consumo!$H:$H,Detalle_Consumo!$A:$A,"Semana 1",Detalle_Consumo!$B:$B,"Martes",Detalle_Consumo!$E:$E,$A17)</f>
        <v>0</v>
      </c>
      <c r="D17" s="5">
        <f>SUMIFS(Detalle_Consumo!$H:$H,Detalle_Consumo!$A:$A,"Semana 1",Detalle_Consumo!$B:$B,"Miercoles",Detalle_Consumo!$E:$E,$A17)</f>
        <v>0</v>
      </c>
      <c r="E17" s="5">
        <f>SUMIFS(Detalle_Consumo!$H:$H,Detalle_Consumo!$A:$A,"Semana 1",Detalle_Consumo!$B:$B,"Jueves",Detalle_Consumo!$E:$E,$A17)</f>
        <v>0</v>
      </c>
      <c r="F17" s="5">
        <f>SUMIFS(Detalle_Consumo!$H:$H,Detalle_Consumo!$A:$A,"Semana 1",Detalle_Consumo!$B:$B,"Viernes",Detalle_Consumo!$E:$E,$A17)</f>
        <v>0</v>
      </c>
      <c r="G17" s="6">
        <f t="shared" si="0"/>
        <v>55.8</v>
      </c>
    </row>
    <row r="18" spans="1:7" ht="15" customHeight="1" x14ac:dyDescent="0.25">
      <c r="A18" s="2" t="s">
        <v>40</v>
      </c>
      <c r="B18" s="5">
        <f>SUMIFS(Detalle_Consumo!$H:$H,Detalle_Consumo!$A:$A,"Semana 1",Detalle_Consumo!$B:$B,"Lunes",Detalle_Consumo!$E:$E,$A18)</f>
        <v>27.9</v>
      </c>
      <c r="C18" s="5">
        <f>SUMIFS(Detalle_Consumo!$H:$H,Detalle_Consumo!$A:$A,"Semana 1",Detalle_Consumo!$B:$B,"Martes",Detalle_Consumo!$E:$E,$A18)</f>
        <v>66.959999999999994</v>
      </c>
      <c r="D18" s="5">
        <f>SUMIFS(Detalle_Consumo!$H:$H,Detalle_Consumo!$A:$A,"Semana 1",Detalle_Consumo!$B:$B,"Miercoles",Detalle_Consumo!$E:$E,$A18)</f>
        <v>0</v>
      </c>
      <c r="E18" s="5">
        <f>SUMIFS(Detalle_Consumo!$H:$H,Detalle_Consumo!$A:$A,"Semana 1",Detalle_Consumo!$B:$B,"Jueves",Detalle_Consumo!$E:$E,$A18)</f>
        <v>0</v>
      </c>
      <c r="F18" s="5">
        <f>SUMIFS(Detalle_Consumo!$H:$H,Detalle_Consumo!$A:$A,"Semana 1",Detalle_Consumo!$B:$B,"Viernes",Detalle_Consumo!$E:$E,$A18)</f>
        <v>0</v>
      </c>
      <c r="G18" s="6">
        <f t="shared" si="0"/>
        <v>94.859999999999985</v>
      </c>
    </row>
    <row r="19" spans="1:7" ht="15" customHeight="1" x14ac:dyDescent="0.25">
      <c r="A19" s="2" t="s">
        <v>52</v>
      </c>
      <c r="B19" s="5">
        <f>SUMIFS(Detalle_Consumo!$H:$H,Detalle_Consumo!$A:$A,"Semana 1",Detalle_Consumo!$B:$B,"Lunes",Detalle_Consumo!$E:$E,$A19)</f>
        <v>0</v>
      </c>
      <c r="C19" s="5">
        <f>SUMIFS(Detalle_Consumo!$H:$H,Detalle_Consumo!$A:$A,"Semana 1",Detalle_Consumo!$B:$B,"Martes",Detalle_Consumo!$E:$E,$A19)</f>
        <v>100.44</v>
      </c>
      <c r="D19" s="5">
        <f>SUMIFS(Detalle_Consumo!$H:$H,Detalle_Consumo!$A:$A,"Semana 1",Detalle_Consumo!$B:$B,"Miercoles",Detalle_Consumo!$E:$E,$A19)</f>
        <v>69.638400000000004</v>
      </c>
      <c r="E19" s="5">
        <f>SUMIFS(Detalle_Consumo!$H:$H,Detalle_Consumo!$A:$A,"Semana 1",Detalle_Consumo!$B:$B,"Jueves",Detalle_Consumo!$E:$E,$A19)</f>
        <v>54.2376</v>
      </c>
      <c r="F19" s="5">
        <f>SUMIFS(Detalle_Consumo!$H:$H,Detalle_Consumo!$A:$A,"Semana 1",Detalle_Consumo!$B:$B,"Viernes",Detalle_Consumo!$E:$E,$A19)</f>
        <v>54.2376</v>
      </c>
      <c r="G19" s="6">
        <f t="shared" si="0"/>
        <v>278.55359999999996</v>
      </c>
    </row>
    <row r="20" spans="1:7" ht="15" customHeight="1" x14ac:dyDescent="0.25">
      <c r="A20" s="2" t="s">
        <v>57</v>
      </c>
      <c r="B20" s="5">
        <f>SUMIFS(Detalle_Consumo!$H:$H,Detalle_Consumo!$A:$A,"Semana 1",Detalle_Consumo!$B:$B,"Lunes",Detalle_Consumo!$E:$E,$A20)</f>
        <v>0</v>
      </c>
      <c r="C20" s="5">
        <f>SUMIFS(Detalle_Consumo!$H:$H,Detalle_Consumo!$A:$A,"Semana 1",Detalle_Consumo!$B:$B,"Martes",Detalle_Consumo!$E:$E,$A20)</f>
        <v>100.44</v>
      </c>
      <c r="D20" s="5">
        <f>SUMIFS(Detalle_Consumo!$H:$H,Detalle_Consumo!$A:$A,"Semana 1",Detalle_Consumo!$B:$B,"Miercoles",Detalle_Consumo!$E:$E,$A20)</f>
        <v>0</v>
      </c>
      <c r="E20" s="5">
        <f>SUMIFS(Detalle_Consumo!$H:$H,Detalle_Consumo!$A:$A,"Semana 1",Detalle_Consumo!$B:$B,"Jueves",Detalle_Consumo!$E:$E,$A20)</f>
        <v>0</v>
      </c>
      <c r="F20" s="5">
        <f>SUMIFS(Detalle_Consumo!$H:$H,Detalle_Consumo!$A:$A,"Semana 1",Detalle_Consumo!$B:$B,"Viernes",Detalle_Consumo!$E:$E,$A20)</f>
        <v>0</v>
      </c>
      <c r="G20" s="6">
        <f t="shared" si="0"/>
        <v>100.44</v>
      </c>
    </row>
    <row r="21" spans="1:7" ht="15" customHeight="1" x14ac:dyDescent="0.25">
      <c r="A21" s="2" t="s">
        <v>48</v>
      </c>
      <c r="B21" s="5">
        <f>SUMIFS(Detalle_Consumo!$H:$H,Detalle_Consumo!$A:$A,"Semana 1",Detalle_Consumo!$B:$B,"Lunes",Detalle_Consumo!$E:$E,$A21)</f>
        <v>0</v>
      </c>
      <c r="C21" s="5">
        <f>SUMIFS(Detalle_Consumo!$H:$H,Detalle_Consumo!$A:$A,"Semana 1",Detalle_Consumo!$B:$B,"Martes",Detalle_Consumo!$E:$E,$A21)</f>
        <v>13.392000000000001</v>
      </c>
      <c r="D21" s="5">
        <f>SUMIFS(Detalle_Consumo!$H:$H,Detalle_Consumo!$A:$A,"Semana 1",Detalle_Consumo!$B:$B,"Miercoles",Detalle_Consumo!$E:$E,$A21)</f>
        <v>1.6739999999999999</v>
      </c>
      <c r="E21" s="5">
        <f>SUMIFS(Detalle_Consumo!$H:$H,Detalle_Consumo!$A:$A,"Semana 1",Detalle_Consumo!$B:$B,"Jueves",Detalle_Consumo!$E:$E,$A21)</f>
        <v>0</v>
      </c>
      <c r="F21" s="5">
        <f>SUMIFS(Detalle_Consumo!$H:$H,Detalle_Consumo!$A:$A,"Semana 1",Detalle_Consumo!$B:$B,"Viernes",Detalle_Consumo!$E:$E,$A21)</f>
        <v>0</v>
      </c>
      <c r="G21" s="6">
        <f t="shared" si="0"/>
        <v>15.066000000000001</v>
      </c>
    </row>
    <row r="22" spans="1:7" ht="15" customHeight="1" x14ac:dyDescent="0.25">
      <c r="A22" s="2" t="s">
        <v>47</v>
      </c>
      <c r="B22" s="5">
        <f>SUMIFS(Detalle_Consumo!$H:$H,Detalle_Consumo!$A:$A,"Semana 1",Detalle_Consumo!$B:$B,"Lunes",Detalle_Consumo!$E:$E,$A22)</f>
        <v>0</v>
      </c>
      <c r="C22" s="5">
        <f>SUMIFS(Detalle_Consumo!$H:$H,Detalle_Consumo!$A:$A,"Semana 1",Detalle_Consumo!$B:$B,"Martes",Detalle_Consumo!$E:$E,$A22)</f>
        <v>6.6960000000000006</v>
      </c>
      <c r="D22" s="5">
        <f>SUMIFS(Detalle_Consumo!$H:$H,Detalle_Consumo!$A:$A,"Semana 1",Detalle_Consumo!$B:$B,"Miercoles",Detalle_Consumo!$E:$E,$A22)</f>
        <v>1.6739999999999999</v>
      </c>
      <c r="E22" s="5">
        <f>SUMIFS(Detalle_Consumo!$H:$H,Detalle_Consumo!$A:$A,"Semana 1",Detalle_Consumo!$B:$B,"Jueves",Detalle_Consumo!$E:$E,$A22)</f>
        <v>0</v>
      </c>
      <c r="F22" s="5">
        <f>SUMIFS(Detalle_Consumo!$H:$H,Detalle_Consumo!$A:$A,"Semana 1",Detalle_Consumo!$B:$B,"Viernes",Detalle_Consumo!$E:$E,$A22)</f>
        <v>0</v>
      </c>
      <c r="G22" s="6">
        <f t="shared" si="0"/>
        <v>8.370000000000001</v>
      </c>
    </row>
    <row r="23" spans="1:7" ht="15" customHeight="1" x14ac:dyDescent="0.25">
      <c r="A23" s="2" t="s">
        <v>51</v>
      </c>
      <c r="B23" s="5">
        <f>SUMIFS(Detalle_Consumo!$H:$H,Detalle_Consumo!$A:$A,"Semana 1",Detalle_Consumo!$B:$B,"Lunes",Detalle_Consumo!$E:$E,$A23)</f>
        <v>0</v>
      </c>
      <c r="C23" s="5">
        <f>SUMIFS(Detalle_Consumo!$H:$H,Detalle_Consumo!$A:$A,"Semana 1",Detalle_Consumo!$B:$B,"Martes",Detalle_Consumo!$E:$E,$A23)</f>
        <v>0</v>
      </c>
      <c r="D23" s="5">
        <f>SUMIFS(Detalle_Consumo!$H:$H,Detalle_Consumo!$A:$A,"Semana 1",Detalle_Consumo!$B:$B,"Miercoles",Detalle_Consumo!$E:$E,$A23)</f>
        <v>72.539999999999992</v>
      </c>
      <c r="E23" s="5">
        <f>SUMIFS(Detalle_Consumo!$H:$H,Detalle_Consumo!$A:$A,"Semana 1",Detalle_Consumo!$B:$B,"Jueves",Detalle_Consumo!$E:$E,$A23)</f>
        <v>0</v>
      </c>
      <c r="F23" s="5">
        <f>SUMIFS(Detalle_Consumo!$H:$H,Detalle_Consumo!$A:$A,"Semana 1",Detalle_Consumo!$B:$B,"Viernes",Detalle_Consumo!$E:$E,$A23)</f>
        <v>0</v>
      </c>
      <c r="G23" s="6">
        <f t="shared" si="0"/>
        <v>72.539999999999992</v>
      </c>
    </row>
    <row r="24" spans="1:7" ht="15" customHeight="1" x14ac:dyDescent="0.25">
      <c r="A24" s="2" t="s">
        <v>53</v>
      </c>
      <c r="B24" s="5">
        <f>SUMIFS(Detalle_Consumo!$H:$H,Detalle_Consumo!$A:$A,"Semana 1",Detalle_Consumo!$B:$B,"Lunes",Detalle_Consumo!$E:$E,$A24)</f>
        <v>0</v>
      </c>
      <c r="C24" s="5">
        <f>SUMIFS(Detalle_Consumo!$H:$H,Detalle_Consumo!$A:$A,"Semana 1",Detalle_Consumo!$B:$B,"Martes",Detalle_Consumo!$E:$E,$A24)</f>
        <v>0</v>
      </c>
      <c r="D24" s="5">
        <f>SUMIFS(Detalle_Consumo!$H:$H,Detalle_Consumo!$A:$A,"Semana 1",Detalle_Consumo!$B:$B,"Miercoles",Detalle_Consumo!$E:$E,$A24)</f>
        <v>27.9</v>
      </c>
      <c r="E24" s="5">
        <f>SUMIFS(Detalle_Consumo!$H:$H,Detalle_Consumo!$A:$A,"Semana 1",Detalle_Consumo!$B:$B,"Jueves",Detalle_Consumo!$E:$E,$A24)</f>
        <v>0</v>
      </c>
      <c r="F24" s="5">
        <f>SUMIFS(Detalle_Consumo!$H:$H,Detalle_Consumo!$A:$A,"Semana 1",Detalle_Consumo!$B:$B,"Viernes",Detalle_Consumo!$E:$E,$A24)</f>
        <v>0</v>
      </c>
      <c r="G24" s="6">
        <f t="shared" si="0"/>
        <v>27.9</v>
      </c>
    </row>
    <row r="25" spans="1:7" ht="15" customHeight="1" x14ac:dyDescent="0.25">
      <c r="A25" s="2" t="s">
        <v>54</v>
      </c>
      <c r="B25" s="5">
        <f>SUMIFS(Detalle_Consumo!$H:$H,Detalle_Consumo!$A:$A,"Semana 1",Detalle_Consumo!$B:$B,"Lunes",Detalle_Consumo!$E:$E,$A25)</f>
        <v>0</v>
      </c>
      <c r="C25" s="5">
        <f>SUMIFS(Detalle_Consumo!$H:$H,Detalle_Consumo!$A:$A,"Semana 1",Detalle_Consumo!$B:$B,"Martes",Detalle_Consumo!$E:$E,$A25)</f>
        <v>0</v>
      </c>
      <c r="D25" s="5">
        <f>SUMIFS(Detalle_Consumo!$H:$H,Detalle_Consumo!$A:$A,"Semana 1",Detalle_Consumo!$B:$B,"Miercoles",Detalle_Consumo!$E:$E,$A25)</f>
        <v>22.319999999999997</v>
      </c>
      <c r="E25" s="5">
        <f>SUMIFS(Detalle_Consumo!$H:$H,Detalle_Consumo!$A:$A,"Semana 1",Detalle_Consumo!$B:$B,"Jueves",Detalle_Consumo!$E:$E,$A25)</f>
        <v>0</v>
      </c>
      <c r="F25" s="5">
        <f>SUMIFS(Detalle_Consumo!$H:$H,Detalle_Consumo!$A:$A,"Semana 1",Detalle_Consumo!$B:$B,"Viernes",Detalle_Consumo!$E:$E,$A25)</f>
        <v>0</v>
      </c>
      <c r="G25" s="6">
        <f t="shared" si="0"/>
        <v>22.319999999999997</v>
      </c>
    </row>
    <row r="26" spans="1:7" ht="15" customHeight="1" x14ac:dyDescent="0.25">
      <c r="A26" s="2" t="s">
        <v>55</v>
      </c>
      <c r="B26" s="5">
        <f>SUMIFS(Detalle_Consumo!$H:$H,Detalle_Consumo!$A:$A,"Semana 1",Detalle_Consumo!$B:$B,"Lunes",Detalle_Consumo!$E:$E,$A26)</f>
        <v>0</v>
      </c>
      <c r="C26" s="5">
        <f>SUMIFS(Detalle_Consumo!$H:$H,Detalle_Consumo!$A:$A,"Semana 1",Detalle_Consumo!$B:$B,"Martes",Detalle_Consumo!$E:$E,$A26)</f>
        <v>0</v>
      </c>
      <c r="D26" s="5">
        <f>SUMIFS(Detalle_Consumo!$H:$H,Detalle_Consumo!$A:$A,"Semana 1",Detalle_Consumo!$B:$B,"Miercoles",Detalle_Consumo!$E:$E,$A26)</f>
        <v>16.740000000000002</v>
      </c>
      <c r="E26" s="5">
        <f>SUMIFS(Detalle_Consumo!$H:$H,Detalle_Consumo!$A:$A,"Semana 1",Detalle_Consumo!$B:$B,"Jueves",Detalle_Consumo!$E:$E,$A26)</f>
        <v>0</v>
      </c>
      <c r="F26" s="5">
        <f>SUMIFS(Detalle_Consumo!$H:$H,Detalle_Consumo!$A:$A,"Semana 1",Detalle_Consumo!$B:$B,"Viernes",Detalle_Consumo!$E:$E,$A26)</f>
        <v>0</v>
      </c>
      <c r="G26" s="6">
        <f t="shared" si="0"/>
        <v>16.740000000000002</v>
      </c>
    </row>
    <row r="27" spans="1:7" ht="15" customHeight="1" x14ac:dyDescent="0.25">
      <c r="A27" s="2" t="s">
        <v>56</v>
      </c>
      <c r="B27" s="5">
        <f>SUMIFS(Detalle_Consumo!$H:$H,Detalle_Consumo!$A:$A,"Semana 1",Detalle_Consumo!$B:$B,"Lunes",Detalle_Consumo!$E:$E,$A27)</f>
        <v>0</v>
      </c>
      <c r="C27" s="5">
        <f>SUMIFS(Detalle_Consumo!$H:$H,Detalle_Consumo!$A:$A,"Semana 1",Detalle_Consumo!$B:$B,"Martes",Detalle_Consumo!$E:$E,$A27)</f>
        <v>0</v>
      </c>
      <c r="D27" s="5">
        <f>SUMIFS(Detalle_Consumo!$H:$H,Detalle_Consumo!$A:$A,"Semana 1",Detalle_Consumo!$B:$B,"Miercoles",Detalle_Consumo!$E:$E,$A27)</f>
        <v>8.370000000000001</v>
      </c>
      <c r="E27" s="5">
        <f>SUMIFS(Detalle_Consumo!$H:$H,Detalle_Consumo!$A:$A,"Semana 1",Detalle_Consumo!$B:$B,"Jueves",Detalle_Consumo!$E:$E,$A27)</f>
        <v>0</v>
      </c>
      <c r="F27" s="5">
        <f>SUMIFS(Detalle_Consumo!$H:$H,Detalle_Consumo!$A:$A,"Semana 1",Detalle_Consumo!$B:$B,"Viernes",Detalle_Consumo!$E:$E,$A27)</f>
        <v>0</v>
      </c>
      <c r="G27" s="6">
        <f t="shared" si="0"/>
        <v>8.370000000000001</v>
      </c>
    </row>
    <row r="28" spans="1:7" ht="15" customHeight="1" x14ac:dyDescent="0.25">
      <c r="A28" s="2" t="s">
        <v>58</v>
      </c>
      <c r="B28" s="5">
        <f>SUMIFS(Detalle_Consumo!$H:$H,Detalle_Consumo!$A:$A,"Semana 1",Detalle_Consumo!$B:$B,"Lunes",Detalle_Consumo!$E:$E,$A28)</f>
        <v>0</v>
      </c>
      <c r="C28" s="5">
        <f>SUMIFS(Detalle_Consumo!$H:$H,Detalle_Consumo!$A:$A,"Semana 1",Detalle_Consumo!$B:$B,"Martes",Detalle_Consumo!$E:$E,$A28)</f>
        <v>0</v>
      </c>
      <c r="D28" s="5">
        <f>SUMIFS(Detalle_Consumo!$H:$H,Detalle_Consumo!$A:$A,"Semana 1",Detalle_Consumo!$B:$B,"Miercoles",Detalle_Consumo!$E:$E,$A28)</f>
        <v>88.387199999999993</v>
      </c>
      <c r="E28" s="5">
        <f>SUMIFS(Detalle_Consumo!$H:$H,Detalle_Consumo!$A:$A,"Semana 1",Detalle_Consumo!$B:$B,"Jueves",Detalle_Consumo!$E:$E,$A28)</f>
        <v>132.58080000000001</v>
      </c>
      <c r="F28" s="5">
        <f>SUMIFS(Detalle_Consumo!$H:$H,Detalle_Consumo!$A:$A,"Semana 1",Detalle_Consumo!$B:$B,"Viernes",Detalle_Consumo!$E:$E,$A28)</f>
        <v>132.58080000000001</v>
      </c>
      <c r="G28" s="6">
        <f t="shared" si="0"/>
        <v>353.54880000000003</v>
      </c>
    </row>
    <row r="29" spans="1:7" ht="15" customHeight="1" x14ac:dyDescent="0.25">
      <c r="A29" s="2" t="s">
        <v>39</v>
      </c>
      <c r="B29" s="5">
        <f>SUMIFS(Detalle_Consumo!$H:$H,Detalle_Consumo!$A:$A,"Semana 1",Detalle_Consumo!$B:$B,"Lunes",Detalle_Consumo!$E:$E,$A29)</f>
        <v>0</v>
      </c>
      <c r="C29" s="5">
        <f>SUMIFS(Detalle_Consumo!$H:$H,Detalle_Consumo!$A:$A,"Semana 1",Detalle_Consumo!$B:$B,"Martes",Detalle_Consumo!$E:$E,$A29)</f>
        <v>0</v>
      </c>
      <c r="D29" s="5">
        <f>SUMIFS(Detalle_Consumo!$H:$H,Detalle_Consumo!$A:$A,"Semana 1",Detalle_Consumo!$B:$B,"Miercoles",Detalle_Consumo!$E:$E,$A29)</f>
        <v>48.211200000000005</v>
      </c>
      <c r="E29" s="5">
        <f>SUMIFS(Detalle_Consumo!$H:$H,Detalle_Consumo!$A:$A,"Semana 1",Detalle_Consumo!$B:$B,"Jueves",Detalle_Consumo!$E:$E,$A29)</f>
        <v>72.316800000000001</v>
      </c>
      <c r="F29" s="5">
        <f>SUMIFS(Detalle_Consumo!$H:$H,Detalle_Consumo!$A:$A,"Semana 1",Detalle_Consumo!$B:$B,"Viernes",Detalle_Consumo!$E:$E,$A29)</f>
        <v>72.316800000000001</v>
      </c>
      <c r="G29" s="6">
        <f t="shared" si="0"/>
        <v>192.84480000000002</v>
      </c>
    </row>
    <row r="30" spans="1:7" ht="15" customHeight="1" x14ac:dyDescent="0.25">
      <c r="A30" s="2" t="s">
        <v>59</v>
      </c>
      <c r="B30" s="5">
        <f>SUMIFS(Detalle_Consumo!$H:$H,Detalle_Consumo!$A:$A,"Semana 1",Detalle_Consumo!$B:$B,"Lunes",Detalle_Consumo!$E:$E,$A30)</f>
        <v>0</v>
      </c>
      <c r="C30" s="5">
        <f>SUMIFS(Detalle_Consumo!$H:$H,Detalle_Consumo!$A:$A,"Semana 1",Detalle_Consumo!$B:$B,"Martes",Detalle_Consumo!$E:$E,$A30)</f>
        <v>0</v>
      </c>
      <c r="D30" s="5">
        <f>SUMIFS(Detalle_Consumo!$H:$H,Detalle_Consumo!$A:$A,"Semana 1",Detalle_Consumo!$B:$B,"Miercoles",Detalle_Consumo!$E:$E,$A30)</f>
        <v>4.0175999999999998</v>
      </c>
      <c r="E30" s="5">
        <f>SUMIFS(Detalle_Consumo!$H:$H,Detalle_Consumo!$A:$A,"Semana 1",Detalle_Consumo!$B:$B,"Jueves",Detalle_Consumo!$E:$E,$A30)</f>
        <v>6.0263999999999998</v>
      </c>
      <c r="F30" s="5">
        <f>SUMIFS(Detalle_Consumo!$H:$H,Detalle_Consumo!$A:$A,"Semana 1",Detalle_Consumo!$B:$B,"Viernes",Detalle_Consumo!$E:$E,$A30)</f>
        <v>6.0263999999999998</v>
      </c>
      <c r="G30" s="6">
        <f t="shared" si="0"/>
        <v>16.070399999999999</v>
      </c>
    </row>
    <row r="31" spans="1:7" ht="15" customHeight="1" x14ac:dyDescent="0.25">
      <c r="A31" s="2" t="s">
        <v>60</v>
      </c>
      <c r="B31" s="5">
        <f>SUMIFS(Detalle_Consumo!$H:$H,Detalle_Consumo!$A:$A,"Semana 1",Detalle_Consumo!$B:$B,"Lunes",Detalle_Consumo!$E:$E,$A31)</f>
        <v>0</v>
      </c>
      <c r="C31" s="5">
        <f>SUMIFS(Detalle_Consumo!$H:$H,Detalle_Consumo!$A:$A,"Semana 1",Detalle_Consumo!$B:$B,"Martes",Detalle_Consumo!$E:$E,$A31)</f>
        <v>0</v>
      </c>
      <c r="D31" s="5">
        <f>SUMIFS(Detalle_Consumo!$H:$H,Detalle_Consumo!$A:$A,"Semana 1",Detalle_Consumo!$B:$B,"Miercoles",Detalle_Consumo!$E:$E,$A31)</f>
        <v>3.21408</v>
      </c>
      <c r="E31" s="5">
        <f>SUMIFS(Detalle_Consumo!$H:$H,Detalle_Consumo!$A:$A,"Semana 1",Detalle_Consumo!$B:$B,"Jueves",Detalle_Consumo!$E:$E,$A31)</f>
        <v>4.8211200000000005</v>
      </c>
      <c r="F31" s="5">
        <f>SUMIFS(Detalle_Consumo!$H:$H,Detalle_Consumo!$A:$A,"Semana 1",Detalle_Consumo!$B:$B,"Viernes",Detalle_Consumo!$E:$E,$A31)</f>
        <v>4.8211200000000005</v>
      </c>
      <c r="G31" s="6">
        <f t="shared" si="0"/>
        <v>12.85632</v>
      </c>
    </row>
    <row r="32" spans="1:7" ht="15" customHeight="1" x14ac:dyDescent="0.25">
      <c r="A32" s="2" t="s">
        <v>61</v>
      </c>
      <c r="B32" s="5">
        <f>SUMIFS(Detalle_Consumo!$H:$H,Detalle_Consumo!$A:$A,"Semana 1",Detalle_Consumo!$B:$B,"Lunes",Detalle_Consumo!$E:$E,$A32)</f>
        <v>0</v>
      </c>
      <c r="C32" s="5">
        <f>SUMIFS(Detalle_Consumo!$H:$H,Detalle_Consumo!$A:$A,"Semana 1",Detalle_Consumo!$B:$B,"Martes",Detalle_Consumo!$E:$E,$A32)</f>
        <v>0</v>
      </c>
      <c r="D32" s="5">
        <f>SUMIFS(Detalle_Consumo!$H:$H,Detalle_Consumo!$A:$A,"Semana 1",Detalle_Consumo!$B:$B,"Miercoles",Detalle_Consumo!$E:$E,$A32)</f>
        <v>218.73599999999999</v>
      </c>
      <c r="E32" s="5">
        <f>SUMIFS(Detalle_Consumo!$H:$H,Detalle_Consumo!$A:$A,"Semana 1",Detalle_Consumo!$B:$B,"Jueves",Detalle_Consumo!$E:$E,$A32)</f>
        <v>328.10399999999998</v>
      </c>
      <c r="F32" s="5">
        <f>SUMIFS(Detalle_Consumo!$H:$H,Detalle_Consumo!$A:$A,"Semana 1",Detalle_Consumo!$B:$B,"Viernes",Detalle_Consumo!$E:$E,$A32)</f>
        <v>328.10399999999998</v>
      </c>
      <c r="G32" s="6">
        <f t="shared" si="0"/>
        <v>874.94399999999996</v>
      </c>
    </row>
    <row r="33" spans="1:7" ht="15" customHeight="1" x14ac:dyDescent="0.25">
      <c r="A33" s="2" t="s">
        <v>62</v>
      </c>
      <c r="B33" s="5">
        <f>SUMIFS(Detalle_Consumo!$H:$H,Detalle_Consumo!$A:$A,"Semana 1",Detalle_Consumo!$B:$B,"Lunes",Detalle_Consumo!$E:$E,$A33)</f>
        <v>0</v>
      </c>
      <c r="C33" s="5">
        <f>SUMIFS(Detalle_Consumo!$H:$H,Detalle_Consumo!$A:$A,"Semana 1",Detalle_Consumo!$B:$B,"Martes",Detalle_Consumo!$E:$E,$A33)</f>
        <v>301.32</v>
      </c>
      <c r="D33" s="5">
        <f>SUMIFS(Detalle_Consumo!$H:$H,Detalle_Consumo!$A:$A,"Semana 1",Detalle_Consumo!$B:$B,"Miercoles",Detalle_Consumo!$E:$E,$A33)</f>
        <v>171.86399999999998</v>
      </c>
      <c r="E33" s="5">
        <f>SUMIFS(Detalle_Consumo!$H:$H,Detalle_Consumo!$A:$A,"Semana 1",Detalle_Consumo!$B:$B,"Jueves",Detalle_Consumo!$E:$E,$A33)</f>
        <v>257.79599999999999</v>
      </c>
      <c r="F33" s="5">
        <f>SUMIFS(Detalle_Consumo!$H:$H,Detalle_Consumo!$A:$A,"Semana 1",Detalle_Consumo!$B:$B,"Viernes",Detalle_Consumo!$E:$E,$A33)</f>
        <v>257.79599999999999</v>
      </c>
      <c r="G33" s="6">
        <f t="shared" si="0"/>
        <v>988.77600000000007</v>
      </c>
    </row>
    <row r="34" spans="1:7" ht="15" customHeight="1" x14ac:dyDescent="0.25">
      <c r="A34" s="2" t="s">
        <v>46</v>
      </c>
      <c r="B34" s="5">
        <f>SUMIFS(Detalle_Consumo!$H:$H,Detalle_Consumo!$A:$A,"Semana 1",Detalle_Consumo!$B:$B,"Lunes",Detalle_Consumo!$E:$E,$A34)</f>
        <v>0</v>
      </c>
      <c r="C34" s="5">
        <f>SUMIFS(Detalle_Consumo!$H:$H,Detalle_Consumo!$A:$A,"Semana 1",Detalle_Consumo!$B:$B,"Martes",Detalle_Consumo!$E:$E,$A34)</f>
        <v>0</v>
      </c>
      <c r="D34" s="5">
        <f>SUMIFS(Detalle_Consumo!$H:$H,Detalle_Consumo!$A:$A,"Semana 1",Detalle_Consumo!$B:$B,"Miercoles",Detalle_Consumo!$E:$E,$A34)</f>
        <v>1.5624</v>
      </c>
      <c r="E34" s="5">
        <f>SUMIFS(Detalle_Consumo!$H:$H,Detalle_Consumo!$A:$A,"Semana 1",Detalle_Consumo!$B:$B,"Jueves",Detalle_Consumo!$E:$E,$A34)</f>
        <v>2.3435999999999999</v>
      </c>
      <c r="F34" s="5">
        <f>SUMIFS(Detalle_Consumo!$H:$H,Detalle_Consumo!$A:$A,"Semana 1",Detalle_Consumo!$B:$B,"Viernes",Detalle_Consumo!$E:$E,$A34)</f>
        <v>2.3435999999999999</v>
      </c>
      <c r="G34" s="6">
        <f t="shared" si="0"/>
        <v>6.2495999999999992</v>
      </c>
    </row>
    <row r="35" spans="1:7" ht="15" customHeight="1" x14ac:dyDescent="0.25">
      <c r="A35" s="2" t="s">
        <v>63</v>
      </c>
      <c r="B35" s="5">
        <f>SUMIFS(Detalle_Consumo!$H:$H,Detalle_Consumo!$A:$A,"Semana 1",Detalle_Consumo!$B:$B,"Lunes",Detalle_Consumo!$E:$E,$A35)</f>
        <v>0</v>
      </c>
      <c r="C35" s="5">
        <f>SUMIFS(Detalle_Consumo!$H:$H,Detalle_Consumo!$A:$A,"Semana 1",Detalle_Consumo!$B:$B,"Martes",Detalle_Consumo!$E:$E,$A35)</f>
        <v>0</v>
      </c>
      <c r="D35" s="5">
        <f>SUMIFS(Detalle_Consumo!$H:$H,Detalle_Consumo!$A:$A,"Semana 1",Detalle_Consumo!$B:$B,"Miercoles",Detalle_Consumo!$E:$E,$A35)</f>
        <v>1.5624</v>
      </c>
      <c r="E35" s="5">
        <f>SUMIFS(Detalle_Consumo!$H:$H,Detalle_Consumo!$A:$A,"Semana 1",Detalle_Consumo!$B:$B,"Jueves",Detalle_Consumo!$E:$E,$A35)</f>
        <v>2.3435999999999999</v>
      </c>
      <c r="F35" s="5">
        <f>SUMIFS(Detalle_Consumo!$H:$H,Detalle_Consumo!$A:$A,"Semana 1",Detalle_Consumo!$B:$B,"Viernes",Detalle_Consumo!$E:$E,$A35)</f>
        <v>2.3435999999999999</v>
      </c>
      <c r="G35" s="6">
        <f t="shared" si="0"/>
        <v>6.2495999999999992</v>
      </c>
    </row>
    <row r="36" spans="1:7" ht="15" customHeight="1" x14ac:dyDescent="0.25">
      <c r="A36" s="7" t="s">
        <v>93</v>
      </c>
      <c r="B36" s="8">
        <f t="shared" ref="B36:G36" si="1">SUM(B2:B35)</f>
        <v>1799.9999999999998</v>
      </c>
      <c r="C36" s="8">
        <f t="shared" si="1"/>
        <v>1800</v>
      </c>
      <c r="D36" s="8">
        <f t="shared" si="1"/>
        <v>1799.9999999999995</v>
      </c>
      <c r="E36" s="8">
        <f t="shared" si="1"/>
        <v>1800</v>
      </c>
      <c r="F36" s="8">
        <f t="shared" si="1"/>
        <v>1800</v>
      </c>
      <c r="G36" s="8">
        <f t="shared" si="1"/>
        <v>8999.9999999999945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34" customWidth="1"/>
    <col min="2" max="6" width="12" customWidth="1"/>
    <col min="7" max="7" width="18" customWidth="1"/>
  </cols>
  <sheetData>
    <row r="1" spans="1:7" ht="26.25" customHeight="1" x14ac:dyDescent="0.25">
      <c r="A1" s="1" t="s">
        <v>91</v>
      </c>
      <c r="B1" s="1" t="s">
        <v>9</v>
      </c>
      <c r="C1" s="1" t="s">
        <v>14</v>
      </c>
      <c r="D1" s="1" t="s">
        <v>17</v>
      </c>
      <c r="E1" s="1" t="s">
        <v>22</v>
      </c>
      <c r="F1" s="1" t="s">
        <v>23</v>
      </c>
      <c r="G1" s="1" t="s">
        <v>94</v>
      </c>
    </row>
    <row r="2" spans="1:7" ht="15" customHeight="1" x14ac:dyDescent="0.25">
      <c r="A2" s="2" t="s">
        <v>35</v>
      </c>
      <c r="B2" s="5">
        <f>SUMIFS(Detalle_Consumo!$H:$H,Detalle_Consumo!$A:$A,"Semana 2",Detalle_Consumo!$B:$B,"Lunes",Detalle_Consumo!$E:$E,$A2)</f>
        <v>468.72</v>
      </c>
      <c r="C2" s="5">
        <f>SUMIFS(Detalle_Consumo!$H:$H,Detalle_Consumo!$A:$A,"Semana 2",Detalle_Consumo!$B:$B,"Martes",Detalle_Consumo!$E:$E,$A2)</f>
        <v>446.40000000000003</v>
      </c>
      <c r="D2" s="5">
        <f>SUMIFS(Detalle_Consumo!$H:$H,Detalle_Consumo!$A:$A,"Semana 2",Detalle_Consumo!$B:$B,"Miercoles",Detalle_Consumo!$E:$E,$A2)</f>
        <v>429.66</v>
      </c>
      <c r="E2" s="5">
        <f>SUMIFS(Detalle_Consumo!$H:$H,Detalle_Consumo!$A:$A,"Semana 2",Detalle_Consumo!$B:$B,"Jueves",Detalle_Consumo!$E:$E,$A2)</f>
        <v>443.61</v>
      </c>
      <c r="F2" s="5">
        <f>SUMIFS(Detalle_Consumo!$H:$H,Detalle_Consumo!$A:$A,"Semana 2",Detalle_Consumo!$B:$B,"Viernes",Detalle_Consumo!$E:$E,$A2)</f>
        <v>443.61</v>
      </c>
      <c r="G2" s="6">
        <f t="shared" ref="G2:G28" si="0">SUM(B2:F2)</f>
        <v>2232.0000000000005</v>
      </c>
    </row>
    <row r="3" spans="1:7" ht="15" customHeight="1" x14ac:dyDescent="0.25">
      <c r="A3" s="2" t="s">
        <v>36</v>
      </c>
      <c r="B3" s="5">
        <f>SUMIFS(Detalle_Consumo!$H:$H,Detalle_Consumo!$A:$A,"Semana 2",Detalle_Consumo!$B:$B,"Lunes",Detalle_Consumo!$E:$E,$A3)</f>
        <v>351.54</v>
      </c>
      <c r="C3" s="5">
        <f>SUMIFS(Detalle_Consumo!$H:$H,Detalle_Consumo!$A:$A,"Semana 2",Detalle_Consumo!$B:$B,"Martes",Detalle_Consumo!$E:$E,$A3)</f>
        <v>357.12</v>
      </c>
      <c r="D3" s="5">
        <f>SUMIFS(Detalle_Consumo!$H:$H,Detalle_Consumo!$A:$A,"Semana 2",Detalle_Consumo!$B:$B,"Miercoles",Detalle_Consumo!$E:$E,$A3)</f>
        <v>323.64</v>
      </c>
      <c r="E3" s="5">
        <f>SUMIFS(Detalle_Consumo!$H:$H,Detalle_Consumo!$A:$A,"Semana 2",Detalle_Consumo!$B:$B,"Jueves",Detalle_Consumo!$E:$E,$A3)</f>
        <v>301.32</v>
      </c>
      <c r="F3" s="5">
        <f>SUMIFS(Detalle_Consumo!$H:$H,Detalle_Consumo!$A:$A,"Semana 2",Detalle_Consumo!$B:$B,"Viernes",Detalle_Consumo!$E:$E,$A3)</f>
        <v>301.32</v>
      </c>
      <c r="G3" s="6">
        <f t="shared" si="0"/>
        <v>1634.94</v>
      </c>
    </row>
    <row r="4" spans="1:7" ht="15" customHeight="1" x14ac:dyDescent="0.25">
      <c r="A4" s="2" t="s">
        <v>62</v>
      </c>
      <c r="B4" s="5">
        <f>SUMIFS(Detalle_Consumo!$H:$H,Detalle_Consumo!$A:$A,"Semana 2",Detalle_Consumo!$B:$B,"Lunes",Detalle_Consumo!$E:$E,$A4)</f>
        <v>267.83999999999997</v>
      </c>
      <c r="C4" s="5">
        <f>SUMIFS(Detalle_Consumo!$H:$H,Detalle_Consumo!$A:$A,"Semana 2",Detalle_Consumo!$B:$B,"Martes",Detalle_Consumo!$E:$E,$A4)</f>
        <v>178.55999999999997</v>
      </c>
      <c r="D4" s="5">
        <f>SUMIFS(Detalle_Consumo!$H:$H,Detalle_Consumo!$A:$A,"Semana 2",Detalle_Consumo!$B:$B,"Miercoles",Detalle_Consumo!$E:$E,$A4)</f>
        <v>156.24</v>
      </c>
      <c r="E4" s="5">
        <f>SUMIFS(Detalle_Consumo!$H:$H,Detalle_Consumo!$A:$A,"Semana 2",Detalle_Consumo!$B:$B,"Jueves",Detalle_Consumo!$E:$E,$A4)</f>
        <v>234.36</v>
      </c>
      <c r="F4" s="5">
        <f>SUMIFS(Detalle_Consumo!$H:$H,Detalle_Consumo!$A:$A,"Semana 2",Detalle_Consumo!$B:$B,"Viernes",Detalle_Consumo!$E:$E,$A4)</f>
        <v>234.36</v>
      </c>
      <c r="G4" s="6">
        <f t="shared" si="0"/>
        <v>1071.3600000000001</v>
      </c>
    </row>
    <row r="5" spans="1:7" ht="15" customHeight="1" x14ac:dyDescent="0.25">
      <c r="A5" s="2" t="s">
        <v>37</v>
      </c>
      <c r="B5" s="5">
        <f>SUMIFS(Detalle_Consumo!$H:$H,Detalle_Consumo!$A:$A,"Semana 2",Detalle_Consumo!$B:$B,"Lunes",Detalle_Consumo!$E:$E,$A5)</f>
        <v>251.10000000000002</v>
      </c>
      <c r="C5" s="5">
        <f>SUMIFS(Detalle_Consumo!$H:$H,Detalle_Consumo!$A:$A,"Semana 2",Detalle_Consumo!$B:$B,"Martes",Detalle_Consumo!$E:$E,$A5)</f>
        <v>239.94</v>
      </c>
      <c r="D5" s="5">
        <f>SUMIFS(Detalle_Consumo!$H:$H,Detalle_Consumo!$A:$A,"Semana 2",Detalle_Consumo!$B:$B,"Miercoles",Detalle_Consumo!$E:$E,$A5)</f>
        <v>239.94</v>
      </c>
      <c r="E5" s="5">
        <f>SUMIFS(Detalle_Consumo!$H:$H,Detalle_Consumo!$A:$A,"Semana 2",Detalle_Consumo!$B:$B,"Jueves",Detalle_Consumo!$E:$E,$A5)</f>
        <v>251.10000000000002</v>
      </c>
      <c r="F5" s="5">
        <f>SUMIFS(Detalle_Consumo!$H:$H,Detalle_Consumo!$A:$A,"Semana 2",Detalle_Consumo!$B:$B,"Viernes",Detalle_Consumo!$E:$E,$A5)</f>
        <v>251.10000000000002</v>
      </c>
      <c r="G5" s="6">
        <f t="shared" si="0"/>
        <v>1233.18</v>
      </c>
    </row>
    <row r="6" spans="1:7" ht="15" customHeight="1" x14ac:dyDescent="0.25">
      <c r="A6" s="2" t="s">
        <v>39</v>
      </c>
      <c r="B6" s="5">
        <f>SUMIFS(Detalle_Consumo!$H:$H,Detalle_Consumo!$A:$A,"Semana 2",Detalle_Consumo!$B:$B,"Lunes",Detalle_Consumo!$E:$E,$A6)</f>
        <v>100.44</v>
      </c>
      <c r="C6" s="5">
        <f>SUMIFS(Detalle_Consumo!$H:$H,Detalle_Consumo!$A:$A,"Semana 2",Detalle_Consumo!$B:$B,"Martes",Detalle_Consumo!$E:$E,$A6)</f>
        <v>66.960000000000008</v>
      </c>
      <c r="D6" s="5">
        <f>SUMIFS(Detalle_Consumo!$H:$H,Detalle_Consumo!$A:$A,"Semana 2",Detalle_Consumo!$B:$B,"Miercoles",Detalle_Consumo!$E:$E,$A6)</f>
        <v>66.960000000000008</v>
      </c>
      <c r="E6" s="5">
        <f>SUMIFS(Detalle_Consumo!$H:$H,Detalle_Consumo!$A:$A,"Semana 2",Detalle_Consumo!$B:$B,"Jueves",Detalle_Consumo!$E:$E,$A6)</f>
        <v>100.44</v>
      </c>
      <c r="F6" s="5">
        <f>SUMIFS(Detalle_Consumo!$H:$H,Detalle_Consumo!$A:$A,"Semana 2",Detalle_Consumo!$B:$B,"Viernes",Detalle_Consumo!$E:$E,$A6)</f>
        <v>100.44</v>
      </c>
      <c r="G6" s="6">
        <f t="shared" si="0"/>
        <v>435.24</v>
      </c>
    </row>
    <row r="7" spans="1:7" ht="15" customHeight="1" x14ac:dyDescent="0.25">
      <c r="A7" s="2" t="s">
        <v>77</v>
      </c>
      <c r="B7" s="5">
        <f>SUMIFS(Detalle_Consumo!$H:$H,Detalle_Consumo!$A:$A,"Semana 2",Detalle_Consumo!$B:$B,"Lunes",Detalle_Consumo!$E:$E,$A7)</f>
        <v>50.22</v>
      </c>
      <c r="C7" s="5">
        <f>SUMIFS(Detalle_Consumo!$H:$H,Detalle_Consumo!$A:$A,"Semana 2",Detalle_Consumo!$B:$B,"Martes",Detalle_Consumo!$E:$E,$A7)</f>
        <v>33.480000000000004</v>
      </c>
      <c r="D7" s="5">
        <f>SUMIFS(Detalle_Consumo!$H:$H,Detalle_Consumo!$A:$A,"Semana 2",Detalle_Consumo!$B:$B,"Miercoles",Detalle_Consumo!$E:$E,$A7)</f>
        <v>0</v>
      </c>
      <c r="E7" s="5">
        <f>SUMIFS(Detalle_Consumo!$H:$H,Detalle_Consumo!$A:$A,"Semana 2",Detalle_Consumo!$B:$B,"Jueves",Detalle_Consumo!$E:$E,$A7)</f>
        <v>0</v>
      </c>
      <c r="F7" s="5">
        <f>SUMIFS(Detalle_Consumo!$H:$H,Detalle_Consumo!$A:$A,"Semana 2",Detalle_Consumo!$B:$B,"Viernes",Detalle_Consumo!$E:$E,$A7)</f>
        <v>0</v>
      </c>
      <c r="G7" s="6">
        <f t="shared" si="0"/>
        <v>83.7</v>
      </c>
    </row>
    <row r="8" spans="1:7" ht="15" customHeight="1" x14ac:dyDescent="0.25">
      <c r="A8" s="2" t="s">
        <v>74</v>
      </c>
      <c r="B8" s="5">
        <f>SUMIFS(Detalle_Consumo!$H:$H,Detalle_Consumo!$A:$A,"Semana 2",Detalle_Consumo!$B:$B,"Lunes",Detalle_Consumo!$E:$E,$A8)</f>
        <v>50.22</v>
      </c>
      <c r="C8" s="5">
        <f>SUMIFS(Detalle_Consumo!$H:$H,Detalle_Consumo!$A:$A,"Semana 2",Detalle_Consumo!$B:$B,"Martes",Detalle_Consumo!$E:$E,$A8)</f>
        <v>55.8</v>
      </c>
      <c r="D8" s="5">
        <f>SUMIFS(Detalle_Consumo!$H:$H,Detalle_Consumo!$A:$A,"Semana 2",Detalle_Consumo!$B:$B,"Miercoles",Detalle_Consumo!$E:$E,$A8)</f>
        <v>22.319999999999997</v>
      </c>
      <c r="E8" s="5">
        <f>SUMIFS(Detalle_Consumo!$H:$H,Detalle_Consumo!$A:$A,"Semana 2",Detalle_Consumo!$B:$B,"Jueves",Detalle_Consumo!$E:$E,$A8)</f>
        <v>0</v>
      </c>
      <c r="F8" s="5">
        <f>SUMIFS(Detalle_Consumo!$H:$H,Detalle_Consumo!$A:$A,"Semana 2",Detalle_Consumo!$B:$B,"Viernes",Detalle_Consumo!$E:$E,$A8)</f>
        <v>0</v>
      </c>
      <c r="G8" s="6">
        <f t="shared" si="0"/>
        <v>128.34</v>
      </c>
    </row>
    <row r="9" spans="1:7" ht="15" customHeight="1" x14ac:dyDescent="0.25">
      <c r="A9" s="2" t="s">
        <v>70</v>
      </c>
      <c r="B9" s="5">
        <f>SUMIFS(Detalle_Consumo!$H:$H,Detalle_Consumo!$A:$A,"Semana 2",Detalle_Consumo!$B:$B,"Lunes",Detalle_Consumo!$E:$E,$A9)</f>
        <v>33.479999999999997</v>
      </c>
      <c r="C9" s="5">
        <f>SUMIFS(Detalle_Consumo!$H:$H,Detalle_Consumo!$A:$A,"Semana 2",Detalle_Consumo!$B:$B,"Martes",Detalle_Consumo!$E:$E,$A9)</f>
        <v>33.479999999999997</v>
      </c>
      <c r="D9" s="5">
        <f>SUMIFS(Detalle_Consumo!$H:$H,Detalle_Consumo!$A:$A,"Semana 2",Detalle_Consumo!$B:$B,"Miercoles",Detalle_Consumo!$E:$E,$A9)</f>
        <v>11.159999999999998</v>
      </c>
      <c r="E9" s="5">
        <f>SUMIFS(Detalle_Consumo!$H:$H,Detalle_Consumo!$A:$A,"Semana 2",Detalle_Consumo!$B:$B,"Jueves",Detalle_Consumo!$E:$E,$A9)</f>
        <v>0</v>
      </c>
      <c r="F9" s="5">
        <f>SUMIFS(Detalle_Consumo!$H:$H,Detalle_Consumo!$A:$A,"Semana 2",Detalle_Consumo!$B:$B,"Viernes",Detalle_Consumo!$E:$E,$A9)</f>
        <v>0</v>
      </c>
      <c r="G9" s="6">
        <f t="shared" si="0"/>
        <v>78.11999999999999</v>
      </c>
    </row>
    <row r="10" spans="1:7" ht="15" customHeight="1" x14ac:dyDescent="0.25">
      <c r="A10" s="2" t="s">
        <v>59</v>
      </c>
      <c r="B10" s="5">
        <f>SUMIFS(Detalle_Consumo!$H:$H,Detalle_Consumo!$A:$A,"Semana 2",Detalle_Consumo!$B:$B,"Lunes",Detalle_Consumo!$E:$E,$A10)</f>
        <v>16.739999999999998</v>
      </c>
      <c r="C10" s="5">
        <f>SUMIFS(Detalle_Consumo!$H:$H,Detalle_Consumo!$A:$A,"Semana 2",Detalle_Consumo!$B:$B,"Martes",Detalle_Consumo!$E:$E,$A10)</f>
        <v>11.159999999999998</v>
      </c>
      <c r="D10" s="5">
        <f>SUMIFS(Detalle_Consumo!$H:$H,Detalle_Consumo!$A:$A,"Semana 2",Detalle_Consumo!$B:$B,"Miercoles",Detalle_Consumo!$E:$E,$A10)</f>
        <v>0</v>
      </c>
      <c r="E10" s="5">
        <f>SUMIFS(Detalle_Consumo!$H:$H,Detalle_Consumo!$A:$A,"Semana 2",Detalle_Consumo!$B:$B,"Jueves",Detalle_Consumo!$E:$E,$A10)</f>
        <v>0</v>
      </c>
      <c r="F10" s="5">
        <f>SUMIFS(Detalle_Consumo!$H:$H,Detalle_Consumo!$A:$A,"Semana 2",Detalle_Consumo!$B:$B,"Viernes",Detalle_Consumo!$E:$E,$A10)</f>
        <v>0</v>
      </c>
      <c r="G10" s="6">
        <f t="shared" si="0"/>
        <v>27.9</v>
      </c>
    </row>
    <row r="11" spans="1:7" ht="15" customHeight="1" x14ac:dyDescent="0.25">
      <c r="A11" s="2" t="s">
        <v>42</v>
      </c>
      <c r="B11" s="5">
        <f>SUMIFS(Detalle_Consumo!$H:$H,Detalle_Consumo!$A:$A,"Semana 2",Detalle_Consumo!$B:$B,"Lunes",Detalle_Consumo!$E:$E,$A11)</f>
        <v>16.739999999999998</v>
      </c>
      <c r="C11" s="5">
        <f>SUMIFS(Detalle_Consumo!$H:$H,Detalle_Consumo!$A:$A,"Semana 2",Detalle_Consumo!$B:$B,"Martes",Detalle_Consumo!$E:$E,$A11)</f>
        <v>16.739999999999998</v>
      </c>
      <c r="D11" s="5">
        <f>SUMIFS(Detalle_Consumo!$H:$H,Detalle_Consumo!$A:$A,"Semana 2",Detalle_Consumo!$B:$B,"Miercoles",Detalle_Consumo!$E:$E,$A11)</f>
        <v>14.507999999999999</v>
      </c>
      <c r="E11" s="5">
        <f>SUMIFS(Detalle_Consumo!$H:$H,Detalle_Consumo!$A:$A,"Semana 2",Detalle_Consumo!$B:$B,"Jueves",Detalle_Consumo!$E:$E,$A11)</f>
        <v>13.392000000000001</v>
      </c>
      <c r="F11" s="5">
        <f>SUMIFS(Detalle_Consumo!$H:$H,Detalle_Consumo!$A:$A,"Semana 2",Detalle_Consumo!$B:$B,"Viernes",Detalle_Consumo!$E:$E,$A11)</f>
        <v>13.392000000000001</v>
      </c>
      <c r="G11" s="6">
        <f t="shared" si="0"/>
        <v>74.772000000000006</v>
      </c>
    </row>
    <row r="12" spans="1:7" ht="15" customHeight="1" x14ac:dyDescent="0.25">
      <c r="A12" s="2" t="s">
        <v>75</v>
      </c>
      <c r="B12" s="5">
        <f>SUMIFS(Detalle_Consumo!$H:$H,Detalle_Consumo!$A:$A,"Semana 2",Detalle_Consumo!$B:$B,"Lunes",Detalle_Consumo!$E:$E,$A12)</f>
        <v>16.739999999999998</v>
      </c>
      <c r="C12" s="5">
        <f>SUMIFS(Detalle_Consumo!$H:$H,Detalle_Consumo!$A:$A,"Semana 2",Detalle_Consumo!$B:$B,"Martes",Detalle_Consumo!$E:$E,$A12)</f>
        <v>16.739999999999998</v>
      </c>
      <c r="D12" s="5">
        <f>SUMIFS(Detalle_Consumo!$H:$H,Detalle_Consumo!$A:$A,"Semana 2",Detalle_Consumo!$B:$B,"Miercoles",Detalle_Consumo!$E:$E,$A12)</f>
        <v>5.5799999999999992</v>
      </c>
      <c r="E12" s="5">
        <f>SUMIFS(Detalle_Consumo!$H:$H,Detalle_Consumo!$A:$A,"Semana 2",Detalle_Consumo!$B:$B,"Jueves",Detalle_Consumo!$E:$E,$A12)</f>
        <v>0</v>
      </c>
      <c r="F12" s="5">
        <f>SUMIFS(Detalle_Consumo!$H:$H,Detalle_Consumo!$A:$A,"Semana 2",Detalle_Consumo!$B:$B,"Viernes",Detalle_Consumo!$E:$E,$A12)</f>
        <v>0</v>
      </c>
      <c r="G12" s="6">
        <f t="shared" si="0"/>
        <v>39.059999999999995</v>
      </c>
    </row>
    <row r="13" spans="1:7" ht="15" customHeight="1" x14ac:dyDescent="0.25">
      <c r="A13" s="2" t="s">
        <v>44</v>
      </c>
      <c r="B13" s="5">
        <f>SUMIFS(Detalle_Consumo!$H:$H,Detalle_Consumo!$A:$A,"Semana 2",Detalle_Consumo!$B:$B,"Lunes",Detalle_Consumo!$E:$E,$A13)</f>
        <v>16.739999999999998</v>
      </c>
      <c r="C13" s="5">
        <f>SUMIFS(Detalle_Consumo!$H:$H,Detalle_Consumo!$A:$A,"Semana 2",Detalle_Consumo!$B:$B,"Martes",Detalle_Consumo!$E:$E,$A13)</f>
        <v>19.53</v>
      </c>
      <c r="D13" s="5">
        <f>SUMIFS(Detalle_Consumo!$H:$H,Detalle_Consumo!$A:$A,"Semana 2",Detalle_Consumo!$B:$B,"Miercoles",Detalle_Consumo!$E:$E,$A13)</f>
        <v>13.95</v>
      </c>
      <c r="E13" s="5">
        <f>SUMIFS(Detalle_Consumo!$H:$H,Detalle_Consumo!$A:$A,"Semana 2",Detalle_Consumo!$B:$B,"Jueves",Detalle_Consumo!$E:$E,$A13)</f>
        <v>8.3699999999999992</v>
      </c>
      <c r="F13" s="5">
        <f>SUMIFS(Detalle_Consumo!$H:$H,Detalle_Consumo!$A:$A,"Semana 2",Detalle_Consumo!$B:$B,"Viernes",Detalle_Consumo!$E:$E,$A13)</f>
        <v>8.3699999999999992</v>
      </c>
      <c r="G13" s="6">
        <f t="shared" si="0"/>
        <v>66.959999999999994</v>
      </c>
    </row>
    <row r="14" spans="1:7" ht="15" customHeight="1" x14ac:dyDescent="0.25">
      <c r="A14" s="2" t="s">
        <v>45</v>
      </c>
      <c r="B14" s="5">
        <f>SUMIFS(Detalle_Consumo!$H:$H,Detalle_Consumo!$A:$A,"Semana 2",Detalle_Consumo!$B:$B,"Lunes",Detalle_Consumo!$E:$E,$A14)</f>
        <v>16.739999999999998</v>
      </c>
      <c r="C14" s="5">
        <f>SUMIFS(Detalle_Consumo!$H:$H,Detalle_Consumo!$A:$A,"Semana 2",Detalle_Consumo!$B:$B,"Martes",Detalle_Consumo!$E:$E,$A14)</f>
        <v>11.159999999999998</v>
      </c>
      <c r="D14" s="5">
        <f>SUMIFS(Detalle_Consumo!$H:$H,Detalle_Consumo!$A:$A,"Semana 2",Detalle_Consumo!$B:$B,"Miercoles",Detalle_Consumo!$E:$E,$A14)</f>
        <v>5.5799999999999992</v>
      </c>
      <c r="E14" s="5">
        <f>SUMIFS(Detalle_Consumo!$H:$H,Detalle_Consumo!$A:$A,"Semana 2",Detalle_Consumo!$B:$B,"Jueves",Detalle_Consumo!$E:$E,$A14)</f>
        <v>8.3699999999999992</v>
      </c>
      <c r="F14" s="5">
        <f>SUMIFS(Detalle_Consumo!$H:$H,Detalle_Consumo!$A:$A,"Semana 2",Detalle_Consumo!$B:$B,"Viernes",Detalle_Consumo!$E:$E,$A14)</f>
        <v>8.3699999999999992</v>
      </c>
      <c r="G14" s="6">
        <f t="shared" si="0"/>
        <v>50.219999999999992</v>
      </c>
    </row>
    <row r="15" spans="1:7" ht="15" customHeight="1" x14ac:dyDescent="0.25">
      <c r="A15" s="2" t="s">
        <v>43</v>
      </c>
      <c r="B15" s="5">
        <f>SUMIFS(Detalle_Consumo!$H:$H,Detalle_Consumo!$A:$A,"Semana 2",Detalle_Consumo!$B:$B,"Lunes",Detalle_Consumo!$E:$E,$A15)</f>
        <v>8.3699999999999992</v>
      </c>
      <c r="C15" s="5">
        <f>SUMIFS(Detalle_Consumo!$H:$H,Detalle_Consumo!$A:$A,"Semana 2",Detalle_Consumo!$B:$B,"Martes",Detalle_Consumo!$E:$E,$A15)</f>
        <v>5.5799999999999992</v>
      </c>
      <c r="D15" s="5">
        <f>SUMIFS(Detalle_Consumo!$H:$H,Detalle_Consumo!$A:$A,"Semana 2",Detalle_Consumo!$B:$B,"Miercoles",Detalle_Consumo!$E:$E,$A15)</f>
        <v>5.5799999999999992</v>
      </c>
      <c r="E15" s="5">
        <f>SUMIFS(Detalle_Consumo!$H:$H,Detalle_Consumo!$A:$A,"Semana 2",Detalle_Consumo!$B:$B,"Jueves",Detalle_Consumo!$E:$E,$A15)</f>
        <v>8.3699999999999992</v>
      </c>
      <c r="F15" s="5">
        <f>SUMIFS(Detalle_Consumo!$H:$H,Detalle_Consumo!$A:$A,"Semana 2",Detalle_Consumo!$B:$B,"Viernes",Detalle_Consumo!$E:$E,$A15)</f>
        <v>8.3699999999999992</v>
      </c>
      <c r="G15" s="6">
        <f t="shared" si="0"/>
        <v>36.269999999999996</v>
      </c>
    </row>
    <row r="16" spans="1:7" ht="15" customHeight="1" x14ac:dyDescent="0.25">
      <c r="A16" s="2" t="s">
        <v>78</v>
      </c>
      <c r="B16" s="5">
        <f>SUMIFS(Detalle_Consumo!$H:$H,Detalle_Consumo!$A:$A,"Semana 2",Detalle_Consumo!$B:$B,"Lunes",Detalle_Consumo!$E:$E,$A16)</f>
        <v>8.3699999999999992</v>
      </c>
      <c r="C16" s="5">
        <f>SUMIFS(Detalle_Consumo!$H:$H,Detalle_Consumo!$A:$A,"Semana 2",Detalle_Consumo!$B:$B,"Martes",Detalle_Consumo!$E:$E,$A16)</f>
        <v>5.5799999999999992</v>
      </c>
      <c r="D16" s="5">
        <f>SUMIFS(Detalle_Consumo!$H:$H,Detalle_Consumo!$A:$A,"Semana 2",Detalle_Consumo!$B:$B,"Miercoles",Detalle_Consumo!$E:$E,$A16)</f>
        <v>0</v>
      </c>
      <c r="E16" s="5">
        <f>SUMIFS(Detalle_Consumo!$H:$H,Detalle_Consumo!$A:$A,"Semana 2",Detalle_Consumo!$B:$B,"Jueves",Detalle_Consumo!$E:$E,$A16)</f>
        <v>0</v>
      </c>
      <c r="F16" s="5">
        <f>SUMIFS(Detalle_Consumo!$H:$H,Detalle_Consumo!$A:$A,"Semana 2",Detalle_Consumo!$B:$B,"Viernes",Detalle_Consumo!$E:$E,$A16)</f>
        <v>0</v>
      </c>
      <c r="G16" s="6">
        <f t="shared" si="0"/>
        <v>13.95</v>
      </c>
    </row>
    <row r="17" spans="1:7" ht="15" customHeight="1" x14ac:dyDescent="0.25">
      <c r="A17" s="2" t="s">
        <v>50</v>
      </c>
      <c r="B17" s="5">
        <f>SUMIFS(Detalle_Consumo!$H:$H,Detalle_Consumo!$A:$A,"Semana 2",Detalle_Consumo!$B:$B,"Lunes",Detalle_Consumo!$E:$E,$A17)</f>
        <v>126.00000000000001</v>
      </c>
      <c r="C17" s="5">
        <f>SUMIFS(Detalle_Consumo!$H:$H,Detalle_Consumo!$A:$A,"Semana 2",Detalle_Consumo!$B:$B,"Martes",Detalle_Consumo!$E:$E,$A17)</f>
        <v>126.00000000000003</v>
      </c>
      <c r="D17" s="5">
        <f>SUMIFS(Detalle_Consumo!$H:$H,Detalle_Consumo!$A:$A,"Semana 2",Detalle_Consumo!$B:$B,"Miercoles",Detalle_Consumo!$E:$E,$A17)</f>
        <v>126.00000000000003</v>
      </c>
      <c r="E17" s="5">
        <f>SUMIFS(Detalle_Consumo!$H:$H,Detalle_Consumo!$A:$A,"Semana 2",Detalle_Consumo!$B:$B,"Jueves",Detalle_Consumo!$E:$E,$A17)</f>
        <v>126.00000000000001</v>
      </c>
      <c r="F17" s="5">
        <f>SUMIFS(Detalle_Consumo!$H:$H,Detalle_Consumo!$A:$A,"Semana 2",Detalle_Consumo!$B:$B,"Viernes",Detalle_Consumo!$E:$E,$A17)</f>
        <v>126.00000000000001</v>
      </c>
      <c r="G17" s="6">
        <f t="shared" si="0"/>
        <v>630.00000000000011</v>
      </c>
    </row>
    <row r="18" spans="1:7" ht="15" customHeight="1" x14ac:dyDescent="0.25">
      <c r="A18" s="2" t="s">
        <v>51</v>
      </c>
      <c r="B18" s="5">
        <f>SUMIFS(Detalle_Consumo!$H:$H,Detalle_Consumo!$A:$A,"Semana 2",Detalle_Consumo!$B:$B,"Lunes",Detalle_Consumo!$E:$E,$A18)</f>
        <v>0</v>
      </c>
      <c r="C18" s="5">
        <f>SUMIFS(Detalle_Consumo!$H:$H,Detalle_Consumo!$A:$A,"Semana 2",Detalle_Consumo!$B:$B,"Martes",Detalle_Consumo!$E:$E,$A18)</f>
        <v>89.279999999999987</v>
      </c>
      <c r="D18" s="5">
        <f>SUMIFS(Detalle_Consumo!$H:$H,Detalle_Consumo!$A:$A,"Semana 2",Detalle_Consumo!$B:$B,"Miercoles",Detalle_Consumo!$E:$E,$A18)</f>
        <v>89.279999999999987</v>
      </c>
      <c r="E18" s="5">
        <f>SUMIFS(Detalle_Consumo!$H:$H,Detalle_Consumo!$A:$A,"Semana 2",Detalle_Consumo!$B:$B,"Jueves",Detalle_Consumo!$E:$E,$A18)</f>
        <v>0</v>
      </c>
      <c r="F18" s="5">
        <f>SUMIFS(Detalle_Consumo!$H:$H,Detalle_Consumo!$A:$A,"Semana 2",Detalle_Consumo!$B:$B,"Viernes",Detalle_Consumo!$E:$E,$A18)</f>
        <v>0</v>
      </c>
      <c r="G18" s="6">
        <f t="shared" si="0"/>
        <v>178.55999999999997</v>
      </c>
    </row>
    <row r="19" spans="1:7" ht="15" customHeight="1" x14ac:dyDescent="0.25">
      <c r="A19" s="2" t="s">
        <v>52</v>
      </c>
      <c r="B19" s="5">
        <f>SUMIFS(Detalle_Consumo!$H:$H,Detalle_Consumo!$A:$A,"Semana 2",Detalle_Consumo!$B:$B,"Lunes",Detalle_Consumo!$E:$E,$A19)</f>
        <v>0</v>
      </c>
      <c r="C19" s="5">
        <f>SUMIFS(Detalle_Consumo!$H:$H,Detalle_Consumo!$A:$A,"Semana 2",Detalle_Consumo!$B:$B,"Martes",Detalle_Consumo!$E:$E,$A19)</f>
        <v>33.480000000000004</v>
      </c>
      <c r="D19" s="5">
        <f>SUMIFS(Detalle_Consumo!$H:$H,Detalle_Consumo!$A:$A,"Semana 2",Detalle_Consumo!$B:$B,"Miercoles",Detalle_Consumo!$E:$E,$A19)</f>
        <v>78.12</v>
      </c>
      <c r="E19" s="5">
        <f>SUMIFS(Detalle_Consumo!$H:$H,Detalle_Consumo!$A:$A,"Semana 2",Detalle_Consumo!$B:$B,"Jueves",Detalle_Consumo!$E:$E,$A19)</f>
        <v>66.959999999999994</v>
      </c>
      <c r="F19" s="5">
        <f>SUMIFS(Detalle_Consumo!$H:$H,Detalle_Consumo!$A:$A,"Semana 2",Detalle_Consumo!$B:$B,"Viernes",Detalle_Consumo!$E:$E,$A19)</f>
        <v>66.959999999999994</v>
      </c>
      <c r="G19" s="6">
        <f t="shared" si="0"/>
        <v>245.51999999999998</v>
      </c>
    </row>
    <row r="20" spans="1:7" ht="15" customHeight="1" x14ac:dyDescent="0.25">
      <c r="A20" s="2" t="s">
        <v>54</v>
      </c>
      <c r="B20" s="5">
        <f>SUMIFS(Detalle_Consumo!$H:$H,Detalle_Consumo!$A:$A,"Semana 2",Detalle_Consumo!$B:$B,"Lunes",Detalle_Consumo!$E:$E,$A20)</f>
        <v>0</v>
      </c>
      <c r="C20" s="5">
        <f>SUMIFS(Detalle_Consumo!$H:$H,Detalle_Consumo!$A:$A,"Semana 2",Detalle_Consumo!$B:$B,"Martes",Detalle_Consumo!$E:$E,$A20)</f>
        <v>33.480000000000004</v>
      </c>
      <c r="D20" s="5">
        <f>SUMIFS(Detalle_Consumo!$H:$H,Detalle_Consumo!$A:$A,"Semana 2",Detalle_Consumo!$B:$B,"Miercoles",Detalle_Consumo!$E:$E,$A20)</f>
        <v>33.480000000000004</v>
      </c>
      <c r="E20" s="5">
        <f>SUMIFS(Detalle_Consumo!$H:$H,Detalle_Consumo!$A:$A,"Semana 2",Detalle_Consumo!$B:$B,"Jueves",Detalle_Consumo!$E:$E,$A20)</f>
        <v>0</v>
      </c>
      <c r="F20" s="5">
        <f>SUMIFS(Detalle_Consumo!$H:$H,Detalle_Consumo!$A:$A,"Semana 2",Detalle_Consumo!$B:$B,"Viernes",Detalle_Consumo!$E:$E,$A20)</f>
        <v>0</v>
      </c>
      <c r="G20" s="6">
        <f t="shared" si="0"/>
        <v>66.960000000000008</v>
      </c>
    </row>
    <row r="21" spans="1:7" ht="15" customHeight="1" x14ac:dyDescent="0.25">
      <c r="A21" s="2" t="s">
        <v>56</v>
      </c>
      <c r="B21" s="5">
        <f>SUMIFS(Detalle_Consumo!$H:$H,Detalle_Consumo!$A:$A,"Semana 2",Detalle_Consumo!$B:$B,"Lunes",Detalle_Consumo!$E:$E,$A21)</f>
        <v>0</v>
      </c>
      <c r="C21" s="5">
        <f>SUMIFS(Detalle_Consumo!$H:$H,Detalle_Consumo!$A:$A,"Semana 2",Detalle_Consumo!$B:$B,"Martes",Detalle_Consumo!$E:$E,$A21)</f>
        <v>16.740000000000002</v>
      </c>
      <c r="D21" s="5">
        <f>SUMIFS(Detalle_Consumo!$H:$H,Detalle_Consumo!$A:$A,"Semana 2",Detalle_Consumo!$B:$B,"Miercoles",Detalle_Consumo!$E:$E,$A21)</f>
        <v>16.740000000000002</v>
      </c>
      <c r="E21" s="5">
        <f>SUMIFS(Detalle_Consumo!$H:$H,Detalle_Consumo!$A:$A,"Semana 2",Detalle_Consumo!$B:$B,"Jueves",Detalle_Consumo!$E:$E,$A21)</f>
        <v>0</v>
      </c>
      <c r="F21" s="5">
        <f>SUMIFS(Detalle_Consumo!$H:$H,Detalle_Consumo!$A:$A,"Semana 2",Detalle_Consumo!$B:$B,"Viernes",Detalle_Consumo!$E:$E,$A21)</f>
        <v>0</v>
      </c>
      <c r="G21" s="6">
        <f t="shared" si="0"/>
        <v>33.480000000000004</v>
      </c>
    </row>
    <row r="22" spans="1:7" ht="15" customHeight="1" x14ac:dyDescent="0.25">
      <c r="A22" s="2" t="s">
        <v>47</v>
      </c>
      <c r="B22" s="5">
        <f>SUMIFS(Detalle_Consumo!$H:$H,Detalle_Consumo!$A:$A,"Semana 2",Detalle_Consumo!$B:$B,"Lunes",Detalle_Consumo!$E:$E,$A22)</f>
        <v>0</v>
      </c>
      <c r="C22" s="5">
        <f>SUMIFS(Detalle_Consumo!$H:$H,Detalle_Consumo!$A:$A,"Semana 2",Detalle_Consumo!$B:$B,"Martes",Detalle_Consumo!$E:$E,$A22)</f>
        <v>2.7899999999999996</v>
      </c>
      <c r="D22" s="5">
        <f>SUMIFS(Detalle_Consumo!$H:$H,Detalle_Consumo!$A:$A,"Semana 2",Detalle_Consumo!$B:$B,"Miercoles",Detalle_Consumo!$E:$E,$A22)</f>
        <v>6.1379999999999999</v>
      </c>
      <c r="E22" s="5">
        <f>SUMIFS(Detalle_Consumo!$H:$H,Detalle_Consumo!$A:$A,"Semana 2",Detalle_Consumo!$B:$B,"Jueves",Detalle_Consumo!$E:$E,$A22)</f>
        <v>5.0220000000000002</v>
      </c>
      <c r="F22" s="5">
        <f>SUMIFS(Detalle_Consumo!$H:$H,Detalle_Consumo!$A:$A,"Semana 2",Detalle_Consumo!$B:$B,"Viernes",Detalle_Consumo!$E:$E,$A22)</f>
        <v>5.0220000000000002</v>
      </c>
      <c r="G22" s="6">
        <f t="shared" si="0"/>
        <v>18.972000000000001</v>
      </c>
    </row>
    <row r="23" spans="1:7" ht="15" customHeight="1" x14ac:dyDescent="0.25">
      <c r="A23" s="2" t="s">
        <v>38</v>
      </c>
      <c r="B23" s="5">
        <f>SUMIFS(Detalle_Consumo!$H:$H,Detalle_Consumo!$A:$A,"Semana 2",Detalle_Consumo!$B:$B,"Lunes",Detalle_Consumo!$E:$E,$A23)</f>
        <v>0</v>
      </c>
      <c r="C23" s="5">
        <f>SUMIFS(Detalle_Consumo!$H:$H,Detalle_Consumo!$A:$A,"Semana 2",Detalle_Consumo!$B:$B,"Martes",Detalle_Consumo!$E:$E,$A23)</f>
        <v>0</v>
      </c>
      <c r="D23" s="5">
        <f>SUMIFS(Detalle_Consumo!$H:$H,Detalle_Consumo!$A:$A,"Semana 2",Detalle_Consumo!$B:$B,"Miercoles",Detalle_Consumo!$E:$E,$A23)</f>
        <v>100.44</v>
      </c>
      <c r="E23" s="5">
        <f>SUMIFS(Detalle_Consumo!$H:$H,Detalle_Consumo!$A:$A,"Semana 2",Detalle_Consumo!$B:$B,"Jueves",Detalle_Consumo!$E:$E,$A23)</f>
        <v>150.66</v>
      </c>
      <c r="F23" s="5">
        <f>SUMIFS(Detalle_Consumo!$H:$H,Detalle_Consumo!$A:$A,"Semana 2",Detalle_Consumo!$B:$B,"Viernes",Detalle_Consumo!$E:$E,$A23)</f>
        <v>150.66</v>
      </c>
      <c r="G23" s="6">
        <f t="shared" si="0"/>
        <v>401.76</v>
      </c>
    </row>
    <row r="24" spans="1:7" ht="15" customHeight="1" x14ac:dyDescent="0.25">
      <c r="A24" s="2" t="s">
        <v>40</v>
      </c>
      <c r="B24" s="5">
        <f>SUMIFS(Detalle_Consumo!$H:$H,Detalle_Consumo!$A:$A,"Semana 2",Detalle_Consumo!$B:$B,"Lunes",Detalle_Consumo!$E:$E,$A24)</f>
        <v>0</v>
      </c>
      <c r="C24" s="5">
        <f>SUMIFS(Detalle_Consumo!$H:$H,Detalle_Consumo!$A:$A,"Semana 2",Detalle_Consumo!$B:$B,"Martes",Detalle_Consumo!$E:$E,$A24)</f>
        <v>0</v>
      </c>
      <c r="D24" s="5">
        <f>SUMIFS(Detalle_Consumo!$H:$H,Detalle_Consumo!$A:$A,"Semana 2",Detalle_Consumo!$B:$B,"Miercoles",Detalle_Consumo!$E:$E,$A24)</f>
        <v>22.319999999999997</v>
      </c>
      <c r="E24" s="5">
        <f>SUMIFS(Detalle_Consumo!$H:$H,Detalle_Consumo!$A:$A,"Semana 2",Detalle_Consumo!$B:$B,"Jueves",Detalle_Consumo!$E:$E,$A24)</f>
        <v>33.479999999999997</v>
      </c>
      <c r="F24" s="5">
        <f>SUMIFS(Detalle_Consumo!$H:$H,Detalle_Consumo!$A:$A,"Semana 2",Detalle_Consumo!$B:$B,"Viernes",Detalle_Consumo!$E:$E,$A24)</f>
        <v>33.479999999999997</v>
      </c>
      <c r="G24" s="6">
        <f t="shared" si="0"/>
        <v>89.28</v>
      </c>
    </row>
    <row r="25" spans="1:7" ht="15" customHeight="1" x14ac:dyDescent="0.25">
      <c r="A25" s="2" t="s">
        <v>41</v>
      </c>
      <c r="B25" s="5">
        <f>SUMIFS(Detalle_Consumo!$H:$H,Detalle_Consumo!$A:$A,"Semana 2",Detalle_Consumo!$B:$B,"Lunes",Detalle_Consumo!$E:$E,$A25)</f>
        <v>0</v>
      </c>
      <c r="C25" s="5">
        <f>SUMIFS(Detalle_Consumo!$H:$H,Detalle_Consumo!$A:$A,"Semana 2",Detalle_Consumo!$B:$B,"Martes",Detalle_Consumo!$E:$E,$A25)</f>
        <v>0</v>
      </c>
      <c r="D25" s="5">
        <f>SUMIFS(Detalle_Consumo!$H:$H,Detalle_Consumo!$A:$A,"Semana 2",Detalle_Consumo!$B:$B,"Miercoles",Detalle_Consumo!$E:$E,$A25)</f>
        <v>22.319999999999997</v>
      </c>
      <c r="E25" s="5">
        <f>SUMIFS(Detalle_Consumo!$H:$H,Detalle_Consumo!$A:$A,"Semana 2",Detalle_Consumo!$B:$B,"Jueves",Detalle_Consumo!$E:$E,$A25)</f>
        <v>33.479999999999997</v>
      </c>
      <c r="F25" s="5">
        <f>SUMIFS(Detalle_Consumo!$H:$H,Detalle_Consumo!$A:$A,"Semana 2",Detalle_Consumo!$B:$B,"Viernes",Detalle_Consumo!$E:$E,$A25)</f>
        <v>33.479999999999997</v>
      </c>
      <c r="G25" s="6">
        <f t="shared" si="0"/>
        <v>89.28</v>
      </c>
    </row>
    <row r="26" spans="1:7" ht="15" customHeight="1" x14ac:dyDescent="0.25">
      <c r="A26" s="2" t="s">
        <v>46</v>
      </c>
      <c r="B26" s="5">
        <f>SUMIFS(Detalle_Consumo!$H:$H,Detalle_Consumo!$A:$A,"Semana 2",Detalle_Consumo!$B:$B,"Lunes",Detalle_Consumo!$E:$E,$A26)</f>
        <v>0</v>
      </c>
      <c r="C26" s="5">
        <f>SUMIFS(Detalle_Consumo!$H:$H,Detalle_Consumo!$A:$A,"Semana 2",Detalle_Consumo!$B:$B,"Martes",Detalle_Consumo!$E:$E,$A26)</f>
        <v>0</v>
      </c>
      <c r="D26" s="5">
        <f>SUMIFS(Detalle_Consumo!$H:$H,Detalle_Consumo!$A:$A,"Semana 2",Detalle_Consumo!$B:$B,"Miercoles",Detalle_Consumo!$E:$E,$A26)</f>
        <v>4.4640000000000004</v>
      </c>
      <c r="E26" s="5">
        <f>SUMIFS(Detalle_Consumo!$H:$H,Detalle_Consumo!$A:$A,"Semana 2",Detalle_Consumo!$B:$B,"Jueves",Detalle_Consumo!$E:$E,$A26)</f>
        <v>6.6960000000000006</v>
      </c>
      <c r="F26" s="5">
        <f>SUMIFS(Detalle_Consumo!$H:$H,Detalle_Consumo!$A:$A,"Semana 2",Detalle_Consumo!$B:$B,"Viernes",Detalle_Consumo!$E:$E,$A26)</f>
        <v>6.6960000000000006</v>
      </c>
      <c r="G26" s="6">
        <f t="shared" si="0"/>
        <v>17.856000000000002</v>
      </c>
    </row>
    <row r="27" spans="1:7" ht="15" customHeight="1" x14ac:dyDescent="0.25">
      <c r="A27" s="2" t="s">
        <v>48</v>
      </c>
      <c r="B27" s="5">
        <f>SUMIFS(Detalle_Consumo!$H:$H,Detalle_Consumo!$A:$A,"Semana 2",Detalle_Consumo!$B:$B,"Lunes",Detalle_Consumo!$E:$E,$A27)</f>
        <v>0</v>
      </c>
      <c r="C27" s="5">
        <f>SUMIFS(Detalle_Consumo!$H:$H,Detalle_Consumo!$A:$A,"Semana 2",Detalle_Consumo!$B:$B,"Martes",Detalle_Consumo!$E:$E,$A27)</f>
        <v>0</v>
      </c>
      <c r="D27" s="5">
        <f>SUMIFS(Detalle_Consumo!$H:$H,Detalle_Consumo!$A:$A,"Semana 2",Detalle_Consumo!$B:$B,"Miercoles",Detalle_Consumo!$E:$E,$A27)</f>
        <v>3.3479999999999999</v>
      </c>
      <c r="E27" s="5">
        <f>SUMIFS(Detalle_Consumo!$H:$H,Detalle_Consumo!$A:$A,"Semana 2",Detalle_Consumo!$B:$B,"Jueves",Detalle_Consumo!$E:$E,$A27)</f>
        <v>5.0220000000000002</v>
      </c>
      <c r="F27" s="5">
        <f>SUMIFS(Detalle_Consumo!$H:$H,Detalle_Consumo!$A:$A,"Semana 2",Detalle_Consumo!$B:$B,"Viernes",Detalle_Consumo!$E:$E,$A27)</f>
        <v>5.0220000000000002</v>
      </c>
      <c r="G27" s="6">
        <f t="shared" si="0"/>
        <v>13.392000000000001</v>
      </c>
    </row>
    <row r="28" spans="1:7" ht="15" customHeight="1" x14ac:dyDescent="0.25">
      <c r="A28" s="2" t="s">
        <v>49</v>
      </c>
      <c r="B28" s="5">
        <f>SUMIFS(Detalle_Consumo!$H:$H,Detalle_Consumo!$A:$A,"Semana 2",Detalle_Consumo!$B:$B,"Lunes",Detalle_Consumo!$E:$E,$A28)</f>
        <v>0</v>
      </c>
      <c r="C28" s="5">
        <f>SUMIFS(Detalle_Consumo!$H:$H,Detalle_Consumo!$A:$A,"Semana 2",Detalle_Consumo!$B:$B,"Martes",Detalle_Consumo!$E:$E,$A28)</f>
        <v>0</v>
      </c>
      <c r="D28" s="5">
        <f>SUMIFS(Detalle_Consumo!$H:$H,Detalle_Consumo!$A:$A,"Semana 2",Detalle_Consumo!$B:$B,"Miercoles",Detalle_Consumo!$E:$E,$A28)</f>
        <v>2.2320000000000002</v>
      </c>
      <c r="E28" s="5">
        <f>SUMIFS(Detalle_Consumo!$H:$H,Detalle_Consumo!$A:$A,"Semana 2",Detalle_Consumo!$B:$B,"Jueves",Detalle_Consumo!$E:$E,$A28)</f>
        <v>3.3480000000000003</v>
      </c>
      <c r="F28" s="5">
        <f>SUMIFS(Detalle_Consumo!$H:$H,Detalle_Consumo!$A:$A,"Semana 2",Detalle_Consumo!$B:$B,"Viernes",Detalle_Consumo!$E:$E,$A28)</f>
        <v>3.3480000000000003</v>
      </c>
      <c r="G28" s="6">
        <f t="shared" si="0"/>
        <v>8.9280000000000008</v>
      </c>
    </row>
    <row r="29" spans="1:7" ht="15" customHeight="1" x14ac:dyDescent="0.25">
      <c r="A29" s="7" t="s">
        <v>93</v>
      </c>
      <c r="B29" s="8">
        <f t="shared" ref="B29:G29" si="1">SUM(B2:B28)</f>
        <v>1799.9999999999998</v>
      </c>
      <c r="C29" s="8">
        <f t="shared" si="1"/>
        <v>1800</v>
      </c>
      <c r="D29" s="8">
        <f t="shared" si="1"/>
        <v>1799.9999999999998</v>
      </c>
      <c r="E29" s="8">
        <f t="shared" si="1"/>
        <v>1799.9999999999998</v>
      </c>
      <c r="F29" s="8">
        <f t="shared" si="1"/>
        <v>1799.9999999999998</v>
      </c>
      <c r="G29" s="8">
        <f t="shared" si="1"/>
        <v>9000.0000000000018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1" customWidth="1"/>
    <col min="2" max="2" width="30" customWidth="1"/>
    <col min="3" max="3" width="10" customWidth="1"/>
    <col min="4" max="4" width="8" customWidth="1"/>
    <col min="5" max="5" width="15" customWidth="1"/>
    <col min="6" max="6" width="12" customWidth="1"/>
    <col min="7" max="7" width="15" customWidth="1"/>
  </cols>
  <sheetData>
    <row r="1" spans="1:7" ht="30" x14ac:dyDescent="0.25">
      <c r="A1" s="9" t="s">
        <v>1</v>
      </c>
      <c r="B1" s="9" t="s">
        <v>2</v>
      </c>
      <c r="C1" s="9" t="s">
        <v>3</v>
      </c>
      <c r="D1" s="9" t="s">
        <v>4</v>
      </c>
      <c r="E1" s="9" t="s">
        <v>95</v>
      </c>
      <c r="F1" s="9" t="s">
        <v>96</v>
      </c>
      <c r="G1" s="9" t="s">
        <v>7</v>
      </c>
    </row>
    <row r="2" spans="1:7" x14ac:dyDescent="0.25">
      <c r="A2" s="2" t="s">
        <v>9</v>
      </c>
      <c r="B2" s="2" t="s">
        <v>80</v>
      </c>
      <c r="C2" s="2" t="s">
        <v>79</v>
      </c>
      <c r="D2" s="2">
        <v>3</v>
      </c>
      <c r="E2" s="2">
        <v>6</v>
      </c>
      <c r="F2" s="2">
        <v>30</v>
      </c>
      <c r="G2" s="2">
        <f t="shared" ref="G2:G9" si="0">D2*E2*F2</f>
        <v>540</v>
      </c>
    </row>
    <row r="3" spans="1:7" x14ac:dyDescent="0.25">
      <c r="A3" s="2" t="s">
        <v>14</v>
      </c>
      <c r="B3" s="2" t="s">
        <v>84</v>
      </c>
      <c r="C3" s="2" t="s">
        <v>83</v>
      </c>
      <c r="D3" s="2">
        <v>2</v>
      </c>
      <c r="E3" s="2">
        <v>6</v>
      </c>
      <c r="F3" s="2">
        <v>30</v>
      </c>
      <c r="G3" s="2">
        <f t="shared" si="0"/>
        <v>360</v>
      </c>
    </row>
    <row r="4" spans="1:7" x14ac:dyDescent="0.25">
      <c r="A4" s="2" t="s">
        <v>14</v>
      </c>
      <c r="B4" s="2" t="s">
        <v>88</v>
      </c>
      <c r="C4" s="2" t="s">
        <v>87</v>
      </c>
      <c r="D4" s="2">
        <v>1</v>
      </c>
      <c r="E4" s="2">
        <v>6</v>
      </c>
      <c r="F4" s="2">
        <v>30</v>
      </c>
      <c r="G4" s="2">
        <f t="shared" si="0"/>
        <v>180</v>
      </c>
    </row>
    <row r="5" spans="1:7" x14ac:dyDescent="0.25">
      <c r="A5" s="2" t="s">
        <v>17</v>
      </c>
      <c r="B5" s="2" t="s">
        <v>80</v>
      </c>
      <c r="C5" s="2" t="s">
        <v>79</v>
      </c>
      <c r="D5" s="2">
        <v>3</v>
      </c>
      <c r="E5" s="2">
        <v>6</v>
      </c>
      <c r="F5" s="2">
        <v>30</v>
      </c>
      <c r="G5" s="2">
        <f t="shared" si="0"/>
        <v>540</v>
      </c>
    </row>
    <row r="6" spans="1:7" x14ac:dyDescent="0.25">
      <c r="A6" s="2" t="s">
        <v>22</v>
      </c>
      <c r="B6" s="2" t="s">
        <v>88</v>
      </c>
      <c r="C6" s="2" t="s">
        <v>87</v>
      </c>
      <c r="D6" s="2">
        <v>2</v>
      </c>
      <c r="E6" s="2">
        <v>6</v>
      </c>
      <c r="F6" s="2">
        <v>30</v>
      </c>
      <c r="G6" s="2">
        <f t="shared" si="0"/>
        <v>360</v>
      </c>
    </row>
    <row r="7" spans="1:7" x14ac:dyDescent="0.25">
      <c r="A7" s="2" t="s">
        <v>22</v>
      </c>
      <c r="B7" s="2" t="s">
        <v>84</v>
      </c>
      <c r="C7" s="2" t="s">
        <v>83</v>
      </c>
      <c r="D7" s="2">
        <v>1</v>
      </c>
      <c r="E7" s="2">
        <v>6</v>
      </c>
      <c r="F7" s="2">
        <v>30</v>
      </c>
      <c r="G7" s="2">
        <f t="shared" si="0"/>
        <v>180</v>
      </c>
    </row>
    <row r="8" spans="1:7" x14ac:dyDescent="0.25">
      <c r="A8" s="2" t="s">
        <v>23</v>
      </c>
      <c r="B8" s="2" t="s">
        <v>84</v>
      </c>
      <c r="C8" s="2" t="s">
        <v>83</v>
      </c>
      <c r="D8" s="2">
        <v>2</v>
      </c>
      <c r="E8" s="2">
        <v>6</v>
      </c>
      <c r="F8" s="2">
        <v>30</v>
      </c>
      <c r="G8" s="2">
        <f t="shared" si="0"/>
        <v>360</v>
      </c>
    </row>
    <row r="9" spans="1:7" x14ac:dyDescent="0.25">
      <c r="A9" s="2" t="s">
        <v>23</v>
      </c>
      <c r="B9" s="2" t="s">
        <v>88</v>
      </c>
      <c r="C9" s="2" t="s">
        <v>87</v>
      </c>
      <c r="D9" s="2">
        <v>1</v>
      </c>
      <c r="E9" s="2">
        <v>6</v>
      </c>
      <c r="F9" s="2">
        <v>30</v>
      </c>
      <c r="G9" s="2">
        <f t="shared" si="0"/>
        <v>180</v>
      </c>
    </row>
    <row r="11" spans="1:7" x14ac:dyDescent="0.25">
      <c r="A11" s="3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1" customWidth="1"/>
    <col min="2" max="2" width="30" customWidth="1"/>
    <col min="3" max="3" width="10" customWidth="1"/>
    <col min="4" max="4" width="32" customWidth="1"/>
    <col min="5" max="6" width="12" customWidth="1"/>
    <col min="7" max="7" width="14" customWidth="1"/>
  </cols>
  <sheetData>
    <row r="1" spans="1:7" ht="30" x14ac:dyDescent="0.25">
      <c r="A1" s="9" t="s">
        <v>1</v>
      </c>
      <c r="B1" s="9" t="s">
        <v>2</v>
      </c>
      <c r="C1" s="9" t="s">
        <v>3</v>
      </c>
      <c r="D1" s="9" t="s">
        <v>32</v>
      </c>
      <c r="E1" s="9" t="s">
        <v>33</v>
      </c>
      <c r="F1" s="9" t="s">
        <v>89</v>
      </c>
      <c r="G1" s="9" t="s">
        <v>90</v>
      </c>
    </row>
    <row r="2" spans="1:7" x14ac:dyDescent="0.25">
      <c r="A2" s="2" t="str">
        <f>Programacion_PanesBudines!A2</f>
        <v>Lunes</v>
      </c>
      <c r="B2" s="2" t="str">
        <f>Programacion_PanesBudines!B2</f>
        <v>Pan de molde</v>
      </c>
      <c r="C2" s="2" t="str">
        <f>Programacion_PanesBudines!C2</f>
        <v>B01</v>
      </c>
      <c r="D2" s="2" t="str">
        <f>Formulas!C121</f>
        <v>AGUA</v>
      </c>
      <c r="E2" s="4">
        <f>Formulas!D121</f>
        <v>0.47299999999999998</v>
      </c>
      <c r="F2" s="5">
        <f>Programacion_PanesBudines!G2</f>
        <v>540</v>
      </c>
      <c r="G2" s="5">
        <f t="shared" ref="G2:G33" si="0">E2*F2</f>
        <v>255.42</v>
      </c>
    </row>
    <row r="3" spans="1:7" x14ac:dyDescent="0.25">
      <c r="A3" s="2" t="str">
        <f>Programacion_PanesBudines!A2</f>
        <v>Lunes</v>
      </c>
      <c r="B3" s="2" t="str">
        <f>Programacion_PanesBudines!B2</f>
        <v>Pan de molde</v>
      </c>
      <c r="C3" s="2" t="str">
        <f>Programacion_PanesBudines!C2</f>
        <v>B01</v>
      </c>
      <c r="D3" s="2" t="str">
        <f>Formulas!C122</f>
        <v>HARINA DE ARROZ</v>
      </c>
      <c r="E3" s="4">
        <f>Formulas!D122</f>
        <v>0.13600000000000001</v>
      </c>
      <c r="F3" s="5">
        <f>Programacion_PanesBudines!G2</f>
        <v>540</v>
      </c>
      <c r="G3" s="5">
        <f t="shared" si="0"/>
        <v>73.440000000000012</v>
      </c>
    </row>
    <row r="4" spans="1:7" x14ac:dyDescent="0.25">
      <c r="A4" s="2" t="str">
        <f>Programacion_PanesBudines!A2</f>
        <v>Lunes</v>
      </c>
      <c r="B4" s="2" t="str">
        <f>Programacion_PanesBudines!B2</f>
        <v>Pan de molde</v>
      </c>
      <c r="C4" s="2" t="str">
        <f>Programacion_PanesBudines!C2</f>
        <v>B01</v>
      </c>
      <c r="D4" s="2" t="str">
        <f>Formulas!C123</f>
        <v>FÉCULA DE MAÍZ</v>
      </c>
      <c r="E4" s="4">
        <f>Formulas!D123</f>
        <v>0.10199999999999999</v>
      </c>
      <c r="F4" s="5">
        <f>Programacion_PanesBudines!G2</f>
        <v>540</v>
      </c>
      <c r="G4" s="5">
        <f t="shared" si="0"/>
        <v>55.08</v>
      </c>
    </row>
    <row r="5" spans="1:7" x14ac:dyDescent="0.25">
      <c r="A5" s="2" t="str">
        <f>Programacion_PanesBudines!A2</f>
        <v>Lunes</v>
      </c>
      <c r="B5" s="2" t="str">
        <f>Programacion_PanesBudines!B2</f>
        <v>Pan de molde</v>
      </c>
      <c r="C5" s="2" t="str">
        <f>Programacion_PanesBudines!C2</f>
        <v>B01</v>
      </c>
      <c r="D5" s="2" t="str">
        <f>Formulas!C124</f>
        <v>FÉCULA DE MANDIOCA</v>
      </c>
      <c r="E5" s="4">
        <f>Formulas!D124</f>
        <v>8.5000000000000006E-2</v>
      </c>
      <c r="F5" s="5">
        <f>Programacion_PanesBudines!G2</f>
        <v>540</v>
      </c>
      <c r="G5" s="5">
        <f t="shared" si="0"/>
        <v>45.900000000000006</v>
      </c>
    </row>
    <row r="6" spans="1:7" x14ac:dyDescent="0.25">
      <c r="A6" s="2" t="str">
        <f>Programacion_PanesBudines!A2</f>
        <v>Lunes</v>
      </c>
      <c r="B6" s="2" t="str">
        <f>Programacion_PanesBudines!B2</f>
        <v>Pan de molde</v>
      </c>
      <c r="C6" s="2" t="str">
        <f>Programacion_PanesBudines!C2</f>
        <v>B01</v>
      </c>
      <c r="D6" s="2" t="str">
        <f>Formulas!C125</f>
        <v>ACEITE DE GIRASOL ALTO OLEICO</v>
      </c>
      <c r="E6" s="4">
        <f>Formulas!D125</f>
        <v>5.0999999999999997E-2</v>
      </c>
      <c r="F6" s="5">
        <f>Programacion_PanesBudines!G2</f>
        <v>540</v>
      </c>
      <c r="G6" s="5">
        <f t="shared" si="0"/>
        <v>27.54</v>
      </c>
    </row>
    <row r="7" spans="1:7" x14ac:dyDescent="0.25">
      <c r="A7" s="2" t="str">
        <f>Programacion_PanesBudines!A2</f>
        <v>Lunes</v>
      </c>
      <c r="B7" s="2" t="str">
        <f>Programacion_PanesBudines!B2</f>
        <v>Pan de molde</v>
      </c>
      <c r="C7" s="2" t="str">
        <f>Programacion_PanesBudines!C2</f>
        <v>B01</v>
      </c>
      <c r="D7" s="2" t="str">
        <f>Formulas!C126</f>
        <v>AZÚCAR</v>
      </c>
      <c r="E7" s="4">
        <f>Formulas!D126</f>
        <v>3.4000000000000002E-2</v>
      </c>
      <c r="F7" s="5">
        <f>Programacion_PanesBudines!G2</f>
        <v>540</v>
      </c>
      <c r="G7" s="5">
        <f t="shared" si="0"/>
        <v>18.360000000000003</v>
      </c>
    </row>
    <row r="8" spans="1:7" x14ac:dyDescent="0.25">
      <c r="A8" s="2" t="str">
        <f>Programacion_PanesBudines!A2</f>
        <v>Lunes</v>
      </c>
      <c r="B8" s="2" t="str">
        <f>Programacion_PanesBudines!B2</f>
        <v>Pan de molde</v>
      </c>
      <c r="C8" s="2" t="str">
        <f>Programacion_PanesBudines!C2</f>
        <v>B01</v>
      </c>
      <c r="D8" s="2" t="str">
        <f>Formulas!C127</f>
        <v>LECHE EN POLVO</v>
      </c>
      <c r="E8" s="4">
        <f>Formulas!D127</f>
        <v>3.4000000000000002E-2</v>
      </c>
      <c r="F8" s="5">
        <f>Programacion_PanesBudines!G2</f>
        <v>540</v>
      </c>
      <c r="G8" s="5">
        <f t="shared" si="0"/>
        <v>18.360000000000003</v>
      </c>
    </row>
    <row r="9" spans="1:7" x14ac:dyDescent="0.25">
      <c r="A9" s="2" t="str">
        <f>Programacion_PanesBudines!A2</f>
        <v>Lunes</v>
      </c>
      <c r="B9" s="2" t="str">
        <f>Programacion_PanesBudines!B2</f>
        <v>Pan de molde</v>
      </c>
      <c r="C9" s="2" t="str">
        <f>Programacion_PanesBudines!C2</f>
        <v>B01</v>
      </c>
      <c r="D9" s="2" t="str">
        <f>Formulas!C128</f>
        <v>PSYLLIUM</v>
      </c>
      <c r="E9" s="4">
        <f>Formulas!D128</f>
        <v>2.5499999999999998E-2</v>
      </c>
      <c r="F9" s="5">
        <f>Programacion_PanesBudines!G2</f>
        <v>540</v>
      </c>
      <c r="G9" s="5">
        <f t="shared" si="0"/>
        <v>13.77</v>
      </c>
    </row>
    <row r="10" spans="1:7" x14ac:dyDescent="0.25">
      <c r="A10" s="2" t="str">
        <f>Programacion_PanesBudines!A2</f>
        <v>Lunes</v>
      </c>
      <c r="B10" s="2" t="str">
        <f>Programacion_PanesBudines!B2</f>
        <v>Pan de molde</v>
      </c>
      <c r="C10" s="2" t="str">
        <f>Programacion_PanesBudines!C2</f>
        <v>B01</v>
      </c>
      <c r="D10" s="2" t="str">
        <f>Formulas!C129</f>
        <v>FIBRA C 200</v>
      </c>
      <c r="E10" s="4">
        <f>Formulas!D129</f>
        <v>2.1250000000000002E-2</v>
      </c>
      <c r="F10" s="5">
        <f>Programacion_PanesBudines!G2</f>
        <v>540</v>
      </c>
      <c r="G10" s="5">
        <f t="shared" si="0"/>
        <v>11.475000000000001</v>
      </c>
    </row>
    <row r="11" spans="1:7" x14ac:dyDescent="0.25">
      <c r="A11" s="2" t="str">
        <f>Programacion_PanesBudines!A2</f>
        <v>Lunes</v>
      </c>
      <c r="B11" s="2" t="str">
        <f>Programacion_PanesBudines!B2</f>
        <v>Pan de molde</v>
      </c>
      <c r="C11" s="2" t="str">
        <f>Programacion_PanesBudines!C2</f>
        <v>B01</v>
      </c>
      <c r="D11" s="2" t="str">
        <f>Formulas!C130</f>
        <v>LEVADURA</v>
      </c>
      <c r="E11" s="4">
        <f>Formulas!D130</f>
        <v>1.7000000000000001E-2</v>
      </c>
      <c r="F11" s="5">
        <f>Programacion_PanesBudines!G2</f>
        <v>540</v>
      </c>
      <c r="G11" s="5">
        <f t="shared" si="0"/>
        <v>9.1800000000000015</v>
      </c>
    </row>
    <row r="12" spans="1:7" x14ac:dyDescent="0.25">
      <c r="A12" s="2" t="str">
        <f>Programacion_PanesBudines!A2</f>
        <v>Lunes</v>
      </c>
      <c r="B12" s="2" t="str">
        <f>Programacion_PanesBudines!B2</f>
        <v>Pan de molde</v>
      </c>
      <c r="C12" s="2" t="str">
        <f>Programacion_PanesBudines!C2</f>
        <v>B01</v>
      </c>
      <c r="D12" s="2" t="str">
        <f>Formulas!C131</f>
        <v>GOMA XÁNTICA</v>
      </c>
      <c r="E12" s="4">
        <f>Formulas!D131</f>
        <v>1.2749999999999999E-2</v>
      </c>
      <c r="F12" s="5">
        <f>Programacion_PanesBudines!G2</f>
        <v>540</v>
      </c>
      <c r="G12" s="5">
        <f t="shared" si="0"/>
        <v>6.8849999999999998</v>
      </c>
    </row>
    <row r="13" spans="1:7" x14ac:dyDescent="0.25">
      <c r="A13" s="2" t="str">
        <f>Programacion_PanesBudines!A2</f>
        <v>Lunes</v>
      </c>
      <c r="B13" s="2" t="str">
        <f>Programacion_PanesBudines!B2</f>
        <v>Pan de molde</v>
      </c>
      <c r="C13" s="2" t="str">
        <f>Programacion_PanesBudines!C2</f>
        <v>B01</v>
      </c>
      <c r="D13" s="2" t="str">
        <f>Formulas!C132</f>
        <v>SAL</v>
      </c>
      <c r="E13" s="4">
        <f>Formulas!D132</f>
        <v>8.5000000000000006E-3</v>
      </c>
      <c r="F13" s="5">
        <f>Programacion_PanesBudines!G2</f>
        <v>540</v>
      </c>
      <c r="G13" s="5">
        <f t="shared" si="0"/>
        <v>4.5900000000000007</v>
      </c>
    </row>
    <row r="14" spans="1:7" x14ac:dyDescent="0.25">
      <c r="A14" s="2" t="str">
        <f>Programacion_PanesBudines!A3</f>
        <v>Martes</v>
      </c>
      <c r="B14" s="2" t="str">
        <f>Programacion_PanesBudines!B3</f>
        <v>Budin de vainilla / citricos</v>
      </c>
      <c r="C14" s="2" t="str">
        <f>Programacion_PanesBudines!C3</f>
        <v>B02</v>
      </c>
      <c r="D14" s="2" t="str">
        <f>Formulas!C133</f>
        <v>AZÚCAR</v>
      </c>
      <c r="E14" s="4">
        <f>Formulas!D133</f>
        <v>0.1958</v>
      </c>
      <c r="F14" s="5">
        <f>Programacion_PanesBudines!G3</f>
        <v>360</v>
      </c>
      <c r="G14" s="5">
        <f t="shared" si="0"/>
        <v>70.488</v>
      </c>
    </row>
    <row r="15" spans="1:7" x14ac:dyDescent="0.25">
      <c r="A15" s="2" t="str">
        <f>Programacion_PanesBudines!A3</f>
        <v>Martes</v>
      </c>
      <c r="B15" s="2" t="str">
        <f>Programacion_PanesBudines!B3</f>
        <v>Budin de vainilla / citricos</v>
      </c>
      <c r="C15" s="2" t="str">
        <f>Programacion_PanesBudines!C3</f>
        <v>B02</v>
      </c>
      <c r="D15" s="2" t="str">
        <f>Formulas!C134</f>
        <v>MARGARINA</v>
      </c>
      <c r="E15" s="4">
        <f>Formulas!D134</f>
        <v>0.1424</v>
      </c>
      <c r="F15" s="5">
        <f>Programacion_PanesBudines!G3</f>
        <v>360</v>
      </c>
      <c r="G15" s="5">
        <f t="shared" si="0"/>
        <v>51.264000000000003</v>
      </c>
    </row>
    <row r="16" spans="1:7" x14ac:dyDescent="0.25">
      <c r="A16" s="2" t="str">
        <f>Programacion_PanesBudines!A3</f>
        <v>Martes</v>
      </c>
      <c r="B16" s="2" t="str">
        <f>Programacion_PanesBudines!B3</f>
        <v>Budin de vainilla / citricos</v>
      </c>
      <c r="C16" s="2" t="str">
        <f>Programacion_PanesBudines!C3</f>
        <v>B02</v>
      </c>
      <c r="D16" s="2" t="str">
        <f>Formulas!C135</f>
        <v>HARINA DE ARROZ</v>
      </c>
      <c r="E16" s="4">
        <f>Formulas!D135</f>
        <v>0.1246</v>
      </c>
      <c r="F16" s="5">
        <f>Programacion_PanesBudines!G3</f>
        <v>360</v>
      </c>
      <c r="G16" s="5">
        <f t="shared" si="0"/>
        <v>44.856000000000002</v>
      </c>
    </row>
    <row r="17" spans="1:7" x14ac:dyDescent="0.25">
      <c r="A17" s="2" t="str">
        <f>Programacion_PanesBudines!A3</f>
        <v>Martes</v>
      </c>
      <c r="B17" s="2" t="str">
        <f>Programacion_PanesBudines!B3</f>
        <v>Budin de vainilla / citricos</v>
      </c>
      <c r="C17" s="2" t="str">
        <f>Programacion_PanesBudines!C3</f>
        <v>B02</v>
      </c>
      <c r="D17" s="2" t="str">
        <f>Formulas!C136</f>
        <v>FÉCULA DE MAÍZ</v>
      </c>
      <c r="E17" s="4">
        <f>Formulas!D136</f>
        <v>0.10680000000000001</v>
      </c>
      <c r="F17" s="5">
        <f>Programacion_PanesBudines!G3</f>
        <v>360</v>
      </c>
      <c r="G17" s="5">
        <f t="shared" si="0"/>
        <v>38.448</v>
      </c>
    </row>
    <row r="18" spans="1:7" x14ac:dyDescent="0.25">
      <c r="A18" s="2" t="str">
        <f>Programacion_PanesBudines!A3</f>
        <v>Martes</v>
      </c>
      <c r="B18" s="2" t="str">
        <f>Programacion_PanesBudines!B3</f>
        <v>Budin de vainilla / citricos</v>
      </c>
      <c r="C18" s="2" t="str">
        <f>Programacion_PanesBudines!C3</f>
        <v>B02</v>
      </c>
      <c r="D18" s="2" t="str">
        <f>Formulas!C137</f>
        <v>AGUA</v>
      </c>
      <c r="E18" s="4">
        <f>Formulas!D137</f>
        <v>0.2079</v>
      </c>
      <c r="F18" s="5">
        <f>Programacion_PanesBudines!G3</f>
        <v>360</v>
      </c>
      <c r="G18" s="5">
        <f t="shared" si="0"/>
        <v>74.843999999999994</v>
      </c>
    </row>
    <row r="19" spans="1:7" x14ac:dyDescent="0.25">
      <c r="A19" s="2" t="str">
        <f>Programacion_PanesBudines!A3</f>
        <v>Martes</v>
      </c>
      <c r="B19" s="2" t="str">
        <f>Programacion_PanesBudines!B3</f>
        <v>Budin de vainilla / citricos</v>
      </c>
      <c r="C19" s="2" t="str">
        <f>Programacion_PanesBudines!C3</f>
        <v>B02</v>
      </c>
      <c r="D19" s="2" t="str">
        <f>Formulas!C138</f>
        <v>HUEVO EN POLVO DESHIDRATADO</v>
      </c>
      <c r="E19" s="4">
        <f>Formulas!D138</f>
        <v>5.3400000000000003E-2</v>
      </c>
      <c r="F19" s="5">
        <f>Programacion_PanesBudines!G3</f>
        <v>360</v>
      </c>
      <c r="G19" s="5">
        <f t="shared" si="0"/>
        <v>19.224</v>
      </c>
    </row>
    <row r="20" spans="1:7" x14ac:dyDescent="0.25">
      <c r="A20" s="2" t="str">
        <f>Programacion_PanesBudines!A3</f>
        <v>Martes</v>
      </c>
      <c r="B20" s="2" t="str">
        <f>Programacion_PanesBudines!B3</f>
        <v>Budin de vainilla / citricos</v>
      </c>
      <c r="C20" s="2" t="str">
        <f>Programacion_PanesBudines!C3</f>
        <v>B02</v>
      </c>
      <c r="D20" s="2" t="str">
        <f>Formulas!C139</f>
        <v>FÉCULA DE MANDIOCA</v>
      </c>
      <c r="E20" s="4">
        <f>Formulas!D139</f>
        <v>5.3400000000000003E-2</v>
      </c>
      <c r="F20" s="5">
        <f>Programacion_PanesBudines!G3</f>
        <v>360</v>
      </c>
      <c r="G20" s="5">
        <f t="shared" si="0"/>
        <v>19.224</v>
      </c>
    </row>
    <row r="21" spans="1:7" x14ac:dyDescent="0.25">
      <c r="A21" s="2" t="str">
        <f>Programacion_PanesBudines!A3</f>
        <v>Martes</v>
      </c>
      <c r="B21" s="2" t="str">
        <f>Programacion_PanesBudines!B3</f>
        <v>Budin de vainilla / citricos</v>
      </c>
      <c r="C21" s="2" t="str">
        <f>Programacion_PanesBudines!C3</f>
        <v>B02</v>
      </c>
      <c r="D21" s="2" t="str">
        <f>Formulas!C140</f>
        <v>LECHE EN POLVO</v>
      </c>
      <c r="E21" s="4">
        <f>Formulas!D140</f>
        <v>4.4499999999999998E-2</v>
      </c>
      <c r="F21" s="5">
        <f>Programacion_PanesBudines!G3</f>
        <v>360</v>
      </c>
      <c r="G21" s="5">
        <f t="shared" si="0"/>
        <v>16.02</v>
      </c>
    </row>
    <row r="22" spans="1:7" x14ac:dyDescent="0.25">
      <c r="A22" s="2" t="str">
        <f>Programacion_PanesBudines!A3</f>
        <v>Martes</v>
      </c>
      <c r="B22" s="2" t="str">
        <f>Programacion_PanesBudines!B3</f>
        <v>Budin de vainilla / citricos</v>
      </c>
      <c r="C22" s="2" t="str">
        <f>Programacion_PanesBudines!C3</f>
        <v>B02</v>
      </c>
      <c r="D22" s="2" t="str">
        <f>Formulas!C141</f>
        <v>PANACEA</v>
      </c>
      <c r="E22" s="4">
        <f>Formulas!D141</f>
        <v>1.78E-2</v>
      </c>
      <c r="F22" s="5">
        <f>Programacion_PanesBudines!G3</f>
        <v>360</v>
      </c>
      <c r="G22" s="5">
        <f t="shared" si="0"/>
        <v>6.4080000000000004</v>
      </c>
    </row>
    <row r="23" spans="1:7" x14ac:dyDescent="0.25">
      <c r="A23" s="2" t="str">
        <f>Programacion_PanesBudines!A3</f>
        <v>Martes</v>
      </c>
      <c r="B23" s="2" t="str">
        <f>Programacion_PanesBudines!B3</f>
        <v>Budin de vainilla / citricos</v>
      </c>
      <c r="C23" s="2" t="str">
        <f>Programacion_PanesBudines!C3</f>
        <v>B02</v>
      </c>
      <c r="D23" s="2" t="str">
        <f>Formulas!C142</f>
        <v>POLVO PARA HORNEAR</v>
      </c>
      <c r="E23" s="4">
        <f>Formulas!D142</f>
        <v>1.78E-2</v>
      </c>
      <c r="F23" s="5">
        <f>Programacion_PanesBudines!G3</f>
        <v>360</v>
      </c>
      <c r="G23" s="5">
        <f t="shared" si="0"/>
        <v>6.4080000000000004</v>
      </c>
    </row>
    <row r="24" spans="1:7" x14ac:dyDescent="0.25">
      <c r="A24" s="2" t="str">
        <f>Programacion_PanesBudines!A3</f>
        <v>Martes</v>
      </c>
      <c r="B24" s="2" t="str">
        <f>Programacion_PanesBudines!B3</f>
        <v>Budin de vainilla / citricos</v>
      </c>
      <c r="C24" s="2" t="str">
        <f>Programacion_PanesBudines!C3</f>
        <v>B02</v>
      </c>
      <c r="D24" s="2" t="str">
        <f>Formulas!C143</f>
        <v>GOMA XÁNTICA</v>
      </c>
      <c r="E24" s="4">
        <f>Formulas!D143</f>
        <v>8.8999999999999999E-3</v>
      </c>
      <c r="F24" s="5">
        <f>Programacion_PanesBudines!G3</f>
        <v>360</v>
      </c>
      <c r="G24" s="5">
        <f t="shared" si="0"/>
        <v>3.2040000000000002</v>
      </c>
    </row>
    <row r="25" spans="1:7" x14ac:dyDescent="0.25">
      <c r="A25" s="2" t="str">
        <f>Programacion_PanesBudines!A3</f>
        <v>Martes</v>
      </c>
      <c r="B25" s="2" t="str">
        <f>Programacion_PanesBudines!B3</f>
        <v>Budin de vainilla / citricos</v>
      </c>
      <c r="C25" s="2" t="str">
        <f>Programacion_PanesBudines!C3</f>
        <v>B02</v>
      </c>
      <c r="D25" s="2" t="str">
        <f>Formulas!C144</f>
        <v>PROPIONATO DE CALCIO</v>
      </c>
      <c r="E25" s="4">
        <f>Formulas!D144</f>
        <v>8.8999999999999999E-3</v>
      </c>
      <c r="F25" s="5">
        <f>Programacion_PanesBudines!G3</f>
        <v>360</v>
      </c>
      <c r="G25" s="5">
        <f t="shared" si="0"/>
        <v>3.2040000000000002</v>
      </c>
    </row>
    <row r="26" spans="1:7" x14ac:dyDescent="0.25">
      <c r="A26" s="2" t="str">
        <f>Programacion_PanesBudines!A3</f>
        <v>Martes</v>
      </c>
      <c r="B26" s="2" t="str">
        <f>Programacion_PanesBudines!B3</f>
        <v>Budin de vainilla / citricos</v>
      </c>
      <c r="C26" s="2" t="str">
        <f>Programacion_PanesBudines!C3</f>
        <v>B02</v>
      </c>
      <c r="D26" s="2" t="str">
        <f>Formulas!C145</f>
        <v>ESENCIA DE VAINILLA / NARANJA / LIMÓN</v>
      </c>
      <c r="E26" s="4">
        <f>Formulas!D145</f>
        <v>1.068E-2</v>
      </c>
      <c r="F26" s="5">
        <f>Programacion_PanesBudines!G3</f>
        <v>360</v>
      </c>
      <c r="G26" s="5">
        <f t="shared" si="0"/>
        <v>3.8448000000000002</v>
      </c>
    </row>
    <row r="27" spans="1:7" x14ac:dyDescent="0.25">
      <c r="A27" s="2" t="str">
        <f>Programacion_PanesBudines!A3</f>
        <v>Martes</v>
      </c>
      <c r="B27" s="2" t="str">
        <f>Programacion_PanesBudines!B3</f>
        <v>Budin de vainilla / citricos</v>
      </c>
      <c r="C27" s="2" t="str">
        <f>Programacion_PanesBudines!C3</f>
        <v>B02</v>
      </c>
      <c r="D27" s="2" t="str">
        <f>Formulas!C146</f>
        <v>SAL</v>
      </c>
      <c r="E27" s="4">
        <f>Formulas!D146</f>
        <v>4.45E-3</v>
      </c>
      <c r="F27" s="5">
        <f>Programacion_PanesBudines!G3</f>
        <v>360</v>
      </c>
      <c r="G27" s="5">
        <f t="shared" si="0"/>
        <v>1.6020000000000001</v>
      </c>
    </row>
    <row r="28" spans="1:7" x14ac:dyDescent="0.25">
      <c r="A28" s="2" t="str">
        <f>Programacion_PanesBudines!A3</f>
        <v>Martes</v>
      </c>
      <c r="B28" s="2" t="str">
        <f>Programacion_PanesBudines!B3</f>
        <v>Budin de vainilla / citricos</v>
      </c>
      <c r="C28" s="2" t="str">
        <f>Programacion_PanesBudines!C3</f>
        <v>B02</v>
      </c>
      <c r="D28" s="2" t="str">
        <f>Formulas!C147</f>
        <v>SORBATO DE POTASIO</v>
      </c>
      <c r="E28" s="4">
        <f>Formulas!D147</f>
        <v>2.6700000000000001E-3</v>
      </c>
      <c r="F28" s="5">
        <f>Programacion_PanesBudines!G3</f>
        <v>360</v>
      </c>
      <c r="G28" s="5">
        <f t="shared" si="0"/>
        <v>0.96120000000000005</v>
      </c>
    </row>
    <row r="29" spans="1:7" x14ac:dyDescent="0.25">
      <c r="A29" s="2" t="str">
        <f>Programacion_PanesBudines!A4</f>
        <v>Martes</v>
      </c>
      <c r="B29" s="2" t="str">
        <f>Programacion_PanesBudines!B4</f>
        <v>Budin con chips de chocolate</v>
      </c>
      <c r="C29" s="2" t="str">
        <f>Programacion_PanesBudines!C4</f>
        <v>B03</v>
      </c>
      <c r="D29" s="2" t="str">
        <f>Formulas!C148</f>
        <v>AZÚCAR</v>
      </c>
      <c r="E29" s="4">
        <f>Formulas!D148</f>
        <v>0.17799999999999999</v>
      </c>
      <c r="F29" s="5">
        <f>Programacion_PanesBudines!G4</f>
        <v>180</v>
      </c>
      <c r="G29" s="5">
        <f t="shared" si="0"/>
        <v>32.04</v>
      </c>
    </row>
    <row r="30" spans="1:7" x14ac:dyDescent="0.25">
      <c r="A30" s="2" t="str">
        <f>Programacion_PanesBudines!A4</f>
        <v>Martes</v>
      </c>
      <c r="B30" s="2" t="str">
        <f>Programacion_PanesBudines!B4</f>
        <v>Budin con chips de chocolate</v>
      </c>
      <c r="C30" s="2" t="str">
        <f>Programacion_PanesBudines!C4</f>
        <v>B03</v>
      </c>
      <c r="D30" s="2" t="str">
        <f>Formulas!C149</f>
        <v>MARGARINA</v>
      </c>
      <c r="E30" s="4">
        <f>Formulas!D149</f>
        <v>0.13350000000000001</v>
      </c>
      <c r="F30" s="5">
        <f>Programacion_PanesBudines!G4</f>
        <v>180</v>
      </c>
      <c r="G30" s="5">
        <f t="shared" si="0"/>
        <v>24.03</v>
      </c>
    </row>
    <row r="31" spans="1:7" x14ac:dyDescent="0.25">
      <c r="A31" s="2" t="str">
        <f>Programacion_PanesBudines!A4</f>
        <v>Martes</v>
      </c>
      <c r="B31" s="2" t="str">
        <f>Programacion_PanesBudines!B4</f>
        <v>Budin con chips de chocolate</v>
      </c>
      <c r="C31" s="2" t="str">
        <f>Programacion_PanesBudines!C4</f>
        <v>B03</v>
      </c>
      <c r="D31" s="2" t="str">
        <f>Formulas!C150</f>
        <v>HARINA DE ARROZ</v>
      </c>
      <c r="E31" s="4">
        <f>Formulas!D150</f>
        <v>0.1157</v>
      </c>
      <c r="F31" s="5">
        <f>Programacion_PanesBudines!G4</f>
        <v>180</v>
      </c>
      <c r="G31" s="5">
        <f t="shared" si="0"/>
        <v>20.826000000000001</v>
      </c>
    </row>
    <row r="32" spans="1:7" x14ac:dyDescent="0.25">
      <c r="A32" s="2" t="str">
        <f>Programacion_PanesBudines!A4</f>
        <v>Martes</v>
      </c>
      <c r="B32" s="2" t="str">
        <f>Programacion_PanesBudines!B4</f>
        <v>Budin con chips de chocolate</v>
      </c>
      <c r="C32" s="2" t="str">
        <f>Programacion_PanesBudines!C4</f>
        <v>B03</v>
      </c>
      <c r="D32" s="2" t="str">
        <f>Formulas!C151</f>
        <v>FÉCULA DE MAÍZ</v>
      </c>
      <c r="E32" s="4">
        <f>Formulas!D151</f>
        <v>9.7900000000000001E-2</v>
      </c>
      <c r="F32" s="5">
        <f>Programacion_PanesBudines!G4</f>
        <v>180</v>
      </c>
      <c r="G32" s="5">
        <f t="shared" si="0"/>
        <v>17.622</v>
      </c>
    </row>
    <row r="33" spans="1:7" x14ac:dyDescent="0.25">
      <c r="A33" s="2" t="str">
        <f>Programacion_PanesBudines!A4</f>
        <v>Martes</v>
      </c>
      <c r="B33" s="2" t="str">
        <f>Programacion_PanesBudines!B4</f>
        <v>Budin con chips de chocolate</v>
      </c>
      <c r="C33" s="2" t="str">
        <f>Programacion_PanesBudines!C4</f>
        <v>B03</v>
      </c>
      <c r="D33" s="2" t="str">
        <f>Formulas!C152</f>
        <v>AGUA</v>
      </c>
      <c r="E33" s="4">
        <f>Formulas!D152</f>
        <v>0.19900000000000001</v>
      </c>
      <c r="F33" s="5">
        <f>Programacion_PanesBudines!G4</f>
        <v>180</v>
      </c>
      <c r="G33" s="5">
        <f t="shared" si="0"/>
        <v>35.82</v>
      </c>
    </row>
    <row r="34" spans="1:7" x14ac:dyDescent="0.25">
      <c r="A34" s="2" t="str">
        <f>Programacion_PanesBudines!A4</f>
        <v>Martes</v>
      </c>
      <c r="B34" s="2" t="str">
        <f>Programacion_PanesBudines!B4</f>
        <v>Budin con chips de chocolate</v>
      </c>
      <c r="C34" s="2" t="str">
        <f>Programacion_PanesBudines!C4</f>
        <v>B03</v>
      </c>
      <c r="D34" s="2" t="str">
        <f>Formulas!C153</f>
        <v>CHIPS DE CHOCOLATE</v>
      </c>
      <c r="E34" s="4">
        <f>Formulas!D153</f>
        <v>8.0100000000000005E-2</v>
      </c>
      <c r="F34" s="5">
        <f>Programacion_PanesBudines!G4</f>
        <v>180</v>
      </c>
      <c r="G34" s="5">
        <f t="shared" ref="G34:G65" si="1">E34*F34</f>
        <v>14.418000000000001</v>
      </c>
    </row>
    <row r="35" spans="1:7" x14ac:dyDescent="0.25">
      <c r="A35" s="2" t="str">
        <f>Programacion_PanesBudines!A4</f>
        <v>Martes</v>
      </c>
      <c r="B35" s="2" t="str">
        <f>Programacion_PanesBudines!B4</f>
        <v>Budin con chips de chocolate</v>
      </c>
      <c r="C35" s="2" t="str">
        <f>Programacion_PanesBudines!C4</f>
        <v>B03</v>
      </c>
      <c r="D35" s="2" t="str">
        <f>Formulas!C154</f>
        <v>HUEVO EN POLVO DESHIDRATADO</v>
      </c>
      <c r="E35" s="4">
        <f>Formulas!D154</f>
        <v>5.3400000000000003E-2</v>
      </c>
      <c r="F35" s="5">
        <f>Programacion_PanesBudines!G4</f>
        <v>180</v>
      </c>
      <c r="G35" s="5">
        <f t="shared" si="1"/>
        <v>9.6120000000000001</v>
      </c>
    </row>
    <row r="36" spans="1:7" x14ac:dyDescent="0.25">
      <c r="A36" s="2" t="str">
        <f>Programacion_PanesBudines!A4</f>
        <v>Martes</v>
      </c>
      <c r="B36" s="2" t="str">
        <f>Programacion_PanesBudines!B4</f>
        <v>Budin con chips de chocolate</v>
      </c>
      <c r="C36" s="2" t="str">
        <f>Programacion_PanesBudines!C4</f>
        <v>B03</v>
      </c>
      <c r="D36" s="2" t="str">
        <f>Formulas!C155</f>
        <v>FÉCULA DE MANDIOCA</v>
      </c>
      <c r="E36" s="4">
        <f>Formulas!D155</f>
        <v>4.4499999999999998E-2</v>
      </c>
      <c r="F36" s="5">
        <f>Programacion_PanesBudines!G4</f>
        <v>180</v>
      </c>
      <c r="G36" s="5">
        <f t="shared" si="1"/>
        <v>8.01</v>
      </c>
    </row>
    <row r="37" spans="1:7" x14ac:dyDescent="0.25">
      <c r="A37" s="2" t="str">
        <f>Programacion_PanesBudines!A4</f>
        <v>Martes</v>
      </c>
      <c r="B37" s="2" t="str">
        <f>Programacion_PanesBudines!B4</f>
        <v>Budin con chips de chocolate</v>
      </c>
      <c r="C37" s="2" t="str">
        <f>Programacion_PanesBudines!C4</f>
        <v>B03</v>
      </c>
      <c r="D37" s="2" t="str">
        <f>Formulas!C156</f>
        <v>LECHE EN POLVO</v>
      </c>
      <c r="E37" s="4">
        <f>Formulas!D156</f>
        <v>3.56E-2</v>
      </c>
      <c r="F37" s="5">
        <f>Programacion_PanesBudines!G4</f>
        <v>180</v>
      </c>
      <c r="G37" s="5">
        <f t="shared" si="1"/>
        <v>6.4080000000000004</v>
      </c>
    </row>
    <row r="38" spans="1:7" x14ac:dyDescent="0.25">
      <c r="A38" s="2" t="str">
        <f>Programacion_PanesBudines!A4</f>
        <v>Martes</v>
      </c>
      <c r="B38" s="2" t="str">
        <f>Programacion_PanesBudines!B4</f>
        <v>Budin con chips de chocolate</v>
      </c>
      <c r="C38" s="2" t="str">
        <f>Programacion_PanesBudines!C4</f>
        <v>B03</v>
      </c>
      <c r="D38" s="2" t="str">
        <f>Formulas!C157</f>
        <v>PANACEA</v>
      </c>
      <c r="E38" s="4">
        <f>Formulas!D157</f>
        <v>1.78E-2</v>
      </c>
      <c r="F38" s="5">
        <f>Programacion_PanesBudines!G4</f>
        <v>180</v>
      </c>
      <c r="G38" s="5">
        <f t="shared" si="1"/>
        <v>3.2040000000000002</v>
      </c>
    </row>
    <row r="39" spans="1:7" x14ac:dyDescent="0.25">
      <c r="A39" s="2" t="str">
        <f>Programacion_PanesBudines!A4</f>
        <v>Martes</v>
      </c>
      <c r="B39" s="2" t="str">
        <f>Programacion_PanesBudines!B4</f>
        <v>Budin con chips de chocolate</v>
      </c>
      <c r="C39" s="2" t="str">
        <f>Programacion_PanesBudines!C4</f>
        <v>B03</v>
      </c>
      <c r="D39" s="2" t="str">
        <f>Formulas!C158</f>
        <v>POLVO PARA HORNEAR</v>
      </c>
      <c r="E39" s="4">
        <f>Formulas!D158</f>
        <v>1.78E-2</v>
      </c>
      <c r="F39" s="5">
        <f>Programacion_PanesBudines!G4</f>
        <v>180</v>
      </c>
      <c r="G39" s="5">
        <f t="shared" si="1"/>
        <v>3.2040000000000002</v>
      </c>
    </row>
    <row r="40" spans="1:7" x14ac:dyDescent="0.25">
      <c r="A40" s="2" t="str">
        <f>Programacion_PanesBudines!A4</f>
        <v>Martes</v>
      </c>
      <c r="B40" s="2" t="str">
        <f>Programacion_PanesBudines!B4</f>
        <v>Budin con chips de chocolate</v>
      </c>
      <c r="C40" s="2" t="str">
        <f>Programacion_PanesBudines!C4</f>
        <v>B03</v>
      </c>
      <c r="D40" s="2" t="str">
        <f>Formulas!C159</f>
        <v>GOMA XÁNTICA</v>
      </c>
      <c r="E40" s="4">
        <f>Formulas!D159</f>
        <v>8.8999999999999999E-3</v>
      </c>
      <c r="F40" s="5">
        <f>Programacion_PanesBudines!G4</f>
        <v>180</v>
      </c>
      <c r="G40" s="5">
        <f t="shared" si="1"/>
        <v>1.6020000000000001</v>
      </c>
    </row>
    <row r="41" spans="1:7" x14ac:dyDescent="0.25">
      <c r="A41" s="2" t="str">
        <f>Programacion_PanesBudines!A4</f>
        <v>Martes</v>
      </c>
      <c r="B41" s="2" t="str">
        <f>Programacion_PanesBudines!B4</f>
        <v>Budin con chips de chocolate</v>
      </c>
      <c r="C41" s="2" t="str">
        <f>Programacion_PanesBudines!C4</f>
        <v>B03</v>
      </c>
      <c r="D41" s="2" t="str">
        <f>Formulas!C160</f>
        <v>PROPIONATO DE CALCIO</v>
      </c>
      <c r="E41" s="4">
        <f>Formulas!D160</f>
        <v>8.8999999999999999E-3</v>
      </c>
      <c r="F41" s="5">
        <f>Programacion_PanesBudines!G4</f>
        <v>180</v>
      </c>
      <c r="G41" s="5">
        <f t="shared" si="1"/>
        <v>1.6020000000000001</v>
      </c>
    </row>
    <row r="42" spans="1:7" x14ac:dyDescent="0.25">
      <c r="A42" s="2" t="str">
        <f>Programacion_PanesBudines!A4</f>
        <v>Martes</v>
      </c>
      <c r="B42" s="2" t="str">
        <f>Programacion_PanesBudines!B4</f>
        <v>Budin con chips de chocolate</v>
      </c>
      <c r="C42" s="2" t="str">
        <f>Programacion_PanesBudines!C4</f>
        <v>B03</v>
      </c>
      <c r="D42" s="2" t="str">
        <f>Formulas!C161</f>
        <v>ESENCIA DE VAINILLA</v>
      </c>
      <c r="E42" s="4">
        <f>Formulas!D161</f>
        <v>4.45E-3</v>
      </c>
      <c r="F42" s="5">
        <f>Programacion_PanesBudines!G4</f>
        <v>180</v>
      </c>
      <c r="G42" s="5">
        <f t="shared" si="1"/>
        <v>0.80100000000000005</v>
      </c>
    </row>
    <row r="43" spans="1:7" x14ac:dyDescent="0.25">
      <c r="A43" s="2" t="str">
        <f>Programacion_PanesBudines!A4</f>
        <v>Martes</v>
      </c>
      <c r="B43" s="2" t="str">
        <f>Programacion_PanesBudines!B4</f>
        <v>Budin con chips de chocolate</v>
      </c>
      <c r="C43" s="2" t="str">
        <f>Programacion_PanesBudines!C4</f>
        <v>B03</v>
      </c>
      <c r="D43" s="2" t="str">
        <f>Formulas!C162</f>
        <v>SAL</v>
      </c>
      <c r="E43" s="4">
        <f>Formulas!D162</f>
        <v>2.6700000000000001E-3</v>
      </c>
      <c r="F43" s="5">
        <f>Programacion_PanesBudines!G4</f>
        <v>180</v>
      </c>
      <c r="G43" s="5">
        <f t="shared" si="1"/>
        <v>0.48060000000000003</v>
      </c>
    </row>
    <row r="44" spans="1:7" x14ac:dyDescent="0.25">
      <c r="A44" s="2" t="str">
        <f>Programacion_PanesBudines!A4</f>
        <v>Martes</v>
      </c>
      <c r="B44" s="2" t="str">
        <f>Programacion_PanesBudines!B4</f>
        <v>Budin con chips de chocolate</v>
      </c>
      <c r="C44" s="2" t="str">
        <f>Programacion_PanesBudines!C4</f>
        <v>B03</v>
      </c>
      <c r="D44" s="2" t="str">
        <f>Formulas!C163</f>
        <v>SORBATO DE POTASIO</v>
      </c>
      <c r="E44" s="4">
        <f>Formulas!D163</f>
        <v>1.7799999999999999E-3</v>
      </c>
      <c r="F44" s="5">
        <f>Programacion_PanesBudines!G4</f>
        <v>180</v>
      </c>
      <c r="G44" s="5">
        <f t="shared" si="1"/>
        <v>0.32039999999999996</v>
      </c>
    </row>
    <row r="45" spans="1:7" x14ac:dyDescent="0.25">
      <c r="A45" s="2" t="str">
        <f>Programacion_PanesBudines!A5</f>
        <v>Miercoles</v>
      </c>
      <c r="B45" s="2" t="str">
        <f>Programacion_PanesBudines!B5</f>
        <v>Pan de molde</v>
      </c>
      <c r="C45" s="2" t="str">
        <f>Programacion_PanesBudines!C5</f>
        <v>B01</v>
      </c>
      <c r="D45" s="2" t="str">
        <f>Formulas!C121</f>
        <v>AGUA</v>
      </c>
      <c r="E45" s="4">
        <f>Formulas!D121</f>
        <v>0.47299999999999998</v>
      </c>
      <c r="F45" s="5">
        <f>Programacion_PanesBudines!G5</f>
        <v>540</v>
      </c>
      <c r="G45" s="5">
        <f t="shared" si="1"/>
        <v>255.42</v>
      </c>
    </row>
    <row r="46" spans="1:7" x14ac:dyDescent="0.25">
      <c r="A46" s="2" t="str">
        <f>Programacion_PanesBudines!A5</f>
        <v>Miercoles</v>
      </c>
      <c r="B46" s="2" t="str">
        <f>Programacion_PanesBudines!B5</f>
        <v>Pan de molde</v>
      </c>
      <c r="C46" s="2" t="str">
        <f>Programacion_PanesBudines!C5</f>
        <v>B01</v>
      </c>
      <c r="D46" s="2" t="str">
        <f>Formulas!C122</f>
        <v>HARINA DE ARROZ</v>
      </c>
      <c r="E46" s="4">
        <f>Formulas!D122</f>
        <v>0.13600000000000001</v>
      </c>
      <c r="F46" s="5">
        <f>Programacion_PanesBudines!G5</f>
        <v>540</v>
      </c>
      <c r="G46" s="5">
        <f t="shared" si="1"/>
        <v>73.440000000000012</v>
      </c>
    </row>
    <row r="47" spans="1:7" x14ac:dyDescent="0.25">
      <c r="A47" s="2" t="str">
        <f>Programacion_PanesBudines!A5</f>
        <v>Miercoles</v>
      </c>
      <c r="B47" s="2" t="str">
        <f>Programacion_PanesBudines!B5</f>
        <v>Pan de molde</v>
      </c>
      <c r="C47" s="2" t="str">
        <f>Programacion_PanesBudines!C5</f>
        <v>B01</v>
      </c>
      <c r="D47" s="2" t="str">
        <f>Formulas!C123</f>
        <v>FÉCULA DE MAÍZ</v>
      </c>
      <c r="E47" s="4">
        <f>Formulas!D123</f>
        <v>0.10199999999999999</v>
      </c>
      <c r="F47" s="5">
        <f>Programacion_PanesBudines!G5</f>
        <v>540</v>
      </c>
      <c r="G47" s="5">
        <f t="shared" si="1"/>
        <v>55.08</v>
      </c>
    </row>
    <row r="48" spans="1:7" x14ac:dyDescent="0.25">
      <c r="A48" s="2" t="str">
        <f>Programacion_PanesBudines!A5</f>
        <v>Miercoles</v>
      </c>
      <c r="B48" s="2" t="str">
        <f>Programacion_PanesBudines!B5</f>
        <v>Pan de molde</v>
      </c>
      <c r="C48" s="2" t="str">
        <f>Programacion_PanesBudines!C5</f>
        <v>B01</v>
      </c>
      <c r="D48" s="2" t="str">
        <f>Formulas!C124</f>
        <v>FÉCULA DE MANDIOCA</v>
      </c>
      <c r="E48" s="4">
        <f>Formulas!D124</f>
        <v>8.5000000000000006E-2</v>
      </c>
      <c r="F48" s="5">
        <f>Programacion_PanesBudines!G5</f>
        <v>540</v>
      </c>
      <c r="G48" s="5">
        <f t="shared" si="1"/>
        <v>45.900000000000006</v>
      </c>
    </row>
    <row r="49" spans="1:7" x14ac:dyDescent="0.25">
      <c r="A49" s="2" t="str">
        <f>Programacion_PanesBudines!A5</f>
        <v>Miercoles</v>
      </c>
      <c r="B49" s="2" t="str">
        <f>Programacion_PanesBudines!B5</f>
        <v>Pan de molde</v>
      </c>
      <c r="C49" s="2" t="str">
        <f>Programacion_PanesBudines!C5</f>
        <v>B01</v>
      </c>
      <c r="D49" s="2" t="str">
        <f>Formulas!C125</f>
        <v>ACEITE DE GIRASOL ALTO OLEICO</v>
      </c>
      <c r="E49" s="4">
        <f>Formulas!D125</f>
        <v>5.0999999999999997E-2</v>
      </c>
      <c r="F49" s="5">
        <f>Programacion_PanesBudines!G5</f>
        <v>540</v>
      </c>
      <c r="G49" s="5">
        <f t="shared" si="1"/>
        <v>27.54</v>
      </c>
    </row>
    <row r="50" spans="1:7" x14ac:dyDescent="0.25">
      <c r="A50" s="2" t="str">
        <f>Programacion_PanesBudines!A5</f>
        <v>Miercoles</v>
      </c>
      <c r="B50" s="2" t="str">
        <f>Programacion_PanesBudines!B5</f>
        <v>Pan de molde</v>
      </c>
      <c r="C50" s="2" t="str">
        <f>Programacion_PanesBudines!C5</f>
        <v>B01</v>
      </c>
      <c r="D50" s="2" t="str">
        <f>Formulas!C126</f>
        <v>AZÚCAR</v>
      </c>
      <c r="E50" s="4">
        <f>Formulas!D126</f>
        <v>3.4000000000000002E-2</v>
      </c>
      <c r="F50" s="5">
        <f>Programacion_PanesBudines!G5</f>
        <v>540</v>
      </c>
      <c r="G50" s="5">
        <f t="shared" si="1"/>
        <v>18.360000000000003</v>
      </c>
    </row>
    <row r="51" spans="1:7" x14ac:dyDescent="0.25">
      <c r="A51" s="2" t="str">
        <f>Programacion_PanesBudines!A5</f>
        <v>Miercoles</v>
      </c>
      <c r="B51" s="2" t="str">
        <f>Programacion_PanesBudines!B5</f>
        <v>Pan de molde</v>
      </c>
      <c r="C51" s="2" t="str">
        <f>Programacion_PanesBudines!C5</f>
        <v>B01</v>
      </c>
      <c r="D51" s="2" t="str">
        <f>Formulas!C127</f>
        <v>LECHE EN POLVO</v>
      </c>
      <c r="E51" s="4">
        <f>Formulas!D127</f>
        <v>3.4000000000000002E-2</v>
      </c>
      <c r="F51" s="5">
        <f>Programacion_PanesBudines!G5</f>
        <v>540</v>
      </c>
      <c r="G51" s="5">
        <f t="shared" si="1"/>
        <v>18.360000000000003</v>
      </c>
    </row>
    <row r="52" spans="1:7" x14ac:dyDescent="0.25">
      <c r="A52" s="2" t="str">
        <f>Programacion_PanesBudines!A5</f>
        <v>Miercoles</v>
      </c>
      <c r="B52" s="2" t="str">
        <f>Programacion_PanesBudines!B5</f>
        <v>Pan de molde</v>
      </c>
      <c r="C52" s="2" t="str">
        <f>Programacion_PanesBudines!C5</f>
        <v>B01</v>
      </c>
      <c r="D52" s="2" t="str">
        <f>Formulas!C128</f>
        <v>PSYLLIUM</v>
      </c>
      <c r="E52" s="4">
        <f>Formulas!D128</f>
        <v>2.5499999999999998E-2</v>
      </c>
      <c r="F52" s="5">
        <f>Programacion_PanesBudines!G5</f>
        <v>540</v>
      </c>
      <c r="G52" s="5">
        <f t="shared" si="1"/>
        <v>13.77</v>
      </c>
    </row>
    <row r="53" spans="1:7" x14ac:dyDescent="0.25">
      <c r="A53" s="2" t="str">
        <f>Programacion_PanesBudines!A5</f>
        <v>Miercoles</v>
      </c>
      <c r="B53" s="2" t="str">
        <f>Programacion_PanesBudines!B5</f>
        <v>Pan de molde</v>
      </c>
      <c r="C53" s="2" t="str">
        <f>Programacion_PanesBudines!C5</f>
        <v>B01</v>
      </c>
      <c r="D53" s="2" t="str">
        <f>Formulas!C129</f>
        <v>FIBRA C 200</v>
      </c>
      <c r="E53" s="4">
        <f>Formulas!D129</f>
        <v>2.1250000000000002E-2</v>
      </c>
      <c r="F53" s="5">
        <f>Programacion_PanesBudines!G5</f>
        <v>540</v>
      </c>
      <c r="G53" s="5">
        <f t="shared" si="1"/>
        <v>11.475000000000001</v>
      </c>
    </row>
    <row r="54" spans="1:7" x14ac:dyDescent="0.25">
      <c r="A54" s="2" t="str">
        <f>Programacion_PanesBudines!A5</f>
        <v>Miercoles</v>
      </c>
      <c r="B54" s="2" t="str">
        <f>Programacion_PanesBudines!B5</f>
        <v>Pan de molde</v>
      </c>
      <c r="C54" s="2" t="str">
        <f>Programacion_PanesBudines!C5</f>
        <v>B01</v>
      </c>
      <c r="D54" s="2" t="str">
        <f>Formulas!C130</f>
        <v>LEVADURA</v>
      </c>
      <c r="E54" s="4">
        <f>Formulas!D130</f>
        <v>1.7000000000000001E-2</v>
      </c>
      <c r="F54" s="5">
        <f>Programacion_PanesBudines!G5</f>
        <v>540</v>
      </c>
      <c r="G54" s="5">
        <f t="shared" si="1"/>
        <v>9.1800000000000015</v>
      </c>
    </row>
    <row r="55" spans="1:7" x14ac:dyDescent="0.25">
      <c r="A55" s="2" t="str">
        <f>Programacion_PanesBudines!A5</f>
        <v>Miercoles</v>
      </c>
      <c r="B55" s="2" t="str">
        <f>Programacion_PanesBudines!B5</f>
        <v>Pan de molde</v>
      </c>
      <c r="C55" s="2" t="str">
        <f>Programacion_PanesBudines!C5</f>
        <v>B01</v>
      </c>
      <c r="D55" s="2" t="str">
        <f>Formulas!C131</f>
        <v>GOMA XÁNTICA</v>
      </c>
      <c r="E55" s="4">
        <f>Formulas!D131</f>
        <v>1.2749999999999999E-2</v>
      </c>
      <c r="F55" s="5">
        <f>Programacion_PanesBudines!G5</f>
        <v>540</v>
      </c>
      <c r="G55" s="5">
        <f t="shared" si="1"/>
        <v>6.8849999999999998</v>
      </c>
    </row>
    <row r="56" spans="1:7" x14ac:dyDescent="0.25">
      <c r="A56" s="2" t="str">
        <f>Programacion_PanesBudines!A5</f>
        <v>Miercoles</v>
      </c>
      <c r="B56" s="2" t="str">
        <f>Programacion_PanesBudines!B5</f>
        <v>Pan de molde</v>
      </c>
      <c r="C56" s="2" t="str">
        <f>Programacion_PanesBudines!C5</f>
        <v>B01</v>
      </c>
      <c r="D56" s="2" t="str">
        <f>Formulas!C132</f>
        <v>SAL</v>
      </c>
      <c r="E56" s="4">
        <f>Formulas!D132</f>
        <v>8.5000000000000006E-3</v>
      </c>
      <c r="F56" s="5">
        <f>Programacion_PanesBudines!G5</f>
        <v>540</v>
      </c>
      <c r="G56" s="5">
        <f t="shared" si="1"/>
        <v>4.5900000000000007</v>
      </c>
    </row>
    <row r="57" spans="1:7" x14ac:dyDescent="0.25">
      <c r="A57" s="2" t="str">
        <f>Programacion_PanesBudines!A6</f>
        <v>Jueves</v>
      </c>
      <c r="B57" s="2" t="str">
        <f>Programacion_PanesBudines!B6</f>
        <v>Budin con chips de chocolate</v>
      </c>
      <c r="C57" s="2" t="str">
        <f>Programacion_PanesBudines!C6</f>
        <v>B03</v>
      </c>
      <c r="D57" s="2" t="str">
        <f>Formulas!C148</f>
        <v>AZÚCAR</v>
      </c>
      <c r="E57" s="4">
        <f>Formulas!D148</f>
        <v>0.17799999999999999</v>
      </c>
      <c r="F57" s="5">
        <f>Programacion_PanesBudines!G6</f>
        <v>360</v>
      </c>
      <c r="G57" s="5">
        <f t="shared" si="1"/>
        <v>64.08</v>
      </c>
    </row>
    <row r="58" spans="1:7" x14ac:dyDescent="0.25">
      <c r="A58" s="2" t="str">
        <f>Programacion_PanesBudines!A6</f>
        <v>Jueves</v>
      </c>
      <c r="B58" s="2" t="str">
        <f>Programacion_PanesBudines!B6</f>
        <v>Budin con chips de chocolate</v>
      </c>
      <c r="C58" s="2" t="str">
        <f>Programacion_PanesBudines!C6</f>
        <v>B03</v>
      </c>
      <c r="D58" s="2" t="str">
        <f>Formulas!C149</f>
        <v>MARGARINA</v>
      </c>
      <c r="E58" s="4">
        <f>Formulas!D149</f>
        <v>0.13350000000000001</v>
      </c>
      <c r="F58" s="5">
        <f>Programacion_PanesBudines!G6</f>
        <v>360</v>
      </c>
      <c r="G58" s="5">
        <f t="shared" si="1"/>
        <v>48.06</v>
      </c>
    </row>
    <row r="59" spans="1:7" x14ac:dyDescent="0.25">
      <c r="A59" s="2" t="str">
        <f>Programacion_PanesBudines!A6</f>
        <v>Jueves</v>
      </c>
      <c r="B59" s="2" t="str">
        <f>Programacion_PanesBudines!B6</f>
        <v>Budin con chips de chocolate</v>
      </c>
      <c r="C59" s="2" t="str">
        <f>Programacion_PanesBudines!C6</f>
        <v>B03</v>
      </c>
      <c r="D59" s="2" t="str">
        <f>Formulas!C150</f>
        <v>HARINA DE ARROZ</v>
      </c>
      <c r="E59" s="4">
        <f>Formulas!D150</f>
        <v>0.1157</v>
      </c>
      <c r="F59" s="5">
        <f>Programacion_PanesBudines!G6</f>
        <v>360</v>
      </c>
      <c r="G59" s="5">
        <f t="shared" si="1"/>
        <v>41.652000000000001</v>
      </c>
    </row>
    <row r="60" spans="1:7" x14ac:dyDescent="0.25">
      <c r="A60" s="2" t="str">
        <f>Programacion_PanesBudines!A6</f>
        <v>Jueves</v>
      </c>
      <c r="B60" s="2" t="str">
        <f>Programacion_PanesBudines!B6</f>
        <v>Budin con chips de chocolate</v>
      </c>
      <c r="C60" s="2" t="str">
        <f>Programacion_PanesBudines!C6</f>
        <v>B03</v>
      </c>
      <c r="D60" s="2" t="str">
        <f>Formulas!C151</f>
        <v>FÉCULA DE MAÍZ</v>
      </c>
      <c r="E60" s="4">
        <f>Formulas!D151</f>
        <v>9.7900000000000001E-2</v>
      </c>
      <c r="F60" s="5">
        <f>Programacion_PanesBudines!G6</f>
        <v>360</v>
      </c>
      <c r="G60" s="5">
        <f t="shared" si="1"/>
        <v>35.244</v>
      </c>
    </row>
    <row r="61" spans="1:7" x14ac:dyDescent="0.25">
      <c r="A61" s="2" t="str">
        <f>Programacion_PanesBudines!A6</f>
        <v>Jueves</v>
      </c>
      <c r="B61" s="2" t="str">
        <f>Programacion_PanesBudines!B6</f>
        <v>Budin con chips de chocolate</v>
      </c>
      <c r="C61" s="2" t="str">
        <f>Programacion_PanesBudines!C6</f>
        <v>B03</v>
      </c>
      <c r="D61" s="2" t="str">
        <f>Formulas!C152</f>
        <v>AGUA</v>
      </c>
      <c r="E61" s="4">
        <f>Formulas!D152</f>
        <v>0.19900000000000001</v>
      </c>
      <c r="F61" s="5">
        <f>Programacion_PanesBudines!G6</f>
        <v>360</v>
      </c>
      <c r="G61" s="5">
        <f t="shared" si="1"/>
        <v>71.64</v>
      </c>
    </row>
    <row r="62" spans="1:7" x14ac:dyDescent="0.25">
      <c r="A62" s="2" t="str">
        <f>Programacion_PanesBudines!A6</f>
        <v>Jueves</v>
      </c>
      <c r="B62" s="2" t="str">
        <f>Programacion_PanesBudines!B6</f>
        <v>Budin con chips de chocolate</v>
      </c>
      <c r="C62" s="2" t="str">
        <f>Programacion_PanesBudines!C6</f>
        <v>B03</v>
      </c>
      <c r="D62" s="2" t="str">
        <f>Formulas!C153</f>
        <v>CHIPS DE CHOCOLATE</v>
      </c>
      <c r="E62" s="4">
        <f>Formulas!D153</f>
        <v>8.0100000000000005E-2</v>
      </c>
      <c r="F62" s="5">
        <f>Programacion_PanesBudines!G6</f>
        <v>360</v>
      </c>
      <c r="G62" s="5">
        <f t="shared" si="1"/>
        <v>28.836000000000002</v>
      </c>
    </row>
    <row r="63" spans="1:7" x14ac:dyDescent="0.25">
      <c r="A63" s="2" t="str">
        <f>Programacion_PanesBudines!A6</f>
        <v>Jueves</v>
      </c>
      <c r="B63" s="2" t="str">
        <f>Programacion_PanesBudines!B6</f>
        <v>Budin con chips de chocolate</v>
      </c>
      <c r="C63" s="2" t="str">
        <f>Programacion_PanesBudines!C6</f>
        <v>B03</v>
      </c>
      <c r="D63" s="2" t="str">
        <f>Formulas!C154</f>
        <v>HUEVO EN POLVO DESHIDRATADO</v>
      </c>
      <c r="E63" s="4">
        <f>Formulas!D154</f>
        <v>5.3400000000000003E-2</v>
      </c>
      <c r="F63" s="5">
        <f>Programacion_PanesBudines!G6</f>
        <v>360</v>
      </c>
      <c r="G63" s="5">
        <f t="shared" si="1"/>
        <v>19.224</v>
      </c>
    </row>
    <row r="64" spans="1:7" x14ac:dyDescent="0.25">
      <c r="A64" s="2" t="str">
        <f>Programacion_PanesBudines!A6</f>
        <v>Jueves</v>
      </c>
      <c r="B64" s="2" t="str">
        <f>Programacion_PanesBudines!B6</f>
        <v>Budin con chips de chocolate</v>
      </c>
      <c r="C64" s="2" t="str">
        <f>Programacion_PanesBudines!C6</f>
        <v>B03</v>
      </c>
      <c r="D64" s="2" t="str">
        <f>Formulas!C155</f>
        <v>FÉCULA DE MANDIOCA</v>
      </c>
      <c r="E64" s="4">
        <f>Formulas!D155</f>
        <v>4.4499999999999998E-2</v>
      </c>
      <c r="F64" s="5">
        <f>Programacion_PanesBudines!G6</f>
        <v>360</v>
      </c>
      <c r="G64" s="5">
        <f t="shared" si="1"/>
        <v>16.02</v>
      </c>
    </row>
    <row r="65" spans="1:7" x14ac:dyDescent="0.25">
      <c r="A65" s="2" t="str">
        <f>Programacion_PanesBudines!A6</f>
        <v>Jueves</v>
      </c>
      <c r="B65" s="2" t="str">
        <f>Programacion_PanesBudines!B6</f>
        <v>Budin con chips de chocolate</v>
      </c>
      <c r="C65" s="2" t="str">
        <f>Programacion_PanesBudines!C6</f>
        <v>B03</v>
      </c>
      <c r="D65" s="2" t="str">
        <f>Formulas!C156</f>
        <v>LECHE EN POLVO</v>
      </c>
      <c r="E65" s="4">
        <f>Formulas!D156</f>
        <v>3.56E-2</v>
      </c>
      <c r="F65" s="5">
        <f>Programacion_PanesBudines!G6</f>
        <v>360</v>
      </c>
      <c r="G65" s="5">
        <f t="shared" si="1"/>
        <v>12.816000000000001</v>
      </c>
    </row>
    <row r="66" spans="1:7" x14ac:dyDescent="0.25">
      <c r="A66" s="2" t="str">
        <f>Programacion_PanesBudines!A6</f>
        <v>Jueves</v>
      </c>
      <c r="B66" s="2" t="str">
        <f>Programacion_PanesBudines!B6</f>
        <v>Budin con chips de chocolate</v>
      </c>
      <c r="C66" s="2" t="str">
        <f>Programacion_PanesBudines!C6</f>
        <v>B03</v>
      </c>
      <c r="D66" s="2" t="str">
        <f>Formulas!C157</f>
        <v>PANACEA</v>
      </c>
      <c r="E66" s="4">
        <f>Formulas!D157</f>
        <v>1.78E-2</v>
      </c>
      <c r="F66" s="5">
        <f>Programacion_PanesBudines!G6</f>
        <v>360</v>
      </c>
      <c r="G66" s="5">
        <f t="shared" ref="G66:G97" si="2">E66*F66</f>
        <v>6.4080000000000004</v>
      </c>
    </row>
    <row r="67" spans="1:7" x14ac:dyDescent="0.25">
      <c r="A67" s="2" t="str">
        <f>Programacion_PanesBudines!A6</f>
        <v>Jueves</v>
      </c>
      <c r="B67" s="2" t="str">
        <f>Programacion_PanesBudines!B6</f>
        <v>Budin con chips de chocolate</v>
      </c>
      <c r="C67" s="2" t="str">
        <f>Programacion_PanesBudines!C6</f>
        <v>B03</v>
      </c>
      <c r="D67" s="2" t="str">
        <f>Formulas!C158</f>
        <v>POLVO PARA HORNEAR</v>
      </c>
      <c r="E67" s="4">
        <f>Formulas!D158</f>
        <v>1.78E-2</v>
      </c>
      <c r="F67" s="5">
        <f>Programacion_PanesBudines!G6</f>
        <v>360</v>
      </c>
      <c r="G67" s="5">
        <f t="shared" si="2"/>
        <v>6.4080000000000004</v>
      </c>
    </row>
    <row r="68" spans="1:7" x14ac:dyDescent="0.25">
      <c r="A68" s="2" t="str">
        <f>Programacion_PanesBudines!A6</f>
        <v>Jueves</v>
      </c>
      <c r="B68" s="2" t="str">
        <f>Programacion_PanesBudines!B6</f>
        <v>Budin con chips de chocolate</v>
      </c>
      <c r="C68" s="2" t="str">
        <f>Programacion_PanesBudines!C6</f>
        <v>B03</v>
      </c>
      <c r="D68" s="2" t="str">
        <f>Formulas!C159</f>
        <v>GOMA XÁNTICA</v>
      </c>
      <c r="E68" s="4">
        <f>Formulas!D159</f>
        <v>8.8999999999999999E-3</v>
      </c>
      <c r="F68" s="5">
        <f>Programacion_PanesBudines!G6</f>
        <v>360</v>
      </c>
      <c r="G68" s="5">
        <f t="shared" si="2"/>
        <v>3.2040000000000002</v>
      </c>
    </row>
    <row r="69" spans="1:7" x14ac:dyDescent="0.25">
      <c r="A69" s="2" t="str">
        <f>Programacion_PanesBudines!A6</f>
        <v>Jueves</v>
      </c>
      <c r="B69" s="2" t="str">
        <f>Programacion_PanesBudines!B6</f>
        <v>Budin con chips de chocolate</v>
      </c>
      <c r="C69" s="2" t="str">
        <f>Programacion_PanesBudines!C6</f>
        <v>B03</v>
      </c>
      <c r="D69" s="2" t="str">
        <f>Formulas!C160</f>
        <v>PROPIONATO DE CALCIO</v>
      </c>
      <c r="E69" s="4">
        <f>Formulas!D160</f>
        <v>8.8999999999999999E-3</v>
      </c>
      <c r="F69" s="5">
        <f>Programacion_PanesBudines!G6</f>
        <v>360</v>
      </c>
      <c r="G69" s="5">
        <f t="shared" si="2"/>
        <v>3.2040000000000002</v>
      </c>
    </row>
    <row r="70" spans="1:7" x14ac:dyDescent="0.25">
      <c r="A70" s="2" t="str">
        <f>Programacion_PanesBudines!A6</f>
        <v>Jueves</v>
      </c>
      <c r="B70" s="2" t="str">
        <f>Programacion_PanesBudines!B6</f>
        <v>Budin con chips de chocolate</v>
      </c>
      <c r="C70" s="2" t="str">
        <f>Programacion_PanesBudines!C6</f>
        <v>B03</v>
      </c>
      <c r="D70" s="2" t="str">
        <f>Formulas!C161</f>
        <v>ESENCIA DE VAINILLA</v>
      </c>
      <c r="E70" s="4">
        <f>Formulas!D161</f>
        <v>4.45E-3</v>
      </c>
      <c r="F70" s="5">
        <f>Programacion_PanesBudines!G6</f>
        <v>360</v>
      </c>
      <c r="G70" s="5">
        <f t="shared" si="2"/>
        <v>1.6020000000000001</v>
      </c>
    </row>
    <row r="71" spans="1:7" x14ac:dyDescent="0.25">
      <c r="A71" s="2" t="str">
        <f>Programacion_PanesBudines!A6</f>
        <v>Jueves</v>
      </c>
      <c r="B71" s="2" t="str">
        <f>Programacion_PanesBudines!B6</f>
        <v>Budin con chips de chocolate</v>
      </c>
      <c r="C71" s="2" t="str">
        <f>Programacion_PanesBudines!C6</f>
        <v>B03</v>
      </c>
      <c r="D71" s="2" t="str">
        <f>Formulas!C162</f>
        <v>SAL</v>
      </c>
      <c r="E71" s="4">
        <f>Formulas!D162</f>
        <v>2.6700000000000001E-3</v>
      </c>
      <c r="F71" s="5">
        <f>Programacion_PanesBudines!G6</f>
        <v>360</v>
      </c>
      <c r="G71" s="5">
        <f t="shared" si="2"/>
        <v>0.96120000000000005</v>
      </c>
    </row>
    <row r="72" spans="1:7" x14ac:dyDescent="0.25">
      <c r="A72" s="2" t="str">
        <f>Programacion_PanesBudines!A6</f>
        <v>Jueves</v>
      </c>
      <c r="B72" s="2" t="str">
        <f>Programacion_PanesBudines!B6</f>
        <v>Budin con chips de chocolate</v>
      </c>
      <c r="C72" s="2" t="str">
        <f>Programacion_PanesBudines!C6</f>
        <v>B03</v>
      </c>
      <c r="D72" s="2" t="str">
        <f>Formulas!C163</f>
        <v>SORBATO DE POTASIO</v>
      </c>
      <c r="E72" s="4">
        <f>Formulas!D163</f>
        <v>1.7799999999999999E-3</v>
      </c>
      <c r="F72" s="5">
        <f>Programacion_PanesBudines!G6</f>
        <v>360</v>
      </c>
      <c r="G72" s="5">
        <f t="shared" si="2"/>
        <v>0.64079999999999993</v>
      </c>
    </row>
    <row r="73" spans="1:7" x14ac:dyDescent="0.25">
      <c r="A73" s="2" t="str">
        <f>Programacion_PanesBudines!A7</f>
        <v>Jueves</v>
      </c>
      <c r="B73" s="2" t="str">
        <f>Programacion_PanesBudines!B7</f>
        <v>Budin de vainilla / citricos</v>
      </c>
      <c r="C73" s="2" t="str">
        <f>Programacion_PanesBudines!C7</f>
        <v>B02</v>
      </c>
      <c r="D73" s="2" t="str">
        <f>Formulas!C133</f>
        <v>AZÚCAR</v>
      </c>
      <c r="E73" s="4">
        <f>Formulas!D133</f>
        <v>0.1958</v>
      </c>
      <c r="F73" s="5">
        <f>Programacion_PanesBudines!G7</f>
        <v>180</v>
      </c>
      <c r="G73" s="5">
        <f t="shared" si="2"/>
        <v>35.244</v>
      </c>
    </row>
    <row r="74" spans="1:7" x14ac:dyDescent="0.25">
      <c r="A74" s="2" t="str">
        <f>Programacion_PanesBudines!A7</f>
        <v>Jueves</v>
      </c>
      <c r="B74" s="2" t="str">
        <f>Programacion_PanesBudines!B7</f>
        <v>Budin de vainilla / citricos</v>
      </c>
      <c r="C74" s="2" t="str">
        <f>Programacion_PanesBudines!C7</f>
        <v>B02</v>
      </c>
      <c r="D74" s="2" t="str">
        <f>Formulas!C134</f>
        <v>MARGARINA</v>
      </c>
      <c r="E74" s="4">
        <f>Formulas!D134</f>
        <v>0.1424</v>
      </c>
      <c r="F74" s="5">
        <f>Programacion_PanesBudines!G7</f>
        <v>180</v>
      </c>
      <c r="G74" s="5">
        <f t="shared" si="2"/>
        <v>25.632000000000001</v>
      </c>
    </row>
    <row r="75" spans="1:7" x14ac:dyDescent="0.25">
      <c r="A75" s="2" t="str">
        <f>Programacion_PanesBudines!A7</f>
        <v>Jueves</v>
      </c>
      <c r="B75" s="2" t="str">
        <f>Programacion_PanesBudines!B7</f>
        <v>Budin de vainilla / citricos</v>
      </c>
      <c r="C75" s="2" t="str">
        <f>Programacion_PanesBudines!C7</f>
        <v>B02</v>
      </c>
      <c r="D75" s="2" t="str">
        <f>Formulas!C135</f>
        <v>HARINA DE ARROZ</v>
      </c>
      <c r="E75" s="4">
        <f>Formulas!D135</f>
        <v>0.1246</v>
      </c>
      <c r="F75" s="5">
        <f>Programacion_PanesBudines!G7</f>
        <v>180</v>
      </c>
      <c r="G75" s="5">
        <f t="shared" si="2"/>
        <v>22.428000000000001</v>
      </c>
    </row>
    <row r="76" spans="1:7" x14ac:dyDescent="0.25">
      <c r="A76" s="2" t="str">
        <f>Programacion_PanesBudines!A7</f>
        <v>Jueves</v>
      </c>
      <c r="B76" s="2" t="str">
        <f>Programacion_PanesBudines!B7</f>
        <v>Budin de vainilla / citricos</v>
      </c>
      <c r="C76" s="2" t="str">
        <f>Programacion_PanesBudines!C7</f>
        <v>B02</v>
      </c>
      <c r="D76" s="2" t="str">
        <f>Formulas!C136</f>
        <v>FÉCULA DE MAÍZ</v>
      </c>
      <c r="E76" s="4">
        <f>Formulas!D136</f>
        <v>0.10680000000000001</v>
      </c>
      <c r="F76" s="5">
        <f>Programacion_PanesBudines!G7</f>
        <v>180</v>
      </c>
      <c r="G76" s="5">
        <f t="shared" si="2"/>
        <v>19.224</v>
      </c>
    </row>
    <row r="77" spans="1:7" x14ac:dyDescent="0.25">
      <c r="A77" s="2" t="str">
        <f>Programacion_PanesBudines!A7</f>
        <v>Jueves</v>
      </c>
      <c r="B77" s="2" t="str">
        <f>Programacion_PanesBudines!B7</f>
        <v>Budin de vainilla / citricos</v>
      </c>
      <c r="C77" s="2" t="str">
        <f>Programacion_PanesBudines!C7</f>
        <v>B02</v>
      </c>
      <c r="D77" s="2" t="str">
        <f>Formulas!C137</f>
        <v>AGUA</v>
      </c>
      <c r="E77" s="4">
        <f>Formulas!D137</f>
        <v>0.2079</v>
      </c>
      <c r="F77" s="5">
        <f>Programacion_PanesBudines!G7</f>
        <v>180</v>
      </c>
      <c r="G77" s="5">
        <f t="shared" si="2"/>
        <v>37.421999999999997</v>
      </c>
    </row>
    <row r="78" spans="1:7" x14ac:dyDescent="0.25">
      <c r="A78" s="2" t="str">
        <f>Programacion_PanesBudines!A7</f>
        <v>Jueves</v>
      </c>
      <c r="B78" s="2" t="str">
        <f>Programacion_PanesBudines!B7</f>
        <v>Budin de vainilla / citricos</v>
      </c>
      <c r="C78" s="2" t="str">
        <f>Programacion_PanesBudines!C7</f>
        <v>B02</v>
      </c>
      <c r="D78" s="2" t="str">
        <f>Formulas!C138</f>
        <v>HUEVO EN POLVO DESHIDRATADO</v>
      </c>
      <c r="E78" s="4">
        <f>Formulas!D138</f>
        <v>5.3400000000000003E-2</v>
      </c>
      <c r="F78" s="5">
        <f>Programacion_PanesBudines!G7</f>
        <v>180</v>
      </c>
      <c r="G78" s="5">
        <f t="shared" si="2"/>
        <v>9.6120000000000001</v>
      </c>
    </row>
    <row r="79" spans="1:7" x14ac:dyDescent="0.25">
      <c r="A79" s="2" t="str">
        <f>Programacion_PanesBudines!A7</f>
        <v>Jueves</v>
      </c>
      <c r="B79" s="2" t="str">
        <f>Programacion_PanesBudines!B7</f>
        <v>Budin de vainilla / citricos</v>
      </c>
      <c r="C79" s="2" t="str">
        <f>Programacion_PanesBudines!C7</f>
        <v>B02</v>
      </c>
      <c r="D79" s="2" t="str">
        <f>Formulas!C139</f>
        <v>FÉCULA DE MANDIOCA</v>
      </c>
      <c r="E79" s="4">
        <f>Formulas!D139</f>
        <v>5.3400000000000003E-2</v>
      </c>
      <c r="F79" s="5">
        <f>Programacion_PanesBudines!G7</f>
        <v>180</v>
      </c>
      <c r="G79" s="5">
        <f t="shared" si="2"/>
        <v>9.6120000000000001</v>
      </c>
    </row>
    <row r="80" spans="1:7" x14ac:dyDescent="0.25">
      <c r="A80" s="2" t="str">
        <f>Programacion_PanesBudines!A7</f>
        <v>Jueves</v>
      </c>
      <c r="B80" s="2" t="str">
        <f>Programacion_PanesBudines!B7</f>
        <v>Budin de vainilla / citricos</v>
      </c>
      <c r="C80" s="2" t="str">
        <f>Programacion_PanesBudines!C7</f>
        <v>B02</v>
      </c>
      <c r="D80" s="2" t="str">
        <f>Formulas!C140</f>
        <v>LECHE EN POLVO</v>
      </c>
      <c r="E80" s="4">
        <f>Formulas!D140</f>
        <v>4.4499999999999998E-2</v>
      </c>
      <c r="F80" s="5">
        <f>Programacion_PanesBudines!G7</f>
        <v>180</v>
      </c>
      <c r="G80" s="5">
        <f t="shared" si="2"/>
        <v>8.01</v>
      </c>
    </row>
    <row r="81" spans="1:7" x14ac:dyDescent="0.25">
      <c r="A81" s="2" t="str">
        <f>Programacion_PanesBudines!A7</f>
        <v>Jueves</v>
      </c>
      <c r="B81" s="2" t="str">
        <f>Programacion_PanesBudines!B7</f>
        <v>Budin de vainilla / citricos</v>
      </c>
      <c r="C81" s="2" t="str">
        <f>Programacion_PanesBudines!C7</f>
        <v>B02</v>
      </c>
      <c r="D81" s="2" t="str">
        <f>Formulas!C141</f>
        <v>PANACEA</v>
      </c>
      <c r="E81" s="4">
        <f>Formulas!D141</f>
        <v>1.78E-2</v>
      </c>
      <c r="F81" s="5">
        <f>Programacion_PanesBudines!G7</f>
        <v>180</v>
      </c>
      <c r="G81" s="5">
        <f t="shared" si="2"/>
        <v>3.2040000000000002</v>
      </c>
    </row>
    <row r="82" spans="1:7" x14ac:dyDescent="0.25">
      <c r="A82" s="2" t="str">
        <f>Programacion_PanesBudines!A7</f>
        <v>Jueves</v>
      </c>
      <c r="B82" s="2" t="str">
        <f>Programacion_PanesBudines!B7</f>
        <v>Budin de vainilla / citricos</v>
      </c>
      <c r="C82" s="2" t="str">
        <f>Programacion_PanesBudines!C7</f>
        <v>B02</v>
      </c>
      <c r="D82" s="2" t="str">
        <f>Formulas!C142</f>
        <v>POLVO PARA HORNEAR</v>
      </c>
      <c r="E82" s="4">
        <f>Formulas!D142</f>
        <v>1.78E-2</v>
      </c>
      <c r="F82" s="5">
        <f>Programacion_PanesBudines!G7</f>
        <v>180</v>
      </c>
      <c r="G82" s="5">
        <f t="shared" si="2"/>
        <v>3.2040000000000002</v>
      </c>
    </row>
    <row r="83" spans="1:7" x14ac:dyDescent="0.25">
      <c r="A83" s="2" t="str">
        <f>Programacion_PanesBudines!A7</f>
        <v>Jueves</v>
      </c>
      <c r="B83" s="2" t="str">
        <f>Programacion_PanesBudines!B7</f>
        <v>Budin de vainilla / citricos</v>
      </c>
      <c r="C83" s="2" t="str">
        <f>Programacion_PanesBudines!C7</f>
        <v>B02</v>
      </c>
      <c r="D83" s="2" t="str">
        <f>Formulas!C143</f>
        <v>GOMA XÁNTICA</v>
      </c>
      <c r="E83" s="4">
        <f>Formulas!D143</f>
        <v>8.8999999999999999E-3</v>
      </c>
      <c r="F83" s="5">
        <f>Programacion_PanesBudines!G7</f>
        <v>180</v>
      </c>
      <c r="G83" s="5">
        <f t="shared" si="2"/>
        <v>1.6020000000000001</v>
      </c>
    </row>
    <row r="84" spans="1:7" x14ac:dyDescent="0.25">
      <c r="A84" s="2" t="str">
        <f>Programacion_PanesBudines!A7</f>
        <v>Jueves</v>
      </c>
      <c r="B84" s="2" t="str">
        <f>Programacion_PanesBudines!B7</f>
        <v>Budin de vainilla / citricos</v>
      </c>
      <c r="C84" s="2" t="str">
        <f>Programacion_PanesBudines!C7</f>
        <v>B02</v>
      </c>
      <c r="D84" s="2" t="str">
        <f>Formulas!C144</f>
        <v>PROPIONATO DE CALCIO</v>
      </c>
      <c r="E84" s="4">
        <f>Formulas!D144</f>
        <v>8.8999999999999999E-3</v>
      </c>
      <c r="F84" s="5">
        <f>Programacion_PanesBudines!G7</f>
        <v>180</v>
      </c>
      <c r="G84" s="5">
        <f t="shared" si="2"/>
        <v>1.6020000000000001</v>
      </c>
    </row>
    <row r="85" spans="1:7" x14ac:dyDescent="0.25">
      <c r="A85" s="2" t="str">
        <f>Programacion_PanesBudines!A7</f>
        <v>Jueves</v>
      </c>
      <c r="B85" s="2" t="str">
        <f>Programacion_PanesBudines!B7</f>
        <v>Budin de vainilla / citricos</v>
      </c>
      <c r="C85" s="2" t="str">
        <f>Programacion_PanesBudines!C7</f>
        <v>B02</v>
      </c>
      <c r="D85" s="2" t="str">
        <f>Formulas!C145</f>
        <v>ESENCIA DE VAINILLA / NARANJA / LIMÓN</v>
      </c>
      <c r="E85" s="4">
        <f>Formulas!D145</f>
        <v>1.068E-2</v>
      </c>
      <c r="F85" s="5">
        <f>Programacion_PanesBudines!G7</f>
        <v>180</v>
      </c>
      <c r="G85" s="5">
        <f t="shared" si="2"/>
        <v>1.9224000000000001</v>
      </c>
    </row>
    <row r="86" spans="1:7" x14ac:dyDescent="0.25">
      <c r="A86" s="2" t="str">
        <f>Programacion_PanesBudines!A7</f>
        <v>Jueves</v>
      </c>
      <c r="B86" s="2" t="str">
        <f>Programacion_PanesBudines!B7</f>
        <v>Budin de vainilla / citricos</v>
      </c>
      <c r="C86" s="2" t="str">
        <f>Programacion_PanesBudines!C7</f>
        <v>B02</v>
      </c>
      <c r="D86" s="2" t="str">
        <f>Formulas!C146</f>
        <v>SAL</v>
      </c>
      <c r="E86" s="4">
        <f>Formulas!D146</f>
        <v>4.45E-3</v>
      </c>
      <c r="F86" s="5">
        <f>Programacion_PanesBudines!G7</f>
        <v>180</v>
      </c>
      <c r="G86" s="5">
        <f t="shared" si="2"/>
        <v>0.80100000000000005</v>
      </c>
    </row>
    <row r="87" spans="1:7" x14ac:dyDescent="0.25">
      <c r="A87" s="2" t="str">
        <f>Programacion_PanesBudines!A7</f>
        <v>Jueves</v>
      </c>
      <c r="B87" s="2" t="str">
        <f>Programacion_PanesBudines!B7</f>
        <v>Budin de vainilla / citricos</v>
      </c>
      <c r="C87" s="2" t="str">
        <f>Programacion_PanesBudines!C7</f>
        <v>B02</v>
      </c>
      <c r="D87" s="2" t="str">
        <f>Formulas!C147</f>
        <v>SORBATO DE POTASIO</v>
      </c>
      <c r="E87" s="4">
        <f>Formulas!D147</f>
        <v>2.6700000000000001E-3</v>
      </c>
      <c r="F87" s="5">
        <f>Programacion_PanesBudines!G7</f>
        <v>180</v>
      </c>
      <c r="G87" s="5">
        <f t="shared" si="2"/>
        <v>0.48060000000000003</v>
      </c>
    </row>
    <row r="88" spans="1:7" x14ac:dyDescent="0.25">
      <c r="A88" s="2" t="str">
        <f>Programacion_PanesBudines!A8</f>
        <v>Viernes</v>
      </c>
      <c r="B88" s="2" t="str">
        <f>Programacion_PanesBudines!B8</f>
        <v>Budin de vainilla / citricos</v>
      </c>
      <c r="C88" s="2" t="str">
        <f>Programacion_PanesBudines!C8</f>
        <v>B02</v>
      </c>
      <c r="D88" s="2" t="str">
        <f>Formulas!C133</f>
        <v>AZÚCAR</v>
      </c>
      <c r="E88" s="4">
        <f>Formulas!D133</f>
        <v>0.1958</v>
      </c>
      <c r="F88" s="5">
        <f>Programacion_PanesBudines!G8</f>
        <v>360</v>
      </c>
      <c r="G88" s="5">
        <f t="shared" si="2"/>
        <v>70.488</v>
      </c>
    </row>
    <row r="89" spans="1:7" x14ac:dyDescent="0.25">
      <c r="A89" s="2" t="str">
        <f>Programacion_PanesBudines!A8</f>
        <v>Viernes</v>
      </c>
      <c r="B89" s="2" t="str">
        <f>Programacion_PanesBudines!B8</f>
        <v>Budin de vainilla / citricos</v>
      </c>
      <c r="C89" s="2" t="str">
        <f>Programacion_PanesBudines!C8</f>
        <v>B02</v>
      </c>
      <c r="D89" s="2" t="str">
        <f>Formulas!C134</f>
        <v>MARGARINA</v>
      </c>
      <c r="E89" s="4">
        <f>Formulas!D134</f>
        <v>0.1424</v>
      </c>
      <c r="F89" s="5">
        <f>Programacion_PanesBudines!G8</f>
        <v>360</v>
      </c>
      <c r="G89" s="5">
        <f t="shared" si="2"/>
        <v>51.264000000000003</v>
      </c>
    </row>
    <row r="90" spans="1:7" x14ac:dyDescent="0.25">
      <c r="A90" s="2" t="str">
        <f>Programacion_PanesBudines!A8</f>
        <v>Viernes</v>
      </c>
      <c r="B90" s="2" t="str">
        <f>Programacion_PanesBudines!B8</f>
        <v>Budin de vainilla / citricos</v>
      </c>
      <c r="C90" s="2" t="str">
        <f>Programacion_PanesBudines!C8</f>
        <v>B02</v>
      </c>
      <c r="D90" s="2" t="str">
        <f>Formulas!C135</f>
        <v>HARINA DE ARROZ</v>
      </c>
      <c r="E90" s="4">
        <f>Formulas!D135</f>
        <v>0.1246</v>
      </c>
      <c r="F90" s="5">
        <f>Programacion_PanesBudines!G8</f>
        <v>360</v>
      </c>
      <c r="G90" s="5">
        <f t="shared" si="2"/>
        <v>44.856000000000002</v>
      </c>
    </row>
    <row r="91" spans="1:7" x14ac:dyDescent="0.25">
      <c r="A91" s="2" t="str">
        <f>Programacion_PanesBudines!A8</f>
        <v>Viernes</v>
      </c>
      <c r="B91" s="2" t="str">
        <f>Programacion_PanesBudines!B8</f>
        <v>Budin de vainilla / citricos</v>
      </c>
      <c r="C91" s="2" t="str">
        <f>Programacion_PanesBudines!C8</f>
        <v>B02</v>
      </c>
      <c r="D91" s="2" t="str">
        <f>Formulas!C136</f>
        <v>FÉCULA DE MAÍZ</v>
      </c>
      <c r="E91" s="4">
        <f>Formulas!D136</f>
        <v>0.10680000000000001</v>
      </c>
      <c r="F91" s="5">
        <f>Programacion_PanesBudines!G8</f>
        <v>360</v>
      </c>
      <c r="G91" s="5">
        <f t="shared" si="2"/>
        <v>38.448</v>
      </c>
    </row>
    <row r="92" spans="1:7" x14ac:dyDescent="0.25">
      <c r="A92" s="2" t="str">
        <f>Programacion_PanesBudines!A8</f>
        <v>Viernes</v>
      </c>
      <c r="B92" s="2" t="str">
        <f>Programacion_PanesBudines!B8</f>
        <v>Budin de vainilla / citricos</v>
      </c>
      <c r="C92" s="2" t="str">
        <f>Programacion_PanesBudines!C8</f>
        <v>B02</v>
      </c>
      <c r="D92" s="2" t="str">
        <f>Formulas!C137</f>
        <v>AGUA</v>
      </c>
      <c r="E92" s="4">
        <f>Formulas!D137</f>
        <v>0.2079</v>
      </c>
      <c r="F92" s="5">
        <f>Programacion_PanesBudines!G8</f>
        <v>360</v>
      </c>
      <c r="G92" s="5">
        <f t="shared" si="2"/>
        <v>74.843999999999994</v>
      </c>
    </row>
    <row r="93" spans="1:7" x14ac:dyDescent="0.25">
      <c r="A93" s="2" t="str">
        <f>Programacion_PanesBudines!A8</f>
        <v>Viernes</v>
      </c>
      <c r="B93" s="2" t="str">
        <f>Programacion_PanesBudines!B8</f>
        <v>Budin de vainilla / citricos</v>
      </c>
      <c r="C93" s="2" t="str">
        <f>Programacion_PanesBudines!C8</f>
        <v>B02</v>
      </c>
      <c r="D93" s="2" t="str">
        <f>Formulas!C138</f>
        <v>HUEVO EN POLVO DESHIDRATADO</v>
      </c>
      <c r="E93" s="4">
        <f>Formulas!D138</f>
        <v>5.3400000000000003E-2</v>
      </c>
      <c r="F93" s="5">
        <f>Programacion_PanesBudines!G8</f>
        <v>360</v>
      </c>
      <c r="G93" s="5">
        <f t="shared" si="2"/>
        <v>19.224</v>
      </c>
    </row>
    <row r="94" spans="1:7" x14ac:dyDescent="0.25">
      <c r="A94" s="2" t="str">
        <f>Programacion_PanesBudines!A8</f>
        <v>Viernes</v>
      </c>
      <c r="B94" s="2" t="str">
        <f>Programacion_PanesBudines!B8</f>
        <v>Budin de vainilla / citricos</v>
      </c>
      <c r="C94" s="2" t="str">
        <f>Programacion_PanesBudines!C8</f>
        <v>B02</v>
      </c>
      <c r="D94" s="2" t="str">
        <f>Formulas!C139</f>
        <v>FÉCULA DE MANDIOCA</v>
      </c>
      <c r="E94" s="4">
        <f>Formulas!D139</f>
        <v>5.3400000000000003E-2</v>
      </c>
      <c r="F94" s="5">
        <f>Programacion_PanesBudines!G8</f>
        <v>360</v>
      </c>
      <c r="G94" s="5">
        <f t="shared" si="2"/>
        <v>19.224</v>
      </c>
    </row>
    <row r="95" spans="1:7" x14ac:dyDescent="0.25">
      <c r="A95" s="2" t="str">
        <f>Programacion_PanesBudines!A8</f>
        <v>Viernes</v>
      </c>
      <c r="B95" s="2" t="str">
        <f>Programacion_PanesBudines!B8</f>
        <v>Budin de vainilla / citricos</v>
      </c>
      <c r="C95" s="2" t="str">
        <f>Programacion_PanesBudines!C8</f>
        <v>B02</v>
      </c>
      <c r="D95" s="2" t="str">
        <f>Formulas!C140</f>
        <v>LECHE EN POLVO</v>
      </c>
      <c r="E95" s="4">
        <f>Formulas!D140</f>
        <v>4.4499999999999998E-2</v>
      </c>
      <c r="F95" s="5">
        <f>Programacion_PanesBudines!G8</f>
        <v>360</v>
      </c>
      <c r="G95" s="5">
        <f t="shared" si="2"/>
        <v>16.02</v>
      </c>
    </row>
    <row r="96" spans="1:7" x14ac:dyDescent="0.25">
      <c r="A96" s="2" t="str">
        <f>Programacion_PanesBudines!A8</f>
        <v>Viernes</v>
      </c>
      <c r="B96" s="2" t="str">
        <f>Programacion_PanesBudines!B8</f>
        <v>Budin de vainilla / citricos</v>
      </c>
      <c r="C96" s="2" t="str">
        <f>Programacion_PanesBudines!C8</f>
        <v>B02</v>
      </c>
      <c r="D96" s="2" t="str">
        <f>Formulas!C141</f>
        <v>PANACEA</v>
      </c>
      <c r="E96" s="4">
        <f>Formulas!D141</f>
        <v>1.78E-2</v>
      </c>
      <c r="F96" s="5">
        <f>Programacion_PanesBudines!G8</f>
        <v>360</v>
      </c>
      <c r="G96" s="5">
        <f t="shared" si="2"/>
        <v>6.4080000000000004</v>
      </c>
    </row>
    <row r="97" spans="1:7" x14ac:dyDescent="0.25">
      <c r="A97" s="2" t="str">
        <f>Programacion_PanesBudines!A8</f>
        <v>Viernes</v>
      </c>
      <c r="B97" s="2" t="str">
        <f>Programacion_PanesBudines!B8</f>
        <v>Budin de vainilla / citricos</v>
      </c>
      <c r="C97" s="2" t="str">
        <f>Programacion_PanesBudines!C8</f>
        <v>B02</v>
      </c>
      <c r="D97" s="2" t="str">
        <f>Formulas!C142</f>
        <v>POLVO PARA HORNEAR</v>
      </c>
      <c r="E97" s="4">
        <f>Formulas!D142</f>
        <v>1.78E-2</v>
      </c>
      <c r="F97" s="5">
        <f>Programacion_PanesBudines!G8</f>
        <v>360</v>
      </c>
      <c r="G97" s="5">
        <f t="shared" si="2"/>
        <v>6.4080000000000004</v>
      </c>
    </row>
    <row r="98" spans="1:7" x14ac:dyDescent="0.25">
      <c r="A98" s="2" t="str">
        <f>Programacion_PanesBudines!A8</f>
        <v>Viernes</v>
      </c>
      <c r="B98" s="2" t="str">
        <f>Programacion_PanesBudines!B8</f>
        <v>Budin de vainilla / citricos</v>
      </c>
      <c r="C98" s="2" t="str">
        <f>Programacion_PanesBudines!C8</f>
        <v>B02</v>
      </c>
      <c r="D98" s="2" t="str">
        <f>Formulas!C143</f>
        <v>GOMA XÁNTICA</v>
      </c>
      <c r="E98" s="4">
        <f>Formulas!D143</f>
        <v>8.8999999999999999E-3</v>
      </c>
      <c r="F98" s="5">
        <f>Programacion_PanesBudines!G8</f>
        <v>360</v>
      </c>
      <c r="G98" s="5">
        <f t="shared" ref="G98:G129" si="3">E98*F98</f>
        <v>3.2040000000000002</v>
      </c>
    </row>
    <row r="99" spans="1:7" x14ac:dyDescent="0.25">
      <c r="A99" s="2" t="str">
        <f>Programacion_PanesBudines!A8</f>
        <v>Viernes</v>
      </c>
      <c r="B99" s="2" t="str">
        <f>Programacion_PanesBudines!B8</f>
        <v>Budin de vainilla / citricos</v>
      </c>
      <c r="C99" s="2" t="str">
        <f>Programacion_PanesBudines!C8</f>
        <v>B02</v>
      </c>
      <c r="D99" s="2" t="str">
        <f>Formulas!C144</f>
        <v>PROPIONATO DE CALCIO</v>
      </c>
      <c r="E99" s="4">
        <f>Formulas!D144</f>
        <v>8.8999999999999999E-3</v>
      </c>
      <c r="F99" s="5">
        <f>Programacion_PanesBudines!G8</f>
        <v>360</v>
      </c>
      <c r="G99" s="5">
        <f t="shared" si="3"/>
        <v>3.2040000000000002</v>
      </c>
    </row>
    <row r="100" spans="1:7" x14ac:dyDescent="0.25">
      <c r="A100" s="2" t="str">
        <f>Programacion_PanesBudines!A8</f>
        <v>Viernes</v>
      </c>
      <c r="B100" s="2" t="str">
        <f>Programacion_PanesBudines!B8</f>
        <v>Budin de vainilla / citricos</v>
      </c>
      <c r="C100" s="2" t="str">
        <f>Programacion_PanesBudines!C8</f>
        <v>B02</v>
      </c>
      <c r="D100" s="2" t="str">
        <f>Formulas!C145</f>
        <v>ESENCIA DE VAINILLA / NARANJA / LIMÓN</v>
      </c>
      <c r="E100" s="4">
        <f>Formulas!D145</f>
        <v>1.068E-2</v>
      </c>
      <c r="F100" s="5">
        <f>Programacion_PanesBudines!G8</f>
        <v>360</v>
      </c>
      <c r="G100" s="5">
        <f t="shared" si="3"/>
        <v>3.8448000000000002</v>
      </c>
    </row>
    <row r="101" spans="1:7" x14ac:dyDescent="0.25">
      <c r="A101" s="2" t="str">
        <f>Programacion_PanesBudines!A8</f>
        <v>Viernes</v>
      </c>
      <c r="B101" s="2" t="str">
        <f>Programacion_PanesBudines!B8</f>
        <v>Budin de vainilla / citricos</v>
      </c>
      <c r="C101" s="2" t="str">
        <f>Programacion_PanesBudines!C8</f>
        <v>B02</v>
      </c>
      <c r="D101" s="2" t="str">
        <f>Formulas!C146</f>
        <v>SAL</v>
      </c>
      <c r="E101" s="4">
        <f>Formulas!D146</f>
        <v>4.45E-3</v>
      </c>
      <c r="F101" s="5">
        <f>Programacion_PanesBudines!G8</f>
        <v>360</v>
      </c>
      <c r="G101" s="5">
        <f t="shared" si="3"/>
        <v>1.6020000000000001</v>
      </c>
    </row>
    <row r="102" spans="1:7" x14ac:dyDescent="0.25">
      <c r="A102" s="2" t="str">
        <f>Programacion_PanesBudines!A8</f>
        <v>Viernes</v>
      </c>
      <c r="B102" s="2" t="str">
        <f>Programacion_PanesBudines!B8</f>
        <v>Budin de vainilla / citricos</v>
      </c>
      <c r="C102" s="2" t="str">
        <f>Programacion_PanesBudines!C8</f>
        <v>B02</v>
      </c>
      <c r="D102" s="2" t="str">
        <f>Formulas!C147</f>
        <v>SORBATO DE POTASIO</v>
      </c>
      <c r="E102" s="4">
        <f>Formulas!D147</f>
        <v>2.6700000000000001E-3</v>
      </c>
      <c r="F102" s="5">
        <f>Programacion_PanesBudines!G8</f>
        <v>360</v>
      </c>
      <c r="G102" s="5">
        <f t="shared" si="3"/>
        <v>0.96120000000000005</v>
      </c>
    </row>
    <row r="103" spans="1:7" x14ac:dyDescent="0.25">
      <c r="A103" s="2" t="str">
        <f>Programacion_PanesBudines!A9</f>
        <v>Viernes</v>
      </c>
      <c r="B103" s="2" t="str">
        <f>Programacion_PanesBudines!B9</f>
        <v>Budin con chips de chocolate</v>
      </c>
      <c r="C103" s="2" t="str">
        <f>Programacion_PanesBudines!C9</f>
        <v>B03</v>
      </c>
      <c r="D103" s="2" t="str">
        <f>Formulas!C148</f>
        <v>AZÚCAR</v>
      </c>
      <c r="E103" s="4">
        <f>Formulas!D148</f>
        <v>0.17799999999999999</v>
      </c>
      <c r="F103" s="5">
        <f>Programacion_PanesBudines!G9</f>
        <v>180</v>
      </c>
      <c r="G103" s="5">
        <f t="shared" si="3"/>
        <v>32.04</v>
      </c>
    </row>
    <row r="104" spans="1:7" x14ac:dyDescent="0.25">
      <c r="A104" s="2" t="str">
        <f>Programacion_PanesBudines!A9</f>
        <v>Viernes</v>
      </c>
      <c r="B104" s="2" t="str">
        <f>Programacion_PanesBudines!B9</f>
        <v>Budin con chips de chocolate</v>
      </c>
      <c r="C104" s="2" t="str">
        <f>Programacion_PanesBudines!C9</f>
        <v>B03</v>
      </c>
      <c r="D104" s="2" t="str">
        <f>Formulas!C149</f>
        <v>MARGARINA</v>
      </c>
      <c r="E104" s="4">
        <f>Formulas!D149</f>
        <v>0.13350000000000001</v>
      </c>
      <c r="F104" s="5">
        <f>Programacion_PanesBudines!G9</f>
        <v>180</v>
      </c>
      <c r="G104" s="5">
        <f t="shared" si="3"/>
        <v>24.03</v>
      </c>
    </row>
    <row r="105" spans="1:7" x14ac:dyDescent="0.25">
      <c r="A105" s="2" t="str">
        <f>Programacion_PanesBudines!A9</f>
        <v>Viernes</v>
      </c>
      <c r="B105" s="2" t="str">
        <f>Programacion_PanesBudines!B9</f>
        <v>Budin con chips de chocolate</v>
      </c>
      <c r="C105" s="2" t="str">
        <f>Programacion_PanesBudines!C9</f>
        <v>B03</v>
      </c>
      <c r="D105" s="2" t="str">
        <f>Formulas!C150</f>
        <v>HARINA DE ARROZ</v>
      </c>
      <c r="E105" s="4">
        <f>Formulas!D150</f>
        <v>0.1157</v>
      </c>
      <c r="F105" s="5">
        <f>Programacion_PanesBudines!G9</f>
        <v>180</v>
      </c>
      <c r="G105" s="5">
        <f t="shared" si="3"/>
        <v>20.826000000000001</v>
      </c>
    </row>
    <row r="106" spans="1:7" x14ac:dyDescent="0.25">
      <c r="A106" s="2" t="str">
        <f>Programacion_PanesBudines!A9</f>
        <v>Viernes</v>
      </c>
      <c r="B106" s="2" t="str">
        <f>Programacion_PanesBudines!B9</f>
        <v>Budin con chips de chocolate</v>
      </c>
      <c r="C106" s="2" t="str">
        <f>Programacion_PanesBudines!C9</f>
        <v>B03</v>
      </c>
      <c r="D106" s="2" t="str">
        <f>Formulas!C151</f>
        <v>FÉCULA DE MAÍZ</v>
      </c>
      <c r="E106" s="4">
        <f>Formulas!D151</f>
        <v>9.7900000000000001E-2</v>
      </c>
      <c r="F106" s="5">
        <f>Programacion_PanesBudines!G9</f>
        <v>180</v>
      </c>
      <c r="G106" s="5">
        <f t="shared" si="3"/>
        <v>17.622</v>
      </c>
    </row>
    <row r="107" spans="1:7" x14ac:dyDescent="0.25">
      <c r="A107" s="2" t="str">
        <f>Programacion_PanesBudines!A9</f>
        <v>Viernes</v>
      </c>
      <c r="B107" s="2" t="str">
        <f>Programacion_PanesBudines!B9</f>
        <v>Budin con chips de chocolate</v>
      </c>
      <c r="C107" s="2" t="str">
        <f>Programacion_PanesBudines!C9</f>
        <v>B03</v>
      </c>
      <c r="D107" s="2" t="str">
        <f>Formulas!C152</f>
        <v>AGUA</v>
      </c>
      <c r="E107" s="4">
        <f>Formulas!D152</f>
        <v>0.19900000000000001</v>
      </c>
      <c r="F107" s="5">
        <f>Programacion_PanesBudines!G9</f>
        <v>180</v>
      </c>
      <c r="G107" s="5">
        <f t="shared" si="3"/>
        <v>35.82</v>
      </c>
    </row>
    <row r="108" spans="1:7" x14ac:dyDescent="0.25">
      <c r="A108" s="2" t="str">
        <f>Programacion_PanesBudines!A9</f>
        <v>Viernes</v>
      </c>
      <c r="B108" s="2" t="str">
        <f>Programacion_PanesBudines!B9</f>
        <v>Budin con chips de chocolate</v>
      </c>
      <c r="C108" s="2" t="str">
        <f>Programacion_PanesBudines!C9</f>
        <v>B03</v>
      </c>
      <c r="D108" s="2" t="str">
        <f>Formulas!C153</f>
        <v>CHIPS DE CHOCOLATE</v>
      </c>
      <c r="E108" s="4">
        <f>Formulas!D153</f>
        <v>8.0100000000000005E-2</v>
      </c>
      <c r="F108" s="5">
        <f>Programacion_PanesBudines!G9</f>
        <v>180</v>
      </c>
      <c r="G108" s="5">
        <f t="shared" si="3"/>
        <v>14.418000000000001</v>
      </c>
    </row>
    <row r="109" spans="1:7" x14ac:dyDescent="0.25">
      <c r="A109" s="2" t="str">
        <f>Programacion_PanesBudines!A9</f>
        <v>Viernes</v>
      </c>
      <c r="B109" s="2" t="str">
        <f>Programacion_PanesBudines!B9</f>
        <v>Budin con chips de chocolate</v>
      </c>
      <c r="C109" s="2" t="str">
        <f>Programacion_PanesBudines!C9</f>
        <v>B03</v>
      </c>
      <c r="D109" s="2" t="str">
        <f>Formulas!C154</f>
        <v>HUEVO EN POLVO DESHIDRATADO</v>
      </c>
      <c r="E109" s="4">
        <f>Formulas!D154</f>
        <v>5.3400000000000003E-2</v>
      </c>
      <c r="F109" s="5">
        <f>Programacion_PanesBudines!G9</f>
        <v>180</v>
      </c>
      <c r="G109" s="5">
        <f t="shared" si="3"/>
        <v>9.6120000000000001</v>
      </c>
    </row>
    <row r="110" spans="1:7" x14ac:dyDescent="0.25">
      <c r="A110" s="2" t="str">
        <f>Programacion_PanesBudines!A9</f>
        <v>Viernes</v>
      </c>
      <c r="B110" s="2" t="str">
        <f>Programacion_PanesBudines!B9</f>
        <v>Budin con chips de chocolate</v>
      </c>
      <c r="C110" s="2" t="str">
        <f>Programacion_PanesBudines!C9</f>
        <v>B03</v>
      </c>
      <c r="D110" s="2" t="str">
        <f>Formulas!C155</f>
        <v>FÉCULA DE MANDIOCA</v>
      </c>
      <c r="E110" s="4">
        <f>Formulas!D155</f>
        <v>4.4499999999999998E-2</v>
      </c>
      <c r="F110" s="5">
        <f>Programacion_PanesBudines!G9</f>
        <v>180</v>
      </c>
      <c r="G110" s="5">
        <f t="shared" si="3"/>
        <v>8.01</v>
      </c>
    </row>
    <row r="111" spans="1:7" x14ac:dyDescent="0.25">
      <c r="A111" s="2" t="str">
        <f>Programacion_PanesBudines!A9</f>
        <v>Viernes</v>
      </c>
      <c r="B111" s="2" t="str">
        <f>Programacion_PanesBudines!B9</f>
        <v>Budin con chips de chocolate</v>
      </c>
      <c r="C111" s="2" t="str">
        <f>Programacion_PanesBudines!C9</f>
        <v>B03</v>
      </c>
      <c r="D111" s="2" t="str">
        <f>Formulas!C156</f>
        <v>LECHE EN POLVO</v>
      </c>
      <c r="E111" s="4">
        <f>Formulas!D156</f>
        <v>3.56E-2</v>
      </c>
      <c r="F111" s="5">
        <f>Programacion_PanesBudines!G9</f>
        <v>180</v>
      </c>
      <c r="G111" s="5">
        <f t="shared" si="3"/>
        <v>6.4080000000000004</v>
      </c>
    </row>
    <row r="112" spans="1:7" x14ac:dyDescent="0.25">
      <c r="A112" s="2" t="str">
        <f>Programacion_PanesBudines!A9</f>
        <v>Viernes</v>
      </c>
      <c r="B112" s="2" t="str">
        <f>Programacion_PanesBudines!B9</f>
        <v>Budin con chips de chocolate</v>
      </c>
      <c r="C112" s="2" t="str">
        <f>Programacion_PanesBudines!C9</f>
        <v>B03</v>
      </c>
      <c r="D112" s="2" t="str">
        <f>Formulas!C157</f>
        <v>PANACEA</v>
      </c>
      <c r="E112" s="4">
        <f>Formulas!D157</f>
        <v>1.78E-2</v>
      </c>
      <c r="F112" s="5">
        <f>Programacion_PanesBudines!G9</f>
        <v>180</v>
      </c>
      <c r="G112" s="5">
        <f t="shared" si="3"/>
        <v>3.2040000000000002</v>
      </c>
    </row>
    <row r="113" spans="1:7" x14ac:dyDescent="0.25">
      <c r="A113" s="2" t="str">
        <f>Programacion_PanesBudines!A9</f>
        <v>Viernes</v>
      </c>
      <c r="B113" s="2" t="str">
        <f>Programacion_PanesBudines!B9</f>
        <v>Budin con chips de chocolate</v>
      </c>
      <c r="C113" s="2" t="str">
        <f>Programacion_PanesBudines!C9</f>
        <v>B03</v>
      </c>
      <c r="D113" s="2" t="str">
        <f>Formulas!C158</f>
        <v>POLVO PARA HORNEAR</v>
      </c>
      <c r="E113" s="4">
        <f>Formulas!D158</f>
        <v>1.78E-2</v>
      </c>
      <c r="F113" s="5">
        <f>Programacion_PanesBudines!G9</f>
        <v>180</v>
      </c>
      <c r="G113" s="5">
        <f t="shared" si="3"/>
        <v>3.2040000000000002</v>
      </c>
    </row>
    <row r="114" spans="1:7" x14ac:dyDescent="0.25">
      <c r="A114" s="2" t="str">
        <f>Programacion_PanesBudines!A9</f>
        <v>Viernes</v>
      </c>
      <c r="B114" s="2" t="str">
        <f>Programacion_PanesBudines!B9</f>
        <v>Budin con chips de chocolate</v>
      </c>
      <c r="C114" s="2" t="str">
        <f>Programacion_PanesBudines!C9</f>
        <v>B03</v>
      </c>
      <c r="D114" s="2" t="str">
        <f>Formulas!C159</f>
        <v>GOMA XÁNTICA</v>
      </c>
      <c r="E114" s="4">
        <f>Formulas!D159</f>
        <v>8.8999999999999999E-3</v>
      </c>
      <c r="F114" s="5">
        <f>Programacion_PanesBudines!G9</f>
        <v>180</v>
      </c>
      <c r="G114" s="5">
        <f t="shared" si="3"/>
        <v>1.6020000000000001</v>
      </c>
    </row>
    <row r="115" spans="1:7" x14ac:dyDescent="0.25">
      <c r="A115" s="2" t="str">
        <f>Programacion_PanesBudines!A9</f>
        <v>Viernes</v>
      </c>
      <c r="B115" s="2" t="str">
        <f>Programacion_PanesBudines!B9</f>
        <v>Budin con chips de chocolate</v>
      </c>
      <c r="C115" s="2" t="str">
        <f>Programacion_PanesBudines!C9</f>
        <v>B03</v>
      </c>
      <c r="D115" s="2" t="str">
        <f>Formulas!C160</f>
        <v>PROPIONATO DE CALCIO</v>
      </c>
      <c r="E115" s="4">
        <f>Formulas!D160</f>
        <v>8.8999999999999999E-3</v>
      </c>
      <c r="F115" s="5">
        <f>Programacion_PanesBudines!G9</f>
        <v>180</v>
      </c>
      <c r="G115" s="5">
        <f t="shared" si="3"/>
        <v>1.6020000000000001</v>
      </c>
    </row>
    <row r="116" spans="1:7" x14ac:dyDescent="0.25">
      <c r="A116" s="2" t="str">
        <f>Programacion_PanesBudines!A9</f>
        <v>Viernes</v>
      </c>
      <c r="B116" s="2" t="str">
        <f>Programacion_PanesBudines!B9</f>
        <v>Budin con chips de chocolate</v>
      </c>
      <c r="C116" s="2" t="str">
        <f>Programacion_PanesBudines!C9</f>
        <v>B03</v>
      </c>
      <c r="D116" s="2" t="str">
        <f>Formulas!C161</f>
        <v>ESENCIA DE VAINILLA</v>
      </c>
      <c r="E116" s="4">
        <f>Formulas!D161</f>
        <v>4.45E-3</v>
      </c>
      <c r="F116" s="5">
        <f>Programacion_PanesBudines!G9</f>
        <v>180</v>
      </c>
      <c r="G116" s="5">
        <f t="shared" si="3"/>
        <v>0.80100000000000005</v>
      </c>
    </row>
    <row r="117" spans="1:7" x14ac:dyDescent="0.25">
      <c r="A117" s="2" t="str">
        <f>Programacion_PanesBudines!A9</f>
        <v>Viernes</v>
      </c>
      <c r="B117" s="2" t="str">
        <f>Programacion_PanesBudines!B9</f>
        <v>Budin con chips de chocolate</v>
      </c>
      <c r="C117" s="2" t="str">
        <f>Programacion_PanesBudines!C9</f>
        <v>B03</v>
      </c>
      <c r="D117" s="2" t="str">
        <f>Formulas!C162</f>
        <v>SAL</v>
      </c>
      <c r="E117" s="4">
        <f>Formulas!D162</f>
        <v>2.6700000000000001E-3</v>
      </c>
      <c r="F117" s="5">
        <f>Programacion_PanesBudines!G9</f>
        <v>180</v>
      </c>
      <c r="G117" s="5">
        <f t="shared" si="3"/>
        <v>0.48060000000000003</v>
      </c>
    </row>
    <row r="118" spans="1:7" x14ac:dyDescent="0.25">
      <c r="A118" s="2" t="str">
        <f>Programacion_PanesBudines!A9</f>
        <v>Viernes</v>
      </c>
      <c r="B118" s="2" t="str">
        <f>Programacion_PanesBudines!B9</f>
        <v>Budin con chips de chocolate</v>
      </c>
      <c r="C118" s="2" t="str">
        <f>Programacion_PanesBudines!C9</f>
        <v>B03</v>
      </c>
      <c r="D118" s="2" t="str">
        <f>Formulas!C163</f>
        <v>SORBATO DE POTASIO</v>
      </c>
      <c r="E118" s="4">
        <f>Formulas!D163</f>
        <v>1.7799999999999999E-3</v>
      </c>
      <c r="F118" s="5">
        <f>Programacion_PanesBudines!G9</f>
        <v>180</v>
      </c>
      <c r="G118" s="5">
        <f t="shared" si="3"/>
        <v>0.32039999999999996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34" customWidth="1"/>
    <col min="2" max="6" width="12" customWidth="1"/>
    <col min="7" max="7" width="18" customWidth="1"/>
  </cols>
  <sheetData>
    <row r="1" spans="1:7" ht="30" x14ac:dyDescent="0.25">
      <c r="A1" s="9" t="s">
        <v>91</v>
      </c>
      <c r="B1" s="9" t="s">
        <v>9</v>
      </c>
      <c r="C1" s="9" t="s">
        <v>14</v>
      </c>
      <c r="D1" s="9" t="s">
        <v>17</v>
      </c>
      <c r="E1" s="9" t="s">
        <v>22</v>
      </c>
      <c r="F1" s="9" t="s">
        <v>23</v>
      </c>
      <c r="G1" s="9" t="s">
        <v>98</v>
      </c>
    </row>
    <row r="2" spans="1:7" x14ac:dyDescent="0.25">
      <c r="A2" s="2" t="s">
        <v>50</v>
      </c>
      <c r="B2" s="5">
        <f>SUMIFS(Detalle_Consumo_PanesBudines!$G:$G,Detalle_Consumo_PanesBudines!$A:$A,"Lunes",Detalle_Consumo_PanesBudines!$D:$D,$A2)</f>
        <v>255.42</v>
      </c>
      <c r="C2" s="5">
        <f>SUMIFS(Detalle_Consumo_PanesBudines!$G:$G,Detalle_Consumo_PanesBudines!$A:$A,"Martes",Detalle_Consumo_PanesBudines!$D:$D,$A2)</f>
        <v>110.66399999999999</v>
      </c>
      <c r="D2" s="5">
        <f>SUMIFS(Detalle_Consumo_PanesBudines!$G:$G,Detalle_Consumo_PanesBudines!$A:$A,"Miercoles",Detalle_Consumo_PanesBudines!$D:$D,$A2)</f>
        <v>255.42</v>
      </c>
      <c r="E2" s="5">
        <f>SUMIFS(Detalle_Consumo_PanesBudines!$G:$G,Detalle_Consumo_PanesBudines!$A:$A,"Jueves",Detalle_Consumo_PanesBudines!$D:$D,$A2)</f>
        <v>109.062</v>
      </c>
      <c r="F2" s="5">
        <f>SUMIFS(Detalle_Consumo_PanesBudines!$G:$G,Detalle_Consumo_PanesBudines!$A:$A,"Viernes",Detalle_Consumo_PanesBudines!$D:$D,$A2)</f>
        <v>110.66399999999999</v>
      </c>
      <c r="G2" s="6">
        <f t="shared" ref="G2:G22" si="0">SUM(B2:F2)</f>
        <v>841.2299999999999</v>
      </c>
    </row>
    <row r="3" spans="1:7" x14ac:dyDescent="0.25">
      <c r="A3" s="2" t="s">
        <v>36</v>
      </c>
      <c r="B3" s="5">
        <f>SUMIFS(Detalle_Consumo_PanesBudines!$G:$G,Detalle_Consumo_PanesBudines!$A:$A,"Lunes",Detalle_Consumo_PanesBudines!$D:$D,$A3)</f>
        <v>73.440000000000012</v>
      </c>
      <c r="C3" s="5">
        <f>SUMIFS(Detalle_Consumo_PanesBudines!$G:$G,Detalle_Consumo_PanesBudines!$A:$A,"Martes",Detalle_Consumo_PanesBudines!$D:$D,$A3)</f>
        <v>65.682000000000002</v>
      </c>
      <c r="D3" s="5">
        <f>SUMIFS(Detalle_Consumo_PanesBudines!$G:$G,Detalle_Consumo_PanesBudines!$A:$A,"Miercoles",Detalle_Consumo_PanesBudines!$D:$D,$A3)</f>
        <v>73.440000000000012</v>
      </c>
      <c r="E3" s="5">
        <f>SUMIFS(Detalle_Consumo_PanesBudines!$G:$G,Detalle_Consumo_PanesBudines!$A:$A,"Jueves",Detalle_Consumo_PanesBudines!$D:$D,$A3)</f>
        <v>64.08</v>
      </c>
      <c r="F3" s="5">
        <f>SUMIFS(Detalle_Consumo_PanesBudines!$G:$G,Detalle_Consumo_PanesBudines!$A:$A,"Viernes",Detalle_Consumo_PanesBudines!$D:$D,$A3)</f>
        <v>65.682000000000002</v>
      </c>
      <c r="G3" s="6">
        <f t="shared" si="0"/>
        <v>342.32400000000001</v>
      </c>
    </row>
    <row r="4" spans="1:7" x14ac:dyDescent="0.25">
      <c r="A4" s="2" t="s">
        <v>35</v>
      </c>
      <c r="B4" s="5">
        <f>SUMIFS(Detalle_Consumo_PanesBudines!$G:$G,Detalle_Consumo_PanesBudines!$A:$A,"Lunes",Detalle_Consumo_PanesBudines!$D:$D,$A4)</f>
        <v>55.08</v>
      </c>
      <c r="C4" s="5">
        <f>SUMIFS(Detalle_Consumo_PanesBudines!$G:$G,Detalle_Consumo_PanesBudines!$A:$A,"Martes",Detalle_Consumo_PanesBudines!$D:$D,$A4)</f>
        <v>56.07</v>
      </c>
      <c r="D4" s="5">
        <f>SUMIFS(Detalle_Consumo_PanesBudines!$G:$G,Detalle_Consumo_PanesBudines!$A:$A,"Miercoles",Detalle_Consumo_PanesBudines!$D:$D,$A4)</f>
        <v>55.08</v>
      </c>
      <c r="E4" s="5">
        <f>SUMIFS(Detalle_Consumo_PanesBudines!$G:$G,Detalle_Consumo_PanesBudines!$A:$A,"Jueves",Detalle_Consumo_PanesBudines!$D:$D,$A4)</f>
        <v>54.468000000000004</v>
      </c>
      <c r="F4" s="5">
        <f>SUMIFS(Detalle_Consumo_PanesBudines!$G:$G,Detalle_Consumo_PanesBudines!$A:$A,"Viernes",Detalle_Consumo_PanesBudines!$D:$D,$A4)</f>
        <v>56.07</v>
      </c>
      <c r="G4" s="6">
        <f t="shared" si="0"/>
        <v>276.76800000000003</v>
      </c>
    </row>
    <row r="5" spans="1:7" x14ac:dyDescent="0.25">
      <c r="A5" s="2" t="s">
        <v>64</v>
      </c>
      <c r="B5" s="5">
        <f>SUMIFS(Detalle_Consumo_PanesBudines!$G:$G,Detalle_Consumo_PanesBudines!$A:$A,"Lunes",Detalle_Consumo_PanesBudines!$D:$D,$A5)</f>
        <v>45.900000000000006</v>
      </c>
      <c r="C5" s="5">
        <f>SUMIFS(Detalle_Consumo_PanesBudines!$G:$G,Detalle_Consumo_PanesBudines!$A:$A,"Martes",Detalle_Consumo_PanesBudines!$D:$D,$A5)</f>
        <v>27.234000000000002</v>
      </c>
      <c r="D5" s="5">
        <f>SUMIFS(Detalle_Consumo_PanesBudines!$G:$G,Detalle_Consumo_PanesBudines!$A:$A,"Miercoles",Detalle_Consumo_PanesBudines!$D:$D,$A5)</f>
        <v>45.900000000000006</v>
      </c>
      <c r="E5" s="5">
        <f>SUMIFS(Detalle_Consumo_PanesBudines!$G:$G,Detalle_Consumo_PanesBudines!$A:$A,"Jueves",Detalle_Consumo_PanesBudines!$D:$D,$A5)</f>
        <v>25.631999999999998</v>
      </c>
      <c r="F5" s="5">
        <f>SUMIFS(Detalle_Consumo_PanesBudines!$G:$G,Detalle_Consumo_PanesBudines!$A:$A,"Viernes",Detalle_Consumo_PanesBudines!$D:$D,$A5)</f>
        <v>27.234000000000002</v>
      </c>
      <c r="G5" s="6">
        <f t="shared" si="0"/>
        <v>171.90000000000003</v>
      </c>
    </row>
    <row r="6" spans="1:7" x14ac:dyDescent="0.25">
      <c r="A6" s="2" t="s">
        <v>66</v>
      </c>
      <c r="B6" s="5">
        <f>SUMIFS(Detalle_Consumo_PanesBudines!$G:$G,Detalle_Consumo_PanesBudines!$A:$A,"Lunes",Detalle_Consumo_PanesBudines!$D:$D,$A6)</f>
        <v>27.54</v>
      </c>
      <c r="C6" s="5">
        <f>SUMIFS(Detalle_Consumo_PanesBudines!$G:$G,Detalle_Consumo_PanesBudines!$A:$A,"Martes",Detalle_Consumo_PanesBudines!$D:$D,$A6)</f>
        <v>0</v>
      </c>
      <c r="D6" s="5">
        <f>SUMIFS(Detalle_Consumo_PanesBudines!$G:$G,Detalle_Consumo_PanesBudines!$A:$A,"Miercoles",Detalle_Consumo_PanesBudines!$D:$D,$A6)</f>
        <v>27.54</v>
      </c>
      <c r="E6" s="5">
        <f>SUMIFS(Detalle_Consumo_PanesBudines!$G:$G,Detalle_Consumo_PanesBudines!$A:$A,"Jueves",Detalle_Consumo_PanesBudines!$D:$D,$A6)</f>
        <v>0</v>
      </c>
      <c r="F6" s="5">
        <f>SUMIFS(Detalle_Consumo_PanesBudines!$G:$G,Detalle_Consumo_PanesBudines!$A:$A,"Viernes",Detalle_Consumo_PanesBudines!$D:$D,$A6)</f>
        <v>0</v>
      </c>
      <c r="G6" s="6">
        <f t="shared" si="0"/>
        <v>55.08</v>
      </c>
    </row>
    <row r="7" spans="1:7" x14ac:dyDescent="0.25">
      <c r="A7" s="2" t="s">
        <v>62</v>
      </c>
      <c r="B7" s="5">
        <f>SUMIFS(Detalle_Consumo_PanesBudines!$G:$G,Detalle_Consumo_PanesBudines!$A:$A,"Lunes",Detalle_Consumo_PanesBudines!$D:$D,$A7)</f>
        <v>18.360000000000003</v>
      </c>
      <c r="C7" s="5">
        <f>SUMIFS(Detalle_Consumo_PanesBudines!$G:$G,Detalle_Consumo_PanesBudines!$A:$A,"Martes",Detalle_Consumo_PanesBudines!$D:$D,$A7)</f>
        <v>102.52799999999999</v>
      </c>
      <c r="D7" s="5">
        <f>SUMIFS(Detalle_Consumo_PanesBudines!$G:$G,Detalle_Consumo_PanesBudines!$A:$A,"Miercoles",Detalle_Consumo_PanesBudines!$D:$D,$A7)</f>
        <v>18.360000000000003</v>
      </c>
      <c r="E7" s="5">
        <f>SUMIFS(Detalle_Consumo_PanesBudines!$G:$G,Detalle_Consumo_PanesBudines!$A:$A,"Jueves",Detalle_Consumo_PanesBudines!$D:$D,$A7)</f>
        <v>99.323999999999998</v>
      </c>
      <c r="F7" s="5">
        <f>SUMIFS(Detalle_Consumo_PanesBudines!$G:$G,Detalle_Consumo_PanesBudines!$A:$A,"Viernes",Detalle_Consumo_PanesBudines!$D:$D,$A7)</f>
        <v>102.52799999999999</v>
      </c>
      <c r="G7" s="6">
        <f t="shared" si="0"/>
        <v>341.1</v>
      </c>
    </row>
    <row r="8" spans="1:7" x14ac:dyDescent="0.25">
      <c r="A8" s="2" t="s">
        <v>57</v>
      </c>
      <c r="B8" s="5">
        <f>SUMIFS(Detalle_Consumo_PanesBudines!$G:$G,Detalle_Consumo_PanesBudines!$A:$A,"Lunes",Detalle_Consumo_PanesBudines!$D:$D,$A8)</f>
        <v>18.360000000000003</v>
      </c>
      <c r="C8" s="5">
        <f>SUMIFS(Detalle_Consumo_PanesBudines!$G:$G,Detalle_Consumo_PanesBudines!$A:$A,"Martes",Detalle_Consumo_PanesBudines!$D:$D,$A8)</f>
        <v>22.428000000000001</v>
      </c>
      <c r="D8" s="5">
        <f>SUMIFS(Detalle_Consumo_PanesBudines!$G:$G,Detalle_Consumo_PanesBudines!$A:$A,"Miercoles",Detalle_Consumo_PanesBudines!$D:$D,$A8)</f>
        <v>18.360000000000003</v>
      </c>
      <c r="E8" s="5">
        <f>SUMIFS(Detalle_Consumo_PanesBudines!$G:$G,Detalle_Consumo_PanesBudines!$A:$A,"Jueves",Detalle_Consumo_PanesBudines!$D:$D,$A8)</f>
        <v>20.826000000000001</v>
      </c>
      <c r="F8" s="5">
        <f>SUMIFS(Detalle_Consumo_PanesBudines!$G:$G,Detalle_Consumo_PanesBudines!$A:$A,"Viernes",Detalle_Consumo_PanesBudines!$D:$D,$A8)</f>
        <v>22.428000000000001</v>
      </c>
      <c r="G8" s="6">
        <f t="shared" si="0"/>
        <v>102.40200000000002</v>
      </c>
    </row>
    <row r="9" spans="1:7" x14ac:dyDescent="0.25">
      <c r="A9" s="2" t="s">
        <v>55</v>
      </c>
      <c r="B9" s="5">
        <f>SUMIFS(Detalle_Consumo_PanesBudines!$G:$G,Detalle_Consumo_PanesBudines!$A:$A,"Lunes",Detalle_Consumo_PanesBudines!$D:$D,$A9)</f>
        <v>13.77</v>
      </c>
      <c r="C9" s="5">
        <f>SUMIFS(Detalle_Consumo_PanesBudines!$G:$G,Detalle_Consumo_PanesBudines!$A:$A,"Martes",Detalle_Consumo_PanesBudines!$D:$D,$A9)</f>
        <v>0</v>
      </c>
      <c r="D9" s="5">
        <f>SUMIFS(Detalle_Consumo_PanesBudines!$G:$G,Detalle_Consumo_PanesBudines!$A:$A,"Miercoles",Detalle_Consumo_PanesBudines!$D:$D,$A9)</f>
        <v>13.77</v>
      </c>
      <c r="E9" s="5">
        <f>SUMIFS(Detalle_Consumo_PanesBudines!$G:$G,Detalle_Consumo_PanesBudines!$A:$A,"Jueves",Detalle_Consumo_PanesBudines!$D:$D,$A9)</f>
        <v>0</v>
      </c>
      <c r="F9" s="5">
        <f>SUMIFS(Detalle_Consumo_PanesBudines!$G:$G,Detalle_Consumo_PanesBudines!$A:$A,"Viernes",Detalle_Consumo_PanesBudines!$D:$D,$A9)</f>
        <v>0</v>
      </c>
      <c r="G9" s="6">
        <f t="shared" si="0"/>
        <v>27.54</v>
      </c>
    </row>
    <row r="10" spans="1:7" x14ac:dyDescent="0.25">
      <c r="A10" s="2" t="s">
        <v>81</v>
      </c>
      <c r="B10" s="5">
        <f>SUMIFS(Detalle_Consumo_PanesBudines!$G:$G,Detalle_Consumo_PanesBudines!$A:$A,"Lunes",Detalle_Consumo_PanesBudines!$D:$D,$A10)</f>
        <v>11.475000000000001</v>
      </c>
      <c r="C10" s="5">
        <f>SUMIFS(Detalle_Consumo_PanesBudines!$G:$G,Detalle_Consumo_PanesBudines!$A:$A,"Martes",Detalle_Consumo_PanesBudines!$D:$D,$A10)</f>
        <v>0</v>
      </c>
      <c r="D10" s="5">
        <f>SUMIFS(Detalle_Consumo_PanesBudines!$G:$G,Detalle_Consumo_PanesBudines!$A:$A,"Miercoles",Detalle_Consumo_PanesBudines!$D:$D,$A10)</f>
        <v>11.475000000000001</v>
      </c>
      <c r="E10" s="5">
        <f>SUMIFS(Detalle_Consumo_PanesBudines!$G:$G,Detalle_Consumo_PanesBudines!$A:$A,"Jueves",Detalle_Consumo_PanesBudines!$D:$D,$A10)</f>
        <v>0</v>
      </c>
      <c r="F10" s="5">
        <f>SUMIFS(Detalle_Consumo_PanesBudines!$G:$G,Detalle_Consumo_PanesBudines!$A:$A,"Viernes",Detalle_Consumo_PanesBudines!$D:$D,$A10)</f>
        <v>0</v>
      </c>
      <c r="G10" s="6">
        <f t="shared" si="0"/>
        <v>22.950000000000003</v>
      </c>
    </row>
    <row r="11" spans="1:7" x14ac:dyDescent="0.25">
      <c r="A11" s="2" t="s">
        <v>82</v>
      </c>
      <c r="B11" s="5">
        <f>SUMIFS(Detalle_Consumo_PanesBudines!$G:$G,Detalle_Consumo_PanesBudines!$A:$A,"Lunes",Detalle_Consumo_PanesBudines!$D:$D,$A11)</f>
        <v>9.1800000000000015</v>
      </c>
      <c r="C11" s="5">
        <f>SUMIFS(Detalle_Consumo_PanesBudines!$G:$G,Detalle_Consumo_PanesBudines!$A:$A,"Martes",Detalle_Consumo_PanesBudines!$D:$D,$A11)</f>
        <v>0</v>
      </c>
      <c r="D11" s="5">
        <f>SUMIFS(Detalle_Consumo_PanesBudines!$G:$G,Detalle_Consumo_PanesBudines!$A:$A,"Miercoles",Detalle_Consumo_PanesBudines!$D:$D,$A11)</f>
        <v>9.1800000000000015</v>
      </c>
      <c r="E11" s="5">
        <f>SUMIFS(Detalle_Consumo_PanesBudines!$G:$G,Detalle_Consumo_PanesBudines!$A:$A,"Jueves",Detalle_Consumo_PanesBudines!$D:$D,$A11)</f>
        <v>0</v>
      </c>
      <c r="F11" s="5">
        <f>SUMIFS(Detalle_Consumo_PanesBudines!$G:$G,Detalle_Consumo_PanesBudines!$A:$A,"Viernes",Detalle_Consumo_PanesBudines!$D:$D,$A11)</f>
        <v>0</v>
      </c>
      <c r="G11" s="6">
        <f t="shared" si="0"/>
        <v>18.360000000000003</v>
      </c>
    </row>
    <row r="12" spans="1:7" x14ac:dyDescent="0.25">
      <c r="A12" s="2" t="s">
        <v>42</v>
      </c>
      <c r="B12" s="5">
        <f>SUMIFS(Detalle_Consumo_PanesBudines!$G:$G,Detalle_Consumo_PanesBudines!$A:$A,"Lunes",Detalle_Consumo_PanesBudines!$D:$D,$A12)</f>
        <v>6.8849999999999998</v>
      </c>
      <c r="C12" s="5">
        <f>SUMIFS(Detalle_Consumo_PanesBudines!$G:$G,Detalle_Consumo_PanesBudines!$A:$A,"Martes",Detalle_Consumo_PanesBudines!$D:$D,$A12)</f>
        <v>4.806</v>
      </c>
      <c r="D12" s="5">
        <f>SUMIFS(Detalle_Consumo_PanesBudines!$G:$G,Detalle_Consumo_PanesBudines!$A:$A,"Miercoles",Detalle_Consumo_PanesBudines!$D:$D,$A12)</f>
        <v>6.8849999999999998</v>
      </c>
      <c r="E12" s="5">
        <f>SUMIFS(Detalle_Consumo_PanesBudines!$G:$G,Detalle_Consumo_PanesBudines!$A:$A,"Jueves",Detalle_Consumo_PanesBudines!$D:$D,$A12)</f>
        <v>4.806</v>
      </c>
      <c r="F12" s="5">
        <f>SUMIFS(Detalle_Consumo_PanesBudines!$G:$G,Detalle_Consumo_PanesBudines!$A:$A,"Viernes",Detalle_Consumo_PanesBudines!$D:$D,$A12)</f>
        <v>4.806</v>
      </c>
      <c r="G12" s="6">
        <f t="shared" si="0"/>
        <v>28.188000000000002</v>
      </c>
    </row>
    <row r="13" spans="1:7" x14ac:dyDescent="0.25">
      <c r="A13" s="2" t="s">
        <v>43</v>
      </c>
      <c r="B13" s="5">
        <f>SUMIFS(Detalle_Consumo_PanesBudines!$G:$G,Detalle_Consumo_PanesBudines!$A:$A,"Lunes",Detalle_Consumo_PanesBudines!$D:$D,$A13)</f>
        <v>4.5900000000000007</v>
      </c>
      <c r="C13" s="5">
        <f>SUMIFS(Detalle_Consumo_PanesBudines!$G:$G,Detalle_Consumo_PanesBudines!$A:$A,"Martes",Detalle_Consumo_PanesBudines!$D:$D,$A13)</f>
        <v>2.0826000000000002</v>
      </c>
      <c r="D13" s="5">
        <f>SUMIFS(Detalle_Consumo_PanesBudines!$G:$G,Detalle_Consumo_PanesBudines!$A:$A,"Miercoles",Detalle_Consumo_PanesBudines!$D:$D,$A13)</f>
        <v>4.5900000000000007</v>
      </c>
      <c r="E13" s="5">
        <f>SUMIFS(Detalle_Consumo_PanesBudines!$G:$G,Detalle_Consumo_PanesBudines!$A:$A,"Jueves",Detalle_Consumo_PanesBudines!$D:$D,$A13)</f>
        <v>1.7622</v>
      </c>
      <c r="F13" s="5">
        <f>SUMIFS(Detalle_Consumo_PanesBudines!$G:$G,Detalle_Consumo_PanesBudines!$A:$A,"Viernes",Detalle_Consumo_PanesBudines!$D:$D,$A13)</f>
        <v>2.0826000000000002</v>
      </c>
      <c r="G13" s="6">
        <f t="shared" si="0"/>
        <v>15.107400000000002</v>
      </c>
    </row>
    <row r="14" spans="1:7" x14ac:dyDescent="0.25">
      <c r="A14" s="2" t="s">
        <v>85</v>
      </c>
      <c r="B14" s="5">
        <f>SUMIFS(Detalle_Consumo_PanesBudines!$G:$G,Detalle_Consumo_PanesBudines!$A:$A,"Lunes",Detalle_Consumo_PanesBudines!$D:$D,$A14)</f>
        <v>0</v>
      </c>
      <c r="C14" s="5">
        <f>SUMIFS(Detalle_Consumo_PanesBudines!$G:$G,Detalle_Consumo_PanesBudines!$A:$A,"Martes",Detalle_Consumo_PanesBudines!$D:$D,$A14)</f>
        <v>75.294000000000011</v>
      </c>
      <c r="D14" s="5">
        <f>SUMIFS(Detalle_Consumo_PanesBudines!$G:$G,Detalle_Consumo_PanesBudines!$A:$A,"Miercoles",Detalle_Consumo_PanesBudines!$D:$D,$A14)</f>
        <v>0</v>
      </c>
      <c r="E14" s="5">
        <f>SUMIFS(Detalle_Consumo_PanesBudines!$G:$G,Detalle_Consumo_PanesBudines!$A:$A,"Jueves",Detalle_Consumo_PanesBudines!$D:$D,$A14)</f>
        <v>73.692000000000007</v>
      </c>
      <c r="F14" s="5">
        <f>SUMIFS(Detalle_Consumo_PanesBudines!$G:$G,Detalle_Consumo_PanesBudines!$A:$A,"Viernes",Detalle_Consumo_PanesBudines!$D:$D,$A14)</f>
        <v>75.294000000000011</v>
      </c>
      <c r="G14" s="6">
        <f t="shared" si="0"/>
        <v>224.28000000000003</v>
      </c>
    </row>
    <row r="15" spans="1:7" x14ac:dyDescent="0.25">
      <c r="A15" s="2" t="s">
        <v>40</v>
      </c>
      <c r="B15" s="5">
        <f>SUMIFS(Detalle_Consumo_PanesBudines!$G:$G,Detalle_Consumo_PanesBudines!$A:$A,"Lunes",Detalle_Consumo_PanesBudines!$D:$D,$A15)</f>
        <v>0</v>
      </c>
      <c r="C15" s="5">
        <f>SUMIFS(Detalle_Consumo_PanesBudines!$G:$G,Detalle_Consumo_PanesBudines!$A:$A,"Martes",Detalle_Consumo_PanesBudines!$D:$D,$A15)</f>
        <v>28.835999999999999</v>
      </c>
      <c r="D15" s="5">
        <f>SUMIFS(Detalle_Consumo_PanesBudines!$G:$G,Detalle_Consumo_PanesBudines!$A:$A,"Miercoles",Detalle_Consumo_PanesBudines!$D:$D,$A15)</f>
        <v>0</v>
      </c>
      <c r="E15" s="5">
        <f>SUMIFS(Detalle_Consumo_PanesBudines!$G:$G,Detalle_Consumo_PanesBudines!$A:$A,"Jueves",Detalle_Consumo_PanesBudines!$D:$D,$A15)</f>
        <v>28.835999999999999</v>
      </c>
      <c r="F15" s="5">
        <f>SUMIFS(Detalle_Consumo_PanesBudines!$G:$G,Detalle_Consumo_PanesBudines!$A:$A,"Viernes",Detalle_Consumo_PanesBudines!$D:$D,$A15)</f>
        <v>28.835999999999999</v>
      </c>
      <c r="G15" s="6">
        <f t="shared" si="0"/>
        <v>86.507999999999996</v>
      </c>
    </row>
    <row r="16" spans="1:7" x14ac:dyDescent="0.25">
      <c r="A16" s="2" t="s">
        <v>74</v>
      </c>
      <c r="B16" s="5">
        <f>SUMIFS(Detalle_Consumo_PanesBudines!$G:$G,Detalle_Consumo_PanesBudines!$A:$A,"Lunes",Detalle_Consumo_PanesBudines!$D:$D,$A16)</f>
        <v>0</v>
      </c>
      <c r="C16" s="5">
        <f>SUMIFS(Detalle_Consumo_PanesBudines!$G:$G,Detalle_Consumo_PanesBudines!$A:$A,"Martes",Detalle_Consumo_PanesBudines!$D:$D,$A16)</f>
        <v>9.6120000000000001</v>
      </c>
      <c r="D16" s="5">
        <f>SUMIFS(Detalle_Consumo_PanesBudines!$G:$G,Detalle_Consumo_PanesBudines!$A:$A,"Miercoles",Detalle_Consumo_PanesBudines!$D:$D,$A16)</f>
        <v>0</v>
      </c>
      <c r="E16" s="5">
        <f>SUMIFS(Detalle_Consumo_PanesBudines!$G:$G,Detalle_Consumo_PanesBudines!$A:$A,"Jueves",Detalle_Consumo_PanesBudines!$D:$D,$A16)</f>
        <v>9.6120000000000001</v>
      </c>
      <c r="F16" s="5">
        <f>SUMIFS(Detalle_Consumo_PanesBudines!$G:$G,Detalle_Consumo_PanesBudines!$A:$A,"Viernes",Detalle_Consumo_PanesBudines!$D:$D,$A16)</f>
        <v>9.6120000000000001</v>
      </c>
      <c r="G16" s="6">
        <f t="shared" si="0"/>
        <v>28.835999999999999</v>
      </c>
    </row>
    <row r="17" spans="1:7" x14ac:dyDescent="0.25">
      <c r="A17" s="2" t="s">
        <v>70</v>
      </c>
      <c r="B17" s="5">
        <f>SUMIFS(Detalle_Consumo_PanesBudines!$G:$G,Detalle_Consumo_PanesBudines!$A:$A,"Lunes",Detalle_Consumo_PanesBudines!$D:$D,$A17)</f>
        <v>0</v>
      </c>
      <c r="C17" s="5">
        <f>SUMIFS(Detalle_Consumo_PanesBudines!$G:$G,Detalle_Consumo_PanesBudines!$A:$A,"Martes",Detalle_Consumo_PanesBudines!$D:$D,$A17)</f>
        <v>9.6120000000000001</v>
      </c>
      <c r="D17" s="5">
        <f>SUMIFS(Detalle_Consumo_PanesBudines!$G:$G,Detalle_Consumo_PanesBudines!$A:$A,"Miercoles",Detalle_Consumo_PanesBudines!$D:$D,$A17)</f>
        <v>0</v>
      </c>
      <c r="E17" s="5">
        <f>SUMIFS(Detalle_Consumo_PanesBudines!$G:$G,Detalle_Consumo_PanesBudines!$A:$A,"Jueves",Detalle_Consumo_PanesBudines!$D:$D,$A17)</f>
        <v>9.6120000000000001</v>
      </c>
      <c r="F17" s="5">
        <f>SUMIFS(Detalle_Consumo_PanesBudines!$G:$G,Detalle_Consumo_PanesBudines!$A:$A,"Viernes",Detalle_Consumo_PanesBudines!$D:$D,$A17)</f>
        <v>9.6120000000000001</v>
      </c>
      <c r="G17" s="6">
        <f t="shared" si="0"/>
        <v>28.835999999999999</v>
      </c>
    </row>
    <row r="18" spans="1:7" x14ac:dyDescent="0.25">
      <c r="A18" s="2" t="s">
        <v>75</v>
      </c>
      <c r="B18" s="5">
        <f>SUMIFS(Detalle_Consumo_PanesBudines!$G:$G,Detalle_Consumo_PanesBudines!$A:$A,"Lunes",Detalle_Consumo_PanesBudines!$D:$D,$A18)</f>
        <v>0</v>
      </c>
      <c r="C18" s="5">
        <f>SUMIFS(Detalle_Consumo_PanesBudines!$G:$G,Detalle_Consumo_PanesBudines!$A:$A,"Martes",Detalle_Consumo_PanesBudines!$D:$D,$A18)</f>
        <v>4.806</v>
      </c>
      <c r="D18" s="5">
        <f>SUMIFS(Detalle_Consumo_PanesBudines!$G:$G,Detalle_Consumo_PanesBudines!$A:$A,"Miercoles",Detalle_Consumo_PanesBudines!$D:$D,$A18)</f>
        <v>0</v>
      </c>
      <c r="E18" s="5">
        <f>SUMIFS(Detalle_Consumo_PanesBudines!$G:$G,Detalle_Consumo_PanesBudines!$A:$A,"Jueves",Detalle_Consumo_PanesBudines!$D:$D,$A18)</f>
        <v>4.806</v>
      </c>
      <c r="F18" s="5">
        <f>SUMIFS(Detalle_Consumo_PanesBudines!$G:$G,Detalle_Consumo_PanesBudines!$A:$A,"Viernes",Detalle_Consumo_PanesBudines!$D:$D,$A18)</f>
        <v>4.806</v>
      </c>
      <c r="G18" s="6">
        <f t="shared" si="0"/>
        <v>14.417999999999999</v>
      </c>
    </row>
    <row r="19" spans="1:7" x14ac:dyDescent="0.25">
      <c r="A19" s="2" t="s">
        <v>78</v>
      </c>
      <c r="B19" s="5">
        <f>SUMIFS(Detalle_Consumo_PanesBudines!$G:$G,Detalle_Consumo_PanesBudines!$A:$A,"Lunes",Detalle_Consumo_PanesBudines!$D:$D,$A19)</f>
        <v>0</v>
      </c>
      <c r="C19" s="5">
        <f>SUMIFS(Detalle_Consumo_PanesBudines!$G:$G,Detalle_Consumo_PanesBudines!$A:$A,"Martes",Detalle_Consumo_PanesBudines!$D:$D,$A19)</f>
        <v>3.8448000000000002</v>
      </c>
      <c r="D19" s="5">
        <f>SUMIFS(Detalle_Consumo_PanesBudines!$G:$G,Detalle_Consumo_PanesBudines!$A:$A,"Miercoles",Detalle_Consumo_PanesBudines!$D:$D,$A19)</f>
        <v>0</v>
      </c>
      <c r="E19" s="5">
        <f>SUMIFS(Detalle_Consumo_PanesBudines!$G:$G,Detalle_Consumo_PanesBudines!$A:$A,"Jueves",Detalle_Consumo_PanesBudines!$D:$D,$A19)</f>
        <v>1.9224000000000001</v>
      </c>
      <c r="F19" s="5">
        <f>SUMIFS(Detalle_Consumo_PanesBudines!$G:$G,Detalle_Consumo_PanesBudines!$A:$A,"Viernes",Detalle_Consumo_PanesBudines!$D:$D,$A19)</f>
        <v>3.8448000000000002</v>
      </c>
      <c r="G19" s="6">
        <f t="shared" si="0"/>
        <v>9.6120000000000019</v>
      </c>
    </row>
    <row r="20" spans="1:7" x14ac:dyDescent="0.25">
      <c r="A20" s="2" t="s">
        <v>86</v>
      </c>
      <c r="B20" s="5">
        <f>SUMIFS(Detalle_Consumo_PanesBudines!$G:$G,Detalle_Consumo_PanesBudines!$A:$A,"Lunes",Detalle_Consumo_PanesBudines!$D:$D,$A20)</f>
        <v>0</v>
      </c>
      <c r="C20" s="5">
        <f>SUMIFS(Detalle_Consumo_PanesBudines!$G:$G,Detalle_Consumo_PanesBudines!$A:$A,"Martes",Detalle_Consumo_PanesBudines!$D:$D,$A20)</f>
        <v>1.2816000000000001</v>
      </c>
      <c r="D20" s="5">
        <f>SUMIFS(Detalle_Consumo_PanesBudines!$G:$G,Detalle_Consumo_PanesBudines!$A:$A,"Miercoles",Detalle_Consumo_PanesBudines!$D:$D,$A20)</f>
        <v>0</v>
      </c>
      <c r="E20" s="5">
        <f>SUMIFS(Detalle_Consumo_PanesBudines!$G:$G,Detalle_Consumo_PanesBudines!$A:$A,"Jueves",Detalle_Consumo_PanesBudines!$D:$D,$A20)</f>
        <v>1.1214</v>
      </c>
      <c r="F20" s="5">
        <f>SUMIFS(Detalle_Consumo_PanesBudines!$G:$G,Detalle_Consumo_PanesBudines!$A:$A,"Viernes",Detalle_Consumo_PanesBudines!$D:$D,$A20)</f>
        <v>1.2816000000000001</v>
      </c>
      <c r="G20" s="6">
        <f t="shared" si="0"/>
        <v>3.6846000000000001</v>
      </c>
    </row>
    <row r="21" spans="1:7" x14ac:dyDescent="0.25">
      <c r="A21" s="2" t="s">
        <v>38</v>
      </c>
      <c r="B21" s="5">
        <f>SUMIFS(Detalle_Consumo_PanesBudines!$G:$G,Detalle_Consumo_PanesBudines!$A:$A,"Lunes",Detalle_Consumo_PanesBudines!$D:$D,$A21)</f>
        <v>0</v>
      </c>
      <c r="C21" s="5">
        <f>SUMIFS(Detalle_Consumo_PanesBudines!$G:$G,Detalle_Consumo_PanesBudines!$A:$A,"Martes",Detalle_Consumo_PanesBudines!$D:$D,$A21)</f>
        <v>14.418000000000001</v>
      </c>
      <c r="D21" s="5">
        <f>SUMIFS(Detalle_Consumo_PanesBudines!$G:$G,Detalle_Consumo_PanesBudines!$A:$A,"Miercoles",Detalle_Consumo_PanesBudines!$D:$D,$A21)</f>
        <v>0</v>
      </c>
      <c r="E21" s="5">
        <f>SUMIFS(Detalle_Consumo_PanesBudines!$G:$G,Detalle_Consumo_PanesBudines!$A:$A,"Jueves",Detalle_Consumo_PanesBudines!$D:$D,$A21)</f>
        <v>28.836000000000002</v>
      </c>
      <c r="F21" s="5">
        <f>SUMIFS(Detalle_Consumo_PanesBudines!$G:$G,Detalle_Consumo_PanesBudines!$A:$A,"Viernes",Detalle_Consumo_PanesBudines!$D:$D,$A21)</f>
        <v>14.418000000000001</v>
      </c>
      <c r="G21" s="6">
        <f t="shared" si="0"/>
        <v>57.672000000000004</v>
      </c>
    </row>
    <row r="22" spans="1:7" x14ac:dyDescent="0.25">
      <c r="A22" s="2" t="s">
        <v>46</v>
      </c>
      <c r="B22" s="5">
        <f>SUMIFS(Detalle_Consumo_PanesBudines!$G:$G,Detalle_Consumo_PanesBudines!$A:$A,"Lunes",Detalle_Consumo_PanesBudines!$D:$D,$A22)</f>
        <v>0</v>
      </c>
      <c r="C22" s="5">
        <f>SUMIFS(Detalle_Consumo_PanesBudines!$G:$G,Detalle_Consumo_PanesBudines!$A:$A,"Martes",Detalle_Consumo_PanesBudines!$D:$D,$A22)</f>
        <v>0.80100000000000005</v>
      </c>
      <c r="D22" s="5">
        <f>SUMIFS(Detalle_Consumo_PanesBudines!$G:$G,Detalle_Consumo_PanesBudines!$A:$A,"Miercoles",Detalle_Consumo_PanesBudines!$D:$D,$A22)</f>
        <v>0</v>
      </c>
      <c r="E22" s="5">
        <f>SUMIFS(Detalle_Consumo_PanesBudines!$G:$G,Detalle_Consumo_PanesBudines!$A:$A,"Jueves",Detalle_Consumo_PanesBudines!$D:$D,$A22)</f>
        <v>1.6020000000000001</v>
      </c>
      <c r="F22" s="5">
        <f>SUMIFS(Detalle_Consumo_PanesBudines!$G:$G,Detalle_Consumo_PanesBudines!$A:$A,"Viernes",Detalle_Consumo_PanesBudines!$D:$D,$A22)</f>
        <v>0.80100000000000005</v>
      </c>
      <c r="G22" s="6">
        <f t="shared" si="0"/>
        <v>3.2040000000000002</v>
      </c>
    </row>
    <row r="23" spans="1:7" x14ac:dyDescent="0.25">
      <c r="A23" s="10" t="s">
        <v>93</v>
      </c>
      <c r="B23" s="11">
        <f t="shared" ref="B23:G23" si="1">SUM(B2:B22)</f>
        <v>540</v>
      </c>
      <c r="C23" s="11">
        <f t="shared" si="1"/>
        <v>540.00000000000011</v>
      </c>
      <c r="D23" s="11">
        <f t="shared" si="1"/>
        <v>540</v>
      </c>
      <c r="E23" s="11">
        <f t="shared" si="1"/>
        <v>540</v>
      </c>
      <c r="F23" s="11">
        <f t="shared" si="1"/>
        <v>540.00000000000011</v>
      </c>
      <c r="G23" s="11">
        <f t="shared" si="1"/>
        <v>2700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FB8D-2C33-46D8-BF34-F604CC5812F9}">
  <dimension ref="A1:I51"/>
  <sheetViews>
    <sheetView workbookViewId="0">
      <pane ySplit="5" topLeftCell="A6" activePane="bottomLeft" state="frozen"/>
      <selection pane="bottomLeft" activeCell="I7" sqref="A6:I7"/>
    </sheetView>
  </sheetViews>
  <sheetFormatPr baseColWidth="10" defaultRowHeight="15" x14ac:dyDescent="0.25"/>
  <cols>
    <col min="1" max="1" width="44.140625" customWidth="1"/>
    <col min="2" max="3" width="19.28515625" bestFit="1" customWidth="1"/>
    <col min="4" max="4" width="15.28515625" bestFit="1" customWidth="1"/>
    <col min="5" max="5" width="19.7109375" bestFit="1" customWidth="1"/>
    <col min="6" max="6" width="8.85546875" bestFit="1" customWidth="1"/>
    <col min="8" max="8" width="16.28515625" bestFit="1" customWidth="1"/>
  </cols>
  <sheetData>
    <row r="1" spans="1:9" ht="17.25" x14ac:dyDescent="0.3">
      <c r="A1" s="12" t="s">
        <v>99</v>
      </c>
    </row>
    <row r="5" spans="1:9" ht="60" x14ac:dyDescent="0.25">
      <c r="A5" s="19" t="s">
        <v>91</v>
      </c>
      <c r="B5" s="20" t="s">
        <v>100</v>
      </c>
      <c r="C5" s="20" t="s">
        <v>101</v>
      </c>
      <c r="D5" s="20" t="s">
        <v>103</v>
      </c>
      <c r="E5" s="20" t="s">
        <v>104</v>
      </c>
      <c r="F5" s="21" t="s">
        <v>102</v>
      </c>
      <c r="G5" s="25" t="s">
        <v>105</v>
      </c>
      <c r="H5" s="25" t="s">
        <v>106</v>
      </c>
    </row>
    <row r="6" spans="1:9" x14ac:dyDescent="0.25">
      <c r="A6" s="13" t="s">
        <v>35</v>
      </c>
      <c r="B6" s="14">
        <f>SUMIF(Resumen_Semana1!$A$2:$A$35,$A6,Resumen_Semana1!$G$2:$G$35)</f>
        <v>1861.2647999999999</v>
      </c>
      <c r="C6" s="14">
        <f>SUMIF(Resumen_Semana2!$A$2:$A$28,$A6,Resumen_Semana2!$G$2:$G$28)</f>
        <v>2232.0000000000005</v>
      </c>
      <c r="D6" s="14">
        <f>SUMIF(Resumen_PanesBudines!$A$2:$A$22,$A6,Resumen_PanesBudines!$G$2:$G$22)</f>
        <v>276.76800000000003</v>
      </c>
      <c r="E6" s="22">
        <f>SUMIF(Resumen_PanesBudines!$A$2:$A$22,$A6,Resumen_PanesBudines!$G$2:$G$22)</f>
        <v>276.76800000000003</v>
      </c>
      <c r="F6" s="15">
        <f>SUM(B6:E6)</f>
        <v>4646.8008000000009</v>
      </c>
      <c r="G6" s="24">
        <v>1000</v>
      </c>
      <c r="H6" s="26">
        <f>+F6/G6</f>
        <v>4.6468008000000012</v>
      </c>
      <c r="I6">
        <v>5</v>
      </c>
    </row>
    <row r="7" spans="1:9" x14ac:dyDescent="0.25">
      <c r="A7" s="13" t="s">
        <v>36</v>
      </c>
      <c r="B7" s="14">
        <f>SUMIF(Resumen_Semana1!$A$2:$A$35,$A7,Resumen_Semana1!$G$2:$G$35)</f>
        <v>1631.8152</v>
      </c>
      <c r="C7" s="14">
        <f>SUMIF(Resumen_Semana2!$A$2:$A$28,$A7,Resumen_Semana2!$G$2:$G$28)</f>
        <v>1634.94</v>
      </c>
      <c r="D7" s="14">
        <f>SUMIF(Resumen_PanesBudines!$A$2:$A$22,$A7,Resumen_PanesBudines!$G$2:$G$22)</f>
        <v>342.32400000000001</v>
      </c>
      <c r="E7" s="22">
        <f>SUMIF(Resumen_PanesBudines!$A$2:$A$22,$A7,Resumen_PanesBudines!$G$2:$G$22)</f>
        <v>342.32400000000001</v>
      </c>
      <c r="F7" s="15">
        <f>SUM(B7:E7)</f>
        <v>3951.4032000000002</v>
      </c>
      <c r="G7" s="24">
        <v>1000</v>
      </c>
      <c r="H7" s="27">
        <f t="shared" ref="H7:H50" si="0">+F7/G7</f>
        <v>3.9514032000000001</v>
      </c>
      <c r="I7">
        <v>5</v>
      </c>
    </row>
    <row r="8" spans="1:9" x14ac:dyDescent="0.25">
      <c r="A8" s="13" t="s">
        <v>37</v>
      </c>
      <c r="B8" s="14">
        <f>SUMIF(Resumen_Semana1!$A$2:$A$35,$A8,Resumen_Semana1!$G$2:$G$35)</f>
        <v>877.62240000000008</v>
      </c>
      <c r="C8" s="14">
        <f>SUMIF(Resumen_Semana2!$A$2:$A$28,$A8,Resumen_Semana2!$G$2:$G$28)</f>
        <v>1233.18</v>
      </c>
      <c r="D8" s="14">
        <f>SUMIF(Resumen_PanesBudines!$A$2:$A$22,$A8,Resumen_PanesBudines!$G$2:$G$22)</f>
        <v>0</v>
      </c>
      <c r="E8" s="22">
        <f>SUMIF(Resumen_PanesBudines!$A$2:$A$22,$A8,Resumen_PanesBudines!$G$2:$G$22)</f>
        <v>0</v>
      </c>
      <c r="F8" s="15">
        <f>SUM(B8:E8)</f>
        <v>2110.8024</v>
      </c>
      <c r="G8">
        <v>960</v>
      </c>
      <c r="H8" s="27">
        <f t="shared" si="0"/>
        <v>2.1987524999999999</v>
      </c>
      <c r="I8">
        <v>3</v>
      </c>
    </row>
    <row r="9" spans="1:9" x14ac:dyDescent="0.25">
      <c r="A9" s="13" t="s">
        <v>62</v>
      </c>
      <c r="B9" s="14">
        <f>SUMIF(Resumen_Semana1!$A$2:$A$35,$A9,Resumen_Semana1!$G$2:$G$35)</f>
        <v>988.77600000000007</v>
      </c>
      <c r="C9" s="14">
        <f>SUMIF(Resumen_Semana2!$A$2:$A$28,$A9,Resumen_Semana2!$G$2:$G$28)</f>
        <v>1071.3600000000001</v>
      </c>
      <c r="D9" s="14">
        <f>SUMIF(Resumen_PanesBudines!$A$2:$A$22,$A9,Resumen_PanesBudines!$G$2:$G$22)</f>
        <v>341.1</v>
      </c>
      <c r="E9" s="22">
        <f>SUMIF(Resumen_PanesBudines!$A$2:$A$22,$A9,Resumen_PanesBudines!$G$2:$G$22)</f>
        <v>341.1</v>
      </c>
      <c r="F9" s="15">
        <f>SUM(B9:E9)</f>
        <v>2742.3360000000002</v>
      </c>
      <c r="G9">
        <v>1500</v>
      </c>
      <c r="H9" s="27">
        <f t="shared" si="0"/>
        <v>1.8282240000000001</v>
      </c>
      <c r="I9">
        <v>2</v>
      </c>
    </row>
    <row r="10" spans="1:9" x14ac:dyDescent="0.25">
      <c r="A10" s="13" t="s">
        <v>61</v>
      </c>
      <c r="B10" s="14">
        <f>SUMIF(Resumen_Semana1!$A$2:$A$35,$A10,Resumen_Semana1!$G$2:$G$35)</f>
        <v>874.94399999999996</v>
      </c>
      <c r="C10" s="14">
        <f>SUMIF(Resumen_Semana2!$A$2:$A$28,$A10,Resumen_Semana2!$G$2:$G$28)</f>
        <v>0</v>
      </c>
      <c r="D10" s="14">
        <f>SUMIF(Resumen_PanesBudines!$A$2:$A$22,$A10,Resumen_PanesBudines!$G$2:$G$22)</f>
        <v>0</v>
      </c>
      <c r="E10" s="22">
        <f>SUMIF(Resumen_PanesBudines!$A$2:$A$22,$A10,Resumen_PanesBudines!$G$2:$G$22)</f>
        <v>0</v>
      </c>
      <c r="F10" s="15">
        <f>SUM(B10:E10)</f>
        <v>874.94399999999996</v>
      </c>
      <c r="G10">
        <v>500</v>
      </c>
      <c r="H10" s="27">
        <f t="shared" si="0"/>
        <v>1.7498879999999999</v>
      </c>
      <c r="I10">
        <v>2</v>
      </c>
    </row>
    <row r="11" spans="1:9" x14ac:dyDescent="0.25">
      <c r="A11" s="13" t="s">
        <v>39</v>
      </c>
      <c r="B11" s="14">
        <f>SUMIF(Resumen_Semana1!$A$2:$A$35,$A11,Resumen_Semana1!$G$2:$G$35)</f>
        <v>192.84480000000002</v>
      </c>
      <c r="C11" s="14">
        <f>SUMIF(Resumen_Semana2!$A$2:$A$28,$A11,Resumen_Semana2!$G$2:$G$28)</f>
        <v>435.24</v>
      </c>
      <c r="D11" s="14">
        <f>SUMIF(Resumen_PanesBudines!$A$2:$A$22,$A11,Resumen_PanesBudines!$G$2:$G$22)</f>
        <v>0</v>
      </c>
      <c r="E11" s="22">
        <f>SUMIF(Resumen_PanesBudines!$A$2:$A$22,$A11,Resumen_PanesBudines!$G$2:$G$22)</f>
        <v>0</v>
      </c>
      <c r="F11" s="15">
        <f>SUM(B11:E11)</f>
        <v>628.08480000000009</v>
      </c>
      <c r="G11">
        <v>1500</v>
      </c>
      <c r="H11" s="27">
        <f t="shared" si="0"/>
        <v>0.41872320000000007</v>
      </c>
      <c r="I11">
        <v>0.5</v>
      </c>
    </row>
    <row r="12" spans="1:9" x14ac:dyDescent="0.25">
      <c r="A12" s="13" t="s">
        <v>64</v>
      </c>
      <c r="B12" s="14">
        <f>SUMIF(Resumen_Semana1!$A$2:$A$35,$A12,Resumen_Semana1!$G$2:$G$35)</f>
        <v>245.52</v>
      </c>
      <c r="C12" s="14">
        <f>SUMIF(Resumen_Semana2!$A$2:$A$28,$A12,Resumen_Semana2!$G$2:$G$28)</f>
        <v>0</v>
      </c>
      <c r="D12" s="14">
        <f>SUMIF(Resumen_PanesBudines!$A$2:$A$22,$A12,Resumen_PanesBudines!$G$2:$G$22)</f>
        <v>171.90000000000003</v>
      </c>
      <c r="E12" s="22">
        <f>SUMIF(Resumen_PanesBudines!$A$2:$A$22,$A12,Resumen_PanesBudines!$G$2:$G$22)</f>
        <v>171.90000000000003</v>
      </c>
      <c r="F12" s="15">
        <f>SUM(B12:E12)</f>
        <v>589.32000000000016</v>
      </c>
      <c r="G12">
        <v>1500</v>
      </c>
      <c r="H12" s="27">
        <f t="shared" si="0"/>
        <v>0.39288000000000012</v>
      </c>
      <c r="I12">
        <v>1</v>
      </c>
    </row>
    <row r="13" spans="1:9" x14ac:dyDescent="0.25">
      <c r="A13" s="13" t="s">
        <v>52</v>
      </c>
      <c r="B13" s="14">
        <f>SUMIF(Resumen_Semana1!$A$2:$A$35,$A13,Resumen_Semana1!$G$2:$G$35)</f>
        <v>278.55359999999996</v>
      </c>
      <c r="C13" s="14">
        <f>SUMIF(Resumen_Semana2!$A$2:$A$28,$A13,Resumen_Semana2!$G$2:$G$28)</f>
        <v>245.51999999999998</v>
      </c>
      <c r="D13" s="14">
        <f>SUMIF(Resumen_PanesBudines!$A$2:$A$22,$A13,Resumen_PanesBudines!$G$2:$G$22)</f>
        <v>0</v>
      </c>
      <c r="E13" s="22">
        <f>SUMIF(Resumen_PanesBudines!$A$2:$A$22,$A13,Resumen_PanesBudines!$G$2:$G$22)</f>
        <v>0</v>
      </c>
      <c r="F13" s="15">
        <f>SUM(B13:E13)</f>
        <v>524.07359999999994</v>
      </c>
      <c r="G13">
        <v>900</v>
      </c>
      <c r="H13" s="27">
        <f t="shared" si="0"/>
        <v>0.58230399999999993</v>
      </c>
      <c r="I13">
        <v>1</v>
      </c>
    </row>
    <row r="14" spans="1:9" x14ac:dyDescent="0.25">
      <c r="A14" s="13" t="s">
        <v>38</v>
      </c>
      <c r="B14" s="14">
        <f>SUMIF(Resumen_Semana1!$A$2:$A$35,$A14,Resumen_Semana1!$G$2:$G$35)</f>
        <v>0</v>
      </c>
      <c r="C14" s="14">
        <f>SUMIF(Resumen_Semana2!$A$2:$A$28,$A14,Resumen_Semana2!$G$2:$G$28)</f>
        <v>401.76</v>
      </c>
      <c r="D14" s="14">
        <f>SUMIF(Resumen_PanesBudines!$A$2:$A$22,$A14,Resumen_PanesBudines!$G$2:$G$22)</f>
        <v>57.672000000000004</v>
      </c>
      <c r="E14" s="22">
        <f>SUMIF(Resumen_PanesBudines!$A$2:$A$22,$A14,Resumen_PanesBudines!$G$2:$G$22)</f>
        <v>57.672000000000004</v>
      </c>
      <c r="F14" s="15">
        <f>SUM(B14:E14)</f>
        <v>517.10400000000004</v>
      </c>
      <c r="G14">
        <v>800</v>
      </c>
      <c r="H14" s="27">
        <f t="shared" si="0"/>
        <v>0.64638000000000007</v>
      </c>
      <c r="I14">
        <v>1</v>
      </c>
    </row>
    <row r="15" spans="1:9" x14ac:dyDescent="0.25">
      <c r="A15" s="13" t="s">
        <v>85</v>
      </c>
      <c r="B15" s="14">
        <f>SUMIF(Resumen_Semana1!$A$2:$A$35,$A15,Resumen_Semana1!$G$2:$G$35)</f>
        <v>0</v>
      </c>
      <c r="C15" s="14">
        <f>SUMIF(Resumen_Semana2!$A$2:$A$28,$A15,Resumen_Semana2!$G$2:$G$28)</f>
        <v>0</v>
      </c>
      <c r="D15" s="14">
        <f>SUMIF(Resumen_PanesBudines!$A$2:$A$22,$A15,Resumen_PanesBudines!$G$2:$G$22)</f>
        <v>224.28000000000003</v>
      </c>
      <c r="E15" s="22">
        <f>SUMIF(Resumen_PanesBudines!$A$2:$A$22,$A15,Resumen_PanesBudines!$G$2:$G$22)</f>
        <v>224.28000000000003</v>
      </c>
      <c r="F15" s="15">
        <f>SUM(B15:E15)</f>
        <v>448.56000000000006</v>
      </c>
      <c r="G15">
        <v>600</v>
      </c>
      <c r="H15" s="27">
        <f t="shared" si="0"/>
        <v>0.74760000000000015</v>
      </c>
      <c r="I15">
        <v>1</v>
      </c>
    </row>
    <row r="16" spans="1:9" x14ac:dyDescent="0.25">
      <c r="A16" s="13" t="s">
        <v>40</v>
      </c>
      <c r="B16" s="14">
        <f>SUMIF(Resumen_Semana1!$A$2:$A$35,$A16,Resumen_Semana1!$G$2:$G$35)</f>
        <v>94.859999999999985</v>
      </c>
      <c r="C16" s="14">
        <f>SUMIF(Resumen_Semana2!$A$2:$A$28,$A16,Resumen_Semana2!$G$2:$G$28)</f>
        <v>89.28</v>
      </c>
      <c r="D16" s="14">
        <f>SUMIF(Resumen_PanesBudines!$A$2:$A$22,$A16,Resumen_PanesBudines!$G$2:$G$22)</f>
        <v>86.507999999999996</v>
      </c>
      <c r="E16" s="22">
        <f>SUMIF(Resumen_PanesBudines!$A$2:$A$22,$A16,Resumen_PanesBudines!$G$2:$G$22)</f>
        <v>86.507999999999996</v>
      </c>
      <c r="F16" s="15">
        <f>SUM(B16:E16)</f>
        <v>357.15599999999995</v>
      </c>
      <c r="G16">
        <v>500</v>
      </c>
      <c r="H16" s="27">
        <f t="shared" si="0"/>
        <v>0.71431199999999995</v>
      </c>
      <c r="I16">
        <v>1</v>
      </c>
    </row>
    <row r="17" spans="1:9" x14ac:dyDescent="0.25">
      <c r="A17" s="13" t="s">
        <v>58</v>
      </c>
      <c r="B17" s="14">
        <f>SUMIF(Resumen_Semana1!$A$2:$A$35,$A17,Resumen_Semana1!$G$2:$G$35)</f>
        <v>353.54880000000003</v>
      </c>
      <c r="C17" s="14">
        <f>SUMIF(Resumen_Semana2!$A$2:$A$28,$A17,Resumen_Semana2!$G$2:$G$28)</f>
        <v>0</v>
      </c>
      <c r="D17" s="14">
        <f>SUMIF(Resumen_PanesBudines!$A$2:$A$22,$A17,Resumen_PanesBudines!$G$2:$G$22)</f>
        <v>0</v>
      </c>
      <c r="E17" s="22">
        <f>SUMIF(Resumen_PanesBudines!$A$2:$A$22,$A17,Resumen_PanesBudines!$G$2:$G$22)</f>
        <v>0</v>
      </c>
      <c r="F17" s="15">
        <f>SUM(B17:E17)</f>
        <v>353.54880000000003</v>
      </c>
      <c r="G17">
        <v>500</v>
      </c>
      <c r="H17" s="27">
        <f t="shared" si="0"/>
        <v>0.7070976000000001</v>
      </c>
      <c r="I17">
        <v>1</v>
      </c>
    </row>
    <row r="18" spans="1:9" x14ac:dyDescent="0.25">
      <c r="A18" s="13" t="s">
        <v>57</v>
      </c>
      <c r="B18" s="14">
        <f>SUMIF(Resumen_Semana1!$A$2:$A$35,$A18,Resumen_Semana1!$G$2:$G$35)</f>
        <v>100.44</v>
      </c>
      <c r="C18" s="14">
        <f>SUMIF(Resumen_Semana2!$A$2:$A$28,$A18,Resumen_Semana2!$G$2:$G$28)</f>
        <v>0</v>
      </c>
      <c r="D18" s="14">
        <f>SUMIF(Resumen_PanesBudines!$A$2:$A$22,$A18,Resumen_PanesBudines!$G$2:$G$22)</f>
        <v>102.40200000000002</v>
      </c>
      <c r="E18" s="22">
        <f>SUMIF(Resumen_PanesBudines!$A$2:$A$22,$A18,Resumen_PanesBudines!$G$2:$G$22)</f>
        <v>102.40200000000002</v>
      </c>
      <c r="F18" s="15">
        <f>SUM(B18:E18)</f>
        <v>305.24400000000003</v>
      </c>
      <c r="G18">
        <v>400</v>
      </c>
      <c r="H18" s="27">
        <f t="shared" si="0"/>
        <v>0.76311000000000007</v>
      </c>
      <c r="I18">
        <v>1</v>
      </c>
    </row>
    <row r="19" spans="1:9" x14ac:dyDescent="0.25">
      <c r="A19" s="13" t="s">
        <v>51</v>
      </c>
      <c r="B19" s="14">
        <f>SUMIF(Resumen_Semana1!$A$2:$A$35,$A19,Resumen_Semana1!$G$2:$G$35)</f>
        <v>72.539999999999992</v>
      </c>
      <c r="C19" s="14">
        <f>SUMIF(Resumen_Semana2!$A$2:$A$28,$A19,Resumen_Semana2!$G$2:$G$28)</f>
        <v>178.55999999999997</v>
      </c>
      <c r="D19" s="14">
        <f>SUMIF(Resumen_PanesBudines!$A$2:$A$22,$A19,Resumen_PanesBudines!$G$2:$G$22)</f>
        <v>0</v>
      </c>
      <c r="E19" s="22">
        <f>SUMIF(Resumen_PanesBudines!$A$2:$A$22,$A19,Resumen_PanesBudines!$G$2:$G$22)</f>
        <v>0</v>
      </c>
      <c r="F19" s="15">
        <f>SUM(B19:E19)</f>
        <v>251.09999999999997</v>
      </c>
      <c r="G19">
        <v>300</v>
      </c>
      <c r="H19" s="27">
        <f t="shared" si="0"/>
        <v>0.83699999999999986</v>
      </c>
      <c r="I19">
        <v>1</v>
      </c>
    </row>
    <row r="20" spans="1:9" x14ac:dyDescent="0.25">
      <c r="A20" s="13" t="s">
        <v>42</v>
      </c>
      <c r="B20" s="14">
        <f>SUMIF(Resumen_Semana1!$A$2:$A$35,$A20,Resumen_Semana1!$G$2:$G$35)</f>
        <v>58.34447999999999</v>
      </c>
      <c r="C20" s="14">
        <f>SUMIF(Resumen_Semana2!$A$2:$A$28,$A20,Resumen_Semana2!$G$2:$G$28)</f>
        <v>74.772000000000006</v>
      </c>
      <c r="D20" s="14">
        <f>SUMIF(Resumen_PanesBudines!$A$2:$A$22,$A20,Resumen_PanesBudines!$G$2:$G$22)</f>
        <v>28.188000000000002</v>
      </c>
      <c r="E20" s="22">
        <f>SUMIF(Resumen_PanesBudines!$A$2:$A$22,$A20,Resumen_PanesBudines!$G$2:$G$22)</f>
        <v>28.188000000000002</v>
      </c>
      <c r="F20" s="15">
        <f>SUM(B20:E20)</f>
        <v>189.49248</v>
      </c>
      <c r="G20">
        <v>500</v>
      </c>
      <c r="H20" s="27">
        <f t="shared" si="0"/>
        <v>0.37898495999999998</v>
      </c>
      <c r="I20">
        <v>0.5</v>
      </c>
    </row>
    <row r="21" spans="1:9" x14ac:dyDescent="0.25">
      <c r="A21" s="13" t="s">
        <v>74</v>
      </c>
      <c r="B21" s="14">
        <f>SUMIF(Resumen_Semana1!$A$2:$A$35,$A21,Resumen_Semana1!$G$2:$G$35)</f>
        <v>0</v>
      </c>
      <c r="C21" s="14">
        <f>SUMIF(Resumen_Semana2!$A$2:$A$28,$A21,Resumen_Semana2!$G$2:$G$28)</f>
        <v>128.34</v>
      </c>
      <c r="D21" s="14">
        <f>SUMIF(Resumen_PanesBudines!$A$2:$A$22,$A21,Resumen_PanesBudines!$G$2:$G$22)</f>
        <v>28.835999999999999</v>
      </c>
      <c r="E21" s="22">
        <f>SUMIF(Resumen_PanesBudines!$A$2:$A$22,$A21,Resumen_PanesBudines!$G$2:$G$22)</f>
        <v>28.835999999999999</v>
      </c>
      <c r="F21" s="15">
        <f>SUM(B21:E21)</f>
        <v>186.012</v>
      </c>
      <c r="G21">
        <v>500</v>
      </c>
      <c r="H21" s="27">
        <f t="shared" si="0"/>
        <v>0.37202400000000002</v>
      </c>
      <c r="I21">
        <v>0.1</v>
      </c>
    </row>
    <row r="22" spans="1:9" x14ac:dyDescent="0.25">
      <c r="A22" s="13" t="s">
        <v>70</v>
      </c>
      <c r="B22" s="14">
        <f>SUMIF(Resumen_Semana1!$A$2:$A$35,$A22,Resumen_Semana1!$G$2:$G$35)</f>
        <v>16.739999999999998</v>
      </c>
      <c r="C22" s="14">
        <f>SUMIF(Resumen_Semana2!$A$2:$A$28,$A22,Resumen_Semana2!$G$2:$G$28)</f>
        <v>78.11999999999999</v>
      </c>
      <c r="D22" s="14">
        <f>SUMIF(Resumen_PanesBudines!$A$2:$A$22,$A22,Resumen_PanesBudines!$G$2:$G$22)</f>
        <v>28.835999999999999</v>
      </c>
      <c r="E22" s="22">
        <f>SUMIF(Resumen_PanesBudines!$A$2:$A$22,$A22,Resumen_PanesBudines!$G$2:$G$22)</f>
        <v>28.835999999999999</v>
      </c>
      <c r="F22" s="15">
        <f>SUM(B22:E22)</f>
        <v>152.53199999999998</v>
      </c>
      <c r="G22">
        <v>200</v>
      </c>
      <c r="H22" s="27">
        <f t="shared" si="0"/>
        <v>0.76265999999999989</v>
      </c>
      <c r="I22">
        <v>1</v>
      </c>
    </row>
    <row r="23" spans="1:9" x14ac:dyDescent="0.25">
      <c r="A23" s="13" t="s">
        <v>65</v>
      </c>
      <c r="B23" s="14">
        <f>SUMIF(Resumen_Semana1!$A$2:$A$35,$A23,Resumen_Semana1!$G$2:$G$35)</f>
        <v>145.07999999999998</v>
      </c>
      <c r="C23" s="14">
        <f>SUMIF(Resumen_Semana2!$A$2:$A$28,$A23,Resumen_Semana2!$G$2:$G$28)</f>
        <v>0</v>
      </c>
      <c r="D23" s="14">
        <f>SUMIF(Resumen_PanesBudines!$A$2:$A$22,$A23,Resumen_PanesBudines!$G$2:$G$22)</f>
        <v>0</v>
      </c>
      <c r="E23" s="22">
        <f>SUMIF(Resumen_PanesBudines!$A$2:$A$22,$A23,Resumen_PanesBudines!$G$2:$G$22)</f>
        <v>0</v>
      </c>
      <c r="F23" s="15">
        <f>SUM(B23:E23)</f>
        <v>145.07999999999998</v>
      </c>
      <c r="G23">
        <v>200</v>
      </c>
      <c r="H23" s="27">
        <f t="shared" si="0"/>
        <v>0.72539999999999993</v>
      </c>
      <c r="I23">
        <v>1</v>
      </c>
    </row>
    <row r="24" spans="1:9" x14ac:dyDescent="0.25">
      <c r="A24" s="13" t="s">
        <v>66</v>
      </c>
      <c r="B24" s="14">
        <f>SUMIF(Resumen_Semana1!$A$2:$A$35,$A24,Resumen_Semana1!$G$2:$G$35)</f>
        <v>122.75999999999999</v>
      </c>
      <c r="C24" s="14">
        <f>SUMIF(Resumen_Semana2!$A$2:$A$28,$A24,Resumen_Semana2!$G$2:$G$28)</f>
        <v>0</v>
      </c>
      <c r="D24" s="14">
        <f>SUMIF(Resumen_PanesBudines!$A$2:$A$22,$A24,Resumen_PanesBudines!$G$2:$G$22)</f>
        <v>55.08</v>
      </c>
      <c r="E24" s="22">
        <f>SUMIF(Resumen_PanesBudines!$A$2:$A$22,$A24,Resumen_PanesBudines!$G$2:$G$22)</f>
        <v>55.08</v>
      </c>
      <c r="F24" s="15">
        <f>SUM(B24:E24)</f>
        <v>232.91999999999996</v>
      </c>
      <c r="H24" t="e">
        <f t="shared" si="0"/>
        <v>#DIV/0!</v>
      </c>
    </row>
    <row r="25" spans="1:9" x14ac:dyDescent="0.25">
      <c r="A25" s="13" t="s">
        <v>43</v>
      </c>
      <c r="B25" s="14">
        <f>SUMIF(Resumen_Semana1!$A$2:$A$35,$A25,Resumen_Semana1!$G$2:$G$35)</f>
        <v>27.342000000000002</v>
      </c>
      <c r="C25" s="14">
        <f>SUMIF(Resumen_Semana2!$A$2:$A$28,$A25,Resumen_Semana2!$G$2:$G$28)</f>
        <v>36.269999999999996</v>
      </c>
      <c r="D25" s="14">
        <f>SUMIF(Resumen_PanesBudines!$A$2:$A$22,$A25,Resumen_PanesBudines!$G$2:$G$22)</f>
        <v>15.107400000000002</v>
      </c>
      <c r="E25" s="22">
        <f>SUMIF(Resumen_PanesBudines!$A$2:$A$22,$A25,Resumen_PanesBudines!$G$2:$G$22)</f>
        <v>15.107400000000002</v>
      </c>
      <c r="F25" s="15">
        <f>SUM(B25:E25)</f>
        <v>93.826799999999992</v>
      </c>
      <c r="H25" t="e">
        <f t="shared" si="0"/>
        <v>#DIV/0!</v>
      </c>
    </row>
    <row r="26" spans="1:9" x14ac:dyDescent="0.25">
      <c r="A26" s="13" t="s">
        <v>54</v>
      </c>
      <c r="B26" s="14">
        <f>SUMIF(Resumen_Semana1!$A$2:$A$35,$A26,Resumen_Semana1!$G$2:$G$35)</f>
        <v>22.319999999999997</v>
      </c>
      <c r="C26" s="14">
        <f>SUMIF(Resumen_Semana2!$A$2:$A$28,$A26,Resumen_Semana2!$G$2:$G$28)</f>
        <v>66.960000000000008</v>
      </c>
      <c r="D26" s="14">
        <f>SUMIF(Resumen_PanesBudines!$A$2:$A$22,$A26,Resumen_PanesBudines!$G$2:$G$22)</f>
        <v>0</v>
      </c>
      <c r="E26" s="22">
        <f>SUMIF(Resumen_PanesBudines!$A$2:$A$22,$A26,Resumen_PanesBudines!$G$2:$G$22)</f>
        <v>0</v>
      </c>
      <c r="F26" s="15">
        <f>SUM(B26:E26)</f>
        <v>89.28</v>
      </c>
      <c r="H26" t="e">
        <f t="shared" si="0"/>
        <v>#DIV/0!</v>
      </c>
    </row>
    <row r="27" spans="1:9" x14ac:dyDescent="0.25">
      <c r="A27" s="13" t="s">
        <v>41</v>
      </c>
      <c r="B27" s="14">
        <f>SUMIF(Resumen_Semana1!$A$2:$A$35,$A27,Resumen_Semana1!$G$2:$G$35)</f>
        <v>0</v>
      </c>
      <c r="C27" s="14">
        <f>SUMIF(Resumen_Semana2!$A$2:$A$28,$A27,Resumen_Semana2!$G$2:$G$28)</f>
        <v>89.28</v>
      </c>
      <c r="D27" s="14">
        <f>SUMIF(Resumen_PanesBudines!$A$2:$A$22,$A27,Resumen_PanesBudines!$G$2:$G$22)</f>
        <v>0</v>
      </c>
      <c r="E27" s="22">
        <f>SUMIF(Resumen_PanesBudines!$A$2:$A$22,$A27,Resumen_PanesBudines!$G$2:$G$22)</f>
        <v>0</v>
      </c>
      <c r="F27" s="15">
        <f>SUM(B27:E27)</f>
        <v>89.28</v>
      </c>
      <c r="H27" t="e">
        <f t="shared" si="0"/>
        <v>#DIV/0!</v>
      </c>
    </row>
    <row r="28" spans="1:9" x14ac:dyDescent="0.25">
      <c r="A28" s="13" t="s">
        <v>77</v>
      </c>
      <c r="B28" s="14">
        <f>SUMIF(Resumen_Semana1!$A$2:$A$35,$A28,Resumen_Semana1!$G$2:$G$35)</f>
        <v>0</v>
      </c>
      <c r="C28" s="14">
        <f>SUMIF(Resumen_Semana2!$A$2:$A$28,$A28,Resumen_Semana2!$G$2:$G$28)</f>
        <v>83.7</v>
      </c>
      <c r="D28" s="14">
        <f>SUMIF(Resumen_PanesBudines!$A$2:$A$22,$A28,Resumen_PanesBudines!$G$2:$G$22)</f>
        <v>0</v>
      </c>
      <c r="E28" s="22">
        <f>SUMIF(Resumen_PanesBudines!$A$2:$A$22,$A28,Resumen_PanesBudines!$G$2:$G$22)</f>
        <v>0</v>
      </c>
      <c r="F28" s="15">
        <f>SUM(B28:E28)</f>
        <v>83.7</v>
      </c>
      <c r="H28" t="e">
        <f t="shared" si="0"/>
        <v>#DIV/0!</v>
      </c>
    </row>
    <row r="29" spans="1:9" x14ac:dyDescent="0.25">
      <c r="A29" s="13" t="s">
        <v>45</v>
      </c>
      <c r="B29" s="14">
        <f>SUMIF(Resumen_Semana1!$A$2:$A$35,$A29,Resumen_Semana1!$G$2:$G$35)</f>
        <v>24.552</v>
      </c>
      <c r="C29" s="14">
        <f>SUMIF(Resumen_Semana2!$A$2:$A$28,$A29,Resumen_Semana2!$G$2:$G$28)</f>
        <v>50.219999999999992</v>
      </c>
      <c r="D29" s="14">
        <f>SUMIF(Resumen_PanesBudines!$A$2:$A$22,$A29,Resumen_PanesBudines!$G$2:$G$22)</f>
        <v>0</v>
      </c>
      <c r="E29" s="22">
        <f>SUMIF(Resumen_PanesBudines!$A$2:$A$22,$A29,Resumen_PanesBudines!$G$2:$G$22)</f>
        <v>0</v>
      </c>
      <c r="F29" s="15">
        <f>SUM(B29:E29)</f>
        <v>74.771999999999991</v>
      </c>
      <c r="H29" t="e">
        <f t="shared" si="0"/>
        <v>#DIV/0!</v>
      </c>
    </row>
    <row r="30" spans="1:9" x14ac:dyDescent="0.25">
      <c r="A30" s="13" t="s">
        <v>55</v>
      </c>
      <c r="B30" s="14">
        <f>SUMIF(Resumen_Semana1!$A$2:$A$35,$A30,Resumen_Semana1!$G$2:$G$35)</f>
        <v>16.740000000000002</v>
      </c>
      <c r="C30" s="14">
        <f>SUMIF(Resumen_Semana2!$A$2:$A$28,$A30,Resumen_Semana2!$G$2:$G$28)</f>
        <v>0</v>
      </c>
      <c r="D30" s="14">
        <f>SUMIF(Resumen_PanesBudines!$A$2:$A$22,$A30,Resumen_PanesBudines!$G$2:$G$22)</f>
        <v>27.54</v>
      </c>
      <c r="E30" s="22">
        <f>SUMIF(Resumen_PanesBudines!$A$2:$A$22,$A30,Resumen_PanesBudines!$G$2:$G$22)</f>
        <v>27.54</v>
      </c>
      <c r="F30" s="15">
        <f>SUM(B30:E30)</f>
        <v>71.819999999999993</v>
      </c>
      <c r="H30" t="e">
        <f t="shared" si="0"/>
        <v>#DIV/0!</v>
      </c>
    </row>
    <row r="31" spans="1:9" x14ac:dyDescent="0.25">
      <c r="A31" s="13" t="s">
        <v>75</v>
      </c>
      <c r="B31" s="14">
        <f>SUMIF(Resumen_Semana1!$A$2:$A$35,$A31,Resumen_Semana1!$G$2:$G$35)</f>
        <v>0</v>
      </c>
      <c r="C31" s="14">
        <f>SUMIF(Resumen_Semana2!$A$2:$A$28,$A31,Resumen_Semana2!$G$2:$G$28)</f>
        <v>39.059999999999995</v>
      </c>
      <c r="D31" s="14">
        <f>SUMIF(Resumen_PanesBudines!$A$2:$A$22,$A31,Resumen_PanesBudines!$G$2:$G$22)</f>
        <v>14.417999999999999</v>
      </c>
      <c r="E31" s="22">
        <f>SUMIF(Resumen_PanesBudines!$A$2:$A$22,$A31,Resumen_PanesBudines!$G$2:$G$22)</f>
        <v>14.417999999999999</v>
      </c>
      <c r="F31" s="15">
        <f>SUM(B31:E31)</f>
        <v>67.895999999999987</v>
      </c>
      <c r="H31" t="e">
        <f t="shared" si="0"/>
        <v>#DIV/0!</v>
      </c>
    </row>
    <row r="32" spans="1:9" x14ac:dyDescent="0.25">
      <c r="A32" s="13" t="s">
        <v>71</v>
      </c>
      <c r="B32" s="14">
        <f>SUMIF(Resumen_Semana1!$A$2:$A$35,$A32,Resumen_Semana1!$G$2:$G$35)</f>
        <v>66.960000000000008</v>
      </c>
      <c r="C32" s="14">
        <f>SUMIF(Resumen_Semana2!$A$2:$A$28,$A32,Resumen_Semana2!$G$2:$G$28)</f>
        <v>0</v>
      </c>
      <c r="D32" s="14">
        <f>SUMIF(Resumen_PanesBudines!$A$2:$A$22,$A32,Resumen_PanesBudines!$G$2:$G$22)</f>
        <v>0</v>
      </c>
      <c r="E32" s="22">
        <f>SUMIF(Resumen_PanesBudines!$A$2:$A$22,$A32,Resumen_PanesBudines!$G$2:$G$22)</f>
        <v>0</v>
      </c>
      <c r="F32" s="15">
        <f>SUM(B32:E32)</f>
        <v>66.960000000000008</v>
      </c>
      <c r="H32" t="e">
        <f t="shared" si="0"/>
        <v>#DIV/0!</v>
      </c>
    </row>
    <row r="33" spans="1:8" x14ac:dyDescent="0.25">
      <c r="A33" s="13" t="s">
        <v>68</v>
      </c>
      <c r="B33" s="14">
        <f>SUMIF(Resumen_Semana1!$A$2:$A$35,$A33,Resumen_Semana1!$G$2:$G$35)</f>
        <v>66.959999999999994</v>
      </c>
      <c r="C33" s="14">
        <f>SUMIF(Resumen_Semana2!$A$2:$A$28,$A33,Resumen_Semana2!$G$2:$G$28)</f>
        <v>0</v>
      </c>
      <c r="D33" s="14">
        <f>SUMIF(Resumen_PanesBudines!$A$2:$A$22,$A33,Resumen_PanesBudines!$G$2:$G$22)</f>
        <v>0</v>
      </c>
      <c r="E33" s="22">
        <f>SUMIF(Resumen_PanesBudines!$A$2:$A$22,$A33,Resumen_PanesBudines!$G$2:$G$22)</f>
        <v>0</v>
      </c>
      <c r="F33" s="15">
        <f>SUM(B33:E33)</f>
        <v>66.959999999999994</v>
      </c>
      <c r="H33" t="e">
        <f t="shared" si="0"/>
        <v>#DIV/0!</v>
      </c>
    </row>
    <row r="34" spans="1:8" x14ac:dyDescent="0.25">
      <c r="A34" s="13" t="s">
        <v>44</v>
      </c>
      <c r="B34" s="14">
        <f>SUMIF(Resumen_Semana1!$A$2:$A$35,$A34,Resumen_Semana1!$G$2:$G$35)</f>
        <v>0</v>
      </c>
      <c r="C34" s="14">
        <f>SUMIF(Resumen_Semana2!$A$2:$A$28,$A34,Resumen_Semana2!$G$2:$G$28)</f>
        <v>66.959999999999994</v>
      </c>
      <c r="D34" s="14">
        <f>SUMIF(Resumen_PanesBudines!$A$2:$A$22,$A34,Resumen_PanesBudines!$G$2:$G$22)</f>
        <v>0</v>
      </c>
      <c r="E34" s="22">
        <f>SUMIF(Resumen_PanesBudines!$A$2:$A$22,$A34,Resumen_PanesBudines!$G$2:$G$22)</f>
        <v>0</v>
      </c>
      <c r="F34" s="15">
        <f>SUM(B34:E34)</f>
        <v>66.959999999999994</v>
      </c>
      <c r="H34" t="e">
        <f t="shared" si="0"/>
        <v>#DIV/0!</v>
      </c>
    </row>
    <row r="35" spans="1:8" x14ac:dyDescent="0.25">
      <c r="A35" s="13" t="s">
        <v>67</v>
      </c>
      <c r="B35" s="14">
        <f>SUMIF(Resumen_Semana1!$A$2:$A$35,$A35,Resumen_Semana1!$G$2:$G$35)</f>
        <v>55.8</v>
      </c>
      <c r="C35" s="14">
        <f>SUMIF(Resumen_Semana2!$A$2:$A$28,$A35,Resumen_Semana2!$G$2:$G$28)</f>
        <v>0</v>
      </c>
      <c r="D35" s="14">
        <f>SUMIF(Resumen_PanesBudines!$A$2:$A$22,$A35,Resumen_PanesBudines!$G$2:$G$22)</f>
        <v>0</v>
      </c>
      <c r="E35" s="22">
        <f>SUMIF(Resumen_PanesBudines!$A$2:$A$22,$A35,Resumen_PanesBudines!$G$2:$G$22)</f>
        <v>0</v>
      </c>
      <c r="F35" s="15">
        <f>SUM(B35:E35)</f>
        <v>55.8</v>
      </c>
      <c r="H35" t="e">
        <f t="shared" si="0"/>
        <v>#DIV/0!</v>
      </c>
    </row>
    <row r="36" spans="1:8" x14ac:dyDescent="0.25">
      <c r="A36" s="13" t="s">
        <v>72</v>
      </c>
      <c r="B36" s="14">
        <f>SUMIF(Resumen_Semana1!$A$2:$A$35,$A36,Resumen_Semana1!$G$2:$G$35)</f>
        <v>55.8</v>
      </c>
      <c r="C36" s="14">
        <f>SUMIF(Resumen_Semana2!$A$2:$A$28,$A36,Resumen_Semana2!$G$2:$G$28)</f>
        <v>0</v>
      </c>
      <c r="D36" s="14">
        <f>SUMIF(Resumen_PanesBudines!$A$2:$A$22,$A36,Resumen_PanesBudines!$G$2:$G$22)</f>
        <v>0</v>
      </c>
      <c r="E36" s="22">
        <f>SUMIF(Resumen_PanesBudines!$A$2:$A$22,$A36,Resumen_PanesBudines!$G$2:$G$22)</f>
        <v>0</v>
      </c>
      <c r="F36" s="15">
        <f>SUM(B36:E36)</f>
        <v>55.8</v>
      </c>
      <c r="H36" t="e">
        <f t="shared" si="0"/>
        <v>#DIV/0!</v>
      </c>
    </row>
    <row r="37" spans="1:8" x14ac:dyDescent="0.25">
      <c r="A37" s="13" t="s">
        <v>81</v>
      </c>
      <c r="B37" s="14">
        <f>SUMIF(Resumen_Semana1!$A$2:$A$35,$A37,Resumen_Semana1!$G$2:$G$35)</f>
        <v>0</v>
      </c>
      <c r="C37" s="14">
        <f>SUMIF(Resumen_Semana2!$A$2:$A$28,$A37,Resumen_Semana2!$G$2:$G$28)</f>
        <v>0</v>
      </c>
      <c r="D37" s="14">
        <f>SUMIF(Resumen_PanesBudines!$A$2:$A$22,$A37,Resumen_PanesBudines!$G$2:$G$22)</f>
        <v>22.950000000000003</v>
      </c>
      <c r="E37" s="22">
        <f>SUMIF(Resumen_PanesBudines!$A$2:$A$22,$A37,Resumen_PanesBudines!$G$2:$G$22)</f>
        <v>22.950000000000003</v>
      </c>
      <c r="F37" s="15">
        <f>SUM(B37:E37)</f>
        <v>45.900000000000006</v>
      </c>
      <c r="H37" t="e">
        <f t="shared" si="0"/>
        <v>#DIV/0!</v>
      </c>
    </row>
    <row r="38" spans="1:8" x14ac:dyDescent="0.25">
      <c r="A38" s="13" t="s">
        <v>59</v>
      </c>
      <c r="B38" s="14">
        <f>SUMIF(Resumen_Semana1!$A$2:$A$35,$A38,Resumen_Semana1!$G$2:$G$35)</f>
        <v>16.070399999999999</v>
      </c>
      <c r="C38" s="14">
        <f>SUMIF(Resumen_Semana2!$A$2:$A$28,$A38,Resumen_Semana2!$G$2:$G$28)</f>
        <v>27.9</v>
      </c>
      <c r="D38" s="14">
        <f>SUMIF(Resumen_PanesBudines!$A$2:$A$22,$A38,Resumen_PanesBudines!$G$2:$G$22)</f>
        <v>0</v>
      </c>
      <c r="E38" s="22">
        <f>SUMIF(Resumen_PanesBudines!$A$2:$A$22,$A38,Resumen_PanesBudines!$G$2:$G$22)</f>
        <v>0</v>
      </c>
      <c r="F38" s="15">
        <f>SUM(B38:E38)</f>
        <v>43.970399999999998</v>
      </c>
      <c r="H38" t="e">
        <f t="shared" si="0"/>
        <v>#DIV/0!</v>
      </c>
    </row>
    <row r="39" spans="1:8" x14ac:dyDescent="0.25">
      <c r="A39" s="13" t="s">
        <v>56</v>
      </c>
      <c r="B39" s="14">
        <f>SUMIF(Resumen_Semana1!$A$2:$A$35,$A39,Resumen_Semana1!$G$2:$G$35)</f>
        <v>8.370000000000001</v>
      </c>
      <c r="C39" s="14">
        <f>SUMIF(Resumen_Semana2!$A$2:$A$28,$A39,Resumen_Semana2!$G$2:$G$28)</f>
        <v>33.480000000000004</v>
      </c>
      <c r="D39" s="14">
        <f>SUMIF(Resumen_PanesBudines!$A$2:$A$22,$A39,Resumen_PanesBudines!$G$2:$G$22)</f>
        <v>0</v>
      </c>
      <c r="E39" s="22">
        <f>SUMIF(Resumen_PanesBudines!$A$2:$A$22,$A39,Resumen_PanesBudines!$G$2:$G$22)</f>
        <v>0</v>
      </c>
      <c r="F39" s="15">
        <f>SUM(B39:E39)</f>
        <v>41.850000000000009</v>
      </c>
      <c r="H39" t="e">
        <f t="shared" si="0"/>
        <v>#DIV/0!</v>
      </c>
    </row>
    <row r="40" spans="1:8" x14ac:dyDescent="0.25">
      <c r="A40" s="13" t="s">
        <v>82</v>
      </c>
      <c r="B40" s="14">
        <f>SUMIF(Resumen_Semana1!$A$2:$A$35,$A40,Resumen_Semana1!$G$2:$G$35)</f>
        <v>0</v>
      </c>
      <c r="C40" s="14">
        <f>SUMIF(Resumen_Semana2!$A$2:$A$28,$A40,Resumen_Semana2!$G$2:$G$28)</f>
        <v>0</v>
      </c>
      <c r="D40" s="14">
        <f>SUMIF(Resumen_PanesBudines!$A$2:$A$22,$A40,Resumen_PanesBudines!$G$2:$G$22)</f>
        <v>18.360000000000003</v>
      </c>
      <c r="E40" s="22">
        <f>SUMIF(Resumen_PanesBudines!$A$2:$A$22,$A40,Resumen_PanesBudines!$G$2:$G$22)</f>
        <v>18.360000000000003</v>
      </c>
      <c r="F40" s="15">
        <f>SUM(B40:E40)</f>
        <v>36.720000000000006</v>
      </c>
      <c r="H40" t="e">
        <f t="shared" si="0"/>
        <v>#DIV/0!</v>
      </c>
    </row>
    <row r="41" spans="1:8" x14ac:dyDescent="0.25">
      <c r="A41" s="13" t="s">
        <v>78</v>
      </c>
      <c r="B41" s="14">
        <f>SUMIF(Resumen_Semana1!$A$2:$A$35,$A41,Resumen_Semana1!$G$2:$G$35)</f>
        <v>0</v>
      </c>
      <c r="C41" s="14">
        <f>SUMIF(Resumen_Semana2!$A$2:$A$28,$A41,Resumen_Semana2!$G$2:$G$28)</f>
        <v>13.95</v>
      </c>
      <c r="D41" s="14">
        <f>SUMIF(Resumen_PanesBudines!$A$2:$A$22,$A41,Resumen_PanesBudines!$G$2:$G$22)</f>
        <v>9.6120000000000019</v>
      </c>
      <c r="E41" s="22">
        <f>SUMIF(Resumen_PanesBudines!$A$2:$A$22,$A41,Resumen_PanesBudines!$G$2:$G$22)</f>
        <v>9.6120000000000019</v>
      </c>
      <c r="F41" s="15">
        <f>SUM(B41:E41)</f>
        <v>33.174000000000007</v>
      </c>
      <c r="H41" t="e">
        <f t="shared" si="0"/>
        <v>#DIV/0!</v>
      </c>
    </row>
    <row r="42" spans="1:8" x14ac:dyDescent="0.25">
      <c r="A42" s="13" t="s">
        <v>46</v>
      </c>
      <c r="B42" s="14">
        <f>SUMIF(Resumen_Semana1!$A$2:$A$35,$A42,Resumen_Semana1!$G$2:$G$35)</f>
        <v>6.2495999999999992</v>
      </c>
      <c r="C42" s="14">
        <f>SUMIF(Resumen_Semana2!$A$2:$A$28,$A42,Resumen_Semana2!$G$2:$G$28)</f>
        <v>17.856000000000002</v>
      </c>
      <c r="D42" s="14">
        <f>SUMIF(Resumen_PanesBudines!$A$2:$A$22,$A42,Resumen_PanesBudines!$G$2:$G$22)</f>
        <v>3.2040000000000002</v>
      </c>
      <c r="E42" s="22">
        <f>SUMIF(Resumen_PanesBudines!$A$2:$A$22,$A42,Resumen_PanesBudines!$G$2:$G$22)</f>
        <v>3.2040000000000002</v>
      </c>
      <c r="F42" s="15">
        <f>SUM(B42:E42)</f>
        <v>30.513600000000004</v>
      </c>
      <c r="H42" t="e">
        <f t="shared" si="0"/>
        <v>#DIV/0!</v>
      </c>
    </row>
    <row r="43" spans="1:8" x14ac:dyDescent="0.25">
      <c r="A43" s="13" t="s">
        <v>48</v>
      </c>
      <c r="B43" s="14">
        <f>SUMIF(Resumen_Semana1!$A$2:$A$35,$A43,Resumen_Semana1!$G$2:$G$35)</f>
        <v>15.066000000000001</v>
      </c>
      <c r="C43" s="14">
        <f>SUMIF(Resumen_Semana2!$A$2:$A$28,$A43,Resumen_Semana2!$G$2:$G$28)</f>
        <v>13.392000000000001</v>
      </c>
      <c r="D43" s="14">
        <f>SUMIF(Resumen_PanesBudines!$A$2:$A$22,$A43,Resumen_PanesBudines!$G$2:$G$22)</f>
        <v>0</v>
      </c>
      <c r="E43" s="22">
        <f>SUMIF(Resumen_PanesBudines!$A$2:$A$22,$A43,Resumen_PanesBudines!$G$2:$G$22)</f>
        <v>0</v>
      </c>
      <c r="F43" s="15">
        <f>SUM(B43:E43)</f>
        <v>28.458000000000002</v>
      </c>
      <c r="H43" t="e">
        <f t="shared" si="0"/>
        <v>#DIV/0!</v>
      </c>
    </row>
    <row r="44" spans="1:8" x14ac:dyDescent="0.25">
      <c r="A44" s="13" t="s">
        <v>53</v>
      </c>
      <c r="B44" s="14">
        <f>SUMIF(Resumen_Semana1!$A$2:$A$35,$A44,Resumen_Semana1!$G$2:$G$35)</f>
        <v>27.9</v>
      </c>
      <c r="C44" s="14">
        <f>SUMIF(Resumen_Semana2!$A$2:$A$28,$A44,Resumen_Semana2!$G$2:$G$28)</f>
        <v>0</v>
      </c>
      <c r="D44" s="14">
        <f>SUMIF(Resumen_PanesBudines!$A$2:$A$22,$A44,Resumen_PanesBudines!$G$2:$G$22)</f>
        <v>0</v>
      </c>
      <c r="E44" s="22">
        <f>SUMIF(Resumen_PanesBudines!$A$2:$A$22,$A44,Resumen_PanesBudines!$G$2:$G$22)</f>
        <v>0</v>
      </c>
      <c r="F44" s="15">
        <f>SUM(B44:E44)</f>
        <v>27.9</v>
      </c>
      <c r="H44" t="e">
        <f t="shared" si="0"/>
        <v>#DIV/0!</v>
      </c>
    </row>
    <row r="45" spans="1:8" x14ac:dyDescent="0.25">
      <c r="A45" s="13" t="s">
        <v>47</v>
      </c>
      <c r="B45" s="14">
        <f>SUMIF(Resumen_Semana1!$A$2:$A$35,$A45,Resumen_Semana1!$G$2:$G$35)</f>
        <v>8.370000000000001</v>
      </c>
      <c r="C45" s="14">
        <f>SUMIF(Resumen_Semana2!$A$2:$A$28,$A45,Resumen_Semana2!$G$2:$G$28)</f>
        <v>18.972000000000001</v>
      </c>
      <c r="D45" s="14">
        <f>SUMIF(Resumen_PanesBudines!$A$2:$A$22,$A45,Resumen_PanesBudines!$G$2:$G$22)</f>
        <v>0</v>
      </c>
      <c r="E45" s="22">
        <f>SUMIF(Resumen_PanesBudines!$A$2:$A$22,$A45,Resumen_PanesBudines!$G$2:$G$22)</f>
        <v>0</v>
      </c>
      <c r="F45" s="15">
        <f>SUM(B45:E45)</f>
        <v>27.342000000000002</v>
      </c>
      <c r="H45" t="e">
        <f t="shared" si="0"/>
        <v>#DIV/0!</v>
      </c>
    </row>
    <row r="46" spans="1:8" x14ac:dyDescent="0.25">
      <c r="A46" s="13" t="s">
        <v>69</v>
      </c>
      <c r="B46" s="14">
        <f>SUMIF(Resumen_Semana1!$A$2:$A$35,$A46,Resumen_Semana1!$G$2:$G$35)</f>
        <v>16.739999999999998</v>
      </c>
      <c r="C46" s="14">
        <f>SUMIF(Resumen_Semana2!$A$2:$A$28,$A46,Resumen_Semana2!$G$2:$G$28)</f>
        <v>0</v>
      </c>
      <c r="D46" s="14">
        <f>SUMIF(Resumen_PanesBudines!$A$2:$A$22,$A46,Resumen_PanesBudines!$G$2:$G$22)</f>
        <v>0</v>
      </c>
      <c r="E46" s="22">
        <f>SUMIF(Resumen_PanesBudines!$A$2:$A$22,$A46,Resumen_PanesBudines!$G$2:$G$22)</f>
        <v>0</v>
      </c>
      <c r="F46" s="15">
        <f>SUM(B46:E46)</f>
        <v>16.739999999999998</v>
      </c>
      <c r="H46" t="e">
        <f t="shared" si="0"/>
        <v>#DIV/0!</v>
      </c>
    </row>
    <row r="47" spans="1:8" x14ac:dyDescent="0.25">
      <c r="A47" s="13" t="s">
        <v>60</v>
      </c>
      <c r="B47" s="14">
        <f>SUMIF(Resumen_Semana1!$A$2:$A$35,$A47,Resumen_Semana1!$G$2:$G$35)</f>
        <v>12.85632</v>
      </c>
      <c r="C47" s="14">
        <f>SUMIF(Resumen_Semana2!$A$2:$A$28,$A47,Resumen_Semana2!$G$2:$G$28)</f>
        <v>0</v>
      </c>
      <c r="D47" s="14">
        <f>SUMIF(Resumen_PanesBudines!$A$2:$A$22,$A47,Resumen_PanesBudines!$G$2:$G$22)</f>
        <v>0</v>
      </c>
      <c r="E47" s="22">
        <f>SUMIF(Resumen_PanesBudines!$A$2:$A$22,$A47,Resumen_PanesBudines!$G$2:$G$22)</f>
        <v>0</v>
      </c>
      <c r="F47" s="15">
        <f>SUM(B47:E47)</f>
        <v>12.85632</v>
      </c>
      <c r="H47" t="e">
        <f t="shared" si="0"/>
        <v>#DIV/0!</v>
      </c>
    </row>
    <row r="48" spans="1:8" x14ac:dyDescent="0.25">
      <c r="A48" s="13" t="s">
        <v>49</v>
      </c>
      <c r="B48" s="14">
        <f>SUMIF(Resumen_Semana1!$A$2:$A$35,$A48,Resumen_Semana1!$G$2:$G$35)</f>
        <v>0</v>
      </c>
      <c r="C48" s="14">
        <f>SUMIF(Resumen_Semana2!$A$2:$A$28,$A48,Resumen_Semana2!$G$2:$G$28)</f>
        <v>8.9280000000000008</v>
      </c>
      <c r="D48" s="14">
        <f>SUMIF(Resumen_PanesBudines!$A$2:$A$22,$A48,Resumen_PanesBudines!$G$2:$G$22)</f>
        <v>0</v>
      </c>
      <c r="E48" s="22">
        <f>SUMIF(Resumen_PanesBudines!$A$2:$A$22,$A48,Resumen_PanesBudines!$G$2:$G$22)</f>
        <v>0</v>
      </c>
      <c r="F48" s="15">
        <f>SUM(B48:E48)</f>
        <v>8.9280000000000008</v>
      </c>
      <c r="H48" t="e">
        <f t="shared" si="0"/>
        <v>#DIV/0!</v>
      </c>
    </row>
    <row r="49" spans="1:8" x14ac:dyDescent="0.25">
      <c r="A49" s="13" t="s">
        <v>86</v>
      </c>
      <c r="B49" s="14">
        <f>SUMIF(Resumen_Semana1!$A$2:$A$35,$A49,Resumen_Semana1!$G$2:$G$35)</f>
        <v>0</v>
      </c>
      <c r="C49" s="14">
        <f>SUMIF(Resumen_Semana2!$A$2:$A$28,$A49,Resumen_Semana2!$G$2:$G$28)</f>
        <v>0</v>
      </c>
      <c r="D49" s="14">
        <f>SUMIF(Resumen_PanesBudines!$A$2:$A$22,$A49,Resumen_PanesBudines!$G$2:$G$22)</f>
        <v>3.6846000000000001</v>
      </c>
      <c r="E49" s="22">
        <f>SUMIF(Resumen_PanesBudines!$A$2:$A$22,$A49,Resumen_PanesBudines!$G$2:$G$22)</f>
        <v>3.6846000000000001</v>
      </c>
      <c r="F49" s="15">
        <f>SUM(B49:E49)</f>
        <v>7.3692000000000002</v>
      </c>
      <c r="H49" t="e">
        <f t="shared" si="0"/>
        <v>#DIV/0!</v>
      </c>
    </row>
    <row r="50" spans="1:8" x14ac:dyDescent="0.25">
      <c r="A50" s="13" t="s">
        <v>63</v>
      </c>
      <c r="B50" s="14">
        <f>SUMIF(Resumen_Semana1!$A$2:$A$35,$A50,Resumen_Semana1!$G$2:$G$35)</f>
        <v>6.2495999999999992</v>
      </c>
      <c r="C50" s="14">
        <f>SUMIF(Resumen_Semana2!$A$2:$A$28,$A50,Resumen_Semana2!$G$2:$G$28)</f>
        <v>0</v>
      </c>
      <c r="D50" s="14">
        <f>SUMIF(Resumen_PanesBudines!$A$2:$A$22,$A50,Resumen_PanesBudines!$G$2:$G$22)</f>
        <v>0</v>
      </c>
      <c r="E50" s="22">
        <f>SUMIF(Resumen_PanesBudines!$A$2:$A$22,$A50,Resumen_PanesBudines!$G$2:$G$22)</f>
        <v>0</v>
      </c>
      <c r="F50" s="15">
        <f>SUM(B50:E50)</f>
        <v>6.2495999999999992</v>
      </c>
      <c r="H50" t="e">
        <f t="shared" si="0"/>
        <v>#DIV/0!</v>
      </c>
    </row>
    <row r="51" spans="1:8" x14ac:dyDescent="0.25">
      <c r="A51" s="16" t="s">
        <v>93</v>
      </c>
      <c r="B51" s="17">
        <f>SUM(B6:B50)</f>
        <v>8369.9999999999982</v>
      </c>
      <c r="C51" s="17">
        <f>SUM(C6:C50)</f>
        <v>8370.0000000000018</v>
      </c>
      <c r="D51" s="17">
        <f>SUM(D6:D50)</f>
        <v>1858.7700000000002</v>
      </c>
      <c r="E51" s="23">
        <f>SUM(E6:E50)</f>
        <v>1858.7700000000002</v>
      </c>
      <c r="F51" s="18">
        <f>SUM(F6:F50)</f>
        <v>20457.53999999999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Programacion</vt:lpstr>
      <vt:lpstr>Formulas</vt:lpstr>
      <vt:lpstr>Detalle_Consumo</vt:lpstr>
      <vt:lpstr>Resumen_Semana1</vt:lpstr>
      <vt:lpstr>Resumen_Semana2</vt:lpstr>
      <vt:lpstr>Programacion_PanesBudines</vt:lpstr>
      <vt:lpstr>Detalle_Consumo_PanesBudines</vt:lpstr>
      <vt:lpstr>Resumen_PanesBudines</vt:lpstr>
      <vt:lpstr>Resumen_2Semanas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Calidad Smams</cp:lastModifiedBy>
  <cp:revision>0</cp:revision>
  <dcterms:created xsi:type="dcterms:W3CDTF">2026-08-29T21:20:50Z</dcterms:created>
  <dcterms:modified xsi:type="dcterms:W3CDTF">2026-08-29T22:53:24Z</dcterms:modified>
  <dc:language>en-US</dc:language>
</cp:coreProperties>
</file>