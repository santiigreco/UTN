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iterios" sheetId="1" r:id="rId4"/>
    <sheet state="visible" name="Matriz SyH" sheetId="2" r:id="rId5"/>
    <sheet state="visible" name="Matriz Ambiental" sheetId="3" r:id="rId6"/>
  </sheets>
  <definedNames>
    <definedName hidden="1" localSheetId="1" name="_xlnm._FilterDatabase">'Matriz SyH'!$A$1:$O$26</definedName>
  </definedNames>
  <calcPr/>
  <extLst>
    <ext uri="GoogleSheetsCustomDataVersion2">
      <go:sheetsCustomData xmlns:go="http://customooxmlschemas.google.com/" r:id="rId7" roundtripDataChecksum="EEZYTTHY5Gm2/H4CO6T4aMNxHeDPutJS/GBi69vNep4="/>
    </ext>
  </extLst>
</workbook>
</file>

<file path=xl/sharedStrings.xml><?xml version="1.0" encoding="utf-8"?>
<sst xmlns="http://schemas.openxmlformats.org/spreadsheetml/2006/main" count="295" uniqueCount="223">
  <si>
    <t>CRITERIOS DE EVALUACIÓN - SEGURIDAD, HIGIENE Y AMBIENTE</t>
  </si>
  <si>
    <t>ID</t>
  </si>
  <si>
    <t>Sector</t>
  </si>
  <si>
    <t>Categoría</t>
  </si>
  <si>
    <t>Peligro</t>
  </si>
  <si>
    <t>Consecuencia</t>
  </si>
  <si>
    <t>P</t>
  </si>
  <si>
    <t>Impacto</t>
  </si>
  <si>
    <t>R</t>
  </si>
  <si>
    <t>Nivel</t>
  </si>
  <si>
    <t>Medidas de prevención / mitigación</t>
  </si>
  <si>
    <t>Categorías</t>
  </si>
  <si>
    <t>P residual</t>
  </si>
  <si>
    <t>Probabilidad</t>
  </si>
  <si>
    <t>Impacto residual</t>
  </si>
  <si>
    <t>Mapear</t>
  </si>
  <si>
    <t>Estado</t>
  </si>
  <si>
    <t>R residual</t>
  </si>
  <si>
    <t>Nivel residual</t>
  </si>
  <si>
    <t>Físico</t>
  </si>
  <si>
    <t>Observaciones</t>
  </si>
  <si>
    <t>Sí</t>
  </si>
  <si>
    <t>Pendiente</t>
  </si>
  <si>
    <t>B01</t>
  </si>
  <si>
    <t>Depósito de materias primas</t>
  </si>
  <si>
    <t>Valor</t>
  </si>
  <si>
    <t>Criterio orientativo</t>
  </si>
  <si>
    <t>Biológico</t>
  </si>
  <si>
    <t>Hongos/plagas por humedad, roturas o mala rotación</t>
  </si>
  <si>
    <t>Exposición biológica, contaminación del ambiente de trabajo</t>
  </si>
  <si>
    <t>Químico</t>
  </si>
  <si>
    <t>No</t>
  </si>
  <si>
    <t>En análisis</t>
  </si>
  <si>
    <t>Baja</t>
  </si>
  <si>
    <t>Evento poco probable; exposición ocasional o controles naturales relevantes.</t>
  </si>
  <si>
    <t>Impacto menor: molestia, lesión leve o efecto de baja magnitud.</t>
  </si>
  <si>
    <t>Implementado</t>
  </si>
  <si>
    <t>Media</t>
  </si>
  <si>
    <t>Puede ocurrir durante la vida operativa; exposición periódica o tarea habitual con barreras parciales.</t>
  </si>
  <si>
    <t>Impacto moderado: lesión/enfermedad con tratamiento o incapacidad temporal; efecto ambiental relevante pero controlable.</t>
  </si>
  <si>
    <t>Ergonómico</t>
  </si>
  <si>
    <t>No aplica</t>
  </si>
  <si>
    <t>Alta</t>
  </si>
  <si>
    <t>Exposición frecuente/continua o evento esperable si no se aplican controles específicos.</t>
  </si>
  <si>
    <t>Impacto grave: lesión severa, incapacidad permanente, amputación, fatalidad o efecto ambiental de alta magnitud.</t>
  </si>
  <si>
    <t>Seguridad</t>
  </si>
  <si>
    <t>Probabilidad \ Impacto</t>
  </si>
  <si>
    <t>Baja (1)</t>
  </si>
  <si>
    <t>Media (2)</t>
  </si>
  <si>
    <t>Alta (3)</t>
  </si>
  <si>
    <t>Código mapa</t>
  </si>
  <si>
    <t>Alcance</t>
  </si>
  <si>
    <t>Leve</t>
  </si>
  <si>
    <t>EFLUENTES E IMPACTOS AMBIENTALES – PROYECTO FINAL</t>
  </si>
  <si>
    <t>Medio</t>
  </si>
  <si>
    <t>F</t>
  </si>
  <si>
    <t>Ruido, vibraciones, calor, iluminación, superficies calientes.</t>
  </si>
  <si>
    <t>Importante</t>
  </si>
  <si>
    <t>Q</t>
  </si>
  <si>
    <t>Polvos, gases, detergentes, sanitizantes, aceites y químicos.</t>
  </si>
  <si>
    <t>Crítico</t>
  </si>
  <si>
    <t>B</t>
  </si>
  <si>
    <t>Hongos, microorganismos, residuos orgánicos y plagas.</t>
  </si>
  <si>
    <t>R = P × I. Clasificación: 1–2 = Leve; 3–4 = Medio; 6 = Importante; 9 = Crítico.</t>
  </si>
  <si>
    <t>E</t>
  </si>
  <si>
    <t>Manipulación manual, repetitividad, posturas, empuje/arrastre, fatiga.</t>
  </si>
  <si>
    <t>S</t>
  </si>
  <si>
    <t>Atrapamientos, cortes, electricidad, incendio/explosión, caídas, tránsito, presión.</t>
  </si>
  <si>
    <t>Control de humedad; inspección de pallets/envases; segregación de material afectado.</t>
  </si>
  <si>
    <t>Nota: Probabilidad e Impacto se evalúan en tres niveles (Baja = 1, Media = 2, Alta = 3). El nivel de riesgo resultante se clasifica en cuatro categorías: Leve, Medio, Importante y Crítico.</t>
  </si>
  <si>
    <t>Identificación preliminar basada en los procesos definidos para la planta. Los tratamientos definitivos quedan sujetos a caracterización y requisitos de vuelco/emisión aplicables.</t>
  </si>
  <si>
    <t>REFERENCIAS PRINCIPALES</t>
  </si>
  <si>
    <t>Ley 19.587 / Decreto 351/79</t>
  </si>
  <si>
    <t>https://www.argentina.gob.ar/normativa/nacional/norma-32030/actualizacion</t>
  </si>
  <si>
    <t>Resolución 295/2003</t>
  </si>
  <si>
    <t>https://www.argentina.gob.ar/normativa/nacional/resolucion-295-2003-90396/texto</t>
  </si>
  <si>
    <t>SRT 84/12 - Iluminación</t>
  </si>
  <si>
    <t>https://www.argentina.gob.ar/srt/prevencion/publicaciones/protocolos/iluminacion</t>
  </si>
  <si>
    <t>SRT 85/12 - Ruido</t>
  </si>
  <si>
    <t>https://www.argentina.gob.ar/node/128093</t>
  </si>
  <si>
    <t>SRT 886/15 - Ergonomía</t>
  </si>
  <si>
    <t>https://www.argentina.gob.ar/node/128123</t>
  </si>
  <si>
    <t>B02</t>
  </si>
  <si>
    <t>Aduana MP</t>
  </si>
  <si>
    <t>Resolución SRT 30/202 - Estrés térmico</t>
  </si>
  <si>
    <t>ingreso de contaminantes biológicos al sector productivo a través de personas, materias primas, envases o elementos provenientes del exterior.</t>
  </si>
  <si>
    <t>Normativa ambiental PBA (si aplica)</t>
  </si>
  <si>
    <t>Contaminación microbiológica del ambiente de producción y/o de los productos elaborados.</t>
  </si>
  <si>
    <t>Tipo de efluente</t>
  </si>
  <si>
    <t>https://www.ambiente.gba.gob.ar/contenido/normativa_ambiental_provincial</t>
  </si>
  <si>
    <t>Implementación de aduana sanitaria para ingreso de personal y aduana de materias primas; cambio de indumentaria, lavado y desinfección de manos, limpieza/desinfección de elementos ingresantes.</t>
  </si>
  <si>
    <t>E01</t>
  </si>
  <si>
    <t>Manipulación manual de bolsas y bateas</t>
  </si>
  <si>
    <t>Posibles lesiones</t>
  </si>
  <si>
    <t>Efluente / residuo</t>
  </si>
  <si>
    <t>Mesa soporte a altura adecuada, carro tijera con elevación</t>
  </si>
  <si>
    <t>Origen principal</t>
  </si>
  <si>
    <t>E02</t>
  </si>
  <si>
    <t>Impacto potencial</t>
  </si>
  <si>
    <t>Macro pesado</t>
  </si>
  <si>
    <t>Tratamiento / gestión propuesta</t>
  </si>
  <si>
    <t>Frecuencia / retiro</t>
  </si>
  <si>
    <t>Relevancia preliminar</t>
  </si>
  <si>
    <t>E03</t>
  </si>
  <si>
    <t>Pesado macro y micropesado</t>
  </si>
  <si>
    <t>Posturas sostenidas y movimientos repetitivos</t>
  </si>
  <si>
    <t>Molestias/TME de miembros superiores y espalda</t>
  </si>
  <si>
    <t>Mesa regulada a altura de trabajo; alcances cortos; pausas; recipientes de fácil manipulación; evaluación ergonómica.</t>
  </si>
  <si>
    <t>E04</t>
  </si>
  <si>
    <t>Amasado / batido</t>
  </si>
  <si>
    <t>Manipulación de bateas.</t>
  </si>
  <si>
    <t>Carro tijera con elevación</t>
  </si>
  <si>
    <t>E05</t>
  </si>
  <si>
    <t>Formado / dosificado de galletitas</t>
  </si>
  <si>
    <t>Repetitividad y posturas de alcance</t>
  </si>
  <si>
    <t>TME de miembros superiores</t>
  </si>
  <si>
    <t>Polvo de harinas, almidones y premezclas</t>
  </si>
  <si>
    <t>Macro y micropesado; apertura y fraccionamiento de ingredientes secos</t>
  </si>
  <si>
    <t>Tacho sanitario ubicado cerca de la tolva, pausas.</t>
  </si>
  <si>
    <t>Emisión difusa de material particulado; deposición de polvo y alteración localizada de la calidad del aire</t>
  </si>
  <si>
    <t>E07</t>
  </si>
  <si>
    <t>Desmolde y enfriado panificados</t>
  </si>
  <si>
    <t>Movimientos repetitivos y carga manual</t>
  </si>
  <si>
    <t>TME/sobreesfuerzo</t>
  </si>
  <si>
    <t>Recinto de pesado cerrado, ventilación general adecuada, manipulación cuidadosa y limpieza por aspiración. No se prevé tratamiento específico de la emisión en esta etapa, salvo que la concentración real lo requiera.</t>
  </si>
  <si>
    <t>Intermitente durante pesado / limpieza diaria</t>
  </si>
  <si>
    <t>Evitar mantener posturas extremas, acercar siempre el carro, enseñar flexión de rodillas para niveles bajos.</t>
  </si>
  <si>
    <t>El principal riesgo asociado es ocupacional para el trabajador; ambientalmente se considera de baja magnitud en la escala del proyecto.</t>
  </si>
  <si>
    <t>E08</t>
  </si>
  <si>
    <t>Envasado y palletizado</t>
  </si>
  <si>
    <t>Repetitividad y postura de pie</t>
  </si>
  <si>
    <t>TME/fatiga</t>
  </si>
  <si>
    <t>Mesa a altura adecuada; suministro de cajas dentro de zona de alcance; rotación; pausas.</t>
  </si>
  <si>
    <t>Gases de combustión de hornos a gas natural</t>
  </si>
  <si>
    <t>Horno túnel y hornos rotativos</t>
  </si>
  <si>
    <t>M01</t>
  </si>
  <si>
    <t>Emisión de CO₂ y NOx; posible CO ante combustión deficiente; aporte a GEI y alteración de calidad del aire</t>
  </si>
  <si>
    <t>Batido / mezclado</t>
  </si>
  <si>
    <t>Atrapamiento / enganche con agitador en rotación</t>
  </si>
  <si>
    <t>Golpes o atrapamiento de manos</t>
  </si>
  <si>
    <t>Quemadores eficientes, regulación aire/gas, mantenimiento preventivo y evacuación adecuada mediante conductos/chimenea. No se prevé tratamiento específico de gases en principio.</t>
  </si>
  <si>
    <t>Resguardo/jaula de seguridad enclavada de fábrica; la máquina no opera con el protector abierto.</t>
  </si>
  <si>
    <t>Control de seguridad incorporado por el fabricante. Riesgo mecánico identificado pero fuertemente controlado por diseño.</t>
  </si>
  <si>
    <t>M02</t>
  </si>
  <si>
    <t>Dosificado - Indurpack G1WGD</t>
  </si>
  <si>
    <t>Atrapamiento / golpe por movimiento del pistón o partes neumáticas en limpieza</t>
  </si>
  <si>
    <t>Contusiones, atrapamiento de dedos/manos</t>
  </si>
  <si>
    <t>Durante operación de hornos</t>
  </si>
  <si>
    <t>Despresurización luego del uso.</t>
  </si>
  <si>
    <t>Verificar requisitos de emisiones atmosféricas y condiciones de combustión durante la puesta en marcha.</t>
  </si>
  <si>
    <t>M03</t>
  </si>
  <si>
    <t>Rebanado de panificados - Braesi FB-12 G2</t>
  </si>
  <si>
    <t>Contacto con cuchillas / atrapamiento en mecanismo de corte</t>
  </si>
  <si>
    <t>Cortes profundos, lesión grave o amputación</t>
  </si>
  <si>
    <t>Tapa de seguridad, botón de emergencia y buenas prácticas.</t>
  </si>
  <si>
    <t>El peligro de corte es inherente al proceso aunque cuente con protección de fábrica.</t>
  </si>
  <si>
    <t>Scrap de producción y materias primas descartadas</t>
  </si>
  <si>
    <t>M04</t>
  </si>
  <si>
    <t>Envasado panificados - Brunetti EFH700X</t>
  </si>
  <si>
    <t>Corte / atrapamiento en mordazas, cuchillas y rodillos de arrastre</t>
  </si>
  <si>
    <t>Cortes, aplastamiento o atrapamiento de manos</t>
  </si>
  <si>
    <t>Mermas, producto fuera de especificación y descarte de materias primas</t>
  </si>
  <si>
    <t>Olores, proliferación de microorganismos y plagas; generación de residuos orgánicos</t>
  </si>
  <si>
    <t>Mantenimiento preventivo, parada de emergencia y buenas prácticas.</t>
  </si>
  <si>
    <t>Segregación en recipientes cerrados, traslado a cuarto de scrap, limpieza del recinto y retiro por proveedor/gestor.</t>
  </si>
  <si>
    <t>Retiro diario propuesto</t>
  </si>
  <si>
    <t>M05</t>
  </si>
  <si>
    <t>Amasado - Catania doble Z HJ50B</t>
  </si>
  <si>
    <t>Atrapamiento / amputación entre brazos Z</t>
  </si>
  <si>
    <t>Lesiones graves, fracturas o amputación</t>
  </si>
  <si>
    <t>Evitar acumulación prolongada. Si el retiro no fuera diario, revisar necesidad de condiciones adicionales de conservación.</t>
  </si>
  <si>
    <t>Máquina que impide arranque si está abierta la tapa</t>
  </si>
  <si>
    <t>Biológico / Químico</t>
  </si>
  <si>
    <t>M06</t>
  </si>
  <si>
    <t>Moldeado / formado - Ralem rotativa</t>
  </si>
  <si>
    <t>Atrapamiento / aplastamiento entre cilindros y puntos de pellizco</t>
  </si>
  <si>
    <t>Efluente líquido de limpieza con restos orgánicos y trazas de sanitizante IAC</t>
  </si>
  <si>
    <t>Lesiones graves en manos o dedos</t>
  </si>
  <si>
    <t>Limpieza entre turnos de amasadoras, bateas, carros, utensilios y superficies lavables: retiro en seco de scrap, lavado con agua y cepillo, recuperación del agua con aspiradora industrial húmedo/seco y sanitización final con IAC.</t>
  </si>
  <si>
    <t>Aporte de sólidos finos y materia orgánica al agua de lavado, con posible aumento de DBO/DQO. El IAC no genera una corriente líquida específica al aplicarse sin enjuague: el alcohol isopropílico evapora y el amonio cuaternario queda como residuo sanitizante sobre la superficie. En lavados posteriores pueden incorporarse trazas de amonio cuaternario al efluente.</t>
  </si>
  <si>
    <t>Resguardo físico, parada de emergencia y buenas prácticas</t>
  </si>
  <si>
    <t>1) Retiro previo en seco de restos gruesos y envío a scrap. 2) Lavado con agua y cepillo. 3) Recuperación del agua sucia mediante aspiradora industrial húmedo/seco. 4) Descarga del líquido en desagüe sanitario de acero inoxidable con rejilla y canastilla removible para retener sólidos. 5) Sólidos retenidos al circuito de scrap. 6) Sanitización final con IAC sin enjuague y liberación del equipo una vez seco. No se prevé tratamiento específico para el IAC; evitar el vuelco de producto concentrado y caracterizar el efluente final para verificar el destino de descarga.</t>
  </si>
  <si>
    <t>M07</t>
  </si>
  <si>
    <t>Entre turnos / según programa de limpieza</t>
  </si>
  <si>
    <t>Horno túnel</t>
  </si>
  <si>
    <t>Atrapamiento en cinta, rodillos, tambores o accionamientos</t>
  </si>
  <si>
    <t>Atrapamiento de manos, golpes o lesiones graves</t>
  </si>
  <si>
    <t>Prioridad de control: minimizar sólidos y carga orgánica antes del lavado. La canastilla retiene sólidos gruesos, pero no elimina materia orgánica disuelta ni amonios cuaternarios. Si la caracterización mostrara grasas/aceites o parámetros fuera de límite, incorporar pretratamiento adicional.</t>
  </si>
  <si>
    <t>Parada de emergencia accesible; bloqueo en mantenimiento.</t>
  </si>
  <si>
    <t>Aunque la velocidad sea baja, el torque del accionamiento puede generar atrapamiento.</t>
  </si>
  <si>
    <t>RyV01</t>
  </si>
  <si>
    <t>Envasado panificados</t>
  </si>
  <si>
    <t>Ruido de accionamientos, transmisión y ciclo repetitivo</t>
  </si>
  <si>
    <t>Fatiga auditiva; posible daño si supera límites</t>
  </si>
  <si>
    <t>Mantenimiento preventivo y auriculares</t>
  </si>
  <si>
    <t>RyV02</t>
  </si>
  <si>
    <t>Envasado vertical - Zonpack</t>
  </si>
  <si>
    <t>Ruido de accionamientos, sellado y transporte</t>
  </si>
  <si>
    <t>T01</t>
  </si>
  <si>
    <t>Exposición a calor / estrés térmico</t>
  </si>
  <si>
    <t>Agotamiento, golpe de calor, errores operativos</t>
  </si>
  <si>
    <t>Aislamiento, ventilación de la zona, distancia de 1 metro, sin tareas en la zona.</t>
  </si>
  <si>
    <t>T02</t>
  </si>
  <si>
    <t>Horno rotativo</t>
  </si>
  <si>
    <t>Exposición intensa a calor y superficies calientes</t>
  </si>
  <si>
    <t>Quemaduras graves, estrés térmico</t>
  </si>
  <si>
    <t>Guantes y protección térmica, acondicionamiento mediante conductos.</t>
  </si>
  <si>
    <t>T03</t>
  </si>
  <si>
    <t>Enfriado panificados</t>
  </si>
  <si>
    <t>Contacto con moldes/bandejas calientes</t>
  </si>
  <si>
    <t>Quemaduras</t>
  </si>
  <si>
    <t>Guantes y protección térmica.</t>
  </si>
  <si>
    <t>Q01</t>
  </si>
  <si>
    <t>Inhalación de polvo de harinas</t>
  </si>
  <si>
    <t>Irritación, sensibilización, afección respiratoria</t>
  </si>
  <si>
    <t>Sector físicamente cerrado, ventilación general con extracción mecánica, uso de protección respiratoria (barbijo) y ocular, limpieza mediante aspiración.</t>
  </si>
  <si>
    <t>S01</t>
  </si>
  <si>
    <t>Incendio por carga combustible</t>
  </si>
  <si>
    <t>Quemaduras, pérdidas</t>
  </si>
  <si>
    <t>Matafuegos.</t>
  </si>
  <si>
    <t>S02</t>
  </si>
  <si>
    <t>Detector de llama, evacuación de gases de combustión, válvula de seguridad.</t>
  </si>
  <si>
    <t>Hornos rotativos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</si>
</sst>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rgb="FF000000"/>
      <name val="Carlito"/>
      <scheme val="minor"/>
    </font>
    <font>
      <b/>
      <sz val="11.0"/>
      <color rgb="FFFFFFFF"/>
      <name val="Carlito"/>
    </font>
    <font>
      <b/>
      <sz val="16.0"/>
      <color rgb="FFFFFFFF"/>
      <name val="Carlito"/>
    </font>
    <font/>
    <font>
      <sz val="11.0"/>
      <color theme="1"/>
      <name val="Carlito"/>
    </font>
    <font>
      <b/>
      <sz val="11.0"/>
      <color theme="1"/>
      <name val="Carlito"/>
    </font>
    <font>
      <sz val="11.0"/>
      <color rgb="FF000000"/>
      <name val="Carlito"/>
    </font>
    <font>
      <b/>
      <sz val="14.0"/>
      <color rgb="FFFFFFFF"/>
      <name val="Carlito"/>
    </font>
    <font>
      <i/>
      <sz val="11.0"/>
      <color rgb="FF595959"/>
      <name val="Carlito"/>
    </font>
    <font>
      <i/>
      <sz val="11.0"/>
      <color rgb="FF404040"/>
      <name val="Carlito"/>
    </font>
    <font>
      <b/>
      <sz val="11.0"/>
      <color rgb="FF1F1F1F"/>
      <name val="Carlito"/>
    </font>
    <font>
      <color theme="1"/>
      <name val="Carlito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C6E0B4"/>
        <bgColor rgb="FFC6E0B4"/>
      </patternFill>
    </fill>
    <fill>
      <patternFill patternType="solid">
        <fgColor rgb="FFFFE699"/>
        <bgColor rgb="FFFFE699"/>
      </patternFill>
    </fill>
    <fill>
      <patternFill patternType="solid">
        <fgColor rgb="FFF4CCCC"/>
        <bgColor rgb="FFF4CCCC"/>
      </patternFill>
    </fill>
    <fill>
      <patternFill patternType="solid">
        <fgColor rgb="FFF4B183"/>
        <bgColor rgb="FFF4B183"/>
      </patternFill>
    </fill>
    <fill>
      <patternFill patternType="solid">
        <fgColor rgb="FFF2F2F2"/>
        <bgColor rgb="FFF2F2F2"/>
      </patternFill>
    </fill>
    <fill>
      <patternFill patternType="solid">
        <fgColor rgb="FF5B9BD5"/>
        <bgColor rgb="FF5B9BD5"/>
      </patternFill>
    </fill>
    <fill>
      <patternFill patternType="solid">
        <fgColor rgb="FFE2F0D9"/>
        <bgColor rgb="FFE2F0D9"/>
      </patternFill>
    </fill>
    <fill>
      <patternFill patternType="solid">
        <fgColor rgb="FFFCE4D6"/>
        <bgColor rgb="FFFCE4D6"/>
      </patternFill>
    </fill>
    <fill>
      <patternFill patternType="solid">
        <fgColor rgb="FFE4DFEC"/>
        <bgColor rgb="FFE4DFEC"/>
      </patternFill>
    </fill>
    <fill>
      <patternFill patternType="solid">
        <fgColor rgb="FFFFF2CC"/>
        <bgColor rgb="FFFFF2CC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2" numFmtId="0" xfId="0" applyAlignment="1" applyBorder="1" applyFill="1" applyFont="1">
      <alignment horizontal="left" vertical="center"/>
    </xf>
    <xf borderId="3" fillId="0" fontId="3" numFmtId="0" xfId="0" applyBorder="1" applyFont="1"/>
    <xf borderId="4" fillId="0" fontId="3" numFmtId="0" xfId="0" applyBorder="1" applyFont="1"/>
    <xf borderId="0" fillId="0" fontId="4" numFmtId="0" xfId="0" applyFont="1"/>
    <xf borderId="0" fillId="0" fontId="4" numFmtId="0" xfId="0" applyAlignment="1" applyFont="1">
      <alignment vertical="center"/>
    </xf>
    <xf borderId="1" fillId="2" fontId="1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vertical="center"/>
    </xf>
    <xf borderId="1" fillId="5" fontId="4" numFmtId="0" xfId="0" applyAlignment="1" applyBorder="1" applyFill="1" applyFont="1">
      <alignment horizontal="center" vertical="center"/>
    </xf>
    <xf borderId="1" fillId="6" fontId="6" numFmtId="0" xfId="0" applyAlignment="1" applyBorder="1" applyFill="1" applyFont="1">
      <alignment horizontal="center" vertical="center"/>
    </xf>
    <xf borderId="1" fillId="7" fontId="4" numFmtId="0" xfId="0" applyAlignment="1" applyBorder="1" applyFill="1" applyFont="1">
      <alignment horizontal="center" vertical="center"/>
    </xf>
    <xf borderId="2" fillId="3" fontId="7" numFmtId="0" xfId="0" applyAlignment="1" applyBorder="1" applyFill="1" applyFont="1">
      <alignment horizontal="center" vertical="center"/>
    </xf>
    <xf borderId="0" fillId="0" fontId="6" numFmtId="0" xfId="0" applyAlignment="1" applyFont="1">
      <alignment shrinkToFit="0" vertical="center" wrapText="1"/>
    </xf>
    <xf borderId="1" fillId="6" fontId="4" numFmtId="0" xfId="0" applyAlignment="1" applyBorder="1" applyFill="1" applyFont="1">
      <alignment horizontal="center" vertical="center"/>
    </xf>
    <xf borderId="1" fillId="8" fontId="6" numFmtId="0" xfId="0" applyAlignment="1" applyBorder="1" applyFill="1" applyFont="1">
      <alignment horizontal="center" vertical="center"/>
    </xf>
    <xf borderId="1" fillId="8" fontId="4" numFmtId="0" xfId="0" applyAlignment="1" applyBorder="1" applyFill="1" applyFont="1">
      <alignment horizontal="center" vertical="center"/>
    </xf>
    <xf borderId="1" fillId="7" fontId="6" numFmtId="0" xfId="0" applyAlignment="1" applyBorder="1" applyFill="1" applyFont="1">
      <alignment horizontal="center" vertical="center"/>
    </xf>
    <xf borderId="2" fillId="9" fontId="8" numFmtId="0" xfId="0" applyAlignment="1" applyBorder="1" applyFill="1" applyFont="1">
      <alignment shrinkToFit="0" vertical="center" wrapText="1"/>
    </xf>
    <xf borderId="2" fillId="9" fontId="8" numFmtId="0" xfId="0" applyAlignment="1" applyBorder="1" applyFill="1" applyFont="1">
      <alignment shrinkToFit="0" wrapText="1"/>
    </xf>
    <xf borderId="2" fillId="4" fontId="9" numFmtId="0" xfId="0" applyAlignment="1" applyBorder="1" applyFill="1" applyFont="1">
      <alignment shrinkToFit="0" vertical="center" wrapText="1"/>
    </xf>
    <xf borderId="2" fillId="4" fontId="10" numFmtId="0" xfId="0" applyBorder="1" applyFill="1" applyFont="1"/>
    <xf borderId="0" fillId="0" fontId="11" numFmtId="0" xfId="0" applyFont="1"/>
    <xf borderId="1" fillId="10" fontId="1" numFmtId="0" xfId="0" applyAlignment="1" applyBorder="1" applyFill="1" applyFont="1">
      <alignment horizontal="center" readingOrder="0" shrinkToFit="0" vertical="center" wrapText="1"/>
    </xf>
    <xf borderId="1" fillId="11" fontId="6" numFmtId="0" xfId="0" applyAlignment="1" applyBorder="1" applyFill="1" applyFont="1">
      <alignment shrinkToFit="0" vertical="top" wrapText="1"/>
    </xf>
    <xf borderId="0" fillId="0" fontId="6" numFmtId="0" xfId="0" applyAlignment="1" applyFont="1">
      <alignment shrinkToFit="0" vertical="top" wrapText="1"/>
    </xf>
    <xf borderId="1" fillId="12" fontId="6" numFmtId="0" xfId="0" applyAlignment="1" applyBorder="1" applyFill="1" applyFont="1">
      <alignment shrinkToFit="0" vertical="top" wrapText="1"/>
    </xf>
    <xf borderId="0" fillId="0" fontId="6" numFmtId="0" xfId="0" applyAlignment="1" applyFont="1">
      <alignment vertical="top"/>
    </xf>
    <xf borderId="1" fillId="13" fontId="6" numFmtId="0" xfId="0" applyAlignment="1" applyBorder="1" applyFill="1" applyFont="1">
      <alignment shrinkToFit="0" vertical="top" wrapText="1"/>
    </xf>
    <xf borderId="1" fillId="14" fontId="6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C6E0B4"/>
          <bgColor rgb="FFC6E0B4"/>
        </patternFill>
      </fill>
      <border/>
    </dxf>
    <dxf>
      <font/>
      <fill>
        <patternFill patternType="solid">
          <fgColor rgb="FFFFE699"/>
          <bgColor rgb="FFFFE699"/>
        </patternFill>
      </fill>
      <border/>
    </dxf>
    <dxf>
      <font/>
      <fill>
        <patternFill patternType="solid">
          <fgColor rgb="FFF4B183"/>
          <bgColor rgb="FFF4B183"/>
        </patternFill>
      </fill>
      <border/>
    </dxf>
    <dxf>
      <font/>
      <fill>
        <patternFill patternType="solid">
          <fgColor rgb="FFF8CBAD"/>
          <bgColor rgb="FFF8CBAD"/>
        </patternFill>
      </fill>
      <border/>
    </dxf>
    <dxf>
      <font>
        <b/>
      </font>
      <fill>
        <patternFill patternType="solid">
          <fgColor rgb="FFC6E0B4"/>
          <bgColor rgb="FFC6E0B4"/>
        </patternFill>
      </fill>
      <border/>
    </dxf>
    <dxf>
      <font>
        <b/>
      </font>
      <fill>
        <patternFill patternType="solid">
          <fgColor rgb="FFFFE699"/>
          <bgColor rgb="FFFFE699"/>
        </patternFill>
      </fill>
      <border/>
    </dxf>
    <dxf>
      <font>
        <b/>
      </font>
      <fill>
        <patternFill patternType="solid">
          <fgColor rgb="FFF4B183"/>
          <bgColor rgb="FFF4B183"/>
        </patternFill>
      </fill>
      <border/>
    </dxf>
    <dxf>
      <font>
        <b/>
      </font>
      <fill>
        <patternFill patternType="solid">
          <fgColor rgb="FFF4CCCC"/>
          <bgColor rgb="FFF4CCCC"/>
        </patternFill>
      </fill>
      <border/>
    </dxf>
  </dxfs>
  <tableStyles count="1">
    <tableStyle count="4" pivot="0" name="Matriz Ambiental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32</xdr:row>
      <xdr:rowOff>0</xdr:rowOff>
    </xdr:from>
    <xdr:ext cx="7086600" cy="30099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25</xdr:row>
      <xdr:rowOff>0</xdr:rowOff>
    </xdr:from>
    <xdr:ext cx="6553200" cy="16573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76200</xdr:rowOff>
    </xdr:from>
    <xdr:ext cx="3952875" cy="94297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4:H8" displayName="TablaEfluentes" name="TablaEfluentes" id="1">
  <tableColumns count="8">
    <tableColumn name="Tipo de efluente" id="1"/>
    <tableColumn name="Efluente / residuo" id="2"/>
    <tableColumn name="Origen principal" id="3"/>
    <tableColumn name="Impacto potencial" id="4"/>
    <tableColumn name="Tratamiento / gestión propuesta" id="5"/>
    <tableColumn name="Frecuencia / retiro" id="6"/>
    <tableColumn name="Relevancia preliminar" id="7"/>
    <tableColumn name="Observaciones" id="8"/>
  </tableColumns>
  <tableStyleInfo name="Matriz Ambient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38"/>
    <col customWidth="1" min="2" max="2" width="15.0"/>
    <col customWidth="1" min="3" max="4" width="18.0"/>
    <col customWidth="1" min="5" max="5" width="20.0"/>
    <col customWidth="1" min="6" max="6" width="18.0"/>
    <col customWidth="1" min="7" max="7" width="12.0"/>
    <col customWidth="1" min="8" max="8" width="60.0"/>
    <col customWidth="1" min="9" max="9" width="8.63"/>
    <col customWidth="1" min="10" max="10" width="10.75"/>
    <col customWidth="1" min="11" max="11" width="10.88"/>
    <col customWidth="1" min="12" max="12" width="9.0"/>
    <col customWidth="1" min="13" max="13" width="6.88"/>
    <col customWidth="1" min="14" max="14" width="12.38"/>
  </cols>
  <sheetData>
    <row r="1" ht="13.5" customHeight="1">
      <c r="A1" s="2" t="s">
        <v>0</v>
      </c>
      <c r="B1" s="3"/>
      <c r="C1" s="3"/>
      <c r="D1" s="3"/>
      <c r="E1" s="3"/>
      <c r="F1" s="3"/>
      <c r="G1" s="3"/>
      <c r="H1" s="4"/>
      <c r="J1" s="5" t="s">
        <v>11</v>
      </c>
      <c r="K1" s="5" t="s">
        <v>13</v>
      </c>
      <c r="L1" s="5" t="s">
        <v>7</v>
      </c>
      <c r="M1" s="5" t="s">
        <v>15</v>
      </c>
      <c r="N1" s="5" t="s">
        <v>16</v>
      </c>
    </row>
    <row r="2" ht="13.5" customHeight="1">
      <c r="J2" s="5" t="s">
        <v>19</v>
      </c>
      <c r="K2" s="5">
        <v>1.0</v>
      </c>
      <c r="L2" s="5">
        <v>1.0</v>
      </c>
      <c r="M2" s="5" t="s">
        <v>21</v>
      </c>
      <c r="N2" s="5" t="s">
        <v>22</v>
      </c>
    </row>
    <row r="3" ht="13.5" customHeight="1">
      <c r="A3" s="7" t="s">
        <v>13</v>
      </c>
      <c r="B3" s="7" t="s">
        <v>25</v>
      </c>
      <c r="C3" s="7" t="s">
        <v>26</v>
      </c>
      <c r="E3" s="9" t="s">
        <v>7</v>
      </c>
      <c r="F3" s="9" t="s">
        <v>25</v>
      </c>
      <c r="G3" s="9" t="s">
        <v>26</v>
      </c>
      <c r="J3" s="5" t="s">
        <v>30</v>
      </c>
      <c r="K3" s="5">
        <v>2.0</v>
      </c>
      <c r="L3" s="5">
        <v>2.0</v>
      </c>
      <c r="M3" s="5" t="s">
        <v>31</v>
      </c>
      <c r="N3" s="5" t="s">
        <v>32</v>
      </c>
    </row>
    <row r="4" ht="13.5" customHeight="1">
      <c r="A4" s="5" t="s">
        <v>33</v>
      </c>
      <c r="B4" s="5">
        <v>1.0</v>
      </c>
      <c r="C4" s="5" t="s">
        <v>34</v>
      </c>
      <c r="E4" s="5" t="s">
        <v>33</v>
      </c>
      <c r="F4" s="5">
        <v>1.0</v>
      </c>
      <c r="G4" s="5" t="s">
        <v>35</v>
      </c>
      <c r="J4" s="5" t="s">
        <v>27</v>
      </c>
      <c r="K4" s="5">
        <v>3.0</v>
      </c>
      <c r="L4" s="5">
        <v>3.0</v>
      </c>
      <c r="N4" s="5" t="s">
        <v>36</v>
      </c>
    </row>
    <row r="5" ht="13.5" customHeight="1">
      <c r="A5" s="5" t="s">
        <v>37</v>
      </c>
      <c r="B5" s="5">
        <v>2.0</v>
      </c>
      <c r="C5" s="5" t="s">
        <v>38</v>
      </c>
      <c r="E5" s="5" t="s">
        <v>37</v>
      </c>
      <c r="F5" s="5">
        <v>2.0</v>
      </c>
      <c r="G5" s="5" t="s">
        <v>39</v>
      </c>
      <c r="J5" s="5" t="s">
        <v>40</v>
      </c>
      <c r="L5" s="5"/>
      <c r="N5" s="5" t="s">
        <v>41</v>
      </c>
    </row>
    <row r="6" ht="13.5" customHeight="1">
      <c r="A6" s="5" t="s">
        <v>42</v>
      </c>
      <c r="B6" s="5">
        <v>3.0</v>
      </c>
      <c r="C6" s="5" t="s">
        <v>43</v>
      </c>
      <c r="E6" s="5" t="s">
        <v>42</v>
      </c>
      <c r="F6" s="5">
        <v>3.0</v>
      </c>
      <c r="G6" s="5" t="s">
        <v>44</v>
      </c>
      <c r="J6" s="5" t="s">
        <v>45</v>
      </c>
    </row>
    <row r="7" ht="9.0" customHeight="1">
      <c r="E7" s="5"/>
      <c r="F7" s="5"/>
      <c r="G7" s="5"/>
    </row>
    <row r="8" ht="9.0" customHeight="1"/>
    <row r="9" ht="16.5" customHeight="1">
      <c r="A9" s="9" t="s">
        <v>46</v>
      </c>
      <c r="B9" s="9" t="s">
        <v>47</v>
      </c>
      <c r="C9" s="9" t="s">
        <v>48</v>
      </c>
      <c r="D9" s="9" t="s">
        <v>49</v>
      </c>
      <c r="E9" s="9"/>
      <c r="F9" s="9" t="s">
        <v>3</v>
      </c>
      <c r="G9" s="9" t="s">
        <v>50</v>
      </c>
      <c r="H9" s="9" t="s">
        <v>51</v>
      </c>
    </row>
    <row r="10" ht="16.5" customHeight="1">
      <c r="A10" s="10" t="s">
        <v>47</v>
      </c>
      <c r="B10" s="11" t="s">
        <v>52</v>
      </c>
      <c r="C10" s="11" t="s">
        <v>52</v>
      </c>
      <c r="D10" s="12" t="s">
        <v>54</v>
      </c>
      <c r="E10" s="13"/>
      <c r="F10" s="8" t="s">
        <v>19</v>
      </c>
      <c r="G10" s="8" t="s">
        <v>55</v>
      </c>
      <c r="H10" s="15" t="s">
        <v>56</v>
      </c>
    </row>
    <row r="11" ht="16.5" customHeight="1">
      <c r="A11" s="10" t="s">
        <v>48</v>
      </c>
      <c r="B11" s="11" t="s">
        <v>52</v>
      </c>
      <c r="C11" s="16" t="s">
        <v>54</v>
      </c>
      <c r="D11" s="17" t="s">
        <v>57</v>
      </c>
      <c r="E11" s="13"/>
      <c r="F11" s="8" t="s">
        <v>30</v>
      </c>
      <c r="G11" s="8" t="s">
        <v>58</v>
      </c>
      <c r="H11" s="15" t="s">
        <v>59</v>
      </c>
    </row>
    <row r="12" ht="16.5" customHeight="1">
      <c r="A12" s="10" t="s">
        <v>49</v>
      </c>
      <c r="B12" s="16" t="s">
        <v>54</v>
      </c>
      <c r="C12" s="18" t="s">
        <v>57</v>
      </c>
      <c r="D12" s="19" t="s">
        <v>60</v>
      </c>
      <c r="E12" s="13"/>
      <c r="F12" s="8" t="s">
        <v>27</v>
      </c>
      <c r="G12" s="8" t="s">
        <v>61</v>
      </c>
      <c r="H12" s="15" t="s">
        <v>62</v>
      </c>
    </row>
    <row r="13" ht="16.5" customHeight="1">
      <c r="A13" s="20" t="s">
        <v>63</v>
      </c>
      <c r="B13" s="3"/>
      <c r="C13" s="3"/>
      <c r="D13" s="3"/>
      <c r="E13" s="4"/>
      <c r="F13" s="8" t="s">
        <v>40</v>
      </c>
      <c r="G13" s="8" t="s">
        <v>64</v>
      </c>
      <c r="H13" s="15" t="s">
        <v>65</v>
      </c>
    </row>
    <row r="14" ht="13.5" customHeight="1">
      <c r="E14" s="5"/>
      <c r="F14" s="8" t="s">
        <v>45</v>
      </c>
      <c r="G14" s="8" t="s">
        <v>66</v>
      </c>
      <c r="H14" s="15" t="s">
        <v>67</v>
      </c>
    </row>
    <row r="15" ht="13.5" customHeight="1"/>
    <row r="16" ht="13.5" customHeight="1">
      <c r="A16" s="21" t="s">
        <v>69</v>
      </c>
      <c r="B16" s="3"/>
      <c r="C16" s="3"/>
      <c r="D16" s="3"/>
      <c r="E16" s="3"/>
      <c r="F16" s="3"/>
      <c r="G16" s="3"/>
      <c r="H16" s="4"/>
    </row>
    <row r="17" ht="13.5" customHeight="1"/>
    <row r="18" ht="13.5" customHeight="1">
      <c r="A18" s="23" t="s">
        <v>71</v>
      </c>
      <c r="B18" s="3"/>
      <c r="C18" s="3"/>
      <c r="D18" s="3"/>
      <c r="E18" s="3"/>
      <c r="F18" s="3"/>
      <c r="G18" s="3"/>
      <c r="H18" s="4"/>
    </row>
    <row r="19" ht="13.5" customHeight="1">
      <c r="A19" s="5" t="s">
        <v>72</v>
      </c>
      <c r="B19" s="5" t="s">
        <v>73</v>
      </c>
    </row>
    <row r="20" ht="13.5" customHeight="1">
      <c r="A20" s="5" t="s">
        <v>74</v>
      </c>
      <c r="B20" s="5" t="s">
        <v>75</v>
      </c>
    </row>
    <row r="21" ht="13.5" customHeight="1">
      <c r="A21" s="5" t="s">
        <v>76</v>
      </c>
      <c r="B21" s="5" t="s">
        <v>77</v>
      </c>
    </row>
    <row r="22" ht="13.5" customHeight="1">
      <c r="A22" s="5" t="s">
        <v>78</v>
      </c>
      <c r="B22" s="5" t="s">
        <v>79</v>
      </c>
    </row>
    <row r="23" ht="13.5" customHeight="1">
      <c r="A23" s="5" t="s">
        <v>80</v>
      </c>
      <c r="B23" s="5" t="s">
        <v>81</v>
      </c>
    </row>
    <row r="24" ht="13.5" customHeight="1">
      <c r="A24" s="24" t="s">
        <v>84</v>
      </c>
    </row>
    <row r="25" ht="13.5" customHeight="1">
      <c r="A25" s="5" t="s">
        <v>86</v>
      </c>
    </row>
    <row r="26" ht="9.0" customHeight="1">
      <c r="B26" s="5" t="s">
        <v>89</v>
      </c>
    </row>
    <row r="27" ht="9.0" customHeight="1"/>
    <row r="28" ht="9.0" customHeight="1"/>
    <row r="29" ht="9.0" customHeight="1"/>
    <row r="30" ht="9.0" customHeight="1"/>
    <row r="31" ht="9.0" customHeight="1"/>
    <row r="32" ht="9.0" customHeight="1"/>
    <row r="33" ht="9.0" customHeight="1"/>
    <row r="34" ht="9.0" customHeight="1"/>
    <row r="35" ht="9.0" customHeight="1"/>
    <row r="36" ht="9.0" customHeight="1"/>
    <row r="37" ht="9.0" customHeight="1"/>
    <row r="38" ht="9.0" customHeight="1"/>
    <row r="39" ht="9.0" customHeight="1"/>
    <row r="40" ht="9.0" customHeight="1"/>
    <row r="41" ht="9.0" customHeight="1"/>
    <row r="42" ht="9.0" customHeight="1"/>
    <row r="43" ht="9.0" customHeight="1"/>
    <row r="44" ht="9.0" customHeight="1"/>
    <row r="45" ht="9.0" customHeight="1"/>
    <row r="46" ht="9.0" customHeight="1"/>
    <row r="47" ht="9.0" customHeight="1"/>
    <row r="48" ht="9.0" customHeight="1"/>
    <row r="49" ht="9.0" customHeight="1"/>
    <row r="50" ht="9.0" customHeight="1"/>
    <row r="51" ht="9.0" customHeight="1"/>
    <row r="52" ht="9.0" customHeight="1"/>
    <row r="53" ht="9.0" customHeight="1"/>
    <row r="54" ht="9.0" customHeight="1"/>
    <row r="55" ht="9.0" customHeight="1"/>
    <row r="56" ht="9.0" customHeight="1"/>
    <row r="57" ht="9.0" customHeight="1"/>
    <row r="58" ht="9.0" customHeight="1"/>
    <row r="59" ht="9.0" customHeight="1"/>
    <row r="60" ht="9.0" customHeight="1"/>
    <row r="61" ht="9.0" customHeight="1"/>
    <row r="62" ht="9.0" customHeight="1"/>
    <row r="63" ht="9.0" customHeight="1"/>
    <row r="64" ht="9.0" customHeight="1"/>
    <row r="65" ht="9.0" customHeight="1"/>
    <row r="66" ht="9.0" customHeight="1"/>
    <row r="67" ht="9.0" customHeight="1"/>
    <row r="68" ht="9.0" customHeight="1"/>
    <row r="69" ht="9.0" customHeight="1"/>
    <row r="70" ht="9.0" customHeight="1"/>
    <row r="71" ht="9.0" customHeight="1"/>
    <row r="72" ht="9.0" customHeight="1"/>
    <row r="73" ht="9.0" customHeight="1"/>
    <row r="74" ht="9.0" customHeight="1"/>
    <row r="75" ht="9.0" customHeight="1"/>
    <row r="76" ht="9.0" customHeight="1"/>
    <row r="77" ht="9.0" customHeight="1"/>
    <row r="78" ht="9.0" customHeight="1"/>
    <row r="79" ht="9.0" customHeight="1"/>
    <row r="80" ht="9.0" customHeight="1"/>
    <row r="81" ht="9.0" customHeight="1"/>
    <row r="82" ht="9.0" customHeight="1"/>
    <row r="83" ht="9.0" customHeight="1"/>
    <row r="84" ht="9.0" customHeight="1"/>
    <row r="85" ht="9.0" customHeight="1"/>
    <row r="86" ht="9.0" customHeight="1"/>
    <row r="87" ht="9.0" customHeight="1"/>
    <row r="88" ht="9.0" customHeight="1"/>
    <row r="89" ht="9.0" customHeight="1"/>
    <row r="90" ht="9.0" customHeight="1"/>
    <row r="91" ht="9.0" customHeight="1"/>
    <row r="92" ht="9.0" customHeight="1"/>
    <row r="93" ht="9.0" customHeight="1"/>
    <row r="94" ht="9.0" customHeight="1"/>
    <row r="95" ht="9.0" customHeight="1"/>
    <row r="96" ht="9.0" customHeight="1"/>
    <row r="97" ht="9.0" customHeight="1"/>
    <row r="98" ht="9.0" customHeight="1"/>
    <row r="99" ht="9.0" customHeight="1"/>
    <row r="100" ht="9.0" customHeight="1"/>
    <row r="101" ht="9.0" customHeight="1"/>
    <row r="102" ht="9.0" customHeight="1"/>
    <row r="103" ht="9.0" customHeight="1"/>
    <row r="104" ht="9.0" customHeight="1"/>
    <row r="105" ht="9.0" customHeight="1"/>
    <row r="106" ht="9.0" customHeight="1"/>
    <row r="107" ht="9.0" customHeight="1"/>
    <row r="108" ht="9.0" customHeight="1"/>
    <row r="109" ht="9.0" customHeight="1"/>
    <row r="110" ht="9.0" customHeight="1"/>
    <row r="111" ht="9.0" customHeight="1"/>
    <row r="112" ht="9.0" customHeight="1"/>
    <row r="113" ht="9.0" customHeight="1"/>
    <row r="114" ht="9.0" customHeight="1"/>
    <row r="115" ht="9.0" customHeight="1"/>
    <row r="116" ht="9.0" customHeight="1"/>
    <row r="117" ht="9.0" customHeight="1"/>
    <row r="118" ht="9.0" customHeight="1"/>
    <row r="119" ht="9.0" customHeight="1"/>
    <row r="120" ht="9.0" customHeight="1"/>
    <row r="121" ht="9.0" customHeight="1"/>
    <row r="122" ht="9.0" customHeight="1"/>
    <row r="123" ht="9.0" customHeight="1"/>
    <row r="124" ht="9.0" customHeight="1"/>
    <row r="125" ht="9.0" customHeight="1"/>
    <row r="126" ht="9.0" customHeight="1"/>
    <row r="127" ht="9.0" customHeight="1"/>
    <row r="128" ht="9.0" customHeight="1"/>
    <row r="129" ht="9.0" customHeight="1"/>
    <row r="130" ht="9.0" customHeight="1"/>
    <row r="131" ht="9.0" customHeight="1"/>
    <row r="132" ht="9.0" customHeight="1"/>
    <row r="133" ht="9.0" customHeight="1"/>
    <row r="134" ht="9.0" customHeight="1"/>
    <row r="135" ht="9.0" customHeight="1"/>
    <row r="136" ht="9.0" customHeight="1"/>
    <row r="137" ht="9.0" customHeight="1"/>
    <row r="138" ht="9.0" customHeight="1"/>
    <row r="139" ht="9.0" customHeight="1"/>
    <row r="140" ht="9.0" customHeight="1"/>
    <row r="141" ht="9.0" customHeight="1"/>
    <row r="142" ht="9.0" customHeight="1"/>
    <row r="143" ht="9.0" customHeight="1"/>
    <row r="144" ht="9.0" customHeight="1"/>
    <row r="145" ht="9.0" customHeight="1"/>
    <row r="146" ht="9.0" customHeight="1"/>
    <row r="147" ht="9.0" customHeight="1"/>
    <row r="148" ht="9.0" customHeight="1"/>
    <row r="149" ht="9.0" customHeight="1"/>
    <row r="150" ht="9.0" customHeight="1"/>
    <row r="151" ht="9.0" customHeight="1"/>
    <row r="152" ht="9.0" customHeight="1"/>
    <row r="153" ht="9.0" customHeight="1"/>
    <row r="154" ht="9.0" customHeight="1"/>
    <row r="155" ht="9.0" customHeight="1"/>
    <row r="156" ht="9.0" customHeight="1"/>
    <row r="157" ht="9.0" customHeight="1"/>
    <row r="158" ht="9.0" customHeight="1"/>
    <row r="159" ht="9.0" customHeight="1"/>
    <row r="160" ht="9.0" customHeight="1"/>
    <row r="161" ht="9.0" customHeight="1"/>
    <row r="162" ht="9.0" customHeight="1"/>
    <row r="163" ht="9.0" customHeight="1"/>
    <row r="164" ht="9.0" customHeight="1"/>
    <row r="165" ht="9.0" customHeight="1"/>
    <row r="166" ht="9.0" customHeight="1"/>
    <row r="167" ht="9.0" customHeight="1"/>
    <row r="168" ht="9.0" customHeight="1"/>
    <row r="169" ht="9.0" customHeight="1"/>
    <row r="170" ht="9.0" customHeight="1"/>
    <row r="171" ht="9.0" customHeight="1"/>
    <row r="172" ht="9.0" customHeight="1"/>
    <row r="173" ht="9.0" customHeight="1"/>
    <row r="174" ht="9.0" customHeight="1"/>
    <row r="175" ht="9.0" customHeight="1"/>
    <row r="176" ht="9.0" customHeight="1"/>
    <row r="177" ht="9.0" customHeight="1"/>
    <row r="178" ht="9.0" customHeight="1"/>
    <row r="179" ht="9.0" customHeight="1"/>
    <row r="180" ht="9.0" customHeight="1"/>
    <row r="181" ht="9.0" customHeight="1"/>
    <row r="182" ht="9.0" customHeight="1"/>
    <row r="183" ht="9.0" customHeight="1"/>
    <row r="184" ht="9.0" customHeight="1"/>
    <row r="185" ht="9.0" customHeight="1"/>
    <row r="186" ht="9.0" customHeight="1"/>
    <row r="187" ht="9.0" customHeight="1"/>
    <row r="188" ht="9.0" customHeight="1"/>
    <row r="189" ht="9.0" customHeight="1"/>
    <row r="190" ht="9.0" customHeight="1"/>
    <row r="191" ht="9.0" customHeight="1"/>
    <row r="192" ht="9.0" customHeight="1"/>
    <row r="193" ht="9.0" customHeight="1"/>
    <row r="194" ht="9.0" customHeight="1"/>
    <row r="195" ht="9.0" customHeight="1"/>
    <row r="196" ht="9.0" customHeight="1"/>
    <row r="197" ht="9.0" customHeight="1"/>
    <row r="198" ht="9.0" customHeight="1"/>
    <row r="199" ht="9.0" customHeight="1"/>
    <row r="200" ht="9.0" customHeight="1"/>
    <row r="201" ht="9.0" customHeight="1"/>
    <row r="202" ht="9.0" customHeight="1"/>
    <row r="203" ht="9.0" customHeight="1"/>
    <row r="204" ht="9.0" customHeight="1"/>
    <row r="205" ht="9.0" customHeight="1"/>
    <row r="206" ht="9.0" customHeight="1"/>
    <row r="207" ht="9.0" customHeight="1"/>
    <row r="208" ht="9.0" customHeight="1"/>
    <row r="209" ht="9.0" customHeight="1"/>
    <row r="210" ht="9.0" customHeight="1"/>
    <row r="211" ht="9.0" customHeight="1"/>
    <row r="212" ht="9.0" customHeight="1"/>
    <row r="213" ht="9.0" customHeight="1"/>
    <row r="214" ht="9.0" customHeight="1"/>
    <row r="215" ht="9.0" customHeight="1"/>
    <row r="216" ht="9.0" customHeight="1"/>
    <row r="217" ht="9.0" customHeight="1"/>
    <row r="218" ht="9.0" customHeight="1"/>
    <row r="219" ht="9.0" customHeight="1"/>
    <row r="220" ht="9.0" customHeight="1"/>
    <row r="221" ht="9.0" customHeight="1"/>
    <row r="222" ht="9.0" customHeight="1"/>
    <row r="223" ht="9.0" customHeight="1"/>
    <row r="224" ht="9.0" customHeight="1"/>
    <row r="225" ht="9.0" customHeight="1"/>
    <row r="226" ht="9.0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4">
    <mergeCell ref="A1:H1"/>
    <mergeCell ref="A13:E13"/>
    <mergeCell ref="A16:H16"/>
    <mergeCell ref="A18:H1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36.88"/>
    <col customWidth="1" min="3" max="3" width="45.88"/>
    <col customWidth="1" min="4" max="4" width="67.25"/>
    <col customWidth="1" min="5" max="5" width="51.5"/>
    <col customWidth="1" min="6" max="6" width="51.88"/>
    <col customWidth="1" min="7" max="9" width="8.75"/>
    <col customWidth="1" min="10" max="10" width="159.63"/>
    <col customWidth="1" min="11" max="14" width="17.13"/>
    <col customWidth="1" min="15" max="15" width="20.5"/>
    <col customWidth="1" min="16" max="16" width="57.25"/>
    <col customWidth="1" min="17" max="17" width="14.0"/>
  </cols>
  <sheetData>
    <row r="1" ht="13.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12</v>
      </c>
      <c r="L1" s="1" t="s">
        <v>14</v>
      </c>
      <c r="M1" s="1" t="s">
        <v>17</v>
      </c>
      <c r="N1" s="1" t="s">
        <v>18</v>
      </c>
      <c r="O1" s="1" t="s">
        <v>20</v>
      </c>
    </row>
    <row r="2" ht="13.5" customHeight="1">
      <c r="A2" s="6" t="s">
        <v>23</v>
      </c>
      <c r="B2" s="8" t="s">
        <v>24</v>
      </c>
      <c r="C2" s="8" t="s">
        <v>27</v>
      </c>
      <c r="D2" s="8" t="s">
        <v>28</v>
      </c>
      <c r="E2" s="8" t="s">
        <v>29</v>
      </c>
      <c r="F2" s="6">
        <v>2.0</v>
      </c>
      <c r="G2" s="6">
        <v>2.0</v>
      </c>
      <c r="H2" s="6">
        <f t="shared" ref="H2:H26" si="1">IF(OR(F2="",G2=""),"",F2*G2)</f>
        <v>4</v>
      </c>
      <c r="I2" s="6" t="str">
        <f t="shared" ref="I2:I26" si="2">IF(H2="","",IF(H2&lt;=2,"Leve",IF(H2&lt;=4,"Medio",IF(H2&lt;=6,"Importante","Crítico"))))</f>
        <v>Medio</v>
      </c>
      <c r="J2" s="8" t="s">
        <v>68</v>
      </c>
      <c r="K2" s="6">
        <v>1.0</v>
      </c>
      <c r="L2" s="6">
        <v>2.0</v>
      </c>
      <c r="M2" s="6">
        <f t="shared" ref="M2:M26" si="3">IF(OR(K2="",L2=""),"",K2*L2)</f>
        <v>2</v>
      </c>
      <c r="N2" s="6" t="str">
        <f t="shared" ref="N2:N26" si="4">IF(M2="","",IF(M2&lt;=2,"Leve",IF(M2&lt;=4,"Medio",IF(M2&lt;=6,"Importante","Crítico"))))</f>
        <v>Leve</v>
      </c>
      <c r="O2" s="8"/>
    </row>
    <row r="3" ht="13.5" customHeight="1">
      <c r="A3" s="24" t="s">
        <v>82</v>
      </c>
      <c r="B3" s="24" t="s">
        <v>83</v>
      </c>
      <c r="C3" s="8" t="s">
        <v>27</v>
      </c>
      <c r="D3" s="5" t="s">
        <v>85</v>
      </c>
      <c r="E3" s="24" t="s">
        <v>87</v>
      </c>
      <c r="F3" s="24">
        <v>2.0</v>
      </c>
      <c r="G3" s="5">
        <v>3.0</v>
      </c>
      <c r="H3" s="6">
        <f t="shared" si="1"/>
        <v>6</v>
      </c>
      <c r="I3" s="6" t="str">
        <f t="shared" si="2"/>
        <v>Importante</v>
      </c>
      <c r="J3" s="24" t="s">
        <v>90</v>
      </c>
      <c r="K3" s="24">
        <v>1.0</v>
      </c>
      <c r="L3" s="5">
        <v>3.0</v>
      </c>
      <c r="M3" s="6">
        <f t="shared" si="3"/>
        <v>3</v>
      </c>
      <c r="N3" s="6" t="str">
        <f t="shared" si="4"/>
        <v>Medio</v>
      </c>
    </row>
    <row r="4" ht="13.5" customHeight="1">
      <c r="A4" s="24" t="s">
        <v>91</v>
      </c>
      <c r="B4" s="24" t="s">
        <v>83</v>
      </c>
      <c r="C4" s="8" t="s">
        <v>40</v>
      </c>
      <c r="D4" s="8" t="s">
        <v>92</v>
      </c>
      <c r="E4" s="8" t="s">
        <v>93</v>
      </c>
      <c r="F4" s="6">
        <v>2.0</v>
      </c>
      <c r="G4" s="6">
        <v>2.0</v>
      </c>
      <c r="H4" s="6">
        <f t="shared" si="1"/>
        <v>4</v>
      </c>
      <c r="I4" s="6" t="str">
        <f t="shared" si="2"/>
        <v>Medio</v>
      </c>
      <c r="J4" s="8" t="s">
        <v>95</v>
      </c>
      <c r="K4" s="6">
        <v>1.0</v>
      </c>
      <c r="L4" s="6">
        <v>2.0</v>
      </c>
      <c r="M4" s="6">
        <f t="shared" si="3"/>
        <v>2</v>
      </c>
      <c r="N4" s="6" t="str">
        <f t="shared" si="4"/>
        <v>Leve</v>
      </c>
      <c r="O4" s="8"/>
    </row>
    <row r="5" ht="13.5" customHeight="1">
      <c r="A5" s="6" t="s">
        <v>97</v>
      </c>
      <c r="B5" s="8" t="s">
        <v>99</v>
      </c>
      <c r="C5" s="8" t="s">
        <v>40</v>
      </c>
      <c r="D5" s="8" t="s">
        <v>92</v>
      </c>
      <c r="E5" s="8" t="s">
        <v>93</v>
      </c>
      <c r="F5" s="6">
        <v>2.0</v>
      </c>
      <c r="G5" s="6">
        <v>2.0</v>
      </c>
      <c r="H5" s="6">
        <f t="shared" si="1"/>
        <v>4</v>
      </c>
      <c r="I5" s="6" t="str">
        <f t="shared" si="2"/>
        <v>Medio</v>
      </c>
      <c r="J5" s="8" t="s">
        <v>95</v>
      </c>
      <c r="K5" s="6">
        <v>1.0</v>
      </c>
      <c r="L5" s="6">
        <v>2.0</v>
      </c>
      <c r="M5" s="6">
        <f t="shared" si="3"/>
        <v>2</v>
      </c>
      <c r="N5" s="6" t="str">
        <f t="shared" si="4"/>
        <v>Leve</v>
      </c>
      <c r="O5" s="8"/>
    </row>
    <row r="6" ht="13.5" customHeight="1">
      <c r="A6" s="6" t="s">
        <v>103</v>
      </c>
      <c r="B6" s="8" t="s">
        <v>104</v>
      </c>
      <c r="C6" s="8" t="s">
        <v>40</v>
      </c>
      <c r="D6" s="8" t="s">
        <v>105</v>
      </c>
      <c r="E6" s="8" t="s">
        <v>106</v>
      </c>
      <c r="F6" s="6">
        <v>2.0</v>
      </c>
      <c r="G6" s="6">
        <v>2.0</v>
      </c>
      <c r="H6" s="6">
        <f t="shared" si="1"/>
        <v>4</v>
      </c>
      <c r="I6" s="6" t="str">
        <f t="shared" si="2"/>
        <v>Medio</v>
      </c>
      <c r="J6" s="8" t="s">
        <v>107</v>
      </c>
      <c r="K6" s="6">
        <v>1.0</v>
      </c>
      <c r="L6" s="6">
        <v>2.0</v>
      </c>
      <c r="M6" s="6">
        <f t="shared" si="3"/>
        <v>2</v>
      </c>
      <c r="N6" s="6" t="str">
        <f t="shared" si="4"/>
        <v>Leve</v>
      </c>
      <c r="O6" s="8"/>
    </row>
    <row r="7" ht="13.5" customHeight="1">
      <c r="A7" s="6" t="s">
        <v>108</v>
      </c>
      <c r="B7" s="8" t="s">
        <v>109</v>
      </c>
      <c r="C7" s="8" t="s">
        <v>40</v>
      </c>
      <c r="D7" s="8" t="s">
        <v>110</v>
      </c>
      <c r="E7" s="8" t="s">
        <v>93</v>
      </c>
      <c r="F7" s="6">
        <v>2.0</v>
      </c>
      <c r="G7" s="6">
        <v>2.0</v>
      </c>
      <c r="H7" s="6">
        <f t="shared" si="1"/>
        <v>4</v>
      </c>
      <c r="I7" s="6" t="str">
        <f t="shared" si="2"/>
        <v>Medio</v>
      </c>
      <c r="J7" s="8" t="s">
        <v>111</v>
      </c>
      <c r="K7" s="6">
        <v>1.0</v>
      </c>
      <c r="L7" s="6">
        <v>2.0</v>
      </c>
      <c r="M7" s="6">
        <f t="shared" si="3"/>
        <v>2</v>
      </c>
      <c r="N7" s="6" t="str">
        <f t="shared" si="4"/>
        <v>Leve</v>
      </c>
      <c r="O7" s="8"/>
    </row>
    <row r="8" ht="13.5" customHeight="1">
      <c r="A8" s="6" t="s">
        <v>112</v>
      </c>
      <c r="B8" s="8" t="s">
        <v>113</v>
      </c>
      <c r="C8" s="8" t="s">
        <v>40</v>
      </c>
      <c r="D8" s="8" t="s">
        <v>114</v>
      </c>
      <c r="E8" s="8" t="s">
        <v>115</v>
      </c>
      <c r="F8" s="6">
        <v>2.0</v>
      </c>
      <c r="G8" s="6">
        <v>2.0</v>
      </c>
      <c r="H8" s="6">
        <f t="shared" si="1"/>
        <v>4</v>
      </c>
      <c r="I8" s="6" t="str">
        <f t="shared" si="2"/>
        <v>Medio</v>
      </c>
      <c r="J8" s="8" t="s">
        <v>118</v>
      </c>
      <c r="K8" s="6">
        <v>1.0</v>
      </c>
      <c r="L8" s="6">
        <v>2.0</v>
      </c>
      <c r="M8" s="6">
        <f t="shared" si="3"/>
        <v>2</v>
      </c>
      <c r="N8" s="6" t="str">
        <f t="shared" si="4"/>
        <v>Leve</v>
      </c>
      <c r="O8" s="8"/>
    </row>
    <row r="9" ht="13.5" customHeight="1">
      <c r="A9" s="6" t="s">
        <v>120</v>
      </c>
      <c r="B9" s="8" t="s">
        <v>121</v>
      </c>
      <c r="C9" s="8" t="s">
        <v>40</v>
      </c>
      <c r="D9" s="8" t="s">
        <v>122</v>
      </c>
      <c r="E9" s="8" t="s">
        <v>123</v>
      </c>
      <c r="F9" s="6">
        <v>2.0</v>
      </c>
      <c r="G9" s="6">
        <v>2.0</v>
      </c>
      <c r="H9" s="6">
        <f t="shared" si="1"/>
        <v>4</v>
      </c>
      <c r="I9" s="6" t="str">
        <f t="shared" si="2"/>
        <v>Medio</v>
      </c>
      <c r="J9" s="8" t="s">
        <v>126</v>
      </c>
      <c r="K9" s="6">
        <v>1.0</v>
      </c>
      <c r="L9" s="6">
        <v>2.0</v>
      </c>
      <c r="M9" s="6">
        <f t="shared" si="3"/>
        <v>2</v>
      </c>
      <c r="N9" s="6" t="str">
        <f t="shared" si="4"/>
        <v>Leve</v>
      </c>
      <c r="O9" s="8"/>
    </row>
    <row r="10" ht="13.5" customHeight="1">
      <c r="A10" s="6" t="s">
        <v>128</v>
      </c>
      <c r="B10" s="8" t="s">
        <v>129</v>
      </c>
      <c r="C10" s="8" t="s">
        <v>40</v>
      </c>
      <c r="D10" s="8" t="s">
        <v>130</v>
      </c>
      <c r="E10" s="8" t="s">
        <v>131</v>
      </c>
      <c r="F10" s="6">
        <v>2.0</v>
      </c>
      <c r="G10" s="6">
        <v>2.0</v>
      </c>
      <c r="H10" s="6">
        <f t="shared" si="1"/>
        <v>4</v>
      </c>
      <c r="I10" s="6" t="str">
        <f t="shared" si="2"/>
        <v>Medio</v>
      </c>
      <c r="J10" s="8" t="s">
        <v>132</v>
      </c>
      <c r="K10" s="6">
        <v>1.0</v>
      </c>
      <c r="L10" s="6">
        <v>2.0</v>
      </c>
      <c r="M10" s="6">
        <f t="shared" si="3"/>
        <v>2</v>
      </c>
      <c r="N10" s="6" t="str">
        <f t="shared" si="4"/>
        <v>Leve</v>
      </c>
      <c r="O10" s="8"/>
    </row>
    <row r="11" ht="13.5" customHeight="1">
      <c r="A11" s="29" t="s">
        <v>135</v>
      </c>
      <c r="B11" s="29" t="s">
        <v>137</v>
      </c>
      <c r="C11" s="29" t="s">
        <v>19</v>
      </c>
      <c r="D11" s="29" t="s">
        <v>138</v>
      </c>
      <c r="E11" s="29" t="s">
        <v>139</v>
      </c>
      <c r="F11" s="29">
        <v>2.0</v>
      </c>
      <c r="G11" s="29">
        <v>3.0</v>
      </c>
      <c r="H11" s="29">
        <f t="shared" si="1"/>
        <v>6</v>
      </c>
      <c r="I11" s="29" t="str">
        <f t="shared" si="2"/>
        <v>Importante</v>
      </c>
      <c r="J11" s="29" t="s">
        <v>141</v>
      </c>
      <c r="K11" s="29">
        <v>1.0</v>
      </c>
      <c r="L11" s="29">
        <v>2.0</v>
      </c>
      <c r="M11" s="29">
        <f t="shared" si="3"/>
        <v>2</v>
      </c>
      <c r="N11" s="29" t="str">
        <f t="shared" si="4"/>
        <v>Leve</v>
      </c>
      <c r="O11" s="29" t="s">
        <v>142</v>
      </c>
    </row>
    <row r="12" ht="13.5" customHeight="1">
      <c r="A12" s="29" t="s">
        <v>143</v>
      </c>
      <c r="B12" s="29" t="s">
        <v>144</v>
      </c>
      <c r="C12" s="29" t="s">
        <v>19</v>
      </c>
      <c r="D12" s="29" t="s">
        <v>145</v>
      </c>
      <c r="E12" s="29" t="s">
        <v>146</v>
      </c>
      <c r="F12" s="29">
        <v>2.0</v>
      </c>
      <c r="G12" s="29">
        <v>2.0</v>
      </c>
      <c r="H12" s="29">
        <f t="shared" si="1"/>
        <v>4</v>
      </c>
      <c r="I12" s="29" t="str">
        <f t="shared" si="2"/>
        <v>Medio</v>
      </c>
      <c r="J12" s="29" t="s">
        <v>148</v>
      </c>
      <c r="K12" s="29">
        <v>1.0</v>
      </c>
      <c r="L12" s="29">
        <v>2.0</v>
      </c>
      <c r="M12" s="29">
        <f t="shared" si="3"/>
        <v>2</v>
      </c>
      <c r="N12" s="29" t="str">
        <f t="shared" si="4"/>
        <v>Leve</v>
      </c>
      <c r="O12" s="29"/>
    </row>
    <row r="13" ht="13.5" customHeight="1">
      <c r="A13" s="29" t="s">
        <v>150</v>
      </c>
      <c r="B13" s="29" t="s">
        <v>151</v>
      </c>
      <c r="C13" s="29" t="s">
        <v>19</v>
      </c>
      <c r="D13" s="29" t="s">
        <v>152</v>
      </c>
      <c r="E13" s="29" t="s">
        <v>153</v>
      </c>
      <c r="F13" s="29">
        <v>2.0</v>
      </c>
      <c r="G13" s="29">
        <v>3.0</v>
      </c>
      <c r="H13" s="29">
        <f t="shared" si="1"/>
        <v>6</v>
      </c>
      <c r="I13" s="29" t="str">
        <f t="shared" si="2"/>
        <v>Importante</v>
      </c>
      <c r="J13" s="29" t="s">
        <v>154</v>
      </c>
      <c r="K13" s="29">
        <v>1.0</v>
      </c>
      <c r="L13" s="29">
        <v>3.0</v>
      </c>
      <c r="M13" s="29">
        <f t="shared" si="3"/>
        <v>3</v>
      </c>
      <c r="N13" s="29" t="str">
        <f t="shared" si="4"/>
        <v>Medio</v>
      </c>
      <c r="O13" s="29" t="s">
        <v>155</v>
      </c>
    </row>
    <row r="14" ht="13.5" customHeight="1">
      <c r="A14" s="29" t="s">
        <v>157</v>
      </c>
      <c r="B14" s="29" t="s">
        <v>158</v>
      </c>
      <c r="C14" s="29" t="s">
        <v>19</v>
      </c>
      <c r="D14" s="29" t="s">
        <v>159</v>
      </c>
      <c r="E14" s="29" t="s">
        <v>160</v>
      </c>
      <c r="F14" s="29">
        <v>2.0</v>
      </c>
      <c r="G14" s="29">
        <v>3.0</v>
      </c>
      <c r="H14" s="29">
        <f t="shared" si="1"/>
        <v>6</v>
      </c>
      <c r="I14" s="29" t="str">
        <f t="shared" si="2"/>
        <v>Importante</v>
      </c>
      <c r="J14" s="29" t="s">
        <v>163</v>
      </c>
      <c r="K14" s="29">
        <v>1.0</v>
      </c>
      <c r="L14" s="29">
        <v>3.0</v>
      </c>
      <c r="M14" s="29">
        <f t="shared" si="3"/>
        <v>3</v>
      </c>
      <c r="N14" s="29" t="str">
        <f t="shared" si="4"/>
        <v>Medio</v>
      </c>
      <c r="O14" s="29"/>
    </row>
    <row r="15" ht="13.5" customHeight="1">
      <c r="A15" s="29" t="s">
        <v>166</v>
      </c>
      <c r="B15" s="29" t="s">
        <v>167</v>
      </c>
      <c r="C15" s="29" t="s">
        <v>19</v>
      </c>
      <c r="D15" s="29" t="s">
        <v>168</v>
      </c>
      <c r="E15" s="29" t="s">
        <v>169</v>
      </c>
      <c r="F15" s="29">
        <v>2.0</v>
      </c>
      <c r="G15" s="29">
        <v>3.0</v>
      </c>
      <c r="H15" s="29">
        <f t="shared" si="1"/>
        <v>6</v>
      </c>
      <c r="I15" s="29" t="str">
        <f t="shared" si="2"/>
        <v>Importante</v>
      </c>
      <c r="J15" s="29" t="s">
        <v>171</v>
      </c>
      <c r="K15" s="29">
        <v>1.0</v>
      </c>
      <c r="L15" s="29">
        <v>3.0</v>
      </c>
      <c r="M15" s="29">
        <f t="shared" si="3"/>
        <v>3</v>
      </c>
      <c r="N15" s="29" t="str">
        <f t="shared" si="4"/>
        <v>Medio</v>
      </c>
      <c r="O15" s="29"/>
    </row>
    <row r="16" ht="13.5" customHeight="1">
      <c r="A16" s="29" t="s">
        <v>173</v>
      </c>
      <c r="B16" s="29" t="s">
        <v>174</v>
      </c>
      <c r="C16" s="29" t="s">
        <v>19</v>
      </c>
      <c r="D16" s="29" t="s">
        <v>175</v>
      </c>
      <c r="E16" s="29" t="s">
        <v>177</v>
      </c>
      <c r="F16" s="29">
        <v>2.0</v>
      </c>
      <c r="G16" s="29">
        <v>3.0</v>
      </c>
      <c r="H16" s="29">
        <f t="shared" si="1"/>
        <v>6</v>
      </c>
      <c r="I16" s="29" t="str">
        <f t="shared" si="2"/>
        <v>Importante</v>
      </c>
      <c r="J16" s="29" t="s">
        <v>180</v>
      </c>
      <c r="K16" s="29">
        <v>1.0</v>
      </c>
      <c r="L16" s="29">
        <v>3.0</v>
      </c>
      <c r="M16" s="29">
        <f t="shared" si="3"/>
        <v>3</v>
      </c>
      <c r="N16" s="29" t="str">
        <f t="shared" si="4"/>
        <v>Medio</v>
      </c>
      <c r="O16" s="29"/>
    </row>
    <row r="17" ht="13.5" customHeight="1">
      <c r="A17" s="29" t="s">
        <v>182</v>
      </c>
      <c r="B17" s="29" t="s">
        <v>184</v>
      </c>
      <c r="C17" s="29" t="s">
        <v>19</v>
      </c>
      <c r="D17" s="29" t="s">
        <v>185</v>
      </c>
      <c r="E17" s="29" t="s">
        <v>186</v>
      </c>
      <c r="F17" s="29">
        <v>2.0</v>
      </c>
      <c r="G17" s="29">
        <v>3.0</v>
      </c>
      <c r="H17" s="29">
        <f t="shared" si="1"/>
        <v>6</v>
      </c>
      <c r="I17" s="29" t="str">
        <f t="shared" si="2"/>
        <v>Importante</v>
      </c>
      <c r="J17" s="29" t="s">
        <v>188</v>
      </c>
      <c r="K17" s="29">
        <v>1.0</v>
      </c>
      <c r="L17" s="29">
        <v>3.0</v>
      </c>
      <c r="M17" s="29">
        <f t="shared" si="3"/>
        <v>3</v>
      </c>
      <c r="N17" s="29" t="str">
        <f t="shared" si="4"/>
        <v>Medio</v>
      </c>
      <c r="O17" s="29" t="s">
        <v>189</v>
      </c>
    </row>
    <row r="18" ht="13.5" customHeight="1">
      <c r="A18" s="29" t="s">
        <v>190</v>
      </c>
      <c r="B18" s="29" t="s">
        <v>191</v>
      </c>
      <c r="C18" s="29" t="s">
        <v>19</v>
      </c>
      <c r="D18" s="29" t="s">
        <v>192</v>
      </c>
      <c r="E18" s="29" t="s">
        <v>193</v>
      </c>
      <c r="F18" s="29">
        <v>2.0</v>
      </c>
      <c r="G18" s="29">
        <v>2.0</v>
      </c>
      <c r="H18" s="29">
        <f t="shared" si="1"/>
        <v>4</v>
      </c>
      <c r="I18" s="29" t="str">
        <f t="shared" si="2"/>
        <v>Medio</v>
      </c>
      <c r="J18" s="29" t="s">
        <v>194</v>
      </c>
      <c r="K18" s="29">
        <v>1.0</v>
      </c>
      <c r="L18" s="29">
        <v>2.0</v>
      </c>
      <c r="M18" s="29">
        <f t="shared" si="3"/>
        <v>2</v>
      </c>
      <c r="N18" s="29" t="str">
        <f t="shared" si="4"/>
        <v>Leve</v>
      </c>
      <c r="O18" s="29"/>
    </row>
    <row r="19" ht="13.5" customHeight="1">
      <c r="A19" s="29" t="s">
        <v>195</v>
      </c>
      <c r="B19" s="29" t="s">
        <v>196</v>
      </c>
      <c r="C19" s="29" t="s">
        <v>19</v>
      </c>
      <c r="D19" s="29" t="s">
        <v>197</v>
      </c>
      <c r="E19" s="29" t="s">
        <v>193</v>
      </c>
      <c r="F19" s="29">
        <v>2.0</v>
      </c>
      <c r="G19" s="29">
        <v>2.0</v>
      </c>
      <c r="H19" s="29">
        <f t="shared" si="1"/>
        <v>4</v>
      </c>
      <c r="I19" s="29" t="str">
        <f t="shared" si="2"/>
        <v>Medio</v>
      </c>
      <c r="J19" s="29" t="s">
        <v>194</v>
      </c>
      <c r="K19" s="29">
        <v>1.0</v>
      </c>
      <c r="L19" s="29">
        <v>2.0</v>
      </c>
      <c r="M19" s="29">
        <f t="shared" si="3"/>
        <v>2</v>
      </c>
      <c r="N19" s="29" t="str">
        <f t="shared" si="4"/>
        <v>Leve</v>
      </c>
      <c r="O19" s="29"/>
      <c r="Q19" s="5"/>
    </row>
    <row r="20" ht="13.5" customHeight="1">
      <c r="A20" s="6" t="s">
        <v>198</v>
      </c>
      <c r="B20" s="6" t="s">
        <v>184</v>
      </c>
      <c r="C20" s="6" t="s">
        <v>19</v>
      </c>
      <c r="D20" s="6" t="s">
        <v>199</v>
      </c>
      <c r="E20" s="6" t="s">
        <v>200</v>
      </c>
      <c r="F20" s="6">
        <v>3.0</v>
      </c>
      <c r="G20" s="6">
        <v>3.0</v>
      </c>
      <c r="H20" s="6">
        <f t="shared" si="1"/>
        <v>9</v>
      </c>
      <c r="I20" s="6" t="str">
        <f t="shared" si="2"/>
        <v>Crítico</v>
      </c>
      <c r="J20" s="6" t="s">
        <v>201</v>
      </c>
      <c r="K20" s="6">
        <v>1.0</v>
      </c>
      <c r="L20" s="6">
        <v>2.0</v>
      </c>
      <c r="M20" s="6">
        <f t="shared" si="3"/>
        <v>2</v>
      </c>
      <c r="N20" s="6" t="str">
        <f t="shared" si="4"/>
        <v>Leve</v>
      </c>
      <c r="O20" s="6"/>
      <c r="Q20" s="5"/>
    </row>
    <row r="21" ht="13.5" customHeight="1">
      <c r="A21" s="6" t="s">
        <v>202</v>
      </c>
      <c r="B21" s="6" t="s">
        <v>203</v>
      </c>
      <c r="C21" s="6" t="s">
        <v>19</v>
      </c>
      <c r="D21" s="6" t="s">
        <v>204</v>
      </c>
      <c r="E21" s="6" t="s">
        <v>205</v>
      </c>
      <c r="F21" s="6">
        <v>3.0</v>
      </c>
      <c r="G21" s="6">
        <v>3.0</v>
      </c>
      <c r="H21" s="6">
        <f t="shared" si="1"/>
        <v>9</v>
      </c>
      <c r="I21" s="6" t="str">
        <f t="shared" si="2"/>
        <v>Crítico</v>
      </c>
      <c r="J21" s="6" t="s">
        <v>206</v>
      </c>
      <c r="K21" s="6">
        <v>1.0</v>
      </c>
      <c r="L21" s="6">
        <v>3.0</v>
      </c>
      <c r="M21" s="6">
        <f t="shared" si="3"/>
        <v>3</v>
      </c>
      <c r="N21" s="6" t="str">
        <f t="shared" si="4"/>
        <v>Medio</v>
      </c>
      <c r="O21" s="6"/>
      <c r="Q21" s="5"/>
    </row>
    <row r="22" ht="13.5" customHeight="1">
      <c r="A22" s="6" t="s">
        <v>207</v>
      </c>
      <c r="B22" s="6" t="s">
        <v>208</v>
      </c>
      <c r="C22" s="6" t="s">
        <v>19</v>
      </c>
      <c r="D22" s="6" t="s">
        <v>209</v>
      </c>
      <c r="E22" s="6" t="s">
        <v>210</v>
      </c>
      <c r="F22" s="6">
        <v>3.0</v>
      </c>
      <c r="G22" s="6">
        <v>2.0</v>
      </c>
      <c r="H22" s="6">
        <f t="shared" si="1"/>
        <v>6</v>
      </c>
      <c r="I22" s="6" t="str">
        <f t="shared" si="2"/>
        <v>Importante</v>
      </c>
      <c r="J22" s="6" t="s">
        <v>211</v>
      </c>
      <c r="K22" s="6">
        <v>1.0</v>
      </c>
      <c r="L22" s="6">
        <v>2.0</v>
      </c>
      <c r="M22" s="6">
        <f t="shared" si="3"/>
        <v>2</v>
      </c>
      <c r="N22" s="6" t="str">
        <f t="shared" si="4"/>
        <v>Leve</v>
      </c>
      <c r="O22" s="6"/>
      <c r="Q22" s="5"/>
    </row>
    <row r="23" ht="13.5" customHeight="1">
      <c r="A23" s="6" t="s">
        <v>212</v>
      </c>
      <c r="B23" s="8" t="s">
        <v>104</v>
      </c>
      <c r="C23" s="8" t="s">
        <v>30</v>
      </c>
      <c r="D23" s="8" t="s">
        <v>213</v>
      </c>
      <c r="E23" s="8" t="s">
        <v>214</v>
      </c>
      <c r="F23" s="6">
        <v>3.0</v>
      </c>
      <c r="G23" s="6">
        <v>2.0</v>
      </c>
      <c r="H23" s="6">
        <f t="shared" si="1"/>
        <v>6</v>
      </c>
      <c r="I23" s="6" t="str">
        <f t="shared" si="2"/>
        <v>Importante</v>
      </c>
      <c r="J23" s="8" t="s">
        <v>215</v>
      </c>
      <c r="K23" s="6">
        <v>1.0</v>
      </c>
      <c r="L23" s="6">
        <v>2.0</v>
      </c>
      <c r="M23" s="6">
        <f t="shared" si="3"/>
        <v>2</v>
      </c>
      <c r="N23" s="6" t="str">
        <f t="shared" si="4"/>
        <v>Leve</v>
      </c>
      <c r="O23" s="8"/>
      <c r="Q23" s="5"/>
    </row>
    <row r="24" ht="13.5" customHeight="1">
      <c r="A24" s="6" t="s">
        <v>216</v>
      </c>
      <c r="B24" s="8" t="s">
        <v>24</v>
      </c>
      <c r="C24" s="8" t="s">
        <v>45</v>
      </c>
      <c r="D24" s="8" t="s">
        <v>217</v>
      </c>
      <c r="E24" s="8" t="s">
        <v>218</v>
      </c>
      <c r="F24" s="6">
        <v>1.0</v>
      </c>
      <c r="G24" s="6">
        <v>3.0</v>
      </c>
      <c r="H24" s="6">
        <f t="shared" si="1"/>
        <v>3</v>
      </c>
      <c r="I24" s="6" t="str">
        <f t="shared" si="2"/>
        <v>Medio</v>
      </c>
      <c r="J24" s="8" t="s">
        <v>219</v>
      </c>
      <c r="K24" s="6">
        <v>1.0</v>
      </c>
      <c r="L24" s="6">
        <v>3.0</v>
      </c>
      <c r="M24" s="6">
        <f t="shared" si="3"/>
        <v>3</v>
      </c>
      <c r="N24" s="6" t="str">
        <f t="shared" si="4"/>
        <v>Medio</v>
      </c>
      <c r="O24" s="8"/>
      <c r="Q24" s="5"/>
    </row>
    <row r="25" ht="13.5" customHeight="1">
      <c r="A25" s="6" t="s">
        <v>220</v>
      </c>
      <c r="B25" s="8" t="s">
        <v>184</v>
      </c>
      <c r="C25" s="8" t="s">
        <v>45</v>
      </c>
      <c r="D25" s="8" t="s">
        <v>217</v>
      </c>
      <c r="E25" s="8" t="s">
        <v>218</v>
      </c>
      <c r="F25" s="6">
        <v>2.0</v>
      </c>
      <c r="G25" s="6">
        <v>3.0</v>
      </c>
      <c r="H25" s="6">
        <f t="shared" si="1"/>
        <v>6</v>
      </c>
      <c r="I25" s="6" t="str">
        <f t="shared" si="2"/>
        <v>Importante</v>
      </c>
      <c r="J25" s="8" t="s">
        <v>221</v>
      </c>
      <c r="K25" s="6">
        <v>1.0</v>
      </c>
      <c r="L25" s="6">
        <v>3.0</v>
      </c>
      <c r="M25" s="6">
        <f t="shared" si="3"/>
        <v>3</v>
      </c>
      <c r="N25" s="6" t="str">
        <f t="shared" si="4"/>
        <v>Medio</v>
      </c>
      <c r="Q25" s="5"/>
    </row>
    <row r="26" ht="13.5" customHeight="1">
      <c r="A26" s="6" t="s">
        <v>220</v>
      </c>
      <c r="B26" s="8" t="s">
        <v>222</v>
      </c>
      <c r="C26" s="8" t="s">
        <v>45</v>
      </c>
      <c r="D26" s="8" t="s">
        <v>217</v>
      </c>
      <c r="E26" s="8" t="s">
        <v>218</v>
      </c>
      <c r="F26" s="6">
        <v>2.0</v>
      </c>
      <c r="G26" s="6">
        <v>3.0</v>
      </c>
      <c r="H26" s="6">
        <f t="shared" si="1"/>
        <v>6</v>
      </c>
      <c r="I26" s="6" t="str">
        <f t="shared" si="2"/>
        <v>Importante</v>
      </c>
      <c r="J26" s="8" t="s">
        <v>221</v>
      </c>
      <c r="K26" s="6">
        <v>1.0</v>
      </c>
      <c r="L26" s="6">
        <v>3.0</v>
      </c>
      <c r="M26" s="6">
        <f t="shared" si="3"/>
        <v>3</v>
      </c>
      <c r="N26" s="6" t="str">
        <f t="shared" si="4"/>
        <v>Medio</v>
      </c>
      <c r="Q26" s="5"/>
    </row>
    <row r="27" ht="9.0" customHeight="1">
      <c r="D27" s="5"/>
      <c r="G27" s="5"/>
      <c r="H27" s="5"/>
      <c r="L27" s="5"/>
      <c r="M27" s="5"/>
      <c r="Q27" s="5"/>
    </row>
    <row r="28" ht="9.0" customHeight="1">
      <c r="D28" s="5"/>
      <c r="G28" s="5"/>
      <c r="H28" s="5"/>
      <c r="L28" s="5"/>
      <c r="M28" s="5"/>
      <c r="Q28" s="5"/>
    </row>
    <row r="29" ht="9.0" customHeight="1">
      <c r="D29" s="5"/>
      <c r="G29" s="5"/>
      <c r="H29" s="5"/>
      <c r="L29" s="5"/>
      <c r="M29" s="5"/>
      <c r="Q29" s="5"/>
    </row>
    <row r="30" ht="9.0" customHeight="1">
      <c r="D30" s="5"/>
      <c r="G30" s="5"/>
      <c r="H30" s="5"/>
      <c r="L30" s="5"/>
      <c r="M30" s="5"/>
      <c r="Q30" s="5"/>
    </row>
    <row r="31" ht="9.0" customHeight="1">
      <c r="D31" s="5"/>
      <c r="G31" s="5"/>
      <c r="H31" s="5"/>
      <c r="L31" s="5"/>
      <c r="M31" s="5"/>
      <c r="Q31" s="5"/>
    </row>
    <row r="32" ht="9.0" customHeight="1">
      <c r="D32" s="5"/>
      <c r="G32" s="5"/>
      <c r="H32" s="5"/>
      <c r="L32" s="5"/>
      <c r="M32" s="5"/>
      <c r="Q32" s="5"/>
    </row>
    <row r="33" ht="9.0" customHeight="1">
      <c r="D33" s="5"/>
      <c r="G33" s="5"/>
      <c r="H33" s="5"/>
      <c r="L33" s="5"/>
      <c r="M33" s="5"/>
      <c r="Q33" s="5"/>
    </row>
    <row r="34" ht="9.0" customHeight="1">
      <c r="D34" s="5"/>
      <c r="G34" s="5"/>
      <c r="H34" s="5"/>
      <c r="L34" s="5"/>
      <c r="M34" s="5"/>
      <c r="Q34" s="5"/>
    </row>
    <row r="35" ht="9.0" customHeight="1">
      <c r="D35" s="5"/>
      <c r="G35" s="5"/>
      <c r="H35" s="5"/>
      <c r="L35" s="5"/>
      <c r="M35" s="5"/>
      <c r="Q35" s="5"/>
    </row>
    <row r="36" ht="9.0" customHeight="1">
      <c r="D36" s="5"/>
      <c r="G36" s="5"/>
      <c r="H36" s="5"/>
      <c r="L36" s="5"/>
      <c r="M36" s="5"/>
      <c r="Q36" s="5"/>
    </row>
    <row r="37" ht="9.0" customHeight="1">
      <c r="D37" s="5"/>
      <c r="G37" s="5"/>
      <c r="H37" s="5"/>
      <c r="L37" s="5"/>
      <c r="M37" s="5"/>
      <c r="Q37" s="5"/>
    </row>
    <row r="38" ht="9.0" customHeight="1">
      <c r="D38" s="5"/>
      <c r="G38" s="5"/>
      <c r="H38" s="5"/>
      <c r="L38" s="5"/>
      <c r="M38" s="5"/>
      <c r="Q38" s="5"/>
    </row>
    <row r="39" ht="9.0" customHeight="1">
      <c r="D39" s="5"/>
      <c r="G39" s="5"/>
      <c r="H39" s="5"/>
      <c r="L39" s="5"/>
      <c r="M39" s="5"/>
      <c r="Q39" s="5"/>
    </row>
    <row r="40" ht="9.0" customHeight="1">
      <c r="D40" s="5"/>
      <c r="G40" s="5"/>
      <c r="H40" s="5"/>
      <c r="L40" s="5"/>
      <c r="M40" s="5"/>
      <c r="Q40" s="5"/>
    </row>
    <row r="41" ht="9.0" customHeight="1">
      <c r="D41" s="5"/>
      <c r="G41" s="5"/>
      <c r="H41" s="5"/>
      <c r="L41" s="5"/>
      <c r="M41" s="5"/>
      <c r="Q41" s="5"/>
    </row>
    <row r="42" ht="9.0" customHeight="1">
      <c r="D42" s="5"/>
      <c r="G42" s="5"/>
      <c r="H42" s="5"/>
      <c r="L42" s="5"/>
      <c r="M42" s="5"/>
      <c r="Q42" s="5"/>
    </row>
    <row r="43" ht="9.0" customHeight="1">
      <c r="D43" s="5"/>
      <c r="G43" s="5"/>
      <c r="H43" s="5"/>
      <c r="L43" s="5"/>
      <c r="M43" s="5"/>
      <c r="Q43" s="5"/>
    </row>
    <row r="44" ht="9.0" customHeight="1">
      <c r="D44" s="5"/>
      <c r="G44" s="5"/>
      <c r="H44" s="5"/>
      <c r="L44" s="5"/>
      <c r="M44" s="5"/>
      <c r="Q44" s="5"/>
    </row>
    <row r="45" ht="9.0" customHeight="1">
      <c r="D45" s="5"/>
      <c r="G45" s="5"/>
      <c r="H45" s="5"/>
      <c r="L45" s="5"/>
      <c r="M45" s="5"/>
      <c r="Q45" s="5"/>
    </row>
    <row r="46" ht="9.0" customHeight="1">
      <c r="D46" s="5"/>
      <c r="G46" s="5"/>
      <c r="H46" s="5"/>
      <c r="L46" s="5"/>
      <c r="M46" s="5"/>
      <c r="Q46" s="5"/>
    </row>
    <row r="47" ht="9.0" customHeight="1">
      <c r="D47" s="5"/>
      <c r="G47" s="5"/>
      <c r="H47" s="5"/>
      <c r="L47" s="5"/>
      <c r="M47" s="5"/>
      <c r="Q47" s="5"/>
    </row>
    <row r="48" ht="9.0" customHeight="1">
      <c r="D48" s="5"/>
      <c r="G48" s="5"/>
      <c r="H48" s="5"/>
      <c r="L48" s="5"/>
      <c r="M48" s="5"/>
      <c r="Q48" s="5"/>
    </row>
    <row r="49" ht="9.0" customHeight="1">
      <c r="D49" s="5"/>
      <c r="G49" s="5"/>
      <c r="H49" s="5"/>
      <c r="L49" s="5"/>
      <c r="M49" s="5"/>
      <c r="Q49" s="5"/>
    </row>
    <row r="50" ht="9.0" customHeight="1">
      <c r="D50" s="5"/>
      <c r="G50" s="5"/>
      <c r="H50" s="5"/>
      <c r="L50" s="5"/>
      <c r="M50" s="5"/>
      <c r="Q50" s="5"/>
    </row>
    <row r="51" ht="9.0" customHeight="1">
      <c r="D51" s="5"/>
      <c r="G51" s="5"/>
      <c r="H51" s="5"/>
      <c r="L51" s="5"/>
      <c r="M51" s="5"/>
      <c r="Q51" s="5"/>
    </row>
    <row r="52" ht="9.0" customHeight="1">
      <c r="D52" s="5"/>
      <c r="G52" s="5"/>
      <c r="H52" s="5"/>
      <c r="L52" s="5"/>
      <c r="M52" s="5"/>
      <c r="Q52" s="5"/>
    </row>
    <row r="53" ht="9.0" customHeight="1">
      <c r="D53" s="5"/>
      <c r="G53" s="5"/>
      <c r="H53" s="5"/>
      <c r="L53" s="5"/>
      <c r="M53" s="5"/>
      <c r="Q53" s="5"/>
    </row>
    <row r="54" ht="9.0" customHeight="1">
      <c r="D54" s="5"/>
      <c r="G54" s="5"/>
      <c r="H54" s="5"/>
      <c r="L54" s="5"/>
      <c r="M54" s="5"/>
      <c r="Q54" s="5"/>
    </row>
    <row r="55" ht="9.0" customHeight="1">
      <c r="D55" s="5"/>
      <c r="G55" s="5"/>
      <c r="H55" s="5"/>
      <c r="L55" s="5"/>
      <c r="M55" s="5"/>
      <c r="Q55" s="5"/>
    </row>
    <row r="56" ht="9.0" customHeight="1">
      <c r="D56" s="5"/>
      <c r="G56" s="5"/>
      <c r="H56" s="5"/>
      <c r="L56" s="5"/>
      <c r="M56" s="5"/>
      <c r="Q56" s="5"/>
    </row>
    <row r="57" ht="9.0" customHeight="1">
      <c r="D57" s="5"/>
      <c r="G57" s="5"/>
      <c r="H57" s="5"/>
      <c r="L57" s="5"/>
      <c r="M57" s="5"/>
      <c r="Q57" s="5"/>
    </row>
    <row r="58" ht="9.0" customHeight="1">
      <c r="D58" s="5"/>
      <c r="G58" s="5"/>
      <c r="H58" s="5"/>
      <c r="L58" s="5"/>
      <c r="M58" s="5"/>
      <c r="Q58" s="5"/>
    </row>
    <row r="59" ht="9.0" customHeight="1">
      <c r="D59" s="5"/>
      <c r="G59" s="5"/>
      <c r="H59" s="5"/>
      <c r="L59" s="5"/>
      <c r="M59" s="5"/>
      <c r="Q59" s="5"/>
    </row>
    <row r="60" ht="9.0" customHeight="1">
      <c r="D60" s="5"/>
      <c r="G60" s="5"/>
      <c r="H60" s="5"/>
      <c r="L60" s="5"/>
      <c r="M60" s="5"/>
      <c r="Q60" s="5"/>
    </row>
    <row r="61" ht="9.0" customHeight="1">
      <c r="D61" s="5"/>
      <c r="G61" s="5"/>
      <c r="H61" s="5"/>
      <c r="L61" s="5"/>
      <c r="M61" s="5"/>
      <c r="Q61" s="5"/>
    </row>
    <row r="62" ht="9.0" customHeight="1">
      <c r="D62" s="5"/>
      <c r="G62" s="5"/>
      <c r="H62" s="5"/>
      <c r="L62" s="5"/>
      <c r="M62" s="5"/>
      <c r="Q62" s="5"/>
    </row>
    <row r="63" ht="9.0" customHeight="1">
      <c r="D63" s="5"/>
      <c r="G63" s="5"/>
      <c r="H63" s="5"/>
      <c r="L63" s="5"/>
      <c r="M63" s="5"/>
      <c r="Q63" s="5"/>
    </row>
    <row r="64" ht="9.0" customHeight="1">
      <c r="D64" s="5"/>
      <c r="G64" s="5"/>
      <c r="H64" s="5"/>
      <c r="L64" s="5"/>
      <c r="M64" s="5"/>
      <c r="Q64" s="5"/>
    </row>
    <row r="65" ht="9.0" customHeight="1">
      <c r="D65" s="5"/>
      <c r="G65" s="5"/>
      <c r="H65" s="5"/>
      <c r="L65" s="5"/>
      <c r="M65" s="5"/>
      <c r="Q65" s="5"/>
    </row>
    <row r="66" ht="9.0" customHeight="1">
      <c r="D66" s="5"/>
      <c r="G66" s="5"/>
      <c r="H66" s="5"/>
      <c r="L66" s="5"/>
      <c r="M66" s="5"/>
      <c r="Q66" s="5"/>
    </row>
    <row r="67" ht="9.0" customHeight="1">
      <c r="D67" s="5"/>
      <c r="G67" s="5"/>
      <c r="H67" s="5"/>
      <c r="L67" s="5"/>
      <c r="M67" s="5"/>
      <c r="Q67" s="5"/>
    </row>
    <row r="68" ht="9.0" customHeight="1">
      <c r="D68" s="5"/>
      <c r="G68" s="5"/>
      <c r="H68" s="5"/>
      <c r="L68" s="5"/>
      <c r="M68" s="5"/>
      <c r="Q68" s="5"/>
    </row>
    <row r="69" ht="9.0" customHeight="1">
      <c r="D69" s="5"/>
      <c r="G69" s="5"/>
      <c r="H69" s="5"/>
      <c r="L69" s="5"/>
      <c r="M69" s="5"/>
      <c r="Q69" s="5"/>
    </row>
    <row r="70" ht="9.0" customHeight="1">
      <c r="D70" s="5"/>
      <c r="G70" s="5"/>
      <c r="H70" s="5"/>
      <c r="L70" s="5"/>
      <c r="M70" s="5"/>
      <c r="Q70" s="5"/>
    </row>
    <row r="71" ht="9.0" customHeight="1">
      <c r="D71" s="5"/>
      <c r="G71" s="5"/>
      <c r="H71" s="5"/>
      <c r="L71" s="5"/>
      <c r="M71" s="5"/>
      <c r="Q71" s="5"/>
    </row>
    <row r="72" ht="9.0" customHeight="1">
      <c r="D72" s="5"/>
      <c r="G72" s="5"/>
      <c r="H72" s="5"/>
      <c r="L72" s="5"/>
      <c r="M72" s="5"/>
      <c r="Q72" s="5"/>
    </row>
    <row r="73" ht="9.0" customHeight="1">
      <c r="D73" s="5"/>
      <c r="G73" s="5"/>
      <c r="H73" s="5"/>
      <c r="L73" s="5"/>
      <c r="M73" s="5"/>
      <c r="Q73" s="5"/>
    </row>
    <row r="74" ht="9.0" customHeight="1">
      <c r="D74" s="5"/>
      <c r="G74" s="5"/>
      <c r="H74" s="5"/>
      <c r="L74" s="5"/>
      <c r="M74" s="5"/>
      <c r="Q74" s="5"/>
    </row>
    <row r="75" ht="9.0" customHeight="1">
      <c r="D75" s="5"/>
      <c r="G75" s="5"/>
      <c r="H75" s="5"/>
      <c r="L75" s="5"/>
      <c r="M75" s="5"/>
      <c r="Q75" s="5"/>
    </row>
    <row r="76" ht="9.0" customHeight="1">
      <c r="D76" s="5"/>
      <c r="G76" s="5"/>
      <c r="H76" s="5"/>
      <c r="L76" s="5"/>
      <c r="M76" s="5"/>
      <c r="Q76" s="5"/>
    </row>
    <row r="77" ht="9.0" customHeight="1">
      <c r="D77" s="5"/>
      <c r="G77" s="5"/>
      <c r="H77" s="5"/>
      <c r="L77" s="5"/>
      <c r="M77" s="5"/>
      <c r="Q77" s="5"/>
    </row>
    <row r="78" ht="9.0" customHeight="1">
      <c r="D78" s="5"/>
      <c r="G78" s="5"/>
      <c r="H78" s="5"/>
      <c r="L78" s="5"/>
      <c r="M78" s="5"/>
      <c r="Q78" s="5"/>
    </row>
    <row r="79" ht="9.0" customHeight="1">
      <c r="D79" s="5"/>
      <c r="G79" s="5"/>
      <c r="H79" s="5"/>
      <c r="L79" s="5"/>
      <c r="M79" s="5"/>
      <c r="Q79" s="5"/>
    </row>
    <row r="80" ht="9.0" customHeight="1">
      <c r="D80" s="5"/>
      <c r="G80" s="5"/>
      <c r="H80" s="5"/>
      <c r="L80" s="5"/>
      <c r="M80" s="5"/>
      <c r="Q80" s="5"/>
    </row>
    <row r="81" ht="9.0" customHeight="1">
      <c r="D81" s="5"/>
      <c r="G81" s="5"/>
      <c r="H81" s="5"/>
      <c r="L81" s="5"/>
      <c r="M81" s="5"/>
      <c r="Q81" s="5"/>
    </row>
    <row r="82" ht="9.0" customHeight="1">
      <c r="D82" s="5"/>
      <c r="G82" s="5"/>
      <c r="H82" s="5"/>
      <c r="L82" s="5"/>
      <c r="M82" s="5"/>
      <c r="Q82" s="5"/>
    </row>
    <row r="83" ht="9.0" customHeight="1">
      <c r="D83" s="5"/>
      <c r="G83" s="5"/>
      <c r="H83" s="5"/>
      <c r="L83" s="5"/>
      <c r="M83" s="5"/>
      <c r="Q83" s="5"/>
    </row>
    <row r="84" ht="9.0" customHeight="1">
      <c r="D84" s="5"/>
      <c r="G84" s="5"/>
      <c r="H84" s="5"/>
      <c r="L84" s="5"/>
      <c r="M84" s="5"/>
      <c r="Q84" s="5"/>
    </row>
    <row r="85" ht="9.0" customHeight="1">
      <c r="D85" s="5"/>
      <c r="G85" s="5"/>
      <c r="H85" s="5"/>
      <c r="L85" s="5"/>
      <c r="M85" s="5"/>
      <c r="Q85" s="5"/>
    </row>
    <row r="86" ht="9.0" customHeight="1">
      <c r="D86" s="5"/>
      <c r="G86" s="5"/>
      <c r="H86" s="5"/>
      <c r="L86" s="5"/>
      <c r="M86" s="5"/>
      <c r="Q86" s="5"/>
    </row>
    <row r="87" ht="9.0" customHeight="1">
      <c r="D87" s="5"/>
      <c r="G87" s="5"/>
      <c r="H87" s="5"/>
      <c r="L87" s="5"/>
      <c r="M87" s="5"/>
      <c r="Q87" s="5"/>
    </row>
    <row r="88" ht="9.0" customHeight="1">
      <c r="D88" s="5"/>
      <c r="G88" s="5"/>
      <c r="H88" s="5"/>
      <c r="L88" s="5"/>
      <c r="M88" s="5"/>
      <c r="Q88" s="5"/>
    </row>
    <row r="89" ht="9.0" customHeight="1">
      <c r="D89" s="5"/>
      <c r="G89" s="5"/>
      <c r="H89" s="5"/>
      <c r="L89" s="5"/>
      <c r="M89" s="5"/>
      <c r="Q89" s="5"/>
    </row>
    <row r="90" ht="9.0" customHeight="1">
      <c r="D90" s="5"/>
      <c r="G90" s="5"/>
      <c r="H90" s="5"/>
      <c r="L90" s="5"/>
      <c r="M90" s="5"/>
      <c r="Q90" s="5"/>
    </row>
    <row r="91" ht="9.0" customHeight="1">
      <c r="D91" s="5"/>
      <c r="G91" s="5"/>
      <c r="H91" s="5"/>
      <c r="L91" s="5"/>
      <c r="M91" s="5"/>
      <c r="Q91" s="5"/>
    </row>
    <row r="92" ht="9.0" customHeight="1">
      <c r="D92" s="5"/>
      <c r="G92" s="5"/>
      <c r="H92" s="5"/>
      <c r="L92" s="5"/>
      <c r="M92" s="5"/>
      <c r="Q92" s="5"/>
    </row>
    <row r="93" ht="9.0" customHeight="1">
      <c r="D93" s="5"/>
      <c r="G93" s="5"/>
      <c r="H93" s="5"/>
      <c r="L93" s="5"/>
      <c r="M93" s="5"/>
      <c r="Q93" s="5"/>
    </row>
    <row r="94" ht="9.0" customHeight="1">
      <c r="D94" s="5"/>
      <c r="G94" s="5"/>
      <c r="H94" s="5"/>
      <c r="L94" s="5"/>
      <c r="M94" s="5"/>
      <c r="Q94" s="5"/>
    </row>
    <row r="95" ht="9.0" customHeight="1">
      <c r="D95" s="5"/>
      <c r="G95" s="5"/>
      <c r="H95" s="5"/>
      <c r="L95" s="5"/>
      <c r="M95" s="5"/>
      <c r="Q95" s="5"/>
    </row>
    <row r="96" ht="9.0" customHeight="1">
      <c r="D96" s="5"/>
      <c r="G96" s="5"/>
      <c r="H96" s="5"/>
      <c r="L96" s="5"/>
      <c r="M96" s="5"/>
      <c r="Q96" s="5"/>
    </row>
    <row r="97" ht="9.0" customHeight="1">
      <c r="D97" s="5"/>
      <c r="G97" s="5"/>
      <c r="H97" s="5"/>
      <c r="L97" s="5"/>
      <c r="M97" s="5"/>
      <c r="Q97" s="5"/>
    </row>
    <row r="98" ht="9.0" customHeight="1">
      <c r="D98" s="5"/>
      <c r="G98" s="5"/>
      <c r="H98" s="5"/>
      <c r="L98" s="5"/>
      <c r="M98" s="5"/>
      <c r="Q98" s="5"/>
    </row>
    <row r="99" ht="9.0" customHeight="1">
      <c r="D99" s="5"/>
      <c r="G99" s="5"/>
      <c r="H99" s="5"/>
      <c r="L99" s="5"/>
      <c r="M99" s="5"/>
      <c r="Q99" s="5"/>
    </row>
    <row r="100" ht="9.0" customHeight="1">
      <c r="D100" s="5"/>
      <c r="G100" s="5"/>
      <c r="H100" s="5"/>
      <c r="L100" s="5"/>
      <c r="M100" s="5"/>
      <c r="Q100" s="5"/>
    </row>
    <row r="101" ht="9.0" customHeight="1">
      <c r="D101" s="5"/>
      <c r="G101" s="5"/>
      <c r="H101" s="5"/>
      <c r="L101" s="5"/>
      <c r="M101" s="5"/>
      <c r="Q101" s="5"/>
    </row>
    <row r="102" ht="9.0" customHeight="1">
      <c r="D102" s="5"/>
      <c r="G102" s="5"/>
      <c r="H102" s="5"/>
      <c r="L102" s="5"/>
      <c r="M102" s="5"/>
      <c r="Q102" s="5"/>
    </row>
    <row r="103" ht="9.0" customHeight="1">
      <c r="D103" s="5"/>
      <c r="G103" s="5"/>
      <c r="H103" s="5"/>
      <c r="L103" s="5"/>
      <c r="M103" s="5"/>
      <c r="Q103" s="5"/>
    </row>
    <row r="104" ht="9.0" customHeight="1">
      <c r="D104" s="5"/>
      <c r="G104" s="5"/>
      <c r="H104" s="5"/>
      <c r="L104" s="5"/>
      <c r="M104" s="5"/>
      <c r="Q104" s="5"/>
    </row>
    <row r="105" ht="9.0" customHeight="1">
      <c r="D105" s="5"/>
      <c r="G105" s="5"/>
      <c r="H105" s="5"/>
      <c r="L105" s="5"/>
      <c r="M105" s="5"/>
      <c r="Q105" s="5"/>
    </row>
    <row r="106" ht="9.0" customHeight="1">
      <c r="D106" s="5"/>
      <c r="G106" s="5"/>
      <c r="H106" s="5"/>
      <c r="L106" s="5"/>
      <c r="M106" s="5"/>
      <c r="Q106" s="5"/>
    </row>
    <row r="107" ht="9.0" customHeight="1">
      <c r="D107" s="5"/>
      <c r="G107" s="5"/>
      <c r="H107" s="5"/>
      <c r="L107" s="5"/>
      <c r="M107" s="5"/>
      <c r="Q107" s="5"/>
    </row>
    <row r="108" ht="9.0" customHeight="1">
      <c r="D108" s="5"/>
      <c r="G108" s="5"/>
      <c r="H108" s="5"/>
      <c r="L108" s="5"/>
      <c r="M108" s="5"/>
      <c r="Q108" s="5"/>
    </row>
    <row r="109" ht="9.0" customHeight="1">
      <c r="D109" s="5"/>
      <c r="G109" s="5"/>
      <c r="H109" s="5"/>
      <c r="L109" s="5"/>
      <c r="M109" s="5"/>
      <c r="Q109" s="5"/>
    </row>
    <row r="110" ht="9.0" customHeight="1">
      <c r="D110" s="5"/>
      <c r="G110" s="5"/>
      <c r="H110" s="5"/>
      <c r="L110" s="5"/>
      <c r="M110" s="5"/>
      <c r="Q110" s="5"/>
    </row>
    <row r="111" ht="9.0" customHeight="1">
      <c r="D111" s="5"/>
      <c r="G111" s="5"/>
      <c r="H111" s="5"/>
      <c r="L111" s="5"/>
      <c r="M111" s="5"/>
      <c r="Q111" s="5"/>
    </row>
    <row r="112" ht="9.0" customHeight="1">
      <c r="D112" s="5"/>
      <c r="G112" s="5"/>
      <c r="H112" s="5"/>
      <c r="L112" s="5"/>
      <c r="M112" s="5"/>
      <c r="Q112" s="5"/>
    </row>
    <row r="113" ht="9.0" customHeight="1">
      <c r="D113" s="5"/>
      <c r="G113" s="5"/>
      <c r="H113" s="5"/>
      <c r="L113" s="5"/>
      <c r="M113" s="5"/>
      <c r="Q113" s="5"/>
    </row>
    <row r="114" ht="9.0" customHeight="1">
      <c r="D114" s="5"/>
      <c r="G114" s="5"/>
      <c r="H114" s="5"/>
      <c r="L114" s="5"/>
      <c r="M114" s="5"/>
      <c r="Q114" s="5"/>
    </row>
    <row r="115" ht="9.0" customHeight="1">
      <c r="D115" s="5"/>
      <c r="G115" s="5"/>
      <c r="H115" s="5"/>
      <c r="L115" s="5"/>
      <c r="M115" s="5"/>
      <c r="Q115" s="5"/>
    </row>
    <row r="116" ht="9.0" customHeight="1">
      <c r="D116" s="5"/>
      <c r="G116" s="5"/>
      <c r="H116" s="5"/>
      <c r="L116" s="5"/>
      <c r="M116" s="5"/>
      <c r="Q116" s="5"/>
    </row>
    <row r="117" ht="9.0" customHeight="1">
      <c r="D117" s="5"/>
      <c r="G117" s="5"/>
      <c r="H117" s="5"/>
      <c r="L117" s="5"/>
      <c r="M117" s="5"/>
      <c r="Q117" s="5"/>
    </row>
    <row r="118" ht="9.0" customHeight="1">
      <c r="D118" s="5"/>
      <c r="G118" s="5"/>
      <c r="H118" s="5"/>
      <c r="L118" s="5"/>
      <c r="M118" s="5"/>
      <c r="Q118" s="5"/>
    </row>
    <row r="119" ht="9.0" customHeight="1">
      <c r="D119" s="5"/>
      <c r="G119" s="5"/>
      <c r="H119" s="5"/>
      <c r="L119" s="5"/>
      <c r="M119" s="5"/>
      <c r="Q119" s="5"/>
    </row>
    <row r="120" ht="9.0" customHeight="1">
      <c r="D120" s="5"/>
      <c r="G120" s="5"/>
      <c r="H120" s="5"/>
      <c r="L120" s="5"/>
      <c r="M120" s="5"/>
      <c r="Q120" s="5"/>
    </row>
    <row r="121" ht="9.0" customHeight="1">
      <c r="D121" s="5"/>
      <c r="G121" s="5"/>
      <c r="H121" s="5"/>
      <c r="L121" s="5"/>
      <c r="M121" s="5"/>
      <c r="Q121" s="5"/>
    </row>
    <row r="122" ht="9.0" customHeight="1">
      <c r="D122" s="5"/>
      <c r="G122" s="5"/>
      <c r="H122" s="5"/>
      <c r="L122" s="5"/>
      <c r="M122" s="5"/>
      <c r="Q122" s="5"/>
    </row>
    <row r="123" ht="9.0" customHeight="1">
      <c r="D123" s="5"/>
      <c r="G123" s="5"/>
      <c r="H123" s="5"/>
      <c r="L123" s="5"/>
      <c r="M123" s="5"/>
      <c r="Q123" s="5"/>
    </row>
    <row r="124" ht="9.0" customHeight="1">
      <c r="D124" s="5"/>
      <c r="G124" s="5"/>
      <c r="H124" s="5"/>
      <c r="L124" s="5"/>
      <c r="M124" s="5"/>
      <c r="Q124" s="5"/>
    </row>
    <row r="125" ht="9.0" customHeight="1">
      <c r="D125" s="5"/>
      <c r="G125" s="5"/>
      <c r="H125" s="5"/>
      <c r="L125" s="5"/>
      <c r="M125" s="5"/>
      <c r="Q125" s="5"/>
    </row>
    <row r="126" ht="9.0" customHeight="1">
      <c r="D126" s="5"/>
      <c r="G126" s="5"/>
      <c r="H126" s="5"/>
      <c r="L126" s="5"/>
      <c r="M126" s="5"/>
      <c r="Q126" s="5"/>
    </row>
    <row r="127" ht="9.0" customHeight="1">
      <c r="D127" s="5"/>
      <c r="G127" s="5"/>
      <c r="H127" s="5"/>
      <c r="L127" s="5"/>
      <c r="M127" s="5"/>
      <c r="Q127" s="5"/>
    </row>
    <row r="128" ht="9.0" customHeight="1">
      <c r="D128" s="5"/>
      <c r="G128" s="5"/>
      <c r="H128" s="5"/>
      <c r="L128" s="5"/>
      <c r="M128" s="5"/>
      <c r="Q128" s="5"/>
    </row>
    <row r="129" ht="9.0" customHeight="1">
      <c r="D129" s="5"/>
      <c r="G129" s="5"/>
      <c r="H129" s="5"/>
      <c r="L129" s="5"/>
      <c r="M129" s="5"/>
      <c r="Q129" s="5"/>
    </row>
    <row r="130" ht="9.0" customHeight="1">
      <c r="D130" s="5"/>
      <c r="G130" s="5"/>
      <c r="H130" s="5"/>
      <c r="L130" s="5"/>
      <c r="M130" s="5"/>
      <c r="Q130" s="5"/>
    </row>
    <row r="131" ht="9.0" customHeight="1">
      <c r="D131" s="5"/>
      <c r="G131" s="5"/>
      <c r="H131" s="5"/>
      <c r="L131" s="5"/>
      <c r="M131" s="5"/>
      <c r="Q131" s="5"/>
    </row>
    <row r="132" ht="9.0" customHeight="1">
      <c r="D132" s="5"/>
      <c r="G132" s="5"/>
      <c r="H132" s="5"/>
      <c r="L132" s="5"/>
      <c r="M132" s="5"/>
      <c r="Q132" s="5"/>
    </row>
    <row r="133" ht="9.0" customHeight="1">
      <c r="D133" s="5"/>
      <c r="G133" s="5"/>
      <c r="H133" s="5"/>
      <c r="L133" s="5"/>
      <c r="M133" s="5"/>
      <c r="Q133" s="5"/>
    </row>
    <row r="134" ht="9.0" customHeight="1">
      <c r="D134" s="5"/>
      <c r="G134" s="5"/>
      <c r="H134" s="5"/>
      <c r="L134" s="5"/>
      <c r="M134" s="5"/>
      <c r="Q134" s="5"/>
    </row>
    <row r="135" ht="9.0" customHeight="1">
      <c r="D135" s="5"/>
      <c r="G135" s="5"/>
      <c r="H135" s="5"/>
      <c r="L135" s="5"/>
      <c r="M135" s="5"/>
      <c r="Q135" s="5"/>
    </row>
    <row r="136" ht="9.0" customHeight="1">
      <c r="D136" s="5"/>
      <c r="G136" s="5"/>
      <c r="H136" s="5"/>
      <c r="L136" s="5"/>
      <c r="M136" s="5"/>
      <c r="Q136" s="5"/>
    </row>
    <row r="137" ht="9.0" customHeight="1">
      <c r="D137" s="5"/>
      <c r="G137" s="5"/>
      <c r="H137" s="5"/>
      <c r="L137" s="5"/>
      <c r="M137" s="5"/>
      <c r="Q137" s="5"/>
    </row>
    <row r="138" ht="9.0" customHeight="1">
      <c r="D138" s="5"/>
      <c r="G138" s="5"/>
      <c r="H138" s="5"/>
      <c r="L138" s="5"/>
      <c r="M138" s="5"/>
      <c r="Q138" s="5"/>
    </row>
    <row r="139" ht="9.0" customHeight="1">
      <c r="D139" s="5"/>
      <c r="G139" s="5"/>
      <c r="H139" s="5"/>
      <c r="L139" s="5"/>
      <c r="M139" s="5"/>
      <c r="Q139" s="5"/>
    </row>
    <row r="140" ht="9.0" customHeight="1">
      <c r="D140" s="5"/>
      <c r="G140" s="5"/>
      <c r="H140" s="5"/>
      <c r="L140" s="5"/>
      <c r="M140" s="5"/>
      <c r="Q140" s="5"/>
    </row>
    <row r="141" ht="9.0" customHeight="1">
      <c r="D141" s="5"/>
      <c r="G141" s="5"/>
      <c r="H141" s="5"/>
      <c r="L141" s="5"/>
      <c r="M141" s="5"/>
      <c r="Q141" s="5"/>
    </row>
    <row r="142" ht="9.0" customHeight="1">
      <c r="D142" s="5"/>
      <c r="G142" s="5"/>
      <c r="H142" s="5"/>
      <c r="L142" s="5"/>
      <c r="M142" s="5"/>
      <c r="Q142" s="5"/>
    </row>
    <row r="143" ht="9.0" customHeight="1">
      <c r="D143" s="5"/>
      <c r="G143" s="5"/>
      <c r="H143" s="5"/>
      <c r="L143" s="5"/>
      <c r="M143" s="5"/>
      <c r="Q143" s="5"/>
    </row>
    <row r="144" ht="9.0" customHeight="1">
      <c r="D144" s="5"/>
      <c r="G144" s="5"/>
      <c r="H144" s="5"/>
      <c r="L144" s="5"/>
      <c r="M144" s="5"/>
      <c r="Q144" s="5"/>
    </row>
    <row r="145" ht="9.0" customHeight="1">
      <c r="D145" s="5"/>
      <c r="G145" s="5"/>
      <c r="H145" s="5"/>
      <c r="L145" s="5"/>
      <c r="M145" s="5"/>
      <c r="Q145" s="5"/>
    </row>
    <row r="146" ht="9.0" customHeight="1">
      <c r="D146" s="5"/>
      <c r="G146" s="5"/>
      <c r="H146" s="5"/>
      <c r="L146" s="5"/>
      <c r="M146" s="5"/>
      <c r="Q146" s="5"/>
    </row>
    <row r="147" ht="9.0" customHeight="1">
      <c r="D147" s="5"/>
      <c r="G147" s="5"/>
      <c r="H147" s="5"/>
      <c r="L147" s="5"/>
      <c r="M147" s="5"/>
      <c r="Q147" s="5"/>
    </row>
    <row r="148" ht="9.0" customHeight="1">
      <c r="D148" s="5"/>
      <c r="G148" s="5"/>
      <c r="H148" s="5"/>
      <c r="L148" s="5"/>
      <c r="M148" s="5"/>
      <c r="Q148" s="5"/>
    </row>
    <row r="149" ht="9.0" customHeight="1">
      <c r="D149" s="5"/>
      <c r="G149" s="5"/>
      <c r="H149" s="5"/>
      <c r="L149" s="5"/>
      <c r="M149" s="5"/>
      <c r="Q149" s="5"/>
    </row>
    <row r="150" ht="9.0" customHeight="1">
      <c r="D150" s="5"/>
      <c r="G150" s="5"/>
      <c r="H150" s="5"/>
      <c r="L150" s="5"/>
      <c r="M150" s="5"/>
      <c r="Q150" s="5"/>
    </row>
    <row r="151" ht="9.0" customHeight="1">
      <c r="D151" s="5"/>
      <c r="G151" s="5"/>
      <c r="H151" s="5"/>
      <c r="L151" s="5"/>
      <c r="M151" s="5"/>
      <c r="Q151" s="5"/>
    </row>
    <row r="152" ht="9.0" customHeight="1">
      <c r="D152" s="5"/>
      <c r="G152" s="5"/>
      <c r="H152" s="5"/>
      <c r="L152" s="5"/>
      <c r="M152" s="5"/>
      <c r="Q152" s="5"/>
    </row>
    <row r="153" ht="9.0" customHeight="1">
      <c r="D153" s="5"/>
      <c r="G153" s="5"/>
      <c r="H153" s="5"/>
      <c r="L153" s="5"/>
      <c r="M153" s="5"/>
      <c r="Q153" s="5"/>
    </row>
    <row r="154" ht="9.0" customHeight="1">
      <c r="D154" s="5"/>
      <c r="G154" s="5"/>
      <c r="H154" s="5"/>
      <c r="L154" s="5"/>
      <c r="M154" s="5"/>
      <c r="Q154" s="5"/>
    </row>
    <row r="155" ht="9.0" customHeight="1">
      <c r="D155" s="5"/>
      <c r="G155" s="5"/>
      <c r="H155" s="5"/>
      <c r="L155" s="5"/>
      <c r="M155" s="5"/>
      <c r="Q155" s="5"/>
    </row>
    <row r="156" ht="9.0" customHeight="1">
      <c r="D156" s="5"/>
      <c r="G156" s="5"/>
      <c r="H156" s="5"/>
      <c r="L156" s="5"/>
      <c r="M156" s="5"/>
      <c r="Q156" s="5"/>
    </row>
    <row r="157" ht="9.0" customHeight="1">
      <c r="D157" s="5"/>
      <c r="G157" s="5"/>
      <c r="H157" s="5"/>
      <c r="L157" s="5"/>
      <c r="M157" s="5"/>
      <c r="Q157" s="5"/>
    </row>
    <row r="158" ht="9.0" customHeight="1">
      <c r="D158" s="5"/>
      <c r="G158" s="5"/>
      <c r="H158" s="5"/>
      <c r="L158" s="5"/>
      <c r="M158" s="5"/>
      <c r="Q158" s="5"/>
    </row>
    <row r="159" ht="9.0" customHeight="1">
      <c r="D159" s="5"/>
      <c r="G159" s="5"/>
      <c r="H159" s="5"/>
      <c r="L159" s="5"/>
      <c r="M159" s="5"/>
      <c r="Q159" s="5"/>
    </row>
    <row r="160" ht="9.0" customHeight="1">
      <c r="D160" s="5"/>
      <c r="G160" s="5"/>
      <c r="H160" s="5"/>
      <c r="L160" s="5"/>
      <c r="M160" s="5"/>
      <c r="Q160" s="5"/>
    </row>
    <row r="161" ht="9.0" customHeight="1">
      <c r="G161" s="24"/>
      <c r="H161" s="24"/>
      <c r="L161" s="24"/>
      <c r="M161" s="24"/>
    </row>
    <row r="162" ht="9.0" customHeight="1">
      <c r="G162" s="24"/>
      <c r="H162" s="24"/>
      <c r="L162" s="24"/>
      <c r="M162" s="24"/>
    </row>
    <row r="163" ht="9.0" customHeight="1">
      <c r="G163" s="24"/>
      <c r="H163" s="24"/>
      <c r="L163" s="24"/>
      <c r="M163" s="24"/>
    </row>
    <row r="164" ht="9.0" customHeight="1">
      <c r="G164" s="24"/>
      <c r="H164" s="24"/>
      <c r="L164" s="24"/>
      <c r="M164" s="24"/>
    </row>
    <row r="165" ht="9.0" customHeight="1">
      <c r="G165" s="24"/>
      <c r="H165" s="24"/>
      <c r="L165" s="24"/>
      <c r="M165" s="24"/>
    </row>
    <row r="166" ht="9.0" customHeight="1"/>
    <row r="167" ht="9.0" customHeight="1"/>
    <row r="168" ht="9.0" customHeight="1"/>
    <row r="169" ht="9.0" customHeight="1"/>
    <row r="170" ht="9.0" customHeight="1"/>
    <row r="171" ht="9.0" customHeight="1"/>
    <row r="172" ht="9.0" customHeight="1"/>
    <row r="173" ht="9.0" customHeight="1"/>
    <row r="174" ht="9.0" customHeight="1"/>
    <row r="175" ht="9.0" customHeight="1"/>
    <row r="176" ht="9.0" customHeight="1"/>
    <row r="177" ht="9.0" customHeight="1"/>
    <row r="178" ht="9.0" customHeight="1"/>
    <row r="179" ht="9.0" customHeight="1"/>
    <row r="180" ht="9.0" customHeight="1"/>
    <row r="181" ht="9.0" customHeight="1"/>
    <row r="182" ht="9.0" customHeight="1"/>
    <row r="183" ht="9.0" customHeight="1"/>
    <row r="184" ht="9.0" customHeight="1"/>
    <row r="185" ht="9.0" customHeight="1"/>
    <row r="186" ht="9.0" customHeight="1"/>
    <row r="187" ht="9.0" customHeight="1"/>
    <row r="188" ht="9.0" customHeight="1"/>
    <row r="189" ht="9.0" customHeight="1"/>
    <row r="190" ht="9.0" customHeight="1"/>
    <row r="191" ht="9.0" customHeight="1"/>
    <row r="192" ht="9.0" customHeight="1"/>
    <row r="193" ht="9.0" customHeight="1"/>
    <row r="194" ht="9.0" customHeight="1"/>
    <row r="195" ht="9.0" customHeight="1"/>
    <row r="196" ht="9.0" customHeight="1"/>
    <row r="197" ht="9.0" customHeight="1"/>
    <row r="198" ht="9.0" customHeight="1"/>
    <row r="199" ht="9.0" customHeight="1"/>
    <row r="200" ht="9.0" customHeight="1"/>
    <row r="201" ht="9.0" customHeight="1"/>
    <row r="202" ht="9.0" customHeight="1"/>
    <row r="203" ht="9.0" customHeight="1"/>
    <row r="204" ht="9.0" customHeight="1"/>
    <row r="205" ht="9.0" customHeight="1"/>
    <row r="206" ht="9.0" customHeight="1"/>
    <row r="207" ht="9.0" customHeight="1"/>
    <row r="208" ht="9.0" customHeight="1"/>
    <row r="209" ht="9.0" customHeight="1"/>
    <row r="210" ht="9.0" customHeight="1"/>
    <row r="211" ht="9.0" customHeight="1"/>
    <row r="212" ht="9.0" customHeight="1"/>
    <row r="213" ht="9.0" customHeight="1"/>
    <row r="214" ht="9.0" customHeight="1"/>
    <row r="215" ht="9.0" customHeight="1"/>
    <row r="216" ht="9.0" customHeight="1"/>
    <row r="217" ht="9.0" customHeight="1"/>
    <row r="218" ht="9.0" customHeight="1"/>
    <row r="219" ht="9.0" customHeight="1"/>
    <row r="220" ht="9.0" customHeight="1"/>
    <row r="221" ht="9.0" customHeight="1"/>
    <row r="222" ht="9.0" customHeight="1"/>
    <row r="223" ht="9.0" customHeight="1"/>
    <row r="224" ht="9.0" customHeight="1"/>
    <row r="225" ht="9.0" customHeight="1"/>
    <row r="226" ht="9.0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autoFilter ref="$A$1:$O$26"/>
  <conditionalFormatting sqref="I2:I26 N2:N26">
    <cfRule type="expression" dxfId="9" priority="1">
      <formula>I2="Leve"</formula>
    </cfRule>
  </conditionalFormatting>
  <conditionalFormatting sqref="I2:I26 N2:N26">
    <cfRule type="expression" dxfId="10" priority="2">
      <formula>I2="Medio"</formula>
    </cfRule>
  </conditionalFormatting>
  <conditionalFormatting sqref="I2:I26 N2:N26">
    <cfRule type="expression" dxfId="11" priority="3">
      <formula>I2="Importante"</formula>
    </cfRule>
  </conditionalFormatting>
  <conditionalFormatting sqref="I2:I26 N2:N26">
    <cfRule type="expression" dxfId="12" priority="4">
      <formula>I2="Crítico"</formula>
    </cfRule>
  </conditionalFormatting>
  <conditionalFormatting sqref="I2:I26">
    <cfRule type="expression" dxfId="5" priority="5">
      <formula>$I2="Bajo"</formula>
    </cfRule>
  </conditionalFormatting>
  <conditionalFormatting sqref="I2:I26">
    <cfRule type="expression" dxfId="6" priority="6">
      <formula>$I2="Medio"</formula>
    </cfRule>
  </conditionalFormatting>
  <conditionalFormatting sqref="I2:I26">
    <cfRule type="expression" dxfId="7" priority="7">
      <formula>$I2="Alto"</formula>
    </cfRule>
  </conditionalFormatting>
  <conditionalFormatting sqref="I2:I26">
    <cfRule type="expression" dxfId="8" priority="8">
      <formula>$I2="Crítico"</formula>
    </cfRule>
  </conditionalFormatting>
  <conditionalFormatting sqref="J24 J27:J1000">
    <cfRule type="expression" dxfId="5" priority="9">
      <formula>$J24="Bajo"</formula>
    </cfRule>
  </conditionalFormatting>
  <conditionalFormatting sqref="J24 J27:J1000">
    <cfRule type="expression" dxfId="6" priority="10">
      <formula>$J24="Medio"</formula>
    </cfRule>
  </conditionalFormatting>
  <conditionalFormatting sqref="J24 J27:J1000">
    <cfRule type="expression" dxfId="7" priority="11">
      <formula>$J24="Alto"</formula>
    </cfRule>
  </conditionalFormatting>
  <conditionalFormatting sqref="J24 J27:J1000">
    <cfRule type="expression" dxfId="8" priority="12">
      <formula>$J24="Crítico"</formula>
    </cfRule>
  </conditionalFormatting>
  <conditionalFormatting sqref="N2:N26">
    <cfRule type="expression" dxfId="5" priority="13">
      <formula>$N2="Bajo"</formula>
    </cfRule>
  </conditionalFormatting>
  <conditionalFormatting sqref="N2:N26">
    <cfRule type="expression" dxfId="6" priority="14">
      <formula>$N2="Medio"</formula>
    </cfRule>
  </conditionalFormatting>
  <conditionalFormatting sqref="N2:N26">
    <cfRule type="expression" dxfId="7" priority="15">
      <formula>$N2="Alto"</formula>
    </cfRule>
  </conditionalFormatting>
  <conditionalFormatting sqref="N2:N26">
    <cfRule type="expression" dxfId="8" priority="16">
      <formula>$N2="Crítico"</formula>
    </cfRule>
  </conditionalFormatting>
  <conditionalFormatting sqref="O24:O1000">
    <cfRule type="expression" dxfId="5" priority="17">
      <formula>$O24="Bajo"</formula>
    </cfRule>
  </conditionalFormatting>
  <conditionalFormatting sqref="O24:O1000">
    <cfRule type="expression" dxfId="6" priority="18">
      <formula>$O24="Medio"</formula>
    </cfRule>
  </conditionalFormatting>
  <conditionalFormatting sqref="O24:O1000">
    <cfRule type="expression" dxfId="7" priority="19">
      <formula>$O24="Alto"</formula>
    </cfRule>
  </conditionalFormatting>
  <conditionalFormatting sqref="O24:O1000">
    <cfRule type="expression" dxfId="8" priority="20">
      <formula>$O24="Crítico"</formula>
    </cfRule>
  </conditionalFormatting>
  <dataValidations>
    <dataValidation type="list" allowBlank="1" sqref="G2:G19 L2:L19 H20:H23 M20:M23 G25:G26 L25:L26 H27:H165 M27:M165">
      <formula1>Criterios!$L$2:$L$4</formula1>
    </dataValidation>
    <dataValidation type="list" allowBlank="1" sqref="F2:F19 K2:K19 F20:G23 K20:L23 G24 L24 F25:F26 K25:K26 G27:G165 L27:L165">
      <formula1>Criterios!$K$2:$K$4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63"/>
    <col customWidth="1" min="2" max="2" width="42.88"/>
    <col customWidth="1" min="3" max="3" width="59.88"/>
    <col customWidth="1" min="4" max="4" width="91.63"/>
    <col customWidth="1" min="5" max="5" width="176.13"/>
    <col customWidth="1" min="6" max="6" width="36.38"/>
    <col customWidth="1" min="7" max="7" width="19.25"/>
    <col customWidth="1" min="8" max="8" width="110.63"/>
    <col customWidth="1" min="9" max="9" width="135.0"/>
    <col customWidth="1" min="10" max="10" width="9.75"/>
    <col customWidth="1" min="11" max="11" width="15.38"/>
    <col customWidth="1" min="12" max="12" width="9.88"/>
    <col customWidth="1" min="13" max="13" width="13.13"/>
    <col customWidth="1" min="14" max="14" width="49.38"/>
    <col customWidth="1" min="15" max="15" width="9.0"/>
  </cols>
  <sheetData>
    <row r="1" ht="18.0" customHeight="1">
      <c r="A1" s="14" t="s">
        <v>53</v>
      </c>
      <c r="B1" s="3"/>
      <c r="C1" s="3"/>
      <c r="D1" s="3"/>
      <c r="E1" s="3"/>
      <c r="F1" s="3"/>
      <c r="G1" s="3"/>
      <c r="H1" s="4"/>
      <c r="J1" s="5"/>
      <c r="K1" s="5"/>
      <c r="O1" s="5"/>
    </row>
    <row r="2" ht="18.0" customHeight="1">
      <c r="A2" s="22" t="s">
        <v>70</v>
      </c>
      <c r="B2" s="3"/>
      <c r="C2" s="3"/>
      <c r="D2" s="3"/>
      <c r="E2" s="3"/>
      <c r="F2" s="3"/>
      <c r="G2" s="3"/>
      <c r="H2" s="4"/>
      <c r="J2" s="5"/>
      <c r="K2" s="5"/>
      <c r="O2" s="5"/>
    </row>
    <row r="3" ht="18.0" customHeight="1">
      <c r="E3" s="24"/>
      <c r="F3" s="24"/>
      <c r="J3" s="5"/>
      <c r="K3" s="5"/>
      <c r="O3" s="5"/>
    </row>
    <row r="4" ht="18.0" customHeight="1">
      <c r="A4" s="25" t="s">
        <v>88</v>
      </c>
      <c r="B4" s="25" t="s">
        <v>94</v>
      </c>
      <c r="C4" s="25" t="s">
        <v>96</v>
      </c>
      <c r="D4" s="25" t="s">
        <v>98</v>
      </c>
      <c r="E4" s="25" t="s">
        <v>100</v>
      </c>
      <c r="F4" s="25" t="s">
        <v>101</v>
      </c>
      <c r="G4" s="25" t="s">
        <v>102</v>
      </c>
      <c r="H4" s="25" t="s">
        <v>20</v>
      </c>
      <c r="J4" s="5"/>
      <c r="K4" s="5"/>
      <c r="O4" s="5"/>
    </row>
    <row r="5" ht="13.5" customHeight="1">
      <c r="A5" s="26" t="s">
        <v>19</v>
      </c>
      <c r="B5" s="27" t="s">
        <v>116</v>
      </c>
      <c r="C5" s="27" t="s">
        <v>117</v>
      </c>
      <c r="D5" s="27" t="s">
        <v>119</v>
      </c>
      <c r="E5" s="27" t="s">
        <v>124</v>
      </c>
      <c r="F5" s="27" t="s">
        <v>125</v>
      </c>
      <c r="G5" s="27" t="s">
        <v>33</v>
      </c>
      <c r="H5" s="27" t="s">
        <v>127</v>
      </c>
      <c r="J5" s="5"/>
      <c r="K5" s="5"/>
      <c r="O5" s="5"/>
    </row>
    <row r="6" ht="13.5" customHeight="1">
      <c r="A6" s="28" t="s">
        <v>30</v>
      </c>
      <c r="B6" s="27" t="s">
        <v>133</v>
      </c>
      <c r="C6" s="27" t="s">
        <v>134</v>
      </c>
      <c r="D6" s="27" t="s">
        <v>136</v>
      </c>
      <c r="E6" s="27" t="s">
        <v>140</v>
      </c>
      <c r="F6" s="27" t="s">
        <v>147</v>
      </c>
      <c r="G6" s="27" t="s">
        <v>37</v>
      </c>
      <c r="H6" s="27" t="s">
        <v>149</v>
      </c>
      <c r="J6" s="5"/>
      <c r="K6" s="5"/>
      <c r="O6" s="5"/>
    </row>
    <row r="7" ht="13.5" customHeight="1">
      <c r="A7" s="30" t="s">
        <v>27</v>
      </c>
      <c r="B7" s="27" t="s">
        <v>156</v>
      </c>
      <c r="C7" s="27" t="s">
        <v>161</v>
      </c>
      <c r="D7" s="27" t="s">
        <v>162</v>
      </c>
      <c r="E7" s="27" t="s">
        <v>164</v>
      </c>
      <c r="F7" s="27" t="s">
        <v>165</v>
      </c>
      <c r="G7" s="27" t="s">
        <v>37</v>
      </c>
      <c r="H7" s="27" t="s">
        <v>170</v>
      </c>
      <c r="J7" s="5"/>
      <c r="K7" s="5"/>
      <c r="O7" s="5"/>
    </row>
    <row r="8" ht="13.5" customHeight="1">
      <c r="A8" s="31" t="s">
        <v>172</v>
      </c>
      <c r="B8" s="27" t="s">
        <v>176</v>
      </c>
      <c r="C8" s="27" t="s">
        <v>178</v>
      </c>
      <c r="D8" s="27" t="s">
        <v>179</v>
      </c>
      <c r="E8" s="27" t="s">
        <v>181</v>
      </c>
      <c r="F8" s="27" t="s">
        <v>183</v>
      </c>
      <c r="G8" s="27" t="s">
        <v>37</v>
      </c>
      <c r="H8" s="27" t="s">
        <v>187</v>
      </c>
      <c r="J8" s="5"/>
      <c r="K8" s="5"/>
      <c r="O8" s="5"/>
    </row>
    <row r="9" ht="18.0" customHeight="1">
      <c r="E9" s="24"/>
      <c r="F9" s="24"/>
      <c r="J9" s="5"/>
      <c r="K9" s="5"/>
      <c r="O9" s="5"/>
    </row>
    <row r="10" ht="18.0" customHeight="1">
      <c r="E10" s="5"/>
      <c r="F10" s="5"/>
      <c r="J10" s="5"/>
      <c r="K10" s="5"/>
      <c r="O10" s="5"/>
    </row>
    <row r="11" ht="9.0" customHeight="1">
      <c r="E11" s="5"/>
      <c r="F11" s="5"/>
      <c r="J11" s="5"/>
      <c r="K11" s="5"/>
      <c r="O11" s="5"/>
    </row>
    <row r="12" ht="9.0" customHeight="1">
      <c r="E12" s="5"/>
      <c r="F12" s="5"/>
      <c r="J12" s="5"/>
      <c r="K12" s="5"/>
      <c r="O12" s="5"/>
    </row>
    <row r="13" ht="9.0" customHeight="1">
      <c r="E13" s="5"/>
      <c r="F13" s="5"/>
      <c r="J13" s="5"/>
      <c r="K13" s="5"/>
      <c r="O13" s="5"/>
    </row>
    <row r="14" ht="9.0" customHeight="1">
      <c r="E14" s="5"/>
      <c r="F14" s="5"/>
      <c r="J14" s="5"/>
      <c r="K14" s="5"/>
      <c r="O14" s="5"/>
    </row>
    <row r="15" ht="9.0" customHeight="1">
      <c r="E15" s="5"/>
      <c r="F15" s="5"/>
      <c r="J15" s="5"/>
      <c r="K15" s="5"/>
      <c r="O15" s="5"/>
    </row>
    <row r="16" ht="9.0" customHeight="1">
      <c r="E16" s="5"/>
      <c r="F16" s="5"/>
      <c r="J16" s="5"/>
      <c r="K16" s="5"/>
      <c r="O16" s="5"/>
    </row>
    <row r="17" ht="9.0" customHeight="1">
      <c r="E17" s="5"/>
      <c r="F17" s="5"/>
      <c r="J17" s="5"/>
      <c r="K17" s="5"/>
      <c r="O17" s="5"/>
    </row>
    <row r="18" ht="9.0" customHeight="1">
      <c r="E18" s="5"/>
      <c r="F18" s="5"/>
      <c r="J18" s="5"/>
      <c r="K18" s="5"/>
      <c r="O18" s="5"/>
    </row>
    <row r="19" ht="9.0" customHeight="1">
      <c r="E19" s="5"/>
      <c r="F19" s="5"/>
      <c r="J19" s="5"/>
      <c r="K19" s="5"/>
      <c r="O19" s="5"/>
    </row>
    <row r="20" ht="9.0" customHeight="1">
      <c r="E20" s="5"/>
      <c r="F20" s="5"/>
      <c r="J20" s="5"/>
      <c r="K20" s="5"/>
      <c r="O20" s="5"/>
    </row>
    <row r="21" ht="9.0" customHeight="1">
      <c r="E21" s="5"/>
      <c r="F21" s="5"/>
      <c r="J21" s="5"/>
      <c r="K21" s="5"/>
      <c r="O21" s="5"/>
    </row>
    <row r="22" ht="9.0" customHeight="1">
      <c r="E22" s="5"/>
      <c r="F22" s="5"/>
      <c r="J22" s="5"/>
      <c r="K22" s="5"/>
      <c r="O22" s="5"/>
    </row>
    <row r="23" ht="9.0" customHeight="1">
      <c r="E23" s="5"/>
      <c r="F23" s="5"/>
      <c r="J23" s="5"/>
      <c r="K23" s="5"/>
      <c r="O23" s="5"/>
    </row>
    <row r="24" ht="9.0" customHeight="1">
      <c r="E24" s="5"/>
      <c r="F24" s="5"/>
      <c r="J24" s="5"/>
      <c r="K24" s="5"/>
      <c r="O24" s="5"/>
    </row>
    <row r="25" ht="9.0" customHeight="1">
      <c r="E25" s="5"/>
      <c r="F25" s="5"/>
      <c r="J25" s="5"/>
      <c r="K25" s="5"/>
      <c r="O25" s="5"/>
    </row>
    <row r="26" ht="9.0" customHeight="1">
      <c r="E26" s="5"/>
      <c r="F26" s="5"/>
      <c r="J26" s="5"/>
      <c r="K26" s="5"/>
      <c r="O26" s="5"/>
    </row>
    <row r="27" ht="9.0" customHeight="1">
      <c r="E27" s="5"/>
      <c r="F27" s="5"/>
      <c r="J27" s="5"/>
      <c r="K27" s="5"/>
      <c r="O27" s="5"/>
    </row>
    <row r="28" ht="9.0" customHeight="1">
      <c r="E28" s="5"/>
      <c r="F28" s="5"/>
      <c r="J28" s="5"/>
      <c r="K28" s="5"/>
      <c r="O28" s="5"/>
    </row>
    <row r="29" ht="9.0" customHeight="1">
      <c r="E29" s="5"/>
      <c r="F29" s="5"/>
      <c r="J29" s="5"/>
      <c r="K29" s="5"/>
      <c r="O29" s="5"/>
    </row>
    <row r="30" ht="9.0" customHeight="1">
      <c r="E30" s="5"/>
      <c r="F30" s="5"/>
      <c r="J30" s="5"/>
      <c r="K30" s="5"/>
      <c r="O30" s="5"/>
    </row>
    <row r="31" ht="9.0" customHeight="1">
      <c r="E31" s="5"/>
      <c r="F31" s="5"/>
      <c r="J31" s="5"/>
      <c r="K31" s="5"/>
      <c r="O31" s="5"/>
    </row>
    <row r="32" ht="9.0" customHeight="1">
      <c r="E32" s="5"/>
      <c r="F32" s="5"/>
      <c r="J32" s="5"/>
      <c r="K32" s="5"/>
      <c r="O32" s="5"/>
    </row>
    <row r="33" ht="9.0" customHeight="1">
      <c r="E33" s="5"/>
      <c r="F33" s="5"/>
      <c r="J33" s="5"/>
      <c r="K33" s="5"/>
      <c r="O33" s="5"/>
    </row>
    <row r="34" ht="9.0" customHeight="1">
      <c r="E34" s="5"/>
      <c r="F34" s="5"/>
      <c r="J34" s="5"/>
      <c r="K34" s="5"/>
      <c r="O34" s="5"/>
    </row>
    <row r="35" ht="9.0" customHeight="1">
      <c r="E35" s="5"/>
      <c r="F35" s="5"/>
      <c r="J35" s="5"/>
      <c r="K35" s="5"/>
      <c r="O35" s="5"/>
    </row>
    <row r="36" ht="9.0" customHeight="1">
      <c r="E36" s="5"/>
      <c r="F36" s="5"/>
      <c r="J36" s="5"/>
      <c r="K36" s="5"/>
      <c r="O36" s="5"/>
    </row>
    <row r="37" ht="9.0" customHeight="1">
      <c r="E37" s="5"/>
      <c r="F37" s="5"/>
      <c r="J37" s="5"/>
      <c r="K37" s="5"/>
      <c r="O37" s="5"/>
    </row>
    <row r="38" ht="9.0" customHeight="1">
      <c r="E38" s="5"/>
      <c r="F38" s="5"/>
      <c r="J38" s="5"/>
      <c r="K38" s="5"/>
      <c r="O38" s="5"/>
    </row>
    <row r="39" ht="9.0" customHeight="1">
      <c r="E39" s="5"/>
      <c r="F39" s="5"/>
      <c r="J39" s="5"/>
      <c r="K39" s="5"/>
      <c r="O39" s="5"/>
    </row>
    <row r="40" ht="9.0" customHeight="1">
      <c r="E40" s="5"/>
      <c r="F40" s="5"/>
      <c r="J40" s="5"/>
      <c r="K40" s="5"/>
      <c r="O40" s="5"/>
    </row>
    <row r="41" ht="9.0" customHeight="1">
      <c r="E41" s="5"/>
      <c r="F41" s="5"/>
      <c r="J41" s="5"/>
      <c r="K41" s="5"/>
      <c r="O41" s="5"/>
    </row>
    <row r="42" ht="9.0" customHeight="1">
      <c r="E42" s="5"/>
      <c r="F42" s="5"/>
      <c r="J42" s="5"/>
      <c r="K42" s="5"/>
      <c r="O42" s="5"/>
    </row>
    <row r="43" ht="9.0" customHeight="1">
      <c r="E43" s="5"/>
      <c r="F43" s="5"/>
      <c r="J43" s="5"/>
      <c r="K43" s="5"/>
      <c r="O43" s="5"/>
    </row>
    <row r="44" ht="9.0" customHeight="1">
      <c r="E44" s="5"/>
      <c r="F44" s="5"/>
      <c r="J44" s="5"/>
      <c r="K44" s="5"/>
      <c r="O44" s="5"/>
    </row>
    <row r="45" ht="9.0" customHeight="1">
      <c r="E45" s="5"/>
      <c r="F45" s="5"/>
      <c r="J45" s="5"/>
      <c r="K45" s="5"/>
      <c r="O45" s="5"/>
    </row>
    <row r="46" ht="9.0" customHeight="1">
      <c r="E46" s="5"/>
      <c r="F46" s="5"/>
      <c r="J46" s="5"/>
      <c r="K46" s="5"/>
      <c r="O46" s="5"/>
    </row>
    <row r="47" ht="9.0" customHeight="1">
      <c r="E47" s="5"/>
      <c r="F47" s="5"/>
      <c r="J47" s="5"/>
      <c r="K47" s="5"/>
      <c r="O47" s="5"/>
    </row>
    <row r="48" ht="9.0" customHeight="1">
      <c r="E48" s="5"/>
      <c r="F48" s="5"/>
      <c r="J48" s="5"/>
      <c r="K48" s="5"/>
      <c r="O48" s="5"/>
    </row>
    <row r="49" ht="9.0" customHeight="1">
      <c r="E49" s="5"/>
      <c r="F49" s="5"/>
      <c r="J49" s="5"/>
      <c r="K49" s="5"/>
      <c r="O49" s="5"/>
    </row>
    <row r="50" ht="9.0" customHeight="1">
      <c r="E50" s="5"/>
      <c r="F50" s="5"/>
      <c r="J50" s="5"/>
      <c r="K50" s="5"/>
      <c r="O50" s="5"/>
    </row>
    <row r="51" ht="9.0" customHeight="1">
      <c r="E51" s="5"/>
      <c r="F51" s="5"/>
      <c r="J51" s="5"/>
      <c r="K51" s="5"/>
      <c r="O51" s="5"/>
    </row>
    <row r="52" ht="9.0" customHeight="1">
      <c r="E52" s="5"/>
      <c r="F52" s="5"/>
      <c r="J52" s="5"/>
      <c r="K52" s="5"/>
      <c r="O52" s="5"/>
    </row>
    <row r="53" ht="9.0" customHeight="1">
      <c r="E53" s="5"/>
      <c r="F53" s="5"/>
      <c r="J53" s="5"/>
      <c r="K53" s="5"/>
      <c r="O53" s="5"/>
    </row>
    <row r="54" ht="9.0" customHeight="1">
      <c r="E54" s="5"/>
      <c r="F54" s="5"/>
      <c r="J54" s="5"/>
      <c r="K54" s="5"/>
      <c r="O54" s="5"/>
    </row>
    <row r="55" ht="9.0" customHeight="1">
      <c r="E55" s="5"/>
      <c r="F55" s="5"/>
      <c r="J55" s="5"/>
      <c r="K55" s="5"/>
      <c r="O55" s="5"/>
    </row>
    <row r="56" ht="9.0" customHeight="1">
      <c r="E56" s="5"/>
      <c r="F56" s="5"/>
      <c r="J56" s="5"/>
      <c r="K56" s="5"/>
      <c r="O56" s="5"/>
    </row>
    <row r="57" ht="9.0" customHeight="1">
      <c r="E57" s="5"/>
      <c r="F57" s="5"/>
      <c r="J57" s="5"/>
      <c r="K57" s="5"/>
      <c r="O57" s="5"/>
    </row>
    <row r="58" ht="9.0" customHeight="1">
      <c r="E58" s="5"/>
      <c r="F58" s="5"/>
      <c r="J58" s="5"/>
      <c r="K58" s="5"/>
      <c r="O58" s="5"/>
    </row>
    <row r="59" ht="9.0" customHeight="1">
      <c r="E59" s="5"/>
      <c r="F59" s="5"/>
      <c r="J59" s="5"/>
      <c r="K59" s="5"/>
      <c r="O59" s="5"/>
    </row>
    <row r="60" ht="9.0" customHeight="1">
      <c r="E60" s="5"/>
      <c r="F60" s="5"/>
      <c r="J60" s="5"/>
      <c r="K60" s="5"/>
      <c r="O60" s="5"/>
    </row>
    <row r="61" ht="9.0" customHeight="1">
      <c r="E61" s="5"/>
      <c r="F61" s="5"/>
      <c r="J61" s="5"/>
      <c r="K61" s="5"/>
      <c r="O61" s="5"/>
    </row>
    <row r="62" ht="9.0" customHeight="1">
      <c r="E62" s="5"/>
      <c r="F62" s="5"/>
      <c r="J62" s="5"/>
      <c r="K62" s="5"/>
      <c r="O62" s="5"/>
    </row>
    <row r="63" ht="9.0" customHeight="1">
      <c r="E63" s="5"/>
      <c r="F63" s="5"/>
      <c r="J63" s="5"/>
      <c r="K63" s="5"/>
      <c r="O63" s="5"/>
    </row>
    <row r="64" ht="9.0" customHeight="1">
      <c r="E64" s="5"/>
      <c r="F64" s="5"/>
      <c r="J64" s="5"/>
      <c r="K64" s="5"/>
      <c r="O64" s="5"/>
    </row>
    <row r="65" ht="9.0" customHeight="1">
      <c r="E65" s="5"/>
      <c r="F65" s="5"/>
      <c r="J65" s="5"/>
      <c r="K65" s="5"/>
      <c r="O65" s="5"/>
    </row>
    <row r="66" ht="9.0" customHeight="1">
      <c r="E66" s="5"/>
      <c r="F66" s="5"/>
      <c r="J66" s="5"/>
      <c r="K66" s="5"/>
      <c r="O66" s="5"/>
    </row>
    <row r="67" ht="9.0" customHeight="1">
      <c r="E67" s="5"/>
      <c r="F67" s="5"/>
      <c r="J67" s="5"/>
      <c r="K67" s="5"/>
      <c r="O67" s="5"/>
    </row>
    <row r="68" ht="9.0" customHeight="1">
      <c r="E68" s="5"/>
      <c r="F68" s="5"/>
      <c r="J68" s="5"/>
      <c r="K68" s="5"/>
      <c r="O68" s="5"/>
    </row>
    <row r="69" ht="9.0" customHeight="1">
      <c r="E69" s="5"/>
      <c r="F69" s="5"/>
      <c r="J69" s="5"/>
      <c r="K69" s="5"/>
      <c r="O69" s="5"/>
    </row>
    <row r="70" ht="9.0" customHeight="1">
      <c r="E70" s="5"/>
      <c r="F70" s="5"/>
      <c r="J70" s="5"/>
      <c r="K70" s="5"/>
      <c r="O70" s="5"/>
    </row>
    <row r="71" ht="9.0" customHeight="1">
      <c r="E71" s="5"/>
      <c r="F71" s="5"/>
      <c r="J71" s="5"/>
      <c r="K71" s="5"/>
      <c r="O71" s="5"/>
    </row>
    <row r="72" ht="9.0" customHeight="1">
      <c r="E72" s="5"/>
      <c r="F72" s="5"/>
      <c r="J72" s="5"/>
      <c r="K72" s="5"/>
      <c r="O72" s="5"/>
    </row>
    <row r="73" ht="9.0" customHeight="1">
      <c r="E73" s="5"/>
      <c r="F73" s="5"/>
      <c r="J73" s="5"/>
      <c r="K73" s="5"/>
      <c r="O73" s="5"/>
    </row>
    <row r="74" ht="9.0" customHeight="1">
      <c r="E74" s="5"/>
      <c r="F74" s="5"/>
      <c r="J74" s="5"/>
      <c r="K74" s="5"/>
      <c r="O74" s="5"/>
    </row>
    <row r="75" ht="9.0" customHeight="1">
      <c r="E75" s="5"/>
      <c r="F75" s="5"/>
      <c r="J75" s="5"/>
      <c r="K75" s="5"/>
      <c r="O75" s="5"/>
    </row>
    <row r="76" ht="9.0" customHeight="1">
      <c r="E76" s="5"/>
      <c r="F76" s="5"/>
      <c r="J76" s="5"/>
      <c r="K76" s="5"/>
      <c r="O76" s="5"/>
    </row>
    <row r="77" ht="9.0" customHeight="1">
      <c r="E77" s="5"/>
      <c r="F77" s="5"/>
      <c r="J77" s="5"/>
      <c r="K77" s="5"/>
      <c r="O77" s="5"/>
    </row>
    <row r="78" ht="9.0" customHeight="1">
      <c r="E78" s="5"/>
      <c r="F78" s="5"/>
      <c r="J78" s="5"/>
      <c r="K78" s="5"/>
      <c r="O78" s="5"/>
    </row>
    <row r="79" ht="9.0" customHeight="1">
      <c r="E79" s="5"/>
      <c r="F79" s="5"/>
      <c r="J79" s="5"/>
      <c r="K79" s="5"/>
      <c r="O79" s="5"/>
    </row>
    <row r="80" ht="9.0" customHeight="1">
      <c r="E80" s="5"/>
      <c r="F80" s="5"/>
      <c r="J80" s="5"/>
      <c r="K80" s="5"/>
      <c r="O80" s="5"/>
    </row>
    <row r="81" ht="9.0" customHeight="1">
      <c r="E81" s="5"/>
      <c r="F81" s="5"/>
      <c r="J81" s="5"/>
      <c r="K81" s="5"/>
      <c r="O81" s="5"/>
    </row>
    <row r="82" ht="9.0" customHeight="1">
      <c r="E82" s="5"/>
      <c r="F82" s="5"/>
      <c r="J82" s="5"/>
      <c r="K82" s="5"/>
      <c r="O82" s="5"/>
    </row>
    <row r="83" ht="9.0" customHeight="1">
      <c r="E83" s="5"/>
      <c r="F83" s="5"/>
      <c r="J83" s="5"/>
      <c r="K83" s="5"/>
      <c r="O83" s="5"/>
    </row>
    <row r="84" ht="9.0" customHeight="1">
      <c r="E84" s="5"/>
      <c r="F84" s="5"/>
      <c r="J84" s="5"/>
      <c r="K84" s="5"/>
      <c r="O84" s="5"/>
    </row>
    <row r="85" ht="9.0" customHeight="1">
      <c r="E85" s="5"/>
      <c r="F85" s="5"/>
      <c r="J85" s="5"/>
      <c r="K85" s="5"/>
      <c r="O85" s="5"/>
    </row>
    <row r="86" ht="9.0" customHeight="1">
      <c r="E86" s="5"/>
      <c r="F86" s="5"/>
      <c r="J86" s="5"/>
      <c r="K86" s="5"/>
      <c r="O86" s="5"/>
    </row>
    <row r="87" ht="9.0" customHeight="1">
      <c r="E87" s="5"/>
      <c r="F87" s="5"/>
      <c r="J87" s="5"/>
      <c r="K87" s="5"/>
      <c r="O87" s="5"/>
    </row>
    <row r="88" ht="9.0" customHeight="1">
      <c r="E88" s="5"/>
      <c r="F88" s="5"/>
      <c r="J88" s="5"/>
      <c r="K88" s="5"/>
      <c r="O88" s="5"/>
    </row>
    <row r="89" ht="9.0" customHeight="1">
      <c r="E89" s="5"/>
      <c r="F89" s="5"/>
      <c r="J89" s="5"/>
      <c r="K89" s="5"/>
      <c r="O89" s="5"/>
    </row>
    <row r="90" ht="9.0" customHeight="1">
      <c r="E90" s="5"/>
      <c r="F90" s="5"/>
      <c r="J90" s="5"/>
      <c r="K90" s="5"/>
      <c r="O90" s="5"/>
    </row>
    <row r="91" ht="9.0" customHeight="1">
      <c r="E91" s="5"/>
      <c r="F91" s="5"/>
      <c r="J91" s="5"/>
      <c r="K91" s="5"/>
      <c r="O91" s="5"/>
    </row>
    <row r="92" ht="9.0" customHeight="1">
      <c r="E92" s="5"/>
      <c r="F92" s="5"/>
      <c r="J92" s="5"/>
      <c r="K92" s="5"/>
      <c r="O92" s="5"/>
    </row>
    <row r="93" ht="9.0" customHeight="1">
      <c r="E93" s="5"/>
      <c r="F93" s="5"/>
      <c r="J93" s="5"/>
      <c r="K93" s="5"/>
      <c r="O93" s="5"/>
    </row>
    <row r="94" ht="9.0" customHeight="1">
      <c r="E94" s="5"/>
      <c r="F94" s="5"/>
      <c r="J94" s="5"/>
      <c r="K94" s="5"/>
      <c r="O94" s="5"/>
    </row>
    <row r="95" ht="9.0" customHeight="1">
      <c r="E95" s="5"/>
      <c r="F95" s="5"/>
      <c r="J95" s="5"/>
      <c r="K95" s="5"/>
      <c r="O95" s="5"/>
    </row>
    <row r="96" ht="9.0" customHeight="1">
      <c r="E96" s="5"/>
      <c r="F96" s="5"/>
      <c r="J96" s="5"/>
      <c r="K96" s="5"/>
      <c r="O96" s="5"/>
    </row>
    <row r="97" ht="9.0" customHeight="1">
      <c r="E97" s="5"/>
      <c r="F97" s="5"/>
      <c r="J97" s="5"/>
      <c r="K97" s="5"/>
      <c r="O97" s="5"/>
    </row>
    <row r="98" ht="9.0" customHeight="1">
      <c r="E98" s="5"/>
      <c r="F98" s="5"/>
      <c r="J98" s="5"/>
      <c r="K98" s="5"/>
      <c r="O98" s="5"/>
    </row>
    <row r="99" ht="9.0" customHeight="1">
      <c r="E99" s="5"/>
      <c r="F99" s="5"/>
      <c r="J99" s="5"/>
      <c r="K99" s="5"/>
      <c r="O99" s="5"/>
    </row>
    <row r="100" ht="9.0" customHeight="1">
      <c r="E100" s="5"/>
      <c r="F100" s="5"/>
      <c r="J100" s="5"/>
      <c r="K100" s="5"/>
      <c r="O100" s="5"/>
    </row>
    <row r="101" ht="9.0" customHeight="1">
      <c r="E101" s="5"/>
      <c r="F101" s="5"/>
      <c r="J101" s="5"/>
      <c r="K101" s="5"/>
      <c r="O101" s="5"/>
    </row>
    <row r="102" ht="9.0" customHeight="1">
      <c r="E102" s="5"/>
      <c r="F102" s="5"/>
      <c r="J102" s="5"/>
      <c r="K102" s="5"/>
      <c r="O102" s="5"/>
    </row>
    <row r="103" ht="9.0" customHeight="1">
      <c r="E103" s="5"/>
      <c r="F103" s="5"/>
      <c r="J103" s="5"/>
      <c r="K103" s="5"/>
      <c r="O103" s="5"/>
    </row>
    <row r="104" ht="9.0" customHeight="1">
      <c r="E104" s="5"/>
      <c r="F104" s="5"/>
      <c r="J104" s="5"/>
      <c r="K104" s="5"/>
      <c r="O104" s="5"/>
    </row>
    <row r="105" ht="9.0" customHeight="1">
      <c r="E105" s="5"/>
      <c r="F105" s="5"/>
      <c r="J105" s="5"/>
      <c r="K105" s="5"/>
      <c r="O105" s="5"/>
    </row>
    <row r="106" ht="9.0" customHeight="1">
      <c r="E106" s="5"/>
      <c r="F106" s="5"/>
      <c r="J106" s="5"/>
      <c r="K106" s="5"/>
      <c r="O106" s="5"/>
    </row>
    <row r="107" ht="9.0" customHeight="1">
      <c r="E107" s="5"/>
      <c r="F107" s="5"/>
      <c r="J107" s="5"/>
      <c r="K107" s="5"/>
      <c r="O107" s="5"/>
    </row>
    <row r="108" ht="9.0" customHeight="1">
      <c r="E108" s="5"/>
      <c r="F108" s="5"/>
      <c r="J108" s="5"/>
      <c r="K108" s="5"/>
      <c r="O108" s="5"/>
    </row>
    <row r="109" ht="9.0" customHeight="1">
      <c r="E109" s="5"/>
      <c r="F109" s="5"/>
      <c r="J109" s="5"/>
      <c r="K109" s="5"/>
      <c r="O109" s="5"/>
    </row>
    <row r="110" ht="9.0" customHeight="1">
      <c r="E110" s="5"/>
      <c r="F110" s="5"/>
      <c r="J110" s="5"/>
      <c r="K110" s="5"/>
      <c r="O110" s="5"/>
    </row>
    <row r="111" ht="9.0" customHeight="1">
      <c r="E111" s="5"/>
      <c r="F111" s="5"/>
      <c r="J111" s="5"/>
      <c r="K111" s="5"/>
      <c r="O111" s="5"/>
    </row>
    <row r="112" ht="9.0" customHeight="1">
      <c r="E112" s="5"/>
      <c r="F112" s="5"/>
      <c r="J112" s="5"/>
      <c r="K112" s="5"/>
      <c r="O112" s="5"/>
    </row>
    <row r="113" ht="9.0" customHeight="1">
      <c r="E113" s="5"/>
      <c r="F113" s="5"/>
      <c r="J113" s="5"/>
      <c r="K113" s="5"/>
      <c r="O113" s="5"/>
    </row>
    <row r="114" ht="9.0" customHeight="1">
      <c r="E114" s="5"/>
      <c r="F114" s="5"/>
      <c r="J114" s="5"/>
      <c r="K114" s="5"/>
      <c r="O114" s="5"/>
    </row>
    <row r="115" ht="9.0" customHeight="1">
      <c r="E115" s="5"/>
      <c r="F115" s="5"/>
      <c r="J115" s="5"/>
      <c r="K115" s="5"/>
      <c r="O115" s="5"/>
    </row>
    <row r="116" ht="9.0" customHeight="1">
      <c r="E116" s="5"/>
      <c r="F116" s="5"/>
      <c r="J116" s="5"/>
      <c r="K116" s="5"/>
      <c r="O116" s="5"/>
    </row>
    <row r="117" ht="9.0" customHeight="1">
      <c r="E117" s="5"/>
      <c r="F117" s="5"/>
      <c r="J117" s="5"/>
      <c r="K117" s="5"/>
      <c r="O117" s="5"/>
    </row>
    <row r="118" ht="9.0" customHeight="1">
      <c r="E118" s="5"/>
      <c r="F118" s="5"/>
      <c r="J118" s="5"/>
      <c r="K118" s="5"/>
      <c r="O118" s="5"/>
    </row>
    <row r="119" ht="9.0" customHeight="1">
      <c r="E119" s="5"/>
      <c r="F119" s="5"/>
      <c r="J119" s="5"/>
      <c r="K119" s="5"/>
      <c r="O119" s="5"/>
    </row>
    <row r="120" ht="9.0" customHeight="1">
      <c r="E120" s="5"/>
      <c r="F120" s="5"/>
      <c r="J120" s="5"/>
      <c r="K120" s="5"/>
      <c r="O120" s="5"/>
    </row>
    <row r="121" ht="9.0" customHeight="1">
      <c r="E121" s="5"/>
      <c r="F121" s="5"/>
      <c r="J121" s="5"/>
      <c r="K121" s="5"/>
      <c r="O121" s="5"/>
    </row>
    <row r="122" ht="9.0" customHeight="1">
      <c r="E122" s="5"/>
      <c r="F122" s="5"/>
      <c r="J122" s="5"/>
      <c r="K122" s="5"/>
      <c r="O122" s="5"/>
    </row>
    <row r="123" ht="9.0" customHeight="1">
      <c r="E123" s="5"/>
      <c r="F123" s="5"/>
      <c r="J123" s="5"/>
      <c r="K123" s="5"/>
      <c r="O123" s="5"/>
    </row>
    <row r="124" ht="9.0" customHeight="1">
      <c r="E124" s="5"/>
      <c r="F124" s="5"/>
      <c r="J124" s="5"/>
      <c r="K124" s="5"/>
      <c r="O124" s="5"/>
    </row>
    <row r="125" ht="9.0" customHeight="1">
      <c r="E125" s="5"/>
      <c r="F125" s="5"/>
      <c r="J125" s="5"/>
      <c r="K125" s="5"/>
      <c r="O125" s="5"/>
    </row>
    <row r="126" ht="9.0" customHeight="1">
      <c r="E126" s="5"/>
      <c r="F126" s="5"/>
      <c r="J126" s="5"/>
      <c r="K126" s="5"/>
      <c r="O126" s="5"/>
    </row>
    <row r="127" ht="9.0" customHeight="1"/>
    <row r="128" ht="9.0" customHeight="1"/>
    <row r="129" ht="9.0" customHeight="1"/>
    <row r="130" ht="9.0" customHeight="1"/>
    <row r="131" ht="9.0" customHeight="1"/>
    <row r="132" ht="9.0" customHeight="1"/>
    <row r="133" ht="9.0" customHeight="1"/>
    <row r="134" ht="9.0" customHeight="1"/>
    <row r="135" ht="9.0" customHeight="1"/>
    <row r="136" ht="9.0" customHeight="1"/>
    <row r="137" ht="9.0" customHeight="1"/>
    <row r="138" ht="9.0" customHeight="1"/>
    <row r="139" ht="9.0" customHeight="1"/>
    <row r="140" ht="9.0" customHeight="1"/>
    <row r="141" ht="9.0" customHeight="1"/>
    <row r="142" ht="9.0" customHeight="1"/>
    <row r="143" ht="9.0" customHeight="1"/>
    <row r="144" ht="9.0" customHeight="1"/>
    <row r="145" ht="9.0" customHeight="1"/>
    <row r="146" ht="9.0" customHeight="1"/>
    <row r="147" ht="9.0" customHeight="1"/>
    <row r="148" ht="9.0" customHeight="1"/>
    <row r="149" ht="9.0" customHeight="1"/>
    <row r="150" ht="9.0" customHeight="1"/>
    <row r="151" ht="9.0" customHeight="1"/>
    <row r="152" ht="9.0" customHeight="1"/>
    <row r="153" ht="9.0" customHeight="1"/>
    <row r="154" ht="9.0" customHeight="1"/>
    <row r="155" ht="9.0" customHeight="1"/>
    <row r="156" ht="9.0" customHeight="1"/>
    <row r="157" ht="9.0" customHeight="1"/>
    <row r="158" ht="9.0" customHeight="1"/>
    <row r="159" ht="9.0" customHeight="1"/>
    <row r="160" ht="9.0" customHeight="1"/>
    <row r="161" ht="9.0" customHeight="1"/>
    <row r="162" ht="9.0" customHeight="1"/>
    <row r="163" ht="9.0" customHeight="1"/>
    <row r="164" ht="9.0" customHeight="1"/>
    <row r="165" ht="9.0" customHeight="1"/>
    <row r="166" ht="9.0" customHeight="1"/>
    <row r="167" ht="9.0" customHeight="1"/>
    <row r="168" ht="9.0" customHeight="1"/>
    <row r="169" ht="9.0" customHeight="1"/>
    <row r="170" ht="9.0" customHeight="1"/>
    <row r="171" ht="9.0" customHeight="1"/>
    <row r="172" ht="9.0" customHeight="1"/>
    <row r="173" ht="9.0" customHeight="1"/>
    <row r="174" ht="9.0" customHeight="1"/>
    <row r="175" ht="9.0" customHeight="1"/>
    <row r="176" ht="9.0" customHeight="1"/>
    <row r="177" ht="9.0" customHeight="1"/>
    <row r="178" ht="9.0" customHeight="1"/>
    <row r="179" ht="9.0" customHeight="1"/>
    <row r="180" ht="9.0" customHeight="1"/>
    <row r="181" ht="9.0" customHeight="1"/>
    <row r="182" ht="9.0" customHeight="1"/>
    <row r="183" ht="9.0" customHeight="1"/>
    <row r="184" ht="9.0" customHeight="1"/>
    <row r="185" ht="9.0" customHeight="1"/>
    <row r="186" ht="9.0" customHeight="1"/>
    <row r="187" ht="9.0" customHeight="1"/>
    <row r="188" ht="9.0" customHeight="1"/>
    <row r="189" ht="9.0" customHeight="1"/>
    <row r="190" ht="9.0" customHeight="1"/>
    <row r="191" ht="9.0" customHeight="1"/>
    <row r="192" ht="9.0" customHeight="1"/>
    <row r="193" ht="9.0" customHeight="1"/>
    <row r="194" ht="9.0" customHeight="1"/>
    <row r="195" ht="9.0" customHeight="1"/>
    <row r="196" ht="9.0" customHeight="1"/>
    <row r="197" ht="9.0" customHeight="1"/>
    <row r="198" ht="9.0" customHeight="1"/>
    <row r="199" ht="9.0" customHeight="1"/>
    <row r="200" ht="9.0" customHeight="1"/>
    <row r="201" ht="9.0" customHeight="1"/>
    <row r="202" ht="9.0" customHeight="1"/>
    <row r="203" ht="9.0" customHeight="1"/>
    <row r="204" ht="9.0" customHeight="1"/>
    <row r="205" ht="9.0" customHeight="1"/>
    <row r="206" ht="9.0" customHeight="1"/>
    <row r="207" ht="9.0" customHeight="1"/>
    <row r="208" ht="9.0" customHeight="1"/>
    <row r="209" ht="9.0" customHeight="1"/>
    <row r="210" ht="9.0" customHeight="1"/>
    <row r="211" ht="9.0" customHeight="1"/>
    <row r="212" ht="9.0" customHeight="1"/>
    <row r="213" ht="9.0" customHeight="1"/>
    <row r="214" ht="9.0" customHeight="1"/>
    <row r="215" ht="9.0" customHeight="1"/>
    <row r="216" ht="9.0" customHeight="1"/>
    <row r="217" ht="9.0" customHeight="1"/>
    <row r="218" ht="9.0" customHeight="1"/>
    <row r="219" ht="9.0" customHeight="1"/>
    <row r="220" ht="9.0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H1"/>
    <mergeCell ref="A2:H2"/>
  </mergeCells>
  <conditionalFormatting sqref="H10:H1000">
    <cfRule type="expression" dxfId="5" priority="1">
      <formula>$H10="Bajo"</formula>
    </cfRule>
  </conditionalFormatting>
  <conditionalFormatting sqref="H10:H1000">
    <cfRule type="expression" dxfId="6" priority="2">
      <formula>$H10="Medio"</formula>
    </cfRule>
  </conditionalFormatting>
  <conditionalFormatting sqref="H10:H1000">
    <cfRule type="expression" dxfId="7" priority="3">
      <formula>$H10="Alto"</formula>
    </cfRule>
  </conditionalFormatting>
  <conditionalFormatting sqref="H10:H1000">
    <cfRule type="expression" dxfId="8" priority="4">
      <formula>$H10="Crítico"</formula>
    </cfRule>
  </conditionalFormatting>
  <conditionalFormatting sqref="M1:M1000">
    <cfRule type="expression" dxfId="5" priority="5">
      <formula>$M1="Bajo"</formula>
    </cfRule>
  </conditionalFormatting>
  <conditionalFormatting sqref="M1:M1000">
    <cfRule type="expression" dxfId="6" priority="6">
      <formula>$M1="Medio"</formula>
    </cfRule>
  </conditionalFormatting>
  <conditionalFormatting sqref="M1:M1000">
    <cfRule type="expression" dxfId="7" priority="7">
      <formula>$M1="Alto"</formula>
    </cfRule>
  </conditionalFormatting>
  <conditionalFormatting sqref="M1:M1000">
    <cfRule type="expression" dxfId="8" priority="8">
      <formula>$M1="Crítico"</formula>
    </cfRule>
  </conditionalFormatting>
  <conditionalFormatting sqref="G5:G7">
    <cfRule type="expression" dxfId="9" priority="9">
      <formula>LEFT(G5,4)="Baja"</formula>
    </cfRule>
  </conditionalFormatting>
  <conditionalFormatting sqref="G5:G7">
    <cfRule type="expression" dxfId="10" priority="10">
      <formula>LEFT(G5,5)="Media"</formula>
    </cfRule>
  </conditionalFormatting>
  <conditionalFormatting sqref="G8">
    <cfRule type="expression" dxfId="9" priority="11">
      <formula>LEFT(G8,4)="Baja"</formula>
    </cfRule>
  </conditionalFormatting>
  <conditionalFormatting sqref="G8">
    <cfRule type="expression" dxfId="10" priority="12">
      <formula>LEFT(G8,5)="Media"</formula>
    </cfRule>
  </conditionalFormatting>
  <dataValidations>
    <dataValidation type="list" allowBlank="1" sqref="F3 F5:F76 K1:K76">
      <formula1>Criterios!$L$2:$L$4</formula1>
    </dataValidation>
    <dataValidation type="list" allowBlank="1" sqref="E3 E5:E76 J1:J76">
      <formula1>Criterios!$K$2:$K$4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2026-09-12T13:55:47Z</dcterms:created>
  <dc:creator>Joaquín Carrizo</dc:creator>
</cp:coreProperties>
</file>