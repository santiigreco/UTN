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1.xml"/>
  <Override ContentType="application/vnd.openxmlformats-officedocument.spreadsheetml.table+xml" PartName="/xl/tables/table2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Hoja 1" sheetId="1" r:id="rId5"/>
    <sheet state="hidden" name="Hoja 3" sheetId="2" r:id="rId6"/>
    <sheet state="visible" name="Hoja 2" sheetId="3" r:id="rId7"/>
  </sheets>
  <definedNames/>
  <calcPr/>
</workbook>
</file>

<file path=xl/sharedStrings.xml><?xml version="1.0" encoding="utf-8"?>
<sst xmlns="http://schemas.openxmlformats.org/spreadsheetml/2006/main" count="268" uniqueCount="106">
  <si>
    <t>COD</t>
  </si>
  <si>
    <t>LOGÍSTICA PROPIA</t>
  </si>
  <si>
    <t>Producto</t>
  </si>
  <si>
    <t>Peso</t>
  </si>
  <si>
    <t>Linea</t>
  </si>
  <si>
    <t>Año 1</t>
  </si>
  <si>
    <t>Año 2</t>
  </si>
  <si>
    <t>Año 3</t>
  </si>
  <si>
    <t>Año 4</t>
  </si>
  <si>
    <t>Año 5</t>
  </si>
  <si>
    <t>Año 6</t>
  </si>
  <si>
    <t>Año 7</t>
  </si>
  <si>
    <t>Año 8</t>
  </si>
  <si>
    <t>Año 9</t>
  </si>
  <si>
    <t>Año 10</t>
  </si>
  <si>
    <t>A01</t>
  </si>
  <si>
    <t>Chocolate con chips picante 150gr.</t>
  </si>
  <si>
    <t>Gourmet</t>
  </si>
  <si>
    <t>[En M]</t>
  </si>
  <si>
    <t>A02</t>
  </si>
  <si>
    <t>Galletitas símil chocolinas free 150gr.</t>
  </si>
  <si>
    <t>Free</t>
  </si>
  <si>
    <t>CHASIS 8 PALLETS</t>
  </si>
  <si>
    <t>A03</t>
  </si>
  <si>
    <t>Galletitas símil chocolinas 150gr.</t>
  </si>
  <si>
    <t>Clásicas</t>
  </si>
  <si>
    <t>AÑO 1</t>
  </si>
  <si>
    <t>AÑO 2</t>
  </si>
  <si>
    <t>AÑO 3</t>
  </si>
  <si>
    <t>AÑO 4</t>
  </si>
  <si>
    <t>AÑO 5</t>
  </si>
  <si>
    <t>A04</t>
  </si>
  <si>
    <t>AÑO 6</t>
  </si>
  <si>
    <t>Pepas chocolate y batata 150gr.</t>
  </si>
  <si>
    <t>AÑO 7</t>
  </si>
  <si>
    <t>AÑO 8</t>
  </si>
  <si>
    <t>AÑO 9</t>
  </si>
  <si>
    <t>AÑO 10</t>
  </si>
  <si>
    <t>Costos</t>
  </si>
  <si>
    <t>Datos</t>
  </si>
  <si>
    <t>Monto en pesos</t>
  </si>
  <si>
    <t>A05</t>
  </si>
  <si>
    <t>Bizcochos sabor queso free 150gr.</t>
  </si>
  <si>
    <t>A06</t>
  </si>
  <si>
    <t>Bizcochos sabor queso 150gr.</t>
  </si>
  <si>
    <t>A07</t>
  </si>
  <si>
    <t>Polvorones free 150gr.</t>
  </si>
  <si>
    <t>A08</t>
  </si>
  <si>
    <t>Polvorones 150gr.</t>
  </si>
  <si>
    <t>B01</t>
  </si>
  <si>
    <t>Pan de molde 400gr.</t>
  </si>
  <si>
    <t>Panificados</t>
  </si>
  <si>
    <t>B02</t>
  </si>
  <si>
    <t>Budines vainilla/cítricos 180gr.</t>
  </si>
  <si>
    <t>B03</t>
  </si>
  <si>
    <t>Budines chocolate 180gr.</t>
  </si>
  <si>
    <t>TOTAL</t>
  </si>
  <si>
    <t>Cantidad [Tn]</t>
  </si>
  <si>
    <t>Tn x Semana</t>
  </si>
  <si>
    <t>En gramos</t>
  </si>
  <si>
    <t>Peso x bolsa en gramos</t>
  </si>
  <si>
    <t>Cantidad de bolsas</t>
  </si>
  <si>
    <t>Cantidad de bolsas x caja</t>
  </si>
  <si>
    <t>Cantidad de cajas</t>
  </si>
  <si>
    <t xml:space="preserve">Cajas largo x ancho x alto </t>
  </si>
  <si>
    <t>Cantidad de cajas por piso</t>
  </si>
  <si>
    <t>Cantidad de pisos</t>
  </si>
  <si>
    <t>Peso de la caja en kg</t>
  </si>
  <si>
    <t>Peso x pallet</t>
  </si>
  <si>
    <t>Cajas x pallet</t>
  </si>
  <si>
    <t>Pallets</t>
  </si>
  <si>
    <t>Cantidad de pallets</t>
  </si>
  <si>
    <t>39*20*18</t>
  </si>
  <si>
    <t xml:space="preserve">Realicé el calculo para 52 semanas </t>
  </si>
  <si>
    <t>Camión</t>
  </si>
  <si>
    <t>USD 60000</t>
  </si>
  <si>
    <t>Combustible anual</t>
  </si>
  <si>
    <t>8000 Litros</t>
  </si>
  <si>
    <t>Mantenimiento anual</t>
  </si>
  <si>
    <t>Seguro anual</t>
  </si>
  <si>
    <t>Patente anual</t>
  </si>
  <si>
    <t>Rastreo satelital</t>
  </si>
  <si>
    <t>Peajes</t>
  </si>
  <si>
    <t>Sueldo Chofer</t>
  </si>
  <si>
    <t>-</t>
  </si>
  <si>
    <t>Sueldo Planifcador de ruta</t>
  </si>
  <si>
    <t>LOGÍSTICA TERCIARIZADA</t>
  </si>
  <si>
    <t>CHASIS</t>
  </si>
  <si>
    <t>Cantidad de pallets x semana</t>
  </si>
  <si>
    <t>Costo</t>
  </si>
  <si>
    <t>Viajes</t>
  </si>
  <si>
    <t>Flete recolección + última milla</t>
  </si>
  <si>
    <t>TOTAL SEMANAL</t>
  </si>
  <si>
    <t>Cantidad</t>
  </si>
  <si>
    <t>Vehículo</t>
  </si>
  <si>
    <t>PUBLICIDAD</t>
  </si>
  <si>
    <t>MONTO EN PESOS</t>
  </si>
  <si>
    <t>Tarifas de góndola</t>
  </si>
  <si>
    <t>Listing Fees (ingreso de productos nuevos)</t>
  </si>
  <si>
    <t>Material POP</t>
  </si>
  <si>
    <t>Promotores</t>
  </si>
  <si>
    <t>Marketing Digital - Influencers</t>
  </si>
  <si>
    <t>Canales de streaming</t>
  </si>
  <si>
    <t>Canales de TV</t>
  </si>
  <si>
    <t>Stand en Ferias</t>
  </si>
  <si>
    <t>Total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</si>
</sst>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3">
    <numFmt numFmtId="164" formatCode="[$$]#,##0"/>
    <numFmt numFmtId="165" formatCode="0.0"/>
    <numFmt numFmtId="166" formatCode="[$$]#,##0.00"/>
  </numFmts>
  <fonts count="9">
    <font>
      <sz val="10.0"/>
      <color rgb="FF000000"/>
      <name val="Arial"/>
      <scheme val="minor"/>
    </font>
    <font>
      <color theme="1"/>
      <name val="Arial"/>
      <scheme val="minor"/>
    </font>
    <font>
      <b/>
      <color theme="1"/>
      <name val="Arial"/>
      <scheme val="minor"/>
    </font>
    <font/>
    <font>
      <color theme="1"/>
      <name val="Arial"/>
    </font>
    <font>
      <b/>
      <sz val="9.0"/>
      <color theme="1"/>
      <name val="Nunito"/>
    </font>
    <font>
      <sz val="12.0"/>
      <color theme="1"/>
      <name val="&quot;Google Sans&quot;"/>
    </font>
    <font>
      <color rgb="FF000000"/>
      <name val="Arial"/>
    </font>
    <font>
      <b/>
      <color rgb="FF000000"/>
      <name val="Arial"/>
    </font>
  </fonts>
  <fills count="6">
    <fill>
      <patternFill patternType="none"/>
    </fill>
    <fill>
      <patternFill patternType="lightGray"/>
    </fill>
    <fill>
      <patternFill patternType="solid">
        <fgColor rgb="FFD9EAD3"/>
        <bgColor rgb="FFD9EAD3"/>
      </patternFill>
    </fill>
    <fill>
      <patternFill patternType="solid">
        <fgColor rgb="FFFFF2CC"/>
        <bgColor rgb="FFFFF2CC"/>
      </patternFill>
    </fill>
    <fill>
      <patternFill patternType="solid">
        <fgColor rgb="FFFFFFFF"/>
        <bgColor rgb="FFFFFFFF"/>
      </patternFill>
    </fill>
    <fill>
      <patternFill patternType="solid">
        <fgColor rgb="FFFCE5CD"/>
        <bgColor rgb="FFFCE5CD"/>
      </patternFill>
    </fill>
  </fills>
  <borders count="5">
    <border/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66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1" fillId="2" fontId="2" numFmtId="0" xfId="0" applyAlignment="1" applyBorder="1" applyFill="1" applyFont="1">
      <alignment horizontal="center" readingOrder="0"/>
    </xf>
    <xf borderId="2" fillId="0" fontId="3" numFmtId="0" xfId="0" applyBorder="1" applyFont="1"/>
    <xf borderId="3" fillId="0" fontId="3" numFmtId="0" xfId="0" applyBorder="1" applyFont="1"/>
    <xf borderId="0" fillId="2" fontId="2" numFmtId="0" xfId="0" applyAlignment="1" applyFill="1" applyFont="1">
      <alignment horizontal="center" readingOrder="0"/>
    </xf>
    <xf borderId="0" fillId="0" fontId="1" numFmtId="3" xfId="0" applyAlignment="1" applyFont="1" applyNumberFormat="1">
      <alignment readingOrder="0"/>
    </xf>
    <xf borderId="1" fillId="3" fontId="2" numFmtId="0" xfId="0" applyAlignment="1" applyBorder="1" applyFill="1" applyFont="1">
      <alignment horizontal="center" readingOrder="0"/>
    </xf>
    <xf borderId="0" fillId="3" fontId="2" numFmtId="0" xfId="0" applyAlignment="1" applyFill="1" applyFont="1">
      <alignment horizontal="center" readingOrder="0"/>
    </xf>
    <xf borderId="4" fillId="3" fontId="2" numFmtId="0" xfId="0" applyAlignment="1" applyBorder="1" applyFill="1" applyFont="1">
      <alignment horizontal="center" readingOrder="0"/>
    </xf>
    <xf borderId="4" fillId="0" fontId="2" numFmtId="164" xfId="0" applyAlignment="1" applyBorder="1" applyFont="1" applyNumberFormat="1">
      <alignment horizontal="center" readingOrder="0" shrinkToFit="0" wrapText="1"/>
    </xf>
    <xf borderId="0" fillId="0" fontId="1" numFmtId="0" xfId="0" applyAlignment="1" applyFont="1">
      <alignment readingOrder="0"/>
    </xf>
    <xf borderId="0" fillId="0" fontId="1" numFmtId="165" xfId="0" applyAlignment="1" applyFont="1" applyNumberFormat="1">
      <alignment readingOrder="0"/>
    </xf>
    <xf borderId="0" fillId="0" fontId="1" numFmtId="0" xfId="0" applyFont="1"/>
    <xf borderId="0" fillId="0" fontId="1" numFmtId="0" xfId="0" applyAlignment="1" applyFont="1">
      <alignment readingOrder="0"/>
    </xf>
    <xf borderId="0" fillId="0" fontId="1" numFmtId="0" xfId="0" applyFont="1"/>
    <xf borderId="0" fillId="0" fontId="1" numFmtId="165" xfId="0" applyFont="1" applyNumberFormat="1"/>
    <xf borderId="0" fillId="0" fontId="4" numFmtId="0" xfId="0" applyAlignment="1" applyFont="1">
      <alignment vertical="bottom"/>
    </xf>
    <xf borderId="4" fillId="0" fontId="2" numFmtId="0" xfId="0" applyAlignment="1" applyBorder="1" applyFont="1">
      <alignment horizontal="center" readingOrder="0" shrinkToFit="0" vertical="center" wrapText="1"/>
    </xf>
    <xf borderId="4" fillId="0" fontId="2" numFmtId="166" xfId="0" applyAlignment="1" applyBorder="1" applyFont="1" applyNumberFormat="1">
      <alignment horizontal="center" readingOrder="0" vertical="center"/>
    </xf>
    <xf borderId="4" fillId="0" fontId="2" numFmtId="0" xfId="0" applyAlignment="1" applyBorder="1" applyFont="1">
      <alignment horizontal="center" readingOrder="0" vertical="center"/>
    </xf>
    <xf borderId="0" fillId="0" fontId="5" numFmtId="0" xfId="0" applyAlignment="1" applyFont="1">
      <alignment horizontal="center" readingOrder="0" shrinkToFit="0" vertical="bottom" wrapText="1"/>
    </xf>
    <xf borderId="4" fillId="0" fontId="2" numFmtId="9" xfId="0" applyAlignment="1" applyBorder="1" applyFont="1" applyNumberFormat="1">
      <alignment horizontal="center" readingOrder="0" vertical="center"/>
    </xf>
    <xf borderId="4" fillId="0" fontId="2" numFmtId="166" xfId="0" applyAlignment="1" applyBorder="1" applyFont="1" applyNumberFormat="1">
      <alignment horizontal="center" vertical="center"/>
    </xf>
    <xf borderId="4" fillId="0" fontId="2" numFmtId="0" xfId="0" applyAlignment="1" applyBorder="1" applyFont="1">
      <alignment horizontal="center" vertical="center"/>
    </xf>
    <xf borderId="4" fillId="0" fontId="2" numFmtId="0" xfId="0" applyAlignment="1" applyBorder="1" applyFont="1">
      <alignment horizontal="left" readingOrder="0" shrinkToFit="0" wrapText="1"/>
    </xf>
    <xf borderId="4" fillId="0" fontId="2" numFmtId="166" xfId="0" applyAlignment="1" applyBorder="1" applyFont="1" applyNumberFormat="1">
      <alignment horizontal="center" readingOrder="0" shrinkToFit="0" wrapText="1"/>
    </xf>
    <xf borderId="0" fillId="0" fontId="5" numFmtId="165" xfId="0" applyAlignment="1" applyFont="1" applyNumberFormat="1">
      <alignment horizontal="center" readingOrder="0" shrinkToFit="0" vertical="bottom" wrapText="1"/>
    </xf>
    <xf borderId="4" fillId="0" fontId="1" numFmtId="0" xfId="0" applyAlignment="1" applyBorder="1" applyFont="1">
      <alignment readingOrder="0" shrinkToFit="0" vertical="center" wrapText="0"/>
    </xf>
    <xf borderId="0" fillId="0" fontId="1" numFmtId="0" xfId="0" applyAlignment="1" applyFont="1">
      <alignment horizontal="center" vertical="center"/>
    </xf>
    <xf borderId="0" fillId="0" fontId="2" numFmtId="166" xfId="0" applyAlignment="1" applyFont="1" applyNumberFormat="1">
      <alignment horizontal="center" readingOrder="0" shrinkToFit="0" vertical="center" wrapText="1"/>
    </xf>
    <xf borderId="0" fillId="4" fontId="1" numFmtId="0" xfId="0" applyAlignment="1" applyFill="1" applyFont="1">
      <alignment horizontal="center" vertical="center"/>
    </xf>
    <xf borderId="4" fillId="0" fontId="2" numFmtId="166" xfId="0" applyAlignment="1" applyBorder="1" applyFont="1" applyNumberFormat="1">
      <alignment horizontal="center" readingOrder="0" shrinkToFit="0" vertical="center" wrapText="1"/>
    </xf>
    <xf borderId="4" fillId="0" fontId="5" numFmtId="0" xfId="0" applyAlignment="1" applyBorder="1" applyFont="1">
      <alignment readingOrder="0" shrinkToFit="0" vertical="bottom" wrapText="1"/>
    </xf>
    <xf borderId="4" fillId="0" fontId="5" numFmtId="0" xfId="0" applyAlignment="1" applyBorder="1" applyFont="1">
      <alignment shrinkToFit="0" vertical="bottom" wrapText="1"/>
    </xf>
    <xf borderId="4" fillId="0" fontId="5" numFmtId="0" xfId="0" applyAlignment="1" applyBorder="1" applyFont="1">
      <alignment horizontal="center" shrinkToFit="0" vertical="bottom" wrapText="1"/>
    </xf>
    <xf borderId="4" fillId="0" fontId="5" numFmtId="165" xfId="0" applyAlignment="1" applyBorder="1" applyFont="1" applyNumberFormat="1">
      <alignment shrinkToFit="0" vertical="bottom" wrapText="1"/>
    </xf>
    <xf borderId="4" fillId="0" fontId="5" numFmtId="165" xfId="0" applyAlignment="1" applyBorder="1" applyFont="1" applyNumberFormat="1">
      <alignment readingOrder="0" shrinkToFit="0" vertical="bottom" wrapText="1"/>
    </xf>
    <xf borderId="0" fillId="0" fontId="4" numFmtId="0" xfId="0" applyAlignment="1" applyFont="1">
      <alignment shrinkToFit="0" vertical="bottom" wrapText="0"/>
    </xf>
    <xf borderId="0" fillId="0" fontId="4" numFmtId="0" xfId="0" applyAlignment="1" applyFont="1">
      <alignment shrinkToFit="0" vertical="bottom" wrapText="0"/>
    </xf>
    <xf borderId="0" fillId="0" fontId="5" numFmtId="0" xfId="0" applyAlignment="1" applyFont="1">
      <alignment shrinkToFit="0" vertical="bottom" wrapText="1"/>
    </xf>
    <xf borderId="0" fillId="0" fontId="5" numFmtId="0" xfId="0" applyAlignment="1" applyFont="1">
      <alignment readingOrder="0" shrinkToFit="0" vertical="bottom" wrapText="1"/>
    </xf>
    <xf borderId="0" fillId="0" fontId="2" numFmtId="165" xfId="0" applyAlignment="1" applyFont="1" applyNumberFormat="1">
      <alignment shrinkToFit="0" vertical="center" wrapText="0"/>
    </xf>
    <xf borderId="0" fillId="0" fontId="5" numFmtId="0" xfId="0" applyAlignment="1" applyFont="1">
      <alignment horizontal="center" shrinkToFit="0" vertical="bottom" wrapText="1"/>
    </xf>
    <xf borderId="0" fillId="0" fontId="5" numFmtId="165" xfId="0" applyAlignment="1" applyFont="1" applyNumberFormat="1">
      <alignment readingOrder="0" shrinkToFit="0" vertical="bottom" wrapText="1"/>
    </xf>
    <xf borderId="0" fillId="0" fontId="6" numFmtId="0" xfId="0" applyAlignment="1" applyFont="1">
      <alignment readingOrder="0"/>
    </xf>
    <xf borderId="4" fillId="0" fontId="2" numFmtId="0" xfId="0" applyAlignment="1" applyBorder="1" applyFont="1">
      <alignment horizontal="center" readingOrder="0"/>
    </xf>
    <xf borderId="4" fillId="0" fontId="2" numFmtId="166" xfId="0" applyAlignment="1" applyBorder="1" applyFont="1" applyNumberFormat="1">
      <alignment horizontal="center" readingOrder="0"/>
    </xf>
    <xf borderId="4" fillId="2" fontId="2" numFmtId="0" xfId="0" applyAlignment="1" applyBorder="1" applyFill="1" applyFont="1">
      <alignment horizontal="center" readingOrder="0"/>
    </xf>
    <xf borderId="0" fillId="4" fontId="1" numFmtId="0" xfId="0" applyFill="1" applyFont="1"/>
    <xf borderId="4" fillId="0" fontId="1" numFmtId="0" xfId="0" applyAlignment="1" applyBorder="1" applyFont="1">
      <alignment horizontal="center" readingOrder="0"/>
    </xf>
    <xf borderId="4" fillId="0" fontId="1" numFmtId="166" xfId="0" applyAlignment="1" applyBorder="1" applyFont="1" applyNumberFormat="1">
      <alignment horizontal="center" readingOrder="0"/>
    </xf>
    <xf borderId="0" fillId="4" fontId="7" numFmtId="0" xfId="0" applyAlignment="1" applyFill="1" applyFont="1">
      <alignment horizontal="center" readingOrder="0" shrinkToFit="0" vertical="bottom" wrapText="0"/>
    </xf>
    <xf borderId="4" fillId="0" fontId="2" numFmtId="9" xfId="0" applyAlignment="1" applyBorder="1" applyFont="1" applyNumberFormat="1">
      <alignment horizontal="center" readingOrder="0"/>
    </xf>
    <xf borderId="4" fillId="0" fontId="2" numFmtId="166" xfId="0" applyAlignment="1" applyBorder="1" applyFont="1" applyNumberFormat="1">
      <alignment horizontal="center"/>
    </xf>
    <xf borderId="0" fillId="4" fontId="8" numFmtId="0" xfId="0" applyAlignment="1" applyFill="1" applyFont="1">
      <alignment readingOrder="0" shrinkToFit="0" vertical="bottom" wrapText="0"/>
    </xf>
    <xf borderId="0" fillId="4" fontId="8" numFmtId="0" xfId="0" applyAlignment="1" applyFill="1" applyFont="1">
      <alignment horizontal="right" readingOrder="0" shrinkToFit="0" vertical="bottom" wrapText="0"/>
    </xf>
    <xf borderId="0" fillId="4" fontId="7" numFmtId="0" xfId="0" applyAlignment="1" applyFill="1" applyFont="1">
      <alignment horizontal="left" readingOrder="0" shrinkToFit="0" vertical="bottom" wrapText="0"/>
    </xf>
    <xf borderId="4" fillId="0" fontId="2" numFmtId="0" xfId="0" applyAlignment="1" applyBorder="1" applyFont="1">
      <alignment horizontal="left" shrinkToFit="0" wrapText="1"/>
    </xf>
    <xf borderId="4" fillId="0" fontId="2" numFmtId="0" xfId="0" applyAlignment="1" applyBorder="1" applyFont="1">
      <alignment horizontal="center"/>
    </xf>
    <xf borderId="0" fillId="4" fontId="7" numFmtId="0" xfId="0" applyAlignment="1" applyFill="1" applyFont="1">
      <alignment readingOrder="0" shrinkToFit="0" vertical="bottom" wrapText="0"/>
    </xf>
    <xf borderId="0" fillId="4" fontId="7" numFmtId="0" xfId="0" applyAlignment="1" applyFill="1" applyFont="1">
      <alignment horizontal="right" readingOrder="0" shrinkToFit="0" vertical="bottom" wrapText="0"/>
    </xf>
    <xf borderId="0" fillId="4" fontId="7" numFmtId="9" xfId="0" applyAlignment="1" applyFill="1" applyFont="1" applyNumberFormat="1">
      <alignment horizontal="left" readingOrder="0" shrinkToFit="0" vertical="bottom" wrapText="0"/>
    </xf>
    <xf borderId="4" fillId="5" fontId="2" numFmtId="0" xfId="0" applyAlignment="1" applyBorder="1" applyFill="1" applyFont="1">
      <alignment horizontal="center" readingOrder="0"/>
    </xf>
    <xf borderId="0" fillId="4" fontId="7" numFmtId="0" xfId="0" applyAlignment="1" applyFill="1" applyFont="1">
      <alignment horizontal="left" shrinkToFit="0" vertical="bottom" wrapText="0"/>
    </xf>
    <xf borderId="0" fillId="0" fontId="1" numFmtId="166" xfId="0" applyFont="1" applyNumberFormat="1"/>
  </cellXfs>
  <cellStyles count="1">
    <cellStyle xfId="0" name="Normal" builtinId="0"/>
  </cellStyles>
  <dxfs count="5">
    <dxf>
      <font/>
      <fill>
        <patternFill patternType="none"/>
      </fill>
      <border/>
    </dxf>
    <dxf>
      <font/>
      <fill>
        <patternFill patternType="solid">
          <fgColor rgb="FF356854"/>
          <bgColor rgb="FF356854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6F8F9"/>
          <bgColor rgb="FFF6F8F9"/>
        </patternFill>
      </fill>
      <border/>
    </dxf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</border>
    </dxf>
  </dxfs>
  <tableStyles count="2">
    <tableStyle count="4" pivot="0" name="Hoja 1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Hoja 1-style 2">
      <tableStyleElement dxfId="1" type="headerRow"/>
      <tableStyleElement dxfId="2" type="firstRowStripe"/>
      <tableStyleElement dxfId="3" type="secondRowStripe"/>
      <tableStyleElement dxfId="4" size="0" type="wholeTabl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ables/table1.xml><?xml version="1.0" encoding="utf-8"?>
<table xmlns="http://schemas.openxmlformats.org/spreadsheetml/2006/main" ref="A3:P15" displayName="AÑO_1" name="AÑO_1" id="1">
  <tableColumns count="16">
    <tableColumn name="Producto" id="1"/>
    <tableColumn name="Cantidad [Tn]" id="2"/>
    <tableColumn name="Tn x Semana" id="3"/>
    <tableColumn name="En gramos" id="4"/>
    <tableColumn name="Peso x bolsa en gramos" id="5"/>
    <tableColumn name="Cantidad de bolsas" id="6"/>
    <tableColumn name="Cantidad de bolsas x caja" id="7"/>
    <tableColumn name="Cantidad de cajas" id="8"/>
    <tableColumn name="Cajas largo x ancho x alto " id="9"/>
    <tableColumn name="Cantidad de cajas por piso" id="10"/>
    <tableColumn name="Cantidad de pisos" id="11"/>
    <tableColumn name="Peso de la caja en kg" id="12"/>
    <tableColumn name="Peso x pallet" id="13"/>
    <tableColumn name="Cajas x pallet" id="14"/>
    <tableColumn name="Pallets" id="15"/>
    <tableColumn name="Cantidad de pallets x semana" id="16"/>
  </tableColumns>
  <tableStyleInfo name="Hoja 1-style" showColumnStripes="0" showFirstColumn="1" showLastColumn="1" showRowStripes="1"/>
</table>
</file>

<file path=xl/tables/table2.xml><?xml version="1.0" encoding="utf-8"?>
<table xmlns="http://schemas.openxmlformats.org/spreadsheetml/2006/main" ref="A18:P30" displayName="AÑO_10" name="AÑO_10" id="2">
  <tableColumns count="16">
    <tableColumn name="Producto" id="1"/>
    <tableColumn name="Cantidad [Tn]" id="2"/>
    <tableColumn name="Tn x Semana" id="3"/>
    <tableColumn name="En gramos" id="4"/>
    <tableColumn name="Peso x bolsa en gramos" id="5"/>
    <tableColumn name="Cantidad de bolsas" id="6"/>
    <tableColumn name="Cantidad de bolsas x caja" id="7"/>
    <tableColumn name="Cantidad de cajas" id="8"/>
    <tableColumn name="Cajas largo x ancho x alto " id="9"/>
    <tableColumn name="Cantidad de cajas por piso" id="10"/>
    <tableColumn name="Cantidad de pisos" id="11"/>
    <tableColumn name="Peso de la caja en kg" id="12"/>
    <tableColumn name="Peso x pallet" id="13"/>
    <tableColumn name="Cajas x pallet" id="14"/>
    <tableColumn name="Pallets" id="15"/>
    <tableColumn name="Cantidad de pallets x semana" id="16"/>
  </tableColumns>
  <tableStyleInfo name="Hoja 1-style 2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Relationship Id="rId4" Type="http://schemas.openxmlformats.org/officeDocument/2006/relationships/table" Target="../tables/table1.xml"/><Relationship Id="rId5" Type="http://schemas.openxmlformats.org/officeDocument/2006/relationships/table" Target="../tables/table2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30.0"/>
    <col customWidth="1" min="2" max="2" width="18.25"/>
    <col customWidth="1" min="3" max="3" width="14.38"/>
    <col customWidth="1" min="4" max="4" width="16.13"/>
    <col customWidth="1" min="5" max="5" width="14.63"/>
    <col customWidth="1" min="6" max="7" width="15.38"/>
    <col customWidth="1" min="8" max="8" width="15.0"/>
    <col customWidth="1" min="10" max="11" width="15.0"/>
    <col customWidth="1" min="12" max="12" width="33.0"/>
    <col customWidth="1" min="13" max="13" width="16.13"/>
    <col customWidth="1" min="14" max="14" width="13.75"/>
    <col customWidth="1" min="15" max="15" width="13.63"/>
    <col customWidth="1" min="16" max="16" width="15.63"/>
  </cols>
  <sheetData>
    <row r="1">
      <c r="A1" s="17" t="s">
        <v>73</v>
      </c>
      <c r="B1" s="17"/>
      <c r="C1" s="17"/>
      <c r="D1" s="17"/>
      <c r="E1" s="17"/>
      <c r="F1" s="17"/>
      <c r="G1" s="17"/>
      <c r="H1" s="17"/>
      <c r="I1" s="17"/>
      <c r="J1" s="17"/>
      <c r="K1" s="17"/>
      <c r="L1" s="17"/>
      <c r="M1" s="17"/>
      <c r="N1" s="17"/>
      <c r="O1" s="17"/>
    </row>
    <row r="2">
      <c r="A2" s="17"/>
      <c r="B2" s="17"/>
      <c r="C2" s="17"/>
      <c r="D2" s="17"/>
      <c r="E2" s="17"/>
      <c r="F2" s="17"/>
      <c r="G2" s="17"/>
      <c r="H2" s="17"/>
      <c r="I2" s="17"/>
      <c r="J2" s="17"/>
      <c r="K2" s="17"/>
      <c r="L2" s="17"/>
      <c r="M2" s="17"/>
      <c r="N2" s="17"/>
      <c r="O2" s="17"/>
    </row>
    <row r="3" ht="23.25" customHeight="1">
      <c r="A3" s="21" t="s">
        <v>2</v>
      </c>
      <c r="B3" s="21" t="s">
        <v>57</v>
      </c>
      <c r="C3" s="21" t="s">
        <v>58</v>
      </c>
      <c r="D3" s="21" t="s">
        <v>59</v>
      </c>
      <c r="E3" s="21" t="s">
        <v>60</v>
      </c>
      <c r="F3" s="21" t="s">
        <v>61</v>
      </c>
      <c r="G3" s="21" t="s">
        <v>62</v>
      </c>
      <c r="H3" s="21" t="s">
        <v>63</v>
      </c>
      <c r="I3" s="21" t="s">
        <v>64</v>
      </c>
      <c r="J3" s="21" t="s">
        <v>65</v>
      </c>
      <c r="K3" s="21" t="s">
        <v>66</v>
      </c>
      <c r="L3" s="21" t="s">
        <v>67</v>
      </c>
      <c r="M3" s="21" t="s">
        <v>68</v>
      </c>
      <c r="N3" s="21" t="s">
        <v>69</v>
      </c>
      <c r="O3" s="27" t="s">
        <v>70</v>
      </c>
      <c r="P3" s="27" t="s">
        <v>88</v>
      </c>
    </row>
    <row r="4" ht="22.5" customHeight="1">
      <c r="A4" s="28" t="s">
        <v>16</v>
      </c>
      <c r="B4" s="28">
        <v>53.0</v>
      </c>
      <c r="C4" s="28">
        <f t="shared" ref="C4:C14" si="1">B4/52</f>
        <v>1.019230769</v>
      </c>
      <c r="D4" s="28">
        <f t="shared" ref="D4:D14" si="2">C4*1000000</f>
        <v>1019230.769</v>
      </c>
      <c r="E4" s="28">
        <v>150.0</v>
      </c>
      <c r="F4" s="28">
        <f t="shared" ref="F4:F14" si="3">ROUND(D4/E4,0)</f>
        <v>6795</v>
      </c>
      <c r="G4" s="33">
        <v>12.0</v>
      </c>
      <c r="H4" s="34">
        <f t="shared" ref="H4:H14" si="4">ROUND(F4/G4,0)</f>
        <v>566</v>
      </c>
      <c r="I4" s="35" t="s">
        <v>72</v>
      </c>
      <c r="J4" s="34">
        <f t="shared" ref="J4:J14" si="5">3*5</f>
        <v>15</v>
      </c>
      <c r="K4" s="33">
        <v>8.0</v>
      </c>
      <c r="L4" s="33">
        <v>2.9</v>
      </c>
      <c r="M4" s="34">
        <f t="shared" ref="M4:M14" si="6">L4*N4</f>
        <v>348</v>
      </c>
      <c r="N4" s="34">
        <f t="shared" ref="N4:N14" si="7">J4*K4</f>
        <v>120</v>
      </c>
      <c r="O4" s="36">
        <f t="shared" ref="O4:O14" si="8">H4/N4</f>
        <v>4.716666667</v>
      </c>
      <c r="P4" s="37">
        <f t="shared" ref="P4:P14" si="9">IF(O4&lt;1,1,ROUND(O4,0))</f>
        <v>5</v>
      </c>
    </row>
    <row r="5" ht="22.5" customHeight="1">
      <c r="A5" s="28" t="s">
        <v>20</v>
      </c>
      <c r="B5" s="28">
        <v>7.0</v>
      </c>
      <c r="C5" s="28">
        <f t="shared" si="1"/>
        <v>0.1346153846</v>
      </c>
      <c r="D5" s="28">
        <f t="shared" si="2"/>
        <v>134615.3846</v>
      </c>
      <c r="E5" s="28">
        <v>150.0</v>
      </c>
      <c r="F5" s="28">
        <f t="shared" si="3"/>
        <v>897</v>
      </c>
      <c r="G5" s="33">
        <v>12.0</v>
      </c>
      <c r="H5" s="34">
        <f t="shared" si="4"/>
        <v>75</v>
      </c>
      <c r="I5" s="35" t="s">
        <v>72</v>
      </c>
      <c r="J5" s="34">
        <f t="shared" si="5"/>
        <v>15</v>
      </c>
      <c r="K5" s="33">
        <v>8.0</v>
      </c>
      <c r="L5" s="33">
        <v>2.9</v>
      </c>
      <c r="M5" s="34">
        <f t="shared" si="6"/>
        <v>348</v>
      </c>
      <c r="N5" s="34">
        <f t="shared" si="7"/>
        <v>120</v>
      </c>
      <c r="O5" s="36">
        <f t="shared" si="8"/>
        <v>0.625</v>
      </c>
      <c r="P5" s="37">
        <f t="shared" si="9"/>
        <v>1</v>
      </c>
    </row>
    <row r="6" ht="22.5" customHeight="1">
      <c r="A6" s="28" t="s">
        <v>24</v>
      </c>
      <c r="B6" s="28">
        <v>16.0</v>
      </c>
      <c r="C6" s="28">
        <f t="shared" si="1"/>
        <v>0.3076923077</v>
      </c>
      <c r="D6" s="28">
        <f t="shared" si="2"/>
        <v>307692.3077</v>
      </c>
      <c r="E6" s="28">
        <v>150.0</v>
      </c>
      <c r="F6" s="28">
        <f t="shared" si="3"/>
        <v>2051</v>
      </c>
      <c r="G6" s="33">
        <v>12.0</v>
      </c>
      <c r="H6" s="34">
        <f t="shared" si="4"/>
        <v>171</v>
      </c>
      <c r="I6" s="35" t="s">
        <v>72</v>
      </c>
      <c r="J6" s="34">
        <f t="shared" si="5"/>
        <v>15</v>
      </c>
      <c r="K6" s="33">
        <v>8.0</v>
      </c>
      <c r="L6" s="33">
        <v>2.9</v>
      </c>
      <c r="M6" s="34">
        <f t="shared" si="6"/>
        <v>348</v>
      </c>
      <c r="N6" s="34">
        <f t="shared" si="7"/>
        <v>120</v>
      </c>
      <c r="O6" s="36">
        <f t="shared" si="8"/>
        <v>1.425</v>
      </c>
      <c r="P6" s="37">
        <f t="shared" si="9"/>
        <v>1</v>
      </c>
    </row>
    <row r="7" ht="22.5" customHeight="1">
      <c r="A7" s="28" t="s">
        <v>33</v>
      </c>
      <c r="B7" s="28">
        <v>49.0</v>
      </c>
      <c r="C7" s="28">
        <f t="shared" si="1"/>
        <v>0.9423076923</v>
      </c>
      <c r="D7" s="28">
        <f t="shared" si="2"/>
        <v>942307.6923</v>
      </c>
      <c r="E7" s="28">
        <v>150.0</v>
      </c>
      <c r="F7" s="28">
        <f t="shared" si="3"/>
        <v>6282</v>
      </c>
      <c r="G7" s="33">
        <v>12.0</v>
      </c>
      <c r="H7" s="34">
        <f t="shared" si="4"/>
        <v>524</v>
      </c>
      <c r="I7" s="35" t="s">
        <v>72</v>
      </c>
      <c r="J7" s="34">
        <f t="shared" si="5"/>
        <v>15</v>
      </c>
      <c r="K7" s="33">
        <v>8.0</v>
      </c>
      <c r="L7" s="33">
        <v>2.9</v>
      </c>
      <c r="M7" s="34">
        <f t="shared" si="6"/>
        <v>348</v>
      </c>
      <c r="N7" s="34">
        <f t="shared" si="7"/>
        <v>120</v>
      </c>
      <c r="O7" s="36">
        <f t="shared" si="8"/>
        <v>4.366666667</v>
      </c>
      <c r="P7" s="37">
        <f t="shared" si="9"/>
        <v>4</v>
      </c>
    </row>
    <row r="8" ht="22.5" customHeight="1">
      <c r="A8" s="28" t="s">
        <v>42</v>
      </c>
      <c r="B8" s="28">
        <v>7.0</v>
      </c>
      <c r="C8" s="28">
        <f t="shared" si="1"/>
        <v>0.1346153846</v>
      </c>
      <c r="D8" s="28">
        <f t="shared" si="2"/>
        <v>134615.3846</v>
      </c>
      <c r="E8" s="28">
        <v>150.0</v>
      </c>
      <c r="F8" s="28">
        <f t="shared" si="3"/>
        <v>897</v>
      </c>
      <c r="G8" s="33">
        <v>12.0</v>
      </c>
      <c r="H8" s="34">
        <f t="shared" si="4"/>
        <v>75</v>
      </c>
      <c r="I8" s="35" t="s">
        <v>72</v>
      </c>
      <c r="J8" s="34">
        <f t="shared" si="5"/>
        <v>15</v>
      </c>
      <c r="K8" s="33">
        <v>8.0</v>
      </c>
      <c r="L8" s="33">
        <v>2.9</v>
      </c>
      <c r="M8" s="34">
        <f t="shared" si="6"/>
        <v>348</v>
      </c>
      <c r="N8" s="34">
        <f t="shared" si="7"/>
        <v>120</v>
      </c>
      <c r="O8" s="36">
        <f t="shared" si="8"/>
        <v>0.625</v>
      </c>
      <c r="P8" s="37">
        <f t="shared" si="9"/>
        <v>1</v>
      </c>
    </row>
    <row r="9" ht="22.5" customHeight="1">
      <c r="A9" s="28" t="s">
        <v>44</v>
      </c>
      <c r="B9" s="28">
        <v>16.0</v>
      </c>
      <c r="C9" s="28">
        <f t="shared" si="1"/>
        <v>0.3076923077</v>
      </c>
      <c r="D9" s="28">
        <f t="shared" si="2"/>
        <v>307692.3077</v>
      </c>
      <c r="E9" s="28">
        <v>150.0</v>
      </c>
      <c r="F9" s="28">
        <f t="shared" si="3"/>
        <v>2051</v>
      </c>
      <c r="G9" s="33">
        <v>12.0</v>
      </c>
      <c r="H9" s="34">
        <f t="shared" si="4"/>
        <v>171</v>
      </c>
      <c r="I9" s="35" t="s">
        <v>72</v>
      </c>
      <c r="J9" s="34">
        <f t="shared" si="5"/>
        <v>15</v>
      </c>
      <c r="K9" s="33">
        <v>8.0</v>
      </c>
      <c r="L9" s="33">
        <v>2.9</v>
      </c>
      <c r="M9" s="34">
        <f t="shared" si="6"/>
        <v>348</v>
      </c>
      <c r="N9" s="34">
        <f t="shared" si="7"/>
        <v>120</v>
      </c>
      <c r="O9" s="36">
        <f t="shared" si="8"/>
        <v>1.425</v>
      </c>
      <c r="P9" s="37">
        <f t="shared" si="9"/>
        <v>1</v>
      </c>
    </row>
    <row r="10" ht="22.5" customHeight="1">
      <c r="A10" s="28" t="s">
        <v>46</v>
      </c>
      <c r="B10" s="28">
        <v>12.0</v>
      </c>
      <c r="C10" s="28">
        <f t="shared" si="1"/>
        <v>0.2307692308</v>
      </c>
      <c r="D10" s="28">
        <f t="shared" si="2"/>
        <v>230769.2308</v>
      </c>
      <c r="E10" s="28">
        <v>150.0</v>
      </c>
      <c r="F10" s="28">
        <f t="shared" si="3"/>
        <v>1538</v>
      </c>
      <c r="G10" s="33">
        <v>12.0</v>
      </c>
      <c r="H10" s="34">
        <f t="shared" si="4"/>
        <v>128</v>
      </c>
      <c r="I10" s="35" t="s">
        <v>72</v>
      </c>
      <c r="J10" s="34">
        <f t="shared" si="5"/>
        <v>15</v>
      </c>
      <c r="K10" s="33">
        <v>8.0</v>
      </c>
      <c r="L10" s="33">
        <v>2.9</v>
      </c>
      <c r="M10" s="34">
        <f t="shared" si="6"/>
        <v>348</v>
      </c>
      <c r="N10" s="34">
        <f t="shared" si="7"/>
        <v>120</v>
      </c>
      <c r="O10" s="36">
        <f t="shared" si="8"/>
        <v>1.066666667</v>
      </c>
      <c r="P10" s="37">
        <f t="shared" si="9"/>
        <v>1</v>
      </c>
    </row>
    <row r="11" ht="22.5" customHeight="1">
      <c r="A11" s="28" t="s">
        <v>48</v>
      </c>
      <c r="B11" s="28">
        <v>28.0</v>
      </c>
      <c r="C11" s="28">
        <f t="shared" si="1"/>
        <v>0.5384615385</v>
      </c>
      <c r="D11" s="28">
        <f t="shared" si="2"/>
        <v>538461.5385</v>
      </c>
      <c r="E11" s="28">
        <v>150.0</v>
      </c>
      <c r="F11" s="28">
        <f t="shared" si="3"/>
        <v>3590</v>
      </c>
      <c r="G11" s="33">
        <v>12.0</v>
      </c>
      <c r="H11" s="34">
        <f t="shared" si="4"/>
        <v>299</v>
      </c>
      <c r="I11" s="35" t="s">
        <v>72</v>
      </c>
      <c r="J11" s="34">
        <f t="shared" si="5"/>
        <v>15</v>
      </c>
      <c r="K11" s="33">
        <v>8.0</v>
      </c>
      <c r="L11" s="33">
        <v>2.9</v>
      </c>
      <c r="M11" s="34">
        <f t="shared" si="6"/>
        <v>348</v>
      </c>
      <c r="N11" s="34">
        <f t="shared" si="7"/>
        <v>120</v>
      </c>
      <c r="O11" s="36">
        <f t="shared" si="8"/>
        <v>2.491666667</v>
      </c>
      <c r="P11" s="37">
        <f t="shared" si="9"/>
        <v>2</v>
      </c>
    </row>
    <row r="12" ht="22.5" customHeight="1">
      <c r="A12" s="28" t="s">
        <v>50</v>
      </c>
      <c r="B12" s="28">
        <v>61.0</v>
      </c>
      <c r="C12" s="28">
        <f t="shared" si="1"/>
        <v>1.173076923</v>
      </c>
      <c r="D12" s="28">
        <f t="shared" si="2"/>
        <v>1173076.923</v>
      </c>
      <c r="E12" s="28">
        <v>150.0</v>
      </c>
      <c r="F12" s="28">
        <f t="shared" si="3"/>
        <v>7821</v>
      </c>
      <c r="G12" s="33">
        <v>12.0</v>
      </c>
      <c r="H12" s="34">
        <f t="shared" si="4"/>
        <v>652</v>
      </c>
      <c r="I12" s="35" t="s">
        <v>72</v>
      </c>
      <c r="J12" s="34">
        <f t="shared" si="5"/>
        <v>15</v>
      </c>
      <c r="K12" s="33">
        <v>8.0</v>
      </c>
      <c r="L12" s="33">
        <v>2.9</v>
      </c>
      <c r="M12" s="34">
        <f t="shared" si="6"/>
        <v>348</v>
      </c>
      <c r="N12" s="34">
        <f t="shared" si="7"/>
        <v>120</v>
      </c>
      <c r="O12" s="36">
        <f t="shared" si="8"/>
        <v>5.433333333</v>
      </c>
      <c r="P12" s="37">
        <f t="shared" si="9"/>
        <v>5</v>
      </c>
    </row>
    <row r="13" ht="22.5" customHeight="1">
      <c r="A13" s="28" t="s">
        <v>53</v>
      </c>
      <c r="B13" s="28">
        <v>74.0</v>
      </c>
      <c r="C13" s="28">
        <f t="shared" si="1"/>
        <v>1.423076923</v>
      </c>
      <c r="D13" s="28">
        <f t="shared" si="2"/>
        <v>1423076.923</v>
      </c>
      <c r="E13" s="28">
        <v>150.0</v>
      </c>
      <c r="F13" s="28">
        <f t="shared" si="3"/>
        <v>9487</v>
      </c>
      <c r="G13" s="33">
        <v>12.0</v>
      </c>
      <c r="H13" s="34">
        <f t="shared" si="4"/>
        <v>791</v>
      </c>
      <c r="I13" s="35" t="s">
        <v>72</v>
      </c>
      <c r="J13" s="34">
        <f t="shared" si="5"/>
        <v>15</v>
      </c>
      <c r="K13" s="33">
        <v>8.0</v>
      </c>
      <c r="L13" s="33">
        <v>2.9</v>
      </c>
      <c r="M13" s="34">
        <f t="shared" si="6"/>
        <v>348</v>
      </c>
      <c r="N13" s="34">
        <f t="shared" si="7"/>
        <v>120</v>
      </c>
      <c r="O13" s="36">
        <f t="shared" si="8"/>
        <v>6.591666667</v>
      </c>
      <c r="P13" s="37">
        <f t="shared" si="9"/>
        <v>7</v>
      </c>
    </row>
    <row r="14" ht="22.5" customHeight="1">
      <c r="A14" s="28" t="s">
        <v>55</v>
      </c>
      <c r="B14" s="28">
        <v>32.0</v>
      </c>
      <c r="C14" s="28">
        <f t="shared" si="1"/>
        <v>0.6153846154</v>
      </c>
      <c r="D14" s="28">
        <f t="shared" si="2"/>
        <v>615384.6154</v>
      </c>
      <c r="E14" s="28">
        <v>150.0</v>
      </c>
      <c r="F14" s="28">
        <f t="shared" si="3"/>
        <v>4103</v>
      </c>
      <c r="G14" s="33">
        <v>12.0</v>
      </c>
      <c r="H14" s="34">
        <f t="shared" si="4"/>
        <v>342</v>
      </c>
      <c r="I14" s="35" t="s">
        <v>72</v>
      </c>
      <c r="J14" s="34">
        <f t="shared" si="5"/>
        <v>15</v>
      </c>
      <c r="K14" s="33">
        <v>8.0</v>
      </c>
      <c r="L14" s="33">
        <v>2.9</v>
      </c>
      <c r="M14" s="34">
        <f t="shared" si="6"/>
        <v>348</v>
      </c>
      <c r="N14" s="34">
        <f t="shared" si="7"/>
        <v>120</v>
      </c>
      <c r="O14" s="36">
        <f t="shared" si="8"/>
        <v>2.85</v>
      </c>
      <c r="P14" s="37">
        <f t="shared" si="9"/>
        <v>3</v>
      </c>
    </row>
    <row r="15" ht="22.5" customHeight="1">
      <c r="A15" s="38"/>
      <c r="B15" s="39"/>
      <c r="C15" s="39"/>
      <c r="D15" s="39"/>
      <c r="E15" s="39"/>
      <c r="F15" s="39"/>
      <c r="G15" s="39"/>
      <c r="H15" s="39"/>
      <c r="I15" s="38"/>
      <c r="J15" s="39"/>
      <c r="K15" s="40"/>
      <c r="L15" s="39"/>
      <c r="M15" s="40"/>
      <c r="N15" s="41" t="s">
        <v>92</v>
      </c>
      <c r="O15" s="41"/>
      <c r="P15" s="42">
        <f>SUM(P4:P14)</f>
        <v>31</v>
      </c>
    </row>
    <row r="16">
      <c r="A16" s="17"/>
      <c r="B16" s="17"/>
      <c r="C16" s="17"/>
      <c r="D16" s="17"/>
      <c r="E16" s="17"/>
      <c r="F16" s="17"/>
      <c r="G16" s="17"/>
      <c r="H16" s="17"/>
      <c r="I16" s="17"/>
      <c r="J16" s="17"/>
      <c r="K16" s="43"/>
      <c r="L16" s="17"/>
      <c r="M16" s="43"/>
      <c r="N16" s="17"/>
      <c r="O16" s="43"/>
    </row>
    <row r="17">
      <c r="A17" s="17"/>
      <c r="B17" s="17"/>
      <c r="C17" s="17"/>
      <c r="D17" s="17"/>
      <c r="E17" s="17"/>
      <c r="F17" s="17"/>
      <c r="G17" s="17"/>
      <c r="H17" s="17"/>
      <c r="I17" s="17"/>
      <c r="J17" s="17"/>
      <c r="K17" s="17"/>
      <c r="L17" s="17"/>
      <c r="M17" s="17"/>
      <c r="N17" s="17"/>
      <c r="O17" s="17"/>
    </row>
    <row r="18" ht="22.5" customHeight="1">
      <c r="A18" s="21" t="s">
        <v>2</v>
      </c>
      <c r="B18" s="21" t="s">
        <v>57</v>
      </c>
      <c r="C18" s="21" t="s">
        <v>58</v>
      </c>
      <c r="D18" s="21" t="s">
        <v>59</v>
      </c>
      <c r="E18" s="21" t="s">
        <v>60</v>
      </c>
      <c r="F18" s="21" t="s">
        <v>61</v>
      </c>
      <c r="G18" s="21" t="s">
        <v>62</v>
      </c>
      <c r="H18" s="21" t="s">
        <v>63</v>
      </c>
      <c r="I18" s="21" t="s">
        <v>64</v>
      </c>
      <c r="J18" s="21" t="s">
        <v>65</v>
      </c>
      <c r="K18" s="21" t="s">
        <v>66</v>
      </c>
      <c r="L18" s="21" t="s">
        <v>67</v>
      </c>
      <c r="M18" s="21" t="s">
        <v>68</v>
      </c>
      <c r="N18" s="21" t="s">
        <v>69</v>
      </c>
      <c r="O18" s="27" t="s">
        <v>70</v>
      </c>
      <c r="P18" s="27" t="s">
        <v>88</v>
      </c>
    </row>
    <row r="19" ht="22.5" customHeight="1">
      <c r="A19" s="28" t="s">
        <v>16</v>
      </c>
      <c r="B19" s="28">
        <v>101.0</v>
      </c>
      <c r="C19" s="28">
        <f t="shared" ref="C19:C29" si="10">B19/52</f>
        <v>1.942307692</v>
      </c>
      <c r="D19" s="28">
        <f t="shared" ref="D19:D29" si="11">C19*1000000</f>
        <v>1942307.692</v>
      </c>
      <c r="E19" s="28">
        <v>150.0</v>
      </c>
      <c r="F19" s="28">
        <f t="shared" ref="F19:F29" si="12">ROUND(D19/E19,0)</f>
        <v>12949</v>
      </c>
      <c r="G19" s="33">
        <v>12.0</v>
      </c>
      <c r="H19" s="34">
        <f t="shared" ref="H19:H29" si="13">ROUND(F19/G19,0)</f>
        <v>1079</v>
      </c>
      <c r="I19" s="35" t="s">
        <v>72</v>
      </c>
      <c r="J19" s="34">
        <f t="shared" ref="J19:J29" si="14">3*5</f>
        <v>15</v>
      </c>
      <c r="K19" s="33">
        <v>8.0</v>
      </c>
      <c r="L19" s="33">
        <v>2.9</v>
      </c>
      <c r="M19" s="34">
        <f t="shared" ref="M19:M29" si="15">L19*N19</f>
        <v>348</v>
      </c>
      <c r="N19" s="34">
        <f t="shared" ref="N19:N29" si="16">J19*K19</f>
        <v>120</v>
      </c>
      <c r="O19" s="36">
        <f t="shared" ref="O19:O29" si="17">H19/N19</f>
        <v>8.991666667</v>
      </c>
      <c r="P19" s="37">
        <f t="shared" ref="P19:P29" si="18">IF(O19&lt;1,1,ROUND(O19,0))</f>
        <v>9</v>
      </c>
    </row>
    <row r="20" ht="22.5" customHeight="1">
      <c r="A20" s="28" t="s">
        <v>20</v>
      </c>
      <c r="B20" s="28">
        <v>13.0</v>
      </c>
      <c r="C20" s="28">
        <f t="shared" si="10"/>
        <v>0.25</v>
      </c>
      <c r="D20" s="28">
        <f t="shared" si="11"/>
        <v>250000</v>
      </c>
      <c r="E20" s="28">
        <v>150.0</v>
      </c>
      <c r="F20" s="28">
        <f t="shared" si="12"/>
        <v>1667</v>
      </c>
      <c r="G20" s="33">
        <v>12.0</v>
      </c>
      <c r="H20" s="34">
        <f t="shared" si="13"/>
        <v>139</v>
      </c>
      <c r="I20" s="35" t="s">
        <v>72</v>
      </c>
      <c r="J20" s="34">
        <f t="shared" si="14"/>
        <v>15</v>
      </c>
      <c r="K20" s="33">
        <v>8.0</v>
      </c>
      <c r="L20" s="33">
        <v>2.9</v>
      </c>
      <c r="M20" s="34">
        <f t="shared" si="15"/>
        <v>348</v>
      </c>
      <c r="N20" s="34">
        <f t="shared" si="16"/>
        <v>120</v>
      </c>
      <c r="O20" s="36">
        <f t="shared" si="17"/>
        <v>1.158333333</v>
      </c>
      <c r="P20" s="37">
        <f t="shared" si="18"/>
        <v>1</v>
      </c>
    </row>
    <row r="21" ht="22.5" customHeight="1">
      <c r="A21" s="28" t="s">
        <v>24</v>
      </c>
      <c r="B21" s="28">
        <v>31.0</v>
      </c>
      <c r="C21" s="28">
        <f t="shared" si="10"/>
        <v>0.5961538462</v>
      </c>
      <c r="D21" s="28">
        <f t="shared" si="11"/>
        <v>596153.8462</v>
      </c>
      <c r="E21" s="28">
        <v>150.0</v>
      </c>
      <c r="F21" s="28">
        <f t="shared" si="12"/>
        <v>3974</v>
      </c>
      <c r="G21" s="33">
        <v>12.0</v>
      </c>
      <c r="H21" s="34">
        <f t="shared" si="13"/>
        <v>331</v>
      </c>
      <c r="I21" s="35" t="s">
        <v>72</v>
      </c>
      <c r="J21" s="34">
        <f t="shared" si="14"/>
        <v>15</v>
      </c>
      <c r="K21" s="33">
        <v>8.0</v>
      </c>
      <c r="L21" s="33">
        <v>2.9</v>
      </c>
      <c r="M21" s="34">
        <f t="shared" si="15"/>
        <v>348</v>
      </c>
      <c r="N21" s="34">
        <f t="shared" si="16"/>
        <v>120</v>
      </c>
      <c r="O21" s="36">
        <f t="shared" si="17"/>
        <v>2.758333333</v>
      </c>
      <c r="P21" s="37">
        <f t="shared" si="18"/>
        <v>3</v>
      </c>
    </row>
    <row r="22" ht="22.5" customHeight="1">
      <c r="A22" s="28" t="s">
        <v>33</v>
      </c>
      <c r="B22" s="28">
        <v>94.0</v>
      </c>
      <c r="C22" s="28">
        <f t="shared" si="10"/>
        <v>1.807692308</v>
      </c>
      <c r="D22" s="28">
        <f t="shared" si="11"/>
        <v>1807692.308</v>
      </c>
      <c r="E22" s="28">
        <v>150.0</v>
      </c>
      <c r="F22" s="28">
        <f t="shared" si="12"/>
        <v>12051</v>
      </c>
      <c r="G22" s="33">
        <v>12.0</v>
      </c>
      <c r="H22" s="34">
        <f t="shared" si="13"/>
        <v>1004</v>
      </c>
      <c r="I22" s="35" t="s">
        <v>72</v>
      </c>
      <c r="J22" s="34">
        <f t="shared" si="14"/>
        <v>15</v>
      </c>
      <c r="K22" s="33">
        <v>8.0</v>
      </c>
      <c r="L22" s="33">
        <v>2.9</v>
      </c>
      <c r="M22" s="34">
        <f t="shared" si="15"/>
        <v>348</v>
      </c>
      <c r="N22" s="34">
        <f t="shared" si="16"/>
        <v>120</v>
      </c>
      <c r="O22" s="36">
        <f t="shared" si="17"/>
        <v>8.366666667</v>
      </c>
      <c r="P22" s="37">
        <f t="shared" si="18"/>
        <v>8</v>
      </c>
    </row>
    <row r="23" ht="22.5" customHeight="1">
      <c r="A23" s="28" t="s">
        <v>42</v>
      </c>
      <c r="B23" s="28">
        <v>13.0</v>
      </c>
      <c r="C23" s="28">
        <f t="shared" si="10"/>
        <v>0.25</v>
      </c>
      <c r="D23" s="28">
        <f t="shared" si="11"/>
        <v>250000</v>
      </c>
      <c r="E23" s="28">
        <v>150.0</v>
      </c>
      <c r="F23" s="28">
        <f t="shared" si="12"/>
        <v>1667</v>
      </c>
      <c r="G23" s="33">
        <v>12.0</v>
      </c>
      <c r="H23" s="34">
        <f t="shared" si="13"/>
        <v>139</v>
      </c>
      <c r="I23" s="35" t="s">
        <v>72</v>
      </c>
      <c r="J23" s="34">
        <f t="shared" si="14"/>
        <v>15</v>
      </c>
      <c r="K23" s="33">
        <v>8.0</v>
      </c>
      <c r="L23" s="33">
        <v>2.9</v>
      </c>
      <c r="M23" s="34">
        <f t="shared" si="15"/>
        <v>348</v>
      </c>
      <c r="N23" s="34">
        <f t="shared" si="16"/>
        <v>120</v>
      </c>
      <c r="O23" s="36">
        <f t="shared" si="17"/>
        <v>1.158333333</v>
      </c>
      <c r="P23" s="37">
        <f t="shared" si="18"/>
        <v>1</v>
      </c>
    </row>
    <row r="24" ht="22.5" customHeight="1">
      <c r="A24" s="28" t="s">
        <v>44</v>
      </c>
      <c r="B24" s="28">
        <v>31.0</v>
      </c>
      <c r="C24" s="28">
        <f t="shared" si="10"/>
        <v>0.5961538462</v>
      </c>
      <c r="D24" s="28">
        <f t="shared" si="11"/>
        <v>596153.8462</v>
      </c>
      <c r="E24" s="28">
        <v>150.0</v>
      </c>
      <c r="F24" s="28">
        <f t="shared" si="12"/>
        <v>3974</v>
      </c>
      <c r="G24" s="33">
        <v>12.0</v>
      </c>
      <c r="H24" s="34">
        <f t="shared" si="13"/>
        <v>331</v>
      </c>
      <c r="I24" s="35" t="s">
        <v>72</v>
      </c>
      <c r="J24" s="34">
        <f t="shared" si="14"/>
        <v>15</v>
      </c>
      <c r="K24" s="33">
        <v>8.0</v>
      </c>
      <c r="L24" s="33">
        <v>2.9</v>
      </c>
      <c r="M24" s="34">
        <f t="shared" si="15"/>
        <v>348</v>
      </c>
      <c r="N24" s="34">
        <f t="shared" si="16"/>
        <v>120</v>
      </c>
      <c r="O24" s="36">
        <f t="shared" si="17"/>
        <v>2.758333333</v>
      </c>
      <c r="P24" s="37">
        <f t="shared" si="18"/>
        <v>3</v>
      </c>
    </row>
    <row r="25" ht="22.5" customHeight="1">
      <c r="A25" s="28" t="s">
        <v>46</v>
      </c>
      <c r="B25" s="28">
        <v>23.0</v>
      </c>
      <c r="C25" s="28">
        <f t="shared" si="10"/>
        <v>0.4423076923</v>
      </c>
      <c r="D25" s="28">
        <f t="shared" si="11"/>
        <v>442307.6923</v>
      </c>
      <c r="E25" s="28">
        <v>150.0</v>
      </c>
      <c r="F25" s="28">
        <f t="shared" si="12"/>
        <v>2949</v>
      </c>
      <c r="G25" s="33">
        <v>12.0</v>
      </c>
      <c r="H25" s="34">
        <f t="shared" si="13"/>
        <v>246</v>
      </c>
      <c r="I25" s="35" t="s">
        <v>72</v>
      </c>
      <c r="J25" s="34">
        <f t="shared" si="14"/>
        <v>15</v>
      </c>
      <c r="K25" s="33">
        <v>8.0</v>
      </c>
      <c r="L25" s="33">
        <v>2.9</v>
      </c>
      <c r="M25" s="34">
        <f t="shared" si="15"/>
        <v>348</v>
      </c>
      <c r="N25" s="34">
        <f t="shared" si="16"/>
        <v>120</v>
      </c>
      <c r="O25" s="36">
        <f t="shared" si="17"/>
        <v>2.05</v>
      </c>
      <c r="P25" s="37">
        <f t="shared" si="18"/>
        <v>2</v>
      </c>
    </row>
    <row r="26" ht="22.5" customHeight="1">
      <c r="A26" s="28" t="s">
        <v>48</v>
      </c>
      <c r="B26" s="28">
        <v>53.0</v>
      </c>
      <c r="C26" s="28">
        <f t="shared" si="10"/>
        <v>1.019230769</v>
      </c>
      <c r="D26" s="28">
        <f t="shared" si="11"/>
        <v>1019230.769</v>
      </c>
      <c r="E26" s="28">
        <v>150.0</v>
      </c>
      <c r="F26" s="28">
        <f t="shared" si="12"/>
        <v>6795</v>
      </c>
      <c r="G26" s="33">
        <v>12.0</v>
      </c>
      <c r="H26" s="34">
        <f t="shared" si="13"/>
        <v>566</v>
      </c>
      <c r="I26" s="35" t="s">
        <v>72</v>
      </c>
      <c r="J26" s="34">
        <f t="shared" si="14"/>
        <v>15</v>
      </c>
      <c r="K26" s="33">
        <v>8.0</v>
      </c>
      <c r="L26" s="33">
        <v>2.9</v>
      </c>
      <c r="M26" s="34">
        <f t="shared" si="15"/>
        <v>348</v>
      </c>
      <c r="N26" s="34">
        <f t="shared" si="16"/>
        <v>120</v>
      </c>
      <c r="O26" s="36">
        <f t="shared" si="17"/>
        <v>4.716666667</v>
      </c>
      <c r="P26" s="37">
        <f t="shared" si="18"/>
        <v>5</v>
      </c>
    </row>
    <row r="27" ht="22.5" customHeight="1">
      <c r="A27" s="28" t="s">
        <v>50</v>
      </c>
      <c r="B27" s="28">
        <v>118.0</v>
      </c>
      <c r="C27" s="28">
        <f t="shared" si="10"/>
        <v>2.269230769</v>
      </c>
      <c r="D27" s="28">
        <f t="shared" si="11"/>
        <v>2269230.769</v>
      </c>
      <c r="E27" s="28">
        <v>150.0</v>
      </c>
      <c r="F27" s="28">
        <f t="shared" si="12"/>
        <v>15128</v>
      </c>
      <c r="G27" s="33">
        <v>12.0</v>
      </c>
      <c r="H27" s="34">
        <f t="shared" si="13"/>
        <v>1261</v>
      </c>
      <c r="I27" s="35" t="s">
        <v>72</v>
      </c>
      <c r="J27" s="34">
        <f t="shared" si="14"/>
        <v>15</v>
      </c>
      <c r="K27" s="33">
        <v>8.0</v>
      </c>
      <c r="L27" s="33">
        <v>2.9</v>
      </c>
      <c r="M27" s="34">
        <f t="shared" si="15"/>
        <v>348</v>
      </c>
      <c r="N27" s="34">
        <f t="shared" si="16"/>
        <v>120</v>
      </c>
      <c r="O27" s="36">
        <f t="shared" si="17"/>
        <v>10.50833333</v>
      </c>
      <c r="P27" s="37">
        <f t="shared" si="18"/>
        <v>11</v>
      </c>
    </row>
    <row r="28" ht="22.5" customHeight="1">
      <c r="A28" s="28" t="s">
        <v>53</v>
      </c>
      <c r="B28" s="28">
        <v>141.0</v>
      </c>
      <c r="C28" s="28">
        <f t="shared" si="10"/>
        <v>2.711538462</v>
      </c>
      <c r="D28" s="28">
        <f t="shared" si="11"/>
        <v>2711538.462</v>
      </c>
      <c r="E28" s="28">
        <v>150.0</v>
      </c>
      <c r="F28" s="28">
        <f t="shared" si="12"/>
        <v>18077</v>
      </c>
      <c r="G28" s="33">
        <v>12.0</v>
      </c>
      <c r="H28" s="34">
        <f t="shared" si="13"/>
        <v>1506</v>
      </c>
      <c r="I28" s="35" t="s">
        <v>72</v>
      </c>
      <c r="J28" s="34">
        <f t="shared" si="14"/>
        <v>15</v>
      </c>
      <c r="K28" s="33">
        <v>8.0</v>
      </c>
      <c r="L28" s="33">
        <v>2.9</v>
      </c>
      <c r="M28" s="34">
        <f t="shared" si="15"/>
        <v>348</v>
      </c>
      <c r="N28" s="34">
        <f t="shared" si="16"/>
        <v>120</v>
      </c>
      <c r="O28" s="36">
        <f t="shared" si="17"/>
        <v>12.55</v>
      </c>
      <c r="P28" s="37">
        <f t="shared" si="18"/>
        <v>13</v>
      </c>
    </row>
    <row r="29" ht="22.5" customHeight="1">
      <c r="A29" s="28" t="s">
        <v>55</v>
      </c>
      <c r="B29" s="28">
        <v>61.0</v>
      </c>
      <c r="C29" s="28">
        <f t="shared" si="10"/>
        <v>1.173076923</v>
      </c>
      <c r="D29" s="28">
        <f t="shared" si="11"/>
        <v>1173076.923</v>
      </c>
      <c r="E29" s="28">
        <v>150.0</v>
      </c>
      <c r="F29" s="28">
        <f t="shared" si="12"/>
        <v>7821</v>
      </c>
      <c r="G29" s="33">
        <v>12.0</v>
      </c>
      <c r="H29" s="34">
        <f t="shared" si="13"/>
        <v>652</v>
      </c>
      <c r="I29" s="35" t="s">
        <v>72</v>
      </c>
      <c r="J29" s="34">
        <f t="shared" si="14"/>
        <v>15</v>
      </c>
      <c r="K29" s="33">
        <v>8.0</v>
      </c>
      <c r="L29" s="33">
        <v>2.9</v>
      </c>
      <c r="M29" s="34">
        <f t="shared" si="15"/>
        <v>348</v>
      </c>
      <c r="N29" s="34">
        <f t="shared" si="16"/>
        <v>120</v>
      </c>
      <c r="O29" s="36">
        <f t="shared" si="17"/>
        <v>5.433333333</v>
      </c>
      <c r="P29" s="37">
        <f t="shared" si="18"/>
        <v>5</v>
      </c>
    </row>
    <row r="30" ht="22.5" customHeight="1">
      <c r="A30" s="38"/>
      <c r="B30" s="39"/>
      <c r="C30" s="39"/>
      <c r="D30" s="39"/>
      <c r="E30" s="39"/>
      <c r="F30" s="39"/>
      <c r="G30" s="39"/>
      <c r="H30" s="39"/>
      <c r="I30" s="38"/>
      <c r="J30" s="39"/>
      <c r="K30" s="40"/>
      <c r="L30" s="39"/>
      <c r="M30" s="40"/>
      <c r="N30" s="41" t="s">
        <v>92</v>
      </c>
      <c r="O30" s="44"/>
      <c r="P30" s="42">
        <f>SUM(P19:P29)</f>
        <v>61</v>
      </c>
    </row>
    <row r="31">
      <c r="A31" s="17"/>
      <c r="B31" s="17"/>
      <c r="C31" s="17"/>
      <c r="D31" s="17"/>
      <c r="E31" s="17"/>
      <c r="F31" s="17"/>
      <c r="G31" s="17"/>
      <c r="H31" s="17"/>
      <c r="I31" s="17"/>
      <c r="J31" s="17"/>
      <c r="K31" s="43"/>
      <c r="L31" s="17"/>
      <c r="M31" s="43"/>
      <c r="N31" s="17"/>
      <c r="O31" s="43"/>
    </row>
    <row r="32">
      <c r="B32" s="2" t="s">
        <v>1</v>
      </c>
      <c r="C32" s="3"/>
      <c r="D32" s="4"/>
      <c r="F32" s="2" t="s">
        <v>86</v>
      </c>
      <c r="G32" s="3"/>
      <c r="H32" s="4"/>
      <c r="L32" s="45"/>
    </row>
    <row r="33">
      <c r="B33" s="7" t="s">
        <v>87</v>
      </c>
      <c r="C33" s="3"/>
      <c r="D33" s="4"/>
      <c r="F33" s="7" t="s">
        <v>87</v>
      </c>
      <c r="G33" s="3"/>
      <c r="H33" s="4"/>
      <c r="L33" s="45"/>
    </row>
    <row r="34">
      <c r="B34" s="46" t="s">
        <v>38</v>
      </c>
      <c r="C34" s="46" t="s">
        <v>39</v>
      </c>
      <c r="D34" s="46" t="s">
        <v>40</v>
      </c>
      <c r="F34" s="18" t="s">
        <v>89</v>
      </c>
      <c r="G34" s="18" t="s">
        <v>93</v>
      </c>
      <c r="H34" s="18" t="s">
        <v>40</v>
      </c>
      <c r="L34" s="45"/>
    </row>
    <row r="35">
      <c r="B35" s="25" t="s">
        <v>94</v>
      </c>
      <c r="C35" s="47" t="s">
        <v>75</v>
      </c>
      <c r="D35" s="47">
        <f>60000*1400</f>
        <v>84000000</v>
      </c>
      <c r="F35" s="18" t="s">
        <v>91</v>
      </c>
      <c r="G35" s="18">
        <v>220.0</v>
      </c>
      <c r="H35" s="18">
        <v>300000.0</v>
      </c>
      <c r="L35" s="48" t="s">
        <v>95</v>
      </c>
      <c r="M35" s="48" t="s">
        <v>96</v>
      </c>
    </row>
    <row r="36">
      <c r="B36" s="25" t="s">
        <v>76</v>
      </c>
      <c r="C36" s="46" t="s">
        <v>84</v>
      </c>
      <c r="D36" s="47">
        <v>1.82E7</v>
      </c>
      <c r="F36" s="29"/>
      <c r="G36" s="30"/>
      <c r="H36" s="31"/>
      <c r="I36" s="49"/>
      <c r="J36" s="49"/>
      <c r="L36" s="50" t="s">
        <v>97</v>
      </c>
      <c r="M36" s="51">
        <v>3500000.0</v>
      </c>
    </row>
    <row r="37">
      <c r="B37" s="25" t="s">
        <v>78</v>
      </c>
      <c r="C37" s="46">
        <v>2.0</v>
      </c>
      <c r="D37" s="47">
        <v>6000000.0</v>
      </c>
      <c r="F37" s="18" t="s">
        <v>56</v>
      </c>
      <c r="G37" s="18"/>
      <c r="H37" s="32">
        <f>G35*H35</f>
        <v>66000000</v>
      </c>
      <c r="I37" s="52"/>
      <c r="J37" s="52"/>
      <c r="L37" s="50" t="s">
        <v>98</v>
      </c>
      <c r="M37" s="51">
        <v>1.25E7</v>
      </c>
    </row>
    <row r="38">
      <c r="B38" s="25" t="s">
        <v>79</v>
      </c>
      <c r="C38" s="53">
        <v>0.05</v>
      </c>
      <c r="D38" s="54">
        <f>D35*C38</f>
        <v>4200000</v>
      </c>
      <c r="G38" s="49"/>
      <c r="H38" s="52"/>
      <c r="I38" s="52"/>
      <c r="J38" s="52"/>
      <c r="L38" s="50" t="s">
        <v>99</v>
      </c>
      <c r="M38" s="51">
        <v>2000000.0</v>
      </c>
    </row>
    <row r="39">
      <c r="B39" s="25" t="s">
        <v>80</v>
      </c>
      <c r="C39" s="53">
        <v>0.04</v>
      </c>
      <c r="D39" s="54">
        <f>D35*C39</f>
        <v>3360000</v>
      </c>
      <c r="G39" s="49"/>
      <c r="H39" s="55"/>
      <c r="I39" s="56"/>
      <c r="J39" s="57"/>
      <c r="L39" s="50" t="s">
        <v>100</v>
      </c>
      <c r="M39" s="51">
        <v>1200000.0</v>
      </c>
    </row>
    <row r="40">
      <c r="B40" s="58"/>
      <c r="C40" s="59"/>
      <c r="D40" s="59"/>
      <c r="G40" s="49"/>
      <c r="H40" s="55"/>
      <c r="I40" s="56"/>
      <c r="J40" s="57"/>
      <c r="L40" s="50" t="s">
        <v>101</v>
      </c>
      <c r="M40" s="51">
        <v>6000000.0</v>
      </c>
    </row>
    <row r="41">
      <c r="B41" s="25" t="s">
        <v>83</v>
      </c>
      <c r="C41" s="46" t="s">
        <v>84</v>
      </c>
      <c r="D41" s="47">
        <v>2000000.0</v>
      </c>
      <c r="G41" s="49"/>
      <c r="H41" s="60"/>
      <c r="I41" s="61"/>
      <c r="J41" s="57"/>
      <c r="L41" s="50" t="s">
        <v>102</v>
      </c>
      <c r="M41" s="51">
        <v>4500000.0</v>
      </c>
    </row>
    <row r="42">
      <c r="B42" s="25" t="s">
        <v>85</v>
      </c>
      <c r="C42" s="46" t="s">
        <v>84</v>
      </c>
      <c r="D42" s="47">
        <v>2200000.0</v>
      </c>
      <c r="G42" s="49"/>
      <c r="H42" s="60"/>
      <c r="I42" s="61"/>
      <c r="J42" s="62"/>
      <c r="L42" s="50" t="s">
        <v>103</v>
      </c>
      <c r="M42" s="51">
        <v>7500000.0</v>
      </c>
    </row>
    <row r="43">
      <c r="G43" s="49"/>
      <c r="H43" s="60"/>
      <c r="I43" s="61"/>
      <c r="J43" s="62"/>
      <c r="L43" s="50" t="s">
        <v>104</v>
      </c>
      <c r="M43" s="51">
        <v>2200000.0</v>
      </c>
    </row>
    <row r="44">
      <c r="B44" s="25" t="s">
        <v>56</v>
      </c>
      <c r="C44" s="25"/>
      <c r="D44" s="26">
        <f>SUM(D35:D42)</f>
        <v>119960000</v>
      </c>
      <c r="G44" s="49"/>
      <c r="H44" s="60"/>
      <c r="I44" s="61"/>
      <c r="J44" s="62"/>
      <c r="L44" s="63" t="s">
        <v>105</v>
      </c>
      <c r="M44" s="51">
        <f>SUM(M36:M43)</f>
        <v>39400000</v>
      </c>
    </row>
    <row r="45">
      <c r="G45" s="49"/>
      <c r="H45" s="60"/>
      <c r="I45" s="61"/>
      <c r="J45" s="64"/>
    </row>
    <row r="46">
      <c r="D46" s="65"/>
      <c r="G46" s="49"/>
      <c r="H46" s="60"/>
      <c r="I46" s="61"/>
      <c r="J46" s="57"/>
    </row>
    <row r="47">
      <c r="D47" s="65"/>
      <c r="G47" s="49"/>
      <c r="H47" s="60"/>
      <c r="I47" s="61"/>
      <c r="J47" s="57"/>
    </row>
    <row r="48">
      <c r="D48" s="65"/>
      <c r="G48" s="49"/>
      <c r="H48" s="60"/>
      <c r="I48" s="61"/>
      <c r="J48" s="57"/>
    </row>
  </sheetData>
  <mergeCells count="4">
    <mergeCell ref="B32:D32"/>
    <mergeCell ref="F32:H32"/>
    <mergeCell ref="B33:D33"/>
    <mergeCell ref="F33:H33"/>
  </mergeCells>
  <dataValidations>
    <dataValidation type="custom" allowBlank="1" showDropDown="1" sqref="B4:H15 J4:P15 B19:H30 J19:P30">
      <formula1>AND(ISNUMBER(B4),(NOT(OR(NOT(ISERROR(DATEVALUE(B4))), AND(ISNUMBER(B4), LEFT(CELL("format", B4))="D")))))</formula1>
    </dataValidation>
  </dataValidations>
  <drawing r:id="rId1"/>
  <tableParts count="2">
    <tablePart r:id="rId4"/>
    <tablePart r:id="rId5"/>
  </tableParts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2">
      <c r="A2" s="1" t="s">
        <v>0</v>
      </c>
      <c r="B2" s="1" t="s">
        <v>2</v>
      </c>
      <c r="C2" s="1" t="s">
        <v>3</v>
      </c>
      <c r="D2" s="1" t="s">
        <v>4</v>
      </c>
      <c r="E2" s="1" t="s">
        <v>5</v>
      </c>
      <c r="F2" s="1" t="s">
        <v>6</v>
      </c>
      <c r="G2" s="1" t="s">
        <v>7</v>
      </c>
      <c r="H2" s="1" t="s">
        <v>8</v>
      </c>
      <c r="I2" s="1" t="s">
        <v>9</v>
      </c>
      <c r="J2" s="1" t="s">
        <v>10</v>
      </c>
      <c r="K2" s="1" t="s">
        <v>11</v>
      </c>
      <c r="L2" s="1" t="s">
        <v>12</v>
      </c>
      <c r="M2" s="1" t="s">
        <v>13</v>
      </c>
      <c r="N2" s="1" t="s">
        <v>14</v>
      </c>
    </row>
    <row r="3">
      <c r="A3" s="1" t="s">
        <v>15</v>
      </c>
      <c r="B3" s="1" t="s">
        <v>16</v>
      </c>
      <c r="C3" s="1">
        <v>150.0</v>
      </c>
      <c r="D3" s="1" t="s">
        <v>17</v>
      </c>
      <c r="E3" s="1">
        <v>53.0</v>
      </c>
      <c r="F3" s="1">
        <v>60.0</v>
      </c>
      <c r="G3" s="1">
        <v>64.0</v>
      </c>
      <c r="H3" s="1">
        <v>68.0</v>
      </c>
      <c r="I3" s="1">
        <v>72.0</v>
      </c>
      <c r="J3" s="1">
        <v>77.0</v>
      </c>
      <c r="K3" s="1">
        <v>82.0</v>
      </c>
      <c r="L3" s="1">
        <v>88.0</v>
      </c>
      <c r="M3" s="1">
        <v>94.0</v>
      </c>
      <c r="N3" s="6">
        <v>101.0</v>
      </c>
    </row>
    <row r="4">
      <c r="A4" s="1" t="s">
        <v>19</v>
      </c>
      <c r="B4" s="1" t="s">
        <v>20</v>
      </c>
      <c r="C4" s="1">
        <v>150.0</v>
      </c>
      <c r="D4" s="1" t="s">
        <v>21</v>
      </c>
      <c r="E4" s="1">
        <v>7.0</v>
      </c>
      <c r="F4" s="1">
        <v>8.0</v>
      </c>
      <c r="G4" s="1">
        <v>8.0</v>
      </c>
      <c r="H4" s="1">
        <v>9.0</v>
      </c>
      <c r="I4" s="1">
        <v>9.0</v>
      </c>
      <c r="J4" s="1">
        <v>10.0</v>
      </c>
      <c r="K4" s="1">
        <v>11.0</v>
      </c>
      <c r="L4" s="1">
        <v>11.0</v>
      </c>
      <c r="M4" s="1">
        <v>12.0</v>
      </c>
      <c r="N4" s="1">
        <v>13.0</v>
      </c>
    </row>
    <row r="5">
      <c r="A5" s="1" t="s">
        <v>23</v>
      </c>
      <c r="B5" s="1" t="s">
        <v>24</v>
      </c>
      <c r="C5" s="1">
        <v>150.0</v>
      </c>
      <c r="D5" s="1" t="s">
        <v>25</v>
      </c>
      <c r="E5" s="1">
        <v>16.0</v>
      </c>
      <c r="F5" s="1">
        <v>18.0</v>
      </c>
      <c r="G5" s="1">
        <v>19.0</v>
      </c>
      <c r="H5" s="1">
        <v>20.0</v>
      </c>
      <c r="I5" s="1">
        <v>22.0</v>
      </c>
      <c r="J5" s="1">
        <v>23.0</v>
      </c>
      <c r="K5" s="1">
        <v>25.0</v>
      </c>
      <c r="L5" s="1">
        <v>27.0</v>
      </c>
      <c r="M5" s="1">
        <v>29.0</v>
      </c>
      <c r="N5" s="1">
        <v>31.0</v>
      </c>
    </row>
    <row r="6">
      <c r="A6" s="1" t="s">
        <v>31</v>
      </c>
      <c r="B6" s="1" t="s">
        <v>33</v>
      </c>
      <c r="C6" s="1">
        <v>150.0</v>
      </c>
      <c r="D6" s="1" t="s">
        <v>17</v>
      </c>
      <c r="E6" s="1">
        <v>49.0</v>
      </c>
      <c r="F6" s="1">
        <v>56.0</v>
      </c>
      <c r="G6" s="1">
        <v>59.0</v>
      </c>
      <c r="H6" s="1">
        <v>63.0</v>
      </c>
      <c r="I6" s="1">
        <v>67.0</v>
      </c>
      <c r="J6" s="1">
        <v>72.0</v>
      </c>
      <c r="K6" s="1">
        <v>77.0</v>
      </c>
      <c r="L6" s="1">
        <v>82.0</v>
      </c>
      <c r="M6" s="1">
        <v>88.0</v>
      </c>
      <c r="N6" s="1">
        <v>94.0</v>
      </c>
    </row>
    <row r="7">
      <c r="A7" s="1" t="s">
        <v>41</v>
      </c>
      <c r="B7" s="1" t="s">
        <v>42</v>
      </c>
      <c r="C7" s="1">
        <v>150.0</v>
      </c>
      <c r="D7" s="1" t="s">
        <v>21</v>
      </c>
      <c r="E7" s="1">
        <v>7.0</v>
      </c>
      <c r="F7" s="1">
        <v>8.0</v>
      </c>
      <c r="G7" s="1">
        <v>8.0</v>
      </c>
      <c r="H7" s="1">
        <v>9.0</v>
      </c>
      <c r="I7" s="1">
        <v>9.0</v>
      </c>
      <c r="J7" s="1">
        <v>10.0</v>
      </c>
      <c r="K7" s="1">
        <v>11.0</v>
      </c>
      <c r="L7" s="1">
        <v>11.0</v>
      </c>
      <c r="M7" s="1">
        <v>12.0</v>
      </c>
      <c r="N7" s="1">
        <v>13.0</v>
      </c>
    </row>
    <row r="8">
      <c r="A8" s="1" t="s">
        <v>43</v>
      </c>
      <c r="B8" s="1" t="s">
        <v>44</v>
      </c>
      <c r="C8" s="1">
        <v>150.0</v>
      </c>
      <c r="D8" s="1" t="s">
        <v>25</v>
      </c>
      <c r="E8" s="1">
        <v>16.0</v>
      </c>
      <c r="F8" s="1">
        <v>18.0</v>
      </c>
      <c r="G8" s="1">
        <v>19.0</v>
      </c>
      <c r="H8" s="1">
        <v>20.0</v>
      </c>
      <c r="I8" s="1">
        <v>22.0</v>
      </c>
      <c r="J8" s="1">
        <v>23.0</v>
      </c>
      <c r="K8" s="1">
        <v>25.0</v>
      </c>
      <c r="L8" s="1">
        <v>27.0</v>
      </c>
      <c r="M8" s="1">
        <v>29.0</v>
      </c>
      <c r="N8" s="1">
        <v>31.0</v>
      </c>
    </row>
    <row r="9">
      <c r="A9" s="1" t="s">
        <v>45</v>
      </c>
      <c r="B9" s="1" t="s">
        <v>46</v>
      </c>
      <c r="C9" s="1">
        <v>150.0</v>
      </c>
      <c r="D9" s="1" t="s">
        <v>21</v>
      </c>
      <c r="E9" s="1">
        <v>12.0</v>
      </c>
      <c r="F9" s="1">
        <v>14.0</v>
      </c>
      <c r="G9" s="1">
        <v>14.0</v>
      </c>
      <c r="H9" s="1">
        <v>15.0</v>
      </c>
      <c r="I9" s="1">
        <v>16.0</v>
      </c>
      <c r="J9" s="1">
        <v>17.0</v>
      </c>
      <c r="K9" s="1">
        <v>18.0</v>
      </c>
      <c r="L9" s="1">
        <v>20.0</v>
      </c>
      <c r="M9" s="1">
        <v>21.0</v>
      </c>
      <c r="N9" s="1">
        <v>23.0</v>
      </c>
    </row>
    <row r="10">
      <c r="A10" s="1" t="s">
        <v>47</v>
      </c>
      <c r="B10" s="1" t="s">
        <v>48</v>
      </c>
      <c r="C10" s="1">
        <v>150.0</v>
      </c>
      <c r="D10" s="1" t="s">
        <v>25</v>
      </c>
      <c r="E10" s="1">
        <v>28.0</v>
      </c>
      <c r="F10" s="1">
        <v>32.0</v>
      </c>
      <c r="G10" s="1">
        <v>33.0</v>
      </c>
      <c r="H10" s="1">
        <v>35.0</v>
      </c>
      <c r="I10" s="1">
        <v>38.0</v>
      </c>
      <c r="J10" s="1">
        <v>40.0</v>
      </c>
      <c r="K10" s="1">
        <v>43.0</v>
      </c>
      <c r="L10" s="1">
        <v>46.0</v>
      </c>
      <c r="M10" s="1">
        <v>50.0</v>
      </c>
      <c r="N10" s="1">
        <v>53.0</v>
      </c>
    </row>
    <row r="11">
      <c r="A11" s="1" t="s">
        <v>49</v>
      </c>
      <c r="B11" s="1" t="s">
        <v>50</v>
      </c>
      <c r="C11" s="1">
        <v>400.0</v>
      </c>
      <c r="D11" s="1" t="s">
        <v>51</v>
      </c>
      <c r="E11" s="1">
        <v>61.0</v>
      </c>
      <c r="F11" s="1">
        <v>70.0</v>
      </c>
      <c r="G11" s="1">
        <v>74.0</v>
      </c>
      <c r="H11" s="1">
        <v>79.0</v>
      </c>
      <c r="I11" s="1">
        <v>84.0</v>
      </c>
      <c r="J11" s="1">
        <v>90.0</v>
      </c>
      <c r="K11" s="1">
        <v>96.0</v>
      </c>
      <c r="L11" s="1">
        <v>103.0</v>
      </c>
      <c r="M11" s="6">
        <v>110.0</v>
      </c>
      <c r="N11" s="6">
        <v>118.0</v>
      </c>
    </row>
    <row r="12">
      <c r="A12" s="1" t="s">
        <v>52</v>
      </c>
      <c r="B12" s="1" t="s">
        <v>53</v>
      </c>
      <c r="C12" s="1">
        <v>180.0</v>
      </c>
      <c r="D12" s="1" t="s">
        <v>51</v>
      </c>
      <c r="E12" s="1">
        <v>74.0</v>
      </c>
      <c r="F12" s="6">
        <v>84.0</v>
      </c>
      <c r="G12" s="6">
        <v>89.0</v>
      </c>
      <c r="H12" s="6">
        <v>95.0</v>
      </c>
      <c r="I12" s="6">
        <v>100.0</v>
      </c>
      <c r="J12" s="6">
        <v>107.0</v>
      </c>
      <c r="K12" s="6">
        <v>115.0</v>
      </c>
      <c r="L12" s="6">
        <v>123.0</v>
      </c>
      <c r="M12" s="6">
        <v>132.0</v>
      </c>
      <c r="N12" s="6">
        <v>141.0</v>
      </c>
    </row>
    <row r="13">
      <c r="A13" s="1" t="s">
        <v>54</v>
      </c>
      <c r="B13" s="1" t="s">
        <v>55</v>
      </c>
      <c r="C13" s="1">
        <v>180.0</v>
      </c>
      <c r="D13" s="1" t="s">
        <v>21</v>
      </c>
      <c r="E13" s="1">
        <v>32.0</v>
      </c>
      <c r="F13" s="1">
        <v>36.0</v>
      </c>
      <c r="G13" s="1">
        <v>38.0</v>
      </c>
      <c r="H13" s="1">
        <v>41.0</v>
      </c>
      <c r="I13" s="1">
        <v>43.0</v>
      </c>
      <c r="J13" s="1">
        <v>46.0</v>
      </c>
      <c r="K13" s="1">
        <v>49.0</v>
      </c>
      <c r="L13" s="1">
        <v>53.0</v>
      </c>
      <c r="M13" s="1">
        <v>57.0</v>
      </c>
      <c r="N13" s="1">
        <v>61.0</v>
      </c>
    </row>
    <row r="14">
      <c r="B14" s="1" t="s">
        <v>56</v>
      </c>
      <c r="E14" s="6">
        <v>353.0</v>
      </c>
      <c r="F14" s="6">
        <v>403.0</v>
      </c>
      <c r="G14" s="6">
        <v>428.0</v>
      </c>
      <c r="H14" s="6">
        <v>453.0</v>
      </c>
      <c r="I14" s="6">
        <v>481.0</v>
      </c>
      <c r="J14" s="6">
        <v>515.0</v>
      </c>
      <c r="K14" s="6">
        <v>552.0</v>
      </c>
      <c r="L14" s="6">
        <v>591.0</v>
      </c>
      <c r="M14" s="6">
        <v>633.0</v>
      </c>
      <c r="N14" s="6">
        <v>679.0</v>
      </c>
    </row>
    <row r="17">
      <c r="A17" s="11" t="s">
        <v>2</v>
      </c>
      <c r="B17" s="11" t="s">
        <v>57</v>
      </c>
      <c r="C17" s="11" t="s">
        <v>58</v>
      </c>
      <c r="D17" s="11" t="s">
        <v>59</v>
      </c>
      <c r="E17" s="11" t="s">
        <v>60</v>
      </c>
      <c r="F17" s="11" t="s">
        <v>61</v>
      </c>
      <c r="G17" s="11" t="s">
        <v>62</v>
      </c>
      <c r="H17" s="11" t="s">
        <v>63</v>
      </c>
      <c r="I17" s="11" t="s">
        <v>64</v>
      </c>
      <c r="J17" s="11" t="s">
        <v>65</v>
      </c>
      <c r="K17" s="11" t="s">
        <v>66</v>
      </c>
      <c r="L17" s="11" t="s">
        <v>67</v>
      </c>
      <c r="M17" s="11" t="s">
        <v>68</v>
      </c>
      <c r="N17" s="11" t="s">
        <v>69</v>
      </c>
      <c r="O17" s="12" t="s">
        <v>70</v>
      </c>
      <c r="P17" s="12" t="s">
        <v>71</v>
      </c>
    </row>
    <row r="18">
      <c r="A18" s="1" t="s">
        <v>16</v>
      </c>
      <c r="B18" s="13">
        <v>48.0</v>
      </c>
      <c r="C18" s="13">
        <v>0.9230769230769231</v>
      </c>
      <c r="D18" s="13">
        <v>923076.9230769231</v>
      </c>
      <c r="E18" s="14">
        <v>150.0</v>
      </c>
      <c r="F18" s="14">
        <v>455000.0</v>
      </c>
      <c r="G18" s="14">
        <v>12.0</v>
      </c>
      <c r="H18" s="13">
        <v>37917.0</v>
      </c>
      <c r="I18" s="15" t="s">
        <v>72</v>
      </c>
      <c r="J18" s="13">
        <v>15.0</v>
      </c>
      <c r="K18" s="14">
        <v>8.0</v>
      </c>
      <c r="L18" s="14">
        <v>2.9</v>
      </c>
      <c r="M18" s="13">
        <v>348.0</v>
      </c>
      <c r="N18" s="13">
        <v>120.0</v>
      </c>
      <c r="O18" s="16">
        <v>315.975</v>
      </c>
      <c r="P18" s="12">
        <v>316.0</v>
      </c>
    </row>
    <row r="19">
      <c r="A19" s="1" t="s">
        <v>20</v>
      </c>
      <c r="B19" s="13">
        <v>8.0</v>
      </c>
      <c r="C19" s="13">
        <v>0.15384615384615385</v>
      </c>
      <c r="D19" s="13">
        <v>153846.15384615384</v>
      </c>
      <c r="E19" s="14">
        <v>150.0</v>
      </c>
      <c r="F19" s="14">
        <v>83000.0</v>
      </c>
      <c r="G19" s="14">
        <v>12.0</v>
      </c>
      <c r="H19" s="13">
        <v>6917.0</v>
      </c>
      <c r="I19" s="15" t="s">
        <v>72</v>
      </c>
      <c r="J19" s="13">
        <v>15.0</v>
      </c>
      <c r="K19" s="14">
        <v>8.0</v>
      </c>
      <c r="L19" s="14">
        <v>2.9</v>
      </c>
      <c r="M19" s="13">
        <v>348.0</v>
      </c>
      <c r="N19" s="13">
        <v>120.0</v>
      </c>
      <c r="O19" s="16">
        <v>57.641666666666666</v>
      </c>
      <c r="P19" s="12">
        <v>58.0</v>
      </c>
    </row>
    <row r="20">
      <c r="A20" s="1" t="s">
        <v>24</v>
      </c>
      <c r="B20" s="13">
        <v>19.0</v>
      </c>
      <c r="C20" s="13">
        <v>0.36538461538461536</v>
      </c>
      <c r="D20" s="13">
        <v>365384.6153846154</v>
      </c>
      <c r="E20" s="14">
        <v>150.0</v>
      </c>
      <c r="F20" s="14">
        <v>188000.0</v>
      </c>
      <c r="G20" s="14">
        <v>12.0</v>
      </c>
      <c r="H20" s="13">
        <v>15667.0</v>
      </c>
      <c r="I20" s="15" t="s">
        <v>72</v>
      </c>
      <c r="J20" s="13">
        <v>15.0</v>
      </c>
      <c r="K20" s="14">
        <v>8.0</v>
      </c>
      <c r="L20" s="14">
        <v>2.9</v>
      </c>
      <c r="M20" s="13">
        <v>348.0</v>
      </c>
      <c r="N20" s="13">
        <v>120.0</v>
      </c>
      <c r="O20" s="16">
        <v>130.55833333333334</v>
      </c>
      <c r="P20" s="12">
        <v>131.0</v>
      </c>
    </row>
    <row r="21">
      <c r="A21" s="1" t="s">
        <v>33</v>
      </c>
      <c r="B21" s="13">
        <v>78.0</v>
      </c>
      <c r="C21" s="13">
        <v>1.5</v>
      </c>
      <c r="D21" s="13">
        <v>1500000.0</v>
      </c>
      <c r="E21" s="14">
        <v>150.0</v>
      </c>
      <c r="F21" s="14">
        <v>737000.0</v>
      </c>
      <c r="G21" s="14">
        <v>12.0</v>
      </c>
      <c r="H21" s="13">
        <v>61417.0</v>
      </c>
      <c r="I21" s="15" t="s">
        <v>72</v>
      </c>
      <c r="J21" s="13">
        <v>15.0</v>
      </c>
      <c r="K21" s="14">
        <v>8.0</v>
      </c>
      <c r="L21" s="14">
        <v>2.9</v>
      </c>
      <c r="M21" s="13">
        <v>348.0</v>
      </c>
      <c r="N21" s="13">
        <v>120.0</v>
      </c>
      <c r="O21" s="16">
        <v>511.80833333333334</v>
      </c>
      <c r="P21" s="12">
        <v>512.0</v>
      </c>
    </row>
    <row r="22">
      <c r="A22" s="1" t="s">
        <v>42</v>
      </c>
      <c r="B22" s="13">
        <v>5.0</v>
      </c>
      <c r="C22" s="13">
        <v>0.09615384615384616</v>
      </c>
      <c r="D22" s="13">
        <v>96153.84615384616</v>
      </c>
      <c r="E22" s="14">
        <v>150.0</v>
      </c>
      <c r="F22" s="14">
        <v>48000.0</v>
      </c>
      <c r="G22" s="14">
        <v>12.0</v>
      </c>
      <c r="H22" s="13">
        <v>4000.0</v>
      </c>
      <c r="I22" s="15" t="s">
        <v>72</v>
      </c>
      <c r="J22" s="13">
        <v>15.0</v>
      </c>
      <c r="K22" s="14">
        <v>8.0</v>
      </c>
      <c r="L22" s="14">
        <v>2.9</v>
      </c>
      <c r="M22" s="13">
        <v>348.0</v>
      </c>
      <c r="N22" s="13">
        <v>120.0</v>
      </c>
      <c r="O22" s="16">
        <v>33.333333333333336</v>
      </c>
      <c r="P22" s="12">
        <v>33.0</v>
      </c>
    </row>
    <row r="23">
      <c r="A23" s="1" t="s">
        <v>44</v>
      </c>
      <c r="B23" s="13">
        <v>11.0</v>
      </c>
      <c r="C23" s="13">
        <v>0.21153846153846154</v>
      </c>
      <c r="D23" s="13">
        <v>211538.46153846153</v>
      </c>
      <c r="E23" s="14">
        <v>150.0</v>
      </c>
      <c r="F23" s="14">
        <v>107000.0</v>
      </c>
      <c r="G23" s="14">
        <v>12.0</v>
      </c>
      <c r="H23" s="13">
        <v>8917.0</v>
      </c>
      <c r="I23" s="15" t="s">
        <v>72</v>
      </c>
      <c r="J23" s="13">
        <v>15.0</v>
      </c>
      <c r="K23" s="14">
        <v>8.0</v>
      </c>
      <c r="L23" s="14">
        <v>2.9</v>
      </c>
      <c r="M23" s="13">
        <v>348.0</v>
      </c>
      <c r="N23" s="13">
        <v>120.0</v>
      </c>
      <c r="O23" s="16">
        <v>74.30833333333334</v>
      </c>
      <c r="P23" s="12">
        <v>74.0</v>
      </c>
    </row>
    <row r="24">
      <c r="A24" s="1" t="s">
        <v>46</v>
      </c>
      <c r="B24" s="13">
        <v>16.0</v>
      </c>
      <c r="C24" s="13">
        <v>0.3076923076923077</v>
      </c>
      <c r="D24" s="13">
        <v>307692.3076923077</v>
      </c>
      <c r="E24" s="14">
        <v>150.0</v>
      </c>
      <c r="F24" s="14">
        <v>154000.0</v>
      </c>
      <c r="G24" s="14">
        <v>12.0</v>
      </c>
      <c r="H24" s="13">
        <v>12833.0</v>
      </c>
      <c r="I24" s="15" t="s">
        <v>72</v>
      </c>
      <c r="J24" s="13">
        <v>15.0</v>
      </c>
      <c r="K24" s="14">
        <v>8.0</v>
      </c>
      <c r="L24" s="14">
        <v>2.9</v>
      </c>
      <c r="M24" s="13">
        <v>348.0</v>
      </c>
      <c r="N24" s="13">
        <v>120.0</v>
      </c>
      <c r="O24" s="16">
        <v>106.94166666666666</v>
      </c>
      <c r="P24" s="12">
        <v>107.0</v>
      </c>
    </row>
    <row r="25">
      <c r="A25" s="1" t="s">
        <v>48</v>
      </c>
      <c r="B25" s="13">
        <v>37.0</v>
      </c>
      <c r="C25" s="13">
        <v>0.7115384615384616</v>
      </c>
      <c r="D25" s="13">
        <v>711538.4615384616</v>
      </c>
      <c r="E25" s="14">
        <v>150.0</v>
      </c>
      <c r="F25" s="14">
        <v>353000.0</v>
      </c>
      <c r="G25" s="14">
        <v>12.0</v>
      </c>
      <c r="H25" s="13">
        <v>29417.0</v>
      </c>
      <c r="I25" s="15" t="s">
        <v>72</v>
      </c>
      <c r="J25" s="13">
        <v>15.0</v>
      </c>
      <c r="K25" s="14">
        <v>8.0</v>
      </c>
      <c r="L25" s="14">
        <v>2.9</v>
      </c>
      <c r="M25" s="13">
        <v>348.0</v>
      </c>
      <c r="N25" s="13">
        <v>120.0</v>
      </c>
      <c r="O25" s="16">
        <v>245.14166666666668</v>
      </c>
      <c r="P25" s="12">
        <v>245.0</v>
      </c>
    </row>
    <row r="26">
      <c r="A26" s="1" t="s">
        <v>50</v>
      </c>
      <c r="B26" s="13">
        <v>75.0</v>
      </c>
      <c r="C26" s="13">
        <v>1.4423076923076923</v>
      </c>
      <c r="D26" s="13">
        <v>1442307.6923076923</v>
      </c>
      <c r="E26" s="14">
        <v>150.0</v>
      </c>
      <c r="F26" s="14">
        <v>269000.0</v>
      </c>
      <c r="G26" s="14">
        <v>12.0</v>
      </c>
      <c r="H26" s="13">
        <v>22417.0</v>
      </c>
      <c r="I26" s="15" t="s">
        <v>72</v>
      </c>
      <c r="J26" s="13">
        <v>15.0</v>
      </c>
      <c r="K26" s="14">
        <v>8.0</v>
      </c>
      <c r="L26" s="14">
        <v>2.9</v>
      </c>
      <c r="M26" s="13">
        <v>348.0</v>
      </c>
      <c r="N26" s="13">
        <v>120.0</v>
      </c>
      <c r="O26" s="16">
        <v>186.80833333333334</v>
      </c>
      <c r="P26" s="12">
        <v>187.0</v>
      </c>
    </row>
    <row r="27">
      <c r="A27" s="1" t="s">
        <v>53</v>
      </c>
      <c r="B27" s="13">
        <v>71.0</v>
      </c>
      <c r="C27" s="13">
        <v>1.3653846153846154</v>
      </c>
      <c r="D27" s="13">
        <v>1365384.6153846155</v>
      </c>
      <c r="E27" s="14">
        <v>150.0</v>
      </c>
      <c r="F27" s="14">
        <v>562000.0</v>
      </c>
      <c r="G27" s="14">
        <v>12.0</v>
      </c>
      <c r="H27" s="13">
        <v>46833.0</v>
      </c>
      <c r="I27" s="15" t="s">
        <v>72</v>
      </c>
      <c r="J27" s="13">
        <v>15.0</v>
      </c>
      <c r="K27" s="14">
        <v>8.0</v>
      </c>
      <c r="L27" s="14">
        <v>2.9</v>
      </c>
      <c r="M27" s="13">
        <v>348.0</v>
      </c>
      <c r="N27" s="13">
        <v>120.0</v>
      </c>
      <c r="O27" s="16">
        <v>390.275</v>
      </c>
      <c r="P27" s="12">
        <v>390.0</v>
      </c>
    </row>
    <row r="28">
      <c r="A28" s="1" t="s">
        <v>55</v>
      </c>
      <c r="B28" s="13">
        <v>18.0</v>
      </c>
      <c r="C28" s="13">
        <v>0.34615384615384615</v>
      </c>
      <c r="D28" s="13">
        <v>346153.8461538461</v>
      </c>
      <c r="E28" s="14">
        <v>150.0</v>
      </c>
      <c r="F28" s="14">
        <v>145000.0</v>
      </c>
      <c r="G28" s="14">
        <v>12.0</v>
      </c>
      <c r="H28" s="13">
        <v>12083.0</v>
      </c>
      <c r="I28" s="15" t="s">
        <v>72</v>
      </c>
      <c r="J28" s="13">
        <v>15.0</v>
      </c>
      <c r="K28" s="14">
        <v>8.0</v>
      </c>
      <c r="L28" s="14">
        <v>2.9</v>
      </c>
      <c r="M28" s="13">
        <v>348.0</v>
      </c>
      <c r="N28" s="13">
        <v>120.0</v>
      </c>
      <c r="O28" s="16">
        <v>100.69166666666666</v>
      </c>
      <c r="P28" s="12">
        <v>101.0</v>
      </c>
    </row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16.88"/>
    <col customWidth="1" min="4" max="4" width="13.63"/>
    <col customWidth="1" min="10" max="10" width="13.38"/>
  </cols>
  <sheetData>
    <row r="2">
      <c r="B2" s="2" t="s">
        <v>1</v>
      </c>
      <c r="C2" s="3"/>
      <c r="D2" s="4"/>
      <c r="F2" s="5" t="s">
        <v>18</v>
      </c>
      <c r="G2" s="5" t="s">
        <v>18</v>
      </c>
      <c r="H2" s="5" t="s">
        <v>18</v>
      </c>
      <c r="I2" s="5" t="s">
        <v>18</v>
      </c>
      <c r="J2" s="5" t="s">
        <v>18</v>
      </c>
      <c r="K2" s="5" t="s">
        <v>18</v>
      </c>
      <c r="L2" s="5" t="s">
        <v>18</v>
      </c>
      <c r="M2" s="5" t="s">
        <v>18</v>
      </c>
      <c r="N2" s="5" t="s">
        <v>18</v>
      </c>
      <c r="O2" s="5" t="s">
        <v>18</v>
      </c>
    </row>
    <row r="3">
      <c r="B3" s="7" t="s">
        <v>22</v>
      </c>
      <c r="C3" s="3"/>
      <c r="D3" s="4"/>
      <c r="F3" s="8" t="s">
        <v>26</v>
      </c>
      <c r="G3" s="8" t="s">
        <v>27</v>
      </c>
      <c r="H3" s="8" t="s">
        <v>28</v>
      </c>
      <c r="I3" s="8" t="s">
        <v>29</v>
      </c>
      <c r="J3" s="8" t="s">
        <v>30</v>
      </c>
      <c r="K3" s="8" t="s">
        <v>32</v>
      </c>
      <c r="L3" s="8" t="s">
        <v>34</v>
      </c>
      <c r="M3" s="8" t="s">
        <v>35</v>
      </c>
      <c r="N3" s="8" t="s">
        <v>36</v>
      </c>
      <c r="O3" s="8" t="s">
        <v>37</v>
      </c>
    </row>
    <row r="4">
      <c r="B4" s="9" t="s">
        <v>38</v>
      </c>
      <c r="C4" s="9" t="s">
        <v>39</v>
      </c>
      <c r="D4" s="9" t="s">
        <v>40</v>
      </c>
      <c r="F4" s="10">
        <f>SUM(D5:D13)</f>
        <v>131700000</v>
      </c>
      <c r="G4" s="10">
        <f>SUM(D6:D13)+SUM(D6:D13)*30%</f>
        <v>54210000</v>
      </c>
      <c r="H4" s="10">
        <f t="shared" ref="H4:J4" si="1">G4+G4*30%</f>
        <v>70473000</v>
      </c>
      <c r="I4" s="10">
        <f t="shared" si="1"/>
        <v>91614900</v>
      </c>
      <c r="J4" s="10">
        <f t="shared" si="1"/>
        <v>119099370</v>
      </c>
      <c r="K4" s="10">
        <f>J4+J4*30%+(D5+D5*25%)</f>
        <v>267329181</v>
      </c>
      <c r="L4" s="10">
        <f>K4-(D5+D5*25%)</f>
        <v>154829181</v>
      </c>
      <c r="M4" s="10">
        <f t="shared" ref="M4:O4" si="2">L4+L4*30%</f>
        <v>201277935.3</v>
      </c>
      <c r="N4" s="10">
        <f t="shared" si="2"/>
        <v>261661315.9</v>
      </c>
      <c r="O4" s="10">
        <f t="shared" si="2"/>
        <v>340159710.7</v>
      </c>
    </row>
    <row r="5">
      <c r="B5" s="18" t="s">
        <v>74</v>
      </c>
      <c r="C5" s="19" t="s">
        <v>75</v>
      </c>
      <c r="D5" s="19">
        <f>60000*1500</f>
        <v>90000000</v>
      </c>
    </row>
    <row r="6">
      <c r="B6" s="18" t="s">
        <v>76</v>
      </c>
      <c r="C6" s="20" t="s">
        <v>77</v>
      </c>
      <c r="D6" s="19">
        <v>1.92E7</v>
      </c>
      <c r="F6" s="5" t="s">
        <v>56</v>
      </c>
      <c r="G6" s="10">
        <f>ROUND(SUM(F4:O4),0)</f>
        <v>1692354594</v>
      </c>
    </row>
    <row r="7">
      <c r="B7" s="18" t="s">
        <v>78</v>
      </c>
      <c r="C7" s="20">
        <v>3.0</v>
      </c>
      <c r="D7" s="19">
        <f>C7*1800000</f>
        <v>5400000</v>
      </c>
    </row>
    <row r="8">
      <c r="B8" s="18" t="s">
        <v>79</v>
      </c>
      <c r="C8" s="22">
        <v>0.05</v>
      </c>
      <c r="D8" s="23">
        <f>D5*C8</f>
        <v>4500000</v>
      </c>
    </row>
    <row r="9">
      <c r="B9" s="18" t="s">
        <v>80</v>
      </c>
      <c r="C9" s="22">
        <v>0.04</v>
      </c>
      <c r="D9" s="23">
        <f>D5*C9</f>
        <v>3600000</v>
      </c>
    </row>
    <row r="10">
      <c r="B10" s="18" t="s">
        <v>81</v>
      </c>
      <c r="C10" s="24"/>
      <c r="D10" s="23">
        <v>1800000.0</v>
      </c>
    </row>
    <row r="11">
      <c r="B11" s="18" t="s">
        <v>82</v>
      </c>
      <c r="C11" s="24"/>
      <c r="D11" s="23">
        <v>3000000.0</v>
      </c>
    </row>
    <row r="12">
      <c r="B12" s="18" t="s">
        <v>83</v>
      </c>
      <c r="C12" s="20" t="s">
        <v>84</v>
      </c>
      <c r="D12" s="19">
        <v>2000000.0</v>
      </c>
    </row>
    <row r="13">
      <c r="B13" s="18" t="s">
        <v>85</v>
      </c>
      <c r="C13" s="20" t="s">
        <v>84</v>
      </c>
      <c r="D13" s="19">
        <v>2200000.0</v>
      </c>
    </row>
    <row r="15">
      <c r="B15" s="25" t="s">
        <v>56</v>
      </c>
      <c r="C15" s="25"/>
      <c r="D15" s="26">
        <f>SUM(D5:D13)</f>
        <v>131700000</v>
      </c>
    </row>
    <row r="18">
      <c r="B18" s="2" t="s">
        <v>86</v>
      </c>
      <c r="C18" s="3"/>
      <c r="D18" s="4"/>
      <c r="F18" s="5" t="s">
        <v>18</v>
      </c>
      <c r="G18" s="5" t="s">
        <v>18</v>
      </c>
      <c r="H18" s="5" t="s">
        <v>18</v>
      </c>
      <c r="I18" s="5" t="s">
        <v>18</v>
      </c>
      <c r="J18" s="5" t="s">
        <v>18</v>
      </c>
      <c r="K18" s="5" t="s">
        <v>18</v>
      </c>
      <c r="L18" s="5" t="s">
        <v>18</v>
      </c>
      <c r="M18" s="5" t="s">
        <v>18</v>
      </c>
      <c r="N18" s="5" t="s">
        <v>18</v>
      </c>
      <c r="O18" s="5" t="s">
        <v>18</v>
      </c>
    </row>
    <row r="19">
      <c r="B19" s="7" t="s">
        <v>87</v>
      </c>
      <c r="C19" s="3"/>
      <c r="D19" s="4"/>
      <c r="F19" s="8" t="s">
        <v>26</v>
      </c>
      <c r="G19" s="8" t="s">
        <v>27</v>
      </c>
      <c r="H19" s="8" t="s">
        <v>28</v>
      </c>
      <c r="I19" s="8" t="s">
        <v>29</v>
      </c>
      <c r="J19" s="8" t="s">
        <v>30</v>
      </c>
      <c r="K19" s="8" t="s">
        <v>32</v>
      </c>
      <c r="L19" s="8" t="s">
        <v>34</v>
      </c>
      <c r="M19" s="8" t="s">
        <v>35</v>
      </c>
      <c r="N19" s="8" t="s">
        <v>36</v>
      </c>
      <c r="O19" s="8" t="s">
        <v>37</v>
      </c>
    </row>
    <row r="20">
      <c r="B20" s="18" t="s">
        <v>89</v>
      </c>
      <c r="C20" s="18" t="s">
        <v>90</v>
      </c>
      <c r="D20" s="18" t="s">
        <v>40</v>
      </c>
      <c r="F20" s="10">
        <f>D23</f>
        <v>53750000</v>
      </c>
      <c r="G20" s="10">
        <f>F20+F20*10%</f>
        <v>59125000</v>
      </c>
      <c r="H20" s="10">
        <f t="shared" ref="H20:O20" si="3">G20+G20*15%</f>
        <v>67993750</v>
      </c>
      <c r="I20" s="10">
        <f t="shared" si="3"/>
        <v>78192812.5</v>
      </c>
      <c r="J20" s="10">
        <f t="shared" si="3"/>
        <v>89921734.38</v>
      </c>
      <c r="K20" s="10">
        <f t="shared" si="3"/>
        <v>103409994.5</v>
      </c>
      <c r="L20" s="10">
        <f t="shared" si="3"/>
        <v>118921493.7</v>
      </c>
      <c r="M20" s="10">
        <f t="shared" si="3"/>
        <v>136759717.8</v>
      </c>
      <c r="N20" s="10">
        <f t="shared" si="3"/>
        <v>157273675.4</v>
      </c>
      <c r="O20" s="10">
        <f t="shared" si="3"/>
        <v>180864726.7</v>
      </c>
    </row>
    <row r="21">
      <c r="B21" s="18" t="s">
        <v>91</v>
      </c>
      <c r="C21" s="18">
        <v>215.0</v>
      </c>
      <c r="D21" s="18">
        <v>250000.0</v>
      </c>
    </row>
    <row r="22">
      <c r="B22" s="29"/>
      <c r="C22" s="30"/>
      <c r="D22" s="31"/>
      <c r="F22" s="5" t="s">
        <v>56</v>
      </c>
      <c r="G22" s="10">
        <f>SUM(F20:O20)</f>
        <v>1046212905</v>
      </c>
    </row>
    <row r="23">
      <c r="B23" s="18" t="s">
        <v>56</v>
      </c>
      <c r="C23" s="18"/>
      <c r="D23" s="32">
        <f>C21*D21</f>
        <v>53750000</v>
      </c>
    </row>
  </sheetData>
  <mergeCells count="4">
    <mergeCell ref="B2:D2"/>
    <mergeCell ref="B3:D3"/>
    <mergeCell ref="B18:D18"/>
    <mergeCell ref="B19:D19"/>
  </mergeCells>
  <drawing r:id="rId1"/>
</worksheet>
</file>