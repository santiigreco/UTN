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General" sheetId="1" r:id="rId5"/>
    <sheet state="visible" name="Diagrama Relacional" sheetId="2" r:id="rId6"/>
    <sheet state="visible" name="Sección Pesado" sheetId="3" r:id="rId7"/>
    <sheet state="visible" name="Amasado Galletitas" sheetId="4" r:id="rId8"/>
    <sheet state="visible" name="Moldeado Galletitas" sheetId="5" r:id="rId9"/>
    <sheet state="visible" name="Horneado Galletitas" sheetId="6" r:id="rId10"/>
    <sheet state="visible" name="Enfriado Galletitas" sheetId="7" r:id="rId11"/>
    <sheet state="visible" name="Envasado 1° Galletitas" sheetId="8" r:id="rId12"/>
    <sheet state="visible" name="Envasado 2° Galletitas" sheetId="9" r:id="rId13"/>
    <sheet state="visible" name="Batido Panificados" sheetId="10" r:id="rId14"/>
    <sheet state="visible" name="Dosificado Panificados" sheetId="11" r:id="rId15"/>
    <sheet state="visible" name="Fermentado Panificados" sheetId="12" r:id="rId16"/>
    <sheet state="visible" name="Horneado Panificados" sheetId="13" r:id="rId17"/>
    <sheet state="visible" name="Enfriado Panificados" sheetId="14" r:id="rId18"/>
    <sheet state="visible" name="Rebanadora Pan" sheetId="15" r:id="rId19"/>
    <sheet state="visible" name="Envasado 1° Panificados" sheetId="16" r:id="rId20"/>
    <sheet state="visible" name="Envasado 2° Panificados" sheetId="17" r:id="rId21"/>
    <sheet state="visible" name="Depósito MP" sheetId="18" r:id="rId22"/>
    <sheet state="visible" name="Depósito PT" sheetId="19" r:id="rId23"/>
  </sheets>
  <definedNames/>
  <calcPr/>
</workbook>
</file>

<file path=xl/sharedStrings.xml><?xml version="1.0" encoding="utf-8"?>
<sst xmlns="http://schemas.openxmlformats.org/spreadsheetml/2006/main" count="1456" uniqueCount="756">
  <si>
    <t>FUNDAMENTOS DEL LAYOUT – DIAGRAMA RELACIONAL DE SUPERFICIES (SLP)</t>
  </si>
  <si>
    <t>CONSOLIDADO GENERAL DE SUPERFICIES Y BALANCE DE PLANTA</t>
  </si>
  <si>
    <t>AMASADO - LÍNEA GALLETITAS</t>
  </si>
  <si>
    <t>Proyecto Final UTN FRBA - Grupo 8 | Planta CELI | Vinculación entre Matriz de Relaciones (REL) y Áreas Asignadas</t>
  </si>
  <si>
    <t>Escala: 1 celda ≈ 0.20 m x 0.20 m</t>
  </si>
  <si>
    <t>Nodo</t>
  </si>
  <si>
    <t>Proyecto Final UTN FRBA - Grupo 8 | Planta de Alimentos Libres de Gluten (CELI) | Comparativa Guerchet vs Layout</t>
  </si>
  <si>
    <t>Sector / Puesto</t>
  </si>
  <si>
    <t>PARÁMETROS DEL MÉTODO DE GUERCHET:</t>
  </si>
  <si>
    <t>Línea</t>
  </si>
  <si>
    <t>Superficie (m²)</t>
  </si>
  <si>
    <t>Vínculo A (4L)</t>
  </si>
  <si>
    <t>SECCIÓN PESADO Y MICROPESADO</t>
  </si>
  <si>
    <t>Vínculo E (3L)</t>
  </si>
  <si>
    <t>Vínculo I (2L)</t>
  </si>
  <si>
    <t>Vínculo X</t>
  </si>
  <si>
    <t>Criterio / Estado de Dimensionamiento</t>
  </si>
  <si>
    <t>1</t>
  </si>
  <si>
    <t>Coeficiente de Evolución k =</t>
  </si>
  <si>
    <t>Depósito MP y Recepción</t>
  </si>
  <si>
    <t>Logística</t>
  </si>
  <si>
    <t>Justificación k = 0,75: Industria alimenticia con transporte de carritos rodantes, zorras manuales y operarios en pie.</t>
  </si>
  <si>
    <t>Línea A - Galletitas | Amasadora Doble Z Volcable Catania HJ25B (50 L / 25 kg)</t>
  </si>
  <si>
    <t>Línea: Común (Galletitas y Panificados) | Balanza de plataforma industrial + Mesa micropesado</t>
  </si>
  <si>
    <t>N°</t>
  </si>
  <si>
    <t>Sector / Área</t>
  </si>
  <si>
    <t>Equipo Principal</t>
  </si>
  <si>
    <t>Cant.</t>
  </si>
  <si>
    <t>A7</t>
  </si>
  <si>
    <t>Ss (m²) [A0]</t>
  </si>
  <si>
    <t>Lados N</t>
  </si>
  <si>
    <t>Sg (m²)</t>
  </si>
  <si>
    <t>Se (m²)</t>
  </si>
  <si>
    <t>St Guerchet (m²)</t>
  </si>
  <si>
    <t>St Layout (m²)</t>
  </si>
  <si>
    <t>Estado Dimensionamiento</t>
  </si>
  <si>
    <t>Sección Pesado</t>
  </si>
  <si>
    <t>Común</t>
  </si>
  <si>
    <t>Subarea</t>
  </si>
  <si>
    <t>Balanza de piso + mesa micropesado</t>
  </si>
  <si>
    <t>Descripción / Denominación</t>
  </si>
  <si>
    <t>Largo (m)</t>
  </si>
  <si>
    <t>Ancho (m)</t>
  </si>
  <si>
    <t>Nodo 2</t>
  </si>
  <si>
    <t>-</t>
  </si>
  <si>
    <t>Nodo 10</t>
  </si>
  <si>
    <t>Nodo 9</t>
  </si>
  <si>
    <t>Justificación</t>
  </si>
  <si>
    <t>Función</t>
  </si>
  <si>
    <t>Superficie Preliminar (~50 m²)* a fijar por lote de compra</t>
  </si>
  <si>
    <t>11</t>
  </si>
  <si>
    <t>Filtro Sanitario / Aduana</t>
  </si>
  <si>
    <t>Personal</t>
  </si>
  <si>
    <t>A0</t>
  </si>
  <si>
    <t>Máquina Amasadora Doble Z Volcable</t>
  </si>
  <si>
    <t>Nodos 2, 3A, 3B</t>
  </si>
  <si>
    <t>Balanza de plataforma + Mesa micropesado</t>
  </si>
  <si>
    <t>Barrera sanitaria obligatoria libre de gluten (~20 m²)*</t>
  </si>
  <si>
    <t>2</t>
  </si>
  <si>
    <t>Sección Pesado y Micropesado</t>
  </si>
  <si>
    <t>Nodos 3A, 3B</t>
  </si>
  <si>
    <t>Nodos 10, 11</t>
  </si>
  <si>
    <t>Dimensionamiento definitivo de puesto (12,16 m²)</t>
  </si>
  <si>
    <t>3A</t>
  </si>
  <si>
    <t>Amasado Galletitas</t>
  </si>
  <si>
    <t>Galletitas</t>
  </si>
  <si>
    <t>Nodo 4A</t>
  </si>
  <si>
    <t>Nodo 11</t>
  </si>
  <si>
    <t>Amasadora doble Z volcable Catania HJ25B (7,89 m²)</t>
  </si>
  <si>
    <t>4A</t>
  </si>
  <si>
    <t>Moldeado / Formado</t>
  </si>
  <si>
    <t>Fabricante (plataforma 1x1m + báscula digital)</t>
  </si>
  <si>
    <t>Fabricante Catania (HJ25B: 780 x 500 mm)</t>
  </si>
  <si>
    <t>Pesaje de bines, bolsas e ingredientes menores</t>
  </si>
  <si>
    <t>Mezclado y amasado de masas densas sin gluten</t>
  </si>
  <si>
    <t>Nodo 5A</t>
  </si>
  <si>
    <t>Nodo 12</t>
  </si>
  <si>
    <t>Rotativa Ralem R800 y dulcera (11,82 m²)</t>
  </si>
  <si>
    <t>5A</t>
  </si>
  <si>
    <t>Horneado Galletitas</t>
  </si>
  <si>
    <t>A1</t>
  </si>
  <si>
    <t>MP pesada en espera (Bines con ingredientes)</t>
  </si>
  <si>
    <t>MP en espera (Pallet / bines desde depósito)</t>
  </si>
  <si>
    <t>Nodo 6A</t>
  </si>
  <si>
    <t>Horno Túnel Polin 6x1,3m exterior (33,10 m²) [Actualizado]</t>
  </si>
  <si>
    <t>6A</t>
  </si>
  <si>
    <t>Enfriado Galletitas</t>
  </si>
  <si>
    <t>Definitivo</t>
  </si>
  <si>
    <t>Nodo 7A</t>
  </si>
  <si>
    <t>Cinta continua Golden Way 5x0,8m (20,64 m²)</t>
  </si>
  <si>
    <t>7A</t>
  </si>
  <si>
    <t>Envasado 1° Flow-pack</t>
  </si>
  <si>
    <t>Nodo 8A</t>
  </si>
  <si>
    <t>Envasadora vertical Zon Pack + Detector (11,26 m²)</t>
  </si>
  <si>
    <t>Amasado</t>
  </si>
  <si>
    <t>8A</t>
  </si>
  <si>
    <t>Envasado 2° Encajonado</t>
  </si>
  <si>
    <t>Huella de pallet normalizado Arlog (1,2 x 1,0 m)</t>
  </si>
  <si>
    <t>Amasadora doble Z Catania HJ25B</t>
  </si>
  <si>
    <t>Espera de materias primas a fraccionar</t>
  </si>
  <si>
    <t>Contenedores plásticos rodantes alimentarios</t>
  </si>
  <si>
    <t>Espera de carga de materias primas dosificadas</t>
  </si>
  <si>
    <t>Mesa manual AISI 304 y paletizado (8,60 m²)</t>
  </si>
  <si>
    <t>3B</t>
  </si>
  <si>
    <t>Batido Panificados</t>
  </si>
  <si>
    <t>Panificados</t>
  </si>
  <si>
    <t>A2</t>
  </si>
  <si>
    <t>Nodo 4B</t>
  </si>
  <si>
    <t>Batidora planetaria Moretti 60L (8,89 m²)</t>
  </si>
  <si>
    <t>Área de operación y pesaje de operario</t>
  </si>
  <si>
    <t>Alimentación + Operación del amasador</t>
  </si>
  <si>
    <t>4B</t>
  </si>
  <si>
    <t>Dosificado Panificados</t>
  </si>
  <si>
    <t>Nodo 5B</t>
  </si>
  <si>
    <t>Dosificadora neumática Indurpack (7,63 m²)</t>
  </si>
  <si>
    <t>5B</t>
  </si>
  <si>
    <t>Fermentado Panificados</t>
  </si>
  <si>
    <t>Espacio de trabajo frontal del operario</t>
  </si>
  <si>
    <t>Radio ergonómico de giro y manipulación de bolsas</t>
  </si>
  <si>
    <t>Carga manual de ingredientes y control de amasado</t>
  </si>
  <si>
    <t>Carga manual, vaciado, tara y pesaje neto</t>
  </si>
  <si>
    <t>Nodo 6B</t>
  </si>
  <si>
    <t>A3</t>
  </si>
  <si>
    <t>Cámara termohigrométrica NKF-36RS (7,75 m²)</t>
  </si>
  <si>
    <t>6B</t>
  </si>
  <si>
    <t>Horneado Panificados</t>
  </si>
  <si>
    <t>Moldeadora Rotativa Ralem R800</t>
  </si>
  <si>
    <t>A6</t>
  </si>
  <si>
    <t>Nodo 7B</t>
  </si>
  <si>
    <t>Batería 2 Hornos rotativos Pauna SIGMA (27,24 m²)</t>
  </si>
  <si>
    <t>7B</t>
  </si>
  <si>
    <t>Enfriado Panificados</t>
  </si>
  <si>
    <t>Zona de vuelco / descarga de masa amasada</t>
  </si>
  <si>
    <t>Mesa de fraccionamiento y salida de bines</t>
  </si>
  <si>
    <t>Nodo 8B</t>
  </si>
  <si>
    <t>Radio de descarga de batea basculante 90°</t>
  </si>
  <si>
    <t>Sector de 4 carros en reposo convectivo (19,80 m²)</t>
  </si>
  <si>
    <t>Vuelco de la masa elaborada hacia batea móvil</t>
  </si>
  <si>
    <t>8B</t>
  </si>
  <si>
    <t>Rebanado / Envasado 1°</t>
  </si>
  <si>
    <t>Horneado</t>
  </si>
  <si>
    <t>Mesa estándar acero inoxidable AISI 304</t>
  </si>
  <si>
    <t>Horno Túnel Polin GD-BTOM10 (6x1,3m)</t>
  </si>
  <si>
    <t>Fraccionamiento fino de aditivos y pesadas menores</t>
  </si>
  <si>
    <t>A4</t>
  </si>
  <si>
    <t>Tablero eléctrico de comando y variador</t>
  </si>
  <si>
    <t>Nodo 8C</t>
  </si>
  <si>
    <t>Rebanadora Braesi + Flow-pack Brunetti (28,00 m²)</t>
  </si>
  <si>
    <t>8C</t>
  </si>
  <si>
    <t>Gabinete estanco IP65 para pulsadores y mando</t>
  </si>
  <si>
    <t>Comando de velocidad, temporizador y parada emergencia</t>
  </si>
  <si>
    <t>Tablero / terminal báscula e impresora</t>
  </si>
  <si>
    <t>A5</t>
  </si>
  <si>
    <t>Espacio de seguridad lateral y vuelco</t>
  </si>
  <si>
    <t>Columna con pantalla LCD e impresora térmica</t>
  </si>
  <si>
    <t>Registro de lote, peso neto y etiquetas de pesaje</t>
  </si>
  <si>
    <t>0,5 m de seguridad lateral respecto a tabiques</t>
  </si>
  <si>
    <t>Seguridad operativa y acceso a limpieza/mantenimiento</t>
  </si>
  <si>
    <t>10</t>
  </si>
  <si>
    <t>Lab. Calidad / Inocuidad</t>
  </si>
  <si>
    <t>Auxiliar</t>
  </si>
  <si>
    <t>Enfriado</t>
  </si>
  <si>
    <t>Espacio de seguridad perimetral</t>
  </si>
  <si>
    <t>Pasillo de circulación y transporte de batea</t>
  </si>
  <si>
    <t>Cinta de enfriamiento Golden Way</t>
  </si>
  <si>
    <t>Nodos 2, 7A, 8B</t>
  </si>
  <si>
    <t>Nodos 1, 9</t>
  </si>
  <si>
    <t>Superficie Preliminar (~15 m²)* para control de PCC</t>
  </si>
  <si>
    <t>Pasillo de circulación interna (mínimo 1,00 m)</t>
  </si>
  <si>
    <t>12</t>
  </si>
  <si>
    <t>0,5 m de seguridad según normas de higiene</t>
  </si>
  <si>
    <t>Tránsito peatonal y traslado rodante de bateas</t>
  </si>
  <si>
    <t>Mantenimiento / Servicios</t>
  </si>
  <si>
    <t>Seguridad lateral y distanciamiento de pared</t>
  </si>
  <si>
    <t>Nodos 5A, 6B</t>
  </si>
  <si>
    <t>Nodos 4A, 7A, 8B</t>
  </si>
  <si>
    <t>Superficie Preliminar (~15 m²)* para taller y compresores</t>
  </si>
  <si>
    <t>Buffer de batea con reposo de masa (SE)</t>
  </si>
  <si>
    <t>9</t>
  </si>
  <si>
    <t>Depósito PT y Expedición</t>
  </si>
  <si>
    <t>Pasillo de circulación y zorra hidráulica</t>
  </si>
  <si>
    <t>Carro porta-batea de acero inox en reposo</t>
  </si>
  <si>
    <t>Buffer de masa lista antes de alimentar moldeadora</t>
  </si>
  <si>
    <t>Ancho mínimo de maniobra para zorra manual</t>
  </si>
  <si>
    <t>Circulación de materiales y personal</t>
  </si>
  <si>
    <t>TOTAL</t>
  </si>
  <si>
    <t>Envasado 1°</t>
  </si>
  <si>
    <t>Nodo 1</t>
  </si>
  <si>
    <t>Envasadora Vertical Zon Pack + Detector</t>
  </si>
  <si>
    <t>Superficie Preliminar (~50 m²)* a fijar por política stock</t>
  </si>
  <si>
    <t>Buffer de bines pesados en espera (SE)</t>
  </si>
  <si>
    <t>Superficie Total Asignada al Puesto</t>
  </si>
  <si>
    <t>Batea/carro de transporte a amasado/batido</t>
  </si>
  <si>
    <t>Buffer de ingredientes pesados listos para proceso</t>
  </si>
  <si>
    <t>Envasado 2°</t>
  </si>
  <si>
    <t>Mesa de encajonado manual AISI 304</t>
  </si>
  <si>
    <t>A0
Amasadora Doble Z</t>
  </si>
  <si>
    <t>Batido</t>
  </si>
  <si>
    <t>Batidora Planetaria Moretti Ultra 60</t>
  </si>
  <si>
    <t>A0
Balanza de Piso + Mesa</t>
  </si>
  <si>
    <t>PARÁMETROS TÉCNICOS DEL EQUIPO / PUESTO</t>
  </si>
  <si>
    <t>Dosificado</t>
  </si>
  <si>
    <t>Dosificadora Neumática Indurpack G1WGD</t>
  </si>
  <si>
    <t>ESPECIFICACIÓN / VALOR</t>
  </si>
  <si>
    <t>Marca y Modelo</t>
  </si>
  <si>
    <t>Fermentado</t>
  </si>
  <si>
    <t>Cámara Fermentadora NKF-36RS</t>
  </si>
  <si>
    <t>Catania HJ25B (Amasadora doble Z volcable)</t>
  </si>
  <si>
    <t>Capacidad de Batea</t>
  </si>
  <si>
    <t>50 Litros / 25 kg de masa por bache</t>
  </si>
  <si>
    <t>Batería 2 Hornos Rotativos Pauna SIGMA</t>
  </si>
  <si>
    <t>Dimensiones del Equipo</t>
  </si>
  <si>
    <t>780 mm (Largo) x 500 mm (Ancho) x 950 mm (Alto)</t>
  </si>
  <si>
    <t>Balanza de plataforma MST-150B + Báscula digital</t>
  </si>
  <si>
    <t>Batería de Carros de Enfriamiento</t>
  </si>
  <si>
    <t>Superficie Estática (Ss)</t>
  </si>
  <si>
    <t>Capacidad Máxima</t>
  </si>
  <si>
    <t>0,39 m² (según memoria de cálculo BOM y Balanceo)</t>
  </si>
  <si>
    <t>150 kg (resolución 20 g) / Mesa 50 kg (resolución 1 g)</t>
  </si>
  <si>
    <t>Rebanado Pan</t>
  </si>
  <si>
    <t>Rebanadora Continua Braesi FB-12 G2</t>
  </si>
  <si>
    <t>Dimensiones Plataforma</t>
  </si>
  <si>
    <t>1000 mm x 1000 mm | Altura plataforma: 120 mm</t>
  </si>
  <si>
    <t>Potencia y Voltaje</t>
  </si>
  <si>
    <t>1,50 kW (1500 W) | 220 V / 50 Hz monofásica/trifásica</t>
  </si>
  <si>
    <t>Mesa de Micropesado</t>
  </si>
  <si>
    <t>Envasadora Flow-Pack Brunetti EFH700X</t>
  </si>
  <si>
    <t>Tiempo de Bache / Ciclo</t>
  </si>
  <si>
    <t>Acero Inox AISI 304 (1200 x 800 mm, h=850 mm)</t>
  </si>
  <si>
    <t>12 a 15 min por ciclo de amasado (Capacidad teórica: 125 kg/h)</t>
  </si>
  <si>
    <t>Proyecto Final UTN FRBA | Grupo 8 - Planta CELI (Alimentos Sin Gluten) | Relevamiento de Superficies y Layout</t>
  </si>
  <si>
    <t>Alimentación Eléctrica</t>
  </si>
  <si>
    <t>Depósito MP</t>
  </si>
  <si>
    <t>220 V / 50 Hz con batería de respaldo</t>
  </si>
  <si>
    <t>Racks Selectivos MP (3 niveles / 24 pallets)</t>
  </si>
  <si>
    <t>Insumos Manipulados</t>
  </si>
  <si>
    <t>REFERENCIAS DE LAYOUT:</t>
  </si>
  <si>
    <t>A0: Máquina Principal | A1: MP en espera | A2: Operación/Alimentación | A3: Salida de Producto</t>
  </si>
  <si>
    <t>Féculas, harinas, aditivos, leudantes, esencias, sal, azúcar</t>
  </si>
  <si>
    <t>A4: Tablero / Mando | A5: Seguridad Lateral | A6: Pasillo Circulación | A7: Buffer Semielaborado (SE)</t>
  </si>
  <si>
    <t>Estimado (SLP)*</t>
  </si>
  <si>
    <t>Depósito PT</t>
  </si>
  <si>
    <t>Racks Selectivos PT (3 niveles / 24 pallets)</t>
  </si>
  <si>
    <t>TOTAL PLANTA CELI</t>
  </si>
  <si>
    <t>MOLDEADO / FORMADO - LÍNEA GALLETITAS</t>
  </si>
  <si>
    <t>Línea A - Galletitas | Máquina Rotativa Ralem R800 + Dulcera + Cinta Transferencia</t>
  </si>
  <si>
    <t>Máquina Moldeadora Rotativa + Dulcera</t>
  </si>
  <si>
    <t>Fabricante Ralem (Rotativa R800: 2020 x 800 mm)</t>
  </si>
  <si>
    <t>Laminación, corte rotativo de masa y dosificado</t>
  </si>
  <si>
    <t>Batea de masa amasada en espera</t>
  </si>
  <si>
    <t>Carro de transporte rodante desde Amasado</t>
  </si>
  <si>
    <t>Espera de masa lista para alimentar la tolva</t>
  </si>
  <si>
    <t>Alimentación de tolva + Puesto de operador</t>
  </si>
  <si>
    <t>Acceso ergonómico superior y panel de mandos</t>
  </si>
  <si>
    <t>Carga de masa a tolva y calibración de rodillos</t>
  </si>
  <si>
    <t>Cinta de acople y transferencia a Horno</t>
  </si>
  <si>
    <t>Cinta de empalme con la banda metálica del horno</t>
  </si>
  <si>
    <t>Alineación y depósito de galletitas en malla de cocción</t>
  </si>
  <si>
    <t>Tablero eléctrico, variadores y retorno scrap</t>
  </si>
  <si>
    <t>Gabinete de control y cinta de retorno de recorte</t>
  </si>
  <si>
    <t>Regulación de velocidad sincronizada y recuperación</t>
  </si>
  <si>
    <t>Espacio de seguridad lateral y limpieza</t>
  </si>
  <si>
    <t>0,5 m a ambos laterales para acceso y sanidad</t>
  </si>
  <si>
    <t>Seguridad y mantenimiento de rodillos formadores</t>
  </si>
  <si>
    <t>Pasillo de circulación y supervisión</t>
  </si>
  <si>
    <t>Pasillo técnico longitudinal de la línea</t>
  </si>
  <si>
    <t>Circulación de operarios y control dimensional</t>
  </si>
  <si>
    <t>Bandeja colectora de recorte / scrap (SE)</t>
  </si>
  <si>
    <t>Bandeja de recolección de masa sobrante</t>
  </si>
  <si>
    <t>Retorno de recortes no conformados hacia amasadora</t>
  </si>
  <si>
    <t>A0
Moldeadora Rotativa R800</t>
  </si>
  <si>
    <t>Ralem Rotativa R800 + Dosificadora de Dulce</t>
  </si>
  <si>
    <t>Ancho de Cilindro / Malla</t>
  </si>
  <si>
    <t>700 mm útil (Ancho total máquina: 800 mm)</t>
  </si>
  <si>
    <t>2020 mm (Largo) x 800 mm (Ancho) x 2020 mm (Alto)</t>
  </si>
  <si>
    <t>1,616 m² (según BOM y Balanceo)</t>
  </si>
  <si>
    <t>2,50 kW | 220 V / 380 V trifásica</t>
  </si>
  <si>
    <t>Capacidad Teórica</t>
  </si>
  <si>
    <t>127,66 kg/h (9 galletas/fila, rodillo ø150 mm)</t>
  </si>
  <si>
    <t>HORNEADO - HORNO TÚNEL CICLOTÉRMICO</t>
  </si>
  <si>
    <t>Escala: 1 celda ≈ 0.25 m x 0.25 m (Largo: 24 celdas | Ancho: 5 celdas)</t>
  </si>
  <si>
    <t>Línea A - Galletitas | Horno Túnel Polin GD-BTOM10 (Cámara 6,00 m Largo x 1,30 m Ancho Total)</t>
  </si>
  <si>
    <t>Horno Túnel Ciclotérmico Modular</t>
  </si>
  <si>
    <t>Fabricante Polin (Cámara 6,0m x 1,3m exterior)</t>
  </si>
  <si>
    <t>Cocción continua sobre banda metálica con tiro modulado</t>
  </si>
  <si>
    <t>Embocadura y tensión de banda de entrada</t>
  </si>
  <si>
    <t>Mecanismo de tracción, centrado y raspador</t>
  </si>
  <si>
    <t>Recepción continua de galletas crudas desde rotativa</t>
  </si>
  <si>
    <t>Pasarela lateral de inspección y visores</t>
  </si>
  <si>
    <t>Pasarela de supervisión con visores pyrex templados</t>
  </si>
  <si>
    <t>Control visual de cocción y ajuste de termocuplas</t>
  </si>
  <si>
    <t>Salida de galletitas horneadas y descarga</t>
  </si>
  <si>
    <t>Zona de descarga y despegue con cuchilla de aire</t>
  </si>
  <si>
    <t>Transferencia suave hacia cinta de enfriamiento</t>
  </si>
  <si>
    <t>Rampa de gas, quemador y tablero PID</t>
  </si>
  <si>
    <t>Grupo térmico gas natural + tablero electrónico</t>
  </si>
  <si>
    <t>Alimentación segura de gas, tren de válvulas y PID</t>
  </si>
  <si>
    <t>A0
Horno Túnel Polin (6m x 1,3m)</t>
  </si>
  <si>
    <t>Aislamiento térmico perimetral y seguridad</t>
  </si>
  <si>
    <t>0,6 m de separación por radiación térmica de muros</t>
  </si>
  <si>
    <t>Protección al personal contra quemaduras y calor radiante</t>
  </si>
  <si>
    <t>Pasillo principal de circulación y mantenimiento</t>
  </si>
  <si>
    <t>Pasillo ancho para tránsito y mantenimiento pesado</t>
  </si>
  <si>
    <t>Circulación longitudinal principal de la nave</t>
  </si>
  <si>
    <t>Campana de extracción de vahos y chimenea</t>
  </si>
  <si>
    <t>Campana de captación en cabezales y tiro forzado</t>
  </si>
  <si>
    <t>Evacuación de humedad y productos de combustión</t>
  </si>
  <si>
    <t>Marca y Proveedor</t>
  </si>
  <si>
    <t>Ing. Polin e C. S.p.A. (Cyclothermic Tunnel Oven)</t>
  </si>
  <si>
    <t>Dimensiones Exteriores</t>
  </si>
  <si>
    <t>6000 mm (Largo) x 1300 mm (Ancho total con aislamiento) x 2000 mm (Alto)</t>
  </si>
  <si>
    <t>Ancho de Banda Útil</t>
  </si>
  <si>
    <t>700 mm (Malla de acero al carbono perforado)</t>
  </si>
  <si>
    <t>7,80 m² (Actualizado en BOM y Balanceo: 6,00 m x 1,30 m)</t>
  </si>
  <si>
    <t>Fuente de Alimentación</t>
  </si>
  <si>
    <t>Gas Natural (Quemador modular 52 kW) + 380 V Trifásica</t>
  </si>
  <si>
    <t>Temperatura y Tiempo</t>
  </si>
  <si>
    <t>160°C a 240°C regulable | Tiempo de cocción: 6,5 minutos</t>
  </si>
  <si>
    <t>ENFRIADO - CINTA CONTINUA</t>
  </si>
  <si>
    <t>Escala: 1 celda ≈ 0.25 m x 0.25 m (Largo: 20 celdas | Ancho: 4 celdas)</t>
  </si>
  <si>
    <t>Línea A - Galletitas | Cinta de Enfriamiento por Convección Golden Way (5,00 m Largo x 0,80 m Ancho)</t>
  </si>
  <si>
    <t>Cinta Transportadora de Enfriamiento por Aire</t>
  </si>
  <si>
    <t>Fabricante Golden Way (Largo 5,0 m para t_enfriado)</t>
  </si>
  <si>
    <t>Descenso térmico controlado hasta temperatura ambiente</t>
  </si>
  <si>
    <t>Entrada continua desde descarga del horno</t>
  </si>
  <si>
    <t>Acople de transición mecánica y rampa guiada</t>
  </si>
  <si>
    <t>Recepción de galletitas cocidas calientes</t>
  </si>
  <si>
    <t>Área de inspección de calidad y alineación</t>
  </si>
  <si>
    <t>Puesto de control visual a lo largo de la cinta</t>
  </si>
  <si>
    <t>Detección y descarte de unidades rotas o deformadas</t>
  </si>
  <si>
    <t>Descarga y caída a tolva de envasado</t>
  </si>
  <si>
    <t>Rampa de gravedad en acero inoxidable pulido</t>
  </si>
  <si>
    <t>Alimentación hacia el elevador Z de la envasadora</t>
  </si>
  <si>
    <t>Motorreductor, variador de avance y sopladores</t>
  </si>
  <si>
    <t>Grupo motriz inferior con ventiladores axiales</t>
  </si>
  <si>
    <t>Impulsión de banda y flujo de aire filtrado</t>
  </si>
  <si>
    <t>A0
Cinta de Enfriado (5m x 0,8m)</t>
  </si>
  <si>
    <t>ENVASADO PRIMARIO - LÍNEA GALLETITAS</t>
  </si>
  <si>
    <t>Línea A - Galletitas | Envasadora Vertical ZON PACK ZH-BL-10 + Detector de Metales</t>
  </si>
  <si>
    <t>0,5 m lateral libre para acceso sanitario</t>
  </si>
  <si>
    <t>Limpieza diaria de migas y bandejas inferiores</t>
  </si>
  <si>
    <t>Pasillo de circulación lateral</t>
  </si>
  <si>
    <t>Pasillo de circulación intersectorial</t>
  </si>
  <si>
    <t>Tránsito peatonal y supervisión continua</t>
  </si>
  <si>
    <t>Pulmón dinámico acumulador ante paradas (SE)</t>
  </si>
  <si>
    <t>Bandejas acumuladoras de desvío de emergencia</t>
  </si>
  <si>
    <t>Buffer de amortiguamiento si la envasadora se detiene</t>
  </si>
  <si>
    <t>Envasadora Vertical Flow-Pack + Multicabezal</t>
  </si>
  <si>
    <t>Fabricante ZON PACK (ZH-BL-10: 1530 x 970 mm)</t>
  </si>
  <si>
    <t>Formado de tubo, pesaje, dosificado y sellado hermético</t>
  </si>
  <si>
    <t>Elevador de cangilones / Tolva de alimentación</t>
  </si>
  <si>
    <t>Elevador Z de acero inoxidable grado alimentario</t>
  </si>
  <si>
    <t>Elevación continua de galletas hacia la tolva superior</t>
  </si>
  <si>
    <t>Hebei Golden Way Machinery (SUS304 Food Grade)</t>
  </si>
  <si>
    <t>Puesto del operador y recambio de bobinas</t>
  </si>
  <si>
    <t>Dimensiones de la Cinta</t>
  </si>
  <si>
    <t>5000 mm (Largo) x 800 mm (Ancho) x 1000 mm (Alto)</t>
  </si>
  <si>
    <t>Espacio frontal para montaje de rollos de film (20 kg)</t>
  </si>
  <si>
    <t>Operación táctil HMI, carga de film y fotocélula</t>
  </si>
  <si>
    <t>4,00 m² (según BOM y Balanceo: 5,0 m x 0,8 m)</t>
  </si>
  <si>
    <t>Cinta inclinada de salida de paquetes listos</t>
  </si>
  <si>
    <t>2,20 kW | 220 V / 380 V con motovariador electrónico</t>
  </si>
  <si>
    <t>Cinta transportadora de descarga con rampa</t>
  </si>
  <si>
    <t>Transporte de paquetes hacia el detector de metales</t>
  </si>
  <si>
    <t>Tablero HMI, codificador láser e inyector N2</t>
  </si>
  <si>
    <t>Tiempo de Enfriamiento</t>
  </si>
  <si>
    <t>Módulos auxiliares de trazabilidad e inertización</t>
  </si>
  <si>
    <t>4 a 8 minutos (ajustable por velocidad de avance)</t>
  </si>
  <si>
    <t>Fechado de lote/vencimiento e inyección de gas protector</t>
  </si>
  <si>
    <t>Espacio de seguridad y servicio de mordazas</t>
  </si>
  <si>
    <t>Capacidad de Caudal</t>
  </si>
  <si>
    <t>0,5 m perimetral para cambio de teflón y resistencias</t>
  </si>
  <si>
    <t>Mantenimiento seguro y cambio de formatos de tubo</t>
  </si>
  <si>
    <t>82,74 kg/h (sincronizada con régimen de horno)</t>
  </si>
  <si>
    <t>Pasillo libre de tránsito de materiales</t>
  </si>
  <si>
    <t>Circulación de personal y reposición de bobinas</t>
  </si>
  <si>
    <t>Detector de metales en línea con rechazo neumático</t>
  </si>
  <si>
    <t>Punto Crítico de Control (PCC) según plan HACCP</t>
  </si>
  <si>
    <t>Detección de metales ferrosos/no ferrosos y descarte</t>
  </si>
  <si>
    <t>A0
Envasadora Vertical ZH-BL-10</t>
  </si>
  <si>
    <t>ZON PACK ZH-BL-10 (Envasadora vertical flow-pack)</t>
  </si>
  <si>
    <t>1530 mm (Largo) x 970 mm (Ancho) x 1700 mm (Alto)</t>
  </si>
  <si>
    <t>1,4841 m² (según BOM y Balanceo: 1,53 m x 0,97 m)</t>
  </si>
  <si>
    <t>6,50 kW | 220 V / 50 Hz monofásica/trifásica</t>
  </si>
  <si>
    <t>Velocidad de Envasado</t>
  </si>
  <si>
    <t>30 a 70 paquetes/minuto (Capacidad: 270 kg/h)</t>
  </si>
  <si>
    <t>Formato de Empaque</t>
  </si>
  <si>
    <t>Paquete flow-pack 150 g con atmósfera inerte (N2)</t>
  </si>
  <si>
    <t>ENVASADO SECUNDARIO - LÍNEA GALLETITAS</t>
  </si>
  <si>
    <t>Línea A - Galletitas | Mesa de Trabajo Ergonómica, Encajonado y Paletizado</t>
  </si>
  <si>
    <t>Mesa de Trabajo en Acero Inoxidable AISI 304</t>
  </si>
  <si>
    <t>Mesa estándar ergonómica de empaque (1200x800mm)</t>
  </si>
  <si>
    <t>Superficie de apoyo para conformado y llenado de cajas</t>
  </si>
  <si>
    <t>Buffer de paquetes recibidos desde detector</t>
  </si>
  <si>
    <t>Bandeja acumuladora proveniente de envasado 1°</t>
  </si>
  <si>
    <t>Recepción de paquetes flow-pack verificados</t>
  </si>
  <si>
    <t>Puesto del operario de encajonado</t>
  </si>
  <si>
    <t>Espacio ergonómico de pie sobre alfombra antifatiga</t>
  </si>
  <si>
    <t>Conformado de cajas, colocación de 20 unidades y control</t>
  </si>
  <si>
    <t>Soporte para cajas corrugadas plegadas</t>
  </si>
  <si>
    <t>Estante inferior/lateral para cajas desarmadas</t>
  </si>
  <si>
    <t>Alimentación rápida de cajas vacías</t>
  </si>
  <si>
    <t>Precintadora manual y dispensador de rótulos</t>
  </si>
  <si>
    <t>Dispensador de cinta adhesiva y etiquetas código barras</t>
  </si>
  <si>
    <t>Cerrado superior e inferior y etiquetado de trazabilidad</t>
  </si>
  <si>
    <t>Espacio de seguridad y ergonomía postural</t>
  </si>
  <si>
    <t>Zona libre perimetral sin obstáculos de tropiezo</t>
  </si>
  <si>
    <t>Seguridad y rotación postural del trabajador</t>
  </si>
  <si>
    <t>Pasillo de circulación y retiro de zorras</t>
  </si>
  <si>
    <t>Ancho mínimo para tránsito de zorras hidráulicas</t>
  </si>
  <si>
    <t>Retiro de pallets conformados hacia Depósito PT</t>
  </si>
  <si>
    <t>Pallet en conformación con cajas terminadas (PT)</t>
  </si>
  <si>
    <t>Pallet Arlog (1,2 x 1,0 m) en proceso de estibado</t>
  </si>
  <si>
    <t>Estiba de cajas terminadas previo al stretch filmado</t>
  </si>
  <si>
    <t>A0
Mesa de Encajonado Manual</t>
  </si>
  <si>
    <t>Tipo de Puesto</t>
  </si>
  <si>
    <t>Mesa de envasado secundario manual en acero inoxidable</t>
  </si>
  <si>
    <t>Dimensiones de la Mesa</t>
  </si>
  <si>
    <t>1200 mm (Largo) x 800 mm (Ancho) x 800 mm (Alto)</t>
  </si>
  <si>
    <t>0,96 m² (según BOM y Balanceo: 1,20 m x 0,80 m)</t>
  </si>
  <si>
    <t>Formato de Embalaje</t>
  </si>
  <si>
    <t>Caja de cartón corrugado x 20 paquetes (3,00 kg netos)</t>
  </si>
  <si>
    <t>Equipamiento Auxiliar</t>
  </si>
  <si>
    <t>Dispensador de cinta de embalaje, etiquetadora y balanza de control</t>
  </si>
  <si>
    <t>Rendimiento</t>
  </si>
  <si>
    <t>1 caja/minuto por operario (Capacidad holgada para línea)</t>
  </si>
  <si>
    <t>BATIDO - LÍNEA PANIFICADOS</t>
  </si>
  <si>
    <t>Línea B - Panificados | Batidora Planetaria Industrial Moretti Ultra 60 (60 L / 37,5 kg)</t>
  </si>
  <si>
    <t>Batidora Planetaria Industrial de 60 Litros</t>
  </si>
  <si>
    <t>Fabricante Moretti (Ultra 60: 1100 x 910 mm)</t>
  </si>
  <si>
    <t>Batido, emulsión y aireado de masas de budín y pan</t>
  </si>
  <si>
    <t>Bines con ingredientes secos y líquidos dosificados</t>
  </si>
  <si>
    <t>Contenedores rodantes plásticos grado alimentario</t>
  </si>
  <si>
    <t>Espera de ingredientes pesados listos para verter</t>
  </si>
  <si>
    <t>Puesto del operador y sistema de elevación</t>
  </si>
  <si>
    <t>Área de izado y desmontaje del tacho de 60L</t>
  </si>
  <si>
    <t>Carga de materias primas, encastre y control de batido</t>
  </si>
  <si>
    <t>Zona de extracción de tacho con masa batida</t>
  </si>
  <si>
    <t>Zona de desacople y descenso del tacho con bache listo</t>
  </si>
  <si>
    <t>Retiro rodante del tacho hacia el puesto de dosificado</t>
  </si>
  <si>
    <t>Tablero eléctrico, temporizador y selector</t>
  </si>
  <si>
    <t>Gabinete estanco integrado con parada de emergencia</t>
  </si>
  <si>
    <t>Control de velocidades, temporizado y seguridad de rejilla</t>
  </si>
  <si>
    <t>Espacio de seguridad lateral y apertura de rejilla</t>
  </si>
  <si>
    <t>0,5 m lateral para resguardo y fácil lavado</t>
  </si>
  <si>
    <t>Seguridad contra atrapamiento y limpieza profunda</t>
  </si>
  <si>
    <t>Pasillo de circulación interna de panificados</t>
  </si>
  <si>
    <t>Pasillo de tránsito para operarios y carros</t>
  </si>
  <si>
    <t>Circulación peatonal y traslado rodante de tachos</t>
  </si>
  <si>
    <t>Tacho auxiliar de repuesto / carro porta-tacho</t>
  </si>
  <si>
    <t>Segundo tacho de acero inoxidable para rotación continua</t>
  </si>
  <si>
    <t>Permite iniciar el pesaje del siguiente lote sin demoras</t>
  </si>
  <si>
    <t>A0
Batidora Moretti Ultra 60</t>
  </si>
  <si>
    <t>DOSIFICADO - LÍNEA PANIFICADOS</t>
  </si>
  <si>
    <t>Moretti Ultra 60 (Batidora Planetaria Comercial Pesada)</t>
  </si>
  <si>
    <t>Capacidad de Tacho</t>
  </si>
  <si>
    <t>60 Litros / 37,5 kg de masa batida líquida/semilíquida</t>
  </si>
  <si>
    <t>Línea B - Panificados | Dosificadora Volumétrica Neumática Indurpack G1WGD-1000</t>
  </si>
  <si>
    <t>1100 mm (Largo) x 910 mm (Ancho) x 1580 mm (Alto)</t>
  </si>
  <si>
    <t>1,001 m² (según BOM y Balanceo: 1,10 m x 0,91 m)</t>
  </si>
  <si>
    <t>2,50 kW | 380 V trifásica (3 velocidades mecánicas)</t>
  </si>
  <si>
    <t>Dosificadora Neumática sobre Mesa Inox</t>
  </si>
  <si>
    <t>Tiempo de Batido</t>
  </si>
  <si>
    <t>18 a 20 min por bache (Capacidad teórica: 112,5 kg/h)</t>
  </si>
  <si>
    <t>Fabricante Indurpack (Tolva 40L, pistón SUS304)</t>
  </si>
  <si>
    <t>Dosificación volumétrica exacta en moldes de pan y budín</t>
  </si>
  <si>
    <t>Carro con moldes y bandejas vacías aceitadas</t>
  </si>
  <si>
    <t>Carro porta-bandejas estándar (450 x 700 mm)</t>
  </si>
  <si>
    <t>Alimentación de bandejas vacías hacia la boquilla</t>
  </si>
  <si>
    <t>Puesto de trabajo del operador con pedal</t>
  </si>
  <si>
    <t>Puesto ergonómico sentado/parado con accionador</t>
  </si>
  <si>
    <t>Posicionamiento de moldes bajo pico y disparo</t>
  </si>
  <si>
    <t>Mesa de transferencia de bandejas llenas</t>
  </si>
  <si>
    <t>Mesa de rodillos libres en acero inoxidable</t>
  </si>
  <si>
    <t>Recepción de moldes cargados y verificación de peso</t>
  </si>
  <si>
    <t>Unidad de Mantenimiento Neumático (FRL)</t>
  </si>
  <si>
    <t>Filtro, regulador de presión y manómetro</t>
  </si>
  <si>
    <t>Alimentación de aire comprimido seco y regulación</t>
  </si>
  <si>
    <t>Distancia libre para desmontaje y lavado de tolva</t>
  </si>
  <si>
    <t>Sanitización CIP y seguridad operativa</t>
  </si>
  <si>
    <t>Pasillo de circulación y maniobra de carros</t>
  </si>
  <si>
    <t>Pasillo interno de circulación de carros</t>
  </si>
  <si>
    <t>Circulación de personal y transporte de carros</t>
  </si>
  <si>
    <t>Carro porta-bandejas cargado listo (SE)</t>
  </si>
  <si>
    <t>FERMENTADO - CÁMARA CONTROLADA</t>
  </si>
  <si>
    <t>Carro con 15 bandejas cargadas con moldes</t>
  </si>
  <si>
    <t>Espera previa a fermentación (pan) o cocción (budín)</t>
  </si>
  <si>
    <t>Línea B - Panificados | Cámara Fermentadora Nick Technology NKF-36RS (36 Bandejas)</t>
  </si>
  <si>
    <t>A0
Dosificadora Indurpack G1WGD</t>
  </si>
  <si>
    <t>Cámara Fermentadora Termohigrométrica</t>
  </si>
  <si>
    <t>Indurpack G1WGD-1000 (Dosificadora neumática de pistón)</t>
  </si>
  <si>
    <t>Fabricante Nick Technology (NKF-36RS: 980x580mm)</t>
  </si>
  <si>
    <t>Leudado biológico controlado para pan de molde</t>
  </si>
  <si>
    <t>Capacidad de Tolva</t>
  </si>
  <si>
    <t>40 Litros en acero inoxidable SUS304</t>
  </si>
  <si>
    <t>Carro con bandejas dosificadas en espera</t>
  </si>
  <si>
    <t>1160 mm (Largo) x 300 mm (Ancho) x 450 mm (Alto)</t>
  </si>
  <si>
    <t>Carro proveniente de la estación de dosificado</t>
  </si>
  <si>
    <t>Espera antes del ingreso a la cámara de fermentación</t>
  </si>
  <si>
    <t>0,348 m² (en BOM: 1,16 m x 0,30 m sobre bancada)</t>
  </si>
  <si>
    <t>Zona de apertura de puertas y carga/descarga</t>
  </si>
  <si>
    <t>Radio de apertura de puertas batientes (90°) y paso</t>
  </si>
  <si>
    <t>Carga manual de bandejas en las guías internas</t>
  </si>
  <si>
    <t>Alimentación y Consumo</t>
  </si>
  <si>
    <t>220 V / 50 Hz + Aire comprimido 0,4-0,6 MPa (100 W)</t>
  </si>
  <si>
    <t>Carro para recepción de producto fermentado</t>
  </si>
  <si>
    <t>Rango de Dosificación</t>
  </si>
  <si>
    <t>100 a 1000 mL por ciclo (10 a 30 dosificaciones/min)</t>
  </si>
  <si>
    <t>Carro limpio listo para recibir producto con leudado</t>
  </si>
  <si>
    <t>Descarga de bandejas leudadas hacia horno rotativo</t>
  </si>
  <si>
    <t>Tablero electrónico de control de microclima</t>
  </si>
  <si>
    <t>Módulo de control digital de temperatura y humedad</t>
  </si>
  <si>
    <t>Regulación de resistencia calefactora y humidificador</t>
  </si>
  <si>
    <t>Espacio de ventilación trasera y lateral</t>
  </si>
  <si>
    <t>0,5 m de separación de tabiques para disipación</t>
  </si>
  <si>
    <t>Ventilación de condensados y seguridad eléctrica</t>
  </si>
  <si>
    <t>Pasillo de circulación de carros</t>
  </si>
  <si>
    <t>Pasillo de circulación apto para carros rodantes</t>
  </si>
  <si>
    <t>Transporte fluido entre dosificado, cámara y horno</t>
  </si>
  <si>
    <t>Pulmón de carros fermentados pre-horneo (SE)</t>
  </si>
  <si>
    <t>Carro con panes leudados en tiempo crítico de espera</t>
  </si>
  <si>
    <t>Pulmón de sincronización con la tanda del horno rotativo</t>
  </si>
  <si>
    <t>A0
Fermentador NKF-36RS</t>
  </si>
  <si>
    <t>BestBake / Nick Technology (NKF-36RS)</t>
  </si>
  <si>
    <t>HORNEADO - BATERÍA HORNOS ROTATIVOS</t>
  </si>
  <si>
    <t>Capacidad de Carga</t>
  </si>
  <si>
    <t>Escala: 1 celda ≈ 0.25 m x 0.25 m</t>
  </si>
  <si>
    <t>36 bandejas (450 x 700 mm) distribuidas en 2 columnas</t>
  </si>
  <si>
    <t>Línea B - Panificados | Batería de 2 Hornos Rotativos Pauna SIGMA B-7090 a Carro</t>
  </si>
  <si>
    <t>980 mm (Largo) x 580 mm (Ancho) x 2050 mm (Alto)</t>
  </si>
  <si>
    <t>0,5684 m² (según BOM y Balanceo: 0,98 m x 0,58 m)</t>
  </si>
  <si>
    <t>Batería de 2 Hornos Rotativos a Carro</t>
  </si>
  <si>
    <t>1,80 kW | 220 V / 50 Hz monofásica</t>
  </si>
  <si>
    <t>Fabricante Pauna (2 hornos SIGMA B-7090 acoplados)</t>
  </si>
  <si>
    <t>Cocción por convección forzada y rotación de carro</t>
  </si>
  <si>
    <t>Parámetros de Proceso</t>
  </si>
  <si>
    <t>Carros con producto leudado / dosificado en espera</t>
  </si>
  <si>
    <t>Temperatura: 32°C a 38°C | Humedad Relativa: 75% a 85%</t>
  </si>
  <si>
    <t>Espacio para 2 carros listos para horneo sincronizado</t>
  </si>
  <si>
    <t>Espera inmediata frente a la embocadura de los hornos</t>
  </si>
  <si>
    <t>Área de maniobra térmica y carga/descarga</t>
  </si>
  <si>
    <t>Radio de giro y enganche/desenganche al rotor superior</t>
  </si>
  <si>
    <t>Introducción y extracción de carros calientes con EPP</t>
  </si>
  <si>
    <t>Zona de desalojo y salida de carros calientes</t>
  </si>
  <si>
    <t>Zona de desalojo rápido de carros a 200°C</t>
  </si>
  <si>
    <t>Extracción hacia el área de reposo y enfriamiento</t>
  </si>
  <si>
    <t>Tableros de control con vaporizador y rampa gas</t>
  </si>
  <si>
    <t>Paneles de comando, quemadores y electroválvulas vapor</t>
  </si>
  <si>
    <t>Programación de recetas térmicas, inyección de vapor y alarmas</t>
  </si>
  <si>
    <t>0,8 m libre contra irradiación térmica de paredes</t>
  </si>
  <si>
    <t>Protección de operarios e instalaciones contra calor</t>
  </si>
  <si>
    <t>Pasillo de circulación principal para carros</t>
  </si>
  <si>
    <t>Pasillo ancho para maniobra pesada de carros calientes</t>
  </si>
  <si>
    <t>Circulación segura en área de alta temperatura</t>
  </si>
  <si>
    <t>A0
Hornos Rotativos (x2)</t>
  </si>
  <si>
    <t>Campanas de extracción de vahos y chimenea</t>
  </si>
  <si>
    <t>Campanas de acero inox con tiro forzado sobre puertas</t>
  </si>
  <si>
    <t>Extracción de vahos y vapores calientes al abrir</t>
  </si>
  <si>
    <t>Pauna SIGMA B-7090 (Batería de 2 unidades industriales)</t>
  </si>
  <si>
    <t>Capacidad por Horno</t>
  </si>
  <si>
    <t>1 carro de 15 bandejas (700x900 mm / 450x700 mm)</t>
  </si>
  <si>
    <t>Dimensiones por Unidad</t>
  </si>
  <si>
    <t>1950 mm (Largo) x 1600 mm (Ancho) x 2550 mm (Alto)</t>
  </si>
  <si>
    <t>6,24 m² (2 unidades x 3,12 m² c/u según BOM)</t>
  </si>
  <si>
    <t>Potencia Térmica / Combustible</t>
  </si>
  <si>
    <t>70.000 kcal/h c/u (Gas Natural) + 1,84 kW potencia motriz</t>
  </si>
  <si>
    <t>Tiempo de Horneado</t>
  </si>
  <si>
    <t>45 min por horneada (Capacidad total batería: 90,24 kg/h)</t>
  </si>
  <si>
    <t>ENFRIADO - SECTOR DE CARROS</t>
  </si>
  <si>
    <t>Línea B - Panificados | Estacionamiento Estático de Carros Porta-Bandejas (Enfriamiento 60 min)</t>
  </si>
  <si>
    <t>Batería de 4 Carros Porta-Bandejas en Reposo</t>
  </si>
  <si>
    <t>4 carros estándar en paralelo con espaciado convectivo</t>
  </si>
  <si>
    <t>Enfriamiento natural por aire ambiental de panes y budines</t>
  </si>
  <si>
    <t>Ingreso de carros recién salidos del horno</t>
  </si>
  <si>
    <t>Punto de acceso directo desde horneado rotativo</t>
  </si>
  <si>
    <t>Estacionamiento de carros calientes entrantes</t>
  </si>
  <si>
    <t>Pasillo interno de inspección y desmolde</t>
  </si>
  <si>
    <t>Pasillo peatonal entre filas de carros</t>
  </si>
  <si>
    <t>Control de temperatura interna y desmolde de budines</t>
  </si>
  <si>
    <t>Salida de carros templados hacia rebanado/empaque</t>
  </si>
  <si>
    <t>Carros con producto a temperatura ambiente</t>
  </si>
  <si>
    <t>Egreso de carros hacia rebanadora de pan y flow-pack</t>
  </si>
  <si>
    <t>Mesa de desmolde y estantería de moldes limpios</t>
  </si>
  <si>
    <t>Mesa de apoyo auxiliar en acero inoxidable</t>
  </si>
  <si>
    <t>Desmolde manual y apilado ordenado de moldes vacíos</t>
  </si>
  <si>
    <t>Espacio perimetral de convección de aire</t>
  </si>
  <si>
    <t>Distancia libre para flujo convectivo de aire natural</t>
  </si>
  <si>
    <t>Garantizar disipación homogénea de calor y humedad</t>
  </si>
  <si>
    <t>Traslado rodante de carros y tránsito general</t>
  </si>
  <si>
    <t>A0
Sector Carros Enfriado</t>
  </si>
  <si>
    <t>REBANADO - LÍNEA PAN DE MOLDE</t>
  </si>
  <si>
    <t>Pulmón de bandejas con producto desmoldado (SE)</t>
  </si>
  <si>
    <t>Carro porta-bandejas con budines listos para envoltura</t>
  </si>
  <si>
    <t>Pulmón de amortiguamiento antes del envasado primario</t>
  </si>
  <si>
    <t>Línea B - Panificados | Cortadora / Rebanadora Continua de Pan Braesi FB-12 G2</t>
  </si>
  <si>
    <t>Máquina Rebanadora de Pan de Molde</t>
  </si>
  <si>
    <t>Tipo de Sector</t>
  </si>
  <si>
    <t>Sector delimitado para enfriamiento convectivo natural de carros</t>
  </si>
  <si>
    <t>Fabricante Braesi (FB-12 G2: 721 x 477 mm)</t>
  </si>
  <si>
    <t>Corte simultáneo y uniforme de pan de molde sin desgranar</t>
  </si>
  <si>
    <t>Capacidad de Estacionamiento</t>
  </si>
  <si>
    <t>4 carros porta-bandejas en paralelo con espaciado de aire</t>
  </si>
  <si>
    <t>Bandeja con panes enteros fríos en espera</t>
  </si>
  <si>
    <t>Dimensiones de la Batería</t>
  </si>
  <si>
    <t>3000 mm (Largo) x 1600 mm (Ancho) x 1800 mm (Alto)</t>
  </si>
  <si>
    <t>Contenedor de panes desmoldados listos para corte</t>
  </si>
  <si>
    <t>Espera de panes fríos para ingresar a máquina</t>
  </si>
  <si>
    <t>4,80 m² (Área asignada total del sector: 8,00 m² según BOM)</t>
  </si>
  <si>
    <t>Puesto del operador y rampa de embolse</t>
  </si>
  <si>
    <t>Espacio ergonómico de empuje y recepción rápida</t>
  </si>
  <si>
    <t>Alimentación de panes y sostenimiento del paquete</t>
  </si>
  <si>
    <t>Tiempo de Residencia Térmica</t>
  </si>
  <si>
    <t>60 minutos para descenso a temperatura segura (&lt;30°C)</t>
  </si>
  <si>
    <t>Rampa de salida y soporte de rodajas</t>
  </si>
  <si>
    <t>Bandeja acanalada receptora con guías de alineación</t>
  </si>
  <si>
    <t>Mantenimiento del pan armado para su embolsado</t>
  </si>
  <si>
    <t>Operaciones Asociadas</t>
  </si>
  <si>
    <t>Desmolde manual de budines y verificación de panes</t>
  </si>
  <si>
    <t>Botonera de mando, ajuste de tensión y paro</t>
  </si>
  <si>
    <t>Columna de mando y palanca de tensión de cuchillas</t>
  </si>
  <si>
    <t>Control de marcha, parada y recambio de cuchillas</t>
  </si>
  <si>
    <t>Espacio de seguridad y guarda protectora</t>
  </si>
  <si>
    <t>Protección perimetral de mecanismos móviles de corte</t>
  </si>
  <si>
    <t>Seguridad contra atrapamiento y corte del operador</t>
  </si>
  <si>
    <t>Pasillo de circulación interna</t>
  </si>
  <si>
    <t>Tránsito peatonal y traslado de producto</t>
  </si>
  <si>
    <t>Bandeja pulmón de panes rebanados (SE)</t>
  </si>
  <si>
    <t>Bandeja de transferencia hacia la envasadora</t>
  </si>
  <si>
    <t>Buffer de pan cortado previo a termoenvasado</t>
  </si>
  <si>
    <t>A0
Rebanadora Braesi FB-12</t>
  </si>
  <si>
    <t>Braesi FB-12 G2 (Rebanadora de pan de mesa/pie)</t>
  </si>
  <si>
    <t>Hasta 360 piezas de pan/hora (Capacidad teórica: 144 kg/h)</t>
  </si>
  <si>
    <t>721 mm (Largo) x 477 mm (Ancho) x 1417 mm (Alto)</t>
  </si>
  <si>
    <t>0,3439 m² (según BOM y Balanceo: 0,72 m x 0,48 m)</t>
  </si>
  <si>
    <t>Potencia y Consumo</t>
  </si>
  <si>
    <t>0,50 kW | 220 V / 50 Hz monofásica</t>
  </si>
  <si>
    <t>Cuchillas y Corte</t>
  </si>
  <si>
    <t>Acero al carbono especial, paso de rebanada estándar 12 mm</t>
  </si>
  <si>
    <t>ENVASADO PRIMARIO - PAN Y BUDÍN</t>
  </si>
  <si>
    <t>Escala: 1 celda ≈ 0.25 m x 0.25 m (Largo: 17 celdas | Ancho: 5 celdas)</t>
  </si>
  <si>
    <t>Línea B - Panificados | Envasadora Horizontal Flow-Pack Brunetti EFH700X (4,38m Largo x 1,17m Ancho)</t>
  </si>
  <si>
    <t>Máquina Envasadora Horizontal Flow-Pack</t>
  </si>
  <si>
    <t>Fabricante Brunetti (EFH700X: 4380 x 1170 mm)</t>
  </si>
  <si>
    <t>Envasado horizontal automático, fechado y termosellado</t>
  </si>
  <si>
    <t>Carro con budines enteros y panes rebanados</t>
  </si>
  <si>
    <t>Carro de transferencia desde enfriado/rebanado</t>
  </si>
  <si>
    <t>Espera de productos listos para alimentar cadena</t>
  </si>
  <si>
    <t>Cadena de arrastre y puesto de operario alimentador</t>
  </si>
  <si>
    <t>Longitud de la cinta de tacos sincronizada</t>
  </si>
  <si>
    <t>Alimentación manual sincronizada de budines y panes</t>
  </si>
  <si>
    <t>Cinta de salida y paso por detector de metales</t>
  </si>
  <si>
    <t>Cinta de evacuación de paquetes termosellados</t>
  </si>
  <si>
    <t>Descarga suave y control de inocuidad PCC</t>
  </si>
  <si>
    <t>Tablero HMI táctil, servomotores y portabobinas</t>
  </si>
  <si>
    <t>ENVASADO SECUNDARIO - PANIFICADOS</t>
  </si>
  <si>
    <t>Estructura porta bobina superior con servocontrol</t>
  </si>
  <si>
    <t>Regulación de longitud de paquete, temperatura y fotocélula</t>
  </si>
  <si>
    <t>A0
Envasadora Brunetti EFH700X</t>
  </si>
  <si>
    <t>Línea B - Panificados | Mesa de Trabajo Ergonómica, Encajonado y Paletizado</t>
  </si>
  <si>
    <t>Espacio de seguridad lateral y mantenimiento mordazas</t>
  </si>
  <si>
    <t>0,6 m a lo largo del equipo para seguridad mecánica</t>
  </si>
  <si>
    <t>Acceso seguro a mordazas rotativas y cuchillas de corte</t>
  </si>
  <si>
    <t>Pasillo de circulación principal y carga de film</t>
  </si>
  <si>
    <t>Pasillo ancho para tránsito y carga de bobinas pesadas</t>
  </si>
  <si>
    <t>Circulación de zorras y reposición de insumos</t>
  </si>
  <si>
    <t>Mesa rotativa acumuladora / buffer de salida (SE)</t>
  </si>
  <si>
    <t>Mesa plato rotativo en acero inoxidable AISI 304</t>
  </si>
  <si>
    <t>Acumulación de paquetes previo al encajonado final</t>
  </si>
  <si>
    <t>Brunetti Hermanos EFH700X (Flow-Pack Horizontal)</t>
  </si>
  <si>
    <t>4380 mm (Largo) x 1170 mm (Ancho) x 1500 mm (Alto)</t>
  </si>
  <si>
    <t>Buffer de paquetes recibidos desde mesa rotativa</t>
  </si>
  <si>
    <t>5,125 m² (según catálogo: 4,38 m x 1,17 m, en BOM asignado 6,57 m²)</t>
  </si>
  <si>
    <t>Plato rotativo acumulador de envasado primario</t>
  </si>
  <si>
    <t>3,60 kW | 220 V / 380 V trifásica</t>
  </si>
  <si>
    <t>10 a 15 paquetes/minuto (Capacidad teórica: 160,8 kg/h)</t>
  </si>
  <si>
    <t>Formatos Aptos</t>
  </si>
  <si>
    <t>Conformado de cajas, colocación de producto y control</t>
  </si>
  <si>
    <t>Pan de molde entero/rebanado (400g) y Budines (180g) en atmósfera modificada</t>
  </si>
  <si>
    <t>A0
Mesa de Encajonado Panificados</t>
  </si>
  <si>
    <t>Mesa de encajonado secundario manual en acero inoxidable AISI 304</t>
  </si>
  <si>
    <t>Caja corrugada multiproducto (Panes x 10 unid / Budines x 20 unid)</t>
  </si>
  <si>
    <t>Precintadora de cinta adhesiva, fechador manual y balanza de control</t>
  </si>
  <si>
    <t>1 caja/minuto por puesto (Capacidad holgada)</t>
  </si>
  <si>
    <t>DEPÓSITO DE MATERIAS PRIMAS E INSUMOS (ESTIMACIÓN PRELIMINAR)</t>
  </si>
  <si>
    <t>Escala: 1 celda ≈ 0.40 m x 0.40 m (Superficie Estimada: ~50 m²)</t>
  </si>
  <si>
    <t>Sector Logística | Racks Selectivos, Cuarentena Libre de Gluten y Dársena (Pendiente Dimensionamiento Fino)</t>
  </si>
  <si>
    <t>Estructura de Racks Selectivos para MP [Est.]</t>
  </si>
  <si>
    <t>Módulo preliminar para 24 pallets en 3 niveles</t>
  </si>
  <si>
    <t>Almacenamiento clasificado de harinas, féculas y materias primas</t>
  </si>
  <si>
    <t>Dársena de recepción y descarga desde camión</t>
  </si>
  <si>
    <t>Área de descarga directa bajo techo</t>
  </si>
  <si>
    <t>Recepción de pallets e inspección visual de remito/embalaje</t>
  </si>
  <si>
    <t>DEPÓSITO DE PRODUCTO TERMINADO (ESTIMACIÓN PRELIMINAR)</t>
  </si>
  <si>
    <t>Zona de muestreo, control de calidad y cuarentena</t>
  </si>
  <si>
    <t>Espacio delimitado para análisis de gluten (&lt;10 ppm)</t>
  </si>
  <si>
    <t>Toma de muestras por Calidad previo a liberación</t>
  </si>
  <si>
    <t>Mesa de preparación de pedidos a producción (Kitting)</t>
  </si>
  <si>
    <t>Mesa y espacio para fraccionamiento de pallets</t>
  </si>
  <si>
    <t>Sector Logística | Racks Selectivos PT, Enfilmado y Expedición (Pendiente Dimensionamiento Fino)</t>
  </si>
  <si>
    <t>Preparación y consolidación de insumos para Sección Pesado</t>
  </si>
  <si>
    <t>Estación de carga de baterías de autoelevador</t>
  </si>
  <si>
    <t>Sector ventilado con cargador trifásico industrial</t>
  </si>
  <si>
    <t>Recarga segura de baterías de litio 80V</t>
  </si>
  <si>
    <t>Distancia reglamentaria de seguridad a muros</t>
  </si>
  <si>
    <t>Separación de 0,5 m a muros según IRAM/SENASA</t>
  </si>
  <si>
    <t>Inspección de plagas, higiene perimetral y ventilación</t>
  </si>
  <si>
    <t>Pasillo de circulación y maniobra para autoelevador</t>
  </si>
  <si>
    <t>Radio de giro de autoelevador eléctrico (2,8 - 3,0 m)</t>
  </si>
  <si>
    <t>Circulación principal de autoelevador y zorras hidráulicas</t>
  </si>
  <si>
    <t>A0
Racks Selectivos MP [Est.]</t>
  </si>
  <si>
    <t>Buffer de pallets preparados listos para planta (SE)</t>
  </si>
  <si>
    <t>2 posiciones de pallets listos para entrega</t>
  </si>
  <si>
    <t>Pulmón de entrega hacia Sección Pesado</t>
  </si>
  <si>
    <t>Estructura de Racks Selectivos para PT [Est.]</t>
  </si>
  <si>
    <t>Estado de Dimensionamiento</t>
  </si>
  <si>
    <t>PRELIMINAR / ESTIMACIÓN DE ORDEN DE MAGNITUD (SLP)</t>
  </si>
  <si>
    <t>Almacenamiento ordenado por SKU y lote de fabricación</t>
  </si>
  <si>
    <t>Criterio de Cálculo Previsto</t>
  </si>
  <si>
    <t>Días de stock de MP x Consumo Diario BOM / Capacidad Rack 3 niveles</t>
  </si>
  <si>
    <t>Estimación de Posiciones</t>
  </si>
  <si>
    <t>20 a 24 pallets Arlog (1200 x 1000 mm) en racks selectivos</t>
  </si>
  <si>
    <t>Buffer de pallets recibidos desde envasado secundario</t>
  </si>
  <si>
    <t>Equipos de Manutención</t>
  </si>
  <si>
    <t>Autoelevador Eléctrico HELI ORME-CMM-16 + Zorra Hidráulica</t>
  </si>
  <si>
    <t>2 posiciones de pallets entrantes en espera</t>
  </si>
  <si>
    <t>Requisitos Sanitarios</t>
  </si>
  <si>
    <t>Recepción de pallets desde galletitas y panificados</t>
  </si>
  <si>
    <t>Certificación Sin TACC (&lt;10 ppm gluten), muestreo y cuarentena</t>
  </si>
  <si>
    <t>Nota de Procedimiento</t>
  </si>
  <si>
    <t>Se fijará superficie definitiva una vez definido el lote de compra de féculas</t>
  </si>
  <si>
    <t>Estación de enfilmadora / envolvedora de pallets</t>
  </si>
  <si>
    <t>Plato giratorio con dispensador de stretch film</t>
  </si>
  <si>
    <t>Enfilmado y aseguramiento de la carga para transporte seguro</t>
  </si>
  <si>
    <t>Zona de consolidación de pedidos y picking</t>
  </si>
  <si>
    <t>Área abierta de armado de pedidos según remitos</t>
  </si>
  <si>
    <t>Consolidación de despachos para distribuidoras y súper</t>
  </si>
  <si>
    <t>Puesto de control de expedición y remitos</t>
  </si>
  <si>
    <t>Escritorio con terminal informática y lector láser</t>
  </si>
  <si>
    <t>Gestión de remitos, trazabilidad y control de salida</t>
  </si>
  <si>
    <t>Distancia reglamentaria de seguridad perimetral</t>
  </si>
  <si>
    <t>Separación de muros según normativa IRAM</t>
  </si>
  <si>
    <t>Inspección de plagas, higiene y seguridad edilicia</t>
  </si>
  <si>
    <t>Pasillo principal de maniobra de autoelevador</t>
  </si>
  <si>
    <t>Pasillo ancho para maniobra de autoelevador eléctrico</t>
  </si>
  <si>
    <t>Carga/descarga en racks y traslado a dársena de salida</t>
  </si>
  <si>
    <t>A0
Racks Selectivos PT [Est.]</t>
  </si>
  <si>
    <t>Dársena / Pulmón de expedición hacia camión</t>
  </si>
  <si>
    <t>Área de precarga frente a portón de despacho</t>
  </si>
  <si>
    <t>Carga a camiones de distribución logística</t>
  </si>
  <si>
    <t>Días de stock PT (Plan de Ventas) / Estiba en Racks</t>
  </si>
  <si>
    <t>20 a 24 pallets Arlog (Galletitas, Panes y Budines)</t>
  </si>
  <si>
    <t>Equipamiento de Despacho</t>
  </si>
  <si>
    <t>Envolvedora semiautomática de stretch film + Autoelevador HELI</t>
  </si>
  <si>
    <t>Criterio Logístico</t>
  </si>
  <si>
    <t>FIFO estricto con trazabilidad por lote y código de barras</t>
  </si>
  <si>
    <t>Se fijará superficie definitiva una vez cerrada la política de stock de 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</si>
</sst>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6.0"/>
      <color rgb="FF0F2042"/>
      <name val="Quattrocento Sans"/>
    </font>
    <font>
      <b/>
      <sz val="18.0"/>
      <color rgb="FF0F2042"/>
      <name val="Quattrocento Sans"/>
    </font>
    <font>
      <i/>
      <sz val="10.0"/>
      <color rgb="FF5A6A85"/>
      <name val="Quattrocento Sans"/>
    </font>
    <font>
      <b/>
      <sz val="10.0"/>
      <color rgb="FFFFFFFF"/>
      <name val="Quattrocento Sans"/>
    </font>
    <font>
      <b/>
      <sz val="9.0"/>
      <color rgb="FF1A2B4C"/>
      <name val="Quattrocento Sans"/>
    </font>
    <font>
      <b/>
      <sz val="10.0"/>
      <color rgb="FF0F2042"/>
      <name val="Quattrocento Sans"/>
    </font>
    <font>
      <b/>
      <sz val="9.0"/>
      <color rgb="FF1E293B"/>
      <name val="Quattrocento Sans"/>
    </font>
    <font/>
    <font>
      <i/>
      <sz val="9.0"/>
      <color rgb="FF475569"/>
      <name val="Quattrocento Sans"/>
    </font>
    <font>
      <sz val="9.0"/>
      <color rgb="FF1E293B"/>
      <name val="Quattrocento Sans"/>
    </font>
    <font>
      <sz val="11.0"/>
      <color theme="1"/>
      <name val="Calibri"/>
    </font>
    <font>
      <b/>
      <sz val="12.0"/>
      <color rgb="FFD9381E"/>
      <name val="Quattrocento Sans"/>
    </font>
    <font>
      <b/>
      <sz val="10.0"/>
      <color rgb="FFC00000"/>
      <name val="Quattrocento Sans"/>
    </font>
    <font>
      <b/>
      <sz val="9.0"/>
      <color rgb="FF0F2042"/>
      <name val="Quattrocento Sans"/>
    </font>
    <font>
      <i/>
      <sz val="9.0"/>
      <color rgb="FF059669"/>
      <name val="Quattrocento Sans"/>
    </font>
    <font>
      <b/>
      <sz val="11.0"/>
      <color rgb="FF0F2042"/>
      <name val="Quattrocento Sans"/>
    </font>
    <font>
      <b/>
      <sz val="9.0"/>
      <color rgb="FFFFFFFF"/>
      <name val="Quattrocento Sans"/>
    </font>
    <font>
      <i/>
      <sz val="8.0"/>
      <color rgb="FF64748B"/>
      <name val="Quattrocento Sans"/>
    </font>
    <font>
      <sz val="8.0"/>
      <color rgb="FF475569"/>
      <name val="Quattrocento Sans"/>
    </font>
    <font>
      <i/>
      <sz val="9.0"/>
      <color rgb="FFD97706"/>
      <name val="Quattrocento Sans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A2B4C"/>
        <bgColor rgb="FF1A2B4C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D1E7DD"/>
        <bgColor rgb="FFD1E7DD"/>
      </patternFill>
    </fill>
    <fill>
      <patternFill patternType="solid">
        <fgColor rgb="FFF8FAFC"/>
        <bgColor rgb="FFF8FAFC"/>
      </patternFill>
    </fill>
    <fill>
      <patternFill patternType="solid">
        <fgColor rgb="FFE9EEF5"/>
        <bgColor rgb="FFE9EEF5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</fills>
  <borders count="35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medium">
        <color rgb="FF1A2B4C"/>
      </top>
      <bottom style="medium">
        <color rgb="FF1A2B4C"/>
      </bottom>
    </border>
    <border>
      <left style="dotted">
        <color rgb="FF94A3B8"/>
      </left>
      <top style="dotted">
        <color rgb="FF94A3B8"/>
      </top>
    </border>
    <border>
      <top style="dotted">
        <color rgb="FF94A3B8"/>
      </top>
    </border>
    <border>
      <left style="dotted">
        <color rgb="FFD9381E"/>
      </left>
      <top style="dotted">
        <color rgb="FFD9381E"/>
      </top>
    </border>
    <border>
      <top style="dotted">
        <color rgb="FFD9381E"/>
      </top>
    </border>
    <border>
      <right style="dotted">
        <color rgb="FFD9381E"/>
      </right>
      <top style="dotted">
        <color rgb="FFD9381E"/>
      </top>
    </border>
    <border>
      <right style="dotted">
        <color rgb="FF94A3B8"/>
      </right>
      <top style="dotted">
        <color rgb="FF94A3B8"/>
      </top>
    </border>
    <border>
      <left style="dotted">
        <color rgb="FF94A3B8"/>
      </left>
    </border>
    <border>
      <left style="dotted">
        <color rgb="FFD9381E"/>
      </left>
    </border>
    <border>
      <right style="dotted">
        <color rgb="FFD9381E"/>
      </right>
    </border>
    <border>
      <right style="dotted">
        <color rgb="FF94A3B8"/>
      </right>
    </border>
    <border>
      <left style="dotted">
        <color rgb="FFD9381E"/>
      </left>
      <bottom style="dotted">
        <color rgb="FFD9381E"/>
      </bottom>
    </border>
    <border>
      <bottom style="dotted">
        <color rgb="FFD9381E"/>
      </bottom>
    </border>
    <border>
      <right style="dotted">
        <color rgb="FFD9381E"/>
      </right>
      <bottom style="dotted">
        <color rgb="FFD9381E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A2B4C"/>
      </bottom>
    </border>
    <border>
      <left style="medium">
        <color rgb="FF1A2B4C"/>
      </left>
      <top style="medium">
        <color rgb="FF1A2B4C"/>
      </top>
    </border>
    <border>
      <top style="medium">
        <color rgb="FF1A2B4C"/>
      </top>
    </border>
    <border>
      <right style="medium">
        <color rgb="FF1A2B4C"/>
      </right>
      <top style="medium">
        <color rgb="FF1A2B4C"/>
      </top>
    </border>
    <border>
      <left style="medium">
        <color rgb="FF1A2B4C"/>
      </left>
    </border>
    <border>
      <right style="medium">
        <color rgb="FF1A2B4C"/>
      </right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A2B4C"/>
      </left>
      <bottom style="medium">
        <color rgb="FF1A2B4C"/>
      </bottom>
    </border>
    <border>
      <bottom style="medium">
        <color rgb="FF1A2B4C"/>
      </bottom>
    </border>
    <border>
      <right style="medium">
        <color rgb="FF1A2B4C"/>
      </right>
      <bottom style="medium">
        <color rgb="FF1A2B4C"/>
      </bottom>
    </border>
    <border>
      <left style="dotted">
        <color rgb="FF94A3B8"/>
      </left>
      <bottom style="dotted">
        <color rgb="FF94A3B8"/>
      </bottom>
    </border>
    <border>
      <bottom style="dotted">
        <color rgb="FF94A3B8"/>
      </bottom>
    </border>
    <border>
      <right style="dotted">
        <color rgb="FF94A3B8"/>
      </right>
      <bottom style="dotted">
        <color rgb="FF94A3B8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vertical="center"/>
    </xf>
    <xf borderId="0" fillId="0" fontId="6" numFmtId="0" xfId="0" applyFont="1"/>
    <xf borderId="1" fillId="4" fontId="7" numFmtId="0" xfId="0" applyAlignment="1" applyBorder="1" applyFill="1" applyFont="1">
      <alignment horizontal="center" vertical="center"/>
    </xf>
    <xf borderId="0" fillId="0" fontId="7" numFmtId="0" xfId="0" applyFont="1"/>
    <xf borderId="3" fillId="0" fontId="8" numFmtId="0" xfId="0" applyBorder="1" applyFont="1"/>
    <xf borderId="1" fillId="4" fontId="7" numFmtId="0" xfId="0" applyAlignment="1" applyBorder="1" applyFill="1" applyFont="1">
      <alignment horizontal="left" vertical="center"/>
    </xf>
    <xf borderId="4" fillId="5" fontId="7" numFmtId="0" xfId="0" applyAlignment="1" applyBorder="1" applyFill="1" applyFont="1">
      <alignment horizontal="center"/>
    </xf>
    <xf borderId="5" fillId="0" fontId="8" numFmtId="0" xfId="0" applyBorder="1" applyFont="1"/>
    <xf borderId="0" fillId="0" fontId="9" numFmtId="0" xfId="0" applyFont="1"/>
    <xf borderId="1" fillId="4" fontId="10" numFmtId="0" xfId="0" applyAlignment="1" applyBorder="1" applyFill="1" applyFont="1">
      <alignment horizontal="center" vertical="center"/>
    </xf>
    <xf borderId="6" fillId="2" fontId="4" numFmtId="0" xfId="0" applyAlignment="1" applyBorder="1" applyFill="1" applyFont="1">
      <alignment horizontal="center" shrinkToFit="0" vertical="center" wrapText="1"/>
    </xf>
    <xf borderId="7" fillId="6" fontId="11" numFmtId="0" xfId="0" applyBorder="1" applyFill="1" applyFont="1"/>
    <xf borderId="8" fillId="6" fontId="11" numFmtId="0" xfId="0" applyBorder="1" applyFill="1" applyFont="1"/>
    <xf borderId="9" fillId="4" fontId="12" numFmtId="0" xfId="0" applyAlignment="1" applyBorder="1" applyFill="1" applyFont="1">
      <alignment horizontal="center" vertical="center"/>
    </xf>
    <xf borderId="10" fillId="0" fontId="8" numFmtId="0" xfId="0" applyBorder="1" applyFont="1"/>
    <xf borderId="11" fillId="0" fontId="8" numFmtId="0" xfId="0" applyBorder="1" applyFont="1"/>
    <xf borderId="1" fillId="4" fontId="11" numFmtId="0" xfId="0" applyAlignment="1" applyBorder="1" applyFill="1" applyFont="1">
      <alignment horizontal="center" vertical="center"/>
    </xf>
    <xf borderId="12" fillId="6" fontId="11" numFmtId="0" xfId="0" applyBorder="1" applyFill="1" applyFont="1"/>
    <xf borderId="1" fillId="4" fontId="7" numFmtId="2" xfId="0" applyAlignment="1" applyBorder="1" applyFill="1" applyFont="1" applyNumberFormat="1">
      <alignment horizontal="right" vertical="center"/>
    </xf>
    <xf borderId="1" fillId="4" fontId="11" numFmtId="0" xfId="0" applyAlignment="1" applyBorder="1" applyFill="1" applyFont="1">
      <alignment horizontal="left" vertical="center"/>
    </xf>
    <xf borderId="1" fillId="4" fontId="10" numFmtId="0" xfId="0" applyAlignment="1" applyBorder="1" applyFill="1" applyFont="1">
      <alignment horizontal="left" vertical="center"/>
    </xf>
    <xf borderId="13" fillId="6" fontId="11" numFmtId="0" xfId="0" applyBorder="1" applyFill="1" applyFont="1"/>
    <xf borderId="0" fillId="6" fontId="11" numFmtId="0" xfId="0" applyFill="1" applyFont="1"/>
    <xf borderId="1" fillId="6" fontId="7" numFmtId="0" xfId="0" applyAlignment="1" applyBorder="1" applyFill="1" applyFont="1">
      <alignment horizontal="center" vertical="center"/>
    </xf>
    <xf borderId="14" fillId="0" fontId="8" numFmtId="0" xfId="0" applyBorder="1" applyFont="1"/>
    <xf borderId="15" fillId="0" fontId="8" numFmtId="0" xfId="0" applyBorder="1" applyFont="1"/>
    <xf borderId="1" fillId="6" fontId="7" numFmtId="0" xfId="0" applyAlignment="1" applyBorder="1" applyFill="1" applyFont="1">
      <alignment horizontal="left" vertical="center"/>
    </xf>
    <xf borderId="16" fillId="6" fontId="11" numFmtId="0" xfId="0" applyBorder="1" applyFill="1" applyFont="1"/>
    <xf borderId="1" fillId="6" fontId="10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6" fontId="7" numFmtId="2" xfId="0" applyAlignment="1" applyBorder="1" applyFill="1" applyFont="1" applyNumberFormat="1">
      <alignment horizontal="right" vertical="center"/>
    </xf>
    <xf borderId="1" fillId="0" fontId="7" numFmtId="0" xfId="0" applyAlignment="1" applyBorder="1" applyFont="1">
      <alignment horizontal="left" vertical="center"/>
    </xf>
    <xf borderId="1" fillId="5" fontId="7" numFmtId="2" xfId="0" applyAlignment="1" applyBorder="1" applyFill="1" applyFont="1" applyNumberFormat="1">
      <alignment horizontal="right" vertical="center"/>
    </xf>
    <xf borderId="1" fillId="6" fontId="10" numFmtId="0" xfId="0" applyAlignment="1" applyBorder="1" applyFill="1" applyFont="1">
      <alignment horizontal="left" vertical="center"/>
    </xf>
    <xf borderId="1" fillId="0" fontId="7" numFmtId="1" xfId="0" applyAlignment="1" applyBorder="1" applyFont="1" applyNumberFormat="1">
      <alignment horizontal="center" vertical="center"/>
    </xf>
    <xf borderId="1" fillId="4" fontId="11" numFmtId="2" xfId="0" applyAlignment="1" applyBorder="1" applyFill="1" applyFont="1" applyNumberFormat="1">
      <alignment horizontal="right" vertical="center"/>
    </xf>
    <xf borderId="1" fillId="0" fontId="7" numFmtId="2" xfId="0" applyAlignment="1" applyBorder="1" applyFont="1" applyNumberFormat="1">
      <alignment horizontal="right" vertical="center"/>
    </xf>
    <xf borderId="1" fillId="0" fontId="10" numFmtId="0" xfId="0" applyAlignment="1" applyBorder="1" applyFont="1">
      <alignment horizontal="left" shrinkToFit="0" vertical="center" wrapText="1"/>
    </xf>
    <xf borderId="1" fillId="6" fontId="13" numFmtId="0" xfId="0" applyAlignment="1" applyBorder="1" applyFill="1" applyFont="1">
      <alignment horizontal="center" vertical="center"/>
    </xf>
    <xf borderId="1" fillId="5" fontId="14" numFmtId="2" xfId="0" applyAlignment="1" applyBorder="1" applyFill="1" applyFont="1" applyNumberFormat="1">
      <alignment horizontal="right" vertical="center"/>
    </xf>
    <xf borderId="1" fillId="0" fontId="10" numFmtId="2" xfId="0" applyAlignment="1" applyBorder="1" applyFont="1" applyNumberFormat="1">
      <alignment horizontal="right" vertical="center"/>
    </xf>
    <xf borderId="1" fillId="4" fontId="15" numFmtId="0" xfId="0" applyAlignment="1" applyBorder="1" applyFill="1" applyFont="1">
      <alignment horizontal="center" vertical="center"/>
    </xf>
    <xf borderId="1" fillId="6" fontId="10" numFmtId="1" xfId="0" applyAlignment="1" applyBorder="1" applyFill="1" applyFont="1" applyNumberFormat="1">
      <alignment horizontal="center" vertical="center"/>
    </xf>
    <xf borderId="1" fillId="6" fontId="11" numFmtId="0" xfId="0" applyAlignment="1" applyBorder="1" applyFill="1" applyFont="1">
      <alignment horizontal="center" vertical="center"/>
    </xf>
    <xf borderId="1" fillId="6" fontId="10" numFmtId="2" xfId="0" applyAlignment="1" applyBorder="1" applyFill="1" applyFont="1" applyNumberFormat="1">
      <alignment horizontal="right" vertical="center"/>
    </xf>
    <xf borderId="1" fillId="6" fontId="10" numFmtId="0" xfId="0" applyAlignment="1" applyBorder="1" applyFill="1" applyFont="1">
      <alignment horizontal="left" shrinkToFit="0" vertical="center" wrapText="1"/>
    </xf>
    <xf borderId="1" fillId="6" fontId="11" numFmtId="0" xfId="0" applyAlignment="1" applyBorder="1" applyFill="1" applyFont="1">
      <alignment horizontal="left" vertical="center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1" fillId="6" fontId="11" numFmtId="2" xfId="0" applyAlignment="1" applyBorder="1" applyFill="1" applyFont="1" applyNumberFormat="1">
      <alignment horizontal="right" vertical="center"/>
    </xf>
    <xf borderId="1" fillId="4" fontId="13" numFmtId="0" xfId="0" applyAlignment="1" applyBorder="1" applyFill="1" applyFont="1">
      <alignment horizontal="center" vertical="center"/>
    </xf>
    <xf borderId="1" fillId="4" fontId="10" numFmtId="1" xfId="0" applyAlignment="1" applyBorder="1" applyFill="1" applyFont="1" applyNumberFormat="1">
      <alignment horizontal="center" vertical="center"/>
    </xf>
    <xf borderId="1" fillId="4" fontId="10" numFmtId="2" xfId="0" applyAlignment="1" applyBorder="1" applyFill="1" applyFont="1" applyNumberFormat="1">
      <alignment horizontal="right" vertical="center"/>
    </xf>
    <xf borderId="1" fillId="4" fontId="10" numFmtId="0" xfId="0" applyAlignment="1" applyBorder="1" applyFill="1" applyFont="1">
      <alignment horizontal="left" shrinkToFit="0" vertical="center" wrapText="1"/>
    </xf>
    <xf borderId="1" fillId="6" fontId="15" numFmtId="0" xfId="0" applyAlignment="1" applyBorder="1" applyFill="1" applyFont="1">
      <alignment horizontal="center" vertical="center"/>
    </xf>
    <xf borderId="20" fillId="7" fontId="7" numFmtId="0" xfId="0" applyAlignment="1" applyBorder="1" applyFill="1" applyFont="1">
      <alignment horizontal="center" vertical="center"/>
    </xf>
    <xf borderId="20" fillId="7" fontId="7" numFmtId="0" xfId="0" applyAlignment="1" applyBorder="1" applyFill="1" applyFont="1">
      <alignment horizontal="left" vertical="center"/>
    </xf>
    <xf borderId="20" fillId="7" fontId="11" numFmtId="0" xfId="0" applyBorder="1" applyFill="1" applyFont="1"/>
    <xf borderId="20" fillId="7" fontId="6" numFmtId="2" xfId="0" applyAlignment="1" applyBorder="1" applyFill="1" applyFont="1" applyNumberFormat="1">
      <alignment horizontal="right" vertical="center"/>
    </xf>
    <xf borderId="21" fillId="4" fontId="16" numFmtId="0" xfId="0" applyAlignment="1" applyBorder="1" applyFill="1" applyFont="1">
      <alignment horizontal="center" shrinkToFit="0" vertical="center" wrapText="1"/>
    </xf>
    <xf borderId="22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2" fillId="8" fontId="17" numFmtId="0" xfId="0" applyAlignment="1" applyBorder="1" applyFill="1" applyFont="1">
      <alignment horizontal="center" vertical="center"/>
    </xf>
    <xf borderId="26" fillId="9" fontId="7" numFmtId="0" xfId="0" applyAlignment="1" applyBorder="1" applyFill="1" applyFont="1">
      <alignment horizontal="left" vertical="center"/>
    </xf>
    <xf borderId="27" fillId="0" fontId="8" numFmtId="0" xfId="0" applyBorder="1" applyFont="1"/>
    <xf borderId="28" fillId="0" fontId="8" numFmtId="0" xfId="0" applyBorder="1" applyFont="1"/>
    <xf borderId="26" fillId="4" fontId="10" numFmtId="0" xfId="0" applyAlignment="1" applyBorder="1" applyFill="1" applyFont="1">
      <alignment horizontal="left" vertical="center"/>
    </xf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0" fillId="0" fontId="18" numFmtId="0" xfId="0" applyFont="1"/>
    <xf borderId="32" fillId="6" fontId="11" numFmtId="0" xfId="0" applyBorder="1" applyFill="1" applyFont="1"/>
    <xf borderId="33" fillId="6" fontId="11" numFmtId="0" xfId="0" applyBorder="1" applyFill="1" applyFont="1"/>
    <xf borderId="34" fillId="6" fontId="11" numFmtId="0" xfId="0" applyBorder="1" applyFill="1" applyFont="1"/>
    <xf borderId="0" fillId="0" fontId="14" numFmtId="0" xfId="0" applyFont="1"/>
    <xf borderId="0" fillId="0" fontId="19" numFmtId="0" xfId="0" applyFont="1"/>
    <xf borderId="1" fillId="6" fontId="20" numFmtId="0" xfId="0" applyAlignment="1" applyBorder="1" applyFill="1" applyFont="1">
      <alignment horizontal="center" vertical="center"/>
    </xf>
    <xf borderId="1" fillId="4" fontId="20" numFmtId="0" xfId="0" applyAlignment="1" applyBorder="1" applyFill="1" applyFont="1">
      <alignment horizontal="center" vertical="center"/>
    </xf>
    <xf borderId="20" fillId="7" fontId="6" numFmtId="0" xfId="0" applyBorder="1" applyFill="1" applyFont="1"/>
    <xf borderId="20" fillId="7" fontId="7" numFmtId="2" xfId="0" applyAlignment="1" applyBorder="1" applyFill="1" applyFont="1" applyNumberFormat="1">
      <alignment horizontal="right" vertical="center"/>
    </xf>
    <xf borderId="20" fillId="5" fontId="16" numFmtId="2" xfId="0" applyAlignment="1" applyBorder="1" applyFill="1" applyFont="1" applyNumberFormat="1">
      <alignment horizontal="right" vertical="center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24.0"/>
    <col customWidth="1" min="4" max="4" width="16.0"/>
    <col customWidth="1" min="5" max="5" width="30.0"/>
    <col customWidth="1" min="6" max="6" width="8.0"/>
    <col customWidth="1" min="7" max="7" width="13.0"/>
    <col customWidth="1" min="8" max="8" width="10.0"/>
    <col customWidth="1" min="9" max="10" width="13.0"/>
    <col customWidth="1" min="11" max="11" width="14.0"/>
    <col customWidth="1" min="12" max="13" width="15.0"/>
    <col customWidth="1" min="14" max="26" width="8.71"/>
  </cols>
  <sheetData>
    <row r="2" ht="27.75" customHeight="1">
      <c r="B2" s="2" t="s">
        <v>1</v>
      </c>
    </row>
    <row r="3" ht="18.0" customHeight="1">
      <c r="B3" s="3" t="s">
        <v>6</v>
      </c>
    </row>
    <row r="5" ht="25.5" customHeight="1">
      <c r="B5" s="6" t="s">
        <v>8</v>
      </c>
    </row>
    <row r="6">
      <c r="B6" s="8" t="s">
        <v>18</v>
      </c>
      <c r="D6" s="11">
        <v>0.75</v>
      </c>
      <c r="E6" s="13" t="s">
        <v>21</v>
      </c>
    </row>
    <row r="8" ht="25.5" customHeight="1">
      <c r="B8" s="15" t="s">
        <v>24</v>
      </c>
      <c r="C8" s="15" t="s">
        <v>25</v>
      </c>
      <c r="D8" s="15" t="s">
        <v>9</v>
      </c>
      <c r="E8" s="15" t="s">
        <v>26</v>
      </c>
      <c r="F8" s="15" t="s">
        <v>27</v>
      </c>
      <c r="G8" s="15" t="s">
        <v>29</v>
      </c>
      <c r="H8" s="15" t="s">
        <v>30</v>
      </c>
      <c r="I8" s="15" t="s">
        <v>31</v>
      </c>
      <c r="J8" s="15" t="s">
        <v>32</v>
      </c>
      <c r="K8" s="15" t="s">
        <v>33</v>
      </c>
      <c r="L8" s="15" t="s">
        <v>34</v>
      </c>
      <c r="M8" s="15" t="s">
        <v>35</v>
      </c>
    </row>
    <row r="9" ht="19.5" customHeight="1">
      <c r="B9" s="21">
        <v>1.0</v>
      </c>
      <c r="C9" s="10" t="s">
        <v>36</v>
      </c>
      <c r="D9" s="21" t="s">
        <v>37</v>
      </c>
      <c r="E9" s="24" t="s">
        <v>39</v>
      </c>
      <c r="F9" s="21">
        <v>1.0</v>
      </c>
      <c r="G9" s="23">
        <v>1.2</v>
      </c>
      <c r="H9" s="21">
        <v>3.0</v>
      </c>
      <c r="I9" s="40">
        <f t="shared" ref="I9:I25" si="1">G9*H9</f>
        <v>3.6</v>
      </c>
      <c r="J9" s="40">
        <f t="shared" ref="J9:J25" si="2">(G9+I9)*$D$6</f>
        <v>3.6</v>
      </c>
      <c r="K9" s="23">
        <f t="shared" ref="K9:K25" si="3">G9+I9+J9</f>
        <v>8.4</v>
      </c>
      <c r="L9" s="44">
        <f>'Sección Pesado'!G14</f>
        <v>11.86</v>
      </c>
      <c r="M9" s="46" t="s">
        <v>87</v>
      </c>
    </row>
    <row r="10" ht="19.5" customHeight="1">
      <c r="B10" s="48">
        <v>2.0</v>
      </c>
      <c r="C10" s="31" t="s">
        <v>94</v>
      </c>
      <c r="D10" s="48" t="s">
        <v>65</v>
      </c>
      <c r="E10" s="51" t="s">
        <v>98</v>
      </c>
      <c r="F10" s="48">
        <v>1.0</v>
      </c>
      <c r="G10" s="35">
        <v>0.39</v>
      </c>
      <c r="H10" s="48">
        <v>3.0</v>
      </c>
      <c r="I10" s="55">
        <f t="shared" si="1"/>
        <v>1.17</v>
      </c>
      <c r="J10" s="55">
        <f t="shared" si="2"/>
        <v>1.17</v>
      </c>
      <c r="K10" s="35">
        <f t="shared" si="3"/>
        <v>2.73</v>
      </c>
      <c r="L10" s="44">
        <f>'Amasado Galletitas'!G14</f>
        <v>6.88</v>
      </c>
      <c r="M10" s="60" t="s">
        <v>87</v>
      </c>
    </row>
    <row r="11" ht="19.5" customHeight="1">
      <c r="B11" s="21">
        <v>3.0</v>
      </c>
      <c r="C11" s="10" t="s">
        <v>70</v>
      </c>
      <c r="D11" s="21" t="s">
        <v>65</v>
      </c>
      <c r="E11" s="24" t="s">
        <v>126</v>
      </c>
      <c r="F11" s="21">
        <v>1.0</v>
      </c>
      <c r="G11" s="23">
        <v>1.616</v>
      </c>
      <c r="H11" s="21">
        <v>2.0</v>
      </c>
      <c r="I11" s="40">
        <f t="shared" si="1"/>
        <v>3.232</v>
      </c>
      <c r="J11" s="40">
        <f t="shared" si="2"/>
        <v>3.636</v>
      </c>
      <c r="K11" s="23">
        <f t="shared" si="3"/>
        <v>8.484</v>
      </c>
      <c r="L11" s="44">
        <f>'Moldeado Galletitas'!G14</f>
        <v>10.816</v>
      </c>
      <c r="M11" s="46" t="s">
        <v>87</v>
      </c>
    </row>
    <row r="12" ht="19.5" customHeight="1">
      <c r="B12" s="48">
        <v>4.0</v>
      </c>
      <c r="C12" s="31" t="s">
        <v>140</v>
      </c>
      <c r="D12" s="48" t="s">
        <v>65</v>
      </c>
      <c r="E12" s="51" t="s">
        <v>142</v>
      </c>
      <c r="F12" s="48">
        <v>1.0</v>
      </c>
      <c r="G12" s="35">
        <v>7.8</v>
      </c>
      <c r="H12" s="48">
        <v>2.0</v>
      </c>
      <c r="I12" s="55">
        <f t="shared" si="1"/>
        <v>15.6</v>
      </c>
      <c r="J12" s="55">
        <f t="shared" si="2"/>
        <v>17.55</v>
      </c>
      <c r="K12" s="35">
        <f t="shared" si="3"/>
        <v>40.95</v>
      </c>
      <c r="L12" s="44">
        <f>'Horneado Galletitas'!G14</f>
        <v>33.1</v>
      </c>
      <c r="M12" s="60" t="s">
        <v>87</v>
      </c>
    </row>
    <row r="13" ht="19.5" customHeight="1">
      <c r="B13" s="21">
        <v>5.0</v>
      </c>
      <c r="C13" s="10" t="s">
        <v>161</v>
      </c>
      <c r="D13" s="21" t="s">
        <v>65</v>
      </c>
      <c r="E13" s="24" t="s">
        <v>164</v>
      </c>
      <c r="F13" s="21">
        <v>1.0</v>
      </c>
      <c r="G13" s="23">
        <v>4.0</v>
      </c>
      <c r="H13" s="21">
        <v>2.0</v>
      </c>
      <c r="I13" s="40">
        <f t="shared" si="1"/>
        <v>8</v>
      </c>
      <c r="J13" s="40">
        <f t="shared" si="2"/>
        <v>9</v>
      </c>
      <c r="K13" s="23">
        <f t="shared" si="3"/>
        <v>21</v>
      </c>
      <c r="L13" s="44">
        <f>'Enfriado Galletitas'!G14</f>
        <v>20.54</v>
      </c>
      <c r="M13" s="46" t="s">
        <v>87</v>
      </c>
    </row>
    <row r="14" ht="19.5" customHeight="1">
      <c r="B14" s="48">
        <v>6.0</v>
      </c>
      <c r="C14" s="31" t="s">
        <v>186</v>
      </c>
      <c r="D14" s="48" t="s">
        <v>65</v>
      </c>
      <c r="E14" s="51" t="s">
        <v>188</v>
      </c>
      <c r="F14" s="48">
        <v>1.0</v>
      </c>
      <c r="G14" s="35">
        <v>1.484</v>
      </c>
      <c r="H14" s="48">
        <v>3.0</v>
      </c>
      <c r="I14" s="55">
        <f t="shared" si="1"/>
        <v>4.452</v>
      </c>
      <c r="J14" s="55">
        <f t="shared" si="2"/>
        <v>4.452</v>
      </c>
      <c r="K14" s="35">
        <f t="shared" si="3"/>
        <v>10.388</v>
      </c>
      <c r="L14" s="44">
        <f>'Envasado 1° Galletitas'!G14</f>
        <v>11.2641</v>
      </c>
      <c r="M14" s="60" t="s">
        <v>87</v>
      </c>
    </row>
    <row r="15" ht="19.5" customHeight="1">
      <c r="B15" s="21">
        <v>7.0</v>
      </c>
      <c r="C15" s="10" t="s">
        <v>194</v>
      </c>
      <c r="D15" s="21" t="s">
        <v>65</v>
      </c>
      <c r="E15" s="24" t="s">
        <v>195</v>
      </c>
      <c r="F15" s="21">
        <v>1.0</v>
      </c>
      <c r="G15" s="23">
        <v>0.96</v>
      </c>
      <c r="H15" s="21">
        <v>3.0</v>
      </c>
      <c r="I15" s="40">
        <f t="shared" si="1"/>
        <v>2.88</v>
      </c>
      <c r="J15" s="40">
        <f t="shared" si="2"/>
        <v>2.88</v>
      </c>
      <c r="K15" s="23">
        <f t="shared" si="3"/>
        <v>6.72</v>
      </c>
      <c r="L15" s="44">
        <f>'Envasado 2° Galletitas'!G14</f>
        <v>8.72</v>
      </c>
      <c r="M15" s="46" t="s">
        <v>87</v>
      </c>
    </row>
    <row r="16" ht="19.5" customHeight="1">
      <c r="B16" s="48">
        <v>8.0</v>
      </c>
      <c r="C16" s="31" t="s">
        <v>197</v>
      </c>
      <c r="D16" s="48" t="s">
        <v>105</v>
      </c>
      <c r="E16" s="51" t="s">
        <v>198</v>
      </c>
      <c r="F16" s="48">
        <v>1.0</v>
      </c>
      <c r="G16" s="35">
        <v>1.001</v>
      </c>
      <c r="H16" s="48">
        <v>3.0</v>
      </c>
      <c r="I16" s="55">
        <f t="shared" si="1"/>
        <v>3.003</v>
      </c>
      <c r="J16" s="55">
        <f t="shared" si="2"/>
        <v>3.003</v>
      </c>
      <c r="K16" s="35">
        <f t="shared" si="3"/>
        <v>7.007</v>
      </c>
      <c r="L16" s="44">
        <f>'Batido Panificados'!G14</f>
        <v>8.491</v>
      </c>
      <c r="M16" s="60" t="s">
        <v>87</v>
      </c>
    </row>
    <row r="17" ht="19.5" customHeight="1">
      <c r="B17" s="21">
        <v>9.0</v>
      </c>
      <c r="C17" s="10" t="s">
        <v>201</v>
      </c>
      <c r="D17" s="21" t="s">
        <v>105</v>
      </c>
      <c r="E17" s="24" t="s">
        <v>202</v>
      </c>
      <c r="F17" s="21">
        <v>1.0</v>
      </c>
      <c r="G17" s="23">
        <v>0.348</v>
      </c>
      <c r="H17" s="21">
        <v>3.0</v>
      </c>
      <c r="I17" s="40">
        <f t="shared" si="1"/>
        <v>1.044</v>
      </c>
      <c r="J17" s="40">
        <f t="shared" si="2"/>
        <v>1.044</v>
      </c>
      <c r="K17" s="23">
        <f t="shared" si="3"/>
        <v>2.436</v>
      </c>
      <c r="L17" s="44">
        <f>'Dosificado Panificados'!G14</f>
        <v>7.328</v>
      </c>
      <c r="M17" s="46" t="s">
        <v>87</v>
      </c>
    </row>
    <row r="18" ht="19.5" customHeight="1">
      <c r="B18" s="48">
        <v>10.0</v>
      </c>
      <c r="C18" s="31" t="s">
        <v>205</v>
      </c>
      <c r="D18" s="48" t="s">
        <v>105</v>
      </c>
      <c r="E18" s="51" t="s">
        <v>206</v>
      </c>
      <c r="F18" s="48">
        <v>1.0</v>
      </c>
      <c r="G18" s="35">
        <v>0.568</v>
      </c>
      <c r="H18" s="48">
        <v>2.0</v>
      </c>
      <c r="I18" s="55">
        <f t="shared" si="1"/>
        <v>1.136</v>
      </c>
      <c r="J18" s="55">
        <f t="shared" si="2"/>
        <v>1.278</v>
      </c>
      <c r="K18" s="35">
        <f t="shared" si="3"/>
        <v>2.982</v>
      </c>
      <c r="L18" s="44">
        <f>'Fermentado Panificados'!G14</f>
        <v>7.7184</v>
      </c>
      <c r="M18" s="60" t="s">
        <v>87</v>
      </c>
    </row>
    <row r="19" ht="19.5" customHeight="1">
      <c r="B19" s="21">
        <v>11.0</v>
      </c>
      <c r="C19" s="10" t="s">
        <v>140</v>
      </c>
      <c r="D19" s="21" t="s">
        <v>105</v>
      </c>
      <c r="E19" s="24" t="s">
        <v>210</v>
      </c>
      <c r="F19" s="21">
        <v>2.0</v>
      </c>
      <c r="G19" s="23">
        <v>6.24</v>
      </c>
      <c r="H19" s="21">
        <v>2.0</v>
      </c>
      <c r="I19" s="40">
        <f t="shared" si="1"/>
        <v>12.48</v>
      </c>
      <c r="J19" s="40">
        <f t="shared" si="2"/>
        <v>14.04</v>
      </c>
      <c r="K19" s="23">
        <f t="shared" si="3"/>
        <v>32.76</v>
      </c>
      <c r="L19" s="44">
        <f>'Horneado Panificados'!G14</f>
        <v>30.45</v>
      </c>
      <c r="M19" s="46" t="s">
        <v>87</v>
      </c>
    </row>
    <row r="20" ht="19.5" customHeight="1">
      <c r="B20" s="48">
        <v>12.0</v>
      </c>
      <c r="C20" s="31" t="s">
        <v>161</v>
      </c>
      <c r="D20" s="48" t="s">
        <v>105</v>
      </c>
      <c r="E20" s="51" t="s">
        <v>214</v>
      </c>
      <c r="F20" s="48">
        <v>1.0</v>
      </c>
      <c r="G20" s="35">
        <v>4.8</v>
      </c>
      <c r="H20" s="48">
        <v>3.0</v>
      </c>
      <c r="I20" s="55">
        <f t="shared" si="1"/>
        <v>14.4</v>
      </c>
      <c r="J20" s="55">
        <f t="shared" si="2"/>
        <v>14.4</v>
      </c>
      <c r="K20" s="35">
        <f t="shared" si="3"/>
        <v>33.6</v>
      </c>
      <c r="L20" s="44">
        <f>'Enfriado Panificados'!G14</f>
        <v>19.8</v>
      </c>
      <c r="M20" s="60" t="s">
        <v>87</v>
      </c>
    </row>
    <row r="21" ht="19.5" customHeight="1">
      <c r="B21" s="21">
        <v>13.0</v>
      </c>
      <c r="C21" s="10" t="s">
        <v>219</v>
      </c>
      <c r="D21" s="21" t="s">
        <v>105</v>
      </c>
      <c r="E21" s="24" t="s">
        <v>220</v>
      </c>
      <c r="F21" s="21">
        <v>1.0</v>
      </c>
      <c r="G21" s="23">
        <v>0.344</v>
      </c>
      <c r="H21" s="21">
        <v>2.0</v>
      </c>
      <c r="I21" s="40">
        <f t="shared" si="1"/>
        <v>0.688</v>
      </c>
      <c r="J21" s="40">
        <f t="shared" si="2"/>
        <v>0.774</v>
      </c>
      <c r="K21" s="23">
        <f t="shared" si="3"/>
        <v>1.806</v>
      </c>
      <c r="L21" s="44">
        <f>'Rebanadora Pan'!G14</f>
        <v>5.7456</v>
      </c>
      <c r="M21" s="46" t="s">
        <v>87</v>
      </c>
    </row>
    <row r="22" ht="19.5" customHeight="1">
      <c r="B22" s="48">
        <v>14.0</v>
      </c>
      <c r="C22" s="31" t="s">
        <v>186</v>
      </c>
      <c r="D22" s="48" t="s">
        <v>105</v>
      </c>
      <c r="E22" s="51" t="s">
        <v>226</v>
      </c>
      <c r="F22" s="48">
        <v>1.0</v>
      </c>
      <c r="G22" s="35">
        <v>5.125</v>
      </c>
      <c r="H22" s="48">
        <v>3.0</v>
      </c>
      <c r="I22" s="55">
        <f t="shared" si="1"/>
        <v>15.375</v>
      </c>
      <c r="J22" s="55">
        <f t="shared" si="2"/>
        <v>15.375</v>
      </c>
      <c r="K22" s="35">
        <f t="shared" si="3"/>
        <v>35.875</v>
      </c>
      <c r="L22" s="44">
        <f>'Envasado 1° Panificados'!G14</f>
        <v>21.9046</v>
      </c>
      <c r="M22" s="60" t="s">
        <v>87</v>
      </c>
    </row>
    <row r="23" ht="19.5" customHeight="1">
      <c r="B23" s="21">
        <v>15.0</v>
      </c>
      <c r="C23" s="10" t="s">
        <v>194</v>
      </c>
      <c r="D23" s="21" t="s">
        <v>105</v>
      </c>
      <c r="E23" s="24" t="s">
        <v>195</v>
      </c>
      <c r="F23" s="21">
        <v>1.0</v>
      </c>
      <c r="G23" s="23">
        <v>0.96</v>
      </c>
      <c r="H23" s="21">
        <v>3.0</v>
      </c>
      <c r="I23" s="40">
        <f t="shared" si="1"/>
        <v>2.88</v>
      </c>
      <c r="J23" s="40">
        <f t="shared" si="2"/>
        <v>2.88</v>
      </c>
      <c r="K23" s="23">
        <f t="shared" si="3"/>
        <v>6.72</v>
      </c>
      <c r="L23" s="44">
        <f>'Envasado 2° Panificados'!G14</f>
        <v>8.72</v>
      </c>
      <c r="M23" s="46" t="s">
        <v>87</v>
      </c>
    </row>
    <row r="24" ht="19.5" customHeight="1">
      <c r="B24" s="48">
        <v>16.0</v>
      </c>
      <c r="C24" s="31" t="s">
        <v>232</v>
      </c>
      <c r="D24" s="48" t="s">
        <v>20</v>
      </c>
      <c r="E24" s="51" t="s">
        <v>234</v>
      </c>
      <c r="F24" s="48">
        <v>1.0</v>
      </c>
      <c r="G24" s="35">
        <v>14.4</v>
      </c>
      <c r="H24" s="48">
        <v>2.0</v>
      </c>
      <c r="I24" s="55">
        <f t="shared" si="1"/>
        <v>28.8</v>
      </c>
      <c r="J24" s="55">
        <f t="shared" si="2"/>
        <v>32.4</v>
      </c>
      <c r="K24" s="35">
        <f t="shared" si="3"/>
        <v>75.6</v>
      </c>
      <c r="L24" s="44">
        <f>'Depósito MP'!G14</f>
        <v>64.08</v>
      </c>
      <c r="M24" s="84" t="s">
        <v>240</v>
      </c>
    </row>
    <row r="25" ht="19.5" customHeight="1">
      <c r="B25" s="21">
        <v>17.0</v>
      </c>
      <c r="C25" s="10" t="s">
        <v>241</v>
      </c>
      <c r="D25" s="21" t="s">
        <v>20</v>
      </c>
      <c r="E25" s="24" t="s">
        <v>242</v>
      </c>
      <c r="F25" s="21">
        <v>1.0</v>
      </c>
      <c r="G25" s="23">
        <v>14.4</v>
      </c>
      <c r="H25" s="21">
        <v>2.0</v>
      </c>
      <c r="I25" s="40">
        <f t="shared" si="1"/>
        <v>28.8</v>
      </c>
      <c r="J25" s="40">
        <f t="shared" si="2"/>
        <v>32.4</v>
      </c>
      <c r="K25" s="23">
        <f t="shared" si="3"/>
        <v>75.6</v>
      </c>
      <c r="L25" s="44">
        <f>'Depósito PT'!G14</f>
        <v>64.58</v>
      </c>
      <c r="M25" s="85" t="s">
        <v>240</v>
      </c>
    </row>
    <row r="26" ht="24.0" customHeight="1">
      <c r="B26" s="63"/>
      <c r="C26" s="86" t="s">
        <v>243</v>
      </c>
      <c r="D26" s="63"/>
      <c r="E26" s="63"/>
      <c r="F26" s="63"/>
      <c r="G26" s="87">
        <f>SUM(G9:G25)</f>
        <v>65.636</v>
      </c>
      <c r="H26" s="63"/>
      <c r="I26" s="87">
        <f t="shared" ref="I26:L26" si="4">SUM(I9:I25)</f>
        <v>147.54</v>
      </c>
      <c r="J26" s="87">
        <f t="shared" si="4"/>
        <v>159.882</v>
      </c>
      <c r="K26" s="64">
        <f t="shared" si="4"/>
        <v>373.058</v>
      </c>
      <c r="L26" s="88">
        <f t="shared" si="4"/>
        <v>341.9977</v>
      </c>
      <c r="M26" s="6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6:M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24.0"/>
    <col customWidth="1" min="4" max="5" width="14.0"/>
    <col customWidth="1" min="6" max="9" width="12.0"/>
    <col customWidth="1" min="10" max="10" width="34.0"/>
    <col customWidth="1" min="11" max="26" width="8.71"/>
  </cols>
  <sheetData>
    <row r="2" ht="25.5" customHeight="1">
      <c r="B2" s="1" t="s">
        <v>0</v>
      </c>
    </row>
    <row r="3" ht="18.0" customHeight="1">
      <c r="B3" s="3" t="s">
        <v>3</v>
      </c>
    </row>
    <row r="5" ht="24.0" customHeight="1">
      <c r="B5" s="4" t="s">
        <v>5</v>
      </c>
      <c r="C5" s="4" t="s">
        <v>7</v>
      </c>
      <c r="D5" s="4" t="s">
        <v>9</v>
      </c>
      <c r="E5" s="4" t="s">
        <v>10</v>
      </c>
      <c r="F5" s="4" t="s">
        <v>11</v>
      </c>
      <c r="G5" s="4" t="s">
        <v>13</v>
      </c>
      <c r="H5" s="4" t="s">
        <v>14</v>
      </c>
      <c r="I5" s="4" t="s">
        <v>15</v>
      </c>
      <c r="J5" s="4" t="s">
        <v>16</v>
      </c>
    </row>
    <row r="6" ht="19.5" customHeight="1">
      <c r="B6" s="7" t="s">
        <v>17</v>
      </c>
      <c r="C6" s="10" t="s">
        <v>19</v>
      </c>
      <c r="D6" s="14" t="s">
        <v>20</v>
      </c>
      <c r="E6" s="23">
        <f>'Depósito MP'!G14</f>
        <v>64.08</v>
      </c>
      <c r="F6" s="14" t="s">
        <v>43</v>
      </c>
      <c r="G6" s="14" t="s">
        <v>44</v>
      </c>
      <c r="H6" s="14" t="s">
        <v>45</v>
      </c>
      <c r="I6" s="14" t="s">
        <v>46</v>
      </c>
      <c r="J6" s="25" t="s">
        <v>49</v>
      </c>
    </row>
    <row r="7" ht="19.5" customHeight="1">
      <c r="B7" s="28" t="s">
        <v>50</v>
      </c>
      <c r="C7" s="31" t="s">
        <v>51</v>
      </c>
      <c r="D7" s="33" t="s">
        <v>52</v>
      </c>
      <c r="E7" s="35">
        <v>20.0</v>
      </c>
      <c r="F7" s="33" t="s">
        <v>44</v>
      </c>
      <c r="G7" s="33" t="s">
        <v>55</v>
      </c>
      <c r="H7" s="33" t="s">
        <v>44</v>
      </c>
      <c r="I7" s="33" t="s">
        <v>44</v>
      </c>
      <c r="J7" s="38" t="s">
        <v>57</v>
      </c>
    </row>
    <row r="8" ht="19.5" customHeight="1">
      <c r="B8" s="7" t="s">
        <v>58</v>
      </c>
      <c r="C8" s="10" t="s">
        <v>59</v>
      </c>
      <c r="D8" s="14" t="s">
        <v>37</v>
      </c>
      <c r="E8" s="23">
        <f>'Sección Pesado'!G14</f>
        <v>11.86</v>
      </c>
      <c r="F8" s="14" t="s">
        <v>60</v>
      </c>
      <c r="G8" s="14" t="s">
        <v>61</v>
      </c>
      <c r="H8" s="14" t="s">
        <v>44</v>
      </c>
      <c r="I8" s="14" t="s">
        <v>44</v>
      </c>
      <c r="J8" s="25" t="s">
        <v>62</v>
      </c>
    </row>
    <row r="9" ht="19.5" customHeight="1">
      <c r="B9" s="28" t="s">
        <v>63</v>
      </c>
      <c r="C9" s="31" t="s">
        <v>64</v>
      </c>
      <c r="D9" s="33" t="s">
        <v>65</v>
      </c>
      <c r="E9" s="35">
        <f>'Amasado Galletitas'!G14</f>
        <v>6.88</v>
      </c>
      <c r="F9" s="33" t="s">
        <v>66</v>
      </c>
      <c r="G9" s="33" t="s">
        <v>67</v>
      </c>
      <c r="H9" s="33" t="s">
        <v>44</v>
      </c>
      <c r="I9" s="33" t="s">
        <v>44</v>
      </c>
      <c r="J9" s="38" t="s">
        <v>68</v>
      </c>
    </row>
    <row r="10" ht="19.5" customHeight="1">
      <c r="B10" s="7" t="s">
        <v>69</v>
      </c>
      <c r="C10" s="10" t="s">
        <v>70</v>
      </c>
      <c r="D10" s="14" t="s">
        <v>65</v>
      </c>
      <c r="E10" s="23">
        <f>'Moldeado Galletitas'!G14</f>
        <v>10.816</v>
      </c>
      <c r="F10" s="14" t="s">
        <v>75</v>
      </c>
      <c r="G10" s="14" t="s">
        <v>44</v>
      </c>
      <c r="H10" s="14" t="s">
        <v>76</v>
      </c>
      <c r="I10" s="14" t="s">
        <v>44</v>
      </c>
      <c r="J10" s="25" t="s">
        <v>77</v>
      </c>
    </row>
    <row r="11" ht="19.5" customHeight="1">
      <c r="B11" s="28" t="s">
        <v>78</v>
      </c>
      <c r="C11" s="31" t="s">
        <v>79</v>
      </c>
      <c r="D11" s="33" t="s">
        <v>65</v>
      </c>
      <c r="E11" s="35">
        <f>'Horneado Galletitas'!G14</f>
        <v>33.1</v>
      </c>
      <c r="F11" s="33" t="s">
        <v>83</v>
      </c>
      <c r="G11" s="33" t="s">
        <v>76</v>
      </c>
      <c r="H11" s="33" t="s">
        <v>44</v>
      </c>
      <c r="I11" s="33" t="s">
        <v>44</v>
      </c>
      <c r="J11" s="38" t="s">
        <v>84</v>
      </c>
    </row>
    <row r="12" ht="19.5" customHeight="1">
      <c r="B12" s="7" t="s">
        <v>85</v>
      </c>
      <c r="C12" s="10" t="s">
        <v>86</v>
      </c>
      <c r="D12" s="14" t="s">
        <v>65</v>
      </c>
      <c r="E12" s="23">
        <f>'Enfriado Galletitas'!G14</f>
        <v>20.54</v>
      </c>
      <c r="F12" s="14" t="s">
        <v>88</v>
      </c>
      <c r="G12" s="14" t="s">
        <v>44</v>
      </c>
      <c r="H12" s="14" t="s">
        <v>44</v>
      </c>
      <c r="I12" s="14" t="s">
        <v>44</v>
      </c>
      <c r="J12" s="25" t="s">
        <v>89</v>
      </c>
    </row>
    <row r="13" ht="19.5" customHeight="1">
      <c r="B13" s="28" t="s">
        <v>90</v>
      </c>
      <c r="C13" s="31" t="s">
        <v>91</v>
      </c>
      <c r="D13" s="33" t="s">
        <v>65</v>
      </c>
      <c r="E13" s="35">
        <f>'Envasado 1° Galletitas'!G14</f>
        <v>11.2641</v>
      </c>
      <c r="F13" s="33" t="s">
        <v>92</v>
      </c>
      <c r="G13" s="33" t="s">
        <v>45</v>
      </c>
      <c r="H13" s="33" t="s">
        <v>76</v>
      </c>
      <c r="I13" s="33" t="s">
        <v>44</v>
      </c>
      <c r="J13" s="38" t="s">
        <v>93</v>
      </c>
    </row>
    <row r="14" ht="19.5" customHeight="1">
      <c r="B14" s="7" t="s">
        <v>95</v>
      </c>
      <c r="C14" s="10" t="s">
        <v>96</v>
      </c>
      <c r="D14" s="14" t="s">
        <v>65</v>
      </c>
      <c r="E14" s="23">
        <f>'Envasado 2° Galletitas'!G14</f>
        <v>8.72</v>
      </c>
      <c r="F14" s="14" t="s">
        <v>46</v>
      </c>
      <c r="G14" s="14" t="s">
        <v>44</v>
      </c>
      <c r="H14" s="14" t="s">
        <v>44</v>
      </c>
      <c r="I14" s="14" t="s">
        <v>44</v>
      </c>
      <c r="J14" s="25" t="s">
        <v>102</v>
      </c>
    </row>
    <row r="15" ht="19.5" customHeight="1">
      <c r="B15" s="28" t="s">
        <v>103</v>
      </c>
      <c r="C15" s="31" t="s">
        <v>104</v>
      </c>
      <c r="D15" s="33" t="s">
        <v>105</v>
      </c>
      <c r="E15" s="35">
        <f>'Batido Panificados'!G14</f>
        <v>8.491</v>
      </c>
      <c r="F15" s="33" t="s">
        <v>107</v>
      </c>
      <c r="G15" s="33" t="s">
        <v>67</v>
      </c>
      <c r="H15" s="33" t="s">
        <v>44</v>
      </c>
      <c r="I15" s="33" t="s">
        <v>44</v>
      </c>
      <c r="J15" s="38" t="s">
        <v>108</v>
      </c>
    </row>
    <row r="16" ht="19.5" customHeight="1">
      <c r="B16" s="7" t="s">
        <v>111</v>
      </c>
      <c r="C16" s="10" t="s">
        <v>112</v>
      </c>
      <c r="D16" s="14" t="s">
        <v>105</v>
      </c>
      <c r="E16" s="23">
        <f>'Dosificado Panificados'!G14</f>
        <v>7.328</v>
      </c>
      <c r="F16" s="14" t="s">
        <v>113</v>
      </c>
      <c r="G16" s="14" t="s">
        <v>44</v>
      </c>
      <c r="H16" s="14" t="s">
        <v>76</v>
      </c>
      <c r="I16" s="14" t="s">
        <v>44</v>
      </c>
      <c r="J16" s="25" t="s">
        <v>114</v>
      </c>
    </row>
    <row r="17" ht="19.5" customHeight="1">
      <c r="B17" s="28" t="s">
        <v>115</v>
      </c>
      <c r="C17" s="31" t="s">
        <v>116</v>
      </c>
      <c r="D17" s="33" t="s">
        <v>105</v>
      </c>
      <c r="E17" s="35">
        <f>'Fermentado Panificados'!G14</f>
        <v>7.7184</v>
      </c>
      <c r="F17" s="33" t="s">
        <v>121</v>
      </c>
      <c r="G17" s="33" t="s">
        <v>44</v>
      </c>
      <c r="H17" s="33" t="s">
        <v>44</v>
      </c>
      <c r="I17" s="33" t="s">
        <v>44</v>
      </c>
      <c r="J17" s="38" t="s">
        <v>123</v>
      </c>
    </row>
    <row r="18" ht="19.5" customHeight="1">
      <c r="B18" s="7" t="s">
        <v>124</v>
      </c>
      <c r="C18" s="10" t="s">
        <v>125</v>
      </c>
      <c r="D18" s="14" t="s">
        <v>105</v>
      </c>
      <c r="E18" s="23">
        <f>'Horneado Panificados'!G14</f>
        <v>30.45</v>
      </c>
      <c r="F18" s="14" t="s">
        <v>128</v>
      </c>
      <c r="G18" s="14" t="s">
        <v>76</v>
      </c>
      <c r="H18" s="14" t="s">
        <v>44</v>
      </c>
      <c r="I18" s="14" t="s">
        <v>44</v>
      </c>
      <c r="J18" s="25" t="s">
        <v>129</v>
      </c>
    </row>
    <row r="19" ht="19.5" customHeight="1">
      <c r="B19" s="28" t="s">
        <v>130</v>
      </c>
      <c r="C19" s="31" t="s">
        <v>131</v>
      </c>
      <c r="D19" s="33" t="s">
        <v>105</v>
      </c>
      <c r="E19" s="35">
        <f>'Enfriado Panificados'!G14</f>
        <v>19.8</v>
      </c>
      <c r="F19" s="33" t="s">
        <v>134</v>
      </c>
      <c r="G19" s="33" t="s">
        <v>44</v>
      </c>
      <c r="H19" s="33" t="s">
        <v>44</v>
      </c>
      <c r="I19" s="33" t="s">
        <v>44</v>
      </c>
      <c r="J19" s="38" t="s">
        <v>136</v>
      </c>
    </row>
    <row r="20" ht="19.5" customHeight="1">
      <c r="B20" s="7" t="s">
        <v>138</v>
      </c>
      <c r="C20" s="10" t="s">
        <v>139</v>
      </c>
      <c r="D20" s="14" t="s">
        <v>105</v>
      </c>
      <c r="E20" s="23">
        <f>'Envasado 1° Panificados'!G14</f>
        <v>21.9046</v>
      </c>
      <c r="F20" s="14" t="s">
        <v>146</v>
      </c>
      <c r="G20" s="14" t="s">
        <v>45</v>
      </c>
      <c r="H20" s="14" t="s">
        <v>76</v>
      </c>
      <c r="I20" s="14" t="s">
        <v>44</v>
      </c>
      <c r="J20" s="25" t="s">
        <v>147</v>
      </c>
    </row>
    <row r="21" ht="19.5" customHeight="1">
      <c r="B21" s="28" t="s">
        <v>148</v>
      </c>
      <c r="C21" s="31" t="s">
        <v>96</v>
      </c>
      <c r="D21" s="33" t="s">
        <v>105</v>
      </c>
      <c r="E21" s="35">
        <f>'Envasado 2° Panificados'!G14</f>
        <v>8.72</v>
      </c>
      <c r="F21" s="33" t="s">
        <v>46</v>
      </c>
      <c r="G21" s="33" t="s">
        <v>44</v>
      </c>
      <c r="H21" s="33" t="s">
        <v>44</v>
      </c>
      <c r="I21" s="33" t="s">
        <v>44</v>
      </c>
      <c r="J21" s="38" t="s">
        <v>102</v>
      </c>
    </row>
    <row r="22" ht="19.5" customHeight="1">
      <c r="B22" s="7" t="s">
        <v>158</v>
      </c>
      <c r="C22" s="10" t="s">
        <v>159</v>
      </c>
      <c r="D22" s="14" t="s">
        <v>160</v>
      </c>
      <c r="E22" s="23">
        <v>15.0</v>
      </c>
      <c r="F22" s="14" t="s">
        <v>44</v>
      </c>
      <c r="G22" s="14" t="s">
        <v>165</v>
      </c>
      <c r="H22" s="14" t="s">
        <v>166</v>
      </c>
      <c r="I22" s="14" t="s">
        <v>44</v>
      </c>
      <c r="J22" s="25" t="s">
        <v>167</v>
      </c>
    </row>
    <row r="23" ht="19.5" customHeight="1">
      <c r="B23" s="28" t="s">
        <v>169</v>
      </c>
      <c r="C23" s="31" t="s">
        <v>172</v>
      </c>
      <c r="D23" s="33" t="s">
        <v>160</v>
      </c>
      <c r="E23" s="35">
        <v>15.0</v>
      </c>
      <c r="F23" s="33" t="s">
        <v>44</v>
      </c>
      <c r="G23" s="33" t="s">
        <v>174</v>
      </c>
      <c r="H23" s="33" t="s">
        <v>175</v>
      </c>
      <c r="I23" s="33" t="s">
        <v>44</v>
      </c>
      <c r="J23" s="38" t="s">
        <v>176</v>
      </c>
    </row>
    <row r="24" ht="19.5" customHeight="1">
      <c r="B24" s="7" t="s">
        <v>178</v>
      </c>
      <c r="C24" s="10" t="s">
        <v>179</v>
      </c>
      <c r="D24" s="14" t="s">
        <v>20</v>
      </c>
      <c r="E24" s="23">
        <f>'Depósito PT'!G14</f>
        <v>64.58</v>
      </c>
      <c r="F24" s="14" t="s">
        <v>44</v>
      </c>
      <c r="G24" s="14" t="s">
        <v>44</v>
      </c>
      <c r="H24" s="14" t="s">
        <v>45</v>
      </c>
      <c r="I24" s="14" t="s">
        <v>187</v>
      </c>
      <c r="J24" s="25" t="s">
        <v>189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12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23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56</v>
      </c>
      <c r="D6" s="37">
        <v>1.2</v>
      </c>
      <c r="E6" s="37">
        <v>1.0</v>
      </c>
      <c r="F6" s="39">
        <v>1.0</v>
      </c>
      <c r="G6" s="41">
        <f t="shared" ref="G6:G13" si="1">D6*E6*F6</f>
        <v>1.2</v>
      </c>
      <c r="H6" s="42" t="s">
        <v>71</v>
      </c>
      <c r="I6" s="42" t="s">
        <v>73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82</v>
      </c>
      <c r="D7" s="45">
        <v>1.2</v>
      </c>
      <c r="E7" s="45">
        <v>1.0</v>
      </c>
      <c r="F7" s="47">
        <v>1.0</v>
      </c>
      <c r="G7" s="49">
        <f t="shared" si="1"/>
        <v>1.2</v>
      </c>
      <c r="H7" s="50" t="s">
        <v>97</v>
      </c>
      <c r="I7" s="50" t="s">
        <v>99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109</v>
      </c>
      <c r="D8" s="45">
        <v>1.5</v>
      </c>
      <c r="E8" s="45">
        <v>1.2</v>
      </c>
      <c r="F8" s="57">
        <v>1.0</v>
      </c>
      <c r="G8" s="58">
        <f t="shared" si="1"/>
        <v>1.8</v>
      </c>
      <c r="H8" s="59" t="s">
        <v>118</v>
      </c>
      <c r="I8" s="59" t="s">
        <v>120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133</v>
      </c>
      <c r="D9" s="45">
        <v>1.2</v>
      </c>
      <c r="E9" s="45">
        <v>0.8</v>
      </c>
      <c r="F9" s="47">
        <v>1.0</v>
      </c>
      <c r="G9" s="49">
        <f t="shared" si="1"/>
        <v>0.96</v>
      </c>
      <c r="H9" s="50" t="s">
        <v>141</v>
      </c>
      <c r="I9" s="50" t="s">
        <v>143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151</v>
      </c>
      <c r="D10" s="45">
        <v>0.6</v>
      </c>
      <c r="E10" s="45">
        <v>0.5</v>
      </c>
      <c r="F10" s="57">
        <v>1.0</v>
      </c>
      <c r="G10" s="58">
        <f t="shared" si="1"/>
        <v>0.3</v>
      </c>
      <c r="H10" s="59" t="s">
        <v>154</v>
      </c>
      <c r="I10" s="59" t="s">
        <v>155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33.75" customHeight="1">
      <c r="B11" s="43" t="s">
        <v>152</v>
      </c>
      <c r="C11" s="38" t="s">
        <v>162</v>
      </c>
      <c r="D11" s="45">
        <v>0.5</v>
      </c>
      <c r="E11" s="45">
        <v>1.0</v>
      </c>
      <c r="F11" s="47">
        <v>2.0</v>
      </c>
      <c r="G11" s="49">
        <f t="shared" si="1"/>
        <v>1</v>
      </c>
      <c r="H11" s="50" t="s">
        <v>170</v>
      </c>
      <c r="I11" s="50" t="s">
        <v>173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180</v>
      </c>
      <c r="D12" s="45">
        <v>1.2</v>
      </c>
      <c r="E12" s="45">
        <v>3.5</v>
      </c>
      <c r="F12" s="57">
        <v>1.0</v>
      </c>
      <c r="G12" s="58">
        <f t="shared" si="1"/>
        <v>4.2</v>
      </c>
      <c r="H12" s="59" t="s">
        <v>183</v>
      </c>
      <c r="I12" s="59" t="s">
        <v>184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190</v>
      </c>
      <c r="D13" s="45">
        <v>1.2</v>
      </c>
      <c r="E13" s="45">
        <v>1.0</v>
      </c>
      <c r="F13" s="47">
        <v>1.0</v>
      </c>
      <c r="G13" s="49">
        <f t="shared" si="1"/>
        <v>1.2</v>
      </c>
      <c r="H13" s="50" t="s">
        <v>192</v>
      </c>
      <c r="I13" s="50" t="s">
        <v>193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11.86</v>
      </c>
      <c r="H14" s="63"/>
      <c r="I14" s="63"/>
      <c r="M14" s="26"/>
      <c r="N14" s="18" t="s">
        <v>144</v>
      </c>
      <c r="O14" s="19"/>
      <c r="P14" s="19"/>
      <c r="Q14" s="20"/>
      <c r="R14" s="65" t="s">
        <v>199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26</v>
      </c>
      <c r="C17" s="72"/>
      <c r="D17" s="73"/>
      <c r="E17" s="74" t="s">
        <v>213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216</v>
      </c>
      <c r="C18" s="72"/>
      <c r="D18" s="73"/>
      <c r="E18" s="74" t="s">
        <v>218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221</v>
      </c>
      <c r="C19" s="72"/>
      <c r="D19" s="73"/>
      <c r="E19" s="74" t="s">
        <v>222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225</v>
      </c>
      <c r="C20" s="72"/>
      <c r="D20" s="73"/>
      <c r="E20" s="74" t="s">
        <v>228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231</v>
      </c>
      <c r="C21" s="72"/>
      <c r="D21" s="73"/>
      <c r="E21" s="74" t="s">
        <v>233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235</v>
      </c>
      <c r="C22" s="72"/>
      <c r="D22" s="73"/>
      <c r="E22" s="74" t="s">
        <v>238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2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22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54</v>
      </c>
      <c r="D6" s="37">
        <v>0.78</v>
      </c>
      <c r="E6" s="37">
        <v>0.5</v>
      </c>
      <c r="F6" s="39">
        <v>1.0</v>
      </c>
      <c r="G6" s="41">
        <f t="shared" ref="G6:G13" si="1">D6*E6*F6</f>
        <v>0.39</v>
      </c>
      <c r="H6" s="42" t="s">
        <v>72</v>
      </c>
      <c r="I6" s="42" t="s">
        <v>74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81</v>
      </c>
      <c r="D7" s="45">
        <v>0.8</v>
      </c>
      <c r="E7" s="45">
        <v>0.6</v>
      </c>
      <c r="F7" s="47">
        <v>1.0</v>
      </c>
      <c r="G7" s="49">
        <f t="shared" si="1"/>
        <v>0.48</v>
      </c>
      <c r="H7" s="50" t="s">
        <v>100</v>
      </c>
      <c r="I7" s="50" t="s">
        <v>101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110</v>
      </c>
      <c r="D8" s="45">
        <v>1.2</v>
      </c>
      <c r="E8" s="45">
        <v>1.0</v>
      </c>
      <c r="F8" s="57">
        <v>1.0</v>
      </c>
      <c r="G8" s="58">
        <f t="shared" si="1"/>
        <v>1.2</v>
      </c>
      <c r="H8" s="59" t="s">
        <v>117</v>
      </c>
      <c r="I8" s="59" t="s">
        <v>119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132</v>
      </c>
      <c r="D9" s="45">
        <v>0.9</v>
      </c>
      <c r="E9" s="45">
        <v>0.7</v>
      </c>
      <c r="F9" s="47">
        <v>1.0</v>
      </c>
      <c r="G9" s="49">
        <f t="shared" si="1"/>
        <v>0.63</v>
      </c>
      <c r="H9" s="50" t="s">
        <v>135</v>
      </c>
      <c r="I9" s="50" t="s">
        <v>137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145</v>
      </c>
      <c r="D10" s="45">
        <v>0.6</v>
      </c>
      <c r="E10" s="45">
        <v>0.4</v>
      </c>
      <c r="F10" s="57">
        <v>1.0</v>
      </c>
      <c r="G10" s="58">
        <f t="shared" si="1"/>
        <v>0.24</v>
      </c>
      <c r="H10" s="59" t="s">
        <v>149</v>
      </c>
      <c r="I10" s="59" t="s">
        <v>150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153</v>
      </c>
      <c r="D11" s="45">
        <v>0.5</v>
      </c>
      <c r="E11" s="45">
        <v>0.8</v>
      </c>
      <c r="F11" s="47">
        <v>2.0</v>
      </c>
      <c r="G11" s="49">
        <f t="shared" si="1"/>
        <v>0.8</v>
      </c>
      <c r="H11" s="50" t="s">
        <v>156</v>
      </c>
      <c r="I11" s="50" t="s">
        <v>157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163</v>
      </c>
      <c r="D12" s="45">
        <v>1.0</v>
      </c>
      <c r="E12" s="45">
        <v>2.5</v>
      </c>
      <c r="F12" s="57">
        <v>1.0</v>
      </c>
      <c r="G12" s="58">
        <f t="shared" si="1"/>
        <v>2.5</v>
      </c>
      <c r="H12" s="59" t="s">
        <v>168</v>
      </c>
      <c r="I12" s="59" t="s">
        <v>171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177</v>
      </c>
      <c r="D13" s="45">
        <v>0.8</v>
      </c>
      <c r="E13" s="45">
        <v>0.8</v>
      </c>
      <c r="F13" s="47">
        <v>1.0</v>
      </c>
      <c r="G13" s="49">
        <f t="shared" si="1"/>
        <v>0.64</v>
      </c>
      <c r="H13" s="50" t="s">
        <v>181</v>
      </c>
      <c r="I13" s="50" t="s">
        <v>182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6.88</v>
      </c>
      <c r="H14" s="63"/>
      <c r="I14" s="63"/>
      <c r="M14" s="26"/>
      <c r="N14" s="18" t="s">
        <v>144</v>
      </c>
      <c r="O14" s="19"/>
      <c r="P14" s="19"/>
      <c r="Q14" s="20"/>
      <c r="R14" s="65" t="s">
        <v>196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204</v>
      </c>
      <c r="C17" s="72"/>
      <c r="D17" s="73"/>
      <c r="E17" s="74" t="s">
        <v>207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208</v>
      </c>
      <c r="C18" s="72"/>
      <c r="D18" s="73"/>
      <c r="E18" s="74" t="s">
        <v>209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211</v>
      </c>
      <c r="C19" s="72"/>
      <c r="D19" s="73"/>
      <c r="E19" s="74" t="s">
        <v>212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215</v>
      </c>
      <c r="C20" s="72"/>
      <c r="D20" s="73"/>
      <c r="E20" s="74" t="s">
        <v>217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223</v>
      </c>
      <c r="C21" s="72"/>
      <c r="D21" s="73"/>
      <c r="E21" s="74" t="s">
        <v>224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227</v>
      </c>
      <c r="C22" s="72"/>
      <c r="D22" s="73"/>
      <c r="E22" s="74" t="s">
        <v>229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244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245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246</v>
      </c>
      <c r="D6" s="37">
        <v>2.02</v>
      </c>
      <c r="E6" s="37">
        <v>0.8</v>
      </c>
      <c r="F6" s="39">
        <v>1.0</v>
      </c>
      <c r="G6" s="41">
        <f t="shared" ref="G6:G13" si="1">D6*E6*F6</f>
        <v>1.616</v>
      </c>
      <c r="H6" s="42" t="s">
        <v>247</v>
      </c>
      <c r="I6" s="42" t="s">
        <v>248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249</v>
      </c>
      <c r="D7" s="45">
        <v>0.8</v>
      </c>
      <c r="E7" s="45">
        <v>0.8</v>
      </c>
      <c r="F7" s="47">
        <v>1.0</v>
      </c>
      <c r="G7" s="49">
        <f t="shared" si="1"/>
        <v>0.64</v>
      </c>
      <c r="H7" s="50" t="s">
        <v>250</v>
      </c>
      <c r="I7" s="50" t="s">
        <v>251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252</v>
      </c>
      <c r="D8" s="45">
        <v>1.5</v>
      </c>
      <c r="E8" s="45">
        <v>1.0</v>
      </c>
      <c r="F8" s="57">
        <v>1.0</v>
      </c>
      <c r="G8" s="58">
        <f t="shared" si="1"/>
        <v>1.5</v>
      </c>
      <c r="H8" s="59" t="s">
        <v>253</v>
      </c>
      <c r="I8" s="59" t="s">
        <v>254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255</v>
      </c>
      <c r="D9" s="45">
        <v>1.0</v>
      </c>
      <c r="E9" s="45">
        <v>0.8</v>
      </c>
      <c r="F9" s="47">
        <v>1.0</v>
      </c>
      <c r="G9" s="49">
        <f t="shared" si="1"/>
        <v>0.8</v>
      </c>
      <c r="H9" s="50" t="s">
        <v>256</v>
      </c>
      <c r="I9" s="50" t="s">
        <v>257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258</v>
      </c>
      <c r="D10" s="45">
        <v>0.8</v>
      </c>
      <c r="E10" s="45">
        <v>0.5</v>
      </c>
      <c r="F10" s="57">
        <v>1.0</v>
      </c>
      <c r="G10" s="58">
        <f t="shared" si="1"/>
        <v>0.4</v>
      </c>
      <c r="H10" s="59" t="s">
        <v>259</v>
      </c>
      <c r="I10" s="59" t="s">
        <v>260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261</v>
      </c>
      <c r="D11" s="45">
        <v>0.5</v>
      </c>
      <c r="E11" s="45">
        <v>2.0</v>
      </c>
      <c r="F11" s="47">
        <v>2.0</v>
      </c>
      <c r="G11" s="49">
        <f t="shared" si="1"/>
        <v>2</v>
      </c>
      <c r="H11" s="50" t="s">
        <v>262</v>
      </c>
      <c r="I11" s="50" t="s">
        <v>263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264</v>
      </c>
      <c r="D12" s="45">
        <v>1.0</v>
      </c>
      <c r="E12" s="45">
        <v>3.5</v>
      </c>
      <c r="F12" s="57">
        <v>1.0</v>
      </c>
      <c r="G12" s="58">
        <f t="shared" si="1"/>
        <v>3.5</v>
      </c>
      <c r="H12" s="59" t="s">
        <v>265</v>
      </c>
      <c r="I12" s="59" t="s">
        <v>266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267</v>
      </c>
      <c r="D13" s="45">
        <v>0.6</v>
      </c>
      <c r="E13" s="45">
        <v>0.6</v>
      </c>
      <c r="F13" s="47">
        <v>1.0</v>
      </c>
      <c r="G13" s="49">
        <f t="shared" si="1"/>
        <v>0.36</v>
      </c>
      <c r="H13" s="50" t="s">
        <v>268</v>
      </c>
      <c r="I13" s="50" t="s">
        <v>269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10.816</v>
      </c>
      <c r="H14" s="63"/>
      <c r="I14" s="63"/>
      <c r="M14" s="26"/>
      <c r="N14" s="18" t="s">
        <v>144</v>
      </c>
      <c r="O14" s="19"/>
      <c r="P14" s="19"/>
      <c r="Q14" s="20"/>
      <c r="R14" s="65" t="s">
        <v>270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204</v>
      </c>
      <c r="C17" s="72"/>
      <c r="D17" s="73"/>
      <c r="E17" s="74" t="s">
        <v>271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272</v>
      </c>
      <c r="C18" s="72"/>
      <c r="D18" s="73"/>
      <c r="E18" s="74" t="s">
        <v>273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211</v>
      </c>
      <c r="C19" s="72"/>
      <c r="D19" s="73"/>
      <c r="E19" s="74" t="s">
        <v>274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215</v>
      </c>
      <c r="C20" s="72"/>
      <c r="D20" s="73"/>
      <c r="E20" s="74" t="s">
        <v>275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223</v>
      </c>
      <c r="C21" s="72"/>
      <c r="D21" s="73"/>
      <c r="E21" s="74" t="s">
        <v>276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277</v>
      </c>
      <c r="C22" s="72"/>
      <c r="D22" s="73"/>
      <c r="E22" s="74" t="s">
        <v>278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3" width="3.0"/>
  </cols>
  <sheetData>
    <row r="1" ht="12.0" customHeight="1"/>
    <row r="2" ht="27.75" customHeight="1">
      <c r="B2" s="2" t="s">
        <v>279</v>
      </c>
      <c r="L2" s="5" t="s">
        <v>280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281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20"/>
      <c r="X4" s="17"/>
      <c r="Y4" s="17"/>
      <c r="Z4" s="17"/>
      <c r="AA4" s="17"/>
      <c r="AB4" s="18" t="s">
        <v>127</v>
      </c>
      <c r="AC4" s="19"/>
      <c r="AD4" s="19"/>
      <c r="AE4" s="19"/>
      <c r="AF4" s="20"/>
      <c r="AG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W5" s="30"/>
      <c r="X5" s="27"/>
      <c r="Y5" s="27"/>
      <c r="Z5" s="27"/>
      <c r="AA5" s="27"/>
      <c r="AB5" s="29"/>
      <c r="AF5" s="30"/>
      <c r="AG5" s="32"/>
    </row>
    <row r="6" ht="18.0" customHeight="1">
      <c r="B6" s="34" t="s">
        <v>53</v>
      </c>
      <c r="C6" s="36" t="s">
        <v>282</v>
      </c>
      <c r="D6" s="37">
        <v>6.0</v>
      </c>
      <c r="E6" s="37">
        <v>1.3</v>
      </c>
      <c r="F6" s="39">
        <v>1.0</v>
      </c>
      <c r="G6" s="41">
        <f t="shared" ref="G6:G13" si="1">D6*E6*F6</f>
        <v>7.8</v>
      </c>
      <c r="H6" s="42" t="s">
        <v>283</v>
      </c>
      <c r="I6" s="42" t="s">
        <v>284</v>
      </c>
      <c r="M6" s="26"/>
      <c r="N6" s="27"/>
      <c r="O6" s="27"/>
      <c r="P6" s="27"/>
      <c r="Q6" s="27"/>
      <c r="R6" s="27"/>
      <c r="S6" s="52"/>
      <c r="T6" s="53"/>
      <c r="U6" s="53"/>
      <c r="V6" s="53"/>
      <c r="W6" s="54"/>
      <c r="X6" s="27"/>
      <c r="Y6" s="27"/>
      <c r="Z6" s="27"/>
      <c r="AA6" s="27"/>
      <c r="AB6" s="29"/>
      <c r="AF6" s="30"/>
      <c r="AG6" s="32"/>
    </row>
    <row r="7" ht="18.0" customHeight="1">
      <c r="B7" s="43" t="s">
        <v>80</v>
      </c>
      <c r="C7" s="38" t="s">
        <v>285</v>
      </c>
      <c r="D7" s="45">
        <v>1.2</v>
      </c>
      <c r="E7" s="45">
        <v>1.3</v>
      </c>
      <c r="F7" s="47">
        <v>1.0</v>
      </c>
      <c r="G7" s="49">
        <f t="shared" si="1"/>
        <v>1.56</v>
      </c>
      <c r="H7" s="50" t="s">
        <v>286</v>
      </c>
      <c r="I7" s="50" t="s">
        <v>287</v>
      </c>
      <c r="M7" s="26"/>
      <c r="N7" s="27"/>
      <c r="O7" s="27"/>
      <c r="P7" s="27"/>
      <c r="Q7" s="27"/>
      <c r="R7" s="27"/>
      <c r="S7" s="18" t="s">
        <v>122</v>
      </c>
      <c r="T7" s="19"/>
      <c r="U7" s="19"/>
      <c r="V7" s="19"/>
      <c r="W7" s="20"/>
      <c r="X7" s="27"/>
      <c r="Y7" s="27"/>
      <c r="Z7" s="27"/>
      <c r="AA7" s="27"/>
      <c r="AB7" s="29"/>
      <c r="AF7" s="30"/>
      <c r="AG7" s="32"/>
    </row>
    <row r="8" ht="18.0" customHeight="1">
      <c r="B8" s="56" t="s">
        <v>106</v>
      </c>
      <c r="C8" s="25" t="s">
        <v>288</v>
      </c>
      <c r="D8" s="45">
        <v>6.0</v>
      </c>
      <c r="E8" s="45">
        <v>1.0</v>
      </c>
      <c r="F8" s="57">
        <v>1.0</v>
      </c>
      <c r="G8" s="58">
        <f t="shared" si="1"/>
        <v>6</v>
      </c>
      <c r="H8" s="59" t="s">
        <v>289</v>
      </c>
      <c r="I8" s="59" t="s">
        <v>290</v>
      </c>
      <c r="M8" s="26"/>
      <c r="N8" s="27"/>
      <c r="O8" s="27"/>
      <c r="P8" s="27"/>
      <c r="Q8" s="27"/>
      <c r="R8" s="27"/>
      <c r="S8" s="29"/>
      <c r="W8" s="30"/>
      <c r="X8" s="27"/>
      <c r="Y8" s="27"/>
      <c r="Z8" s="27"/>
      <c r="AA8" s="27"/>
      <c r="AB8" s="29"/>
      <c r="AF8" s="30"/>
      <c r="AG8" s="32"/>
    </row>
    <row r="9" ht="18.0" customHeight="1">
      <c r="B9" s="43" t="s">
        <v>122</v>
      </c>
      <c r="C9" s="38" t="s">
        <v>291</v>
      </c>
      <c r="D9" s="45">
        <v>1.2</v>
      </c>
      <c r="E9" s="45">
        <v>1.3</v>
      </c>
      <c r="F9" s="47">
        <v>1.0</v>
      </c>
      <c r="G9" s="49">
        <f t="shared" si="1"/>
        <v>1.56</v>
      </c>
      <c r="H9" s="50" t="s">
        <v>292</v>
      </c>
      <c r="I9" s="50" t="s">
        <v>293</v>
      </c>
      <c r="M9" s="26"/>
      <c r="N9" s="27"/>
      <c r="O9" s="27"/>
      <c r="P9" s="27"/>
      <c r="Q9" s="27"/>
      <c r="R9" s="27"/>
      <c r="S9" s="52"/>
      <c r="T9" s="53"/>
      <c r="U9" s="53"/>
      <c r="V9" s="53"/>
      <c r="W9" s="54"/>
      <c r="X9" s="27"/>
      <c r="Y9" s="27"/>
      <c r="Z9" s="27"/>
      <c r="AA9" s="27"/>
      <c r="AB9" s="29"/>
      <c r="AF9" s="30"/>
      <c r="AG9" s="32"/>
    </row>
    <row r="10" ht="18.0" customHeight="1">
      <c r="B10" s="56" t="s">
        <v>144</v>
      </c>
      <c r="C10" s="25" t="s">
        <v>294</v>
      </c>
      <c r="D10" s="45">
        <v>1.5</v>
      </c>
      <c r="E10" s="45">
        <v>0.8</v>
      </c>
      <c r="F10" s="57">
        <v>1.0</v>
      </c>
      <c r="G10" s="58">
        <f t="shared" si="1"/>
        <v>1.2</v>
      </c>
      <c r="H10" s="59" t="s">
        <v>295</v>
      </c>
      <c r="I10" s="59" t="s">
        <v>296</v>
      </c>
      <c r="M10" s="26"/>
      <c r="N10" s="18" t="s">
        <v>144</v>
      </c>
      <c r="O10" s="19"/>
      <c r="P10" s="19"/>
      <c r="Q10" s="19"/>
      <c r="R10" s="20"/>
      <c r="S10" s="65" t="s">
        <v>297</v>
      </c>
      <c r="T10" s="66"/>
      <c r="U10" s="66"/>
      <c r="V10" s="66"/>
      <c r="W10" s="67"/>
      <c r="X10" s="18" t="s">
        <v>106</v>
      </c>
      <c r="Y10" s="19"/>
      <c r="Z10" s="19"/>
      <c r="AA10" s="20"/>
      <c r="AB10" s="29"/>
      <c r="AF10" s="30"/>
      <c r="AG10" s="32"/>
    </row>
    <row r="11" ht="18.0" customHeight="1">
      <c r="B11" s="43" t="s">
        <v>152</v>
      </c>
      <c r="C11" s="38" t="s">
        <v>298</v>
      </c>
      <c r="D11" s="45">
        <v>0.6</v>
      </c>
      <c r="E11" s="45">
        <v>6.0</v>
      </c>
      <c r="F11" s="47">
        <v>1.0</v>
      </c>
      <c r="G11" s="49">
        <f t="shared" si="1"/>
        <v>3.6</v>
      </c>
      <c r="H11" s="50" t="s">
        <v>299</v>
      </c>
      <c r="I11" s="50" t="s">
        <v>300</v>
      </c>
      <c r="M11" s="26"/>
      <c r="N11" s="29"/>
      <c r="R11" s="30"/>
      <c r="S11" s="68"/>
      <c r="W11" s="69"/>
      <c r="X11" s="29"/>
      <c r="AA11" s="30"/>
      <c r="AB11" s="29"/>
      <c r="AF11" s="30"/>
      <c r="AG11" s="32"/>
    </row>
    <row r="12" ht="18.0" customHeight="1">
      <c r="B12" s="56" t="s">
        <v>127</v>
      </c>
      <c r="C12" s="25" t="s">
        <v>301</v>
      </c>
      <c r="D12" s="45">
        <v>1.2</v>
      </c>
      <c r="E12" s="45">
        <v>8.4</v>
      </c>
      <c r="F12" s="57">
        <v>1.0</v>
      </c>
      <c r="G12" s="58">
        <f t="shared" si="1"/>
        <v>10.08</v>
      </c>
      <c r="H12" s="59" t="s">
        <v>302</v>
      </c>
      <c r="I12" s="59" t="s">
        <v>303</v>
      </c>
      <c r="M12" s="26"/>
      <c r="N12" s="29"/>
      <c r="R12" s="30"/>
      <c r="S12" s="68"/>
      <c r="W12" s="69"/>
      <c r="X12" s="29"/>
      <c r="AA12" s="30"/>
      <c r="AB12" s="29"/>
      <c r="AF12" s="30"/>
      <c r="AG12" s="32"/>
    </row>
    <row r="13" ht="18.0" customHeight="1">
      <c r="B13" s="43" t="s">
        <v>28</v>
      </c>
      <c r="C13" s="38" t="s">
        <v>304</v>
      </c>
      <c r="D13" s="45">
        <v>1.0</v>
      </c>
      <c r="E13" s="45">
        <v>1.3</v>
      </c>
      <c r="F13" s="47">
        <v>1.0</v>
      </c>
      <c r="G13" s="49">
        <f t="shared" si="1"/>
        <v>1.3</v>
      </c>
      <c r="H13" s="50" t="s">
        <v>305</v>
      </c>
      <c r="I13" s="50" t="s">
        <v>306</v>
      </c>
      <c r="M13" s="26"/>
      <c r="N13" s="29"/>
      <c r="R13" s="30"/>
      <c r="S13" s="68"/>
      <c r="W13" s="69"/>
      <c r="X13" s="29"/>
      <c r="AA13" s="30"/>
      <c r="AB13" s="29"/>
      <c r="AF13" s="30"/>
      <c r="AG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33.1</v>
      </c>
      <c r="H14" s="63"/>
      <c r="I14" s="63"/>
      <c r="M14" s="26"/>
      <c r="N14" s="29"/>
      <c r="R14" s="30"/>
      <c r="S14" s="68"/>
      <c r="W14" s="69"/>
      <c r="X14" s="29"/>
      <c r="AA14" s="30"/>
      <c r="AB14" s="29"/>
      <c r="AF14" s="30"/>
      <c r="AG14" s="32"/>
    </row>
    <row r="15" ht="18.0" customHeight="1">
      <c r="M15" s="26"/>
      <c r="N15" s="29"/>
      <c r="R15" s="30"/>
      <c r="S15" s="68"/>
      <c r="W15" s="69"/>
      <c r="X15" s="29"/>
      <c r="AA15" s="30"/>
      <c r="AB15" s="29"/>
      <c r="AF15" s="30"/>
      <c r="AG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R16" s="30"/>
      <c r="S16" s="68"/>
      <c r="W16" s="69"/>
      <c r="X16" s="29"/>
      <c r="AA16" s="30"/>
      <c r="AB16" s="29"/>
      <c r="AF16" s="30"/>
      <c r="AG16" s="32"/>
    </row>
    <row r="17" ht="18.0" customHeight="1">
      <c r="B17" s="71" t="s">
        <v>307</v>
      </c>
      <c r="C17" s="72"/>
      <c r="D17" s="73"/>
      <c r="E17" s="74" t="s">
        <v>308</v>
      </c>
      <c r="F17" s="72"/>
      <c r="G17" s="72"/>
      <c r="H17" s="72"/>
      <c r="I17" s="73"/>
      <c r="M17" s="26"/>
      <c r="N17" s="29"/>
      <c r="R17" s="30"/>
      <c r="S17" s="68"/>
      <c r="W17" s="69"/>
      <c r="X17" s="29"/>
      <c r="AA17" s="30"/>
      <c r="AB17" s="29"/>
      <c r="AF17" s="30"/>
      <c r="AG17" s="32"/>
    </row>
    <row r="18" ht="18.0" customHeight="1">
      <c r="B18" s="71" t="s">
        <v>309</v>
      </c>
      <c r="C18" s="72"/>
      <c r="D18" s="73"/>
      <c r="E18" s="74" t="s">
        <v>310</v>
      </c>
      <c r="F18" s="72"/>
      <c r="G18" s="72"/>
      <c r="H18" s="72"/>
      <c r="I18" s="73"/>
      <c r="M18" s="26"/>
      <c r="N18" s="52"/>
      <c r="O18" s="53"/>
      <c r="P18" s="53"/>
      <c r="Q18" s="53"/>
      <c r="R18" s="54"/>
      <c r="S18" s="68"/>
      <c r="W18" s="69"/>
      <c r="X18" s="29"/>
      <c r="AA18" s="30"/>
      <c r="AB18" s="29"/>
      <c r="AF18" s="30"/>
      <c r="AG18" s="32"/>
    </row>
    <row r="19" ht="18.0" customHeight="1">
      <c r="B19" s="71" t="s">
        <v>311</v>
      </c>
      <c r="C19" s="72"/>
      <c r="D19" s="73"/>
      <c r="E19" s="74" t="s">
        <v>312</v>
      </c>
      <c r="F19" s="72"/>
      <c r="G19" s="72"/>
      <c r="H19" s="72"/>
      <c r="I19" s="73"/>
      <c r="M19" s="26"/>
      <c r="N19" s="18" t="s">
        <v>152</v>
      </c>
      <c r="O19" s="19"/>
      <c r="P19" s="19"/>
      <c r="Q19" s="19"/>
      <c r="R19" s="20"/>
      <c r="S19" s="68"/>
      <c r="W19" s="69"/>
      <c r="X19" s="29"/>
      <c r="AA19" s="30"/>
      <c r="AB19" s="29"/>
      <c r="AF19" s="30"/>
      <c r="AG19" s="32"/>
    </row>
    <row r="20" ht="18.0" customHeight="1">
      <c r="B20" s="71" t="s">
        <v>215</v>
      </c>
      <c r="C20" s="72"/>
      <c r="D20" s="73"/>
      <c r="E20" s="74" t="s">
        <v>313</v>
      </c>
      <c r="F20" s="72"/>
      <c r="G20" s="72"/>
      <c r="H20" s="72"/>
      <c r="I20" s="73"/>
      <c r="M20" s="26"/>
      <c r="N20" s="29"/>
      <c r="R20" s="30"/>
      <c r="S20" s="68"/>
      <c r="W20" s="69"/>
      <c r="X20" s="29"/>
      <c r="AA20" s="30"/>
      <c r="AB20" s="29"/>
      <c r="AF20" s="30"/>
      <c r="AG20" s="32"/>
    </row>
    <row r="21" ht="18.0" customHeight="1">
      <c r="B21" s="71" t="s">
        <v>314</v>
      </c>
      <c r="C21" s="72"/>
      <c r="D21" s="73"/>
      <c r="E21" s="74" t="s">
        <v>315</v>
      </c>
      <c r="F21" s="72"/>
      <c r="G21" s="72"/>
      <c r="H21" s="72"/>
      <c r="I21" s="73"/>
      <c r="M21" s="26"/>
      <c r="N21" s="29"/>
      <c r="R21" s="30"/>
      <c r="S21" s="68"/>
      <c r="W21" s="69"/>
      <c r="X21" s="29"/>
      <c r="AA21" s="30"/>
      <c r="AB21" s="29"/>
      <c r="AF21" s="30"/>
      <c r="AG21" s="32"/>
    </row>
    <row r="22" ht="18.0" customHeight="1">
      <c r="B22" s="71" t="s">
        <v>316</v>
      </c>
      <c r="C22" s="72"/>
      <c r="D22" s="73"/>
      <c r="E22" s="74" t="s">
        <v>317</v>
      </c>
      <c r="F22" s="72"/>
      <c r="G22" s="72"/>
      <c r="H22" s="72"/>
      <c r="I22" s="73"/>
      <c r="M22" s="26"/>
      <c r="N22" s="29"/>
      <c r="R22" s="30"/>
      <c r="S22" s="68"/>
      <c r="W22" s="69"/>
      <c r="X22" s="29"/>
      <c r="AA22" s="30"/>
      <c r="AB22" s="29"/>
      <c r="AF22" s="30"/>
      <c r="AG22" s="32"/>
    </row>
    <row r="23" ht="18.0" customHeight="1">
      <c r="M23" s="26"/>
      <c r="N23" s="29"/>
      <c r="R23" s="30"/>
      <c r="S23" s="68"/>
      <c r="W23" s="69"/>
      <c r="X23" s="29"/>
      <c r="AA23" s="30"/>
      <c r="AB23" s="29"/>
      <c r="AF23" s="30"/>
      <c r="AG23" s="32"/>
    </row>
    <row r="24" ht="18.0" customHeight="1">
      <c r="B24" s="78" t="s">
        <v>230</v>
      </c>
      <c r="M24" s="26"/>
      <c r="N24" s="29"/>
      <c r="R24" s="30"/>
      <c r="S24" s="68"/>
      <c r="W24" s="69"/>
      <c r="X24" s="29"/>
      <c r="AA24" s="30"/>
      <c r="AB24" s="29"/>
      <c r="AF24" s="30"/>
      <c r="AG24" s="32"/>
    </row>
    <row r="25" ht="18.0" customHeight="1">
      <c r="M25" s="26"/>
      <c r="N25" s="29"/>
      <c r="R25" s="30"/>
      <c r="S25" s="68"/>
      <c r="W25" s="69"/>
      <c r="X25" s="29"/>
      <c r="AA25" s="30"/>
      <c r="AB25" s="29"/>
      <c r="AF25" s="30"/>
      <c r="AG25" s="32"/>
    </row>
    <row r="26" ht="18.0" customHeight="1">
      <c r="M26" s="26"/>
      <c r="N26" s="29"/>
      <c r="R26" s="30"/>
      <c r="S26" s="68"/>
      <c r="W26" s="69"/>
      <c r="X26" s="29"/>
      <c r="AA26" s="30"/>
      <c r="AB26" s="29"/>
      <c r="AF26" s="30"/>
      <c r="AG26" s="32"/>
    </row>
    <row r="27" ht="18.0" customHeight="1">
      <c r="M27" s="26"/>
      <c r="N27" s="29"/>
      <c r="R27" s="30"/>
      <c r="S27" s="68"/>
      <c r="W27" s="69"/>
      <c r="X27" s="29"/>
      <c r="AA27" s="30"/>
      <c r="AB27" s="29"/>
      <c r="AF27" s="30"/>
      <c r="AG27" s="32"/>
    </row>
    <row r="28" ht="18.0" customHeight="1">
      <c r="M28" s="26"/>
      <c r="N28" s="52"/>
      <c r="O28" s="53"/>
      <c r="P28" s="53"/>
      <c r="Q28" s="53"/>
      <c r="R28" s="54"/>
      <c r="S28" s="75"/>
      <c r="T28" s="76"/>
      <c r="U28" s="76"/>
      <c r="V28" s="76"/>
      <c r="W28" s="77"/>
      <c r="X28" s="52"/>
      <c r="Y28" s="53"/>
      <c r="Z28" s="53"/>
      <c r="AA28" s="54"/>
      <c r="AB28" s="29"/>
      <c r="AF28" s="30"/>
      <c r="AG28" s="32"/>
    </row>
    <row r="29" ht="18.0" customHeight="1">
      <c r="M29" s="26"/>
      <c r="N29" s="27"/>
      <c r="O29" s="27"/>
      <c r="P29" s="27"/>
      <c r="Q29" s="27"/>
      <c r="R29" s="27"/>
      <c r="S29" s="18" t="s">
        <v>80</v>
      </c>
      <c r="T29" s="19"/>
      <c r="U29" s="19"/>
      <c r="V29" s="19"/>
      <c r="W29" s="20"/>
      <c r="X29" s="27"/>
      <c r="Y29" s="27"/>
      <c r="Z29" s="27"/>
      <c r="AA29" s="27"/>
      <c r="AB29" s="29"/>
      <c r="AF29" s="30"/>
      <c r="AG29" s="32"/>
    </row>
    <row r="30" ht="18.0" customHeight="1">
      <c r="M30" s="26"/>
      <c r="N30" s="27"/>
      <c r="O30" s="27"/>
      <c r="P30" s="27"/>
      <c r="Q30" s="27"/>
      <c r="R30" s="27"/>
      <c r="S30" s="29"/>
      <c r="W30" s="30"/>
      <c r="X30" s="27"/>
      <c r="Y30" s="27"/>
      <c r="Z30" s="27"/>
      <c r="AA30" s="27"/>
      <c r="AB30" s="29"/>
      <c r="AF30" s="30"/>
      <c r="AG30" s="32"/>
    </row>
    <row r="31" ht="18.0" customHeight="1">
      <c r="M31" s="26"/>
      <c r="N31" s="27"/>
      <c r="O31" s="27"/>
      <c r="P31" s="27"/>
      <c r="Q31" s="27"/>
      <c r="R31" s="27"/>
      <c r="S31" s="29"/>
      <c r="W31" s="30"/>
      <c r="X31" s="27"/>
      <c r="Y31" s="27"/>
      <c r="Z31" s="27"/>
      <c r="AA31" s="27"/>
      <c r="AB31" s="29"/>
      <c r="AF31" s="30"/>
      <c r="AG31" s="32"/>
    </row>
    <row r="32" ht="18.0" customHeight="1">
      <c r="M32" s="26"/>
      <c r="N32" s="27"/>
      <c r="O32" s="27"/>
      <c r="P32" s="27"/>
      <c r="Q32" s="27"/>
      <c r="R32" s="27"/>
      <c r="S32" s="29"/>
      <c r="W32" s="30"/>
      <c r="X32" s="27"/>
      <c r="Y32" s="27"/>
      <c r="Z32" s="27"/>
      <c r="AA32" s="27"/>
      <c r="AB32" s="29"/>
      <c r="AF32" s="30"/>
      <c r="AG32" s="32"/>
    </row>
    <row r="33" ht="18.0" customHeight="1">
      <c r="M33" s="26"/>
      <c r="N33" s="27"/>
      <c r="O33" s="27"/>
      <c r="P33" s="27"/>
      <c r="Q33" s="27"/>
      <c r="R33" s="27"/>
      <c r="S33" s="52"/>
      <c r="T33" s="53"/>
      <c r="U33" s="53"/>
      <c r="V33" s="53"/>
      <c r="W33" s="54"/>
      <c r="X33" s="27"/>
      <c r="Y33" s="27"/>
      <c r="Z33" s="27"/>
      <c r="AA33" s="27"/>
      <c r="AB33" s="52"/>
      <c r="AC33" s="53"/>
      <c r="AD33" s="53"/>
      <c r="AE33" s="53"/>
      <c r="AF33" s="54"/>
      <c r="AG33" s="32"/>
    </row>
    <row r="34" ht="18.0" customHeight="1">
      <c r="M34" s="79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1"/>
    </row>
    <row r="35" ht="18.0" customHeight="1"/>
    <row r="36" ht="18.0" customHeight="1">
      <c r="M36" s="82" t="s">
        <v>236</v>
      </c>
    </row>
    <row r="37" ht="18.0" customHeight="1">
      <c r="M37" s="83" t="s">
        <v>237</v>
      </c>
    </row>
    <row r="38" ht="18.0" customHeight="1">
      <c r="M38" s="83" t="s">
        <v>239</v>
      </c>
    </row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S10:W28"/>
    <mergeCell ref="S29:W33"/>
    <mergeCell ref="M36:AG36"/>
    <mergeCell ref="M37:AG37"/>
    <mergeCell ref="M38:AG38"/>
    <mergeCell ref="L2:T2"/>
    <mergeCell ref="S4:W6"/>
    <mergeCell ref="AB4:AF33"/>
    <mergeCell ref="S7:W9"/>
    <mergeCell ref="N10:R18"/>
    <mergeCell ref="X10:AA28"/>
    <mergeCell ref="N19:R2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3" width="3.0"/>
  </cols>
  <sheetData>
    <row r="1" ht="12.0" customHeight="1">
      <c r="A1" s="89">
        <v>87.0</v>
      </c>
    </row>
    <row r="2" ht="27.75" customHeight="1">
      <c r="B2" s="2" t="s">
        <v>318</v>
      </c>
      <c r="L2" s="5" t="s">
        <v>319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320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20"/>
      <c r="W4" s="17"/>
      <c r="X4" s="17"/>
      <c r="Y4" s="17"/>
      <c r="Z4" s="17"/>
      <c r="AA4" s="17"/>
      <c r="AB4" s="18" t="s">
        <v>127</v>
      </c>
      <c r="AC4" s="19"/>
      <c r="AD4" s="19"/>
      <c r="AE4" s="19"/>
      <c r="AF4" s="20"/>
      <c r="AG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V5" s="30"/>
      <c r="W5" s="27"/>
      <c r="X5" s="27"/>
      <c r="Y5" s="27"/>
      <c r="Z5" s="27"/>
      <c r="AA5" s="27"/>
      <c r="AB5" s="29"/>
      <c r="AF5" s="30"/>
      <c r="AG5" s="32"/>
    </row>
    <row r="6" ht="18.0" customHeight="1">
      <c r="B6" s="34" t="s">
        <v>53</v>
      </c>
      <c r="C6" s="36" t="s">
        <v>321</v>
      </c>
      <c r="D6" s="37">
        <v>5.0</v>
      </c>
      <c r="E6" s="37">
        <v>0.8</v>
      </c>
      <c r="F6" s="39">
        <v>1.0</v>
      </c>
      <c r="G6" s="41">
        <f t="shared" ref="G6:G13" si="1">D6*E6*F6</f>
        <v>4</v>
      </c>
      <c r="H6" s="42" t="s">
        <v>322</v>
      </c>
      <c r="I6" s="42" t="s">
        <v>323</v>
      </c>
      <c r="M6" s="26"/>
      <c r="N6" s="27"/>
      <c r="O6" s="27"/>
      <c r="P6" s="27"/>
      <c r="Q6" s="27"/>
      <c r="R6" s="27"/>
      <c r="S6" s="52"/>
      <c r="T6" s="53"/>
      <c r="U6" s="53"/>
      <c r="V6" s="54"/>
      <c r="W6" s="27"/>
      <c r="X6" s="27"/>
      <c r="Y6" s="27"/>
      <c r="Z6" s="27"/>
      <c r="AA6" s="27"/>
      <c r="AB6" s="29"/>
      <c r="AF6" s="30"/>
      <c r="AG6" s="32"/>
    </row>
    <row r="7" ht="18.0" customHeight="1">
      <c r="B7" s="43" t="s">
        <v>80</v>
      </c>
      <c r="C7" s="38" t="s">
        <v>324</v>
      </c>
      <c r="D7" s="45">
        <v>0.8</v>
      </c>
      <c r="E7" s="45">
        <v>0.8</v>
      </c>
      <c r="F7" s="47">
        <v>1.0</v>
      </c>
      <c r="G7" s="49">
        <f t="shared" si="1"/>
        <v>0.64</v>
      </c>
      <c r="H7" s="50" t="s">
        <v>325</v>
      </c>
      <c r="I7" s="50" t="s">
        <v>326</v>
      </c>
      <c r="M7" s="26"/>
      <c r="N7" s="27"/>
      <c r="O7" s="27"/>
      <c r="P7" s="27"/>
      <c r="Q7" s="27"/>
      <c r="R7" s="27"/>
      <c r="S7" s="18" t="s">
        <v>122</v>
      </c>
      <c r="T7" s="19"/>
      <c r="U7" s="19"/>
      <c r="V7" s="20"/>
      <c r="W7" s="27"/>
      <c r="X7" s="27"/>
      <c r="Y7" s="27"/>
      <c r="Z7" s="27"/>
      <c r="AA7" s="27"/>
      <c r="AB7" s="29"/>
      <c r="AF7" s="30"/>
      <c r="AG7" s="32"/>
    </row>
    <row r="8" ht="18.0" customHeight="1">
      <c r="B8" s="56" t="s">
        <v>106</v>
      </c>
      <c r="C8" s="25" t="s">
        <v>327</v>
      </c>
      <c r="D8" s="45">
        <v>5.0</v>
      </c>
      <c r="E8" s="45">
        <v>0.9</v>
      </c>
      <c r="F8" s="57">
        <v>1.0</v>
      </c>
      <c r="G8" s="58">
        <f t="shared" si="1"/>
        <v>4.5</v>
      </c>
      <c r="H8" s="59" t="s">
        <v>328</v>
      </c>
      <c r="I8" s="59" t="s">
        <v>329</v>
      </c>
      <c r="M8" s="26"/>
      <c r="N8" s="27"/>
      <c r="O8" s="27"/>
      <c r="P8" s="27"/>
      <c r="Q8" s="27"/>
      <c r="R8" s="27"/>
      <c r="S8" s="29"/>
      <c r="V8" s="30"/>
      <c r="W8" s="27"/>
      <c r="X8" s="27"/>
      <c r="Y8" s="27"/>
      <c r="Z8" s="27"/>
      <c r="AA8" s="27"/>
      <c r="AB8" s="29"/>
      <c r="AF8" s="30"/>
      <c r="AG8" s="32"/>
    </row>
    <row r="9" ht="18.0" customHeight="1">
      <c r="B9" s="43" t="s">
        <v>122</v>
      </c>
      <c r="C9" s="38" t="s">
        <v>330</v>
      </c>
      <c r="D9" s="45">
        <v>1.0</v>
      </c>
      <c r="E9" s="45">
        <v>0.8</v>
      </c>
      <c r="F9" s="47">
        <v>1.0</v>
      </c>
      <c r="G9" s="49">
        <f t="shared" si="1"/>
        <v>0.8</v>
      </c>
      <c r="H9" s="50" t="s">
        <v>331</v>
      </c>
      <c r="I9" s="50" t="s">
        <v>332</v>
      </c>
      <c r="M9" s="26"/>
      <c r="N9" s="27"/>
      <c r="O9" s="27"/>
      <c r="P9" s="27"/>
      <c r="Q9" s="27"/>
      <c r="R9" s="27"/>
      <c r="S9" s="52"/>
      <c r="T9" s="53"/>
      <c r="U9" s="53"/>
      <c r="V9" s="54"/>
      <c r="W9" s="27"/>
      <c r="X9" s="27"/>
      <c r="Y9" s="27"/>
      <c r="Z9" s="27"/>
      <c r="AA9" s="27"/>
      <c r="AB9" s="29"/>
      <c r="AF9" s="30"/>
      <c r="AG9" s="32"/>
    </row>
    <row r="10" ht="18.0" customHeight="1">
      <c r="B10" s="56" t="s">
        <v>144</v>
      </c>
      <c r="C10" s="25" t="s">
        <v>333</v>
      </c>
      <c r="D10" s="45">
        <v>0.8</v>
      </c>
      <c r="E10" s="45">
        <v>0.5</v>
      </c>
      <c r="F10" s="57">
        <v>1.0</v>
      </c>
      <c r="G10" s="58">
        <f t="shared" si="1"/>
        <v>0.4</v>
      </c>
      <c r="H10" s="59" t="s">
        <v>334</v>
      </c>
      <c r="I10" s="59" t="s">
        <v>335</v>
      </c>
      <c r="M10" s="26"/>
      <c r="N10" s="18" t="s">
        <v>144</v>
      </c>
      <c r="O10" s="19"/>
      <c r="P10" s="19"/>
      <c r="Q10" s="19"/>
      <c r="R10" s="20"/>
      <c r="S10" s="65" t="s">
        <v>336</v>
      </c>
      <c r="T10" s="66"/>
      <c r="U10" s="66"/>
      <c r="V10" s="67"/>
      <c r="W10" s="18" t="s">
        <v>106</v>
      </c>
      <c r="X10" s="19"/>
      <c r="Y10" s="19"/>
      <c r="Z10" s="19"/>
      <c r="AA10" s="20"/>
      <c r="AB10" s="29"/>
      <c r="AF10" s="30"/>
      <c r="AG10" s="32"/>
    </row>
    <row r="11" ht="18.0" customHeight="1">
      <c r="B11" s="43" t="s">
        <v>152</v>
      </c>
      <c r="C11" s="38" t="s">
        <v>261</v>
      </c>
      <c r="D11" s="45">
        <v>0.5</v>
      </c>
      <c r="E11" s="45">
        <v>5.0</v>
      </c>
      <c r="F11" s="47">
        <v>1.0</v>
      </c>
      <c r="G11" s="49">
        <f t="shared" si="1"/>
        <v>2.5</v>
      </c>
      <c r="H11" s="50" t="s">
        <v>339</v>
      </c>
      <c r="I11" s="50" t="s">
        <v>340</v>
      </c>
      <c r="M11" s="26"/>
      <c r="N11" s="29"/>
      <c r="R11" s="30"/>
      <c r="S11" s="68"/>
      <c r="V11" s="69"/>
      <c r="W11" s="29"/>
      <c r="AA11" s="30"/>
      <c r="AB11" s="29"/>
      <c r="AF11" s="30"/>
      <c r="AG11" s="32"/>
    </row>
    <row r="12" ht="18.0" customHeight="1">
      <c r="B12" s="56" t="s">
        <v>127</v>
      </c>
      <c r="C12" s="25" t="s">
        <v>341</v>
      </c>
      <c r="D12" s="45">
        <v>1.0</v>
      </c>
      <c r="E12" s="45">
        <v>6.5</v>
      </c>
      <c r="F12" s="57">
        <v>1.0</v>
      </c>
      <c r="G12" s="58">
        <f t="shared" si="1"/>
        <v>6.5</v>
      </c>
      <c r="H12" s="59" t="s">
        <v>342</v>
      </c>
      <c r="I12" s="59" t="s">
        <v>343</v>
      </c>
      <c r="M12" s="26"/>
      <c r="N12" s="29"/>
      <c r="R12" s="30"/>
      <c r="S12" s="68"/>
      <c r="V12" s="69"/>
      <c r="W12" s="29"/>
      <c r="AA12" s="30"/>
      <c r="AB12" s="29"/>
      <c r="AF12" s="30"/>
      <c r="AG12" s="32"/>
    </row>
    <row r="13" ht="18.0" customHeight="1">
      <c r="B13" s="43" t="s">
        <v>28</v>
      </c>
      <c r="C13" s="38" t="s">
        <v>344</v>
      </c>
      <c r="D13" s="45">
        <v>1.5</v>
      </c>
      <c r="E13" s="45">
        <v>0.8</v>
      </c>
      <c r="F13" s="47">
        <v>1.0</v>
      </c>
      <c r="G13" s="49">
        <f t="shared" si="1"/>
        <v>1.2</v>
      </c>
      <c r="H13" s="50" t="s">
        <v>345</v>
      </c>
      <c r="I13" s="50" t="s">
        <v>346</v>
      </c>
      <c r="M13" s="26"/>
      <c r="N13" s="29"/>
      <c r="R13" s="30"/>
      <c r="S13" s="68"/>
      <c r="V13" s="69"/>
      <c r="W13" s="29"/>
      <c r="AA13" s="30"/>
      <c r="AB13" s="29"/>
      <c r="AF13" s="30"/>
      <c r="AG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20.54</v>
      </c>
      <c r="H14" s="63"/>
      <c r="I14" s="63"/>
      <c r="M14" s="26"/>
      <c r="N14" s="29"/>
      <c r="R14" s="30"/>
      <c r="S14" s="68"/>
      <c r="V14" s="69"/>
      <c r="W14" s="29"/>
      <c r="AA14" s="30"/>
      <c r="AB14" s="29"/>
      <c r="AF14" s="30"/>
      <c r="AG14" s="32"/>
    </row>
    <row r="15" ht="18.0" customHeight="1">
      <c r="M15" s="26"/>
      <c r="N15" s="29"/>
      <c r="R15" s="30"/>
      <c r="S15" s="68"/>
      <c r="V15" s="69"/>
      <c r="W15" s="29"/>
      <c r="AA15" s="30"/>
      <c r="AB15" s="29"/>
      <c r="AF15" s="30"/>
      <c r="AG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R16" s="30"/>
      <c r="S16" s="68"/>
      <c r="V16" s="69"/>
      <c r="W16" s="29"/>
      <c r="AA16" s="30"/>
      <c r="AB16" s="29"/>
      <c r="AF16" s="30"/>
      <c r="AG16" s="32"/>
    </row>
    <row r="17" ht="18.0" customHeight="1">
      <c r="B17" s="71" t="s">
        <v>307</v>
      </c>
      <c r="C17" s="72"/>
      <c r="D17" s="73"/>
      <c r="E17" s="74" t="s">
        <v>353</v>
      </c>
      <c r="F17" s="72"/>
      <c r="G17" s="72"/>
      <c r="H17" s="72"/>
      <c r="I17" s="73"/>
      <c r="M17" s="26"/>
      <c r="N17" s="52"/>
      <c r="O17" s="53"/>
      <c r="P17" s="53"/>
      <c r="Q17" s="53"/>
      <c r="R17" s="54"/>
      <c r="S17" s="68"/>
      <c r="V17" s="69"/>
      <c r="W17" s="29"/>
      <c r="AA17" s="30"/>
      <c r="AB17" s="29"/>
      <c r="AF17" s="30"/>
      <c r="AG17" s="32"/>
    </row>
    <row r="18" ht="18.0" customHeight="1">
      <c r="B18" s="71" t="s">
        <v>355</v>
      </c>
      <c r="C18" s="72"/>
      <c r="D18" s="73"/>
      <c r="E18" s="74" t="s">
        <v>356</v>
      </c>
      <c r="F18" s="72"/>
      <c r="G18" s="72"/>
      <c r="H18" s="72"/>
      <c r="I18" s="73"/>
      <c r="M18" s="26"/>
      <c r="N18" s="18" t="s">
        <v>152</v>
      </c>
      <c r="O18" s="19"/>
      <c r="P18" s="19"/>
      <c r="Q18" s="19"/>
      <c r="R18" s="20"/>
      <c r="S18" s="68"/>
      <c r="V18" s="69"/>
      <c r="W18" s="29"/>
      <c r="AA18" s="30"/>
      <c r="AB18" s="29"/>
      <c r="AF18" s="30"/>
      <c r="AG18" s="32"/>
    </row>
    <row r="19" ht="18.0" customHeight="1">
      <c r="B19" s="71" t="s">
        <v>215</v>
      </c>
      <c r="C19" s="72"/>
      <c r="D19" s="73"/>
      <c r="E19" s="74" t="s">
        <v>359</v>
      </c>
      <c r="F19" s="72"/>
      <c r="G19" s="72"/>
      <c r="H19" s="72"/>
      <c r="I19" s="73"/>
      <c r="M19" s="26"/>
      <c r="N19" s="29"/>
      <c r="R19" s="30"/>
      <c r="S19" s="68"/>
      <c r="V19" s="69"/>
      <c r="W19" s="29"/>
      <c r="AA19" s="30"/>
      <c r="AB19" s="29"/>
      <c r="AF19" s="30"/>
      <c r="AG19" s="32"/>
    </row>
    <row r="20" ht="18.0" customHeight="1">
      <c r="B20" s="71" t="s">
        <v>223</v>
      </c>
      <c r="C20" s="72"/>
      <c r="D20" s="73"/>
      <c r="E20" s="74" t="s">
        <v>361</v>
      </c>
      <c r="F20" s="72"/>
      <c r="G20" s="72"/>
      <c r="H20" s="72"/>
      <c r="I20" s="73"/>
      <c r="M20" s="26"/>
      <c r="N20" s="29"/>
      <c r="R20" s="30"/>
      <c r="S20" s="68"/>
      <c r="V20" s="69"/>
      <c r="W20" s="29"/>
      <c r="AA20" s="30"/>
      <c r="AB20" s="29"/>
      <c r="AF20" s="30"/>
      <c r="AG20" s="32"/>
    </row>
    <row r="21" ht="18.0" customHeight="1">
      <c r="B21" s="71" t="s">
        <v>365</v>
      </c>
      <c r="C21" s="72"/>
      <c r="D21" s="73"/>
      <c r="E21" s="74" t="s">
        <v>367</v>
      </c>
      <c r="F21" s="72"/>
      <c r="G21" s="72"/>
      <c r="H21" s="72"/>
      <c r="I21" s="73"/>
      <c r="M21" s="26"/>
      <c r="N21" s="29"/>
      <c r="R21" s="30"/>
      <c r="S21" s="68"/>
      <c r="V21" s="69"/>
      <c r="W21" s="29"/>
      <c r="AA21" s="30"/>
      <c r="AB21" s="29"/>
      <c r="AF21" s="30"/>
      <c r="AG21" s="32"/>
    </row>
    <row r="22" ht="18.0" customHeight="1">
      <c r="B22" s="71" t="s">
        <v>370</v>
      </c>
      <c r="C22" s="72"/>
      <c r="D22" s="73"/>
      <c r="E22" s="74" t="s">
        <v>373</v>
      </c>
      <c r="F22" s="72"/>
      <c r="G22" s="72"/>
      <c r="H22" s="72"/>
      <c r="I22" s="73"/>
      <c r="M22" s="26"/>
      <c r="N22" s="29"/>
      <c r="R22" s="30"/>
      <c r="S22" s="68"/>
      <c r="V22" s="69"/>
      <c r="W22" s="29"/>
      <c r="AA22" s="30"/>
      <c r="AB22" s="29"/>
      <c r="AF22" s="30"/>
      <c r="AG22" s="32"/>
    </row>
    <row r="23" ht="18.0" customHeight="1">
      <c r="M23" s="26"/>
      <c r="N23" s="29"/>
      <c r="R23" s="30"/>
      <c r="S23" s="68"/>
      <c r="V23" s="69"/>
      <c r="W23" s="29"/>
      <c r="AA23" s="30"/>
      <c r="AB23" s="29"/>
      <c r="AF23" s="30"/>
      <c r="AG23" s="32"/>
    </row>
    <row r="24" ht="18.0" customHeight="1">
      <c r="B24" s="78" t="s">
        <v>230</v>
      </c>
      <c r="M24" s="26"/>
      <c r="N24" s="29"/>
      <c r="R24" s="30"/>
      <c r="S24" s="68"/>
      <c r="V24" s="69"/>
      <c r="W24" s="29"/>
      <c r="AA24" s="30"/>
      <c r="AB24" s="29"/>
      <c r="AF24" s="30"/>
      <c r="AG24" s="32"/>
    </row>
    <row r="25" ht="18.0" customHeight="1">
      <c r="M25" s="26"/>
      <c r="N25" s="29"/>
      <c r="R25" s="30"/>
      <c r="S25" s="68"/>
      <c r="V25" s="69"/>
      <c r="W25" s="29"/>
      <c r="AA25" s="30"/>
      <c r="AB25" s="29"/>
      <c r="AF25" s="30"/>
      <c r="AG25" s="32"/>
    </row>
    <row r="26" ht="18.0" customHeight="1">
      <c r="M26" s="26"/>
      <c r="N26" s="52"/>
      <c r="O26" s="53"/>
      <c r="P26" s="53"/>
      <c r="Q26" s="53"/>
      <c r="R26" s="54"/>
      <c r="S26" s="75"/>
      <c r="T26" s="76"/>
      <c r="U26" s="76"/>
      <c r="V26" s="77"/>
      <c r="W26" s="52"/>
      <c r="X26" s="53"/>
      <c r="Y26" s="53"/>
      <c r="Z26" s="53"/>
      <c r="AA26" s="54"/>
      <c r="AB26" s="29"/>
      <c r="AF26" s="30"/>
      <c r="AG26" s="32"/>
    </row>
    <row r="27" ht="18.0" customHeight="1">
      <c r="M27" s="26"/>
      <c r="N27" s="27"/>
      <c r="O27" s="27"/>
      <c r="P27" s="27"/>
      <c r="Q27" s="27"/>
      <c r="R27" s="27"/>
      <c r="S27" s="18" t="s">
        <v>80</v>
      </c>
      <c r="T27" s="19"/>
      <c r="U27" s="19"/>
      <c r="V27" s="20"/>
      <c r="W27" s="27"/>
      <c r="X27" s="27"/>
      <c r="Y27" s="27"/>
      <c r="Z27" s="27"/>
      <c r="AA27" s="27"/>
      <c r="AB27" s="29"/>
      <c r="AF27" s="30"/>
      <c r="AG27" s="32"/>
    </row>
    <row r="28" ht="18.0" customHeight="1">
      <c r="M28" s="26"/>
      <c r="N28" s="27"/>
      <c r="O28" s="27"/>
      <c r="P28" s="27"/>
      <c r="Q28" s="27"/>
      <c r="R28" s="27"/>
      <c r="S28" s="29"/>
      <c r="V28" s="30"/>
      <c r="W28" s="27"/>
      <c r="X28" s="27"/>
      <c r="Y28" s="27"/>
      <c r="Z28" s="27"/>
      <c r="AA28" s="27"/>
      <c r="AB28" s="29"/>
      <c r="AF28" s="30"/>
      <c r="AG28" s="32"/>
    </row>
    <row r="29" ht="18.0" customHeight="1">
      <c r="M29" s="26"/>
      <c r="N29" s="27"/>
      <c r="O29" s="27"/>
      <c r="P29" s="27"/>
      <c r="Q29" s="27"/>
      <c r="R29" s="27"/>
      <c r="S29" s="29"/>
      <c r="V29" s="30"/>
      <c r="W29" s="27"/>
      <c r="X29" s="27"/>
      <c r="Y29" s="27"/>
      <c r="Z29" s="27"/>
      <c r="AA29" s="27"/>
      <c r="AB29" s="29"/>
      <c r="AF29" s="30"/>
      <c r="AG29" s="32"/>
    </row>
    <row r="30" ht="18.0" customHeight="1">
      <c r="M30" s="26"/>
      <c r="N30" s="27"/>
      <c r="O30" s="27"/>
      <c r="P30" s="27"/>
      <c r="Q30" s="27"/>
      <c r="R30" s="27"/>
      <c r="S30" s="29"/>
      <c r="V30" s="30"/>
      <c r="W30" s="27"/>
      <c r="X30" s="27"/>
      <c r="Y30" s="27"/>
      <c r="Z30" s="27"/>
      <c r="AA30" s="27"/>
      <c r="AB30" s="29"/>
      <c r="AF30" s="30"/>
      <c r="AG30" s="32"/>
    </row>
    <row r="31" ht="18.0" customHeight="1">
      <c r="M31" s="26"/>
      <c r="N31" s="27"/>
      <c r="O31" s="27"/>
      <c r="P31" s="27"/>
      <c r="Q31" s="27"/>
      <c r="R31" s="27"/>
      <c r="S31" s="52"/>
      <c r="T31" s="53"/>
      <c r="U31" s="53"/>
      <c r="V31" s="54"/>
      <c r="W31" s="27"/>
      <c r="X31" s="27"/>
      <c r="Y31" s="27"/>
      <c r="Z31" s="27"/>
      <c r="AA31" s="27"/>
      <c r="AB31" s="52"/>
      <c r="AC31" s="53"/>
      <c r="AD31" s="53"/>
      <c r="AE31" s="53"/>
      <c r="AF31" s="54"/>
      <c r="AG31" s="32"/>
    </row>
    <row r="32" ht="18.0" customHeight="1">
      <c r="M32" s="79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1"/>
    </row>
    <row r="33" ht="18.0" customHeight="1"/>
    <row r="34" ht="18.0" customHeight="1">
      <c r="M34" s="82" t="s">
        <v>236</v>
      </c>
    </row>
    <row r="35" ht="18.0" customHeight="1">
      <c r="M35" s="83" t="s">
        <v>237</v>
      </c>
    </row>
    <row r="36" ht="18.0" customHeight="1">
      <c r="M36" s="83" t="s">
        <v>239</v>
      </c>
    </row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S10:V26"/>
    <mergeCell ref="S27:V31"/>
    <mergeCell ref="M34:AG34"/>
    <mergeCell ref="M35:AG35"/>
    <mergeCell ref="M36:AG36"/>
    <mergeCell ref="L2:T2"/>
    <mergeCell ref="S4:V6"/>
    <mergeCell ref="AB4:AF31"/>
    <mergeCell ref="S7:V9"/>
    <mergeCell ref="N10:R17"/>
    <mergeCell ref="W10:AA26"/>
    <mergeCell ref="N18:R2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337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338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347</v>
      </c>
      <c r="D6" s="37">
        <v>1.53</v>
      </c>
      <c r="E6" s="37">
        <v>0.97</v>
      </c>
      <c r="F6" s="39">
        <v>1.0</v>
      </c>
      <c r="G6" s="41">
        <f t="shared" ref="G6:G13" si="1">D6*E6*F6</f>
        <v>1.4841</v>
      </c>
      <c r="H6" s="42" t="s">
        <v>348</v>
      </c>
      <c r="I6" s="42" t="s">
        <v>349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350</v>
      </c>
      <c r="D7" s="45">
        <v>1.2</v>
      </c>
      <c r="E7" s="45">
        <v>0.8</v>
      </c>
      <c r="F7" s="47">
        <v>1.0</v>
      </c>
      <c r="G7" s="49">
        <f t="shared" si="1"/>
        <v>0.96</v>
      </c>
      <c r="H7" s="50" t="s">
        <v>351</v>
      </c>
      <c r="I7" s="50" t="s">
        <v>352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354</v>
      </c>
      <c r="D8" s="45">
        <v>1.5</v>
      </c>
      <c r="E8" s="45">
        <v>1.2</v>
      </c>
      <c r="F8" s="57">
        <v>1.0</v>
      </c>
      <c r="G8" s="58">
        <f t="shared" si="1"/>
        <v>1.8</v>
      </c>
      <c r="H8" s="59" t="s">
        <v>357</v>
      </c>
      <c r="I8" s="59" t="s">
        <v>358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360</v>
      </c>
      <c r="D9" s="45">
        <v>1.5</v>
      </c>
      <c r="E9" s="45">
        <v>0.6</v>
      </c>
      <c r="F9" s="47">
        <v>1.0</v>
      </c>
      <c r="G9" s="49">
        <f t="shared" si="1"/>
        <v>0.9</v>
      </c>
      <c r="H9" s="50" t="s">
        <v>362</v>
      </c>
      <c r="I9" s="50" t="s">
        <v>363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364</v>
      </c>
      <c r="D10" s="45">
        <v>0.8</v>
      </c>
      <c r="E10" s="45">
        <v>0.5</v>
      </c>
      <c r="F10" s="57">
        <v>1.0</v>
      </c>
      <c r="G10" s="58">
        <f t="shared" si="1"/>
        <v>0.4</v>
      </c>
      <c r="H10" s="59" t="s">
        <v>366</v>
      </c>
      <c r="I10" s="59" t="s">
        <v>368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369</v>
      </c>
      <c r="D11" s="45">
        <v>0.5</v>
      </c>
      <c r="E11" s="45">
        <v>1.5</v>
      </c>
      <c r="F11" s="47">
        <v>2.0</v>
      </c>
      <c r="G11" s="49">
        <f t="shared" si="1"/>
        <v>1.5</v>
      </c>
      <c r="H11" s="50" t="s">
        <v>371</v>
      </c>
      <c r="I11" s="50" t="s">
        <v>372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342</v>
      </c>
      <c r="D12" s="45">
        <v>1.0</v>
      </c>
      <c r="E12" s="45">
        <v>3.5</v>
      </c>
      <c r="F12" s="57">
        <v>1.0</v>
      </c>
      <c r="G12" s="58">
        <f t="shared" si="1"/>
        <v>3.5</v>
      </c>
      <c r="H12" s="59" t="s">
        <v>374</v>
      </c>
      <c r="I12" s="59" t="s">
        <v>375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376</v>
      </c>
      <c r="D13" s="45">
        <v>1.2</v>
      </c>
      <c r="E13" s="45">
        <v>0.6</v>
      </c>
      <c r="F13" s="47">
        <v>1.0</v>
      </c>
      <c r="G13" s="49">
        <f t="shared" si="1"/>
        <v>0.72</v>
      </c>
      <c r="H13" s="50" t="s">
        <v>377</v>
      </c>
      <c r="I13" s="50" t="s">
        <v>378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11.2641</v>
      </c>
      <c r="H14" s="63"/>
      <c r="I14" s="63"/>
      <c r="M14" s="26"/>
      <c r="N14" s="18" t="s">
        <v>144</v>
      </c>
      <c r="O14" s="19"/>
      <c r="P14" s="19"/>
      <c r="Q14" s="20"/>
      <c r="R14" s="65" t="s">
        <v>379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204</v>
      </c>
      <c r="C17" s="72"/>
      <c r="D17" s="73"/>
      <c r="E17" s="74" t="s">
        <v>380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211</v>
      </c>
      <c r="C18" s="72"/>
      <c r="D18" s="73"/>
      <c r="E18" s="74" t="s">
        <v>381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215</v>
      </c>
      <c r="C19" s="72"/>
      <c r="D19" s="73"/>
      <c r="E19" s="74" t="s">
        <v>382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223</v>
      </c>
      <c r="C20" s="72"/>
      <c r="D20" s="73"/>
      <c r="E20" s="74" t="s">
        <v>383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384</v>
      </c>
      <c r="C21" s="72"/>
      <c r="D21" s="73"/>
      <c r="E21" s="74" t="s">
        <v>385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386</v>
      </c>
      <c r="C22" s="72"/>
      <c r="D22" s="73"/>
      <c r="E22" s="74" t="s">
        <v>387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388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389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390</v>
      </c>
      <c r="D6" s="37">
        <v>1.2</v>
      </c>
      <c r="E6" s="37">
        <v>0.8</v>
      </c>
      <c r="F6" s="39">
        <v>1.0</v>
      </c>
      <c r="G6" s="41">
        <f t="shared" ref="G6:G13" si="1">D6*E6*F6</f>
        <v>0.96</v>
      </c>
      <c r="H6" s="42" t="s">
        <v>391</v>
      </c>
      <c r="I6" s="42" t="s">
        <v>392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393</v>
      </c>
      <c r="D7" s="45">
        <v>0.8</v>
      </c>
      <c r="E7" s="45">
        <v>0.6</v>
      </c>
      <c r="F7" s="47">
        <v>1.0</v>
      </c>
      <c r="G7" s="49">
        <f t="shared" si="1"/>
        <v>0.48</v>
      </c>
      <c r="H7" s="50" t="s">
        <v>394</v>
      </c>
      <c r="I7" s="50" t="s">
        <v>395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396</v>
      </c>
      <c r="D8" s="45">
        <v>1.2</v>
      </c>
      <c r="E8" s="45">
        <v>1.0</v>
      </c>
      <c r="F8" s="57">
        <v>1.0</v>
      </c>
      <c r="G8" s="58">
        <f t="shared" si="1"/>
        <v>1.2</v>
      </c>
      <c r="H8" s="59" t="s">
        <v>397</v>
      </c>
      <c r="I8" s="59" t="s">
        <v>398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399</v>
      </c>
      <c r="D9" s="45">
        <v>0.8</v>
      </c>
      <c r="E9" s="45">
        <v>0.6</v>
      </c>
      <c r="F9" s="47">
        <v>1.0</v>
      </c>
      <c r="G9" s="49">
        <f t="shared" si="1"/>
        <v>0.48</v>
      </c>
      <c r="H9" s="50" t="s">
        <v>400</v>
      </c>
      <c r="I9" s="50" t="s">
        <v>401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402</v>
      </c>
      <c r="D10" s="45">
        <v>0.5</v>
      </c>
      <c r="E10" s="45">
        <v>0.4</v>
      </c>
      <c r="F10" s="57">
        <v>1.0</v>
      </c>
      <c r="G10" s="58">
        <f t="shared" si="1"/>
        <v>0.2</v>
      </c>
      <c r="H10" s="59" t="s">
        <v>403</v>
      </c>
      <c r="I10" s="59" t="s">
        <v>404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405</v>
      </c>
      <c r="D11" s="45">
        <v>0.5</v>
      </c>
      <c r="E11" s="45">
        <v>1.2</v>
      </c>
      <c r="F11" s="47">
        <v>1.0</v>
      </c>
      <c r="G11" s="49">
        <f t="shared" si="1"/>
        <v>0.6</v>
      </c>
      <c r="H11" s="50" t="s">
        <v>406</v>
      </c>
      <c r="I11" s="50" t="s">
        <v>407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408</v>
      </c>
      <c r="D12" s="45">
        <v>1.2</v>
      </c>
      <c r="E12" s="45">
        <v>3.0</v>
      </c>
      <c r="F12" s="57">
        <v>1.0</v>
      </c>
      <c r="G12" s="58">
        <f t="shared" si="1"/>
        <v>3.6</v>
      </c>
      <c r="H12" s="59" t="s">
        <v>409</v>
      </c>
      <c r="I12" s="59" t="s">
        <v>410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411</v>
      </c>
      <c r="D13" s="45">
        <v>1.2</v>
      </c>
      <c r="E13" s="45">
        <v>1.0</v>
      </c>
      <c r="F13" s="47">
        <v>1.0</v>
      </c>
      <c r="G13" s="49">
        <f t="shared" si="1"/>
        <v>1.2</v>
      </c>
      <c r="H13" s="50" t="s">
        <v>412</v>
      </c>
      <c r="I13" s="50" t="s">
        <v>413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8.72</v>
      </c>
      <c r="H14" s="63"/>
      <c r="I14" s="63"/>
      <c r="M14" s="26"/>
      <c r="N14" s="18" t="s">
        <v>144</v>
      </c>
      <c r="O14" s="19"/>
      <c r="P14" s="19"/>
      <c r="Q14" s="20"/>
      <c r="R14" s="65" t="s">
        <v>414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415</v>
      </c>
      <c r="C17" s="72"/>
      <c r="D17" s="73"/>
      <c r="E17" s="74" t="s">
        <v>416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417</v>
      </c>
      <c r="C18" s="72"/>
      <c r="D18" s="73"/>
      <c r="E18" s="74" t="s">
        <v>418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215</v>
      </c>
      <c r="C19" s="72"/>
      <c r="D19" s="73"/>
      <c r="E19" s="74" t="s">
        <v>419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420</v>
      </c>
      <c r="C20" s="72"/>
      <c r="D20" s="73"/>
      <c r="E20" s="74" t="s">
        <v>421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422</v>
      </c>
      <c r="C21" s="72"/>
      <c r="D21" s="73"/>
      <c r="E21" s="74" t="s">
        <v>423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424</v>
      </c>
      <c r="C22" s="72"/>
      <c r="D22" s="73"/>
      <c r="E22" s="74" t="s">
        <v>425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426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427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428</v>
      </c>
      <c r="D6" s="37">
        <v>1.1</v>
      </c>
      <c r="E6" s="37">
        <v>0.91</v>
      </c>
      <c r="F6" s="39">
        <v>1.0</v>
      </c>
      <c r="G6" s="41">
        <f t="shared" ref="G6:G13" si="1">D6*E6*F6</f>
        <v>1.001</v>
      </c>
      <c r="H6" s="42" t="s">
        <v>429</v>
      </c>
      <c r="I6" s="42" t="s">
        <v>430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431</v>
      </c>
      <c r="D7" s="45">
        <v>0.8</v>
      </c>
      <c r="E7" s="45">
        <v>0.6</v>
      </c>
      <c r="F7" s="47">
        <v>1.0</v>
      </c>
      <c r="G7" s="49">
        <f t="shared" si="1"/>
        <v>0.48</v>
      </c>
      <c r="H7" s="50" t="s">
        <v>432</v>
      </c>
      <c r="I7" s="50" t="s">
        <v>433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434</v>
      </c>
      <c r="D8" s="45">
        <v>1.3</v>
      </c>
      <c r="E8" s="45">
        <v>1.1</v>
      </c>
      <c r="F8" s="57">
        <v>1.0</v>
      </c>
      <c r="G8" s="58">
        <f t="shared" si="1"/>
        <v>1.43</v>
      </c>
      <c r="H8" s="59" t="s">
        <v>435</v>
      </c>
      <c r="I8" s="59" t="s">
        <v>436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437</v>
      </c>
      <c r="D9" s="45">
        <v>1.0</v>
      </c>
      <c r="E9" s="45">
        <v>0.9</v>
      </c>
      <c r="F9" s="47">
        <v>1.0</v>
      </c>
      <c r="G9" s="49">
        <f t="shared" si="1"/>
        <v>0.9</v>
      </c>
      <c r="H9" s="50" t="s">
        <v>438</v>
      </c>
      <c r="I9" s="50" t="s">
        <v>439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440</v>
      </c>
      <c r="D10" s="45">
        <v>0.6</v>
      </c>
      <c r="E10" s="45">
        <v>0.4</v>
      </c>
      <c r="F10" s="57">
        <v>1.0</v>
      </c>
      <c r="G10" s="58">
        <f t="shared" si="1"/>
        <v>0.24</v>
      </c>
      <c r="H10" s="59" t="s">
        <v>441</v>
      </c>
      <c r="I10" s="59" t="s">
        <v>442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443</v>
      </c>
      <c r="D11" s="45">
        <v>0.5</v>
      </c>
      <c r="E11" s="45">
        <v>1.0</v>
      </c>
      <c r="F11" s="47">
        <v>2.0</v>
      </c>
      <c r="G11" s="49">
        <f t="shared" si="1"/>
        <v>1</v>
      </c>
      <c r="H11" s="50" t="s">
        <v>444</v>
      </c>
      <c r="I11" s="50" t="s">
        <v>445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446</v>
      </c>
      <c r="D12" s="45">
        <v>1.0</v>
      </c>
      <c r="E12" s="45">
        <v>2.8</v>
      </c>
      <c r="F12" s="57">
        <v>1.0</v>
      </c>
      <c r="G12" s="58">
        <f t="shared" si="1"/>
        <v>2.8</v>
      </c>
      <c r="H12" s="59" t="s">
        <v>447</v>
      </c>
      <c r="I12" s="59" t="s">
        <v>448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449</v>
      </c>
      <c r="D13" s="45">
        <v>0.8</v>
      </c>
      <c r="E13" s="45">
        <v>0.8</v>
      </c>
      <c r="F13" s="47">
        <v>1.0</v>
      </c>
      <c r="G13" s="49">
        <f t="shared" si="1"/>
        <v>0.64</v>
      </c>
      <c r="H13" s="50" t="s">
        <v>450</v>
      </c>
      <c r="I13" s="50" t="s">
        <v>451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8.491</v>
      </c>
      <c r="H14" s="63"/>
      <c r="I14" s="63"/>
      <c r="M14" s="26"/>
      <c r="N14" s="18" t="s">
        <v>144</v>
      </c>
      <c r="O14" s="19"/>
      <c r="P14" s="19"/>
      <c r="Q14" s="20"/>
      <c r="R14" s="65" t="s">
        <v>452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204</v>
      </c>
      <c r="C17" s="72"/>
      <c r="D17" s="73"/>
      <c r="E17" s="74" t="s">
        <v>454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455</v>
      </c>
      <c r="C18" s="72"/>
      <c r="D18" s="73"/>
      <c r="E18" s="74" t="s">
        <v>456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211</v>
      </c>
      <c r="C19" s="72"/>
      <c r="D19" s="73"/>
      <c r="E19" s="74" t="s">
        <v>458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215</v>
      </c>
      <c r="C20" s="72"/>
      <c r="D20" s="73"/>
      <c r="E20" s="74" t="s">
        <v>459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223</v>
      </c>
      <c r="C21" s="72"/>
      <c r="D21" s="73"/>
      <c r="E21" s="74" t="s">
        <v>460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462</v>
      </c>
      <c r="C22" s="72"/>
      <c r="D22" s="73"/>
      <c r="E22" s="74" t="s">
        <v>463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453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457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461</v>
      </c>
      <c r="D6" s="37">
        <v>1.16</v>
      </c>
      <c r="E6" s="37">
        <v>0.3</v>
      </c>
      <c r="F6" s="39">
        <v>1.0</v>
      </c>
      <c r="G6" s="41">
        <f t="shared" ref="G6:G13" si="1">D6*E6*F6</f>
        <v>0.348</v>
      </c>
      <c r="H6" s="42" t="s">
        <v>464</v>
      </c>
      <c r="I6" s="42" t="s">
        <v>465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466</v>
      </c>
      <c r="D7" s="45">
        <v>0.9</v>
      </c>
      <c r="E7" s="45">
        <v>0.7</v>
      </c>
      <c r="F7" s="47">
        <v>1.0</v>
      </c>
      <c r="G7" s="49">
        <f t="shared" si="1"/>
        <v>0.63</v>
      </c>
      <c r="H7" s="50" t="s">
        <v>467</v>
      </c>
      <c r="I7" s="50" t="s">
        <v>468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469</v>
      </c>
      <c r="D8" s="45">
        <v>1.2</v>
      </c>
      <c r="E8" s="45">
        <v>1.0</v>
      </c>
      <c r="F8" s="57">
        <v>1.0</v>
      </c>
      <c r="G8" s="58">
        <f t="shared" si="1"/>
        <v>1.2</v>
      </c>
      <c r="H8" s="59" t="s">
        <v>470</v>
      </c>
      <c r="I8" s="59" t="s">
        <v>471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472</v>
      </c>
      <c r="D9" s="45">
        <v>1.2</v>
      </c>
      <c r="E9" s="45">
        <v>0.6</v>
      </c>
      <c r="F9" s="47">
        <v>1.0</v>
      </c>
      <c r="G9" s="49">
        <f t="shared" si="1"/>
        <v>0.72</v>
      </c>
      <c r="H9" s="50" t="s">
        <v>473</v>
      </c>
      <c r="I9" s="50" t="s">
        <v>474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475</v>
      </c>
      <c r="D10" s="45">
        <v>0.5</v>
      </c>
      <c r="E10" s="45">
        <v>0.4</v>
      </c>
      <c r="F10" s="57">
        <v>1.0</v>
      </c>
      <c r="G10" s="58">
        <f t="shared" si="1"/>
        <v>0.2</v>
      </c>
      <c r="H10" s="59" t="s">
        <v>476</v>
      </c>
      <c r="I10" s="59" t="s">
        <v>477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261</v>
      </c>
      <c r="D11" s="45">
        <v>0.5</v>
      </c>
      <c r="E11" s="45">
        <v>1.2</v>
      </c>
      <c r="F11" s="47">
        <v>1.0</v>
      </c>
      <c r="G11" s="49">
        <f t="shared" si="1"/>
        <v>0.6</v>
      </c>
      <c r="H11" s="50" t="s">
        <v>478</v>
      </c>
      <c r="I11" s="50" t="s">
        <v>479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480</v>
      </c>
      <c r="D12" s="45">
        <v>1.0</v>
      </c>
      <c r="E12" s="45">
        <v>3.0</v>
      </c>
      <c r="F12" s="57">
        <v>1.0</v>
      </c>
      <c r="G12" s="58">
        <f t="shared" si="1"/>
        <v>3</v>
      </c>
      <c r="H12" s="59" t="s">
        <v>481</v>
      </c>
      <c r="I12" s="59" t="s">
        <v>482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483</v>
      </c>
      <c r="D13" s="45">
        <v>0.9</v>
      </c>
      <c r="E13" s="45">
        <v>0.7</v>
      </c>
      <c r="F13" s="47">
        <v>1.0</v>
      </c>
      <c r="G13" s="49">
        <f t="shared" si="1"/>
        <v>0.63</v>
      </c>
      <c r="H13" s="50" t="s">
        <v>485</v>
      </c>
      <c r="I13" s="50" t="s">
        <v>486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7.328</v>
      </c>
      <c r="H14" s="63"/>
      <c r="I14" s="63"/>
      <c r="M14" s="26"/>
      <c r="N14" s="18" t="s">
        <v>144</v>
      </c>
      <c r="O14" s="19"/>
      <c r="P14" s="19"/>
      <c r="Q14" s="20"/>
      <c r="R14" s="65" t="s">
        <v>488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204</v>
      </c>
      <c r="C17" s="72"/>
      <c r="D17" s="73"/>
      <c r="E17" s="74" t="s">
        <v>490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493</v>
      </c>
      <c r="C18" s="72"/>
      <c r="D18" s="73"/>
      <c r="E18" s="74" t="s">
        <v>494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211</v>
      </c>
      <c r="C19" s="72"/>
      <c r="D19" s="73"/>
      <c r="E19" s="74" t="s">
        <v>496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215</v>
      </c>
      <c r="C20" s="72"/>
      <c r="D20" s="73"/>
      <c r="E20" s="74" t="s">
        <v>499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503</v>
      </c>
      <c r="C21" s="72"/>
      <c r="D21" s="73"/>
      <c r="E21" s="74" t="s">
        <v>504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506</v>
      </c>
      <c r="C22" s="72"/>
      <c r="D22" s="73"/>
      <c r="E22" s="74" t="s">
        <v>507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484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487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489</v>
      </c>
      <c r="D6" s="37">
        <v>0.98</v>
      </c>
      <c r="E6" s="37">
        <v>0.58</v>
      </c>
      <c r="F6" s="39">
        <v>1.0</v>
      </c>
      <c r="G6" s="41">
        <f t="shared" ref="G6:G13" si="1">D6*E6*F6</f>
        <v>0.5684</v>
      </c>
      <c r="H6" s="42" t="s">
        <v>491</v>
      </c>
      <c r="I6" s="42" t="s">
        <v>492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495</v>
      </c>
      <c r="D7" s="45">
        <v>0.9</v>
      </c>
      <c r="E7" s="45">
        <v>0.7</v>
      </c>
      <c r="F7" s="47">
        <v>1.0</v>
      </c>
      <c r="G7" s="49">
        <f t="shared" si="1"/>
        <v>0.63</v>
      </c>
      <c r="H7" s="50" t="s">
        <v>497</v>
      </c>
      <c r="I7" s="50" t="s">
        <v>498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500</v>
      </c>
      <c r="D8" s="45">
        <v>1.2</v>
      </c>
      <c r="E8" s="45">
        <v>1.0</v>
      </c>
      <c r="F8" s="57">
        <v>1.0</v>
      </c>
      <c r="G8" s="58">
        <f t="shared" si="1"/>
        <v>1.2</v>
      </c>
      <c r="H8" s="59" t="s">
        <v>501</v>
      </c>
      <c r="I8" s="59" t="s">
        <v>502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505</v>
      </c>
      <c r="D9" s="45">
        <v>0.9</v>
      </c>
      <c r="E9" s="45">
        <v>0.7</v>
      </c>
      <c r="F9" s="47">
        <v>1.0</v>
      </c>
      <c r="G9" s="49">
        <f t="shared" si="1"/>
        <v>0.63</v>
      </c>
      <c r="H9" s="50" t="s">
        <v>508</v>
      </c>
      <c r="I9" s="50" t="s">
        <v>509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510</v>
      </c>
      <c r="D10" s="45">
        <v>0.5</v>
      </c>
      <c r="E10" s="45">
        <v>0.4</v>
      </c>
      <c r="F10" s="57">
        <v>1.0</v>
      </c>
      <c r="G10" s="58">
        <f t="shared" si="1"/>
        <v>0.2</v>
      </c>
      <c r="H10" s="59" t="s">
        <v>511</v>
      </c>
      <c r="I10" s="59" t="s">
        <v>512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513</v>
      </c>
      <c r="D11" s="45">
        <v>0.5</v>
      </c>
      <c r="E11" s="45">
        <v>1.0</v>
      </c>
      <c r="F11" s="47">
        <v>1.0</v>
      </c>
      <c r="G11" s="49">
        <f t="shared" si="1"/>
        <v>0.5</v>
      </c>
      <c r="H11" s="50" t="s">
        <v>514</v>
      </c>
      <c r="I11" s="50" t="s">
        <v>515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516</v>
      </c>
      <c r="D12" s="45">
        <v>1.2</v>
      </c>
      <c r="E12" s="45">
        <v>2.8</v>
      </c>
      <c r="F12" s="57">
        <v>1.0</v>
      </c>
      <c r="G12" s="58">
        <f t="shared" si="1"/>
        <v>3.36</v>
      </c>
      <c r="H12" s="59" t="s">
        <v>517</v>
      </c>
      <c r="I12" s="59" t="s">
        <v>518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519</v>
      </c>
      <c r="D13" s="45">
        <v>0.9</v>
      </c>
      <c r="E13" s="45">
        <v>0.7</v>
      </c>
      <c r="F13" s="47">
        <v>1.0</v>
      </c>
      <c r="G13" s="49">
        <f t="shared" si="1"/>
        <v>0.63</v>
      </c>
      <c r="H13" s="50" t="s">
        <v>520</v>
      </c>
      <c r="I13" s="50" t="s">
        <v>521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7.7184</v>
      </c>
      <c r="H14" s="63"/>
      <c r="I14" s="63"/>
      <c r="M14" s="26"/>
      <c r="N14" s="18" t="s">
        <v>144</v>
      </c>
      <c r="O14" s="19"/>
      <c r="P14" s="19"/>
      <c r="Q14" s="20"/>
      <c r="R14" s="65" t="s">
        <v>522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307</v>
      </c>
      <c r="C17" s="72"/>
      <c r="D17" s="73"/>
      <c r="E17" s="74" t="s">
        <v>523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525</v>
      </c>
      <c r="C18" s="72"/>
      <c r="D18" s="73"/>
      <c r="E18" s="74" t="s">
        <v>527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211</v>
      </c>
      <c r="C19" s="72"/>
      <c r="D19" s="73"/>
      <c r="E19" s="74" t="s">
        <v>529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215</v>
      </c>
      <c r="C20" s="72"/>
      <c r="D20" s="73"/>
      <c r="E20" s="74" t="s">
        <v>530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223</v>
      </c>
      <c r="C21" s="72"/>
      <c r="D21" s="73"/>
      <c r="E21" s="74" t="s">
        <v>532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535</v>
      </c>
      <c r="C22" s="72"/>
      <c r="D22" s="73"/>
      <c r="E22" s="74" t="s">
        <v>537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3" width="3.0"/>
  </cols>
  <sheetData>
    <row r="1" ht="12.0" customHeight="1"/>
    <row r="2" ht="27.75" customHeight="1">
      <c r="B2" s="2" t="s">
        <v>524</v>
      </c>
      <c r="L2" s="5" t="s">
        <v>526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528</v>
      </c>
    </row>
    <row r="4" ht="18.0" customHeight="1">
      <c r="L4" s="16"/>
      <c r="M4" s="17"/>
      <c r="N4" s="17"/>
      <c r="O4" s="17"/>
      <c r="P4" s="17"/>
      <c r="Q4" s="18" t="s">
        <v>28</v>
      </c>
      <c r="R4" s="19"/>
      <c r="S4" s="19"/>
      <c r="T4" s="19"/>
      <c r="U4" s="19"/>
      <c r="V4" s="19"/>
      <c r="W4" s="19"/>
      <c r="X4" s="19"/>
      <c r="Y4" s="19"/>
      <c r="Z4" s="20"/>
      <c r="AA4" s="18" t="s">
        <v>127</v>
      </c>
      <c r="AB4" s="19"/>
      <c r="AC4" s="19"/>
      <c r="AD4" s="19"/>
      <c r="AE4" s="19"/>
      <c r="AF4" s="20"/>
      <c r="AG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L5" s="26"/>
      <c r="M5" s="27"/>
      <c r="N5" s="27"/>
      <c r="O5" s="27"/>
      <c r="P5" s="27"/>
      <c r="Q5" s="29"/>
      <c r="Z5" s="30"/>
      <c r="AA5" s="29"/>
      <c r="AF5" s="30"/>
      <c r="AG5" s="32"/>
    </row>
    <row r="6" ht="18.0" customHeight="1">
      <c r="B6" s="34" t="s">
        <v>53</v>
      </c>
      <c r="C6" s="36" t="s">
        <v>531</v>
      </c>
      <c r="D6" s="37">
        <v>1.95</v>
      </c>
      <c r="E6" s="37">
        <v>3.4</v>
      </c>
      <c r="F6" s="39">
        <v>1.0</v>
      </c>
      <c r="G6" s="41">
        <f t="shared" ref="G6:G13" si="1">D6*E6*F6</f>
        <v>6.63</v>
      </c>
      <c r="H6" s="42" t="s">
        <v>533</v>
      </c>
      <c r="I6" s="42" t="s">
        <v>534</v>
      </c>
      <c r="L6" s="26"/>
      <c r="M6" s="27"/>
      <c r="N6" s="27"/>
      <c r="O6" s="27"/>
      <c r="P6" s="27"/>
      <c r="Q6" s="52"/>
      <c r="R6" s="53"/>
      <c r="S6" s="53"/>
      <c r="T6" s="53"/>
      <c r="U6" s="53"/>
      <c r="V6" s="53"/>
      <c r="W6" s="53"/>
      <c r="X6" s="53"/>
      <c r="Y6" s="53"/>
      <c r="Z6" s="54"/>
      <c r="AA6" s="29"/>
      <c r="AF6" s="30"/>
      <c r="AG6" s="32"/>
    </row>
    <row r="7" ht="18.0" customHeight="1">
      <c r="B7" s="43" t="s">
        <v>80</v>
      </c>
      <c r="C7" s="38" t="s">
        <v>536</v>
      </c>
      <c r="D7" s="45">
        <v>1.6</v>
      </c>
      <c r="E7" s="45">
        <v>0.9</v>
      </c>
      <c r="F7" s="47">
        <v>1.0</v>
      </c>
      <c r="G7" s="49">
        <f t="shared" si="1"/>
        <v>1.44</v>
      </c>
      <c r="H7" s="50" t="s">
        <v>538</v>
      </c>
      <c r="I7" s="50" t="s">
        <v>539</v>
      </c>
      <c r="L7" s="26"/>
      <c r="M7" s="27"/>
      <c r="N7" s="27"/>
      <c r="O7" s="27"/>
      <c r="P7" s="27"/>
      <c r="Q7" s="18" t="s">
        <v>122</v>
      </c>
      <c r="R7" s="19"/>
      <c r="S7" s="19"/>
      <c r="T7" s="19"/>
      <c r="U7" s="19"/>
      <c r="V7" s="19"/>
      <c r="W7" s="19"/>
      <c r="X7" s="19"/>
      <c r="Y7" s="19"/>
      <c r="Z7" s="20"/>
      <c r="AA7" s="29"/>
      <c r="AF7" s="30"/>
      <c r="AG7" s="32"/>
    </row>
    <row r="8" ht="18.0" customHeight="1">
      <c r="B8" s="56" t="s">
        <v>106</v>
      </c>
      <c r="C8" s="25" t="s">
        <v>540</v>
      </c>
      <c r="D8" s="45">
        <v>2.0</v>
      </c>
      <c r="E8" s="45">
        <v>3.4</v>
      </c>
      <c r="F8" s="57">
        <v>1.0</v>
      </c>
      <c r="G8" s="58">
        <f t="shared" si="1"/>
        <v>6.8</v>
      </c>
      <c r="H8" s="59" t="s">
        <v>541</v>
      </c>
      <c r="I8" s="59" t="s">
        <v>542</v>
      </c>
      <c r="L8" s="26"/>
      <c r="M8" s="27"/>
      <c r="N8" s="27"/>
      <c r="O8" s="27"/>
      <c r="P8" s="27"/>
      <c r="Q8" s="29"/>
      <c r="Z8" s="30"/>
      <c r="AA8" s="29"/>
      <c r="AF8" s="30"/>
      <c r="AG8" s="32"/>
    </row>
    <row r="9" ht="18.0" customHeight="1">
      <c r="B9" s="43" t="s">
        <v>122</v>
      </c>
      <c r="C9" s="38" t="s">
        <v>543</v>
      </c>
      <c r="D9" s="45">
        <v>1.8</v>
      </c>
      <c r="E9" s="45">
        <v>1.2</v>
      </c>
      <c r="F9" s="47">
        <v>1.0</v>
      </c>
      <c r="G9" s="49">
        <f t="shared" si="1"/>
        <v>2.16</v>
      </c>
      <c r="H9" s="50" t="s">
        <v>544</v>
      </c>
      <c r="I9" s="50" t="s">
        <v>545</v>
      </c>
      <c r="L9" s="26"/>
      <c r="M9" s="27"/>
      <c r="N9" s="27"/>
      <c r="O9" s="27"/>
      <c r="P9" s="27"/>
      <c r="Q9" s="29"/>
      <c r="Z9" s="30"/>
      <c r="AA9" s="29"/>
      <c r="AF9" s="30"/>
      <c r="AG9" s="32"/>
    </row>
    <row r="10" ht="18.0" customHeight="1">
      <c r="B10" s="56" t="s">
        <v>144</v>
      </c>
      <c r="C10" s="25" t="s">
        <v>546</v>
      </c>
      <c r="D10" s="45">
        <v>1.2</v>
      </c>
      <c r="E10" s="45">
        <v>0.6</v>
      </c>
      <c r="F10" s="57">
        <v>1.0</v>
      </c>
      <c r="G10" s="58">
        <f t="shared" si="1"/>
        <v>0.72</v>
      </c>
      <c r="H10" s="59" t="s">
        <v>547</v>
      </c>
      <c r="I10" s="59" t="s">
        <v>548</v>
      </c>
      <c r="L10" s="26"/>
      <c r="M10" s="27"/>
      <c r="N10" s="27"/>
      <c r="O10" s="27"/>
      <c r="P10" s="27"/>
      <c r="Q10" s="29"/>
      <c r="Z10" s="30"/>
      <c r="AA10" s="29"/>
      <c r="AF10" s="30"/>
      <c r="AG10" s="32"/>
    </row>
    <row r="11" ht="18.0" customHeight="1">
      <c r="B11" s="43" t="s">
        <v>152</v>
      </c>
      <c r="C11" s="38" t="s">
        <v>298</v>
      </c>
      <c r="D11" s="45">
        <v>0.8</v>
      </c>
      <c r="E11" s="45">
        <v>4.0</v>
      </c>
      <c r="F11" s="47">
        <v>1.0</v>
      </c>
      <c r="G11" s="49">
        <f t="shared" si="1"/>
        <v>3.2</v>
      </c>
      <c r="H11" s="50" t="s">
        <v>549</v>
      </c>
      <c r="I11" s="50" t="s">
        <v>550</v>
      </c>
      <c r="L11" s="26"/>
      <c r="M11" s="27"/>
      <c r="N11" s="27"/>
      <c r="O11" s="27"/>
      <c r="P11" s="27"/>
      <c r="Q11" s="52"/>
      <c r="R11" s="53"/>
      <c r="S11" s="53"/>
      <c r="T11" s="53"/>
      <c r="U11" s="53"/>
      <c r="V11" s="53"/>
      <c r="W11" s="53"/>
      <c r="X11" s="53"/>
      <c r="Y11" s="53"/>
      <c r="Z11" s="54"/>
      <c r="AA11" s="29"/>
      <c r="AF11" s="30"/>
      <c r="AG11" s="32"/>
    </row>
    <row r="12" ht="18.0" customHeight="1">
      <c r="B12" s="56" t="s">
        <v>127</v>
      </c>
      <c r="C12" s="25" t="s">
        <v>551</v>
      </c>
      <c r="D12" s="45">
        <v>1.5</v>
      </c>
      <c r="E12" s="45">
        <v>5.0</v>
      </c>
      <c r="F12" s="57">
        <v>1.0</v>
      </c>
      <c r="G12" s="58">
        <f t="shared" si="1"/>
        <v>7.5</v>
      </c>
      <c r="H12" s="59" t="s">
        <v>552</v>
      </c>
      <c r="I12" s="59" t="s">
        <v>553</v>
      </c>
      <c r="L12" s="18" t="s">
        <v>144</v>
      </c>
      <c r="M12" s="19"/>
      <c r="N12" s="19"/>
      <c r="O12" s="19"/>
      <c r="P12" s="20"/>
      <c r="Q12" s="65" t="s">
        <v>554</v>
      </c>
      <c r="R12" s="66"/>
      <c r="S12" s="66"/>
      <c r="T12" s="66"/>
      <c r="U12" s="66"/>
      <c r="V12" s="66"/>
      <c r="W12" s="66"/>
      <c r="X12" s="66"/>
      <c r="Y12" s="66"/>
      <c r="Z12" s="67"/>
      <c r="AA12" s="29"/>
      <c r="AF12" s="30"/>
      <c r="AG12" s="32"/>
    </row>
    <row r="13" ht="18.0" customHeight="1">
      <c r="B13" s="43" t="s">
        <v>28</v>
      </c>
      <c r="C13" s="38" t="s">
        <v>555</v>
      </c>
      <c r="D13" s="45">
        <v>2.0</v>
      </c>
      <c r="E13" s="45">
        <v>1.0</v>
      </c>
      <c r="F13" s="47">
        <v>1.0</v>
      </c>
      <c r="G13" s="49">
        <f t="shared" si="1"/>
        <v>2</v>
      </c>
      <c r="H13" s="50" t="s">
        <v>556</v>
      </c>
      <c r="I13" s="50" t="s">
        <v>557</v>
      </c>
      <c r="L13" s="29"/>
      <c r="P13" s="30"/>
      <c r="Q13" s="68"/>
      <c r="Z13" s="69"/>
      <c r="AA13" s="29"/>
      <c r="AF13" s="30"/>
      <c r="AG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30.45</v>
      </c>
      <c r="H14" s="63"/>
      <c r="I14" s="63"/>
      <c r="L14" s="29"/>
      <c r="P14" s="30"/>
      <c r="Q14" s="68"/>
      <c r="Z14" s="69"/>
      <c r="AA14" s="29"/>
      <c r="AF14" s="30"/>
      <c r="AG14" s="32"/>
    </row>
    <row r="15" ht="18.0" customHeight="1">
      <c r="L15" s="29"/>
      <c r="P15" s="30"/>
      <c r="Q15" s="68"/>
      <c r="Z15" s="69"/>
      <c r="AA15" s="29"/>
      <c r="AF15" s="30"/>
      <c r="AG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L16" s="52"/>
      <c r="M16" s="53"/>
      <c r="N16" s="53"/>
      <c r="O16" s="53"/>
      <c r="P16" s="54"/>
      <c r="Q16" s="68"/>
      <c r="Z16" s="69"/>
      <c r="AA16" s="29"/>
      <c r="AF16" s="30"/>
      <c r="AG16" s="32"/>
    </row>
    <row r="17" ht="18.0" customHeight="1">
      <c r="B17" s="71" t="s">
        <v>204</v>
      </c>
      <c r="C17" s="72"/>
      <c r="D17" s="73"/>
      <c r="E17" s="74" t="s">
        <v>558</v>
      </c>
      <c r="F17" s="72"/>
      <c r="G17" s="72"/>
      <c r="H17" s="72"/>
      <c r="I17" s="73"/>
      <c r="L17" s="18" t="s">
        <v>152</v>
      </c>
      <c r="M17" s="19"/>
      <c r="N17" s="19"/>
      <c r="O17" s="19"/>
      <c r="P17" s="20"/>
      <c r="Q17" s="68"/>
      <c r="Z17" s="69"/>
      <c r="AA17" s="29"/>
      <c r="AF17" s="30"/>
      <c r="AG17" s="32"/>
    </row>
    <row r="18" ht="18.0" customHeight="1">
      <c r="B18" s="71" t="s">
        <v>559</v>
      </c>
      <c r="C18" s="72"/>
      <c r="D18" s="73"/>
      <c r="E18" s="74" t="s">
        <v>560</v>
      </c>
      <c r="F18" s="72"/>
      <c r="G18" s="72"/>
      <c r="H18" s="72"/>
      <c r="I18" s="73"/>
      <c r="L18" s="29"/>
      <c r="P18" s="30"/>
      <c r="Q18" s="68"/>
      <c r="Z18" s="69"/>
      <c r="AA18" s="29"/>
      <c r="AF18" s="30"/>
      <c r="AG18" s="32"/>
    </row>
    <row r="19" ht="18.0" customHeight="1">
      <c r="B19" s="71" t="s">
        <v>561</v>
      </c>
      <c r="C19" s="72"/>
      <c r="D19" s="73"/>
      <c r="E19" s="74" t="s">
        <v>562</v>
      </c>
      <c r="F19" s="72"/>
      <c r="G19" s="72"/>
      <c r="H19" s="72"/>
      <c r="I19" s="73"/>
      <c r="L19" s="29"/>
      <c r="P19" s="30"/>
      <c r="Q19" s="68"/>
      <c r="Z19" s="69"/>
      <c r="AA19" s="29"/>
      <c r="AF19" s="30"/>
      <c r="AG19" s="32"/>
    </row>
    <row r="20" ht="18.0" customHeight="1">
      <c r="B20" s="71" t="s">
        <v>215</v>
      </c>
      <c r="C20" s="72"/>
      <c r="D20" s="73"/>
      <c r="E20" s="74" t="s">
        <v>563</v>
      </c>
      <c r="F20" s="72"/>
      <c r="G20" s="72"/>
      <c r="H20" s="72"/>
      <c r="I20" s="73"/>
      <c r="L20" s="52"/>
      <c r="M20" s="53"/>
      <c r="N20" s="53"/>
      <c r="O20" s="53"/>
      <c r="P20" s="54"/>
      <c r="Q20" s="75"/>
      <c r="R20" s="76"/>
      <c r="S20" s="76"/>
      <c r="T20" s="76"/>
      <c r="U20" s="76"/>
      <c r="V20" s="76"/>
      <c r="W20" s="76"/>
      <c r="X20" s="76"/>
      <c r="Y20" s="76"/>
      <c r="Z20" s="77"/>
      <c r="AA20" s="29"/>
      <c r="AF20" s="30"/>
      <c r="AG20" s="32"/>
    </row>
    <row r="21" ht="18.0" customHeight="1">
      <c r="B21" s="71" t="s">
        <v>564</v>
      </c>
      <c r="C21" s="72"/>
      <c r="D21" s="73"/>
      <c r="E21" s="74" t="s">
        <v>565</v>
      </c>
      <c r="F21" s="72"/>
      <c r="G21" s="72"/>
      <c r="H21" s="72"/>
      <c r="I21" s="73"/>
      <c r="L21" s="18" t="s">
        <v>80</v>
      </c>
      <c r="M21" s="19"/>
      <c r="N21" s="19"/>
      <c r="O21" s="19"/>
      <c r="P21" s="20"/>
      <c r="Q21" s="18" t="s">
        <v>106</v>
      </c>
      <c r="R21" s="19"/>
      <c r="S21" s="19"/>
      <c r="T21" s="19"/>
      <c r="U21" s="19"/>
      <c r="V21" s="19"/>
      <c r="W21" s="19"/>
      <c r="X21" s="19"/>
      <c r="Y21" s="19"/>
      <c r="Z21" s="20"/>
      <c r="AA21" s="29"/>
      <c r="AF21" s="30"/>
      <c r="AG21" s="32"/>
    </row>
    <row r="22" ht="18.0" customHeight="1">
      <c r="B22" s="71" t="s">
        <v>566</v>
      </c>
      <c r="C22" s="72"/>
      <c r="D22" s="73"/>
      <c r="E22" s="74" t="s">
        <v>567</v>
      </c>
      <c r="F22" s="72"/>
      <c r="G22" s="72"/>
      <c r="H22" s="72"/>
      <c r="I22" s="73"/>
      <c r="L22" s="29"/>
      <c r="P22" s="30"/>
      <c r="Q22" s="29"/>
      <c r="Z22" s="30"/>
      <c r="AA22" s="29"/>
      <c r="AF22" s="30"/>
      <c r="AG22" s="32"/>
    </row>
    <row r="23" ht="18.0" customHeight="1">
      <c r="L23" s="29"/>
      <c r="P23" s="30"/>
      <c r="Q23" s="29"/>
      <c r="Z23" s="30"/>
      <c r="AA23" s="29"/>
      <c r="AF23" s="30"/>
      <c r="AG23" s="32"/>
    </row>
    <row r="24" ht="18.0" customHeight="1">
      <c r="B24" s="78" t="s">
        <v>230</v>
      </c>
      <c r="L24" s="29"/>
      <c r="P24" s="30"/>
      <c r="Q24" s="29"/>
      <c r="Z24" s="30"/>
      <c r="AA24" s="29"/>
      <c r="AF24" s="30"/>
      <c r="AG24" s="32"/>
    </row>
    <row r="25" ht="18.0" customHeight="1">
      <c r="L25" s="29"/>
      <c r="P25" s="30"/>
      <c r="Q25" s="29"/>
      <c r="Z25" s="30"/>
      <c r="AA25" s="29"/>
      <c r="AF25" s="30"/>
      <c r="AG25" s="32"/>
    </row>
    <row r="26" ht="18.0" customHeight="1">
      <c r="L26" s="29"/>
      <c r="P26" s="30"/>
      <c r="Q26" s="29"/>
      <c r="Z26" s="30"/>
      <c r="AA26" s="29"/>
      <c r="AF26" s="30"/>
      <c r="AG26" s="32"/>
    </row>
    <row r="27" ht="18.0" customHeight="1">
      <c r="L27" s="52"/>
      <c r="M27" s="53"/>
      <c r="N27" s="53"/>
      <c r="O27" s="53"/>
      <c r="P27" s="54"/>
      <c r="Q27" s="52"/>
      <c r="R27" s="53"/>
      <c r="S27" s="53"/>
      <c r="T27" s="53"/>
      <c r="U27" s="53"/>
      <c r="V27" s="53"/>
      <c r="W27" s="53"/>
      <c r="X27" s="53"/>
      <c r="Y27" s="53"/>
      <c r="Z27" s="54"/>
      <c r="AA27" s="52"/>
      <c r="AB27" s="53"/>
      <c r="AC27" s="53"/>
      <c r="AD27" s="53"/>
      <c r="AE27" s="53"/>
      <c r="AF27" s="54"/>
      <c r="AG27" s="32"/>
    </row>
    <row r="28" ht="18.0" customHeight="1"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1"/>
    </row>
    <row r="29" ht="18.0" customHeight="1"/>
    <row r="30" ht="18.0" customHeight="1">
      <c r="L30" s="82" t="s">
        <v>236</v>
      </c>
    </row>
    <row r="31" ht="18.0" customHeight="1">
      <c r="L31" s="83" t="s">
        <v>237</v>
      </c>
    </row>
    <row r="32" ht="18.0" customHeight="1">
      <c r="L32" s="83" t="s">
        <v>239</v>
      </c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6:D16"/>
    <mergeCell ref="B17:D17"/>
    <mergeCell ref="B18:D18"/>
    <mergeCell ref="B19:D19"/>
    <mergeCell ref="B20:D20"/>
    <mergeCell ref="B21:D21"/>
    <mergeCell ref="B22:D22"/>
    <mergeCell ref="L12:P16"/>
    <mergeCell ref="L17:P20"/>
    <mergeCell ref="E18:I18"/>
    <mergeCell ref="E19:I19"/>
    <mergeCell ref="E20:I20"/>
    <mergeCell ref="E21:I21"/>
    <mergeCell ref="B24:I24"/>
    <mergeCell ref="L21:P27"/>
    <mergeCell ref="Q21:Z27"/>
    <mergeCell ref="E22:I22"/>
    <mergeCell ref="L30:AG30"/>
    <mergeCell ref="L31:AG31"/>
    <mergeCell ref="L32:AG32"/>
    <mergeCell ref="L2:T2"/>
    <mergeCell ref="Q4:Z6"/>
    <mergeCell ref="AA4:AF27"/>
    <mergeCell ref="Q7:Z11"/>
    <mergeCell ref="Q12:Z20"/>
    <mergeCell ref="E16:I16"/>
    <mergeCell ref="E17:I1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3" width="3.0"/>
  </cols>
  <sheetData>
    <row r="1" ht="12.0" customHeight="1"/>
    <row r="2" ht="27.75" customHeight="1">
      <c r="B2" s="2" t="s">
        <v>568</v>
      </c>
      <c r="L2" s="5" t="s">
        <v>526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569</v>
      </c>
    </row>
    <row r="4" ht="18.0" customHeight="1">
      <c r="L4" s="16"/>
      <c r="M4" s="17"/>
      <c r="N4" s="17"/>
      <c r="O4" s="17"/>
      <c r="P4" s="17"/>
      <c r="Q4" s="18" t="s">
        <v>28</v>
      </c>
      <c r="R4" s="19"/>
      <c r="S4" s="19"/>
      <c r="T4" s="19"/>
      <c r="U4" s="19"/>
      <c r="V4" s="19"/>
      <c r="W4" s="19"/>
      <c r="X4" s="19"/>
      <c r="Y4" s="19"/>
      <c r="Z4" s="20"/>
      <c r="AA4" s="18" t="s">
        <v>127</v>
      </c>
      <c r="AB4" s="19"/>
      <c r="AC4" s="19"/>
      <c r="AD4" s="19"/>
      <c r="AE4" s="19"/>
      <c r="AF4" s="20"/>
      <c r="AG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L5" s="26"/>
      <c r="M5" s="27"/>
      <c r="N5" s="27"/>
      <c r="O5" s="27"/>
      <c r="P5" s="27"/>
      <c r="Q5" s="29"/>
      <c r="Z5" s="30"/>
      <c r="AA5" s="29"/>
      <c r="AF5" s="30"/>
      <c r="AG5" s="32"/>
    </row>
    <row r="6" ht="18.0" customHeight="1">
      <c r="B6" s="34" t="s">
        <v>53</v>
      </c>
      <c r="C6" s="36" t="s">
        <v>570</v>
      </c>
      <c r="D6" s="37">
        <v>3.0</v>
      </c>
      <c r="E6" s="37">
        <v>1.6</v>
      </c>
      <c r="F6" s="39">
        <v>1.0</v>
      </c>
      <c r="G6" s="41">
        <f t="shared" ref="G6:G13" si="1">D6*E6*F6</f>
        <v>4.8</v>
      </c>
      <c r="H6" s="42" t="s">
        <v>571</v>
      </c>
      <c r="I6" s="42" t="s">
        <v>572</v>
      </c>
      <c r="L6" s="26"/>
      <c r="M6" s="27"/>
      <c r="N6" s="27"/>
      <c r="O6" s="27"/>
      <c r="P6" s="27"/>
      <c r="Q6" s="52"/>
      <c r="R6" s="53"/>
      <c r="S6" s="53"/>
      <c r="T6" s="53"/>
      <c r="U6" s="53"/>
      <c r="V6" s="53"/>
      <c r="W6" s="53"/>
      <c r="X6" s="53"/>
      <c r="Y6" s="53"/>
      <c r="Z6" s="54"/>
      <c r="AA6" s="29"/>
      <c r="AF6" s="30"/>
      <c r="AG6" s="32"/>
    </row>
    <row r="7" ht="18.0" customHeight="1">
      <c r="B7" s="43" t="s">
        <v>80</v>
      </c>
      <c r="C7" s="38" t="s">
        <v>573</v>
      </c>
      <c r="D7" s="45">
        <v>1.2</v>
      </c>
      <c r="E7" s="45">
        <v>0.9</v>
      </c>
      <c r="F7" s="47">
        <v>1.0</v>
      </c>
      <c r="G7" s="49">
        <f t="shared" si="1"/>
        <v>1.08</v>
      </c>
      <c r="H7" s="50" t="s">
        <v>574</v>
      </c>
      <c r="I7" s="50" t="s">
        <v>575</v>
      </c>
      <c r="L7" s="26"/>
      <c r="M7" s="27"/>
      <c r="N7" s="27"/>
      <c r="O7" s="27"/>
      <c r="P7" s="27"/>
      <c r="Q7" s="18" t="s">
        <v>122</v>
      </c>
      <c r="R7" s="19"/>
      <c r="S7" s="19"/>
      <c r="T7" s="19"/>
      <c r="U7" s="19"/>
      <c r="V7" s="19"/>
      <c r="W7" s="19"/>
      <c r="X7" s="19"/>
      <c r="Y7" s="19"/>
      <c r="Z7" s="20"/>
      <c r="AA7" s="29"/>
      <c r="AF7" s="30"/>
      <c r="AG7" s="32"/>
    </row>
    <row r="8" ht="18.0" customHeight="1">
      <c r="B8" s="56" t="s">
        <v>106</v>
      </c>
      <c r="C8" s="25" t="s">
        <v>576</v>
      </c>
      <c r="D8" s="45">
        <v>3.0</v>
      </c>
      <c r="E8" s="45">
        <v>1.0</v>
      </c>
      <c r="F8" s="57">
        <v>1.0</v>
      </c>
      <c r="G8" s="58">
        <f t="shared" si="1"/>
        <v>3</v>
      </c>
      <c r="H8" s="59" t="s">
        <v>577</v>
      </c>
      <c r="I8" s="59" t="s">
        <v>578</v>
      </c>
      <c r="L8" s="26"/>
      <c r="M8" s="27"/>
      <c r="N8" s="27"/>
      <c r="O8" s="27"/>
      <c r="P8" s="27"/>
      <c r="Q8" s="29"/>
      <c r="Z8" s="30"/>
      <c r="AA8" s="29"/>
      <c r="AF8" s="30"/>
      <c r="AG8" s="32"/>
    </row>
    <row r="9" ht="18.0" customHeight="1">
      <c r="B9" s="43" t="s">
        <v>122</v>
      </c>
      <c r="C9" s="38" t="s">
        <v>579</v>
      </c>
      <c r="D9" s="45">
        <v>1.2</v>
      </c>
      <c r="E9" s="45">
        <v>0.9</v>
      </c>
      <c r="F9" s="47">
        <v>1.0</v>
      </c>
      <c r="G9" s="49">
        <f t="shared" si="1"/>
        <v>1.08</v>
      </c>
      <c r="H9" s="50" t="s">
        <v>580</v>
      </c>
      <c r="I9" s="50" t="s">
        <v>581</v>
      </c>
      <c r="L9" s="26"/>
      <c r="M9" s="27"/>
      <c r="N9" s="27"/>
      <c r="O9" s="27"/>
      <c r="P9" s="27"/>
      <c r="Q9" s="29"/>
      <c r="Z9" s="30"/>
      <c r="AA9" s="29"/>
      <c r="AF9" s="30"/>
      <c r="AG9" s="32"/>
    </row>
    <row r="10" ht="18.0" customHeight="1">
      <c r="B10" s="56" t="s">
        <v>144</v>
      </c>
      <c r="C10" s="25" t="s">
        <v>582</v>
      </c>
      <c r="D10" s="45">
        <v>1.2</v>
      </c>
      <c r="E10" s="45">
        <v>0.8</v>
      </c>
      <c r="F10" s="57">
        <v>1.0</v>
      </c>
      <c r="G10" s="58">
        <f t="shared" si="1"/>
        <v>0.96</v>
      </c>
      <c r="H10" s="59" t="s">
        <v>583</v>
      </c>
      <c r="I10" s="59" t="s">
        <v>584</v>
      </c>
      <c r="L10" s="26"/>
      <c r="M10" s="27"/>
      <c r="N10" s="27"/>
      <c r="O10" s="27"/>
      <c r="P10" s="27"/>
      <c r="Q10" s="29"/>
      <c r="Z10" s="30"/>
      <c r="AA10" s="29"/>
      <c r="AF10" s="30"/>
      <c r="AG10" s="32"/>
    </row>
    <row r="11" ht="18.0" customHeight="1">
      <c r="B11" s="43" t="s">
        <v>152</v>
      </c>
      <c r="C11" s="38" t="s">
        <v>585</v>
      </c>
      <c r="D11" s="45">
        <v>0.6</v>
      </c>
      <c r="E11" s="45">
        <v>4.0</v>
      </c>
      <c r="F11" s="47">
        <v>1.0</v>
      </c>
      <c r="G11" s="49">
        <f t="shared" si="1"/>
        <v>2.4</v>
      </c>
      <c r="H11" s="50" t="s">
        <v>586</v>
      </c>
      <c r="I11" s="50" t="s">
        <v>587</v>
      </c>
      <c r="L11" s="26"/>
      <c r="M11" s="27"/>
      <c r="N11" s="27"/>
      <c r="O11" s="27"/>
      <c r="P11" s="27"/>
      <c r="Q11" s="52"/>
      <c r="R11" s="53"/>
      <c r="S11" s="53"/>
      <c r="T11" s="53"/>
      <c r="U11" s="53"/>
      <c r="V11" s="53"/>
      <c r="W11" s="53"/>
      <c r="X11" s="53"/>
      <c r="Y11" s="53"/>
      <c r="Z11" s="54"/>
      <c r="AA11" s="29"/>
      <c r="AF11" s="30"/>
      <c r="AG11" s="32"/>
    </row>
    <row r="12" ht="18.0" customHeight="1">
      <c r="B12" s="56" t="s">
        <v>127</v>
      </c>
      <c r="C12" s="25" t="s">
        <v>342</v>
      </c>
      <c r="D12" s="45">
        <v>1.2</v>
      </c>
      <c r="E12" s="45">
        <v>4.5</v>
      </c>
      <c r="F12" s="57">
        <v>1.0</v>
      </c>
      <c r="G12" s="58">
        <f t="shared" si="1"/>
        <v>5.4</v>
      </c>
      <c r="H12" s="59" t="s">
        <v>551</v>
      </c>
      <c r="I12" s="59" t="s">
        <v>588</v>
      </c>
      <c r="L12" s="18" t="s">
        <v>144</v>
      </c>
      <c r="M12" s="19"/>
      <c r="N12" s="19"/>
      <c r="O12" s="19"/>
      <c r="P12" s="20"/>
      <c r="Q12" s="65" t="s">
        <v>589</v>
      </c>
      <c r="R12" s="66"/>
      <c r="S12" s="66"/>
      <c r="T12" s="66"/>
      <c r="U12" s="66"/>
      <c r="V12" s="66"/>
      <c r="W12" s="66"/>
      <c r="X12" s="66"/>
      <c r="Y12" s="66"/>
      <c r="Z12" s="67"/>
      <c r="AA12" s="29"/>
      <c r="AF12" s="30"/>
      <c r="AG12" s="32"/>
    </row>
    <row r="13" ht="18.0" customHeight="1">
      <c r="B13" s="43" t="s">
        <v>28</v>
      </c>
      <c r="C13" s="38" t="s">
        <v>591</v>
      </c>
      <c r="D13" s="45">
        <v>1.2</v>
      </c>
      <c r="E13" s="45">
        <v>0.9</v>
      </c>
      <c r="F13" s="47">
        <v>1.0</v>
      </c>
      <c r="G13" s="49">
        <f t="shared" si="1"/>
        <v>1.08</v>
      </c>
      <c r="H13" s="50" t="s">
        <v>592</v>
      </c>
      <c r="I13" s="50" t="s">
        <v>593</v>
      </c>
      <c r="L13" s="29"/>
      <c r="P13" s="30"/>
      <c r="Q13" s="68"/>
      <c r="Z13" s="69"/>
      <c r="AA13" s="29"/>
      <c r="AF13" s="30"/>
      <c r="AG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19.8</v>
      </c>
      <c r="H14" s="63"/>
      <c r="I14" s="63"/>
      <c r="L14" s="29"/>
      <c r="P14" s="30"/>
      <c r="Q14" s="68"/>
      <c r="Z14" s="69"/>
      <c r="AA14" s="29"/>
      <c r="AF14" s="30"/>
      <c r="AG14" s="32"/>
    </row>
    <row r="15" ht="18.0" customHeight="1">
      <c r="L15" s="29"/>
      <c r="P15" s="30"/>
      <c r="Q15" s="68"/>
      <c r="Z15" s="69"/>
      <c r="AA15" s="29"/>
      <c r="AF15" s="30"/>
      <c r="AG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L16" s="52"/>
      <c r="M16" s="53"/>
      <c r="N16" s="53"/>
      <c r="O16" s="53"/>
      <c r="P16" s="54"/>
      <c r="Q16" s="68"/>
      <c r="Z16" s="69"/>
      <c r="AA16" s="29"/>
      <c r="AF16" s="30"/>
      <c r="AG16" s="32"/>
    </row>
    <row r="17" ht="18.0" customHeight="1">
      <c r="B17" s="71" t="s">
        <v>596</v>
      </c>
      <c r="C17" s="72"/>
      <c r="D17" s="73"/>
      <c r="E17" s="74" t="s">
        <v>597</v>
      </c>
      <c r="F17" s="72"/>
      <c r="G17" s="72"/>
      <c r="H17" s="72"/>
      <c r="I17" s="73"/>
      <c r="L17" s="18" t="s">
        <v>152</v>
      </c>
      <c r="M17" s="19"/>
      <c r="N17" s="19"/>
      <c r="O17" s="19"/>
      <c r="P17" s="20"/>
      <c r="Q17" s="68"/>
      <c r="Z17" s="69"/>
      <c r="AA17" s="29"/>
      <c r="AF17" s="30"/>
      <c r="AG17" s="32"/>
    </row>
    <row r="18" ht="18.0" customHeight="1">
      <c r="B18" s="71" t="s">
        <v>600</v>
      </c>
      <c r="C18" s="72"/>
      <c r="D18" s="73"/>
      <c r="E18" s="74" t="s">
        <v>601</v>
      </c>
      <c r="F18" s="72"/>
      <c r="G18" s="72"/>
      <c r="H18" s="72"/>
      <c r="I18" s="73"/>
      <c r="L18" s="29"/>
      <c r="P18" s="30"/>
      <c r="Q18" s="68"/>
      <c r="Z18" s="69"/>
      <c r="AA18" s="29"/>
      <c r="AF18" s="30"/>
      <c r="AG18" s="32"/>
    </row>
    <row r="19" ht="18.0" customHeight="1">
      <c r="B19" s="71" t="s">
        <v>603</v>
      </c>
      <c r="C19" s="72"/>
      <c r="D19" s="73"/>
      <c r="E19" s="74" t="s">
        <v>604</v>
      </c>
      <c r="F19" s="72"/>
      <c r="G19" s="72"/>
      <c r="H19" s="72"/>
      <c r="I19" s="73"/>
      <c r="L19" s="29"/>
      <c r="P19" s="30"/>
      <c r="Q19" s="68"/>
      <c r="Z19" s="69"/>
      <c r="AA19" s="29"/>
      <c r="AF19" s="30"/>
      <c r="AG19" s="32"/>
    </row>
    <row r="20" ht="18.0" customHeight="1">
      <c r="B20" s="71" t="s">
        <v>215</v>
      </c>
      <c r="C20" s="72"/>
      <c r="D20" s="73"/>
      <c r="E20" s="74" t="s">
        <v>607</v>
      </c>
      <c r="F20" s="72"/>
      <c r="G20" s="72"/>
      <c r="H20" s="72"/>
      <c r="I20" s="73"/>
      <c r="L20" s="52"/>
      <c r="M20" s="53"/>
      <c r="N20" s="53"/>
      <c r="O20" s="53"/>
      <c r="P20" s="54"/>
      <c r="Q20" s="75"/>
      <c r="R20" s="76"/>
      <c r="S20" s="76"/>
      <c r="T20" s="76"/>
      <c r="U20" s="76"/>
      <c r="V20" s="76"/>
      <c r="W20" s="76"/>
      <c r="X20" s="76"/>
      <c r="Y20" s="76"/>
      <c r="Z20" s="77"/>
      <c r="AA20" s="29"/>
      <c r="AF20" s="30"/>
      <c r="AG20" s="32"/>
    </row>
    <row r="21" ht="18.0" customHeight="1">
      <c r="B21" s="71" t="s">
        <v>611</v>
      </c>
      <c r="C21" s="72"/>
      <c r="D21" s="73"/>
      <c r="E21" s="74" t="s">
        <v>612</v>
      </c>
      <c r="F21" s="72"/>
      <c r="G21" s="72"/>
      <c r="H21" s="72"/>
      <c r="I21" s="73"/>
      <c r="L21" s="18" t="s">
        <v>80</v>
      </c>
      <c r="M21" s="19"/>
      <c r="N21" s="19"/>
      <c r="O21" s="19"/>
      <c r="P21" s="20"/>
      <c r="Q21" s="18" t="s">
        <v>106</v>
      </c>
      <c r="R21" s="19"/>
      <c r="S21" s="19"/>
      <c r="T21" s="19"/>
      <c r="U21" s="19"/>
      <c r="V21" s="19"/>
      <c r="W21" s="19"/>
      <c r="X21" s="19"/>
      <c r="Y21" s="19"/>
      <c r="Z21" s="20"/>
      <c r="AA21" s="29"/>
      <c r="AF21" s="30"/>
      <c r="AG21" s="32"/>
    </row>
    <row r="22" ht="18.0" customHeight="1">
      <c r="B22" s="71" t="s">
        <v>616</v>
      </c>
      <c r="C22" s="72"/>
      <c r="D22" s="73"/>
      <c r="E22" s="74" t="s">
        <v>617</v>
      </c>
      <c r="F22" s="72"/>
      <c r="G22" s="72"/>
      <c r="H22" s="72"/>
      <c r="I22" s="73"/>
      <c r="L22" s="29"/>
      <c r="P22" s="30"/>
      <c r="Q22" s="29"/>
      <c r="Z22" s="30"/>
      <c r="AA22" s="29"/>
      <c r="AF22" s="30"/>
      <c r="AG22" s="32"/>
    </row>
    <row r="23" ht="18.0" customHeight="1">
      <c r="L23" s="29"/>
      <c r="P23" s="30"/>
      <c r="Q23" s="29"/>
      <c r="Z23" s="30"/>
      <c r="AA23" s="29"/>
      <c r="AF23" s="30"/>
      <c r="AG23" s="32"/>
    </row>
    <row r="24" ht="18.0" customHeight="1">
      <c r="B24" s="78" t="s">
        <v>230</v>
      </c>
      <c r="L24" s="29"/>
      <c r="P24" s="30"/>
      <c r="Q24" s="29"/>
      <c r="Z24" s="30"/>
      <c r="AA24" s="29"/>
      <c r="AF24" s="30"/>
      <c r="AG24" s="32"/>
    </row>
    <row r="25" ht="18.0" customHeight="1">
      <c r="L25" s="29"/>
      <c r="P25" s="30"/>
      <c r="Q25" s="29"/>
      <c r="Z25" s="30"/>
      <c r="AA25" s="29"/>
      <c r="AF25" s="30"/>
      <c r="AG25" s="32"/>
    </row>
    <row r="26" ht="18.0" customHeight="1">
      <c r="L26" s="29"/>
      <c r="P26" s="30"/>
      <c r="Q26" s="29"/>
      <c r="Z26" s="30"/>
      <c r="AA26" s="29"/>
      <c r="AF26" s="30"/>
      <c r="AG26" s="32"/>
    </row>
    <row r="27" ht="18.0" customHeight="1">
      <c r="L27" s="52"/>
      <c r="M27" s="53"/>
      <c r="N27" s="53"/>
      <c r="O27" s="53"/>
      <c r="P27" s="54"/>
      <c r="Q27" s="52"/>
      <c r="R27" s="53"/>
      <c r="S27" s="53"/>
      <c r="T27" s="53"/>
      <c r="U27" s="53"/>
      <c r="V27" s="53"/>
      <c r="W27" s="53"/>
      <c r="X27" s="53"/>
      <c r="Y27" s="53"/>
      <c r="Z27" s="54"/>
      <c r="AA27" s="52"/>
      <c r="AB27" s="53"/>
      <c r="AC27" s="53"/>
      <c r="AD27" s="53"/>
      <c r="AE27" s="53"/>
      <c r="AF27" s="54"/>
      <c r="AG27" s="32"/>
    </row>
    <row r="28" ht="18.0" customHeight="1"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1"/>
    </row>
    <row r="29" ht="18.0" customHeight="1"/>
    <row r="30" ht="18.0" customHeight="1">
      <c r="L30" s="82" t="s">
        <v>236</v>
      </c>
    </row>
    <row r="31" ht="18.0" customHeight="1">
      <c r="L31" s="83" t="s">
        <v>237</v>
      </c>
    </row>
    <row r="32" ht="18.0" customHeight="1">
      <c r="L32" s="83" t="s">
        <v>239</v>
      </c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6:D16"/>
    <mergeCell ref="B17:D17"/>
    <mergeCell ref="B18:D18"/>
    <mergeCell ref="B19:D19"/>
    <mergeCell ref="B20:D20"/>
    <mergeCell ref="B21:D21"/>
    <mergeCell ref="B22:D22"/>
    <mergeCell ref="L12:P16"/>
    <mergeCell ref="L17:P20"/>
    <mergeCell ref="E18:I18"/>
    <mergeCell ref="E19:I19"/>
    <mergeCell ref="E20:I20"/>
    <mergeCell ref="E21:I21"/>
    <mergeCell ref="B24:I24"/>
    <mergeCell ref="L21:P27"/>
    <mergeCell ref="Q21:Z27"/>
    <mergeCell ref="E22:I22"/>
    <mergeCell ref="L30:AG30"/>
    <mergeCell ref="L31:AG31"/>
    <mergeCell ref="L32:AG32"/>
    <mergeCell ref="L2:T2"/>
    <mergeCell ref="Q4:Z6"/>
    <mergeCell ref="AA4:AF27"/>
    <mergeCell ref="Q7:Z11"/>
    <mergeCell ref="Q12:Z20"/>
    <mergeCell ref="E16:I16"/>
    <mergeCell ref="E17:I17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590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594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595</v>
      </c>
      <c r="D6" s="37">
        <v>0.72</v>
      </c>
      <c r="E6" s="37">
        <v>0.48</v>
      </c>
      <c r="F6" s="39">
        <v>1.0</v>
      </c>
      <c r="G6" s="41">
        <f t="shared" ref="G6:G13" si="1">D6*E6*F6</f>
        <v>0.3456</v>
      </c>
      <c r="H6" s="42" t="s">
        <v>598</v>
      </c>
      <c r="I6" s="42" t="s">
        <v>599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602</v>
      </c>
      <c r="D7" s="45">
        <v>0.7</v>
      </c>
      <c r="E7" s="45">
        <v>0.5</v>
      </c>
      <c r="F7" s="47">
        <v>1.0</v>
      </c>
      <c r="G7" s="49">
        <f t="shared" si="1"/>
        <v>0.35</v>
      </c>
      <c r="H7" s="50" t="s">
        <v>605</v>
      </c>
      <c r="I7" s="50" t="s">
        <v>606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608</v>
      </c>
      <c r="D8" s="45">
        <v>1.2</v>
      </c>
      <c r="E8" s="45">
        <v>1.0</v>
      </c>
      <c r="F8" s="57">
        <v>1.0</v>
      </c>
      <c r="G8" s="58">
        <f t="shared" si="1"/>
        <v>1.2</v>
      </c>
      <c r="H8" s="59" t="s">
        <v>609</v>
      </c>
      <c r="I8" s="59" t="s">
        <v>610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613</v>
      </c>
      <c r="D9" s="45">
        <v>0.7</v>
      </c>
      <c r="E9" s="45">
        <v>0.5</v>
      </c>
      <c r="F9" s="47">
        <v>1.0</v>
      </c>
      <c r="G9" s="49">
        <f t="shared" si="1"/>
        <v>0.35</v>
      </c>
      <c r="H9" s="50" t="s">
        <v>614</v>
      </c>
      <c r="I9" s="50" t="s">
        <v>615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618</v>
      </c>
      <c r="D10" s="45">
        <v>0.4</v>
      </c>
      <c r="E10" s="45">
        <v>0.3</v>
      </c>
      <c r="F10" s="57">
        <v>1.0</v>
      </c>
      <c r="G10" s="58">
        <f t="shared" si="1"/>
        <v>0.12</v>
      </c>
      <c r="H10" s="59" t="s">
        <v>619</v>
      </c>
      <c r="I10" s="59" t="s">
        <v>620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621</v>
      </c>
      <c r="D11" s="45">
        <v>0.5</v>
      </c>
      <c r="E11" s="45">
        <v>0.8</v>
      </c>
      <c r="F11" s="47">
        <v>1.0</v>
      </c>
      <c r="G11" s="49">
        <f t="shared" si="1"/>
        <v>0.4</v>
      </c>
      <c r="H11" s="50" t="s">
        <v>622</v>
      </c>
      <c r="I11" s="50" t="s">
        <v>623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624</v>
      </c>
      <c r="D12" s="45">
        <v>1.0</v>
      </c>
      <c r="E12" s="45">
        <v>2.5</v>
      </c>
      <c r="F12" s="57">
        <v>1.0</v>
      </c>
      <c r="G12" s="58">
        <f t="shared" si="1"/>
        <v>2.5</v>
      </c>
      <c r="H12" s="59" t="s">
        <v>342</v>
      </c>
      <c r="I12" s="59" t="s">
        <v>625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626</v>
      </c>
      <c r="D13" s="45">
        <v>0.8</v>
      </c>
      <c r="E13" s="45">
        <v>0.6</v>
      </c>
      <c r="F13" s="47">
        <v>1.0</v>
      </c>
      <c r="G13" s="49">
        <f t="shared" si="1"/>
        <v>0.48</v>
      </c>
      <c r="H13" s="50" t="s">
        <v>627</v>
      </c>
      <c r="I13" s="50" t="s">
        <v>628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5.7456</v>
      </c>
      <c r="H14" s="63"/>
      <c r="I14" s="63"/>
      <c r="M14" s="26"/>
      <c r="N14" s="18" t="s">
        <v>144</v>
      </c>
      <c r="O14" s="19"/>
      <c r="P14" s="19"/>
      <c r="Q14" s="20"/>
      <c r="R14" s="65" t="s">
        <v>629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204</v>
      </c>
      <c r="C17" s="72"/>
      <c r="D17" s="73"/>
      <c r="E17" s="74" t="s">
        <v>630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216</v>
      </c>
      <c r="C18" s="72"/>
      <c r="D18" s="73"/>
      <c r="E18" s="74" t="s">
        <v>631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211</v>
      </c>
      <c r="C19" s="72"/>
      <c r="D19" s="73"/>
      <c r="E19" s="74" t="s">
        <v>632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215</v>
      </c>
      <c r="C20" s="72"/>
      <c r="D20" s="73"/>
      <c r="E20" s="74" t="s">
        <v>633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634</v>
      </c>
      <c r="C21" s="72"/>
      <c r="D21" s="73"/>
      <c r="E21" s="74" t="s">
        <v>635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636</v>
      </c>
      <c r="C22" s="72"/>
      <c r="D22" s="73"/>
      <c r="E22" s="74" t="s">
        <v>637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3" width="3.0"/>
  </cols>
  <sheetData>
    <row r="1" ht="12.0" customHeight="1"/>
    <row r="2" ht="27.75" customHeight="1">
      <c r="B2" s="2" t="s">
        <v>638</v>
      </c>
      <c r="L2" s="5" t="s">
        <v>639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640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20"/>
      <c r="X4" s="17"/>
      <c r="Y4" s="17"/>
      <c r="Z4" s="17"/>
      <c r="AA4" s="17"/>
      <c r="AB4" s="18" t="s">
        <v>127</v>
      </c>
      <c r="AC4" s="19"/>
      <c r="AD4" s="19"/>
      <c r="AE4" s="19"/>
      <c r="AF4" s="20"/>
      <c r="AG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W5" s="30"/>
      <c r="X5" s="27"/>
      <c r="Y5" s="27"/>
      <c r="Z5" s="27"/>
      <c r="AA5" s="27"/>
      <c r="AB5" s="29"/>
      <c r="AF5" s="30"/>
      <c r="AG5" s="32"/>
    </row>
    <row r="6" ht="18.0" customHeight="1">
      <c r="B6" s="34" t="s">
        <v>53</v>
      </c>
      <c r="C6" s="36" t="s">
        <v>641</v>
      </c>
      <c r="D6" s="37">
        <v>4.38</v>
      </c>
      <c r="E6" s="37">
        <v>1.17</v>
      </c>
      <c r="F6" s="39">
        <v>1.0</v>
      </c>
      <c r="G6" s="41">
        <f t="shared" ref="G6:G13" si="1">D6*E6*F6</f>
        <v>5.1246</v>
      </c>
      <c r="H6" s="42" t="s">
        <v>642</v>
      </c>
      <c r="I6" s="42" t="s">
        <v>643</v>
      </c>
      <c r="M6" s="26"/>
      <c r="N6" s="27"/>
      <c r="O6" s="27"/>
      <c r="P6" s="27"/>
      <c r="Q6" s="27"/>
      <c r="R6" s="27"/>
      <c r="S6" s="52"/>
      <c r="T6" s="53"/>
      <c r="U6" s="53"/>
      <c r="V6" s="53"/>
      <c r="W6" s="54"/>
      <c r="X6" s="27"/>
      <c r="Y6" s="27"/>
      <c r="Z6" s="27"/>
      <c r="AA6" s="27"/>
      <c r="AB6" s="29"/>
      <c r="AF6" s="30"/>
      <c r="AG6" s="32"/>
    </row>
    <row r="7" ht="18.0" customHeight="1">
      <c r="B7" s="43" t="s">
        <v>80</v>
      </c>
      <c r="C7" s="38" t="s">
        <v>644</v>
      </c>
      <c r="D7" s="45">
        <v>1.2</v>
      </c>
      <c r="E7" s="45">
        <v>0.8</v>
      </c>
      <c r="F7" s="47">
        <v>1.0</v>
      </c>
      <c r="G7" s="49">
        <f t="shared" si="1"/>
        <v>0.96</v>
      </c>
      <c r="H7" s="50" t="s">
        <v>645</v>
      </c>
      <c r="I7" s="50" t="s">
        <v>646</v>
      </c>
      <c r="M7" s="26"/>
      <c r="N7" s="27"/>
      <c r="O7" s="27"/>
      <c r="P7" s="27"/>
      <c r="Q7" s="27"/>
      <c r="R7" s="27"/>
      <c r="S7" s="18" t="s">
        <v>122</v>
      </c>
      <c r="T7" s="19"/>
      <c r="U7" s="19"/>
      <c r="V7" s="19"/>
      <c r="W7" s="20"/>
      <c r="X7" s="27"/>
      <c r="Y7" s="27"/>
      <c r="Z7" s="27"/>
      <c r="AA7" s="27"/>
      <c r="AB7" s="29"/>
      <c r="AF7" s="30"/>
      <c r="AG7" s="32"/>
    </row>
    <row r="8" ht="18.0" customHeight="1">
      <c r="B8" s="56" t="s">
        <v>106</v>
      </c>
      <c r="C8" s="25" t="s">
        <v>647</v>
      </c>
      <c r="D8" s="45">
        <v>4.0</v>
      </c>
      <c r="E8" s="45">
        <v>1.0</v>
      </c>
      <c r="F8" s="57">
        <v>1.0</v>
      </c>
      <c r="G8" s="58">
        <f t="shared" si="1"/>
        <v>4</v>
      </c>
      <c r="H8" s="59" t="s">
        <v>648</v>
      </c>
      <c r="I8" s="59" t="s">
        <v>649</v>
      </c>
      <c r="M8" s="26"/>
      <c r="N8" s="27"/>
      <c r="O8" s="27"/>
      <c r="P8" s="27"/>
      <c r="Q8" s="27"/>
      <c r="R8" s="27"/>
      <c r="S8" s="29"/>
      <c r="W8" s="30"/>
      <c r="X8" s="27"/>
      <c r="Y8" s="27"/>
      <c r="Z8" s="27"/>
      <c r="AA8" s="27"/>
      <c r="AB8" s="29"/>
      <c r="AF8" s="30"/>
      <c r="AG8" s="32"/>
    </row>
    <row r="9" ht="18.0" customHeight="1">
      <c r="B9" s="43" t="s">
        <v>122</v>
      </c>
      <c r="C9" s="38" t="s">
        <v>650</v>
      </c>
      <c r="D9" s="45">
        <v>1.5</v>
      </c>
      <c r="E9" s="45">
        <v>0.6</v>
      </c>
      <c r="F9" s="47">
        <v>1.0</v>
      </c>
      <c r="G9" s="49">
        <f t="shared" si="1"/>
        <v>0.9</v>
      </c>
      <c r="H9" s="50" t="s">
        <v>651</v>
      </c>
      <c r="I9" s="50" t="s">
        <v>652</v>
      </c>
      <c r="M9" s="26"/>
      <c r="N9" s="27"/>
      <c r="O9" s="27"/>
      <c r="P9" s="27"/>
      <c r="Q9" s="27"/>
      <c r="R9" s="27"/>
      <c r="S9" s="52"/>
      <c r="T9" s="53"/>
      <c r="U9" s="53"/>
      <c r="V9" s="53"/>
      <c r="W9" s="54"/>
      <c r="X9" s="27"/>
      <c r="Y9" s="27"/>
      <c r="Z9" s="27"/>
      <c r="AA9" s="27"/>
      <c r="AB9" s="29"/>
      <c r="AF9" s="30"/>
      <c r="AG9" s="32"/>
    </row>
    <row r="10" ht="18.0" customHeight="1">
      <c r="B10" s="56" t="s">
        <v>144</v>
      </c>
      <c r="C10" s="25" t="s">
        <v>653</v>
      </c>
      <c r="D10" s="45">
        <v>1.2</v>
      </c>
      <c r="E10" s="45">
        <v>0.6</v>
      </c>
      <c r="F10" s="57">
        <v>1.0</v>
      </c>
      <c r="G10" s="58">
        <f t="shared" si="1"/>
        <v>0.72</v>
      </c>
      <c r="H10" s="59" t="s">
        <v>655</v>
      </c>
      <c r="I10" s="59" t="s">
        <v>656</v>
      </c>
      <c r="M10" s="18" t="s">
        <v>144</v>
      </c>
      <c r="N10" s="19"/>
      <c r="O10" s="19"/>
      <c r="P10" s="19"/>
      <c r="Q10" s="19"/>
      <c r="R10" s="20"/>
      <c r="S10" s="65" t="s">
        <v>657</v>
      </c>
      <c r="T10" s="66"/>
      <c r="U10" s="66"/>
      <c r="V10" s="66"/>
      <c r="W10" s="67"/>
      <c r="X10" s="27"/>
      <c r="Y10" s="27"/>
      <c r="Z10" s="27"/>
      <c r="AA10" s="27"/>
      <c r="AB10" s="29"/>
      <c r="AF10" s="30"/>
      <c r="AG10" s="32"/>
    </row>
    <row r="11" ht="18.0" customHeight="1">
      <c r="B11" s="43" t="s">
        <v>152</v>
      </c>
      <c r="C11" s="38" t="s">
        <v>659</v>
      </c>
      <c r="D11" s="45">
        <v>0.6</v>
      </c>
      <c r="E11" s="45">
        <v>4.0</v>
      </c>
      <c r="F11" s="47">
        <v>1.0</v>
      </c>
      <c r="G11" s="49">
        <f t="shared" si="1"/>
        <v>2.4</v>
      </c>
      <c r="H11" s="50" t="s">
        <v>660</v>
      </c>
      <c r="I11" s="50" t="s">
        <v>661</v>
      </c>
      <c r="M11" s="29"/>
      <c r="R11" s="30"/>
      <c r="S11" s="68"/>
      <c r="W11" s="69"/>
      <c r="X11" s="27"/>
      <c r="Y11" s="27"/>
      <c r="Z11" s="27"/>
      <c r="AA11" s="27"/>
      <c r="AB11" s="29"/>
      <c r="AF11" s="30"/>
      <c r="AG11" s="32"/>
    </row>
    <row r="12" ht="18.0" customHeight="1">
      <c r="B12" s="56" t="s">
        <v>127</v>
      </c>
      <c r="C12" s="25" t="s">
        <v>662</v>
      </c>
      <c r="D12" s="45">
        <v>1.2</v>
      </c>
      <c r="E12" s="45">
        <v>5.5</v>
      </c>
      <c r="F12" s="57">
        <v>1.0</v>
      </c>
      <c r="G12" s="58">
        <f t="shared" si="1"/>
        <v>6.6</v>
      </c>
      <c r="H12" s="59" t="s">
        <v>663</v>
      </c>
      <c r="I12" s="59" t="s">
        <v>664</v>
      </c>
      <c r="M12" s="29"/>
      <c r="R12" s="30"/>
      <c r="S12" s="68"/>
      <c r="W12" s="69"/>
      <c r="X12" s="27"/>
      <c r="Y12" s="27"/>
      <c r="Z12" s="27"/>
      <c r="AA12" s="27"/>
      <c r="AB12" s="29"/>
      <c r="AF12" s="30"/>
      <c r="AG12" s="32"/>
    </row>
    <row r="13" ht="18.0" customHeight="1">
      <c r="B13" s="43" t="s">
        <v>28</v>
      </c>
      <c r="C13" s="38" t="s">
        <v>665</v>
      </c>
      <c r="D13" s="45">
        <v>1.2</v>
      </c>
      <c r="E13" s="45">
        <v>1.0</v>
      </c>
      <c r="F13" s="47">
        <v>1.0</v>
      </c>
      <c r="G13" s="49">
        <f t="shared" si="1"/>
        <v>1.2</v>
      </c>
      <c r="H13" s="50" t="s">
        <v>666</v>
      </c>
      <c r="I13" s="50" t="s">
        <v>667</v>
      </c>
      <c r="M13" s="29"/>
      <c r="R13" s="30"/>
      <c r="S13" s="68"/>
      <c r="W13" s="69"/>
      <c r="X13" s="27"/>
      <c r="Y13" s="27"/>
      <c r="Z13" s="27"/>
      <c r="AA13" s="27"/>
      <c r="AB13" s="29"/>
      <c r="AF13" s="30"/>
      <c r="AG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21.9046</v>
      </c>
      <c r="H14" s="63"/>
      <c r="I14" s="63"/>
      <c r="M14" s="29"/>
      <c r="R14" s="30"/>
      <c r="S14" s="68"/>
      <c r="W14" s="69"/>
      <c r="X14" s="27"/>
      <c r="Y14" s="27"/>
      <c r="Z14" s="27"/>
      <c r="AA14" s="27"/>
      <c r="AB14" s="29"/>
      <c r="AF14" s="30"/>
      <c r="AG14" s="32"/>
    </row>
    <row r="15" ht="18.0" customHeight="1">
      <c r="M15" s="29"/>
      <c r="R15" s="30"/>
      <c r="S15" s="68"/>
      <c r="W15" s="69"/>
      <c r="X15" s="27"/>
      <c r="Y15" s="27"/>
      <c r="Z15" s="27"/>
      <c r="AA15" s="27"/>
      <c r="AB15" s="29"/>
      <c r="AF15" s="30"/>
      <c r="AG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52"/>
      <c r="N16" s="53"/>
      <c r="O16" s="53"/>
      <c r="P16" s="53"/>
      <c r="Q16" s="53"/>
      <c r="R16" s="54"/>
      <c r="S16" s="68"/>
      <c r="W16" s="69"/>
      <c r="X16" s="27"/>
      <c r="Y16" s="27"/>
      <c r="Z16" s="27"/>
      <c r="AA16" s="27"/>
      <c r="AB16" s="29"/>
      <c r="AF16" s="30"/>
      <c r="AG16" s="32"/>
    </row>
    <row r="17" ht="18.0" customHeight="1">
      <c r="B17" s="71" t="s">
        <v>204</v>
      </c>
      <c r="C17" s="72"/>
      <c r="D17" s="73"/>
      <c r="E17" s="74" t="s">
        <v>668</v>
      </c>
      <c r="F17" s="72"/>
      <c r="G17" s="72"/>
      <c r="H17" s="72"/>
      <c r="I17" s="73"/>
      <c r="M17" s="18" t="s">
        <v>152</v>
      </c>
      <c r="N17" s="19"/>
      <c r="O17" s="19"/>
      <c r="P17" s="19"/>
      <c r="Q17" s="19"/>
      <c r="R17" s="20"/>
      <c r="S17" s="68"/>
      <c r="W17" s="69"/>
      <c r="X17" s="27"/>
      <c r="Y17" s="27"/>
      <c r="Z17" s="27"/>
      <c r="AA17" s="27"/>
      <c r="AB17" s="29"/>
      <c r="AF17" s="30"/>
      <c r="AG17" s="32"/>
    </row>
    <row r="18" ht="18.0" customHeight="1">
      <c r="B18" s="71" t="s">
        <v>211</v>
      </c>
      <c r="C18" s="72"/>
      <c r="D18" s="73"/>
      <c r="E18" s="74" t="s">
        <v>669</v>
      </c>
      <c r="F18" s="72"/>
      <c r="G18" s="72"/>
      <c r="H18" s="72"/>
      <c r="I18" s="73"/>
      <c r="M18" s="29"/>
      <c r="R18" s="30"/>
      <c r="S18" s="68"/>
      <c r="W18" s="69"/>
      <c r="X18" s="27"/>
      <c r="Y18" s="27"/>
      <c r="Z18" s="27"/>
      <c r="AA18" s="27"/>
      <c r="AB18" s="29"/>
      <c r="AF18" s="30"/>
      <c r="AG18" s="32"/>
    </row>
    <row r="19" ht="18.0" customHeight="1">
      <c r="B19" s="71" t="s">
        <v>215</v>
      </c>
      <c r="C19" s="72"/>
      <c r="D19" s="73"/>
      <c r="E19" s="74" t="s">
        <v>671</v>
      </c>
      <c r="F19" s="72"/>
      <c r="G19" s="72"/>
      <c r="H19" s="72"/>
      <c r="I19" s="73"/>
      <c r="M19" s="29"/>
      <c r="R19" s="30"/>
      <c r="S19" s="68"/>
      <c r="W19" s="69"/>
      <c r="X19" s="27"/>
      <c r="Y19" s="27"/>
      <c r="Z19" s="27"/>
      <c r="AA19" s="27"/>
      <c r="AB19" s="29"/>
      <c r="AF19" s="30"/>
      <c r="AG19" s="32"/>
    </row>
    <row r="20" ht="18.0" customHeight="1">
      <c r="B20" s="71" t="s">
        <v>223</v>
      </c>
      <c r="C20" s="72"/>
      <c r="D20" s="73"/>
      <c r="E20" s="74" t="s">
        <v>673</v>
      </c>
      <c r="F20" s="72"/>
      <c r="G20" s="72"/>
      <c r="H20" s="72"/>
      <c r="I20" s="73"/>
      <c r="M20" s="29"/>
      <c r="R20" s="30"/>
      <c r="S20" s="68"/>
      <c r="W20" s="69"/>
      <c r="X20" s="27"/>
      <c r="Y20" s="27"/>
      <c r="Z20" s="27"/>
      <c r="AA20" s="27"/>
      <c r="AB20" s="29"/>
      <c r="AF20" s="30"/>
      <c r="AG20" s="32"/>
    </row>
    <row r="21" ht="18.0" customHeight="1">
      <c r="B21" s="71" t="s">
        <v>384</v>
      </c>
      <c r="C21" s="72"/>
      <c r="D21" s="73"/>
      <c r="E21" s="74" t="s">
        <v>674</v>
      </c>
      <c r="F21" s="72"/>
      <c r="G21" s="72"/>
      <c r="H21" s="72"/>
      <c r="I21" s="73"/>
      <c r="M21" s="29"/>
      <c r="R21" s="30"/>
      <c r="S21" s="68"/>
      <c r="W21" s="69"/>
      <c r="X21" s="27"/>
      <c r="Y21" s="27"/>
      <c r="Z21" s="27"/>
      <c r="AA21" s="27"/>
      <c r="AB21" s="29"/>
      <c r="AF21" s="30"/>
      <c r="AG21" s="32"/>
    </row>
    <row r="22" ht="18.0" customHeight="1">
      <c r="B22" s="71" t="s">
        <v>675</v>
      </c>
      <c r="C22" s="72"/>
      <c r="D22" s="73"/>
      <c r="E22" s="74" t="s">
        <v>677</v>
      </c>
      <c r="F22" s="72"/>
      <c r="G22" s="72"/>
      <c r="H22" s="72"/>
      <c r="I22" s="73"/>
      <c r="M22" s="29"/>
      <c r="R22" s="30"/>
      <c r="S22" s="68"/>
      <c r="W22" s="69"/>
      <c r="X22" s="27"/>
      <c r="Y22" s="27"/>
      <c r="Z22" s="27"/>
      <c r="AA22" s="27"/>
      <c r="AB22" s="29"/>
      <c r="AF22" s="30"/>
      <c r="AG22" s="32"/>
    </row>
    <row r="23" ht="18.0" customHeight="1">
      <c r="M23" s="29"/>
      <c r="R23" s="30"/>
      <c r="S23" s="68"/>
      <c r="W23" s="69"/>
      <c r="X23" s="27"/>
      <c r="Y23" s="27"/>
      <c r="Z23" s="27"/>
      <c r="AA23" s="27"/>
      <c r="AB23" s="29"/>
      <c r="AF23" s="30"/>
      <c r="AG23" s="32"/>
    </row>
    <row r="24" ht="18.0" customHeight="1">
      <c r="B24" s="78" t="s">
        <v>230</v>
      </c>
      <c r="M24" s="52"/>
      <c r="N24" s="53"/>
      <c r="O24" s="53"/>
      <c r="P24" s="53"/>
      <c r="Q24" s="53"/>
      <c r="R24" s="54"/>
      <c r="S24" s="75"/>
      <c r="T24" s="76"/>
      <c r="U24" s="76"/>
      <c r="V24" s="76"/>
      <c r="W24" s="77"/>
      <c r="X24" s="27"/>
      <c r="Y24" s="27"/>
      <c r="Z24" s="27"/>
      <c r="AA24" s="27"/>
      <c r="AB24" s="29"/>
      <c r="AF24" s="30"/>
      <c r="AG24" s="32"/>
    </row>
    <row r="25" ht="18.0" customHeight="1">
      <c r="M25" s="18" t="s">
        <v>80</v>
      </c>
      <c r="N25" s="19"/>
      <c r="O25" s="19"/>
      <c r="P25" s="19"/>
      <c r="Q25" s="19"/>
      <c r="R25" s="20"/>
      <c r="S25" s="18" t="s">
        <v>106</v>
      </c>
      <c r="T25" s="19"/>
      <c r="U25" s="19"/>
      <c r="V25" s="19"/>
      <c r="W25" s="20"/>
      <c r="X25" s="27"/>
      <c r="Y25" s="27"/>
      <c r="Z25" s="27"/>
      <c r="AA25" s="27"/>
      <c r="AB25" s="29"/>
      <c r="AF25" s="30"/>
      <c r="AG25" s="32"/>
    </row>
    <row r="26" ht="18.0" customHeight="1">
      <c r="M26" s="29"/>
      <c r="R26" s="30"/>
      <c r="S26" s="29"/>
      <c r="W26" s="30"/>
      <c r="X26" s="27"/>
      <c r="Y26" s="27"/>
      <c r="Z26" s="27"/>
      <c r="AA26" s="27"/>
      <c r="AB26" s="29"/>
      <c r="AF26" s="30"/>
      <c r="AG26" s="32"/>
    </row>
    <row r="27" ht="18.0" customHeight="1">
      <c r="M27" s="29"/>
      <c r="R27" s="30"/>
      <c r="S27" s="29"/>
      <c r="W27" s="30"/>
      <c r="X27" s="27"/>
      <c r="Y27" s="27"/>
      <c r="Z27" s="27"/>
      <c r="AA27" s="27"/>
      <c r="AB27" s="29"/>
      <c r="AF27" s="30"/>
      <c r="AG27" s="32"/>
    </row>
    <row r="28" ht="18.0" customHeight="1">
      <c r="M28" s="29"/>
      <c r="R28" s="30"/>
      <c r="S28" s="29"/>
      <c r="W28" s="30"/>
      <c r="X28" s="27"/>
      <c r="Y28" s="27"/>
      <c r="Z28" s="27"/>
      <c r="AA28" s="27"/>
      <c r="AB28" s="29"/>
      <c r="AF28" s="30"/>
      <c r="AG28" s="32"/>
    </row>
    <row r="29" ht="18.0" customHeight="1">
      <c r="M29" s="29"/>
      <c r="R29" s="30"/>
      <c r="S29" s="29"/>
      <c r="W29" s="30"/>
      <c r="X29" s="27"/>
      <c r="Y29" s="27"/>
      <c r="Z29" s="27"/>
      <c r="AA29" s="27"/>
      <c r="AB29" s="29"/>
      <c r="AF29" s="30"/>
      <c r="AG29" s="32"/>
    </row>
    <row r="30" ht="18.0" customHeight="1">
      <c r="M30" s="52"/>
      <c r="N30" s="53"/>
      <c r="O30" s="53"/>
      <c r="P30" s="53"/>
      <c r="Q30" s="53"/>
      <c r="R30" s="54"/>
      <c r="S30" s="52"/>
      <c r="T30" s="53"/>
      <c r="U30" s="53"/>
      <c r="V30" s="53"/>
      <c r="W30" s="54"/>
      <c r="X30" s="27"/>
      <c r="Y30" s="27"/>
      <c r="Z30" s="27"/>
      <c r="AA30" s="27"/>
      <c r="AB30" s="52"/>
      <c r="AC30" s="53"/>
      <c r="AD30" s="53"/>
      <c r="AE30" s="53"/>
      <c r="AF30" s="54"/>
      <c r="AG30" s="32"/>
    </row>
    <row r="31" ht="18.0" customHeight="1">
      <c r="M31" s="79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1"/>
    </row>
    <row r="32" ht="18.0" customHeight="1"/>
    <row r="33" ht="18.0" customHeight="1">
      <c r="M33" s="82" t="s">
        <v>236</v>
      </c>
    </row>
    <row r="34" ht="18.0" customHeight="1">
      <c r="M34" s="83" t="s">
        <v>237</v>
      </c>
    </row>
    <row r="35" ht="18.0" customHeight="1">
      <c r="M35" s="83" t="s">
        <v>239</v>
      </c>
    </row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6:D16"/>
    <mergeCell ref="B17:D17"/>
    <mergeCell ref="B18:D18"/>
    <mergeCell ref="B19:D19"/>
    <mergeCell ref="B20:D20"/>
    <mergeCell ref="B21:D21"/>
    <mergeCell ref="B22:D22"/>
    <mergeCell ref="M10:R16"/>
    <mergeCell ref="M17:R24"/>
    <mergeCell ref="E18:I18"/>
    <mergeCell ref="E19:I19"/>
    <mergeCell ref="E20:I20"/>
    <mergeCell ref="E21:I21"/>
    <mergeCell ref="B24:I24"/>
    <mergeCell ref="E22:I22"/>
    <mergeCell ref="M25:R30"/>
    <mergeCell ref="S25:W30"/>
    <mergeCell ref="M33:AG33"/>
    <mergeCell ref="M34:AG34"/>
    <mergeCell ref="M35:AG35"/>
    <mergeCell ref="L2:T2"/>
    <mergeCell ref="S4:W6"/>
    <mergeCell ref="AB4:AF30"/>
    <mergeCell ref="S7:W9"/>
    <mergeCell ref="S10:W24"/>
    <mergeCell ref="E16:I16"/>
    <mergeCell ref="E17:I17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2" width="3.0"/>
  </cols>
  <sheetData>
    <row r="1" ht="12.0" customHeight="1"/>
    <row r="2" ht="27.75" customHeight="1">
      <c r="B2" s="2" t="s">
        <v>654</v>
      </c>
      <c r="L2" s="5" t="s">
        <v>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658</v>
      </c>
    </row>
    <row r="4" ht="18.0" customHeight="1">
      <c r="M4" s="16"/>
      <c r="N4" s="17"/>
      <c r="O4" s="17"/>
      <c r="P4" s="17"/>
      <c r="Q4" s="17"/>
      <c r="R4" s="17"/>
      <c r="S4" s="18" t="s">
        <v>28</v>
      </c>
      <c r="T4" s="19"/>
      <c r="U4" s="19"/>
      <c r="V4" s="19"/>
      <c r="W4" s="19"/>
      <c r="X4" s="20"/>
      <c r="Y4" s="17"/>
      <c r="Z4" s="17"/>
      <c r="AA4" s="17"/>
      <c r="AB4" s="17"/>
      <c r="AC4" s="17"/>
      <c r="AD4" s="17"/>
      <c r="AE4" s="17"/>
      <c r="AF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M5" s="26"/>
      <c r="N5" s="27"/>
      <c r="O5" s="27"/>
      <c r="P5" s="27"/>
      <c r="Q5" s="27"/>
      <c r="R5" s="27"/>
      <c r="S5" s="29"/>
      <c r="X5" s="30"/>
      <c r="Y5" s="27"/>
      <c r="Z5" s="27"/>
      <c r="AA5" s="27"/>
      <c r="AB5" s="27"/>
      <c r="AC5" s="27"/>
      <c r="AD5" s="27"/>
      <c r="AE5" s="27"/>
      <c r="AF5" s="32"/>
    </row>
    <row r="6" ht="18.0" customHeight="1">
      <c r="B6" s="34" t="s">
        <v>53</v>
      </c>
      <c r="C6" s="36" t="s">
        <v>390</v>
      </c>
      <c r="D6" s="37">
        <v>1.2</v>
      </c>
      <c r="E6" s="37">
        <v>0.8</v>
      </c>
      <c r="F6" s="39">
        <v>1.0</v>
      </c>
      <c r="G6" s="41">
        <f t="shared" ref="G6:G13" si="1">D6*E6*F6</f>
        <v>0.96</v>
      </c>
      <c r="H6" s="42" t="s">
        <v>391</v>
      </c>
      <c r="I6" s="42" t="s">
        <v>392</v>
      </c>
      <c r="M6" s="26"/>
      <c r="N6" s="27"/>
      <c r="O6" s="27"/>
      <c r="P6" s="27"/>
      <c r="Q6" s="27"/>
      <c r="R6" s="27"/>
      <c r="S6" s="29"/>
      <c r="X6" s="30"/>
      <c r="Y6" s="27"/>
      <c r="Z6" s="27"/>
      <c r="AA6" s="27"/>
      <c r="AB6" s="27"/>
      <c r="AC6" s="27"/>
      <c r="AD6" s="27"/>
      <c r="AE6" s="27"/>
      <c r="AF6" s="32"/>
    </row>
    <row r="7" ht="18.0" customHeight="1">
      <c r="B7" s="43" t="s">
        <v>80</v>
      </c>
      <c r="C7" s="38" t="s">
        <v>670</v>
      </c>
      <c r="D7" s="45">
        <v>0.8</v>
      </c>
      <c r="E7" s="45">
        <v>0.6</v>
      </c>
      <c r="F7" s="47">
        <v>1.0</v>
      </c>
      <c r="G7" s="49">
        <f t="shared" si="1"/>
        <v>0.48</v>
      </c>
      <c r="H7" s="50" t="s">
        <v>672</v>
      </c>
      <c r="I7" s="50" t="s">
        <v>395</v>
      </c>
      <c r="M7" s="26"/>
      <c r="N7" s="27"/>
      <c r="O7" s="27"/>
      <c r="P7" s="27"/>
      <c r="Q7" s="27"/>
      <c r="R7" s="27"/>
      <c r="S7" s="52"/>
      <c r="T7" s="53"/>
      <c r="U7" s="53"/>
      <c r="V7" s="53"/>
      <c r="W7" s="53"/>
      <c r="X7" s="54"/>
      <c r="Y7" s="27"/>
      <c r="Z7" s="27"/>
      <c r="AA7" s="27"/>
      <c r="AB7" s="27"/>
      <c r="AC7" s="27"/>
      <c r="AD7" s="27"/>
      <c r="AE7" s="27"/>
      <c r="AF7" s="32"/>
    </row>
    <row r="8" ht="18.0" customHeight="1">
      <c r="B8" s="56" t="s">
        <v>106</v>
      </c>
      <c r="C8" s="25" t="s">
        <v>396</v>
      </c>
      <c r="D8" s="45">
        <v>1.2</v>
      </c>
      <c r="E8" s="45">
        <v>1.0</v>
      </c>
      <c r="F8" s="57">
        <v>1.0</v>
      </c>
      <c r="G8" s="58">
        <f t="shared" si="1"/>
        <v>1.2</v>
      </c>
      <c r="H8" s="59" t="s">
        <v>397</v>
      </c>
      <c r="I8" s="59" t="s">
        <v>676</v>
      </c>
      <c r="M8" s="26"/>
      <c r="N8" s="27"/>
      <c r="O8" s="27"/>
      <c r="P8" s="27"/>
      <c r="Q8" s="27"/>
      <c r="R8" s="18" t="s">
        <v>122</v>
      </c>
      <c r="S8" s="19"/>
      <c r="T8" s="19"/>
      <c r="U8" s="19"/>
      <c r="V8" s="19"/>
      <c r="W8" s="19"/>
      <c r="X8" s="19"/>
      <c r="Y8" s="20"/>
      <c r="Z8" s="27"/>
      <c r="AA8" s="27"/>
      <c r="AB8" s="18" t="s">
        <v>127</v>
      </c>
      <c r="AC8" s="19"/>
      <c r="AD8" s="19"/>
      <c r="AE8" s="20"/>
      <c r="AF8" s="32"/>
    </row>
    <row r="9" ht="18.0" customHeight="1">
      <c r="B9" s="43" t="s">
        <v>122</v>
      </c>
      <c r="C9" s="38" t="s">
        <v>399</v>
      </c>
      <c r="D9" s="45">
        <v>0.8</v>
      </c>
      <c r="E9" s="45">
        <v>0.6</v>
      </c>
      <c r="F9" s="47">
        <v>1.0</v>
      </c>
      <c r="G9" s="49">
        <f t="shared" si="1"/>
        <v>0.48</v>
      </c>
      <c r="H9" s="50" t="s">
        <v>400</v>
      </c>
      <c r="I9" s="50" t="s">
        <v>401</v>
      </c>
      <c r="M9" s="26"/>
      <c r="N9" s="27"/>
      <c r="O9" s="27"/>
      <c r="P9" s="27"/>
      <c r="Q9" s="27"/>
      <c r="R9" s="29"/>
      <c r="Y9" s="30"/>
      <c r="Z9" s="27"/>
      <c r="AA9" s="27"/>
      <c r="AB9" s="29"/>
      <c r="AE9" s="30"/>
      <c r="AF9" s="32"/>
    </row>
    <row r="10" ht="18.0" customHeight="1">
      <c r="B10" s="56" t="s">
        <v>144</v>
      </c>
      <c r="C10" s="25" t="s">
        <v>402</v>
      </c>
      <c r="D10" s="45">
        <v>0.5</v>
      </c>
      <c r="E10" s="45">
        <v>0.4</v>
      </c>
      <c r="F10" s="57">
        <v>1.0</v>
      </c>
      <c r="G10" s="58">
        <f t="shared" si="1"/>
        <v>0.2</v>
      </c>
      <c r="H10" s="59" t="s">
        <v>403</v>
      </c>
      <c r="I10" s="59" t="s">
        <v>404</v>
      </c>
      <c r="M10" s="26"/>
      <c r="N10" s="27"/>
      <c r="O10" s="27"/>
      <c r="P10" s="27"/>
      <c r="Q10" s="27"/>
      <c r="R10" s="29"/>
      <c r="Y10" s="30"/>
      <c r="Z10" s="27"/>
      <c r="AA10" s="27"/>
      <c r="AB10" s="29"/>
      <c r="AE10" s="30"/>
      <c r="AF10" s="32"/>
    </row>
    <row r="11" ht="18.0" customHeight="1">
      <c r="B11" s="43" t="s">
        <v>152</v>
      </c>
      <c r="C11" s="38" t="s">
        <v>405</v>
      </c>
      <c r="D11" s="45">
        <v>0.5</v>
      </c>
      <c r="E11" s="45">
        <v>1.2</v>
      </c>
      <c r="F11" s="47">
        <v>1.0</v>
      </c>
      <c r="G11" s="49">
        <f t="shared" si="1"/>
        <v>0.6</v>
      </c>
      <c r="H11" s="50" t="s">
        <v>406</v>
      </c>
      <c r="I11" s="50" t="s">
        <v>407</v>
      </c>
      <c r="M11" s="26"/>
      <c r="N11" s="27"/>
      <c r="O11" s="27"/>
      <c r="P11" s="27"/>
      <c r="Q11" s="27"/>
      <c r="R11" s="29"/>
      <c r="Y11" s="30"/>
      <c r="Z11" s="27"/>
      <c r="AA11" s="27"/>
      <c r="AB11" s="29"/>
      <c r="AE11" s="30"/>
      <c r="AF11" s="32"/>
    </row>
    <row r="12" ht="18.0" customHeight="1">
      <c r="B12" s="56" t="s">
        <v>127</v>
      </c>
      <c r="C12" s="25" t="s">
        <v>408</v>
      </c>
      <c r="D12" s="45">
        <v>1.2</v>
      </c>
      <c r="E12" s="45">
        <v>3.0</v>
      </c>
      <c r="F12" s="57">
        <v>1.0</v>
      </c>
      <c r="G12" s="58">
        <f t="shared" si="1"/>
        <v>3.6</v>
      </c>
      <c r="H12" s="59" t="s">
        <v>409</v>
      </c>
      <c r="I12" s="59" t="s">
        <v>410</v>
      </c>
      <c r="M12" s="26"/>
      <c r="N12" s="27"/>
      <c r="O12" s="27"/>
      <c r="P12" s="27"/>
      <c r="Q12" s="27"/>
      <c r="R12" s="29"/>
      <c r="Y12" s="30"/>
      <c r="Z12" s="27"/>
      <c r="AA12" s="27"/>
      <c r="AB12" s="29"/>
      <c r="AE12" s="30"/>
      <c r="AF12" s="32"/>
    </row>
    <row r="13" ht="18.0" customHeight="1">
      <c r="B13" s="43" t="s">
        <v>28</v>
      </c>
      <c r="C13" s="38" t="s">
        <v>411</v>
      </c>
      <c r="D13" s="45">
        <v>1.2</v>
      </c>
      <c r="E13" s="45">
        <v>1.0</v>
      </c>
      <c r="F13" s="47">
        <v>1.0</v>
      </c>
      <c r="G13" s="49">
        <f t="shared" si="1"/>
        <v>1.2</v>
      </c>
      <c r="H13" s="50" t="s">
        <v>412</v>
      </c>
      <c r="I13" s="50" t="s">
        <v>413</v>
      </c>
      <c r="M13" s="26"/>
      <c r="N13" s="27"/>
      <c r="O13" s="27"/>
      <c r="P13" s="27"/>
      <c r="Q13" s="27"/>
      <c r="R13" s="52"/>
      <c r="S13" s="53"/>
      <c r="T13" s="53"/>
      <c r="U13" s="53"/>
      <c r="V13" s="53"/>
      <c r="W13" s="53"/>
      <c r="X13" s="53"/>
      <c r="Y13" s="54"/>
      <c r="Z13" s="27"/>
      <c r="AA13" s="27"/>
      <c r="AB13" s="29"/>
      <c r="AE13" s="30"/>
      <c r="AF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8.72</v>
      </c>
      <c r="H14" s="63"/>
      <c r="I14" s="63"/>
      <c r="M14" s="26"/>
      <c r="N14" s="18" t="s">
        <v>144</v>
      </c>
      <c r="O14" s="19"/>
      <c r="P14" s="19"/>
      <c r="Q14" s="20"/>
      <c r="R14" s="65" t="s">
        <v>678</v>
      </c>
      <c r="S14" s="66"/>
      <c r="T14" s="66"/>
      <c r="U14" s="66"/>
      <c r="V14" s="66"/>
      <c r="W14" s="66"/>
      <c r="X14" s="66"/>
      <c r="Y14" s="67"/>
      <c r="Z14" s="18" t="s">
        <v>152</v>
      </c>
      <c r="AA14" s="20"/>
      <c r="AB14" s="29"/>
      <c r="AE14" s="30"/>
      <c r="AF14" s="32"/>
    </row>
    <row r="15" ht="18.0" customHeight="1">
      <c r="M15" s="26"/>
      <c r="N15" s="29"/>
      <c r="Q15" s="30"/>
      <c r="R15" s="68"/>
      <c r="Y15" s="69"/>
      <c r="Z15" s="29"/>
      <c r="AA15" s="30"/>
      <c r="AB15" s="29"/>
      <c r="AE15" s="30"/>
      <c r="AF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M16" s="26"/>
      <c r="N16" s="29"/>
      <c r="Q16" s="30"/>
      <c r="R16" s="68"/>
      <c r="Y16" s="69"/>
      <c r="Z16" s="29"/>
      <c r="AA16" s="30"/>
      <c r="AB16" s="29"/>
      <c r="AE16" s="30"/>
      <c r="AF16" s="32"/>
    </row>
    <row r="17" ht="18.0" customHeight="1">
      <c r="B17" s="71" t="s">
        <v>415</v>
      </c>
      <c r="C17" s="72"/>
      <c r="D17" s="73"/>
      <c r="E17" s="74" t="s">
        <v>679</v>
      </c>
      <c r="F17" s="72"/>
      <c r="G17" s="72"/>
      <c r="H17" s="72"/>
      <c r="I17" s="73"/>
      <c r="M17" s="26"/>
      <c r="N17" s="29"/>
      <c r="Q17" s="30"/>
      <c r="R17" s="68"/>
      <c r="Y17" s="69"/>
      <c r="Z17" s="29"/>
      <c r="AA17" s="30"/>
      <c r="AB17" s="29"/>
      <c r="AE17" s="30"/>
      <c r="AF17" s="32"/>
    </row>
    <row r="18" ht="18.0" customHeight="1">
      <c r="B18" s="71" t="s">
        <v>417</v>
      </c>
      <c r="C18" s="72"/>
      <c r="D18" s="73"/>
      <c r="E18" s="74" t="s">
        <v>418</v>
      </c>
      <c r="F18" s="72"/>
      <c r="G18" s="72"/>
      <c r="H18" s="72"/>
      <c r="I18" s="73"/>
      <c r="M18" s="26"/>
      <c r="N18" s="29"/>
      <c r="Q18" s="30"/>
      <c r="R18" s="68"/>
      <c r="Y18" s="69"/>
      <c r="Z18" s="29"/>
      <c r="AA18" s="30"/>
      <c r="AB18" s="29"/>
      <c r="AE18" s="30"/>
      <c r="AF18" s="32"/>
    </row>
    <row r="19" ht="18.0" customHeight="1">
      <c r="B19" s="71" t="s">
        <v>215</v>
      </c>
      <c r="C19" s="72"/>
      <c r="D19" s="73"/>
      <c r="E19" s="74" t="s">
        <v>419</v>
      </c>
      <c r="F19" s="72"/>
      <c r="G19" s="72"/>
      <c r="H19" s="72"/>
      <c r="I19" s="73"/>
      <c r="M19" s="26"/>
      <c r="N19" s="52"/>
      <c r="O19" s="53"/>
      <c r="P19" s="53"/>
      <c r="Q19" s="54"/>
      <c r="R19" s="75"/>
      <c r="S19" s="76"/>
      <c r="T19" s="76"/>
      <c r="U19" s="76"/>
      <c r="V19" s="76"/>
      <c r="W19" s="76"/>
      <c r="X19" s="76"/>
      <c r="Y19" s="77"/>
      <c r="Z19" s="52"/>
      <c r="AA19" s="54"/>
      <c r="AB19" s="29"/>
      <c r="AE19" s="30"/>
      <c r="AF19" s="32"/>
    </row>
    <row r="20" ht="18.0" customHeight="1">
      <c r="B20" s="71" t="s">
        <v>420</v>
      </c>
      <c r="C20" s="72"/>
      <c r="D20" s="73"/>
      <c r="E20" s="74" t="s">
        <v>680</v>
      </c>
      <c r="F20" s="72"/>
      <c r="G20" s="72"/>
      <c r="H20" s="72"/>
      <c r="I20" s="73"/>
      <c r="M20" s="18" t="s">
        <v>80</v>
      </c>
      <c r="N20" s="19"/>
      <c r="O20" s="19"/>
      <c r="P20" s="19"/>
      <c r="Q20" s="20"/>
      <c r="R20" s="18" t="s">
        <v>106</v>
      </c>
      <c r="S20" s="19"/>
      <c r="T20" s="19"/>
      <c r="U20" s="19"/>
      <c r="V20" s="19"/>
      <c r="W20" s="19"/>
      <c r="X20" s="19"/>
      <c r="Y20" s="20"/>
      <c r="Z20" s="27"/>
      <c r="AA20" s="27"/>
      <c r="AB20" s="29"/>
      <c r="AE20" s="30"/>
      <c r="AF20" s="32"/>
    </row>
    <row r="21" ht="18.0" customHeight="1">
      <c r="B21" s="71" t="s">
        <v>422</v>
      </c>
      <c r="C21" s="72"/>
      <c r="D21" s="73"/>
      <c r="E21" s="74" t="s">
        <v>681</v>
      </c>
      <c r="F21" s="72"/>
      <c r="G21" s="72"/>
      <c r="H21" s="72"/>
      <c r="I21" s="73"/>
      <c r="M21" s="29"/>
      <c r="Q21" s="30"/>
      <c r="R21" s="29"/>
      <c r="Y21" s="30"/>
      <c r="Z21" s="27"/>
      <c r="AA21" s="27"/>
      <c r="AB21" s="29"/>
      <c r="AE21" s="30"/>
      <c r="AF21" s="32"/>
    </row>
    <row r="22" ht="18.0" customHeight="1">
      <c r="B22" s="71" t="s">
        <v>424</v>
      </c>
      <c r="C22" s="72"/>
      <c r="D22" s="73"/>
      <c r="E22" s="74" t="s">
        <v>682</v>
      </c>
      <c r="F22" s="72"/>
      <c r="G22" s="72"/>
      <c r="H22" s="72"/>
      <c r="I22" s="73"/>
      <c r="M22" s="29"/>
      <c r="Q22" s="30"/>
      <c r="R22" s="29"/>
      <c r="Y22" s="30"/>
      <c r="Z22" s="27"/>
      <c r="AA22" s="27"/>
      <c r="AB22" s="29"/>
      <c r="AE22" s="30"/>
      <c r="AF22" s="32"/>
    </row>
    <row r="23" ht="18.0" customHeight="1">
      <c r="M23" s="29"/>
      <c r="Q23" s="30"/>
      <c r="R23" s="29"/>
      <c r="Y23" s="30"/>
      <c r="Z23" s="27"/>
      <c r="AA23" s="27"/>
      <c r="AB23" s="29"/>
      <c r="AE23" s="30"/>
      <c r="AF23" s="32"/>
    </row>
    <row r="24" ht="18.0" customHeight="1">
      <c r="B24" s="78" t="s">
        <v>230</v>
      </c>
      <c r="M24" s="29"/>
      <c r="Q24" s="30"/>
      <c r="R24" s="29"/>
      <c r="Y24" s="30"/>
      <c r="Z24" s="27"/>
      <c r="AA24" s="27"/>
      <c r="AB24" s="29"/>
      <c r="AE24" s="30"/>
      <c r="AF24" s="32"/>
    </row>
    <row r="25" ht="18.0" customHeight="1">
      <c r="M25" s="29"/>
      <c r="Q25" s="30"/>
      <c r="R25" s="29"/>
      <c r="Y25" s="30"/>
      <c r="Z25" s="27"/>
      <c r="AA25" s="27"/>
      <c r="AB25" s="29"/>
      <c r="AE25" s="30"/>
      <c r="AF25" s="32"/>
    </row>
    <row r="26" ht="18.0" customHeight="1">
      <c r="M26" s="52"/>
      <c r="N26" s="53"/>
      <c r="O26" s="53"/>
      <c r="P26" s="53"/>
      <c r="Q26" s="54"/>
      <c r="R26" s="52"/>
      <c r="S26" s="53"/>
      <c r="T26" s="53"/>
      <c r="U26" s="53"/>
      <c r="V26" s="53"/>
      <c r="W26" s="53"/>
      <c r="X26" s="53"/>
      <c r="Y26" s="54"/>
      <c r="Z26" s="27"/>
      <c r="AA26" s="27"/>
      <c r="AB26" s="52"/>
      <c r="AC26" s="53"/>
      <c r="AD26" s="53"/>
      <c r="AE26" s="54"/>
      <c r="AF26" s="32"/>
    </row>
    <row r="27" ht="18.0" customHeight="1">
      <c r="M27" s="79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</row>
    <row r="28" ht="18.0" customHeight="1"/>
    <row r="29" ht="18.0" customHeight="1">
      <c r="M29" s="82" t="s">
        <v>236</v>
      </c>
    </row>
    <row r="30" ht="18.0" customHeight="1">
      <c r="M30" s="83" t="s">
        <v>237</v>
      </c>
    </row>
    <row r="31" ht="18.0" customHeight="1">
      <c r="M31" s="83" t="s">
        <v>239</v>
      </c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B20:D20"/>
    <mergeCell ref="B21:D21"/>
    <mergeCell ref="B22:D22"/>
    <mergeCell ref="M20:Q26"/>
    <mergeCell ref="R20:Y26"/>
    <mergeCell ref="E20:I20"/>
    <mergeCell ref="E21:I21"/>
    <mergeCell ref="E22:I22"/>
    <mergeCell ref="B24:I24"/>
    <mergeCell ref="B16:D16"/>
    <mergeCell ref="E16:I16"/>
    <mergeCell ref="B17:D17"/>
    <mergeCell ref="E17:I17"/>
    <mergeCell ref="B18:D18"/>
    <mergeCell ref="E18:I18"/>
    <mergeCell ref="E19:I19"/>
    <mergeCell ref="M29:AF29"/>
    <mergeCell ref="M30:AF30"/>
    <mergeCell ref="M31:AF31"/>
    <mergeCell ref="L2:T2"/>
    <mergeCell ref="S4:X7"/>
    <mergeCell ref="R8:Y13"/>
    <mergeCell ref="AB8:AE26"/>
    <mergeCell ref="N14:Q19"/>
    <mergeCell ref="R14:Y19"/>
    <mergeCell ref="Z14:AA19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3" width="3.0"/>
  </cols>
  <sheetData>
    <row r="1" ht="12.0" customHeight="1"/>
    <row r="2" ht="27.75" customHeight="1">
      <c r="B2" s="2" t="s">
        <v>683</v>
      </c>
      <c r="L2" s="5" t="s">
        <v>684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685</v>
      </c>
    </row>
    <row r="4" ht="18.0" customHeight="1">
      <c r="L4" s="16"/>
      <c r="M4" s="17"/>
      <c r="N4" s="17"/>
      <c r="O4" s="17"/>
      <c r="P4" s="17"/>
      <c r="Q4" s="18" t="s">
        <v>28</v>
      </c>
      <c r="R4" s="19"/>
      <c r="S4" s="19"/>
      <c r="T4" s="19"/>
      <c r="U4" s="19"/>
      <c r="V4" s="19"/>
      <c r="W4" s="19"/>
      <c r="X4" s="19"/>
      <c r="Y4" s="19"/>
      <c r="Z4" s="20"/>
      <c r="AA4" s="18" t="s">
        <v>127</v>
      </c>
      <c r="AB4" s="19"/>
      <c r="AC4" s="19"/>
      <c r="AD4" s="19"/>
      <c r="AE4" s="19"/>
      <c r="AF4" s="20"/>
      <c r="AG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L5" s="26"/>
      <c r="M5" s="27"/>
      <c r="N5" s="27"/>
      <c r="O5" s="27"/>
      <c r="P5" s="27"/>
      <c r="Q5" s="29"/>
      <c r="Z5" s="30"/>
      <c r="AA5" s="29"/>
      <c r="AF5" s="30"/>
      <c r="AG5" s="32"/>
    </row>
    <row r="6" ht="18.0" customHeight="1">
      <c r="B6" s="34" t="s">
        <v>53</v>
      </c>
      <c r="C6" s="36" t="s">
        <v>686</v>
      </c>
      <c r="D6" s="37">
        <v>6.0</v>
      </c>
      <c r="E6" s="37">
        <v>2.4</v>
      </c>
      <c r="F6" s="39">
        <v>1.0</v>
      </c>
      <c r="G6" s="41">
        <f t="shared" ref="G6:G13" si="1">D6*E6*F6</f>
        <v>14.4</v>
      </c>
      <c r="H6" s="42" t="s">
        <v>687</v>
      </c>
      <c r="I6" s="42" t="s">
        <v>688</v>
      </c>
      <c r="L6" s="26"/>
      <c r="M6" s="27"/>
      <c r="N6" s="27"/>
      <c r="O6" s="27"/>
      <c r="P6" s="27"/>
      <c r="Q6" s="52"/>
      <c r="R6" s="53"/>
      <c r="S6" s="53"/>
      <c r="T6" s="53"/>
      <c r="U6" s="53"/>
      <c r="V6" s="53"/>
      <c r="W6" s="53"/>
      <c r="X6" s="53"/>
      <c r="Y6" s="53"/>
      <c r="Z6" s="54"/>
      <c r="AA6" s="29"/>
      <c r="AF6" s="30"/>
      <c r="AG6" s="32"/>
    </row>
    <row r="7" ht="18.0" customHeight="1">
      <c r="B7" s="43" t="s">
        <v>80</v>
      </c>
      <c r="C7" s="38" t="s">
        <v>689</v>
      </c>
      <c r="D7" s="45">
        <v>3.0</v>
      </c>
      <c r="E7" s="45">
        <v>2.5</v>
      </c>
      <c r="F7" s="47">
        <v>1.0</v>
      </c>
      <c r="G7" s="49">
        <f t="shared" si="1"/>
        <v>7.5</v>
      </c>
      <c r="H7" s="50" t="s">
        <v>690</v>
      </c>
      <c r="I7" s="50" t="s">
        <v>691</v>
      </c>
      <c r="L7" s="26"/>
      <c r="M7" s="27"/>
      <c r="N7" s="27"/>
      <c r="O7" s="27"/>
      <c r="P7" s="27"/>
      <c r="Q7" s="18" t="s">
        <v>122</v>
      </c>
      <c r="R7" s="19"/>
      <c r="S7" s="19"/>
      <c r="T7" s="19"/>
      <c r="U7" s="19"/>
      <c r="V7" s="19"/>
      <c r="W7" s="19"/>
      <c r="X7" s="19"/>
      <c r="Y7" s="19"/>
      <c r="Z7" s="20"/>
      <c r="AA7" s="29"/>
      <c r="AF7" s="30"/>
      <c r="AG7" s="32"/>
    </row>
    <row r="8" ht="18.0" customHeight="1">
      <c r="B8" s="56" t="s">
        <v>106</v>
      </c>
      <c r="C8" s="25" t="s">
        <v>693</v>
      </c>
      <c r="D8" s="45">
        <v>2.5</v>
      </c>
      <c r="E8" s="45">
        <v>2.0</v>
      </c>
      <c r="F8" s="57">
        <v>1.0</v>
      </c>
      <c r="G8" s="58">
        <f t="shared" si="1"/>
        <v>5</v>
      </c>
      <c r="H8" s="59" t="s">
        <v>694</v>
      </c>
      <c r="I8" s="59" t="s">
        <v>695</v>
      </c>
      <c r="L8" s="26"/>
      <c r="M8" s="27"/>
      <c r="N8" s="27"/>
      <c r="O8" s="27"/>
      <c r="P8" s="27"/>
      <c r="Q8" s="29"/>
      <c r="Z8" s="30"/>
      <c r="AA8" s="29"/>
      <c r="AF8" s="30"/>
      <c r="AG8" s="32"/>
    </row>
    <row r="9" ht="18.0" customHeight="1">
      <c r="B9" s="43" t="s">
        <v>122</v>
      </c>
      <c r="C9" s="38" t="s">
        <v>696</v>
      </c>
      <c r="D9" s="45">
        <v>3.0</v>
      </c>
      <c r="E9" s="45">
        <v>1.5</v>
      </c>
      <c r="F9" s="47">
        <v>1.0</v>
      </c>
      <c r="G9" s="49">
        <f t="shared" si="1"/>
        <v>4.5</v>
      </c>
      <c r="H9" s="50" t="s">
        <v>697</v>
      </c>
      <c r="I9" s="50" t="s">
        <v>699</v>
      </c>
      <c r="L9" s="26"/>
      <c r="M9" s="27"/>
      <c r="N9" s="27"/>
      <c r="O9" s="27"/>
      <c r="P9" s="27"/>
      <c r="Q9" s="29"/>
      <c r="Z9" s="30"/>
      <c r="AA9" s="29"/>
      <c r="AF9" s="30"/>
      <c r="AG9" s="32"/>
    </row>
    <row r="10" ht="18.0" customHeight="1">
      <c r="B10" s="56" t="s">
        <v>144</v>
      </c>
      <c r="C10" s="25" t="s">
        <v>700</v>
      </c>
      <c r="D10" s="45">
        <v>1.5</v>
      </c>
      <c r="E10" s="45">
        <v>1.2</v>
      </c>
      <c r="F10" s="57">
        <v>1.0</v>
      </c>
      <c r="G10" s="58">
        <f t="shared" si="1"/>
        <v>1.8</v>
      </c>
      <c r="H10" s="59" t="s">
        <v>701</v>
      </c>
      <c r="I10" s="59" t="s">
        <v>702</v>
      </c>
      <c r="L10" s="26"/>
      <c r="M10" s="27"/>
      <c r="N10" s="27"/>
      <c r="O10" s="27"/>
      <c r="P10" s="27"/>
      <c r="Q10" s="29"/>
      <c r="Z10" s="30"/>
      <c r="AA10" s="29"/>
      <c r="AF10" s="30"/>
      <c r="AG10" s="32"/>
    </row>
    <row r="11" ht="18.0" customHeight="1">
      <c r="B11" s="43" t="s">
        <v>152</v>
      </c>
      <c r="C11" s="38" t="s">
        <v>703</v>
      </c>
      <c r="D11" s="45">
        <v>0.5</v>
      </c>
      <c r="E11" s="45">
        <v>8.0</v>
      </c>
      <c r="F11" s="47">
        <v>1.0</v>
      </c>
      <c r="G11" s="49">
        <f t="shared" si="1"/>
        <v>4</v>
      </c>
      <c r="H11" s="50" t="s">
        <v>704</v>
      </c>
      <c r="I11" s="50" t="s">
        <v>705</v>
      </c>
      <c r="L11" s="26"/>
      <c r="M11" s="27"/>
      <c r="N11" s="27"/>
      <c r="O11" s="27"/>
      <c r="P11" s="27"/>
      <c r="Q11" s="52"/>
      <c r="R11" s="53"/>
      <c r="S11" s="53"/>
      <c r="T11" s="53"/>
      <c r="U11" s="53"/>
      <c r="V11" s="53"/>
      <c r="W11" s="53"/>
      <c r="X11" s="53"/>
      <c r="Y11" s="53"/>
      <c r="Z11" s="54"/>
      <c r="AA11" s="29"/>
      <c r="AF11" s="30"/>
      <c r="AG11" s="32"/>
    </row>
    <row r="12" ht="18.0" customHeight="1">
      <c r="B12" s="56" t="s">
        <v>127</v>
      </c>
      <c r="C12" s="25" t="s">
        <v>706</v>
      </c>
      <c r="D12" s="45">
        <v>3.0</v>
      </c>
      <c r="E12" s="45">
        <v>8.0</v>
      </c>
      <c r="F12" s="57">
        <v>1.0</v>
      </c>
      <c r="G12" s="58">
        <f t="shared" si="1"/>
        <v>24</v>
      </c>
      <c r="H12" s="59" t="s">
        <v>707</v>
      </c>
      <c r="I12" s="59" t="s">
        <v>708</v>
      </c>
      <c r="L12" s="18" t="s">
        <v>144</v>
      </c>
      <c r="M12" s="19"/>
      <c r="N12" s="19"/>
      <c r="O12" s="19"/>
      <c r="P12" s="20"/>
      <c r="Q12" s="65" t="s">
        <v>709</v>
      </c>
      <c r="R12" s="66"/>
      <c r="S12" s="66"/>
      <c r="T12" s="66"/>
      <c r="U12" s="66"/>
      <c r="V12" s="66"/>
      <c r="W12" s="66"/>
      <c r="X12" s="66"/>
      <c r="Y12" s="66"/>
      <c r="Z12" s="67"/>
      <c r="AA12" s="29"/>
      <c r="AF12" s="30"/>
      <c r="AG12" s="32"/>
    </row>
    <row r="13" ht="18.0" customHeight="1">
      <c r="B13" s="43" t="s">
        <v>28</v>
      </c>
      <c r="C13" s="38" t="s">
        <v>710</v>
      </c>
      <c r="D13" s="45">
        <v>2.4</v>
      </c>
      <c r="E13" s="45">
        <v>1.2</v>
      </c>
      <c r="F13" s="47">
        <v>1.0</v>
      </c>
      <c r="G13" s="49">
        <f t="shared" si="1"/>
        <v>2.88</v>
      </c>
      <c r="H13" s="50" t="s">
        <v>711</v>
      </c>
      <c r="I13" s="50" t="s">
        <v>712</v>
      </c>
      <c r="L13" s="29"/>
      <c r="P13" s="30"/>
      <c r="Q13" s="68"/>
      <c r="Z13" s="69"/>
      <c r="AA13" s="29"/>
      <c r="AF13" s="30"/>
      <c r="AG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64.08</v>
      </c>
      <c r="H14" s="63"/>
      <c r="I14" s="63"/>
      <c r="L14" s="29"/>
      <c r="P14" s="30"/>
      <c r="Q14" s="68"/>
      <c r="Z14" s="69"/>
      <c r="AA14" s="29"/>
      <c r="AF14" s="30"/>
      <c r="AG14" s="32"/>
    </row>
    <row r="15" ht="18.0" customHeight="1">
      <c r="L15" s="29"/>
      <c r="P15" s="30"/>
      <c r="Q15" s="68"/>
      <c r="Z15" s="69"/>
      <c r="AA15" s="29"/>
      <c r="AF15" s="30"/>
      <c r="AG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L16" s="52"/>
      <c r="M16" s="53"/>
      <c r="N16" s="53"/>
      <c r="O16" s="53"/>
      <c r="P16" s="54"/>
      <c r="Q16" s="68"/>
      <c r="Z16" s="69"/>
      <c r="AA16" s="29"/>
      <c r="AF16" s="30"/>
      <c r="AG16" s="32"/>
    </row>
    <row r="17" ht="18.0" customHeight="1">
      <c r="B17" s="71" t="s">
        <v>714</v>
      </c>
      <c r="C17" s="72"/>
      <c r="D17" s="73"/>
      <c r="E17" s="74" t="s">
        <v>715</v>
      </c>
      <c r="F17" s="72"/>
      <c r="G17" s="72"/>
      <c r="H17" s="72"/>
      <c r="I17" s="73"/>
      <c r="L17" s="18" t="s">
        <v>152</v>
      </c>
      <c r="M17" s="19"/>
      <c r="N17" s="19"/>
      <c r="O17" s="19"/>
      <c r="P17" s="20"/>
      <c r="Q17" s="68"/>
      <c r="Z17" s="69"/>
      <c r="AA17" s="29"/>
      <c r="AF17" s="30"/>
      <c r="AG17" s="32"/>
    </row>
    <row r="18" ht="18.0" customHeight="1">
      <c r="B18" s="71" t="s">
        <v>717</v>
      </c>
      <c r="C18" s="72"/>
      <c r="D18" s="73"/>
      <c r="E18" s="74" t="s">
        <v>718</v>
      </c>
      <c r="F18" s="72"/>
      <c r="G18" s="72"/>
      <c r="H18" s="72"/>
      <c r="I18" s="73"/>
      <c r="L18" s="29"/>
      <c r="P18" s="30"/>
      <c r="Q18" s="68"/>
      <c r="Z18" s="69"/>
      <c r="AA18" s="29"/>
      <c r="AF18" s="30"/>
      <c r="AG18" s="32"/>
    </row>
    <row r="19" ht="18.0" customHeight="1">
      <c r="B19" s="71" t="s">
        <v>719</v>
      </c>
      <c r="C19" s="72"/>
      <c r="D19" s="73"/>
      <c r="E19" s="74" t="s">
        <v>720</v>
      </c>
      <c r="F19" s="72"/>
      <c r="G19" s="72"/>
      <c r="H19" s="72"/>
      <c r="I19" s="73"/>
      <c r="L19" s="29"/>
      <c r="P19" s="30"/>
      <c r="Q19" s="68"/>
      <c r="Z19" s="69"/>
      <c r="AA19" s="29"/>
      <c r="AF19" s="30"/>
      <c r="AG19" s="32"/>
    </row>
    <row r="20" ht="18.0" customHeight="1">
      <c r="B20" s="71" t="s">
        <v>722</v>
      </c>
      <c r="C20" s="72"/>
      <c r="D20" s="73"/>
      <c r="E20" s="74" t="s">
        <v>723</v>
      </c>
      <c r="F20" s="72"/>
      <c r="G20" s="72"/>
      <c r="H20" s="72"/>
      <c r="I20" s="73"/>
      <c r="L20" s="52"/>
      <c r="M20" s="53"/>
      <c r="N20" s="53"/>
      <c r="O20" s="53"/>
      <c r="P20" s="54"/>
      <c r="Q20" s="75"/>
      <c r="R20" s="76"/>
      <c r="S20" s="76"/>
      <c r="T20" s="76"/>
      <c r="U20" s="76"/>
      <c r="V20" s="76"/>
      <c r="W20" s="76"/>
      <c r="X20" s="76"/>
      <c r="Y20" s="76"/>
      <c r="Z20" s="77"/>
      <c r="AA20" s="29"/>
      <c r="AF20" s="30"/>
      <c r="AG20" s="32"/>
    </row>
    <row r="21" ht="18.0" customHeight="1">
      <c r="B21" s="71" t="s">
        <v>725</v>
      </c>
      <c r="C21" s="72"/>
      <c r="D21" s="73"/>
      <c r="E21" s="74" t="s">
        <v>727</v>
      </c>
      <c r="F21" s="72"/>
      <c r="G21" s="72"/>
      <c r="H21" s="72"/>
      <c r="I21" s="73"/>
      <c r="L21" s="18" t="s">
        <v>80</v>
      </c>
      <c r="M21" s="19"/>
      <c r="N21" s="19"/>
      <c r="O21" s="19"/>
      <c r="P21" s="20"/>
      <c r="Q21" s="18" t="s">
        <v>106</v>
      </c>
      <c r="R21" s="19"/>
      <c r="S21" s="19"/>
      <c r="T21" s="19"/>
      <c r="U21" s="19"/>
      <c r="V21" s="19"/>
      <c r="W21" s="19"/>
      <c r="X21" s="19"/>
      <c r="Y21" s="19"/>
      <c r="Z21" s="20"/>
      <c r="AA21" s="29"/>
      <c r="AF21" s="30"/>
      <c r="AG21" s="32"/>
    </row>
    <row r="22" ht="18.0" customHeight="1">
      <c r="B22" s="71" t="s">
        <v>728</v>
      </c>
      <c r="C22" s="72"/>
      <c r="D22" s="73"/>
      <c r="E22" s="74" t="s">
        <v>729</v>
      </c>
      <c r="F22" s="72"/>
      <c r="G22" s="72"/>
      <c r="H22" s="72"/>
      <c r="I22" s="73"/>
      <c r="L22" s="29"/>
      <c r="P22" s="30"/>
      <c r="Q22" s="29"/>
      <c r="Z22" s="30"/>
      <c r="AA22" s="29"/>
      <c r="AF22" s="30"/>
      <c r="AG22" s="32"/>
    </row>
    <row r="23" ht="18.0" customHeight="1">
      <c r="L23" s="29"/>
      <c r="P23" s="30"/>
      <c r="Q23" s="29"/>
      <c r="Z23" s="30"/>
      <c r="AA23" s="29"/>
      <c r="AF23" s="30"/>
      <c r="AG23" s="32"/>
    </row>
    <row r="24" ht="18.0" customHeight="1">
      <c r="B24" s="78" t="s">
        <v>230</v>
      </c>
      <c r="L24" s="29"/>
      <c r="P24" s="30"/>
      <c r="Q24" s="29"/>
      <c r="Z24" s="30"/>
      <c r="AA24" s="29"/>
      <c r="AF24" s="30"/>
      <c r="AG24" s="32"/>
    </row>
    <row r="25" ht="18.0" customHeight="1">
      <c r="L25" s="29"/>
      <c r="P25" s="30"/>
      <c r="Q25" s="29"/>
      <c r="Z25" s="30"/>
      <c r="AA25" s="29"/>
      <c r="AF25" s="30"/>
      <c r="AG25" s="32"/>
    </row>
    <row r="26" ht="18.0" customHeight="1">
      <c r="L26" s="29"/>
      <c r="P26" s="30"/>
      <c r="Q26" s="29"/>
      <c r="Z26" s="30"/>
      <c r="AA26" s="29"/>
      <c r="AF26" s="30"/>
      <c r="AG26" s="32"/>
    </row>
    <row r="27" ht="18.0" customHeight="1">
      <c r="L27" s="52"/>
      <c r="M27" s="53"/>
      <c r="N27" s="53"/>
      <c r="O27" s="53"/>
      <c r="P27" s="54"/>
      <c r="Q27" s="52"/>
      <c r="R27" s="53"/>
      <c r="S27" s="53"/>
      <c r="T27" s="53"/>
      <c r="U27" s="53"/>
      <c r="V27" s="53"/>
      <c r="W27" s="53"/>
      <c r="X27" s="53"/>
      <c r="Y27" s="53"/>
      <c r="Z27" s="54"/>
      <c r="AA27" s="52"/>
      <c r="AB27" s="53"/>
      <c r="AC27" s="53"/>
      <c r="AD27" s="53"/>
      <c r="AE27" s="53"/>
      <c r="AF27" s="54"/>
      <c r="AG27" s="32"/>
    </row>
    <row r="28" ht="18.0" customHeight="1"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1"/>
    </row>
    <row r="29" ht="18.0" customHeight="1"/>
    <row r="30" ht="18.0" customHeight="1">
      <c r="L30" s="82" t="s">
        <v>236</v>
      </c>
    </row>
    <row r="31" ht="18.0" customHeight="1">
      <c r="L31" s="83" t="s">
        <v>237</v>
      </c>
    </row>
    <row r="32" ht="18.0" customHeight="1">
      <c r="L32" s="83" t="s">
        <v>239</v>
      </c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6:D16"/>
    <mergeCell ref="B17:D17"/>
    <mergeCell ref="B18:D18"/>
    <mergeCell ref="B19:D19"/>
    <mergeCell ref="B20:D20"/>
    <mergeCell ref="B21:D21"/>
    <mergeCell ref="B22:D22"/>
    <mergeCell ref="L12:P16"/>
    <mergeCell ref="L17:P20"/>
    <mergeCell ref="E18:I18"/>
    <mergeCell ref="E19:I19"/>
    <mergeCell ref="E20:I20"/>
    <mergeCell ref="E21:I21"/>
    <mergeCell ref="B24:I24"/>
    <mergeCell ref="L21:P27"/>
    <mergeCell ref="Q21:Z27"/>
    <mergeCell ref="E22:I22"/>
    <mergeCell ref="L30:AG30"/>
    <mergeCell ref="L31:AG31"/>
    <mergeCell ref="L32:AG32"/>
    <mergeCell ref="L2:T2"/>
    <mergeCell ref="Q4:Z6"/>
    <mergeCell ref="AA4:AF27"/>
    <mergeCell ref="Q7:Z11"/>
    <mergeCell ref="Q12:Z20"/>
    <mergeCell ref="E16:I16"/>
    <mergeCell ref="E17:I17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43"/>
    <col customWidth="1" min="3" max="3" width="33.0"/>
    <col customWidth="1" min="4" max="5" width="10.43"/>
    <col customWidth="1" min="6" max="6" width="7.0"/>
    <col customWidth="1" min="7" max="7" width="13.43"/>
    <col customWidth="1" min="8" max="8" width="32.0"/>
    <col customWidth="1" min="9" max="9" width="34.0"/>
    <col customWidth="1" min="10" max="33" width="3.0"/>
  </cols>
  <sheetData>
    <row r="1" ht="12.0" customHeight="1"/>
    <row r="2" ht="27.75" customHeight="1">
      <c r="B2" s="2" t="s">
        <v>692</v>
      </c>
      <c r="L2" s="5" t="s">
        <v>684</v>
      </c>
      <c r="M2" s="9"/>
      <c r="N2" s="9"/>
      <c r="O2" s="9"/>
      <c r="P2" s="9"/>
      <c r="Q2" s="9"/>
      <c r="R2" s="9"/>
      <c r="S2" s="9"/>
      <c r="T2" s="12"/>
    </row>
    <row r="3" ht="18.0" customHeight="1">
      <c r="B3" s="3" t="s">
        <v>698</v>
      </c>
    </row>
    <row r="4" ht="18.0" customHeight="1">
      <c r="L4" s="16"/>
      <c r="M4" s="17"/>
      <c r="N4" s="17"/>
      <c r="O4" s="17"/>
      <c r="P4" s="17"/>
      <c r="Q4" s="18" t="s">
        <v>28</v>
      </c>
      <c r="R4" s="19"/>
      <c r="S4" s="19"/>
      <c r="T4" s="19"/>
      <c r="U4" s="19"/>
      <c r="V4" s="19"/>
      <c r="W4" s="19"/>
      <c r="X4" s="19"/>
      <c r="Y4" s="19"/>
      <c r="Z4" s="20"/>
      <c r="AA4" s="18" t="s">
        <v>127</v>
      </c>
      <c r="AB4" s="19"/>
      <c r="AC4" s="19"/>
      <c r="AD4" s="19"/>
      <c r="AE4" s="19"/>
      <c r="AF4" s="20"/>
      <c r="AG4" s="22"/>
    </row>
    <row r="5" ht="24.0" customHeight="1">
      <c r="B5" s="15" t="s">
        <v>38</v>
      </c>
      <c r="C5" s="15" t="s">
        <v>40</v>
      </c>
      <c r="D5" s="15" t="s">
        <v>41</v>
      </c>
      <c r="E5" s="15" t="s">
        <v>42</v>
      </c>
      <c r="F5" s="15" t="s">
        <v>27</v>
      </c>
      <c r="G5" s="15" t="s">
        <v>10</v>
      </c>
      <c r="H5" s="15" t="s">
        <v>47</v>
      </c>
      <c r="I5" s="15" t="s">
        <v>48</v>
      </c>
      <c r="L5" s="26"/>
      <c r="M5" s="27"/>
      <c r="N5" s="27"/>
      <c r="O5" s="27"/>
      <c r="P5" s="27"/>
      <c r="Q5" s="29"/>
      <c r="Z5" s="30"/>
      <c r="AA5" s="29"/>
      <c r="AF5" s="30"/>
      <c r="AG5" s="32"/>
    </row>
    <row r="6" ht="18.0" customHeight="1">
      <c r="B6" s="34" t="s">
        <v>53</v>
      </c>
      <c r="C6" s="36" t="s">
        <v>713</v>
      </c>
      <c r="D6" s="37">
        <v>6.0</v>
      </c>
      <c r="E6" s="37">
        <v>2.4</v>
      </c>
      <c r="F6" s="39">
        <v>1.0</v>
      </c>
      <c r="G6" s="41">
        <f t="shared" ref="G6:G13" si="1">D6*E6*F6</f>
        <v>14.4</v>
      </c>
      <c r="H6" s="42" t="s">
        <v>687</v>
      </c>
      <c r="I6" s="42" t="s">
        <v>716</v>
      </c>
      <c r="L6" s="26"/>
      <c r="M6" s="27"/>
      <c r="N6" s="27"/>
      <c r="O6" s="27"/>
      <c r="P6" s="27"/>
      <c r="Q6" s="52"/>
      <c r="R6" s="53"/>
      <c r="S6" s="53"/>
      <c r="T6" s="53"/>
      <c r="U6" s="53"/>
      <c r="V6" s="53"/>
      <c r="W6" s="53"/>
      <c r="X6" s="53"/>
      <c r="Y6" s="53"/>
      <c r="Z6" s="54"/>
      <c r="AA6" s="29"/>
      <c r="AF6" s="30"/>
      <c r="AG6" s="32"/>
    </row>
    <row r="7" ht="18.0" customHeight="1">
      <c r="B7" s="43" t="s">
        <v>80</v>
      </c>
      <c r="C7" s="38" t="s">
        <v>721</v>
      </c>
      <c r="D7" s="45">
        <v>2.4</v>
      </c>
      <c r="E7" s="45">
        <v>1.2</v>
      </c>
      <c r="F7" s="47">
        <v>1.0</v>
      </c>
      <c r="G7" s="49">
        <f t="shared" si="1"/>
        <v>2.88</v>
      </c>
      <c r="H7" s="50" t="s">
        <v>724</v>
      </c>
      <c r="I7" s="50" t="s">
        <v>726</v>
      </c>
      <c r="L7" s="26"/>
      <c r="M7" s="27"/>
      <c r="N7" s="27"/>
      <c r="O7" s="27"/>
      <c r="P7" s="27"/>
      <c r="Q7" s="18" t="s">
        <v>122</v>
      </c>
      <c r="R7" s="19"/>
      <c r="S7" s="19"/>
      <c r="T7" s="19"/>
      <c r="U7" s="19"/>
      <c r="V7" s="19"/>
      <c r="W7" s="19"/>
      <c r="X7" s="19"/>
      <c r="Y7" s="19"/>
      <c r="Z7" s="20"/>
      <c r="AA7" s="29"/>
      <c r="AF7" s="30"/>
      <c r="AG7" s="32"/>
    </row>
    <row r="8" ht="18.0" customHeight="1">
      <c r="B8" s="56" t="s">
        <v>106</v>
      </c>
      <c r="C8" s="25" t="s">
        <v>730</v>
      </c>
      <c r="D8" s="45">
        <v>2.0</v>
      </c>
      <c r="E8" s="45">
        <v>2.0</v>
      </c>
      <c r="F8" s="57">
        <v>1.0</v>
      </c>
      <c r="G8" s="58">
        <f t="shared" si="1"/>
        <v>4</v>
      </c>
      <c r="H8" s="59" t="s">
        <v>731</v>
      </c>
      <c r="I8" s="59" t="s">
        <v>732</v>
      </c>
      <c r="L8" s="26"/>
      <c r="M8" s="27"/>
      <c r="N8" s="27"/>
      <c r="O8" s="27"/>
      <c r="P8" s="27"/>
      <c r="Q8" s="29"/>
      <c r="Z8" s="30"/>
      <c r="AA8" s="29"/>
      <c r="AF8" s="30"/>
      <c r="AG8" s="32"/>
    </row>
    <row r="9" ht="18.0" customHeight="1">
      <c r="B9" s="43" t="s">
        <v>122</v>
      </c>
      <c r="C9" s="38" t="s">
        <v>733</v>
      </c>
      <c r="D9" s="45">
        <v>3.0</v>
      </c>
      <c r="E9" s="45">
        <v>2.0</v>
      </c>
      <c r="F9" s="47">
        <v>1.0</v>
      </c>
      <c r="G9" s="49">
        <f t="shared" si="1"/>
        <v>6</v>
      </c>
      <c r="H9" s="50" t="s">
        <v>734</v>
      </c>
      <c r="I9" s="50" t="s">
        <v>735</v>
      </c>
      <c r="L9" s="26"/>
      <c r="M9" s="27"/>
      <c r="N9" s="27"/>
      <c r="O9" s="27"/>
      <c r="P9" s="27"/>
      <c r="Q9" s="29"/>
      <c r="Z9" s="30"/>
      <c r="AA9" s="29"/>
      <c r="AF9" s="30"/>
      <c r="AG9" s="32"/>
    </row>
    <row r="10" ht="18.0" customHeight="1">
      <c r="B10" s="56" t="s">
        <v>144</v>
      </c>
      <c r="C10" s="25" t="s">
        <v>736</v>
      </c>
      <c r="D10" s="45">
        <v>1.5</v>
      </c>
      <c r="E10" s="45">
        <v>1.2</v>
      </c>
      <c r="F10" s="57">
        <v>1.0</v>
      </c>
      <c r="G10" s="58">
        <f t="shared" si="1"/>
        <v>1.8</v>
      </c>
      <c r="H10" s="59" t="s">
        <v>737</v>
      </c>
      <c r="I10" s="59" t="s">
        <v>738</v>
      </c>
      <c r="L10" s="26"/>
      <c r="M10" s="27"/>
      <c r="N10" s="27"/>
      <c r="O10" s="27"/>
      <c r="P10" s="27"/>
      <c r="Q10" s="29"/>
      <c r="Z10" s="30"/>
      <c r="AA10" s="29"/>
      <c r="AF10" s="30"/>
      <c r="AG10" s="32"/>
    </row>
    <row r="11" ht="18.0" customHeight="1">
      <c r="B11" s="43" t="s">
        <v>152</v>
      </c>
      <c r="C11" s="38" t="s">
        <v>739</v>
      </c>
      <c r="D11" s="45">
        <v>0.5</v>
      </c>
      <c r="E11" s="45">
        <v>8.0</v>
      </c>
      <c r="F11" s="47">
        <v>1.0</v>
      </c>
      <c r="G11" s="49">
        <f t="shared" si="1"/>
        <v>4</v>
      </c>
      <c r="H11" s="50" t="s">
        <v>740</v>
      </c>
      <c r="I11" s="50" t="s">
        <v>741</v>
      </c>
      <c r="L11" s="26"/>
      <c r="M11" s="27"/>
      <c r="N11" s="27"/>
      <c r="O11" s="27"/>
      <c r="P11" s="27"/>
      <c r="Q11" s="52"/>
      <c r="R11" s="53"/>
      <c r="S11" s="53"/>
      <c r="T11" s="53"/>
      <c r="U11" s="53"/>
      <c r="V11" s="53"/>
      <c r="W11" s="53"/>
      <c r="X11" s="53"/>
      <c r="Y11" s="53"/>
      <c r="Z11" s="54"/>
      <c r="AA11" s="29"/>
      <c r="AF11" s="30"/>
      <c r="AG11" s="32"/>
    </row>
    <row r="12" ht="18.0" customHeight="1">
      <c r="B12" s="56" t="s">
        <v>127</v>
      </c>
      <c r="C12" s="25" t="s">
        <v>742</v>
      </c>
      <c r="D12" s="45">
        <v>3.0</v>
      </c>
      <c r="E12" s="45">
        <v>8.0</v>
      </c>
      <c r="F12" s="57">
        <v>1.0</v>
      </c>
      <c r="G12" s="58">
        <f t="shared" si="1"/>
        <v>24</v>
      </c>
      <c r="H12" s="59" t="s">
        <v>743</v>
      </c>
      <c r="I12" s="59" t="s">
        <v>744</v>
      </c>
      <c r="L12" s="18" t="s">
        <v>144</v>
      </c>
      <c r="M12" s="19"/>
      <c r="N12" s="19"/>
      <c r="O12" s="19"/>
      <c r="P12" s="20"/>
      <c r="Q12" s="65" t="s">
        <v>745</v>
      </c>
      <c r="R12" s="66"/>
      <c r="S12" s="66"/>
      <c r="T12" s="66"/>
      <c r="U12" s="66"/>
      <c r="V12" s="66"/>
      <c r="W12" s="66"/>
      <c r="X12" s="66"/>
      <c r="Y12" s="66"/>
      <c r="Z12" s="67"/>
      <c r="AA12" s="29"/>
      <c r="AF12" s="30"/>
      <c r="AG12" s="32"/>
    </row>
    <row r="13" ht="18.0" customHeight="1">
      <c r="B13" s="43" t="s">
        <v>28</v>
      </c>
      <c r="C13" s="38" t="s">
        <v>746</v>
      </c>
      <c r="D13" s="45">
        <v>3.0</v>
      </c>
      <c r="E13" s="45">
        <v>2.5</v>
      </c>
      <c r="F13" s="47">
        <v>1.0</v>
      </c>
      <c r="G13" s="49">
        <f t="shared" si="1"/>
        <v>7.5</v>
      </c>
      <c r="H13" s="50" t="s">
        <v>747</v>
      </c>
      <c r="I13" s="50" t="s">
        <v>748</v>
      </c>
      <c r="L13" s="29"/>
      <c r="P13" s="30"/>
      <c r="Q13" s="68"/>
      <c r="Z13" s="69"/>
      <c r="AA13" s="29"/>
      <c r="AF13" s="30"/>
      <c r="AG13" s="32"/>
    </row>
    <row r="14" ht="21.75" customHeight="1">
      <c r="B14" s="61" t="s">
        <v>185</v>
      </c>
      <c r="C14" s="62" t="s">
        <v>191</v>
      </c>
      <c r="D14" s="63"/>
      <c r="E14" s="63"/>
      <c r="F14" s="63"/>
      <c r="G14" s="64">
        <f>SUM(G6:G13)</f>
        <v>64.58</v>
      </c>
      <c r="H14" s="63"/>
      <c r="I14" s="63"/>
      <c r="L14" s="29"/>
      <c r="P14" s="30"/>
      <c r="Q14" s="68"/>
      <c r="Z14" s="69"/>
      <c r="AA14" s="29"/>
      <c r="AF14" s="30"/>
      <c r="AG14" s="32"/>
    </row>
    <row r="15" ht="18.0" customHeight="1">
      <c r="L15" s="29"/>
      <c r="P15" s="30"/>
      <c r="Q15" s="68"/>
      <c r="Z15" s="69"/>
      <c r="AA15" s="29"/>
      <c r="AF15" s="30"/>
      <c r="AG15" s="32"/>
    </row>
    <row r="16" ht="18.0" customHeight="1">
      <c r="B16" s="70" t="s">
        <v>200</v>
      </c>
      <c r="C16" s="9"/>
      <c r="D16" s="12"/>
      <c r="E16" s="70" t="s">
        <v>203</v>
      </c>
      <c r="F16" s="9"/>
      <c r="G16" s="9"/>
      <c r="H16" s="9"/>
      <c r="I16" s="12"/>
      <c r="L16" s="52"/>
      <c r="M16" s="53"/>
      <c r="N16" s="53"/>
      <c r="O16" s="53"/>
      <c r="P16" s="54"/>
      <c r="Q16" s="68"/>
      <c r="Z16" s="69"/>
      <c r="AA16" s="29"/>
      <c r="AF16" s="30"/>
      <c r="AG16" s="32"/>
    </row>
    <row r="17" ht="18.0" customHeight="1">
      <c r="B17" s="71" t="s">
        <v>714</v>
      </c>
      <c r="C17" s="72"/>
      <c r="D17" s="73"/>
      <c r="E17" s="74" t="s">
        <v>715</v>
      </c>
      <c r="F17" s="72"/>
      <c r="G17" s="72"/>
      <c r="H17" s="72"/>
      <c r="I17" s="73"/>
      <c r="L17" s="18" t="s">
        <v>152</v>
      </c>
      <c r="M17" s="19"/>
      <c r="N17" s="19"/>
      <c r="O17" s="19"/>
      <c r="P17" s="20"/>
      <c r="Q17" s="68"/>
      <c r="Z17" s="69"/>
      <c r="AA17" s="29"/>
      <c r="AF17" s="30"/>
      <c r="AG17" s="32"/>
    </row>
    <row r="18" ht="18.0" customHeight="1">
      <c r="B18" s="71" t="s">
        <v>717</v>
      </c>
      <c r="C18" s="72"/>
      <c r="D18" s="73"/>
      <c r="E18" s="74" t="s">
        <v>749</v>
      </c>
      <c r="F18" s="72"/>
      <c r="G18" s="72"/>
      <c r="H18" s="72"/>
      <c r="I18" s="73"/>
      <c r="L18" s="29"/>
      <c r="P18" s="30"/>
      <c r="Q18" s="68"/>
      <c r="Z18" s="69"/>
      <c r="AA18" s="29"/>
      <c r="AF18" s="30"/>
      <c r="AG18" s="32"/>
    </row>
    <row r="19" ht="18.0" customHeight="1">
      <c r="B19" s="71" t="s">
        <v>719</v>
      </c>
      <c r="C19" s="72"/>
      <c r="D19" s="73"/>
      <c r="E19" s="74" t="s">
        <v>750</v>
      </c>
      <c r="F19" s="72"/>
      <c r="G19" s="72"/>
      <c r="H19" s="72"/>
      <c r="I19" s="73"/>
      <c r="L19" s="29"/>
      <c r="P19" s="30"/>
      <c r="Q19" s="68"/>
      <c r="Z19" s="69"/>
      <c r="AA19" s="29"/>
      <c r="AF19" s="30"/>
      <c r="AG19" s="32"/>
    </row>
    <row r="20" ht="18.0" customHeight="1">
      <c r="B20" s="71" t="s">
        <v>751</v>
      </c>
      <c r="C20" s="72"/>
      <c r="D20" s="73"/>
      <c r="E20" s="74" t="s">
        <v>752</v>
      </c>
      <c r="F20" s="72"/>
      <c r="G20" s="72"/>
      <c r="H20" s="72"/>
      <c r="I20" s="73"/>
      <c r="L20" s="52"/>
      <c r="M20" s="53"/>
      <c r="N20" s="53"/>
      <c r="O20" s="53"/>
      <c r="P20" s="54"/>
      <c r="Q20" s="75"/>
      <c r="R20" s="76"/>
      <c r="S20" s="76"/>
      <c r="T20" s="76"/>
      <c r="U20" s="76"/>
      <c r="V20" s="76"/>
      <c r="W20" s="76"/>
      <c r="X20" s="76"/>
      <c r="Y20" s="76"/>
      <c r="Z20" s="77"/>
      <c r="AA20" s="29"/>
      <c r="AF20" s="30"/>
      <c r="AG20" s="32"/>
    </row>
    <row r="21" ht="18.0" customHeight="1">
      <c r="B21" s="71" t="s">
        <v>753</v>
      </c>
      <c r="C21" s="72"/>
      <c r="D21" s="73"/>
      <c r="E21" s="74" t="s">
        <v>754</v>
      </c>
      <c r="F21" s="72"/>
      <c r="G21" s="72"/>
      <c r="H21" s="72"/>
      <c r="I21" s="73"/>
      <c r="L21" s="18" t="s">
        <v>80</v>
      </c>
      <c r="M21" s="19"/>
      <c r="N21" s="19"/>
      <c r="O21" s="19"/>
      <c r="P21" s="20"/>
      <c r="Q21" s="18" t="s">
        <v>106</v>
      </c>
      <c r="R21" s="19"/>
      <c r="S21" s="19"/>
      <c r="T21" s="19"/>
      <c r="U21" s="19"/>
      <c r="V21" s="19"/>
      <c r="W21" s="19"/>
      <c r="X21" s="19"/>
      <c r="Y21" s="19"/>
      <c r="Z21" s="20"/>
      <c r="AA21" s="29"/>
      <c r="AF21" s="30"/>
      <c r="AG21" s="32"/>
    </row>
    <row r="22" ht="18.0" customHeight="1">
      <c r="B22" s="71" t="s">
        <v>728</v>
      </c>
      <c r="C22" s="72"/>
      <c r="D22" s="73"/>
      <c r="E22" s="74" t="s">
        <v>755</v>
      </c>
      <c r="F22" s="72"/>
      <c r="G22" s="72"/>
      <c r="H22" s="72"/>
      <c r="I22" s="73"/>
      <c r="L22" s="29"/>
      <c r="P22" s="30"/>
      <c r="Q22" s="29"/>
      <c r="Z22" s="30"/>
      <c r="AA22" s="29"/>
      <c r="AF22" s="30"/>
      <c r="AG22" s="32"/>
    </row>
    <row r="23" ht="18.0" customHeight="1">
      <c r="L23" s="29"/>
      <c r="P23" s="30"/>
      <c r="Q23" s="29"/>
      <c r="Z23" s="30"/>
      <c r="AA23" s="29"/>
      <c r="AF23" s="30"/>
      <c r="AG23" s="32"/>
    </row>
    <row r="24" ht="18.0" customHeight="1">
      <c r="B24" s="78" t="s">
        <v>230</v>
      </c>
      <c r="L24" s="29"/>
      <c r="P24" s="30"/>
      <c r="Q24" s="29"/>
      <c r="Z24" s="30"/>
      <c r="AA24" s="29"/>
      <c r="AF24" s="30"/>
      <c r="AG24" s="32"/>
    </row>
    <row r="25" ht="18.0" customHeight="1">
      <c r="L25" s="29"/>
      <c r="P25" s="30"/>
      <c r="Q25" s="29"/>
      <c r="Z25" s="30"/>
      <c r="AA25" s="29"/>
      <c r="AF25" s="30"/>
      <c r="AG25" s="32"/>
    </row>
    <row r="26" ht="18.0" customHeight="1">
      <c r="L26" s="29"/>
      <c r="P26" s="30"/>
      <c r="Q26" s="29"/>
      <c r="Z26" s="30"/>
      <c r="AA26" s="29"/>
      <c r="AF26" s="30"/>
      <c r="AG26" s="32"/>
    </row>
    <row r="27" ht="18.0" customHeight="1">
      <c r="L27" s="52"/>
      <c r="M27" s="53"/>
      <c r="N27" s="53"/>
      <c r="O27" s="53"/>
      <c r="P27" s="54"/>
      <c r="Q27" s="52"/>
      <c r="R27" s="53"/>
      <c r="S27" s="53"/>
      <c r="T27" s="53"/>
      <c r="U27" s="53"/>
      <c r="V27" s="53"/>
      <c r="W27" s="53"/>
      <c r="X27" s="53"/>
      <c r="Y27" s="53"/>
      <c r="Z27" s="54"/>
      <c r="AA27" s="52"/>
      <c r="AB27" s="53"/>
      <c r="AC27" s="53"/>
      <c r="AD27" s="53"/>
      <c r="AE27" s="53"/>
      <c r="AF27" s="54"/>
      <c r="AG27" s="32"/>
    </row>
    <row r="28" ht="18.0" customHeight="1"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1"/>
    </row>
    <row r="29" ht="18.0" customHeight="1"/>
    <row r="30" ht="18.0" customHeight="1">
      <c r="L30" s="82" t="s">
        <v>236</v>
      </c>
    </row>
    <row r="31" ht="18.0" customHeight="1">
      <c r="L31" s="83" t="s">
        <v>237</v>
      </c>
    </row>
    <row r="32" ht="18.0" customHeight="1">
      <c r="L32" s="83" t="s">
        <v>239</v>
      </c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6:D16"/>
    <mergeCell ref="B17:D17"/>
    <mergeCell ref="B18:D18"/>
    <mergeCell ref="B19:D19"/>
    <mergeCell ref="B20:D20"/>
    <mergeCell ref="B21:D21"/>
    <mergeCell ref="B22:D22"/>
    <mergeCell ref="L12:P16"/>
    <mergeCell ref="L17:P20"/>
    <mergeCell ref="E18:I18"/>
    <mergeCell ref="E19:I19"/>
    <mergeCell ref="E20:I20"/>
    <mergeCell ref="E21:I21"/>
    <mergeCell ref="B24:I24"/>
    <mergeCell ref="L21:P27"/>
    <mergeCell ref="Q21:Z27"/>
    <mergeCell ref="E22:I22"/>
    <mergeCell ref="L30:AG30"/>
    <mergeCell ref="L31:AG31"/>
    <mergeCell ref="L32:AG32"/>
    <mergeCell ref="L2:T2"/>
    <mergeCell ref="Q4:Z6"/>
    <mergeCell ref="AA4:AF27"/>
    <mergeCell ref="Q7:Z11"/>
    <mergeCell ref="Q12:Z20"/>
    <mergeCell ref="E16:I16"/>
    <mergeCell ref="E17:I17"/>
  </mergeCells>
  <printOptions/>
  <pageMargins bottom="1.0" footer="0.0" header="0.0" left="0.75" right="0.75" top="1.0"/>
  <pageSetup orientation="landscape"/>
  <drawing r:id="rId1"/>
</worksheet>
</file>