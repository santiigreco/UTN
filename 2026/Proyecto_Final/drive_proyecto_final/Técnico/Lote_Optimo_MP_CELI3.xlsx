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te Óptimo MP" sheetId="1" state="visible" r:id="rId3"/>
    <sheet name="Comparación Mínimo vs Penalidad"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Tasa de posesión típica en proyectos de este tipo (rango habitual 20%-25% anual): incluye capital inmovilizado, seguro y riesgo de obsolescencia.</t>
        </r>
      </text>
    </comment>
    <comment ref="C5" authorId="0">
      <text>
        <r>
          <rPr>
            <sz val="10"/>
            <rFont val="Arial"/>
            <family val="2"/>
          </rPr>
          <t xml:space="preserve">Se aplica sólo a Fécula de maíz, Harina de arroz, Azúcar y Cacao alcalino, donde el método Cmax-Cprom con sólo 2 semanas de datos dio un SS demasiado bajo. Definido junto con Bren.</t>
        </r>
      </text>
    </comment>
    <comment ref="C6" authorId="0">
      <text>
        <r>
          <rPr>
            <sz val="10"/>
            <rFont val="Arial"/>
            <family val="2"/>
          </rPr>
          <t xml:space="preserve">Dato provisto por Bren: monto que cobra el transportista si el pedido no llega al mínimo pactado con el proveedor. No es un costo de emisión de pedido — funciona como una restricción dura (piso), no como un costo variable.</t>
        </r>
      </text>
    </comment>
    <comment ref="C7" authorId="0">
      <text>
        <r>
          <rPr>
            <sz val="10"/>
            <rFont val="Arial"/>
            <family val="2"/>
          </rPr>
          <t xml:space="preserve">Actualizado: sueldo bruto del Encargado de compras/logística = $2.000.000/mes (valor actual). Costo total con 60% de cargas sociales = $3.200.000/mes. Costo por hora = $3.200.000 / 176 hs (22 días x 8hs) = $18.181,82. Se estima 1 hora de gestión administrativa por pedido (armar la orden, confirmar con el proveedor, seguimiento).</t>
        </r>
      </text>
    </comment>
    <comment ref="M10" authorId="0">
      <text>
        <r>
          <rPr>
            <sz val="10"/>
            <rFont val="Arial"/>
            <family val="2"/>
          </rPr>
          <t xml:space="preserve">Lote Óptimo = MAX(Consumo del período según frecuencia elegida ; Mínimo de compra del proveedor).
Por qué: el proveedor cobra $110.000 de flete si el pedido no llega a su mínimo (columna I). Como ese monto es mucho mayor que cualquier ahorro de mantener menos stock, SIEMPRE conviene pedir al menos el mínimo del proveedor, aunque tu consumo real del período sea menor. La columna AA (¿Qué define el Lote?) te muestra, para cada materia prima, si el lote quedó determinado por el mínimo del proveedor o por el consumo real del período.</t>
        </r>
      </text>
    </comment>
  </commentList>
</comments>
</file>

<file path=xl/sharedStrings.xml><?xml version="1.0" encoding="utf-8"?>
<sst xmlns="http://schemas.openxmlformats.org/spreadsheetml/2006/main" count="81" uniqueCount="71">
  <si>
    <t xml:space="preserve">Lote Óptimo, Stock de Seguridad y Punto de Reorden — Materias Primas CELI</t>
  </si>
  <si>
    <t xml:space="preserve">Parámetros del modelo</t>
  </si>
  <si>
    <t xml:space="preserve">Tasa de posesión anual (i)</t>
  </si>
  <si>
    <t xml:space="preserve">Ajuste manual de SS (% del consumo prom. semanal)</t>
  </si>
  <si>
    <t xml:space="preserve">Costo por incumplir el mínimo de compra sin cargo ($/viaje)</t>
  </si>
  <si>
    <t xml:space="preserve">Costo de emitir un pedido, K ($/pedido)</t>
  </si>
  <si>
    <t xml:space="preserve">Materia Prima</t>
  </si>
  <si>
    <t xml:space="preserve">Consumo
Semana 1 (kg)</t>
  </si>
  <si>
    <t xml:space="preserve">Consumo
Semana 2 (kg)</t>
  </si>
  <si>
    <t xml:space="preserve">Consumo prom.
semanal (kg)</t>
  </si>
  <si>
    <t xml:space="preserve">Consumo máx.
semanal (kg)</t>
  </si>
  <si>
    <t xml:space="preserve">Consumo
bisemanal (kg)</t>
  </si>
  <si>
    <t xml:space="preserve">Demanda anual
D (kg/año)</t>
  </si>
  <si>
    <t xml:space="preserve">Costo unitario
Cu ($/kg)</t>
  </si>
  <si>
    <t xml:space="preserve">Mínimo proveedor
Qmin (kg)</t>
  </si>
  <si>
    <t xml:space="preserve">Tiempo de entrega
Tp (días)</t>
  </si>
  <si>
    <t xml:space="preserve">Frecuencia de
pedido (semanas)</t>
  </si>
  <si>
    <t xml:space="preserve">N° pedidos
/año</t>
  </si>
  <si>
    <t xml:space="preserve">Lote Óptimo
Lo (kg)</t>
  </si>
  <si>
    <t xml:space="preserve">¿Ajustar SS
con 15%?</t>
  </si>
  <si>
    <t xml:space="preserve">SS método
Cmax-Cprom (kg)</t>
  </si>
  <si>
    <t xml:space="preserve">SS ajustado
15% (kg)</t>
  </si>
  <si>
    <t xml:space="preserve">SS final
(kg)</t>
  </si>
  <si>
    <t xml:space="preserve">Consumo diario
prom. (kg/día)</t>
  </si>
  <si>
    <t xml:space="preserve">Punto de
Reorden (kg)</t>
  </si>
  <si>
    <t xml:space="preserve">PR / Lote
(%)</t>
  </si>
  <si>
    <t xml:space="preserve">Calm ($)</t>
  </si>
  <si>
    <t xml:space="preserve">Css ($)</t>
  </si>
  <si>
    <t xml:space="preserve">Citem ($)</t>
  </si>
  <si>
    <t xml:space="preserve">Cadq ($)</t>
  </si>
  <si>
    <t xml:space="preserve">CTS ($)</t>
  </si>
  <si>
    <t xml:space="preserve">Consumo según
frecuencia (kg)</t>
  </si>
  <si>
    <t xml:space="preserve">¿Qué define
el Lote?</t>
  </si>
  <si>
    <t xml:space="preserve">Fécula de maíz</t>
  </si>
  <si>
    <t xml:space="preserve">Sí</t>
  </si>
  <si>
    <t xml:space="preserve">Harina de arroz</t>
  </si>
  <si>
    <t xml:space="preserve">Aceite vegetal interesterificado</t>
  </si>
  <si>
    <t xml:space="preserve">No</t>
  </si>
  <si>
    <t xml:space="preserve">Azúcar</t>
  </si>
  <si>
    <t xml:space="preserve">Mermelada de batata</t>
  </si>
  <si>
    <t xml:space="preserve">Jarabe de glucosa</t>
  </si>
  <si>
    <t xml:space="preserve">Fécula de mandioca</t>
  </si>
  <si>
    <t xml:space="preserve">Cacao alcalino</t>
  </si>
  <si>
    <t xml:space="preserve">Chips de chocolate</t>
  </si>
  <si>
    <t xml:space="preserve">TOTAL</t>
  </si>
  <si>
    <t xml:space="preserve">Referencias</t>
  </si>
  <si>
    <t xml:space="preserve">Celdas en azul: valores de entrada (editables).</t>
  </si>
  <si>
    <t xml:space="preserve">Celdas en negro: fórmulas (se recalculan solas).</t>
  </si>
  <si>
    <t xml:space="preserve">Lote Óptimo = MAX(Consumo del período según frecuencia ; Mínimo del proveedor). Justificación: si el pedido no llega al mínimo pactado, el proveedor cobra $110.000 de flete por viaje — un monto muy superior a cualquier ahorro de mantenimiento de stock. Por eso, en las materias primas donde el consumo del período no alcanza el mínimo, SIEMPRE se pide el mínimo (nunca menos), y así se evita pagar esa penalidad. Ver columna AA fila por fila.</t>
  </si>
  <si>
    <t xml:space="preserve">Punto de Reorden = Consumo diario promedio × Tp + SS final.</t>
  </si>
  <si>
    <t xml:space="preserve">SS método Cmax-Cprom calculado con datos de sólo 2 semanas; se usa el ajuste manual (15%) para las 4 MP donde ese método subestimaba el riesgo real.</t>
  </si>
  <si>
    <t xml:space="preserve">¿Cuánto sale más caro no llegar al mínimo del proveedor? — Política adoptada vs. incumplir el mínimo</t>
  </si>
  <si>
    <t xml:space="preserve">Política A (adoptada): se pide siempre al menos el mínimo del proveedor, ajustando la frecuencia. Política B (hipotética): se pide cada 2 semanas exactamente el consumo real, aunque no llegue al mínimo, pagando $110.000 de flete cada vez que eso ocurre.</t>
  </si>
  <si>
    <t xml:space="preserve">Mínimo
proveedor (kg)</t>
  </si>
  <si>
    <t xml:space="preserve">Lote Política A
(kg)</t>
  </si>
  <si>
    <t xml:space="preserve">Frecuencia A
(semanas)</t>
  </si>
  <si>
    <t xml:space="preserve">N pedidos/año
(A)</t>
  </si>
  <si>
    <t xml:space="preserve">Calm A ($)</t>
  </si>
  <si>
    <t xml:space="preserve">Cadq A ($)</t>
  </si>
  <si>
    <t xml:space="preserve">Costo A ($/año)</t>
  </si>
  <si>
    <t xml:space="preserve">N pedidos/año
(B, cada 2 sem)</t>
  </si>
  <si>
    <t xml:space="preserve">Calm B ($)</t>
  </si>
  <si>
    <t xml:space="preserve">Cadq B ($)</t>
  </si>
  <si>
    <t xml:space="preserve">¿Incumple
mínimo?</t>
  </si>
  <si>
    <t xml:space="preserve">N° penalizaciones
/año (B)</t>
  </si>
  <si>
    <t xml:space="preserve">Costo penalidad
B ($)</t>
  </si>
  <si>
    <t xml:space="preserve">Costo B ($/año)</t>
  </si>
  <si>
    <t xml:space="preserve">Diferencia
($/año)</t>
  </si>
  <si>
    <t xml:space="preserve">% más caro
(B vs A)</t>
  </si>
  <si>
    <t xml:space="preserve">Nota: Calm y Cadq son los únicos componentes que cambian según la política de pedido; Css y Citem no dependen de esto y quedan iguales en ambos escenarios (ver hoja 'Lote Óptimo MP').</t>
  </si>
  <si>
    <t xml:space="preserve">Las materias primas cuyo consumo bisemanal ya supera el mínimo del proveedor (Aceite vegetal, Mermelada de batata, Jarabe de glucosa, Chips de chocolate) no tienen diferencia: nunca caen por debajo del mínimo, así que Política A = Política B.</t>
  </si>
</sst>
</file>

<file path=xl/styles.xml><?xml version="1.0" encoding="utf-8"?>
<styleSheet xmlns="http://schemas.openxmlformats.org/spreadsheetml/2006/main">
  <numFmts count="9">
    <numFmt numFmtId="164" formatCode="General"/>
    <numFmt numFmtId="165" formatCode="0.0%"/>
    <numFmt numFmtId="166" formatCode="\$#,##0"/>
    <numFmt numFmtId="167" formatCode="#,##0.0"/>
    <numFmt numFmtId="168" formatCode="\$#,##0.00"/>
    <numFmt numFmtId="169" formatCode="#,##0"/>
    <numFmt numFmtId="170" formatCode="0"/>
    <numFmt numFmtId="171" formatCode="0.00"/>
    <numFmt numFmtId="172" formatCode="\$#,##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b val="true"/>
      <sz val="11"/>
      <color rgb="FF000000"/>
      <name val="Arial"/>
      <family val="0"/>
      <charset val="1"/>
    </font>
    <font>
      <sz val="11"/>
      <color rgb="FF000000"/>
      <name val="Arial"/>
      <family val="0"/>
      <charset val="1"/>
    </font>
    <font>
      <b val="true"/>
      <sz val="11"/>
      <color rgb="FF0000FF"/>
      <name val="Arial"/>
      <family val="0"/>
      <charset val="1"/>
    </font>
    <font>
      <b val="true"/>
      <sz val="11"/>
      <color rgb="FFFFFFFF"/>
      <name val="Arial"/>
      <family val="0"/>
      <charset val="1"/>
    </font>
    <font>
      <sz val="11"/>
      <color rgb="FF0000FF"/>
      <name val="Arial"/>
      <family val="0"/>
      <charset val="1"/>
    </font>
    <font>
      <sz val="10"/>
      <name val="Arial"/>
      <family val="2"/>
    </font>
    <font>
      <b val="true"/>
      <sz val="14"/>
      <name val="Arial"/>
      <family val="0"/>
      <charset val="1"/>
    </font>
    <font>
      <i val="true"/>
      <sz val="10"/>
      <name val="Arial"/>
      <family val="0"/>
      <charset val="1"/>
    </font>
    <font>
      <b val="true"/>
      <sz val="11"/>
      <color rgb="FFC00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4E78"/>
        <bgColor rgb="FF003366"/>
      </patternFill>
    </fill>
    <fill>
      <patternFill patternType="solid">
        <fgColor rgb="FFD9E1F2"/>
        <bgColor rgb="FFCC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70" fontId="9" fillId="0" borderId="1" xfId="0" applyFont="true" applyBorder="true" applyAlignment="true" applyProtection="false">
      <alignment horizontal="center" vertical="center" textRotation="0" wrapText="false" indent="0" shrinkToFit="false"/>
      <protection locked="true" hidden="false"/>
    </xf>
    <xf numFmtId="171" fontId="6"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8" fontId="6" fillId="0" borderId="1" xfId="0" applyFont="true" applyBorder="true" applyAlignment="true" applyProtection="false">
      <alignment horizontal="center" vertical="center" textRotation="0" wrapText="false" indent="0" shrinkToFit="false"/>
      <protection locked="true" hidden="false"/>
    </xf>
    <xf numFmtId="168"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7" fontId="0" fillId="4" borderId="1" xfId="0" applyFont="false" applyBorder="true" applyAlignment="true" applyProtection="false">
      <alignment horizontal="center" vertical="center" textRotation="0" wrapText="false" indent="0" shrinkToFit="false"/>
      <protection locked="true" hidden="false"/>
    </xf>
    <xf numFmtId="168" fontId="0" fillId="4" borderId="1" xfId="0" applyFont="false" applyBorder="true" applyAlignment="true" applyProtection="false">
      <alignment horizontal="center" vertical="center" textRotation="0" wrapText="false" indent="0" shrinkToFit="false"/>
      <protection locked="true" hidden="false"/>
    </xf>
    <xf numFmtId="169" fontId="0" fillId="4" borderId="1" xfId="0" applyFont="false" applyBorder="true" applyAlignment="true" applyProtection="false">
      <alignment horizontal="center" vertical="center" textRotation="0" wrapText="false" indent="0" shrinkToFit="false"/>
      <protection locked="true" hidden="false"/>
    </xf>
    <xf numFmtId="170" fontId="0" fillId="4" borderId="1" xfId="0" applyFont="false" applyBorder="true" applyAlignment="true" applyProtection="false">
      <alignment horizontal="center" vertical="center" textRotation="0" wrapText="false" indent="0" shrinkToFit="false"/>
      <protection locked="true" hidden="false"/>
    </xf>
    <xf numFmtId="171"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5" fontId="0" fillId="4" borderId="1" xfId="0" applyFont="false" applyBorder="true" applyAlignment="true" applyProtection="false">
      <alignment horizontal="center" vertical="center" textRotation="0" wrapText="false" indent="0" shrinkToFit="false"/>
      <protection locked="true" hidden="false"/>
    </xf>
    <xf numFmtId="168" fontId="5" fillId="4"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9" fontId="6" fillId="0" borderId="1" xfId="0" applyFont="true" applyBorder="true" applyAlignment="true" applyProtection="false">
      <alignment horizontal="center" vertical="center" textRotation="0" wrapText="false" indent="0" shrinkToFit="false"/>
      <protection locked="true" hidden="false"/>
    </xf>
    <xf numFmtId="172" fontId="6" fillId="0" borderId="1" xfId="0" applyFont="true" applyBorder="true" applyAlignment="true" applyProtection="false">
      <alignment horizontal="center" vertical="center" textRotation="0" wrapText="false" indent="0" shrinkToFit="false"/>
      <protection locked="true" hidden="false"/>
    </xf>
    <xf numFmtId="170" fontId="6" fillId="0" borderId="1" xfId="0" applyFont="true" applyBorder="true" applyAlignment="true" applyProtection="false">
      <alignment horizontal="center" vertical="center" textRotation="0" wrapText="false" indent="0" shrinkToFit="false"/>
      <protection locked="true" hidden="false"/>
    </xf>
    <xf numFmtId="172"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2"/>
    <col collapsed="false" customWidth="true" hidden="false" outlineLevel="0" max="6" min="4" style="1" width="13"/>
    <col collapsed="false" customWidth="true" hidden="false" outlineLevel="0" max="7" min="7" style="1" width="14"/>
    <col collapsed="false" customWidth="true" hidden="false" outlineLevel="0" max="8" min="8" style="1" width="12"/>
    <col collapsed="false" customWidth="true" hidden="false" outlineLevel="0" max="9" min="9" style="1" width="14"/>
    <col collapsed="false" customWidth="true" hidden="false" outlineLevel="0" max="11" min="10" style="1" width="13"/>
    <col collapsed="false" customWidth="true" hidden="false" outlineLevel="0" max="12" min="12" style="1" width="10"/>
    <col collapsed="false" customWidth="true" hidden="false" outlineLevel="0" max="13" min="13" style="1" width="13"/>
    <col collapsed="false" customWidth="true" hidden="false" outlineLevel="0" max="14" min="14" style="1" width="11"/>
    <col collapsed="false" customWidth="true" hidden="false" outlineLevel="0" max="15" min="15" style="1" width="15"/>
    <col collapsed="false" customWidth="true" hidden="false" outlineLevel="0" max="16" min="16" style="1" width="12"/>
    <col collapsed="false" customWidth="true" hidden="false" outlineLevel="0" max="17" min="17" style="1" width="11"/>
    <col collapsed="false" customWidth="true" hidden="false" outlineLevel="0" max="18" min="18" style="1" width="14"/>
    <col collapsed="false" customWidth="true" hidden="false" outlineLevel="0" max="19" min="19" style="1" width="13"/>
    <col collapsed="false" customWidth="true" hidden="false" outlineLevel="0" max="20" min="20" style="1" width="9"/>
    <col collapsed="false" customWidth="true" hidden="false" outlineLevel="0" max="22" min="21" style="1" width="14"/>
    <col collapsed="false" customWidth="true" hidden="false" outlineLevel="0" max="23" min="23" style="1" width="16"/>
    <col collapsed="false" customWidth="true" hidden="false" outlineLevel="0" max="24" min="24" style="1" width="12"/>
    <col collapsed="false" customWidth="true" hidden="false" outlineLevel="0" max="25" min="25" style="1" width="16"/>
    <col collapsed="false" customWidth="true" hidden="false" outlineLevel="0" max="26" min="26" style="1" width="15"/>
    <col collapsed="false" customWidth="true" hidden="false" outlineLevel="0" max="27" min="27" style="1" width="28"/>
  </cols>
  <sheetData>
    <row r="1" customFormat="false" ht="17.2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row>
    <row r="3" customFormat="false" ht="15" hidden="false" customHeight="true" outlineLevel="0" collapsed="false">
      <c r="A3" s="3" t="s">
        <v>1</v>
      </c>
    </row>
    <row r="4" customFormat="false" ht="15" hidden="false" customHeight="true" outlineLevel="0" collapsed="false">
      <c r="A4" s="4" t="s">
        <v>2</v>
      </c>
      <c r="C4" s="5" t="n">
        <v>0.22</v>
      </c>
    </row>
    <row r="5" customFormat="false" ht="15" hidden="false" customHeight="true" outlineLevel="0" collapsed="false">
      <c r="A5" s="4" t="s">
        <v>3</v>
      </c>
      <c r="C5" s="5" t="n">
        <v>0.15</v>
      </c>
    </row>
    <row r="6" customFormat="false" ht="15" hidden="false" customHeight="true" outlineLevel="0" collapsed="false">
      <c r="A6" s="4" t="s">
        <v>4</v>
      </c>
      <c r="C6" s="6" t="n">
        <v>110000</v>
      </c>
    </row>
    <row r="7" customFormat="false" ht="15" hidden="false" customHeight="true" outlineLevel="0" collapsed="false">
      <c r="A7" s="4" t="s">
        <v>5</v>
      </c>
      <c r="C7" s="6" t="n">
        <v>18181.82</v>
      </c>
    </row>
    <row r="10" customFormat="false" ht="45" hidden="false" customHeight="true" outlineLevel="0" collapsed="false">
      <c r="A10" s="7" t="s">
        <v>6</v>
      </c>
      <c r="B10" s="7" t="s">
        <v>7</v>
      </c>
      <c r="C10" s="7" t="s">
        <v>8</v>
      </c>
      <c r="D10" s="7" t="s">
        <v>9</v>
      </c>
      <c r="E10" s="7" t="s">
        <v>10</v>
      </c>
      <c r="F10" s="7" t="s">
        <v>11</v>
      </c>
      <c r="G10" s="7" t="s">
        <v>12</v>
      </c>
      <c r="H10" s="7" t="s">
        <v>13</v>
      </c>
      <c r="I10" s="7" t="s">
        <v>14</v>
      </c>
      <c r="J10" s="7" t="s">
        <v>15</v>
      </c>
      <c r="K10" s="7" t="s">
        <v>16</v>
      </c>
      <c r="L10" s="7" t="s">
        <v>17</v>
      </c>
      <c r="M10" s="7" t="s">
        <v>18</v>
      </c>
      <c r="N10" s="7" t="s">
        <v>19</v>
      </c>
      <c r="O10" s="7" t="s">
        <v>20</v>
      </c>
      <c r="P10" s="7" t="s">
        <v>21</v>
      </c>
      <c r="Q10" s="7" t="s">
        <v>22</v>
      </c>
      <c r="R10" s="7" t="s">
        <v>23</v>
      </c>
      <c r="S10" s="7" t="s">
        <v>24</v>
      </c>
      <c r="T10" s="7" t="s">
        <v>25</v>
      </c>
      <c r="U10" s="7" t="s">
        <v>26</v>
      </c>
      <c r="V10" s="7" t="s">
        <v>27</v>
      </c>
      <c r="W10" s="7" t="s">
        <v>28</v>
      </c>
      <c r="X10" s="7" t="s">
        <v>29</v>
      </c>
      <c r="Y10" s="7" t="s">
        <v>30</v>
      </c>
      <c r="Z10" s="7" t="s">
        <v>31</v>
      </c>
      <c r="AA10" s="7" t="s">
        <v>32</v>
      </c>
    </row>
    <row r="11" customFormat="false" ht="15" hidden="false" customHeight="true" outlineLevel="0" collapsed="false">
      <c r="A11" s="8" t="s">
        <v>33</v>
      </c>
      <c r="B11" s="9" t="n">
        <v>2138</v>
      </c>
      <c r="C11" s="9" t="n">
        <v>2509</v>
      </c>
      <c r="D11" s="10" t="n">
        <f aca="false">AVERAGE(B11:C11)</f>
        <v>2323.5</v>
      </c>
      <c r="E11" s="10" t="n">
        <f aca="false">MAX(B11:C11)</f>
        <v>2509</v>
      </c>
      <c r="F11" s="10" t="n">
        <f aca="false">B11+C11</f>
        <v>4647</v>
      </c>
      <c r="G11" s="10" t="n">
        <f aca="false">F11*26</f>
        <v>120822</v>
      </c>
      <c r="H11" s="11" t="n">
        <v>850</v>
      </c>
      <c r="I11" s="12" t="n">
        <v>5000</v>
      </c>
      <c r="J11" s="13" t="n">
        <v>2</v>
      </c>
      <c r="K11" s="13" t="n">
        <v>2</v>
      </c>
      <c r="L11" s="14" t="n">
        <f aca="false">52/K11</f>
        <v>26</v>
      </c>
      <c r="M11" s="10" t="n">
        <f aca="false">MAX(F11*(K11/2),I11)</f>
        <v>5000</v>
      </c>
      <c r="N11" s="15" t="s">
        <v>34</v>
      </c>
      <c r="O11" s="10" t="n">
        <f aca="false">(E11-D11)/7*J11</f>
        <v>53</v>
      </c>
      <c r="P11" s="10" t="n">
        <f aca="false">$C$5*D11</f>
        <v>348.525</v>
      </c>
      <c r="Q11" s="10" t="n">
        <f aca="false">IF(N11="Sí",P11,O11)</f>
        <v>348.525</v>
      </c>
      <c r="R11" s="10" t="n">
        <f aca="false">D11/7</f>
        <v>331.928571428571</v>
      </c>
      <c r="S11" s="10" t="n">
        <f aca="false">R11*J11+Q11</f>
        <v>1012.38214285714</v>
      </c>
      <c r="T11" s="16" t="n">
        <f aca="false">S11/M11</f>
        <v>0.202476428571429</v>
      </c>
      <c r="U11" s="17" t="n">
        <f aca="false">0.5*M11*$C$4*H11</f>
        <v>467500</v>
      </c>
      <c r="V11" s="17" t="n">
        <f aca="false">Q11*$C$4*H11</f>
        <v>65174.175</v>
      </c>
      <c r="W11" s="17" t="n">
        <f aca="false">H11*G11</f>
        <v>102698700</v>
      </c>
      <c r="X11" s="17" t="n">
        <f aca="false">$C$7*L11</f>
        <v>472727.32</v>
      </c>
      <c r="Y11" s="18" t="n">
        <f aca="false">U11+V11+W11+X11</f>
        <v>103704101.495</v>
      </c>
      <c r="Z11" s="10" t="n">
        <f aca="false">F11*(K11/2)</f>
        <v>4647</v>
      </c>
      <c r="AA11" s="19" t="str">
        <f aca="false">IF(I11&gt;=Z11,"Mínimo del proveedor (evita pagar $110.000 de flete)","Consumo del período (ya supera el mínimo)")</f>
        <v>Mínimo del proveedor (evita pagar $110.000 de flete)</v>
      </c>
    </row>
    <row r="12" customFormat="false" ht="15" hidden="false" customHeight="true" outlineLevel="0" collapsed="false">
      <c r="A12" s="8" t="s">
        <v>35</v>
      </c>
      <c r="B12" s="9" t="n">
        <v>1974</v>
      </c>
      <c r="C12" s="9" t="n">
        <v>1977</v>
      </c>
      <c r="D12" s="10" t="n">
        <f aca="false">AVERAGE(B12:C12)</f>
        <v>1975.5</v>
      </c>
      <c r="E12" s="10" t="n">
        <f aca="false">MAX(B12:C12)</f>
        <v>1977</v>
      </c>
      <c r="F12" s="10" t="n">
        <f aca="false">B12+C12</f>
        <v>3951</v>
      </c>
      <c r="G12" s="10" t="n">
        <f aca="false">F12*26</f>
        <v>102726</v>
      </c>
      <c r="H12" s="11" t="n">
        <v>700</v>
      </c>
      <c r="I12" s="12" t="n">
        <v>4000</v>
      </c>
      <c r="J12" s="13" t="n">
        <v>5</v>
      </c>
      <c r="K12" s="13" t="n">
        <v>2</v>
      </c>
      <c r="L12" s="14" t="n">
        <f aca="false">52/K12</f>
        <v>26</v>
      </c>
      <c r="M12" s="10" t="n">
        <f aca="false">MAX(F12*(K12/2),I12)</f>
        <v>4000</v>
      </c>
      <c r="N12" s="15" t="s">
        <v>34</v>
      </c>
      <c r="O12" s="10" t="n">
        <f aca="false">(E12-D12)/7*J12</f>
        <v>1.07142857142857</v>
      </c>
      <c r="P12" s="10" t="n">
        <f aca="false">$C$5*D12</f>
        <v>296.325</v>
      </c>
      <c r="Q12" s="10" t="n">
        <f aca="false">IF(N12="Sí",P12,O12)</f>
        <v>296.325</v>
      </c>
      <c r="R12" s="10" t="n">
        <f aca="false">D12/7</f>
        <v>282.214285714286</v>
      </c>
      <c r="S12" s="10" t="n">
        <f aca="false">R12*J12+Q12</f>
        <v>1707.39642857143</v>
      </c>
      <c r="T12" s="16" t="n">
        <f aca="false">S12/M12</f>
        <v>0.426849107142857</v>
      </c>
      <c r="U12" s="17" t="n">
        <f aca="false">0.5*M12*$C$4*H12</f>
        <v>308000</v>
      </c>
      <c r="V12" s="17" t="n">
        <f aca="false">Q12*$C$4*H12</f>
        <v>45634.05</v>
      </c>
      <c r="W12" s="17" t="n">
        <f aca="false">H12*G12</f>
        <v>71908200</v>
      </c>
      <c r="X12" s="17" t="n">
        <f aca="false">$C$7*L12</f>
        <v>472727.32</v>
      </c>
      <c r="Y12" s="18" t="n">
        <f aca="false">U12+V12+W12+X12</f>
        <v>72734561.37</v>
      </c>
      <c r="Z12" s="10" t="n">
        <f aca="false">F12*(K12/2)</f>
        <v>3951</v>
      </c>
      <c r="AA12" s="19" t="str">
        <f aca="false">IF(I12&gt;=Z12,"Mínimo del proveedor (evita pagar $110.000 de flete)","Consumo del período (ya supera el mínimo)")</f>
        <v>Mínimo del proveedor (evita pagar $110.000 de flete)</v>
      </c>
    </row>
    <row r="13" customFormat="false" ht="15" hidden="false" customHeight="true" outlineLevel="0" collapsed="false">
      <c r="A13" s="8" t="s">
        <v>36</v>
      </c>
      <c r="B13" s="9" t="n">
        <v>878</v>
      </c>
      <c r="C13" s="9" t="n">
        <v>1233</v>
      </c>
      <c r="D13" s="10" t="n">
        <f aca="false">AVERAGE(B13:C13)</f>
        <v>1055.5</v>
      </c>
      <c r="E13" s="10" t="n">
        <f aca="false">MAX(B13:C13)</f>
        <v>1233</v>
      </c>
      <c r="F13" s="10" t="n">
        <f aca="false">B13+C13</f>
        <v>2111</v>
      </c>
      <c r="G13" s="10" t="n">
        <f aca="false">F13*26</f>
        <v>54886</v>
      </c>
      <c r="H13" s="11" t="n">
        <v>4200</v>
      </c>
      <c r="I13" s="12" t="n">
        <v>1920</v>
      </c>
      <c r="J13" s="13" t="n">
        <v>4</v>
      </c>
      <c r="K13" s="13" t="n">
        <v>2</v>
      </c>
      <c r="L13" s="14" t="n">
        <f aca="false">52/K13</f>
        <v>26</v>
      </c>
      <c r="M13" s="10" t="n">
        <f aca="false">MAX(F13*(K13/2),I13)</f>
        <v>2111</v>
      </c>
      <c r="N13" s="15" t="s">
        <v>37</v>
      </c>
      <c r="O13" s="10" t="n">
        <f aca="false">(E13-D13)/7*J13</f>
        <v>101.428571428571</v>
      </c>
      <c r="P13" s="10" t="n">
        <f aca="false">$C$5*D13</f>
        <v>158.325</v>
      </c>
      <c r="Q13" s="10" t="n">
        <f aca="false">IF(N13="Sí",P13,O13)</f>
        <v>101.428571428571</v>
      </c>
      <c r="R13" s="10" t="n">
        <f aca="false">D13/7</f>
        <v>150.785714285714</v>
      </c>
      <c r="S13" s="10" t="n">
        <f aca="false">R13*J13+Q13</f>
        <v>704.571428571429</v>
      </c>
      <c r="T13" s="16" t="n">
        <f aca="false">S13/M13</f>
        <v>0.333761927319483</v>
      </c>
      <c r="U13" s="17" t="n">
        <f aca="false">0.5*M13*$C$4*H13</f>
        <v>975282</v>
      </c>
      <c r="V13" s="17" t="n">
        <f aca="false">Q13*$C$4*H13</f>
        <v>93720</v>
      </c>
      <c r="W13" s="17" t="n">
        <f aca="false">H13*G13</f>
        <v>230521200</v>
      </c>
      <c r="X13" s="17" t="n">
        <f aca="false">$C$7*L13</f>
        <v>472727.32</v>
      </c>
      <c r="Y13" s="18" t="n">
        <f aca="false">U13+V13+W13+X13</f>
        <v>232062929.32</v>
      </c>
      <c r="Z13" s="10" t="n">
        <f aca="false">F13*(K13/2)</f>
        <v>2111</v>
      </c>
      <c r="AA13" s="19" t="str">
        <f aca="false">IF(I13&gt;=Z13,"Mínimo del proveedor (evita pagar $110.000 de flete)","Consumo del período (ya supera el mínimo)")</f>
        <v>Consumo del período (ya supera el mínimo)</v>
      </c>
    </row>
    <row r="14" customFormat="false" ht="15" hidden="false" customHeight="true" outlineLevel="0" collapsed="false">
      <c r="A14" s="8" t="s">
        <v>38</v>
      </c>
      <c r="B14" s="9" t="n">
        <v>1330</v>
      </c>
      <c r="C14" s="9" t="n">
        <v>1412</v>
      </c>
      <c r="D14" s="10" t="n">
        <f aca="false">AVERAGE(B14:C14)</f>
        <v>1371</v>
      </c>
      <c r="E14" s="10" t="n">
        <f aca="false">MAX(B14:C14)</f>
        <v>1412</v>
      </c>
      <c r="F14" s="10" t="n">
        <f aca="false">B14+C14</f>
        <v>2742</v>
      </c>
      <c r="G14" s="10" t="n">
        <f aca="false">F14*26</f>
        <v>71292</v>
      </c>
      <c r="H14" s="11" t="n">
        <v>981</v>
      </c>
      <c r="I14" s="12" t="n">
        <v>3000</v>
      </c>
      <c r="J14" s="13" t="n">
        <v>2</v>
      </c>
      <c r="K14" s="13" t="n">
        <v>2</v>
      </c>
      <c r="L14" s="14" t="n">
        <f aca="false">52/K14</f>
        <v>26</v>
      </c>
      <c r="M14" s="10" t="n">
        <f aca="false">MAX(F14*(K14/2),I14)</f>
        <v>3000</v>
      </c>
      <c r="N14" s="15" t="s">
        <v>34</v>
      </c>
      <c r="O14" s="10" t="n">
        <f aca="false">(E14-D14)/7*J14</f>
        <v>11.7142857142857</v>
      </c>
      <c r="P14" s="10" t="n">
        <f aca="false">$C$5*D14</f>
        <v>205.65</v>
      </c>
      <c r="Q14" s="10" t="n">
        <f aca="false">IF(N14="Sí",P14,O14)</f>
        <v>205.65</v>
      </c>
      <c r="R14" s="10" t="n">
        <f aca="false">D14/7</f>
        <v>195.857142857143</v>
      </c>
      <c r="S14" s="10" t="n">
        <f aca="false">R14*J14+Q14</f>
        <v>597.364285714286</v>
      </c>
      <c r="T14" s="16" t="n">
        <f aca="false">S14/M14</f>
        <v>0.199121428571429</v>
      </c>
      <c r="U14" s="17" t="n">
        <f aca="false">0.5*M14*$C$4*H14</f>
        <v>323730</v>
      </c>
      <c r="V14" s="17" t="n">
        <f aca="false">Q14*$C$4*H14</f>
        <v>44383.383</v>
      </c>
      <c r="W14" s="17" t="n">
        <f aca="false">H14*G14</f>
        <v>69937452</v>
      </c>
      <c r="X14" s="17" t="n">
        <f aca="false">$C$7*L14</f>
        <v>472727.32</v>
      </c>
      <c r="Y14" s="18" t="n">
        <f aca="false">U14+V14+W14+X14</f>
        <v>70778292.703</v>
      </c>
      <c r="Z14" s="10" t="n">
        <f aca="false">F14*(K14/2)</f>
        <v>2742</v>
      </c>
      <c r="AA14" s="19" t="str">
        <f aca="false">IF(I14&gt;=Z14,"Mínimo del proveedor (evita pagar $110.000 de flete)","Consumo del período (ya supera el mínimo)")</f>
        <v>Mínimo del proveedor (evita pagar $110.000 de flete)</v>
      </c>
    </row>
    <row r="15" customFormat="false" ht="15" hidden="false" customHeight="true" outlineLevel="0" collapsed="false">
      <c r="A15" s="8" t="s">
        <v>39</v>
      </c>
      <c r="B15" s="9" t="n">
        <v>875</v>
      </c>
      <c r="C15" s="9" t="n">
        <v>0</v>
      </c>
      <c r="D15" s="10" t="n">
        <f aca="false">AVERAGE(B15:C15)</f>
        <v>437.5</v>
      </c>
      <c r="E15" s="10" t="n">
        <f aca="false">MAX(B15:C15)</f>
        <v>875</v>
      </c>
      <c r="F15" s="10" t="n">
        <f aca="false">B15+C15</f>
        <v>875</v>
      </c>
      <c r="G15" s="10" t="n">
        <f aca="false">F15*26</f>
        <v>22750</v>
      </c>
      <c r="H15" s="11" t="n">
        <v>2000</v>
      </c>
      <c r="I15" s="12" t="n">
        <v>800</v>
      </c>
      <c r="J15" s="13" t="n">
        <v>7</v>
      </c>
      <c r="K15" s="13" t="n">
        <v>2</v>
      </c>
      <c r="L15" s="14" t="n">
        <f aca="false">52/K15</f>
        <v>26</v>
      </c>
      <c r="M15" s="10" t="n">
        <f aca="false">MAX(F15*(K15/2),I15)</f>
        <v>875</v>
      </c>
      <c r="N15" s="15" t="s">
        <v>37</v>
      </c>
      <c r="O15" s="10" t="n">
        <f aca="false">(E15-D15)/7*J15</f>
        <v>437.5</v>
      </c>
      <c r="P15" s="10" t="n">
        <f aca="false">$C$5*D15</f>
        <v>65.625</v>
      </c>
      <c r="Q15" s="10" t="n">
        <f aca="false">IF(N15="Sí",P15,O15)</f>
        <v>437.5</v>
      </c>
      <c r="R15" s="10" t="n">
        <f aca="false">D15/7</f>
        <v>62.5</v>
      </c>
      <c r="S15" s="10" t="n">
        <f aca="false">R15*J15+Q15</f>
        <v>875</v>
      </c>
      <c r="T15" s="16" t="n">
        <f aca="false">S15/M15</f>
        <v>1</v>
      </c>
      <c r="U15" s="17" t="n">
        <f aca="false">0.5*M15*$C$4*H15</f>
        <v>192500</v>
      </c>
      <c r="V15" s="17" t="n">
        <f aca="false">Q15*$C$4*H15</f>
        <v>192500</v>
      </c>
      <c r="W15" s="17" t="n">
        <f aca="false">H15*G15</f>
        <v>45500000</v>
      </c>
      <c r="X15" s="17" t="n">
        <f aca="false">$C$7*L15</f>
        <v>472727.32</v>
      </c>
      <c r="Y15" s="18" t="n">
        <f aca="false">U15+V15+W15+X15</f>
        <v>46357727.32</v>
      </c>
      <c r="Z15" s="10" t="n">
        <f aca="false">F15*(K15/2)</f>
        <v>875</v>
      </c>
      <c r="AA15" s="19" t="str">
        <f aca="false">IF(I15&gt;=Z15,"Mínimo del proveedor (evita pagar $110.000 de flete)","Consumo del período (ya supera el mínimo)")</f>
        <v>Consumo del período (ya supera el mínimo)</v>
      </c>
    </row>
    <row r="16" customFormat="false" ht="15" hidden="false" customHeight="true" outlineLevel="0" collapsed="false">
      <c r="A16" s="8" t="s">
        <v>40</v>
      </c>
      <c r="B16" s="9" t="n">
        <v>193</v>
      </c>
      <c r="C16" s="9" t="n">
        <v>435</v>
      </c>
      <c r="D16" s="10" t="n">
        <f aca="false">AVERAGE(B16:C16)</f>
        <v>314</v>
      </c>
      <c r="E16" s="10" t="n">
        <f aca="false">MAX(B16:C16)</f>
        <v>435</v>
      </c>
      <c r="F16" s="10" t="n">
        <f aca="false">B16+C16</f>
        <v>628</v>
      </c>
      <c r="G16" s="10" t="n">
        <f aca="false">F16*26</f>
        <v>16328</v>
      </c>
      <c r="H16" s="11" t="n">
        <v>1315</v>
      </c>
      <c r="I16" s="12" t="n">
        <v>180</v>
      </c>
      <c r="J16" s="13" t="n">
        <v>2</v>
      </c>
      <c r="K16" s="13" t="n">
        <v>2</v>
      </c>
      <c r="L16" s="14" t="n">
        <f aca="false">52/K16</f>
        <v>26</v>
      </c>
      <c r="M16" s="10" t="n">
        <f aca="false">MAX(F16*(K16/2),I16)</f>
        <v>628</v>
      </c>
      <c r="N16" s="15" t="s">
        <v>37</v>
      </c>
      <c r="O16" s="10" t="n">
        <f aca="false">(E16-D16)/7*J16</f>
        <v>34.5714285714286</v>
      </c>
      <c r="P16" s="10" t="n">
        <f aca="false">$C$5*D16</f>
        <v>47.1</v>
      </c>
      <c r="Q16" s="10" t="n">
        <f aca="false">IF(N16="Sí",P16,O16)</f>
        <v>34.5714285714286</v>
      </c>
      <c r="R16" s="10" t="n">
        <f aca="false">D16/7</f>
        <v>44.8571428571429</v>
      </c>
      <c r="S16" s="10" t="n">
        <f aca="false">R16*J16+Q16</f>
        <v>124.285714285714</v>
      </c>
      <c r="T16" s="16" t="n">
        <f aca="false">S16/M16</f>
        <v>0.197907188353048</v>
      </c>
      <c r="U16" s="17" t="n">
        <f aca="false">0.5*M16*$C$4*H16</f>
        <v>90840.2</v>
      </c>
      <c r="V16" s="17" t="n">
        <f aca="false">Q16*$C$4*H16</f>
        <v>10001.5142857143</v>
      </c>
      <c r="W16" s="17" t="n">
        <f aca="false">H16*G16</f>
        <v>21471320</v>
      </c>
      <c r="X16" s="17" t="n">
        <f aca="false">$C$7*L16</f>
        <v>472727.32</v>
      </c>
      <c r="Y16" s="18" t="n">
        <f aca="false">U16+V16+W16+X16</f>
        <v>22044889.0342857</v>
      </c>
      <c r="Z16" s="10" t="n">
        <f aca="false">F16*(K16/2)</f>
        <v>628</v>
      </c>
      <c r="AA16" s="19" t="str">
        <f aca="false">IF(I16&gt;=Z16,"Mínimo del proveedor (evita pagar $110.000 de flete)","Consumo del período (ya supera el mínimo)")</f>
        <v>Consumo del período (ya supera el mínimo)</v>
      </c>
    </row>
    <row r="17" customFormat="false" ht="15" hidden="false" customHeight="true" outlineLevel="0" collapsed="false">
      <c r="A17" s="8" t="s">
        <v>41</v>
      </c>
      <c r="B17" s="9" t="n">
        <v>417</v>
      </c>
      <c r="C17" s="9" t="n">
        <v>172</v>
      </c>
      <c r="D17" s="10" t="n">
        <f aca="false">AVERAGE(B17:C17)</f>
        <v>294.5</v>
      </c>
      <c r="E17" s="10" t="n">
        <f aca="false">MAX(B17:C17)</f>
        <v>417</v>
      </c>
      <c r="F17" s="10" t="n">
        <f aca="false">B17+C17</f>
        <v>589</v>
      </c>
      <c r="G17" s="10" t="n">
        <f aca="false">F17*26</f>
        <v>15314</v>
      </c>
      <c r="H17" s="11" t="n">
        <v>1380</v>
      </c>
      <c r="I17" s="12" t="n">
        <v>4000</v>
      </c>
      <c r="J17" s="13" t="n">
        <v>2</v>
      </c>
      <c r="K17" s="13" t="n">
        <v>14</v>
      </c>
      <c r="L17" s="14" t="n">
        <f aca="false">52/K17</f>
        <v>3.71428571428571</v>
      </c>
      <c r="M17" s="10" t="n">
        <f aca="false">MAX(F17*(K17/2),I17)</f>
        <v>4123</v>
      </c>
      <c r="N17" s="15" t="s">
        <v>37</v>
      </c>
      <c r="O17" s="10" t="n">
        <f aca="false">(E17-D17)/7*J17</f>
        <v>35</v>
      </c>
      <c r="P17" s="10" t="n">
        <f aca="false">$C$5*D17</f>
        <v>44.175</v>
      </c>
      <c r="Q17" s="10" t="n">
        <f aca="false">IF(N17="Sí",P17,O17)</f>
        <v>35</v>
      </c>
      <c r="R17" s="10" t="n">
        <f aca="false">D17/7</f>
        <v>42.0714285714286</v>
      </c>
      <c r="S17" s="10" t="n">
        <f aca="false">R17*J17+Q17</f>
        <v>119.142857142857</v>
      </c>
      <c r="T17" s="16" t="n">
        <f aca="false">S17/M17</f>
        <v>0.0288971276116559</v>
      </c>
      <c r="U17" s="17" t="n">
        <f aca="false">0.5*M17*$C$4*H17</f>
        <v>625871.4</v>
      </c>
      <c r="V17" s="17" t="n">
        <f aca="false">Q17*$C$4*H17</f>
        <v>10626</v>
      </c>
      <c r="W17" s="17" t="n">
        <f aca="false">H17*G17</f>
        <v>21133320</v>
      </c>
      <c r="X17" s="17" t="n">
        <f aca="false">$C$7*L17</f>
        <v>67532.4742857143</v>
      </c>
      <c r="Y17" s="18" t="n">
        <f aca="false">U17+V17+W17+X17</f>
        <v>21837349.8742857</v>
      </c>
      <c r="Z17" s="10" t="n">
        <f aca="false">F17*(K17/2)</f>
        <v>4123</v>
      </c>
      <c r="AA17" s="19" t="str">
        <f aca="false">IF(I17&gt;=Z17,"Mínimo del proveedor (evita pagar $110.000 de flete)","Consumo del período (ya supera el mínimo)")</f>
        <v>Consumo del período (ya supera el mínimo)</v>
      </c>
    </row>
    <row r="18" customFormat="false" ht="15" hidden="false" customHeight="true" outlineLevel="0" collapsed="false">
      <c r="A18" s="8" t="s">
        <v>42</v>
      </c>
      <c r="B18" s="9" t="n">
        <v>279</v>
      </c>
      <c r="C18" s="9" t="n">
        <v>246</v>
      </c>
      <c r="D18" s="10" t="n">
        <f aca="false">AVERAGE(B18:C18)</f>
        <v>262.5</v>
      </c>
      <c r="E18" s="10" t="n">
        <f aca="false">MAX(B18:C18)</f>
        <v>279</v>
      </c>
      <c r="F18" s="10" t="n">
        <f aca="false">B18+C18</f>
        <v>525</v>
      </c>
      <c r="G18" s="10" t="n">
        <f aca="false">F18*26</f>
        <v>13650</v>
      </c>
      <c r="H18" s="11" t="n">
        <v>9000</v>
      </c>
      <c r="I18" s="12" t="n">
        <v>1000</v>
      </c>
      <c r="J18" s="13" t="n">
        <v>7</v>
      </c>
      <c r="K18" s="13" t="n">
        <v>4</v>
      </c>
      <c r="L18" s="14" t="n">
        <f aca="false">52/K18</f>
        <v>13</v>
      </c>
      <c r="M18" s="10" t="n">
        <f aca="false">MAX(F18*(K18/2),I18)</f>
        <v>1050</v>
      </c>
      <c r="N18" s="15" t="s">
        <v>34</v>
      </c>
      <c r="O18" s="10" t="n">
        <f aca="false">(E18-D18)/7*J18</f>
        <v>16.5</v>
      </c>
      <c r="P18" s="10" t="n">
        <f aca="false">$C$5*D18</f>
        <v>39.375</v>
      </c>
      <c r="Q18" s="10" t="n">
        <f aca="false">IF(N18="Sí",P18,O18)</f>
        <v>39.375</v>
      </c>
      <c r="R18" s="10" t="n">
        <f aca="false">D18/7</f>
        <v>37.5</v>
      </c>
      <c r="S18" s="10" t="n">
        <f aca="false">R18*J18+Q18</f>
        <v>301.875</v>
      </c>
      <c r="T18" s="16" t="n">
        <f aca="false">S18/M18</f>
        <v>0.2875</v>
      </c>
      <c r="U18" s="17" t="n">
        <f aca="false">0.5*M18*$C$4*H18</f>
        <v>1039500</v>
      </c>
      <c r="V18" s="17" t="n">
        <f aca="false">Q18*$C$4*H18</f>
        <v>77962.5</v>
      </c>
      <c r="W18" s="17" t="n">
        <f aca="false">H18*G18</f>
        <v>122850000</v>
      </c>
      <c r="X18" s="17" t="n">
        <f aca="false">$C$7*L18</f>
        <v>236363.66</v>
      </c>
      <c r="Y18" s="18" t="n">
        <f aca="false">U18+V18+W18+X18</f>
        <v>124203826.16</v>
      </c>
      <c r="Z18" s="10" t="n">
        <f aca="false">F18*(K18/2)</f>
        <v>1050</v>
      </c>
      <c r="AA18" s="19" t="str">
        <f aca="false">IF(I18&gt;=Z18,"Mínimo del proveedor (evita pagar $110.000 de flete)","Consumo del período (ya supera el mínimo)")</f>
        <v>Consumo del período (ya supera el mínimo)</v>
      </c>
    </row>
    <row r="19" customFormat="false" ht="15" hidden="false" customHeight="true" outlineLevel="0" collapsed="false">
      <c r="A19" s="8" t="s">
        <v>43</v>
      </c>
      <c r="B19" s="9" t="n">
        <v>58</v>
      </c>
      <c r="C19" s="9" t="n">
        <v>459</v>
      </c>
      <c r="D19" s="10" t="n">
        <f aca="false">AVERAGE(B19:C19)</f>
        <v>258.5</v>
      </c>
      <c r="E19" s="10" t="n">
        <f aca="false">MAX(B19:C19)</f>
        <v>459</v>
      </c>
      <c r="F19" s="10" t="n">
        <f aca="false">B19+C19</f>
        <v>517</v>
      </c>
      <c r="G19" s="10" t="n">
        <f aca="false">F19*26</f>
        <v>13442</v>
      </c>
      <c r="H19" s="11" t="n">
        <v>5234</v>
      </c>
      <c r="I19" s="12" t="n">
        <v>500</v>
      </c>
      <c r="J19" s="13" t="n">
        <v>7</v>
      </c>
      <c r="K19" s="13" t="n">
        <v>2</v>
      </c>
      <c r="L19" s="14" t="n">
        <f aca="false">52/K19</f>
        <v>26</v>
      </c>
      <c r="M19" s="10" t="n">
        <f aca="false">MAX(F19*(K19/2),I19)</f>
        <v>517</v>
      </c>
      <c r="N19" s="15" t="s">
        <v>37</v>
      </c>
      <c r="O19" s="10" t="n">
        <f aca="false">(E19-D19)/7*J19</f>
        <v>200.5</v>
      </c>
      <c r="P19" s="10" t="n">
        <f aca="false">$C$5*D19</f>
        <v>38.775</v>
      </c>
      <c r="Q19" s="10" t="n">
        <f aca="false">IF(N19="Sí",P19,O19)</f>
        <v>200.5</v>
      </c>
      <c r="R19" s="10" t="n">
        <f aca="false">D19/7</f>
        <v>36.9285714285714</v>
      </c>
      <c r="S19" s="10" t="n">
        <f aca="false">R19*J19+Q19</f>
        <v>459</v>
      </c>
      <c r="T19" s="16" t="n">
        <f aca="false">S19/M19</f>
        <v>0.887814313346228</v>
      </c>
      <c r="U19" s="17" t="n">
        <f aca="false">0.5*M19*$C$4*H19</f>
        <v>297657.58</v>
      </c>
      <c r="V19" s="17" t="n">
        <f aca="false">Q19*$C$4*H19</f>
        <v>230871.74</v>
      </c>
      <c r="W19" s="17" t="n">
        <f aca="false">H19*G19</f>
        <v>70355428</v>
      </c>
      <c r="X19" s="17" t="n">
        <f aca="false">$C$7*L19</f>
        <v>472727.32</v>
      </c>
      <c r="Y19" s="18" t="n">
        <f aca="false">U19+V19+W19+X19</f>
        <v>71356684.64</v>
      </c>
      <c r="Z19" s="10" t="n">
        <f aca="false">F19*(K19/2)</f>
        <v>517</v>
      </c>
      <c r="AA19" s="19" t="str">
        <f aca="false">IF(I19&gt;=Z19,"Mínimo del proveedor (evita pagar $110.000 de flete)","Consumo del período (ya supera el mínimo)")</f>
        <v>Consumo del período (ya supera el mínimo)</v>
      </c>
    </row>
    <row r="20" customFormat="false" ht="15" hidden="false" customHeight="true" outlineLevel="0" collapsed="false">
      <c r="A20" s="20" t="s">
        <v>44</v>
      </c>
      <c r="B20" s="21"/>
      <c r="C20" s="21"/>
      <c r="D20" s="21"/>
      <c r="E20" s="21"/>
      <c r="F20" s="21"/>
      <c r="G20" s="21"/>
      <c r="H20" s="22"/>
      <c r="I20" s="23"/>
      <c r="J20" s="24"/>
      <c r="K20" s="24"/>
      <c r="L20" s="25"/>
      <c r="M20" s="21"/>
      <c r="N20" s="26"/>
      <c r="O20" s="21"/>
      <c r="P20" s="21"/>
      <c r="Q20" s="21"/>
      <c r="R20" s="21"/>
      <c r="S20" s="21"/>
      <c r="T20" s="27"/>
      <c r="U20" s="28" t="n">
        <f aca="false">SUM(U11:U19)</f>
        <v>4320881.18</v>
      </c>
      <c r="V20" s="28" t="n">
        <f aca="false">SUM(V11:V19)</f>
        <v>770873.362285714</v>
      </c>
      <c r="W20" s="28" t="n">
        <f aca="false">SUM(W11:W19)</f>
        <v>756375620</v>
      </c>
      <c r="X20" s="28" t="n">
        <f aca="false">SUM(X11:X19)</f>
        <v>3612987.37428571</v>
      </c>
      <c r="Y20" s="28" t="n">
        <f aca="false">SUM(Y11:Y19)</f>
        <v>765080361.916571</v>
      </c>
    </row>
    <row r="23" customFormat="false" ht="15" hidden="false" customHeight="true" outlineLevel="0" collapsed="false">
      <c r="A23" s="3" t="s">
        <v>45</v>
      </c>
    </row>
    <row r="24" customFormat="false" ht="15" hidden="false" customHeight="true" outlineLevel="0" collapsed="false">
      <c r="A24" s="29" t="s">
        <v>46</v>
      </c>
    </row>
    <row r="25" customFormat="false" ht="15" hidden="false" customHeight="true" outlineLevel="0" collapsed="false">
      <c r="A25" s="4" t="s">
        <v>47</v>
      </c>
    </row>
    <row r="26" customFormat="false" ht="15" hidden="false" customHeight="true" outlineLevel="0" collapsed="false">
      <c r="A26" s="4" t="s">
        <v>48</v>
      </c>
    </row>
    <row r="27" customFormat="false" ht="15" hidden="false" customHeight="true" outlineLevel="0" collapsed="false">
      <c r="A27" s="4" t="s">
        <v>49</v>
      </c>
    </row>
    <row r="28" customFormat="false" ht="15" hidden="false" customHeight="true" outlineLevel="0" collapsed="false">
      <c r="A28" s="4" t="s">
        <v>50</v>
      </c>
    </row>
  </sheetData>
  <mergeCells count="1">
    <mergeCell ref="A1:Y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
    <col collapsed="false" customWidth="true" hidden="false" outlineLevel="0" max="3" min="3" style="0" width="12"/>
    <col collapsed="false" customWidth="true" hidden="false" outlineLevel="0" max="4" min="4" style="0" width="11"/>
    <col collapsed="false" customWidth="true" hidden="false" outlineLevel="0" max="5" min="5" style="0" width="12"/>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0" min="10" style="0" width="13"/>
    <col collapsed="false" customWidth="true" hidden="false" outlineLevel="0" max="12" min="11" style="0" width="12"/>
    <col collapsed="false" customWidth="true" hidden="false" outlineLevel="0" max="13" min="13" style="0" width="11"/>
    <col collapsed="false" customWidth="true" hidden="false" outlineLevel="0" max="14" min="14" style="0" width="10"/>
    <col collapsed="false" customWidth="true" hidden="false" outlineLevel="0" max="15" min="15" style="0" width="11"/>
    <col collapsed="false" customWidth="true" hidden="false" outlineLevel="0" max="18" min="16" style="0" width="13"/>
    <col collapsed="false" customWidth="true" hidden="false" outlineLevel="0" max="19" min="19" style="0" width="11"/>
  </cols>
  <sheetData>
    <row r="1" customFormat="false" ht="17.35" hidden="false" customHeight="false" outlineLevel="0" collapsed="false">
      <c r="A1" s="30" t="s">
        <v>51</v>
      </c>
      <c r="B1" s="30"/>
      <c r="C1" s="30"/>
      <c r="D1" s="30"/>
      <c r="E1" s="30"/>
      <c r="F1" s="30"/>
      <c r="G1" s="30"/>
      <c r="H1" s="30"/>
      <c r="I1" s="30"/>
      <c r="J1" s="30"/>
      <c r="K1" s="30"/>
      <c r="L1" s="30"/>
      <c r="M1" s="30"/>
      <c r="N1" s="30"/>
      <c r="O1" s="30"/>
      <c r="P1" s="30"/>
      <c r="Q1" s="30"/>
      <c r="R1" s="30"/>
      <c r="S1" s="30"/>
    </row>
    <row r="3" customFormat="false" ht="30" hidden="false" customHeight="true" outlineLevel="0" collapsed="false">
      <c r="A3" s="31" t="s">
        <v>52</v>
      </c>
      <c r="B3" s="31"/>
      <c r="C3" s="31"/>
      <c r="D3" s="31"/>
      <c r="E3" s="31"/>
      <c r="F3" s="31"/>
      <c r="G3" s="31"/>
      <c r="H3" s="31"/>
      <c r="I3" s="31"/>
      <c r="J3" s="31"/>
      <c r="K3" s="31"/>
      <c r="L3" s="31"/>
      <c r="M3" s="31"/>
      <c r="N3" s="31"/>
      <c r="O3" s="31"/>
      <c r="P3" s="31"/>
      <c r="Q3" s="31"/>
      <c r="R3" s="31"/>
      <c r="S3" s="31"/>
    </row>
    <row r="6" customFormat="false" ht="48" hidden="false" customHeight="true" outlineLevel="0" collapsed="false">
      <c r="A6" s="7" t="s">
        <v>6</v>
      </c>
      <c r="B6" s="7" t="s">
        <v>11</v>
      </c>
      <c r="C6" s="7" t="s">
        <v>53</v>
      </c>
      <c r="D6" s="7" t="s">
        <v>13</v>
      </c>
      <c r="E6" s="7" t="s">
        <v>54</v>
      </c>
      <c r="F6" s="7" t="s">
        <v>55</v>
      </c>
      <c r="G6" s="7" t="s">
        <v>56</v>
      </c>
      <c r="H6" s="7" t="s">
        <v>57</v>
      </c>
      <c r="I6" s="7" t="s">
        <v>58</v>
      </c>
      <c r="J6" s="7" t="s">
        <v>59</v>
      </c>
      <c r="K6" s="7" t="s">
        <v>60</v>
      </c>
      <c r="L6" s="7" t="s">
        <v>61</v>
      </c>
      <c r="M6" s="7" t="s">
        <v>62</v>
      </c>
      <c r="N6" s="7" t="s">
        <v>63</v>
      </c>
      <c r="O6" s="7" t="s">
        <v>64</v>
      </c>
      <c r="P6" s="7" t="s">
        <v>65</v>
      </c>
      <c r="Q6" s="7" t="s">
        <v>66</v>
      </c>
      <c r="R6" s="7" t="s">
        <v>67</v>
      </c>
      <c r="S6" s="7" t="s">
        <v>68</v>
      </c>
    </row>
    <row r="7" customFormat="false" ht="15" hidden="false" customHeight="false" outlineLevel="0" collapsed="false">
      <c r="A7" s="8" t="str">
        <f aca="false">'Lote Óptimo MP'!A11</f>
        <v>Fécula de maíz</v>
      </c>
      <c r="B7" s="10" t="n">
        <f aca="false">'Lote Óptimo MP'!F11</f>
        <v>4647</v>
      </c>
      <c r="C7" s="32" t="n">
        <f aca="false">'Lote Óptimo MP'!I11</f>
        <v>5000</v>
      </c>
      <c r="D7" s="33" t="n">
        <f aca="false">'Lote Óptimo MP'!H11</f>
        <v>850</v>
      </c>
      <c r="E7" s="10" t="n">
        <f aca="false">'Lote Óptimo MP'!M11</f>
        <v>5000</v>
      </c>
      <c r="F7" s="34" t="n">
        <f aca="false">'Lote Óptimo MP'!K11</f>
        <v>2</v>
      </c>
      <c r="G7" s="14" t="n">
        <f aca="false">52/F7</f>
        <v>26</v>
      </c>
      <c r="H7" s="33" t="n">
        <f aca="false">0.5*E7*'Lote Óptimo MP'!$C$4*D7</f>
        <v>467500</v>
      </c>
      <c r="I7" s="33" t="n">
        <f aca="false">'Lote Óptimo MP'!$C$7*G7</f>
        <v>472727.32</v>
      </c>
      <c r="J7" s="35" t="n">
        <f aca="false">H7+I7</f>
        <v>940227.32</v>
      </c>
      <c r="K7" s="34" t="n">
        <v>26</v>
      </c>
      <c r="L7" s="33" t="n">
        <f aca="false">0.5*B7*'Lote Óptimo MP'!$C$4*D7</f>
        <v>434494.5</v>
      </c>
      <c r="M7" s="33" t="n">
        <f aca="false">'Lote Óptimo MP'!$C$7*K7</f>
        <v>472727.32</v>
      </c>
      <c r="N7" s="36" t="str">
        <f aca="false">IF(B7&lt;C7,"Sí","No")</f>
        <v>Sí</v>
      </c>
      <c r="O7" s="34" t="n">
        <f aca="false">IF(N7="Sí",K7,0)</f>
        <v>26</v>
      </c>
      <c r="P7" s="33" t="n">
        <f aca="false">O7*'Lote Óptimo MP'!$C$6</f>
        <v>2860000</v>
      </c>
      <c r="Q7" s="35" t="n">
        <f aca="false">L7+M7+P7</f>
        <v>3767221.82</v>
      </c>
      <c r="R7" s="35" t="n">
        <f aca="false">Q7-J7</f>
        <v>2826994.5</v>
      </c>
      <c r="S7" s="37" t="n">
        <f aca="false">IF(J7=0,0,R7/J7)</f>
        <v>3.00671384447752</v>
      </c>
    </row>
    <row r="8" customFormat="false" ht="15" hidden="false" customHeight="false" outlineLevel="0" collapsed="false">
      <c r="A8" s="8" t="str">
        <f aca="false">'Lote Óptimo MP'!A12</f>
        <v>Harina de arroz</v>
      </c>
      <c r="B8" s="10" t="n">
        <f aca="false">'Lote Óptimo MP'!F12</f>
        <v>3951</v>
      </c>
      <c r="C8" s="32" t="n">
        <f aca="false">'Lote Óptimo MP'!I12</f>
        <v>4000</v>
      </c>
      <c r="D8" s="33" t="n">
        <f aca="false">'Lote Óptimo MP'!H12</f>
        <v>700</v>
      </c>
      <c r="E8" s="10" t="n">
        <f aca="false">'Lote Óptimo MP'!M12</f>
        <v>4000</v>
      </c>
      <c r="F8" s="34" t="n">
        <f aca="false">'Lote Óptimo MP'!K12</f>
        <v>2</v>
      </c>
      <c r="G8" s="14" t="n">
        <f aca="false">52/F8</f>
        <v>26</v>
      </c>
      <c r="H8" s="33" t="n">
        <f aca="false">0.5*E8*'Lote Óptimo MP'!$C$4*D8</f>
        <v>308000</v>
      </c>
      <c r="I8" s="33" t="n">
        <f aca="false">'Lote Óptimo MP'!$C$7*G8</f>
        <v>472727.32</v>
      </c>
      <c r="J8" s="35" t="n">
        <f aca="false">H8+I8</f>
        <v>780727.32</v>
      </c>
      <c r="K8" s="34" t="n">
        <v>26</v>
      </c>
      <c r="L8" s="33" t="n">
        <f aca="false">0.5*B8*'Lote Óptimo MP'!$C$4*D8</f>
        <v>304227</v>
      </c>
      <c r="M8" s="33" t="n">
        <f aca="false">'Lote Óptimo MP'!$C$7*K8</f>
        <v>472727.32</v>
      </c>
      <c r="N8" s="36" t="str">
        <f aca="false">IF(B8&lt;C8,"Sí","No")</f>
        <v>Sí</v>
      </c>
      <c r="O8" s="34" t="n">
        <f aca="false">IF(N8="Sí",K8,0)</f>
        <v>26</v>
      </c>
      <c r="P8" s="33" t="n">
        <f aca="false">O8*'Lote Óptimo MP'!$C$6</f>
        <v>2860000</v>
      </c>
      <c r="Q8" s="35" t="n">
        <f aca="false">L8+M8+P8</f>
        <v>3636954.32</v>
      </c>
      <c r="R8" s="35" t="n">
        <f aca="false">Q8-J8</f>
        <v>2856227</v>
      </c>
      <c r="S8" s="37" t="n">
        <f aca="false">IF(J8=0,0,R8/J8)</f>
        <v>3.65841815296024</v>
      </c>
    </row>
    <row r="9" customFormat="false" ht="15" hidden="false" customHeight="false" outlineLevel="0" collapsed="false">
      <c r="A9" s="8" t="str">
        <f aca="false">'Lote Óptimo MP'!A13</f>
        <v>Aceite vegetal interesterificado</v>
      </c>
      <c r="B9" s="10" t="n">
        <f aca="false">'Lote Óptimo MP'!F13</f>
        <v>2111</v>
      </c>
      <c r="C9" s="32" t="n">
        <f aca="false">'Lote Óptimo MP'!I13</f>
        <v>1920</v>
      </c>
      <c r="D9" s="33" t="n">
        <f aca="false">'Lote Óptimo MP'!H13</f>
        <v>4200</v>
      </c>
      <c r="E9" s="10" t="n">
        <f aca="false">'Lote Óptimo MP'!M13</f>
        <v>2111</v>
      </c>
      <c r="F9" s="34" t="n">
        <f aca="false">'Lote Óptimo MP'!K13</f>
        <v>2</v>
      </c>
      <c r="G9" s="14" t="n">
        <f aca="false">52/F9</f>
        <v>26</v>
      </c>
      <c r="H9" s="33" t="n">
        <f aca="false">0.5*E9*'Lote Óptimo MP'!$C$4*D9</f>
        <v>975282</v>
      </c>
      <c r="I9" s="33" t="n">
        <f aca="false">'Lote Óptimo MP'!$C$7*G9</f>
        <v>472727.32</v>
      </c>
      <c r="J9" s="35" t="n">
        <f aca="false">H9+I9</f>
        <v>1448009.32</v>
      </c>
      <c r="K9" s="34" t="n">
        <v>26</v>
      </c>
      <c r="L9" s="33" t="n">
        <f aca="false">0.5*B9*'Lote Óptimo MP'!$C$4*D9</f>
        <v>975282</v>
      </c>
      <c r="M9" s="33" t="n">
        <f aca="false">'Lote Óptimo MP'!$C$7*K9</f>
        <v>472727.32</v>
      </c>
      <c r="N9" s="36" t="str">
        <f aca="false">IF(B9&lt;C9,"Sí","No")</f>
        <v>No</v>
      </c>
      <c r="O9" s="34" t="n">
        <f aca="false">IF(N9="Sí",K9,0)</f>
        <v>0</v>
      </c>
      <c r="P9" s="33" t="n">
        <f aca="false">O9*'Lote Óptimo MP'!$C$6</f>
        <v>0</v>
      </c>
      <c r="Q9" s="35" t="n">
        <f aca="false">L9+M9+P9</f>
        <v>1448009.32</v>
      </c>
      <c r="R9" s="35" t="n">
        <f aca="false">Q9-J9</f>
        <v>0</v>
      </c>
      <c r="S9" s="37" t="n">
        <f aca="false">IF(J9=0,0,R9/J9)</f>
        <v>0</v>
      </c>
    </row>
    <row r="10" customFormat="false" ht="15" hidden="false" customHeight="false" outlineLevel="0" collapsed="false">
      <c r="A10" s="8" t="str">
        <f aca="false">'Lote Óptimo MP'!A14</f>
        <v>Azúcar</v>
      </c>
      <c r="B10" s="10" t="n">
        <f aca="false">'Lote Óptimo MP'!F14</f>
        <v>2742</v>
      </c>
      <c r="C10" s="32" t="n">
        <f aca="false">'Lote Óptimo MP'!I14</f>
        <v>3000</v>
      </c>
      <c r="D10" s="33" t="n">
        <f aca="false">'Lote Óptimo MP'!H14</f>
        <v>981</v>
      </c>
      <c r="E10" s="10" t="n">
        <f aca="false">'Lote Óptimo MP'!M14</f>
        <v>3000</v>
      </c>
      <c r="F10" s="34" t="n">
        <f aca="false">'Lote Óptimo MP'!K14</f>
        <v>2</v>
      </c>
      <c r="G10" s="14" t="n">
        <f aca="false">52/F10</f>
        <v>26</v>
      </c>
      <c r="H10" s="33" t="n">
        <f aca="false">0.5*E10*'Lote Óptimo MP'!$C$4*D10</f>
        <v>323730</v>
      </c>
      <c r="I10" s="33" t="n">
        <f aca="false">'Lote Óptimo MP'!$C$7*G10</f>
        <v>472727.32</v>
      </c>
      <c r="J10" s="35" t="n">
        <f aca="false">H10+I10</f>
        <v>796457.32</v>
      </c>
      <c r="K10" s="34" t="n">
        <v>26</v>
      </c>
      <c r="L10" s="33" t="n">
        <f aca="false">0.5*B10*'Lote Óptimo MP'!$C$4*D10</f>
        <v>295889.22</v>
      </c>
      <c r="M10" s="33" t="n">
        <f aca="false">'Lote Óptimo MP'!$C$7*K10</f>
        <v>472727.32</v>
      </c>
      <c r="N10" s="36" t="str">
        <f aca="false">IF(B10&lt;C10,"Sí","No")</f>
        <v>Sí</v>
      </c>
      <c r="O10" s="34" t="n">
        <f aca="false">IF(N10="Sí",K10,0)</f>
        <v>26</v>
      </c>
      <c r="P10" s="33" t="n">
        <f aca="false">O10*'Lote Óptimo MP'!$C$6</f>
        <v>2860000</v>
      </c>
      <c r="Q10" s="35" t="n">
        <f aca="false">L10+M10+P10</f>
        <v>3628616.54</v>
      </c>
      <c r="R10" s="35" t="n">
        <f aca="false">Q10-J10</f>
        <v>2832159.22</v>
      </c>
      <c r="S10" s="37" t="n">
        <f aca="false">IF(J10=0,0,R10/J10)</f>
        <v>3.55594599846229</v>
      </c>
    </row>
    <row r="11" customFormat="false" ht="15" hidden="false" customHeight="false" outlineLevel="0" collapsed="false">
      <c r="A11" s="8" t="str">
        <f aca="false">'Lote Óptimo MP'!A15</f>
        <v>Mermelada de batata</v>
      </c>
      <c r="B11" s="10" t="n">
        <f aca="false">'Lote Óptimo MP'!F15</f>
        <v>875</v>
      </c>
      <c r="C11" s="32" t="n">
        <f aca="false">'Lote Óptimo MP'!I15</f>
        <v>800</v>
      </c>
      <c r="D11" s="33" t="n">
        <f aca="false">'Lote Óptimo MP'!H15</f>
        <v>2000</v>
      </c>
      <c r="E11" s="10" t="n">
        <f aca="false">'Lote Óptimo MP'!M15</f>
        <v>875</v>
      </c>
      <c r="F11" s="34" t="n">
        <f aca="false">'Lote Óptimo MP'!K15</f>
        <v>2</v>
      </c>
      <c r="G11" s="14" t="n">
        <f aca="false">52/F11</f>
        <v>26</v>
      </c>
      <c r="H11" s="33" t="n">
        <f aca="false">0.5*E11*'Lote Óptimo MP'!$C$4*D11</f>
        <v>192500</v>
      </c>
      <c r="I11" s="33" t="n">
        <f aca="false">'Lote Óptimo MP'!$C$7*G11</f>
        <v>472727.32</v>
      </c>
      <c r="J11" s="35" t="n">
        <f aca="false">H11+I11</f>
        <v>665227.32</v>
      </c>
      <c r="K11" s="34" t="n">
        <v>26</v>
      </c>
      <c r="L11" s="33" t="n">
        <f aca="false">0.5*B11*'Lote Óptimo MP'!$C$4*D11</f>
        <v>192500</v>
      </c>
      <c r="M11" s="33" t="n">
        <f aca="false">'Lote Óptimo MP'!$C$7*K11</f>
        <v>472727.32</v>
      </c>
      <c r="N11" s="36" t="str">
        <f aca="false">IF(B11&lt;C11,"Sí","No")</f>
        <v>No</v>
      </c>
      <c r="O11" s="34" t="n">
        <f aca="false">IF(N11="Sí",K11,0)</f>
        <v>0</v>
      </c>
      <c r="P11" s="33" t="n">
        <f aca="false">O11*'Lote Óptimo MP'!$C$6</f>
        <v>0</v>
      </c>
      <c r="Q11" s="35" t="n">
        <f aca="false">L11+M11+P11</f>
        <v>665227.32</v>
      </c>
      <c r="R11" s="35" t="n">
        <f aca="false">Q11-J11</f>
        <v>0</v>
      </c>
      <c r="S11" s="37" t="n">
        <f aca="false">IF(J11=0,0,R11/J11)</f>
        <v>0</v>
      </c>
    </row>
    <row r="12" customFormat="false" ht="15" hidden="false" customHeight="false" outlineLevel="0" collapsed="false">
      <c r="A12" s="8" t="str">
        <f aca="false">'Lote Óptimo MP'!A16</f>
        <v>Jarabe de glucosa</v>
      </c>
      <c r="B12" s="10" t="n">
        <f aca="false">'Lote Óptimo MP'!F16</f>
        <v>628</v>
      </c>
      <c r="C12" s="32" t="n">
        <f aca="false">'Lote Óptimo MP'!I16</f>
        <v>180</v>
      </c>
      <c r="D12" s="33" t="n">
        <f aca="false">'Lote Óptimo MP'!H16</f>
        <v>1315</v>
      </c>
      <c r="E12" s="10" t="n">
        <f aca="false">'Lote Óptimo MP'!M16</f>
        <v>628</v>
      </c>
      <c r="F12" s="34" t="n">
        <f aca="false">'Lote Óptimo MP'!K16</f>
        <v>2</v>
      </c>
      <c r="G12" s="14" t="n">
        <f aca="false">52/F12</f>
        <v>26</v>
      </c>
      <c r="H12" s="33" t="n">
        <f aca="false">0.5*E12*'Lote Óptimo MP'!$C$4*D12</f>
        <v>90840.2</v>
      </c>
      <c r="I12" s="33" t="n">
        <f aca="false">'Lote Óptimo MP'!$C$7*G12</f>
        <v>472727.32</v>
      </c>
      <c r="J12" s="35" t="n">
        <f aca="false">H12+I12</f>
        <v>563567.52</v>
      </c>
      <c r="K12" s="34" t="n">
        <v>26</v>
      </c>
      <c r="L12" s="33" t="n">
        <f aca="false">0.5*B12*'Lote Óptimo MP'!$C$4*D12</f>
        <v>90840.2</v>
      </c>
      <c r="M12" s="33" t="n">
        <f aca="false">'Lote Óptimo MP'!$C$7*K12</f>
        <v>472727.32</v>
      </c>
      <c r="N12" s="36" t="str">
        <f aca="false">IF(B12&lt;C12,"Sí","No")</f>
        <v>No</v>
      </c>
      <c r="O12" s="34" t="n">
        <f aca="false">IF(N12="Sí",K12,0)</f>
        <v>0</v>
      </c>
      <c r="P12" s="33" t="n">
        <f aca="false">O12*'Lote Óptimo MP'!$C$6</f>
        <v>0</v>
      </c>
      <c r="Q12" s="35" t="n">
        <f aca="false">L12+M12+P12</f>
        <v>563567.52</v>
      </c>
      <c r="R12" s="35" t="n">
        <f aca="false">Q12-J12</f>
        <v>0</v>
      </c>
      <c r="S12" s="37" t="n">
        <f aca="false">IF(J12=0,0,R12/J12)</f>
        <v>0</v>
      </c>
    </row>
    <row r="13" customFormat="false" ht="15" hidden="false" customHeight="false" outlineLevel="0" collapsed="false">
      <c r="A13" s="8" t="str">
        <f aca="false">'Lote Óptimo MP'!A17</f>
        <v>Fécula de mandioca</v>
      </c>
      <c r="B13" s="10" t="n">
        <f aca="false">'Lote Óptimo MP'!F17</f>
        <v>589</v>
      </c>
      <c r="C13" s="32" t="n">
        <f aca="false">'Lote Óptimo MP'!I17</f>
        <v>4000</v>
      </c>
      <c r="D13" s="33" t="n">
        <f aca="false">'Lote Óptimo MP'!H17</f>
        <v>1380</v>
      </c>
      <c r="E13" s="10" t="n">
        <f aca="false">'Lote Óptimo MP'!M17</f>
        <v>4123</v>
      </c>
      <c r="F13" s="34" t="n">
        <f aca="false">'Lote Óptimo MP'!K17</f>
        <v>14</v>
      </c>
      <c r="G13" s="14" t="n">
        <f aca="false">52/F13</f>
        <v>3.71428571428571</v>
      </c>
      <c r="H13" s="33" t="n">
        <f aca="false">0.5*E13*'Lote Óptimo MP'!$C$4*D13</f>
        <v>625871.4</v>
      </c>
      <c r="I13" s="33" t="n">
        <f aca="false">'Lote Óptimo MP'!$C$7*G13</f>
        <v>67532.4742857143</v>
      </c>
      <c r="J13" s="35" t="n">
        <f aca="false">H13+I13</f>
        <v>693403.874285714</v>
      </c>
      <c r="K13" s="34" t="n">
        <v>26</v>
      </c>
      <c r="L13" s="33" t="n">
        <f aca="false">0.5*B13*'Lote Óptimo MP'!$C$4*D13</f>
        <v>89410.2</v>
      </c>
      <c r="M13" s="33" t="n">
        <f aca="false">'Lote Óptimo MP'!$C$7*K13</f>
        <v>472727.32</v>
      </c>
      <c r="N13" s="36" t="str">
        <f aca="false">IF(B13&lt;C13,"Sí","No")</f>
        <v>Sí</v>
      </c>
      <c r="O13" s="34" t="n">
        <f aca="false">IF(N13="Sí",K13,0)</f>
        <v>26</v>
      </c>
      <c r="P13" s="33" t="n">
        <f aca="false">O13*'Lote Óptimo MP'!$C$6</f>
        <v>2860000</v>
      </c>
      <c r="Q13" s="35" t="n">
        <f aca="false">L13+M13+P13</f>
        <v>3422137.52</v>
      </c>
      <c r="R13" s="35" t="n">
        <f aca="false">Q13-J13</f>
        <v>2728733.64571429</v>
      </c>
      <c r="S13" s="37" t="n">
        <f aca="false">IF(J13=0,0,R13/J13)</f>
        <v>3.93527314586351</v>
      </c>
    </row>
    <row r="14" customFormat="false" ht="15" hidden="false" customHeight="false" outlineLevel="0" collapsed="false">
      <c r="A14" s="8" t="str">
        <f aca="false">'Lote Óptimo MP'!A18</f>
        <v>Cacao alcalino</v>
      </c>
      <c r="B14" s="10" t="n">
        <f aca="false">'Lote Óptimo MP'!F18</f>
        <v>525</v>
      </c>
      <c r="C14" s="32" t="n">
        <f aca="false">'Lote Óptimo MP'!I18</f>
        <v>1000</v>
      </c>
      <c r="D14" s="33" t="n">
        <f aca="false">'Lote Óptimo MP'!H18</f>
        <v>9000</v>
      </c>
      <c r="E14" s="10" t="n">
        <f aca="false">'Lote Óptimo MP'!M18</f>
        <v>1050</v>
      </c>
      <c r="F14" s="34" t="n">
        <f aca="false">'Lote Óptimo MP'!K18</f>
        <v>4</v>
      </c>
      <c r="G14" s="14" t="n">
        <f aca="false">52/F14</f>
        <v>13</v>
      </c>
      <c r="H14" s="33" t="n">
        <f aca="false">0.5*E14*'Lote Óptimo MP'!$C$4*D14</f>
        <v>1039500</v>
      </c>
      <c r="I14" s="33" t="n">
        <f aca="false">'Lote Óptimo MP'!$C$7*G14</f>
        <v>236363.66</v>
      </c>
      <c r="J14" s="35" t="n">
        <f aca="false">H14+I14</f>
        <v>1275863.66</v>
      </c>
      <c r="K14" s="34" t="n">
        <v>26</v>
      </c>
      <c r="L14" s="33" t="n">
        <f aca="false">0.5*B14*'Lote Óptimo MP'!$C$4*D14</f>
        <v>519750</v>
      </c>
      <c r="M14" s="33" t="n">
        <f aca="false">'Lote Óptimo MP'!$C$7*K14</f>
        <v>472727.32</v>
      </c>
      <c r="N14" s="36" t="str">
        <f aca="false">IF(B14&lt;C14,"Sí","No")</f>
        <v>Sí</v>
      </c>
      <c r="O14" s="34" t="n">
        <f aca="false">IF(N14="Sí",K14,0)</f>
        <v>26</v>
      </c>
      <c r="P14" s="33" t="n">
        <f aca="false">O14*'Lote Óptimo MP'!$C$6</f>
        <v>2860000</v>
      </c>
      <c r="Q14" s="35" t="n">
        <f aca="false">L14+M14+P14</f>
        <v>3852477.32</v>
      </c>
      <c r="R14" s="35" t="n">
        <f aca="false">Q14-J14</f>
        <v>2576613.66</v>
      </c>
      <c r="S14" s="37" t="n">
        <f aca="false">IF(J14=0,0,R14/J14)</f>
        <v>2.01950548540586</v>
      </c>
    </row>
    <row r="15" customFormat="false" ht="15" hidden="false" customHeight="false" outlineLevel="0" collapsed="false">
      <c r="A15" s="8" t="str">
        <f aca="false">'Lote Óptimo MP'!A19</f>
        <v>Chips de chocolate</v>
      </c>
      <c r="B15" s="10" t="n">
        <f aca="false">'Lote Óptimo MP'!F19</f>
        <v>517</v>
      </c>
      <c r="C15" s="32" t="n">
        <f aca="false">'Lote Óptimo MP'!I19</f>
        <v>500</v>
      </c>
      <c r="D15" s="33" t="n">
        <f aca="false">'Lote Óptimo MP'!H19</f>
        <v>5234</v>
      </c>
      <c r="E15" s="10" t="n">
        <f aca="false">'Lote Óptimo MP'!M19</f>
        <v>517</v>
      </c>
      <c r="F15" s="34" t="n">
        <f aca="false">'Lote Óptimo MP'!K19</f>
        <v>2</v>
      </c>
      <c r="G15" s="14" t="n">
        <f aca="false">52/F15</f>
        <v>26</v>
      </c>
      <c r="H15" s="33" t="n">
        <f aca="false">0.5*E15*'Lote Óptimo MP'!$C$4*D15</f>
        <v>297657.58</v>
      </c>
      <c r="I15" s="33" t="n">
        <f aca="false">'Lote Óptimo MP'!$C$7*G15</f>
        <v>472727.32</v>
      </c>
      <c r="J15" s="35" t="n">
        <f aca="false">H15+I15</f>
        <v>770384.9</v>
      </c>
      <c r="K15" s="34" t="n">
        <v>26</v>
      </c>
      <c r="L15" s="33" t="n">
        <f aca="false">0.5*B15*'Lote Óptimo MP'!$C$4*D15</f>
        <v>297657.58</v>
      </c>
      <c r="M15" s="33" t="n">
        <f aca="false">'Lote Óptimo MP'!$C$7*K15</f>
        <v>472727.32</v>
      </c>
      <c r="N15" s="36" t="str">
        <f aca="false">IF(B15&lt;C15,"Sí","No")</f>
        <v>No</v>
      </c>
      <c r="O15" s="34" t="n">
        <f aca="false">IF(N15="Sí",K15,0)</f>
        <v>0</v>
      </c>
      <c r="P15" s="33" t="n">
        <f aca="false">O15*'Lote Óptimo MP'!$C$6</f>
        <v>0</v>
      </c>
      <c r="Q15" s="35" t="n">
        <f aca="false">L15+M15+P15</f>
        <v>770384.9</v>
      </c>
      <c r="R15" s="35" t="n">
        <f aca="false">Q15-J15</f>
        <v>0</v>
      </c>
      <c r="S15" s="37" t="n">
        <f aca="false">IF(J15=0,0,R15/J15)</f>
        <v>0</v>
      </c>
    </row>
    <row r="18" customFormat="false" ht="15" hidden="false" customHeight="false" outlineLevel="0" collapsed="false">
      <c r="A18" s="38" t="s">
        <v>69</v>
      </c>
    </row>
    <row r="19" customFormat="false" ht="15" hidden="false" customHeight="false" outlineLevel="0" collapsed="false">
      <c r="A19" s="38" t="s">
        <v>70</v>
      </c>
    </row>
  </sheetData>
  <mergeCells count="2">
    <mergeCell ref="A1:S1"/>
    <mergeCell ref="A3:S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2026-08-31T19:33:06Z</dcterms:created>
  <dc:creator>openpyxl</dc:creator>
  <dc:description/>
  <dc:language>en-US</dc:language>
  <cp:lastModifiedBy/>
  <dcterms:modified xsi:type="dcterms:W3CDTF">2026-09-01T19:02:26Z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