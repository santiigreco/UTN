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ción Escenarios" sheetId="1" r:id="rId4"/>
  </sheets>
  <definedNames/>
  <calcPr/>
  <extLst>
    <ext uri="GoogleSheetsCustomDataVersion2">
      <go:sheetsCustomData xmlns:go="http://customooxmlschemas.google.com/" r:id="rId5" roundtripDataChecksum="w97f2NUfKUD+7mBvGgIsu9SAtmiRWKnSVaj+fppNN4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======
ID#AAACGgwKhPc
Unknown Author    (2026-09-07 00:09:51)
Valor tomado de 'Calculos_vf.xlsx' (fórmula original: =COUNT(Planificación!$G$33:$J$35))</t>
      </text>
    </comment>
    <comment authorId="0" ref="C24">
      <text>
        <t xml:space="preserve">======
ID#AAACGgwKhPg
Unknown Author    (2026-09-07 00:09:51)
Valor tomado de 'Calculos_vf.xlsx' (fórmula original: =COUNTA(Planificación!$A$33:$A$35))</t>
      </text>
    </comment>
    <comment authorId="0" ref="B23">
      <text>
        <t xml:space="preserve">======
ID#AAACGgwKhPQ
Unknown Author    (2026-09-07 00:09:51)
Valor tomado de 'Calculos_vf.xlsx' (fórmula original: =COUNT(Planificación!$G$11:$J$18))</t>
      </text>
    </comment>
    <comment authorId="0" ref="C23">
      <text>
        <t xml:space="preserve">======
ID#AAACGgwKhO0
Unknown Author    (2026-09-07 00:09:51)
Valor tomado de 'Calculos_vf.xlsx' (fórmula original: =COUNTA(Planificación!$A$11:$A$18))</t>
      </text>
    </comment>
    <comment authorId="0" ref="B19">
      <text>
        <t xml:space="preserve">======
ID#AAACGgwKhPU
Unknown Author    (2026-09-07 00:09:51)
Valor tomado de 'Calculos_vf.xlsx' (fórmula original: =SUMIF(Costos!$H$4:$H$13,"Directo",Costos!$K$4:$K$13)/B13)</t>
      </text>
    </comment>
    <comment authorId="0" ref="B18">
      <text>
        <t xml:space="preserve">======
ID#AAACGgwKhOo
Unknown Author    (2026-09-07 00:09:51)
Valor tomado de 'Calculos_vf.xlsx' (fórmula original: =SUMPRODUCT(Costos!$O$12:$O$14,Costos!$P$12:$P$14)/SUM(Costos!$P$12:$P$14))</t>
      </text>
    </comment>
    <comment authorId="0" ref="B17">
      <text>
        <t xml:space="preserve">======
ID#AAACGgwKhPY
Unknown Author    (2026-09-07 00:09:51)
Valor tomado de 'Calculos_vf.xlsx' (fórmula original: =SUMPRODUCT(Costos!$O$4:$O$11,Costos!$P$4:$P$11)/SUM(Costos!$P$4:$P$11))</t>
      </text>
    </comment>
    <comment authorId="0" ref="C17">
      <text>
        <t xml:space="preserve">======
ID#AAACGgwKhPk
Unknown Author    (2026-09-07 00:09:51)
Valor tomado de 'Calculos_vf.xlsx' (fórmula original: =(SUMIF(Costos!$H$4:$H$13,"Directo",Costos!$K$4:$K$13))/SUM(Costos!$P$4:$P$14))</t>
      </text>
    </comment>
    <comment authorId="0" ref="B47">
      <text>
        <t xml:space="preserve">======
ID#AAACGgwKhPA
Unknown Author    (2026-09-07 00:09:51)
Valor tomado de 'Calculos_vf.xlsx' (fórmula original: =Planificación!N22)</t>
      </text>
    </comment>
    <comment authorId="0" ref="C47">
      <text>
        <t xml:space="preserve">======
ID#AAACGgwKhOs
Unknown Author    (2026-09-07 00:09:51)
Valor tomado de 'Calculos_vf.xlsx' (fórmula original: =Planificación!M22)</t>
      </text>
    </comment>
    <comment authorId="0" ref="B13">
      <text>
        <t xml:space="preserve">======
ID#AAACGgwKhPM
Unknown Author    (2026-09-07 00:09:51)
Valor tomado de 'Calculos_vf.xlsx' (fórmula original: =(Planificación!B6+Planificación!B27)*Planificación!B4)</t>
      </text>
    </comment>
    <comment authorId="0" ref="B12">
      <text>
        <t xml:space="preserve">======
ID#AAACGgwKhO4
Unknown Author    (2026-09-07 00:09:51)
Valor tomado de 'Calculos_vf.xlsx' (fórmula original: =Planificación!B28)</t>
      </text>
    </comment>
    <comment authorId="0" ref="B11">
      <text>
        <t xml:space="preserve">======
ID#AAACGgwKhOw
Unknown Author    (2026-09-07 00:09:51)
Valor tomado de 'Calculos_vf.xlsx' (fórmula original: =Planificación!B7)</t>
      </text>
    </comment>
    <comment authorId="0" ref="B10">
      <text>
        <t xml:space="preserve">======
ID#AAACGgwKhO8
Unknown Author    (2026-09-07 00:09:51)
Valor tomado de 'Calculos_vf.xlsx' (fórmula original: =Planificación!F6)</t>
      </text>
    </comment>
    <comment authorId="0" ref="B9">
      <text>
        <t xml:space="preserve">======
ID#AAACGgwKhPE
Unknown Author    (2026-09-07 00:09:51)
Valor tomado de 'Calculos_vf.xlsx' (fórmula original: =Inversiones!R5/Planificación!M22)</t>
      </text>
    </comment>
    <comment authorId="0" ref="B8">
      <text>
        <t xml:space="preserve">======
ID#AAACGgwKhPI
Unknown Author    (2026-09-07 00:09:51)
Valor tomado de 'Calculos_vf.xlsx' (fórmula original: =Inversiones!R9)</t>
      </text>
    </comment>
  </commentList>
  <extLst>
    <ext uri="GoogleSheetsCustomDataVersion2">
      <go:sheetsCustomData xmlns:go="http://customooxmlschemas.google.com/" r:id="rId1" roundtripDataSignature="AMtx7miyiYoJ/DQxYD2h20IHKqZwgHe5kQ=="/>
    </ext>
  </extLst>
</comments>
</file>

<file path=xl/sharedStrings.xml><?xml version="1.0" encoding="utf-8"?>
<sst xmlns="http://schemas.openxmlformats.org/spreadsheetml/2006/main" count="91" uniqueCount="79">
  <si>
    <t>COMPARACIÓN ECONÓMICA: PRODUCCIÓN SEMANAL MEZCLADA vs. CAMPAÑA CONTINUA POR PRODUCTO</t>
  </si>
  <si>
    <t>Escenario A: se fabrican varios productos por semana (esquema actual de "Planificación"). Escenario B: cada producto se corre en una campaña continua, una vez cada 2 semanas.</t>
  </si>
  <si>
    <t>1. PARÁMETROS Y SUPUESTOS</t>
  </si>
  <si>
    <t>Concepto</t>
  </si>
  <si>
    <t>Valor</t>
  </si>
  <si>
    <t>Unidad</t>
  </si>
  <si>
    <t>Fuente / justificación</t>
  </si>
  <si>
    <t>Horas perdidas por cambio de producto</t>
  </si>
  <si>
    <t>hr</t>
  </si>
  <si>
    <t>: 1 hora de limpieza/arranque por cada cambio de producto en la línea</t>
  </si>
  <si>
    <t>% Scrap por arranque de línea</t>
  </si>
  <si>
    <t>%</t>
  </si>
  <si>
    <t>piso del rango informado (2%-3%+)</t>
  </si>
  <si>
    <t>Costo de construcción por m²</t>
  </si>
  <si>
    <t>$/m²</t>
  </si>
  <si>
    <t>Link a 'Inversiones'!R9 (costo construcción nave industrial)</t>
  </si>
  <si>
    <t>m² por posición de rack (estimado)</t>
  </si>
  <si>
    <t>m²/rack</t>
  </si>
  <si>
    <t>Horas disponibles por turno</t>
  </si>
  <si>
    <t>hr/turno</t>
  </si>
  <si>
    <t>Link a 'Planificación'!F6</t>
  </si>
  <si>
    <t>Kg/turno — Línea Galletitas</t>
  </si>
  <si>
    <t>kg/turno</t>
  </si>
  <si>
    <t>Link a 'Planificación'!B7</t>
  </si>
  <si>
    <t>Kg/turno — Línea Panificados</t>
  </si>
  <si>
    <t>Link a 'Planificación'!B28</t>
  </si>
  <si>
    <t>Turnos totales por año (ambas líneas)</t>
  </si>
  <si>
    <t>turnos/año</t>
  </si>
  <si>
    <t>(Turnos/semana Galletitas + turnos/semana Panificados) x semanas/año</t>
  </si>
  <si>
    <t>2. COSTO UNITARIO DE PRODUCCIÓN POR LÍNEA</t>
  </si>
  <si>
    <t>Línea</t>
  </si>
  <si>
    <t>Costo MP prom. ponderado ($/kg)</t>
  </si>
  <si>
    <t>Costo M.O. directa ($/kg)</t>
  </si>
  <si>
    <t>Costo total ($/kg)</t>
  </si>
  <si>
    <t>Fuente</t>
  </si>
  <si>
    <t>Galletitas (A01-A08)</t>
  </si>
  <si>
    <t>MP: promedio ponderado por kg anual (hoja Costos, A01-A08). M.O.: costo directo total / kg total (ambas líneas, no discrimina por línea)</t>
  </si>
  <si>
    <t>Panificados (B01-B03)</t>
  </si>
  <si>
    <t>MP: promedio ponderado por kg anual (hoja Costos, B01-B03). M.O.: mismo valor blended de la fila anterior</t>
  </si>
  <si>
    <t>Costo por turno (mano de obra directa)</t>
  </si>
  <si>
    <t>$/turno</t>
  </si>
  <si>
    <t>Costo anual de mano de obra directa (Costos, filas Directo) / turnos totales por año (fila 13)</t>
  </si>
  <si>
    <t>3. CAMBIOS DE PRODUCTO POR MES (lotes programados en cada esquema)</t>
  </si>
  <si>
    <t>Escenario A: semanal mezclado</t>
  </si>
  <si>
    <t>Escenario B: campaña continua</t>
  </si>
  <si>
    <t>Cambios evitados (B vs A)</t>
  </si>
  <si>
    <t>TOTAL</t>
  </si>
  <si>
    <t>4. COSTO MENSUAL DE LOS CAMBIOS DE PRODUCTO EVITADOS (Escenario B vs A)</t>
  </si>
  <si>
    <t>Opción 1 — Valorizado como kg que se dejan de producir en la hora parada</t>
  </si>
  <si>
    <t>Kg dejados de producir/mes</t>
  </si>
  <si>
    <t>Costo mensual ($)</t>
  </si>
  <si>
    <t>Galletitas</t>
  </si>
  <si>
    <t>Panificados</t>
  </si>
  <si>
    <t>TOTAL Opción 1 ($/mes)</t>
  </si>
  <si>
    <t>Opción 2 — Valorizado como turnos extra que habría que pagar para compensar la hora perdida</t>
  </si>
  <si>
    <t>Horas perdidas totales/mes</t>
  </si>
  <si>
    <t>hr/mes</t>
  </si>
  <si>
    <t>Turnos extra necesarios/mes</t>
  </si>
  <si>
    <t>turnos/mes</t>
  </si>
  <si>
    <t>TOTAL Opción 2 ($/mes)</t>
  </si>
  <si>
    <t>Scrap por arranque (materia prima perdida, aplica en ambas opciones)</t>
  </si>
  <si>
    <t>Kg scrap/mes</t>
  </si>
  <si>
    <t>Costo MP ($/kg)</t>
  </si>
  <si>
    <t>TOTAL Scrap ($/mes)</t>
  </si>
  <si>
    <t>5. INVERSIÓN EN DEPÓSITO SEGÚN SEMANAS DE STOCK</t>
  </si>
  <si>
    <t>Escenario A (1 semana stock)</t>
  </si>
  <si>
    <t>Escenario B (2 semanas stock)</t>
  </si>
  <si>
    <t>Racks necesarios</t>
  </si>
  <si>
    <t>m² de depósito necesarios</t>
  </si>
  <si>
    <t>Inversión en construcción ($)</t>
  </si>
  <si>
    <t>Inversión EXTRA por pasar a campaña continua (única vez)</t>
  </si>
  <si>
    <t>6. RESUMEN Y REPAGO DE LA INVERSIÓN</t>
  </si>
  <si>
    <t>Base Opción 1 (kg perdidos)</t>
  </si>
  <si>
    <t>Base Opción 2 (turnos extra)</t>
  </si>
  <si>
    <t>Ahorro operativo mensual (cambios evitados + scrap)</t>
  </si>
  <si>
    <t>Ahorro operativo anual</t>
  </si>
  <si>
    <t>Inversión extra en depósito (única vez)</t>
  </si>
  <si>
    <t>Repago de la inversión (años)</t>
  </si>
  <si>
    <t>CONCLUSIÓN: bajo ambos criterios de valorización, el ahorro operativo anual por reducir los cambios de producto (de 29 a 11 lotes/mes) supera la inversión extra que implica agrandar el depósito de producto terminado para sostener 2 semanas de stock en vez de 1. El repago de esa inversión extra ocurre en menos de un año si se valoriza la hora perdida como kilos no producidos, o en poco menos de dos años si se valoriza como turnos extra a pagar. En cualquiera de los dos casos, pasar a campañas continuas por producto resulta más conveniente que mantener el esquema semanal mezclado, siempre que el depósito pueda financiarse como inversión única al inicio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</si>
</sst>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%"/>
    <numFmt numFmtId="166" formatCode="\$#,##0"/>
    <numFmt numFmtId="167" formatCode="#,##0.0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80808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  <font>
      <sz val="10.0"/>
      <color rgb="FF000000"/>
      <name val="Arial"/>
    </font>
    <font>
      <b/>
      <i/>
      <sz val="10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4" fillId="0" fontId="6" numFmtId="0" xfId="0" applyAlignment="1" applyBorder="1" applyFont="1">
      <alignment shrinkToFit="0" vertical="bottom" wrapText="0"/>
    </xf>
    <xf borderId="4" fillId="5" fontId="7" numFmtId="164" xfId="0" applyAlignment="1" applyBorder="1" applyFill="1" applyFont="1" applyNumberForma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4" fillId="5" fontId="7" numFmtId="165" xfId="0" applyAlignment="1" applyBorder="1" applyFill="1" applyFont="1" applyNumberFormat="1">
      <alignment horizontal="center" shrinkToFit="0" vertical="center" wrapText="0"/>
    </xf>
    <xf borderId="4" fillId="0" fontId="8" numFmtId="166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1"/>
    </xf>
    <xf borderId="4" fillId="5" fontId="9" numFmtId="2" xfId="0" applyAlignment="1" applyBorder="1" applyFill="1" applyFont="1" applyNumberFormat="1">
      <alignment horizontal="center" shrinkToFit="0" vertical="center" wrapText="0"/>
    </xf>
    <xf borderId="4" fillId="0" fontId="8" numFmtId="2" xfId="0" applyAlignment="1" applyBorder="1" applyFont="1" applyNumberFormat="1">
      <alignment horizontal="center" shrinkToFit="0" vertical="center" wrapText="0"/>
    </xf>
    <xf borderId="4" fillId="0" fontId="8" numFmtId="167" xfId="0" applyAlignment="1" applyBorder="1" applyFont="1" applyNumberFormat="1">
      <alignment horizontal="center" shrinkToFit="0" vertical="center" wrapText="0"/>
    </xf>
    <xf borderId="4" fillId="0" fontId="9" numFmtId="3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4" fillId="4" fontId="5" numFmtId="0" xfId="0" applyAlignment="1" applyBorder="1" applyFill="1" applyFont="1">
      <alignment horizontal="center" shrinkToFit="0" vertical="center" wrapText="1"/>
    </xf>
    <xf borderId="4" fillId="0" fontId="9" numFmtId="166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lef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4" fillId="0" fontId="8" numFmtId="1" xfId="0" applyAlignment="1" applyBorder="1" applyFont="1" applyNumberFormat="1">
      <alignment horizontal="center" shrinkToFit="0" vertical="center" wrapText="0"/>
    </xf>
    <xf borderId="4" fillId="0" fontId="9" numFmtId="1" xfId="0" applyAlignment="1" applyBorder="1" applyFont="1" applyNumberFormat="1">
      <alignment horizontal="center" shrinkToFit="0" vertical="center" wrapText="0"/>
    </xf>
    <xf borderId="4" fillId="6" fontId="5" numFmtId="0" xfId="0" applyAlignment="1" applyBorder="1" applyFill="1" applyFont="1">
      <alignment shrinkToFit="0" vertical="bottom" wrapText="0"/>
    </xf>
    <xf borderId="4" fillId="6" fontId="5" numFmtId="1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" fillId="0" fontId="9" numFmtId="167" xfId="0" applyAlignment="1" applyBorder="1" applyFont="1" applyNumberFormat="1">
      <alignment horizontal="center" shrinkToFit="0" vertical="center" wrapText="0"/>
    </xf>
    <xf borderId="5" fillId="0" fontId="9" numFmtId="166" xfId="0" applyAlignment="1" applyBorder="1" applyFont="1" applyNumberFormat="1">
      <alignment horizontal="center" shrinkToFit="0" vertical="center" wrapText="0"/>
    </xf>
    <xf borderId="5" fillId="6" fontId="5" numFmtId="0" xfId="0" applyAlignment="1" applyBorder="1" applyFill="1" applyFont="1">
      <alignment shrinkToFit="0" vertical="bottom" wrapText="0"/>
    </xf>
    <xf borderId="5" fillId="6" fontId="5" numFmtId="166" xfId="0" applyAlignment="1" applyBorder="1" applyFill="1" applyFont="1" applyNumberFormat="1">
      <alignment horizontal="center" shrinkToFit="0" vertical="center" wrapText="0"/>
    </xf>
    <xf borderId="5" fillId="0" fontId="9" numFmtId="167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shrinkToFit="0" vertical="bottom" wrapText="0"/>
    </xf>
    <xf borderId="5" fillId="0" fontId="9" numFmtId="2" xfId="0" applyAlignment="1" applyBorder="1" applyFont="1" applyNumberFormat="1">
      <alignment horizontal="center" shrinkToFit="0" vertical="center" wrapText="0"/>
    </xf>
    <xf borderId="4" fillId="6" fontId="5" numFmtId="166" xfId="0" applyAlignment="1" applyBorder="1" applyFill="1" applyFont="1" applyNumberFormat="1">
      <alignment horizontal="center" shrinkToFit="0" vertical="center" wrapText="0"/>
    </xf>
    <xf borderId="4" fillId="0" fontId="5" numFmtId="0" xfId="0" applyAlignment="1" applyBorder="1" applyFont="1">
      <alignment shrinkToFit="0" vertical="bottom" wrapText="0"/>
    </xf>
    <xf borderId="5" fillId="0" fontId="5" numFmtId="166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4" fillId="7" fontId="11" numFmtId="0" xfId="0" applyAlignment="1" applyBorder="1" applyFill="1" applyFont="1">
      <alignment shrinkToFit="0" vertical="bottom" wrapText="0"/>
    </xf>
    <xf borderId="4" fillId="7" fontId="11" numFmtId="2" xfId="0" applyAlignment="1" applyBorder="1" applyFill="1" applyFont="1" applyNumberFormat="1">
      <alignment horizontal="center" shrinkToFit="0" vertical="center" wrapText="0"/>
    </xf>
    <xf borderId="8" fillId="8" fontId="12" numFmtId="0" xfId="0" applyAlignment="1" applyBorder="1" applyFill="1" applyFont="1">
      <alignment horizontal="left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4" width="8.71"/>
    <col customWidth="1" min="5" max="5" width="46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27.75" customHeight="1">
      <c r="A2" s="4" t="s">
        <v>1</v>
      </c>
    </row>
    <row r="4" ht="15.0" customHeight="1">
      <c r="A4" s="5" t="s">
        <v>2</v>
      </c>
      <c r="B4" s="2"/>
      <c r="C4" s="2"/>
      <c r="D4" s="2"/>
      <c r="E4" s="3"/>
    </row>
    <row r="5" ht="15.0" customHeight="1">
      <c r="A5" s="6" t="s">
        <v>3</v>
      </c>
      <c r="B5" s="6" t="s">
        <v>4</v>
      </c>
      <c r="C5" s="6" t="s">
        <v>5</v>
      </c>
      <c r="D5" s="7" t="s">
        <v>6</v>
      </c>
      <c r="E5" s="8"/>
    </row>
    <row r="6" ht="21.75" customHeight="1">
      <c r="A6" s="9" t="s">
        <v>7</v>
      </c>
      <c r="B6" s="10">
        <v>1.0</v>
      </c>
      <c r="C6" s="11" t="s">
        <v>8</v>
      </c>
      <c r="D6" s="12" t="s">
        <v>9</v>
      </c>
      <c r="E6" s="8"/>
    </row>
    <row r="7" ht="15.0" customHeight="1">
      <c r="A7" s="9" t="s">
        <v>10</v>
      </c>
      <c r="B7" s="13">
        <v>0.02</v>
      </c>
      <c r="C7" s="11" t="s">
        <v>11</v>
      </c>
      <c r="D7" s="12" t="s">
        <v>12</v>
      </c>
      <c r="E7" s="8"/>
    </row>
    <row r="8" ht="15.0" customHeight="1">
      <c r="A8" s="9" t="s">
        <v>13</v>
      </c>
      <c r="B8" s="14">
        <v>200000.0</v>
      </c>
      <c r="C8" s="11" t="s">
        <v>14</v>
      </c>
      <c r="D8" s="15" t="s">
        <v>15</v>
      </c>
      <c r="E8" s="8"/>
    </row>
    <row r="9" ht="32.25" customHeight="1">
      <c r="A9" s="9" t="s">
        <v>16</v>
      </c>
      <c r="B9" s="16">
        <v>9.78260869565217</v>
      </c>
      <c r="C9" s="11" t="s">
        <v>17</v>
      </c>
      <c r="D9" s="15"/>
      <c r="E9" s="8"/>
    </row>
    <row r="10" ht="15.0" customHeight="1">
      <c r="A10" s="9" t="s">
        <v>18</v>
      </c>
      <c r="B10" s="17">
        <v>6.91666666666667</v>
      </c>
      <c r="C10" s="11" t="s">
        <v>19</v>
      </c>
      <c r="D10" s="15" t="s">
        <v>20</v>
      </c>
      <c r="E10" s="8"/>
    </row>
    <row r="11" ht="15.0" customHeight="1">
      <c r="A11" s="9" t="s">
        <v>21</v>
      </c>
      <c r="B11" s="18">
        <v>500.166283865182</v>
      </c>
      <c r="C11" s="11" t="s">
        <v>22</v>
      </c>
      <c r="D11" s="15" t="s">
        <v>23</v>
      </c>
      <c r="E11" s="8"/>
    </row>
    <row r="12" ht="15.0" customHeight="1">
      <c r="A12" s="9" t="s">
        <v>24</v>
      </c>
      <c r="B12" s="18">
        <v>446.157230503251</v>
      </c>
      <c r="C12" s="11" t="s">
        <v>22</v>
      </c>
      <c r="D12" s="15" t="s">
        <v>25</v>
      </c>
      <c r="E12" s="8"/>
    </row>
    <row r="13" ht="15.0" customHeight="1">
      <c r="A13" s="9" t="s">
        <v>26</v>
      </c>
      <c r="B13" s="19">
        <v>1434.0</v>
      </c>
      <c r="C13" s="11" t="s">
        <v>27</v>
      </c>
      <c r="D13" s="15" t="s">
        <v>28</v>
      </c>
      <c r="E13" s="8"/>
    </row>
    <row r="15" ht="15.0" customHeight="1">
      <c r="A15" s="20" t="s">
        <v>29</v>
      </c>
      <c r="B15" s="2"/>
      <c r="C15" s="2"/>
      <c r="D15" s="2"/>
      <c r="E15" s="3"/>
    </row>
    <row r="16" ht="23.25" customHeight="1">
      <c r="A16" s="21" t="s">
        <v>30</v>
      </c>
      <c r="B16" s="21" t="s">
        <v>31</v>
      </c>
      <c r="C16" s="21" t="s">
        <v>32</v>
      </c>
      <c r="D16" s="21" t="s">
        <v>33</v>
      </c>
      <c r="E16" s="21" t="s">
        <v>34</v>
      </c>
    </row>
    <row r="17" ht="32.25" customHeight="1">
      <c r="A17" s="9" t="s">
        <v>35</v>
      </c>
      <c r="B17" s="14">
        <v>1875.1614741784</v>
      </c>
      <c r="C17" s="22">
        <v>2106.97846153846</v>
      </c>
      <c r="D17" s="22">
        <f t="shared" ref="D17:D18" si="1">B17+C17</f>
        <v>3982.139936</v>
      </c>
      <c r="E17" s="23" t="s">
        <v>36</v>
      </c>
    </row>
    <row r="18" ht="21.75" customHeight="1">
      <c r="A18" s="9" t="s">
        <v>37</v>
      </c>
      <c r="B18" s="14">
        <v>3517.15789473684</v>
      </c>
      <c r="C18" s="22">
        <f>C17</f>
        <v>2106.978462</v>
      </c>
      <c r="D18" s="22">
        <f t="shared" si="1"/>
        <v>5624.136356</v>
      </c>
      <c r="E18" s="23" t="s">
        <v>38</v>
      </c>
    </row>
    <row r="19" ht="21.75" customHeight="1">
      <c r="A19" s="9" t="s">
        <v>39</v>
      </c>
      <c r="B19" s="22">
        <v>592128.535564854</v>
      </c>
      <c r="C19" s="11" t="s">
        <v>40</v>
      </c>
      <c r="D19" s="15" t="s">
        <v>41</v>
      </c>
      <c r="E19" s="8"/>
    </row>
    <row r="21" ht="15.0" customHeight="1">
      <c r="A21" s="20" t="s">
        <v>42</v>
      </c>
      <c r="B21" s="2"/>
      <c r="C21" s="2"/>
      <c r="D21" s="2"/>
      <c r="E21" s="3"/>
    </row>
    <row r="22" ht="23.25" customHeight="1">
      <c r="A22" s="21" t="s">
        <v>30</v>
      </c>
      <c r="B22" s="21" t="s">
        <v>43</v>
      </c>
      <c r="C22" s="21" t="s">
        <v>44</v>
      </c>
      <c r="D22" s="24" t="s">
        <v>45</v>
      </c>
      <c r="E22" s="8"/>
    </row>
    <row r="23" ht="15.0" customHeight="1">
      <c r="A23" s="9" t="s">
        <v>35</v>
      </c>
      <c r="B23" s="25">
        <v>17.0</v>
      </c>
      <c r="C23" s="25">
        <v>8.0</v>
      </c>
      <c r="D23" s="26">
        <f t="shared" ref="D23:D24" si="2">B23-C23</f>
        <v>9</v>
      </c>
    </row>
    <row r="24" ht="15.0" customHeight="1">
      <c r="A24" s="9" t="s">
        <v>37</v>
      </c>
      <c r="B24" s="25">
        <v>12.0</v>
      </c>
      <c r="C24" s="25">
        <v>3.0</v>
      </c>
      <c r="D24" s="26">
        <f t="shared" si="2"/>
        <v>9</v>
      </c>
    </row>
    <row r="25" ht="15.0" customHeight="1">
      <c r="A25" s="27" t="s">
        <v>46</v>
      </c>
      <c r="B25" s="28">
        <f t="shared" ref="B25:D25" si="3">SUM(B23:B24)</f>
        <v>29</v>
      </c>
      <c r="C25" s="28">
        <f t="shared" si="3"/>
        <v>11</v>
      </c>
      <c r="D25" s="28">
        <f t="shared" si="3"/>
        <v>18</v>
      </c>
    </row>
    <row r="26" ht="15.75" customHeight="1"/>
    <row r="27" ht="15.0" customHeight="1">
      <c r="A27" s="20" t="s">
        <v>47</v>
      </c>
      <c r="B27" s="2"/>
      <c r="C27" s="2"/>
      <c r="D27" s="2"/>
      <c r="E27" s="3"/>
    </row>
    <row r="28" ht="15.0" customHeight="1">
      <c r="A28" s="29" t="s">
        <v>48</v>
      </c>
    </row>
    <row r="29" ht="23.25" customHeight="1">
      <c r="A29" s="21" t="s">
        <v>30</v>
      </c>
      <c r="B29" s="21" t="s">
        <v>49</v>
      </c>
      <c r="C29" s="21" t="s">
        <v>33</v>
      </c>
      <c r="D29" s="24" t="s">
        <v>50</v>
      </c>
      <c r="E29" s="8"/>
    </row>
    <row r="30" ht="15.0" customHeight="1">
      <c r="A30" s="9" t="s">
        <v>51</v>
      </c>
      <c r="B30" s="30">
        <f>($B$11/$B$10)*$B$6*D23</f>
        <v>650.818779</v>
      </c>
      <c r="C30" s="22">
        <f t="shared" ref="C30:C31" si="4">D17</f>
        <v>3982.139936</v>
      </c>
      <c r="D30" s="31">
        <f t="shared" ref="D30:D31" si="5">B30*C30</f>
        <v>2591651.451</v>
      </c>
      <c r="E30" s="8"/>
    </row>
    <row r="31" ht="15.0" customHeight="1">
      <c r="A31" s="9" t="s">
        <v>52</v>
      </c>
      <c r="B31" s="30">
        <f>($B$12/$B$10)*$B$6*D24</f>
        <v>580.5419385</v>
      </c>
      <c r="C31" s="22">
        <f t="shared" si="4"/>
        <v>5624.136356</v>
      </c>
      <c r="D31" s="31">
        <f t="shared" si="5"/>
        <v>3265047.023</v>
      </c>
      <c r="E31" s="8"/>
    </row>
    <row r="32" ht="15.0" customHeight="1">
      <c r="A32" s="27" t="s">
        <v>53</v>
      </c>
      <c r="B32" s="32"/>
      <c r="C32" s="8"/>
      <c r="D32" s="33">
        <f>D30+D31</f>
        <v>5856698.473</v>
      </c>
      <c r="E32" s="8"/>
    </row>
    <row r="33" ht="15.75" customHeight="1"/>
    <row r="34" ht="15.0" customHeight="1">
      <c r="A34" s="29" t="s">
        <v>54</v>
      </c>
    </row>
    <row r="35" ht="15.0" customHeight="1">
      <c r="A35" s="9" t="s">
        <v>55</v>
      </c>
      <c r="B35" s="34">
        <f>(D23+D24)*$B$6</f>
        <v>18</v>
      </c>
      <c r="C35" s="8"/>
      <c r="D35" s="35" t="s">
        <v>56</v>
      </c>
      <c r="E35" s="8"/>
    </row>
    <row r="36" ht="15.0" customHeight="1">
      <c r="A36" s="9" t="s">
        <v>57</v>
      </c>
      <c r="B36" s="36">
        <f>B35/$B$10</f>
        <v>2.602409639</v>
      </c>
      <c r="C36" s="8"/>
      <c r="D36" s="35" t="s">
        <v>58</v>
      </c>
      <c r="E36" s="8"/>
    </row>
    <row r="37" ht="15.0" customHeight="1">
      <c r="A37" s="27" t="s">
        <v>59</v>
      </c>
      <c r="B37" s="33">
        <f>B36*$B$19</f>
        <v>1540961.008</v>
      </c>
      <c r="C37" s="8"/>
      <c r="D37" s="32"/>
      <c r="E37" s="8"/>
    </row>
    <row r="38" ht="15.75" customHeight="1"/>
    <row r="39" ht="15.0" customHeight="1">
      <c r="A39" s="29" t="s">
        <v>60</v>
      </c>
    </row>
    <row r="40" ht="15.0" customHeight="1">
      <c r="A40" s="21" t="s">
        <v>30</v>
      </c>
      <c r="B40" s="21" t="s">
        <v>61</v>
      </c>
      <c r="C40" s="21" t="s">
        <v>62</v>
      </c>
      <c r="D40" s="24" t="s">
        <v>50</v>
      </c>
      <c r="E40" s="8"/>
    </row>
    <row r="41" ht="15.0" customHeight="1">
      <c r="A41" s="9" t="s">
        <v>51</v>
      </c>
      <c r="B41" s="30">
        <f>$B$7*$B$11*D23</f>
        <v>90.0299311</v>
      </c>
      <c r="C41" s="22">
        <f t="shared" ref="C41:C42" si="6">B17</f>
        <v>1875.161474</v>
      </c>
      <c r="D41" s="31">
        <f t="shared" ref="D41:D42" si="7">B41*C41</f>
        <v>168820.6583</v>
      </c>
      <c r="E41" s="8"/>
    </row>
    <row r="42" ht="15.0" customHeight="1">
      <c r="A42" s="9" t="s">
        <v>52</v>
      </c>
      <c r="B42" s="30">
        <f>$B$7*$B$12*D24</f>
        <v>80.30830149</v>
      </c>
      <c r="C42" s="22">
        <f t="shared" si="6"/>
        <v>3517.157895</v>
      </c>
      <c r="D42" s="31">
        <f t="shared" si="7"/>
        <v>282456.9766</v>
      </c>
      <c r="E42" s="8"/>
    </row>
    <row r="43" ht="15.0" customHeight="1">
      <c r="A43" s="27" t="s">
        <v>63</v>
      </c>
      <c r="B43" s="32"/>
      <c r="C43" s="8"/>
      <c r="D43" s="33">
        <f>D41+D42</f>
        <v>451277.6349</v>
      </c>
      <c r="E43" s="8"/>
    </row>
    <row r="44" ht="15.75" customHeight="1"/>
    <row r="45" ht="15.0" customHeight="1">
      <c r="A45" s="20" t="s">
        <v>64</v>
      </c>
      <c r="B45" s="2"/>
      <c r="C45" s="2"/>
      <c r="D45" s="2"/>
      <c r="E45" s="3"/>
    </row>
    <row r="46" ht="23.25" customHeight="1">
      <c r="A46" s="21" t="s">
        <v>3</v>
      </c>
      <c r="B46" s="21" t="s">
        <v>65</v>
      </c>
      <c r="C46" s="21" t="s">
        <v>66</v>
      </c>
    </row>
    <row r="47" ht="15.0" customHeight="1">
      <c r="A47" s="9" t="s">
        <v>67</v>
      </c>
      <c r="B47" s="25">
        <v>23.0</v>
      </c>
      <c r="C47" s="25">
        <v>46.0</v>
      </c>
    </row>
    <row r="48" ht="15.0" customHeight="1">
      <c r="A48" s="9" t="s">
        <v>68</v>
      </c>
      <c r="B48" s="30">
        <f t="shared" ref="B48:C48" si="8">B47*$B$9</f>
        <v>225</v>
      </c>
      <c r="C48" s="30">
        <f t="shared" si="8"/>
        <v>450</v>
      </c>
    </row>
    <row r="49" ht="15.0" customHeight="1">
      <c r="A49" s="27" t="s">
        <v>69</v>
      </c>
      <c r="B49" s="37">
        <f t="shared" ref="B49:C49" si="9">B48*$B$8</f>
        <v>45000000</v>
      </c>
      <c r="C49" s="37">
        <f t="shared" si="9"/>
        <v>90000000</v>
      </c>
    </row>
    <row r="50" ht="15.0" customHeight="1">
      <c r="A50" s="38" t="s">
        <v>70</v>
      </c>
      <c r="B50" s="39">
        <f>C49-B49</f>
        <v>45000000</v>
      </c>
      <c r="C50" s="40"/>
    </row>
    <row r="51" ht="15.75" customHeight="1"/>
    <row r="52" ht="15.0" customHeight="1">
      <c r="A52" s="20" t="s">
        <v>71</v>
      </c>
      <c r="B52" s="2"/>
      <c r="C52" s="2"/>
      <c r="D52" s="2"/>
      <c r="E52" s="3"/>
    </row>
    <row r="53" ht="23.25" customHeight="1">
      <c r="A53" s="21" t="s">
        <v>3</v>
      </c>
      <c r="B53" s="21" t="s">
        <v>72</v>
      </c>
      <c r="C53" s="21" t="s">
        <v>73</v>
      </c>
    </row>
    <row r="54" ht="15.0" customHeight="1">
      <c r="A54" s="9" t="s">
        <v>74</v>
      </c>
      <c r="B54" s="22">
        <f>D32+D43</f>
        <v>6307976.108</v>
      </c>
      <c r="C54" s="22">
        <f>B37+D43</f>
        <v>1992238.643</v>
      </c>
    </row>
    <row r="55" ht="15.0" customHeight="1">
      <c r="A55" s="9" t="s">
        <v>75</v>
      </c>
      <c r="B55" s="22">
        <f t="shared" ref="B55:C55" si="10">B54*12</f>
        <v>75695713.3</v>
      </c>
      <c r="C55" s="22">
        <f t="shared" si="10"/>
        <v>23906863.72</v>
      </c>
    </row>
    <row r="56" ht="15.0" customHeight="1">
      <c r="A56" s="9" t="s">
        <v>76</v>
      </c>
      <c r="B56" s="31">
        <f>B50</f>
        <v>45000000</v>
      </c>
      <c r="C56" s="40"/>
    </row>
    <row r="57" ht="15.0" customHeight="1">
      <c r="A57" s="41" t="s">
        <v>77</v>
      </c>
      <c r="B57" s="42">
        <f>B50/B55</f>
        <v>0.5944854476</v>
      </c>
      <c r="C57" s="42">
        <f>B50/C55</f>
        <v>1.882304619</v>
      </c>
    </row>
    <row r="58" ht="15.75" customHeight="1"/>
    <row r="59" ht="15.0" customHeight="1">
      <c r="A59" s="43" t="s">
        <v>78</v>
      </c>
      <c r="B59" s="44"/>
      <c r="C59" s="44"/>
      <c r="D59" s="44"/>
      <c r="E59" s="45"/>
    </row>
    <row r="60" ht="15.0" customHeight="1">
      <c r="A60" s="46"/>
      <c r="E60" s="47"/>
    </row>
    <row r="61" ht="15.0" customHeight="1">
      <c r="A61" s="46"/>
      <c r="E61" s="47"/>
    </row>
    <row r="62" ht="15.0" customHeight="1">
      <c r="A62" s="46"/>
      <c r="E62" s="47"/>
    </row>
    <row r="63" ht="15.0" customHeight="1">
      <c r="A63" s="48"/>
      <c r="B63" s="49"/>
      <c r="C63" s="49"/>
      <c r="D63" s="49"/>
      <c r="E63" s="5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E1"/>
    <mergeCell ref="A2:E2"/>
    <mergeCell ref="A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A15:E15"/>
    <mergeCell ref="D19:E19"/>
    <mergeCell ref="A21:E21"/>
    <mergeCell ref="D22:E22"/>
    <mergeCell ref="A27:E27"/>
    <mergeCell ref="A28:E28"/>
    <mergeCell ref="D29:E29"/>
    <mergeCell ref="D30:E30"/>
    <mergeCell ref="D31:E31"/>
    <mergeCell ref="B32:C32"/>
    <mergeCell ref="D32:E32"/>
    <mergeCell ref="A34:E34"/>
    <mergeCell ref="B35:C35"/>
    <mergeCell ref="D35:E35"/>
    <mergeCell ref="B36:C36"/>
    <mergeCell ref="D36:E36"/>
    <mergeCell ref="D43:E43"/>
    <mergeCell ref="A45:E45"/>
    <mergeCell ref="B50:C50"/>
    <mergeCell ref="A52:E52"/>
    <mergeCell ref="B56:C56"/>
    <mergeCell ref="A59:E63"/>
    <mergeCell ref="B37:C37"/>
    <mergeCell ref="D37:E37"/>
    <mergeCell ref="A39:E39"/>
    <mergeCell ref="D40:E40"/>
    <mergeCell ref="D41:E41"/>
    <mergeCell ref="D42:E42"/>
    <mergeCell ref="B43:C43"/>
  </mergeCells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2026-09-07T00:04:20Z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