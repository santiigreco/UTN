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6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Resumen Ejecutivo" sheetId="1" r:id="rId4"/>
    <sheet state="visible" name="1. Potencia Eléctrica" sheetId="2" r:id="rId5"/>
    <sheet state="visible" name="2. Luminarias y Lux" sheetId="3" r:id="rId6"/>
    <sheet state="visible" name="3. Instalación de Gas" sheetId="4" r:id="rId7"/>
    <sheet state="visible" name="4. Aire Comprimido" sheetId="5" r:id="rId8"/>
    <sheet state="visible" name="5. Agua y Saneamiento" sheetId="6" r:id="rId9"/>
    <sheet state="visible" name="6. Costos Tarifarios" sheetId="7" r:id="rId10"/>
  </sheets>
  <definedNames/>
  <calcPr/>
  <extLst>
    <ext uri="GoogleSheetsCustomDataVersion2">
      <go:sheetsCustomData xmlns:go="http://customooxmlschemas.google.com/" r:id="rId11" roundtripDataChecksum="+FXZbdhuCm4NigWo6DEH+euZpRjU7OYKwXfKy5KEib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======
ID#AAACFr_CUOI
Grupo 8 - UTN FRBA    (2026-09-18 01:44:23)
Consumo anual estimado de energía eléctrica activa para 5.712 horas operativas. Vinculado a '1. Potencia Eléctrica' celda Q35.</t>
      </text>
    </comment>
    <comment authorId="0" ref="H5">
      <text>
        <t xml:space="preserve">======
ID#AAACFr_CUQE
Grupo 8 - UTN FRBA    (2026-09-18 01:44:23)
Potencia calórica instalada total de quemadores a gas natural: 225.000 kcal/h. Vinculada a '3. Instalación de Gas' celda H9.</t>
      </text>
    </comment>
    <comment authorId="0" ref="B9">
      <text>
        <t xml:space="preserve">======
ID#AAACFr_CUQg
Grupo 8 - UTN FRBA    (2026-09-18 01:44:23)
Consumo anual de Gas Natural de red de los hornos. Vinculado a '3. Instalación de Gas' celda O9.</t>
      </text>
    </comment>
    <comment authorId="0" ref="D9">
      <text>
        <t xml:space="preserve">======
ID#AAACFr_CUNo
Grupo 8 - UTN FRBA    (2026-09-18 01:44:23)
Caudal total requerido de la central compresora de aire a 8 bar. Vinculado a '4. Aire Comprimido' celda C17.</t>
      </text>
    </comment>
    <comment authorId="0" ref="B5">
      <text>
        <t xml:space="preserve">======
ID#AAACFr_CUPs
Grupo 8 - UTN FRBA    (2026-09-18 01:44:23)
Potencia instalada total de placa conectada de la planta CELI S.A. Vinculada a '1. Potencia Eléctrica' celda L35.</t>
      </text>
    </comment>
    <comment authorId="0" ref="F9">
      <text>
        <t xml:space="preserve">======
ID#AAACFr_CUO0
Grupo 8 - UTN FRBA    (2026-09-18 01:44:23)
Consumo diario medio de agua potable de planta. Vinculado a '5. Agua y Saneamiento' celda G18.</t>
      </text>
    </comment>
    <comment authorId="0" ref="D5">
      <text>
        <t xml:space="preserve">======
ID#AAACFr_CUQs
Grupo 8 - UTN FRBA    (2026-09-18 01:44:23)
Potencia máxima demandada simultánea en bornes de transformador. Vinculada a '1. Potencia Eléctrica' celda O35.</t>
      </text>
    </comment>
    <comment authorId="0" ref="H9">
      <text>
        <t xml:space="preserve">======
ID#AAACFr-pL4w
Grupo 8 - UTN FRBA    (2026-09-18 01:44:23)
Presupuesto operativo anual total consolidado de servicios públicos e instalaciones. Vinculado a '6. Costos Tarifarios' celda G34.</t>
      </text>
    </comment>
  </commentList>
  <extLst>
    <ext uri="GoogleSheetsCustomDataVersion2">
      <go:sheetsCustomData xmlns:go="http://customooxmlschemas.google.com/" r:id="rId1" roundtripDataSignature="AMtx7mhOysnKUWdDuND5MLkL4V/AQPfJO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======
ID#AAACFr_CUQM
Grupo 8 - UTN FRBA    (2026-09-18 01:44:23)
Fuente: 'Calculos vf.xlsx', Hoja 'BOM y balanceo', fila 5. Amasadora espiral Catania HJ25B, motor eléctrico de 1,50 kW.</t>
      </text>
    </comment>
    <comment authorId="0" ref="H5">
      <text>
        <t xml:space="preserve">======
ID#AAACFr_CUPM
Grupo 8 - UTN FRBA    (2026-09-18 01:44:23)
Potencia activa nominal de placa unitaria del motor o resistencia eléctrica en kiloWatts (kW).</t>
      </text>
    </comment>
    <comment authorId="0" ref="L5">
      <text>
        <t xml:space="preserve">======
ID#AAACFr_CUPc
Grupo 8 - UTN FRBA    (2026-09-18 01:44:23)
Factor de Utilización (Fu): Relación entre la potencia media absorbida en régimen real de trabajo y la potencia nominal.</t>
      </text>
    </comment>
    <comment authorId="0" ref="H32">
      <text>
        <t xml:space="preserve">======
ID#AAACFr_CUP0
Grupo 8 - UTN FRBA    (2026-09-18 01:44:23)
Fuente: 'Calculos vf.xlsx', Hoja 'Inversiones' R10 y R11. 8 computadoras (250 W c/u = 2 kW) + servidor de planta (350 W) + impresora inkjet (150 W) = 2,50 kW.</t>
      </text>
    </comment>
    <comment authorId="0" ref="M5">
      <text>
        <t xml:space="preserve">======
ID#AAACFr-pL5U
Grupo 8 - UTN FRBA    (2026-09-18 01:44:23)
Factor de Simultaneidad (Fs): Probabilidad de que múltiples equipos operen al unísono en el proceso productivo.</t>
      </text>
    </comment>
    <comment authorId="0" ref="N5">
      <text>
        <t xml:space="preserve">======
ID#AAACFr_CUOo
Grupo 8 - UTN FRBA    (2026-09-18 01:44:23)
Potencia Demandada Máxima (kW) = Potencia Instalada x Fu x Fs. Base de facturación por potencia de EDENOR.</t>
      </text>
    </comment>
    <comment authorId="0" ref="H30">
      <text>
        <t xml:space="preserve">======
ID#AAACFr-pL4E
Grupo 8 - UTN FRBA    (2026-09-18 01:44:23)
Fuente: Confort térmico oficinas administrativas (60 m²). Equipo split inverter frío/calor 4.500 fg: 1,60 kW.</t>
      </text>
    </comment>
    <comment authorId="0" ref="H28">
      <text>
        <t xml:space="preserve">======
ID#AAACFr_CUOA
Grupo 8 - UTN FRBA    (2026-09-18 01:44:23)
Fuente: 'Calculos vf.xlsx', Hoja 'Inversiones' R4. Cargador de batería litio 80V para autoelevador eléctrico HELI: 7,50 kW.</t>
      </text>
    </comment>
    <comment authorId="0" ref="Q5">
      <text>
        <t xml:space="preserve">======
ID#AAACFr-pL40
Grupo 8 - UTN FRBA    (2026-09-18 01:44:23)
Horas anuales efectivas de funcionamiento. Régimen base: 238 días de producción x 24 horas (3 turnos) = 5.712 h/año.</t>
      </text>
    </comment>
    <comment authorId="0" ref="H26">
      <text>
        <t xml:space="preserve">======
ID#AAACFr_CUP8
Grupo 8 - UTN FRBA    (2026-09-18 01:44:23)
Fuente: Dimensionamiento en Hoja '4. Aire Comprimido'. Compresor de tornillo Schulz SRP 4008 / Kaeser SX 6: 5,5 HP / 4,0 kW (380 V).</t>
      </text>
    </comment>
    <comment authorId="0" ref="H22">
      <text>
        <t xml:space="preserve">======
ID#AAACFr_CUP4
Grupo 8 - UTN FRBA    (2026-09-18 01:44:23)
Fuente: 'Calculos vf.xlsx', Hoja 'BOM y balanceo', fila 18. Rebanadora continua de panificados Braesi FB-12, motor 0,50 kW.</t>
      </text>
    </comment>
    <comment authorId="0" ref="E18">
      <text>
        <t xml:space="preserve">======
ID#AAACFsvYVDs
Santiago Greco    (2026-09-18 17:19:19)
Si van a ser electricos en vez de a gas, hay que agrteegar el consumo aca</t>
      </text>
    </comment>
    <comment authorId="0" ref="H18">
      <text>
        <t xml:space="preserve">======
ID#AAACFr-pL3c
Grupo 8 - UTN FRBA    (2026-09-18 01:44:23)
Fuente: 'Calculos vf.xlsx', Hoja 'BOM y balanceo', fila 16. Horno rotativo Pauna SIGMA 1 a gas con recirculación y rotación de carro, motor 1,84 kW.</t>
      </text>
    </comment>
    <comment authorId="0" ref="H16">
      <text>
        <t xml:space="preserve">======
ID#AAACFr_CUQ0
Grupo 8 - UTN FRBA    (2026-09-18 01:44:23)
Fuente: 'Calculos vf.xlsx', Hoja 'BOM y balanceo', fila 14. Dosificadora neumática Indurpack G1WGD-1000, consumo eléctrico de control 100 W.</t>
      </text>
    </comment>
    <comment authorId="0" ref="C43">
      <text>
        <t xml:space="preserve">======
ID#AAACFr_CUNU
Grupo 8 - UTN FRBA    (2026-09-18 01:44:23)
Potencia nominal normalizada de transformador según Norma IRAM 2250: Transformador trifásico en baño de aceite de 100 kVA (opera al 71% de carga óptima).</t>
      </text>
    </comment>
    <comment authorId="0" ref="C41">
      <text>
        <t xml:space="preserve">======
ID#AAACFr-pL5Q
Grupo 8 - UTN FRBA    (2026-09-18 01:44:23)
Potencia máxima demandada simultánea P_dem = Sumatoria(P_inst x Fu x Fs). Demanda activa máxima esperada en bornes.</t>
      </text>
    </comment>
    <comment authorId="0" ref="H14">
      <text>
        <t xml:space="preserve">======
ID#AAACFr-pL4Q
Grupo 8 - UTN FRBA    (2026-09-18 01:44:23)
Fuente: 'Calculos vf.xlsx', Hoja 'BOM y balanceo', fila 12. Balanza industrial Moretti Ultra 60 para fraccionamiento.</t>
      </text>
    </comment>
    <comment authorId="0" ref="C39">
      <text>
        <t xml:space="preserve">======
ID#AAACFr-pL4k
Grupo 8 - UTN FRBA    (2026-09-18 01:44:23)
Factor de potencia reglamentario exigido por EDENOR (&gt; 0,85). Se adopta cos φ = 0,92 garantizado con banco automático de capacitores.
------
ID#AAACFr_CUR4
Santiago Greco    (2026-09-18 01:57:47)
para vos @jcarrizo@frba.utn.edu.ar
1 reacción en total
JoaquÍn Carrizo ha reaccionado con 😂 a las 19/09/2026, 15:38 UTC</t>
      </text>
    </comment>
    <comment authorId="0" ref="H10">
      <text>
        <t xml:space="preserve">======
ID#AAACFr-pL3o
Grupo 8 - UTN FRBA    (2026-09-18 01:44:23)
Fuente: 'Calculos vf.xlsx', Hoja 'BOM y balanceo', fila 8. Cinta modular de enfriamiento Golden Way de 7 m, motor 2,20 kW.</t>
      </text>
    </comment>
    <comment authorId="0" ref="H8">
      <text>
        <t xml:space="preserve">======
ID#AAACFr_CUQY
Grupo 8 - UTN FRBA    (2026-09-18 01:44:23)
Fuente: 'Calculos vf.xlsx', Hoja 'BOM y balanceo', fila 6. Laminadora / Rotativa Ralem R800, motor reductor 2,50 kW.</t>
      </text>
    </comment>
    <comment authorId="0" ref="H33">
      <text>
        <t xml:space="preserve">======
ID#AAACFr-pL5E
Grupo 8 - UTN FRBA    (2026-09-18 01:44:23)
Fuente: Vinculado dinámicamente a la celda U30 de la Hoja '2. Luminarias y Lux'. Potencia eléctrica total del sistema de iluminación calculado bajo Decreto 351/79.</t>
      </text>
    </comment>
    <comment authorId="0" ref="H31">
      <text>
        <t xml:space="preserve">======
ID#AAACFr-pL4U
Grupo 8 - UTN FRBA    (2026-09-18 01:44:23)
Fuente: Climatización laboratorios de calidad crudo y cocido (15,75 m²). Split inverter 3.000 fg: 1,10 kW.</t>
      </text>
    </comment>
    <comment authorId="0" ref="H29">
      <text>
        <t xml:space="preserve">======
ID#AAACFr-pL5A
Grupo 8 - UTN FRBA    (2026-09-18 01:44:23)
Fuente: Dimensionamiento en Hoja '5. Agua y Saneamiento'. Electrobombas presurizadoras de 2,0 HP (1,50 kW en 380 V) en esquema 1 activa + 1 reserva.</t>
      </text>
    </comment>
    <comment authorId="0" ref="H27">
      <text>
        <t xml:space="preserve">======
ID#AAACFr_CUQw
Grupo 8 - UTN FRBA    (2026-09-18 01:44:23)
Fuente: Secador frigorífico Schulz ADS 20 (+3°C de rocío) para tratamiento de aire grado alimenticio ISO 8573-1 Clase 1.4.1: 0,45 kW (220 V).</t>
      </text>
    </comment>
    <comment authorId="0" ref="H23">
      <text>
        <t xml:space="preserve">======
ID#AAACFr-pL3k
Grupo 8 - UTN FRBA    (2026-09-18 01:44:23)
Fuente: 'Calculos vf.xlsx', Hoja 'BOM y balanceo', fila 19. Envasadora Flowpack horizontal Brunetti EFH700X para pan de molde y budines, 3,60 kW.</t>
      </text>
    </comment>
    <comment authorId="0" ref="H19">
      <text>
        <t xml:space="preserve">======
ID#AAACFr-pL3Q
Grupo 8 - UTN FRBA    (2026-09-18 01:44:23)
Fuente: 'Calculos vf.xlsx', Hoja 'BOM y balanceo', fila 16. Horno rotativo Pauna SIGMA 2 a gas (segunda unidad idéntica para balance de línea), 1,84 kW.</t>
      </text>
    </comment>
    <comment authorId="0" ref="H17">
      <text>
        <t xml:space="preserve">======
ID#AAACFr_CUNs
Grupo 8 - UTN FRBA    (2026-09-18 01:44:23)
Fuente: 'Calculos vf.xlsx', Hoja 'BOM y balanceo', fila 15. Cámara fermentadora Nick Tech CF-240 para control de temperatura y humedad, 1,80 kW.</t>
      </text>
    </comment>
    <comment authorId="0" ref="C42">
      <text>
        <t xml:space="preserve">======
ID#AAACFr_CUQQ
Grupo 8 - UTN FRBA    (2026-09-18 01:44:23)
Potencia aparente demandada S_dem = P_dem / cos φ. Parámetro determinante para dimensionar la subestación transformadora de 13,2 kV / 0,4 kV.</t>
      </text>
    </comment>
    <comment authorId="0" ref="H15">
      <text>
        <t xml:space="preserve">======
ID#AAACFr_CUQI
Grupo 8 - UTN FRBA    (2026-09-18 01:44:23)
Fuente: 'Calculos vf.xlsx', Hoja 'BOM y balanceo', fila 13. Batidora industrial planetaria Moretti Planeta 60, motor trifásico 2,50 kW.</t>
      </text>
    </comment>
    <comment authorId="0" ref="C40">
      <text>
        <t xml:space="preserve">======
ID#AAACFr-pL3s
Grupo 8 - UTN FRBA    (2026-09-18 01:44:23)
Potencia aparente instalada S_inst = P_inst / cos φ en kiloVolt-Amperes (kVA).</t>
      </text>
    </comment>
    <comment authorId="0" ref="H11">
      <text>
        <t xml:space="preserve">======
ID#AAACFr_CUPo
Grupo 8 - UTN FRBA    (2026-09-18 01:44:23)
Fuente: 'Calculos vf.xlsx', Hoja 'BOM y balanceo', fila 9. Envasadora Flowpack Zon Pack de 3 servomotores independientes, potencia total 6,50 kW.</t>
      </text>
    </comment>
    <comment authorId="0" ref="H9">
      <text>
        <t xml:space="preserve">======
ID#AAACFr_CUO8
Grupo 8 - UTN FRBA    (2026-09-18 01:44:23)
Fuente: 'Calculos vf.xlsx', Hoja 'BOM y balanceo', fila 7. Horno Túnel Polin continuo a gas, tracción y recirculación de aire caliente 52,00 kW.</t>
      </text>
    </comment>
  </commentList>
  <extLst>
    <ext uri="GoogleSheetsCustomDataVersion2">
      <go:sheetsCustomData xmlns:go="http://customooxmlschemas.google.com/" r:id="rId1" roundtripDataSignature="AMtx7miCXV1y+MdAwCxv/d9FZPkeHh3KP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ID#AAACFr_CUQ8
Santiago Greco    (2026-09-18 01:45:00)
Habria que chequear bien las medidas de cada puesto</t>
      </text>
    </comment>
    <comment authorId="0" ref="F5">
      <text>
        <t xml:space="preserve">======
ID#AAACFr_CUPE
Grupo 8 - UTN FRBA    (2026-09-18 01:44:23)
Alto total del sector en metros (6,50 m para la nave de producción industrial según 'Iluminación + Matafuegos.xlsx' Hoja 'LUMINANCIA').</t>
      </text>
    </comment>
    <comment authorId="0" ref="H5">
      <text>
        <t xml:space="preserve">======
ID#AAACFr-pL38
Grupo 8 - UTN FRBA    (2026-09-18 01:44:23)
Superficie en m² = Largo x Ancho. Coincide exactamente con la Hoja 'LUMINANCIA' celda C8.</t>
      </text>
    </comment>
    <comment authorId="0" ref="I5">
      <text>
        <t xml:space="preserve">======
ID#AAACFr-pL5g
Grupo 8 - UTN FRBA    (2026-09-18 01:44:23)
Índice del Local IL = (Largo x Ancho) / [Alto x (Largo + Ancho)]. Fórmula idéntica a la Hoja 'LUMINANCIA' de 'Iluminación + Matafuegos.xlsx'.</t>
      </text>
    </comment>
    <comment authorId="0" ref="J5">
      <text>
        <t xml:space="preserve">======
ID#AAACFr-pL34
Grupo 8 - UTN FRBA    (2026-09-18 01:44:23)
Puntos mínimos de medición para el Protocolo de Iluminación Laboral según Resolución SRT 84/12: N = (IL + 2)^2. Fuente: 'Iluminación + Matafuegos.xlsx' celda C7.</t>
      </text>
    </comment>
    <comment authorId="0" ref="K5">
      <text>
        <t xml:space="preserve">======
ID#AAACFr_CUNg
Grupo 8 - UTN FRBA    (2026-09-18 01:44:23)
Iluminancia mínima obligatoria fijada por el Decreto Reglamentario 351/79, Anexo IV, Tabla 2. Fuente: 'Iluminación + Matafuegos.xlsx' celda C9.</t>
      </text>
    </comment>
    <comment authorId="0" ref="L5">
      <text>
        <t xml:space="preserve">======
ID#AAACFr-pL4g
Grupo 8 - UTN FRBA    (2026-09-18 01:44:23)
Nivel de iluminancia de diseño adoptado por el Grupo 8 en 'Iluminación + Matafuegos.xlsx' celda C10. Supera el mínimo legal para garantizar confort y seguridad visual.</t>
      </text>
    </comment>
    <comment authorId="0" ref="O5">
      <text>
        <t xml:space="preserve">======
ID#AAACFr-pL4M
Grupo 8 - UTN FRBA    (2026-09-18 01:44:23)
Flujo luminoso total necesario para alcanzar el Nivel de Diseño = (Nivel_Diseño x Superficie) / (μ x fm) [Lúmenes].</t>
      </text>
    </comment>
    <comment authorId="0" ref="C23">
      <text>
        <t xml:space="preserve">======
ID#AAACFr_CUOw
Grupo 8 - UTN FRBA    (2026-09-18 01:44:23)
Sector 18 Calidad Cocido. 4,50 x 2,80 m (12,60 m²). Lux diseño=750 lx (Mín=600 lx). 4 Paneles LED 60x60 40W.</t>
      </text>
    </comment>
    <comment authorId="0" ref="C22">
      <text>
        <t xml:space="preserve">======
ID#AAACFr_CUPI
Grupo 8 - UTN FRBA    (2026-09-18 01:44:23)
Sector 17 Calidad Crudo. 1,50 x 2,10 m (3,15 m²). Lux diseño=750 lx (Mín=600 lx). Panel LED 60x60 40W.</t>
      </text>
    </comment>
    <comment authorId="0" ref="C20">
      <text>
        <t xml:space="preserve">======
ID#AAACFr_CUOQ
Grupo 8 - UTN FRBA    (2026-09-18 01:44:23)
Sector 15 Depósito PT. 12,00 x 15,60 m (187,20 m²). H=6,50 m. IL=1,04. Lux diseño=200 lx (Mín=100 lx). 4 Campanas LED High Bay 150W.</t>
      </text>
    </comment>
    <comment authorId="0" ref="T5">
      <text>
        <t xml:space="preserve">======
ID#AAACFr-pL3U
Grupo 8 - UTN FRBA    (2026-09-18 01:44:23)
Cantidad de luminarias adoptada = REDONDEAR.MAS(Cantidad Calculada).</t>
      </text>
    </comment>
    <comment authorId="0" ref="U5">
      <text>
        <t xml:space="preserve">======
ID#AAACFr_CUPA
Grupo 8 - UTN FRBA    (2026-09-18 01:44:23)
Potencia eléctrica total conectada de iluminación (kW) = Cantidad Adoptada x Potencia Unitaria / 1000.</t>
      </text>
    </comment>
    <comment authorId="0" ref="W5">
      <text>
        <t xml:space="preserve">======
ID#AAACFr_CUOE
Grupo 8 - UTN FRBA    (2026-09-18 01:44:23)
Consumo de energía eléctrica anual de iluminación = Potencia Total (kW) x Horas Encendido/Año.</t>
      </text>
    </comment>
    <comment authorId="0" ref="C17">
      <text>
        <t xml:space="preserve">======
ID#AAACFr_CUN8
Grupo 8 - UTN FRBA    (2026-09-18 01:44:23)
Sector 12 Hornos Rotativos. 5,20 x 3,70 m (19,24 m²). H=6,50 m. Lux diseño=500 lx (Mín=300 lx). 2 Campanas LED 100W.</t>
      </text>
    </comment>
    <comment authorId="0" ref="X5">
      <text>
        <t xml:space="preserve">======
ID#AAACFr-pL3g
Grupo 8 - UTN FRBA    (2026-09-18 01:44:23)
Nivel medio de iluminación real logrado en servicio en el plano de trabajo (lx) = (Cant_Adop x Flujo_Lampara x μ x fm) / Superficie.</t>
      </text>
    </comment>
    <comment authorId="0" ref="U30">
      <text>
        <t xml:space="preserve">======
ID#AAACFr_CUQo
Grupo 8 - UTN FRBA    (2026-09-18 01:44:23)
Potencia eléctrica total de iluminación instalada conectada: 3,25 kW. Vincula dinámicamente con Hoja 1 fila 33 (celda H33).</t>
      </text>
    </comment>
    <comment authorId="0" ref="C11">
      <text>
        <t xml:space="preserve">======
ID#AAACFr_CUPQ
Grupo 8 - UTN FRBA    (2026-09-18 01:44:23)
Sector 6 Horno Túnel. 8,60 x 2,30 m (19,78 m²). H=6,50 m. Lux diseño=500 lx (Mín=300 lx). 2 Campanas LED 100W.</t>
      </text>
    </comment>
    <comment authorId="0" ref="C6">
      <text>
        <t xml:space="preserve">======
ID#AAACFr-pL5c
Grupo 8 - UTN FRBA    (2026-09-18 01:44:23)
Sector 1 Depósito MP. 8,30 x 6,30 m (52,29 m²). H=6,50 m. IL=0,55. SRT=7 mediciones. Lux diseño adoptado=200 lx (Mín Dto 351/79=100 lx). 2 Campanas LED 100W.</t>
      </text>
    </comment>
  </commentList>
  <extLst>
    <ext uri="GoogleSheetsCustomDataVersion2">
      <go:sheetsCustomData xmlns:go="http://customooxmlschemas.google.com/" r:id="rId1" roundtripDataSignature="AMtx7mjcOEL88Td4f3UEcrbGAz6hbej5i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======
ID#AAACFr_CUO4
Grupo 8 - UTN FRBA    (2026-09-18 01:44:23)
Fuente: 'Calculos vf.xlsx', Hoja 'BOM y balanceo', fila 16. Potencia calórica del Horno Rotativo Pauna SIGMA 2: 70.000 kcal/h.</t>
      </text>
    </comment>
    <comment authorId="0" ref="H7">
      <text>
        <t xml:space="preserve">======
ID#AAACFr_CUOU
Grupo 8 - UTN FRBA    (2026-09-18 01:44:23)
Fuente: 'Calculos vf.xlsx', Hoja 'BOM y balanceo', fila 16. Potencia calórica del Horno Rotativo Pauna SIGMA 1: 70.000 kcal/h.</t>
      </text>
    </comment>
    <comment authorId="0" ref="H6">
      <text>
        <t xml:space="preserve">======
ID#AAACFr_CUPg
Grupo 8 - UTN FRBA    (2026-09-18 01:44:23)
Fuente: 'Calculos vf.xlsx', Hoja 'BOM y balanceo', fila 7. Potencia calórica del Horno Túnel Polin: 85.000 kcal/h.</t>
      </text>
    </comment>
    <comment authorId="0" ref="L9">
      <text>
        <t xml:space="preserve">======
ID#AAACFr_CUPY
Grupo 8 - UTN FRBA    (2026-09-18 01:44:23)
Caudal de diseño pico simultáneo de gas natural = 27,49 m³/h.</t>
      </text>
    </comment>
    <comment authorId="0" ref="J6">
      <text>
        <t xml:space="preserve">======
ID#AAACFr-pL5I
Grupo 8 - UTN FRBA    (2026-09-18 01:44:23)
Rendimiento térmico medio de combustión estimado para quemadores industriales modernos: 88%.</t>
      </text>
    </comment>
    <comment authorId="0" ref="K6">
      <text>
        <t xml:space="preserve">======
ID#AAACFr-pL3Y
Grupo 8 - UTN FRBA    (2026-09-18 01:44:23)
Poder Calorífico Superior (PCS) del Gas Natural según especificación técnica estándar de ENARGAS / Naturgy BAN: 9.300 kcal/m³.</t>
      </text>
    </comment>
    <comment authorId="0" ref="O9">
      <text>
        <t xml:space="preserve">======
ID#AAACFr_CUNc
Grupo 8 - UTN FRBA    (2026-09-18 01:44:23)
Consumo anual total estimado de gas natural = 90.183 m³/año para 238 días de operación.</t>
      </text>
    </comment>
    <comment authorId="0" ref="C7">
      <text>
        <t xml:space="preserve">======
ID#AAACFsvYVDo
Santiago Greco    (2026-09-18 17:18:57)
Si los rotativos van a ser 100% electricos deberiamos sacar el consumo a gas. 
Sino podriamos ver que es mas barato</t>
      </text>
    </comment>
  </commentList>
  <extLst>
    <ext uri="GoogleSheetsCustomDataVersion2">
      <go:sheetsCustomData xmlns:go="http://customooxmlschemas.google.com/" r:id="rId1" roundtripDataSignature="AMtx7mg71+wOhisDCJopThHs4LR5umUwL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">
      <text>
        <t xml:space="preserve">======
ID#AAACFr_CUQc
Grupo 8 - UTN FRBA    (2026-09-18 01:44:23)
Norma ISO 8573-1 Clase 1.4.1 requerida en industrias de alimentos libres de gluten.</t>
      </text>
    </comment>
    <comment authorId="0" ref="G6">
      <text>
        <t xml:space="preserve">======
ID#AAACFr_CUNk
Grupo 8 - UTN FRBA    (2026-09-18 01:44:23)
Fuente: 'Calculos vf.xlsx', Hoja 'BOM y balanceo', fila 14. Dosificadora neumática Indurpack G1WGD-1000: presión 0,4-0,6 MPa, consumo 140 L/min.</t>
      </text>
    </comment>
    <comment authorId="0" ref="C16">
      <text>
        <t xml:space="preserve">======
ID#AAACFr_CUNQ
Grupo 8 - UTN FRBA    (2026-09-18 01:44:23)
Ficha técnica compresor Schulz SRP 4008: 5,5 HP (4,0 kW), caudal FAD de 580 L/min a 8 bar.</t>
      </text>
    </comment>
    <comment authorId="0" ref="C13">
      <text>
        <t xml:space="preserve">======
ID#AAACFr_CUPk
Grupo 8 - UTN FRBA    (2026-09-18 01:44:23)
Caudal total de diseño requerido = 397,9 L/min a 8 bar (incluye 15% de pérdidas por fugas y 20% de reserva de diseño).</t>
      </text>
    </comment>
  </commentList>
  <extLst>
    <ext uri="GoogleSheetsCustomDataVersion2">
      <go:sheetsCustomData xmlns:go="http://customooxmlschemas.google.com/" r:id="rId1" roundtripDataSignature="AMtx7mglbhUkzpLvyxEEiVSlIBU6RbgoqQ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ID#AAACFr_CUPw
Grupo 8 - UTN FRBA    (2026-09-18 01:44:23)
Dotación reglamentaria según Obras Sanitarias de la Nación (OSN) y Decreto 351/79: 45 L/persona-día para 55 operarios.</t>
      </text>
    </comment>
    <comment authorId="0" ref="D15">
      <text>
        <t xml:space="preserve">======
ID#AAACFr-pL4s
Grupo 8 - UTN FRBA    (2026-09-18 01:44:23)
Limpieza húmeda CIP de amasadoras, dosificadoras, carros y desinfección de pisos libres de gluten según Buenas Prácticas de Manufactura (BPM).</t>
      </text>
    </comment>
    <comment authorId="0" ref="C25">
      <text>
        <t xml:space="preserve">======
ID#AAACFr_CUN0
Grupo 8 - UTN FRBA    (2026-09-18 01:44:23)
Capacidad total de cisterna unificada = 40 m³ (10 m³ reserva operativa + 30 m³ reserva de incendio intocable con succión a distinto nivel).</t>
      </text>
    </comment>
    <comment authorId="0" ref="C24">
      <text>
        <t xml:space="preserve">======
ID#AAACFr_CUQ4
Grupo 8 - UTN FRBA    (2026-09-18 01:44:23)
Reserva exclusiva intocable contra incendio según Decreto Reglamentario 351/79 Anexo VII: 2 mangueras x 250 L/min x 60 min = 30.000 Litros.</t>
      </text>
    </comment>
    <comment authorId="0" ref="D9">
      <text>
        <t xml:space="preserve">======
ID#AAACFr_CUOY
Grupo 8 - UTN FRBA    (2026-09-18 01:44:23)
Fuente: 'Calculos vf.xlsx', Hoja 'BOM'. Fórmula de galletitas dulces y saladas con 7% de agua.</t>
      </text>
    </comment>
    <comment authorId="0" ref="D8">
      <text>
        <t xml:space="preserve">======
ID#AAACFr-pL44
Grupo 8 - UTN FRBA    (2026-09-18 01:44:23)
Fuente: 'Calculos vf.xlsx', Hoja 'BOM'. Fórmula de budín con frutos secos con 10% de agua.</t>
      </text>
    </comment>
    <comment authorId="0" ref="D7">
      <text>
        <t xml:space="preserve">======
ID#AAACFr-pL4A
Grupo 8 - UTN FRBA    (2026-09-18 01:44:23)
Fuente: 'Calculos vf.xlsx', Hoja 'BOM'. Fórmula de budín tradicional con 11% de agua.</t>
      </text>
    </comment>
    <comment authorId="0" ref="D6">
      <text>
        <t xml:space="preserve">======
ID#AAACFr_CUQU
Grupo 8 - UTN FRBA    (2026-09-18 01:44:23)
Fuente: 'Calculos vf.xlsx', Hoja 'BOM'. Fórmula de pan de molde con 38% de agua de hidratación.</t>
      </text>
    </comment>
  </commentList>
  <extLst>
    <ext uri="GoogleSheetsCustomDataVersion2">
      <go:sheetsCustomData xmlns:go="http://customooxmlschemas.google.com/" r:id="rId1" roundtripDataSignature="AMtx7miCr7e88pqaJpkA9adDvLDpXCul3Q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ID#AAACFr-pL5k
Grupo 8 - UTN FRBA    (2026-09-18 01:44:23)
Enlace Oficial ENARGAS para verificar Cuadros Tarifarios de Distribución de Gas: https://www.enargas.gob.ar/secciones/tarifas/cuadros-tarifarios.php. Naturgy: https://www.naturgy.com.ar/cuadros-tarifarios/</t>
      </text>
    </comment>
    <comment authorId="0" ref="D18">
      <text>
        <t xml:space="preserve">======
ID#AAACFr_CURk
Santiago Greco    (2026-09-18 01:53:45)
Estos salen de aca https://wss.enargas.gov.ar:9092/service.asmx/ObtenerArchivo?Tipo=13&amp;Numero=0539&amp;Ano=2026
hoja 8 - SGP3</t>
      </text>
    </comment>
    <comment authorId="0" ref="D26">
      <text>
        <t xml:space="preserve">======
ID#AAACFr_CUOc
Grupo 8 - UTN FRBA    (2026-09-18 01:44:23)
Abono base mensual por red de agua corriente industrial de PIP, mantenimiento de presión de red, cloración continua y muestreo bacteriológico.
------
ID#AAACFr_CUSE
Santiago Greco    (2026-09-18 02:01:44)
Esto es a chequear. Si tenemos pozo creo que no habria q pagar nada .</t>
      </text>
    </comment>
    <comment authorId="0" ref="D8">
      <text>
        <t xml:space="preserve">======
ID#AAACFr_CURE
Santiago Greco    (2026-09-18 01:46:45)
T3 media tension https://www.argentina.gob.ar/enre/cuadros_tarifarios</t>
      </text>
    </comment>
    <comment authorId="0" ref="B6">
      <text>
        <t xml:space="preserve">======
ID#AAACFr-pL4Y
Grupo 8 - UTN FRBA    (2026-09-18 01:44:23)
Enlace Oficial ENRE para verificar el Cuadro Tarifario de Edenor: https://www.argentina.gob.ar/enre/tarifas/cuadros-tarifarios-edenor. Portal empresas: https://www.edenor.com/clientes/empresas/cuadros-tarifarios</t>
      </text>
    </comment>
    <comment authorId="0" ref="D7">
      <text>
        <t xml:space="preserve">======
ID#AAACFr_CURI
Santiago Greco    (2026-09-18 01:47:04)
Los valores salen de aca 
https://www.argentina.gob.ar/enre/cuadros_tarifarios
en el cuadro T3 media tension</t>
      </text>
    </comment>
  </commentList>
  <extLst>
    <ext uri="GoogleSheetsCustomDataVersion2">
      <go:sheetsCustomData xmlns:go="http://customooxmlschemas.google.com/" r:id="rId1" roundtripDataSignature="AMtx7mjudmph0rn3hMtTuBUcX4q3Bu4GqQ=="/>
    </ext>
  </extLst>
</comments>
</file>

<file path=xl/sharedStrings.xml><?xml version="1.0" encoding="utf-8"?>
<sst xmlns="http://schemas.openxmlformats.org/spreadsheetml/2006/main" count="707" uniqueCount="521">
  <si>
    <t>CELI S.A. - DASHBOARD EJECUTIVO DE INSTALACIONES Y SERVICIOS INDUSTRIALES</t>
  </si>
  <si>
    <t>PLANTA CELI S.A. - RELEVAMIENTO DE POTENCIA ELÉCTRICA Y CONSUMO ENERGÉTICO</t>
  </si>
  <si>
    <t>Proyecto Final UTN FRBA - Grupo 8 | Planta Industrial Pilar (Nave 720 m²) | Régimen: 3 Turnos (24/5) - 5.712 h/año</t>
  </si>
  <si>
    <t>Relevamiento de Fuerza Motriz, Servicios Auxiliares e Iluminación | Parque Industrial Pilar | Régimen: 3 Turnos (24/5) - 5.712 h/año</t>
  </si>
  <si>
    <t>POTENCIA INSTALADA</t>
  </si>
  <si>
    <t>POTENCIA DEMANDADA MÁX.</t>
  </si>
  <si>
    <t>PLANTA CELI S.A. - CÁLCULO LUMINOTÉCNICO Y CUMPLIMIENTO DECRETO 351/79</t>
  </si>
  <si>
    <t>ID</t>
  </si>
  <si>
    <t>CONSUMO ELÉCTRICO ANUAL</t>
  </si>
  <si>
    <t>POTENCIA TÉRMICA GAS</t>
  </si>
  <si>
    <t>Sector / Área</t>
  </si>
  <si>
    <t>Línea</t>
  </si>
  <si>
    <t>Equipo</t>
  </si>
  <si>
    <t>Marca y Modelo Relevado</t>
  </si>
  <si>
    <t>Cant.</t>
  </si>
  <si>
    <t>Pot. Unit. (kW)</t>
  </si>
  <si>
    <t>Tensión (V)</t>
  </si>
  <si>
    <t>Fases / Frec.</t>
  </si>
  <si>
    <t>Pot. Inst. (kW)</t>
  </si>
  <si>
    <t>Factor Utiliz. (Fu)</t>
  </si>
  <si>
    <t>Factor Simult. (Fs)</t>
  </si>
  <si>
    <t>Pot. Dem. (kW)</t>
  </si>
  <si>
    <t>cos φ</t>
  </si>
  <si>
    <t>Pot. Apar. (kW)</t>
  </si>
  <si>
    <t>Hs Operat./Año</t>
  </si>
  <si>
    <t>Aprovechamiento</t>
  </si>
  <si>
    <t>Consumo Anual (kWh/año)</t>
  </si>
  <si>
    <t>Articulado con 'Iluminación + Matafuegos.xlsx' | Método del Flujo Luminoso para Niveles de Diseño y Protocolo Res. SRT 84/12</t>
  </si>
  <si>
    <t>Fuente / Referencia Técnica</t>
  </si>
  <si>
    <t>LÍNEA A: GALLETITAS DULCES Y CRACKERS (PROCESO CONTINUO)</t>
  </si>
  <si>
    <t>Amasado</t>
  </si>
  <si>
    <t>Línea A</t>
  </si>
  <si>
    <t>Amasadora rápida</t>
  </si>
  <si>
    <t>Catania HJ25B espiral</t>
  </si>
  <si>
    <t>220 V</t>
  </si>
  <si>
    <t>Sector / Puesto</t>
  </si>
  <si>
    <t>Monofásica 50Hz</t>
  </si>
  <si>
    <t>Tipo de Área</t>
  </si>
  <si>
    <t>Largo a (m)</t>
  </si>
  <si>
    <t>Ancho b (m)</t>
  </si>
  <si>
    <t>Alto H (m)</t>
  </si>
  <si>
    <t>Superficie S (m²)</t>
  </si>
  <si>
    <t>Índice Local (IL)</t>
  </si>
  <si>
    <t>Puntos Med. (Res. SRT 84/12)</t>
  </si>
  <si>
    <t>Lux Mín. Dto. 351/79</t>
  </si>
  <si>
    <t>Nivel Diseño Adoptado (lx)</t>
  </si>
  <si>
    <t>Coef. Utiliz. (μ)</t>
  </si>
  <si>
    <t>Factor Mant. (fm)</t>
  </si>
  <si>
    <t>Flujo Total Req. (lm)</t>
  </si>
  <si>
    <t>Artefacto Seleccionado</t>
  </si>
  <si>
    <t>Pot. Unit. (W)</t>
  </si>
  <si>
    <t>Flujo Lámpara (lm)</t>
  </si>
  <si>
    <t>Cant. Calc.</t>
  </si>
  <si>
    <t>Cant. Adop.</t>
  </si>
  <si>
    <t>Pot. Total (kW)</t>
  </si>
  <si>
    <t>PLANTA CELI S.A. - RELEVAMIENTO DE GAS NATURAL DE RED Y CONSUMO TÉRMICO</t>
  </si>
  <si>
    <t>Hs Encendido/Año</t>
  </si>
  <si>
    <t>Nivel Medio Logrado (lx)</t>
  </si>
  <si>
    <t>Cumplimiento Normativo</t>
  </si>
  <si>
    <t>Gasoducto Industrial Parque Industrial Pilar | Distribuidora: Naturgy BAN S.A. | Norma NAG-200</t>
  </si>
  <si>
    <t>Equipo Consumidor</t>
  </si>
  <si>
    <t>Ubicación</t>
  </si>
  <si>
    <t>Deposito MP</t>
  </si>
  <si>
    <t>Tipo Quemador</t>
  </si>
  <si>
    <t>Combustible</t>
  </si>
  <si>
    <t>Calculos vf.xlsx Hoja 'BOM y balanceo' R5</t>
  </si>
  <si>
    <t>Pot. Térmica (kcal/h)</t>
  </si>
  <si>
    <t>Almacén Materias Primas</t>
  </si>
  <si>
    <t>Pot. Térmica (kW)</t>
  </si>
  <si>
    <t>Rendimiento (η)</t>
  </si>
  <si>
    <t>Moldeado</t>
  </si>
  <si>
    <t>P.C.S. (kcal/m³)</t>
  </si>
  <si>
    <t>Laminadora / Rotativa</t>
  </si>
  <si>
    <t>Ralem R800 formadora</t>
  </si>
  <si>
    <t>Caudal Pico (m³/h)</t>
  </si>
  <si>
    <t>Hs Uso/Día</t>
  </si>
  <si>
    <t>380 V</t>
  </si>
  <si>
    <t>Días/Año</t>
  </si>
  <si>
    <t>Trifásica 50Hz</t>
  </si>
  <si>
    <t>Consumo Anual (m³/año)</t>
  </si>
  <si>
    <t>kW</t>
  </si>
  <si>
    <t>Fuente / Referencia</t>
  </si>
  <si>
    <t>kWh/año</t>
  </si>
  <si>
    <t>Horno Túnel Continuo Polin</t>
  </si>
  <si>
    <t>Línea A Galletitas</t>
  </si>
  <si>
    <t>kcal/h</t>
  </si>
  <si>
    <t>Nave Producción Sector [6]</t>
  </si>
  <si>
    <t>Atmosférico multigas con control mod.</t>
  </si>
  <si>
    <t>Gas Natural de Red</t>
  </si>
  <si>
    <t>Calculos vf.xlsx Hoja 'BOM y balanceo' R6</t>
  </si>
  <si>
    <t>CONSUMO ANUAL GAS</t>
  </si>
  <si>
    <t>Horneado</t>
  </si>
  <si>
    <t>Horno túnel continuo</t>
  </si>
  <si>
    <t>CAUDAL AIRE COMPRIMIDO</t>
  </si>
  <si>
    <t>Polin Túnel Gas 12m (Tracción/Turbinas)</t>
  </si>
  <si>
    <t>CONSUMO DIARIO AGUA</t>
  </si>
  <si>
    <t>PRESUPUESTO ANUAL SERVICIOS</t>
  </si>
  <si>
    <t>Calculos vf.xlsx Hoja 'BOM y balanceo' R7</t>
  </si>
  <si>
    <t>Enfriado</t>
  </si>
  <si>
    <t>Cinta de enfriamiento</t>
  </si>
  <si>
    <t>Golden Way Cintas modulares 7m</t>
  </si>
  <si>
    <t>Calculos vf.xlsx Hoja 'BOM y balanceo' R8</t>
  </si>
  <si>
    <t>Empaque</t>
  </si>
  <si>
    <t>Envasadora Flowpack</t>
  </si>
  <si>
    <t>Zon Pack Flowpack horizontal servomotor</t>
  </si>
  <si>
    <t>Calculos vf.xlsx Hoja 'BOM y balanceo' R9</t>
  </si>
  <si>
    <t>SUBTOTAL LÍNEA A (GALLETITAS)</t>
  </si>
  <si>
    <t>m³/año</t>
  </si>
  <si>
    <t>L/min</t>
  </si>
  <si>
    <t>m³/día</t>
  </si>
  <si>
    <t>Campana LED High Bay IP65 100W</t>
  </si>
  <si>
    <t>$/año (Oficial ENRE/ENARGAS)</t>
  </si>
  <si>
    <t>Horno Rotativo Pauna SIGMA (Horno 1)</t>
  </si>
  <si>
    <t>Línea B Panificados</t>
  </si>
  <si>
    <t>Nave Producción Sector [12]</t>
  </si>
  <si>
    <t>Quemador presurizado automático</t>
  </si>
  <si>
    <t>MATRIZ CONSOLIDADA DE SERVICIOS INDUSTRIALES E INSTALACIONES</t>
  </si>
  <si>
    <t>Servicio / Instalación</t>
  </si>
  <si>
    <t>Parámetro Técnico Clave</t>
  </si>
  <si>
    <t>Unidad</t>
  </si>
  <si>
    <t>Valor Mensual</t>
  </si>
  <si>
    <t>Valor Anual</t>
  </si>
  <si>
    <t>Proveedor / Ente</t>
  </si>
  <si>
    <t>Costo Mensual Est. ($)</t>
  </si>
  <si>
    <t>Costo Anual Est. ($)</t>
  </si>
  <si>
    <t>Hoja de Detalle</t>
  </si>
  <si>
    <t>Energía Eléctrica (Fuerza Motriz)</t>
  </si>
  <si>
    <t>Potencia Demandada Máxima</t>
  </si>
  <si>
    <t>LÍNEA B: PANIFICADOS Y BUDINES (PROCESO POR BATCH)</t>
  </si>
  <si>
    <t>EDENOR (Tarifa T3 MT)</t>
  </si>
  <si>
    <t>Calculos vf.xlsx Hoja 'BOM y balanceo' R16</t>
  </si>
  <si>
    <t>Pesado</t>
  </si>
  <si>
    <t>Línea B</t>
  </si>
  <si>
    <t>Balanza de precisión</t>
  </si>
  <si>
    <t>Moretti Ultra 60 macro/micro</t>
  </si>
  <si>
    <t>Horno Rotativo Pauna SIGMA (Horno 2)</t>
  </si>
  <si>
    <t>1. Potencia Eléctrica</t>
  </si>
  <si>
    <t>Sistema de Iluminación (Dec. 351/79)</t>
  </si>
  <si>
    <t>Artefactos LED Instalados</t>
  </si>
  <si>
    <t>unid.</t>
  </si>
  <si>
    <t>TOTAL CONSUMO TÉRMICO Y GAS NATURAL</t>
  </si>
  <si>
    <t>Calculos vf.xlsx Hoja 'BOM y balanceo' R12</t>
  </si>
  <si>
    <t>Aduana MP (recepcion y control)</t>
  </si>
  <si>
    <t>Batido</t>
  </si>
  <si>
    <t>Campanas High Bay / Paneles</t>
  </si>
  <si>
    <t>Control y Desinfección</t>
  </si>
  <si>
    <t>-</t>
  </si>
  <si>
    <t>Batidora planetaria</t>
  </si>
  <si>
    <t>Moretti Planeta 60 industrial</t>
  </si>
  <si>
    <t>(Incluido en Eléctrico)</t>
  </si>
  <si>
    <t>2. Luminarias y Lux</t>
  </si>
  <si>
    <t>Caudal Medio Operativo</t>
  </si>
  <si>
    <t>m³/h</t>
  </si>
  <si>
    <t>Calculos vf.xlsx Hoja 'BOM y balanceo' R13</t>
  </si>
  <si>
    <t>Dosificado</t>
  </si>
  <si>
    <t>Dosificadora de tolva</t>
  </si>
  <si>
    <t>Indurpack G1WGD-1000 neumática/eléc</t>
  </si>
  <si>
    <t>Naturgy BAN (SGP3)</t>
  </si>
  <si>
    <t>Calculos vf.xlsx Hoja 'BOM y balanceo' R14</t>
  </si>
  <si>
    <t>Fermentación</t>
  </si>
  <si>
    <t>3. Instalación de Gas</t>
  </si>
  <si>
    <t>Cámara fermentadora</t>
  </si>
  <si>
    <t>Artefacto Lineal Estanco LED 2x18W</t>
  </si>
  <si>
    <t>Nick Tech CF-240 calor/humedad</t>
  </si>
  <si>
    <t>Aire Comprimido Industrial</t>
  </si>
  <si>
    <t>Caudal Libre Entregado (8 bar)</t>
  </si>
  <si>
    <t>Calculos vf.xlsx Hoja 'BOM y balanceo' R15</t>
  </si>
  <si>
    <t>Horno rotativo a gas</t>
  </si>
  <si>
    <t>Pauna SIGMA rotativo carro (Horno 1)</t>
  </si>
  <si>
    <t>Compresor Schulz 5.5 HP</t>
  </si>
  <si>
    <t>4. Aire Comprimido</t>
  </si>
  <si>
    <t>Agua de Proceso y Saneamiento</t>
  </si>
  <si>
    <t>Consumo Medio de Planta</t>
  </si>
  <si>
    <t>Pauna SIGMA rotativo carro (Horno 2)</t>
  </si>
  <si>
    <t>m³/mes</t>
  </si>
  <si>
    <t>Seccion Pesado (macro y micro)</t>
  </si>
  <si>
    <t>PARÁMETROS DE DISEÑO DE LA INSTALACIÓN INTERNA DE GAS (NAG-200)</t>
  </si>
  <si>
    <t>Pesaje y Fraccionamiento</t>
  </si>
  <si>
    <t>Equipo aire acondicionado</t>
  </si>
  <si>
    <t>Split de conductos Cardiff Inverter 36H</t>
  </si>
  <si>
    <t>Potencia Térmica Total Instalada:</t>
  </si>
  <si>
    <t>Red PIP + Cisterna 40m³</t>
  </si>
  <si>
    <t>5. Agua y Saneamiento</t>
  </si>
  <si>
    <t>TOTAL PRESUPUESTO ANUAL ESTIMADO DE SERVICIOS E INSTALACIONES</t>
  </si>
  <si>
    <t>Elaboración Galletitas</t>
  </si>
  <si>
    <t>Desmolde/Corte</t>
  </si>
  <si>
    <t>Cortadora / Rebanadora</t>
  </si>
  <si>
    <t>Braesi FB-12 rebanadora industrial</t>
  </si>
  <si>
    <t>Potencia Térmica Total en kW:</t>
  </si>
  <si>
    <t>100% INTEGRADO</t>
  </si>
  <si>
    <t>Calculos vf.xlsx Hoja 'BOM y balanceo' R18</t>
  </si>
  <si>
    <t>Envasado</t>
  </si>
  <si>
    <t>Brunetti EFH700X servocontrolada</t>
  </si>
  <si>
    <t>Poder Calorífico Superior del Gas (PCS):</t>
  </si>
  <si>
    <t>kcal/m³ (Naturgy BAN)</t>
  </si>
  <si>
    <t>Moldeo y Formado</t>
  </si>
  <si>
    <t>Caudal Máximo Simultáneo de Diseño:</t>
  </si>
  <si>
    <t>Calculos vf.xlsx Hoja 'BOM y balanceo' R19</t>
  </si>
  <si>
    <t>SUBTOTAL LÍNEA B (PANIFICADOS)</t>
  </si>
  <si>
    <t>Presión de Suministro en Red Externa (Media Presión):</t>
  </si>
  <si>
    <t>bar (Red Industrial PIP)</t>
  </si>
  <si>
    <t>Presión de Trabajo en Quemadores Internos:</t>
  </si>
  <si>
    <t>mbar (Baja Presión Regulada)</t>
  </si>
  <si>
    <t>Medidor de Gas Industrial Recomendado:</t>
  </si>
  <si>
    <t>Medidor rotativo G-25 (Capacidad: hasta 40 m³/h)</t>
  </si>
  <si>
    <t>Diámetro Cañería Colectora Principal de Gas:</t>
  </si>
  <si>
    <t>1.1/2" (Ø 40 mm) ASTM A-53 con revestimiento epoxi</t>
  </si>
  <si>
    <t>Horno Tunel</t>
  </si>
  <si>
    <t>Horneado Continuo Galletitas</t>
  </si>
  <si>
    <t>SERVICIOS AUXILIARES, ILUMINACIÓN GENERAL E INSTALACIONES</t>
  </si>
  <si>
    <t>Servicios</t>
  </si>
  <si>
    <t>Auxiliares</t>
  </si>
  <si>
    <t>Compresor tornillo aire</t>
  </si>
  <si>
    <t>Atlas Copco G2 FF</t>
  </si>
  <si>
    <t>Cinta Enfriado</t>
  </si>
  <si>
    <t>Enfriamiento Galletitas</t>
  </si>
  <si>
    <t>Envasado 1</t>
  </si>
  <si>
    <t>Envasado Primario Galletitas</t>
  </si>
  <si>
    <t>Hoja '4. Aire Comprimido'</t>
  </si>
  <si>
    <t>Secador frigorífico aire</t>
  </si>
  <si>
    <t>Schulz ADS 20 (+3°C rocío)</t>
  </si>
  <si>
    <t>Almacén</t>
  </si>
  <si>
    <t>Batido Panif.</t>
  </si>
  <si>
    <t>Cargador autoelevador</t>
  </si>
  <si>
    <t>Batido de Masas Panificados</t>
  </si>
  <si>
    <t>HELI Cargador batería Litio 80V</t>
  </si>
  <si>
    <t>Calculos vf.xlsx Hoja 'Inversiones' R4</t>
  </si>
  <si>
    <t>Bombas presurizadoras agua</t>
  </si>
  <si>
    <t>Rowa / Motorarg 2 HP (1 activa + 1 res)</t>
  </si>
  <si>
    <t>Dosificación en Molde</t>
  </si>
  <si>
    <t>Hoja '5. Agua y Saneamiento'</t>
  </si>
  <si>
    <t>Administración</t>
  </si>
  <si>
    <t>Climatización Oficinas</t>
  </si>
  <si>
    <t>Split Inverter Frío/Calor 4500 fg</t>
  </si>
  <si>
    <t>Confort térmico oficinas 60m²</t>
  </si>
  <si>
    <t>Calidad</t>
  </si>
  <si>
    <t>Climatización Laboratorios</t>
  </si>
  <si>
    <t>Split Inverter Frío/Calor 3000 fg</t>
  </si>
  <si>
    <t>Laboratorio calidad crudo/cocido</t>
  </si>
  <si>
    <t>Equipos Informática y Red</t>
  </si>
  <si>
    <t>8 PC + Servidor + Impresora</t>
  </si>
  <si>
    <t>Fermentador</t>
  </si>
  <si>
    <t>Cámara Fermentación</t>
  </si>
  <si>
    <t>Calculos vf.xlsx Hoja 'Inversiones' R10</t>
  </si>
  <si>
    <t>Iluminación</t>
  </si>
  <si>
    <t>Planta</t>
  </si>
  <si>
    <t>Sistema Iluminación LED</t>
  </si>
  <si>
    <t>Luminarias nave, depósitos y oficinas</t>
  </si>
  <si>
    <t>Plafon Downlight LED IP44 18W</t>
  </si>
  <si>
    <t>Hornos Rotativos</t>
  </si>
  <si>
    <t>Horneado Panificados</t>
  </si>
  <si>
    <t>Hoja '2. Luminarias y Lux'</t>
  </si>
  <si>
    <t>SUBTOTAL SERVICIOS AUXILIARES E INSTALACIONES</t>
  </si>
  <si>
    <t>Sector Enfriado Panificados</t>
  </si>
  <si>
    <t>TOTAL GENERAL PLANTA INDUSTRIAL CELI S.A.</t>
  </si>
  <si>
    <t>Envasado Primario Panificados</t>
  </si>
  <si>
    <t>Deposito PT</t>
  </si>
  <si>
    <t>Almacén Producto Terminado</t>
  </si>
  <si>
    <t>Campana LED High Bay IP65 150W</t>
  </si>
  <si>
    <t>PARÁMETROS ELÉCTRICOS DE DISEÑO Y DIMENSIONAMIENTO DE ACOMETIDA</t>
  </si>
  <si>
    <t>Lavado / Scrap</t>
  </si>
  <si>
    <t>Higiene y Desinfección</t>
  </si>
  <si>
    <t>Potencia Total Demandada activa (P_dem_act):</t>
  </si>
  <si>
    <t>Factor de Potencia de Planta adoptado (cos φ):</t>
  </si>
  <si>
    <t>Calidad Crudo</t>
  </si>
  <si>
    <t>Laboratorio Calidad</t>
  </si>
  <si>
    <t>Panel LED 60x60 cm 40W Embutir</t>
  </si>
  <si>
    <t>Potencia Aparente máxima Demandada (S_inst):</t>
  </si>
  <si>
    <t>kVA</t>
  </si>
  <si>
    <t>Potencia total instalada (Pot_inst)</t>
  </si>
  <si>
    <t>Calidad Cocido</t>
  </si>
  <si>
    <t>Potencia Aparente instalada (S_inst):</t>
  </si>
  <si>
    <t>Capacidad de Transformador Industrial Recomendada:</t>
  </si>
  <si>
    <t>kVA (Norma IRAM 2250)</t>
  </si>
  <si>
    <t>Consumo Eléctrico Promedio Mensual:</t>
  </si>
  <si>
    <t>kWh/mes</t>
  </si>
  <si>
    <t>Oficinas Administrativas</t>
  </si>
  <si>
    <t>Consumo Eléctrico Promedio Diario (239 días prod):</t>
  </si>
  <si>
    <t>kWh/día</t>
  </si>
  <si>
    <t>CORRECCIÓN DEL FACTOR DE POTENCIA | PROYECTO FINAL</t>
  </si>
  <si>
    <t>Comedor del Personal</t>
  </si>
  <si>
    <t>Comedor</t>
  </si>
  <si>
    <t>01 DATOS DE ENTRADA · EDITABLES</t>
  </si>
  <si>
    <t>Potencia activa instalada</t>
  </si>
  <si>
    <t>Vestuarios y Sanitarios</t>
  </si>
  <si>
    <t>Higiene</t>
  </si>
  <si>
    <t>Inventario nominal de cargas; dato del proyecto</t>
  </si>
  <si>
    <t>Máxima potencia activa demandada</t>
  </si>
  <si>
    <t>Plafon Estanco LED IP65 24W</t>
  </si>
  <si>
    <t>Demanda simultánea calculada en el proyecto</t>
  </si>
  <si>
    <t>Factor de potencia inicial</t>
  </si>
  <si>
    <t>—</t>
  </si>
  <si>
    <t>Hipótesis global del proyecto; pendiente de medición</t>
  </si>
  <si>
    <t>Factor de potencia objetivo</t>
  </si>
  <si>
    <t>Sala de Máquinas y Compresor</t>
  </si>
  <si>
    <t>Servicios Técnicos</t>
  </si>
  <si>
    <t>Objetivo de diseño adoptado</t>
  </si>
  <si>
    <t>Esto según edenor</t>
  </si>
  <si>
    <t>Tensión de red</t>
  </si>
  <si>
    <t>V</t>
  </si>
  <si>
    <t>Tensión entre fases, editable</t>
  </si>
  <si>
    <t>Tensión nominal del banco</t>
  </si>
  <si>
    <t>Ficha del banco comercial referenciado</t>
  </si>
  <si>
    <t>Potencia nominal del banco</t>
  </si>
  <si>
    <t>kVAr</t>
  </si>
  <si>
    <t>Banco automático comercial seleccionado</t>
  </si>
  <si>
    <t>Taller de Mantenimiento</t>
  </si>
  <si>
    <t>Mantenimiento</t>
  </si>
  <si>
    <t>02 RESULTADOS · FÓRMULAS AUTOMÁTICAS</t>
  </si>
  <si>
    <t>Potencia aparente instalada</t>
  </si>
  <si>
    <t>Circulaciones y Pasillos</t>
  </si>
  <si>
    <t>Solo referencia para todas las cargas nominales</t>
  </si>
  <si>
    <t>Circulación Interna</t>
  </si>
  <si>
    <t>Potencia aparente demandada, sin compensar</t>
  </si>
  <si>
    <t>Potencia demandada / factor de potencia inicial</t>
  </si>
  <si>
    <t>Potencia reactiva inicial demandada</t>
  </si>
  <si>
    <t>Q = P × tan(arccos(cos φ inicial))</t>
  </si>
  <si>
    <t>Potencia reactiva objetivo demandada</t>
  </si>
  <si>
    <t>Artefacto Lineal Estanco LED 1x18W</t>
  </si>
  <si>
    <t>Q = P × tan(arccos(cos φ objetivo))</t>
  </si>
  <si>
    <t>Compensación requerida</t>
  </si>
  <si>
    <t>Diferencia entre potencias reactivas</t>
  </si>
  <si>
    <t>TOTALES SISTEMA DE ILUMINACIÓN PLANTA CELI</t>
  </si>
  <si>
    <t>Compensación nominal efectiva a tensión de red</t>
  </si>
  <si>
    <t>A 380 V, banco rotulado 15 kVAr a 400 V entrega menos kVAr</t>
  </si>
  <si>
    <t>¿Banco suficiente para carga máxima?</t>
  </si>
  <si>
    <t>SÍ</t>
  </si>
  <si>
    <t>La maniobra por etapas debe confirmarse con el proveedor</t>
  </si>
  <si>
    <t>Reactiva residual con banco entero conectado</t>
  </si>
  <si>
    <t>Escenario ilustrativo a máxima demanda: no es regulación automática</t>
  </si>
  <si>
    <t>Factor de potencia con banco entero conectado</t>
  </si>
  <si>
    <t>Escenario ilustrativo en demanda máxima</t>
  </si>
  <si>
    <t>Potencia aparente objetivo</t>
  </si>
  <si>
    <t>P demandada / cos φ objetivo</t>
  </si>
  <si>
    <t>Potencia aparente con banco entero conectado</t>
  </si>
  <si>
    <t>Resultado ilustrativo a demanda máxima</t>
  </si>
  <si>
    <t>Reducción de demanda aparente con banco entero</t>
  </si>
  <si>
    <t>No supone ahorro equivalente en energía kWh</t>
  </si>
  <si>
    <t>01 EQUIPO DE REFERENCIA</t>
  </si>
  <si>
    <t>Potencia nominal seleccionada</t>
  </si>
  <si>
    <t>Banco automático, no un capacitor suelto</t>
  </si>
  <si>
    <t>Tensión real de planta</t>
  </si>
  <si>
    <t>Dato vinculado a la hoja Cálculo</t>
  </si>
  <si>
    <t>Referencia comercial</t>
  </si>
  <si>
    <t>LEYDEN · banco automático 15 kVAr</t>
  </si>
  <si>
    <t>Capacitores Pilar · gabinete interior · 3×400 V, 50 Hz</t>
  </si>
  <si>
    <t>Cantidad de bancos</t>
  </si>
  <si>
    <t>unidad</t>
  </si>
  <si>
    <t>Un solo tablero automático para la instalación</t>
  </si>
  <si>
    <t>Precio unitario publicado</t>
  </si>
  <si>
    <t>USD</t>
  </si>
  <si>
    <t>Precio publicado con IVA; NO incluye instalación</t>
  </si>
  <si>
    <t>Costo del equipo</t>
  </si>
  <si>
    <t>Cantidad × precio unitario</t>
  </si>
  <si>
    <t>Instalación y puesta en marcha</t>
  </si>
  <si>
    <t>EDITAR si obtenés cotización; no incluida en la publicación</t>
  </si>
  <si>
    <t>100% CUMPLE</t>
  </si>
  <si>
    <t>Costo total con instalación</t>
  </si>
  <si>
    <t>Pendiente: instalación</t>
  </si>
  <si>
    <t>Queda pendiente mientras no se informe instalación</t>
  </si>
  <si>
    <t>Tipo de cambio</t>
  </si>
  <si>
    <t>ARS/USD</t>
  </si>
  <si>
    <t>EDITAR si querés convertir a pesos; no se impone TC arbitrario</t>
  </si>
  <si>
    <t>Costo del equipo en ARS</t>
  </si>
  <si>
    <t>Ingresar TC</t>
  </si>
  <si>
    <t>ARS</t>
  </si>
  <si>
    <t>Solo se muestra si cargás el tipo de cambio</t>
  </si>
  <si>
    <t>Costo total en ARS</t>
  </si>
  <si>
    <t>Faltan TC e instalación</t>
  </si>
  <si>
    <t>Solo se muestra cuando hay TC e instalación cotizada</t>
  </si>
  <si>
    <t>02 FUENTES Y ALCANCE DEL PRECIO</t>
  </si>
  <si>
    <t>Fecha de consulta</t>
  </si>
  <si>
    <t>Proveedor / equipo</t>
  </si>
  <si>
    <t>Capacitores Pilar · Banco automático 15 kVAr LEYDEN</t>
  </si>
  <si>
    <t>Enlace a precio y ficha</t>
  </si>
  <si>
    <t>https://capacitorespilar.com.ar/index.php/es/catalogo/instrumentos/banco-de-capacitores-autom%C3%A1ticos-15-kvar-leyden-detail</t>
  </si>
  <si>
    <t>PLANTA CELI S.A. - RELEVAMIENTO DE AIRE COMPRIMIDO INDUSTRIAL (ISO 8573-1)</t>
  </si>
  <si>
    <t>Central Compresora a Tornillo, Tratamiento Grado Alimenticio y Red Neumática de Planta</t>
  </si>
  <si>
    <t>Equipo Consumidor Neumático</t>
  </si>
  <si>
    <t>Línea / Proceso</t>
  </si>
  <si>
    <t>Sector</t>
  </si>
  <si>
    <t>Presión Trabajo (bar)</t>
  </si>
  <si>
    <t>Caudal Nom. (L/min)</t>
  </si>
  <si>
    <t>Caudal (m³/h)</t>
  </si>
  <si>
    <t>Ciclos/min</t>
  </si>
  <si>
    <t>Caudal Requerido (L/min)</t>
  </si>
  <si>
    <t>Caudal Requerido (m³/h)</t>
  </si>
  <si>
    <t>Tipo de Consumo / Aplicación</t>
  </si>
  <si>
    <t>Dosificadora Indurpack G1WGD-1000</t>
  </si>
  <si>
    <t>Dosificado Sector [10]</t>
  </si>
  <si>
    <t>PLANTA CELI S.A. - BALANCE HÍDRICO, AGUA DE PROCESO Y SANEAMIENTO</t>
  </si>
  <si>
    <t>Consumo de Receta (BOM), Limpieza BPM Libre de Gluten, Dotación Sanitaria y Cisterna</t>
  </si>
  <si>
    <t>1. CONSUMO DE AGUA DE PROCESO COMO MATERIA PRIMA (RECETA BOM)</t>
  </si>
  <si>
    <t>Línea de Producto</t>
  </si>
  <si>
    <t>Producción Anual (kg)</t>
  </si>
  <si>
    <t>Agua en Receta (%)</t>
  </si>
  <si>
    <t>Agua Requerida (kg/año)</t>
  </si>
  <si>
    <t>Agua Requerida (m³/año)</t>
  </si>
  <si>
    <t>Fuente</t>
  </si>
  <si>
    <t>Calculos vf.xlsx Hoja 'BOM y balanceo' R14. Cilindros neumáticos.</t>
  </si>
  <si>
    <t>SUBTOTAL CONSUMO NEUMÁTICO BASE</t>
  </si>
  <si>
    <t>Pan de Molde Blanco Sin TACC</t>
  </si>
  <si>
    <t>Calculos vf.xlsx Hoja 'Produccion' R50 (Año 10) y 'BOM' (38% agua receta)</t>
  </si>
  <si>
    <t>Budines Tradicionales Sin TACC</t>
  </si>
  <si>
    <t>DIMENSIONAMIENTO DE LA CENTRAL COMPRESORA Y TRATAMIENTO DE AIRE</t>
  </si>
  <si>
    <t>Consumo Simultáneo Base de Equipos:</t>
  </si>
  <si>
    <t>Calculos vf.xlsx Hoja 'Produccion' R51 (Año 10) y 'BOM' (11% agua receta)</t>
  </si>
  <si>
    <t>Budines Frutos Secos / Free Sin TACC</t>
  </si>
  <si>
    <t>Calculos vf.xlsx Hoja 'Produccion' R52 (Año 10) y 'BOM' (10% agua receta)</t>
  </si>
  <si>
    <t>Galletitas Dulces y Saladas Sin TACC</t>
  </si>
  <si>
    <t>Factor por Fugas en Red y Acoples (15%):</t>
  </si>
  <si>
    <t>Calculos vf.xlsx Hoja 'Produccion' R42:R49 (Año 10) y 'BOM' (7% agua receta)</t>
  </si>
  <si>
    <t>SUBTOTAL AGUA DE PROCESO (RECETA)</t>
  </si>
  <si>
    <t>Margen de Seguridad y Ampliación Futura (20%):</t>
  </si>
  <si>
    <t>Caudal Total Requerido de Central Compresora:</t>
  </si>
  <si>
    <t>Caudal Requerido en m³/h:</t>
  </si>
  <si>
    <t>Consumo directo en mezclado y amasado</t>
  </si>
  <si>
    <t>2. BALANCE TOTAL DE AGUA DIARIO Y ANUAL DE PLANTA (PROCESO + BPM + SANITARIO)</t>
  </si>
  <si>
    <t>Presión de Trabajo Efectiva de Red:</t>
  </si>
  <si>
    <t>bar (Manométrica)</t>
  </si>
  <si>
    <t>Destino / Uso del Agua</t>
  </si>
  <si>
    <t>Compresor Industrial Seleccionado:</t>
  </si>
  <si>
    <t>Criterio Técnico / Base de Cálculo</t>
  </si>
  <si>
    <t>Dotación Unitaria</t>
  </si>
  <si>
    <t>Unidades</t>
  </si>
  <si>
    <t>Atlas Copco G2 FF compresor de tornillo – 3 HP / 2,2 kW</t>
  </si>
  <si>
    <t>Consumo Diario (L/día)</t>
  </si>
  <si>
    <t>Consumo Diario (m³/día)</t>
  </si>
  <si>
    <t>Agua de Proceso en Recetas</t>
  </si>
  <si>
    <t>Promedio diario sobre 239 días de producción activa</t>
  </si>
  <si>
    <t>Caudal Libre Entregado (FAD) del Compresor:</t>
  </si>
  <si>
    <t>L/día</t>
  </si>
  <si>
    <t>L/min a 8 bar (opera al 56,5% de factor de carga)</t>
  </si>
  <si>
    <t>Tanque Receptor:</t>
  </si>
  <si>
    <t>Litros (integrado, provisional)</t>
  </si>
  <si>
    <t>Calidad de Aire Alimentario (Norma ISO 8573-1):</t>
  </si>
  <si>
    <t>Clase 1.4.1 (Filtro 0.01 µm + Secador frigorífico rocío +3°C)</t>
  </si>
  <si>
    <t>Limpieza y Sanitización BPM Sin TACC</t>
  </si>
  <si>
    <t>Lavado CIP de tolvas, líneas, carros, bandejas y pisos</t>
  </si>
  <si>
    <t>Consumo Sanitario del Personal</t>
  </si>
  <si>
    <t>Dotación reglamentaria OSN / Dto. 351/79: 45 L/persona-día</t>
  </si>
  <si>
    <t>55 personas</t>
  </si>
  <si>
    <t>Servicios Auxiliares y Mantenimiento</t>
  </si>
  <si>
    <t>Riego, purgas y limpieza externa</t>
  </si>
  <si>
    <t>TOTAL CONSUMO MEDIO DE AGUA PLANTA CELI S.A.</t>
  </si>
  <si>
    <t>DIMENSIONAMIENTO DE RESERVA HÍDRICA Y CISTERNA DE PLANTA</t>
  </si>
  <si>
    <t>Consumo Diario Medio de Planta:</t>
  </si>
  <si>
    <t>Días de Autonomía de Consumo Requeridos:</t>
  </si>
  <si>
    <t>Días de producción continua</t>
  </si>
  <si>
    <t>Reserva Técnica de Proceso y Sanitaria:</t>
  </si>
  <si>
    <t>m³ (10.000 Litros)</t>
  </si>
  <si>
    <t>Reserva Técnica Contra Incendio Reglamentaria (Dec. 351/79):</t>
  </si>
  <si>
    <t>m³ (2 hidrantes x 250 L/min x 60 min)</t>
  </si>
  <si>
    <t>Capacidad Total Recomendada de Cisterna Unificada:</t>
  </si>
  <si>
    <t>m³ (40.000 Litros)</t>
  </si>
  <si>
    <t>Sistema de Bombeo Presurizado:</t>
  </si>
  <si>
    <t>2 electrobombas centrífugas 2 HP (1 activa + 1 reserva)</t>
  </si>
  <si>
    <t>Tratamiento de Agua de Red Requerido:</t>
  </si>
  <si>
    <t>Filtro de sedimentos 5 µm + Carbón activado + Cloración en línea</t>
  </si>
  <si>
    <t>PLANTA CELI S.A. - CUADROS TARIFARIOS Y COSTOS DE SERVICIOS INDUSTRIALES</t>
  </si>
  <si>
    <t>Tarifas Vigentes en Parque Industrial Pilar (EDENOR T3 MT y Naturgy BAN SGP3) | Enlaces Oficiales ENRE y ENARGAS</t>
  </si>
  <si>
    <t>1. ENERGÍA ELÉCTRICA - EDENOR S.A. (TARIFA T3 GRAN DEMANDA - MEDIA TENSIÓN)</t>
  </si>
  <si>
    <t>Marco Regulatorio: ENRE (Resoluciones Cuadros Tarifarios Edenor) | Enlace Oficial: https://www.argentina.gob.ar/enre/tarifas/cuadros-tarifarios-edenor</t>
  </si>
  <si>
    <t>Concepto de Facturación</t>
  </si>
  <si>
    <t>Tarifa Unitaria ($)</t>
  </si>
  <si>
    <t>Consumo Base Mensual</t>
  </si>
  <si>
    <t>Costo Mensual ($)</t>
  </si>
  <si>
    <t>Costo Anual ($)</t>
  </si>
  <si>
    <t>Observaciones y Fuente</t>
  </si>
  <si>
    <t>Cargo Fijo Mensual</t>
  </si>
  <si>
    <t>$/mes</t>
  </si>
  <si>
    <t>Cargo fijo comercial reglamentario ENRE T3 MT</t>
  </si>
  <si>
    <t>Cargo por Potencia Contratada</t>
  </si>
  <si>
    <t>$/kW-mes</t>
  </si>
  <si>
    <t>Facturación sobre Potencia Demandada Máxima (65,4 kW)</t>
  </si>
  <si>
    <t>Cargo por Potencia Adquirida</t>
  </si>
  <si>
    <t>Cargo por capacidad de transporte y compra en MEM</t>
  </si>
  <si>
    <t>Energía Activa - Horas Pico (18:00 a 23:00)</t>
  </si>
  <si>
    <t>$/kWh</t>
  </si>
  <si>
    <t>35% del consumo en banda pico (alta exigencia del sistema)</t>
  </si>
  <si>
    <t>Energía Activa - Horas Resto (05:00 a 18:00)</t>
  </si>
  <si>
    <t>45% del consumo en banda resto (jornada diurna continua)</t>
  </si>
  <si>
    <t>Energía Activa - Horas Valle (23:00 a 05:00)</t>
  </si>
  <si>
    <t>20% del consumo en banda valle nocturna (tarifa reducida)</t>
  </si>
  <si>
    <t>SUBTOTAL SERVICIO ELÉCTRICO EDENOR S.A.</t>
  </si>
  <si>
    <t>Factura eléctrica mensual media estimada (sin impuestos)</t>
  </si>
  <si>
    <t>2. GAS NATURAL DE RED - NATURGY BAN S.A. (TARIFA SGP3 INDUSTRIAL)</t>
  </si>
  <si>
    <t>Marco Regulatorio: ENARGAS (Cuadros Tarifarios Distribución) | Enlace Oficial: https://www.enargas.gob.ar/secciones/tarifas/cuadros-tarifarios.php</t>
  </si>
  <si>
    <t>Cargo Fijo Mensual Comercial</t>
  </si>
  <si>
    <t>Cargo fijo reglamentario ENARGAS para usuarios SGP3</t>
  </si>
  <si>
    <t>Cargo por m³ Consumido</t>
  </si>
  <si>
    <t>$/m³</t>
  </si>
  <si>
    <t>Caudal mensual medio de hornos (7.515 m³/mes)</t>
  </si>
  <si>
    <t>SUBTOTAL SERVICIO GAS NATURGY BAN</t>
  </si>
  <si>
    <t>Factura mensual media de gas natural estimada</t>
  </si>
  <si>
    <t>3. PROVISIÓN DE AGUA Y SERVICIOS SANITARIOS - PARQUE INDUSTRIAL PILAR</t>
  </si>
  <si>
    <t xml:space="preserve">Proveedor: Consorcio Parque Industrial Pilar </t>
  </si>
  <si>
    <t>Abono Red de Agua Industrial y Control Hídrico</t>
  </si>
  <si>
    <t>Canon mensual red PIP, cloración y controles bacteriológicos</t>
  </si>
  <si>
    <t>SUBTOTAL PROVISIÓN DE AGUA Y SANEAMIENTO</t>
  </si>
  <si>
    <t>Costo mensual de provisión hídrica y control sanitario</t>
  </si>
  <si>
    <t>4. RESUMEN CONSOLIDADO DE COSTOS DE SERVICIOS E INSTALACIONES</t>
  </si>
  <si>
    <t>Servicio / Suministro</t>
  </si>
  <si>
    <t>Proveedor / Ente Regulador</t>
  </si>
  <si>
    <t>Enlace Oficial Web</t>
  </si>
  <si>
    <t>% Costo Mensual</t>
  </si>
  <si>
    <t>% Costo Anual</t>
  </si>
  <si>
    <t>Impacto Operativo</t>
  </si>
  <si>
    <t>Energía Eléctrica (Fuerza Motriz + Iluminación + Auxiliares)</t>
  </si>
  <si>
    <t>EDENOR S.A. / ENRE</t>
  </si>
  <si>
    <t>https://www.argentina.gob.ar/enre/cuadros_tarifarios</t>
  </si>
  <si>
    <t>Costo Operativo Directo/Indirecto</t>
  </si>
  <si>
    <t>Gas Natural de Red (Hornos Túnel y Rotativos)</t>
  </si>
  <si>
    <t>Naturgy BAN S.A. / ENARGAS</t>
  </si>
  <si>
    <t>https://wss.enargas.gov.ar:9092/service.asmx/ObtenerArchivo?Tipo=13&amp;Numero=0539&amp;Ano=2026</t>
  </si>
  <si>
    <t>Costo Operativo de Horneado</t>
  </si>
  <si>
    <t>Provisión de Agua y Mantenimiento Hídrico</t>
  </si>
  <si>
    <t>Consorcio Parque Industrial Pilar</t>
  </si>
  <si>
    <t>Costo Operativo Sanitario/BPM</t>
  </si>
  <si>
    <t>TOTAL PRESUPUESTO ANUAL DE SERVICIOS E INSTALACIONES</t>
  </si>
  <si>
    <t>Costo consolidado para Hoja 'Costos' y Flujo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</si>
</sst>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0.0%"/>
    <numFmt numFmtId="166" formatCode="$#,##0"/>
    <numFmt numFmtId="167" formatCode="#,##0.0"/>
    <numFmt numFmtId="168" formatCode="$#,##0.00"/>
    <numFmt numFmtId="169" formatCode="dd/mm/yyyy"/>
  </numFmts>
  <fonts count="26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FFFFFF"/>
      <name val="Calibri"/>
    </font>
    <font/>
    <font>
      <i/>
      <sz val="10.0"/>
      <color rgb="FFFFFFFF"/>
      <name val="Calibri"/>
    </font>
    <font>
      <b/>
      <sz val="8.0"/>
      <color rgb="FF595959"/>
      <name val="Calibri"/>
    </font>
    <font>
      <b/>
      <sz val="9.0"/>
      <color rgb="FFFFFFFF"/>
      <name val="Calibri"/>
    </font>
    <font>
      <b/>
      <sz val="11.0"/>
      <color rgb="FFFFFFFF"/>
      <name val="Calibri"/>
    </font>
    <font>
      <sz val="9.0"/>
      <color rgb="FF1C1C1C"/>
      <name val="Calibri"/>
    </font>
    <font>
      <b/>
      <sz val="15.0"/>
      <color rgb="FF1F4E78"/>
      <name val="Calibri"/>
    </font>
    <font>
      <i/>
      <sz val="8.0"/>
      <color rgb="FF595959"/>
      <name val="Calibri"/>
    </font>
    <font>
      <b/>
      <sz val="9.0"/>
      <color rgb="FF1F4E78"/>
      <name val="Calibri"/>
    </font>
    <font>
      <b/>
      <sz val="10.0"/>
      <color rgb="FF1F4E78"/>
      <name val="Calibri"/>
    </font>
    <font>
      <b/>
      <sz val="9.0"/>
      <color rgb="FF1C1C1C"/>
      <name val="Calibri"/>
    </font>
    <font>
      <b/>
      <sz val="15.0"/>
      <color rgb="FFFFFFFF"/>
      <name val="Carlito"/>
    </font>
    <font>
      <sz val="11.0"/>
      <color theme="1"/>
      <name val="Carlito"/>
    </font>
    <font>
      <b/>
      <sz val="11.0"/>
      <color rgb="FFFFFFFF"/>
      <name val="Carlito"/>
    </font>
    <font>
      <sz val="11.0"/>
      <color rgb="FF17365D"/>
      <name val="Carlito"/>
    </font>
    <font>
      <b/>
      <sz val="11.0"/>
      <color rgb="FF24549A"/>
      <name val="Carlito"/>
    </font>
    <font>
      <sz val="11.0"/>
      <color rgb="FF566579"/>
      <name val="Carlito"/>
    </font>
    <font>
      <b/>
      <sz val="11.0"/>
      <color rgb="FF17365D"/>
      <name val="Carlito"/>
    </font>
    <font>
      <u/>
      <sz val="11.0"/>
      <color rgb="FF24549A"/>
      <name val="Carlito"/>
    </font>
    <font>
      <sz val="11.0"/>
      <color theme="1"/>
      <name val="Calibri"/>
    </font>
    <font>
      <u/>
      <sz val="9.0"/>
      <color rgb="FF0563C1"/>
      <name val="Calibri"/>
    </font>
    <font>
      <u/>
      <sz val="9.0"/>
      <color rgb="FF0563C1"/>
      <name val="Calibri"/>
    </font>
    <font>
      <u/>
      <sz val="9.0"/>
      <color rgb="FF0563C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DF2F8"/>
        <bgColor rgb="FFEDF2F8"/>
      </patternFill>
    </fill>
    <fill>
      <patternFill patternType="solid">
        <fgColor rgb="FF2F5597"/>
        <bgColor rgb="FF2F5597"/>
      </patternFill>
    </fill>
    <fill>
      <patternFill patternType="solid">
        <fgColor rgb="FFF9FBFD"/>
        <bgColor rgb="FFF9FBFD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17365D"/>
        <bgColor rgb="FF17365D"/>
      </patternFill>
    </fill>
    <fill>
      <patternFill patternType="solid">
        <fgColor rgb="FF24549A"/>
        <bgColor rgb="FF24549A"/>
      </patternFill>
    </fill>
    <fill>
      <patternFill patternType="solid">
        <fgColor rgb="FFEAF2FC"/>
        <bgColor rgb="FFEAF2FC"/>
      </patternFill>
    </fill>
    <fill>
      <patternFill patternType="solid">
        <fgColor rgb="FFFFFF00"/>
        <bgColor rgb="FFFFFF00"/>
      </patternFill>
    </fill>
    <fill>
      <patternFill patternType="solid">
        <fgColor rgb="FFF2F7FC"/>
        <bgColor rgb="FFF2F7FC"/>
      </patternFill>
    </fill>
    <fill>
      <patternFill patternType="solid">
        <fgColor rgb="FFE2F3EB"/>
        <bgColor rgb="FFE2F3EB"/>
      </patternFill>
    </fill>
    <fill>
      <patternFill patternType="solid">
        <fgColor rgb="FFFFF3DA"/>
        <bgColor rgb="FFFFF3DA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FF1F4E78"/>
      </bottom>
    </border>
    <border>
      <top style="thin">
        <color rgb="FFD9D9D9"/>
      </top>
      <bottom style="medium">
        <color rgb="FF1F4E78"/>
      </bottom>
    </border>
    <border>
      <right style="thin">
        <color rgb="FFD9D9D9"/>
      </right>
      <top style="thin">
        <color rgb="FFD9D9D9"/>
      </top>
      <bottom style="medium">
        <color rgb="FF1F4E78"/>
      </bottom>
    </border>
    <border>
      <left style="thin">
        <color rgb="FFD9D9D9"/>
      </left>
      <top style="thin">
        <color rgb="FFD9D9D9"/>
      </top>
      <bottom style="double">
        <color rgb="FF1F4E78"/>
      </bottom>
    </border>
    <border>
      <top style="thin">
        <color rgb="FFD9D9D9"/>
      </top>
      <bottom style="double">
        <color rgb="FF1F4E78"/>
      </bottom>
    </border>
    <border>
      <right style="thin">
        <color rgb="FFD9D9D9"/>
      </right>
      <top style="thin">
        <color rgb="FFD9D9D9"/>
      </top>
      <bottom style="double">
        <color rgb="FF1F4E78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8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0" fillId="0" fontId="1" numFmtId="4" xfId="0" applyFont="1" applyNumberFormat="1"/>
    <xf borderId="1" fillId="2" fontId="2" numFmtId="0" xfId="0" applyAlignment="1" applyBorder="1" applyFill="1" applyFont="1">
      <alignment horizontal="left" vertical="center"/>
    </xf>
    <xf borderId="0" fillId="0" fontId="1" numFmtId="9" xfId="0" applyFont="1" applyNumberFormat="1"/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ill="1" applyFont="1">
      <alignment horizontal="left" vertical="center"/>
    </xf>
    <xf borderId="4" fillId="3" fontId="5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4" fontId="6" numFmtId="0" xfId="0" applyAlignment="1" applyBorder="1" applyFill="1" applyFont="1">
      <alignment horizontal="center" shrinkToFit="0" vertical="center" wrapText="1"/>
    </xf>
    <xf borderId="6" fillId="4" fontId="6" numFmtId="10" xfId="0" applyAlignment="1" applyBorder="1" applyFill="1" applyFont="1" applyNumberFormat="1">
      <alignment horizontal="center" readingOrder="0" shrinkToFit="0" vertical="center" wrapText="1"/>
    </xf>
    <xf borderId="6" fillId="4" fontId="6" numFmtId="4" xfId="0" applyAlignment="1" applyBorder="1" applyFill="1" applyFont="1" applyNumberFormat="1">
      <alignment horizontal="center" readingOrder="0" shrinkToFit="0" vertical="center" wrapText="1"/>
    </xf>
    <xf borderId="6" fillId="4" fontId="6" numFmtId="9" xfId="0" applyAlignment="1" applyBorder="1" applyFill="1" applyFont="1" applyNumberFormat="1">
      <alignment horizontal="center" readingOrder="0" shrinkToFit="0" vertical="center" wrapText="1"/>
    </xf>
    <xf borderId="1" fillId="4" fontId="7" numFmtId="0" xfId="0" applyBorder="1" applyFill="1" applyFont="1"/>
    <xf borderId="7" fillId="5" fontId="8" numFmtId="0" xfId="0" applyAlignment="1" applyBorder="1" applyFill="1" applyFont="1">
      <alignment horizontal="center" vertical="center"/>
    </xf>
    <xf borderId="4" fillId="3" fontId="9" numFmtId="164" xfId="0" applyAlignment="1" applyBorder="1" applyFill="1" applyFont="1" applyNumberFormat="1">
      <alignment horizontal="center" vertical="center"/>
    </xf>
    <xf borderId="7" fillId="5" fontId="8" numFmtId="0" xfId="0" applyAlignment="1" applyBorder="1" applyFill="1" applyFont="1">
      <alignment horizontal="left" vertical="center"/>
    </xf>
    <xf borderId="7" fillId="5" fontId="8" numFmtId="2" xfId="0" applyAlignment="1" applyBorder="1" applyFill="1" applyFont="1" applyNumberFormat="1">
      <alignment readingOrder="0"/>
    </xf>
    <xf borderId="7" fillId="5" fontId="8" numFmtId="165" xfId="0" applyBorder="1" applyFill="1" applyFont="1" applyNumberFormat="1"/>
    <xf borderId="7" fillId="5" fontId="8" numFmtId="165" xfId="0" applyAlignment="1" applyBorder="1" applyFill="1" applyFont="1" applyNumberFormat="1">
      <alignment readingOrder="0"/>
    </xf>
    <xf borderId="7" fillId="5" fontId="8" numFmtId="2" xfId="0" applyBorder="1" applyFill="1" applyFont="1" applyNumberFormat="1"/>
    <xf borderId="7" fillId="5" fontId="8" numFmtId="9" xfId="0" applyAlignment="1" applyBorder="1" applyFill="1" applyFont="1" applyNumberFormat="1">
      <alignment readingOrder="0"/>
    </xf>
    <xf borderId="7" fillId="5" fontId="8" numFmtId="4" xfId="0" applyAlignment="1" applyBorder="1" applyFill="1" applyFont="1" applyNumberFormat="1">
      <alignment readingOrder="0"/>
    </xf>
    <xf borderId="7" fillId="5" fontId="8" numFmtId="3" xfId="0" applyAlignment="1" applyBorder="1" applyFill="1" applyFont="1" applyNumberFormat="1">
      <alignment readingOrder="0"/>
    </xf>
    <xf borderId="7" fillId="0" fontId="8" numFmtId="0" xfId="0" applyAlignment="1" applyBorder="1" applyFont="1">
      <alignment horizontal="center" vertical="center"/>
    </xf>
    <xf borderId="7" fillId="5" fontId="8" numFmtId="3" xfId="0" applyBorder="1" applyFill="1" applyFont="1" applyNumberFormat="1"/>
    <xf borderId="7" fillId="0" fontId="8" numFmtId="0" xfId="0" applyAlignment="1" applyBorder="1" applyFont="1">
      <alignment horizontal="left" vertical="center"/>
    </xf>
    <xf borderId="4" fillId="3" fontId="9" numFmtId="3" xfId="0" applyAlignment="1" applyBorder="1" applyFill="1" applyFont="1" applyNumberFormat="1">
      <alignment horizontal="center" vertical="center"/>
    </xf>
    <xf borderId="7" fillId="0" fontId="8" numFmtId="2" xfId="0" applyBorder="1" applyFont="1" applyNumberFormat="1"/>
    <xf borderId="4" fillId="3" fontId="10" numFmtId="0" xfId="0" applyAlignment="1" applyBorder="1" applyFill="1" applyFont="1">
      <alignment horizontal="center" vertical="center"/>
    </xf>
    <xf borderId="7" fillId="0" fontId="8" numFmtId="165" xfId="0" applyBorder="1" applyFont="1" applyNumberFormat="1"/>
    <xf borderId="7" fillId="0" fontId="8" numFmtId="165" xfId="0" applyAlignment="1" applyBorder="1" applyFont="1" applyNumberFormat="1">
      <alignment readingOrder="0"/>
    </xf>
    <xf borderId="7" fillId="0" fontId="8" numFmtId="9" xfId="0" applyAlignment="1" applyBorder="1" applyFont="1" applyNumberFormat="1">
      <alignment readingOrder="0"/>
    </xf>
    <xf borderId="7" fillId="0" fontId="8" numFmtId="3" xfId="0" applyBorder="1" applyFont="1" applyNumberFormat="1"/>
    <xf borderId="8" fillId="6" fontId="11" numFmtId="0" xfId="0" applyAlignment="1" applyBorder="1" applyFill="1" applyFont="1">
      <alignment horizontal="right" vertical="center"/>
    </xf>
    <xf borderId="9" fillId="0" fontId="3" numFmtId="0" xfId="0" applyBorder="1" applyFont="1"/>
    <xf borderId="7" fillId="0" fontId="8" numFmtId="1" xfId="0" applyBorder="1" applyFont="1" applyNumberFormat="1"/>
    <xf borderId="7" fillId="0" fontId="8" numFmtId="164" xfId="0" applyAlignment="1" applyBorder="1" applyFont="1" applyNumberFormat="1">
      <alignment readingOrder="0"/>
    </xf>
    <xf borderId="4" fillId="3" fontId="9" numFmtId="2" xfId="0" applyAlignment="1" applyBorder="1" applyFill="1" applyFont="1" applyNumberFormat="1">
      <alignment horizontal="center" vertical="center"/>
    </xf>
    <xf borderId="7" fillId="0" fontId="8" numFmtId="1" xfId="0" applyAlignment="1" applyBorder="1" applyFont="1" applyNumberFormat="1">
      <alignment readingOrder="0"/>
    </xf>
    <xf borderId="10" fillId="0" fontId="3" numFmtId="0" xfId="0" applyBorder="1" applyFont="1"/>
    <xf borderId="4" fillId="3" fontId="9" numFmtId="166" xfId="0" applyAlignment="1" applyBorder="1" applyFill="1" applyFont="1" applyNumberFormat="1">
      <alignment horizontal="center" vertical="center"/>
    </xf>
    <xf borderId="6" fillId="6" fontId="11" numFmtId="0" xfId="0" applyBorder="1" applyFill="1" applyFont="1"/>
    <xf borderId="6" fillId="6" fontId="11" numFmtId="2" xfId="0" applyBorder="1" applyFill="1" applyFont="1" applyNumberFormat="1"/>
    <xf borderId="6" fillId="6" fontId="11" numFmtId="10" xfId="0" applyBorder="1" applyFill="1" applyFont="1" applyNumberFormat="1"/>
    <xf borderId="7" fillId="5" fontId="8" numFmtId="0" xfId="0" applyBorder="1" applyFill="1" applyFont="1"/>
    <xf borderId="6" fillId="6" fontId="11" numFmtId="9" xfId="0" applyBorder="1" applyFill="1" applyFont="1" applyNumberFormat="1"/>
    <xf borderId="7" fillId="5" fontId="8" numFmtId="164" xfId="0" applyAlignment="1" applyBorder="1" applyFill="1" applyFont="1" applyNumberFormat="1">
      <alignment readingOrder="0"/>
    </xf>
    <xf borderId="6" fillId="6" fontId="11" numFmtId="3" xfId="0" applyBorder="1" applyFill="1" applyFont="1" applyNumberFormat="1"/>
    <xf borderId="7" fillId="5" fontId="8" numFmtId="167" xfId="0" applyBorder="1" applyFill="1" applyFont="1" applyNumberFormat="1"/>
    <xf borderId="7" fillId="5" fontId="8" numFmtId="1" xfId="0" applyAlignment="1" applyBorder="1" applyFill="1" applyFont="1" applyNumberFormat="1">
      <alignment readingOrder="0"/>
    </xf>
    <xf borderId="7" fillId="5" fontId="8" numFmtId="168" xfId="0" applyBorder="1" applyFill="1" applyFont="1" applyNumberFormat="1"/>
    <xf borderId="7" fillId="0" fontId="8" numFmtId="3" xfId="0" applyAlignment="1" applyBorder="1" applyFont="1" applyNumberFormat="1">
      <alignment readingOrder="0"/>
    </xf>
    <xf borderId="7" fillId="0" fontId="8" numFmtId="164" xfId="0" applyBorder="1" applyFont="1" applyNumberFormat="1"/>
    <xf borderId="7" fillId="0" fontId="8" numFmtId="0" xfId="0" applyBorder="1" applyFont="1"/>
    <xf borderId="7" fillId="5" fontId="8" numFmtId="10" xfId="0" applyAlignment="1" applyBorder="1" applyFill="1" applyFont="1" applyNumberFormat="1">
      <alignment readingOrder="0"/>
    </xf>
    <xf borderId="7" fillId="0" fontId="8" numFmtId="167" xfId="0" applyBorder="1" applyFont="1" applyNumberFormat="1"/>
    <xf borderId="11" fillId="7" fontId="12" numFmtId="0" xfId="0" applyAlignment="1" applyBorder="1" applyFill="1" applyFont="1">
      <alignment horizontal="right" vertical="center"/>
    </xf>
    <xf borderId="12" fillId="0" fontId="3" numFmtId="0" xfId="0" applyBorder="1" applyFont="1"/>
    <xf borderId="13" fillId="0" fontId="3" numFmtId="0" xfId="0" applyBorder="1" applyFont="1"/>
    <xf borderId="7" fillId="5" fontId="8" numFmtId="1" xfId="0" applyBorder="1" applyFill="1" applyFont="1" applyNumberFormat="1"/>
    <xf borderId="14" fillId="7" fontId="12" numFmtId="3" xfId="0" applyBorder="1" applyFill="1" applyFont="1" applyNumberFormat="1"/>
    <xf borderId="14" fillId="7" fontId="12" numFmtId="2" xfId="0" applyBorder="1" applyFill="1" applyFont="1" applyNumberFormat="1"/>
    <xf borderId="14" fillId="7" fontId="12" numFmtId="0" xfId="0" applyBorder="1" applyFill="1" applyFont="1"/>
    <xf borderId="7" fillId="5" fontId="8" numFmtId="164" xfId="0" applyBorder="1" applyFill="1" applyFont="1" applyNumberFormat="1"/>
    <xf borderId="7" fillId="0" fontId="8" numFmtId="0" xfId="0" applyAlignment="1" applyBorder="1" applyFont="1">
      <alignment horizontal="left" readingOrder="0" vertical="center"/>
    </xf>
    <xf borderId="7" fillId="5" fontId="8" numFmtId="0" xfId="0" applyAlignment="1" applyBorder="1" applyFill="1" applyFont="1">
      <alignment horizontal="left" readingOrder="0" vertical="center"/>
    </xf>
    <xf borderId="7" fillId="3" fontId="13" numFmtId="0" xfId="0" applyBorder="1" applyFill="1" applyFont="1"/>
    <xf borderId="7" fillId="0" fontId="8" numFmtId="0" xfId="0" applyAlignment="1" applyBorder="1" applyFont="1">
      <alignment horizontal="center" readingOrder="0" vertical="center"/>
    </xf>
    <xf borderId="7" fillId="0" fontId="8" numFmtId="2" xfId="0" applyAlignment="1" applyBorder="1" applyFont="1" applyNumberFormat="1">
      <alignment readingOrder="0"/>
    </xf>
    <xf borderId="7" fillId="3" fontId="13" numFmtId="3" xfId="0" applyBorder="1" applyFill="1" applyFont="1" applyNumberFormat="1"/>
    <xf borderId="7" fillId="3" fontId="8" numFmtId="0" xfId="0" applyBorder="1" applyFill="1" applyFont="1"/>
    <xf borderId="14" fillId="7" fontId="12" numFmtId="168" xfId="0" applyBorder="1" applyFill="1" applyFont="1" applyNumberFormat="1"/>
    <xf borderId="14" fillId="7" fontId="12" numFmtId="0" xfId="0" applyAlignment="1" applyBorder="1" applyFill="1" applyFont="1">
      <alignment horizontal="center" vertical="center"/>
    </xf>
    <xf borderId="7" fillId="3" fontId="13" numFmtId="2" xfId="0" applyBorder="1" applyFill="1" applyFont="1" applyNumberFormat="1"/>
    <xf borderId="7" fillId="3" fontId="13" numFmtId="164" xfId="0" applyBorder="1" applyFill="1" applyFont="1" applyNumberFormat="1"/>
    <xf borderId="7" fillId="3" fontId="13" numFmtId="49" xfId="0" applyBorder="1" applyFill="1" applyFont="1" applyNumberFormat="1"/>
    <xf borderId="7" fillId="0" fontId="8" numFmtId="9" xfId="0" applyBorder="1" applyFont="1" applyNumberFormat="1"/>
    <xf borderId="7" fillId="5" fontId="8" numFmtId="9" xfId="0" applyBorder="1" applyFill="1" applyFont="1" applyNumberFormat="1"/>
    <xf borderId="7" fillId="0" fontId="8" numFmtId="10" xfId="0" applyAlignment="1" applyBorder="1" applyFont="1" applyNumberFormat="1">
      <alignment readingOrder="0"/>
    </xf>
    <xf borderId="14" fillId="7" fontId="12" numFmtId="10" xfId="0" applyBorder="1" applyFill="1" applyFont="1" applyNumberFormat="1"/>
    <xf borderId="14" fillId="7" fontId="12" numFmtId="9" xfId="0" applyBorder="1" applyFill="1" applyFont="1" applyNumberFormat="1"/>
    <xf borderId="7" fillId="3" fontId="13" numFmtId="0" xfId="0" applyAlignment="1" applyBorder="1" applyFill="1" applyFont="1">
      <alignment readingOrder="0"/>
    </xf>
    <xf borderId="7" fillId="3" fontId="13" numFmtId="2" xfId="0" applyAlignment="1" applyBorder="1" applyFill="1" applyFont="1" applyNumberFormat="1">
      <alignment readingOrder="0"/>
    </xf>
    <xf borderId="0" fillId="8" fontId="14" numFmtId="0" xfId="0" applyAlignment="1" applyFill="1" applyFont="1">
      <alignment readingOrder="0" shrinkToFit="0" wrapText="0"/>
    </xf>
    <xf borderId="0" fillId="0" fontId="15" numFmtId="0" xfId="0" applyAlignment="1" applyFont="1">
      <alignment shrinkToFit="0" vertical="bottom" wrapText="0"/>
    </xf>
    <xf borderId="0" fillId="9" fontId="16" numFmtId="0" xfId="0" applyAlignment="1" applyFill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10" fontId="18" numFmtId="2" xfId="0" applyAlignment="1" applyFill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10" fontId="18" numFmtId="0" xfId="0" applyAlignment="1" applyFill="1" applyFont="1">
      <alignment horizontal="right" readingOrder="0" shrinkToFit="0" vertical="bottom" wrapText="0"/>
    </xf>
    <xf borderId="0" fillId="11" fontId="15" numFmtId="0" xfId="0" applyAlignment="1" applyFill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12" fontId="20" numFmtId="2" xfId="0" applyAlignment="1" applyFill="1" applyFont="1" applyNumberFormat="1">
      <alignment horizontal="right" readingOrder="0" shrinkToFit="0" vertical="bottom" wrapText="0"/>
    </xf>
    <xf borderId="0" fillId="12" fontId="20" numFmtId="0" xfId="0" applyAlignment="1" applyFill="1" applyFont="1">
      <alignment horizontal="right" readingOrder="0" shrinkToFit="0" vertical="bottom" wrapText="0"/>
    </xf>
    <xf borderId="0" fillId="13" fontId="15" numFmtId="0" xfId="0" applyAlignment="1" applyFill="1" applyFont="1">
      <alignment readingOrder="0" shrinkToFit="0" vertical="bottom" wrapText="0"/>
    </xf>
    <xf borderId="0" fillId="13" fontId="20" numFmtId="0" xfId="0" applyAlignment="1" applyFill="1" applyFont="1">
      <alignment horizontal="right" readingOrder="0" shrinkToFit="0" vertical="bottom" wrapText="0"/>
    </xf>
    <xf borderId="0" fillId="13" fontId="19" numFmtId="0" xfId="0" applyAlignment="1" applyFill="1" applyFont="1">
      <alignment readingOrder="0" shrinkToFit="0" vertical="bottom" wrapText="0"/>
    </xf>
    <xf borderId="14" fillId="7" fontId="12" numFmtId="4" xfId="0" applyBorder="1" applyFill="1" applyFont="1" applyNumberFormat="1"/>
    <xf borderId="14" fillId="7" fontId="12" numFmtId="1" xfId="0" applyBorder="1" applyFill="1" applyFont="1" applyNumberFormat="1"/>
    <xf borderId="0" fillId="14" fontId="18" numFmtId="4" xfId="0" applyAlignment="1" applyFill="1" applyFont="1" applyNumberFormat="1">
      <alignment horizontal="right" readingOrder="0" shrinkToFit="0" vertical="bottom" wrapText="0"/>
    </xf>
    <xf borderId="0" fillId="13" fontId="17" numFmtId="0" xfId="0" applyAlignment="1" applyFill="1" applyFont="1">
      <alignment readingOrder="0" shrinkToFit="0" vertical="bottom" wrapText="0"/>
    </xf>
    <xf borderId="0" fillId="13" fontId="20" numFmtId="4" xfId="0" applyAlignment="1" applyFill="1" applyFont="1" applyNumberFormat="1">
      <alignment horizontal="right" readingOrder="0" shrinkToFit="0" vertical="bottom" wrapText="0"/>
    </xf>
    <xf borderId="0" fillId="14" fontId="18" numFmtId="0" xfId="0" applyAlignment="1" applyFill="1" applyFont="1">
      <alignment horizontal="right" shrinkToFit="0" vertical="bottom" wrapText="0"/>
    </xf>
    <xf borderId="0" fillId="0" fontId="15" numFmtId="169" xfId="0" applyAlignment="1" applyFont="1" applyNumberFormat="1">
      <alignment readingOrder="0" shrinkToFit="0" vertical="bottom" wrapText="0"/>
    </xf>
    <xf borderId="0" fillId="10" fontId="21" numFmtId="0" xfId="0" applyAlignment="1" applyFill="1" applyFont="1">
      <alignment readingOrder="0" vertical="bottom"/>
    </xf>
    <xf borderId="6" fillId="4" fontId="6" numFmtId="0" xfId="0" applyAlignment="1" applyBorder="1" applyFill="1" applyFont="1">
      <alignment horizontal="center" readingOrder="0" shrinkToFit="0" vertical="center" wrapText="1"/>
    </xf>
    <xf borderId="6" fillId="6" fontId="11" numFmtId="164" xfId="0" applyBorder="1" applyFill="1" applyFont="1" applyNumberFormat="1"/>
    <xf borderId="6" fillId="6" fontId="11" numFmtId="167" xfId="0" applyBorder="1" applyFill="1" applyFont="1" applyNumberFormat="1"/>
    <xf borderId="6" fillId="6" fontId="11" numFmtId="0" xfId="0" applyAlignment="1" applyBorder="1" applyFill="1" applyFont="1">
      <alignment horizontal="left" vertical="center"/>
    </xf>
    <xf borderId="7" fillId="3" fontId="13" numFmtId="49" xfId="0" applyAlignment="1" applyBorder="1" applyFill="1" applyFont="1" applyNumberFormat="1">
      <alignment readingOrder="0"/>
    </xf>
    <xf borderId="7" fillId="3" fontId="13" numFmtId="164" xfId="0" applyAlignment="1" applyBorder="1" applyFill="1" applyFont="1" applyNumberFormat="1">
      <alignment readingOrder="0"/>
    </xf>
    <xf borderId="7" fillId="3" fontId="8" numFmtId="0" xfId="0" applyAlignment="1" applyBorder="1" applyFill="1" applyFont="1">
      <alignment readingOrder="0"/>
    </xf>
    <xf borderId="14" fillId="7" fontId="12" numFmtId="167" xfId="0" applyBorder="1" applyFill="1" applyFont="1" applyNumberFormat="1"/>
    <xf borderId="0" fillId="0" fontId="10" numFmtId="0" xfId="0" applyFont="1"/>
    <xf borderId="7" fillId="0" fontId="8" numFmtId="168" xfId="0" applyAlignment="1" applyBorder="1" applyFont="1" applyNumberFormat="1">
      <alignment readingOrder="0"/>
    </xf>
    <xf borderId="7" fillId="0" fontId="8" numFmtId="168" xfId="0" applyBorder="1" applyFont="1" applyNumberFormat="1"/>
    <xf borderId="7" fillId="5" fontId="8" numFmtId="168" xfId="0" applyAlignment="1" applyBorder="1" applyFill="1" applyFont="1" applyNumberFormat="1">
      <alignment readingOrder="0"/>
    </xf>
    <xf borderId="6" fillId="6" fontId="11" numFmtId="168" xfId="0" applyBorder="1" applyFill="1" applyFont="1" applyNumberFormat="1"/>
    <xf borderId="0" fillId="0" fontId="10" numFmtId="0" xfId="0" applyAlignment="1" applyFont="1">
      <alignment readingOrder="0"/>
    </xf>
    <xf borderId="7" fillId="5" fontId="13" numFmtId="0" xfId="0" applyBorder="1" applyFill="1" applyFont="1"/>
    <xf borderId="7" fillId="5" fontId="22" numFmtId="0" xfId="0" applyAlignment="1" applyBorder="1" applyFill="1" applyFont="1">
      <alignment horizontal="left" vertical="center"/>
    </xf>
    <xf borderId="7" fillId="5" fontId="23" numFmtId="0" xfId="0" applyAlignment="1" applyBorder="1" applyFill="1" applyFont="1">
      <alignment horizontal="left" readingOrder="0" vertical="center"/>
    </xf>
    <xf borderId="7" fillId="5" fontId="22" numFmtId="168" xfId="0" applyBorder="1" applyFill="1" applyFont="1" applyNumberFormat="1"/>
    <xf borderId="7" fillId="5" fontId="22" numFmtId="165" xfId="0" applyBorder="1" applyFill="1" applyFont="1" applyNumberFormat="1"/>
    <xf borderId="7" fillId="5" fontId="10" numFmtId="0" xfId="0" applyBorder="1" applyFill="1" applyFont="1"/>
    <xf borderId="7" fillId="0" fontId="13" numFmtId="0" xfId="0" applyBorder="1" applyFont="1"/>
    <xf borderId="7" fillId="0" fontId="22" numFmtId="0" xfId="0" applyAlignment="1" applyBorder="1" applyFont="1">
      <alignment horizontal="left" vertical="center"/>
    </xf>
    <xf borderId="7" fillId="0" fontId="24" numFmtId="0" xfId="0" applyAlignment="1" applyBorder="1" applyFont="1">
      <alignment horizontal="left" readingOrder="0" vertical="center"/>
    </xf>
    <xf borderId="7" fillId="0" fontId="22" numFmtId="168" xfId="0" applyBorder="1" applyFont="1" applyNumberFormat="1"/>
    <xf borderId="7" fillId="0" fontId="22" numFmtId="165" xfId="0" applyBorder="1" applyFont="1" applyNumberFormat="1"/>
    <xf borderId="7" fillId="0" fontId="10" numFmtId="0" xfId="0" applyBorder="1" applyFont="1"/>
    <xf borderId="7" fillId="5" fontId="25" numFmtId="0" xfId="0" applyAlignment="1" applyBorder="1" applyFill="1" applyFont="1">
      <alignment horizontal="left" vertical="center"/>
    </xf>
    <xf borderId="14" fillId="7" fontId="12" numFmtId="165" xfId="0" applyBorder="1" applyFill="1" applyFont="1" applyNumberFormat="1"/>
    <xf borderId="14" fillId="7" fontId="12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apacitorespilar.com.ar/index.php/es/catalogo/instrumentos/banco-de-capacitores-autom%C3%A1ticos-15-kvar-leyden-detail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www.argentina.gob.ar/enre/cuadros_tarifarios" TargetMode="External"/><Relationship Id="rId3" Type="http://schemas.openxmlformats.org/officeDocument/2006/relationships/hyperlink" Target="https://wss.enargas.gov.ar:9092/service.asmx/ObtenerArchivo?Tipo=13&amp;Numero=0539&amp;Ano=2026" TargetMode="Externa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4.0"/>
    <col customWidth="1" min="3" max="3" width="33.0"/>
    <col customWidth="1" min="4" max="4" width="26.0"/>
    <col customWidth="1" min="5" max="5" width="16.0"/>
    <col customWidth="1" min="6" max="6" width="26.0"/>
    <col customWidth="1" min="7" max="7" width="30.0"/>
    <col customWidth="1" min="8" max="8" width="31.0"/>
    <col customWidth="1" min="9" max="9" width="26.0"/>
    <col customWidth="1" min="10" max="10" width="24.0"/>
    <col customWidth="1" min="11" max="26" width="8.71"/>
  </cols>
  <sheetData>
    <row r="2" ht="24.75" customHeight="1">
      <c r="B2" s="3" t="s">
        <v>0</v>
      </c>
      <c r="C2" s="5"/>
      <c r="D2" s="5"/>
      <c r="E2" s="5"/>
      <c r="F2" s="5"/>
      <c r="G2" s="5"/>
      <c r="H2" s="5"/>
      <c r="I2" s="5"/>
      <c r="J2" s="6"/>
    </row>
    <row r="3" ht="18.0" customHeight="1">
      <c r="B3" s="7" t="s">
        <v>2</v>
      </c>
      <c r="C3" s="5"/>
      <c r="D3" s="5"/>
      <c r="E3" s="5"/>
      <c r="F3" s="5"/>
      <c r="G3" s="5"/>
      <c r="H3" s="5"/>
      <c r="I3" s="5"/>
      <c r="J3" s="6"/>
    </row>
    <row r="5" ht="13.5" customHeight="1">
      <c r="B5" s="8" t="s">
        <v>4</v>
      </c>
      <c r="C5" s="9"/>
      <c r="D5" s="8" t="s">
        <v>5</v>
      </c>
      <c r="E5" s="9"/>
      <c r="F5" s="8" t="s">
        <v>8</v>
      </c>
      <c r="G5" s="9"/>
      <c r="H5" s="8" t="s">
        <v>9</v>
      </c>
      <c r="I5" s="9"/>
    </row>
    <row r="6" ht="25.5" customHeight="1">
      <c r="B6" s="16">
        <f>'1. Potencia Eléctrica'!K35</f>
        <v>77.828</v>
      </c>
      <c r="C6" s="9"/>
      <c r="D6" s="16">
        <f>'1. Potencia Eléctrica'!N35</f>
        <v>49.727</v>
      </c>
      <c r="E6" s="9"/>
      <c r="F6" s="28">
        <f>'1. Potencia Eléctrica'!S35</f>
        <v>231350.196</v>
      </c>
      <c r="G6" s="9"/>
      <c r="H6" s="28">
        <f>'3. Instalación de Gas'!H9</f>
        <v>185000</v>
      </c>
      <c r="I6" s="9"/>
    </row>
    <row r="7" ht="13.5" customHeight="1">
      <c r="B7" s="30" t="s">
        <v>80</v>
      </c>
      <c r="C7" s="9"/>
      <c r="D7" s="30" t="s">
        <v>80</v>
      </c>
      <c r="E7" s="9"/>
      <c r="F7" s="30" t="s">
        <v>82</v>
      </c>
      <c r="G7" s="9"/>
      <c r="H7" s="30" t="s">
        <v>85</v>
      </c>
      <c r="I7" s="9"/>
    </row>
    <row r="9" ht="13.5" customHeight="1">
      <c r="B9" s="8" t="s">
        <v>90</v>
      </c>
      <c r="C9" s="9"/>
      <c r="D9" s="8" t="s">
        <v>93</v>
      </c>
      <c r="E9" s="9"/>
      <c r="F9" s="8" t="s">
        <v>95</v>
      </c>
      <c r="G9" s="9"/>
      <c r="H9" s="8" t="s">
        <v>96</v>
      </c>
      <c r="I9" s="9"/>
    </row>
    <row r="10" ht="25.5" customHeight="1">
      <c r="B10" s="28">
        <f>'3. Instalación de Gas'!O9</f>
        <v>129662.7566</v>
      </c>
      <c r="C10" s="9"/>
      <c r="D10" s="16">
        <f>'4. Aire Comprimido'!C13</f>
        <v>193.2</v>
      </c>
      <c r="E10" s="9"/>
      <c r="F10" s="39">
        <f>'5. Agua y Saneamiento'!G18</f>
        <v>5.132873381</v>
      </c>
      <c r="G10" s="9"/>
      <c r="H10" s="42">
        <f>'6. Costos Tarifarios'!G34</f>
        <v>92789951.36</v>
      </c>
      <c r="I10" s="9"/>
    </row>
    <row r="11" ht="13.5" customHeight="1">
      <c r="B11" s="30" t="s">
        <v>107</v>
      </c>
      <c r="C11" s="9"/>
      <c r="D11" s="30" t="s">
        <v>108</v>
      </c>
      <c r="E11" s="9"/>
      <c r="F11" s="30" t="s">
        <v>109</v>
      </c>
      <c r="G11" s="9"/>
      <c r="H11" s="30" t="s">
        <v>111</v>
      </c>
      <c r="I11" s="9"/>
    </row>
    <row r="13">
      <c r="B13" s="14" t="s">
        <v>116</v>
      </c>
      <c r="C13" s="5"/>
      <c r="D13" s="5"/>
      <c r="E13" s="5"/>
      <c r="F13" s="5"/>
      <c r="G13" s="5"/>
      <c r="H13" s="5"/>
      <c r="I13" s="5"/>
      <c r="J13" s="6"/>
    </row>
    <row r="14" ht="24.0" customHeight="1">
      <c r="B14" s="10" t="s">
        <v>117</v>
      </c>
      <c r="C14" s="10" t="s">
        <v>118</v>
      </c>
      <c r="D14" s="10" t="s">
        <v>119</v>
      </c>
      <c r="E14" s="10" t="s">
        <v>120</v>
      </c>
      <c r="F14" s="10" t="s">
        <v>121</v>
      </c>
      <c r="G14" s="10" t="s">
        <v>122</v>
      </c>
      <c r="H14" s="10" t="s">
        <v>123</v>
      </c>
      <c r="I14" s="10" t="s">
        <v>124</v>
      </c>
      <c r="J14" s="10" t="s">
        <v>125</v>
      </c>
    </row>
    <row r="15" ht="19.5" customHeight="1">
      <c r="B15" s="46" t="s">
        <v>126</v>
      </c>
      <c r="C15" s="17" t="s">
        <v>127</v>
      </c>
      <c r="D15" s="15" t="s">
        <v>80</v>
      </c>
      <c r="E15" s="50">
        <f>'1. Potencia Eléctrica'!N35</f>
        <v>49.727</v>
      </c>
      <c r="F15" s="50">
        <f>'1. Potencia Eléctrica'!K35</f>
        <v>77.828</v>
      </c>
      <c r="G15" s="17" t="s">
        <v>129</v>
      </c>
      <c r="H15" s="52">
        <f>'6. Costos Tarifarios'!E31</f>
        <v>3819876.744</v>
      </c>
      <c r="I15" s="52">
        <f>'6. Costos Tarifarios'!G31</f>
        <v>45838520.92</v>
      </c>
      <c r="J15" s="15" t="s">
        <v>136</v>
      </c>
    </row>
    <row r="16" ht="19.5" customHeight="1">
      <c r="B16" s="55" t="s">
        <v>137</v>
      </c>
      <c r="C16" s="27" t="s">
        <v>138</v>
      </c>
      <c r="D16" s="25" t="s">
        <v>139</v>
      </c>
      <c r="E16" s="57">
        <f>'2. Luminarias y Lux'!T30</f>
        <v>93</v>
      </c>
      <c r="F16" s="57">
        <f>'2. Luminarias y Lux'!W30</f>
        <v>20481.376</v>
      </c>
      <c r="G16" s="27" t="s">
        <v>144</v>
      </c>
      <c r="H16" s="25" t="s">
        <v>146</v>
      </c>
      <c r="I16" s="25" t="s">
        <v>149</v>
      </c>
      <c r="J16" s="25" t="s">
        <v>150</v>
      </c>
    </row>
    <row r="17" ht="19.5" customHeight="1">
      <c r="B17" s="46" t="s">
        <v>88</v>
      </c>
      <c r="C17" s="17" t="s">
        <v>151</v>
      </c>
      <c r="D17" s="15" t="s">
        <v>152</v>
      </c>
      <c r="E17" s="50">
        <f>'3. Instalación de Gas'!C15</f>
        <v>22.60508309</v>
      </c>
      <c r="F17" s="50">
        <f>'3. Instalación de Gas'!O9</f>
        <v>129662.7566</v>
      </c>
      <c r="G17" s="17" t="s">
        <v>157</v>
      </c>
      <c r="H17" s="52">
        <f>'6. Costos Tarifarios'!E32</f>
        <v>3462619.203</v>
      </c>
      <c r="I17" s="52">
        <f>'6. Costos Tarifarios'!G32</f>
        <v>41551430.44</v>
      </c>
      <c r="J17" s="15" t="s">
        <v>160</v>
      </c>
    </row>
    <row r="18" ht="19.5" customHeight="1">
      <c r="B18" s="55" t="s">
        <v>164</v>
      </c>
      <c r="C18" s="27" t="s">
        <v>165</v>
      </c>
      <c r="D18" s="25" t="s">
        <v>108</v>
      </c>
      <c r="E18" s="57">
        <f>'4. Aire Comprimido'!C13</f>
        <v>193.2</v>
      </c>
      <c r="F18" s="57">
        <f>'4. Aire Comprimido'!C14*60*5712</f>
        <v>3972810.24</v>
      </c>
      <c r="G18" s="27" t="s">
        <v>169</v>
      </c>
      <c r="H18" s="25" t="s">
        <v>146</v>
      </c>
      <c r="I18" s="25" t="s">
        <v>149</v>
      </c>
      <c r="J18" s="25" t="s">
        <v>170</v>
      </c>
    </row>
    <row r="19" ht="19.5" customHeight="1">
      <c r="B19" s="46" t="s">
        <v>171</v>
      </c>
      <c r="C19" s="17" t="s">
        <v>172</v>
      </c>
      <c r="D19" s="15" t="s">
        <v>174</v>
      </c>
      <c r="E19" s="50">
        <f>'5. Agua y Saneamiento'!G18*22</f>
        <v>112.9232144</v>
      </c>
      <c r="F19" s="50">
        <f>'5. Agua y Saneamiento'!H18</f>
        <v>1221.623865</v>
      </c>
      <c r="G19" s="17" t="s">
        <v>181</v>
      </c>
      <c r="H19" s="52">
        <f>'6. Costos Tarifarios'!E33</f>
        <v>450000</v>
      </c>
      <c r="I19" s="52">
        <f>'6. Costos Tarifarios'!G33</f>
        <v>5400000</v>
      </c>
      <c r="J19" s="15" t="s">
        <v>182</v>
      </c>
    </row>
    <row r="20" ht="24.0" customHeight="1">
      <c r="B20" s="58" t="s">
        <v>183</v>
      </c>
      <c r="C20" s="59"/>
      <c r="D20" s="59"/>
      <c r="E20" s="59"/>
      <c r="F20" s="59"/>
      <c r="G20" s="60"/>
      <c r="H20" s="73">
        <f>'6. Costos Tarifarios'!E34</f>
        <v>7732495.947</v>
      </c>
      <c r="I20" s="73">
        <f>'6. Costos Tarifarios'!G34</f>
        <v>92789951.36</v>
      </c>
      <c r="J20" s="74" t="s">
        <v>189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2:J2"/>
    <mergeCell ref="B3:J3"/>
    <mergeCell ref="B5:C5"/>
    <mergeCell ref="D5:E5"/>
    <mergeCell ref="F5:G5"/>
    <mergeCell ref="H5:I5"/>
    <mergeCell ref="B6:C6"/>
    <mergeCell ref="H6:I6"/>
    <mergeCell ref="D9:E9"/>
    <mergeCell ref="F9:G9"/>
    <mergeCell ref="D6:E6"/>
    <mergeCell ref="F6:G6"/>
    <mergeCell ref="B7:C7"/>
    <mergeCell ref="D7:E7"/>
    <mergeCell ref="F7:G7"/>
    <mergeCell ref="H7:I7"/>
    <mergeCell ref="H9:I9"/>
    <mergeCell ref="F11:G11"/>
    <mergeCell ref="H11:I11"/>
    <mergeCell ref="D11:E11"/>
    <mergeCell ref="B20:G20"/>
    <mergeCell ref="B9:C9"/>
    <mergeCell ref="B10:C10"/>
    <mergeCell ref="D10:E10"/>
    <mergeCell ref="F10:G10"/>
    <mergeCell ref="H10:I10"/>
    <mergeCell ref="B11:C11"/>
    <mergeCell ref="B13:J13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6.0"/>
    <col customWidth="1" min="3" max="3" width="37.71"/>
    <col customWidth="1" min="4" max="4" width="24.0"/>
    <col customWidth="1" min="5" max="5" width="29.0"/>
    <col customWidth="1" min="6" max="6" width="42.0"/>
    <col customWidth="1" min="7" max="7" width="10.0"/>
    <col customWidth="1" min="8" max="8" width="18.0"/>
    <col customWidth="1" min="9" max="9" width="14.0"/>
    <col customWidth="1" min="10" max="11" width="18.0"/>
    <col customWidth="1" min="12" max="13" width="22.0"/>
    <col customWidth="1" min="14" max="17" width="17.0"/>
    <col customWidth="1" min="18" max="19" width="26.0"/>
    <col customWidth="1" min="20" max="20" width="45.0"/>
    <col customWidth="1" min="21" max="28" width="8.71"/>
  </cols>
  <sheetData>
    <row r="1">
      <c r="O1" s="1"/>
      <c r="P1" s="2"/>
      <c r="R1" s="4"/>
    </row>
    <row r="2" ht="24.75" customHeight="1">
      <c r="B2" s="3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ht="18.0" customHeight="1">
      <c r="B3" s="7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>
      <c r="O4" s="1"/>
      <c r="P4" s="2"/>
      <c r="R4" s="4"/>
    </row>
    <row r="5" ht="27.75" customHeight="1">
      <c r="B5" s="10" t="s">
        <v>7</v>
      </c>
      <c r="C5" s="10" t="s">
        <v>10</v>
      </c>
      <c r="D5" s="10" t="s">
        <v>11</v>
      </c>
      <c r="E5" s="10" t="s">
        <v>12</v>
      </c>
      <c r="F5" s="10" t="s">
        <v>13</v>
      </c>
      <c r="G5" s="10" t="s">
        <v>14</v>
      </c>
      <c r="H5" s="10" t="s">
        <v>15</v>
      </c>
      <c r="I5" s="10" t="s">
        <v>16</v>
      </c>
      <c r="J5" s="10" t="s">
        <v>17</v>
      </c>
      <c r="K5" s="10" t="s">
        <v>18</v>
      </c>
      <c r="L5" s="10" t="s">
        <v>19</v>
      </c>
      <c r="M5" s="10" t="s">
        <v>20</v>
      </c>
      <c r="N5" s="10" t="s">
        <v>21</v>
      </c>
      <c r="O5" s="11" t="s">
        <v>22</v>
      </c>
      <c r="P5" s="12" t="s">
        <v>23</v>
      </c>
      <c r="Q5" s="10" t="s">
        <v>24</v>
      </c>
      <c r="R5" s="13" t="s">
        <v>25</v>
      </c>
      <c r="S5" s="10" t="s">
        <v>26</v>
      </c>
      <c r="T5" s="10" t="s">
        <v>28</v>
      </c>
    </row>
    <row r="6">
      <c r="B6" s="14" t="s">
        <v>29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</row>
    <row r="7" ht="19.5" customHeight="1">
      <c r="B7" s="15">
        <v>1.0</v>
      </c>
      <c r="C7" s="17" t="s">
        <v>30</v>
      </c>
      <c r="D7" s="15" t="s">
        <v>31</v>
      </c>
      <c r="E7" s="17" t="s">
        <v>32</v>
      </c>
      <c r="F7" s="17" t="s">
        <v>33</v>
      </c>
      <c r="G7" s="15">
        <v>1.0</v>
      </c>
      <c r="H7" s="18">
        <v>2.2</v>
      </c>
      <c r="I7" s="15" t="s">
        <v>34</v>
      </c>
      <c r="J7" s="15" t="s">
        <v>36</v>
      </c>
      <c r="K7" s="18">
        <v>2.2</v>
      </c>
      <c r="L7" s="19">
        <v>0.75</v>
      </c>
      <c r="M7" s="20">
        <v>1.0</v>
      </c>
      <c r="N7" s="21">
        <f t="shared" ref="N7:N11" si="1">K7*L7*M7</f>
        <v>1.65</v>
      </c>
      <c r="O7" s="22">
        <v>0.85</v>
      </c>
      <c r="P7" s="23">
        <f t="shared" ref="P7:P11" si="2">N7/O7</f>
        <v>1.941176471</v>
      </c>
      <c r="Q7" s="24">
        <v>5736.0</v>
      </c>
      <c r="R7" s="22">
        <v>0.35</v>
      </c>
      <c r="S7" s="26">
        <f t="shared" ref="S7:S11" si="3">N7*Q7*R7</f>
        <v>3312.54</v>
      </c>
      <c r="T7" s="17" t="s">
        <v>65</v>
      </c>
    </row>
    <row r="8" ht="19.5" customHeight="1">
      <c r="B8" s="25">
        <v>2.0</v>
      </c>
      <c r="C8" s="27" t="s">
        <v>70</v>
      </c>
      <c r="D8" s="25" t="s">
        <v>31</v>
      </c>
      <c r="E8" s="27" t="s">
        <v>72</v>
      </c>
      <c r="F8" s="27" t="s">
        <v>73</v>
      </c>
      <c r="G8" s="25">
        <v>1.0</v>
      </c>
      <c r="H8" s="29">
        <v>2.5</v>
      </c>
      <c r="I8" s="25" t="s">
        <v>76</v>
      </c>
      <c r="J8" s="25" t="s">
        <v>78</v>
      </c>
      <c r="K8" s="29">
        <f t="shared" ref="K8:K11" si="4">G8*H8</f>
        <v>2.5</v>
      </c>
      <c r="L8" s="31">
        <v>0.8</v>
      </c>
      <c r="M8" s="32">
        <v>1.0</v>
      </c>
      <c r="N8" s="29">
        <f t="shared" si="1"/>
        <v>2</v>
      </c>
      <c r="O8" s="22">
        <v>0.85</v>
      </c>
      <c r="P8" s="23">
        <f t="shared" si="2"/>
        <v>2.352941176</v>
      </c>
      <c r="Q8" s="24">
        <v>5736.0</v>
      </c>
      <c r="R8" s="33">
        <v>0.63</v>
      </c>
      <c r="S8" s="26">
        <f t="shared" si="3"/>
        <v>7227.36</v>
      </c>
      <c r="T8" s="27" t="s">
        <v>89</v>
      </c>
    </row>
    <row r="9" ht="19.5" customHeight="1">
      <c r="B9" s="15">
        <v>3.0</v>
      </c>
      <c r="C9" s="17" t="s">
        <v>91</v>
      </c>
      <c r="D9" s="15" t="s">
        <v>31</v>
      </c>
      <c r="E9" s="17" t="s">
        <v>92</v>
      </c>
      <c r="F9" s="17" t="s">
        <v>94</v>
      </c>
      <c r="G9" s="15">
        <v>1.0</v>
      </c>
      <c r="H9" s="18">
        <v>24.0</v>
      </c>
      <c r="I9" s="15" t="s">
        <v>76</v>
      </c>
      <c r="J9" s="15" t="s">
        <v>78</v>
      </c>
      <c r="K9" s="21">
        <f t="shared" si="4"/>
        <v>24</v>
      </c>
      <c r="L9" s="19">
        <v>0.7</v>
      </c>
      <c r="M9" s="20">
        <v>1.0</v>
      </c>
      <c r="N9" s="21">
        <f t="shared" si="1"/>
        <v>16.8</v>
      </c>
      <c r="O9" s="22">
        <v>0.85</v>
      </c>
      <c r="P9" s="23">
        <f t="shared" si="2"/>
        <v>19.76470588</v>
      </c>
      <c r="Q9" s="24">
        <v>5736.0</v>
      </c>
      <c r="R9" s="22">
        <v>0.9</v>
      </c>
      <c r="S9" s="26">
        <f t="shared" si="3"/>
        <v>86728.32</v>
      </c>
      <c r="T9" s="17" t="s">
        <v>97</v>
      </c>
    </row>
    <row r="10" ht="19.5" customHeight="1">
      <c r="B10" s="25">
        <v>4.0</v>
      </c>
      <c r="C10" s="27" t="s">
        <v>98</v>
      </c>
      <c r="D10" s="25" t="s">
        <v>31</v>
      </c>
      <c r="E10" s="27" t="s">
        <v>99</v>
      </c>
      <c r="F10" s="27" t="s">
        <v>100</v>
      </c>
      <c r="G10" s="25">
        <v>1.0</v>
      </c>
      <c r="H10" s="29">
        <v>2.2</v>
      </c>
      <c r="I10" s="25" t="s">
        <v>76</v>
      </c>
      <c r="J10" s="25" t="s">
        <v>78</v>
      </c>
      <c r="K10" s="29">
        <f t="shared" si="4"/>
        <v>2.2</v>
      </c>
      <c r="L10" s="31">
        <v>0.65</v>
      </c>
      <c r="M10" s="32">
        <v>1.0</v>
      </c>
      <c r="N10" s="29">
        <f t="shared" si="1"/>
        <v>1.43</v>
      </c>
      <c r="O10" s="22">
        <v>0.85</v>
      </c>
      <c r="P10" s="23">
        <f t="shared" si="2"/>
        <v>1.682352941</v>
      </c>
      <c r="Q10" s="24">
        <v>5736.0</v>
      </c>
      <c r="R10" s="33">
        <v>0.85</v>
      </c>
      <c r="S10" s="26">
        <f t="shared" si="3"/>
        <v>6972.108</v>
      </c>
      <c r="T10" s="27" t="s">
        <v>101</v>
      </c>
    </row>
    <row r="11" ht="19.5" customHeight="1">
      <c r="B11" s="15">
        <v>5.0</v>
      </c>
      <c r="C11" s="17" t="s">
        <v>102</v>
      </c>
      <c r="D11" s="15" t="s">
        <v>31</v>
      </c>
      <c r="E11" s="17" t="s">
        <v>103</v>
      </c>
      <c r="F11" s="17" t="s">
        <v>104</v>
      </c>
      <c r="G11" s="15">
        <v>1.0</v>
      </c>
      <c r="H11" s="21">
        <v>6.5</v>
      </c>
      <c r="I11" s="15" t="s">
        <v>76</v>
      </c>
      <c r="J11" s="15" t="s">
        <v>78</v>
      </c>
      <c r="K11" s="21">
        <f t="shared" si="4"/>
        <v>6.5</v>
      </c>
      <c r="L11" s="19">
        <v>0.7</v>
      </c>
      <c r="M11" s="20">
        <v>1.0</v>
      </c>
      <c r="N11" s="21">
        <f t="shared" si="1"/>
        <v>4.55</v>
      </c>
      <c r="O11" s="22">
        <v>0.85</v>
      </c>
      <c r="P11" s="23">
        <f t="shared" si="2"/>
        <v>5.352941176</v>
      </c>
      <c r="Q11" s="24">
        <v>5736.0</v>
      </c>
      <c r="R11" s="22">
        <v>0.25</v>
      </c>
      <c r="S11" s="26">
        <f t="shared" si="3"/>
        <v>6524.7</v>
      </c>
      <c r="T11" s="17" t="s">
        <v>105</v>
      </c>
    </row>
    <row r="12">
      <c r="B12" s="35" t="s">
        <v>106</v>
      </c>
      <c r="C12" s="36"/>
      <c r="D12" s="36"/>
      <c r="E12" s="36"/>
      <c r="F12" s="41"/>
      <c r="G12" s="43">
        <f>SUM(G7:G11)</f>
        <v>5</v>
      </c>
      <c r="H12" s="43"/>
      <c r="I12" s="43"/>
      <c r="J12" s="43"/>
      <c r="K12" s="44">
        <f>SUM(K7:K11)</f>
        <v>37.4</v>
      </c>
      <c r="L12" s="43"/>
      <c r="M12" s="43"/>
      <c r="N12" s="44">
        <f>SUM(N7:N11)</f>
        <v>26.43</v>
      </c>
      <c r="O12" s="45"/>
      <c r="P12" s="44">
        <f>SUM(P7:P11)</f>
        <v>31.09411765</v>
      </c>
      <c r="Q12" s="43"/>
      <c r="R12" s="47"/>
      <c r="S12" s="49">
        <f>SUM(S7:S11)</f>
        <v>110765.028</v>
      </c>
      <c r="T12" s="43"/>
    </row>
    <row r="13">
      <c r="B13" s="14" t="s">
        <v>128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/>
    </row>
    <row r="14" ht="19.5" customHeight="1">
      <c r="B14" s="25">
        <v>8.0</v>
      </c>
      <c r="C14" s="27" t="s">
        <v>131</v>
      </c>
      <c r="D14" s="25" t="s">
        <v>132</v>
      </c>
      <c r="E14" s="27" t="s">
        <v>133</v>
      </c>
      <c r="F14" s="27" t="s">
        <v>134</v>
      </c>
      <c r="G14" s="25">
        <v>1.0</v>
      </c>
      <c r="H14" s="29">
        <v>0.25</v>
      </c>
      <c r="I14" s="25" t="s">
        <v>34</v>
      </c>
      <c r="J14" s="25" t="s">
        <v>36</v>
      </c>
      <c r="K14" s="29">
        <f t="shared" ref="K14:K19" si="5">G14*H14</f>
        <v>0.25</v>
      </c>
      <c r="L14" s="31">
        <v>0.5</v>
      </c>
      <c r="M14" s="32">
        <v>1.0</v>
      </c>
      <c r="N14" s="29">
        <f t="shared" ref="N14:N23" si="6">K14*L14*M14</f>
        <v>0.125</v>
      </c>
      <c r="O14" s="56">
        <v>1.0</v>
      </c>
      <c r="P14" s="23">
        <f t="shared" ref="P14:P23" si="7">N14/O14</f>
        <v>0.125</v>
      </c>
      <c r="Q14" s="24">
        <v>5736.0</v>
      </c>
      <c r="R14" s="33">
        <v>1.0</v>
      </c>
      <c r="S14" s="34">
        <f t="shared" ref="S14:S23" si="8">N14*Q14</f>
        <v>717</v>
      </c>
      <c r="T14" s="27" t="s">
        <v>141</v>
      </c>
    </row>
    <row r="15" ht="19.5" customHeight="1">
      <c r="B15" s="15">
        <v>9.0</v>
      </c>
      <c r="C15" s="17" t="s">
        <v>143</v>
      </c>
      <c r="D15" s="15" t="s">
        <v>132</v>
      </c>
      <c r="E15" s="17" t="s">
        <v>147</v>
      </c>
      <c r="F15" s="17" t="s">
        <v>148</v>
      </c>
      <c r="G15" s="15">
        <v>1.0</v>
      </c>
      <c r="H15" s="21">
        <v>2.5</v>
      </c>
      <c r="I15" s="15" t="s">
        <v>76</v>
      </c>
      <c r="J15" s="15" t="s">
        <v>78</v>
      </c>
      <c r="K15" s="21">
        <f t="shared" si="5"/>
        <v>2.5</v>
      </c>
      <c r="L15" s="19">
        <v>0.7</v>
      </c>
      <c r="M15" s="20">
        <v>1.0</v>
      </c>
      <c r="N15" s="21">
        <f t="shared" si="6"/>
        <v>1.75</v>
      </c>
      <c r="O15" s="56">
        <v>0.85</v>
      </c>
      <c r="P15" s="23">
        <f t="shared" si="7"/>
        <v>2.058823529</v>
      </c>
      <c r="Q15" s="24">
        <v>5736.0</v>
      </c>
      <c r="R15" s="22">
        <v>0.72</v>
      </c>
      <c r="S15" s="26">
        <f t="shared" si="8"/>
        <v>10038</v>
      </c>
      <c r="T15" s="17" t="s">
        <v>153</v>
      </c>
    </row>
    <row r="16" ht="19.5" customHeight="1">
      <c r="B16" s="25">
        <v>10.0</v>
      </c>
      <c r="C16" s="27" t="s">
        <v>154</v>
      </c>
      <c r="D16" s="25" t="s">
        <v>132</v>
      </c>
      <c r="E16" s="27" t="s">
        <v>155</v>
      </c>
      <c r="F16" s="27" t="s">
        <v>156</v>
      </c>
      <c r="G16" s="25">
        <v>1.0</v>
      </c>
      <c r="H16" s="29">
        <v>0.1</v>
      </c>
      <c r="I16" s="25" t="s">
        <v>34</v>
      </c>
      <c r="J16" s="25" t="s">
        <v>36</v>
      </c>
      <c r="K16" s="29">
        <f t="shared" si="5"/>
        <v>0.1</v>
      </c>
      <c r="L16" s="31">
        <v>0.6</v>
      </c>
      <c r="M16" s="32">
        <v>1.0</v>
      </c>
      <c r="N16" s="29">
        <f t="shared" si="6"/>
        <v>0.06</v>
      </c>
      <c r="O16" s="56">
        <v>1.0</v>
      </c>
      <c r="P16" s="23">
        <f t="shared" si="7"/>
        <v>0.06</v>
      </c>
      <c r="Q16" s="24">
        <v>5736.0</v>
      </c>
      <c r="R16" s="33">
        <v>0.69</v>
      </c>
      <c r="S16" s="34">
        <f t="shared" si="8"/>
        <v>344.16</v>
      </c>
      <c r="T16" s="27" t="s">
        <v>158</v>
      </c>
    </row>
    <row r="17" ht="19.5" customHeight="1">
      <c r="B17" s="15">
        <v>11.0</v>
      </c>
      <c r="C17" s="17" t="s">
        <v>159</v>
      </c>
      <c r="D17" s="15" t="s">
        <v>132</v>
      </c>
      <c r="E17" s="17" t="s">
        <v>161</v>
      </c>
      <c r="F17" s="17" t="s">
        <v>163</v>
      </c>
      <c r="G17" s="15">
        <v>1.0</v>
      </c>
      <c r="H17" s="21">
        <v>1.8</v>
      </c>
      <c r="I17" s="15" t="s">
        <v>34</v>
      </c>
      <c r="J17" s="15" t="s">
        <v>36</v>
      </c>
      <c r="K17" s="21">
        <f t="shared" si="5"/>
        <v>1.8</v>
      </c>
      <c r="L17" s="19">
        <v>0.65</v>
      </c>
      <c r="M17" s="20">
        <v>1.0</v>
      </c>
      <c r="N17" s="21">
        <f t="shared" si="6"/>
        <v>1.17</v>
      </c>
      <c r="O17" s="56">
        <v>0.9</v>
      </c>
      <c r="P17" s="23">
        <f t="shared" si="7"/>
        <v>1.3</v>
      </c>
      <c r="Q17" s="24">
        <v>5736.0</v>
      </c>
      <c r="R17" s="22">
        <v>0.68</v>
      </c>
      <c r="S17" s="26">
        <f t="shared" si="8"/>
        <v>6711.12</v>
      </c>
      <c r="T17" s="17" t="s">
        <v>166</v>
      </c>
    </row>
    <row r="18" ht="19.5" customHeight="1">
      <c r="B18" s="25">
        <v>12.0</v>
      </c>
      <c r="C18" s="27" t="s">
        <v>91</v>
      </c>
      <c r="D18" s="25" t="s">
        <v>132</v>
      </c>
      <c r="E18" s="27" t="s">
        <v>167</v>
      </c>
      <c r="F18" s="27" t="s">
        <v>168</v>
      </c>
      <c r="G18" s="25">
        <v>1.0</v>
      </c>
      <c r="H18" s="29">
        <v>1.84</v>
      </c>
      <c r="I18" s="25" t="s">
        <v>76</v>
      </c>
      <c r="J18" s="25" t="s">
        <v>78</v>
      </c>
      <c r="K18" s="29">
        <f t="shared" si="5"/>
        <v>1.84</v>
      </c>
      <c r="L18" s="31">
        <v>0.75</v>
      </c>
      <c r="M18" s="32">
        <v>1.0</v>
      </c>
      <c r="N18" s="29">
        <f t="shared" si="6"/>
        <v>1.38</v>
      </c>
      <c r="O18" s="56">
        <v>0.85</v>
      </c>
      <c r="P18" s="23">
        <f t="shared" si="7"/>
        <v>1.623529412</v>
      </c>
      <c r="Q18" s="24">
        <v>5736.0</v>
      </c>
      <c r="R18" s="33">
        <v>0.85</v>
      </c>
      <c r="S18" s="34">
        <f t="shared" si="8"/>
        <v>7915.68</v>
      </c>
      <c r="T18" s="27" t="s">
        <v>130</v>
      </c>
    </row>
    <row r="19" ht="19.5" customHeight="1">
      <c r="B19" s="15">
        <v>13.0</v>
      </c>
      <c r="C19" s="17" t="s">
        <v>91</v>
      </c>
      <c r="D19" s="15" t="s">
        <v>132</v>
      </c>
      <c r="E19" s="17" t="s">
        <v>167</v>
      </c>
      <c r="F19" s="17" t="s">
        <v>173</v>
      </c>
      <c r="G19" s="15">
        <v>1.0</v>
      </c>
      <c r="H19" s="21">
        <v>1.84</v>
      </c>
      <c r="I19" s="15" t="s">
        <v>76</v>
      </c>
      <c r="J19" s="15" t="s">
        <v>78</v>
      </c>
      <c r="K19" s="21">
        <f t="shared" si="5"/>
        <v>1.84</v>
      </c>
      <c r="L19" s="19">
        <v>0.75</v>
      </c>
      <c r="M19" s="20">
        <v>1.0</v>
      </c>
      <c r="N19" s="21">
        <f t="shared" si="6"/>
        <v>1.38</v>
      </c>
      <c r="O19" s="56">
        <v>0.85</v>
      </c>
      <c r="P19" s="23">
        <f t="shared" si="7"/>
        <v>1.623529412</v>
      </c>
      <c r="Q19" s="24">
        <v>5736.0</v>
      </c>
      <c r="R19" s="22">
        <v>0.85</v>
      </c>
      <c r="S19" s="26">
        <f t="shared" si="8"/>
        <v>7915.68</v>
      </c>
      <c r="T19" s="17" t="s">
        <v>130</v>
      </c>
    </row>
    <row r="20" ht="19.5" customHeight="1">
      <c r="B20" s="25"/>
      <c r="C20" s="66" t="s">
        <v>98</v>
      </c>
      <c r="D20" s="15" t="s">
        <v>132</v>
      </c>
      <c r="E20" s="67" t="s">
        <v>178</v>
      </c>
      <c r="F20" s="66" t="s">
        <v>179</v>
      </c>
      <c r="G20" s="69">
        <v>1.0</v>
      </c>
      <c r="H20" s="70">
        <v>3.5</v>
      </c>
      <c r="I20" s="25" t="s">
        <v>34</v>
      </c>
      <c r="J20" s="25" t="s">
        <v>36</v>
      </c>
      <c r="K20" s="70">
        <v>3.5</v>
      </c>
      <c r="L20" s="32">
        <v>0.75</v>
      </c>
      <c r="M20" s="32">
        <v>1.0</v>
      </c>
      <c r="N20" s="21">
        <f t="shared" si="6"/>
        <v>2.625</v>
      </c>
      <c r="O20" s="56">
        <v>0.95</v>
      </c>
      <c r="P20" s="23">
        <f t="shared" si="7"/>
        <v>2.763157895</v>
      </c>
      <c r="Q20" s="24">
        <v>5736.0</v>
      </c>
      <c r="R20" s="33">
        <v>1.0</v>
      </c>
      <c r="S20" s="26">
        <f t="shared" si="8"/>
        <v>15057</v>
      </c>
      <c r="T20" s="27"/>
    </row>
    <row r="21" ht="19.5" customHeight="1">
      <c r="B21" s="25"/>
      <c r="C21" s="66" t="s">
        <v>98</v>
      </c>
      <c r="D21" s="15" t="s">
        <v>132</v>
      </c>
      <c r="E21" s="67" t="s">
        <v>178</v>
      </c>
      <c r="F21" s="66" t="s">
        <v>179</v>
      </c>
      <c r="G21" s="69">
        <v>1.0</v>
      </c>
      <c r="H21" s="70">
        <v>3.5</v>
      </c>
      <c r="I21" s="25" t="s">
        <v>34</v>
      </c>
      <c r="J21" s="25" t="s">
        <v>36</v>
      </c>
      <c r="K21" s="70">
        <v>3.5</v>
      </c>
      <c r="L21" s="32">
        <v>0.75</v>
      </c>
      <c r="M21" s="32">
        <v>1.0</v>
      </c>
      <c r="N21" s="21">
        <f t="shared" si="6"/>
        <v>2.625</v>
      </c>
      <c r="O21" s="56">
        <v>0.95</v>
      </c>
      <c r="P21" s="23">
        <f t="shared" si="7"/>
        <v>2.763157895</v>
      </c>
      <c r="Q21" s="24">
        <v>5736.0</v>
      </c>
      <c r="R21" s="33">
        <v>1.0</v>
      </c>
      <c r="S21" s="26">
        <f t="shared" si="8"/>
        <v>15057</v>
      </c>
      <c r="T21" s="27"/>
    </row>
    <row r="22" ht="19.5" customHeight="1">
      <c r="B22" s="25">
        <v>14.0</v>
      </c>
      <c r="C22" s="27" t="s">
        <v>185</v>
      </c>
      <c r="D22" s="25" t="s">
        <v>132</v>
      </c>
      <c r="E22" s="27" t="s">
        <v>186</v>
      </c>
      <c r="F22" s="27" t="s">
        <v>187</v>
      </c>
      <c r="G22" s="25">
        <v>1.0</v>
      </c>
      <c r="H22" s="29">
        <v>0.5</v>
      </c>
      <c r="I22" s="25" t="s">
        <v>34</v>
      </c>
      <c r="J22" s="25" t="s">
        <v>36</v>
      </c>
      <c r="K22" s="29">
        <f t="shared" ref="K22:K23" si="9">G22*H22</f>
        <v>0.5</v>
      </c>
      <c r="L22" s="31">
        <v>0.4</v>
      </c>
      <c r="M22" s="31">
        <v>0.6</v>
      </c>
      <c r="N22" s="29">
        <f t="shared" si="6"/>
        <v>0.12</v>
      </c>
      <c r="O22" s="56">
        <v>0.85</v>
      </c>
      <c r="P22" s="23">
        <f t="shared" si="7"/>
        <v>0.1411764706</v>
      </c>
      <c r="Q22" s="24">
        <v>5736.0</v>
      </c>
      <c r="R22" s="33">
        <v>0.41</v>
      </c>
      <c r="S22" s="34">
        <f t="shared" si="8"/>
        <v>688.32</v>
      </c>
      <c r="T22" s="27" t="s">
        <v>190</v>
      </c>
    </row>
    <row r="23" ht="19.5" customHeight="1">
      <c r="B23" s="15">
        <v>15.0</v>
      </c>
      <c r="C23" s="17" t="s">
        <v>191</v>
      </c>
      <c r="D23" s="15" t="s">
        <v>132</v>
      </c>
      <c r="E23" s="17" t="s">
        <v>103</v>
      </c>
      <c r="F23" s="17" t="s">
        <v>192</v>
      </c>
      <c r="G23" s="15">
        <v>1.0</v>
      </c>
      <c r="H23" s="21">
        <v>3.6</v>
      </c>
      <c r="I23" s="15" t="s">
        <v>76</v>
      </c>
      <c r="J23" s="15" t="s">
        <v>78</v>
      </c>
      <c r="K23" s="21">
        <f t="shared" si="9"/>
        <v>3.6</v>
      </c>
      <c r="L23" s="19">
        <v>0.7</v>
      </c>
      <c r="M23" s="19">
        <v>0.85</v>
      </c>
      <c r="N23" s="21">
        <f t="shared" si="6"/>
        <v>2.142</v>
      </c>
      <c r="O23" s="56">
        <v>0.9</v>
      </c>
      <c r="P23" s="23">
        <f t="shared" si="7"/>
        <v>2.38</v>
      </c>
      <c r="Q23" s="24">
        <v>5736.0</v>
      </c>
      <c r="R23" s="22">
        <v>0.41</v>
      </c>
      <c r="S23" s="26">
        <f t="shared" si="8"/>
        <v>12286.512</v>
      </c>
      <c r="T23" s="17" t="s">
        <v>197</v>
      </c>
    </row>
    <row r="24" ht="15.75" customHeight="1">
      <c r="B24" s="35" t="s">
        <v>198</v>
      </c>
      <c r="C24" s="36"/>
      <c r="D24" s="36"/>
      <c r="E24" s="36"/>
      <c r="F24" s="41"/>
      <c r="G24" s="43">
        <f>SUM(G14:G23)</f>
        <v>10</v>
      </c>
      <c r="H24" s="43"/>
      <c r="I24" s="43"/>
      <c r="J24" s="43"/>
      <c r="K24" s="44">
        <f>SUM(K14:K23)</f>
        <v>19.43</v>
      </c>
      <c r="L24" s="43"/>
      <c r="M24" s="43"/>
      <c r="N24" s="44">
        <f>SUM(N14:N23)</f>
        <v>13.377</v>
      </c>
      <c r="O24" s="45"/>
      <c r="P24" s="44">
        <f>SUM(P14:P23)</f>
        <v>14.83837461</v>
      </c>
      <c r="Q24" s="43"/>
      <c r="R24" s="47"/>
      <c r="S24" s="49">
        <f>SUM(S14:S23)</f>
        <v>76730.472</v>
      </c>
      <c r="T24" s="43"/>
    </row>
    <row r="25" ht="15.75" customHeight="1">
      <c r="B25" s="14" t="s">
        <v>209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</row>
    <row r="26" ht="19.5" customHeight="1">
      <c r="B26" s="25">
        <v>16.0</v>
      </c>
      <c r="C26" s="27" t="s">
        <v>210</v>
      </c>
      <c r="D26" s="25" t="s">
        <v>211</v>
      </c>
      <c r="E26" s="27" t="s">
        <v>212</v>
      </c>
      <c r="F26" s="66" t="s">
        <v>213</v>
      </c>
      <c r="G26" s="25">
        <v>1.0</v>
      </c>
      <c r="H26" s="70">
        <v>2.2</v>
      </c>
      <c r="I26" s="25" t="s">
        <v>76</v>
      </c>
      <c r="J26" s="25" t="s">
        <v>78</v>
      </c>
      <c r="K26" s="29">
        <f t="shared" ref="K26:K33" si="10">G26*H26</f>
        <v>2.2</v>
      </c>
      <c r="L26" s="31">
        <v>0.65</v>
      </c>
      <c r="M26" s="31">
        <v>0.7</v>
      </c>
      <c r="N26" s="29">
        <f t="shared" ref="N26:N33" si="11">K26*L26*M26</f>
        <v>1.001</v>
      </c>
      <c r="O26" s="56">
        <v>0.85</v>
      </c>
      <c r="P26" s="23">
        <f t="shared" ref="P26:P33" si="12">N26/O26</f>
        <v>1.177647059</v>
      </c>
      <c r="Q26" s="24">
        <v>5736.0</v>
      </c>
      <c r="R26" s="78"/>
      <c r="S26" s="34">
        <f t="shared" ref="S26:S33" si="13">N26*Q26</f>
        <v>5741.736</v>
      </c>
      <c r="T26" s="27" t="s">
        <v>218</v>
      </c>
    </row>
    <row r="27" ht="19.5" customHeight="1">
      <c r="B27" s="15">
        <v>17.0</v>
      </c>
      <c r="C27" s="17" t="s">
        <v>210</v>
      </c>
      <c r="D27" s="15" t="s">
        <v>211</v>
      </c>
      <c r="E27" s="17" t="s">
        <v>219</v>
      </c>
      <c r="F27" s="17" t="s">
        <v>220</v>
      </c>
      <c r="G27" s="15">
        <v>1.0</v>
      </c>
      <c r="H27" s="21">
        <v>0.45</v>
      </c>
      <c r="I27" s="15" t="s">
        <v>34</v>
      </c>
      <c r="J27" s="15" t="s">
        <v>36</v>
      </c>
      <c r="K27" s="21">
        <f t="shared" si="10"/>
        <v>0.45</v>
      </c>
      <c r="L27" s="19">
        <v>0.7</v>
      </c>
      <c r="M27" s="19">
        <v>0.8</v>
      </c>
      <c r="N27" s="21">
        <f t="shared" si="11"/>
        <v>0.252</v>
      </c>
      <c r="O27" s="56">
        <v>0.85</v>
      </c>
      <c r="P27" s="23">
        <f t="shared" si="12"/>
        <v>0.2964705882</v>
      </c>
      <c r="Q27" s="24">
        <v>5736.0</v>
      </c>
      <c r="R27" s="79"/>
      <c r="S27" s="26">
        <f t="shared" si="13"/>
        <v>1445.472</v>
      </c>
      <c r="T27" s="17" t="s">
        <v>218</v>
      </c>
    </row>
    <row r="28" ht="19.5" customHeight="1">
      <c r="B28" s="25">
        <v>18.0</v>
      </c>
      <c r="C28" s="27" t="s">
        <v>221</v>
      </c>
      <c r="D28" s="25" t="s">
        <v>211</v>
      </c>
      <c r="E28" s="27" t="s">
        <v>223</v>
      </c>
      <c r="F28" s="27" t="s">
        <v>225</v>
      </c>
      <c r="G28" s="25">
        <v>1.0</v>
      </c>
      <c r="H28" s="29">
        <v>7.5</v>
      </c>
      <c r="I28" s="25" t="s">
        <v>76</v>
      </c>
      <c r="J28" s="25" t="s">
        <v>78</v>
      </c>
      <c r="K28" s="29">
        <f t="shared" si="10"/>
        <v>7.5</v>
      </c>
      <c r="L28" s="31">
        <v>0.6</v>
      </c>
      <c r="M28" s="31">
        <v>0.5</v>
      </c>
      <c r="N28" s="29">
        <f t="shared" si="11"/>
        <v>2.25</v>
      </c>
      <c r="O28" s="80">
        <v>1.0</v>
      </c>
      <c r="P28" s="23">
        <f t="shared" si="12"/>
        <v>2.25</v>
      </c>
      <c r="Q28" s="34">
        <v>2000.0</v>
      </c>
      <c r="R28" s="78"/>
      <c r="S28" s="34">
        <f t="shared" si="13"/>
        <v>4500</v>
      </c>
      <c r="T28" s="27" t="s">
        <v>226</v>
      </c>
    </row>
    <row r="29" ht="19.5" customHeight="1">
      <c r="B29" s="15">
        <v>19.0</v>
      </c>
      <c r="C29" s="17" t="s">
        <v>210</v>
      </c>
      <c r="D29" s="15" t="s">
        <v>211</v>
      </c>
      <c r="E29" s="17" t="s">
        <v>227</v>
      </c>
      <c r="F29" s="17" t="s">
        <v>228</v>
      </c>
      <c r="G29" s="15">
        <v>1.0</v>
      </c>
      <c r="H29" s="21">
        <v>1.5</v>
      </c>
      <c r="I29" s="15" t="s">
        <v>76</v>
      </c>
      <c r="J29" s="15" t="s">
        <v>78</v>
      </c>
      <c r="K29" s="21">
        <f t="shared" si="10"/>
        <v>1.5</v>
      </c>
      <c r="L29" s="19">
        <v>0.5</v>
      </c>
      <c r="M29" s="19">
        <v>0.6</v>
      </c>
      <c r="N29" s="21">
        <f t="shared" si="11"/>
        <v>0.45</v>
      </c>
      <c r="O29" s="56">
        <v>0.85</v>
      </c>
      <c r="P29" s="23">
        <f t="shared" si="12"/>
        <v>0.5294117647</v>
      </c>
      <c r="Q29" s="24">
        <v>5736.0</v>
      </c>
      <c r="R29" s="79"/>
      <c r="S29" s="26">
        <f t="shared" si="13"/>
        <v>2581.2</v>
      </c>
      <c r="T29" s="17" t="s">
        <v>230</v>
      </c>
    </row>
    <row r="30" ht="19.5" customHeight="1">
      <c r="B30" s="25">
        <v>20.0</v>
      </c>
      <c r="C30" s="27" t="s">
        <v>231</v>
      </c>
      <c r="D30" s="25" t="s">
        <v>211</v>
      </c>
      <c r="E30" s="27" t="s">
        <v>232</v>
      </c>
      <c r="F30" s="27" t="s">
        <v>233</v>
      </c>
      <c r="G30" s="25">
        <v>1.0</v>
      </c>
      <c r="H30" s="29">
        <v>1.6</v>
      </c>
      <c r="I30" s="25" t="s">
        <v>34</v>
      </c>
      <c r="J30" s="25" t="s">
        <v>36</v>
      </c>
      <c r="K30" s="29">
        <f t="shared" si="10"/>
        <v>1.6</v>
      </c>
      <c r="L30" s="31">
        <v>0.4</v>
      </c>
      <c r="M30" s="31">
        <v>0.6</v>
      </c>
      <c r="N30" s="29">
        <f t="shared" si="11"/>
        <v>0.384</v>
      </c>
      <c r="O30" s="80">
        <v>0.95</v>
      </c>
      <c r="P30" s="23">
        <f t="shared" si="12"/>
        <v>0.4042105263</v>
      </c>
      <c r="Q30" s="34">
        <v>2500.0</v>
      </c>
      <c r="R30" s="78"/>
      <c r="S30" s="34">
        <f t="shared" si="13"/>
        <v>960</v>
      </c>
      <c r="T30" s="27" t="s">
        <v>234</v>
      </c>
    </row>
    <row r="31" ht="19.5" customHeight="1">
      <c r="B31" s="15">
        <v>21.0</v>
      </c>
      <c r="C31" s="17" t="s">
        <v>235</v>
      </c>
      <c r="D31" s="15" t="s">
        <v>211</v>
      </c>
      <c r="E31" s="17" t="s">
        <v>236</v>
      </c>
      <c r="F31" s="17" t="s">
        <v>237</v>
      </c>
      <c r="G31" s="15">
        <v>1.0</v>
      </c>
      <c r="H31" s="21">
        <v>1.1</v>
      </c>
      <c r="I31" s="15" t="s">
        <v>34</v>
      </c>
      <c r="J31" s="15" t="s">
        <v>36</v>
      </c>
      <c r="K31" s="21">
        <f t="shared" si="10"/>
        <v>1.1</v>
      </c>
      <c r="L31" s="19">
        <v>0.5</v>
      </c>
      <c r="M31" s="19">
        <v>0.7</v>
      </c>
      <c r="N31" s="21">
        <f t="shared" si="11"/>
        <v>0.385</v>
      </c>
      <c r="O31" s="56">
        <v>0.95</v>
      </c>
      <c r="P31" s="23">
        <f t="shared" si="12"/>
        <v>0.4052631579</v>
      </c>
      <c r="Q31" s="24">
        <v>5736.0</v>
      </c>
      <c r="R31" s="79"/>
      <c r="S31" s="26">
        <f t="shared" si="13"/>
        <v>2208.36</v>
      </c>
      <c r="T31" s="17" t="s">
        <v>238</v>
      </c>
    </row>
    <row r="32" ht="19.5" customHeight="1">
      <c r="B32" s="25">
        <v>22.0</v>
      </c>
      <c r="C32" s="27" t="s">
        <v>231</v>
      </c>
      <c r="D32" s="25" t="s">
        <v>211</v>
      </c>
      <c r="E32" s="27" t="s">
        <v>239</v>
      </c>
      <c r="F32" s="27" t="s">
        <v>240</v>
      </c>
      <c r="G32" s="25">
        <v>1.0</v>
      </c>
      <c r="H32" s="29">
        <v>2.5</v>
      </c>
      <c r="I32" s="25" t="s">
        <v>34</v>
      </c>
      <c r="J32" s="25" t="s">
        <v>36</v>
      </c>
      <c r="K32" s="29">
        <f t="shared" si="10"/>
        <v>2.5</v>
      </c>
      <c r="L32" s="31">
        <v>0.6</v>
      </c>
      <c r="M32" s="31">
        <v>0.7</v>
      </c>
      <c r="N32" s="29">
        <f t="shared" si="11"/>
        <v>1.05</v>
      </c>
      <c r="O32" s="80">
        <v>0.95</v>
      </c>
      <c r="P32" s="23">
        <f t="shared" si="12"/>
        <v>1.105263158</v>
      </c>
      <c r="Q32" s="34">
        <v>2500.0</v>
      </c>
      <c r="R32" s="78"/>
      <c r="S32" s="34">
        <f t="shared" si="13"/>
        <v>2625</v>
      </c>
      <c r="T32" s="27" t="s">
        <v>243</v>
      </c>
    </row>
    <row r="33" ht="19.5" customHeight="1">
      <c r="B33" s="15">
        <v>23.0</v>
      </c>
      <c r="C33" s="17" t="s">
        <v>244</v>
      </c>
      <c r="D33" s="15" t="s">
        <v>245</v>
      </c>
      <c r="E33" s="17" t="s">
        <v>246</v>
      </c>
      <c r="F33" s="17" t="s">
        <v>247</v>
      </c>
      <c r="G33" s="15">
        <v>1.0</v>
      </c>
      <c r="H33" s="21">
        <f>'2. Luminarias y Lux'!U30</f>
        <v>4.148</v>
      </c>
      <c r="I33" s="15" t="s">
        <v>34</v>
      </c>
      <c r="J33" s="15" t="s">
        <v>36</v>
      </c>
      <c r="K33" s="21">
        <f t="shared" si="10"/>
        <v>4.148</v>
      </c>
      <c r="L33" s="19">
        <v>1.0</v>
      </c>
      <c r="M33" s="19">
        <v>1.0</v>
      </c>
      <c r="N33" s="21">
        <f t="shared" si="11"/>
        <v>4.148</v>
      </c>
      <c r="O33" s="56">
        <v>0.95</v>
      </c>
      <c r="P33" s="23">
        <f t="shared" si="12"/>
        <v>4.366315789</v>
      </c>
      <c r="Q33" s="24">
        <v>5736.0</v>
      </c>
      <c r="R33" s="79"/>
      <c r="S33" s="26">
        <f t="shared" si="13"/>
        <v>23792.928</v>
      </c>
      <c r="T33" s="17" t="s">
        <v>251</v>
      </c>
    </row>
    <row r="34" ht="15.75" customHeight="1">
      <c r="B34" s="35" t="s">
        <v>252</v>
      </c>
      <c r="C34" s="36"/>
      <c r="D34" s="36"/>
      <c r="E34" s="36"/>
      <c r="F34" s="41"/>
      <c r="G34" s="43">
        <f>SUM(G26:G33)</f>
        <v>8</v>
      </c>
      <c r="H34" s="43"/>
      <c r="I34" s="43"/>
      <c r="J34" s="43"/>
      <c r="K34" s="44">
        <f>SUM(K26:K33)</f>
        <v>20.998</v>
      </c>
      <c r="L34" s="43"/>
      <c r="M34" s="43"/>
      <c r="N34" s="44">
        <f>SUM(N26:N33)</f>
        <v>9.92</v>
      </c>
      <c r="O34" s="45"/>
      <c r="P34" s="44">
        <f>SUM(P26:P33)</f>
        <v>10.53458204</v>
      </c>
      <c r="Q34" s="43"/>
      <c r="R34" s="47"/>
      <c r="S34" s="49">
        <f>SUM(S26:S33)</f>
        <v>43854.696</v>
      </c>
      <c r="T34" s="43"/>
    </row>
    <row r="35" ht="24.0" customHeight="1">
      <c r="B35" s="58" t="s">
        <v>254</v>
      </c>
      <c r="C35" s="59"/>
      <c r="D35" s="59"/>
      <c r="E35" s="59"/>
      <c r="F35" s="60"/>
      <c r="G35" s="64">
        <f>G12+G24+G34</f>
        <v>23</v>
      </c>
      <c r="H35" s="64"/>
      <c r="I35" s="64"/>
      <c r="J35" s="64"/>
      <c r="K35" s="63">
        <f>K12+K24+K34</f>
        <v>77.828</v>
      </c>
      <c r="L35" s="64"/>
      <c r="M35" s="64"/>
      <c r="N35" s="63">
        <f>N12+N24+N34</f>
        <v>49.727</v>
      </c>
      <c r="O35" s="81"/>
      <c r="P35" s="63">
        <f>P12+P24+P34</f>
        <v>56.4670743</v>
      </c>
      <c r="Q35" s="64"/>
      <c r="R35" s="82"/>
      <c r="S35" s="62">
        <f>S12+S24+S34</f>
        <v>231350.196</v>
      </c>
      <c r="T35" s="64"/>
    </row>
    <row r="36" ht="15.75" customHeight="1">
      <c r="O36" s="1"/>
      <c r="P36" s="2"/>
      <c r="R36" s="4"/>
    </row>
    <row r="37" ht="15.75" customHeight="1">
      <c r="B37" s="14" t="s">
        <v>259</v>
      </c>
      <c r="C37" s="5"/>
      <c r="D37" s="5"/>
      <c r="E37" s="5"/>
      <c r="F37" s="5"/>
      <c r="G37" s="5"/>
      <c r="H37" s="6"/>
      <c r="O37" s="1"/>
      <c r="P37" s="2"/>
      <c r="R37" s="4"/>
    </row>
    <row r="38" ht="15.75" customHeight="1">
      <c r="B38" s="83" t="s">
        <v>262</v>
      </c>
      <c r="C38" s="84">
        <f>N35</f>
        <v>49.727</v>
      </c>
      <c r="D38" s="72" t="s">
        <v>80</v>
      </c>
      <c r="O38" s="1"/>
      <c r="P38" s="2"/>
      <c r="R38" s="4"/>
    </row>
    <row r="39" ht="15.75" customHeight="1">
      <c r="B39" s="68" t="s">
        <v>263</v>
      </c>
      <c r="C39" s="75">
        <f>C38/C40</f>
        <v>0.8806370901</v>
      </c>
      <c r="D39" s="72" t="s">
        <v>146</v>
      </c>
      <c r="O39" s="1"/>
      <c r="P39" s="2"/>
      <c r="R39" s="4"/>
    </row>
    <row r="40" ht="15.75" customHeight="1">
      <c r="B40" s="83" t="s">
        <v>267</v>
      </c>
      <c r="C40" s="75">
        <f>P35</f>
        <v>56.4670743</v>
      </c>
      <c r="D40" s="72" t="s">
        <v>268</v>
      </c>
      <c r="O40" s="1"/>
      <c r="P40" s="2"/>
      <c r="R40" s="4"/>
    </row>
    <row r="41" ht="15.75" customHeight="1">
      <c r="B41" s="83" t="s">
        <v>269</v>
      </c>
      <c r="C41" s="75">
        <f>K35</f>
        <v>77.828</v>
      </c>
      <c r="D41" s="72" t="s">
        <v>80</v>
      </c>
      <c r="O41" s="1"/>
      <c r="P41" s="2"/>
      <c r="R41" s="4"/>
    </row>
    <row r="42" ht="15.75" customHeight="1">
      <c r="B42" s="83" t="s">
        <v>271</v>
      </c>
      <c r="C42" s="75">
        <f>C41/C39</f>
        <v>88.3769272</v>
      </c>
      <c r="D42" s="72" t="s">
        <v>268</v>
      </c>
      <c r="O42" s="1"/>
      <c r="P42" s="2"/>
      <c r="R42" s="4"/>
    </row>
    <row r="43" ht="15.75" customHeight="1">
      <c r="B43" s="68" t="s">
        <v>272</v>
      </c>
      <c r="C43" s="76">
        <v>100.0</v>
      </c>
      <c r="D43" s="72" t="s">
        <v>273</v>
      </c>
      <c r="O43" s="1"/>
      <c r="P43" s="2"/>
      <c r="R43" s="4"/>
    </row>
    <row r="44" ht="15.75" customHeight="1">
      <c r="B44" s="68" t="s">
        <v>274</v>
      </c>
      <c r="C44" s="71">
        <f>S35/12</f>
        <v>19279.183</v>
      </c>
      <c r="D44" s="72" t="s">
        <v>275</v>
      </c>
      <c r="O44" s="1"/>
      <c r="P44" s="2"/>
      <c r="R44" s="4"/>
    </row>
    <row r="45" ht="15.75" customHeight="1">
      <c r="B45" s="83" t="s">
        <v>277</v>
      </c>
      <c r="C45" s="71">
        <f>S35/239</f>
        <v>967.9924519</v>
      </c>
      <c r="D45" s="72" t="s">
        <v>278</v>
      </c>
      <c r="O45" s="1"/>
      <c r="P45" s="2"/>
      <c r="R45" s="4"/>
    </row>
    <row r="46" ht="15.75" customHeight="1">
      <c r="O46" s="1"/>
      <c r="P46" s="2"/>
      <c r="R46" s="4"/>
    </row>
    <row r="47" ht="15.75" customHeight="1">
      <c r="O47" s="1"/>
      <c r="P47" s="2"/>
      <c r="R47" s="4"/>
    </row>
    <row r="48" ht="15.75" customHeight="1">
      <c r="O48" s="1"/>
      <c r="P48" s="2"/>
      <c r="R48" s="4"/>
    </row>
    <row r="49" ht="15.75" customHeight="1">
      <c r="O49" s="1"/>
      <c r="P49" s="2"/>
      <c r="R49" s="4"/>
    </row>
    <row r="50" ht="15.75" customHeight="1">
      <c r="B50" s="85" t="s">
        <v>279</v>
      </c>
      <c r="O50" s="1"/>
      <c r="P50" s="2"/>
      <c r="R50" s="4"/>
    </row>
    <row r="51" ht="15.75" customHeight="1">
      <c r="O51" s="1"/>
      <c r="P51" s="2"/>
      <c r="R51" s="4"/>
    </row>
    <row r="52" ht="15.75" customHeight="1">
      <c r="B52" s="86"/>
      <c r="C52" s="86"/>
      <c r="D52" s="86"/>
      <c r="E52" s="86"/>
      <c r="F52" s="86"/>
      <c r="G52" s="86"/>
      <c r="O52" s="1"/>
      <c r="P52" s="2"/>
      <c r="R52" s="4"/>
    </row>
    <row r="53" ht="15.75" customHeight="1">
      <c r="B53" s="87" t="s">
        <v>282</v>
      </c>
      <c r="F53" s="86"/>
      <c r="G53" s="86"/>
      <c r="O53" s="1"/>
      <c r="P53" s="2"/>
      <c r="R53" s="4"/>
    </row>
    <row r="54" ht="15.75" customHeight="1">
      <c r="B54" s="88" t="s">
        <v>283</v>
      </c>
      <c r="C54" s="89">
        <f>C41</f>
        <v>77.828</v>
      </c>
      <c r="D54" s="90" t="s">
        <v>80</v>
      </c>
      <c r="E54" s="91" t="s">
        <v>286</v>
      </c>
      <c r="F54" s="86"/>
      <c r="G54" s="86"/>
      <c r="O54" s="1"/>
      <c r="P54" s="2"/>
      <c r="R54" s="4"/>
    </row>
    <row r="55" ht="15.75" customHeight="1">
      <c r="B55" s="88" t="s">
        <v>287</v>
      </c>
      <c r="C55" s="89">
        <f t="shared" ref="C55:C56" si="14">C38</f>
        <v>49.727</v>
      </c>
      <c r="D55" s="90" t="s">
        <v>80</v>
      </c>
      <c r="E55" s="91" t="s">
        <v>289</v>
      </c>
      <c r="F55" s="86"/>
      <c r="G55" s="86"/>
      <c r="O55" s="1"/>
      <c r="P55" s="2"/>
      <c r="R55" s="4"/>
    </row>
    <row r="56" ht="15.75" customHeight="1">
      <c r="B56" s="88" t="s">
        <v>290</v>
      </c>
      <c r="C56" s="89">
        <f t="shared" si="14"/>
        <v>0.8806370901</v>
      </c>
      <c r="D56" s="90" t="s">
        <v>291</v>
      </c>
      <c r="E56" s="91" t="s">
        <v>292</v>
      </c>
      <c r="F56" s="86"/>
      <c r="G56" s="86"/>
      <c r="O56" s="1"/>
      <c r="P56" s="2"/>
      <c r="R56" s="4"/>
    </row>
    <row r="57" ht="15.75" customHeight="1">
      <c r="B57" s="88" t="s">
        <v>293</v>
      </c>
      <c r="C57" s="92">
        <v>0.95</v>
      </c>
      <c r="D57" s="90" t="s">
        <v>291</v>
      </c>
      <c r="E57" s="91" t="s">
        <v>296</v>
      </c>
      <c r="F57" s="93" t="s">
        <v>297</v>
      </c>
      <c r="G57" s="86"/>
      <c r="O57" s="1"/>
      <c r="P57" s="2"/>
      <c r="R57" s="4"/>
    </row>
    <row r="58" ht="15.75" customHeight="1">
      <c r="B58" s="88" t="s">
        <v>298</v>
      </c>
      <c r="C58" s="92">
        <v>380.0</v>
      </c>
      <c r="D58" s="90" t="s">
        <v>299</v>
      </c>
      <c r="E58" s="91" t="s">
        <v>300</v>
      </c>
      <c r="F58" s="86"/>
      <c r="G58" s="86"/>
      <c r="O58" s="1"/>
      <c r="P58" s="2"/>
      <c r="R58" s="4"/>
    </row>
    <row r="59" ht="15.75" customHeight="1">
      <c r="B59" s="88" t="s">
        <v>301</v>
      </c>
      <c r="C59" s="92">
        <v>400.0</v>
      </c>
      <c r="D59" s="90" t="s">
        <v>299</v>
      </c>
      <c r="E59" s="91" t="s">
        <v>302</v>
      </c>
      <c r="F59" s="86"/>
      <c r="G59" s="86"/>
      <c r="O59" s="1"/>
      <c r="P59" s="2"/>
      <c r="R59" s="4"/>
    </row>
    <row r="60" ht="15.75" customHeight="1">
      <c r="B60" s="88" t="s">
        <v>303</v>
      </c>
      <c r="C60" s="92">
        <v>15.0</v>
      </c>
      <c r="D60" s="90" t="s">
        <v>304</v>
      </c>
      <c r="E60" s="91" t="s">
        <v>305</v>
      </c>
      <c r="F60" s="86"/>
      <c r="G60" s="86"/>
      <c r="O60" s="1"/>
      <c r="P60" s="2"/>
      <c r="R60" s="4"/>
    </row>
    <row r="61" ht="15.75" customHeight="1">
      <c r="B61" s="86"/>
      <c r="C61" s="86"/>
      <c r="D61" s="86"/>
      <c r="E61" s="94"/>
      <c r="F61" s="86"/>
      <c r="G61" s="86"/>
      <c r="O61" s="1"/>
      <c r="P61" s="2"/>
      <c r="R61" s="4"/>
    </row>
    <row r="62" ht="15.75" customHeight="1">
      <c r="B62" s="86"/>
      <c r="C62" s="86"/>
      <c r="D62" s="86"/>
      <c r="E62" s="94"/>
      <c r="F62" s="86"/>
      <c r="G62" s="86"/>
      <c r="O62" s="1"/>
      <c r="P62" s="2"/>
      <c r="R62" s="4"/>
    </row>
    <row r="63" ht="15.75" customHeight="1">
      <c r="B63" s="87" t="s">
        <v>308</v>
      </c>
      <c r="F63" s="86"/>
      <c r="G63" s="86"/>
      <c r="O63" s="1"/>
      <c r="P63" s="2"/>
      <c r="R63" s="4"/>
    </row>
    <row r="64" ht="15.75" customHeight="1">
      <c r="B64" s="86"/>
      <c r="C64" s="86"/>
      <c r="D64" s="86"/>
      <c r="E64" s="94"/>
      <c r="F64" s="86"/>
      <c r="G64" s="86"/>
      <c r="O64" s="1"/>
      <c r="P64" s="2"/>
      <c r="R64" s="4"/>
    </row>
    <row r="65" ht="15.75" customHeight="1">
      <c r="B65" s="90" t="s">
        <v>309</v>
      </c>
      <c r="C65" s="95">
        <f>C42</f>
        <v>88.3769272</v>
      </c>
      <c r="D65" s="90" t="s">
        <v>268</v>
      </c>
      <c r="E65" s="91" t="s">
        <v>311</v>
      </c>
      <c r="F65" s="86"/>
      <c r="G65" s="86"/>
      <c r="O65" s="1"/>
      <c r="P65" s="2"/>
      <c r="R65" s="4"/>
    </row>
    <row r="66" ht="15.75" customHeight="1">
      <c r="B66" s="90" t="s">
        <v>313</v>
      </c>
      <c r="C66" s="95">
        <f>C40</f>
        <v>56.4670743</v>
      </c>
      <c r="D66" s="90" t="s">
        <v>268</v>
      </c>
      <c r="E66" s="91" t="s">
        <v>314</v>
      </c>
      <c r="F66" s="86"/>
      <c r="G66" s="86"/>
      <c r="O66" s="1"/>
      <c r="P66" s="2"/>
      <c r="R66" s="4"/>
    </row>
    <row r="67" ht="15.75" customHeight="1">
      <c r="B67" s="90" t="s">
        <v>315</v>
      </c>
      <c r="C67" s="96">
        <v>27.28</v>
      </c>
      <c r="D67" s="90" t="s">
        <v>304</v>
      </c>
      <c r="E67" s="91" t="s">
        <v>316</v>
      </c>
      <c r="F67" s="86"/>
      <c r="G67" s="86"/>
      <c r="O67" s="1"/>
      <c r="P67" s="2"/>
      <c r="R67" s="4"/>
    </row>
    <row r="68" ht="15.75" customHeight="1">
      <c r="B68" s="90" t="s">
        <v>317</v>
      </c>
      <c r="C68" s="96">
        <v>16.61</v>
      </c>
      <c r="D68" s="90" t="s">
        <v>304</v>
      </c>
      <c r="E68" s="91" t="s">
        <v>319</v>
      </c>
      <c r="F68" s="86"/>
      <c r="G68" s="86"/>
      <c r="O68" s="1"/>
      <c r="P68" s="2"/>
      <c r="R68" s="4"/>
    </row>
    <row r="69" ht="15.75" customHeight="1">
      <c r="B69" s="97" t="s">
        <v>320</v>
      </c>
      <c r="C69" s="98">
        <v>10.67</v>
      </c>
      <c r="D69" s="97" t="s">
        <v>304</v>
      </c>
      <c r="E69" s="99" t="s">
        <v>321</v>
      </c>
      <c r="F69" s="86"/>
      <c r="G69" s="86"/>
      <c r="O69" s="1"/>
      <c r="P69" s="2"/>
      <c r="R69" s="4"/>
    </row>
    <row r="70" ht="15.75" customHeight="1">
      <c r="B70" s="97" t="s">
        <v>323</v>
      </c>
      <c r="C70" s="98">
        <v>13.54</v>
      </c>
      <c r="D70" s="97" t="s">
        <v>304</v>
      </c>
      <c r="E70" s="99" t="s">
        <v>324</v>
      </c>
      <c r="F70" s="86"/>
      <c r="G70" s="86"/>
      <c r="O70" s="1"/>
      <c r="P70" s="2"/>
      <c r="R70" s="4"/>
    </row>
    <row r="71" ht="15.75" customHeight="1">
      <c r="B71" s="90" t="s">
        <v>325</v>
      </c>
      <c r="C71" s="96" t="s">
        <v>326</v>
      </c>
      <c r="D71" s="90" t="s">
        <v>291</v>
      </c>
      <c r="E71" s="91" t="s">
        <v>327</v>
      </c>
      <c r="F71" s="86"/>
      <c r="G71" s="86"/>
      <c r="O71" s="1"/>
      <c r="P71" s="2"/>
      <c r="R71" s="4"/>
    </row>
    <row r="72" ht="15.75" customHeight="1">
      <c r="B72" s="90" t="s">
        <v>328</v>
      </c>
      <c r="C72" s="96">
        <v>13.75</v>
      </c>
      <c r="D72" s="90" t="s">
        <v>304</v>
      </c>
      <c r="E72" s="91" t="s">
        <v>329</v>
      </c>
      <c r="F72" s="86"/>
      <c r="G72" s="86"/>
      <c r="O72" s="1"/>
      <c r="P72" s="2"/>
      <c r="R72" s="4"/>
    </row>
    <row r="73" ht="15.75" customHeight="1">
      <c r="B73" s="97" t="s">
        <v>330</v>
      </c>
      <c r="C73" s="98">
        <v>0.965</v>
      </c>
      <c r="D73" s="97" t="s">
        <v>291</v>
      </c>
      <c r="E73" s="99" t="s">
        <v>331</v>
      </c>
      <c r="F73" s="86"/>
      <c r="G73" s="86"/>
      <c r="O73" s="1"/>
      <c r="P73" s="2"/>
      <c r="R73" s="4"/>
    </row>
    <row r="74" ht="15.75" customHeight="1">
      <c r="B74" s="97" t="s">
        <v>332</v>
      </c>
      <c r="C74" s="98">
        <v>53.21</v>
      </c>
      <c r="D74" s="97" t="s">
        <v>268</v>
      </c>
      <c r="E74" s="99" t="s">
        <v>333</v>
      </c>
      <c r="F74" s="86"/>
      <c r="G74" s="86"/>
      <c r="O74" s="1"/>
      <c r="P74" s="2"/>
      <c r="R74" s="4"/>
    </row>
    <row r="75" ht="15.75" customHeight="1">
      <c r="B75" s="90" t="s">
        <v>334</v>
      </c>
      <c r="C75" s="96">
        <v>52.39</v>
      </c>
      <c r="D75" s="90" t="s">
        <v>268</v>
      </c>
      <c r="E75" s="91" t="s">
        <v>335</v>
      </c>
      <c r="F75" s="86"/>
      <c r="G75" s="86"/>
      <c r="O75" s="1"/>
      <c r="P75" s="2"/>
      <c r="R75" s="4"/>
    </row>
    <row r="76" ht="15.75" customHeight="1">
      <c r="B76" s="90" t="s">
        <v>336</v>
      </c>
      <c r="C76" s="96">
        <v>5.06</v>
      </c>
      <c r="D76" s="90" t="s">
        <v>268</v>
      </c>
      <c r="E76" s="91" t="s">
        <v>337</v>
      </c>
      <c r="F76" s="86"/>
      <c r="G76" s="86"/>
      <c r="O76" s="1"/>
      <c r="P76" s="2"/>
      <c r="R76" s="4"/>
    </row>
    <row r="77" ht="15.75" customHeight="1">
      <c r="O77" s="1"/>
      <c r="P77" s="2"/>
      <c r="R77" s="4"/>
    </row>
    <row r="78" ht="15.75" customHeight="1">
      <c r="O78" s="1"/>
      <c r="P78" s="2"/>
      <c r="R78" s="4"/>
    </row>
    <row r="79" ht="15.75" customHeight="1">
      <c r="B79" s="87" t="s">
        <v>338</v>
      </c>
      <c r="O79" s="1"/>
      <c r="P79" s="2"/>
      <c r="R79" s="4"/>
    </row>
    <row r="80" ht="15.75" customHeight="1">
      <c r="B80" s="88" t="s">
        <v>339</v>
      </c>
      <c r="C80" s="96">
        <v>15.0</v>
      </c>
      <c r="D80" s="90" t="s">
        <v>304</v>
      </c>
      <c r="E80" s="91" t="s">
        <v>340</v>
      </c>
      <c r="O80" s="1"/>
      <c r="P80" s="2"/>
      <c r="R80" s="4"/>
    </row>
    <row r="81" ht="15.75" customHeight="1">
      <c r="B81" s="88" t="s">
        <v>341</v>
      </c>
      <c r="C81" s="96">
        <v>380.0</v>
      </c>
      <c r="D81" s="90" t="s">
        <v>299</v>
      </c>
      <c r="E81" s="91" t="s">
        <v>342</v>
      </c>
      <c r="O81" s="1"/>
      <c r="P81" s="2"/>
      <c r="R81" s="4"/>
    </row>
    <row r="82" ht="15.75" customHeight="1">
      <c r="B82" s="88" t="s">
        <v>343</v>
      </c>
      <c r="C82" s="96" t="s">
        <v>344</v>
      </c>
      <c r="D82" s="90" t="s">
        <v>291</v>
      </c>
      <c r="E82" s="91" t="s">
        <v>345</v>
      </c>
      <c r="O82" s="1"/>
      <c r="P82" s="2"/>
      <c r="R82" s="4"/>
    </row>
    <row r="83" ht="15.75" customHeight="1">
      <c r="B83" s="88" t="s">
        <v>346</v>
      </c>
      <c r="C83" s="96">
        <v>1.0</v>
      </c>
      <c r="D83" s="90" t="s">
        <v>347</v>
      </c>
      <c r="E83" s="91" t="s">
        <v>348</v>
      </c>
      <c r="O83" s="1"/>
      <c r="P83" s="2"/>
      <c r="R83" s="4"/>
    </row>
    <row r="84" ht="15.75" customHeight="1">
      <c r="B84" s="88" t="s">
        <v>349</v>
      </c>
      <c r="C84" s="102">
        <v>1940.0</v>
      </c>
      <c r="D84" s="90" t="s">
        <v>350</v>
      </c>
      <c r="E84" s="91" t="s">
        <v>351</v>
      </c>
      <c r="O84" s="1"/>
      <c r="P84" s="2"/>
      <c r="R84" s="4"/>
    </row>
    <row r="85" ht="15.75" customHeight="1">
      <c r="B85" s="103" t="s">
        <v>352</v>
      </c>
      <c r="C85" s="104">
        <v>1940.0</v>
      </c>
      <c r="D85" s="97" t="s">
        <v>350</v>
      </c>
      <c r="E85" s="99" t="s">
        <v>353</v>
      </c>
      <c r="O85" s="1"/>
      <c r="P85" s="2"/>
      <c r="R85" s="4"/>
    </row>
    <row r="86" ht="15.75" customHeight="1">
      <c r="B86" s="88" t="s">
        <v>354</v>
      </c>
      <c r="C86" s="105"/>
      <c r="D86" s="90" t="s">
        <v>350</v>
      </c>
      <c r="E86" s="91" t="s">
        <v>355</v>
      </c>
      <c r="O86" s="1"/>
      <c r="P86" s="2"/>
      <c r="R86" s="4"/>
    </row>
    <row r="87" ht="15.75" customHeight="1">
      <c r="B87" s="103" t="s">
        <v>357</v>
      </c>
      <c r="C87" s="98" t="s">
        <v>358</v>
      </c>
      <c r="D87" s="97" t="s">
        <v>350</v>
      </c>
      <c r="E87" s="99" t="s">
        <v>359</v>
      </c>
      <c r="O87" s="1"/>
      <c r="P87" s="2"/>
      <c r="R87" s="4"/>
    </row>
    <row r="88" ht="15.75" customHeight="1">
      <c r="B88" s="88" t="s">
        <v>360</v>
      </c>
      <c r="C88" s="105"/>
      <c r="D88" s="90" t="s">
        <v>361</v>
      </c>
      <c r="E88" s="91" t="s">
        <v>362</v>
      </c>
      <c r="O88" s="1"/>
      <c r="P88" s="2"/>
      <c r="R88" s="4"/>
    </row>
    <row r="89" ht="15.75" customHeight="1">
      <c r="B89" s="103" t="s">
        <v>363</v>
      </c>
      <c r="C89" s="98" t="s">
        <v>364</v>
      </c>
      <c r="D89" s="97" t="s">
        <v>365</v>
      </c>
      <c r="E89" s="99" t="s">
        <v>366</v>
      </c>
      <c r="O89" s="1"/>
      <c r="P89" s="2"/>
      <c r="R89" s="4"/>
    </row>
    <row r="90" ht="15.75" customHeight="1">
      <c r="B90" s="103" t="s">
        <v>367</v>
      </c>
      <c r="C90" s="98" t="s">
        <v>368</v>
      </c>
      <c r="D90" s="97" t="s">
        <v>365</v>
      </c>
      <c r="E90" s="99" t="s">
        <v>369</v>
      </c>
      <c r="O90" s="1"/>
      <c r="P90" s="2"/>
      <c r="R90" s="4"/>
    </row>
    <row r="91" ht="15.75" customHeight="1">
      <c r="B91" s="86"/>
      <c r="C91" s="86"/>
      <c r="D91" s="86"/>
      <c r="E91" s="86"/>
      <c r="O91" s="1"/>
      <c r="P91" s="2"/>
      <c r="R91" s="4"/>
    </row>
    <row r="92" ht="15.75" customHeight="1">
      <c r="B92" s="86"/>
      <c r="C92" s="86"/>
      <c r="D92" s="86"/>
      <c r="E92" s="86"/>
      <c r="O92" s="1"/>
      <c r="P92" s="2"/>
      <c r="R92" s="4"/>
    </row>
    <row r="93" ht="15.75" customHeight="1">
      <c r="B93" s="87" t="s">
        <v>370</v>
      </c>
      <c r="O93" s="1"/>
      <c r="P93" s="2"/>
      <c r="R93" s="4"/>
    </row>
    <row r="94" ht="15.75" customHeight="1">
      <c r="B94" s="90" t="s">
        <v>371</v>
      </c>
      <c r="C94" s="106">
        <v>46284.0</v>
      </c>
      <c r="D94" s="86"/>
      <c r="E94" s="86"/>
      <c r="O94" s="1"/>
      <c r="P94" s="2"/>
      <c r="R94" s="4"/>
    </row>
    <row r="95" ht="15.75" customHeight="1">
      <c r="B95" s="90" t="s">
        <v>372</v>
      </c>
      <c r="C95" s="90" t="s">
        <v>373</v>
      </c>
      <c r="O95" s="1"/>
      <c r="P95" s="2"/>
      <c r="R95" s="4"/>
    </row>
    <row r="96" ht="15.75" customHeight="1">
      <c r="B96" s="90" t="s">
        <v>374</v>
      </c>
      <c r="C96" s="107" t="s">
        <v>375</v>
      </c>
      <c r="O96" s="1"/>
      <c r="P96" s="2"/>
      <c r="R96" s="4"/>
    </row>
    <row r="97" ht="15.75" customHeight="1">
      <c r="B97" s="86"/>
      <c r="O97" s="1"/>
      <c r="P97" s="2"/>
      <c r="R97" s="4"/>
    </row>
    <row r="98" ht="15.75" customHeight="1">
      <c r="O98" s="1"/>
      <c r="P98" s="2"/>
      <c r="R98" s="4"/>
    </row>
    <row r="99" ht="15.75" customHeight="1">
      <c r="O99" s="1"/>
      <c r="P99" s="2"/>
      <c r="R99" s="4"/>
    </row>
    <row r="100" ht="15.75" customHeight="1">
      <c r="O100" s="1"/>
      <c r="P100" s="2"/>
      <c r="R100" s="4"/>
    </row>
    <row r="101" ht="15.75" customHeight="1">
      <c r="O101" s="1"/>
      <c r="P101" s="2"/>
      <c r="R101" s="4"/>
    </row>
    <row r="102" ht="15.75" customHeight="1">
      <c r="O102" s="1"/>
      <c r="P102" s="2"/>
      <c r="R102" s="4"/>
    </row>
    <row r="103" ht="15.75" customHeight="1">
      <c r="O103" s="1"/>
      <c r="P103" s="2"/>
      <c r="R103" s="4"/>
    </row>
    <row r="104" ht="15.75" customHeight="1">
      <c r="O104" s="1"/>
      <c r="P104" s="2"/>
      <c r="R104" s="4"/>
    </row>
    <row r="105" ht="15.75" customHeight="1">
      <c r="O105" s="1"/>
      <c r="P105" s="2"/>
      <c r="R105" s="4"/>
    </row>
    <row r="106" ht="15.75" customHeight="1">
      <c r="O106" s="1"/>
      <c r="P106" s="2"/>
      <c r="R106" s="4"/>
    </row>
    <row r="107" ht="15.75" customHeight="1">
      <c r="O107" s="1"/>
      <c r="P107" s="2"/>
      <c r="R107" s="4"/>
    </row>
    <row r="108" ht="15.75" customHeight="1">
      <c r="O108" s="1"/>
      <c r="P108" s="2"/>
      <c r="R108" s="4"/>
    </row>
    <row r="109" ht="15.75" customHeight="1">
      <c r="O109" s="1"/>
      <c r="P109" s="2"/>
      <c r="R109" s="4"/>
    </row>
    <row r="110" ht="15.75" customHeight="1">
      <c r="O110" s="1"/>
      <c r="P110" s="2"/>
      <c r="R110" s="4"/>
    </row>
    <row r="111" ht="15.75" customHeight="1">
      <c r="O111" s="1"/>
      <c r="P111" s="2"/>
      <c r="R111" s="4"/>
    </row>
    <row r="112" ht="15.75" customHeight="1">
      <c r="O112" s="1"/>
      <c r="P112" s="2"/>
      <c r="R112" s="4"/>
    </row>
    <row r="113" ht="15.75" customHeight="1">
      <c r="O113" s="1"/>
      <c r="P113" s="2"/>
      <c r="R113" s="4"/>
    </row>
    <row r="114" ht="15.75" customHeight="1">
      <c r="O114" s="1"/>
      <c r="P114" s="2"/>
      <c r="R114" s="4"/>
    </row>
    <row r="115" ht="15.75" customHeight="1">
      <c r="O115" s="1"/>
      <c r="P115" s="2"/>
      <c r="R115" s="4"/>
    </row>
    <row r="116" ht="15.75" customHeight="1">
      <c r="O116" s="1"/>
      <c r="P116" s="2"/>
      <c r="R116" s="4"/>
    </row>
    <row r="117" ht="15.75" customHeight="1">
      <c r="O117" s="1"/>
      <c r="P117" s="2"/>
      <c r="R117" s="4"/>
    </row>
    <row r="118" ht="15.75" customHeight="1">
      <c r="O118" s="1"/>
      <c r="P118" s="2"/>
      <c r="R118" s="4"/>
    </row>
    <row r="119" ht="15.75" customHeight="1">
      <c r="O119" s="1"/>
      <c r="P119" s="2"/>
      <c r="R119" s="4"/>
    </row>
    <row r="120" ht="15.75" customHeight="1">
      <c r="O120" s="1"/>
      <c r="P120" s="2"/>
      <c r="R120" s="4"/>
    </row>
    <row r="121" ht="15.75" customHeight="1">
      <c r="O121" s="1"/>
      <c r="P121" s="2"/>
      <c r="R121" s="4"/>
    </row>
    <row r="122" ht="15.75" customHeight="1">
      <c r="O122" s="1"/>
      <c r="P122" s="2"/>
      <c r="R122" s="4"/>
    </row>
    <row r="123" ht="15.75" customHeight="1">
      <c r="O123" s="1"/>
      <c r="P123" s="2"/>
      <c r="R123" s="4"/>
    </row>
    <row r="124" ht="15.75" customHeight="1">
      <c r="O124" s="1"/>
      <c r="P124" s="2"/>
      <c r="R124" s="4"/>
    </row>
    <row r="125" ht="15.75" customHeight="1">
      <c r="O125" s="1"/>
      <c r="P125" s="2"/>
      <c r="R125" s="4"/>
    </row>
    <row r="126" ht="15.75" customHeight="1">
      <c r="O126" s="1"/>
      <c r="P126" s="2"/>
      <c r="R126" s="4"/>
    </row>
    <row r="127" ht="15.75" customHeight="1">
      <c r="O127" s="1"/>
      <c r="P127" s="2"/>
      <c r="R127" s="4"/>
    </row>
    <row r="128" ht="15.75" customHeight="1">
      <c r="O128" s="1"/>
      <c r="P128" s="2"/>
      <c r="R128" s="4"/>
    </row>
    <row r="129" ht="15.75" customHeight="1">
      <c r="O129" s="1"/>
      <c r="P129" s="2"/>
      <c r="R129" s="4"/>
    </row>
    <row r="130" ht="15.75" customHeight="1">
      <c r="O130" s="1"/>
      <c r="P130" s="2"/>
      <c r="R130" s="4"/>
    </row>
    <row r="131" ht="15.75" customHeight="1">
      <c r="O131" s="1"/>
      <c r="P131" s="2"/>
      <c r="R131" s="4"/>
    </row>
    <row r="132" ht="15.75" customHeight="1">
      <c r="O132" s="1"/>
      <c r="P132" s="2"/>
      <c r="R132" s="4"/>
    </row>
    <row r="133" ht="15.75" customHeight="1">
      <c r="O133" s="1"/>
      <c r="P133" s="2"/>
      <c r="R133" s="4"/>
    </row>
    <row r="134" ht="15.75" customHeight="1">
      <c r="O134" s="1"/>
      <c r="P134" s="2"/>
      <c r="R134" s="4"/>
    </row>
    <row r="135" ht="15.75" customHeight="1">
      <c r="O135" s="1"/>
      <c r="P135" s="2"/>
      <c r="R135" s="4"/>
    </row>
    <row r="136" ht="15.75" customHeight="1">
      <c r="O136" s="1"/>
      <c r="P136" s="2"/>
      <c r="R136" s="4"/>
    </row>
    <row r="137" ht="15.75" customHeight="1">
      <c r="O137" s="1"/>
      <c r="P137" s="2"/>
      <c r="R137" s="4"/>
    </row>
    <row r="138" ht="15.75" customHeight="1">
      <c r="O138" s="1"/>
      <c r="P138" s="2"/>
      <c r="R138" s="4"/>
    </row>
    <row r="139" ht="15.75" customHeight="1">
      <c r="O139" s="1"/>
      <c r="P139" s="2"/>
      <c r="R139" s="4"/>
    </row>
    <row r="140" ht="15.75" customHeight="1">
      <c r="O140" s="1"/>
      <c r="P140" s="2"/>
      <c r="R140" s="4"/>
    </row>
    <row r="141" ht="15.75" customHeight="1">
      <c r="O141" s="1"/>
      <c r="P141" s="2"/>
      <c r="R141" s="4"/>
    </row>
    <row r="142" ht="15.75" customHeight="1">
      <c r="O142" s="1"/>
      <c r="P142" s="2"/>
      <c r="R142" s="4"/>
    </row>
    <row r="143" ht="15.75" customHeight="1">
      <c r="O143" s="1"/>
      <c r="P143" s="2"/>
      <c r="R143" s="4"/>
    </row>
    <row r="144" ht="15.75" customHeight="1">
      <c r="O144" s="1"/>
      <c r="P144" s="2"/>
      <c r="R144" s="4"/>
    </row>
    <row r="145" ht="15.75" customHeight="1">
      <c r="O145" s="1"/>
      <c r="P145" s="2"/>
      <c r="R145" s="4"/>
    </row>
    <row r="146" ht="15.75" customHeight="1">
      <c r="O146" s="1"/>
      <c r="P146" s="2"/>
      <c r="R146" s="4"/>
    </row>
    <row r="147" ht="15.75" customHeight="1">
      <c r="O147" s="1"/>
      <c r="P147" s="2"/>
      <c r="R147" s="4"/>
    </row>
    <row r="148" ht="15.75" customHeight="1">
      <c r="O148" s="1"/>
      <c r="P148" s="2"/>
      <c r="R148" s="4"/>
    </row>
    <row r="149" ht="15.75" customHeight="1">
      <c r="O149" s="1"/>
      <c r="P149" s="2"/>
      <c r="R149" s="4"/>
    </row>
    <row r="150" ht="15.75" customHeight="1">
      <c r="O150" s="1"/>
      <c r="P150" s="2"/>
      <c r="R150" s="4"/>
    </row>
    <row r="151" ht="15.75" customHeight="1">
      <c r="O151" s="1"/>
      <c r="P151" s="2"/>
      <c r="R151" s="4"/>
    </row>
    <row r="152" ht="15.75" customHeight="1">
      <c r="O152" s="1"/>
      <c r="P152" s="2"/>
      <c r="R152" s="4"/>
    </row>
    <row r="153" ht="15.75" customHeight="1">
      <c r="O153" s="1"/>
      <c r="P153" s="2"/>
      <c r="R153" s="4"/>
    </row>
    <row r="154" ht="15.75" customHeight="1">
      <c r="O154" s="1"/>
      <c r="P154" s="2"/>
      <c r="R154" s="4"/>
    </row>
    <row r="155" ht="15.75" customHeight="1">
      <c r="O155" s="1"/>
      <c r="P155" s="2"/>
      <c r="R155" s="4"/>
    </row>
    <row r="156" ht="15.75" customHeight="1">
      <c r="O156" s="1"/>
      <c r="P156" s="2"/>
      <c r="R156" s="4"/>
    </row>
    <row r="157" ht="15.75" customHeight="1">
      <c r="O157" s="1"/>
      <c r="P157" s="2"/>
      <c r="R157" s="4"/>
    </row>
    <row r="158" ht="15.75" customHeight="1">
      <c r="O158" s="1"/>
      <c r="P158" s="2"/>
      <c r="R158" s="4"/>
    </row>
    <row r="159" ht="15.75" customHeight="1">
      <c r="O159" s="1"/>
      <c r="P159" s="2"/>
      <c r="R159" s="4"/>
    </row>
    <row r="160" ht="15.75" customHeight="1">
      <c r="O160" s="1"/>
      <c r="P160" s="2"/>
      <c r="R160" s="4"/>
    </row>
    <row r="161" ht="15.75" customHeight="1">
      <c r="O161" s="1"/>
      <c r="P161" s="2"/>
      <c r="R161" s="4"/>
    </row>
    <row r="162" ht="15.75" customHeight="1">
      <c r="O162" s="1"/>
      <c r="P162" s="2"/>
      <c r="R162" s="4"/>
    </row>
    <row r="163" ht="15.75" customHeight="1">
      <c r="O163" s="1"/>
      <c r="P163" s="2"/>
      <c r="R163" s="4"/>
    </row>
    <row r="164" ht="15.75" customHeight="1">
      <c r="O164" s="1"/>
      <c r="P164" s="2"/>
      <c r="R164" s="4"/>
    </row>
    <row r="165" ht="15.75" customHeight="1">
      <c r="O165" s="1"/>
      <c r="P165" s="2"/>
      <c r="R165" s="4"/>
    </row>
    <row r="166" ht="15.75" customHeight="1">
      <c r="O166" s="1"/>
      <c r="P166" s="2"/>
      <c r="R166" s="4"/>
    </row>
    <row r="167" ht="15.75" customHeight="1">
      <c r="O167" s="1"/>
      <c r="P167" s="2"/>
      <c r="R167" s="4"/>
    </row>
    <row r="168" ht="15.75" customHeight="1">
      <c r="O168" s="1"/>
      <c r="P168" s="2"/>
      <c r="R168" s="4"/>
    </row>
    <row r="169" ht="15.75" customHeight="1">
      <c r="O169" s="1"/>
      <c r="P169" s="2"/>
      <c r="R169" s="4"/>
    </row>
    <row r="170" ht="15.75" customHeight="1">
      <c r="O170" s="1"/>
      <c r="P170" s="2"/>
      <c r="R170" s="4"/>
    </row>
    <row r="171" ht="15.75" customHeight="1">
      <c r="O171" s="1"/>
      <c r="P171" s="2"/>
      <c r="R171" s="4"/>
    </row>
    <row r="172" ht="15.75" customHeight="1">
      <c r="O172" s="1"/>
      <c r="P172" s="2"/>
      <c r="R172" s="4"/>
    </row>
    <row r="173" ht="15.75" customHeight="1">
      <c r="O173" s="1"/>
      <c r="P173" s="2"/>
      <c r="R173" s="4"/>
    </row>
    <row r="174" ht="15.75" customHeight="1">
      <c r="O174" s="1"/>
      <c r="P174" s="2"/>
      <c r="R174" s="4"/>
    </row>
    <row r="175" ht="15.75" customHeight="1">
      <c r="O175" s="1"/>
      <c r="P175" s="2"/>
      <c r="R175" s="4"/>
    </row>
    <row r="176" ht="15.75" customHeight="1">
      <c r="O176" s="1"/>
      <c r="P176" s="2"/>
      <c r="R176" s="4"/>
    </row>
    <row r="177" ht="15.75" customHeight="1">
      <c r="O177" s="1"/>
      <c r="P177" s="2"/>
      <c r="R177" s="4"/>
    </row>
    <row r="178" ht="15.75" customHeight="1">
      <c r="O178" s="1"/>
      <c r="P178" s="2"/>
      <c r="R178" s="4"/>
    </row>
    <row r="179" ht="15.75" customHeight="1">
      <c r="O179" s="1"/>
      <c r="P179" s="2"/>
      <c r="R179" s="4"/>
    </row>
    <row r="180" ht="15.75" customHeight="1">
      <c r="O180" s="1"/>
      <c r="P180" s="2"/>
      <c r="R180" s="4"/>
    </row>
    <row r="181" ht="15.75" customHeight="1">
      <c r="O181" s="1"/>
      <c r="P181" s="2"/>
      <c r="R181" s="4"/>
    </row>
    <row r="182" ht="15.75" customHeight="1">
      <c r="O182" s="1"/>
      <c r="P182" s="2"/>
      <c r="R182" s="4"/>
    </row>
    <row r="183" ht="15.75" customHeight="1">
      <c r="O183" s="1"/>
      <c r="P183" s="2"/>
      <c r="R183" s="4"/>
    </row>
    <row r="184" ht="15.75" customHeight="1">
      <c r="O184" s="1"/>
      <c r="P184" s="2"/>
      <c r="R184" s="4"/>
    </row>
    <row r="185" ht="15.75" customHeight="1">
      <c r="O185" s="1"/>
      <c r="P185" s="2"/>
      <c r="R185" s="4"/>
    </row>
    <row r="186" ht="15.75" customHeight="1">
      <c r="O186" s="1"/>
      <c r="P186" s="2"/>
      <c r="R186" s="4"/>
    </row>
    <row r="187" ht="15.75" customHeight="1">
      <c r="O187" s="1"/>
      <c r="P187" s="2"/>
      <c r="R187" s="4"/>
    </row>
    <row r="188" ht="15.75" customHeight="1">
      <c r="O188" s="1"/>
      <c r="P188" s="2"/>
      <c r="R188" s="4"/>
    </row>
    <row r="189" ht="15.75" customHeight="1">
      <c r="O189" s="1"/>
      <c r="P189" s="2"/>
      <c r="R189" s="4"/>
    </row>
    <row r="190" ht="15.75" customHeight="1">
      <c r="O190" s="1"/>
      <c r="P190" s="2"/>
      <c r="R190" s="4"/>
    </row>
    <row r="191" ht="15.75" customHeight="1">
      <c r="O191" s="1"/>
      <c r="P191" s="2"/>
      <c r="R191" s="4"/>
    </row>
    <row r="192" ht="15.75" customHeight="1">
      <c r="O192" s="1"/>
      <c r="P192" s="2"/>
      <c r="R192" s="4"/>
    </row>
    <row r="193" ht="15.75" customHeight="1">
      <c r="O193" s="1"/>
      <c r="P193" s="2"/>
      <c r="R193" s="4"/>
    </row>
    <row r="194" ht="15.75" customHeight="1">
      <c r="O194" s="1"/>
      <c r="P194" s="2"/>
      <c r="R194" s="4"/>
    </row>
    <row r="195" ht="15.75" customHeight="1">
      <c r="O195" s="1"/>
      <c r="P195" s="2"/>
      <c r="R195" s="4"/>
    </row>
    <row r="196" ht="15.75" customHeight="1">
      <c r="O196" s="1"/>
      <c r="P196" s="2"/>
      <c r="R196" s="4"/>
    </row>
    <row r="197" ht="15.75" customHeight="1">
      <c r="O197" s="1"/>
      <c r="P197" s="2"/>
      <c r="R197" s="4"/>
    </row>
    <row r="198" ht="15.75" customHeight="1">
      <c r="O198" s="1"/>
      <c r="P198" s="2"/>
      <c r="R198" s="4"/>
    </row>
    <row r="199" ht="15.75" customHeight="1">
      <c r="O199" s="1"/>
      <c r="P199" s="2"/>
      <c r="R199" s="4"/>
    </row>
    <row r="200" ht="15.75" customHeight="1">
      <c r="O200" s="1"/>
      <c r="P200" s="2"/>
      <c r="R200" s="4"/>
    </row>
    <row r="201" ht="15.75" customHeight="1">
      <c r="O201" s="1"/>
      <c r="P201" s="2"/>
      <c r="R201" s="4"/>
    </row>
    <row r="202" ht="15.75" customHeight="1">
      <c r="O202" s="1"/>
      <c r="P202" s="2"/>
      <c r="R202" s="4"/>
    </row>
    <row r="203" ht="15.75" customHeight="1">
      <c r="O203" s="1"/>
      <c r="P203" s="2"/>
      <c r="R203" s="4"/>
    </row>
    <row r="204" ht="15.75" customHeight="1">
      <c r="O204" s="1"/>
      <c r="P204" s="2"/>
      <c r="R204" s="4"/>
    </row>
    <row r="205" ht="15.75" customHeight="1">
      <c r="O205" s="1"/>
      <c r="P205" s="2"/>
      <c r="R205" s="4"/>
    </row>
    <row r="206" ht="15.75" customHeight="1">
      <c r="O206" s="1"/>
      <c r="P206" s="2"/>
      <c r="R206" s="4"/>
    </row>
    <row r="207" ht="15.75" customHeight="1">
      <c r="O207" s="1"/>
      <c r="P207" s="2"/>
      <c r="R207" s="4"/>
    </row>
    <row r="208" ht="15.75" customHeight="1">
      <c r="O208" s="1"/>
      <c r="P208" s="2"/>
      <c r="R208" s="4"/>
    </row>
    <row r="209" ht="15.75" customHeight="1">
      <c r="O209" s="1"/>
      <c r="P209" s="2"/>
      <c r="R209" s="4"/>
    </row>
    <row r="210" ht="15.75" customHeight="1">
      <c r="O210" s="1"/>
      <c r="P210" s="2"/>
      <c r="R210" s="4"/>
    </row>
    <row r="211" ht="15.75" customHeight="1">
      <c r="O211" s="1"/>
      <c r="P211" s="2"/>
      <c r="R211" s="4"/>
    </row>
    <row r="212" ht="15.75" customHeight="1">
      <c r="O212" s="1"/>
      <c r="P212" s="2"/>
      <c r="R212" s="4"/>
    </row>
    <row r="213" ht="15.75" customHeight="1">
      <c r="O213" s="1"/>
      <c r="P213" s="2"/>
      <c r="R213" s="4"/>
    </row>
    <row r="214" ht="15.75" customHeight="1">
      <c r="O214" s="1"/>
      <c r="P214" s="2"/>
      <c r="R214" s="4"/>
    </row>
    <row r="215" ht="15.75" customHeight="1">
      <c r="O215" s="1"/>
      <c r="P215" s="2"/>
      <c r="R215" s="4"/>
    </row>
    <row r="216" ht="15.75" customHeight="1">
      <c r="O216" s="1"/>
      <c r="P216" s="2"/>
      <c r="R216" s="4"/>
    </row>
    <row r="217" ht="15.75" customHeight="1">
      <c r="O217" s="1"/>
      <c r="P217" s="2"/>
      <c r="R217" s="4"/>
    </row>
    <row r="218" ht="15.75" customHeight="1">
      <c r="O218" s="1"/>
      <c r="P218" s="2"/>
      <c r="R218" s="4"/>
    </row>
    <row r="219" ht="15.75" customHeight="1">
      <c r="O219" s="1"/>
      <c r="P219" s="2"/>
      <c r="R219" s="4"/>
    </row>
    <row r="220" ht="15.75" customHeight="1">
      <c r="O220" s="1"/>
      <c r="P220" s="2"/>
      <c r="R220" s="4"/>
    </row>
    <row r="221" ht="15.75" customHeight="1">
      <c r="O221" s="1"/>
      <c r="P221" s="2"/>
      <c r="R221" s="4"/>
    </row>
    <row r="222" ht="15.75" customHeight="1">
      <c r="O222" s="1"/>
      <c r="P222" s="2"/>
      <c r="R222" s="4"/>
    </row>
    <row r="223" ht="15.75" customHeight="1">
      <c r="O223" s="1"/>
      <c r="P223" s="2"/>
      <c r="R223" s="4"/>
    </row>
    <row r="224" ht="15.75" customHeight="1">
      <c r="O224" s="1"/>
      <c r="P224" s="2"/>
      <c r="R224" s="4"/>
    </row>
    <row r="225" ht="15.75" customHeight="1">
      <c r="O225" s="1"/>
      <c r="P225" s="2"/>
      <c r="R225" s="4"/>
    </row>
    <row r="226" ht="15.75" customHeight="1">
      <c r="O226" s="1"/>
      <c r="P226" s="2"/>
      <c r="R226" s="4"/>
    </row>
    <row r="227" ht="15.75" customHeight="1">
      <c r="O227" s="1"/>
      <c r="P227" s="2"/>
      <c r="R227" s="4"/>
    </row>
    <row r="228" ht="15.75" customHeight="1">
      <c r="O228" s="1"/>
      <c r="P228" s="2"/>
      <c r="R228" s="4"/>
    </row>
    <row r="229" ht="15.75" customHeight="1">
      <c r="O229" s="1"/>
      <c r="P229" s="2"/>
      <c r="R229" s="4"/>
    </row>
    <row r="230" ht="15.75" customHeight="1">
      <c r="O230" s="1"/>
      <c r="P230" s="2"/>
      <c r="R230" s="4"/>
    </row>
    <row r="231" ht="15.75" customHeight="1">
      <c r="O231" s="1"/>
      <c r="P231" s="2"/>
      <c r="R231" s="4"/>
    </row>
    <row r="232" ht="15.75" customHeight="1">
      <c r="O232" s="1"/>
      <c r="P232" s="2"/>
      <c r="R232" s="4"/>
    </row>
    <row r="233" ht="15.75" customHeight="1">
      <c r="O233" s="1"/>
      <c r="P233" s="2"/>
      <c r="R233" s="4"/>
    </row>
    <row r="234" ht="15.75" customHeight="1">
      <c r="O234" s="1"/>
      <c r="P234" s="2"/>
      <c r="R234" s="4"/>
    </row>
    <row r="235" ht="15.75" customHeight="1">
      <c r="O235" s="1"/>
      <c r="P235" s="2"/>
      <c r="R235" s="4"/>
    </row>
    <row r="236" ht="15.75" customHeight="1">
      <c r="O236" s="1"/>
      <c r="P236" s="2"/>
      <c r="R236" s="4"/>
    </row>
    <row r="237" ht="15.75" customHeight="1">
      <c r="O237" s="1"/>
      <c r="P237" s="2"/>
      <c r="R237" s="4"/>
    </row>
    <row r="238" ht="15.75" customHeight="1">
      <c r="O238" s="1"/>
      <c r="P238" s="2"/>
      <c r="R238" s="4"/>
    </row>
    <row r="239" ht="15.75" customHeight="1">
      <c r="O239" s="1"/>
      <c r="P239" s="2"/>
      <c r="R239" s="4"/>
    </row>
    <row r="240" ht="15.75" customHeight="1">
      <c r="O240" s="1"/>
      <c r="P240" s="2"/>
      <c r="R240" s="4"/>
    </row>
    <row r="241" ht="15.75" customHeight="1">
      <c r="O241" s="1"/>
      <c r="P241" s="2"/>
      <c r="R241" s="4"/>
    </row>
    <row r="242" ht="15.75" customHeight="1">
      <c r="O242" s="1"/>
      <c r="P242" s="2"/>
      <c r="R242" s="4"/>
    </row>
    <row r="243" ht="15.75" customHeight="1">
      <c r="O243" s="1"/>
      <c r="P243" s="2"/>
      <c r="R243" s="4"/>
    </row>
    <row r="244" ht="15.75" customHeight="1">
      <c r="O244" s="1"/>
      <c r="P244" s="2"/>
      <c r="R244" s="4"/>
    </row>
    <row r="245" ht="15.75" customHeight="1">
      <c r="O245" s="1"/>
      <c r="P245" s="2"/>
      <c r="R245" s="4"/>
    </row>
    <row r="246" ht="15.75" customHeight="1">
      <c r="O246" s="1"/>
      <c r="P246" s="2"/>
      <c r="R246" s="4"/>
    </row>
    <row r="247" ht="15.75" customHeight="1">
      <c r="O247" s="1"/>
      <c r="P247" s="2"/>
      <c r="R247" s="4"/>
    </row>
    <row r="248" ht="15.75" customHeight="1">
      <c r="O248" s="1"/>
      <c r="P248" s="2"/>
      <c r="R248" s="4"/>
    </row>
    <row r="249" ht="15.75" customHeight="1">
      <c r="O249" s="1"/>
      <c r="P249" s="2"/>
      <c r="R249" s="4"/>
    </row>
    <row r="250" ht="15.75" customHeight="1">
      <c r="O250" s="1"/>
      <c r="P250" s="2"/>
      <c r="R250" s="4"/>
    </row>
    <row r="251" ht="15.75" customHeight="1">
      <c r="O251" s="1"/>
      <c r="P251" s="2"/>
      <c r="R251" s="4"/>
    </row>
    <row r="252" ht="15.75" customHeight="1">
      <c r="O252" s="1"/>
      <c r="P252" s="2"/>
      <c r="R252" s="4"/>
    </row>
    <row r="253" ht="15.75" customHeight="1">
      <c r="O253" s="1"/>
      <c r="P253" s="2"/>
      <c r="R253" s="4"/>
    </row>
    <row r="254" ht="15.75" customHeight="1">
      <c r="O254" s="1"/>
      <c r="P254" s="2"/>
      <c r="R254" s="4"/>
    </row>
    <row r="255" ht="15.75" customHeight="1">
      <c r="O255" s="1"/>
      <c r="P255" s="2"/>
      <c r="R255" s="4"/>
    </row>
    <row r="256" ht="15.75" customHeight="1">
      <c r="O256" s="1"/>
      <c r="P256" s="2"/>
      <c r="R256" s="4"/>
    </row>
    <row r="257" ht="15.75" customHeight="1">
      <c r="O257" s="1"/>
      <c r="P257" s="2"/>
      <c r="R257" s="4"/>
    </row>
    <row r="258" ht="15.75" customHeight="1">
      <c r="O258" s="1"/>
      <c r="P258" s="2"/>
      <c r="R258" s="4"/>
    </row>
    <row r="259" ht="15.75" customHeight="1">
      <c r="O259" s="1"/>
      <c r="P259" s="2"/>
      <c r="R259" s="4"/>
    </row>
    <row r="260" ht="15.75" customHeight="1">
      <c r="O260" s="1"/>
      <c r="P260" s="2"/>
      <c r="R260" s="4"/>
    </row>
    <row r="261" ht="15.75" customHeight="1">
      <c r="O261" s="1"/>
      <c r="P261" s="2"/>
      <c r="R261" s="4"/>
    </row>
    <row r="262" ht="15.75" customHeight="1">
      <c r="O262" s="1"/>
      <c r="P262" s="2"/>
      <c r="R262" s="4"/>
    </row>
    <row r="263" ht="15.75" customHeight="1">
      <c r="O263" s="1"/>
      <c r="P263" s="2"/>
      <c r="R263" s="4"/>
    </row>
    <row r="264" ht="15.75" customHeight="1">
      <c r="O264" s="1"/>
      <c r="P264" s="2"/>
      <c r="R264" s="4"/>
    </row>
    <row r="265" ht="15.75" customHeight="1">
      <c r="O265" s="1"/>
      <c r="P265" s="2"/>
      <c r="R265" s="4"/>
    </row>
    <row r="266" ht="15.75" customHeight="1">
      <c r="O266" s="1"/>
      <c r="P266" s="2"/>
      <c r="R266" s="4"/>
    </row>
    <row r="267" ht="15.75" customHeight="1">
      <c r="O267" s="1"/>
      <c r="P267" s="2"/>
      <c r="R267" s="4"/>
    </row>
    <row r="268" ht="15.75" customHeight="1">
      <c r="O268" s="1"/>
      <c r="P268" s="2"/>
      <c r="R268" s="4"/>
    </row>
    <row r="269" ht="15.75" customHeight="1">
      <c r="O269" s="1"/>
      <c r="P269" s="2"/>
      <c r="R269" s="4"/>
    </row>
    <row r="270" ht="15.75" customHeight="1">
      <c r="O270" s="1"/>
      <c r="P270" s="2"/>
      <c r="R270" s="4"/>
    </row>
    <row r="271" ht="15.75" customHeight="1">
      <c r="O271" s="1"/>
      <c r="P271" s="2"/>
      <c r="R271" s="4"/>
    </row>
    <row r="272" ht="15.75" customHeight="1">
      <c r="O272" s="1"/>
      <c r="P272" s="2"/>
      <c r="R272" s="4"/>
    </row>
    <row r="273" ht="15.75" customHeight="1">
      <c r="O273" s="1"/>
      <c r="P273" s="2"/>
      <c r="R273" s="4"/>
    </row>
    <row r="274" ht="15.75" customHeight="1">
      <c r="O274" s="1"/>
      <c r="P274" s="2"/>
      <c r="R274" s="4"/>
    </row>
    <row r="275" ht="15.75" customHeight="1">
      <c r="O275" s="1"/>
      <c r="P275" s="2"/>
      <c r="R275" s="4"/>
    </row>
    <row r="276" ht="15.75" customHeight="1">
      <c r="O276" s="1"/>
      <c r="P276" s="2"/>
      <c r="R276" s="4"/>
    </row>
    <row r="277" ht="15.75" customHeight="1">
      <c r="O277" s="1"/>
      <c r="P277" s="2"/>
      <c r="R277" s="4"/>
    </row>
    <row r="278" ht="15.75" customHeight="1">
      <c r="O278" s="1"/>
      <c r="P278" s="2"/>
      <c r="R278" s="4"/>
    </row>
    <row r="279" ht="15.75" customHeight="1">
      <c r="O279" s="1"/>
      <c r="P279" s="2"/>
      <c r="R279" s="4"/>
    </row>
    <row r="280" ht="15.75" customHeight="1">
      <c r="O280" s="1"/>
      <c r="P280" s="2"/>
      <c r="R280" s="4"/>
    </row>
    <row r="281" ht="15.75" customHeight="1">
      <c r="O281" s="1"/>
      <c r="P281" s="2"/>
      <c r="R281" s="4"/>
    </row>
    <row r="282" ht="15.75" customHeight="1">
      <c r="O282" s="1"/>
      <c r="P282" s="2"/>
      <c r="R282" s="4"/>
    </row>
    <row r="283" ht="15.75" customHeight="1">
      <c r="O283" s="1"/>
      <c r="P283" s="2"/>
      <c r="R283" s="4"/>
    </row>
    <row r="284" ht="15.75" customHeight="1">
      <c r="O284" s="1"/>
      <c r="P284" s="2"/>
      <c r="R284" s="4"/>
    </row>
    <row r="285" ht="15.75" customHeight="1">
      <c r="O285" s="1"/>
      <c r="P285" s="2"/>
      <c r="R285" s="4"/>
    </row>
    <row r="286" ht="15.75" customHeight="1">
      <c r="O286" s="1"/>
      <c r="P286" s="2"/>
      <c r="R286" s="4"/>
    </row>
    <row r="287" ht="15.75" customHeight="1">
      <c r="O287" s="1"/>
      <c r="P287" s="2"/>
      <c r="R287" s="4"/>
    </row>
    <row r="288" ht="15.75" customHeight="1">
      <c r="O288" s="1"/>
      <c r="P288" s="2"/>
      <c r="R288" s="4"/>
    </row>
    <row r="289" ht="15.75" customHeight="1">
      <c r="O289" s="1"/>
      <c r="P289" s="2"/>
      <c r="R289" s="4"/>
    </row>
    <row r="290" ht="15.75" customHeight="1">
      <c r="O290" s="1"/>
      <c r="P290" s="2"/>
      <c r="R290" s="4"/>
    </row>
    <row r="291" ht="15.75" customHeight="1">
      <c r="O291" s="1"/>
      <c r="P291" s="2"/>
      <c r="R291" s="4"/>
    </row>
    <row r="292" ht="15.75" customHeight="1">
      <c r="O292" s="1"/>
      <c r="P292" s="2"/>
      <c r="R292" s="4"/>
    </row>
    <row r="293" ht="15.75" customHeight="1">
      <c r="O293" s="1"/>
      <c r="P293" s="2"/>
      <c r="R293" s="4"/>
    </row>
    <row r="294" ht="15.75" customHeight="1">
      <c r="O294" s="1"/>
      <c r="P294" s="2"/>
      <c r="R294" s="4"/>
    </row>
    <row r="295" ht="15.75" customHeight="1">
      <c r="O295" s="1"/>
      <c r="P295" s="2"/>
      <c r="R295" s="4"/>
    </row>
    <row r="296" ht="15.75" customHeight="1">
      <c r="O296" s="1"/>
      <c r="P296" s="2"/>
      <c r="R296" s="4"/>
    </row>
    <row r="297" ht="15.75" customHeight="1">
      <c r="O297" s="1"/>
      <c r="P297" s="2"/>
      <c r="R297" s="4"/>
    </row>
    <row r="298" ht="15.75" customHeight="1">
      <c r="O298" s="1"/>
      <c r="P298" s="2"/>
      <c r="R298" s="4"/>
    </row>
    <row r="299" ht="15.75" customHeight="1">
      <c r="O299" s="1"/>
      <c r="P299" s="2"/>
      <c r="R299" s="4"/>
    </row>
    <row r="300" ht="15.75" customHeight="1">
      <c r="O300" s="1"/>
      <c r="P300" s="2"/>
      <c r="R300" s="4"/>
    </row>
    <row r="301" ht="15.75" customHeight="1">
      <c r="O301" s="1"/>
      <c r="P301" s="2"/>
      <c r="R301" s="4"/>
    </row>
    <row r="302" ht="15.75" customHeight="1">
      <c r="O302" s="1"/>
      <c r="P302" s="2"/>
      <c r="R302" s="4"/>
    </row>
    <row r="303" ht="15.75" customHeight="1">
      <c r="O303" s="1"/>
      <c r="P303" s="2"/>
      <c r="R303" s="4"/>
    </row>
    <row r="304" ht="15.75" customHeight="1">
      <c r="O304" s="1"/>
      <c r="P304" s="2"/>
      <c r="R304" s="4"/>
    </row>
    <row r="305" ht="15.75" customHeight="1">
      <c r="O305" s="1"/>
      <c r="P305" s="2"/>
      <c r="R305" s="4"/>
    </row>
    <row r="306" ht="15.75" customHeight="1">
      <c r="O306" s="1"/>
      <c r="P306" s="2"/>
      <c r="R306" s="4"/>
    </row>
    <row r="307" ht="15.75" customHeight="1">
      <c r="O307" s="1"/>
      <c r="P307" s="2"/>
      <c r="R307" s="4"/>
    </row>
    <row r="308" ht="15.75" customHeight="1">
      <c r="O308" s="1"/>
      <c r="P308" s="2"/>
      <c r="R308" s="4"/>
    </row>
    <row r="309" ht="15.75" customHeight="1">
      <c r="O309" s="1"/>
      <c r="P309" s="2"/>
      <c r="R309" s="4"/>
    </row>
    <row r="310" ht="15.75" customHeight="1">
      <c r="O310" s="1"/>
      <c r="P310" s="2"/>
      <c r="R310" s="4"/>
    </row>
    <row r="311" ht="15.75" customHeight="1">
      <c r="O311" s="1"/>
      <c r="P311" s="2"/>
      <c r="R311" s="4"/>
    </row>
    <row r="312" ht="15.75" customHeight="1">
      <c r="O312" s="1"/>
      <c r="P312" s="2"/>
      <c r="R312" s="4"/>
    </row>
    <row r="313" ht="15.75" customHeight="1">
      <c r="O313" s="1"/>
      <c r="P313" s="2"/>
      <c r="R313" s="4"/>
    </row>
    <row r="314" ht="15.75" customHeight="1">
      <c r="O314" s="1"/>
      <c r="P314" s="2"/>
      <c r="R314" s="4"/>
    </row>
    <row r="315" ht="15.75" customHeight="1">
      <c r="O315" s="1"/>
      <c r="P315" s="2"/>
      <c r="R315" s="4"/>
    </row>
    <row r="316" ht="15.75" customHeight="1">
      <c r="O316" s="1"/>
      <c r="P316" s="2"/>
      <c r="R316" s="4"/>
    </row>
    <row r="317" ht="15.75" customHeight="1">
      <c r="O317" s="1"/>
      <c r="P317" s="2"/>
      <c r="R317" s="4"/>
    </row>
    <row r="318" ht="15.75" customHeight="1">
      <c r="O318" s="1"/>
      <c r="P318" s="2"/>
      <c r="R318" s="4"/>
    </row>
    <row r="319" ht="15.75" customHeight="1">
      <c r="O319" s="1"/>
      <c r="P319" s="2"/>
      <c r="R319" s="4"/>
    </row>
    <row r="320" ht="15.75" customHeight="1">
      <c r="O320" s="1"/>
      <c r="P320" s="2"/>
      <c r="R320" s="4"/>
    </row>
    <row r="321" ht="15.75" customHeight="1">
      <c r="O321" s="1"/>
      <c r="P321" s="2"/>
      <c r="R321" s="4"/>
    </row>
    <row r="322" ht="15.75" customHeight="1">
      <c r="O322" s="1"/>
      <c r="P322" s="2"/>
      <c r="R322" s="4"/>
    </row>
    <row r="323" ht="15.75" customHeight="1">
      <c r="O323" s="1"/>
      <c r="P323" s="2"/>
      <c r="R323" s="4"/>
    </row>
    <row r="324" ht="15.75" customHeight="1">
      <c r="O324" s="1"/>
      <c r="P324" s="2"/>
      <c r="R324" s="4"/>
    </row>
    <row r="325" ht="15.75" customHeight="1">
      <c r="O325" s="1"/>
      <c r="P325" s="2"/>
      <c r="R325" s="4"/>
    </row>
    <row r="326" ht="15.75" customHeight="1">
      <c r="O326" s="1"/>
      <c r="P326" s="2"/>
      <c r="R326" s="4"/>
    </row>
    <row r="327" ht="15.75" customHeight="1">
      <c r="O327" s="1"/>
      <c r="P327" s="2"/>
      <c r="R327" s="4"/>
    </row>
    <row r="328" ht="15.75" customHeight="1">
      <c r="O328" s="1"/>
      <c r="P328" s="2"/>
      <c r="R328" s="4"/>
    </row>
    <row r="329" ht="15.75" customHeight="1">
      <c r="O329" s="1"/>
      <c r="P329" s="2"/>
      <c r="R329" s="4"/>
    </row>
    <row r="330" ht="15.75" customHeight="1">
      <c r="O330" s="1"/>
      <c r="P330" s="2"/>
      <c r="R330" s="4"/>
    </row>
    <row r="331" ht="15.75" customHeight="1">
      <c r="O331" s="1"/>
      <c r="P331" s="2"/>
      <c r="R331" s="4"/>
    </row>
    <row r="332" ht="15.75" customHeight="1">
      <c r="O332" s="1"/>
      <c r="P332" s="2"/>
      <c r="R332" s="4"/>
    </row>
    <row r="333" ht="15.75" customHeight="1">
      <c r="O333" s="1"/>
      <c r="P333" s="2"/>
      <c r="R333" s="4"/>
    </row>
    <row r="334" ht="15.75" customHeight="1">
      <c r="O334" s="1"/>
      <c r="P334" s="2"/>
      <c r="R334" s="4"/>
    </row>
    <row r="335" ht="15.75" customHeight="1">
      <c r="O335" s="1"/>
      <c r="P335" s="2"/>
      <c r="R335" s="4"/>
    </row>
    <row r="336" ht="15.75" customHeight="1">
      <c r="O336" s="1"/>
      <c r="P336" s="2"/>
      <c r="R336" s="4"/>
    </row>
    <row r="337" ht="15.75" customHeight="1">
      <c r="O337" s="1"/>
      <c r="P337" s="2"/>
      <c r="R337" s="4"/>
    </row>
    <row r="338" ht="15.75" customHeight="1">
      <c r="O338" s="1"/>
      <c r="P338" s="2"/>
      <c r="R338" s="4"/>
    </row>
    <row r="339" ht="15.75" customHeight="1">
      <c r="O339" s="1"/>
      <c r="P339" s="2"/>
      <c r="R339" s="4"/>
    </row>
    <row r="340" ht="15.75" customHeight="1">
      <c r="O340" s="1"/>
      <c r="P340" s="2"/>
      <c r="R340" s="4"/>
    </row>
    <row r="341" ht="15.75" customHeight="1">
      <c r="O341" s="1"/>
      <c r="P341" s="2"/>
      <c r="R341" s="4"/>
    </row>
    <row r="342" ht="15.75" customHeight="1">
      <c r="O342" s="1"/>
      <c r="P342" s="2"/>
      <c r="R342" s="4"/>
    </row>
    <row r="343" ht="15.75" customHeight="1">
      <c r="O343" s="1"/>
      <c r="P343" s="2"/>
      <c r="R343" s="4"/>
    </row>
    <row r="344" ht="15.75" customHeight="1">
      <c r="O344" s="1"/>
      <c r="P344" s="2"/>
      <c r="R344" s="4"/>
    </row>
    <row r="345" ht="15.75" customHeight="1">
      <c r="O345" s="1"/>
      <c r="P345" s="2"/>
      <c r="R345" s="4"/>
    </row>
    <row r="346" ht="15.75" customHeight="1">
      <c r="O346" s="1"/>
      <c r="P346" s="2"/>
      <c r="R346" s="4"/>
    </row>
    <row r="347" ht="15.75" customHeight="1">
      <c r="O347" s="1"/>
      <c r="P347" s="2"/>
      <c r="R347" s="4"/>
    </row>
    <row r="348" ht="15.75" customHeight="1">
      <c r="O348" s="1"/>
      <c r="P348" s="2"/>
      <c r="R348" s="4"/>
    </row>
    <row r="349" ht="15.75" customHeight="1">
      <c r="O349" s="1"/>
      <c r="P349" s="2"/>
      <c r="R349" s="4"/>
    </row>
    <row r="350" ht="15.75" customHeight="1">
      <c r="O350" s="1"/>
      <c r="P350" s="2"/>
      <c r="R350" s="4"/>
    </row>
    <row r="351" ht="15.75" customHeight="1">
      <c r="O351" s="1"/>
      <c r="P351" s="2"/>
      <c r="R351" s="4"/>
    </row>
    <row r="352" ht="15.75" customHeight="1">
      <c r="O352" s="1"/>
      <c r="P352" s="2"/>
      <c r="R352" s="4"/>
    </row>
    <row r="353" ht="15.75" customHeight="1">
      <c r="O353" s="1"/>
      <c r="P353" s="2"/>
      <c r="R353" s="4"/>
    </row>
    <row r="354" ht="15.75" customHeight="1">
      <c r="O354" s="1"/>
      <c r="P354" s="2"/>
      <c r="R354" s="4"/>
    </row>
    <row r="355" ht="15.75" customHeight="1">
      <c r="O355" s="1"/>
      <c r="P355" s="2"/>
      <c r="R355" s="4"/>
    </row>
    <row r="356" ht="15.75" customHeight="1">
      <c r="O356" s="1"/>
      <c r="P356" s="2"/>
      <c r="R356" s="4"/>
    </row>
    <row r="357" ht="15.75" customHeight="1">
      <c r="O357" s="1"/>
      <c r="P357" s="2"/>
      <c r="R357" s="4"/>
    </row>
    <row r="358" ht="15.75" customHeight="1">
      <c r="O358" s="1"/>
      <c r="P358" s="2"/>
      <c r="R358" s="4"/>
    </row>
    <row r="359" ht="15.75" customHeight="1">
      <c r="O359" s="1"/>
      <c r="P359" s="2"/>
      <c r="R359" s="4"/>
    </row>
    <row r="360" ht="15.75" customHeight="1">
      <c r="O360" s="1"/>
      <c r="P360" s="2"/>
      <c r="R360" s="4"/>
    </row>
    <row r="361" ht="15.75" customHeight="1">
      <c r="O361" s="1"/>
      <c r="P361" s="2"/>
      <c r="R361" s="4"/>
    </row>
    <row r="362" ht="15.75" customHeight="1">
      <c r="O362" s="1"/>
      <c r="P362" s="2"/>
      <c r="R362" s="4"/>
    </row>
    <row r="363" ht="15.75" customHeight="1">
      <c r="O363" s="1"/>
      <c r="P363" s="2"/>
      <c r="R363" s="4"/>
    </row>
    <row r="364" ht="15.75" customHeight="1">
      <c r="O364" s="1"/>
      <c r="P364" s="2"/>
      <c r="R364" s="4"/>
    </row>
    <row r="365" ht="15.75" customHeight="1">
      <c r="O365" s="1"/>
      <c r="P365" s="2"/>
      <c r="R365" s="4"/>
    </row>
    <row r="366" ht="15.75" customHeight="1">
      <c r="O366" s="1"/>
      <c r="P366" s="2"/>
      <c r="R366" s="4"/>
    </row>
    <row r="367" ht="15.75" customHeight="1">
      <c r="O367" s="1"/>
      <c r="P367" s="2"/>
      <c r="R367" s="4"/>
    </row>
    <row r="368" ht="15.75" customHeight="1">
      <c r="O368" s="1"/>
      <c r="P368" s="2"/>
      <c r="R368" s="4"/>
    </row>
    <row r="369" ht="15.75" customHeight="1">
      <c r="O369" s="1"/>
      <c r="P369" s="2"/>
      <c r="R369" s="4"/>
    </row>
    <row r="370" ht="15.75" customHeight="1">
      <c r="O370" s="1"/>
      <c r="P370" s="2"/>
      <c r="R370" s="4"/>
    </row>
    <row r="371" ht="15.75" customHeight="1">
      <c r="O371" s="1"/>
      <c r="P371" s="2"/>
      <c r="R371" s="4"/>
    </row>
    <row r="372" ht="15.75" customHeight="1">
      <c r="O372" s="1"/>
      <c r="P372" s="2"/>
      <c r="R372" s="4"/>
    </row>
    <row r="373" ht="15.75" customHeight="1">
      <c r="O373" s="1"/>
      <c r="P373" s="2"/>
      <c r="R373" s="4"/>
    </row>
    <row r="374" ht="15.75" customHeight="1">
      <c r="O374" s="1"/>
      <c r="P374" s="2"/>
      <c r="R374" s="4"/>
    </row>
    <row r="375" ht="15.75" customHeight="1">
      <c r="O375" s="1"/>
      <c r="P375" s="2"/>
      <c r="R375" s="4"/>
    </row>
    <row r="376" ht="15.75" customHeight="1">
      <c r="O376" s="1"/>
      <c r="P376" s="2"/>
      <c r="R376" s="4"/>
    </row>
    <row r="377" ht="15.75" customHeight="1">
      <c r="O377" s="1"/>
      <c r="P377" s="2"/>
      <c r="R377" s="4"/>
    </row>
    <row r="378" ht="15.75" customHeight="1">
      <c r="O378" s="1"/>
      <c r="P378" s="2"/>
      <c r="R378" s="4"/>
    </row>
    <row r="379" ht="15.75" customHeight="1">
      <c r="O379" s="1"/>
      <c r="P379" s="2"/>
      <c r="R379" s="4"/>
    </row>
    <row r="380" ht="15.75" customHeight="1">
      <c r="O380" s="1"/>
      <c r="P380" s="2"/>
      <c r="R380" s="4"/>
    </row>
    <row r="381" ht="15.75" customHeight="1">
      <c r="O381" s="1"/>
      <c r="P381" s="2"/>
      <c r="R381" s="4"/>
    </row>
    <row r="382" ht="15.75" customHeight="1">
      <c r="O382" s="1"/>
      <c r="P382" s="2"/>
      <c r="R382" s="4"/>
    </row>
    <row r="383" ht="15.75" customHeight="1">
      <c r="O383" s="1"/>
      <c r="P383" s="2"/>
      <c r="R383" s="4"/>
    </row>
    <row r="384" ht="15.75" customHeight="1">
      <c r="O384" s="1"/>
      <c r="P384" s="2"/>
      <c r="R384" s="4"/>
    </row>
    <row r="385" ht="15.75" customHeight="1">
      <c r="O385" s="1"/>
      <c r="P385" s="2"/>
      <c r="R385" s="4"/>
    </row>
    <row r="386" ht="15.75" customHeight="1">
      <c r="O386" s="1"/>
      <c r="P386" s="2"/>
      <c r="R386" s="4"/>
    </row>
    <row r="387" ht="15.75" customHeight="1">
      <c r="O387" s="1"/>
      <c r="P387" s="2"/>
      <c r="R387" s="4"/>
    </row>
    <row r="388" ht="15.75" customHeight="1">
      <c r="O388" s="1"/>
      <c r="P388" s="2"/>
      <c r="R388" s="4"/>
    </row>
    <row r="389" ht="15.75" customHeight="1">
      <c r="O389" s="1"/>
      <c r="P389" s="2"/>
      <c r="R389" s="4"/>
    </row>
    <row r="390" ht="15.75" customHeight="1">
      <c r="O390" s="1"/>
      <c r="P390" s="2"/>
      <c r="R390" s="4"/>
    </row>
    <row r="391" ht="15.75" customHeight="1">
      <c r="O391" s="1"/>
      <c r="P391" s="2"/>
      <c r="R391" s="4"/>
    </row>
    <row r="392" ht="15.75" customHeight="1">
      <c r="O392" s="1"/>
      <c r="P392" s="2"/>
      <c r="R392" s="4"/>
    </row>
    <row r="393" ht="15.75" customHeight="1">
      <c r="O393" s="1"/>
      <c r="P393" s="2"/>
      <c r="R393" s="4"/>
    </row>
    <row r="394" ht="15.75" customHeight="1">
      <c r="O394" s="1"/>
      <c r="P394" s="2"/>
      <c r="R394" s="4"/>
    </row>
    <row r="395" ht="15.75" customHeight="1">
      <c r="O395" s="1"/>
      <c r="P395" s="2"/>
      <c r="R395" s="4"/>
    </row>
    <row r="396" ht="15.75" customHeight="1">
      <c r="O396" s="1"/>
      <c r="P396" s="2"/>
      <c r="R396" s="4"/>
    </row>
    <row r="397" ht="15.75" customHeight="1">
      <c r="O397" s="1"/>
      <c r="P397" s="2"/>
      <c r="R397" s="4"/>
    </row>
    <row r="398" ht="15.75" customHeight="1">
      <c r="O398" s="1"/>
      <c r="P398" s="2"/>
      <c r="R398" s="4"/>
    </row>
    <row r="399" ht="15.75" customHeight="1">
      <c r="O399" s="1"/>
      <c r="P399" s="2"/>
      <c r="R399" s="4"/>
    </row>
    <row r="400" ht="15.75" customHeight="1">
      <c r="O400" s="1"/>
      <c r="P400" s="2"/>
      <c r="R400" s="4"/>
    </row>
    <row r="401" ht="15.75" customHeight="1">
      <c r="O401" s="1"/>
      <c r="P401" s="2"/>
      <c r="R401" s="4"/>
    </row>
    <row r="402" ht="15.75" customHeight="1">
      <c r="O402" s="1"/>
      <c r="P402" s="2"/>
      <c r="R402" s="4"/>
    </row>
    <row r="403" ht="15.75" customHeight="1">
      <c r="O403" s="1"/>
      <c r="P403" s="2"/>
      <c r="R403" s="4"/>
    </row>
    <row r="404" ht="15.75" customHeight="1">
      <c r="O404" s="1"/>
      <c r="P404" s="2"/>
      <c r="R404" s="4"/>
    </row>
    <row r="405" ht="15.75" customHeight="1">
      <c r="O405" s="1"/>
      <c r="P405" s="2"/>
      <c r="R405" s="4"/>
    </row>
    <row r="406" ht="15.75" customHeight="1">
      <c r="O406" s="1"/>
      <c r="P406" s="2"/>
      <c r="R406" s="4"/>
    </row>
    <row r="407" ht="15.75" customHeight="1">
      <c r="O407" s="1"/>
      <c r="P407" s="2"/>
      <c r="R407" s="4"/>
    </row>
    <row r="408" ht="15.75" customHeight="1">
      <c r="O408" s="1"/>
      <c r="P408" s="2"/>
      <c r="R408" s="4"/>
    </row>
    <row r="409" ht="15.75" customHeight="1">
      <c r="O409" s="1"/>
      <c r="P409" s="2"/>
      <c r="R409" s="4"/>
    </row>
    <row r="410" ht="15.75" customHeight="1">
      <c r="O410" s="1"/>
      <c r="P410" s="2"/>
      <c r="R410" s="4"/>
    </row>
    <row r="411" ht="15.75" customHeight="1">
      <c r="O411" s="1"/>
      <c r="P411" s="2"/>
      <c r="R411" s="4"/>
    </row>
    <row r="412" ht="15.75" customHeight="1">
      <c r="O412" s="1"/>
      <c r="P412" s="2"/>
      <c r="R412" s="4"/>
    </row>
    <row r="413" ht="15.75" customHeight="1">
      <c r="O413" s="1"/>
      <c r="P413" s="2"/>
      <c r="R413" s="4"/>
    </row>
    <row r="414" ht="15.75" customHeight="1">
      <c r="O414" s="1"/>
      <c r="P414" s="2"/>
      <c r="R414" s="4"/>
    </row>
    <row r="415" ht="15.75" customHeight="1">
      <c r="O415" s="1"/>
      <c r="P415" s="2"/>
      <c r="R415" s="4"/>
    </row>
    <row r="416" ht="15.75" customHeight="1">
      <c r="O416" s="1"/>
      <c r="P416" s="2"/>
      <c r="R416" s="4"/>
    </row>
    <row r="417" ht="15.75" customHeight="1">
      <c r="O417" s="1"/>
      <c r="P417" s="2"/>
      <c r="R417" s="4"/>
    </row>
    <row r="418" ht="15.75" customHeight="1">
      <c r="O418" s="1"/>
      <c r="P418" s="2"/>
      <c r="R418" s="4"/>
    </row>
    <row r="419" ht="15.75" customHeight="1">
      <c r="O419" s="1"/>
      <c r="P419" s="2"/>
      <c r="R419" s="4"/>
    </row>
    <row r="420" ht="15.75" customHeight="1">
      <c r="O420" s="1"/>
      <c r="P420" s="2"/>
      <c r="R420" s="4"/>
    </row>
    <row r="421" ht="15.75" customHeight="1">
      <c r="O421" s="1"/>
      <c r="P421" s="2"/>
      <c r="R421" s="4"/>
    </row>
    <row r="422" ht="15.75" customHeight="1">
      <c r="O422" s="1"/>
      <c r="P422" s="2"/>
      <c r="R422" s="4"/>
    </row>
    <row r="423" ht="15.75" customHeight="1">
      <c r="O423" s="1"/>
      <c r="P423" s="2"/>
      <c r="R423" s="4"/>
    </row>
    <row r="424" ht="15.75" customHeight="1">
      <c r="O424" s="1"/>
      <c r="P424" s="2"/>
      <c r="R424" s="4"/>
    </row>
    <row r="425" ht="15.75" customHeight="1">
      <c r="O425" s="1"/>
      <c r="P425" s="2"/>
      <c r="R425" s="4"/>
    </row>
    <row r="426" ht="15.75" customHeight="1">
      <c r="O426" s="1"/>
      <c r="P426" s="2"/>
      <c r="R426" s="4"/>
    </row>
    <row r="427" ht="15.75" customHeight="1">
      <c r="O427" s="1"/>
      <c r="P427" s="2"/>
      <c r="R427" s="4"/>
    </row>
    <row r="428" ht="15.75" customHeight="1">
      <c r="O428" s="1"/>
      <c r="P428" s="2"/>
      <c r="R428" s="4"/>
    </row>
    <row r="429" ht="15.75" customHeight="1">
      <c r="O429" s="1"/>
      <c r="P429" s="2"/>
      <c r="R429" s="4"/>
    </row>
    <row r="430" ht="15.75" customHeight="1">
      <c r="O430" s="1"/>
      <c r="P430" s="2"/>
      <c r="R430" s="4"/>
    </row>
    <row r="431" ht="15.75" customHeight="1">
      <c r="O431" s="1"/>
      <c r="P431" s="2"/>
      <c r="R431" s="4"/>
    </row>
    <row r="432" ht="15.75" customHeight="1">
      <c r="O432" s="1"/>
      <c r="P432" s="2"/>
      <c r="R432" s="4"/>
    </row>
    <row r="433" ht="15.75" customHeight="1">
      <c r="O433" s="1"/>
      <c r="P433" s="2"/>
      <c r="R433" s="4"/>
    </row>
    <row r="434" ht="15.75" customHeight="1">
      <c r="O434" s="1"/>
      <c r="P434" s="2"/>
      <c r="R434" s="4"/>
    </row>
    <row r="435" ht="15.75" customHeight="1">
      <c r="O435" s="1"/>
      <c r="P435" s="2"/>
      <c r="R435" s="4"/>
    </row>
    <row r="436" ht="15.75" customHeight="1">
      <c r="O436" s="1"/>
      <c r="P436" s="2"/>
      <c r="R436" s="4"/>
    </row>
    <row r="437" ht="15.75" customHeight="1">
      <c r="O437" s="1"/>
      <c r="P437" s="2"/>
      <c r="R437" s="4"/>
    </row>
    <row r="438" ht="15.75" customHeight="1">
      <c r="O438" s="1"/>
      <c r="P438" s="2"/>
      <c r="R438" s="4"/>
    </row>
    <row r="439" ht="15.75" customHeight="1">
      <c r="O439" s="1"/>
      <c r="P439" s="2"/>
      <c r="R439" s="4"/>
    </row>
    <row r="440" ht="15.75" customHeight="1">
      <c r="O440" s="1"/>
      <c r="P440" s="2"/>
      <c r="R440" s="4"/>
    </row>
    <row r="441" ht="15.75" customHeight="1">
      <c r="O441" s="1"/>
      <c r="P441" s="2"/>
      <c r="R441" s="4"/>
    </row>
    <row r="442" ht="15.75" customHeight="1">
      <c r="O442" s="1"/>
      <c r="P442" s="2"/>
      <c r="R442" s="4"/>
    </row>
    <row r="443" ht="15.75" customHeight="1">
      <c r="O443" s="1"/>
      <c r="P443" s="2"/>
      <c r="R443" s="4"/>
    </row>
    <row r="444" ht="15.75" customHeight="1">
      <c r="O444" s="1"/>
      <c r="P444" s="2"/>
      <c r="R444" s="4"/>
    </row>
    <row r="445" ht="15.75" customHeight="1">
      <c r="O445" s="1"/>
      <c r="P445" s="2"/>
      <c r="R445" s="4"/>
    </row>
    <row r="446" ht="15.75" customHeight="1">
      <c r="O446" s="1"/>
      <c r="P446" s="2"/>
      <c r="R446" s="4"/>
    </row>
    <row r="447" ht="15.75" customHeight="1">
      <c r="O447" s="1"/>
      <c r="P447" s="2"/>
      <c r="R447" s="4"/>
    </row>
    <row r="448" ht="15.75" customHeight="1">
      <c r="O448" s="1"/>
      <c r="P448" s="2"/>
      <c r="R448" s="4"/>
    </row>
    <row r="449" ht="15.75" customHeight="1">
      <c r="O449" s="1"/>
      <c r="P449" s="2"/>
      <c r="R449" s="4"/>
    </row>
    <row r="450" ht="15.75" customHeight="1">
      <c r="O450" s="1"/>
      <c r="P450" s="2"/>
      <c r="R450" s="4"/>
    </row>
    <row r="451" ht="15.75" customHeight="1">
      <c r="O451" s="1"/>
      <c r="P451" s="2"/>
      <c r="R451" s="4"/>
    </row>
    <row r="452" ht="15.75" customHeight="1">
      <c r="O452" s="1"/>
      <c r="P452" s="2"/>
      <c r="R452" s="4"/>
    </row>
    <row r="453" ht="15.75" customHeight="1">
      <c r="O453" s="1"/>
      <c r="P453" s="2"/>
      <c r="R453" s="4"/>
    </row>
    <row r="454" ht="15.75" customHeight="1">
      <c r="O454" s="1"/>
      <c r="P454" s="2"/>
      <c r="R454" s="4"/>
    </row>
    <row r="455" ht="15.75" customHeight="1">
      <c r="O455" s="1"/>
      <c r="P455" s="2"/>
      <c r="R455" s="4"/>
    </row>
    <row r="456" ht="15.75" customHeight="1">
      <c r="O456" s="1"/>
      <c r="P456" s="2"/>
      <c r="R456" s="4"/>
    </row>
    <row r="457" ht="15.75" customHeight="1">
      <c r="O457" s="1"/>
      <c r="P457" s="2"/>
      <c r="R457" s="4"/>
    </row>
    <row r="458" ht="15.75" customHeight="1">
      <c r="O458" s="1"/>
      <c r="P458" s="2"/>
      <c r="R458" s="4"/>
    </row>
    <row r="459" ht="15.75" customHeight="1">
      <c r="O459" s="1"/>
      <c r="P459" s="2"/>
      <c r="R459" s="4"/>
    </row>
    <row r="460" ht="15.75" customHeight="1">
      <c r="O460" s="1"/>
      <c r="P460" s="2"/>
      <c r="R460" s="4"/>
    </row>
    <row r="461" ht="15.75" customHeight="1">
      <c r="O461" s="1"/>
      <c r="P461" s="2"/>
      <c r="R461" s="4"/>
    </row>
    <row r="462" ht="15.75" customHeight="1">
      <c r="O462" s="1"/>
      <c r="P462" s="2"/>
      <c r="R462" s="4"/>
    </row>
    <row r="463" ht="15.75" customHeight="1">
      <c r="O463" s="1"/>
      <c r="P463" s="2"/>
      <c r="R463" s="4"/>
    </row>
    <row r="464" ht="15.75" customHeight="1">
      <c r="O464" s="1"/>
      <c r="P464" s="2"/>
      <c r="R464" s="4"/>
    </row>
    <row r="465" ht="15.75" customHeight="1">
      <c r="O465" s="1"/>
      <c r="P465" s="2"/>
      <c r="R465" s="4"/>
    </row>
    <row r="466" ht="15.75" customHeight="1">
      <c r="O466" s="1"/>
      <c r="P466" s="2"/>
      <c r="R466" s="4"/>
    </row>
    <row r="467" ht="15.75" customHeight="1">
      <c r="O467" s="1"/>
      <c r="P467" s="2"/>
      <c r="R467" s="4"/>
    </row>
    <row r="468" ht="15.75" customHeight="1">
      <c r="O468" s="1"/>
      <c r="P468" s="2"/>
      <c r="R468" s="4"/>
    </row>
    <row r="469" ht="15.75" customHeight="1">
      <c r="O469" s="1"/>
      <c r="P469" s="2"/>
      <c r="R469" s="4"/>
    </row>
    <row r="470" ht="15.75" customHeight="1">
      <c r="O470" s="1"/>
      <c r="P470" s="2"/>
      <c r="R470" s="4"/>
    </row>
    <row r="471" ht="15.75" customHeight="1">
      <c r="O471" s="1"/>
      <c r="P471" s="2"/>
      <c r="R471" s="4"/>
    </row>
    <row r="472" ht="15.75" customHeight="1">
      <c r="O472" s="1"/>
      <c r="P472" s="2"/>
      <c r="R472" s="4"/>
    </row>
    <row r="473" ht="15.75" customHeight="1">
      <c r="O473" s="1"/>
      <c r="P473" s="2"/>
      <c r="R473" s="4"/>
    </row>
    <row r="474" ht="15.75" customHeight="1">
      <c r="O474" s="1"/>
      <c r="P474" s="2"/>
      <c r="R474" s="4"/>
    </row>
    <row r="475" ht="15.75" customHeight="1">
      <c r="O475" s="1"/>
      <c r="P475" s="2"/>
      <c r="R475" s="4"/>
    </row>
    <row r="476" ht="15.75" customHeight="1">
      <c r="O476" s="1"/>
      <c r="P476" s="2"/>
      <c r="R476" s="4"/>
    </row>
    <row r="477" ht="15.75" customHeight="1">
      <c r="O477" s="1"/>
      <c r="P477" s="2"/>
      <c r="R477" s="4"/>
    </row>
    <row r="478" ht="15.75" customHeight="1">
      <c r="O478" s="1"/>
      <c r="P478" s="2"/>
      <c r="R478" s="4"/>
    </row>
    <row r="479" ht="15.75" customHeight="1">
      <c r="O479" s="1"/>
      <c r="P479" s="2"/>
      <c r="R479" s="4"/>
    </row>
    <row r="480" ht="15.75" customHeight="1">
      <c r="O480" s="1"/>
      <c r="P480" s="2"/>
      <c r="R480" s="4"/>
    </row>
    <row r="481" ht="15.75" customHeight="1">
      <c r="O481" s="1"/>
      <c r="P481" s="2"/>
      <c r="R481" s="4"/>
    </row>
    <row r="482" ht="15.75" customHeight="1">
      <c r="O482" s="1"/>
      <c r="P482" s="2"/>
      <c r="R482" s="4"/>
    </row>
    <row r="483" ht="15.75" customHeight="1">
      <c r="O483" s="1"/>
      <c r="P483" s="2"/>
      <c r="R483" s="4"/>
    </row>
    <row r="484" ht="15.75" customHeight="1">
      <c r="O484" s="1"/>
      <c r="P484" s="2"/>
      <c r="R484" s="4"/>
    </row>
    <row r="485" ht="15.75" customHeight="1">
      <c r="O485" s="1"/>
      <c r="P485" s="2"/>
      <c r="R485" s="4"/>
    </row>
    <row r="486" ht="15.75" customHeight="1">
      <c r="O486" s="1"/>
      <c r="P486" s="2"/>
      <c r="R486" s="4"/>
    </row>
    <row r="487" ht="15.75" customHeight="1">
      <c r="O487" s="1"/>
      <c r="P487" s="2"/>
      <c r="R487" s="4"/>
    </row>
    <row r="488" ht="15.75" customHeight="1">
      <c r="O488" s="1"/>
      <c r="P488" s="2"/>
      <c r="R488" s="4"/>
    </row>
    <row r="489" ht="15.75" customHeight="1">
      <c r="O489" s="1"/>
      <c r="P489" s="2"/>
      <c r="R489" s="4"/>
    </row>
    <row r="490" ht="15.75" customHeight="1">
      <c r="O490" s="1"/>
      <c r="P490" s="2"/>
      <c r="R490" s="4"/>
    </row>
    <row r="491" ht="15.75" customHeight="1">
      <c r="O491" s="1"/>
      <c r="P491" s="2"/>
      <c r="R491" s="4"/>
    </row>
    <row r="492" ht="15.75" customHeight="1">
      <c r="O492" s="1"/>
      <c r="P492" s="2"/>
      <c r="R492" s="4"/>
    </row>
    <row r="493" ht="15.75" customHeight="1">
      <c r="O493" s="1"/>
      <c r="P493" s="2"/>
      <c r="R493" s="4"/>
    </row>
    <row r="494" ht="15.75" customHeight="1">
      <c r="O494" s="1"/>
      <c r="P494" s="2"/>
      <c r="R494" s="4"/>
    </row>
    <row r="495" ht="15.75" customHeight="1">
      <c r="O495" s="1"/>
      <c r="P495" s="2"/>
      <c r="R495" s="4"/>
    </row>
    <row r="496" ht="15.75" customHeight="1">
      <c r="O496" s="1"/>
      <c r="P496" s="2"/>
      <c r="R496" s="4"/>
    </row>
    <row r="497" ht="15.75" customHeight="1">
      <c r="O497" s="1"/>
      <c r="P497" s="2"/>
      <c r="R497" s="4"/>
    </row>
    <row r="498" ht="15.75" customHeight="1">
      <c r="O498" s="1"/>
      <c r="P498" s="2"/>
      <c r="R498" s="4"/>
    </row>
    <row r="499" ht="15.75" customHeight="1">
      <c r="O499" s="1"/>
      <c r="P499" s="2"/>
      <c r="R499" s="4"/>
    </row>
    <row r="500" ht="15.75" customHeight="1">
      <c r="O500" s="1"/>
      <c r="P500" s="2"/>
      <c r="R500" s="4"/>
    </row>
    <row r="501" ht="15.75" customHeight="1">
      <c r="O501" s="1"/>
      <c r="P501" s="2"/>
      <c r="R501" s="4"/>
    </row>
    <row r="502" ht="15.75" customHeight="1">
      <c r="O502" s="1"/>
      <c r="P502" s="2"/>
      <c r="R502" s="4"/>
    </row>
    <row r="503" ht="15.75" customHeight="1">
      <c r="O503" s="1"/>
      <c r="P503" s="2"/>
      <c r="R503" s="4"/>
    </row>
    <row r="504" ht="15.75" customHeight="1">
      <c r="O504" s="1"/>
      <c r="P504" s="2"/>
      <c r="R504" s="4"/>
    </row>
    <row r="505" ht="15.75" customHeight="1">
      <c r="O505" s="1"/>
      <c r="P505" s="2"/>
      <c r="R505" s="4"/>
    </row>
    <row r="506" ht="15.75" customHeight="1">
      <c r="O506" s="1"/>
      <c r="P506" s="2"/>
      <c r="R506" s="4"/>
    </row>
    <row r="507" ht="15.75" customHeight="1">
      <c r="O507" s="1"/>
      <c r="P507" s="2"/>
      <c r="R507" s="4"/>
    </row>
    <row r="508" ht="15.75" customHeight="1">
      <c r="O508" s="1"/>
      <c r="P508" s="2"/>
      <c r="R508" s="4"/>
    </row>
    <row r="509" ht="15.75" customHeight="1">
      <c r="O509" s="1"/>
      <c r="P509" s="2"/>
      <c r="R509" s="4"/>
    </row>
    <row r="510" ht="15.75" customHeight="1">
      <c r="O510" s="1"/>
      <c r="P510" s="2"/>
      <c r="R510" s="4"/>
    </row>
    <row r="511" ht="15.75" customHeight="1">
      <c r="O511" s="1"/>
      <c r="P511" s="2"/>
      <c r="R511" s="4"/>
    </row>
    <row r="512" ht="15.75" customHeight="1">
      <c r="O512" s="1"/>
      <c r="P512" s="2"/>
      <c r="R512" s="4"/>
    </row>
    <row r="513" ht="15.75" customHeight="1">
      <c r="O513" s="1"/>
      <c r="P513" s="2"/>
      <c r="R513" s="4"/>
    </row>
    <row r="514" ht="15.75" customHeight="1">
      <c r="O514" s="1"/>
      <c r="P514" s="2"/>
      <c r="R514" s="4"/>
    </row>
    <row r="515" ht="15.75" customHeight="1">
      <c r="O515" s="1"/>
      <c r="P515" s="2"/>
      <c r="R515" s="4"/>
    </row>
    <row r="516" ht="15.75" customHeight="1">
      <c r="O516" s="1"/>
      <c r="P516" s="2"/>
      <c r="R516" s="4"/>
    </row>
    <row r="517" ht="15.75" customHeight="1">
      <c r="O517" s="1"/>
      <c r="P517" s="2"/>
      <c r="R517" s="4"/>
    </row>
    <row r="518" ht="15.75" customHeight="1">
      <c r="O518" s="1"/>
      <c r="P518" s="2"/>
      <c r="R518" s="4"/>
    </row>
    <row r="519" ht="15.75" customHeight="1">
      <c r="O519" s="1"/>
      <c r="P519" s="2"/>
      <c r="R519" s="4"/>
    </row>
    <row r="520" ht="15.75" customHeight="1">
      <c r="O520" s="1"/>
      <c r="P520" s="2"/>
      <c r="R520" s="4"/>
    </row>
    <row r="521" ht="15.75" customHeight="1">
      <c r="O521" s="1"/>
      <c r="P521" s="2"/>
      <c r="R521" s="4"/>
    </row>
    <row r="522" ht="15.75" customHeight="1">
      <c r="O522" s="1"/>
      <c r="P522" s="2"/>
      <c r="R522" s="4"/>
    </row>
    <row r="523" ht="15.75" customHeight="1">
      <c r="O523" s="1"/>
      <c r="P523" s="2"/>
      <c r="R523" s="4"/>
    </row>
    <row r="524" ht="15.75" customHeight="1">
      <c r="O524" s="1"/>
      <c r="P524" s="2"/>
      <c r="R524" s="4"/>
    </row>
    <row r="525" ht="15.75" customHeight="1">
      <c r="O525" s="1"/>
      <c r="P525" s="2"/>
      <c r="R525" s="4"/>
    </row>
    <row r="526" ht="15.75" customHeight="1">
      <c r="O526" s="1"/>
      <c r="P526" s="2"/>
      <c r="R526" s="4"/>
    </row>
    <row r="527" ht="15.75" customHeight="1">
      <c r="O527" s="1"/>
      <c r="P527" s="2"/>
      <c r="R527" s="4"/>
    </row>
    <row r="528" ht="15.75" customHeight="1">
      <c r="O528" s="1"/>
      <c r="P528" s="2"/>
      <c r="R528" s="4"/>
    </row>
    <row r="529" ht="15.75" customHeight="1">
      <c r="O529" s="1"/>
      <c r="P529" s="2"/>
      <c r="R529" s="4"/>
    </row>
    <row r="530" ht="15.75" customHeight="1">
      <c r="O530" s="1"/>
      <c r="P530" s="2"/>
      <c r="R530" s="4"/>
    </row>
    <row r="531" ht="15.75" customHeight="1">
      <c r="O531" s="1"/>
      <c r="P531" s="2"/>
      <c r="R531" s="4"/>
    </row>
    <row r="532" ht="15.75" customHeight="1">
      <c r="O532" s="1"/>
      <c r="P532" s="2"/>
      <c r="R532" s="4"/>
    </row>
    <row r="533" ht="15.75" customHeight="1">
      <c r="O533" s="1"/>
      <c r="P533" s="2"/>
      <c r="R533" s="4"/>
    </row>
    <row r="534" ht="15.75" customHeight="1">
      <c r="O534" s="1"/>
      <c r="P534" s="2"/>
      <c r="R534" s="4"/>
    </row>
    <row r="535" ht="15.75" customHeight="1">
      <c r="O535" s="1"/>
      <c r="P535" s="2"/>
      <c r="R535" s="4"/>
    </row>
    <row r="536" ht="15.75" customHeight="1">
      <c r="O536" s="1"/>
      <c r="P536" s="2"/>
      <c r="R536" s="4"/>
    </row>
    <row r="537" ht="15.75" customHeight="1">
      <c r="O537" s="1"/>
      <c r="P537" s="2"/>
      <c r="R537" s="4"/>
    </row>
    <row r="538" ht="15.75" customHeight="1">
      <c r="O538" s="1"/>
      <c r="P538" s="2"/>
      <c r="R538" s="4"/>
    </row>
    <row r="539" ht="15.75" customHeight="1">
      <c r="O539" s="1"/>
      <c r="P539" s="2"/>
      <c r="R539" s="4"/>
    </row>
    <row r="540" ht="15.75" customHeight="1">
      <c r="O540" s="1"/>
      <c r="P540" s="2"/>
      <c r="R540" s="4"/>
    </row>
    <row r="541" ht="15.75" customHeight="1">
      <c r="O541" s="1"/>
      <c r="P541" s="2"/>
      <c r="R541" s="4"/>
    </row>
    <row r="542" ht="15.75" customHeight="1">
      <c r="O542" s="1"/>
      <c r="P542" s="2"/>
      <c r="R542" s="4"/>
    </row>
    <row r="543" ht="15.75" customHeight="1">
      <c r="O543" s="1"/>
      <c r="P543" s="2"/>
      <c r="R543" s="4"/>
    </row>
    <row r="544" ht="15.75" customHeight="1">
      <c r="O544" s="1"/>
      <c r="P544" s="2"/>
      <c r="R544" s="4"/>
    </row>
    <row r="545" ht="15.75" customHeight="1">
      <c r="O545" s="1"/>
      <c r="P545" s="2"/>
      <c r="R545" s="4"/>
    </row>
    <row r="546" ht="15.75" customHeight="1">
      <c r="O546" s="1"/>
      <c r="P546" s="2"/>
      <c r="R546" s="4"/>
    </row>
    <row r="547" ht="15.75" customHeight="1">
      <c r="O547" s="1"/>
      <c r="P547" s="2"/>
      <c r="R547" s="4"/>
    </row>
    <row r="548" ht="15.75" customHeight="1">
      <c r="O548" s="1"/>
      <c r="P548" s="2"/>
      <c r="R548" s="4"/>
    </row>
    <row r="549" ht="15.75" customHeight="1">
      <c r="O549" s="1"/>
      <c r="P549" s="2"/>
      <c r="R549" s="4"/>
    </row>
    <row r="550" ht="15.75" customHeight="1">
      <c r="O550" s="1"/>
      <c r="P550" s="2"/>
      <c r="R550" s="4"/>
    </row>
    <row r="551" ht="15.75" customHeight="1">
      <c r="O551" s="1"/>
      <c r="P551" s="2"/>
      <c r="R551" s="4"/>
    </row>
    <row r="552" ht="15.75" customHeight="1">
      <c r="O552" s="1"/>
      <c r="P552" s="2"/>
      <c r="R552" s="4"/>
    </row>
    <row r="553" ht="15.75" customHeight="1">
      <c r="O553" s="1"/>
      <c r="P553" s="2"/>
      <c r="R553" s="4"/>
    </row>
    <row r="554" ht="15.75" customHeight="1">
      <c r="O554" s="1"/>
      <c r="P554" s="2"/>
      <c r="R554" s="4"/>
    </row>
    <row r="555" ht="15.75" customHeight="1">
      <c r="O555" s="1"/>
      <c r="P555" s="2"/>
      <c r="R555" s="4"/>
    </row>
    <row r="556" ht="15.75" customHeight="1">
      <c r="O556" s="1"/>
      <c r="P556" s="2"/>
      <c r="R556" s="4"/>
    </row>
    <row r="557" ht="15.75" customHeight="1">
      <c r="O557" s="1"/>
      <c r="P557" s="2"/>
      <c r="R557" s="4"/>
    </row>
    <row r="558" ht="15.75" customHeight="1">
      <c r="O558" s="1"/>
      <c r="P558" s="2"/>
      <c r="R558" s="4"/>
    </row>
    <row r="559" ht="15.75" customHeight="1">
      <c r="O559" s="1"/>
      <c r="P559" s="2"/>
      <c r="R559" s="4"/>
    </row>
    <row r="560" ht="15.75" customHeight="1">
      <c r="O560" s="1"/>
      <c r="P560" s="2"/>
      <c r="R560" s="4"/>
    </row>
    <row r="561" ht="15.75" customHeight="1">
      <c r="O561" s="1"/>
      <c r="P561" s="2"/>
      <c r="R561" s="4"/>
    </row>
    <row r="562" ht="15.75" customHeight="1">
      <c r="O562" s="1"/>
      <c r="P562" s="2"/>
      <c r="R562" s="4"/>
    </row>
    <row r="563" ht="15.75" customHeight="1">
      <c r="O563" s="1"/>
      <c r="P563" s="2"/>
      <c r="R563" s="4"/>
    </row>
    <row r="564" ht="15.75" customHeight="1">
      <c r="O564" s="1"/>
      <c r="P564" s="2"/>
      <c r="R564" s="4"/>
    </row>
    <row r="565" ht="15.75" customHeight="1">
      <c r="O565" s="1"/>
      <c r="P565" s="2"/>
      <c r="R565" s="4"/>
    </row>
    <row r="566" ht="15.75" customHeight="1">
      <c r="O566" s="1"/>
      <c r="P566" s="2"/>
      <c r="R566" s="4"/>
    </row>
    <row r="567" ht="15.75" customHeight="1">
      <c r="O567" s="1"/>
      <c r="P567" s="2"/>
      <c r="R567" s="4"/>
    </row>
    <row r="568" ht="15.75" customHeight="1">
      <c r="O568" s="1"/>
      <c r="P568" s="2"/>
      <c r="R568" s="4"/>
    </row>
    <row r="569" ht="15.75" customHeight="1">
      <c r="O569" s="1"/>
      <c r="P569" s="2"/>
      <c r="R569" s="4"/>
    </row>
    <row r="570" ht="15.75" customHeight="1">
      <c r="O570" s="1"/>
      <c r="P570" s="2"/>
      <c r="R570" s="4"/>
    </row>
    <row r="571" ht="15.75" customHeight="1">
      <c r="O571" s="1"/>
      <c r="P571" s="2"/>
      <c r="R571" s="4"/>
    </row>
    <row r="572" ht="15.75" customHeight="1">
      <c r="O572" s="1"/>
      <c r="P572" s="2"/>
      <c r="R572" s="4"/>
    </row>
    <row r="573" ht="15.75" customHeight="1">
      <c r="O573" s="1"/>
      <c r="P573" s="2"/>
      <c r="R573" s="4"/>
    </row>
    <row r="574" ht="15.75" customHeight="1">
      <c r="O574" s="1"/>
      <c r="P574" s="2"/>
      <c r="R574" s="4"/>
    </row>
    <row r="575" ht="15.75" customHeight="1">
      <c r="O575" s="1"/>
      <c r="P575" s="2"/>
      <c r="R575" s="4"/>
    </row>
    <row r="576" ht="15.75" customHeight="1">
      <c r="O576" s="1"/>
      <c r="P576" s="2"/>
      <c r="R576" s="4"/>
    </row>
    <row r="577" ht="15.75" customHeight="1">
      <c r="O577" s="1"/>
      <c r="P577" s="2"/>
      <c r="R577" s="4"/>
    </row>
    <row r="578" ht="15.75" customHeight="1">
      <c r="O578" s="1"/>
      <c r="P578" s="2"/>
      <c r="R578" s="4"/>
    </row>
    <row r="579" ht="15.75" customHeight="1">
      <c r="O579" s="1"/>
      <c r="P579" s="2"/>
      <c r="R579" s="4"/>
    </row>
    <row r="580" ht="15.75" customHeight="1">
      <c r="O580" s="1"/>
      <c r="P580" s="2"/>
      <c r="R580" s="4"/>
    </row>
    <row r="581" ht="15.75" customHeight="1">
      <c r="O581" s="1"/>
      <c r="P581" s="2"/>
      <c r="R581" s="4"/>
    </row>
    <row r="582" ht="15.75" customHeight="1">
      <c r="O582" s="1"/>
      <c r="P582" s="2"/>
      <c r="R582" s="4"/>
    </row>
    <row r="583" ht="15.75" customHeight="1">
      <c r="O583" s="1"/>
      <c r="P583" s="2"/>
      <c r="R583" s="4"/>
    </row>
    <row r="584" ht="15.75" customHeight="1">
      <c r="O584" s="1"/>
      <c r="P584" s="2"/>
      <c r="R584" s="4"/>
    </row>
    <row r="585" ht="15.75" customHeight="1">
      <c r="O585" s="1"/>
      <c r="P585" s="2"/>
      <c r="R585" s="4"/>
    </row>
    <row r="586" ht="15.75" customHeight="1">
      <c r="O586" s="1"/>
      <c r="P586" s="2"/>
      <c r="R586" s="4"/>
    </row>
    <row r="587" ht="15.75" customHeight="1">
      <c r="O587" s="1"/>
      <c r="P587" s="2"/>
      <c r="R587" s="4"/>
    </row>
    <row r="588" ht="15.75" customHeight="1">
      <c r="O588" s="1"/>
      <c r="P588" s="2"/>
      <c r="R588" s="4"/>
    </row>
    <row r="589" ht="15.75" customHeight="1">
      <c r="O589" s="1"/>
      <c r="P589" s="2"/>
      <c r="R589" s="4"/>
    </row>
    <row r="590" ht="15.75" customHeight="1">
      <c r="O590" s="1"/>
      <c r="P590" s="2"/>
      <c r="R590" s="4"/>
    </row>
    <row r="591" ht="15.75" customHeight="1">
      <c r="O591" s="1"/>
      <c r="P591" s="2"/>
      <c r="R591" s="4"/>
    </row>
    <row r="592" ht="15.75" customHeight="1">
      <c r="O592" s="1"/>
      <c r="P592" s="2"/>
      <c r="R592" s="4"/>
    </row>
    <row r="593" ht="15.75" customHeight="1">
      <c r="O593" s="1"/>
      <c r="P593" s="2"/>
      <c r="R593" s="4"/>
    </row>
    <row r="594" ht="15.75" customHeight="1">
      <c r="O594" s="1"/>
      <c r="P594" s="2"/>
      <c r="R594" s="4"/>
    </row>
    <row r="595" ht="15.75" customHeight="1">
      <c r="O595" s="1"/>
      <c r="P595" s="2"/>
      <c r="R595" s="4"/>
    </row>
    <row r="596" ht="15.75" customHeight="1">
      <c r="O596" s="1"/>
      <c r="P596" s="2"/>
      <c r="R596" s="4"/>
    </row>
    <row r="597" ht="15.75" customHeight="1">
      <c r="O597" s="1"/>
      <c r="P597" s="2"/>
      <c r="R597" s="4"/>
    </row>
    <row r="598" ht="15.75" customHeight="1">
      <c r="O598" s="1"/>
      <c r="P598" s="2"/>
      <c r="R598" s="4"/>
    </row>
    <row r="599" ht="15.75" customHeight="1">
      <c r="O599" s="1"/>
      <c r="P599" s="2"/>
      <c r="R599" s="4"/>
    </row>
    <row r="600" ht="15.75" customHeight="1">
      <c r="O600" s="1"/>
      <c r="P600" s="2"/>
      <c r="R600" s="4"/>
    </row>
    <row r="601" ht="15.75" customHeight="1">
      <c r="O601" s="1"/>
      <c r="P601" s="2"/>
      <c r="R601" s="4"/>
    </row>
    <row r="602" ht="15.75" customHeight="1">
      <c r="O602" s="1"/>
      <c r="P602" s="2"/>
      <c r="R602" s="4"/>
    </row>
    <row r="603" ht="15.75" customHeight="1">
      <c r="O603" s="1"/>
      <c r="P603" s="2"/>
      <c r="R603" s="4"/>
    </row>
    <row r="604" ht="15.75" customHeight="1">
      <c r="O604" s="1"/>
      <c r="P604" s="2"/>
      <c r="R604" s="4"/>
    </row>
    <row r="605" ht="15.75" customHeight="1">
      <c r="O605" s="1"/>
      <c r="P605" s="2"/>
      <c r="R605" s="4"/>
    </row>
    <row r="606" ht="15.75" customHeight="1">
      <c r="O606" s="1"/>
      <c r="P606" s="2"/>
      <c r="R606" s="4"/>
    </row>
    <row r="607" ht="15.75" customHeight="1">
      <c r="O607" s="1"/>
      <c r="P607" s="2"/>
      <c r="R607" s="4"/>
    </row>
    <row r="608" ht="15.75" customHeight="1">
      <c r="O608" s="1"/>
      <c r="P608" s="2"/>
      <c r="R608" s="4"/>
    </row>
    <row r="609" ht="15.75" customHeight="1">
      <c r="O609" s="1"/>
      <c r="P609" s="2"/>
      <c r="R609" s="4"/>
    </row>
    <row r="610" ht="15.75" customHeight="1">
      <c r="O610" s="1"/>
      <c r="P610" s="2"/>
      <c r="R610" s="4"/>
    </row>
    <row r="611" ht="15.75" customHeight="1">
      <c r="O611" s="1"/>
      <c r="P611" s="2"/>
      <c r="R611" s="4"/>
    </row>
    <row r="612" ht="15.75" customHeight="1">
      <c r="O612" s="1"/>
      <c r="P612" s="2"/>
      <c r="R612" s="4"/>
    </row>
    <row r="613" ht="15.75" customHeight="1">
      <c r="O613" s="1"/>
      <c r="P613" s="2"/>
      <c r="R613" s="4"/>
    </row>
    <row r="614" ht="15.75" customHeight="1">
      <c r="O614" s="1"/>
      <c r="P614" s="2"/>
      <c r="R614" s="4"/>
    </row>
    <row r="615" ht="15.75" customHeight="1">
      <c r="O615" s="1"/>
      <c r="P615" s="2"/>
      <c r="R615" s="4"/>
    </row>
    <row r="616" ht="15.75" customHeight="1">
      <c r="O616" s="1"/>
      <c r="P616" s="2"/>
      <c r="R616" s="4"/>
    </row>
    <row r="617" ht="15.75" customHeight="1">
      <c r="O617" s="1"/>
      <c r="P617" s="2"/>
      <c r="R617" s="4"/>
    </row>
    <row r="618" ht="15.75" customHeight="1">
      <c r="O618" s="1"/>
      <c r="P618" s="2"/>
      <c r="R618" s="4"/>
    </row>
    <row r="619" ht="15.75" customHeight="1">
      <c r="O619" s="1"/>
      <c r="P619" s="2"/>
      <c r="R619" s="4"/>
    </row>
    <row r="620" ht="15.75" customHeight="1">
      <c r="O620" s="1"/>
      <c r="P620" s="2"/>
      <c r="R620" s="4"/>
    </row>
    <row r="621" ht="15.75" customHeight="1">
      <c r="O621" s="1"/>
      <c r="P621" s="2"/>
      <c r="R621" s="4"/>
    </row>
    <row r="622" ht="15.75" customHeight="1">
      <c r="O622" s="1"/>
      <c r="P622" s="2"/>
      <c r="R622" s="4"/>
    </row>
    <row r="623" ht="15.75" customHeight="1">
      <c r="O623" s="1"/>
      <c r="P623" s="2"/>
      <c r="R623" s="4"/>
    </row>
    <row r="624" ht="15.75" customHeight="1">
      <c r="O624" s="1"/>
      <c r="P624" s="2"/>
      <c r="R624" s="4"/>
    </row>
    <row r="625" ht="15.75" customHeight="1">
      <c r="O625" s="1"/>
      <c r="P625" s="2"/>
      <c r="R625" s="4"/>
    </row>
    <row r="626" ht="15.75" customHeight="1">
      <c r="O626" s="1"/>
      <c r="P626" s="2"/>
      <c r="R626" s="4"/>
    </row>
    <row r="627" ht="15.75" customHeight="1">
      <c r="O627" s="1"/>
      <c r="P627" s="2"/>
      <c r="R627" s="4"/>
    </row>
    <row r="628" ht="15.75" customHeight="1">
      <c r="O628" s="1"/>
      <c r="P628" s="2"/>
      <c r="R628" s="4"/>
    </row>
    <row r="629" ht="15.75" customHeight="1">
      <c r="O629" s="1"/>
      <c r="P629" s="2"/>
      <c r="R629" s="4"/>
    </row>
    <row r="630" ht="15.75" customHeight="1">
      <c r="O630" s="1"/>
      <c r="P630" s="2"/>
      <c r="R630" s="4"/>
    </row>
    <row r="631" ht="15.75" customHeight="1">
      <c r="O631" s="1"/>
      <c r="P631" s="2"/>
      <c r="R631" s="4"/>
    </row>
    <row r="632" ht="15.75" customHeight="1">
      <c r="O632" s="1"/>
      <c r="P632" s="2"/>
      <c r="R632" s="4"/>
    </row>
    <row r="633" ht="15.75" customHeight="1">
      <c r="O633" s="1"/>
      <c r="P633" s="2"/>
      <c r="R633" s="4"/>
    </row>
    <row r="634" ht="15.75" customHeight="1">
      <c r="O634" s="1"/>
      <c r="P634" s="2"/>
      <c r="R634" s="4"/>
    </row>
    <row r="635" ht="15.75" customHeight="1">
      <c r="O635" s="1"/>
      <c r="P635" s="2"/>
      <c r="R635" s="4"/>
    </row>
    <row r="636" ht="15.75" customHeight="1">
      <c r="O636" s="1"/>
      <c r="P636" s="2"/>
      <c r="R636" s="4"/>
    </row>
    <row r="637" ht="15.75" customHeight="1">
      <c r="O637" s="1"/>
      <c r="P637" s="2"/>
      <c r="R637" s="4"/>
    </row>
    <row r="638" ht="15.75" customHeight="1">
      <c r="O638" s="1"/>
      <c r="P638" s="2"/>
      <c r="R638" s="4"/>
    </row>
    <row r="639" ht="15.75" customHeight="1">
      <c r="O639" s="1"/>
      <c r="P639" s="2"/>
      <c r="R639" s="4"/>
    </row>
    <row r="640" ht="15.75" customHeight="1">
      <c r="O640" s="1"/>
      <c r="P640" s="2"/>
      <c r="R640" s="4"/>
    </row>
    <row r="641" ht="15.75" customHeight="1">
      <c r="O641" s="1"/>
      <c r="P641" s="2"/>
      <c r="R641" s="4"/>
    </row>
    <row r="642" ht="15.75" customHeight="1">
      <c r="O642" s="1"/>
      <c r="P642" s="2"/>
      <c r="R642" s="4"/>
    </row>
    <row r="643" ht="15.75" customHeight="1">
      <c r="O643" s="1"/>
      <c r="P643" s="2"/>
      <c r="R643" s="4"/>
    </row>
    <row r="644" ht="15.75" customHeight="1">
      <c r="O644" s="1"/>
      <c r="P644" s="2"/>
      <c r="R644" s="4"/>
    </row>
    <row r="645" ht="15.75" customHeight="1">
      <c r="O645" s="1"/>
      <c r="P645" s="2"/>
      <c r="R645" s="4"/>
    </row>
    <row r="646" ht="15.75" customHeight="1">
      <c r="O646" s="1"/>
      <c r="P646" s="2"/>
      <c r="R646" s="4"/>
    </row>
    <row r="647" ht="15.75" customHeight="1">
      <c r="O647" s="1"/>
      <c r="P647" s="2"/>
      <c r="R647" s="4"/>
    </row>
    <row r="648" ht="15.75" customHeight="1">
      <c r="O648" s="1"/>
      <c r="P648" s="2"/>
      <c r="R648" s="4"/>
    </row>
    <row r="649" ht="15.75" customHeight="1">
      <c r="O649" s="1"/>
      <c r="P649" s="2"/>
      <c r="R649" s="4"/>
    </row>
    <row r="650" ht="15.75" customHeight="1">
      <c r="O650" s="1"/>
      <c r="P650" s="2"/>
      <c r="R650" s="4"/>
    </row>
    <row r="651" ht="15.75" customHeight="1">
      <c r="O651" s="1"/>
      <c r="P651" s="2"/>
      <c r="R651" s="4"/>
    </row>
    <row r="652" ht="15.75" customHeight="1">
      <c r="O652" s="1"/>
      <c r="P652" s="2"/>
      <c r="R652" s="4"/>
    </row>
    <row r="653" ht="15.75" customHeight="1">
      <c r="O653" s="1"/>
      <c r="P653" s="2"/>
      <c r="R653" s="4"/>
    </row>
    <row r="654" ht="15.75" customHeight="1">
      <c r="O654" s="1"/>
      <c r="P654" s="2"/>
      <c r="R654" s="4"/>
    </row>
    <row r="655" ht="15.75" customHeight="1">
      <c r="O655" s="1"/>
      <c r="P655" s="2"/>
      <c r="R655" s="4"/>
    </row>
    <row r="656" ht="15.75" customHeight="1">
      <c r="O656" s="1"/>
      <c r="P656" s="2"/>
      <c r="R656" s="4"/>
    </row>
    <row r="657" ht="15.75" customHeight="1">
      <c r="O657" s="1"/>
      <c r="P657" s="2"/>
      <c r="R657" s="4"/>
    </row>
    <row r="658" ht="15.75" customHeight="1">
      <c r="O658" s="1"/>
      <c r="P658" s="2"/>
      <c r="R658" s="4"/>
    </row>
    <row r="659" ht="15.75" customHeight="1">
      <c r="O659" s="1"/>
      <c r="P659" s="2"/>
      <c r="R659" s="4"/>
    </row>
    <row r="660" ht="15.75" customHeight="1">
      <c r="O660" s="1"/>
      <c r="P660" s="2"/>
      <c r="R660" s="4"/>
    </row>
    <row r="661" ht="15.75" customHeight="1">
      <c r="O661" s="1"/>
      <c r="P661" s="2"/>
      <c r="R661" s="4"/>
    </row>
    <row r="662" ht="15.75" customHeight="1">
      <c r="O662" s="1"/>
      <c r="P662" s="2"/>
      <c r="R662" s="4"/>
    </row>
    <row r="663" ht="15.75" customHeight="1">
      <c r="O663" s="1"/>
      <c r="P663" s="2"/>
      <c r="R663" s="4"/>
    </row>
    <row r="664" ht="15.75" customHeight="1">
      <c r="O664" s="1"/>
      <c r="P664" s="2"/>
      <c r="R664" s="4"/>
    </row>
    <row r="665" ht="15.75" customHeight="1">
      <c r="O665" s="1"/>
      <c r="P665" s="2"/>
      <c r="R665" s="4"/>
    </row>
    <row r="666" ht="15.75" customHeight="1">
      <c r="O666" s="1"/>
      <c r="P666" s="2"/>
      <c r="R666" s="4"/>
    </row>
    <row r="667" ht="15.75" customHeight="1">
      <c r="O667" s="1"/>
      <c r="P667" s="2"/>
      <c r="R667" s="4"/>
    </row>
    <row r="668" ht="15.75" customHeight="1">
      <c r="O668" s="1"/>
      <c r="P668" s="2"/>
      <c r="R668" s="4"/>
    </row>
    <row r="669" ht="15.75" customHeight="1">
      <c r="O669" s="1"/>
      <c r="P669" s="2"/>
      <c r="R669" s="4"/>
    </row>
    <row r="670" ht="15.75" customHeight="1">
      <c r="O670" s="1"/>
      <c r="P670" s="2"/>
      <c r="R670" s="4"/>
    </row>
    <row r="671" ht="15.75" customHeight="1">
      <c r="O671" s="1"/>
      <c r="P671" s="2"/>
      <c r="R671" s="4"/>
    </row>
    <row r="672" ht="15.75" customHeight="1">
      <c r="O672" s="1"/>
      <c r="P672" s="2"/>
      <c r="R672" s="4"/>
    </row>
    <row r="673" ht="15.75" customHeight="1">
      <c r="O673" s="1"/>
      <c r="P673" s="2"/>
      <c r="R673" s="4"/>
    </row>
    <row r="674" ht="15.75" customHeight="1">
      <c r="O674" s="1"/>
      <c r="P674" s="2"/>
      <c r="R674" s="4"/>
    </row>
    <row r="675" ht="15.75" customHeight="1">
      <c r="O675" s="1"/>
      <c r="P675" s="2"/>
      <c r="R675" s="4"/>
    </row>
    <row r="676" ht="15.75" customHeight="1">
      <c r="O676" s="1"/>
      <c r="P676" s="2"/>
      <c r="R676" s="4"/>
    </row>
    <row r="677" ht="15.75" customHeight="1">
      <c r="O677" s="1"/>
      <c r="P677" s="2"/>
      <c r="R677" s="4"/>
    </row>
    <row r="678" ht="15.75" customHeight="1">
      <c r="O678" s="1"/>
      <c r="P678" s="2"/>
      <c r="R678" s="4"/>
    </row>
    <row r="679" ht="15.75" customHeight="1">
      <c r="O679" s="1"/>
      <c r="P679" s="2"/>
      <c r="R679" s="4"/>
    </row>
    <row r="680" ht="15.75" customHeight="1">
      <c r="O680" s="1"/>
      <c r="P680" s="2"/>
      <c r="R680" s="4"/>
    </row>
    <row r="681" ht="15.75" customHeight="1">
      <c r="O681" s="1"/>
      <c r="P681" s="2"/>
      <c r="R681" s="4"/>
    </row>
    <row r="682" ht="15.75" customHeight="1">
      <c r="O682" s="1"/>
      <c r="P682" s="2"/>
      <c r="R682" s="4"/>
    </row>
    <row r="683" ht="15.75" customHeight="1">
      <c r="O683" s="1"/>
      <c r="P683" s="2"/>
      <c r="R683" s="4"/>
    </row>
    <row r="684" ht="15.75" customHeight="1">
      <c r="O684" s="1"/>
      <c r="P684" s="2"/>
      <c r="R684" s="4"/>
    </row>
    <row r="685" ht="15.75" customHeight="1">
      <c r="O685" s="1"/>
      <c r="P685" s="2"/>
      <c r="R685" s="4"/>
    </row>
    <row r="686" ht="15.75" customHeight="1">
      <c r="O686" s="1"/>
      <c r="P686" s="2"/>
      <c r="R686" s="4"/>
    </row>
    <row r="687" ht="15.75" customHeight="1">
      <c r="O687" s="1"/>
      <c r="P687" s="2"/>
      <c r="R687" s="4"/>
    </row>
    <row r="688" ht="15.75" customHeight="1">
      <c r="O688" s="1"/>
      <c r="P688" s="2"/>
      <c r="R688" s="4"/>
    </row>
    <row r="689" ht="15.75" customHeight="1">
      <c r="O689" s="1"/>
      <c r="P689" s="2"/>
      <c r="R689" s="4"/>
    </row>
    <row r="690" ht="15.75" customHeight="1">
      <c r="O690" s="1"/>
      <c r="P690" s="2"/>
      <c r="R690" s="4"/>
    </row>
    <row r="691" ht="15.75" customHeight="1">
      <c r="O691" s="1"/>
      <c r="P691" s="2"/>
      <c r="R691" s="4"/>
    </row>
    <row r="692" ht="15.75" customHeight="1">
      <c r="O692" s="1"/>
      <c r="P692" s="2"/>
      <c r="R692" s="4"/>
    </row>
    <row r="693" ht="15.75" customHeight="1">
      <c r="O693" s="1"/>
      <c r="P693" s="2"/>
      <c r="R693" s="4"/>
    </row>
    <row r="694" ht="15.75" customHeight="1">
      <c r="O694" s="1"/>
      <c r="P694" s="2"/>
      <c r="R694" s="4"/>
    </row>
    <row r="695" ht="15.75" customHeight="1">
      <c r="O695" s="1"/>
      <c r="P695" s="2"/>
      <c r="R695" s="4"/>
    </row>
    <row r="696" ht="15.75" customHeight="1">
      <c r="O696" s="1"/>
      <c r="P696" s="2"/>
      <c r="R696" s="4"/>
    </row>
    <row r="697" ht="15.75" customHeight="1">
      <c r="O697" s="1"/>
      <c r="P697" s="2"/>
      <c r="R697" s="4"/>
    </row>
    <row r="698" ht="15.75" customHeight="1">
      <c r="O698" s="1"/>
      <c r="P698" s="2"/>
      <c r="R698" s="4"/>
    </row>
    <row r="699" ht="15.75" customHeight="1">
      <c r="O699" s="1"/>
      <c r="P699" s="2"/>
      <c r="R699" s="4"/>
    </row>
    <row r="700" ht="15.75" customHeight="1">
      <c r="O700" s="1"/>
      <c r="P700" s="2"/>
      <c r="R700" s="4"/>
    </row>
    <row r="701" ht="15.75" customHeight="1">
      <c r="O701" s="1"/>
      <c r="P701" s="2"/>
      <c r="R701" s="4"/>
    </row>
    <row r="702" ht="15.75" customHeight="1">
      <c r="O702" s="1"/>
      <c r="P702" s="2"/>
      <c r="R702" s="4"/>
    </row>
    <row r="703" ht="15.75" customHeight="1">
      <c r="O703" s="1"/>
      <c r="P703" s="2"/>
      <c r="R703" s="4"/>
    </row>
    <row r="704" ht="15.75" customHeight="1">
      <c r="O704" s="1"/>
      <c r="P704" s="2"/>
      <c r="R704" s="4"/>
    </row>
    <row r="705" ht="15.75" customHeight="1">
      <c r="O705" s="1"/>
      <c r="P705" s="2"/>
      <c r="R705" s="4"/>
    </row>
    <row r="706" ht="15.75" customHeight="1">
      <c r="O706" s="1"/>
      <c r="P706" s="2"/>
      <c r="R706" s="4"/>
    </row>
    <row r="707" ht="15.75" customHeight="1">
      <c r="O707" s="1"/>
      <c r="P707" s="2"/>
      <c r="R707" s="4"/>
    </row>
    <row r="708" ht="15.75" customHeight="1">
      <c r="O708" s="1"/>
      <c r="P708" s="2"/>
      <c r="R708" s="4"/>
    </row>
    <row r="709" ht="15.75" customHeight="1">
      <c r="O709" s="1"/>
      <c r="P709" s="2"/>
      <c r="R709" s="4"/>
    </row>
    <row r="710" ht="15.75" customHeight="1">
      <c r="O710" s="1"/>
      <c r="P710" s="2"/>
      <c r="R710" s="4"/>
    </row>
    <row r="711" ht="15.75" customHeight="1">
      <c r="O711" s="1"/>
      <c r="P711" s="2"/>
      <c r="R711" s="4"/>
    </row>
    <row r="712" ht="15.75" customHeight="1">
      <c r="O712" s="1"/>
      <c r="P712" s="2"/>
      <c r="R712" s="4"/>
    </row>
    <row r="713" ht="15.75" customHeight="1">
      <c r="O713" s="1"/>
      <c r="P713" s="2"/>
      <c r="R713" s="4"/>
    </row>
    <row r="714" ht="15.75" customHeight="1">
      <c r="O714" s="1"/>
      <c r="P714" s="2"/>
      <c r="R714" s="4"/>
    </row>
    <row r="715" ht="15.75" customHeight="1">
      <c r="O715" s="1"/>
      <c r="P715" s="2"/>
      <c r="R715" s="4"/>
    </row>
    <row r="716" ht="15.75" customHeight="1">
      <c r="O716" s="1"/>
      <c r="P716" s="2"/>
      <c r="R716" s="4"/>
    </row>
    <row r="717" ht="15.75" customHeight="1">
      <c r="O717" s="1"/>
      <c r="P717" s="2"/>
      <c r="R717" s="4"/>
    </row>
    <row r="718" ht="15.75" customHeight="1">
      <c r="O718" s="1"/>
      <c r="P718" s="2"/>
      <c r="R718" s="4"/>
    </row>
    <row r="719" ht="15.75" customHeight="1">
      <c r="O719" s="1"/>
      <c r="P719" s="2"/>
      <c r="R719" s="4"/>
    </row>
    <row r="720" ht="15.75" customHeight="1">
      <c r="O720" s="1"/>
      <c r="P720" s="2"/>
      <c r="R720" s="4"/>
    </row>
    <row r="721" ht="15.75" customHeight="1">
      <c r="O721" s="1"/>
      <c r="P721" s="2"/>
      <c r="R721" s="4"/>
    </row>
    <row r="722" ht="15.75" customHeight="1">
      <c r="O722" s="1"/>
      <c r="P722" s="2"/>
      <c r="R722" s="4"/>
    </row>
    <row r="723" ht="15.75" customHeight="1">
      <c r="O723" s="1"/>
      <c r="P723" s="2"/>
      <c r="R723" s="4"/>
    </row>
    <row r="724" ht="15.75" customHeight="1">
      <c r="O724" s="1"/>
      <c r="P724" s="2"/>
      <c r="R724" s="4"/>
    </row>
    <row r="725" ht="15.75" customHeight="1">
      <c r="O725" s="1"/>
      <c r="P725" s="2"/>
      <c r="R725" s="4"/>
    </row>
    <row r="726" ht="15.75" customHeight="1">
      <c r="O726" s="1"/>
      <c r="P726" s="2"/>
      <c r="R726" s="4"/>
    </row>
    <row r="727" ht="15.75" customHeight="1">
      <c r="O727" s="1"/>
      <c r="P727" s="2"/>
      <c r="R727" s="4"/>
    </row>
    <row r="728" ht="15.75" customHeight="1">
      <c r="O728" s="1"/>
      <c r="P728" s="2"/>
      <c r="R728" s="4"/>
    </row>
    <row r="729" ht="15.75" customHeight="1">
      <c r="O729" s="1"/>
      <c r="P729" s="2"/>
      <c r="R729" s="4"/>
    </row>
    <row r="730" ht="15.75" customHeight="1">
      <c r="O730" s="1"/>
      <c r="P730" s="2"/>
      <c r="R730" s="4"/>
    </row>
    <row r="731" ht="15.75" customHeight="1">
      <c r="O731" s="1"/>
      <c r="P731" s="2"/>
      <c r="R731" s="4"/>
    </row>
    <row r="732" ht="15.75" customHeight="1">
      <c r="O732" s="1"/>
      <c r="P732" s="2"/>
      <c r="R732" s="4"/>
    </row>
    <row r="733" ht="15.75" customHeight="1">
      <c r="O733" s="1"/>
      <c r="P733" s="2"/>
      <c r="R733" s="4"/>
    </row>
    <row r="734" ht="15.75" customHeight="1">
      <c r="O734" s="1"/>
      <c r="P734" s="2"/>
      <c r="R734" s="4"/>
    </row>
    <row r="735" ht="15.75" customHeight="1">
      <c r="O735" s="1"/>
      <c r="P735" s="2"/>
      <c r="R735" s="4"/>
    </row>
    <row r="736" ht="15.75" customHeight="1">
      <c r="O736" s="1"/>
      <c r="P736" s="2"/>
      <c r="R736" s="4"/>
    </row>
    <row r="737" ht="15.75" customHeight="1">
      <c r="O737" s="1"/>
      <c r="P737" s="2"/>
      <c r="R737" s="4"/>
    </row>
    <row r="738" ht="15.75" customHeight="1">
      <c r="O738" s="1"/>
      <c r="P738" s="2"/>
      <c r="R738" s="4"/>
    </row>
    <row r="739" ht="15.75" customHeight="1">
      <c r="O739" s="1"/>
      <c r="P739" s="2"/>
      <c r="R739" s="4"/>
    </row>
    <row r="740" ht="15.75" customHeight="1">
      <c r="O740" s="1"/>
      <c r="P740" s="2"/>
      <c r="R740" s="4"/>
    </row>
    <row r="741" ht="15.75" customHeight="1">
      <c r="O741" s="1"/>
      <c r="P741" s="2"/>
      <c r="R741" s="4"/>
    </row>
    <row r="742" ht="15.75" customHeight="1">
      <c r="O742" s="1"/>
      <c r="P742" s="2"/>
      <c r="R742" s="4"/>
    </row>
    <row r="743" ht="15.75" customHeight="1">
      <c r="O743" s="1"/>
      <c r="P743" s="2"/>
      <c r="R743" s="4"/>
    </row>
    <row r="744" ht="15.75" customHeight="1">
      <c r="O744" s="1"/>
      <c r="P744" s="2"/>
      <c r="R744" s="4"/>
    </row>
    <row r="745" ht="15.75" customHeight="1">
      <c r="O745" s="1"/>
      <c r="P745" s="2"/>
      <c r="R745" s="4"/>
    </row>
    <row r="746" ht="15.75" customHeight="1">
      <c r="O746" s="1"/>
      <c r="P746" s="2"/>
      <c r="R746" s="4"/>
    </row>
    <row r="747" ht="15.75" customHeight="1">
      <c r="O747" s="1"/>
      <c r="P747" s="2"/>
      <c r="R747" s="4"/>
    </row>
    <row r="748" ht="15.75" customHeight="1">
      <c r="O748" s="1"/>
      <c r="P748" s="2"/>
      <c r="R748" s="4"/>
    </row>
    <row r="749" ht="15.75" customHeight="1">
      <c r="O749" s="1"/>
      <c r="P749" s="2"/>
      <c r="R749" s="4"/>
    </row>
    <row r="750" ht="15.75" customHeight="1">
      <c r="O750" s="1"/>
      <c r="P750" s="2"/>
      <c r="R750" s="4"/>
    </row>
    <row r="751" ht="15.75" customHeight="1">
      <c r="O751" s="1"/>
      <c r="P751" s="2"/>
      <c r="R751" s="4"/>
    </row>
    <row r="752" ht="15.75" customHeight="1">
      <c r="O752" s="1"/>
      <c r="P752" s="2"/>
      <c r="R752" s="4"/>
    </row>
    <row r="753" ht="15.75" customHeight="1">
      <c r="O753" s="1"/>
      <c r="P753" s="2"/>
      <c r="R753" s="4"/>
    </row>
    <row r="754" ht="15.75" customHeight="1">
      <c r="O754" s="1"/>
      <c r="P754" s="2"/>
      <c r="R754" s="4"/>
    </row>
    <row r="755" ht="15.75" customHeight="1">
      <c r="O755" s="1"/>
      <c r="P755" s="2"/>
      <c r="R755" s="4"/>
    </row>
    <row r="756" ht="15.75" customHeight="1">
      <c r="O756" s="1"/>
      <c r="P756" s="2"/>
      <c r="R756" s="4"/>
    </row>
    <row r="757" ht="15.75" customHeight="1">
      <c r="O757" s="1"/>
      <c r="P757" s="2"/>
      <c r="R757" s="4"/>
    </row>
    <row r="758" ht="15.75" customHeight="1">
      <c r="O758" s="1"/>
      <c r="P758" s="2"/>
      <c r="R758" s="4"/>
    </row>
    <row r="759" ht="15.75" customHeight="1">
      <c r="O759" s="1"/>
      <c r="P759" s="2"/>
      <c r="R759" s="4"/>
    </row>
    <row r="760" ht="15.75" customHeight="1">
      <c r="O760" s="1"/>
      <c r="P760" s="2"/>
      <c r="R760" s="4"/>
    </row>
    <row r="761" ht="15.75" customHeight="1">
      <c r="O761" s="1"/>
      <c r="P761" s="2"/>
      <c r="R761" s="4"/>
    </row>
    <row r="762" ht="15.75" customHeight="1">
      <c r="O762" s="1"/>
      <c r="P762" s="2"/>
      <c r="R762" s="4"/>
    </row>
    <row r="763" ht="15.75" customHeight="1">
      <c r="O763" s="1"/>
      <c r="P763" s="2"/>
      <c r="R763" s="4"/>
    </row>
    <row r="764" ht="15.75" customHeight="1">
      <c r="O764" s="1"/>
      <c r="P764" s="2"/>
      <c r="R764" s="4"/>
    </row>
    <row r="765" ht="15.75" customHeight="1">
      <c r="O765" s="1"/>
      <c r="P765" s="2"/>
      <c r="R765" s="4"/>
    </row>
    <row r="766" ht="15.75" customHeight="1">
      <c r="O766" s="1"/>
      <c r="P766" s="2"/>
      <c r="R766" s="4"/>
    </row>
    <row r="767" ht="15.75" customHeight="1">
      <c r="O767" s="1"/>
      <c r="P767" s="2"/>
      <c r="R767" s="4"/>
    </row>
    <row r="768" ht="15.75" customHeight="1">
      <c r="O768" s="1"/>
      <c r="P768" s="2"/>
      <c r="R768" s="4"/>
    </row>
    <row r="769" ht="15.75" customHeight="1">
      <c r="O769" s="1"/>
      <c r="P769" s="2"/>
      <c r="R769" s="4"/>
    </row>
    <row r="770" ht="15.75" customHeight="1">
      <c r="O770" s="1"/>
      <c r="P770" s="2"/>
      <c r="R770" s="4"/>
    </row>
    <row r="771" ht="15.75" customHeight="1">
      <c r="O771" s="1"/>
      <c r="P771" s="2"/>
      <c r="R771" s="4"/>
    </row>
    <row r="772" ht="15.75" customHeight="1">
      <c r="O772" s="1"/>
      <c r="P772" s="2"/>
      <c r="R772" s="4"/>
    </row>
    <row r="773" ht="15.75" customHeight="1">
      <c r="O773" s="1"/>
      <c r="P773" s="2"/>
      <c r="R773" s="4"/>
    </row>
    <row r="774" ht="15.75" customHeight="1">
      <c r="O774" s="1"/>
      <c r="P774" s="2"/>
      <c r="R774" s="4"/>
    </row>
    <row r="775" ht="15.75" customHeight="1">
      <c r="O775" s="1"/>
      <c r="P775" s="2"/>
      <c r="R775" s="4"/>
    </row>
    <row r="776" ht="15.75" customHeight="1">
      <c r="O776" s="1"/>
      <c r="P776" s="2"/>
      <c r="R776" s="4"/>
    </row>
    <row r="777" ht="15.75" customHeight="1">
      <c r="O777" s="1"/>
      <c r="P777" s="2"/>
      <c r="R777" s="4"/>
    </row>
    <row r="778" ht="15.75" customHeight="1">
      <c r="O778" s="1"/>
      <c r="P778" s="2"/>
      <c r="R778" s="4"/>
    </row>
    <row r="779" ht="15.75" customHeight="1">
      <c r="O779" s="1"/>
      <c r="P779" s="2"/>
      <c r="R779" s="4"/>
    </row>
    <row r="780" ht="15.75" customHeight="1">
      <c r="O780" s="1"/>
      <c r="P780" s="2"/>
      <c r="R780" s="4"/>
    </row>
    <row r="781" ht="15.75" customHeight="1">
      <c r="O781" s="1"/>
      <c r="P781" s="2"/>
      <c r="R781" s="4"/>
    </row>
    <row r="782" ht="15.75" customHeight="1">
      <c r="O782" s="1"/>
      <c r="P782" s="2"/>
      <c r="R782" s="4"/>
    </row>
    <row r="783" ht="15.75" customHeight="1">
      <c r="O783" s="1"/>
      <c r="P783" s="2"/>
      <c r="R783" s="4"/>
    </row>
    <row r="784" ht="15.75" customHeight="1">
      <c r="O784" s="1"/>
      <c r="P784" s="2"/>
      <c r="R784" s="4"/>
    </row>
    <row r="785" ht="15.75" customHeight="1">
      <c r="O785" s="1"/>
      <c r="P785" s="2"/>
      <c r="R785" s="4"/>
    </row>
    <row r="786" ht="15.75" customHeight="1">
      <c r="O786" s="1"/>
      <c r="P786" s="2"/>
      <c r="R786" s="4"/>
    </row>
    <row r="787" ht="15.75" customHeight="1">
      <c r="O787" s="1"/>
      <c r="P787" s="2"/>
      <c r="R787" s="4"/>
    </row>
    <row r="788" ht="15.75" customHeight="1">
      <c r="O788" s="1"/>
      <c r="P788" s="2"/>
      <c r="R788" s="4"/>
    </row>
    <row r="789" ht="15.75" customHeight="1">
      <c r="O789" s="1"/>
      <c r="P789" s="2"/>
      <c r="R789" s="4"/>
    </row>
    <row r="790" ht="15.75" customHeight="1">
      <c r="O790" s="1"/>
      <c r="P790" s="2"/>
      <c r="R790" s="4"/>
    </row>
    <row r="791" ht="15.75" customHeight="1">
      <c r="O791" s="1"/>
      <c r="P791" s="2"/>
      <c r="R791" s="4"/>
    </row>
    <row r="792" ht="15.75" customHeight="1">
      <c r="O792" s="1"/>
      <c r="P792" s="2"/>
      <c r="R792" s="4"/>
    </row>
    <row r="793" ht="15.75" customHeight="1">
      <c r="O793" s="1"/>
      <c r="P793" s="2"/>
      <c r="R793" s="4"/>
    </row>
    <row r="794" ht="15.75" customHeight="1">
      <c r="O794" s="1"/>
      <c r="P794" s="2"/>
      <c r="R794" s="4"/>
    </row>
    <row r="795" ht="15.75" customHeight="1">
      <c r="O795" s="1"/>
      <c r="P795" s="2"/>
      <c r="R795" s="4"/>
    </row>
    <row r="796" ht="15.75" customHeight="1">
      <c r="O796" s="1"/>
      <c r="P796" s="2"/>
      <c r="R796" s="4"/>
    </row>
    <row r="797" ht="15.75" customHeight="1">
      <c r="O797" s="1"/>
      <c r="P797" s="2"/>
      <c r="R797" s="4"/>
    </row>
    <row r="798" ht="15.75" customHeight="1">
      <c r="O798" s="1"/>
      <c r="P798" s="2"/>
      <c r="R798" s="4"/>
    </row>
    <row r="799" ht="15.75" customHeight="1">
      <c r="O799" s="1"/>
      <c r="P799" s="2"/>
      <c r="R799" s="4"/>
    </row>
    <row r="800" ht="15.75" customHeight="1">
      <c r="O800" s="1"/>
      <c r="P800" s="2"/>
      <c r="R800" s="4"/>
    </row>
    <row r="801" ht="15.75" customHeight="1">
      <c r="O801" s="1"/>
      <c r="P801" s="2"/>
      <c r="R801" s="4"/>
    </row>
    <row r="802" ht="15.75" customHeight="1">
      <c r="O802" s="1"/>
      <c r="P802" s="2"/>
      <c r="R802" s="4"/>
    </row>
    <row r="803" ht="15.75" customHeight="1">
      <c r="O803" s="1"/>
      <c r="P803" s="2"/>
      <c r="R803" s="4"/>
    </row>
    <row r="804" ht="15.75" customHeight="1">
      <c r="O804" s="1"/>
      <c r="P804" s="2"/>
      <c r="R804" s="4"/>
    </row>
    <row r="805" ht="15.75" customHeight="1">
      <c r="O805" s="1"/>
      <c r="P805" s="2"/>
      <c r="R805" s="4"/>
    </row>
    <row r="806" ht="15.75" customHeight="1">
      <c r="O806" s="1"/>
      <c r="P806" s="2"/>
      <c r="R806" s="4"/>
    </row>
    <row r="807" ht="15.75" customHeight="1">
      <c r="O807" s="1"/>
      <c r="P807" s="2"/>
      <c r="R807" s="4"/>
    </row>
    <row r="808" ht="15.75" customHeight="1">
      <c r="O808" s="1"/>
      <c r="P808" s="2"/>
      <c r="R808" s="4"/>
    </row>
    <row r="809" ht="15.75" customHeight="1">
      <c r="O809" s="1"/>
      <c r="P809" s="2"/>
      <c r="R809" s="4"/>
    </row>
    <row r="810" ht="15.75" customHeight="1">
      <c r="O810" s="1"/>
      <c r="P810" s="2"/>
      <c r="R810" s="4"/>
    </row>
    <row r="811" ht="15.75" customHeight="1">
      <c r="O811" s="1"/>
      <c r="P811" s="2"/>
      <c r="R811" s="4"/>
    </row>
    <row r="812" ht="15.75" customHeight="1">
      <c r="O812" s="1"/>
      <c r="P812" s="2"/>
      <c r="R812" s="4"/>
    </row>
    <row r="813" ht="15.75" customHeight="1">
      <c r="O813" s="1"/>
      <c r="P813" s="2"/>
      <c r="R813" s="4"/>
    </row>
    <row r="814" ht="15.75" customHeight="1">
      <c r="O814" s="1"/>
      <c r="P814" s="2"/>
      <c r="R814" s="4"/>
    </row>
    <row r="815" ht="15.75" customHeight="1">
      <c r="O815" s="1"/>
      <c r="P815" s="2"/>
      <c r="R815" s="4"/>
    </row>
    <row r="816" ht="15.75" customHeight="1">
      <c r="O816" s="1"/>
      <c r="P816" s="2"/>
      <c r="R816" s="4"/>
    </row>
    <row r="817" ht="15.75" customHeight="1">
      <c r="O817" s="1"/>
      <c r="P817" s="2"/>
      <c r="R817" s="4"/>
    </row>
    <row r="818" ht="15.75" customHeight="1">
      <c r="O818" s="1"/>
      <c r="P818" s="2"/>
      <c r="R818" s="4"/>
    </row>
    <row r="819" ht="15.75" customHeight="1">
      <c r="O819" s="1"/>
      <c r="P819" s="2"/>
      <c r="R819" s="4"/>
    </row>
    <row r="820" ht="15.75" customHeight="1">
      <c r="O820" s="1"/>
      <c r="P820" s="2"/>
      <c r="R820" s="4"/>
    </row>
    <row r="821" ht="15.75" customHeight="1">
      <c r="O821" s="1"/>
      <c r="P821" s="2"/>
      <c r="R821" s="4"/>
    </row>
    <row r="822" ht="15.75" customHeight="1">
      <c r="O822" s="1"/>
      <c r="P822" s="2"/>
      <c r="R822" s="4"/>
    </row>
    <row r="823" ht="15.75" customHeight="1">
      <c r="O823" s="1"/>
      <c r="P823" s="2"/>
      <c r="R823" s="4"/>
    </row>
    <row r="824" ht="15.75" customHeight="1">
      <c r="O824" s="1"/>
      <c r="P824" s="2"/>
      <c r="R824" s="4"/>
    </row>
    <row r="825" ht="15.75" customHeight="1">
      <c r="O825" s="1"/>
      <c r="P825" s="2"/>
      <c r="R825" s="4"/>
    </row>
    <row r="826" ht="15.75" customHeight="1">
      <c r="O826" s="1"/>
      <c r="P826" s="2"/>
      <c r="R826" s="4"/>
    </row>
    <row r="827" ht="15.75" customHeight="1">
      <c r="O827" s="1"/>
      <c r="P827" s="2"/>
      <c r="R827" s="4"/>
    </row>
    <row r="828" ht="15.75" customHeight="1">
      <c r="O828" s="1"/>
      <c r="P828" s="2"/>
      <c r="R828" s="4"/>
    </row>
    <row r="829" ht="15.75" customHeight="1">
      <c r="O829" s="1"/>
      <c r="P829" s="2"/>
      <c r="R829" s="4"/>
    </row>
    <row r="830" ht="15.75" customHeight="1">
      <c r="O830" s="1"/>
      <c r="P830" s="2"/>
      <c r="R830" s="4"/>
    </row>
    <row r="831" ht="15.75" customHeight="1">
      <c r="O831" s="1"/>
      <c r="P831" s="2"/>
      <c r="R831" s="4"/>
    </row>
    <row r="832" ht="15.75" customHeight="1">
      <c r="O832" s="1"/>
      <c r="P832" s="2"/>
      <c r="R832" s="4"/>
    </row>
    <row r="833" ht="15.75" customHeight="1">
      <c r="O833" s="1"/>
      <c r="P833" s="2"/>
      <c r="R833" s="4"/>
    </row>
    <row r="834" ht="15.75" customHeight="1">
      <c r="O834" s="1"/>
      <c r="P834" s="2"/>
      <c r="R834" s="4"/>
    </row>
    <row r="835" ht="15.75" customHeight="1">
      <c r="O835" s="1"/>
      <c r="P835" s="2"/>
      <c r="R835" s="4"/>
    </row>
    <row r="836" ht="15.75" customHeight="1">
      <c r="O836" s="1"/>
      <c r="P836" s="2"/>
      <c r="R836" s="4"/>
    </row>
    <row r="837" ht="15.75" customHeight="1">
      <c r="O837" s="1"/>
      <c r="P837" s="2"/>
      <c r="R837" s="4"/>
    </row>
    <row r="838" ht="15.75" customHeight="1">
      <c r="O838" s="1"/>
      <c r="P838" s="2"/>
      <c r="R838" s="4"/>
    </row>
    <row r="839" ht="15.75" customHeight="1">
      <c r="O839" s="1"/>
      <c r="P839" s="2"/>
      <c r="R839" s="4"/>
    </row>
    <row r="840" ht="15.75" customHeight="1">
      <c r="O840" s="1"/>
      <c r="P840" s="2"/>
      <c r="R840" s="4"/>
    </row>
    <row r="841" ht="15.75" customHeight="1">
      <c r="O841" s="1"/>
      <c r="P841" s="2"/>
      <c r="R841" s="4"/>
    </row>
    <row r="842" ht="15.75" customHeight="1">
      <c r="O842" s="1"/>
      <c r="P842" s="2"/>
      <c r="R842" s="4"/>
    </row>
    <row r="843" ht="15.75" customHeight="1">
      <c r="O843" s="1"/>
      <c r="P843" s="2"/>
      <c r="R843" s="4"/>
    </row>
    <row r="844" ht="15.75" customHeight="1">
      <c r="O844" s="1"/>
      <c r="P844" s="2"/>
      <c r="R844" s="4"/>
    </row>
    <row r="845" ht="15.75" customHeight="1">
      <c r="O845" s="1"/>
      <c r="P845" s="2"/>
      <c r="R845" s="4"/>
    </row>
    <row r="846" ht="15.75" customHeight="1">
      <c r="O846" s="1"/>
      <c r="P846" s="2"/>
      <c r="R846" s="4"/>
    </row>
    <row r="847" ht="15.75" customHeight="1">
      <c r="O847" s="1"/>
      <c r="P847" s="2"/>
      <c r="R847" s="4"/>
    </row>
    <row r="848" ht="15.75" customHeight="1">
      <c r="O848" s="1"/>
      <c r="P848" s="2"/>
      <c r="R848" s="4"/>
    </row>
    <row r="849" ht="15.75" customHeight="1">
      <c r="O849" s="1"/>
      <c r="P849" s="2"/>
      <c r="R849" s="4"/>
    </row>
    <row r="850" ht="15.75" customHeight="1">
      <c r="O850" s="1"/>
      <c r="P850" s="2"/>
      <c r="R850" s="4"/>
    </row>
    <row r="851" ht="15.75" customHeight="1">
      <c r="O851" s="1"/>
      <c r="P851" s="2"/>
      <c r="R851" s="4"/>
    </row>
    <row r="852" ht="15.75" customHeight="1">
      <c r="O852" s="1"/>
      <c r="P852" s="2"/>
      <c r="R852" s="4"/>
    </row>
    <row r="853" ht="15.75" customHeight="1">
      <c r="O853" s="1"/>
      <c r="P853" s="2"/>
      <c r="R853" s="4"/>
    </row>
    <row r="854" ht="15.75" customHeight="1">
      <c r="O854" s="1"/>
      <c r="P854" s="2"/>
      <c r="R854" s="4"/>
    </row>
    <row r="855" ht="15.75" customHeight="1">
      <c r="O855" s="1"/>
      <c r="P855" s="2"/>
      <c r="R855" s="4"/>
    </row>
    <row r="856" ht="15.75" customHeight="1">
      <c r="O856" s="1"/>
      <c r="P856" s="2"/>
      <c r="R856" s="4"/>
    </row>
    <row r="857" ht="15.75" customHeight="1">
      <c r="O857" s="1"/>
      <c r="P857" s="2"/>
      <c r="R857" s="4"/>
    </row>
    <row r="858" ht="15.75" customHeight="1">
      <c r="O858" s="1"/>
      <c r="P858" s="2"/>
      <c r="R858" s="4"/>
    </row>
    <row r="859" ht="15.75" customHeight="1">
      <c r="O859" s="1"/>
      <c r="P859" s="2"/>
      <c r="R859" s="4"/>
    </row>
    <row r="860" ht="15.75" customHeight="1">
      <c r="O860" s="1"/>
      <c r="P860" s="2"/>
      <c r="R860" s="4"/>
    </row>
    <row r="861" ht="15.75" customHeight="1">
      <c r="O861" s="1"/>
      <c r="P861" s="2"/>
      <c r="R861" s="4"/>
    </row>
    <row r="862" ht="15.75" customHeight="1">
      <c r="O862" s="1"/>
      <c r="P862" s="2"/>
      <c r="R862" s="4"/>
    </row>
    <row r="863" ht="15.75" customHeight="1">
      <c r="O863" s="1"/>
      <c r="P863" s="2"/>
      <c r="R863" s="4"/>
    </row>
    <row r="864" ht="15.75" customHeight="1">
      <c r="O864" s="1"/>
      <c r="P864" s="2"/>
      <c r="R864" s="4"/>
    </row>
    <row r="865" ht="15.75" customHeight="1">
      <c r="O865" s="1"/>
      <c r="P865" s="2"/>
      <c r="R865" s="4"/>
    </row>
    <row r="866" ht="15.75" customHeight="1">
      <c r="O866" s="1"/>
      <c r="P866" s="2"/>
      <c r="R866" s="4"/>
    </row>
    <row r="867" ht="15.75" customHeight="1">
      <c r="O867" s="1"/>
      <c r="P867" s="2"/>
      <c r="R867" s="4"/>
    </row>
    <row r="868" ht="15.75" customHeight="1">
      <c r="O868" s="1"/>
      <c r="P868" s="2"/>
      <c r="R868" s="4"/>
    </row>
    <row r="869" ht="15.75" customHeight="1">
      <c r="O869" s="1"/>
      <c r="P869" s="2"/>
      <c r="R869" s="4"/>
    </row>
    <row r="870" ht="15.75" customHeight="1">
      <c r="O870" s="1"/>
      <c r="P870" s="2"/>
      <c r="R870" s="4"/>
    </row>
    <row r="871" ht="15.75" customHeight="1">
      <c r="O871" s="1"/>
      <c r="P871" s="2"/>
      <c r="R871" s="4"/>
    </row>
    <row r="872" ht="15.75" customHeight="1">
      <c r="O872" s="1"/>
      <c r="P872" s="2"/>
      <c r="R872" s="4"/>
    </row>
    <row r="873" ht="15.75" customHeight="1">
      <c r="O873" s="1"/>
      <c r="P873" s="2"/>
      <c r="R873" s="4"/>
    </row>
    <row r="874" ht="15.75" customHeight="1">
      <c r="O874" s="1"/>
      <c r="P874" s="2"/>
      <c r="R874" s="4"/>
    </row>
    <row r="875" ht="15.75" customHeight="1">
      <c r="O875" s="1"/>
      <c r="P875" s="2"/>
      <c r="R875" s="4"/>
    </row>
    <row r="876" ht="15.75" customHeight="1">
      <c r="O876" s="1"/>
      <c r="P876" s="2"/>
      <c r="R876" s="4"/>
    </row>
    <row r="877" ht="15.75" customHeight="1">
      <c r="O877" s="1"/>
      <c r="P877" s="2"/>
      <c r="R877" s="4"/>
    </row>
    <row r="878" ht="15.75" customHeight="1">
      <c r="O878" s="1"/>
      <c r="P878" s="2"/>
      <c r="R878" s="4"/>
    </row>
    <row r="879" ht="15.75" customHeight="1">
      <c r="O879" s="1"/>
      <c r="P879" s="2"/>
      <c r="R879" s="4"/>
    </row>
    <row r="880" ht="15.75" customHeight="1">
      <c r="O880" s="1"/>
      <c r="P880" s="2"/>
      <c r="R880" s="4"/>
    </row>
    <row r="881" ht="15.75" customHeight="1">
      <c r="O881" s="1"/>
      <c r="P881" s="2"/>
      <c r="R881" s="4"/>
    </row>
    <row r="882" ht="15.75" customHeight="1">
      <c r="O882" s="1"/>
      <c r="P882" s="2"/>
      <c r="R882" s="4"/>
    </row>
    <row r="883" ht="15.75" customHeight="1">
      <c r="O883" s="1"/>
      <c r="P883" s="2"/>
      <c r="R883" s="4"/>
    </row>
    <row r="884" ht="15.75" customHeight="1">
      <c r="O884" s="1"/>
      <c r="P884" s="2"/>
      <c r="R884" s="4"/>
    </row>
    <row r="885" ht="15.75" customHeight="1">
      <c r="O885" s="1"/>
      <c r="P885" s="2"/>
      <c r="R885" s="4"/>
    </row>
    <row r="886" ht="15.75" customHeight="1">
      <c r="O886" s="1"/>
      <c r="P886" s="2"/>
      <c r="R886" s="4"/>
    </row>
    <row r="887" ht="15.75" customHeight="1">
      <c r="O887" s="1"/>
      <c r="P887" s="2"/>
      <c r="R887" s="4"/>
    </row>
    <row r="888" ht="15.75" customHeight="1">
      <c r="O888" s="1"/>
      <c r="P888" s="2"/>
      <c r="R888" s="4"/>
    </row>
    <row r="889" ht="15.75" customHeight="1">
      <c r="O889" s="1"/>
      <c r="P889" s="2"/>
      <c r="R889" s="4"/>
    </row>
    <row r="890" ht="15.75" customHeight="1">
      <c r="O890" s="1"/>
      <c r="P890" s="2"/>
      <c r="R890" s="4"/>
    </row>
    <row r="891" ht="15.75" customHeight="1">
      <c r="O891" s="1"/>
      <c r="P891" s="2"/>
      <c r="R891" s="4"/>
    </row>
    <row r="892" ht="15.75" customHeight="1">
      <c r="O892" s="1"/>
      <c r="P892" s="2"/>
      <c r="R892" s="4"/>
    </row>
    <row r="893" ht="15.75" customHeight="1">
      <c r="O893" s="1"/>
      <c r="P893" s="2"/>
      <c r="R893" s="4"/>
    </row>
    <row r="894" ht="15.75" customHeight="1">
      <c r="O894" s="1"/>
      <c r="P894" s="2"/>
      <c r="R894" s="4"/>
    </row>
    <row r="895" ht="15.75" customHeight="1">
      <c r="O895" s="1"/>
      <c r="P895" s="2"/>
      <c r="R895" s="4"/>
    </row>
    <row r="896" ht="15.75" customHeight="1">
      <c r="O896" s="1"/>
      <c r="P896" s="2"/>
      <c r="R896" s="4"/>
    </row>
    <row r="897" ht="15.75" customHeight="1">
      <c r="O897" s="1"/>
      <c r="P897" s="2"/>
      <c r="R897" s="4"/>
    </row>
    <row r="898" ht="15.75" customHeight="1">
      <c r="O898" s="1"/>
      <c r="P898" s="2"/>
      <c r="R898" s="4"/>
    </row>
    <row r="899" ht="15.75" customHeight="1">
      <c r="O899" s="1"/>
      <c r="P899" s="2"/>
      <c r="R899" s="4"/>
    </row>
    <row r="900" ht="15.75" customHeight="1">
      <c r="O900" s="1"/>
      <c r="P900" s="2"/>
      <c r="R900" s="4"/>
    </row>
    <row r="901" ht="15.75" customHeight="1">
      <c r="O901" s="1"/>
      <c r="P901" s="2"/>
      <c r="R901" s="4"/>
    </row>
    <row r="902" ht="15.75" customHeight="1">
      <c r="O902" s="1"/>
      <c r="P902" s="2"/>
      <c r="R902" s="4"/>
    </row>
    <row r="903" ht="15.75" customHeight="1">
      <c r="O903" s="1"/>
      <c r="P903" s="2"/>
      <c r="R903" s="4"/>
    </row>
    <row r="904" ht="15.75" customHeight="1">
      <c r="O904" s="1"/>
      <c r="P904" s="2"/>
      <c r="R904" s="4"/>
    </row>
    <row r="905" ht="15.75" customHeight="1">
      <c r="O905" s="1"/>
      <c r="P905" s="2"/>
      <c r="R905" s="4"/>
    </row>
    <row r="906" ht="15.75" customHeight="1">
      <c r="O906" s="1"/>
      <c r="P906" s="2"/>
      <c r="R906" s="4"/>
    </row>
    <row r="907" ht="15.75" customHeight="1">
      <c r="O907" s="1"/>
      <c r="P907" s="2"/>
      <c r="R907" s="4"/>
    </row>
    <row r="908" ht="15.75" customHeight="1">
      <c r="O908" s="1"/>
      <c r="P908" s="2"/>
      <c r="R908" s="4"/>
    </row>
    <row r="909" ht="15.75" customHeight="1">
      <c r="O909" s="1"/>
      <c r="P909" s="2"/>
      <c r="R909" s="4"/>
    </row>
    <row r="910" ht="15.75" customHeight="1">
      <c r="O910" s="1"/>
      <c r="P910" s="2"/>
      <c r="R910" s="4"/>
    </row>
    <row r="911" ht="15.75" customHeight="1">
      <c r="O911" s="1"/>
      <c r="P911" s="2"/>
      <c r="R911" s="4"/>
    </row>
    <row r="912" ht="15.75" customHeight="1">
      <c r="O912" s="1"/>
      <c r="P912" s="2"/>
      <c r="R912" s="4"/>
    </row>
    <row r="913" ht="15.75" customHeight="1">
      <c r="O913" s="1"/>
      <c r="P913" s="2"/>
      <c r="R913" s="4"/>
    </row>
    <row r="914" ht="15.75" customHeight="1">
      <c r="O914" s="1"/>
      <c r="P914" s="2"/>
      <c r="R914" s="4"/>
    </row>
    <row r="915" ht="15.75" customHeight="1">
      <c r="O915" s="1"/>
      <c r="P915" s="2"/>
      <c r="R915" s="4"/>
    </row>
    <row r="916" ht="15.75" customHeight="1">
      <c r="O916" s="1"/>
      <c r="P916" s="2"/>
      <c r="R916" s="4"/>
    </row>
    <row r="917" ht="15.75" customHeight="1">
      <c r="O917" s="1"/>
      <c r="P917" s="2"/>
      <c r="R917" s="4"/>
    </row>
    <row r="918" ht="15.75" customHeight="1">
      <c r="O918" s="1"/>
      <c r="P918" s="2"/>
      <c r="R918" s="4"/>
    </row>
    <row r="919" ht="15.75" customHeight="1">
      <c r="O919" s="1"/>
      <c r="P919" s="2"/>
      <c r="R919" s="4"/>
    </row>
    <row r="920" ht="15.75" customHeight="1">
      <c r="O920" s="1"/>
      <c r="P920" s="2"/>
      <c r="R920" s="4"/>
    </row>
    <row r="921" ht="15.75" customHeight="1">
      <c r="O921" s="1"/>
      <c r="P921" s="2"/>
      <c r="R921" s="4"/>
    </row>
    <row r="922" ht="15.75" customHeight="1">
      <c r="O922" s="1"/>
      <c r="P922" s="2"/>
      <c r="R922" s="4"/>
    </row>
    <row r="923" ht="15.75" customHeight="1">
      <c r="O923" s="1"/>
      <c r="P923" s="2"/>
      <c r="R923" s="4"/>
    </row>
    <row r="924" ht="15.75" customHeight="1">
      <c r="O924" s="1"/>
      <c r="P924" s="2"/>
      <c r="R924" s="4"/>
    </row>
    <row r="925" ht="15.75" customHeight="1">
      <c r="O925" s="1"/>
      <c r="P925" s="2"/>
      <c r="R925" s="4"/>
    </row>
    <row r="926" ht="15.75" customHeight="1">
      <c r="O926" s="1"/>
      <c r="P926" s="2"/>
      <c r="R926" s="4"/>
    </row>
    <row r="927" ht="15.75" customHeight="1">
      <c r="O927" s="1"/>
      <c r="P927" s="2"/>
      <c r="R927" s="4"/>
    </row>
    <row r="928" ht="15.75" customHeight="1">
      <c r="O928" s="1"/>
      <c r="P928" s="2"/>
      <c r="R928" s="4"/>
    </row>
    <row r="929" ht="15.75" customHeight="1">
      <c r="O929" s="1"/>
      <c r="P929" s="2"/>
      <c r="R929" s="4"/>
    </row>
    <row r="930" ht="15.75" customHeight="1">
      <c r="O930" s="1"/>
      <c r="P930" s="2"/>
      <c r="R930" s="4"/>
    </row>
    <row r="931" ht="15.75" customHeight="1">
      <c r="O931" s="1"/>
      <c r="P931" s="2"/>
      <c r="R931" s="4"/>
    </row>
    <row r="932" ht="15.75" customHeight="1">
      <c r="O932" s="1"/>
      <c r="P932" s="2"/>
      <c r="R932" s="4"/>
    </row>
    <row r="933" ht="15.75" customHeight="1">
      <c r="O933" s="1"/>
      <c r="P933" s="2"/>
      <c r="R933" s="4"/>
    </row>
    <row r="934" ht="15.75" customHeight="1">
      <c r="O934" s="1"/>
      <c r="P934" s="2"/>
      <c r="R934" s="4"/>
    </row>
    <row r="935" ht="15.75" customHeight="1">
      <c r="O935" s="1"/>
      <c r="P935" s="2"/>
      <c r="R935" s="4"/>
    </row>
    <row r="936" ht="15.75" customHeight="1">
      <c r="O936" s="1"/>
      <c r="P936" s="2"/>
      <c r="R936" s="4"/>
    </row>
    <row r="937" ht="15.75" customHeight="1">
      <c r="O937" s="1"/>
      <c r="P937" s="2"/>
      <c r="R937" s="4"/>
    </row>
    <row r="938" ht="15.75" customHeight="1">
      <c r="O938" s="1"/>
      <c r="P938" s="2"/>
      <c r="R938" s="4"/>
    </row>
    <row r="939" ht="15.75" customHeight="1">
      <c r="O939" s="1"/>
      <c r="P939" s="2"/>
      <c r="R939" s="4"/>
    </row>
    <row r="940" ht="15.75" customHeight="1">
      <c r="O940" s="1"/>
      <c r="P940" s="2"/>
      <c r="R940" s="4"/>
    </row>
    <row r="941" ht="15.75" customHeight="1">
      <c r="O941" s="1"/>
      <c r="P941" s="2"/>
      <c r="R941" s="4"/>
    </row>
    <row r="942" ht="15.75" customHeight="1">
      <c r="O942" s="1"/>
      <c r="P942" s="2"/>
      <c r="R942" s="4"/>
    </row>
    <row r="943" ht="15.75" customHeight="1">
      <c r="O943" s="1"/>
      <c r="P943" s="2"/>
      <c r="R943" s="4"/>
    </row>
    <row r="944" ht="15.75" customHeight="1">
      <c r="O944" s="1"/>
      <c r="P944" s="2"/>
      <c r="R944" s="4"/>
    </row>
    <row r="945" ht="15.75" customHeight="1">
      <c r="O945" s="1"/>
      <c r="P945" s="2"/>
      <c r="R945" s="4"/>
    </row>
    <row r="946" ht="15.75" customHeight="1">
      <c r="O946" s="1"/>
      <c r="P946" s="2"/>
      <c r="R946" s="4"/>
    </row>
    <row r="947" ht="15.75" customHeight="1">
      <c r="O947" s="1"/>
      <c r="P947" s="2"/>
      <c r="R947" s="4"/>
    </row>
    <row r="948" ht="15.75" customHeight="1">
      <c r="O948" s="1"/>
      <c r="P948" s="2"/>
      <c r="R948" s="4"/>
    </row>
    <row r="949" ht="15.75" customHeight="1">
      <c r="O949" s="1"/>
      <c r="P949" s="2"/>
      <c r="R949" s="4"/>
    </row>
    <row r="950" ht="15.75" customHeight="1">
      <c r="O950" s="1"/>
      <c r="P950" s="2"/>
      <c r="R950" s="4"/>
    </row>
    <row r="951" ht="15.75" customHeight="1">
      <c r="O951" s="1"/>
      <c r="P951" s="2"/>
      <c r="R951" s="4"/>
    </row>
    <row r="952" ht="15.75" customHeight="1">
      <c r="O952" s="1"/>
      <c r="P952" s="2"/>
      <c r="R952" s="4"/>
    </row>
    <row r="953" ht="15.75" customHeight="1">
      <c r="O953" s="1"/>
      <c r="P953" s="2"/>
      <c r="R953" s="4"/>
    </row>
    <row r="954" ht="15.75" customHeight="1">
      <c r="O954" s="1"/>
      <c r="P954" s="2"/>
      <c r="R954" s="4"/>
    </row>
    <row r="955" ht="15.75" customHeight="1">
      <c r="O955" s="1"/>
      <c r="P955" s="2"/>
      <c r="R955" s="4"/>
    </row>
    <row r="956" ht="15.75" customHeight="1">
      <c r="O956" s="1"/>
      <c r="P956" s="2"/>
      <c r="R956" s="4"/>
    </row>
    <row r="957" ht="15.75" customHeight="1">
      <c r="O957" s="1"/>
      <c r="P957" s="2"/>
      <c r="R957" s="4"/>
    </row>
    <row r="958" ht="15.75" customHeight="1">
      <c r="O958" s="1"/>
      <c r="P958" s="2"/>
      <c r="R958" s="4"/>
    </row>
    <row r="959" ht="15.75" customHeight="1">
      <c r="O959" s="1"/>
      <c r="P959" s="2"/>
      <c r="R959" s="4"/>
    </row>
    <row r="960" ht="15.75" customHeight="1">
      <c r="O960" s="1"/>
      <c r="P960" s="2"/>
      <c r="R960" s="4"/>
    </row>
    <row r="961" ht="15.75" customHeight="1">
      <c r="O961" s="1"/>
      <c r="P961" s="2"/>
      <c r="R961" s="4"/>
    </row>
    <row r="962" ht="15.75" customHeight="1">
      <c r="O962" s="1"/>
      <c r="P962" s="2"/>
      <c r="R962" s="4"/>
    </row>
    <row r="963" ht="15.75" customHeight="1">
      <c r="O963" s="1"/>
      <c r="P963" s="2"/>
      <c r="R963" s="4"/>
    </row>
    <row r="964" ht="15.75" customHeight="1">
      <c r="O964" s="1"/>
      <c r="P964" s="2"/>
      <c r="R964" s="4"/>
    </row>
    <row r="965" ht="15.75" customHeight="1">
      <c r="O965" s="1"/>
      <c r="P965" s="2"/>
      <c r="R965" s="4"/>
    </row>
    <row r="966" ht="15.75" customHeight="1">
      <c r="O966" s="1"/>
      <c r="P966" s="2"/>
      <c r="R966" s="4"/>
    </row>
    <row r="967" ht="15.75" customHeight="1">
      <c r="O967" s="1"/>
      <c r="P967" s="2"/>
      <c r="R967" s="4"/>
    </row>
    <row r="968" ht="15.75" customHeight="1">
      <c r="O968" s="1"/>
      <c r="P968" s="2"/>
      <c r="R968" s="4"/>
    </row>
    <row r="969" ht="15.75" customHeight="1">
      <c r="O969" s="1"/>
      <c r="P969" s="2"/>
      <c r="R969" s="4"/>
    </row>
    <row r="970" ht="15.75" customHeight="1">
      <c r="O970" s="1"/>
      <c r="P970" s="2"/>
      <c r="R970" s="4"/>
    </row>
    <row r="971" ht="15.75" customHeight="1">
      <c r="O971" s="1"/>
      <c r="P971" s="2"/>
      <c r="R971" s="4"/>
    </row>
    <row r="972" ht="15.75" customHeight="1">
      <c r="O972" s="1"/>
      <c r="P972" s="2"/>
      <c r="R972" s="4"/>
    </row>
    <row r="973" ht="15.75" customHeight="1">
      <c r="O973" s="1"/>
      <c r="P973" s="2"/>
      <c r="R973" s="4"/>
    </row>
    <row r="974" ht="15.75" customHeight="1">
      <c r="O974" s="1"/>
      <c r="P974" s="2"/>
      <c r="R974" s="4"/>
    </row>
    <row r="975" ht="15.75" customHeight="1">
      <c r="O975" s="1"/>
      <c r="P975" s="2"/>
      <c r="R975" s="4"/>
    </row>
    <row r="976" ht="15.75" customHeight="1">
      <c r="O976" s="1"/>
      <c r="P976" s="2"/>
      <c r="R976" s="4"/>
    </row>
    <row r="977" ht="15.75" customHeight="1">
      <c r="O977" s="1"/>
      <c r="P977" s="2"/>
      <c r="R977" s="4"/>
    </row>
    <row r="978" ht="15.75" customHeight="1">
      <c r="O978" s="1"/>
      <c r="P978" s="2"/>
      <c r="R978" s="4"/>
    </row>
    <row r="979" ht="15.75" customHeight="1">
      <c r="O979" s="1"/>
      <c r="P979" s="2"/>
      <c r="R979" s="4"/>
    </row>
    <row r="980" ht="15.75" customHeight="1">
      <c r="O980" s="1"/>
      <c r="P980" s="2"/>
      <c r="R980" s="4"/>
    </row>
    <row r="981" ht="15.75" customHeight="1">
      <c r="O981" s="1"/>
      <c r="P981" s="2"/>
      <c r="R981" s="4"/>
    </row>
    <row r="982" ht="15.75" customHeight="1">
      <c r="O982" s="1"/>
      <c r="P982" s="2"/>
      <c r="R982" s="4"/>
    </row>
    <row r="983" ht="15.75" customHeight="1">
      <c r="O983" s="1"/>
      <c r="P983" s="2"/>
      <c r="R983" s="4"/>
    </row>
    <row r="984" ht="15.75" customHeight="1">
      <c r="O984" s="1"/>
      <c r="P984" s="2"/>
      <c r="R984" s="4"/>
    </row>
    <row r="985" ht="15.75" customHeight="1">
      <c r="O985" s="1"/>
      <c r="P985" s="2"/>
      <c r="R985" s="4"/>
    </row>
    <row r="986" ht="15.75" customHeight="1">
      <c r="O986" s="1"/>
      <c r="P986" s="2"/>
      <c r="R986" s="4"/>
    </row>
    <row r="987" ht="15.75" customHeight="1">
      <c r="O987" s="1"/>
      <c r="P987" s="2"/>
      <c r="R987" s="4"/>
    </row>
    <row r="988" ht="15.75" customHeight="1">
      <c r="O988" s="1"/>
      <c r="P988" s="2"/>
      <c r="R988" s="4"/>
    </row>
    <row r="989" ht="15.75" customHeight="1">
      <c r="O989" s="1"/>
      <c r="P989" s="2"/>
      <c r="R989" s="4"/>
    </row>
    <row r="990" ht="15.75" customHeight="1">
      <c r="O990" s="1"/>
      <c r="P990" s="2"/>
      <c r="R990" s="4"/>
    </row>
    <row r="991" ht="15.75" customHeight="1">
      <c r="O991" s="1"/>
      <c r="P991" s="2"/>
      <c r="R991" s="4"/>
    </row>
    <row r="992" ht="15.75" customHeight="1">
      <c r="O992" s="1"/>
      <c r="P992" s="2"/>
      <c r="R992" s="4"/>
    </row>
    <row r="993" ht="15.75" customHeight="1">
      <c r="O993" s="1"/>
      <c r="P993" s="2"/>
      <c r="R993" s="4"/>
    </row>
    <row r="994" ht="15.75" customHeight="1">
      <c r="O994" s="1"/>
      <c r="P994" s="2"/>
      <c r="R994" s="4"/>
    </row>
    <row r="995" ht="15.75" customHeight="1">
      <c r="O995" s="1"/>
      <c r="P995" s="2"/>
      <c r="R995" s="4"/>
    </row>
    <row r="996" ht="15.75" customHeight="1">
      <c r="O996" s="1"/>
      <c r="P996" s="2"/>
      <c r="R996" s="4"/>
    </row>
    <row r="997" ht="15.75" customHeight="1">
      <c r="O997" s="1"/>
      <c r="P997" s="2"/>
      <c r="R997" s="4"/>
    </row>
    <row r="998" ht="15.75" customHeight="1">
      <c r="O998" s="1"/>
      <c r="P998" s="2"/>
      <c r="R998" s="4"/>
    </row>
    <row r="999" ht="15.75" customHeight="1">
      <c r="O999" s="1"/>
      <c r="P999" s="2"/>
      <c r="R999" s="4"/>
    </row>
    <row r="1000" ht="15.75" customHeight="1">
      <c r="O1000" s="1"/>
      <c r="P1000" s="2"/>
      <c r="R1000" s="4"/>
    </row>
  </sheetData>
  <mergeCells count="17">
    <mergeCell ref="B2:T2"/>
    <mergeCell ref="B3:T3"/>
    <mergeCell ref="B6:T6"/>
    <mergeCell ref="B12:F12"/>
    <mergeCell ref="B13:T13"/>
    <mergeCell ref="B24:F24"/>
    <mergeCell ref="B25:T25"/>
    <mergeCell ref="B93:E93"/>
    <mergeCell ref="C95:E95"/>
    <mergeCell ref="C96:E97"/>
    <mergeCell ref="B34:F34"/>
    <mergeCell ref="B35:F35"/>
    <mergeCell ref="B37:H37"/>
    <mergeCell ref="B50:G51"/>
    <mergeCell ref="B53:E53"/>
    <mergeCell ref="B63:E63"/>
    <mergeCell ref="B79:E79"/>
  </mergeCells>
  <hyperlinks>
    <hyperlink r:id="rId2" ref="C96"/>
  </hyperlinks>
  <printOptions/>
  <pageMargins bottom="1.0" footer="0.0" header="0.0" left="0.75" right="0.75" top="1.0"/>
  <pageSetup orientation="landscape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0"/>
    <col customWidth="1" min="3" max="3" width="34.0"/>
    <col customWidth="1" min="4" max="4" width="32.0"/>
    <col customWidth="1" min="5" max="6" width="14.0"/>
    <col customWidth="1" min="7" max="7" width="13.0"/>
    <col customWidth="1" min="8" max="9" width="20.0"/>
    <col customWidth="1" min="10" max="10" width="31.0"/>
    <col customWidth="1" min="11" max="11" width="23.0"/>
    <col customWidth="1" min="12" max="12" width="29.0"/>
    <col customWidth="1" min="13" max="14" width="20.0"/>
    <col customWidth="1" min="15" max="15" width="24.0"/>
    <col customWidth="1" min="16" max="16" width="37.0"/>
    <col customWidth="1" min="17" max="17" width="17.0"/>
    <col customWidth="1" min="18" max="18" width="21.0"/>
    <col customWidth="1" min="19" max="20" width="14.0"/>
    <col customWidth="1" min="21" max="21" width="18.0"/>
    <col customWidth="1" min="22" max="22" width="19.0"/>
    <col customWidth="1" min="23" max="23" width="26.0"/>
    <col customWidth="1" min="24" max="24" width="27.0"/>
    <col customWidth="1" min="25" max="25" width="25.0"/>
    <col customWidth="1" min="26" max="26" width="8.71"/>
  </cols>
  <sheetData>
    <row r="2" ht="24.75" customHeight="1">
      <c r="B2" s="3" t="s">
        <v>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</row>
    <row r="3" ht="18.0" customHeight="1">
      <c r="B3" s="7" t="s">
        <v>27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</row>
    <row r="5" ht="27.75" customHeight="1">
      <c r="B5" s="10" t="s">
        <v>7</v>
      </c>
      <c r="C5" s="10" t="s">
        <v>35</v>
      </c>
      <c r="D5" s="10" t="s">
        <v>37</v>
      </c>
      <c r="E5" s="10" t="s">
        <v>38</v>
      </c>
      <c r="F5" s="10" t="s">
        <v>39</v>
      </c>
      <c r="G5" s="10" t="s">
        <v>40</v>
      </c>
      <c r="H5" s="10" t="s">
        <v>41</v>
      </c>
      <c r="I5" s="10" t="s">
        <v>42</v>
      </c>
      <c r="J5" s="10" t="s">
        <v>43</v>
      </c>
      <c r="K5" s="10" t="s">
        <v>44</v>
      </c>
      <c r="L5" s="10" t="s">
        <v>45</v>
      </c>
      <c r="M5" s="10" t="s">
        <v>46</v>
      </c>
      <c r="N5" s="10" t="s">
        <v>47</v>
      </c>
      <c r="O5" s="10" t="s">
        <v>48</v>
      </c>
      <c r="P5" s="10" t="s">
        <v>49</v>
      </c>
      <c r="Q5" s="10" t="s">
        <v>50</v>
      </c>
      <c r="R5" s="10" t="s">
        <v>51</v>
      </c>
      <c r="S5" s="10" t="s">
        <v>52</v>
      </c>
      <c r="T5" s="10" t="s">
        <v>53</v>
      </c>
      <c r="U5" s="10" t="s">
        <v>54</v>
      </c>
      <c r="V5" s="10" t="s">
        <v>56</v>
      </c>
      <c r="W5" s="10" t="s">
        <v>26</v>
      </c>
      <c r="X5" s="10" t="s">
        <v>57</v>
      </c>
      <c r="Y5" s="10" t="s">
        <v>58</v>
      </c>
    </row>
    <row r="6" ht="19.5" customHeight="1">
      <c r="B6" s="25">
        <v>1.0</v>
      </c>
      <c r="C6" s="27" t="s">
        <v>62</v>
      </c>
      <c r="D6" s="27" t="s">
        <v>67</v>
      </c>
      <c r="E6" s="29">
        <v>8.3</v>
      </c>
      <c r="F6" s="29">
        <v>6.3</v>
      </c>
      <c r="G6" s="29">
        <v>6.5</v>
      </c>
      <c r="H6" s="29">
        <f t="shared" ref="H6:H29" si="1">E6*F6</f>
        <v>52.29</v>
      </c>
      <c r="I6" s="29">
        <f t="shared" ref="I6:I29" si="2">(E6*F6)/(G6*(E6+F6))</f>
        <v>0.5510010537</v>
      </c>
      <c r="J6" s="37">
        <f t="shared" ref="J6:J29" si="3">(I6+2)^2</f>
        <v>6.507606376</v>
      </c>
      <c r="K6" s="37">
        <v>100.0</v>
      </c>
      <c r="L6" s="37">
        <v>200.0</v>
      </c>
      <c r="M6" s="29">
        <v>0.65</v>
      </c>
      <c r="N6" s="29">
        <v>0.8</v>
      </c>
      <c r="O6" s="34">
        <f t="shared" ref="O6:O29" si="4">(L6*H6)/(M6*N6)</f>
        <v>20111.53846</v>
      </c>
      <c r="P6" s="27" t="s">
        <v>110</v>
      </c>
      <c r="Q6" s="37">
        <v>100.0</v>
      </c>
      <c r="R6" s="34">
        <v>13500.0</v>
      </c>
      <c r="S6" s="29">
        <f t="shared" ref="S6:S29" si="5">O6/R6</f>
        <v>1.48974359</v>
      </c>
      <c r="T6" s="37">
        <f t="shared" ref="T6:T29" si="6">ROUNDUP(S6,0)</f>
        <v>2</v>
      </c>
      <c r="U6" s="29">
        <f t="shared" ref="U6:U29" si="7">T6*Q6/1000</f>
        <v>0.2</v>
      </c>
      <c r="V6" s="34">
        <v>5712.0</v>
      </c>
      <c r="W6" s="34">
        <f t="shared" ref="W6:W29" si="8">U6*V6</f>
        <v>1142.4</v>
      </c>
      <c r="X6" s="54">
        <f t="shared" ref="X6:X29" si="9">(T6*R6*M6*N6)/H6</f>
        <v>268.5025818</v>
      </c>
      <c r="Y6" s="25" t="str">
        <f t="shared" ref="Y6:Y29" si="10">IF(X6&gt;=K6,"CUMPLE DTO 351/79","NO CUMPLE")</f>
        <v>CUMPLE DTO 351/79</v>
      </c>
    </row>
    <row r="7" ht="19.5" customHeight="1">
      <c r="B7" s="15">
        <v>2.0</v>
      </c>
      <c r="C7" s="17" t="s">
        <v>142</v>
      </c>
      <c r="D7" s="17" t="s">
        <v>145</v>
      </c>
      <c r="E7" s="21">
        <v>3.8</v>
      </c>
      <c r="F7" s="21">
        <v>3.8</v>
      </c>
      <c r="G7" s="21">
        <v>6.5</v>
      </c>
      <c r="H7" s="21">
        <f t="shared" si="1"/>
        <v>14.44</v>
      </c>
      <c r="I7" s="21">
        <f t="shared" si="2"/>
        <v>0.2923076923</v>
      </c>
      <c r="J7" s="61">
        <f t="shared" si="3"/>
        <v>5.254674556</v>
      </c>
      <c r="K7" s="61">
        <v>300.0</v>
      </c>
      <c r="L7" s="61">
        <v>500.0</v>
      </c>
      <c r="M7" s="21">
        <v>0.6</v>
      </c>
      <c r="N7" s="21">
        <v>0.8</v>
      </c>
      <c r="O7" s="26">
        <f t="shared" si="4"/>
        <v>15041.66667</v>
      </c>
      <c r="P7" s="17" t="s">
        <v>162</v>
      </c>
      <c r="Q7" s="61">
        <v>36.0</v>
      </c>
      <c r="R7" s="26">
        <v>3600.0</v>
      </c>
      <c r="S7" s="21">
        <f t="shared" si="5"/>
        <v>4.178240741</v>
      </c>
      <c r="T7" s="61">
        <f t="shared" si="6"/>
        <v>5</v>
      </c>
      <c r="U7" s="21">
        <f t="shared" si="7"/>
        <v>0.18</v>
      </c>
      <c r="V7" s="26">
        <v>5712.0</v>
      </c>
      <c r="W7" s="26">
        <f t="shared" si="8"/>
        <v>1028.16</v>
      </c>
      <c r="X7" s="65">
        <f t="shared" si="9"/>
        <v>598.3379501</v>
      </c>
      <c r="Y7" s="15" t="str">
        <f t="shared" si="10"/>
        <v>CUMPLE DTO 351/79</v>
      </c>
    </row>
    <row r="8" ht="19.5" customHeight="1">
      <c r="B8" s="25">
        <v>3.0</v>
      </c>
      <c r="C8" s="27" t="s">
        <v>175</v>
      </c>
      <c r="D8" s="27" t="s">
        <v>177</v>
      </c>
      <c r="E8" s="29">
        <v>2.0</v>
      </c>
      <c r="F8" s="29">
        <v>3.8</v>
      </c>
      <c r="G8" s="29">
        <v>6.5</v>
      </c>
      <c r="H8" s="29">
        <f t="shared" si="1"/>
        <v>7.6</v>
      </c>
      <c r="I8" s="29">
        <f t="shared" si="2"/>
        <v>0.2015915119</v>
      </c>
      <c r="J8" s="37">
        <f t="shared" si="3"/>
        <v>4.847005185</v>
      </c>
      <c r="K8" s="37">
        <v>400.0</v>
      </c>
      <c r="L8" s="37">
        <v>500.0</v>
      </c>
      <c r="M8" s="29">
        <v>0.6</v>
      </c>
      <c r="N8" s="29">
        <v>0.8</v>
      </c>
      <c r="O8" s="34">
        <f t="shared" si="4"/>
        <v>7916.666667</v>
      </c>
      <c r="P8" s="27" t="s">
        <v>162</v>
      </c>
      <c r="Q8" s="37">
        <v>36.0</v>
      </c>
      <c r="R8" s="34">
        <v>3600.0</v>
      </c>
      <c r="S8" s="29">
        <f t="shared" si="5"/>
        <v>2.199074074</v>
      </c>
      <c r="T8" s="37">
        <f t="shared" si="6"/>
        <v>3</v>
      </c>
      <c r="U8" s="29">
        <f t="shared" si="7"/>
        <v>0.108</v>
      </c>
      <c r="V8" s="34">
        <v>5712.0</v>
      </c>
      <c r="W8" s="34">
        <f t="shared" si="8"/>
        <v>616.896</v>
      </c>
      <c r="X8" s="54">
        <f t="shared" si="9"/>
        <v>682.1052632</v>
      </c>
      <c r="Y8" s="25" t="str">
        <f t="shared" si="10"/>
        <v>CUMPLE DTO 351/79</v>
      </c>
    </row>
    <row r="9" ht="19.5" customHeight="1">
      <c r="B9" s="15">
        <v>4.0</v>
      </c>
      <c r="C9" s="17" t="s">
        <v>30</v>
      </c>
      <c r="D9" s="17" t="s">
        <v>184</v>
      </c>
      <c r="E9" s="21">
        <v>2.4</v>
      </c>
      <c r="F9" s="21">
        <v>2.2</v>
      </c>
      <c r="G9" s="21">
        <v>6.5</v>
      </c>
      <c r="H9" s="21">
        <f t="shared" si="1"/>
        <v>5.28</v>
      </c>
      <c r="I9" s="21">
        <f t="shared" si="2"/>
        <v>0.1765886288</v>
      </c>
      <c r="J9" s="61">
        <f t="shared" si="3"/>
        <v>4.737538059</v>
      </c>
      <c r="K9" s="61">
        <v>200.0</v>
      </c>
      <c r="L9" s="61">
        <v>300.0</v>
      </c>
      <c r="M9" s="21">
        <v>0.6</v>
      </c>
      <c r="N9" s="21">
        <v>0.8</v>
      </c>
      <c r="O9" s="26">
        <f t="shared" si="4"/>
        <v>3300</v>
      </c>
      <c r="P9" s="17" t="s">
        <v>162</v>
      </c>
      <c r="Q9" s="61">
        <v>36.0</v>
      </c>
      <c r="R9" s="26">
        <v>3600.0</v>
      </c>
      <c r="S9" s="21">
        <f t="shared" si="5"/>
        <v>0.9166666667</v>
      </c>
      <c r="T9" s="61">
        <f t="shared" si="6"/>
        <v>1</v>
      </c>
      <c r="U9" s="21">
        <f t="shared" si="7"/>
        <v>0.036</v>
      </c>
      <c r="V9" s="26">
        <v>5712.0</v>
      </c>
      <c r="W9" s="26">
        <f t="shared" si="8"/>
        <v>205.632</v>
      </c>
      <c r="X9" s="65">
        <f t="shared" si="9"/>
        <v>327.2727273</v>
      </c>
      <c r="Y9" s="15" t="str">
        <f t="shared" si="10"/>
        <v>CUMPLE DTO 351/79</v>
      </c>
    </row>
    <row r="10" ht="19.5" customHeight="1">
      <c r="B10" s="25">
        <v>5.0</v>
      </c>
      <c r="C10" s="27" t="s">
        <v>70</v>
      </c>
      <c r="D10" s="27" t="s">
        <v>195</v>
      </c>
      <c r="E10" s="29">
        <v>2.5</v>
      </c>
      <c r="F10" s="29">
        <v>2.3</v>
      </c>
      <c r="G10" s="29">
        <v>6.5</v>
      </c>
      <c r="H10" s="29">
        <f t="shared" si="1"/>
        <v>5.75</v>
      </c>
      <c r="I10" s="29">
        <f t="shared" si="2"/>
        <v>0.1842948718</v>
      </c>
      <c r="J10" s="37">
        <f t="shared" si="3"/>
        <v>4.771144087</v>
      </c>
      <c r="K10" s="37">
        <v>400.0</v>
      </c>
      <c r="L10" s="37">
        <v>500.0</v>
      </c>
      <c r="M10" s="29">
        <v>0.6</v>
      </c>
      <c r="N10" s="29">
        <v>0.8</v>
      </c>
      <c r="O10" s="34">
        <f t="shared" si="4"/>
        <v>5989.583333</v>
      </c>
      <c r="P10" s="27" t="s">
        <v>162</v>
      </c>
      <c r="Q10" s="37">
        <v>36.0</v>
      </c>
      <c r="R10" s="34">
        <v>3600.0</v>
      </c>
      <c r="S10" s="29">
        <f t="shared" si="5"/>
        <v>1.663773148</v>
      </c>
      <c r="T10" s="37">
        <f t="shared" si="6"/>
        <v>2</v>
      </c>
      <c r="U10" s="29">
        <f t="shared" si="7"/>
        <v>0.072</v>
      </c>
      <c r="V10" s="34">
        <v>5712.0</v>
      </c>
      <c r="W10" s="34">
        <f t="shared" si="8"/>
        <v>411.264</v>
      </c>
      <c r="X10" s="54">
        <f t="shared" si="9"/>
        <v>601.0434783</v>
      </c>
      <c r="Y10" s="25" t="str">
        <f t="shared" si="10"/>
        <v>CUMPLE DTO 351/79</v>
      </c>
    </row>
    <row r="11" ht="19.5" customHeight="1">
      <c r="B11" s="15">
        <v>6.0</v>
      </c>
      <c r="C11" s="17" t="s">
        <v>207</v>
      </c>
      <c r="D11" s="17" t="s">
        <v>208</v>
      </c>
      <c r="E11" s="21">
        <v>8.6</v>
      </c>
      <c r="F11" s="21">
        <v>2.3</v>
      </c>
      <c r="G11" s="21">
        <v>6.5</v>
      </c>
      <c r="H11" s="21">
        <f t="shared" si="1"/>
        <v>19.78</v>
      </c>
      <c r="I11" s="21">
        <f t="shared" si="2"/>
        <v>0.2791813691</v>
      </c>
      <c r="J11" s="61">
        <f t="shared" si="3"/>
        <v>5.194667713</v>
      </c>
      <c r="K11" s="61">
        <v>300.0</v>
      </c>
      <c r="L11" s="61">
        <v>500.0</v>
      </c>
      <c r="M11" s="21">
        <v>0.6</v>
      </c>
      <c r="N11" s="21">
        <v>0.8</v>
      </c>
      <c r="O11" s="26">
        <f t="shared" si="4"/>
        <v>20604.16667</v>
      </c>
      <c r="P11" s="17" t="s">
        <v>110</v>
      </c>
      <c r="Q11" s="61">
        <v>100.0</v>
      </c>
      <c r="R11" s="26">
        <v>13500.0</v>
      </c>
      <c r="S11" s="21">
        <f t="shared" si="5"/>
        <v>1.526234568</v>
      </c>
      <c r="T11" s="61">
        <f t="shared" si="6"/>
        <v>2</v>
      </c>
      <c r="U11" s="21">
        <f t="shared" si="7"/>
        <v>0.2</v>
      </c>
      <c r="V11" s="26">
        <v>5712.0</v>
      </c>
      <c r="W11" s="26">
        <f t="shared" si="8"/>
        <v>1142.4</v>
      </c>
      <c r="X11" s="65">
        <f t="shared" si="9"/>
        <v>655.2072801</v>
      </c>
      <c r="Y11" s="15" t="str">
        <f t="shared" si="10"/>
        <v>CUMPLE DTO 351/79</v>
      </c>
    </row>
    <row r="12" ht="19.5" customHeight="1">
      <c r="B12" s="25">
        <v>7.0</v>
      </c>
      <c r="C12" s="27" t="s">
        <v>214</v>
      </c>
      <c r="D12" s="27" t="s">
        <v>215</v>
      </c>
      <c r="E12" s="29">
        <v>7.0</v>
      </c>
      <c r="F12" s="29">
        <v>1.2</v>
      </c>
      <c r="G12" s="29">
        <v>6.5</v>
      </c>
      <c r="H12" s="29">
        <f t="shared" si="1"/>
        <v>8.4</v>
      </c>
      <c r="I12" s="29">
        <f t="shared" si="2"/>
        <v>0.1575984991</v>
      </c>
      <c r="J12" s="37">
        <f t="shared" si="3"/>
        <v>4.655231283</v>
      </c>
      <c r="K12" s="37">
        <v>300.0</v>
      </c>
      <c r="L12" s="37">
        <v>750.0</v>
      </c>
      <c r="M12" s="29">
        <v>0.6</v>
      </c>
      <c r="N12" s="29">
        <v>0.8</v>
      </c>
      <c r="O12" s="34">
        <f t="shared" si="4"/>
        <v>13125</v>
      </c>
      <c r="P12" s="27" t="s">
        <v>162</v>
      </c>
      <c r="Q12" s="37">
        <v>36.0</v>
      </c>
      <c r="R12" s="34">
        <v>3600.0</v>
      </c>
      <c r="S12" s="29">
        <f t="shared" si="5"/>
        <v>3.645833333</v>
      </c>
      <c r="T12" s="37">
        <f t="shared" si="6"/>
        <v>4</v>
      </c>
      <c r="U12" s="29">
        <f t="shared" si="7"/>
        <v>0.144</v>
      </c>
      <c r="V12" s="34">
        <v>5712.0</v>
      </c>
      <c r="W12" s="34">
        <f t="shared" si="8"/>
        <v>822.528</v>
      </c>
      <c r="X12" s="54">
        <f t="shared" si="9"/>
        <v>822.8571429</v>
      </c>
      <c r="Y12" s="25" t="str">
        <f t="shared" si="10"/>
        <v>CUMPLE DTO 351/79</v>
      </c>
    </row>
    <row r="13" ht="19.5" customHeight="1">
      <c r="B13" s="15">
        <v>8.0</v>
      </c>
      <c r="C13" s="17" t="s">
        <v>216</v>
      </c>
      <c r="D13" s="17" t="s">
        <v>217</v>
      </c>
      <c r="E13" s="21">
        <v>4.3</v>
      </c>
      <c r="F13" s="21">
        <v>4.0</v>
      </c>
      <c r="G13" s="21">
        <v>6.5</v>
      </c>
      <c r="H13" s="21">
        <f t="shared" si="1"/>
        <v>17.2</v>
      </c>
      <c r="I13" s="21">
        <f t="shared" si="2"/>
        <v>0.3188137164</v>
      </c>
      <c r="J13" s="61">
        <f t="shared" si="3"/>
        <v>5.376897051</v>
      </c>
      <c r="K13" s="61">
        <v>300.0</v>
      </c>
      <c r="L13" s="61">
        <v>500.0</v>
      </c>
      <c r="M13" s="21">
        <v>0.65</v>
      </c>
      <c r="N13" s="21">
        <v>0.8</v>
      </c>
      <c r="O13" s="26">
        <f t="shared" si="4"/>
        <v>16538.46154</v>
      </c>
      <c r="P13" s="17" t="s">
        <v>162</v>
      </c>
      <c r="Q13" s="61">
        <v>36.0</v>
      </c>
      <c r="R13" s="26">
        <v>3600.0</v>
      </c>
      <c r="S13" s="21">
        <f t="shared" si="5"/>
        <v>4.594017094</v>
      </c>
      <c r="T13" s="61">
        <f t="shared" si="6"/>
        <v>5</v>
      </c>
      <c r="U13" s="21">
        <f t="shared" si="7"/>
        <v>0.18</v>
      </c>
      <c r="V13" s="26">
        <v>5712.0</v>
      </c>
      <c r="W13" s="26">
        <f t="shared" si="8"/>
        <v>1028.16</v>
      </c>
      <c r="X13" s="65">
        <f t="shared" si="9"/>
        <v>544.1860465</v>
      </c>
      <c r="Y13" s="15" t="str">
        <f t="shared" si="10"/>
        <v>CUMPLE DTO 351/79</v>
      </c>
    </row>
    <row r="14" ht="19.5" customHeight="1">
      <c r="B14" s="25">
        <v>9.0</v>
      </c>
      <c r="C14" s="27" t="s">
        <v>222</v>
      </c>
      <c r="D14" s="27" t="s">
        <v>224</v>
      </c>
      <c r="E14" s="29">
        <v>2.2</v>
      </c>
      <c r="F14" s="29">
        <v>1.6</v>
      </c>
      <c r="G14" s="29">
        <v>6.5</v>
      </c>
      <c r="H14" s="29">
        <f t="shared" si="1"/>
        <v>3.52</v>
      </c>
      <c r="I14" s="29">
        <f t="shared" si="2"/>
        <v>0.1425101215</v>
      </c>
      <c r="J14" s="37">
        <f t="shared" si="3"/>
        <v>4.590349621</v>
      </c>
      <c r="K14" s="37">
        <v>400.0</v>
      </c>
      <c r="L14" s="37">
        <v>500.0</v>
      </c>
      <c r="M14" s="29">
        <v>0.6</v>
      </c>
      <c r="N14" s="29">
        <v>0.8</v>
      </c>
      <c r="O14" s="34">
        <f t="shared" si="4"/>
        <v>3666.666667</v>
      </c>
      <c r="P14" s="27" t="s">
        <v>162</v>
      </c>
      <c r="Q14" s="37">
        <v>36.0</v>
      </c>
      <c r="R14" s="34">
        <v>3600.0</v>
      </c>
      <c r="S14" s="29">
        <f t="shared" si="5"/>
        <v>1.018518519</v>
      </c>
      <c r="T14" s="37">
        <f t="shared" si="6"/>
        <v>2</v>
      </c>
      <c r="U14" s="29">
        <f t="shared" si="7"/>
        <v>0.072</v>
      </c>
      <c r="V14" s="34">
        <v>5712.0</v>
      </c>
      <c r="W14" s="34">
        <f t="shared" si="8"/>
        <v>411.264</v>
      </c>
      <c r="X14" s="54">
        <f t="shared" si="9"/>
        <v>981.8181818</v>
      </c>
      <c r="Y14" s="25" t="str">
        <f t="shared" si="10"/>
        <v>CUMPLE DTO 351/79</v>
      </c>
    </row>
    <row r="15" ht="19.5" customHeight="1">
      <c r="B15" s="15">
        <v>10.0</v>
      </c>
      <c r="C15" s="17" t="s">
        <v>154</v>
      </c>
      <c r="D15" s="17" t="s">
        <v>229</v>
      </c>
      <c r="E15" s="21">
        <v>2.0</v>
      </c>
      <c r="F15" s="21">
        <v>1.5</v>
      </c>
      <c r="G15" s="21">
        <v>6.5</v>
      </c>
      <c r="H15" s="21">
        <f t="shared" si="1"/>
        <v>3</v>
      </c>
      <c r="I15" s="21">
        <f t="shared" si="2"/>
        <v>0.1318681319</v>
      </c>
      <c r="J15" s="61">
        <f t="shared" si="3"/>
        <v>4.544861732</v>
      </c>
      <c r="K15" s="61">
        <v>400.0</v>
      </c>
      <c r="L15" s="61">
        <v>500.0</v>
      </c>
      <c r="M15" s="21">
        <v>0.6</v>
      </c>
      <c r="N15" s="21">
        <v>0.8</v>
      </c>
      <c r="O15" s="26">
        <f t="shared" si="4"/>
        <v>3125</v>
      </c>
      <c r="P15" s="17" t="s">
        <v>162</v>
      </c>
      <c r="Q15" s="61">
        <v>36.0</v>
      </c>
      <c r="R15" s="26">
        <v>3600.0</v>
      </c>
      <c r="S15" s="21">
        <f t="shared" si="5"/>
        <v>0.8680555556</v>
      </c>
      <c r="T15" s="61">
        <f t="shared" si="6"/>
        <v>1</v>
      </c>
      <c r="U15" s="21">
        <f t="shared" si="7"/>
        <v>0.036</v>
      </c>
      <c r="V15" s="26">
        <v>5712.0</v>
      </c>
      <c r="W15" s="26">
        <f t="shared" si="8"/>
        <v>205.632</v>
      </c>
      <c r="X15" s="65">
        <f t="shared" si="9"/>
        <v>576</v>
      </c>
      <c r="Y15" s="15" t="str">
        <f t="shared" si="10"/>
        <v>CUMPLE DTO 351/79</v>
      </c>
    </row>
    <row r="16" ht="19.5" customHeight="1">
      <c r="B16" s="25">
        <v>11.0</v>
      </c>
      <c r="C16" s="27" t="s">
        <v>241</v>
      </c>
      <c r="D16" s="27" t="s">
        <v>242</v>
      </c>
      <c r="E16" s="29">
        <v>1.5</v>
      </c>
      <c r="F16" s="29">
        <v>1.2</v>
      </c>
      <c r="G16" s="29">
        <v>6.5</v>
      </c>
      <c r="H16" s="29">
        <f t="shared" si="1"/>
        <v>1.8</v>
      </c>
      <c r="I16" s="29">
        <f t="shared" si="2"/>
        <v>0.1025641026</v>
      </c>
      <c r="J16" s="37">
        <f t="shared" si="3"/>
        <v>4.420775805</v>
      </c>
      <c r="K16" s="37">
        <v>100.0</v>
      </c>
      <c r="L16" s="37">
        <v>200.0</v>
      </c>
      <c r="M16" s="29">
        <v>0.6</v>
      </c>
      <c r="N16" s="29">
        <v>0.8</v>
      </c>
      <c r="O16" s="34">
        <f t="shared" si="4"/>
        <v>750</v>
      </c>
      <c r="P16" s="27" t="s">
        <v>248</v>
      </c>
      <c r="Q16" s="37">
        <v>18.0</v>
      </c>
      <c r="R16" s="34">
        <v>1600.0</v>
      </c>
      <c r="S16" s="29">
        <f t="shared" si="5"/>
        <v>0.46875</v>
      </c>
      <c r="T16" s="37">
        <f t="shared" si="6"/>
        <v>1</v>
      </c>
      <c r="U16" s="29">
        <f t="shared" si="7"/>
        <v>0.018</v>
      </c>
      <c r="V16" s="34">
        <v>5712.0</v>
      </c>
      <c r="W16" s="34">
        <f t="shared" si="8"/>
        <v>102.816</v>
      </c>
      <c r="X16" s="54">
        <f t="shared" si="9"/>
        <v>426.6666667</v>
      </c>
      <c r="Y16" s="25" t="str">
        <f t="shared" si="10"/>
        <v>CUMPLE DTO 351/79</v>
      </c>
    </row>
    <row r="17" ht="19.5" customHeight="1">
      <c r="B17" s="15">
        <v>12.0</v>
      </c>
      <c r="C17" s="17" t="s">
        <v>249</v>
      </c>
      <c r="D17" s="17" t="s">
        <v>250</v>
      </c>
      <c r="E17" s="21">
        <v>5.2</v>
      </c>
      <c r="F17" s="21">
        <v>3.7</v>
      </c>
      <c r="G17" s="21">
        <v>6.5</v>
      </c>
      <c r="H17" s="21">
        <f t="shared" si="1"/>
        <v>19.24</v>
      </c>
      <c r="I17" s="21">
        <f t="shared" si="2"/>
        <v>0.3325842697</v>
      </c>
      <c r="J17" s="61">
        <f t="shared" si="3"/>
        <v>5.440949375</v>
      </c>
      <c r="K17" s="61">
        <v>300.0</v>
      </c>
      <c r="L17" s="61">
        <v>500.0</v>
      </c>
      <c r="M17" s="21">
        <v>0.65</v>
      </c>
      <c r="N17" s="21">
        <v>0.8</v>
      </c>
      <c r="O17" s="26">
        <f t="shared" si="4"/>
        <v>18500</v>
      </c>
      <c r="P17" s="17" t="s">
        <v>110</v>
      </c>
      <c r="Q17" s="61">
        <v>100.0</v>
      </c>
      <c r="R17" s="26">
        <v>13500.0</v>
      </c>
      <c r="S17" s="21">
        <f t="shared" si="5"/>
        <v>1.37037037</v>
      </c>
      <c r="T17" s="61">
        <f t="shared" si="6"/>
        <v>2</v>
      </c>
      <c r="U17" s="21">
        <f t="shared" si="7"/>
        <v>0.2</v>
      </c>
      <c r="V17" s="26">
        <v>5712.0</v>
      </c>
      <c r="W17" s="26">
        <f t="shared" si="8"/>
        <v>1142.4</v>
      </c>
      <c r="X17" s="65">
        <f t="shared" si="9"/>
        <v>729.7297297</v>
      </c>
      <c r="Y17" s="15" t="str">
        <f t="shared" si="10"/>
        <v>CUMPLE DTO 351/79</v>
      </c>
    </row>
    <row r="18" ht="19.5" customHeight="1">
      <c r="B18" s="25">
        <v>13.0</v>
      </c>
      <c r="C18" s="27" t="s">
        <v>98</v>
      </c>
      <c r="D18" s="27" t="s">
        <v>253</v>
      </c>
      <c r="E18" s="29">
        <v>2.6</v>
      </c>
      <c r="F18" s="29">
        <v>2.0</v>
      </c>
      <c r="G18" s="29">
        <v>6.5</v>
      </c>
      <c r="H18" s="29">
        <f t="shared" si="1"/>
        <v>5.2</v>
      </c>
      <c r="I18" s="29">
        <f t="shared" si="2"/>
        <v>0.1739130435</v>
      </c>
      <c r="J18" s="37">
        <f t="shared" si="3"/>
        <v>4.725897921</v>
      </c>
      <c r="K18" s="37">
        <v>200.0</v>
      </c>
      <c r="L18" s="37">
        <v>300.0</v>
      </c>
      <c r="M18" s="29">
        <v>0.6</v>
      </c>
      <c r="N18" s="29">
        <v>0.8</v>
      </c>
      <c r="O18" s="34">
        <f t="shared" si="4"/>
        <v>3250</v>
      </c>
      <c r="P18" s="27" t="s">
        <v>162</v>
      </c>
      <c r="Q18" s="37">
        <v>36.0</v>
      </c>
      <c r="R18" s="34">
        <v>3600.0</v>
      </c>
      <c r="S18" s="29">
        <f t="shared" si="5"/>
        <v>0.9027777778</v>
      </c>
      <c r="T18" s="37">
        <f t="shared" si="6"/>
        <v>1</v>
      </c>
      <c r="U18" s="29">
        <f t="shared" si="7"/>
        <v>0.036</v>
      </c>
      <c r="V18" s="34">
        <v>5712.0</v>
      </c>
      <c r="W18" s="34">
        <f t="shared" si="8"/>
        <v>205.632</v>
      </c>
      <c r="X18" s="54">
        <f t="shared" si="9"/>
        <v>332.3076923</v>
      </c>
      <c r="Y18" s="25" t="str">
        <f t="shared" si="10"/>
        <v>CUMPLE DTO 351/79</v>
      </c>
    </row>
    <row r="19" ht="19.5" customHeight="1">
      <c r="B19" s="15">
        <v>14.0</v>
      </c>
      <c r="C19" s="17" t="s">
        <v>191</v>
      </c>
      <c r="D19" s="17" t="s">
        <v>255</v>
      </c>
      <c r="E19" s="21">
        <v>4.8</v>
      </c>
      <c r="F19" s="21">
        <v>4.8</v>
      </c>
      <c r="G19" s="21">
        <v>6.5</v>
      </c>
      <c r="H19" s="21">
        <f t="shared" si="1"/>
        <v>23.04</v>
      </c>
      <c r="I19" s="21">
        <f t="shared" si="2"/>
        <v>0.3692307692</v>
      </c>
      <c r="J19" s="61">
        <f t="shared" si="3"/>
        <v>5.613254438</v>
      </c>
      <c r="K19" s="61">
        <v>300.0</v>
      </c>
      <c r="L19" s="61">
        <v>500.0</v>
      </c>
      <c r="M19" s="21">
        <v>0.65</v>
      </c>
      <c r="N19" s="21">
        <v>0.8</v>
      </c>
      <c r="O19" s="26">
        <f t="shared" si="4"/>
        <v>22153.84615</v>
      </c>
      <c r="P19" s="17" t="s">
        <v>162</v>
      </c>
      <c r="Q19" s="61">
        <v>36.0</v>
      </c>
      <c r="R19" s="26">
        <v>3600.0</v>
      </c>
      <c r="S19" s="21">
        <f t="shared" si="5"/>
        <v>6.153846154</v>
      </c>
      <c r="T19" s="61">
        <f t="shared" si="6"/>
        <v>7</v>
      </c>
      <c r="U19" s="21">
        <f t="shared" si="7"/>
        <v>0.252</v>
      </c>
      <c r="V19" s="26">
        <v>5712.0</v>
      </c>
      <c r="W19" s="26">
        <f t="shared" si="8"/>
        <v>1439.424</v>
      </c>
      <c r="X19" s="65">
        <f t="shared" si="9"/>
        <v>568.75</v>
      </c>
      <c r="Y19" s="15" t="str">
        <f t="shared" si="10"/>
        <v>CUMPLE DTO 351/79</v>
      </c>
    </row>
    <row r="20" ht="19.5" customHeight="1">
      <c r="B20" s="25">
        <v>15.0</v>
      </c>
      <c r="C20" s="27" t="s">
        <v>256</v>
      </c>
      <c r="D20" s="27" t="s">
        <v>257</v>
      </c>
      <c r="E20" s="29">
        <v>12.0</v>
      </c>
      <c r="F20" s="29">
        <v>15.6</v>
      </c>
      <c r="G20" s="29">
        <v>6.5</v>
      </c>
      <c r="H20" s="29">
        <f t="shared" si="1"/>
        <v>187.2</v>
      </c>
      <c r="I20" s="29">
        <f t="shared" si="2"/>
        <v>1.043478261</v>
      </c>
      <c r="J20" s="37">
        <f t="shared" si="3"/>
        <v>9.262759924</v>
      </c>
      <c r="K20" s="37">
        <v>100.0</v>
      </c>
      <c r="L20" s="37">
        <v>200.0</v>
      </c>
      <c r="M20" s="29">
        <v>0.7</v>
      </c>
      <c r="N20" s="29">
        <v>0.8</v>
      </c>
      <c r="O20" s="34">
        <f t="shared" si="4"/>
        <v>66857.14286</v>
      </c>
      <c r="P20" s="27" t="s">
        <v>258</v>
      </c>
      <c r="Q20" s="37">
        <v>150.0</v>
      </c>
      <c r="R20" s="34">
        <v>20000.0</v>
      </c>
      <c r="S20" s="29">
        <f t="shared" si="5"/>
        <v>3.342857143</v>
      </c>
      <c r="T20" s="37">
        <f t="shared" si="6"/>
        <v>4</v>
      </c>
      <c r="U20" s="29">
        <f t="shared" si="7"/>
        <v>0.6</v>
      </c>
      <c r="V20" s="34">
        <v>5712.0</v>
      </c>
      <c r="W20" s="34">
        <f t="shared" si="8"/>
        <v>3427.2</v>
      </c>
      <c r="X20" s="54">
        <f t="shared" si="9"/>
        <v>239.3162393</v>
      </c>
      <c r="Y20" s="25" t="str">
        <f t="shared" si="10"/>
        <v>CUMPLE DTO 351/79</v>
      </c>
    </row>
    <row r="21" ht="19.5" customHeight="1">
      <c r="B21" s="15">
        <v>16.0</v>
      </c>
      <c r="C21" s="17" t="s">
        <v>260</v>
      </c>
      <c r="D21" s="17" t="s">
        <v>261</v>
      </c>
      <c r="E21" s="21">
        <v>2.9</v>
      </c>
      <c r="F21" s="21">
        <v>2.0</v>
      </c>
      <c r="G21" s="21">
        <v>6.5</v>
      </c>
      <c r="H21" s="21">
        <f t="shared" si="1"/>
        <v>5.8</v>
      </c>
      <c r="I21" s="21">
        <f t="shared" si="2"/>
        <v>0.1821036107</v>
      </c>
      <c r="J21" s="61">
        <f t="shared" si="3"/>
        <v>4.761576168</v>
      </c>
      <c r="K21" s="61">
        <v>200.0</v>
      </c>
      <c r="L21" s="61">
        <v>300.0</v>
      </c>
      <c r="M21" s="21">
        <v>0.6</v>
      </c>
      <c r="N21" s="21">
        <v>0.8</v>
      </c>
      <c r="O21" s="26">
        <f t="shared" si="4"/>
        <v>3625</v>
      </c>
      <c r="P21" s="17" t="s">
        <v>162</v>
      </c>
      <c r="Q21" s="61">
        <v>36.0</v>
      </c>
      <c r="R21" s="26">
        <v>3600.0</v>
      </c>
      <c r="S21" s="21">
        <f t="shared" si="5"/>
        <v>1.006944444</v>
      </c>
      <c r="T21" s="61">
        <f t="shared" si="6"/>
        <v>2</v>
      </c>
      <c r="U21" s="21">
        <f t="shared" si="7"/>
        <v>0.072</v>
      </c>
      <c r="V21" s="26">
        <v>5712.0</v>
      </c>
      <c r="W21" s="26">
        <f t="shared" si="8"/>
        <v>411.264</v>
      </c>
      <c r="X21" s="65">
        <f t="shared" si="9"/>
        <v>595.862069</v>
      </c>
      <c r="Y21" s="15" t="str">
        <f t="shared" si="10"/>
        <v>CUMPLE DTO 351/79</v>
      </c>
    </row>
    <row r="22" ht="19.5" customHeight="1">
      <c r="B22" s="25">
        <v>17.0</v>
      </c>
      <c r="C22" s="27" t="s">
        <v>264</v>
      </c>
      <c r="D22" s="27" t="s">
        <v>265</v>
      </c>
      <c r="E22" s="29">
        <v>1.5</v>
      </c>
      <c r="F22" s="29">
        <v>2.1</v>
      </c>
      <c r="G22" s="29">
        <v>6.5</v>
      </c>
      <c r="H22" s="29">
        <f t="shared" si="1"/>
        <v>3.15</v>
      </c>
      <c r="I22" s="29">
        <f t="shared" si="2"/>
        <v>0.1346153846</v>
      </c>
      <c r="J22" s="37">
        <f t="shared" si="3"/>
        <v>4.55658284</v>
      </c>
      <c r="K22" s="37">
        <v>600.0</v>
      </c>
      <c r="L22" s="37">
        <v>750.0</v>
      </c>
      <c r="M22" s="29">
        <v>0.6</v>
      </c>
      <c r="N22" s="29">
        <v>0.85</v>
      </c>
      <c r="O22" s="34">
        <f t="shared" si="4"/>
        <v>4632.352941</v>
      </c>
      <c r="P22" s="27" t="s">
        <v>266</v>
      </c>
      <c r="Q22" s="37">
        <v>40.0</v>
      </c>
      <c r="R22" s="34">
        <v>4000.0</v>
      </c>
      <c r="S22" s="29">
        <f t="shared" si="5"/>
        <v>1.158088235</v>
      </c>
      <c r="T22" s="37">
        <f t="shared" si="6"/>
        <v>2</v>
      </c>
      <c r="U22" s="29">
        <f t="shared" si="7"/>
        <v>0.08</v>
      </c>
      <c r="V22" s="34">
        <v>5712.0</v>
      </c>
      <c r="W22" s="34">
        <f t="shared" si="8"/>
        <v>456.96</v>
      </c>
      <c r="X22" s="54">
        <f t="shared" si="9"/>
        <v>1295.238095</v>
      </c>
      <c r="Y22" s="25" t="str">
        <f t="shared" si="10"/>
        <v>CUMPLE DTO 351/79</v>
      </c>
    </row>
    <row r="23" ht="19.5" customHeight="1">
      <c r="B23" s="15">
        <v>18.0</v>
      </c>
      <c r="C23" s="17" t="s">
        <v>270</v>
      </c>
      <c r="D23" s="17" t="s">
        <v>265</v>
      </c>
      <c r="E23" s="21">
        <v>4.5</v>
      </c>
      <c r="F23" s="21">
        <v>2.8</v>
      </c>
      <c r="G23" s="21">
        <v>6.5</v>
      </c>
      <c r="H23" s="21">
        <f t="shared" si="1"/>
        <v>12.6</v>
      </c>
      <c r="I23" s="21">
        <f t="shared" si="2"/>
        <v>0.2655426765</v>
      </c>
      <c r="J23" s="61">
        <f t="shared" si="3"/>
        <v>5.132683619</v>
      </c>
      <c r="K23" s="61">
        <v>600.0</v>
      </c>
      <c r="L23" s="61">
        <v>750.0</v>
      </c>
      <c r="M23" s="21">
        <v>0.65</v>
      </c>
      <c r="N23" s="21">
        <v>0.85</v>
      </c>
      <c r="O23" s="26">
        <f t="shared" si="4"/>
        <v>17104.0724</v>
      </c>
      <c r="P23" s="17" t="s">
        <v>266</v>
      </c>
      <c r="Q23" s="61">
        <v>40.0</v>
      </c>
      <c r="R23" s="26">
        <v>4000.0</v>
      </c>
      <c r="S23" s="21">
        <f t="shared" si="5"/>
        <v>4.2760181</v>
      </c>
      <c r="T23" s="61">
        <f t="shared" si="6"/>
        <v>5</v>
      </c>
      <c r="U23" s="21">
        <f t="shared" si="7"/>
        <v>0.2</v>
      </c>
      <c r="V23" s="26">
        <v>5712.0</v>
      </c>
      <c r="W23" s="26">
        <f t="shared" si="8"/>
        <v>1142.4</v>
      </c>
      <c r="X23" s="65">
        <f t="shared" si="9"/>
        <v>876.984127</v>
      </c>
      <c r="Y23" s="15" t="str">
        <f t="shared" si="10"/>
        <v>CUMPLE DTO 351/79</v>
      </c>
    </row>
    <row r="24" ht="19.5" customHeight="1">
      <c r="B24" s="25">
        <v>19.0</v>
      </c>
      <c r="C24" s="27" t="s">
        <v>276</v>
      </c>
      <c r="D24" s="27" t="s">
        <v>231</v>
      </c>
      <c r="E24" s="29">
        <v>10.0</v>
      </c>
      <c r="F24" s="29">
        <v>6.0</v>
      </c>
      <c r="G24" s="29">
        <v>3.0</v>
      </c>
      <c r="H24" s="29">
        <f t="shared" si="1"/>
        <v>60</v>
      </c>
      <c r="I24" s="29">
        <f t="shared" si="2"/>
        <v>1.25</v>
      </c>
      <c r="J24" s="37">
        <f t="shared" si="3"/>
        <v>10.5625</v>
      </c>
      <c r="K24" s="37">
        <v>400.0</v>
      </c>
      <c r="L24" s="37">
        <v>500.0</v>
      </c>
      <c r="M24" s="29">
        <v>0.6</v>
      </c>
      <c r="N24" s="29">
        <v>0.85</v>
      </c>
      <c r="O24" s="34">
        <f t="shared" si="4"/>
        <v>58823.52941</v>
      </c>
      <c r="P24" s="27" t="s">
        <v>266</v>
      </c>
      <c r="Q24" s="37">
        <v>40.0</v>
      </c>
      <c r="R24" s="34">
        <v>4000.0</v>
      </c>
      <c r="S24" s="29">
        <f t="shared" si="5"/>
        <v>14.70588235</v>
      </c>
      <c r="T24" s="37">
        <f t="shared" si="6"/>
        <v>15</v>
      </c>
      <c r="U24" s="29">
        <f t="shared" si="7"/>
        <v>0.6</v>
      </c>
      <c r="V24" s="34">
        <v>2500.0</v>
      </c>
      <c r="W24" s="34">
        <f t="shared" si="8"/>
        <v>1500</v>
      </c>
      <c r="X24" s="54">
        <f t="shared" si="9"/>
        <v>510</v>
      </c>
      <c r="Y24" s="25" t="str">
        <f t="shared" si="10"/>
        <v>CUMPLE DTO 351/79</v>
      </c>
    </row>
    <row r="25" ht="19.5" customHeight="1">
      <c r="B25" s="15">
        <v>20.0</v>
      </c>
      <c r="C25" s="17" t="s">
        <v>280</v>
      </c>
      <c r="D25" s="17" t="s">
        <v>281</v>
      </c>
      <c r="E25" s="21">
        <v>6.0</v>
      </c>
      <c r="F25" s="21">
        <v>5.0</v>
      </c>
      <c r="G25" s="21">
        <v>3.0</v>
      </c>
      <c r="H25" s="21">
        <f t="shared" si="1"/>
        <v>30</v>
      </c>
      <c r="I25" s="21">
        <f t="shared" si="2"/>
        <v>0.9090909091</v>
      </c>
      <c r="J25" s="61">
        <f t="shared" si="3"/>
        <v>8.462809917</v>
      </c>
      <c r="K25" s="61">
        <v>200.0</v>
      </c>
      <c r="L25" s="61">
        <v>300.0</v>
      </c>
      <c r="M25" s="21">
        <v>0.6</v>
      </c>
      <c r="N25" s="21">
        <v>0.85</v>
      </c>
      <c r="O25" s="26">
        <f t="shared" si="4"/>
        <v>17647.05882</v>
      </c>
      <c r="P25" s="17" t="s">
        <v>266</v>
      </c>
      <c r="Q25" s="61">
        <v>40.0</v>
      </c>
      <c r="R25" s="26">
        <v>4000.0</v>
      </c>
      <c r="S25" s="21">
        <f t="shared" si="5"/>
        <v>4.411764706</v>
      </c>
      <c r="T25" s="61">
        <f t="shared" si="6"/>
        <v>5</v>
      </c>
      <c r="U25" s="21">
        <f t="shared" si="7"/>
        <v>0.2</v>
      </c>
      <c r="V25" s="26">
        <v>2500.0</v>
      </c>
      <c r="W25" s="26">
        <f t="shared" si="8"/>
        <v>500</v>
      </c>
      <c r="X25" s="65">
        <f t="shared" si="9"/>
        <v>340</v>
      </c>
      <c r="Y25" s="15" t="str">
        <f t="shared" si="10"/>
        <v>CUMPLE DTO 351/79</v>
      </c>
    </row>
    <row r="26" ht="19.5" customHeight="1">
      <c r="B26" s="25">
        <v>21.0</v>
      </c>
      <c r="C26" s="27" t="s">
        <v>284</v>
      </c>
      <c r="D26" s="27" t="s">
        <v>285</v>
      </c>
      <c r="E26" s="29">
        <v>6.0</v>
      </c>
      <c r="F26" s="29">
        <v>4.0</v>
      </c>
      <c r="G26" s="29">
        <v>3.0</v>
      </c>
      <c r="H26" s="29">
        <f t="shared" si="1"/>
        <v>24</v>
      </c>
      <c r="I26" s="29">
        <f t="shared" si="2"/>
        <v>0.8</v>
      </c>
      <c r="J26" s="37">
        <f t="shared" si="3"/>
        <v>7.84</v>
      </c>
      <c r="K26" s="37">
        <v>150.0</v>
      </c>
      <c r="L26" s="37">
        <v>200.0</v>
      </c>
      <c r="M26" s="29">
        <v>0.55</v>
      </c>
      <c r="N26" s="29">
        <v>0.8</v>
      </c>
      <c r="O26" s="34">
        <f t="shared" si="4"/>
        <v>10909.09091</v>
      </c>
      <c r="P26" s="27" t="s">
        <v>288</v>
      </c>
      <c r="Q26" s="37">
        <v>24.0</v>
      </c>
      <c r="R26" s="34">
        <v>2400.0</v>
      </c>
      <c r="S26" s="29">
        <f t="shared" si="5"/>
        <v>4.545454545</v>
      </c>
      <c r="T26" s="37">
        <f t="shared" si="6"/>
        <v>5</v>
      </c>
      <c r="U26" s="29">
        <f t="shared" si="7"/>
        <v>0.12</v>
      </c>
      <c r="V26" s="34">
        <v>5712.0</v>
      </c>
      <c r="W26" s="34">
        <f t="shared" si="8"/>
        <v>685.44</v>
      </c>
      <c r="X26" s="54">
        <f t="shared" si="9"/>
        <v>220</v>
      </c>
      <c r="Y26" s="25" t="str">
        <f t="shared" si="10"/>
        <v>CUMPLE DTO 351/79</v>
      </c>
    </row>
    <row r="27" ht="19.5" customHeight="1">
      <c r="B27" s="15">
        <v>22.0</v>
      </c>
      <c r="C27" s="17" t="s">
        <v>294</v>
      </c>
      <c r="D27" s="17" t="s">
        <v>295</v>
      </c>
      <c r="E27" s="21">
        <v>6.0</v>
      </c>
      <c r="F27" s="21">
        <v>4.0</v>
      </c>
      <c r="G27" s="21">
        <v>4.0</v>
      </c>
      <c r="H27" s="21">
        <f t="shared" si="1"/>
        <v>24</v>
      </c>
      <c r="I27" s="21">
        <f t="shared" si="2"/>
        <v>0.6</v>
      </c>
      <c r="J27" s="61">
        <f t="shared" si="3"/>
        <v>6.76</v>
      </c>
      <c r="K27" s="61">
        <v>150.0</v>
      </c>
      <c r="L27" s="61">
        <v>250.0</v>
      </c>
      <c r="M27" s="21">
        <v>0.55</v>
      </c>
      <c r="N27" s="21">
        <v>0.8</v>
      </c>
      <c r="O27" s="26">
        <f t="shared" si="4"/>
        <v>13636.36364</v>
      </c>
      <c r="P27" s="17" t="s">
        <v>162</v>
      </c>
      <c r="Q27" s="61">
        <v>36.0</v>
      </c>
      <c r="R27" s="26">
        <v>3600.0</v>
      </c>
      <c r="S27" s="21">
        <f t="shared" si="5"/>
        <v>3.787878788</v>
      </c>
      <c r="T27" s="61">
        <f t="shared" si="6"/>
        <v>4</v>
      </c>
      <c r="U27" s="21">
        <f t="shared" si="7"/>
        <v>0.144</v>
      </c>
      <c r="V27" s="26">
        <v>5712.0</v>
      </c>
      <c r="W27" s="26">
        <f t="shared" si="8"/>
        <v>822.528</v>
      </c>
      <c r="X27" s="65">
        <f t="shared" si="9"/>
        <v>264</v>
      </c>
      <c r="Y27" s="15" t="str">
        <f t="shared" si="10"/>
        <v>CUMPLE DTO 351/79</v>
      </c>
    </row>
    <row r="28" ht="19.5" customHeight="1">
      <c r="B28" s="25">
        <v>23.0</v>
      </c>
      <c r="C28" s="27" t="s">
        <v>306</v>
      </c>
      <c r="D28" s="27" t="s">
        <v>307</v>
      </c>
      <c r="E28" s="29">
        <v>6.0</v>
      </c>
      <c r="F28" s="29">
        <v>4.0</v>
      </c>
      <c r="G28" s="29">
        <v>4.0</v>
      </c>
      <c r="H28" s="29">
        <f t="shared" si="1"/>
        <v>24</v>
      </c>
      <c r="I28" s="29">
        <f t="shared" si="2"/>
        <v>0.6</v>
      </c>
      <c r="J28" s="37">
        <f t="shared" si="3"/>
        <v>6.76</v>
      </c>
      <c r="K28" s="37">
        <v>300.0</v>
      </c>
      <c r="L28" s="37">
        <v>500.0</v>
      </c>
      <c r="M28" s="29">
        <v>0.6</v>
      </c>
      <c r="N28" s="29">
        <v>0.8</v>
      </c>
      <c r="O28" s="34">
        <f t="shared" si="4"/>
        <v>25000</v>
      </c>
      <c r="P28" s="27" t="s">
        <v>110</v>
      </c>
      <c r="Q28" s="37">
        <v>100.0</v>
      </c>
      <c r="R28" s="34">
        <v>13500.0</v>
      </c>
      <c r="S28" s="29">
        <f t="shared" si="5"/>
        <v>1.851851852</v>
      </c>
      <c r="T28" s="37">
        <f t="shared" si="6"/>
        <v>2</v>
      </c>
      <c r="U28" s="29">
        <f t="shared" si="7"/>
        <v>0.2</v>
      </c>
      <c r="V28" s="34">
        <v>2500.0</v>
      </c>
      <c r="W28" s="34">
        <f t="shared" si="8"/>
        <v>500</v>
      </c>
      <c r="X28" s="54">
        <f t="shared" si="9"/>
        <v>540</v>
      </c>
      <c r="Y28" s="25" t="str">
        <f t="shared" si="10"/>
        <v>CUMPLE DTO 351/79</v>
      </c>
    </row>
    <row r="29" ht="19.5" customHeight="1">
      <c r="B29" s="15">
        <v>24.0</v>
      </c>
      <c r="C29" s="17" t="s">
        <v>310</v>
      </c>
      <c r="D29" s="17" t="s">
        <v>312</v>
      </c>
      <c r="E29" s="21">
        <v>25.0</v>
      </c>
      <c r="F29" s="21">
        <v>2.0</v>
      </c>
      <c r="G29" s="21">
        <v>4.0</v>
      </c>
      <c r="H29" s="21">
        <f t="shared" si="1"/>
        <v>50</v>
      </c>
      <c r="I29" s="21">
        <f t="shared" si="2"/>
        <v>0.462962963</v>
      </c>
      <c r="J29" s="61">
        <f t="shared" si="3"/>
        <v>6.066186557</v>
      </c>
      <c r="K29" s="61">
        <v>100.0</v>
      </c>
      <c r="L29" s="61">
        <v>150.0</v>
      </c>
      <c r="M29" s="21">
        <v>0.5</v>
      </c>
      <c r="N29" s="21">
        <v>0.8</v>
      </c>
      <c r="O29" s="26">
        <f t="shared" si="4"/>
        <v>18750</v>
      </c>
      <c r="P29" s="17" t="s">
        <v>318</v>
      </c>
      <c r="Q29" s="61">
        <v>18.0</v>
      </c>
      <c r="R29" s="26">
        <v>1800.0</v>
      </c>
      <c r="S29" s="21">
        <f t="shared" si="5"/>
        <v>10.41666667</v>
      </c>
      <c r="T29" s="61">
        <f t="shared" si="6"/>
        <v>11</v>
      </c>
      <c r="U29" s="21">
        <f t="shared" si="7"/>
        <v>0.198</v>
      </c>
      <c r="V29" s="26">
        <v>5712.0</v>
      </c>
      <c r="W29" s="26">
        <f t="shared" si="8"/>
        <v>1130.976</v>
      </c>
      <c r="X29" s="65">
        <f t="shared" si="9"/>
        <v>158.4</v>
      </c>
      <c r="Y29" s="15" t="str">
        <f t="shared" si="10"/>
        <v>CUMPLE DTO 351/79</v>
      </c>
    </row>
    <row r="30" ht="24.0" customHeight="1">
      <c r="B30" s="58" t="s">
        <v>322</v>
      </c>
      <c r="C30" s="59"/>
      <c r="D30" s="59"/>
      <c r="E30" s="59"/>
      <c r="F30" s="59"/>
      <c r="G30" s="60"/>
      <c r="H30" s="100">
        <f>SUM(H6:H29)</f>
        <v>607.29</v>
      </c>
      <c r="I30" s="64"/>
      <c r="J30" s="101">
        <f>SUM(J6:J29)</f>
        <v>140.8459522</v>
      </c>
      <c r="K30" s="64"/>
      <c r="L30" s="64"/>
      <c r="M30" s="64"/>
      <c r="N30" s="64"/>
      <c r="O30" s="62">
        <f>SUM(O6:O29)</f>
        <v>391057.2071</v>
      </c>
      <c r="P30" s="64"/>
      <c r="Q30" s="64"/>
      <c r="R30" s="64"/>
      <c r="S30" s="64"/>
      <c r="T30" s="101">
        <f t="shared" ref="T30:U30" si="11">SUM(T6:T29)</f>
        <v>93</v>
      </c>
      <c r="U30" s="63">
        <f t="shared" si="11"/>
        <v>4.148</v>
      </c>
      <c r="V30" s="64"/>
      <c r="W30" s="62">
        <f>SUM(W6:W29)</f>
        <v>20481.376</v>
      </c>
      <c r="X30" s="64"/>
      <c r="Y30" s="74" t="s">
        <v>356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Y2"/>
    <mergeCell ref="B3:Y3"/>
    <mergeCell ref="B30:G30"/>
  </mergeCell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6.0"/>
    <col customWidth="1" min="3" max="3" width="53.0"/>
    <col customWidth="1" min="4" max="4" width="31.0"/>
    <col customWidth="1" min="5" max="5" width="30.0"/>
    <col customWidth="1" min="6" max="6" width="40.0"/>
    <col customWidth="1" min="7" max="7" width="21.0"/>
    <col customWidth="1" min="8" max="8" width="24.0"/>
    <col customWidth="1" min="9" max="9" width="20.0"/>
    <col customWidth="1" min="10" max="10" width="18.0"/>
    <col customWidth="1" min="11" max="11" width="19.0"/>
    <col customWidth="1" min="12" max="12" width="21.0"/>
    <col customWidth="1" min="13" max="13" width="13.0"/>
    <col customWidth="1" min="14" max="14" width="11.0"/>
    <col customWidth="1" min="15" max="15" width="25.0"/>
    <col customWidth="1" min="16" max="16" width="45.0"/>
    <col customWidth="1" min="17" max="26" width="8.71"/>
  </cols>
  <sheetData>
    <row r="2" ht="24.75" customHeight="1">
      <c r="B2" s="3" t="s">
        <v>55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ht="18.0" customHeight="1">
      <c r="B3" s="7" t="s">
        <v>59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5" ht="27.75" customHeight="1">
      <c r="B5" s="10" t="s">
        <v>7</v>
      </c>
      <c r="C5" s="10" t="s">
        <v>60</v>
      </c>
      <c r="D5" s="10" t="s">
        <v>11</v>
      </c>
      <c r="E5" s="10" t="s">
        <v>61</v>
      </c>
      <c r="F5" s="10" t="s">
        <v>63</v>
      </c>
      <c r="G5" s="10" t="s">
        <v>64</v>
      </c>
      <c r="H5" s="10" t="s">
        <v>66</v>
      </c>
      <c r="I5" s="10" t="s">
        <v>68</v>
      </c>
      <c r="J5" s="10" t="s">
        <v>69</v>
      </c>
      <c r="K5" s="10" t="s">
        <v>71</v>
      </c>
      <c r="L5" s="10" t="s">
        <v>74</v>
      </c>
      <c r="M5" s="10" t="s">
        <v>75</v>
      </c>
      <c r="N5" s="10" t="s">
        <v>77</v>
      </c>
      <c r="O5" s="10" t="s">
        <v>79</v>
      </c>
      <c r="P5" s="10" t="s">
        <v>81</v>
      </c>
    </row>
    <row r="6" ht="19.5" customHeight="1">
      <c r="B6" s="25">
        <v>1.0</v>
      </c>
      <c r="C6" s="27" t="s">
        <v>83</v>
      </c>
      <c r="D6" s="27" t="s">
        <v>84</v>
      </c>
      <c r="E6" s="27" t="s">
        <v>86</v>
      </c>
      <c r="F6" s="27" t="s">
        <v>87</v>
      </c>
      <c r="G6" s="25" t="s">
        <v>88</v>
      </c>
      <c r="H6" s="34">
        <v>85000.0</v>
      </c>
      <c r="I6" s="29">
        <f t="shared" ref="I6:I8" si="1">H6*0.001163</f>
        <v>98.855</v>
      </c>
      <c r="J6" s="31">
        <v>0.88</v>
      </c>
      <c r="K6" s="34">
        <v>9300.0</v>
      </c>
      <c r="L6" s="29">
        <f t="shared" ref="L6:L8" si="2">H6/(K6*J6)</f>
        <v>10.38611926</v>
      </c>
      <c r="M6" s="38">
        <v>24.0</v>
      </c>
      <c r="N6" s="40">
        <v>239.0</v>
      </c>
      <c r="O6" s="34">
        <f t="shared" ref="O6:O8" si="3">L6*M6*N6</f>
        <v>59574.78006</v>
      </c>
      <c r="P6" s="27" t="s">
        <v>97</v>
      </c>
    </row>
    <row r="7" ht="19.5" customHeight="1">
      <c r="B7" s="15">
        <v>2.0</v>
      </c>
      <c r="C7" s="17" t="s">
        <v>112</v>
      </c>
      <c r="D7" s="17" t="s">
        <v>113</v>
      </c>
      <c r="E7" s="17" t="s">
        <v>114</v>
      </c>
      <c r="F7" s="17" t="s">
        <v>115</v>
      </c>
      <c r="G7" s="15" t="s">
        <v>88</v>
      </c>
      <c r="H7" s="24">
        <v>50000.0</v>
      </c>
      <c r="I7" s="21">
        <f t="shared" si="1"/>
        <v>58.15</v>
      </c>
      <c r="J7" s="19">
        <v>0.88</v>
      </c>
      <c r="K7" s="26">
        <v>9300.0</v>
      </c>
      <c r="L7" s="21">
        <f t="shared" si="2"/>
        <v>6.109481916</v>
      </c>
      <c r="M7" s="48">
        <v>24.0</v>
      </c>
      <c r="N7" s="51">
        <v>239.0</v>
      </c>
      <c r="O7" s="26">
        <f t="shared" si="3"/>
        <v>35043.98827</v>
      </c>
      <c r="P7" s="17" t="s">
        <v>130</v>
      </c>
    </row>
    <row r="8" ht="19.5" customHeight="1">
      <c r="B8" s="25">
        <v>3.0</v>
      </c>
      <c r="C8" s="27" t="s">
        <v>135</v>
      </c>
      <c r="D8" s="27" t="s">
        <v>113</v>
      </c>
      <c r="E8" s="27" t="s">
        <v>114</v>
      </c>
      <c r="F8" s="27" t="s">
        <v>115</v>
      </c>
      <c r="G8" s="25" t="s">
        <v>88</v>
      </c>
      <c r="H8" s="53">
        <v>50000.0</v>
      </c>
      <c r="I8" s="29">
        <f t="shared" si="1"/>
        <v>58.15</v>
      </c>
      <c r="J8" s="31">
        <v>0.88</v>
      </c>
      <c r="K8" s="34">
        <v>9300.0</v>
      </c>
      <c r="L8" s="29">
        <f t="shared" si="2"/>
        <v>6.109481916</v>
      </c>
      <c r="M8" s="38">
        <v>24.0</v>
      </c>
      <c r="N8" s="40">
        <v>239.0</v>
      </c>
      <c r="O8" s="34">
        <f t="shared" si="3"/>
        <v>35043.98827</v>
      </c>
      <c r="P8" s="27" t="s">
        <v>130</v>
      </c>
    </row>
    <row r="9" ht="24.0" customHeight="1">
      <c r="B9" s="58" t="s">
        <v>140</v>
      </c>
      <c r="C9" s="59"/>
      <c r="D9" s="59"/>
      <c r="E9" s="59"/>
      <c r="F9" s="59"/>
      <c r="G9" s="60"/>
      <c r="H9" s="62">
        <f t="shared" ref="H9:I9" si="4">SUM(H6:H8)</f>
        <v>185000</v>
      </c>
      <c r="I9" s="63">
        <f t="shared" si="4"/>
        <v>215.155</v>
      </c>
      <c r="J9" s="64"/>
      <c r="K9" s="64"/>
      <c r="L9" s="63">
        <f>SUM(L6:L8)</f>
        <v>22.60508309</v>
      </c>
      <c r="M9" s="64"/>
      <c r="N9" s="64"/>
      <c r="O9" s="62">
        <f>SUM(O6:O8)</f>
        <v>129662.7566</v>
      </c>
      <c r="P9" s="64"/>
    </row>
    <row r="11">
      <c r="B11" s="14" t="s">
        <v>176</v>
      </c>
      <c r="C11" s="5"/>
      <c r="D11" s="5"/>
      <c r="E11" s="5"/>
      <c r="F11" s="5"/>
      <c r="G11" s="5"/>
      <c r="H11" s="6"/>
    </row>
    <row r="12">
      <c r="B12" s="68" t="s">
        <v>180</v>
      </c>
      <c r="C12" s="71">
        <f>H9</f>
        <v>185000</v>
      </c>
      <c r="D12" s="72" t="s">
        <v>85</v>
      </c>
    </row>
    <row r="13">
      <c r="B13" s="68" t="s">
        <v>188</v>
      </c>
      <c r="C13" s="75">
        <f>I9</f>
        <v>215.155</v>
      </c>
      <c r="D13" s="72" t="s">
        <v>80</v>
      </c>
    </row>
    <row r="14">
      <c r="B14" s="68" t="s">
        <v>193</v>
      </c>
      <c r="C14" s="71">
        <v>9300.0</v>
      </c>
      <c r="D14" s="72" t="s">
        <v>194</v>
      </c>
    </row>
    <row r="15">
      <c r="B15" s="68" t="s">
        <v>196</v>
      </c>
      <c r="C15" s="75">
        <f>L9</f>
        <v>22.60508309</v>
      </c>
      <c r="D15" s="72" t="s">
        <v>152</v>
      </c>
    </row>
    <row r="16">
      <c r="B16" s="68" t="s">
        <v>199</v>
      </c>
      <c r="C16" s="76">
        <v>1.5</v>
      </c>
      <c r="D16" s="72" t="s">
        <v>200</v>
      </c>
    </row>
    <row r="17">
      <c r="B17" s="68" t="s">
        <v>201</v>
      </c>
      <c r="C17" s="76">
        <v>20.0</v>
      </c>
      <c r="D17" s="72" t="s">
        <v>202</v>
      </c>
    </row>
    <row r="18">
      <c r="B18" s="68" t="s">
        <v>203</v>
      </c>
      <c r="C18" s="77" t="s">
        <v>204</v>
      </c>
      <c r="D18" s="72" t="s">
        <v>146</v>
      </c>
    </row>
    <row r="19">
      <c r="B19" s="68" t="s">
        <v>205</v>
      </c>
      <c r="C19" s="77" t="s">
        <v>206</v>
      </c>
      <c r="D19" s="72" t="s">
        <v>146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O2"/>
    <mergeCell ref="B3:O3"/>
    <mergeCell ref="B9:G9"/>
    <mergeCell ref="B11:H11"/>
  </mergeCells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6.0"/>
    <col customWidth="1" min="3" max="3" width="67.0"/>
    <col customWidth="1" min="4" max="4" width="54.0"/>
    <col customWidth="1" min="5" max="5" width="25.0"/>
    <col customWidth="1" min="6" max="6" width="24.0"/>
    <col customWidth="1" min="7" max="7" width="22.0"/>
    <col customWidth="1" min="8" max="8" width="16.0"/>
    <col customWidth="1" min="9" max="9" width="13.0"/>
    <col customWidth="1" min="10" max="10" width="22.0"/>
    <col customWidth="1" min="11" max="11" width="27.0"/>
    <col customWidth="1" min="12" max="12" width="26.0"/>
    <col customWidth="1" min="13" max="13" width="68.0"/>
    <col customWidth="1" min="14" max="26" width="8.71"/>
  </cols>
  <sheetData>
    <row r="2" ht="24.75" customHeight="1">
      <c r="B2" s="3" t="s">
        <v>376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ht="18.0" customHeight="1">
      <c r="B3" s="7" t="s">
        <v>377</v>
      </c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5" ht="27.75" customHeight="1">
      <c r="B5" s="10" t="s">
        <v>7</v>
      </c>
      <c r="C5" s="10" t="s">
        <v>378</v>
      </c>
      <c r="D5" s="10" t="s">
        <v>379</v>
      </c>
      <c r="E5" s="10" t="s">
        <v>380</v>
      </c>
      <c r="F5" s="10" t="s">
        <v>381</v>
      </c>
      <c r="G5" s="10" t="s">
        <v>382</v>
      </c>
      <c r="H5" s="10" t="s">
        <v>383</v>
      </c>
      <c r="I5" s="10" t="s">
        <v>384</v>
      </c>
      <c r="J5" s="10" t="s">
        <v>20</v>
      </c>
      <c r="K5" s="10" t="s">
        <v>385</v>
      </c>
      <c r="L5" s="10" t="s">
        <v>386</v>
      </c>
      <c r="M5" s="10" t="s">
        <v>387</v>
      </c>
    </row>
    <row r="6" ht="19.5" customHeight="1">
      <c r="B6" s="25">
        <v>1.0</v>
      </c>
      <c r="C6" s="27" t="s">
        <v>388</v>
      </c>
      <c r="D6" s="27" t="s">
        <v>113</v>
      </c>
      <c r="E6" s="27" t="s">
        <v>389</v>
      </c>
      <c r="F6" s="54">
        <v>6.0</v>
      </c>
      <c r="G6" s="54">
        <v>140.0</v>
      </c>
      <c r="H6" s="29">
        <f>G6*0.06</f>
        <v>8.4</v>
      </c>
      <c r="I6" s="37">
        <v>30.0</v>
      </c>
      <c r="J6" s="32">
        <v>1.0</v>
      </c>
      <c r="K6" s="54">
        <f>G6*J6</f>
        <v>140</v>
      </c>
      <c r="L6" s="29">
        <f>K6*0.06</f>
        <v>8.4</v>
      </c>
      <c r="M6" s="27" t="s">
        <v>399</v>
      </c>
    </row>
    <row r="7" ht="21.75" customHeight="1">
      <c r="B7" s="35" t="s">
        <v>400</v>
      </c>
      <c r="C7" s="36"/>
      <c r="D7" s="36"/>
      <c r="E7" s="36"/>
      <c r="F7" s="41"/>
      <c r="G7" s="109">
        <f t="shared" ref="G7:H7" si="1">SUM(G6)</f>
        <v>140</v>
      </c>
      <c r="H7" s="44">
        <f t="shared" si="1"/>
        <v>8.4</v>
      </c>
      <c r="I7" s="43"/>
      <c r="J7" s="43"/>
      <c r="K7" s="109">
        <f t="shared" ref="K7:L7" si="2">SUM(K6)</f>
        <v>140</v>
      </c>
      <c r="L7" s="44">
        <f t="shared" si="2"/>
        <v>8.4</v>
      </c>
      <c r="M7" s="43"/>
    </row>
    <row r="9">
      <c r="B9" s="14" t="s">
        <v>404</v>
      </c>
      <c r="C9" s="5"/>
      <c r="D9" s="5"/>
      <c r="E9" s="5"/>
      <c r="F9" s="5"/>
      <c r="G9" s="5"/>
      <c r="H9" s="6"/>
    </row>
    <row r="10">
      <c r="B10" s="68" t="s">
        <v>405</v>
      </c>
      <c r="C10" s="76">
        <f>K7</f>
        <v>140</v>
      </c>
      <c r="D10" s="72" t="s">
        <v>108</v>
      </c>
    </row>
    <row r="11">
      <c r="B11" s="68" t="s">
        <v>410</v>
      </c>
      <c r="C11" s="76">
        <f>C10*0.15</f>
        <v>21</v>
      </c>
      <c r="D11" s="72" t="s">
        <v>108</v>
      </c>
    </row>
    <row r="12">
      <c r="B12" s="68" t="s">
        <v>413</v>
      </c>
      <c r="C12" s="76">
        <f>(C10+C11)*0.2</f>
        <v>32.2</v>
      </c>
      <c r="D12" s="72" t="s">
        <v>108</v>
      </c>
    </row>
    <row r="13">
      <c r="B13" s="68" t="s">
        <v>414</v>
      </c>
      <c r="C13" s="76">
        <f>C10+C11+C12</f>
        <v>193.2</v>
      </c>
      <c r="D13" s="72" t="s">
        <v>108</v>
      </c>
    </row>
    <row r="14">
      <c r="B14" s="68" t="s">
        <v>415</v>
      </c>
      <c r="C14" s="75">
        <f>C13*0.06</f>
        <v>11.592</v>
      </c>
      <c r="D14" s="72" t="s">
        <v>152</v>
      </c>
    </row>
    <row r="15">
      <c r="B15" s="68" t="s">
        <v>418</v>
      </c>
      <c r="C15" s="76">
        <v>8.0</v>
      </c>
      <c r="D15" s="72" t="s">
        <v>419</v>
      </c>
    </row>
    <row r="16">
      <c r="B16" s="68" t="s">
        <v>421</v>
      </c>
      <c r="C16" s="112" t="s">
        <v>425</v>
      </c>
      <c r="D16" s="72" t="s">
        <v>146</v>
      </c>
    </row>
    <row r="17" ht="15.75" customHeight="1">
      <c r="B17" s="68" t="s">
        <v>430</v>
      </c>
      <c r="C17" s="113">
        <v>342.0</v>
      </c>
      <c r="D17" s="114" t="s">
        <v>432</v>
      </c>
    </row>
    <row r="18" ht="15.75" customHeight="1">
      <c r="B18" s="83" t="s">
        <v>433</v>
      </c>
      <c r="C18" s="113">
        <v>200.0</v>
      </c>
      <c r="D18" s="114" t="s">
        <v>434</v>
      </c>
    </row>
    <row r="19" ht="15.75" customHeight="1">
      <c r="B19" s="68" t="s">
        <v>435</v>
      </c>
      <c r="C19" s="77" t="s">
        <v>436</v>
      </c>
      <c r="D19" s="72" t="s">
        <v>146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B2:M2"/>
    <mergeCell ref="B3:M3"/>
    <mergeCell ref="B7:F7"/>
    <mergeCell ref="B9:H9"/>
  </mergeCell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0.0"/>
    <col customWidth="1" min="3" max="3" width="67.0"/>
    <col customWidth="1" min="4" max="4" width="40.0"/>
    <col customWidth="1" min="5" max="6" width="26.0"/>
    <col customWidth="1" min="7" max="7" width="79.0"/>
    <col customWidth="1" min="8" max="8" width="25.0"/>
    <col customWidth="1" min="9" max="26" width="8.71"/>
  </cols>
  <sheetData>
    <row r="2" ht="24.75" customHeight="1">
      <c r="B2" s="3" t="s">
        <v>390</v>
      </c>
      <c r="C2" s="5"/>
      <c r="D2" s="5"/>
      <c r="E2" s="5"/>
      <c r="F2" s="5"/>
      <c r="G2" s="5"/>
      <c r="H2" s="6"/>
    </row>
    <row r="3" ht="18.0" customHeight="1">
      <c r="B3" s="7" t="s">
        <v>391</v>
      </c>
      <c r="C3" s="5"/>
      <c r="D3" s="5"/>
      <c r="E3" s="5"/>
      <c r="F3" s="5"/>
      <c r="G3" s="5"/>
      <c r="H3" s="6"/>
    </row>
    <row r="4">
      <c r="B4" s="14" t="s">
        <v>392</v>
      </c>
      <c r="C4" s="5"/>
      <c r="D4" s="5"/>
      <c r="E4" s="5"/>
      <c r="F4" s="5"/>
      <c r="G4" s="6"/>
    </row>
    <row r="5" ht="24.0" customHeight="1">
      <c r="B5" s="10" t="s">
        <v>393</v>
      </c>
      <c r="C5" s="10" t="s">
        <v>394</v>
      </c>
      <c r="D5" s="10" t="s">
        <v>395</v>
      </c>
      <c r="E5" s="10" t="s">
        <v>396</v>
      </c>
      <c r="F5" s="10" t="s">
        <v>397</v>
      </c>
      <c r="G5" s="108" t="s">
        <v>398</v>
      </c>
    </row>
    <row r="6" ht="19.5" customHeight="1">
      <c r="B6" s="27" t="s">
        <v>401</v>
      </c>
      <c r="C6" s="34">
        <v>117855.9</v>
      </c>
      <c r="D6" s="31">
        <v>0.38</v>
      </c>
      <c r="E6" s="57">
        <f t="shared" ref="E6:E9" si="1">C6*D6</f>
        <v>44785.242</v>
      </c>
      <c r="F6" s="29">
        <f t="shared" ref="F6:F9" si="2">E6/1000</f>
        <v>44.785242</v>
      </c>
      <c r="G6" s="27" t="s">
        <v>402</v>
      </c>
    </row>
    <row r="7" ht="19.5" customHeight="1">
      <c r="B7" s="17" t="s">
        <v>403</v>
      </c>
      <c r="C7" s="26">
        <v>141427.2</v>
      </c>
      <c r="D7" s="19">
        <v>0.11</v>
      </c>
      <c r="E7" s="50">
        <f t="shared" si="1"/>
        <v>15556.992</v>
      </c>
      <c r="F7" s="21">
        <f t="shared" si="2"/>
        <v>15.556992</v>
      </c>
      <c r="G7" s="17" t="s">
        <v>406</v>
      </c>
    </row>
    <row r="8" ht="19.5" customHeight="1">
      <c r="B8" s="27" t="s">
        <v>407</v>
      </c>
      <c r="C8" s="34">
        <v>60611.6</v>
      </c>
      <c r="D8" s="31">
        <v>0.1</v>
      </c>
      <c r="E8" s="57">
        <f t="shared" si="1"/>
        <v>6061.16</v>
      </c>
      <c r="F8" s="29">
        <f t="shared" si="2"/>
        <v>6.06116</v>
      </c>
      <c r="G8" s="27" t="s">
        <v>408</v>
      </c>
    </row>
    <row r="9" ht="19.5" customHeight="1">
      <c r="B9" s="17" t="s">
        <v>409</v>
      </c>
      <c r="C9" s="26">
        <v>358619.2</v>
      </c>
      <c r="D9" s="19">
        <v>0.07</v>
      </c>
      <c r="E9" s="50">
        <f t="shared" si="1"/>
        <v>25103.344</v>
      </c>
      <c r="F9" s="21">
        <f t="shared" si="2"/>
        <v>25.103344</v>
      </c>
      <c r="G9" s="17" t="s">
        <v>411</v>
      </c>
    </row>
    <row r="10" ht="21.75" customHeight="1">
      <c r="B10" s="43" t="s">
        <v>412</v>
      </c>
      <c r="C10" s="49">
        <f>SUM(C6:C9)</f>
        <v>678513.9</v>
      </c>
      <c r="D10" s="43"/>
      <c r="E10" s="110">
        <f t="shared" ref="E10:F10" si="3">SUM(E6:E9)</f>
        <v>91506.738</v>
      </c>
      <c r="F10" s="44">
        <f t="shared" si="3"/>
        <v>91.506738</v>
      </c>
      <c r="G10" s="111" t="s">
        <v>416</v>
      </c>
    </row>
    <row r="12">
      <c r="B12" s="14" t="s">
        <v>417</v>
      </c>
      <c r="C12" s="5"/>
      <c r="D12" s="5"/>
      <c r="E12" s="5"/>
      <c r="F12" s="5"/>
      <c r="G12" s="6"/>
    </row>
    <row r="13" ht="24.0" customHeight="1">
      <c r="B13" s="10" t="s">
        <v>420</v>
      </c>
      <c r="C13" s="10" t="s">
        <v>422</v>
      </c>
      <c r="D13" s="10" t="s">
        <v>423</v>
      </c>
      <c r="E13" s="10" t="s">
        <v>424</v>
      </c>
      <c r="F13" s="10" t="s">
        <v>426</v>
      </c>
      <c r="G13" s="10" t="s">
        <v>427</v>
      </c>
      <c r="H13" s="10" t="s">
        <v>79</v>
      </c>
    </row>
    <row r="14" ht="19.5" customHeight="1">
      <c r="B14" s="55" t="s">
        <v>428</v>
      </c>
      <c r="C14" s="66" t="s">
        <v>429</v>
      </c>
      <c r="D14" s="54">
        <f>F10*1000/239</f>
        <v>382.8733808</v>
      </c>
      <c r="E14" s="25" t="s">
        <v>431</v>
      </c>
      <c r="F14" s="57">
        <f t="shared" ref="F14:F15" si="4">D14</f>
        <v>382.8733808</v>
      </c>
      <c r="G14" s="29">
        <f t="shared" ref="G14:G17" si="5">F14/1000</f>
        <v>0.3828733808</v>
      </c>
      <c r="H14" s="57">
        <f t="shared" ref="H14:H17" si="6">G14*238</f>
        <v>91.12386462</v>
      </c>
    </row>
    <row r="15" ht="19.5" customHeight="1">
      <c r="B15" s="46" t="s">
        <v>437</v>
      </c>
      <c r="C15" s="17" t="s">
        <v>438</v>
      </c>
      <c r="D15" s="65">
        <v>1800.0</v>
      </c>
      <c r="E15" s="15" t="s">
        <v>431</v>
      </c>
      <c r="F15" s="50">
        <f t="shared" si="4"/>
        <v>1800</v>
      </c>
      <c r="G15" s="21">
        <f t="shared" si="5"/>
        <v>1.8</v>
      </c>
      <c r="H15" s="50">
        <f t="shared" si="6"/>
        <v>428.4</v>
      </c>
    </row>
    <row r="16" ht="19.5" customHeight="1">
      <c r="B16" s="55" t="s">
        <v>439</v>
      </c>
      <c r="C16" s="27" t="s">
        <v>440</v>
      </c>
      <c r="D16" s="54">
        <v>45.0</v>
      </c>
      <c r="E16" s="25" t="s">
        <v>441</v>
      </c>
      <c r="F16" s="57">
        <f>D16*55</f>
        <v>2475</v>
      </c>
      <c r="G16" s="29">
        <f t="shared" si="5"/>
        <v>2.475</v>
      </c>
      <c r="H16" s="57">
        <f t="shared" si="6"/>
        <v>589.05</v>
      </c>
    </row>
    <row r="17" ht="19.5" customHeight="1">
      <c r="B17" s="46" t="s">
        <v>442</v>
      </c>
      <c r="C17" s="17" t="s">
        <v>443</v>
      </c>
      <c r="D17" s="65">
        <v>475.0</v>
      </c>
      <c r="E17" s="15" t="s">
        <v>431</v>
      </c>
      <c r="F17" s="50">
        <f>D17</f>
        <v>475</v>
      </c>
      <c r="G17" s="21">
        <f t="shared" si="5"/>
        <v>0.475</v>
      </c>
      <c r="H17" s="50">
        <f t="shared" si="6"/>
        <v>113.05</v>
      </c>
    </row>
    <row r="18" ht="24.0" customHeight="1">
      <c r="B18" s="58" t="s">
        <v>444</v>
      </c>
      <c r="C18" s="59"/>
      <c r="D18" s="59"/>
      <c r="E18" s="60"/>
      <c r="F18" s="62">
        <f t="shared" ref="F18:H18" si="7">SUM(F14:F17)</f>
        <v>5132.873381</v>
      </c>
      <c r="G18" s="63">
        <f t="shared" si="7"/>
        <v>5.132873381</v>
      </c>
      <c r="H18" s="115">
        <f t="shared" si="7"/>
        <v>1221.623865</v>
      </c>
    </row>
    <row r="20">
      <c r="B20" s="14" t="s">
        <v>445</v>
      </c>
      <c r="C20" s="5"/>
      <c r="D20" s="5"/>
      <c r="E20" s="5"/>
      <c r="F20" s="5"/>
      <c r="G20" s="5"/>
      <c r="H20" s="6"/>
    </row>
    <row r="21" ht="15.75" customHeight="1">
      <c r="B21" s="68" t="s">
        <v>446</v>
      </c>
      <c r="C21" s="75">
        <f>G18</f>
        <v>5.132873381</v>
      </c>
      <c r="D21" s="72" t="s">
        <v>109</v>
      </c>
    </row>
    <row r="22" ht="15.75" customHeight="1">
      <c r="B22" s="68" t="s">
        <v>447</v>
      </c>
      <c r="C22" s="76">
        <v>2.0</v>
      </c>
      <c r="D22" s="72" t="s">
        <v>448</v>
      </c>
    </row>
    <row r="23" ht="15.75" customHeight="1">
      <c r="B23" s="68" t="s">
        <v>449</v>
      </c>
      <c r="C23" s="76">
        <f>C21*C22</f>
        <v>10.26574676</v>
      </c>
      <c r="D23" s="72" t="s">
        <v>450</v>
      </c>
    </row>
    <row r="24" ht="15.75" customHeight="1">
      <c r="B24" s="68" t="s">
        <v>451</v>
      </c>
      <c r="C24" s="76">
        <v>30.0</v>
      </c>
      <c r="D24" s="72" t="s">
        <v>452</v>
      </c>
    </row>
    <row r="25" ht="15.75" customHeight="1">
      <c r="B25" s="68" t="s">
        <v>453</v>
      </c>
      <c r="C25" s="76">
        <f>C23+C24</f>
        <v>40.26574676</v>
      </c>
      <c r="D25" s="72" t="s">
        <v>454</v>
      </c>
    </row>
    <row r="26" ht="15.75" customHeight="1">
      <c r="B26" s="68" t="s">
        <v>455</v>
      </c>
      <c r="C26" s="77" t="s">
        <v>456</v>
      </c>
      <c r="D26" s="72" t="s">
        <v>146</v>
      </c>
    </row>
    <row r="27" ht="15.75" customHeight="1">
      <c r="B27" s="68" t="s">
        <v>457</v>
      </c>
      <c r="C27" s="77" t="s">
        <v>458</v>
      </c>
      <c r="D27" s="72" t="s">
        <v>146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H2"/>
    <mergeCell ref="B3:H3"/>
    <mergeCell ref="B4:G4"/>
    <mergeCell ref="B12:G12"/>
    <mergeCell ref="B18:E18"/>
    <mergeCell ref="B20:H20"/>
  </mergeCells>
  <printOptions/>
  <pageMargins bottom="1.0" footer="0.0" header="0.0" left="0.75" right="0.75" top="1.0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3.0"/>
    <col customWidth="1" min="3" max="3" width="36.0"/>
    <col customWidth="1" min="4" max="4" width="70.0"/>
    <col customWidth="1" min="5" max="5" width="23.0"/>
    <col customWidth="1" min="6" max="6" width="20.0"/>
    <col customWidth="1" min="7" max="7" width="18.0"/>
    <col customWidth="1" min="8" max="8" width="63.0"/>
    <col customWidth="1" min="9" max="9" width="47.0"/>
    <col customWidth="1" min="10" max="26" width="8.71"/>
  </cols>
  <sheetData>
    <row r="2" ht="24.75" customHeight="1">
      <c r="B2" s="3" t="s">
        <v>459</v>
      </c>
      <c r="C2" s="5"/>
      <c r="D2" s="5"/>
      <c r="E2" s="5"/>
      <c r="F2" s="5"/>
      <c r="G2" s="5"/>
      <c r="H2" s="5"/>
      <c r="I2" s="6"/>
    </row>
    <row r="3" ht="18.0" customHeight="1">
      <c r="B3" s="7" t="s">
        <v>460</v>
      </c>
      <c r="C3" s="5"/>
      <c r="D3" s="5"/>
      <c r="E3" s="5"/>
      <c r="F3" s="5"/>
      <c r="G3" s="5"/>
      <c r="H3" s="5"/>
      <c r="I3" s="6"/>
    </row>
    <row r="5">
      <c r="B5" s="14" t="s">
        <v>461</v>
      </c>
      <c r="C5" s="5"/>
      <c r="D5" s="5"/>
      <c r="E5" s="5"/>
      <c r="F5" s="5"/>
      <c r="G5" s="5"/>
      <c r="H5" s="6"/>
    </row>
    <row r="6">
      <c r="B6" s="116" t="s">
        <v>462</v>
      </c>
    </row>
    <row r="7" ht="24.0" customHeight="1">
      <c r="B7" s="10" t="s">
        <v>463</v>
      </c>
      <c r="C7" s="10" t="s">
        <v>119</v>
      </c>
      <c r="D7" s="10" t="s">
        <v>464</v>
      </c>
      <c r="E7" s="10" t="s">
        <v>465</v>
      </c>
      <c r="F7" s="10" t="s">
        <v>466</v>
      </c>
      <c r="G7" s="10" t="s">
        <v>467</v>
      </c>
      <c r="H7" s="10" t="s">
        <v>468</v>
      </c>
    </row>
    <row r="8" ht="19.5" customHeight="1">
      <c r="B8" s="27" t="s">
        <v>469</v>
      </c>
      <c r="C8" s="25" t="s">
        <v>470</v>
      </c>
      <c r="D8" s="117">
        <v>189126.46</v>
      </c>
      <c r="E8" s="57">
        <v>1.0</v>
      </c>
      <c r="F8" s="118">
        <f t="shared" ref="F8:F13" si="1">D8*E8</f>
        <v>189126.46</v>
      </c>
      <c r="G8" s="118">
        <f t="shared" ref="G8:G13" si="2">F8*12</f>
        <v>2269517.52</v>
      </c>
      <c r="H8" s="55" t="s">
        <v>471</v>
      </c>
    </row>
    <row r="9" ht="19.5" customHeight="1">
      <c r="B9" s="17" t="s">
        <v>472</v>
      </c>
      <c r="C9" s="15" t="s">
        <v>473</v>
      </c>
      <c r="D9" s="119">
        <v>9425.5</v>
      </c>
      <c r="E9" s="50">
        <f>'1. Potencia Eléctrica'!N35</f>
        <v>49.727</v>
      </c>
      <c r="F9" s="52">
        <f t="shared" si="1"/>
        <v>468701.8385</v>
      </c>
      <c r="G9" s="52">
        <f t="shared" si="2"/>
        <v>5624422.062</v>
      </c>
      <c r="H9" s="46" t="s">
        <v>474</v>
      </c>
    </row>
    <row r="10" ht="19.5" customHeight="1">
      <c r="B10" s="27" t="s">
        <v>475</v>
      </c>
      <c r="C10" s="25" t="s">
        <v>473</v>
      </c>
      <c r="D10" s="117">
        <v>11315.8</v>
      </c>
      <c r="E10" s="57">
        <f>'1. Potencia Eléctrica'!N35</f>
        <v>49.727</v>
      </c>
      <c r="F10" s="118">
        <f t="shared" si="1"/>
        <v>562700.7866</v>
      </c>
      <c r="G10" s="118">
        <f t="shared" si="2"/>
        <v>6752409.439</v>
      </c>
      <c r="H10" s="55" t="s">
        <v>476</v>
      </c>
    </row>
    <row r="11" ht="19.5" customHeight="1">
      <c r="B11" s="17" t="s">
        <v>477</v>
      </c>
      <c r="C11" s="15" t="s">
        <v>478</v>
      </c>
      <c r="D11" s="119">
        <v>137.769</v>
      </c>
      <c r="E11" s="50">
        <f>('1. Potencia Eléctrica'!S35/12)*0.35</f>
        <v>6747.71405</v>
      </c>
      <c r="F11" s="52">
        <f t="shared" si="1"/>
        <v>929625.817</v>
      </c>
      <c r="G11" s="52">
        <f t="shared" si="2"/>
        <v>11155509.8</v>
      </c>
      <c r="H11" s="46" t="s">
        <v>479</v>
      </c>
    </row>
    <row r="12" ht="19.5" customHeight="1">
      <c r="B12" s="27" t="s">
        <v>480</v>
      </c>
      <c r="C12" s="25" t="s">
        <v>478</v>
      </c>
      <c r="D12" s="117">
        <v>133.55</v>
      </c>
      <c r="E12" s="57">
        <f>('1. Potencia Eléctrica'!S35/12)*0.45</f>
        <v>8675.63235</v>
      </c>
      <c r="F12" s="118">
        <f t="shared" si="1"/>
        <v>1158630.7</v>
      </c>
      <c r="G12" s="118">
        <f t="shared" si="2"/>
        <v>13903568.4</v>
      </c>
      <c r="H12" s="55" t="s">
        <v>481</v>
      </c>
    </row>
    <row r="13" ht="19.5" customHeight="1">
      <c r="B13" s="17" t="s">
        <v>482</v>
      </c>
      <c r="C13" s="15" t="s">
        <v>478</v>
      </c>
      <c r="D13" s="119">
        <v>132.55</v>
      </c>
      <c r="E13" s="50">
        <f>('1. Potencia Eléctrica'!S35/12)*0.2</f>
        <v>3855.8366</v>
      </c>
      <c r="F13" s="52">
        <f t="shared" si="1"/>
        <v>511091.1413</v>
      </c>
      <c r="G13" s="52">
        <f t="shared" si="2"/>
        <v>6133093.696</v>
      </c>
      <c r="H13" s="46" t="s">
        <v>483</v>
      </c>
    </row>
    <row r="14" ht="21.75" customHeight="1">
      <c r="B14" s="35" t="s">
        <v>484</v>
      </c>
      <c r="C14" s="36"/>
      <c r="D14" s="36"/>
      <c r="E14" s="41"/>
      <c r="F14" s="120">
        <f t="shared" ref="F14:G14" si="3">SUM(F8:F13)</f>
        <v>3819876.744</v>
      </c>
      <c r="G14" s="120">
        <f t="shared" si="3"/>
        <v>45838520.92</v>
      </c>
      <c r="H14" s="111" t="s">
        <v>485</v>
      </c>
    </row>
    <row r="16">
      <c r="B16" s="14" t="s">
        <v>486</v>
      </c>
      <c r="C16" s="5"/>
      <c r="D16" s="5"/>
      <c r="E16" s="5"/>
      <c r="F16" s="5"/>
      <c r="G16" s="5"/>
      <c r="H16" s="6"/>
    </row>
    <row r="17">
      <c r="B17" s="116" t="s">
        <v>487</v>
      </c>
    </row>
    <row r="18" ht="24.0" customHeight="1">
      <c r="B18" s="10" t="s">
        <v>463</v>
      </c>
      <c r="C18" s="10" t="s">
        <v>119</v>
      </c>
      <c r="D18" s="10" t="s">
        <v>464</v>
      </c>
      <c r="E18" s="10" t="s">
        <v>465</v>
      </c>
      <c r="F18" s="10" t="s">
        <v>466</v>
      </c>
      <c r="G18" s="10" t="s">
        <v>467</v>
      </c>
      <c r="H18" s="10" t="s">
        <v>468</v>
      </c>
    </row>
    <row r="19" ht="19.5" customHeight="1">
      <c r="B19" s="17" t="s">
        <v>488</v>
      </c>
      <c r="C19" s="15" t="s">
        <v>470</v>
      </c>
      <c r="D19" s="119">
        <v>77664.89</v>
      </c>
      <c r="E19" s="50">
        <v>1.0</v>
      </c>
      <c r="F19" s="52">
        <f t="shared" ref="F19:F20" si="4">D19*E19</f>
        <v>77664.89</v>
      </c>
      <c r="G19" s="52">
        <f t="shared" ref="G19:G20" si="5">F19*12</f>
        <v>931978.68</v>
      </c>
      <c r="H19" s="46" t="s">
        <v>489</v>
      </c>
    </row>
    <row r="20" ht="19.5" customHeight="1">
      <c r="B20" s="27" t="s">
        <v>490</v>
      </c>
      <c r="C20" s="25" t="s">
        <v>491</v>
      </c>
      <c r="D20" s="117">
        <v>313.27</v>
      </c>
      <c r="E20" s="57">
        <f>'3. Instalación de Gas'!O9/12</f>
        <v>10805.22972</v>
      </c>
      <c r="F20" s="118">
        <f t="shared" si="4"/>
        <v>3384954.313</v>
      </c>
      <c r="G20" s="118">
        <f t="shared" si="5"/>
        <v>40619451.76</v>
      </c>
      <c r="H20" s="55" t="s">
        <v>492</v>
      </c>
    </row>
    <row r="21" ht="21.75" customHeight="1">
      <c r="B21" s="35" t="s">
        <v>493</v>
      </c>
      <c r="C21" s="36"/>
      <c r="D21" s="36"/>
      <c r="E21" s="41"/>
      <c r="F21" s="120">
        <f t="shared" ref="F21:G21" si="6">SUM(F19:F20)</f>
        <v>3462619.203</v>
      </c>
      <c r="G21" s="120">
        <f t="shared" si="6"/>
        <v>41551430.44</v>
      </c>
      <c r="H21" s="111" t="s">
        <v>494</v>
      </c>
    </row>
    <row r="22" ht="15.75" customHeight="1"/>
    <row r="23" ht="15.75" customHeight="1">
      <c r="B23" s="14" t="s">
        <v>495</v>
      </c>
      <c r="C23" s="5"/>
      <c r="D23" s="5"/>
      <c r="E23" s="5"/>
      <c r="F23" s="5"/>
      <c r="G23" s="5"/>
      <c r="H23" s="6"/>
    </row>
    <row r="24" ht="15.75" customHeight="1">
      <c r="B24" s="121" t="s">
        <v>496</v>
      </c>
    </row>
    <row r="25" ht="24.0" customHeight="1">
      <c r="B25" s="10" t="s">
        <v>463</v>
      </c>
      <c r="C25" s="10" t="s">
        <v>119</v>
      </c>
      <c r="D25" s="10" t="s">
        <v>464</v>
      </c>
      <c r="E25" s="10" t="s">
        <v>465</v>
      </c>
      <c r="F25" s="10" t="s">
        <v>466</v>
      </c>
      <c r="G25" s="10" t="s">
        <v>467</v>
      </c>
      <c r="H25" s="10" t="s">
        <v>468</v>
      </c>
    </row>
    <row r="26" ht="19.5" customHeight="1">
      <c r="B26" s="27" t="s">
        <v>497</v>
      </c>
      <c r="C26" s="25" t="s">
        <v>470</v>
      </c>
      <c r="D26" s="118">
        <v>450000.0</v>
      </c>
      <c r="E26" s="57">
        <v>1.0</v>
      </c>
      <c r="F26" s="118">
        <f>D26*E26</f>
        <v>450000</v>
      </c>
      <c r="G26" s="118">
        <f>F26*12</f>
        <v>5400000</v>
      </c>
      <c r="H26" s="55" t="s">
        <v>498</v>
      </c>
    </row>
    <row r="27" ht="21.75" customHeight="1">
      <c r="B27" s="35" t="s">
        <v>499</v>
      </c>
      <c r="C27" s="36"/>
      <c r="D27" s="36"/>
      <c r="E27" s="41"/>
      <c r="F27" s="120">
        <f t="shared" ref="F27:G27" si="7">F26</f>
        <v>450000</v>
      </c>
      <c r="G27" s="120">
        <f t="shared" si="7"/>
        <v>5400000</v>
      </c>
      <c r="H27" s="111" t="s">
        <v>500</v>
      </c>
    </row>
    <row r="28" ht="15.75" customHeight="1"/>
    <row r="29" ht="15.75" customHeight="1">
      <c r="B29" s="14" t="s">
        <v>501</v>
      </c>
      <c r="C29" s="5"/>
      <c r="D29" s="5"/>
      <c r="E29" s="5"/>
      <c r="F29" s="5"/>
      <c r="G29" s="5"/>
      <c r="H29" s="5"/>
      <c r="I29" s="6"/>
    </row>
    <row r="30" ht="24.0" customHeight="1">
      <c r="B30" s="10" t="s">
        <v>502</v>
      </c>
      <c r="C30" s="10" t="s">
        <v>503</v>
      </c>
      <c r="D30" s="10" t="s">
        <v>504</v>
      </c>
      <c r="E30" s="10" t="s">
        <v>466</v>
      </c>
      <c r="F30" s="10" t="s">
        <v>505</v>
      </c>
      <c r="G30" s="10" t="s">
        <v>467</v>
      </c>
      <c r="H30" s="10" t="s">
        <v>506</v>
      </c>
      <c r="I30" s="10" t="s">
        <v>507</v>
      </c>
    </row>
    <row r="31" ht="19.5" customHeight="1">
      <c r="B31" s="122" t="s">
        <v>508</v>
      </c>
      <c r="C31" s="123" t="s">
        <v>509</v>
      </c>
      <c r="D31" s="124" t="s">
        <v>510</v>
      </c>
      <c r="E31" s="125">
        <f>F14</f>
        <v>3819876.744</v>
      </c>
      <c r="F31" s="126">
        <f t="shared" ref="F31:F33" si="8">E31/$E$34</f>
        <v>0.4940030709</v>
      </c>
      <c r="G31" s="125">
        <f>G14</f>
        <v>45838520.92</v>
      </c>
      <c r="H31" s="126">
        <f t="shared" ref="H31:H33" si="9">G31/$G$34</f>
        <v>0.4940030709</v>
      </c>
      <c r="I31" s="127" t="s">
        <v>511</v>
      </c>
    </row>
    <row r="32" ht="19.5" customHeight="1">
      <c r="B32" s="128" t="s">
        <v>512</v>
      </c>
      <c r="C32" s="129" t="s">
        <v>513</v>
      </c>
      <c r="D32" s="130" t="s">
        <v>514</v>
      </c>
      <c r="E32" s="131">
        <f>F21</f>
        <v>3462619.203</v>
      </c>
      <c r="F32" s="132">
        <f t="shared" si="8"/>
        <v>0.4478009723</v>
      </c>
      <c r="G32" s="131">
        <f>G21</f>
        <v>41551430.44</v>
      </c>
      <c r="H32" s="132">
        <f t="shared" si="9"/>
        <v>0.4478009723</v>
      </c>
      <c r="I32" s="133" t="s">
        <v>515</v>
      </c>
    </row>
    <row r="33" ht="19.5" customHeight="1">
      <c r="B33" s="122" t="s">
        <v>516</v>
      </c>
      <c r="C33" s="123" t="s">
        <v>517</v>
      </c>
      <c r="D33" s="134"/>
      <c r="E33" s="125">
        <f>F27</f>
        <v>450000</v>
      </c>
      <c r="F33" s="126">
        <f t="shared" si="8"/>
        <v>0.05819595679</v>
      </c>
      <c r="G33" s="125">
        <f>G27</f>
        <v>5400000</v>
      </c>
      <c r="H33" s="126">
        <f t="shared" si="9"/>
        <v>0.05819595679</v>
      </c>
      <c r="I33" s="127" t="s">
        <v>518</v>
      </c>
    </row>
    <row r="34" ht="24.0" customHeight="1">
      <c r="B34" s="58" t="s">
        <v>519</v>
      </c>
      <c r="C34" s="59"/>
      <c r="D34" s="60"/>
      <c r="E34" s="73">
        <f t="shared" ref="E34:H34" si="10">SUM(E31:E33)</f>
        <v>7732495.947</v>
      </c>
      <c r="F34" s="135">
        <f t="shared" si="10"/>
        <v>1</v>
      </c>
      <c r="G34" s="73">
        <f t="shared" si="10"/>
        <v>92789951.36</v>
      </c>
      <c r="H34" s="135">
        <f t="shared" si="10"/>
        <v>1</v>
      </c>
      <c r="I34" s="136" t="s">
        <v>520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21:E21"/>
    <mergeCell ref="B23:H23"/>
    <mergeCell ref="B24:H24"/>
    <mergeCell ref="B27:E27"/>
    <mergeCell ref="B29:I29"/>
    <mergeCell ref="B34:D34"/>
    <mergeCell ref="B2:I2"/>
    <mergeCell ref="B3:I3"/>
    <mergeCell ref="B5:H5"/>
    <mergeCell ref="B6:H6"/>
    <mergeCell ref="B14:E14"/>
    <mergeCell ref="B16:H16"/>
    <mergeCell ref="B17:H17"/>
  </mergeCells>
  <hyperlinks>
    <hyperlink r:id="rId2" ref="D31"/>
    <hyperlink r:id="rId3" ref="D32"/>
  </hyperlinks>
  <printOptions/>
  <pageMargins bottom="1.0" footer="0.0" header="0.0" left="0.75" right="0.75" top="1.0"/>
  <pageSetup orientation="landscape"/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2026-09-18T01:42:54Z</dcterms:created>
  <dc:creator>openpyxl</dc:creator>
</cp:coreProperties>
</file>