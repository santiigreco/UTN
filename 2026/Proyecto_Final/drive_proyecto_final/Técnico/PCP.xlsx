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lletitas ok" sheetId="1" r:id="rId4"/>
    <sheet state="visible" name="Panificados ok" sheetId="2" r:id="rId5"/>
    <sheet state="visible" name="PANIFICADOS" sheetId="3" r:id="rId6"/>
    <sheet state="visible" name="GALLETITAS (2)" sheetId="4" r:id="rId7"/>
    <sheet state="visible" name="GALLETITAS" sheetId="5" r:id="rId8"/>
    <sheet state="visible" name="Turno disponibñe" sheetId="6" r:id="rId9"/>
  </sheets>
  <definedNames/>
  <calcPr/>
  <extLst>
    <ext uri="GoogleSheetsCustomDataVersion2">
      <go:sheetsCustomData xmlns:go="http://customooxmlschemas.google.com/" r:id="rId10" roundtripDataChecksum="wloVNwmzIXiA5/NFcp9Aw/i6PXuVUPidUkxmEOlNSD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1">
      <text>
        <t xml:space="preserve">======
ID#AAACFHh_Or8
Brenda Aldana Rodriguez    (2026-08-31 01:12:36)
@sagreco@frba.utn.edu.ar estoy cargando en donde estan todos los calculos asi queda todo junto
------
ID#AAACFHh_Os4
Santiago Greco    (2026-08-31 01:52:29)
OKI</t>
      </text>
    </comment>
  </commentList>
  <extLst>
    <ext uri="GoogleSheetsCustomDataVersion2">
      <go:sheetsCustomData xmlns:go="http://customooxmlschemas.google.com/" r:id="rId1" roundtripDataSignature="AMtx7mgn3kM4KvloidE96NEmpHoLCpErGA=="/>
    </ext>
  </extLst>
</comments>
</file>

<file path=xl/sharedStrings.xml><?xml version="1.0" encoding="utf-8"?>
<sst xmlns="http://schemas.openxmlformats.org/spreadsheetml/2006/main" count="379" uniqueCount="117">
  <si>
    <t>Ventas al año 10</t>
  </si>
  <si>
    <t xml:space="preserve">Año </t>
  </si>
  <si>
    <t>Dias activ</t>
  </si>
  <si>
    <t xml:space="preserve">semana </t>
  </si>
  <si>
    <t>prod x semana</t>
  </si>
  <si>
    <t>Kg x  turno</t>
  </si>
  <si>
    <t>TURNO DISPONIBLES</t>
  </si>
  <si>
    <t xml:space="preserve">turno x semana </t>
  </si>
  <si>
    <t xml:space="preserve">Pan de molde </t>
  </si>
  <si>
    <t>Turnos disponibles x semana</t>
  </si>
  <si>
    <t xml:space="preserve">Capacidad del horno </t>
  </si>
  <si>
    <t xml:space="preserve">horas activas al año </t>
  </si>
  <si>
    <t>kg x hora</t>
  </si>
  <si>
    <t xml:space="preserve">kg /turno </t>
  </si>
  <si>
    <t xml:space="preserve">Capacidad </t>
  </si>
  <si>
    <t>kg/hr</t>
  </si>
  <si>
    <t xml:space="preserve">kg hora </t>
  </si>
  <si>
    <t>Turnos por semana</t>
  </si>
  <si>
    <t xml:space="preserve">Budin </t>
  </si>
  <si>
    <t>kg/hora</t>
  </si>
  <si>
    <t>Turno x semana</t>
  </si>
  <si>
    <t>Kg x turno</t>
  </si>
  <si>
    <t>Kg x hora</t>
  </si>
  <si>
    <t xml:space="preserve">Horas disponibles </t>
  </si>
  <si>
    <t xml:space="preserve">hr </t>
  </si>
  <si>
    <t xml:space="preserve">turnos </t>
  </si>
  <si>
    <t>SEMANAS DE PRODUCCIÓN</t>
  </si>
  <si>
    <t xml:space="preserve">Frecuencia </t>
  </si>
  <si>
    <t xml:space="preserve">libres </t>
  </si>
  <si>
    <t>mes</t>
  </si>
  <si>
    <t>kg x semana</t>
  </si>
  <si>
    <t>15 dias</t>
  </si>
  <si>
    <t>Turnos / mes</t>
  </si>
  <si>
    <t>S1</t>
  </si>
  <si>
    <t>S2</t>
  </si>
  <si>
    <t>S3</t>
  </si>
  <si>
    <t>S4</t>
  </si>
  <si>
    <t xml:space="preserve">tiempo limpieza </t>
  </si>
  <si>
    <t xml:space="preserve">min / turno </t>
  </si>
  <si>
    <t>Turnos /mes</t>
  </si>
  <si>
    <t>Chocolate con chips picante 150gr.</t>
  </si>
  <si>
    <t>SEMANA 1/3</t>
  </si>
  <si>
    <t>Pan de molde 400gr.</t>
  </si>
  <si>
    <t>Pan de molde</t>
  </si>
  <si>
    <t>TM</t>
  </si>
  <si>
    <t xml:space="preserve">Lunes </t>
  </si>
  <si>
    <t>Martes</t>
  </si>
  <si>
    <t>Miércoles</t>
  </si>
  <si>
    <t>Jueves</t>
  </si>
  <si>
    <t>Viernes</t>
  </si>
  <si>
    <t>TT</t>
  </si>
  <si>
    <t xml:space="preserve">PAN </t>
  </si>
  <si>
    <t>BUDIN</t>
  </si>
  <si>
    <t>PAN</t>
  </si>
  <si>
    <t xml:space="preserve">descanso </t>
  </si>
  <si>
    <t>TN</t>
  </si>
  <si>
    <t xml:space="preserve">Budines vainilla </t>
  </si>
  <si>
    <t>Galletitas símil chocolinas free 150gr.</t>
  </si>
  <si>
    <t>Largada/ paradas NP</t>
  </si>
  <si>
    <t>Budines vainilla/cítricos 180gr.</t>
  </si>
  <si>
    <t>Galletitas símil chocolinas 150gr.</t>
  </si>
  <si>
    <t>Budines chocolate 180gr.</t>
  </si>
  <si>
    <t xml:space="preserve">hr disponible x turno </t>
  </si>
  <si>
    <t>SEMANA 2/4</t>
  </si>
  <si>
    <t>Pepas chocolate y batata 150gr.</t>
  </si>
  <si>
    <t xml:space="preserve">kg x turno </t>
  </si>
  <si>
    <t>Bizcochos sabor queso free 150gr.</t>
  </si>
  <si>
    <t>LUNES</t>
  </si>
  <si>
    <t>MARTES</t>
  </si>
  <si>
    <t>MIÉRCOLES</t>
  </si>
  <si>
    <t>JUEVES</t>
  </si>
  <si>
    <t>VIERNES</t>
  </si>
  <si>
    <t xml:space="preserve">Info </t>
  </si>
  <si>
    <t>Stock 20 dias</t>
  </si>
  <si>
    <t>A</t>
  </si>
  <si>
    <t>B</t>
  </si>
  <si>
    <t>C</t>
  </si>
  <si>
    <t xml:space="preserve">chocolinas free y normal </t>
  </si>
  <si>
    <t xml:space="preserve">2 veces al mes </t>
  </si>
  <si>
    <t>Bizcochos sabor queso 150gr.</t>
  </si>
  <si>
    <t xml:space="preserve">Pepas </t>
  </si>
  <si>
    <t>Polvorones free 150gr.</t>
  </si>
  <si>
    <t xml:space="preserve">Bizcochos </t>
  </si>
  <si>
    <t>D</t>
  </si>
  <si>
    <t xml:space="preserve">Polvorones </t>
  </si>
  <si>
    <t>Polvorones 150gr.</t>
  </si>
  <si>
    <t>SEMANA 2</t>
  </si>
  <si>
    <t>E</t>
  </si>
  <si>
    <t>Chips</t>
  </si>
  <si>
    <t>20 dias de stock</t>
  </si>
  <si>
    <t xml:space="preserve">Cajas por turno </t>
  </si>
  <si>
    <t>Cajas x dia</t>
  </si>
  <si>
    <t>Cajas x pallet</t>
  </si>
  <si>
    <t xml:space="preserve">Pallets por turno </t>
  </si>
  <si>
    <t>Turnos x semana</t>
  </si>
  <si>
    <t>Pallets x semana</t>
  </si>
  <si>
    <t>Palets x dia</t>
  </si>
  <si>
    <t>Pallets x semana galletitas</t>
  </si>
  <si>
    <t>Pallets x semana panificados</t>
  </si>
  <si>
    <t>Total x semana</t>
  </si>
  <si>
    <t>Altura del pallet</t>
  </si>
  <si>
    <t>Ancho del pallet</t>
  </si>
  <si>
    <t>Largo del pallet</t>
  </si>
  <si>
    <t>Ubicaciones x bateria</t>
  </si>
  <si>
    <t>Alto</t>
  </si>
  <si>
    <t>Ubicaciones necesarias</t>
  </si>
  <si>
    <t>Ancho</t>
  </si>
  <si>
    <t>Cantidad de baterias</t>
  </si>
  <si>
    <t xml:space="preserve">Largo </t>
  </si>
  <si>
    <t>semana x semana</t>
  </si>
  <si>
    <t>Cajas</t>
  </si>
  <si>
    <t xml:space="preserve">Turnos disponibles </t>
  </si>
  <si>
    <t xml:space="preserve">Horas disponibles por turno </t>
  </si>
  <si>
    <t xml:space="preserve">Hs disponibles por dia </t>
  </si>
  <si>
    <t xml:space="preserve">Turnos disponibles x mes </t>
  </si>
  <si>
    <t xml:space="preserve">KG X TURNO 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</si>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</sst>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  <font>
      <b/>
      <sz val="11.0"/>
      <color theme="1"/>
      <name val="Aptos Narrow"/>
    </font>
    <font>
      <sz val="9.0"/>
      <color theme="1"/>
      <name val="Montserrat"/>
    </font>
    <font>
      <sz val="9.0"/>
      <color theme="1"/>
      <name val="Aptos Narrow"/>
    </font>
    <font/>
    <font>
      <i/>
      <sz val="11.0"/>
      <color theme="1"/>
      <name val="Aptos Narrow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7030A0"/>
        <bgColor rgb="FF7030A0"/>
      </patternFill>
    </fill>
  </fills>
  <borders count="2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</border>
    <border>
      <left style="medium">
        <color rgb="FFD9D9D9"/>
      </left>
      <right style="medium">
        <color rgb="FFD9D9D9"/>
      </right>
      <top/>
      <bottom style="medium">
        <color rgb="FFD9D9D9"/>
      </bottom>
    </border>
    <border>
      <left style="medium">
        <color rgb="FFD9D9D9"/>
      </left>
      <right style="medium">
        <color rgb="FFD9D9D9"/>
      </right>
      <bottom style="medium">
        <color rgb="FFD9D9D9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2" fillId="0" fontId="1" numFmtId="0" xfId="0" applyBorder="1" applyFont="1"/>
    <xf borderId="3" fillId="0" fontId="1" numFmtId="0" xfId="0" applyBorder="1" applyFont="1"/>
    <xf borderId="0" fillId="0" fontId="1" numFmtId="1" xfId="0" applyFont="1" applyNumberFormat="1"/>
    <xf borderId="4" fillId="0" fontId="1" numFmtId="0" xfId="0" applyBorder="1" applyFont="1"/>
    <xf borderId="5" fillId="0" fontId="1" numFmtId="1" xfId="0" applyBorder="1" applyFont="1" applyNumberFormat="1"/>
    <xf borderId="6" fillId="0" fontId="1" numFmtId="1" xfId="0" applyBorder="1" applyFont="1" applyNumberFormat="1"/>
    <xf borderId="0" fillId="0" fontId="1" numFmtId="164" xfId="0" applyFont="1" applyNumberFormat="1"/>
    <xf borderId="0" fillId="0" fontId="3" numFmtId="0" xfId="0" applyFont="1"/>
    <xf borderId="7" fillId="2" fontId="1" numFmtId="164" xfId="0" applyBorder="1" applyFill="1" applyFont="1" applyNumberFormat="1"/>
    <xf borderId="0" fillId="0" fontId="4" numFmtId="0" xfId="0" applyAlignment="1" applyFont="1">
      <alignment horizontal="right" shrinkToFit="0" vertical="center" wrapText="1"/>
    </xf>
    <xf borderId="7" fillId="3" fontId="1" numFmtId="164" xfId="0" applyBorder="1" applyFill="1" applyFont="1" applyNumberFormat="1"/>
    <xf borderId="7" fillId="3" fontId="1" numFmtId="0" xfId="0" applyBorder="1" applyFill="1" applyFont="1"/>
    <xf borderId="0" fillId="0" fontId="5" numFmtId="20" xfId="0" applyFont="1" applyNumberFormat="1"/>
    <xf borderId="1" fillId="0" fontId="4" numFmtId="0" xfId="0" applyAlignment="1" applyBorder="1" applyFont="1">
      <alignment horizontal="right" shrinkToFit="0" vertical="center" wrapText="1"/>
    </xf>
    <xf borderId="8" fillId="0" fontId="1" numFmtId="0" xfId="0" applyBorder="1" applyFont="1"/>
    <xf borderId="3" fillId="0" fontId="4" numFmtId="0" xfId="0" applyAlignment="1" applyBorder="1" applyFont="1">
      <alignment horizontal="right" shrinkToFit="0" vertical="center" wrapText="1"/>
    </xf>
    <xf borderId="0" fillId="0" fontId="3" numFmtId="1" xfId="0" applyFont="1" applyNumberFormat="1"/>
    <xf borderId="7" fillId="3" fontId="3" numFmtId="0" xfId="0" applyBorder="1" applyFill="1" applyFont="1"/>
    <xf borderId="0" fillId="0" fontId="4" numFmtId="1" xfId="0" applyAlignment="1" applyFont="1" applyNumberFormat="1">
      <alignment horizontal="right" shrinkToFit="0" vertical="center" wrapText="1"/>
    </xf>
    <xf borderId="9" fillId="0" fontId="3" numFmtId="0" xfId="0" applyAlignment="1" applyBorder="1" applyFont="1">
      <alignment horizontal="center"/>
    </xf>
    <xf borderId="4" fillId="0" fontId="4" numFmtId="0" xfId="0" applyAlignment="1" applyBorder="1" applyFont="1">
      <alignment horizontal="right" shrinkToFit="0" vertical="center" wrapText="1"/>
    </xf>
    <xf borderId="10" fillId="0" fontId="6" numFmtId="0" xfId="0" applyBorder="1" applyFont="1"/>
    <xf borderId="7" fillId="3" fontId="3" numFmtId="1" xfId="0" applyBorder="1" applyFill="1" applyFont="1" applyNumberFormat="1"/>
    <xf borderId="11" fillId="0" fontId="6" numFmtId="0" xfId="0" applyBorder="1" applyFont="1"/>
    <xf borderId="0" fillId="0" fontId="1" numFmtId="0" xfId="0" applyAlignment="1" applyFont="1">
      <alignment horizontal="center"/>
    </xf>
    <xf borderId="6" fillId="0" fontId="4" numFmtId="0" xfId="0" applyAlignment="1" applyBorder="1" applyFont="1">
      <alignment horizontal="right" shrinkToFit="0" vertical="center" wrapText="1"/>
    </xf>
    <xf borderId="8" fillId="0" fontId="7" numFmtId="0" xfId="0" applyAlignment="1" applyBorder="1" applyFont="1">
      <alignment horizontal="center"/>
    </xf>
    <xf borderId="8" fillId="0" fontId="7" numFmtId="0" xfId="0" applyBorder="1" applyFont="1"/>
    <xf borderId="0" fillId="0" fontId="4" numFmtId="0" xfId="0" applyAlignment="1" applyFont="1">
      <alignment shrinkToFit="0" vertical="center" wrapText="1"/>
    </xf>
    <xf borderId="9" fillId="0" fontId="1" numFmtId="0" xfId="0" applyAlignment="1" applyBorder="1" applyFont="1">
      <alignment horizontal="center"/>
    </xf>
    <xf borderId="0" fillId="0" fontId="1" numFmtId="0" xfId="0" applyAlignment="1" applyFont="1">
      <alignment vertical="top"/>
    </xf>
    <xf borderId="8" fillId="0" fontId="1" numFmtId="1" xfId="0" applyAlignment="1" applyBorder="1" applyFont="1" applyNumberFormat="1">
      <alignment horizontal="right"/>
    </xf>
    <xf borderId="8" fillId="0" fontId="1" numFmtId="1" xfId="0" applyBorder="1" applyFont="1" applyNumberFormat="1"/>
    <xf borderId="7" fillId="2" fontId="1" numFmtId="0" xfId="0" applyBorder="1" applyFill="1" applyFont="1"/>
    <xf borderId="7" fillId="2" fontId="1" numFmtId="2" xfId="0" applyBorder="1" applyFill="1" applyFont="1" applyNumberFormat="1"/>
    <xf borderId="0" fillId="0" fontId="1" numFmtId="0" xfId="0" applyAlignment="1" applyFont="1">
      <alignment horizontal="left"/>
    </xf>
    <xf borderId="7" fillId="4" fontId="3" numFmtId="0" xfId="0" applyBorder="1" applyFill="1" applyFont="1"/>
    <xf borderId="0" fillId="0" fontId="2" numFmtId="1" xfId="0" applyFont="1" applyNumberFormat="1"/>
    <xf borderId="12" fillId="0" fontId="1" numFmtId="0" xfId="0" applyBorder="1" applyFont="1"/>
    <xf borderId="13" fillId="0" fontId="1" numFmtId="1" xfId="0" applyBorder="1" applyFont="1" applyNumberFormat="1"/>
    <xf borderId="14" fillId="0" fontId="1" numFmtId="0" xfId="0" applyBorder="1" applyFont="1"/>
    <xf borderId="15" fillId="0" fontId="1" numFmtId="1" xfId="0" applyBorder="1" applyFont="1" applyNumberFormat="1"/>
    <xf borderId="0" fillId="0" fontId="8" numFmtId="0" xfId="0" applyAlignment="1" applyFont="1">
      <alignment readingOrder="0"/>
    </xf>
    <xf borderId="0" fillId="0" fontId="1" numFmtId="1" xfId="0" applyAlignment="1" applyFont="1" applyNumberFormat="1">
      <alignment horizontal="left"/>
    </xf>
    <xf borderId="16" fillId="0" fontId="1" numFmtId="0" xfId="0" applyBorder="1" applyFont="1"/>
    <xf borderId="0" fillId="0" fontId="2" numFmtId="2" xfId="0" applyFont="1" applyNumberFormat="1"/>
    <xf borderId="0" fillId="0" fontId="1" numFmtId="2" xfId="0" applyFont="1" applyNumberFormat="1"/>
    <xf borderId="0" fillId="0" fontId="8" numFmtId="0" xfId="0" applyAlignment="1" applyFont="1">
      <alignment readingOrder="0" shrinkToFit="0" wrapText="1"/>
    </xf>
    <xf borderId="17" fillId="0" fontId="4" numFmtId="0" xfId="0" applyAlignment="1" applyBorder="1" applyFont="1">
      <alignment shrinkToFit="0" vertical="center" wrapText="1"/>
    </xf>
    <xf borderId="17" fillId="0" fontId="4" numFmtId="0" xfId="0" applyAlignment="1" applyBorder="1" applyFont="1">
      <alignment horizontal="right" shrinkToFit="0" vertical="center" wrapText="1"/>
    </xf>
    <xf borderId="18" fillId="3" fontId="4" numFmtId="0" xfId="0" applyAlignment="1" applyBorder="1" applyFill="1" applyFont="1">
      <alignment shrinkToFit="0" vertical="center" wrapText="1"/>
    </xf>
    <xf borderId="18" fillId="3" fontId="4" numFmtId="0" xfId="0" applyAlignment="1" applyBorder="1" applyFill="1" applyFont="1">
      <alignment horizontal="right" shrinkToFit="0" vertical="center" wrapText="1"/>
    </xf>
    <xf borderId="7" fillId="3" fontId="1" numFmtId="1" xfId="0" applyBorder="1" applyFill="1" applyFont="1" applyNumberFormat="1"/>
    <xf borderId="19" fillId="0" fontId="4" numFmtId="0" xfId="0" applyAlignment="1" applyBorder="1" applyFont="1">
      <alignment shrinkToFit="0" vertical="center" wrapText="1"/>
    </xf>
    <xf borderId="19" fillId="0" fontId="4" numFmtId="0" xfId="0" applyAlignment="1" applyBorder="1" applyFont="1">
      <alignment horizontal="right" shrinkToFit="0" vertical="center" wrapText="1"/>
    </xf>
    <xf borderId="0" fillId="0" fontId="1" numFmtId="1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24.75"/>
    <col customWidth="1" min="3" max="3" width="16.38"/>
    <col customWidth="1" min="4" max="4" width="17.25"/>
    <col customWidth="1" min="5" max="5" width="13.13"/>
    <col customWidth="1" min="6" max="10" width="10.63"/>
    <col customWidth="1" min="11" max="11" width="24.13"/>
    <col customWidth="1" min="12" max="26" width="10.6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2" t="s">
        <v>9</v>
      </c>
      <c r="K1" s="2" t="s">
        <v>10</v>
      </c>
      <c r="L1" s="2">
        <v>63.0</v>
      </c>
    </row>
    <row r="2">
      <c r="A2" s="6"/>
      <c r="B2" s="7">
        <v>359000.0</v>
      </c>
      <c r="C2" s="7">
        <v>239.0</v>
      </c>
      <c r="D2" s="7">
        <f>+C2/5</f>
        <v>47.8</v>
      </c>
      <c r="E2" s="8">
        <f>+B2/D2</f>
        <v>7510.460251</v>
      </c>
      <c r="F2" s="2">
        <v>15.0</v>
      </c>
      <c r="K2" s="2" t="s">
        <v>11</v>
      </c>
      <c r="M2" s="2">
        <v>5736.0</v>
      </c>
    </row>
    <row r="3">
      <c r="F3" s="9">
        <f>+E2/F2</f>
        <v>500.6973501</v>
      </c>
      <c r="G3" s="2" t="s">
        <v>13</v>
      </c>
      <c r="K3" s="2" t="s">
        <v>14</v>
      </c>
      <c r="L3" s="2" t="s">
        <v>15</v>
      </c>
      <c r="M3" s="2">
        <v>76.0</v>
      </c>
      <c r="N3" s="2" t="s">
        <v>16</v>
      </c>
    </row>
    <row r="4">
      <c r="F4" s="13">
        <f>+F3/M10</f>
        <v>72.38997832</v>
      </c>
      <c r="G4" s="14" t="s">
        <v>19</v>
      </c>
      <c r="H4" s="14"/>
      <c r="I4" s="14"/>
      <c r="J4" s="14"/>
    </row>
    <row r="5">
      <c r="K5" s="2" t="s">
        <v>23</v>
      </c>
      <c r="M5" s="2">
        <v>8.0</v>
      </c>
      <c r="N5" s="2" t="s">
        <v>24</v>
      </c>
    </row>
    <row r="6">
      <c r="A6" s="15"/>
      <c r="E6" s="17"/>
      <c r="F6" s="22" t="s">
        <v>26</v>
      </c>
      <c r="G6" s="24"/>
      <c r="H6" s="24"/>
      <c r="I6" s="26"/>
    </row>
    <row r="7" ht="12.75" customHeight="1">
      <c r="B7" s="27" t="s">
        <v>1</v>
      </c>
      <c r="C7" s="27" t="s">
        <v>29</v>
      </c>
      <c r="D7" s="27" t="s">
        <v>30</v>
      </c>
      <c r="E7" s="29" t="s">
        <v>32</v>
      </c>
      <c r="F7" s="30" t="s">
        <v>33</v>
      </c>
      <c r="G7" s="30" t="s">
        <v>34</v>
      </c>
      <c r="H7" s="30" t="s">
        <v>35</v>
      </c>
      <c r="I7" s="30" t="s">
        <v>36</v>
      </c>
      <c r="K7" s="2" t="s">
        <v>37</v>
      </c>
      <c r="M7" s="2">
        <v>20.0</v>
      </c>
      <c r="N7" s="2" t="s">
        <v>38</v>
      </c>
    </row>
    <row r="8" ht="12.75" customHeight="1">
      <c r="A8" s="31" t="s">
        <v>40</v>
      </c>
      <c r="B8" s="12">
        <v>101000.0</v>
      </c>
      <c r="C8" s="5">
        <f t="shared" ref="C8:C15" si="1">+B8/12</f>
        <v>8416.666667</v>
      </c>
      <c r="D8" s="5">
        <f t="shared" ref="D8:D15" si="2">+C8/4</f>
        <v>2104.166667</v>
      </c>
      <c r="E8" s="34">
        <f t="shared" ref="E8:E15" si="3">+C8/$F$3</f>
        <v>16.80988858</v>
      </c>
      <c r="F8" s="17">
        <v>8.0</v>
      </c>
      <c r="G8" s="17"/>
      <c r="H8" s="35">
        <v>9.0</v>
      </c>
      <c r="I8" s="17"/>
      <c r="J8" s="2">
        <f t="shared" ref="J8:J15" si="4">+SUM(F8:I8)</f>
        <v>17</v>
      </c>
      <c r="K8" s="2" t="s">
        <v>54</v>
      </c>
      <c r="M8" s="2">
        <v>15.0</v>
      </c>
      <c r="N8" s="2" t="s">
        <v>38</v>
      </c>
    </row>
    <row r="9" ht="12.75" customHeight="1">
      <c r="A9" s="31" t="s">
        <v>57</v>
      </c>
      <c r="B9" s="12">
        <v>13000.0</v>
      </c>
      <c r="C9" s="5">
        <f t="shared" si="1"/>
        <v>1083.333333</v>
      </c>
      <c r="D9" s="5">
        <f t="shared" si="2"/>
        <v>270.8333333</v>
      </c>
      <c r="E9" s="34">
        <f t="shared" si="3"/>
        <v>2.163649025</v>
      </c>
      <c r="F9" s="17">
        <v>1.0</v>
      </c>
      <c r="G9" s="17"/>
      <c r="H9" s="17">
        <v>1.0</v>
      </c>
      <c r="I9" s="17"/>
      <c r="J9" s="2">
        <f t="shared" si="4"/>
        <v>2</v>
      </c>
      <c r="K9" s="2" t="s">
        <v>58</v>
      </c>
      <c r="M9" s="2">
        <v>30.0</v>
      </c>
      <c r="N9" s="2" t="s">
        <v>38</v>
      </c>
    </row>
    <row r="10" ht="12.75" customHeight="1">
      <c r="A10" s="31" t="s">
        <v>60</v>
      </c>
      <c r="B10" s="12">
        <v>31000.0</v>
      </c>
      <c r="C10" s="5">
        <f t="shared" si="1"/>
        <v>2583.333333</v>
      </c>
      <c r="D10" s="5">
        <f t="shared" si="2"/>
        <v>645.8333333</v>
      </c>
      <c r="E10" s="34">
        <f t="shared" si="3"/>
        <v>5.159470752</v>
      </c>
      <c r="F10" s="17">
        <v>3.0</v>
      </c>
      <c r="G10" s="17"/>
      <c r="H10" s="17">
        <v>2.0</v>
      </c>
      <c r="I10" s="17"/>
      <c r="J10" s="2">
        <f t="shared" si="4"/>
        <v>5</v>
      </c>
      <c r="M10" s="37">
        <f>+(M5*60-M7-M8-M9)/60</f>
        <v>6.916666667</v>
      </c>
      <c r="N10" s="2" t="s">
        <v>62</v>
      </c>
    </row>
    <row r="11" ht="12.75" customHeight="1">
      <c r="A11" s="31" t="s">
        <v>64</v>
      </c>
      <c r="B11" s="12">
        <v>94000.0</v>
      </c>
      <c r="C11" s="5">
        <f t="shared" si="1"/>
        <v>7833.333333</v>
      </c>
      <c r="D11" s="5">
        <f t="shared" si="2"/>
        <v>1958.333333</v>
      </c>
      <c r="E11" s="34">
        <f t="shared" si="3"/>
        <v>15.6448468</v>
      </c>
      <c r="F11" s="17"/>
      <c r="G11" s="17">
        <v>8.0</v>
      </c>
      <c r="H11" s="17"/>
      <c r="I11" s="17">
        <v>8.0</v>
      </c>
      <c r="J11" s="2">
        <f t="shared" si="4"/>
        <v>16</v>
      </c>
    </row>
    <row r="12" ht="12.75" customHeight="1">
      <c r="A12" s="31" t="s">
        <v>66</v>
      </c>
      <c r="B12" s="12">
        <v>13000.0</v>
      </c>
      <c r="C12" s="5">
        <f t="shared" si="1"/>
        <v>1083.333333</v>
      </c>
      <c r="D12" s="5">
        <f t="shared" si="2"/>
        <v>270.8333333</v>
      </c>
      <c r="E12" s="34">
        <f t="shared" si="3"/>
        <v>2.163649025</v>
      </c>
      <c r="F12" s="17">
        <v>1.0</v>
      </c>
      <c r="G12" s="17"/>
      <c r="H12" s="17">
        <v>1.0</v>
      </c>
      <c r="I12" s="17"/>
      <c r="J12" s="2">
        <f t="shared" si="4"/>
        <v>2</v>
      </c>
      <c r="L12" s="5">
        <f>+M3*M10</f>
        <v>525.6666667</v>
      </c>
      <c r="M12" s="2" t="s">
        <v>65</v>
      </c>
    </row>
    <row r="13" ht="12.75" customHeight="1">
      <c r="A13" s="31" t="s">
        <v>79</v>
      </c>
      <c r="B13" s="12">
        <v>31000.0</v>
      </c>
      <c r="C13" s="5">
        <f t="shared" si="1"/>
        <v>2583.333333</v>
      </c>
      <c r="D13" s="5">
        <f t="shared" si="2"/>
        <v>645.8333333</v>
      </c>
      <c r="E13" s="34">
        <f t="shared" si="3"/>
        <v>5.159470752</v>
      </c>
      <c r="F13" s="17">
        <v>2.0</v>
      </c>
      <c r="G13" s="17"/>
      <c r="H13" s="17">
        <v>2.0</v>
      </c>
      <c r="I13" s="17">
        <v>1.0</v>
      </c>
      <c r="J13" s="2">
        <f t="shared" si="4"/>
        <v>5</v>
      </c>
    </row>
    <row r="14" ht="12.75" customHeight="1">
      <c r="A14" s="31" t="s">
        <v>81</v>
      </c>
      <c r="B14" s="12">
        <v>23000.0</v>
      </c>
      <c r="C14" s="5">
        <f t="shared" si="1"/>
        <v>1916.666667</v>
      </c>
      <c r="D14" s="5">
        <f t="shared" si="2"/>
        <v>479.1666667</v>
      </c>
      <c r="E14" s="34">
        <f t="shared" si="3"/>
        <v>3.827994429</v>
      </c>
      <c r="F14" s="17"/>
      <c r="G14" s="17">
        <v>2.0</v>
      </c>
      <c r="H14" s="17"/>
      <c r="I14" s="17">
        <v>2.0</v>
      </c>
      <c r="J14" s="2">
        <f t="shared" si="4"/>
        <v>4</v>
      </c>
    </row>
    <row r="15" ht="12.75" customHeight="1">
      <c r="A15" s="31" t="s">
        <v>85</v>
      </c>
      <c r="B15" s="12">
        <v>53000.0</v>
      </c>
      <c r="C15" s="5">
        <f t="shared" si="1"/>
        <v>4416.666667</v>
      </c>
      <c r="D15" s="5">
        <f t="shared" si="2"/>
        <v>1104.166667</v>
      </c>
      <c r="E15" s="34">
        <f t="shared" si="3"/>
        <v>8.821030641</v>
      </c>
      <c r="F15" s="17"/>
      <c r="G15" s="17">
        <v>5.0</v>
      </c>
      <c r="H15" s="17"/>
      <c r="I15" s="17">
        <v>4.0</v>
      </c>
      <c r="J15" s="2">
        <f t="shared" si="4"/>
        <v>9</v>
      </c>
    </row>
    <row r="16" ht="12.75" customHeight="1">
      <c r="A16" s="15"/>
      <c r="F16" s="2">
        <f t="shared" ref="F16:J16" si="5">+SUM(F8:F15)</f>
        <v>15</v>
      </c>
      <c r="G16" s="2">
        <f t="shared" si="5"/>
        <v>15</v>
      </c>
      <c r="H16" s="40">
        <f t="shared" si="5"/>
        <v>15</v>
      </c>
      <c r="I16" s="2">
        <f t="shared" si="5"/>
        <v>15</v>
      </c>
      <c r="J16" s="2">
        <f t="shared" si="5"/>
        <v>60</v>
      </c>
    </row>
    <row r="17" ht="12.75" customHeight="1">
      <c r="A17" s="15"/>
    </row>
    <row r="18" ht="12.75" customHeight="1">
      <c r="A18" s="15"/>
    </row>
    <row r="19" ht="12.75" customHeight="1">
      <c r="A19" s="15"/>
      <c r="B19" s="41" t="s">
        <v>90</v>
      </c>
      <c r="C19" s="42">
        <f>+F3/(18*0.15)</f>
        <v>185.443463</v>
      </c>
    </row>
    <row r="20" ht="12.75" customHeight="1">
      <c r="A20" s="15"/>
      <c r="B20" s="43" t="s">
        <v>92</v>
      </c>
      <c r="C20" s="44">
        <f>D20</f>
        <v>105</v>
      </c>
      <c r="D20" s="45">
        <f>15*7</f>
        <v>105</v>
      </c>
      <c r="E20" s="2">
        <f>0.24*6</f>
        <v>1.44</v>
      </c>
    </row>
    <row r="21" ht="12.75" customHeight="1">
      <c r="A21" s="15"/>
      <c r="B21" s="47" t="s">
        <v>93</v>
      </c>
      <c r="C21" s="48">
        <f>ROUND(+C19/C20,0)</f>
        <v>2</v>
      </c>
      <c r="D21" s="2">
        <f>C21*15</f>
        <v>30</v>
      </c>
    </row>
    <row r="22" ht="12.75" customHeight="1">
      <c r="A22" s="15"/>
      <c r="B22" s="45" t="s">
        <v>94</v>
      </c>
      <c r="C22" s="45">
        <v>15.0</v>
      </c>
    </row>
    <row r="23" ht="12.75" customHeight="1">
      <c r="A23" s="15"/>
      <c r="B23" s="45" t="s">
        <v>95</v>
      </c>
      <c r="C23" s="2">
        <f>C21*C22</f>
        <v>30</v>
      </c>
    </row>
    <row r="24" ht="12.75" customHeight="1">
      <c r="A24" s="15"/>
    </row>
    <row r="25" ht="12.75" customHeight="1">
      <c r="A25" s="15"/>
      <c r="B25" s="45" t="s">
        <v>97</v>
      </c>
      <c r="C25" s="48">
        <f>C23</f>
        <v>30</v>
      </c>
    </row>
    <row r="26" ht="12.75" customHeight="1">
      <c r="A26" s="15"/>
      <c r="B26" s="45" t="s">
        <v>98</v>
      </c>
      <c r="C26" s="48">
        <f>'Panificados ok'!F20</f>
        <v>10</v>
      </c>
    </row>
    <row r="27" ht="12.75" customHeight="1">
      <c r="A27" s="15"/>
    </row>
    <row r="28" ht="12.75" customHeight="1">
      <c r="A28" s="15"/>
      <c r="B28" s="45" t="s">
        <v>99</v>
      </c>
      <c r="C28" s="48">
        <f>SUM(C25:C26)</f>
        <v>40</v>
      </c>
    </row>
    <row r="29" ht="12.75" customHeight="1">
      <c r="A29" s="15"/>
    </row>
    <row r="30" ht="12.75" customHeight="1">
      <c r="A30" s="15"/>
      <c r="B30" s="45" t="s">
        <v>100</v>
      </c>
      <c r="C30" s="45">
        <v>1.85</v>
      </c>
    </row>
    <row r="31" ht="12.75" customHeight="1">
      <c r="A31" s="15"/>
      <c r="B31" s="45" t="s">
        <v>101</v>
      </c>
      <c r="C31" s="45">
        <v>1.0</v>
      </c>
    </row>
    <row r="32" ht="12.75" customHeight="1">
      <c r="A32" s="15"/>
      <c r="B32" s="45" t="s">
        <v>102</v>
      </c>
      <c r="C32" s="45">
        <v>1.2</v>
      </c>
    </row>
    <row r="33" ht="12.75" customHeight="1">
      <c r="A33" s="15"/>
    </row>
    <row r="34">
      <c r="A34" s="15"/>
      <c r="B34" s="50" t="s">
        <v>103</v>
      </c>
      <c r="C34" s="45">
        <v>3.0</v>
      </c>
      <c r="E34" s="45" t="s">
        <v>104</v>
      </c>
      <c r="F34" s="45">
        <v>2.0</v>
      </c>
    </row>
    <row r="35" ht="12.75" customHeight="1">
      <c r="A35" s="15"/>
      <c r="B35" s="45" t="s">
        <v>105</v>
      </c>
      <c r="C35" s="48">
        <f>C28</f>
        <v>40</v>
      </c>
      <c r="E35" s="45" t="s">
        <v>106</v>
      </c>
      <c r="F35" s="45">
        <v>1.1</v>
      </c>
      <c r="G35" s="2">
        <f>(F35*C36)/2</f>
        <v>7.15</v>
      </c>
    </row>
    <row r="36" ht="12.75" customHeight="1">
      <c r="A36" s="15"/>
      <c r="B36" s="45" t="s">
        <v>107</v>
      </c>
      <c r="C36" s="2">
        <f>ROUND(C35/C34,0)</f>
        <v>13</v>
      </c>
      <c r="E36" s="45" t="s">
        <v>108</v>
      </c>
      <c r="F36" s="45">
        <v>1.3</v>
      </c>
    </row>
    <row r="37" ht="12.75" customHeight="1">
      <c r="A37" s="15"/>
    </row>
    <row r="38" ht="12.75" customHeight="1">
      <c r="A38" s="15"/>
    </row>
    <row r="39" ht="12.75" customHeight="1">
      <c r="A39" s="15"/>
    </row>
    <row r="40" ht="12.75" customHeight="1">
      <c r="A40" s="15"/>
    </row>
    <row r="41" ht="12.75" customHeight="1">
      <c r="A41" s="15"/>
    </row>
    <row r="42" ht="12.75" customHeight="1">
      <c r="A42" s="15"/>
    </row>
    <row r="43" ht="12.75" customHeight="1">
      <c r="A43" s="15"/>
    </row>
    <row r="44" ht="12.75" customHeight="1">
      <c r="A44" s="15"/>
    </row>
    <row r="45" ht="12.75" customHeight="1">
      <c r="A45" s="15"/>
    </row>
    <row r="46" ht="12.75" customHeight="1">
      <c r="A46" s="15"/>
    </row>
    <row r="47" ht="12.75" customHeight="1">
      <c r="A47" s="15"/>
    </row>
    <row r="48" ht="12.75" customHeight="1">
      <c r="A48" s="15"/>
    </row>
    <row r="49" ht="12.75" customHeight="1">
      <c r="A49" s="15"/>
    </row>
    <row r="50" ht="12.75" customHeight="1">
      <c r="A50" s="15"/>
    </row>
    <row r="51" ht="12.75" customHeight="1">
      <c r="A51" s="15"/>
    </row>
    <row r="52" ht="12.75" customHeight="1">
      <c r="A52" s="15"/>
    </row>
    <row r="53" ht="12.75" customHeight="1">
      <c r="A53" s="15"/>
    </row>
    <row r="54" ht="12.75" customHeight="1">
      <c r="A54" s="15"/>
    </row>
    <row r="55" ht="12.75" customHeight="1">
      <c r="A55" s="15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6:I6"/>
  </mergeCell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13"/>
    <col customWidth="1" min="2" max="4" width="10.63"/>
    <col customWidth="1" min="5" max="5" width="14.38"/>
    <col customWidth="1" min="6" max="6" width="14.13"/>
    <col customWidth="1" min="7" max="7" width="13.38"/>
    <col customWidth="1" min="8" max="8" width="13.25"/>
    <col customWidth="1" min="9" max="9" width="10.63"/>
    <col customWidth="1" min="10" max="10" width="7.88"/>
    <col customWidth="1" min="11" max="26" width="10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L1" s="2" t="s">
        <v>6</v>
      </c>
    </row>
    <row r="2">
      <c r="A2" s="2" t="s">
        <v>8</v>
      </c>
      <c r="B2" s="5">
        <v>118000.0</v>
      </c>
      <c r="C2" s="5">
        <v>239.0</v>
      </c>
      <c r="D2" s="5">
        <f t="shared" ref="D2:D3" si="1">+C2/5</f>
        <v>47.8</v>
      </c>
      <c r="E2" s="5">
        <f t="shared" ref="E2:E3" si="2">+B2/D2</f>
        <v>2468.619247</v>
      </c>
      <c r="F2" s="5"/>
      <c r="G2" s="9"/>
      <c r="H2" s="10"/>
      <c r="I2" s="9"/>
      <c r="L2" s="2">
        <f>3*5</f>
        <v>15</v>
      </c>
      <c r="M2" s="2" t="s">
        <v>17</v>
      </c>
    </row>
    <row r="3">
      <c r="A3" s="2" t="s">
        <v>18</v>
      </c>
      <c r="B3" s="2">
        <v>202000.0</v>
      </c>
      <c r="C3" s="5">
        <v>239.0</v>
      </c>
      <c r="D3" s="5">
        <f t="shared" si="1"/>
        <v>47.8</v>
      </c>
      <c r="E3" s="5">
        <f t="shared" si="2"/>
        <v>4225.941423</v>
      </c>
      <c r="F3" s="10" t="s">
        <v>20</v>
      </c>
      <c r="G3" s="10" t="s">
        <v>21</v>
      </c>
      <c r="H3" s="10" t="s">
        <v>22</v>
      </c>
      <c r="I3" s="9"/>
      <c r="L3" s="2" t="s">
        <v>11</v>
      </c>
      <c r="N3" s="2">
        <v>5736.0</v>
      </c>
    </row>
    <row r="4">
      <c r="B4" s="5"/>
      <c r="D4" s="5"/>
      <c r="E4" s="19">
        <f>+SUM(E2:E3)</f>
        <v>6694.560669</v>
      </c>
      <c r="F4" s="20">
        <v>15.0</v>
      </c>
      <c r="G4" s="25">
        <f>+$E$4/$F$4</f>
        <v>446.3040446</v>
      </c>
      <c r="H4" s="25">
        <f>+G4/M10</f>
        <v>66.11911772</v>
      </c>
      <c r="L4" s="2" t="s">
        <v>14</v>
      </c>
      <c r="M4" s="2" t="s">
        <v>15</v>
      </c>
      <c r="O4" s="2" t="s">
        <v>16</v>
      </c>
    </row>
    <row r="5">
      <c r="C5" s="27"/>
    </row>
    <row r="6">
      <c r="B6" s="27" t="s">
        <v>1</v>
      </c>
      <c r="C6" s="27" t="s">
        <v>29</v>
      </c>
      <c r="D6" s="27" t="s">
        <v>30</v>
      </c>
      <c r="E6" s="27" t="s">
        <v>39</v>
      </c>
      <c r="F6" s="30" t="s">
        <v>33</v>
      </c>
      <c r="G6" s="30" t="s">
        <v>34</v>
      </c>
      <c r="H6" s="30" t="s">
        <v>35</v>
      </c>
      <c r="I6" s="30" t="s">
        <v>36</v>
      </c>
      <c r="K6" s="2" t="s">
        <v>23</v>
      </c>
      <c r="M6" s="2">
        <v>8.0</v>
      </c>
      <c r="N6" s="2" t="s">
        <v>24</v>
      </c>
    </row>
    <row r="7" ht="17.25" customHeight="1">
      <c r="A7" s="2" t="s">
        <v>42</v>
      </c>
      <c r="B7" s="2">
        <v>118000.0</v>
      </c>
      <c r="C7" s="5">
        <f t="shared" ref="C7:C9" si="3">+B7/12</f>
        <v>9833.333333</v>
      </c>
      <c r="D7" s="5">
        <f t="shared" ref="D7:D9" si="4">+C7/4</f>
        <v>2458.333333</v>
      </c>
      <c r="E7" s="9">
        <f t="shared" ref="E7:E9" si="5">+C7/$G$4</f>
        <v>22.0328125</v>
      </c>
      <c r="F7" s="17">
        <v>6.0</v>
      </c>
      <c r="G7" s="17">
        <v>5.0</v>
      </c>
      <c r="H7" s="35">
        <v>6.0</v>
      </c>
      <c r="I7" s="17">
        <v>5.0</v>
      </c>
      <c r="J7" s="9">
        <f t="shared" ref="J7:J9" si="6">+I7+H7+G7+F7</f>
        <v>22</v>
      </c>
      <c r="K7" s="2" t="s">
        <v>37</v>
      </c>
      <c r="M7" s="2">
        <v>30.0</v>
      </c>
      <c r="N7" s="2" t="s">
        <v>38</v>
      </c>
    </row>
    <row r="8" ht="15.75" customHeight="1">
      <c r="A8" s="2" t="s">
        <v>59</v>
      </c>
      <c r="B8" s="2">
        <v>141000.0</v>
      </c>
      <c r="C8" s="5">
        <f t="shared" si="3"/>
        <v>11750</v>
      </c>
      <c r="D8" s="5">
        <f t="shared" si="4"/>
        <v>2937.5</v>
      </c>
      <c r="E8" s="9">
        <f t="shared" si="5"/>
        <v>26.32734375</v>
      </c>
      <c r="F8" s="17">
        <v>6.0</v>
      </c>
      <c r="G8" s="17">
        <v>7.0</v>
      </c>
      <c r="H8" s="17">
        <v>6.0</v>
      </c>
      <c r="I8" s="17">
        <v>7.5</v>
      </c>
      <c r="J8" s="9">
        <f t="shared" si="6"/>
        <v>26.5</v>
      </c>
      <c r="K8" s="2" t="s">
        <v>54</v>
      </c>
      <c r="M8" s="2">
        <v>15.0</v>
      </c>
      <c r="N8" s="2" t="s">
        <v>38</v>
      </c>
    </row>
    <row r="9" ht="16.5" customHeight="1">
      <c r="A9" s="2" t="s">
        <v>61</v>
      </c>
      <c r="B9" s="2">
        <v>61000.0</v>
      </c>
      <c r="C9" s="5">
        <f t="shared" si="3"/>
        <v>5083.333333</v>
      </c>
      <c r="D9" s="5">
        <f t="shared" si="4"/>
        <v>1270.833333</v>
      </c>
      <c r="E9" s="9">
        <f t="shared" si="5"/>
        <v>11.38984375</v>
      </c>
      <c r="F9" s="17">
        <v>3.0</v>
      </c>
      <c r="G9" s="17">
        <v>3.0</v>
      </c>
      <c r="H9" s="17">
        <v>3.0</v>
      </c>
      <c r="I9" s="17">
        <v>2.5</v>
      </c>
      <c r="J9" s="9">
        <f t="shared" si="6"/>
        <v>11.5</v>
      </c>
      <c r="K9" s="2" t="s">
        <v>58</v>
      </c>
      <c r="M9" s="2">
        <v>30.0</v>
      </c>
      <c r="N9" s="2" t="s">
        <v>38</v>
      </c>
    </row>
    <row r="10">
      <c r="E10" s="5">
        <f t="shared" ref="E10:I10" si="7">+SUM(E7:E9)</f>
        <v>59.75</v>
      </c>
      <c r="F10" s="17">
        <f t="shared" si="7"/>
        <v>15</v>
      </c>
      <c r="G10" s="17">
        <f t="shared" si="7"/>
        <v>15</v>
      </c>
      <c r="H10" s="35">
        <f t="shared" si="7"/>
        <v>15</v>
      </c>
      <c r="I10" s="17">
        <f t="shared" si="7"/>
        <v>15</v>
      </c>
      <c r="J10" s="9">
        <f>+J7+J8+J8</f>
        <v>75</v>
      </c>
      <c r="M10" s="37">
        <f>+(M6*60-M7-M8-M9)/60</f>
        <v>6.75</v>
      </c>
      <c r="N10" s="2" t="s">
        <v>62</v>
      </c>
    </row>
    <row r="11">
      <c r="A11" s="2">
        <v>12.0</v>
      </c>
      <c r="B11" s="2">
        <v>0.18</v>
      </c>
      <c r="C11" s="38">
        <f>+A11*B11</f>
        <v>2.16</v>
      </c>
    </row>
    <row r="12">
      <c r="A12" s="2">
        <v>6.0</v>
      </c>
      <c r="B12" s="2">
        <v>0.4</v>
      </c>
      <c r="C12" s="38">
        <f>+$A$12*$B$12</f>
        <v>2.4</v>
      </c>
      <c r="M12" s="5"/>
      <c r="N12" s="2" t="s">
        <v>65</v>
      </c>
    </row>
    <row r="13">
      <c r="F13" s="17" t="s">
        <v>45</v>
      </c>
      <c r="G13" s="17" t="s">
        <v>46</v>
      </c>
      <c r="H13" s="17" t="s">
        <v>47</v>
      </c>
      <c r="I13" s="17" t="s">
        <v>48</v>
      </c>
      <c r="J13" s="17" t="s">
        <v>49</v>
      </c>
    </row>
    <row r="14">
      <c r="F14" s="17" t="s">
        <v>51</v>
      </c>
      <c r="G14" s="17" t="s">
        <v>52</v>
      </c>
      <c r="H14" s="17" t="s">
        <v>53</v>
      </c>
      <c r="I14" s="17" t="s">
        <v>52</v>
      </c>
      <c r="J14" s="17" t="s">
        <v>52</v>
      </c>
    </row>
    <row r="15">
      <c r="F15" s="17" t="s">
        <v>51</v>
      </c>
      <c r="G15" s="17" t="s">
        <v>52</v>
      </c>
      <c r="H15" s="17" t="s">
        <v>53</v>
      </c>
      <c r="I15" s="17" t="s">
        <v>52</v>
      </c>
      <c r="J15" s="17" t="s">
        <v>52</v>
      </c>
    </row>
    <row r="16">
      <c r="F16" s="17" t="s">
        <v>51</v>
      </c>
      <c r="G16" s="17" t="s">
        <v>52</v>
      </c>
      <c r="H16" s="17" t="s">
        <v>53</v>
      </c>
      <c r="I16" s="17" t="s">
        <v>52</v>
      </c>
      <c r="J16" s="17" t="s">
        <v>52</v>
      </c>
    </row>
    <row r="17">
      <c r="E17" s="2" t="s">
        <v>91</v>
      </c>
      <c r="F17" s="46">
        <f>+G4/C12</f>
        <v>185.9600186</v>
      </c>
      <c r="G17" s="9">
        <f>+$G$4/$C$11</f>
        <v>206.6222429</v>
      </c>
      <c r="H17" s="46">
        <f>+G4/C12</f>
        <v>185.9600186</v>
      </c>
      <c r="I17" s="9">
        <f t="shared" ref="I17:J17" si="8">+$G$4/$C$11</f>
        <v>206.6222429</v>
      </c>
      <c r="J17" s="9">
        <f t="shared" si="8"/>
        <v>206.6222429</v>
      </c>
    </row>
    <row r="18">
      <c r="E18" s="2" t="s">
        <v>96</v>
      </c>
      <c r="F18" s="49">
        <f>ROUND(+F17/'Galletitas ok'!C20,0)</f>
        <v>2</v>
      </c>
      <c r="G18" s="9">
        <f>ROUND(+G17/'Galletitas ok'!C20,0)</f>
        <v>2</v>
      </c>
      <c r="H18" s="49">
        <f>ROUND(+H17/'Galletitas ok'!C20,0)</f>
        <v>2</v>
      </c>
      <c r="I18" s="9">
        <f>ROUND(+I17/'Galletitas ok'!C20,0)</f>
        <v>2</v>
      </c>
      <c r="J18" s="9">
        <f>ROUND(+J17/105,0)</f>
        <v>2</v>
      </c>
    </row>
    <row r="20">
      <c r="E20" s="45" t="s">
        <v>95</v>
      </c>
      <c r="F20" s="48">
        <f>SUM(F18:J18)</f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5:H5"/>
    <mergeCell ref="C11:H1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4" width="10.63"/>
    <col customWidth="1" min="5" max="5" width="14.38"/>
    <col customWidth="1" min="6" max="9" width="10.63"/>
    <col customWidth="1" min="10" max="10" width="6.25"/>
    <col customWidth="1" min="11" max="26" width="10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L1" s="2" t="s">
        <v>6</v>
      </c>
    </row>
    <row r="2">
      <c r="A2" s="2" t="s">
        <v>8</v>
      </c>
      <c r="B2" s="5">
        <v>118000.0</v>
      </c>
      <c r="C2" s="5">
        <v>239.0</v>
      </c>
      <c r="D2" s="5">
        <f t="shared" ref="D2:D3" si="1">+C2/5</f>
        <v>47.8</v>
      </c>
      <c r="E2" s="5">
        <f t="shared" ref="E2:E3" si="2">+B2/D2</f>
        <v>2468.619247</v>
      </c>
      <c r="F2" s="5">
        <f>+M12</f>
        <v>477.48</v>
      </c>
      <c r="G2" s="11">
        <f t="shared" ref="G2:G3" si="3">+E2/F2</f>
        <v>5.170099788</v>
      </c>
      <c r="I2" s="9"/>
      <c r="L2" s="2">
        <f>3*5</f>
        <v>15</v>
      </c>
      <c r="M2" s="2" t="s">
        <v>17</v>
      </c>
    </row>
    <row r="3">
      <c r="A3" s="2" t="s">
        <v>18</v>
      </c>
      <c r="B3" s="2">
        <v>202000.0</v>
      </c>
      <c r="C3" s="5">
        <v>239.0</v>
      </c>
      <c r="D3" s="5">
        <f t="shared" si="1"/>
        <v>47.8</v>
      </c>
      <c r="E3" s="5">
        <f t="shared" si="2"/>
        <v>4225.941423</v>
      </c>
      <c r="F3" s="5">
        <f>+M12</f>
        <v>477.48</v>
      </c>
      <c r="G3" s="11">
        <f t="shared" si="3"/>
        <v>8.850509807</v>
      </c>
      <c r="I3" s="9"/>
      <c r="L3" s="2" t="s">
        <v>11</v>
      </c>
      <c r="N3" s="2">
        <v>5736.0</v>
      </c>
    </row>
    <row r="4">
      <c r="B4" s="5">
        <f>+SUM(B2:B3)</f>
        <v>320000</v>
      </c>
      <c r="D4" s="5">
        <f t="shared" ref="D4:E4" si="4">+SUM(D2:D3)</f>
        <v>95.6</v>
      </c>
      <c r="E4" s="5">
        <f t="shared" si="4"/>
        <v>6694.560669</v>
      </c>
      <c r="G4" s="9">
        <f>+G2+G3</f>
        <v>14.0206096</v>
      </c>
      <c r="L4" s="2" t="s">
        <v>14</v>
      </c>
      <c r="M4" s="2" t="s">
        <v>15</v>
      </c>
      <c r="N4" s="2">
        <v>69.0</v>
      </c>
      <c r="O4" s="2" t="s">
        <v>16</v>
      </c>
    </row>
    <row r="5">
      <c r="C5" s="32" t="s">
        <v>41</v>
      </c>
      <c r="D5" s="24"/>
      <c r="E5" s="24"/>
      <c r="F5" s="24"/>
      <c r="G5" s="24"/>
      <c r="H5" s="26"/>
    </row>
    <row r="6">
      <c r="A6" s="2" t="s">
        <v>43</v>
      </c>
      <c r="B6" s="2" t="s">
        <v>44</v>
      </c>
      <c r="C6" s="17" t="s">
        <v>45</v>
      </c>
      <c r="D6" s="17" t="s">
        <v>46</v>
      </c>
      <c r="E6" s="17" t="s">
        <v>47</v>
      </c>
      <c r="F6" s="17" t="s">
        <v>48</v>
      </c>
      <c r="G6" s="17" t="s">
        <v>49</v>
      </c>
      <c r="L6" s="2" t="s">
        <v>23</v>
      </c>
      <c r="N6" s="2">
        <v>8.0</v>
      </c>
      <c r="O6" s="2" t="s">
        <v>24</v>
      </c>
    </row>
    <row r="7">
      <c r="B7" s="2" t="s">
        <v>50</v>
      </c>
      <c r="C7" s="17" t="s">
        <v>51</v>
      </c>
      <c r="D7" s="17" t="s">
        <v>52</v>
      </c>
      <c r="E7" s="17" t="s">
        <v>53</v>
      </c>
      <c r="F7" s="17" t="s">
        <v>52</v>
      </c>
      <c r="G7" s="17" t="s">
        <v>52</v>
      </c>
      <c r="L7" s="2" t="s">
        <v>37</v>
      </c>
      <c r="N7" s="2">
        <v>30.0</v>
      </c>
      <c r="O7" s="2" t="s">
        <v>38</v>
      </c>
    </row>
    <row r="8">
      <c r="B8" s="2" t="s">
        <v>55</v>
      </c>
      <c r="C8" s="17" t="s">
        <v>51</v>
      </c>
      <c r="D8" s="17" t="s">
        <v>52</v>
      </c>
      <c r="E8" s="17" t="s">
        <v>53</v>
      </c>
      <c r="F8" s="17" t="s">
        <v>52</v>
      </c>
      <c r="G8" s="17" t="s">
        <v>52</v>
      </c>
      <c r="L8" s="2" t="s">
        <v>54</v>
      </c>
      <c r="N8" s="2">
        <v>15.0</v>
      </c>
      <c r="O8" s="2" t="s">
        <v>38</v>
      </c>
    </row>
    <row r="9">
      <c r="A9" s="2" t="s">
        <v>56</v>
      </c>
      <c r="C9" s="17" t="s">
        <v>51</v>
      </c>
      <c r="D9" s="17" t="s">
        <v>52</v>
      </c>
      <c r="E9" s="17" t="s">
        <v>53</v>
      </c>
      <c r="F9" s="17" t="s">
        <v>52</v>
      </c>
      <c r="G9" s="17" t="s">
        <v>52</v>
      </c>
      <c r="L9" s="2" t="s">
        <v>58</v>
      </c>
      <c r="N9" s="2">
        <v>30.0</v>
      </c>
      <c r="O9" s="2" t="s">
        <v>38</v>
      </c>
    </row>
    <row r="10">
      <c r="N10" s="36">
        <f>+N6-0.5-0.25-0.33</f>
        <v>6.92</v>
      </c>
      <c r="O10" s="2" t="s">
        <v>62</v>
      </c>
    </row>
    <row r="11">
      <c r="C11" s="32" t="s">
        <v>63</v>
      </c>
      <c r="D11" s="24"/>
      <c r="E11" s="24"/>
      <c r="F11" s="24"/>
      <c r="G11" s="24"/>
      <c r="H11" s="26"/>
    </row>
    <row r="12">
      <c r="C12" s="17" t="s">
        <v>45</v>
      </c>
      <c r="D12" s="17" t="s">
        <v>46</v>
      </c>
      <c r="E12" s="17" t="s">
        <v>47</v>
      </c>
      <c r="F12" s="17" t="s">
        <v>48</v>
      </c>
      <c r="G12" s="17" t="s">
        <v>49</v>
      </c>
      <c r="M12" s="5">
        <f>+N4*N10</f>
        <v>477.48</v>
      </c>
      <c r="N12" s="2" t="s">
        <v>65</v>
      </c>
    </row>
    <row r="13">
      <c r="C13" s="17" t="s">
        <v>51</v>
      </c>
      <c r="D13" s="17" t="s">
        <v>52</v>
      </c>
      <c r="E13" s="17" t="s">
        <v>53</v>
      </c>
      <c r="F13" s="17" t="s">
        <v>52</v>
      </c>
      <c r="G13" s="17" t="s">
        <v>52</v>
      </c>
    </row>
    <row r="14">
      <c r="C14" s="17" t="s">
        <v>51</v>
      </c>
      <c r="D14" s="17" t="s">
        <v>52</v>
      </c>
      <c r="E14" s="17" t="s">
        <v>53</v>
      </c>
      <c r="F14" s="17" t="s">
        <v>52</v>
      </c>
      <c r="G14" s="17" t="s">
        <v>52</v>
      </c>
    </row>
    <row r="15">
      <c r="C15" s="17" t="s">
        <v>51</v>
      </c>
      <c r="D15" s="17" t="s">
        <v>52</v>
      </c>
      <c r="E15" s="17" t="s">
        <v>52</v>
      </c>
      <c r="F15" s="17" t="s">
        <v>52</v>
      </c>
      <c r="G15" s="17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5:H5"/>
    <mergeCell ref="C11:H1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88"/>
    <col customWidth="1" min="2" max="2" width="10.63"/>
    <col customWidth="1" min="3" max="3" width="11.38"/>
    <col customWidth="1" min="4" max="4" width="11.88"/>
    <col customWidth="1" min="5" max="5" width="20.0"/>
    <col customWidth="1" min="6" max="6" width="16.88"/>
    <col customWidth="1" min="7" max="8" width="10.63"/>
    <col customWidth="1" min="9" max="9" width="9.75"/>
    <col customWidth="1" min="10" max="10" width="25.88"/>
    <col customWidth="1" min="11" max="11" width="14.75"/>
    <col customWidth="1" min="12" max="12" width="7.38"/>
    <col customWidth="1" min="13" max="13" width="10.63"/>
    <col customWidth="1" min="14" max="14" width="25.63"/>
    <col customWidth="1" min="15" max="26" width="10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J1" s="2" t="s">
        <v>10</v>
      </c>
      <c r="K1" s="2">
        <v>63.0</v>
      </c>
    </row>
    <row r="2">
      <c r="B2" s="5">
        <v>359000.0</v>
      </c>
      <c r="C2" s="5">
        <v>239.0</v>
      </c>
      <c r="D2" s="5">
        <f>+C2/5</f>
        <v>47.8</v>
      </c>
      <c r="E2" s="5">
        <f>+B2/D2</f>
        <v>7510.460251</v>
      </c>
      <c r="F2" s="9">
        <f>+E2/K11</f>
        <v>14.2806135</v>
      </c>
      <c r="H2" s="5">
        <v>110.0</v>
      </c>
      <c r="I2" s="2" t="s">
        <v>12</v>
      </c>
      <c r="J2" s="2" t="s">
        <v>11</v>
      </c>
      <c r="L2" s="2">
        <v>5736.0</v>
      </c>
    </row>
    <row r="3">
      <c r="A3" s="12"/>
      <c r="B3" s="12">
        <v>469173.0</v>
      </c>
      <c r="C3" s="12"/>
      <c r="D3" s="12">
        <f>+D2*7</f>
        <v>334.6</v>
      </c>
      <c r="E3" s="12"/>
      <c r="F3" s="16">
        <v>12.0</v>
      </c>
      <c r="G3" s="18" t="s">
        <v>25</v>
      </c>
      <c r="H3" s="2" t="s">
        <v>27</v>
      </c>
      <c r="J3" s="2" t="s">
        <v>14</v>
      </c>
      <c r="K3" s="2" t="s">
        <v>15</v>
      </c>
      <c r="L3" s="2">
        <v>76.0</v>
      </c>
      <c r="M3" s="2" t="s">
        <v>16</v>
      </c>
      <c r="N3" s="2">
        <v>81.8</v>
      </c>
    </row>
    <row r="4">
      <c r="A4" s="12"/>
      <c r="B4" s="21"/>
      <c r="C4" s="12"/>
      <c r="D4" s="12"/>
      <c r="E4" s="12"/>
      <c r="F4" s="23">
        <v>3.0</v>
      </c>
      <c r="G4" s="28" t="s">
        <v>28</v>
      </c>
      <c r="H4" s="2" t="s">
        <v>31</v>
      </c>
      <c r="N4" s="2">
        <f>+N3*8</f>
        <v>654.4</v>
      </c>
    </row>
    <row r="5" ht="18.75" customHeight="1">
      <c r="A5" s="12"/>
      <c r="B5" s="12"/>
      <c r="C5" s="12"/>
      <c r="D5" s="12"/>
      <c r="E5" s="12">
        <f>+E2/15</f>
        <v>500.6973501</v>
      </c>
      <c r="F5" s="12"/>
      <c r="G5" s="12"/>
      <c r="H5" s="33" t="s">
        <v>31</v>
      </c>
      <c r="J5" s="2" t="s">
        <v>23</v>
      </c>
      <c r="L5" s="2">
        <v>8.0</v>
      </c>
      <c r="M5" s="2" t="s">
        <v>24</v>
      </c>
    </row>
    <row r="6">
      <c r="A6" s="12"/>
      <c r="B6" s="12"/>
      <c r="C6" s="12"/>
      <c r="D6" s="12"/>
      <c r="E6" s="12">
        <v>6.9</v>
      </c>
      <c r="F6" s="12"/>
      <c r="G6" s="12"/>
      <c r="J6" s="2" t="s">
        <v>37</v>
      </c>
      <c r="L6" s="2">
        <v>20.0</v>
      </c>
      <c r="M6" s="2" t="s">
        <v>38</v>
      </c>
    </row>
    <row r="7">
      <c r="A7" s="12"/>
      <c r="B7" s="12"/>
      <c r="C7" s="12"/>
      <c r="D7" s="12"/>
      <c r="E7" s="12">
        <f>E5/L9</f>
        <v>72.35510839</v>
      </c>
      <c r="F7" s="12"/>
      <c r="G7" s="12"/>
      <c r="H7" s="2" t="s">
        <v>31</v>
      </c>
      <c r="J7" s="2" t="s">
        <v>54</v>
      </c>
      <c r="L7" s="2">
        <v>15.0</v>
      </c>
      <c r="M7" s="2" t="s">
        <v>38</v>
      </c>
      <c r="P7" s="36"/>
    </row>
    <row r="8">
      <c r="A8" s="12"/>
      <c r="B8" s="12"/>
      <c r="C8" s="12"/>
      <c r="D8" s="12"/>
      <c r="E8" s="12"/>
      <c r="F8" s="12"/>
      <c r="G8" s="12">
        <f>+F8+F9</f>
        <v>0</v>
      </c>
      <c r="J8" s="2" t="s">
        <v>58</v>
      </c>
      <c r="L8" s="2">
        <v>30.0</v>
      </c>
      <c r="M8" s="2" t="s">
        <v>38</v>
      </c>
    </row>
    <row r="9">
      <c r="A9" s="12"/>
      <c r="B9" s="12"/>
      <c r="C9" s="12"/>
      <c r="D9" s="12"/>
      <c r="E9" s="12"/>
      <c r="F9" s="12"/>
      <c r="G9" s="12"/>
      <c r="L9" s="36">
        <f>+L5-0.5-0.25-0.33</f>
        <v>6.92</v>
      </c>
      <c r="M9" s="2" t="s">
        <v>62</v>
      </c>
      <c r="O9" s="2">
        <f>+L9/8</f>
        <v>0.865</v>
      </c>
    </row>
    <row r="10">
      <c r="A10" s="12"/>
      <c r="B10" s="12"/>
      <c r="C10" s="12"/>
      <c r="D10" s="12"/>
      <c r="E10" s="12"/>
      <c r="F10" s="12"/>
      <c r="G10" s="12">
        <f>+F10+F11</f>
        <v>0</v>
      </c>
    </row>
    <row r="11">
      <c r="A11" s="12"/>
      <c r="B11" s="12"/>
      <c r="C11" s="12"/>
      <c r="D11" s="12"/>
      <c r="E11" s="12"/>
      <c r="F11" s="12"/>
      <c r="G11" s="12"/>
      <c r="K11" s="5">
        <f>+L3*L9</f>
        <v>525.92</v>
      </c>
      <c r="L11" s="2" t="s">
        <v>65</v>
      </c>
    </row>
    <row r="12">
      <c r="A12" s="12"/>
      <c r="B12" s="12"/>
      <c r="C12" s="12"/>
      <c r="D12" s="12"/>
      <c r="E12" s="12"/>
      <c r="F12" s="12"/>
      <c r="G12" s="12"/>
    </row>
    <row r="13">
      <c r="B13" s="2" t="s">
        <v>67</v>
      </c>
      <c r="D13" s="2" t="s">
        <v>68</v>
      </c>
      <c r="E13" s="2" t="s">
        <v>69</v>
      </c>
      <c r="F13" s="2" t="s">
        <v>70</v>
      </c>
      <c r="G13" s="2" t="s">
        <v>71</v>
      </c>
      <c r="J13" s="2" t="s">
        <v>72</v>
      </c>
      <c r="L13" s="27" t="s">
        <v>73</v>
      </c>
    </row>
    <row r="14">
      <c r="A14" s="12" t="s">
        <v>44</v>
      </c>
      <c r="B14" s="2" t="s">
        <v>74</v>
      </c>
      <c r="D14" s="2" t="s">
        <v>74</v>
      </c>
      <c r="E14" s="2" t="s">
        <v>75</v>
      </c>
      <c r="F14" s="2" t="s">
        <v>75</v>
      </c>
      <c r="G14" s="2" t="s">
        <v>76</v>
      </c>
      <c r="I14" s="2" t="s">
        <v>74</v>
      </c>
      <c r="J14" s="2" t="s">
        <v>77</v>
      </c>
      <c r="K14" s="2" t="s">
        <v>78</v>
      </c>
      <c r="L14" s="2">
        <v>3.0</v>
      </c>
      <c r="M14" s="2" t="s">
        <v>25</v>
      </c>
    </row>
    <row r="15">
      <c r="A15" s="12" t="s">
        <v>50</v>
      </c>
      <c r="B15" s="2" t="s">
        <v>74</v>
      </c>
      <c r="D15" s="2" t="s">
        <v>74</v>
      </c>
      <c r="E15" s="2" t="s">
        <v>75</v>
      </c>
      <c r="F15" s="2" t="s">
        <v>75</v>
      </c>
      <c r="G15" s="2" t="s">
        <v>76</v>
      </c>
      <c r="I15" s="2" t="s">
        <v>75</v>
      </c>
      <c r="J15" s="2" t="s">
        <v>80</v>
      </c>
      <c r="K15" s="2" t="s">
        <v>78</v>
      </c>
      <c r="L15" s="2">
        <v>6.0</v>
      </c>
      <c r="M15" s="2" t="s">
        <v>25</v>
      </c>
    </row>
    <row r="16">
      <c r="A16" s="12" t="s">
        <v>55</v>
      </c>
      <c r="B16" s="2" t="s">
        <v>74</v>
      </c>
      <c r="D16" s="2" t="s">
        <v>74</v>
      </c>
      <c r="E16" s="2" t="s">
        <v>75</v>
      </c>
      <c r="F16" s="2" t="s">
        <v>75</v>
      </c>
      <c r="G16" s="2" t="s">
        <v>76</v>
      </c>
      <c r="I16" s="2" t="s">
        <v>76</v>
      </c>
      <c r="J16" s="2" t="s">
        <v>82</v>
      </c>
      <c r="K16" s="2" t="s">
        <v>78</v>
      </c>
      <c r="L16" s="2">
        <v>3.0</v>
      </c>
      <c r="M16" s="2" t="s">
        <v>25</v>
      </c>
    </row>
    <row r="17">
      <c r="I17" s="2" t="s">
        <v>83</v>
      </c>
      <c r="J17" s="2" t="s">
        <v>84</v>
      </c>
      <c r="K17" s="2" t="s">
        <v>78</v>
      </c>
      <c r="L17" s="2">
        <v>5.0</v>
      </c>
      <c r="M17" s="2" t="s">
        <v>25</v>
      </c>
    </row>
    <row r="18">
      <c r="B18" s="27" t="s">
        <v>86</v>
      </c>
      <c r="I18" s="2" t="s">
        <v>87</v>
      </c>
      <c r="J18" s="2" t="s">
        <v>88</v>
      </c>
      <c r="K18" s="2" t="s">
        <v>78</v>
      </c>
      <c r="L18" s="2">
        <v>6.0</v>
      </c>
      <c r="M18" s="2" t="s">
        <v>25</v>
      </c>
    </row>
    <row r="19">
      <c r="B19" s="2" t="s">
        <v>67</v>
      </c>
      <c r="D19" s="2" t="s">
        <v>68</v>
      </c>
      <c r="E19" s="2" t="s">
        <v>69</v>
      </c>
      <c r="F19" s="2" t="s">
        <v>70</v>
      </c>
      <c r="G19" s="2" t="s">
        <v>71</v>
      </c>
    </row>
    <row r="20">
      <c r="A20" s="12" t="s">
        <v>44</v>
      </c>
      <c r="B20" s="2" t="s">
        <v>76</v>
      </c>
      <c r="D20" s="2" t="s">
        <v>83</v>
      </c>
      <c r="E20" s="2" t="s">
        <v>83</v>
      </c>
      <c r="F20" s="2" t="s">
        <v>87</v>
      </c>
      <c r="G20" s="2" t="s">
        <v>87</v>
      </c>
    </row>
    <row r="21" ht="15.75" customHeight="1">
      <c r="A21" s="12" t="s">
        <v>50</v>
      </c>
      <c r="B21" s="2" t="s">
        <v>76</v>
      </c>
      <c r="D21" s="2" t="s">
        <v>83</v>
      </c>
      <c r="E21" s="2" t="s">
        <v>83</v>
      </c>
      <c r="F21" s="2" t="s">
        <v>87</v>
      </c>
      <c r="G21" s="2" t="s">
        <v>87</v>
      </c>
      <c r="J21" s="39" t="s">
        <v>89</v>
      </c>
    </row>
    <row r="22" ht="15.75" customHeight="1">
      <c r="A22" s="12" t="s">
        <v>55</v>
      </c>
      <c r="B22" s="2" t="s">
        <v>76</v>
      </c>
      <c r="D22" s="2" t="s">
        <v>83</v>
      </c>
      <c r="E22" s="2" t="s">
        <v>87</v>
      </c>
      <c r="F22" s="2" t="s">
        <v>87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H5:H6"/>
    <mergeCell ref="L13:M13"/>
    <mergeCell ref="B18:G1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88"/>
    <col customWidth="1" min="2" max="3" width="10.63"/>
    <col customWidth="1" min="4" max="4" width="20.0"/>
    <col customWidth="1" min="5" max="5" width="16.88"/>
    <col customWidth="1" min="6" max="7" width="10.63"/>
    <col customWidth="1" min="8" max="8" width="9.75"/>
    <col customWidth="1" min="9" max="9" width="25.88"/>
    <col customWidth="1" min="10" max="10" width="14.75"/>
    <col customWidth="1" min="11" max="11" width="7.38"/>
    <col customWidth="1" min="12" max="26" width="10.63"/>
  </cols>
  <sheetData>
    <row r="1">
      <c r="A1" s="2" t="s">
        <v>0</v>
      </c>
      <c r="B1" s="2" t="s">
        <v>1</v>
      </c>
      <c r="C1" s="2" t="s">
        <v>29</v>
      </c>
      <c r="D1" s="2" t="s">
        <v>109</v>
      </c>
      <c r="E1" s="2" t="s">
        <v>110</v>
      </c>
      <c r="I1" s="2" t="s">
        <v>10</v>
      </c>
      <c r="J1" s="2">
        <v>94.6</v>
      </c>
    </row>
    <row r="2">
      <c r="B2" s="5">
        <v>359000.0</v>
      </c>
      <c r="C2" s="5">
        <f>+B2/12</f>
        <v>29916.66667</v>
      </c>
      <c r="D2" s="5">
        <f>+C2/4</f>
        <v>7479.166667</v>
      </c>
      <c r="G2" s="5">
        <v>110.0</v>
      </c>
      <c r="H2" s="2" t="s">
        <v>12</v>
      </c>
    </row>
    <row r="3">
      <c r="B3" s="2" t="s">
        <v>1</v>
      </c>
      <c r="C3" s="2" t="s">
        <v>29</v>
      </c>
      <c r="D3" s="2" t="s">
        <v>30</v>
      </c>
      <c r="G3" s="2" t="s">
        <v>27</v>
      </c>
      <c r="I3" s="2" t="s">
        <v>111</v>
      </c>
      <c r="J3" s="2">
        <v>3.0</v>
      </c>
    </row>
    <row r="4">
      <c r="A4" s="51" t="s">
        <v>40</v>
      </c>
      <c r="B4" s="52">
        <v>101000.0</v>
      </c>
      <c r="C4" s="5">
        <f t="shared" ref="C4:C11" si="1">+B4/12</f>
        <v>8416.666667</v>
      </c>
      <c r="D4" s="5">
        <f t="shared" ref="D4:D11" si="2">+C4/4</f>
        <v>2104.166667</v>
      </c>
      <c r="E4" s="9">
        <f t="shared" ref="E4:E11" si="3">+C4/$J$9</f>
        <v>11.86281419</v>
      </c>
      <c r="G4" s="2" t="s">
        <v>31</v>
      </c>
      <c r="I4" s="2" t="s">
        <v>112</v>
      </c>
      <c r="J4" s="2">
        <v>7.5</v>
      </c>
    </row>
    <row r="5" ht="18.75" customHeight="1">
      <c r="A5" s="53" t="s">
        <v>57</v>
      </c>
      <c r="B5" s="54">
        <v>13000.0</v>
      </c>
      <c r="C5" s="55">
        <f t="shared" si="1"/>
        <v>1083.333333</v>
      </c>
      <c r="D5" s="55">
        <f t="shared" si="2"/>
        <v>270.8333333</v>
      </c>
      <c r="E5" s="13">
        <f t="shared" si="3"/>
        <v>1.526896876</v>
      </c>
      <c r="F5" s="2">
        <f t="shared" ref="F5:F6" si="4">+C5/2</f>
        <v>541.6666667</v>
      </c>
      <c r="G5" s="33" t="s">
        <v>31</v>
      </c>
      <c r="I5" s="2" t="s">
        <v>113</v>
      </c>
      <c r="J5" s="2">
        <f>+J4*J3</f>
        <v>22.5</v>
      </c>
    </row>
    <row r="6">
      <c r="A6" s="53" t="s">
        <v>60</v>
      </c>
      <c r="B6" s="54">
        <v>31000.0</v>
      </c>
      <c r="C6" s="55">
        <f t="shared" si="1"/>
        <v>2583.333333</v>
      </c>
      <c r="D6" s="55">
        <f t="shared" si="2"/>
        <v>645.8333333</v>
      </c>
      <c r="E6" s="13">
        <f t="shared" si="3"/>
        <v>3.641061781</v>
      </c>
      <c r="F6" s="2">
        <f t="shared" si="4"/>
        <v>1291.666667</v>
      </c>
    </row>
    <row r="7">
      <c r="A7" s="56" t="s">
        <v>64</v>
      </c>
      <c r="B7" s="57">
        <v>94000.0</v>
      </c>
      <c r="C7" s="5">
        <f t="shared" si="1"/>
        <v>7833.333333</v>
      </c>
      <c r="D7" s="5">
        <f t="shared" si="2"/>
        <v>1958.333333</v>
      </c>
      <c r="E7" s="9">
        <f t="shared" si="3"/>
        <v>11.04063895</v>
      </c>
      <c r="G7" s="2" t="s">
        <v>31</v>
      </c>
      <c r="I7" s="2" t="s">
        <v>114</v>
      </c>
      <c r="J7" s="2">
        <f>3*5*4</f>
        <v>60</v>
      </c>
    </row>
    <row r="8">
      <c r="A8" s="56" t="s">
        <v>66</v>
      </c>
      <c r="B8" s="57">
        <v>13000.0</v>
      </c>
      <c r="C8" s="5">
        <f t="shared" si="1"/>
        <v>1083.333333</v>
      </c>
      <c r="D8" s="5">
        <f t="shared" si="2"/>
        <v>270.8333333</v>
      </c>
      <c r="E8" s="9">
        <f t="shared" si="3"/>
        <v>1.526896876</v>
      </c>
      <c r="F8" s="58">
        <f>+E8+E9</f>
        <v>5.167958656</v>
      </c>
    </row>
    <row r="9">
      <c r="A9" s="56" t="s">
        <v>79</v>
      </c>
      <c r="B9" s="57">
        <v>31000.0</v>
      </c>
      <c r="C9" s="5">
        <f t="shared" si="1"/>
        <v>2583.333333</v>
      </c>
      <c r="D9" s="5">
        <f t="shared" si="2"/>
        <v>645.8333333</v>
      </c>
      <c r="E9" s="9">
        <f t="shared" si="3"/>
        <v>3.641061781</v>
      </c>
      <c r="I9" s="2" t="s">
        <v>115</v>
      </c>
      <c r="J9" s="2">
        <f>+J1*J4</f>
        <v>709.5</v>
      </c>
    </row>
    <row r="10">
      <c r="A10" s="56" t="s">
        <v>81</v>
      </c>
      <c r="B10" s="57">
        <v>23000.0</v>
      </c>
      <c r="C10" s="5">
        <f t="shared" si="1"/>
        <v>1916.666667</v>
      </c>
      <c r="D10" s="5">
        <f t="shared" si="2"/>
        <v>479.1666667</v>
      </c>
      <c r="E10" s="9">
        <f t="shared" si="3"/>
        <v>2.701432934</v>
      </c>
      <c r="F10" s="58">
        <f>+E10+E11</f>
        <v>8.926474043</v>
      </c>
    </row>
    <row r="11">
      <c r="A11" s="56" t="s">
        <v>85</v>
      </c>
      <c r="B11" s="57">
        <v>53000.0</v>
      </c>
      <c r="C11" s="5">
        <f t="shared" si="1"/>
        <v>4416.666667</v>
      </c>
      <c r="D11" s="5">
        <f t="shared" si="2"/>
        <v>1104.166667</v>
      </c>
      <c r="E11" s="9">
        <f t="shared" si="3"/>
        <v>6.225041109</v>
      </c>
    </row>
    <row r="13">
      <c r="B13" s="2" t="s">
        <v>67</v>
      </c>
      <c r="C13" s="2" t="s">
        <v>68</v>
      </c>
      <c r="D13" s="2" t="s">
        <v>69</v>
      </c>
      <c r="E13" s="2" t="s">
        <v>70</v>
      </c>
      <c r="F13" s="2" t="s">
        <v>71</v>
      </c>
      <c r="I13" s="2" t="s">
        <v>72</v>
      </c>
      <c r="K13" s="27" t="s">
        <v>73</v>
      </c>
    </row>
    <row r="14">
      <c r="A14" s="12" t="s">
        <v>44</v>
      </c>
      <c r="B14" s="2" t="s">
        <v>74</v>
      </c>
      <c r="D14" s="2" t="s">
        <v>75</v>
      </c>
      <c r="E14" s="2" t="s">
        <v>75</v>
      </c>
      <c r="F14" s="2" t="s">
        <v>76</v>
      </c>
      <c r="H14" s="2" t="s">
        <v>74</v>
      </c>
      <c r="I14" s="2" t="s">
        <v>77</v>
      </c>
      <c r="J14" s="2" t="s">
        <v>78</v>
      </c>
      <c r="K14" s="2">
        <v>3.0</v>
      </c>
      <c r="L14" s="2" t="s">
        <v>25</v>
      </c>
    </row>
    <row r="15">
      <c r="A15" s="12" t="s">
        <v>50</v>
      </c>
      <c r="B15" s="2" t="s">
        <v>74</v>
      </c>
      <c r="D15" s="2" t="s">
        <v>75</v>
      </c>
      <c r="E15" s="2" t="s">
        <v>75</v>
      </c>
      <c r="F15" s="2" t="s">
        <v>76</v>
      </c>
      <c r="H15" s="2" t="s">
        <v>75</v>
      </c>
      <c r="I15" s="2" t="s">
        <v>80</v>
      </c>
      <c r="J15" s="2" t="s">
        <v>78</v>
      </c>
      <c r="K15" s="2">
        <v>6.0</v>
      </c>
      <c r="L15" s="2" t="s">
        <v>25</v>
      </c>
    </row>
    <row r="16">
      <c r="A16" s="12" t="s">
        <v>55</v>
      </c>
      <c r="B16" s="2" t="s">
        <v>74</v>
      </c>
      <c r="D16" s="2" t="s">
        <v>75</v>
      </c>
      <c r="E16" s="2" t="s">
        <v>75</v>
      </c>
      <c r="F16" s="2" t="s">
        <v>76</v>
      </c>
      <c r="H16" s="2" t="s">
        <v>76</v>
      </c>
      <c r="I16" s="2" t="s">
        <v>82</v>
      </c>
      <c r="J16" s="2" t="s">
        <v>78</v>
      </c>
      <c r="K16" s="2">
        <v>3.0</v>
      </c>
      <c r="L16" s="2" t="s">
        <v>25</v>
      </c>
    </row>
    <row r="17">
      <c r="H17" s="2" t="s">
        <v>83</v>
      </c>
      <c r="I17" s="2" t="s">
        <v>84</v>
      </c>
      <c r="J17" s="2" t="s">
        <v>78</v>
      </c>
      <c r="K17" s="2">
        <v>5.0</v>
      </c>
      <c r="L17" s="2" t="s">
        <v>25</v>
      </c>
    </row>
    <row r="18">
      <c r="B18" s="27" t="s">
        <v>86</v>
      </c>
      <c r="H18" s="2" t="s">
        <v>87</v>
      </c>
      <c r="I18" s="2" t="s">
        <v>88</v>
      </c>
      <c r="J18" s="2" t="s">
        <v>78</v>
      </c>
      <c r="K18" s="2">
        <v>6.0</v>
      </c>
      <c r="L18" s="2" t="s">
        <v>25</v>
      </c>
    </row>
    <row r="19">
      <c r="B19" s="2" t="s">
        <v>67</v>
      </c>
      <c r="C19" s="2" t="s">
        <v>68</v>
      </c>
      <c r="D19" s="2" t="s">
        <v>69</v>
      </c>
      <c r="E19" s="2" t="s">
        <v>70</v>
      </c>
      <c r="F19" s="2" t="s">
        <v>71</v>
      </c>
    </row>
    <row r="20">
      <c r="A20" s="12" t="s">
        <v>44</v>
      </c>
      <c r="B20" s="2" t="s">
        <v>76</v>
      </c>
      <c r="C20" s="2" t="s">
        <v>83</v>
      </c>
      <c r="D20" s="2" t="s">
        <v>83</v>
      </c>
      <c r="E20" s="2" t="s">
        <v>87</v>
      </c>
      <c r="F20" s="2" t="s">
        <v>87</v>
      </c>
    </row>
    <row r="21" ht="15.75" customHeight="1">
      <c r="A21" s="12" t="s">
        <v>50</v>
      </c>
      <c r="B21" s="2" t="s">
        <v>76</v>
      </c>
      <c r="C21" s="2" t="s">
        <v>83</v>
      </c>
      <c r="D21" s="2" t="s">
        <v>116</v>
      </c>
      <c r="E21" s="2" t="s">
        <v>87</v>
      </c>
      <c r="F21" s="2" t="s">
        <v>87</v>
      </c>
      <c r="I21" s="39" t="s">
        <v>89</v>
      </c>
    </row>
    <row r="22" ht="15.75" customHeight="1">
      <c r="A22" s="12" t="s">
        <v>55</v>
      </c>
      <c r="B22" s="2" t="s">
        <v>76</v>
      </c>
      <c r="C22" s="2" t="s">
        <v>83</v>
      </c>
      <c r="D22" s="2" t="s">
        <v>87</v>
      </c>
      <c r="E22" s="2" t="s">
        <v>87</v>
      </c>
    </row>
    <row r="23" ht="15.75" customHeight="1"/>
    <row r="24" ht="15.75" customHeight="1">
      <c r="B24" s="27" t="s">
        <v>41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G5:G6"/>
    <mergeCell ref="F8:F9"/>
    <mergeCell ref="F10:F11"/>
    <mergeCell ref="K13:L13"/>
    <mergeCell ref="B18:F18"/>
    <mergeCell ref="B24:F2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2026-08-26T01:21:33Z</dcterms:created>
  <dc:creator>Calidad Smams</dc:creator>
</cp:coreProperties>
</file>