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P - Galletitas varias" sheetId="1" r:id="rId4"/>
    <sheet state="visible" name="DAP - Pepas" sheetId="2" r:id="rId5"/>
    <sheet state="visible" name="DAP - Panes" sheetId="3" r:id="rId6"/>
    <sheet state="visible" name="DAP - Budines" sheetId="4" r:id="rId7"/>
  </sheets>
  <definedNames/>
  <calcPr/>
  <extLst>
    <ext uri="GoogleSheetsCustomDataVersion2">
      <go:sheetsCustomData xmlns:go="http://customooxmlschemas.google.com/" r:id="rId8" roundtripDataChecksum="XxO56GjUBHtwTITvLPxaMgilgudbMRGc3ZbOZnTm6lU="/>
    </ext>
  </extLst>
</workbook>
</file>

<file path=xl/sharedStrings.xml><?xml version="1.0" encoding="utf-8"?>
<sst xmlns="http://schemas.openxmlformats.org/spreadsheetml/2006/main" count="483" uniqueCount="146">
  <si>
    <t>DAP - Diagrama de Análisis de Proceso</t>
  </si>
  <si>
    <t>DIR - Línea de galletitas</t>
  </si>
  <si>
    <t>DIR - Galletitas Pepas</t>
  </si>
  <si>
    <t>Resumen</t>
  </si>
  <si>
    <t>Página N°:</t>
  </si>
  <si>
    <t>1 / 1</t>
  </si>
  <si>
    <t>Actividad:</t>
  </si>
  <si>
    <t>-</t>
  </si>
  <si>
    <t>Actividad</t>
  </si>
  <si>
    <t>DIR - Panes</t>
  </si>
  <si>
    <t>DIR - Budines</t>
  </si>
  <si>
    <t>Símbolo</t>
  </si>
  <si>
    <t>Cant</t>
  </si>
  <si>
    <t>%</t>
  </si>
  <si>
    <t>Tpo tot min</t>
  </si>
  <si>
    <t>Método:</t>
  </si>
  <si>
    <t>ACTUAL</t>
  </si>
  <si>
    <t>Operación</t>
  </si>
  <si>
    <t>●</t>
  </si>
  <si>
    <t>Transporte</t>
  </si>
  <si>
    <t>➜</t>
  </si>
  <si>
    <t>Inspección</t>
  </si>
  <si>
    <t>■</t>
  </si>
  <si>
    <t>Almacenamiento</t>
  </si>
  <si>
    <t>▼</t>
  </si>
  <si>
    <t>Espera</t>
  </si>
  <si>
    <t>◖</t>
  </si>
  <si>
    <t>Descripción</t>
  </si>
  <si>
    <t>Cant. [kg/h]</t>
  </si>
  <si>
    <t>Tiempo y distancia</t>
  </si>
  <si>
    <t>Cant. [kg]</t>
  </si>
  <si>
    <t>Observaciones</t>
  </si>
  <si>
    <t>Tpo OP
[seg]</t>
  </si>
  <si>
    <t>Cant.</t>
  </si>
  <si>
    <t>Tpo OP
[min]</t>
  </si>
  <si>
    <t>Dist.
[m]</t>
  </si>
  <si>
    <t>Operación
●</t>
  </si>
  <si>
    <t>Transporte
➜</t>
  </si>
  <si>
    <t>Inspección
■</t>
  </si>
  <si>
    <t>Almacenamiento
▼</t>
  </si>
  <si>
    <t>Espera
◖</t>
  </si>
  <si>
    <t>Depósito MP</t>
  </si>
  <si>
    <t>Almacenado en Depósito de MP en pallet.</t>
  </si>
  <si>
    <t>Inspección de MP</t>
  </si>
  <si>
    <t>Inspección 100% de atributos y cantidades.</t>
  </si>
  <si>
    <t>Traslado de MP a sector pesado</t>
  </si>
  <si>
    <t>Traslado 6 km/h. Bultos grandes. Autoelevador. Operario 1</t>
  </si>
  <si>
    <t>Pesaje bultos grandes</t>
  </si>
  <si>
    <t>Fraccionado y pesado de ingredientes principales en balanza. Operario 2</t>
  </si>
  <si>
    <t>Traslado de depósito MP</t>
  </si>
  <si>
    <t>Traslado 2,5 km/h. Carro zorra. Operario 2</t>
  </si>
  <si>
    <t>Micro pesado</t>
  </si>
  <si>
    <t>Fraccionado. Balanza. Operario 2. No se considera tiempo.</t>
  </si>
  <si>
    <t>Traslado de MP fraccionadas a sector amasado</t>
  </si>
  <si>
    <t>Amasado + reproceso SE</t>
  </si>
  <si>
    <t>Amasadora industrial automática. Operario 2</t>
  </si>
  <si>
    <t>Traslado de amasijo al inicio de línea</t>
  </si>
  <si>
    <t>Traslado 2,5 km/h. Carro de estantes. Operario 3</t>
  </si>
  <si>
    <t>Moldeado en formadora rotativa</t>
  </si>
  <si>
    <t>Traslado 3km/h. Bultos grandes. Autoelevador. Operario 1</t>
  </si>
  <si>
    <t>Se depósita el amasijo en una tolva que luego moldea la formadora rotativa. Operario 3</t>
  </si>
  <si>
    <t>Control visual y de pesado</t>
  </si>
  <si>
    <t>Dosificación</t>
  </si>
  <si>
    <t>Control de pesado por muestreo. Operario 3</t>
  </si>
  <si>
    <t>Horneado en horno tunel</t>
  </si>
  <si>
    <t>Dosificado de la batata. Operario 2</t>
  </si>
  <si>
    <t>Traslado 3km/h. Carro zorra. Operario 2</t>
  </si>
  <si>
    <t>Horneado continuo en horno túnel. Operario 4.</t>
  </si>
  <si>
    <t>Enfriado a Temperatura Ambiente</t>
  </si>
  <si>
    <t>Fraccionado. Balanza. Operario 2</t>
  </si>
  <si>
    <t>Enfriado continuo en cinta transportadora a Temperatura ambiente. Operario 4.</t>
  </si>
  <si>
    <t>Enfriado a con ventilación forzada</t>
  </si>
  <si>
    <t>Traslado de MP fraccionadas a sector batido</t>
  </si>
  <si>
    <t>Batido</t>
  </si>
  <si>
    <t>Enfriado continuo en cinta transportadora con ventilación forzada mediante ductos.</t>
  </si>
  <si>
    <t>Control de pesado y humedad</t>
  </si>
  <si>
    <t>Batidora industrial automática. Operario 2</t>
  </si>
  <si>
    <t>Control por muestreo en balanza y termo balanza. Operario 4</t>
  </si>
  <si>
    <t>Control de densidad del batido</t>
  </si>
  <si>
    <t>Control visual (rechazo/reproceso)</t>
  </si>
  <si>
    <t>Control con pipeta. Operario 2</t>
  </si>
  <si>
    <t>Operario 5. Inspección 100%.</t>
  </si>
  <si>
    <t>Traslado de batido a sector de dosificado</t>
  </si>
  <si>
    <t>Traslado para reproceso</t>
  </si>
  <si>
    <t>Control densidad de batido</t>
  </si>
  <si>
    <t>Operario 7. Rechazo de atributos de forma y quemado. Traslado para re proceso.</t>
  </si>
  <si>
    <t>Fraccionado</t>
  </si>
  <si>
    <t>Traslado 3km/h. Carro. Operario 3</t>
  </si>
  <si>
    <t>Carga en dosificadora</t>
  </si>
  <si>
    <t>Fraccionado por balanzas automáticas</t>
  </si>
  <si>
    <t>Traslado 2,5 km/h. Carro. Operario 3</t>
  </si>
  <si>
    <t>Envasado primario</t>
  </si>
  <si>
    <t>Carga manual en baldes. Operario 3</t>
  </si>
  <si>
    <t>Dosificado y carga en chapas</t>
  </si>
  <si>
    <t>Envasado primario automático a cada paquete individual en bobina</t>
  </si>
  <si>
    <t>Detección de metales</t>
  </si>
  <si>
    <t>Se dosifican en moldes los panes con su gramaje final de PT. Operario 4 / Operario 5 carga en chapas</t>
  </si>
  <si>
    <t>Traslado al horno rotativo</t>
  </si>
  <si>
    <t>Traslado a sector de fermentado</t>
  </si>
  <si>
    <t>Detector de metales en línea. Operario 6</t>
  </si>
  <si>
    <t>Control de pesado</t>
  </si>
  <si>
    <t>Traslado 3km/h. Carros. Operario 5</t>
  </si>
  <si>
    <t>Horneado en horno rotativo</t>
  </si>
  <si>
    <t>Traslado 2,5 km/h. Carros. Operario 5</t>
  </si>
  <si>
    <t>Fermentación</t>
  </si>
  <si>
    <t>Control de peso por paquete. Operario 6</t>
  </si>
  <si>
    <t>Envasado secundario</t>
  </si>
  <si>
    <t>Traslado a sector de enfriado</t>
  </si>
  <si>
    <t>Cámara de fermentado</t>
  </si>
  <si>
    <t>Traslado a sector de horneado</t>
  </si>
  <si>
    <t>Colocación manual de paquetes en cajas. Operario 6</t>
  </si>
  <si>
    <t>Palletizado</t>
  </si>
  <si>
    <t>Traslado 3km/h. Operario 5</t>
  </si>
  <si>
    <t>Enfriado con ventilación forzada</t>
  </si>
  <si>
    <t>Colocación de cajas en pallets. Operario 7</t>
  </si>
  <si>
    <t>Traslado de pallet a pulmón</t>
  </si>
  <si>
    <t>Enfriado estático.</t>
  </si>
  <si>
    <t>Traslado a sector de envasado</t>
  </si>
  <si>
    <t>Colocación de cajas en pallets. Operario logística</t>
  </si>
  <si>
    <t>Traslado mediante zorra. Operario 7</t>
  </si>
  <si>
    <t>Almacenamiento en pulmón PT</t>
  </si>
  <si>
    <t>Traslado 3km/h. Operario 6</t>
  </si>
  <si>
    <t>Control visual y de peso</t>
  </si>
  <si>
    <t>Espera para traslado a depósito de PT.</t>
  </si>
  <si>
    <t>Traslado mediante zorra. Operario logística</t>
  </si>
  <si>
    <t>Traslado 2,5 km/h. Operario 5</t>
  </si>
  <si>
    <t>Traslado de pallet a depósito de PT.</t>
  </si>
  <si>
    <t>Desmolde</t>
  </si>
  <si>
    <t>Operario 6</t>
  </si>
  <si>
    <t>Desmolde manual y pasaje a carros de enfriamiento. Operario 6</t>
  </si>
  <si>
    <t>Traslado mediante autoelevador. Operario logística</t>
  </si>
  <si>
    <t>Envasadora automática. Operario 7</t>
  </si>
  <si>
    <t>Almacenamiento en depósito de PT</t>
  </si>
  <si>
    <t>Detector de metales</t>
  </si>
  <si>
    <t>TOTAL</t>
  </si>
  <si>
    <t>Detector de metales en línea.</t>
  </si>
  <si>
    <t>Traslado 2,5 km/h. Operario 6</t>
  </si>
  <si>
    <t>Colocación manual de paquetes en cajas. Operario 8</t>
  </si>
  <si>
    <t>Operario 7</t>
  </si>
  <si>
    <t>Rebanado</t>
  </si>
  <si>
    <t>Palletizado manual. Operario 8</t>
  </si>
  <si>
    <t>Porcionado en formato de PT. Operario 7</t>
  </si>
  <si>
    <t>Traslado de pallet a depósito de producto terminado</t>
  </si>
  <si>
    <t>Traslado mediante zorra.</t>
  </si>
  <si>
    <t>Traslado mediante zorra. Operario logístico</t>
  </si>
  <si>
    <t>Traslado mediante autoelevador. Operario logístico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</si>
</sst>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-* #,##0_-;\-* #,##0_-;_-* &quot;-&quot;??_-;_-@"/>
  </numFmts>
  <fonts count="11">
    <font>
      <sz val="11.0"/>
      <color rgb="FF000000"/>
      <name val="Carlito"/>
      <scheme val="minor"/>
    </font>
    <font>
      <b/>
      <sz val="18.0"/>
      <color rgb="FF111827"/>
      <name val="Carlito"/>
    </font>
    <font/>
    <font>
      <b/>
      <sz val="13.0"/>
      <color theme="1"/>
      <name val="Carlito"/>
    </font>
    <font>
      <b/>
      <sz val="11.0"/>
      <color theme="1"/>
      <name val="Carlito"/>
    </font>
    <font>
      <sz val="10.0"/>
      <color theme="1"/>
      <name val="Carlito"/>
    </font>
    <font>
      <color theme="1"/>
      <name val="Carlito"/>
      <scheme val="minor"/>
    </font>
    <font>
      <b/>
      <sz val="11.0"/>
      <color theme="0"/>
      <name val="Carlito"/>
    </font>
    <font>
      <sz val="11.0"/>
      <color theme="1"/>
      <name val="Carlito"/>
    </font>
    <font>
      <sz val="11.0"/>
      <color rgb="FF000000"/>
      <name val="Carlito"/>
    </font>
    <font>
      <sz val="11.0"/>
      <color theme="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theme="9"/>
        <bgColor theme="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2" fontId="4" numFmtId="0" xfId="0" applyAlignment="1" applyBorder="1" applyFont="1">
      <alignment vertical="center"/>
    </xf>
    <xf borderId="4" fillId="2" fontId="5" numFmtId="0" xfId="0" applyAlignment="1" applyBorder="1" applyFont="1">
      <alignment vertical="center"/>
    </xf>
    <xf borderId="5" fillId="2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9" xfId="0" applyAlignment="1" applyBorder="1" applyFont="1" applyNumberForma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Font="1"/>
    <xf borderId="8" fillId="4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4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5" numFmtId="2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0" fillId="0" fontId="9" numFmtId="0" xfId="0" applyFont="1"/>
    <xf borderId="8" fillId="0" fontId="8" numFmtId="0" xfId="0" applyBorder="1" applyFont="1"/>
    <xf borderId="7" fillId="0" fontId="8" numFmtId="0" xfId="0" applyAlignment="1" applyBorder="1" applyFont="1">
      <alignment horizontal="left" readingOrder="0" shrinkToFit="0" vertical="center" wrapText="1"/>
    </xf>
    <xf borderId="9" fillId="0" fontId="8" numFmtId="0" xfId="0" applyBorder="1" applyFont="1"/>
    <xf borderId="4" fillId="4" fontId="7" numFmtId="165" xfId="0" applyAlignment="1" applyBorder="1" applyFont="1" applyNumberForma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12</xdr:row>
      <xdr:rowOff>66675</xdr:rowOff>
    </xdr:from>
    <xdr:ext cx="828675" cy="228600"/>
    <xdr:grpSp>
      <xdr:nvGrpSpPr>
        <xdr:cNvPr id="2" name="Shape 2"/>
        <xdr:cNvGrpSpPr/>
      </xdr:nvGrpSpPr>
      <xdr:grpSpPr>
        <a:xfrm>
          <a:off x="4931663" y="3665700"/>
          <a:ext cx="828675" cy="228600"/>
          <a:chOff x="4931663" y="3665700"/>
          <a:chExt cx="828675" cy="228600"/>
        </a:xfrm>
      </xdr:grpSpPr>
      <xdr:grpSp>
        <xdr:nvGrpSpPr>
          <xdr:cNvPr id="6" name="Shape 6"/>
          <xdr:cNvGrpSpPr/>
        </xdr:nvGrpSpPr>
        <xdr:grpSpPr>
          <a:xfrm>
            <a:off x="4931663" y="3665700"/>
            <a:ext cx="828675" cy="228600"/>
            <a:chOff x="4936425" y="3670463"/>
            <a:chExt cx="819150" cy="219075"/>
          </a:xfrm>
        </xdr:grpSpPr>
        <xdr:sp>
          <xdr:nvSpPr>
            <xdr:cNvPr id="4" name="Shape 4"/>
            <xdr:cNvSpPr/>
          </xdr:nvSpPr>
          <xdr:spPr>
            <a:xfrm>
              <a:off x="4936425" y="3670463"/>
              <a:ext cx="81915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 flipH="1">
              <a:off x="4936425" y="3670463"/>
              <a:ext cx="81915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561975</xdr:colOff>
      <xdr:row>13</xdr:row>
      <xdr:rowOff>114300</xdr:rowOff>
    </xdr:from>
    <xdr:ext cx="933450" cy="200025"/>
    <xdr:grpSp>
      <xdr:nvGrpSpPr>
        <xdr:cNvPr id="2" name="Shape 2"/>
        <xdr:cNvGrpSpPr/>
      </xdr:nvGrpSpPr>
      <xdr:grpSpPr>
        <a:xfrm>
          <a:off x="4879275" y="3679988"/>
          <a:ext cx="933450" cy="200025"/>
          <a:chOff x="4879275" y="3679988"/>
          <a:chExt cx="933450" cy="200025"/>
        </a:xfrm>
      </xdr:grpSpPr>
      <xdr:grpSp>
        <xdr:nvGrpSpPr>
          <xdr:cNvPr id="8" name="Shape 8"/>
          <xdr:cNvGrpSpPr/>
        </xdr:nvGrpSpPr>
        <xdr:grpSpPr>
          <a:xfrm>
            <a:off x="4879275" y="3679988"/>
            <a:ext cx="933450" cy="200025"/>
            <a:chOff x="4884038" y="3684750"/>
            <a:chExt cx="923925" cy="190500"/>
          </a:xfrm>
        </xdr:grpSpPr>
        <xdr:sp>
          <xdr:nvSpPr>
            <xdr:cNvPr id="4" name="Shape 4"/>
            <xdr:cNvSpPr/>
          </xdr:nvSpPr>
          <xdr:spPr>
            <a:xfrm>
              <a:off x="4884038" y="3684750"/>
              <a:ext cx="9239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 flipH="1">
              <a:off x="4884038" y="3684750"/>
              <a:ext cx="923925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14</xdr:row>
      <xdr:rowOff>114300</xdr:rowOff>
    </xdr:from>
    <xdr:ext cx="990600" cy="276225"/>
    <xdr:grpSp>
      <xdr:nvGrpSpPr>
        <xdr:cNvPr id="2" name="Shape 2"/>
        <xdr:cNvGrpSpPr/>
      </xdr:nvGrpSpPr>
      <xdr:grpSpPr>
        <a:xfrm>
          <a:off x="4850700" y="3641888"/>
          <a:ext cx="990600" cy="276225"/>
          <a:chOff x="4850700" y="3641888"/>
          <a:chExt cx="990600" cy="276225"/>
        </a:xfrm>
      </xdr:grpSpPr>
      <xdr:grpSp>
        <xdr:nvGrpSpPr>
          <xdr:cNvPr id="10" name="Shape 10"/>
          <xdr:cNvGrpSpPr/>
        </xdr:nvGrpSpPr>
        <xdr:grpSpPr>
          <a:xfrm>
            <a:off x="4850700" y="3641888"/>
            <a:ext cx="990600" cy="276225"/>
            <a:chOff x="4855463" y="3646650"/>
            <a:chExt cx="981075" cy="266700"/>
          </a:xfrm>
        </xdr:grpSpPr>
        <xdr:sp>
          <xdr:nvSpPr>
            <xdr:cNvPr id="4" name="Shape 4"/>
            <xdr:cNvSpPr/>
          </xdr:nvSpPr>
          <xdr:spPr>
            <a:xfrm>
              <a:off x="4855463" y="3646650"/>
              <a:ext cx="98107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 flipH="1">
              <a:off x="4855463" y="3646650"/>
              <a:ext cx="981075" cy="2667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15</xdr:row>
      <xdr:rowOff>209550</xdr:rowOff>
    </xdr:from>
    <xdr:ext cx="1066800" cy="228600"/>
    <xdr:grpSp>
      <xdr:nvGrpSpPr>
        <xdr:cNvPr id="2" name="Shape 2"/>
        <xdr:cNvGrpSpPr/>
      </xdr:nvGrpSpPr>
      <xdr:grpSpPr>
        <a:xfrm>
          <a:off x="4812600" y="3665700"/>
          <a:ext cx="1066800" cy="228600"/>
          <a:chOff x="4812600" y="3665700"/>
          <a:chExt cx="1066800" cy="228600"/>
        </a:xfrm>
      </xdr:grpSpPr>
      <xdr:grpSp>
        <xdr:nvGrpSpPr>
          <xdr:cNvPr id="12" name="Shape 12"/>
          <xdr:cNvGrpSpPr/>
        </xdr:nvGrpSpPr>
        <xdr:grpSpPr>
          <a:xfrm>
            <a:off x="4812600" y="3665700"/>
            <a:ext cx="1066800" cy="228600"/>
            <a:chOff x="4831650" y="3741900"/>
            <a:chExt cx="1028700" cy="76200"/>
          </a:xfrm>
        </xdr:grpSpPr>
        <xdr:sp>
          <xdr:nvSpPr>
            <xdr:cNvPr id="4" name="Shape 4"/>
            <xdr:cNvSpPr/>
          </xdr:nvSpPr>
          <xdr:spPr>
            <a:xfrm>
              <a:off x="4831650" y="3741900"/>
              <a:ext cx="1028700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 rot="10800000">
              <a:off x="4831650" y="3741900"/>
              <a:ext cx="1028700" cy="762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16</xdr:row>
      <xdr:rowOff>85725</xdr:rowOff>
    </xdr:from>
    <xdr:ext cx="1009650" cy="219075"/>
    <xdr:grpSp>
      <xdr:nvGrpSpPr>
        <xdr:cNvPr id="2" name="Shape 2"/>
        <xdr:cNvGrpSpPr/>
      </xdr:nvGrpSpPr>
      <xdr:grpSpPr>
        <a:xfrm>
          <a:off x="4841175" y="3670463"/>
          <a:ext cx="1009650" cy="219075"/>
          <a:chOff x="4841175" y="3670463"/>
          <a:chExt cx="1009650" cy="219075"/>
        </a:xfrm>
      </xdr:grpSpPr>
      <xdr:grpSp>
        <xdr:nvGrpSpPr>
          <xdr:cNvPr id="16" name="Shape 16"/>
          <xdr:cNvGrpSpPr/>
        </xdr:nvGrpSpPr>
        <xdr:grpSpPr>
          <a:xfrm>
            <a:off x="4841175" y="3670463"/>
            <a:ext cx="1009650" cy="219075"/>
            <a:chOff x="4845938" y="3675225"/>
            <a:chExt cx="1000125" cy="209550"/>
          </a:xfrm>
        </xdr:grpSpPr>
        <xdr:sp>
          <xdr:nvSpPr>
            <xdr:cNvPr id="4" name="Shape 4"/>
            <xdr:cNvSpPr/>
          </xdr:nvSpPr>
          <xdr:spPr>
            <a:xfrm>
              <a:off x="4845938" y="3675225"/>
              <a:ext cx="1000125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/>
          </xdr:nvCxnSpPr>
          <xdr:spPr>
            <a:xfrm flipH="1">
              <a:off x="4845938" y="3675225"/>
              <a:ext cx="1000125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17</xdr:row>
      <xdr:rowOff>104775</xdr:rowOff>
    </xdr:from>
    <xdr:ext cx="962025" cy="200025"/>
    <xdr:grpSp>
      <xdr:nvGrpSpPr>
        <xdr:cNvPr id="2" name="Shape 2"/>
        <xdr:cNvGrpSpPr/>
      </xdr:nvGrpSpPr>
      <xdr:grpSpPr>
        <a:xfrm>
          <a:off x="4864988" y="3679988"/>
          <a:ext cx="962025" cy="200025"/>
          <a:chOff x="4864988" y="3679988"/>
          <a:chExt cx="962025" cy="200025"/>
        </a:xfrm>
      </xdr:grpSpPr>
      <xdr:grpSp>
        <xdr:nvGrpSpPr>
          <xdr:cNvPr id="20" name="Shape 20"/>
          <xdr:cNvGrpSpPr/>
        </xdr:nvGrpSpPr>
        <xdr:grpSpPr>
          <a:xfrm>
            <a:off x="4864988" y="3679988"/>
            <a:ext cx="962025" cy="200025"/>
            <a:chOff x="4869750" y="3684750"/>
            <a:chExt cx="952500" cy="190500"/>
          </a:xfrm>
        </xdr:grpSpPr>
        <xdr:sp>
          <xdr:nvSpPr>
            <xdr:cNvPr id="4" name="Shape 4"/>
            <xdr:cNvSpPr/>
          </xdr:nvSpPr>
          <xdr:spPr>
            <a:xfrm>
              <a:off x="4869750" y="3684750"/>
              <a:ext cx="9525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/>
          </xdr:nvCxnSpPr>
          <xdr:spPr>
            <a:xfrm rot="10800000">
              <a:off x="4869750" y="3684750"/>
              <a:ext cx="952500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18</xdr:row>
      <xdr:rowOff>114300</xdr:rowOff>
    </xdr:from>
    <xdr:ext cx="1104900" cy="228600"/>
    <xdr:grpSp>
      <xdr:nvGrpSpPr>
        <xdr:cNvPr id="2" name="Shape 2"/>
        <xdr:cNvGrpSpPr/>
      </xdr:nvGrpSpPr>
      <xdr:grpSpPr>
        <a:xfrm>
          <a:off x="4793550" y="3665700"/>
          <a:ext cx="1104900" cy="228600"/>
          <a:chOff x="4793550" y="3665700"/>
          <a:chExt cx="1104900" cy="228600"/>
        </a:xfrm>
      </xdr:grpSpPr>
      <xdr:grpSp>
        <xdr:nvGrpSpPr>
          <xdr:cNvPr id="24" name="Shape 24"/>
          <xdr:cNvGrpSpPr/>
        </xdr:nvGrpSpPr>
        <xdr:grpSpPr>
          <a:xfrm>
            <a:off x="4793550" y="3665700"/>
            <a:ext cx="1104900" cy="228600"/>
            <a:chOff x="4803075" y="3670463"/>
            <a:chExt cx="1085850" cy="219075"/>
          </a:xfrm>
        </xdr:grpSpPr>
        <xdr:sp>
          <xdr:nvSpPr>
            <xdr:cNvPr id="4" name="Shape 4"/>
            <xdr:cNvSpPr/>
          </xdr:nvSpPr>
          <xdr:spPr>
            <a:xfrm>
              <a:off x="4803075" y="3670463"/>
              <a:ext cx="108585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 flipH="1">
              <a:off x="4803075" y="3670463"/>
              <a:ext cx="108585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19</xdr:row>
      <xdr:rowOff>142875</xdr:rowOff>
    </xdr:from>
    <xdr:ext cx="1104900" cy="180975"/>
    <xdr:grpSp>
      <xdr:nvGrpSpPr>
        <xdr:cNvPr id="2" name="Shape 2"/>
        <xdr:cNvGrpSpPr/>
      </xdr:nvGrpSpPr>
      <xdr:grpSpPr>
        <a:xfrm>
          <a:off x="4793550" y="3689513"/>
          <a:ext cx="1104900" cy="180975"/>
          <a:chOff x="4793550" y="3689513"/>
          <a:chExt cx="1104900" cy="180975"/>
        </a:xfrm>
      </xdr:grpSpPr>
      <xdr:grpSp>
        <xdr:nvGrpSpPr>
          <xdr:cNvPr id="28" name="Shape 28"/>
          <xdr:cNvGrpSpPr/>
        </xdr:nvGrpSpPr>
        <xdr:grpSpPr>
          <a:xfrm>
            <a:off x="4793550" y="3689513"/>
            <a:ext cx="1104900" cy="180975"/>
            <a:chOff x="4803075" y="3694275"/>
            <a:chExt cx="1085850" cy="171450"/>
          </a:xfrm>
        </xdr:grpSpPr>
        <xdr:sp>
          <xdr:nvSpPr>
            <xdr:cNvPr id="4" name="Shape 4"/>
            <xdr:cNvSpPr/>
          </xdr:nvSpPr>
          <xdr:spPr>
            <a:xfrm>
              <a:off x="4803075" y="3694275"/>
              <a:ext cx="10858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 rot="10800000">
              <a:off x="4803075" y="3694275"/>
              <a:ext cx="10858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20</xdr:row>
      <xdr:rowOff>114300</xdr:rowOff>
    </xdr:from>
    <xdr:ext cx="1009650" cy="276225"/>
    <xdr:grpSp>
      <xdr:nvGrpSpPr>
        <xdr:cNvPr id="2" name="Shape 2"/>
        <xdr:cNvGrpSpPr/>
      </xdr:nvGrpSpPr>
      <xdr:grpSpPr>
        <a:xfrm>
          <a:off x="4841175" y="3641888"/>
          <a:ext cx="1009650" cy="276225"/>
          <a:chOff x="4841175" y="3641888"/>
          <a:chExt cx="1009650" cy="276225"/>
        </a:xfrm>
      </xdr:grpSpPr>
      <xdr:grpSp>
        <xdr:nvGrpSpPr>
          <xdr:cNvPr id="34" name="Shape 34"/>
          <xdr:cNvGrpSpPr/>
        </xdr:nvGrpSpPr>
        <xdr:grpSpPr>
          <a:xfrm>
            <a:off x="4841175" y="3641888"/>
            <a:ext cx="1009650" cy="276225"/>
            <a:chOff x="4845938" y="3646650"/>
            <a:chExt cx="1000125" cy="266700"/>
          </a:xfrm>
        </xdr:grpSpPr>
        <xdr:sp>
          <xdr:nvSpPr>
            <xdr:cNvPr id="4" name="Shape 4"/>
            <xdr:cNvSpPr/>
          </xdr:nvSpPr>
          <xdr:spPr>
            <a:xfrm>
              <a:off x="4845938" y="3646650"/>
              <a:ext cx="10001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5" name="Shape 35"/>
            <xdr:cNvCxnSpPr/>
          </xdr:nvCxnSpPr>
          <xdr:spPr>
            <a:xfrm flipH="1">
              <a:off x="4845938" y="3646650"/>
              <a:ext cx="1000125" cy="2667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21</xdr:row>
      <xdr:rowOff>190500</xdr:rowOff>
    </xdr:from>
    <xdr:ext cx="1971675" cy="295275"/>
    <xdr:grpSp>
      <xdr:nvGrpSpPr>
        <xdr:cNvPr id="2" name="Shape 2"/>
        <xdr:cNvGrpSpPr/>
      </xdr:nvGrpSpPr>
      <xdr:grpSpPr>
        <a:xfrm>
          <a:off x="4359483" y="3628281"/>
          <a:ext cx="1973035" cy="303439"/>
          <a:chOff x="4359483" y="3628281"/>
          <a:chExt cx="1973035" cy="303439"/>
        </a:xfrm>
      </xdr:grpSpPr>
      <xdr:grpSp>
        <xdr:nvGrpSpPr>
          <xdr:cNvPr id="40" name="Shape 40"/>
          <xdr:cNvGrpSpPr/>
        </xdr:nvGrpSpPr>
        <xdr:grpSpPr>
          <a:xfrm>
            <a:off x="4359483" y="3628281"/>
            <a:ext cx="1973035" cy="303439"/>
            <a:chOff x="4355400" y="3713325"/>
            <a:chExt cx="1981200" cy="133350"/>
          </a:xfrm>
        </xdr:grpSpPr>
        <xdr:sp>
          <xdr:nvSpPr>
            <xdr:cNvPr id="4" name="Shape 4"/>
            <xdr:cNvSpPr/>
          </xdr:nvSpPr>
          <xdr:spPr>
            <a:xfrm>
              <a:off x="4355400" y="3713325"/>
              <a:ext cx="198120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 rot="10800000">
              <a:off x="4355400" y="3713325"/>
              <a:ext cx="1981200" cy="1333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22</xdr:row>
      <xdr:rowOff>123825</xdr:rowOff>
    </xdr:from>
    <xdr:ext cx="1943100" cy="266700"/>
    <xdr:grpSp>
      <xdr:nvGrpSpPr>
        <xdr:cNvPr id="2" name="Shape 2"/>
        <xdr:cNvGrpSpPr/>
      </xdr:nvGrpSpPr>
      <xdr:grpSpPr>
        <a:xfrm>
          <a:off x="4374450" y="3646650"/>
          <a:ext cx="1943100" cy="266700"/>
          <a:chOff x="4374450" y="3646650"/>
          <a:chExt cx="1943100" cy="266700"/>
        </a:xfrm>
      </xdr:grpSpPr>
      <xdr:grpSp>
        <xdr:nvGrpSpPr>
          <xdr:cNvPr id="46" name="Shape 46"/>
          <xdr:cNvGrpSpPr/>
        </xdr:nvGrpSpPr>
        <xdr:grpSpPr>
          <a:xfrm>
            <a:off x="4374450" y="3646650"/>
            <a:ext cx="1943100" cy="266700"/>
            <a:chOff x="4379213" y="3651413"/>
            <a:chExt cx="1933575" cy="257175"/>
          </a:xfrm>
        </xdr:grpSpPr>
        <xdr:sp>
          <xdr:nvSpPr>
            <xdr:cNvPr id="4" name="Shape 4"/>
            <xdr:cNvSpPr/>
          </xdr:nvSpPr>
          <xdr:spPr>
            <a:xfrm>
              <a:off x="4379213" y="3651413"/>
              <a:ext cx="1933575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 flipH="1">
              <a:off x="4379213" y="3651413"/>
              <a:ext cx="1933575" cy="2571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25</xdr:row>
      <xdr:rowOff>171450</xdr:rowOff>
    </xdr:from>
    <xdr:ext cx="1962150" cy="333375"/>
    <xdr:grpSp>
      <xdr:nvGrpSpPr>
        <xdr:cNvPr id="2" name="Shape 2"/>
        <xdr:cNvGrpSpPr/>
      </xdr:nvGrpSpPr>
      <xdr:grpSpPr>
        <a:xfrm>
          <a:off x="4362204" y="3611952"/>
          <a:ext cx="1967592" cy="336097"/>
          <a:chOff x="4362204" y="3611952"/>
          <a:chExt cx="1967592" cy="336097"/>
        </a:xfrm>
      </xdr:grpSpPr>
      <xdr:grpSp>
        <xdr:nvGrpSpPr>
          <xdr:cNvPr id="52" name="Shape 52" title="Dibujo"/>
          <xdr:cNvGrpSpPr/>
        </xdr:nvGrpSpPr>
        <xdr:grpSpPr>
          <a:xfrm>
            <a:off x="4362204" y="3611952"/>
            <a:ext cx="1967592" cy="336097"/>
            <a:chOff x="4369688" y="3689513"/>
            <a:chExt cx="1952625" cy="180975"/>
          </a:xfrm>
        </xdr:grpSpPr>
        <xdr:sp>
          <xdr:nvSpPr>
            <xdr:cNvPr id="4" name="Shape 4"/>
            <xdr:cNvSpPr/>
          </xdr:nvSpPr>
          <xdr:spPr>
            <a:xfrm>
              <a:off x="4369688" y="3689513"/>
              <a:ext cx="195262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3" name="Shape 53"/>
            <xdr:cNvCxnSpPr/>
          </xdr:nvCxnSpPr>
          <xdr:spPr>
            <a:xfrm rot="10800000">
              <a:off x="4369688" y="3689513"/>
              <a:ext cx="1952625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533400</xdr:colOff>
      <xdr:row>27</xdr:row>
      <xdr:rowOff>142875</xdr:rowOff>
    </xdr:from>
    <xdr:ext cx="1924050" cy="152400"/>
    <xdr:grpSp>
      <xdr:nvGrpSpPr>
        <xdr:cNvPr id="2" name="Shape 2"/>
        <xdr:cNvGrpSpPr/>
      </xdr:nvGrpSpPr>
      <xdr:grpSpPr>
        <a:xfrm>
          <a:off x="4383975" y="3703800"/>
          <a:ext cx="1924050" cy="152400"/>
          <a:chOff x="4383975" y="3703800"/>
          <a:chExt cx="1924050" cy="152400"/>
        </a:xfrm>
      </xdr:grpSpPr>
      <xdr:grpSp>
        <xdr:nvGrpSpPr>
          <xdr:cNvPr id="58" name="Shape 58"/>
          <xdr:cNvGrpSpPr/>
        </xdr:nvGrpSpPr>
        <xdr:grpSpPr>
          <a:xfrm>
            <a:off x="4383975" y="3703800"/>
            <a:ext cx="1924050" cy="152400"/>
            <a:chOff x="4388738" y="3713325"/>
            <a:chExt cx="1914525" cy="133350"/>
          </a:xfrm>
        </xdr:grpSpPr>
        <xdr:sp>
          <xdr:nvSpPr>
            <xdr:cNvPr id="4" name="Shape 4"/>
            <xdr:cNvSpPr/>
          </xdr:nvSpPr>
          <xdr:spPr>
            <a:xfrm>
              <a:off x="4388738" y="3713325"/>
              <a:ext cx="1914525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9" name="Shape 59"/>
            <xdr:cNvCxnSpPr/>
          </xdr:nvCxnSpPr>
          <xdr:spPr>
            <a:xfrm flipH="1" rot="10800000">
              <a:off x="4388738" y="3713325"/>
              <a:ext cx="1914525" cy="1333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30</xdr:row>
      <xdr:rowOff>200025</xdr:rowOff>
    </xdr:from>
    <xdr:ext cx="1990725" cy="323850"/>
    <xdr:grpSp>
      <xdr:nvGrpSpPr>
        <xdr:cNvPr id="2" name="Shape 2"/>
        <xdr:cNvGrpSpPr/>
      </xdr:nvGrpSpPr>
      <xdr:grpSpPr>
        <a:xfrm>
          <a:off x="4350638" y="3618075"/>
          <a:ext cx="1990725" cy="323850"/>
          <a:chOff x="4350638" y="3618075"/>
          <a:chExt cx="1990725" cy="323850"/>
        </a:xfrm>
      </xdr:grpSpPr>
      <xdr:grpSp>
        <xdr:nvGrpSpPr>
          <xdr:cNvPr id="64" name="Shape 64"/>
          <xdr:cNvGrpSpPr/>
        </xdr:nvGrpSpPr>
        <xdr:grpSpPr>
          <a:xfrm>
            <a:off x="4350638" y="3618075"/>
            <a:ext cx="1990725" cy="323850"/>
            <a:chOff x="4355400" y="3627600"/>
            <a:chExt cx="1981200" cy="304800"/>
          </a:xfrm>
        </xdr:grpSpPr>
        <xdr:sp>
          <xdr:nvSpPr>
            <xdr:cNvPr id="4" name="Shape 4"/>
            <xdr:cNvSpPr/>
          </xdr:nvSpPr>
          <xdr:spPr>
            <a:xfrm>
              <a:off x="4355400" y="3627600"/>
              <a:ext cx="19812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5" name="Shape 65"/>
            <xdr:cNvCxnSpPr/>
          </xdr:nvCxnSpPr>
          <xdr:spPr>
            <a:xfrm>
              <a:off x="4355400" y="3627600"/>
              <a:ext cx="1981200" cy="3048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32</xdr:row>
      <xdr:rowOff>142875</xdr:rowOff>
    </xdr:from>
    <xdr:ext cx="1990725" cy="161925"/>
    <xdr:grpSp>
      <xdr:nvGrpSpPr>
        <xdr:cNvPr id="2" name="Shape 2"/>
        <xdr:cNvGrpSpPr/>
      </xdr:nvGrpSpPr>
      <xdr:grpSpPr>
        <a:xfrm>
          <a:off x="4350638" y="3699038"/>
          <a:ext cx="1990725" cy="161925"/>
          <a:chOff x="4350638" y="3699038"/>
          <a:chExt cx="1990725" cy="161925"/>
        </a:xfrm>
      </xdr:grpSpPr>
      <xdr:grpSp>
        <xdr:nvGrpSpPr>
          <xdr:cNvPr id="72" name="Shape 72"/>
          <xdr:cNvGrpSpPr/>
        </xdr:nvGrpSpPr>
        <xdr:grpSpPr>
          <a:xfrm>
            <a:off x="4350638" y="3699038"/>
            <a:ext cx="1990725" cy="161925"/>
            <a:chOff x="4355400" y="3708563"/>
            <a:chExt cx="1981200" cy="142875"/>
          </a:xfrm>
        </xdr:grpSpPr>
        <xdr:sp>
          <xdr:nvSpPr>
            <xdr:cNvPr id="4" name="Shape 4"/>
            <xdr:cNvSpPr/>
          </xdr:nvSpPr>
          <xdr:spPr>
            <a:xfrm>
              <a:off x="4355400" y="3708563"/>
              <a:ext cx="19812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3" name="Shape 73"/>
            <xdr:cNvCxnSpPr/>
          </xdr:nvCxnSpPr>
          <xdr:spPr>
            <a:xfrm flipH="1" rot="10800000">
              <a:off x="4355400" y="3708563"/>
              <a:ext cx="198120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504825</xdr:colOff>
      <xdr:row>34</xdr:row>
      <xdr:rowOff>114300</xdr:rowOff>
    </xdr:from>
    <xdr:ext cx="1019175" cy="180975"/>
    <xdr:grpSp>
      <xdr:nvGrpSpPr>
        <xdr:cNvPr id="2" name="Shape 2"/>
        <xdr:cNvGrpSpPr/>
      </xdr:nvGrpSpPr>
      <xdr:grpSpPr>
        <a:xfrm>
          <a:off x="4836413" y="3689513"/>
          <a:ext cx="1019175" cy="180975"/>
          <a:chOff x="4836413" y="3689513"/>
          <a:chExt cx="1019175" cy="180975"/>
        </a:xfrm>
      </xdr:grpSpPr>
      <xdr:grpSp>
        <xdr:nvGrpSpPr>
          <xdr:cNvPr id="78" name="Shape 78"/>
          <xdr:cNvGrpSpPr/>
        </xdr:nvGrpSpPr>
        <xdr:grpSpPr>
          <a:xfrm>
            <a:off x="4836413" y="3689513"/>
            <a:ext cx="1019175" cy="180975"/>
            <a:chOff x="4841175" y="3694275"/>
            <a:chExt cx="1009650" cy="171450"/>
          </a:xfrm>
        </xdr:grpSpPr>
        <xdr:sp>
          <xdr:nvSpPr>
            <xdr:cNvPr id="4" name="Shape 4"/>
            <xdr:cNvSpPr/>
          </xdr:nvSpPr>
          <xdr:spPr>
            <a:xfrm>
              <a:off x="4841175" y="3694275"/>
              <a:ext cx="10096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9" name="Shape 79"/>
            <xdr:cNvCxnSpPr/>
          </xdr:nvCxnSpPr>
          <xdr:spPr>
            <a:xfrm>
              <a:off x="4841175" y="3694275"/>
              <a:ext cx="10096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514350</xdr:colOff>
      <xdr:row>35</xdr:row>
      <xdr:rowOff>85725</xdr:rowOff>
    </xdr:from>
    <xdr:ext cx="2581275" cy="247650"/>
    <xdr:grpSp>
      <xdr:nvGrpSpPr>
        <xdr:cNvPr id="2" name="Shape 2"/>
        <xdr:cNvGrpSpPr/>
      </xdr:nvGrpSpPr>
      <xdr:grpSpPr>
        <a:xfrm>
          <a:off x="4051961" y="3652773"/>
          <a:ext cx="2588078" cy="254454"/>
          <a:chOff x="4051961" y="3652773"/>
          <a:chExt cx="2588078" cy="254454"/>
        </a:xfrm>
      </xdr:grpSpPr>
      <xdr:grpSp>
        <xdr:nvGrpSpPr>
          <xdr:cNvPr id="84" name="Shape 84"/>
          <xdr:cNvGrpSpPr/>
        </xdr:nvGrpSpPr>
        <xdr:grpSpPr>
          <a:xfrm>
            <a:off x="4051961" y="3652773"/>
            <a:ext cx="2588078" cy="254454"/>
            <a:chOff x="4445888" y="3675225"/>
            <a:chExt cx="1800225" cy="209550"/>
          </a:xfrm>
        </xdr:grpSpPr>
        <xdr:sp>
          <xdr:nvSpPr>
            <xdr:cNvPr id="4" name="Shape 4"/>
            <xdr:cNvSpPr/>
          </xdr:nvSpPr>
          <xdr:spPr>
            <a:xfrm>
              <a:off x="4445888" y="3675225"/>
              <a:ext cx="1800225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5" name="Shape 85"/>
            <xdr:cNvCxnSpPr/>
          </xdr:nvCxnSpPr>
          <xdr:spPr>
            <a:xfrm rot="10800000">
              <a:off x="4445888" y="3675225"/>
              <a:ext cx="1800225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514350</xdr:colOff>
      <xdr:row>36</xdr:row>
      <xdr:rowOff>114300</xdr:rowOff>
    </xdr:from>
    <xdr:ext cx="2609850" cy="142875"/>
    <xdr:grpSp>
      <xdr:nvGrpSpPr>
        <xdr:cNvPr id="2" name="Shape 2"/>
        <xdr:cNvGrpSpPr/>
      </xdr:nvGrpSpPr>
      <xdr:grpSpPr>
        <a:xfrm>
          <a:off x="4040395" y="3705161"/>
          <a:ext cx="2611210" cy="149678"/>
          <a:chOff x="4040395" y="3705161"/>
          <a:chExt cx="2611210" cy="149678"/>
        </a:xfrm>
      </xdr:grpSpPr>
      <xdr:grpSp>
        <xdr:nvGrpSpPr>
          <xdr:cNvPr id="88" name="Shape 88"/>
          <xdr:cNvGrpSpPr/>
        </xdr:nvGrpSpPr>
        <xdr:grpSpPr>
          <a:xfrm>
            <a:off x="4040395" y="3705161"/>
            <a:ext cx="2611210" cy="149678"/>
            <a:chOff x="4488750" y="3689513"/>
            <a:chExt cx="1714500" cy="180975"/>
          </a:xfrm>
        </xdr:grpSpPr>
        <xdr:sp>
          <xdr:nvSpPr>
            <xdr:cNvPr id="4" name="Shape 4"/>
            <xdr:cNvSpPr/>
          </xdr:nvSpPr>
          <xdr:spPr>
            <a:xfrm>
              <a:off x="4488750" y="3689513"/>
              <a:ext cx="171450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9" name="Shape 89"/>
            <xdr:cNvCxnSpPr/>
          </xdr:nvCxnSpPr>
          <xdr:spPr>
            <a:xfrm flipH="1">
              <a:off x="4488750" y="3689513"/>
              <a:ext cx="1714500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581025</xdr:colOff>
      <xdr:row>37</xdr:row>
      <xdr:rowOff>114300</xdr:rowOff>
    </xdr:from>
    <xdr:ext cx="1781175" cy="180975"/>
    <xdr:grpSp>
      <xdr:nvGrpSpPr>
        <xdr:cNvPr id="2" name="Shape 2"/>
        <xdr:cNvGrpSpPr/>
      </xdr:nvGrpSpPr>
      <xdr:grpSpPr>
        <a:xfrm>
          <a:off x="4455413" y="3689513"/>
          <a:ext cx="1781175" cy="180975"/>
          <a:chOff x="4455413" y="3689513"/>
          <a:chExt cx="1781175" cy="180975"/>
        </a:xfrm>
      </xdr:grpSpPr>
      <xdr:grpSp>
        <xdr:nvGrpSpPr>
          <xdr:cNvPr id="94" name="Shape 94"/>
          <xdr:cNvGrpSpPr/>
        </xdr:nvGrpSpPr>
        <xdr:grpSpPr>
          <a:xfrm>
            <a:off x="4455413" y="3689513"/>
            <a:ext cx="1781175" cy="180975"/>
            <a:chOff x="4460175" y="3694275"/>
            <a:chExt cx="1771650" cy="171450"/>
          </a:xfrm>
        </xdr:grpSpPr>
        <xdr:sp>
          <xdr:nvSpPr>
            <xdr:cNvPr id="4" name="Shape 4"/>
            <xdr:cNvSpPr/>
          </xdr:nvSpPr>
          <xdr:spPr>
            <a:xfrm>
              <a:off x="4460175" y="3694275"/>
              <a:ext cx="17716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5" name="Shape 95"/>
            <xdr:cNvCxnSpPr/>
          </xdr:nvCxnSpPr>
          <xdr:spPr>
            <a:xfrm rot="10800000">
              <a:off x="4460175" y="3694275"/>
              <a:ext cx="17716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466725</xdr:colOff>
      <xdr:row>23</xdr:row>
      <xdr:rowOff>238125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00" name="Shape 100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12</xdr:row>
      <xdr:rowOff>66675</xdr:rowOff>
    </xdr:from>
    <xdr:ext cx="828675" cy="228600"/>
    <xdr:grpSp>
      <xdr:nvGrpSpPr>
        <xdr:cNvPr id="2" name="Shape 2"/>
        <xdr:cNvGrpSpPr/>
      </xdr:nvGrpSpPr>
      <xdr:grpSpPr>
        <a:xfrm>
          <a:off x="4931663" y="3665700"/>
          <a:ext cx="828675" cy="228600"/>
          <a:chOff x="4931663" y="3665700"/>
          <a:chExt cx="828675" cy="228600"/>
        </a:xfrm>
      </xdr:grpSpPr>
      <xdr:grpSp>
        <xdr:nvGrpSpPr>
          <xdr:cNvPr id="3" name="Shape 3"/>
          <xdr:cNvGrpSpPr/>
        </xdr:nvGrpSpPr>
        <xdr:grpSpPr>
          <a:xfrm>
            <a:off x="4931663" y="3665700"/>
            <a:ext cx="828675" cy="228600"/>
            <a:chOff x="4936425" y="3670463"/>
            <a:chExt cx="819150" cy="219075"/>
          </a:xfrm>
        </xdr:grpSpPr>
        <xdr:sp>
          <xdr:nvSpPr>
            <xdr:cNvPr id="4" name="Shape 4"/>
            <xdr:cNvSpPr/>
          </xdr:nvSpPr>
          <xdr:spPr>
            <a:xfrm>
              <a:off x="4936425" y="3670463"/>
              <a:ext cx="81915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>
              <a:off x="4936425" y="3670463"/>
              <a:ext cx="81915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561975</xdr:colOff>
      <xdr:row>13</xdr:row>
      <xdr:rowOff>114300</xdr:rowOff>
    </xdr:from>
    <xdr:ext cx="933450" cy="200025"/>
    <xdr:grpSp>
      <xdr:nvGrpSpPr>
        <xdr:cNvPr id="2" name="Shape 2"/>
        <xdr:cNvGrpSpPr/>
      </xdr:nvGrpSpPr>
      <xdr:grpSpPr>
        <a:xfrm>
          <a:off x="4879275" y="3679988"/>
          <a:ext cx="933450" cy="200025"/>
          <a:chOff x="4879275" y="3679988"/>
          <a:chExt cx="933450" cy="200025"/>
        </a:xfrm>
      </xdr:grpSpPr>
      <xdr:grpSp>
        <xdr:nvGrpSpPr>
          <xdr:cNvPr id="14" name="Shape 14"/>
          <xdr:cNvGrpSpPr/>
        </xdr:nvGrpSpPr>
        <xdr:grpSpPr>
          <a:xfrm>
            <a:off x="4879275" y="3679988"/>
            <a:ext cx="933450" cy="200025"/>
            <a:chOff x="4884038" y="3684750"/>
            <a:chExt cx="923925" cy="190500"/>
          </a:xfrm>
        </xdr:grpSpPr>
        <xdr:sp>
          <xdr:nvSpPr>
            <xdr:cNvPr id="4" name="Shape 4"/>
            <xdr:cNvSpPr/>
          </xdr:nvSpPr>
          <xdr:spPr>
            <a:xfrm>
              <a:off x="4884038" y="3684750"/>
              <a:ext cx="9239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 flipH="1">
              <a:off x="4884038" y="3684750"/>
              <a:ext cx="923925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14</xdr:row>
      <xdr:rowOff>114300</xdr:rowOff>
    </xdr:from>
    <xdr:ext cx="990600" cy="276225"/>
    <xdr:grpSp>
      <xdr:nvGrpSpPr>
        <xdr:cNvPr id="2" name="Shape 2"/>
        <xdr:cNvGrpSpPr/>
      </xdr:nvGrpSpPr>
      <xdr:grpSpPr>
        <a:xfrm>
          <a:off x="4850700" y="3641888"/>
          <a:ext cx="990600" cy="276225"/>
          <a:chOff x="4850700" y="3641888"/>
          <a:chExt cx="990600" cy="276225"/>
        </a:xfrm>
      </xdr:grpSpPr>
      <xdr:grpSp>
        <xdr:nvGrpSpPr>
          <xdr:cNvPr id="18" name="Shape 18"/>
          <xdr:cNvGrpSpPr/>
        </xdr:nvGrpSpPr>
        <xdr:grpSpPr>
          <a:xfrm>
            <a:off x="4850700" y="3641888"/>
            <a:ext cx="990600" cy="276225"/>
            <a:chOff x="4855463" y="3646650"/>
            <a:chExt cx="981075" cy="266700"/>
          </a:xfrm>
        </xdr:grpSpPr>
        <xdr:sp>
          <xdr:nvSpPr>
            <xdr:cNvPr id="4" name="Shape 4"/>
            <xdr:cNvSpPr/>
          </xdr:nvSpPr>
          <xdr:spPr>
            <a:xfrm>
              <a:off x="4855463" y="3646650"/>
              <a:ext cx="98107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flipH="1">
              <a:off x="4855463" y="3646650"/>
              <a:ext cx="981075" cy="2667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15</xdr:row>
      <xdr:rowOff>209550</xdr:rowOff>
    </xdr:from>
    <xdr:ext cx="1066800" cy="247650"/>
    <xdr:grpSp>
      <xdr:nvGrpSpPr>
        <xdr:cNvPr id="2" name="Shape 2"/>
        <xdr:cNvGrpSpPr/>
      </xdr:nvGrpSpPr>
      <xdr:grpSpPr>
        <a:xfrm>
          <a:off x="4808518" y="3653454"/>
          <a:ext cx="1074964" cy="253093"/>
          <a:chOff x="4808518" y="3653454"/>
          <a:chExt cx="1074964" cy="253093"/>
        </a:xfrm>
      </xdr:grpSpPr>
      <xdr:grpSp>
        <xdr:nvGrpSpPr>
          <xdr:cNvPr id="22" name="Shape 22"/>
          <xdr:cNvGrpSpPr/>
        </xdr:nvGrpSpPr>
        <xdr:grpSpPr>
          <a:xfrm>
            <a:off x="4808518" y="3653454"/>
            <a:ext cx="1074964" cy="253093"/>
            <a:chOff x="4831650" y="3741900"/>
            <a:chExt cx="1028700" cy="76200"/>
          </a:xfrm>
        </xdr:grpSpPr>
        <xdr:sp>
          <xdr:nvSpPr>
            <xdr:cNvPr id="4" name="Shape 4"/>
            <xdr:cNvSpPr/>
          </xdr:nvSpPr>
          <xdr:spPr>
            <a:xfrm>
              <a:off x="4831650" y="3741900"/>
              <a:ext cx="1028700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rot="10800000">
              <a:off x="4831650" y="3741900"/>
              <a:ext cx="1028700" cy="762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16</xdr:row>
      <xdr:rowOff>85725</xdr:rowOff>
    </xdr:from>
    <xdr:ext cx="1009650" cy="219075"/>
    <xdr:grpSp>
      <xdr:nvGrpSpPr>
        <xdr:cNvPr id="2" name="Shape 2"/>
        <xdr:cNvGrpSpPr/>
      </xdr:nvGrpSpPr>
      <xdr:grpSpPr>
        <a:xfrm>
          <a:off x="4841175" y="3670463"/>
          <a:ext cx="1009650" cy="219075"/>
          <a:chOff x="4841175" y="3670463"/>
          <a:chExt cx="1009650" cy="219075"/>
        </a:xfrm>
      </xdr:grpSpPr>
      <xdr:grpSp>
        <xdr:nvGrpSpPr>
          <xdr:cNvPr id="26" name="Shape 26"/>
          <xdr:cNvGrpSpPr/>
        </xdr:nvGrpSpPr>
        <xdr:grpSpPr>
          <a:xfrm>
            <a:off x="4841175" y="3670463"/>
            <a:ext cx="1009650" cy="219075"/>
            <a:chOff x="4845938" y="3675225"/>
            <a:chExt cx="1000125" cy="209550"/>
          </a:xfrm>
        </xdr:grpSpPr>
        <xdr:sp>
          <xdr:nvSpPr>
            <xdr:cNvPr id="4" name="Shape 4"/>
            <xdr:cNvSpPr/>
          </xdr:nvSpPr>
          <xdr:spPr>
            <a:xfrm>
              <a:off x="4845938" y="3675225"/>
              <a:ext cx="1000125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 flipH="1">
              <a:off x="4845938" y="3675225"/>
              <a:ext cx="1000125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17</xdr:row>
      <xdr:rowOff>104775</xdr:rowOff>
    </xdr:from>
    <xdr:ext cx="962025" cy="200025"/>
    <xdr:grpSp>
      <xdr:nvGrpSpPr>
        <xdr:cNvPr id="2" name="Shape 2"/>
        <xdr:cNvGrpSpPr/>
      </xdr:nvGrpSpPr>
      <xdr:grpSpPr>
        <a:xfrm>
          <a:off x="4864988" y="3679988"/>
          <a:ext cx="962025" cy="200025"/>
          <a:chOff x="4864988" y="3679988"/>
          <a:chExt cx="962025" cy="200025"/>
        </a:xfrm>
      </xdr:grpSpPr>
      <xdr:grpSp>
        <xdr:nvGrpSpPr>
          <xdr:cNvPr id="30" name="Shape 30"/>
          <xdr:cNvGrpSpPr/>
        </xdr:nvGrpSpPr>
        <xdr:grpSpPr>
          <a:xfrm>
            <a:off x="4864988" y="3679988"/>
            <a:ext cx="962025" cy="200025"/>
            <a:chOff x="4869750" y="3684750"/>
            <a:chExt cx="952500" cy="190500"/>
          </a:xfrm>
        </xdr:grpSpPr>
        <xdr:sp>
          <xdr:nvSpPr>
            <xdr:cNvPr id="4" name="Shape 4"/>
            <xdr:cNvSpPr/>
          </xdr:nvSpPr>
          <xdr:spPr>
            <a:xfrm>
              <a:off x="4869750" y="3684750"/>
              <a:ext cx="9525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/>
          </xdr:nvCxnSpPr>
          <xdr:spPr>
            <a:xfrm rot="10800000">
              <a:off x="4869750" y="3684750"/>
              <a:ext cx="952500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18</xdr:row>
      <xdr:rowOff>114300</xdr:rowOff>
    </xdr:from>
    <xdr:ext cx="1104900" cy="228600"/>
    <xdr:grpSp>
      <xdr:nvGrpSpPr>
        <xdr:cNvPr id="2" name="Shape 2"/>
        <xdr:cNvGrpSpPr/>
      </xdr:nvGrpSpPr>
      <xdr:grpSpPr>
        <a:xfrm>
          <a:off x="4793550" y="3665700"/>
          <a:ext cx="1104900" cy="228600"/>
          <a:chOff x="4793550" y="3665700"/>
          <a:chExt cx="1104900" cy="228600"/>
        </a:xfrm>
      </xdr:grpSpPr>
      <xdr:grpSp>
        <xdr:nvGrpSpPr>
          <xdr:cNvPr id="36" name="Shape 36"/>
          <xdr:cNvGrpSpPr/>
        </xdr:nvGrpSpPr>
        <xdr:grpSpPr>
          <a:xfrm>
            <a:off x="4793550" y="3665700"/>
            <a:ext cx="1104900" cy="228600"/>
            <a:chOff x="4803075" y="3670463"/>
            <a:chExt cx="1085850" cy="219075"/>
          </a:xfrm>
        </xdr:grpSpPr>
        <xdr:sp>
          <xdr:nvSpPr>
            <xdr:cNvPr id="4" name="Shape 4"/>
            <xdr:cNvSpPr/>
          </xdr:nvSpPr>
          <xdr:spPr>
            <a:xfrm>
              <a:off x="4803075" y="3670463"/>
              <a:ext cx="108585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7" name="Shape 37"/>
            <xdr:cNvCxnSpPr/>
          </xdr:nvCxnSpPr>
          <xdr:spPr>
            <a:xfrm flipH="1">
              <a:off x="4803075" y="3670463"/>
              <a:ext cx="108585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19</xdr:row>
      <xdr:rowOff>142875</xdr:rowOff>
    </xdr:from>
    <xdr:ext cx="1104900" cy="180975"/>
    <xdr:grpSp>
      <xdr:nvGrpSpPr>
        <xdr:cNvPr id="2" name="Shape 2"/>
        <xdr:cNvGrpSpPr/>
      </xdr:nvGrpSpPr>
      <xdr:grpSpPr>
        <a:xfrm>
          <a:off x="4793550" y="3689513"/>
          <a:ext cx="1104900" cy="180975"/>
          <a:chOff x="4793550" y="3689513"/>
          <a:chExt cx="1104900" cy="180975"/>
        </a:xfrm>
      </xdr:grpSpPr>
      <xdr:grpSp>
        <xdr:nvGrpSpPr>
          <xdr:cNvPr id="42" name="Shape 42"/>
          <xdr:cNvGrpSpPr/>
        </xdr:nvGrpSpPr>
        <xdr:grpSpPr>
          <a:xfrm>
            <a:off x="4793550" y="3689513"/>
            <a:ext cx="1104900" cy="180975"/>
            <a:chOff x="4803075" y="3694275"/>
            <a:chExt cx="1085850" cy="171450"/>
          </a:xfrm>
        </xdr:grpSpPr>
        <xdr:sp>
          <xdr:nvSpPr>
            <xdr:cNvPr id="4" name="Shape 4"/>
            <xdr:cNvSpPr/>
          </xdr:nvSpPr>
          <xdr:spPr>
            <a:xfrm>
              <a:off x="4803075" y="3694275"/>
              <a:ext cx="10858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 rot="10800000">
              <a:off x="4803075" y="3694275"/>
              <a:ext cx="10858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20</xdr:row>
      <xdr:rowOff>114300</xdr:rowOff>
    </xdr:from>
    <xdr:ext cx="1019175" cy="219075"/>
    <xdr:grpSp>
      <xdr:nvGrpSpPr>
        <xdr:cNvPr id="2" name="Shape 2"/>
        <xdr:cNvGrpSpPr/>
      </xdr:nvGrpSpPr>
      <xdr:grpSpPr>
        <a:xfrm>
          <a:off x="4833721" y="3667357"/>
          <a:ext cx="1024558" cy="225287"/>
          <a:chOff x="4833721" y="3667357"/>
          <a:chExt cx="1024558" cy="225287"/>
        </a:xfrm>
      </xdr:grpSpPr>
      <xdr:grpSp>
        <xdr:nvGrpSpPr>
          <xdr:cNvPr id="48" name="Shape 48"/>
          <xdr:cNvGrpSpPr/>
        </xdr:nvGrpSpPr>
        <xdr:grpSpPr>
          <a:xfrm>
            <a:off x="4833721" y="3667357"/>
            <a:ext cx="1024558" cy="225287"/>
            <a:chOff x="4845938" y="3646650"/>
            <a:chExt cx="1000125" cy="266700"/>
          </a:xfrm>
        </xdr:grpSpPr>
        <xdr:sp>
          <xdr:nvSpPr>
            <xdr:cNvPr id="4" name="Shape 4"/>
            <xdr:cNvSpPr/>
          </xdr:nvSpPr>
          <xdr:spPr>
            <a:xfrm>
              <a:off x="4845938" y="3646650"/>
              <a:ext cx="10001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9" name="Shape 49"/>
            <xdr:cNvCxnSpPr/>
          </xdr:nvCxnSpPr>
          <xdr:spPr>
            <a:xfrm flipH="1">
              <a:off x="4845938" y="3646650"/>
              <a:ext cx="1000125" cy="2667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504825</xdr:colOff>
      <xdr:row>23</xdr:row>
      <xdr:rowOff>123825</xdr:rowOff>
    </xdr:from>
    <xdr:ext cx="1905000" cy="228600"/>
    <xdr:grpSp>
      <xdr:nvGrpSpPr>
        <xdr:cNvPr id="2" name="Shape 2"/>
        <xdr:cNvGrpSpPr/>
      </xdr:nvGrpSpPr>
      <xdr:grpSpPr>
        <a:xfrm>
          <a:off x="4388945" y="3663837"/>
          <a:ext cx="1914111" cy="232327"/>
          <a:chOff x="4388945" y="3663837"/>
          <a:chExt cx="1914111" cy="232327"/>
        </a:xfrm>
      </xdr:grpSpPr>
      <xdr:grpSp>
        <xdr:nvGrpSpPr>
          <xdr:cNvPr id="54" name="Shape 54"/>
          <xdr:cNvGrpSpPr/>
        </xdr:nvGrpSpPr>
        <xdr:grpSpPr>
          <a:xfrm>
            <a:off x="4388945" y="3663837"/>
            <a:ext cx="1914111" cy="232327"/>
            <a:chOff x="4379213" y="3651413"/>
            <a:chExt cx="1933575" cy="257175"/>
          </a:xfrm>
        </xdr:grpSpPr>
        <xdr:sp>
          <xdr:nvSpPr>
            <xdr:cNvPr id="4" name="Shape 4"/>
            <xdr:cNvSpPr/>
          </xdr:nvSpPr>
          <xdr:spPr>
            <a:xfrm>
              <a:off x="4379213" y="3651413"/>
              <a:ext cx="1933575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5" name="Shape 55"/>
            <xdr:cNvCxnSpPr/>
          </xdr:nvCxnSpPr>
          <xdr:spPr>
            <a:xfrm flipH="1">
              <a:off x="4379213" y="3651413"/>
              <a:ext cx="1933575" cy="2571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26</xdr:row>
      <xdr:rowOff>180975</xdr:rowOff>
    </xdr:from>
    <xdr:ext cx="1981200" cy="342900"/>
    <xdr:grpSp>
      <xdr:nvGrpSpPr>
        <xdr:cNvPr id="2" name="Shape 2"/>
        <xdr:cNvGrpSpPr/>
      </xdr:nvGrpSpPr>
      <xdr:grpSpPr>
        <a:xfrm>
          <a:off x="4355400" y="3605148"/>
          <a:ext cx="1981200" cy="349704"/>
          <a:chOff x="4355400" y="3605148"/>
          <a:chExt cx="1981200" cy="349704"/>
        </a:xfrm>
      </xdr:grpSpPr>
      <xdr:grpSp>
        <xdr:nvGrpSpPr>
          <xdr:cNvPr id="60" name="Shape 60"/>
          <xdr:cNvGrpSpPr/>
        </xdr:nvGrpSpPr>
        <xdr:grpSpPr>
          <a:xfrm>
            <a:off x="4355400" y="3605148"/>
            <a:ext cx="1981200" cy="349704"/>
            <a:chOff x="4369688" y="3689513"/>
            <a:chExt cx="1952625" cy="180975"/>
          </a:xfrm>
        </xdr:grpSpPr>
        <xdr:sp>
          <xdr:nvSpPr>
            <xdr:cNvPr id="4" name="Shape 4"/>
            <xdr:cNvSpPr/>
          </xdr:nvSpPr>
          <xdr:spPr>
            <a:xfrm>
              <a:off x="4369688" y="3689513"/>
              <a:ext cx="195262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1" name="Shape 61"/>
            <xdr:cNvCxnSpPr/>
          </xdr:nvCxnSpPr>
          <xdr:spPr>
            <a:xfrm rot="10800000">
              <a:off x="4369688" y="3689513"/>
              <a:ext cx="1952625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533400</xdr:colOff>
      <xdr:row>28</xdr:row>
      <xdr:rowOff>142875</xdr:rowOff>
    </xdr:from>
    <xdr:ext cx="1924050" cy="152400"/>
    <xdr:grpSp>
      <xdr:nvGrpSpPr>
        <xdr:cNvPr id="2" name="Shape 2"/>
        <xdr:cNvGrpSpPr/>
      </xdr:nvGrpSpPr>
      <xdr:grpSpPr>
        <a:xfrm>
          <a:off x="4383975" y="3703800"/>
          <a:ext cx="1924050" cy="152400"/>
          <a:chOff x="4383975" y="3703800"/>
          <a:chExt cx="1924050" cy="152400"/>
        </a:xfrm>
      </xdr:grpSpPr>
      <xdr:grpSp>
        <xdr:nvGrpSpPr>
          <xdr:cNvPr id="66" name="Shape 66"/>
          <xdr:cNvGrpSpPr/>
        </xdr:nvGrpSpPr>
        <xdr:grpSpPr>
          <a:xfrm>
            <a:off x="4383975" y="3703800"/>
            <a:ext cx="1924050" cy="152400"/>
            <a:chOff x="4388738" y="3713325"/>
            <a:chExt cx="1914525" cy="133350"/>
          </a:xfrm>
        </xdr:grpSpPr>
        <xdr:sp>
          <xdr:nvSpPr>
            <xdr:cNvPr id="4" name="Shape 4"/>
            <xdr:cNvSpPr/>
          </xdr:nvSpPr>
          <xdr:spPr>
            <a:xfrm>
              <a:off x="4388738" y="3713325"/>
              <a:ext cx="1914525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7" name="Shape 67"/>
            <xdr:cNvCxnSpPr/>
          </xdr:nvCxnSpPr>
          <xdr:spPr>
            <a:xfrm flipH="1" rot="10800000">
              <a:off x="4388738" y="3713325"/>
              <a:ext cx="1914525" cy="1333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31</xdr:row>
      <xdr:rowOff>200025</xdr:rowOff>
    </xdr:from>
    <xdr:ext cx="1990725" cy="323850"/>
    <xdr:grpSp>
      <xdr:nvGrpSpPr>
        <xdr:cNvPr id="2" name="Shape 2"/>
        <xdr:cNvGrpSpPr/>
      </xdr:nvGrpSpPr>
      <xdr:grpSpPr>
        <a:xfrm>
          <a:off x="4350638" y="3618075"/>
          <a:ext cx="1990725" cy="323850"/>
          <a:chOff x="4350638" y="3618075"/>
          <a:chExt cx="1990725" cy="323850"/>
        </a:xfrm>
      </xdr:grpSpPr>
      <xdr:grpSp>
        <xdr:nvGrpSpPr>
          <xdr:cNvPr id="70" name="Shape 70"/>
          <xdr:cNvGrpSpPr/>
        </xdr:nvGrpSpPr>
        <xdr:grpSpPr>
          <a:xfrm>
            <a:off x="4350638" y="3618075"/>
            <a:ext cx="1990725" cy="323850"/>
            <a:chOff x="4355400" y="3627600"/>
            <a:chExt cx="1981200" cy="304800"/>
          </a:xfrm>
        </xdr:grpSpPr>
        <xdr:sp>
          <xdr:nvSpPr>
            <xdr:cNvPr id="4" name="Shape 4"/>
            <xdr:cNvSpPr/>
          </xdr:nvSpPr>
          <xdr:spPr>
            <a:xfrm>
              <a:off x="4355400" y="3627600"/>
              <a:ext cx="19812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1" name="Shape 71"/>
            <xdr:cNvCxnSpPr/>
          </xdr:nvCxnSpPr>
          <xdr:spPr>
            <a:xfrm>
              <a:off x="4355400" y="3627600"/>
              <a:ext cx="1981200" cy="3048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33</xdr:row>
      <xdr:rowOff>142875</xdr:rowOff>
    </xdr:from>
    <xdr:ext cx="1990725" cy="161925"/>
    <xdr:grpSp>
      <xdr:nvGrpSpPr>
        <xdr:cNvPr id="2" name="Shape 2"/>
        <xdr:cNvGrpSpPr/>
      </xdr:nvGrpSpPr>
      <xdr:grpSpPr>
        <a:xfrm>
          <a:off x="4350638" y="3699038"/>
          <a:ext cx="1990725" cy="161925"/>
          <a:chOff x="4350638" y="3699038"/>
          <a:chExt cx="1990725" cy="161925"/>
        </a:xfrm>
      </xdr:grpSpPr>
      <xdr:grpSp>
        <xdr:nvGrpSpPr>
          <xdr:cNvPr id="76" name="Shape 76"/>
          <xdr:cNvGrpSpPr/>
        </xdr:nvGrpSpPr>
        <xdr:grpSpPr>
          <a:xfrm>
            <a:off x="4350638" y="3699038"/>
            <a:ext cx="1990725" cy="161925"/>
            <a:chOff x="4355400" y="3708563"/>
            <a:chExt cx="1981200" cy="142875"/>
          </a:xfrm>
        </xdr:grpSpPr>
        <xdr:sp>
          <xdr:nvSpPr>
            <xdr:cNvPr id="4" name="Shape 4"/>
            <xdr:cNvSpPr/>
          </xdr:nvSpPr>
          <xdr:spPr>
            <a:xfrm>
              <a:off x="4355400" y="3708563"/>
              <a:ext cx="19812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7" name="Shape 77"/>
            <xdr:cNvCxnSpPr/>
          </xdr:nvCxnSpPr>
          <xdr:spPr>
            <a:xfrm flipH="1" rot="10800000">
              <a:off x="4355400" y="3708563"/>
              <a:ext cx="198120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504825</xdr:colOff>
      <xdr:row>35</xdr:row>
      <xdr:rowOff>114300</xdr:rowOff>
    </xdr:from>
    <xdr:ext cx="1019175" cy="180975"/>
    <xdr:grpSp>
      <xdr:nvGrpSpPr>
        <xdr:cNvPr id="2" name="Shape 2"/>
        <xdr:cNvGrpSpPr/>
      </xdr:nvGrpSpPr>
      <xdr:grpSpPr>
        <a:xfrm>
          <a:off x="4836413" y="3689513"/>
          <a:ext cx="1019175" cy="180975"/>
          <a:chOff x="4836413" y="3689513"/>
          <a:chExt cx="1019175" cy="180975"/>
        </a:xfrm>
      </xdr:grpSpPr>
      <xdr:grpSp>
        <xdr:nvGrpSpPr>
          <xdr:cNvPr id="82" name="Shape 82"/>
          <xdr:cNvGrpSpPr/>
        </xdr:nvGrpSpPr>
        <xdr:grpSpPr>
          <a:xfrm>
            <a:off x="4836413" y="3689513"/>
            <a:ext cx="1019175" cy="180975"/>
            <a:chOff x="4841175" y="3694275"/>
            <a:chExt cx="1009650" cy="171450"/>
          </a:xfrm>
        </xdr:grpSpPr>
        <xdr:sp>
          <xdr:nvSpPr>
            <xdr:cNvPr id="4" name="Shape 4"/>
            <xdr:cNvSpPr/>
          </xdr:nvSpPr>
          <xdr:spPr>
            <a:xfrm>
              <a:off x="4841175" y="3694275"/>
              <a:ext cx="10096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3" name="Shape 83"/>
            <xdr:cNvCxnSpPr/>
          </xdr:nvCxnSpPr>
          <xdr:spPr>
            <a:xfrm>
              <a:off x="4841175" y="3694275"/>
              <a:ext cx="10096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523875</xdr:colOff>
      <xdr:row>36</xdr:row>
      <xdr:rowOff>95250</xdr:rowOff>
    </xdr:from>
    <xdr:ext cx="2552700" cy="219075"/>
    <xdr:grpSp>
      <xdr:nvGrpSpPr>
        <xdr:cNvPr id="2" name="Shape 2"/>
        <xdr:cNvGrpSpPr/>
      </xdr:nvGrpSpPr>
      <xdr:grpSpPr>
        <a:xfrm>
          <a:off x="4065568" y="3666380"/>
          <a:ext cx="2560864" cy="227240"/>
          <a:chOff x="4065568" y="3666380"/>
          <a:chExt cx="2560864" cy="227240"/>
        </a:xfrm>
      </xdr:grpSpPr>
      <xdr:grpSp>
        <xdr:nvGrpSpPr>
          <xdr:cNvPr id="90" name="Shape 90"/>
          <xdr:cNvGrpSpPr/>
        </xdr:nvGrpSpPr>
        <xdr:grpSpPr>
          <a:xfrm>
            <a:off x="4065568" y="3666380"/>
            <a:ext cx="2560864" cy="227240"/>
            <a:chOff x="4445888" y="3675225"/>
            <a:chExt cx="1800225" cy="209550"/>
          </a:xfrm>
        </xdr:grpSpPr>
        <xdr:sp>
          <xdr:nvSpPr>
            <xdr:cNvPr id="4" name="Shape 4"/>
            <xdr:cNvSpPr/>
          </xdr:nvSpPr>
          <xdr:spPr>
            <a:xfrm>
              <a:off x="4445888" y="3675225"/>
              <a:ext cx="1800225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1" name="Shape 91"/>
            <xdr:cNvCxnSpPr/>
          </xdr:nvCxnSpPr>
          <xdr:spPr>
            <a:xfrm rot="10800000">
              <a:off x="4445888" y="3675225"/>
              <a:ext cx="1800225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590550</xdr:colOff>
      <xdr:row>37</xdr:row>
      <xdr:rowOff>114300</xdr:rowOff>
    </xdr:from>
    <xdr:ext cx="2457450" cy="190500"/>
    <xdr:grpSp>
      <xdr:nvGrpSpPr>
        <xdr:cNvPr id="2" name="Shape 2"/>
        <xdr:cNvGrpSpPr/>
      </xdr:nvGrpSpPr>
      <xdr:grpSpPr>
        <a:xfrm>
          <a:off x="4114554" y="3684750"/>
          <a:ext cx="2462893" cy="190500"/>
          <a:chOff x="4114554" y="3684750"/>
          <a:chExt cx="2462893" cy="190500"/>
        </a:xfrm>
      </xdr:grpSpPr>
      <xdr:grpSp>
        <xdr:nvGrpSpPr>
          <xdr:cNvPr id="96" name="Shape 96"/>
          <xdr:cNvGrpSpPr/>
        </xdr:nvGrpSpPr>
        <xdr:grpSpPr>
          <a:xfrm>
            <a:off x="4114554" y="3684750"/>
            <a:ext cx="2462893" cy="190500"/>
            <a:chOff x="4488750" y="3689513"/>
            <a:chExt cx="1714500" cy="180975"/>
          </a:xfrm>
        </xdr:grpSpPr>
        <xdr:sp>
          <xdr:nvSpPr>
            <xdr:cNvPr id="4" name="Shape 4"/>
            <xdr:cNvSpPr/>
          </xdr:nvSpPr>
          <xdr:spPr>
            <a:xfrm>
              <a:off x="4488750" y="3689513"/>
              <a:ext cx="171450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7" name="Shape 97"/>
            <xdr:cNvCxnSpPr/>
          </xdr:nvCxnSpPr>
          <xdr:spPr>
            <a:xfrm flipH="1">
              <a:off x="4488750" y="3689513"/>
              <a:ext cx="1714500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581025</xdr:colOff>
      <xdr:row>38</xdr:row>
      <xdr:rowOff>114300</xdr:rowOff>
    </xdr:from>
    <xdr:ext cx="1781175" cy="180975"/>
    <xdr:grpSp>
      <xdr:nvGrpSpPr>
        <xdr:cNvPr id="2" name="Shape 2"/>
        <xdr:cNvGrpSpPr/>
      </xdr:nvGrpSpPr>
      <xdr:grpSpPr>
        <a:xfrm>
          <a:off x="4455413" y="3689513"/>
          <a:ext cx="1781175" cy="180975"/>
          <a:chOff x="4455413" y="3689513"/>
          <a:chExt cx="1781175" cy="180975"/>
        </a:xfrm>
      </xdr:grpSpPr>
      <xdr:grpSp>
        <xdr:nvGrpSpPr>
          <xdr:cNvPr id="101" name="Shape 101"/>
          <xdr:cNvGrpSpPr/>
        </xdr:nvGrpSpPr>
        <xdr:grpSpPr>
          <a:xfrm>
            <a:off x="4455413" y="3689513"/>
            <a:ext cx="1781175" cy="180975"/>
            <a:chOff x="4460175" y="3694275"/>
            <a:chExt cx="1771650" cy="171450"/>
          </a:xfrm>
        </xdr:grpSpPr>
        <xdr:sp>
          <xdr:nvSpPr>
            <xdr:cNvPr id="4" name="Shape 4"/>
            <xdr:cNvSpPr/>
          </xdr:nvSpPr>
          <xdr:spPr>
            <a:xfrm>
              <a:off x="4460175" y="3694275"/>
              <a:ext cx="177165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2" name="Shape 102"/>
            <xdr:cNvCxnSpPr/>
          </xdr:nvCxnSpPr>
          <xdr:spPr>
            <a:xfrm rot="10800000">
              <a:off x="4460175" y="3694275"/>
              <a:ext cx="1771650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22</xdr:row>
      <xdr:rowOff>85725</xdr:rowOff>
    </xdr:from>
    <xdr:ext cx="1933575" cy="228600"/>
    <xdr:grpSp>
      <xdr:nvGrpSpPr>
        <xdr:cNvPr id="2" name="Shape 2"/>
        <xdr:cNvGrpSpPr/>
      </xdr:nvGrpSpPr>
      <xdr:grpSpPr>
        <a:xfrm>
          <a:off x="4379213" y="3665700"/>
          <a:ext cx="1933575" cy="228600"/>
          <a:chOff x="4379213" y="3665700"/>
          <a:chExt cx="1933575" cy="228600"/>
        </a:xfrm>
      </xdr:grpSpPr>
      <xdr:grpSp>
        <xdr:nvGrpSpPr>
          <xdr:cNvPr id="107" name="Shape 107"/>
          <xdr:cNvGrpSpPr/>
        </xdr:nvGrpSpPr>
        <xdr:grpSpPr>
          <a:xfrm>
            <a:off x="4379213" y="3665700"/>
            <a:ext cx="1933575" cy="228600"/>
            <a:chOff x="4383975" y="3675225"/>
            <a:chExt cx="1924050" cy="209550"/>
          </a:xfrm>
        </xdr:grpSpPr>
        <xdr:sp>
          <xdr:nvSpPr>
            <xdr:cNvPr id="4" name="Shape 4"/>
            <xdr:cNvSpPr/>
          </xdr:nvSpPr>
          <xdr:spPr>
            <a:xfrm>
              <a:off x="4383975" y="3675225"/>
              <a:ext cx="1924050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8" name="Shape 108"/>
            <xdr:cNvCxnSpPr/>
          </xdr:nvCxnSpPr>
          <xdr:spPr>
            <a:xfrm rot="10800000">
              <a:off x="4383975" y="3675225"/>
              <a:ext cx="1924050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457200</xdr:colOff>
      <xdr:row>21</xdr:row>
      <xdr:rowOff>95250</xdr:rowOff>
    </xdr:from>
    <xdr:ext cx="38100" cy="200025"/>
    <xdr:grpSp>
      <xdr:nvGrpSpPr>
        <xdr:cNvPr id="2" name="Shape 2"/>
        <xdr:cNvGrpSpPr/>
      </xdr:nvGrpSpPr>
      <xdr:grpSpPr>
        <a:xfrm>
          <a:off x="5341238" y="3679988"/>
          <a:ext cx="9525" cy="200025"/>
          <a:chOff x="5341238" y="3679988"/>
          <a:chExt cx="9525" cy="200025"/>
        </a:xfrm>
      </xdr:grpSpPr>
      <xdr:cxnSp>
        <xdr:nvCxnSpPr>
          <xdr:cNvPr id="111" name="Shape 111"/>
          <xdr:cNvCxnSpPr/>
        </xdr:nvCxnSpPr>
        <xdr:spPr>
          <a:xfrm flipH="1">
            <a:off x="5341238" y="3679988"/>
            <a:ext cx="9525" cy="2000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476250</xdr:colOff>
      <xdr:row>24</xdr:row>
      <xdr:rowOff>161925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116" name="Shape 116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12</xdr:row>
      <xdr:rowOff>142875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32" name="Shape 32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3" name="Shape 33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533400</xdr:colOff>
      <xdr:row>13</xdr:row>
      <xdr:rowOff>142875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38" name="Shape 38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14</xdr:row>
      <xdr:rowOff>123825</xdr:rowOff>
    </xdr:from>
    <xdr:ext cx="1019175" cy="323850"/>
    <xdr:grpSp>
      <xdr:nvGrpSpPr>
        <xdr:cNvPr id="2" name="Shape 2"/>
        <xdr:cNvGrpSpPr/>
      </xdr:nvGrpSpPr>
      <xdr:grpSpPr>
        <a:xfrm>
          <a:off x="4836413" y="3618075"/>
          <a:ext cx="1019175" cy="323850"/>
          <a:chOff x="4836413" y="3618075"/>
          <a:chExt cx="1019175" cy="323850"/>
        </a:xfrm>
      </xdr:grpSpPr>
      <xdr:grpSp>
        <xdr:nvGrpSpPr>
          <xdr:cNvPr id="44" name="Shape 44"/>
          <xdr:cNvGrpSpPr/>
        </xdr:nvGrpSpPr>
        <xdr:grpSpPr>
          <a:xfrm>
            <a:off x="4836413" y="3618075"/>
            <a:ext cx="1019175" cy="323850"/>
            <a:chOff x="4845938" y="3622838"/>
            <a:chExt cx="1000125" cy="314325"/>
          </a:xfrm>
        </xdr:grpSpPr>
        <xdr:sp>
          <xdr:nvSpPr>
            <xdr:cNvPr id="4" name="Shape 4"/>
            <xdr:cNvSpPr/>
          </xdr:nvSpPr>
          <xdr:spPr>
            <a:xfrm>
              <a:off x="4845938" y="3622838"/>
              <a:ext cx="1000125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5" name="Shape 45"/>
            <xdr:cNvCxnSpPr/>
          </xdr:nvCxnSpPr>
          <xdr:spPr>
            <a:xfrm flipH="1">
              <a:off x="4845938" y="3622838"/>
              <a:ext cx="1000125" cy="3143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15</xdr:row>
      <xdr:rowOff>180975</xdr:rowOff>
    </xdr:from>
    <xdr:ext cx="1038225" cy="276225"/>
    <xdr:grpSp>
      <xdr:nvGrpSpPr>
        <xdr:cNvPr id="2" name="Shape 2"/>
        <xdr:cNvGrpSpPr/>
      </xdr:nvGrpSpPr>
      <xdr:grpSpPr>
        <a:xfrm>
          <a:off x="4826888" y="3641888"/>
          <a:ext cx="1038225" cy="276225"/>
          <a:chOff x="4826888" y="3641888"/>
          <a:chExt cx="1038225" cy="276225"/>
        </a:xfrm>
      </xdr:grpSpPr>
      <xdr:grpSp>
        <xdr:nvGrpSpPr>
          <xdr:cNvPr id="50" name="Shape 50"/>
          <xdr:cNvGrpSpPr/>
        </xdr:nvGrpSpPr>
        <xdr:grpSpPr>
          <a:xfrm>
            <a:off x="4826888" y="3641888"/>
            <a:ext cx="1038225" cy="276225"/>
            <a:chOff x="4850700" y="3708563"/>
            <a:chExt cx="990600" cy="142875"/>
          </a:xfrm>
        </xdr:grpSpPr>
        <xdr:sp>
          <xdr:nvSpPr>
            <xdr:cNvPr id="4" name="Shape 4"/>
            <xdr:cNvSpPr/>
          </xdr:nvSpPr>
          <xdr:spPr>
            <a:xfrm>
              <a:off x="4850700" y="3708563"/>
              <a:ext cx="9906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1" name="Shape 51"/>
            <xdr:cNvCxnSpPr/>
          </xdr:nvCxnSpPr>
          <xdr:spPr>
            <a:xfrm rot="10800000">
              <a:off x="4850700" y="3708563"/>
              <a:ext cx="99060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16</xdr:row>
      <xdr:rowOff>142875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56" name="Shape 56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7" name="Shape 57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17</xdr:row>
      <xdr:rowOff>142875</xdr:rowOff>
    </xdr:from>
    <xdr:ext cx="1009650" cy="200025"/>
    <xdr:grpSp>
      <xdr:nvGrpSpPr>
        <xdr:cNvPr id="2" name="Shape 2"/>
        <xdr:cNvGrpSpPr/>
      </xdr:nvGrpSpPr>
      <xdr:grpSpPr>
        <a:xfrm>
          <a:off x="4841175" y="3679988"/>
          <a:ext cx="1009650" cy="200025"/>
          <a:chOff x="4841175" y="3679988"/>
          <a:chExt cx="1009650" cy="200025"/>
        </a:xfrm>
      </xdr:grpSpPr>
      <xdr:grpSp>
        <xdr:nvGrpSpPr>
          <xdr:cNvPr id="62" name="Shape 62"/>
          <xdr:cNvGrpSpPr/>
        </xdr:nvGrpSpPr>
        <xdr:grpSpPr>
          <a:xfrm>
            <a:off x="4841175" y="3679988"/>
            <a:ext cx="1009650" cy="200025"/>
            <a:chOff x="4845938" y="3684750"/>
            <a:chExt cx="1000125" cy="190500"/>
          </a:xfrm>
        </xdr:grpSpPr>
        <xdr:sp>
          <xdr:nvSpPr>
            <xdr:cNvPr id="4" name="Shape 4"/>
            <xdr:cNvSpPr/>
          </xdr:nvSpPr>
          <xdr:spPr>
            <a:xfrm>
              <a:off x="4845938" y="3684750"/>
              <a:ext cx="10001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3" name="Shape 63"/>
            <xdr:cNvCxnSpPr/>
          </xdr:nvCxnSpPr>
          <xdr:spPr>
            <a:xfrm rot="10800000">
              <a:off x="4845938" y="3684750"/>
              <a:ext cx="1000125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466725</xdr:colOff>
      <xdr:row>18</xdr:row>
      <xdr:rowOff>95250</xdr:rowOff>
    </xdr:from>
    <xdr:ext cx="1066800" cy="238125"/>
    <xdr:grpSp>
      <xdr:nvGrpSpPr>
        <xdr:cNvPr id="2" name="Shape 2"/>
        <xdr:cNvGrpSpPr/>
      </xdr:nvGrpSpPr>
      <xdr:grpSpPr>
        <a:xfrm>
          <a:off x="4812600" y="3660938"/>
          <a:ext cx="1066800" cy="238125"/>
          <a:chOff x="4812600" y="3660938"/>
          <a:chExt cx="1066800" cy="238125"/>
        </a:xfrm>
      </xdr:grpSpPr>
      <xdr:grpSp>
        <xdr:nvGrpSpPr>
          <xdr:cNvPr id="68" name="Shape 68"/>
          <xdr:cNvGrpSpPr/>
        </xdr:nvGrpSpPr>
        <xdr:grpSpPr>
          <a:xfrm>
            <a:off x="4812600" y="3660938"/>
            <a:ext cx="1066800" cy="238125"/>
            <a:chOff x="4817363" y="3665700"/>
            <a:chExt cx="1057275" cy="228600"/>
          </a:xfrm>
        </xdr:grpSpPr>
        <xdr:sp>
          <xdr:nvSpPr>
            <xdr:cNvPr id="4" name="Shape 4"/>
            <xdr:cNvSpPr/>
          </xdr:nvSpPr>
          <xdr:spPr>
            <a:xfrm>
              <a:off x="4817363" y="3665700"/>
              <a:ext cx="105727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9" name="Shape 69"/>
            <xdr:cNvCxnSpPr/>
          </xdr:nvCxnSpPr>
          <xdr:spPr>
            <a:xfrm flipH="1" rot="10800000">
              <a:off x="4817363" y="3665700"/>
              <a:ext cx="1057275" cy="2286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466725</xdr:colOff>
      <xdr:row>19</xdr:row>
      <xdr:rowOff>123825</xdr:rowOff>
    </xdr:from>
    <xdr:ext cx="2105025" cy="171450"/>
    <xdr:grpSp>
      <xdr:nvGrpSpPr>
        <xdr:cNvPr id="2" name="Shape 2"/>
        <xdr:cNvGrpSpPr/>
      </xdr:nvGrpSpPr>
      <xdr:grpSpPr>
        <a:xfrm>
          <a:off x="4293488" y="3694275"/>
          <a:ext cx="2105025" cy="171450"/>
          <a:chOff x="4293488" y="3694275"/>
          <a:chExt cx="2105025" cy="171450"/>
        </a:xfrm>
      </xdr:grpSpPr>
      <xdr:grpSp>
        <xdr:nvGrpSpPr>
          <xdr:cNvPr id="74" name="Shape 74"/>
          <xdr:cNvGrpSpPr/>
        </xdr:nvGrpSpPr>
        <xdr:grpSpPr>
          <a:xfrm>
            <a:off x="4293488" y="3694275"/>
            <a:ext cx="2105025" cy="171450"/>
            <a:chOff x="4298250" y="3699038"/>
            <a:chExt cx="2095500" cy="161925"/>
          </a:xfrm>
        </xdr:grpSpPr>
        <xdr:sp>
          <xdr:nvSpPr>
            <xdr:cNvPr id="4" name="Shape 4"/>
            <xdr:cNvSpPr/>
          </xdr:nvSpPr>
          <xdr:spPr>
            <a:xfrm>
              <a:off x="4298250" y="3699038"/>
              <a:ext cx="20955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5" name="Shape 75"/>
            <xdr:cNvCxnSpPr/>
          </xdr:nvCxnSpPr>
          <xdr:spPr>
            <a:xfrm rot="10800000">
              <a:off x="4298250" y="3699038"/>
              <a:ext cx="2095500" cy="1619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542925</xdr:colOff>
      <xdr:row>20</xdr:row>
      <xdr:rowOff>142875</xdr:rowOff>
    </xdr:from>
    <xdr:ext cx="1009650" cy="161925"/>
    <xdr:grpSp>
      <xdr:nvGrpSpPr>
        <xdr:cNvPr id="2" name="Shape 2"/>
        <xdr:cNvGrpSpPr/>
      </xdr:nvGrpSpPr>
      <xdr:grpSpPr>
        <a:xfrm>
          <a:off x="4841175" y="3699038"/>
          <a:ext cx="1009650" cy="161925"/>
          <a:chOff x="4841175" y="3699038"/>
          <a:chExt cx="1009650" cy="161925"/>
        </a:xfrm>
      </xdr:grpSpPr>
      <xdr:grpSp>
        <xdr:nvGrpSpPr>
          <xdr:cNvPr id="80" name="Shape 80"/>
          <xdr:cNvGrpSpPr/>
        </xdr:nvGrpSpPr>
        <xdr:grpSpPr>
          <a:xfrm>
            <a:off x="4841175" y="3699038"/>
            <a:ext cx="1009650" cy="161925"/>
            <a:chOff x="4845938" y="3703800"/>
            <a:chExt cx="1000125" cy="152400"/>
          </a:xfrm>
        </xdr:grpSpPr>
        <xdr:sp>
          <xdr:nvSpPr>
            <xdr:cNvPr id="4" name="Shape 4"/>
            <xdr:cNvSpPr/>
          </xdr:nvSpPr>
          <xdr:spPr>
            <a:xfrm>
              <a:off x="4845938" y="3703800"/>
              <a:ext cx="100012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1" name="Shape 81"/>
            <xdr:cNvCxnSpPr/>
          </xdr:nvCxnSpPr>
          <xdr:spPr>
            <a:xfrm flipH="1">
              <a:off x="4845938" y="3703800"/>
              <a:ext cx="1000125" cy="1524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21</xdr:row>
      <xdr:rowOff>104775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86" name="Shape 86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7" name="Shape 87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23</xdr:row>
      <xdr:rowOff>171450</xdr:rowOff>
    </xdr:from>
    <xdr:ext cx="1019175" cy="266700"/>
    <xdr:grpSp>
      <xdr:nvGrpSpPr>
        <xdr:cNvPr id="2" name="Shape 2"/>
        <xdr:cNvGrpSpPr/>
      </xdr:nvGrpSpPr>
      <xdr:grpSpPr>
        <a:xfrm>
          <a:off x="4836413" y="3646650"/>
          <a:ext cx="1019175" cy="266700"/>
          <a:chOff x="4836413" y="3646650"/>
          <a:chExt cx="1019175" cy="266700"/>
        </a:xfrm>
      </xdr:grpSpPr>
      <xdr:grpSp>
        <xdr:nvGrpSpPr>
          <xdr:cNvPr id="92" name="Shape 92"/>
          <xdr:cNvGrpSpPr/>
        </xdr:nvGrpSpPr>
        <xdr:grpSpPr>
          <a:xfrm>
            <a:off x="4836413" y="3646650"/>
            <a:ext cx="1019175" cy="266700"/>
            <a:chOff x="4864988" y="3722850"/>
            <a:chExt cx="962025" cy="114300"/>
          </a:xfrm>
        </xdr:grpSpPr>
        <xdr:sp>
          <xdr:nvSpPr>
            <xdr:cNvPr id="4" name="Shape 4"/>
            <xdr:cNvSpPr/>
          </xdr:nvSpPr>
          <xdr:spPr>
            <a:xfrm>
              <a:off x="4864988" y="3722850"/>
              <a:ext cx="96202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3" name="Shape 93"/>
            <xdr:cNvCxnSpPr/>
          </xdr:nvCxnSpPr>
          <xdr:spPr>
            <a:xfrm rot="10800000">
              <a:off x="4864988" y="3722850"/>
              <a:ext cx="962025" cy="1143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24</xdr:row>
      <xdr:rowOff>95250</xdr:rowOff>
    </xdr:from>
    <xdr:ext cx="1057275" cy="200025"/>
    <xdr:grpSp>
      <xdr:nvGrpSpPr>
        <xdr:cNvPr id="2" name="Shape 2"/>
        <xdr:cNvGrpSpPr/>
      </xdr:nvGrpSpPr>
      <xdr:grpSpPr>
        <a:xfrm>
          <a:off x="4817363" y="3679988"/>
          <a:ext cx="1057275" cy="200025"/>
          <a:chOff x="4817363" y="3679988"/>
          <a:chExt cx="1057275" cy="200025"/>
        </a:xfrm>
      </xdr:grpSpPr>
      <xdr:grpSp>
        <xdr:nvGrpSpPr>
          <xdr:cNvPr id="98" name="Shape 98"/>
          <xdr:cNvGrpSpPr/>
        </xdr:nvGrpSpPr>
        <xdr:grpSpPr>
          <a:xfrm>
            <a:off x="4817363" y="3679988"/>
            <a:ext cx="1057275" cy="200025"/>
            <a:chOff x="4822125" y="3684750"/>
            <a:chExt cx="1047750" cy="190500"/>
          </a:xfrm>
        </xdr:grpSpPr>
        <xdr:sp>
          <xdr:nvSpPr>
            <xdr:cNvPr id="4" name="Shape 4"/>
            <xdr:cNvSpPr/>
          </xdr:nvSpPr>
          <xdr:spPr>
            <a:xfrm>
              <a:off x="4822125" y="3684750"/>
              <a:ext cx="10477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9" name="Shape 99"/>
            <xdr:cNvCxnSpPr/>
          </xdr:nvCxnSpPr>
          <xdr:spPr>
            <a:xfrm flipH="1">
              <a:off x="4822125" y="3684750"/>
              <a:ext cx="1047750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25</xdr:row>
      <xdr:rowOff>123825</xdr:rowOff>
    </xdr:from>
    <xdr:ext cx="990600" cy="142875"/>
    <xdr:grpSp>
      <xdr:nvGrpSpPr>
        <xdr:cNvPr id="2" name="Shape 2"/>
        <xdr:cNvGrpSpPr/>
      </xdr:nvGrpSpPr>
      <xdr:grpSpPr>
        <a:xfrm>
          <a:off x="4850700" y="3708563"/>
          <a:ext cx="990600" cy="142875"/>
          <a:chOff x="4850700" y="3708563"/>
          <a:chExt cx="990600" cy="142875"/>
        </a:xfrm>
      </xdr:grpSpPr>
      <xdr:grpSp>
        <xdr:nvGrpSpPr>
          <xdr:cNvPr id="105" name="Shape 105"/>
          <xdr:cNvGrpSpPr/>
        </xdr:nvGrpSpPr>
        <xdr:grpSpPr>
          <a:xfrm>
            <a:off x="4850700" y="3708563"/>
            <a:ext cx="990600" cy="142875"/>
            <a:chOff x="4855463" y="3713325"/>
            <a:chExt cx="981075" cy="133350"/>
          </a:xfrm>
        </xdr:grpSpPr>
        <xdr:sp>
          <xdr:nvSpPr>
            <xdr:cNvPr id="4" name="Shape 4"/>
            <xdr:cNvSpPr/>
          </xdr:nvSpPr>
          <xdr:spPr>
            <a:xfrm>
              <a:off x="4855463" y="3713325"/>
              <a:ext cx="981075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6" name="Shape 106"/>
            <xdr:cNvCxnSpPr/>
          </xdr:nvCxnSpPr>
          <xdr:spPr>
            <a:xfrm rot="10800000">
              <a:off x="4855463" y="3713325"/>
              <a:ext cx="981075" cy="1333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504825</xdr:colOff>
      <xdr:row>26</xdr:row>
      <xdr:rowOff>95250</xdr:rowOff>
    </xdr:from>
    <xdr:ext cx="990600" cy="190500"/>
    <xdr:grpSp>
      <xdr:nvGrpSpPr>
        <xdr:cNvPr id="2" name="Shape 2"/>
        <xdr:cNvGrpSpPr/>
      </xdr:nvGrpSpPr>
      <xdr:grpSpPr>
        <a:xfrm>
          <a:off x="4850700" y="3684750"/>
          <a:ext cx="990600" cy="190500"/>
          <a:chOff x="4850700" y="3684750"/>
          <a:chExt cx="990600" cy="190500"/>
        </a:xfrm>
      </xdr:grpSpPr>
      <xdr:grpSp>
        <xdr:nvGrpSpPr>
          <xdr:cNvPr id="112" name="Shape 112"/>
          <xdr:cNvGrpSpPr/>
        </xdr:nvGrpSpPr>
        <xdr:grpSpPr>
          <a:xfrm>
            <a:off x="4850700" y="3684750"/>
            <a:ext cx="990600" cy="190500"/>
            <a:chOff x="4855463" y="3689513"/>
            <a:chExt cx="981075" cy="180975"/>
          </a:xfrm>
        </xdr:grpSpPr>
        <xdr:sp>
          <xdr:nvSpPr>
            <xdr:cNvPr id="4" name="Shape 4"/>
            <xdr:cNvSpPr/>
          </xdr:nvSpPr>
          <xdr:spPr>
            <a:xfrm>
              <a:off x="4855463" y="3689513"/>
              <a:ext cx="98107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3" name="Shape 113"/>
            <xdr:cNvCxnSpPr/>
          </xdr:nvCxnSpPr>
          <xdr:spPr>
            <a:xfrm flipH="1">
              <a:off x="4855463" y="3689513"/>
              <a:ext cx="981075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27</xdr:row>
      <xdr:rowOff>104775</xdr:rowOff>
    </xdr:from>
    <xdr:ext cx="1066800" cy="180975"/>
    <xdr:grpSp>
      <xdr:nvGrpSpPr>
        <xdr:cNvPr id="2" name="Shape 2"/>
        <xdr:cNvGrpSpPr/>
      </xdr:nvGrpSpPr>
      <xdr:grpSpPr>
        <a:xfrm>
          <a:off x="4812600" y="3689513"/>
          <a:ext cx="1066800" cy="180975"/>
          <a:chOff x="4812600" y="3689513"/>
          <a:chExt cx="1066800" cy="180975"/>
        </a:xfrm>
      </xdr:grpSpPr>
      <xdr:grpSp>
        <xdr:nvGrpSpPr>
          <xdr:cNvPr id="117" name="Shape 117"/>
          <xdr:cNvGrpSpPr/>
        </xdr:nvGrpSpPr>
        <xdr:grpSpPr>
          <a:xfrm>
            <a:off x="4812600" y="3689513"/>
            <a:ext cx="1066800" cy="180975"/>
            <a:chOff x="4817363" y="3694275"/>
            <a:chExt cx="1057275" cy="171450"/>
          </a:xfrm>
        </xdr:grpSpPr>
        <xdr:sp>
          <xdr:nvSpPr>
            <xdr:cNvPr id="4" name="Shape 4"/>
            <xdr:cNvSpPr/>
          </xdr:nvSpPr>
          <xdr:spPr>
            <a:xfrm>
              <a:off x="4817363" y="3694275"/>
              <a:ext cx="1057275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8" name="Shape 118"/>
            <xdr:cNvCxnSpPr/>
          </xdr:nvCxnSpPr>
          <xdr:spPr>
            <a:xfrm rot="10800000">
              <a:off x="4817363" y="3694275"/>
              <a:ext cx="1057275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28</xdr:row>
      <xdr:rowOff>114300</xdr:rowOff>
    </xdr:from>
    <xdr:ext cx="1000125" cy="266700"/>
    <xdr:grpSp>
      <xdr:nvGrpSpPr>
        <xdr:cNvPr id="2" name="Shape 2"/>
        <xdr:cNvGrpSpPr/>
      </xdr:nvGrpSpPr>
      <xdr:grpSpPr>
        <a:xfrm>
          <a:off x="4845938" y="3646650"/>
          <a:ext cx="1000125" cy="266700"/>
          <a:chOff x="4845938" y="3646650"/>
          <a:chExt cx="1000125" cy="266700"/>
        </a:xfrm>
      </xdr:grpSpPr>
      <xdr:grpSp>
        <xdr:nvGrpSpPr>
          <xdr:cNvPr id="121" name="Shape 121"/>
          <xdr:cNvGrpSpPr/>
        </xdr:nvGrpSpPr>
        <xdr:grpSpPr>
          <a:xfrm>
            <a:off x="4845938" y="3646650"/>
            <a:ext cx="1000125" cy="266700"/>
            <a:chOff x="4817363" y="3694275"/>
            <a:chExt cx="1057275" cy="171450"/>
          </a:xfrm>
        </xdr:grpSpPr>
        <xdr:sp>
          <xdr:nvSpPr>
            <xdr:cNvPr id="4" name="Shape 4"/>
            <xdr:cNvSpPr/>
          </xdr:nvSpPr>
          <xdr:spPr>
            <a:xfrm>
              <a:off x="4817363" y="3694275"/>
              <a:ext cx="1057275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2" name="Shape 122"/>
            <xdr:cNvCxnSpPr/>
          </xdr:nvCxnSpPr>
          <xdr:spPr>
            <a:xfrm flipH="1">
              <a:off x="4817363" y="3694275"/>
              <a:ext cx="1057275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30</xdr:row>
      <xdr:rowOff>104775</xdr:rowOff>
    </xdr:from>
    <xdr:ext cx="1019175" cy="152400"/>
    <xdr:grpSp>
      <xdr:nvGrpSpPr>
        <xdr:cNvPr id="2" name="Shape 2"/>
        <xdr:cNvGrpSpPr/>
      </xdr:nvGrpSpPr>
      <xdr:grpSpPr>
        <a:xfrm>
          <a:off x="4836413" y="3703800"/>
          <a:ext cx="1019175" cy="152400"/>
          <a:chOff x="4836413" y="3703800"/>
          <a:chExt cx="1019175" cy="152400"/>
        </a:xfrm>
      </xdr:grpSpPr>
      <xdr:grpSp>
        <xdr:nvGrpSpPr>
          <xdr:cNvPr id="125" name="Shape 125"/>
          <xdr:cNvGrpSpPr/>
        </xdr:nvGrpSpPr>
        <xdr:grpSpPr>
          <a:xfrm>
            <a:off x="4836413" y="3703800"/>
            <a:ext cx="1019175" cy="152400"/>
            <a:chOff x="4841175" y="3708563"/>
            <a:chExt cx="1009650" cy="142875"/>
          </a:xfrm>
        </xdr:grpSpPr>
        <xdr:sp>
          <xdr:nvSpPr>
            <xdr:cNvPr id="4" name="Shape 4"/>
            <xdr:cNvSpPr/>
          </xdr:nvSpPr>
          <xdr:spPr>
            <a:xfrm>
              <a:off x="4841175" y="3708563"/>
              <a:ext cx="100965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6" name="Shape 126"/>
            <xdr:cNvCxnSpPr/>
          </xdr:nvCxnSpPr>
          <xdr:spPr>
            <a:xfrm rot="10800000">
              <a:off x="4841175" y="3708563"/>
              <a:ext cx="100965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542925</xdr:colOff>
      <xdr:row>31</xdr:row>
      <xdr:rowOff>104775</xdr:rowOff>
    </xdr:from>
    <xdr:ext cx="990600" cy="190500"/>
    <xdr:grpSp>
      <xdr:nvGrpSpPr>
        <xdr:cNvPr id="2" name="Shape 2"/>
        <xdr:cNvGrpSpPr/>
      </xdr:nvGrpSpPr>
      <xdr:grpSpPr>
        <a:xfrm>
          <a:off x="4850700" y="3684750"/>
          <a:ext cx="990600" cy="190500"/>
          <a:chOff x="4850700" y="3684750"/>
          <a:chExt cx="990600" cy="190500"/>
        </a:xfrm>
      </xdr:grpSpPr>
      <xdr:grpSp>
        <xdr:nvGrpSpPr>
          <xdr:cNvPr id="129" name="Shape 129"/>
          <xdr:cNvGrpSpPr/>
        </xdr:nvGrpSpPr>
        <xdr:grpSpPr>
          <a:xfrm>
            <a:off x="4850700" y="3684750"/>
            <a:ext cx="990600" cy="190500"/>
            <a:chOff x="4855463" y="3689513"/>
            <a:chExt cx="981075" cy="180975"/>
          </a:xfrm>
        </xdr:grpSpPr>
        <xdr:sp>
          <xdr:nvSpPr>
            <xdr:cNvPr id="4" name="Shape 4"/>
            <xdr:cNvSpPr/>
          </xdr:nvSpPr>
          <xdr:spPr>
            <a:xfrm>
              <a:off x="4855463" y="3689513"/>
              <a:ext cx="98107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0" name="Shape 130"/>
            <xdr:cNvCxnSpPr/>
          </xdr:nvCxnSpPr>
          <xdr:spPr>
            <a:xfrm rot="10800000">
              <a:off x="4855463" y="3689513"/>
              <a:ext cx="981075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32</xdr:row>
      <xdr:rowOff>123825</xdr:rowOff>
    </xdr:from>
    <xdr:ext cx="2057400" cy="171450"/>
    <xdr:grpSp>
      <xdr:nvGrpSpPr>
        <xdr:cNvPr id="2" name="Shape 2"/>
        <xdr:cNvGrpSpPr/>
      </xdr:nvGrpSpPr>
      <xdr:grpSpPr>
        <a:xfrm>
          <a:off x="4317300" y="3694275"/>
          <a:ext cx="2057400" cy="171450"/>
          <a:chOff x="4317300" y="3694275"/>
          <a:chExt cx="2057400" cy="171450"/>
        </a:xfrm>
      </xdr:grpSpPr>
      <xdr:grpSp>
        <xdr:nvGrpSpPr>
          <xdr:cNvPr id="133" name="Shape 133"/>
          <xdr:cNvGrpSpPr/>
        </xdr:nvGrpSpPr>
        <xdr:grpSpPr>
          <a:xfrm>
            <a:off x="4317300" y="3694275"/>
            <a:ext cx="2057400" cy="171450"/>
            <a:chOff x="4322063" y="3699038"/>
            <a:chExt cx="2047875" cy="161925"/>
          </a:xfrm>
        </xdr:grpSpPr>
        <xdr:sp>
          <xdr:nvSpPr>
            <xdr:cNvPr id="4" name="Shape 4"/>
            <xdr:cNvSpPr/>
          </xdr:nvSpPr>
          <xdr:spPr>
            <a:xfrm>
              <a:off x="4322063" y="3699038"/>
              <a:ext cx="2047875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4" name="Shape 134"/>
            <xdr:cNvCxnSpPr/>
          </xdr:nvCxnSpPr>
          <xdr:spPr>
            <a:xfrm flipH="1">
              <a:off x="4322063" y="3699038"/>
              <a:ext cx="2047875" cy="1619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34</xdr:row>
      <xdr:rowOff>133350</xdr:rowOff>
    </xdr:from>
    <xdr:ext cx="2066925" cy="161925"/>
    <xdr:grpSp>
      <xdr:nvGrpSpPr>
        <xdr:cNvPr id="2" name="Shape 2"/>
        <xdr:cNvGrpSpPr/>
      </xdr:nvGrpSpPr>
      <xdr:grpSpPr>
        <a:xfrm>
          <a:off x="4312538" y="3699038"/>
          <a:ext cx="2066925" cy="161925"/>
          <a:chOff x="4312538" y="3699038"/>
          <a:chExt cx="2066925" cy="161925"/>
        </a:xfrm>
      </xdr:grpSpPr>
      <xdr:grpSp>
        <xdr:nvGrpSpPr>
          <xdr:cNvPr id="137" name="Shape 137"/>
          <xdr:cNvGrpSpPr/>
        </xdr:nvGrpSpPr>
        <xdr:grpSpPr>
          <a:xfrm>
            <a:off x="4312538" y="3699038"/>
            <a:ext cx="2066925" cy="161925"/>
            <a:chOff x="4317300" y="3703800"/>
            <a:chExt cx="2057400" cy="152400"/>
          </a:xfrm>
        </xdr:grpSpPr>
        <xdr:sp>
          <xdr:nvSpPr>
            <xdr:cNvPr id="4" name="Shape 4"/>
            <xdr:cNvSpPr/>
          </xdr:nvSpPr>
          <xdr:spPr>
            <a:xfrm>
              <a:off x="4317300" y="3703800"/>
              <a:ext cx="2057400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8" name="Shape 138"/>
            <xdr:cNvCxnSpPr/>
          </xdr:nvCxnSpPr>
          <xdr:spPr>
            <a:xfrm rot="10800000">
              <a:off x="4317300" y="3703800"/>
              <a:ext cx="2057400" cy="1524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466725</xdr:colOff>
      <xdr:row>35</xdr:row>
      <xdr:rowOff>123825</xdr:rowOff>
    </xdr:from>
    <xdr:ext cx="2085975" cy="171450"/>
    <xdr:grpSp>
      <xdr:nvGrpSpPr>
        <xdr:cNvPr id="2" name="Shape 2"/>
        <xdr:cNvGrpSpPr/>
      </xdr:nvGrpSpPr>
      <xdr:grpSpPr>
        <a:xfrm>
          <a:off x="4303013" y="3694275"/>
          <a:ext cx="2085975" cy="171450"/>
          <a:chOff x="4303013" y="3694275"/>
          <a:chExt cx="2085975" cy="171450"/>
        </a:xfrm>
      </xdr:grpSpPr>
      <xdr:grpSp>
        <xdr:nvGrpSpPr>
          <xdr:cNvPr id="141" name="Shape 141"/>
          <xdr:cNvGrpSpPr/>
        </xdr:nvGrpSpPr>
        <xdr:grpSpPr>
          <a:xfrm>
            <a:off x="4303013" y="3694275"/>
            <a:ext cx="2085975" cy="171450"/>
            <a:chOff x="4312538" y="3703800"/>
            <a:chExt cx="2066925" cy="152400"/>
          </a:xfrm>
        </xdr:grpSpPr>
        <xdr:sp>
          <xdr:nvSpPr>
            <xdr:cNvPr id="4" name="Shape 4"/>
            <xdr:cNvSpPr/>
          </xdr:nvSpPr>
          <xdr:spPr>
            <a:xfrm>
              <a:off x="4312538" y="3703800"/>
              <a:ext cx="206692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2" name="Shape 142"/>
            <xdr:cNvCxnSpPr/>
          </xdr:nvCxnSpPr>
          <xdr:spPr>
            <a:xfrm flipH="1">
              <a:off x="4312538" y="3703800"/>
              <a:ext cx="2066925" cy="1524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37</xdr:row>
      <xdr:rowOff>95250</xdr:rowOff>
    </xdr:from>
    <xdr:ext cx="1085850" cy="257175"/>
    <xdr:grpSp>
      <xdr:nvGrpSpPr>
        <xdr:cNvPr id="2" name="Shape 2"/>
        <xdr:cNvGrpSpPr/>
      </xdr:nvGrpSpPr>
      <xdr:grpSpPr>
        <a:xfrm>
          <a:off x="4803075" y="3651413"/>
          <a:ext cx="1085850" cy="257175"/>
          <a:chOff x="4803075" y="3651413"/>
          <a:chExt cx="1085850" cy="257175"/>
        </a:xfrm>
      </xdr:grpSpPr>
      <xdr:grpSp>
        <xdr:nvGrpSpPr>
          <xdr:cNvPr id="145" name="Shape 145"/>
          <xdr:cNvGrpSpPr/>
        </xdr:nvGrpSpPr>
        <xdr:grpSpPr>
          <a:xfrm>
            <a:off x="4803075" y="3651413"/>
            <a:ext cx="1085850" cy="257175"/>
            <a:chOff x="4779263" y="3675225"/>
            <a:chExt cx="1133475" cy="209550"/>
          </a:xfrm>
        </xdr:grpSpPr>
        <xdr:sp>
          <xdr:nvSpPr>
            <xdr:cNvPr id="4" name="Shape 4"/>
            <xdr:cNvSpPr/>
          </xdr:nvSpPr>
          <xdr:spPr>
            <a:xfrm>
              <a:off x="4779263" y="3675225"/>
              <a:ext cx="1133475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6" name="Shape 146"/>
            <xdr:cNvCxnSpPr/>
          </xdr:nvCxnSpPr>
          <xdr:spPr>
            <a:xfrm rot="10800000">
              <a:off x="4779263" y="3675225"/>
              <a:ext cx="1133475" cy="2095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523875</xdr:colOff>
      <xdr:row>38</xdr:row>
      <xdr:rowOff>161925</xdr:rowOff>
    </xdr:from>
    <xdr:ext cx="3009900" cy="381000"/>
    <xdr:grpSp>
      <xdr:nvGrpSpPr>
        <xdr:cNvPr id="2" name="Shape 2"/>
        <xdr:cNvGrpSpPr/>
      </xdr:nvGrpSpPr>
      <xdr:grpSpPr>
        <a:xfrm>
          <a:off x="3839009" y="3588820"/>
          <a:ext cx="3013982" cy="382360"/>
          <a:chOff x="3839009" y="3588820"/>
          <a:chExt cx="3013982" cy="382360"/>
        </a:xfrm>
      </xdr:grpSpPr>
      <xdr:grpSp>
        <xdr:nvGrpSpPr>
          <xdr:cNvPr id="149" name="Shape 149"/>
          <xdr:cNvGrpSpPr/>
        </xdr:nvGrpSpPr>
        <xdr:grpSpPr>
          <a:xfrm>
            <a:off x="3839009" y="3588820"/>
            <a:ext cx="3013982" cy="382360"/>
            <a:chOff x="4336350" y="3594263"/>
            <a:chExt cx="2019300" cy="371475"/>
          </a:xfrm>
        </xdr:grpSpPr>
        <xdr:sp>
          <xdr:nvSpPr>
            <xdr:cNvPr id="4" name="Shape 4"/>
            <xdr:cNvSpPr/>
          </xdr:nvSpPr>
          <xdr:spPr>
            <a:xfrm>
              <a:off x="4336350" y="3594263"/>
              <a:ext cx="20193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0" name="Shape 150"/>
            <xdr:cNvCxnSpPr/>
          </xdr:nvCxnSpPr>
          <xdr:spPr>
            <a:xfrm rot="10800000">
              <a:off x="4336350" y="3594263"/>
              <a:ext cx="2019300" cy="3714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523875</xdr:colOff>
      <xdr:row>39</xdr:row>
      <xdr:rowOff>180975</xdr:rowOff>
    </xdr:from>
    <xdr:ext cx="2952750" cy="381000"/>
    <xdr:grpSp>
      <xdr:nvGrpSpPr>
        <xdr:cNvPr id="2" name="Shape 2"/>
        <xdr:cNvGrpSpPr/>
      </xdr:nvGrpSpPr>
      <xdr:grpSpPr>
        <a:xfrm>
          <a:off x="3869625" y="3589500"/>
          <a:ext cx="2952750" cy="381001"/>
          <a:chOff x="3869625" y="3589500"/>
          <a:chExt cx="2952750" cy="381001"/>
        </a:xfrm>
      </xdr:grpSpPr>
      <xdr:grpSp>
        <xdr:nvGrpSpPr>
          <xdr:cNvPr id="153" name="Shape 153"/>
          <xdr:cNvGrpSpPr/>
        </xdr:nvGrpSpPr>
        <xdr:grpSpPr>
          <a:xfrm>
            <a:off x="3869625" y="3589500"/>
            <a:ext cx="2952750" cy="381001"/>
            <a:chOff x="4369688" y="3599025"/>
            <a:chExt cx="1952625" cy="361950"/>
          </a:xfrm>
        </xdr:grpSpPr>
        <xdr:sp>
          <xdr:nvSpPr>
            <xdr:cNvPr id="4" name="Shape 4"/>
            <xdr:cNvSpPr/>
          </xdr:nvSpPr>
          <xdr:spPr>
            <a:xfrm>
              <a:off x="4369688" y="3599025"/>
              <a:ext cx="19526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4" name="Shape 154"/>
            <xdr:cNvCxnSpPr/>
          </xdr:nvCxnSpPr>
          <xdr:spPr>
            <a:xfrm flipH="1">
              <a:off x="4369688" y="3599025"/>
              <a:ext cx="1952625" cy="3619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533400</xdr:colOff>
      <xdr:row>40</xdr:row>
      <xdr:rowOff>200025</xdr:rowOff>
    </xdr:from>
    <xdr:ext cx="2028825" cy="266700"/>
    <xdr:grpSp>
      <xdr:nvGrpSpPr>
        <xdr:cNvPr id="2" name="Shape 2"/>
        <xdr:cNvGrpSpPr/>
      </xdr:nvGrpSpPr>
      <xdr:grpSpPr>
        <a:xfrm>
          <a:off x="4331588" y="3646650"/>
          <a:ext cx="2028825" cy="266700"/>
          <a:chOff x="4331588" y="3646650"/>
          <a:chExt cx="2028825" cy="266700"/>
        </a:xfrm>
      </xdr:grpSpPr>
      <xdr:grpSp>
        <xdr:nvGrpSpPr>
          <xdr:cNvPr id="157" name="Shape 157"/>
          <xdr:cNvGrpSpPr/>
        </xdr:nvGrpSpPr>
        <xdr:grpSpPr>
          <a:xfrm>
            <a:off x="4331588" y="3646650"/>
            <a:ext cx="2028825" cy="266700"/>
            <a:chOff x="4341113" y="3656175"/>
            <a:chExt cx="2009775" cy="247650"/>
          </a:xfrm>
        </xdr:grpSpPr>
        <xdr:sp>
          <xdr:nvSpPr>
            <xdr:cNvPr id="4" name="Shape 4"/>
            <xdr:cNvSpPr/>
          </xdr:nvSpPr>
          <xdr:spPr>
            <a:xfrm>
              <a:off x="4341113" y="3656175"/>
              <a:ext cx="2009775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8" name="Shape 158"/>
            <xdr:cNvCxnSpPr/>
          </xdr:nvCxnSpPr>
          <xdr:spPr>
            <a:xfrm rot="10800000">
              <a:off x="4341113" y="3656175"/>
              <a:ext cx="2009775" cy="2476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33</xdr:row>
      <xdr:rowOff>152400</xdr:rowOff>
    </xdr:from>
    <xdr:ext cx="28575" cy="114300"/>
    <xdr:grpSp>
      <xdr:nvGrpSpPr>
        <xdr:cNvPr id="2" name="Shape 2"/>
        <xdr:cNvGrpSpPr/>
      </xdr:nvGrpSpPr>
      <xdr:grpSpPr>
        <a:xfrm>
          <a:off x="5341238" y="3722850"/>
          <a:ext cx="9525" cy="114300"/>
          <a:chOff x="5341238" y="3722850"/>
          <a:chExt cx="9525" cy="114300"/>
        </a:xfrm>
      </xdr:grpSpPr>
      <xdr:cxnSp>
        <xdr:nvCxnSpPr>
          <xdr:cNvPr id="161" name="Shape 161"/>
          <xdr:cNvCxnSpPr/>
        </xdr:nvCxnSpPr>
        <xdr:spPr>
          <a:xfrm rot="10800000">
            <a:off x="5341238" y="3722850"/>
            <a:ext cx="9525" cy="1143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466725</xdr:colOff>
      <xdr:row>29</xdr:row>
      <xdr:rowOff>190500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164" name="Shape 164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485775</xdr:colOff>
      <xdr:row>33</xdr:row>
      <xdr:rowOff>57150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167" name="Shape 167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466725</xdr:colOff>
      <xdr:row>36</xdr:row>
      <xdr:rowOff>57150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167" name="Shape 167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12</xdr:row>
      <xdr:rowOff>123825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103" name="Shape 103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4" name="Shape 104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571500</xdr:colOff>
      <xdr:row>13</xdr:row>
      <xdr:rowOff>114300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109" name="Shape 109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0" name="Shape 110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14</xdr:row>
      <xdr:rowOff>123825</xdr:rowOff>
    </xdr:from>
    <xdr:ext cx="1047750" cy="285750"/>
    <xdr:grpSp>
      <xdr:nvGrpSpPr>
        <xdr:cNvPr id="2" name="Shape 2"/>
        <xdr:cNvGrpSpPr/>
      </xdr:nvGrpSpPr>
      <xdr:grpSpPr>
        <a:xfrm>
          <a:off x="4822125" y="3637125"/>
          <a:ext cx="1047750" cy="285750"/>
          <a:chOff x="4822125" y="3637125"/>
          <a:chExt cx="1047750" cy="285750"/>
        </a:xfrm>
      </xdr:grpSpPr>
      <xdr:grpSp>
        <xdr:nvGrpSpPr>
          <xdr:cNvPr id="114" name="Shape 114"/>
          <xdr:cNvGrpSpPr/>
        </xdr:nvGrpSpPr>
        <xdr:grpSpPr>
          <a:xfrm>
            <a:off x="4822125" y="3637125"/>
            <a:ext cx="1047750" cy="285750"/>
            <a:chOff x="4826888" y="3641888"/>
            <a:chExt cx="1038225" cy="276225"/>
          </a:xfrm>
        </xdr:grpSpPr>
        <xdr:sp>
          <xdr:nvSpPr>
            <xdr:cNvPr id="4" name="Shape 4"/>
            <xdr:cNvSpPr/>
          </xdr:nvSpPr>
          <xdr:spPr>
            <a:xfrm>
              <a:off x="4826888" y="3641888"/>
              <a:ext cx="10382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5" name="Shape 115"/>
            <xdr:cNvCxnSpPr/>
          </xdr:nvCxnSpPr>
          <xdr:spPr>
            <a:xfrm flipH="1">
              <a:off x="4826888" y="3641888"/>
              <a:ext cx="1038225" cy="2762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15</xdr:row>
      <xdr:rowOff>209550</xdr:rowOff>
    </xdr:from>
    <xdr:ext cx="1085850" cy="266700"/>
    <xdr:grpSp>
      <xdr:nvGrpSpPr>
        <xdr:cNvPr id="2" name="Shape 2"/>
        <xdr:cNvGrpSpPr/>
      </xdr:nvGrpSpPr>
      <xdr:grpSpPr>
        <a:xfrm>
          <a:off x="4803075" y="3646650"/>
          <a:ext cx="1085850" cy="266700"/>
          <a:chOff x="4803075" y="3646650"/>
          <a:chExt cx="1085850" cy="266700"/>
        </a:xfrm>
      </xdr:grpSpPr>
      <xdr:grpSp>
        <xdr:nvGrpSpPr>
          <xdr:cNvPr id="119" name="Shape 119"/>
          <xdr:cNvGrpSpPr/>
        </xdr:nvGrpSpPr>
        <xdr:grpSpPr>
          <a:xfrm>
            <a:off x="4803075" y="3646650"/>
            <a:ext cx="1085850" cy="266700"/>
            <a:chOff x="4822125" y="3718088"/>
            <a:chExt cx="1047750" cy="123825"/>
          </a:xfrm>
        </xdr:grpSpPr>
        <xdr:sp>
          <xdr:nvSpPr>
            <xdr:cNvPr id="4" name="Shape 4"/>
            <xdr:cNvSpPr/>
          </xdr:nvSpPr>
          <xdr:spPr>
            <a:xfrm>
              <a:off x="4822125" y="3718088"/>
              <a:ext cx="1047750" cy="123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0" name="Shape 120"/>
            <xdr:cNvCxnSpPr/>
          </xdr:nvCxnSpPr>
          <xdr:spPr>
            <a:xfrm rot="10800000">
              <a:off x="4822125" y="3718088"/>
              <a:ext cx="1047750" cy="1238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16</xdr:row>
      <xdr:rowOff>133350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123" name="Shape 123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4" name="Shape 124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17</xdr:row>
      <xdr:rowOff>123825</xdr:rowOff>
    </xdr:from>
    <xdr:ext cx="990600" cy="238125"/>
    <xdr:grpSp>
      <xdr:nvGrpSpPr>
        <xdr:cNvPr id="2" name="Shape 2"/>
        <xdr:cNvGrpSpPr/>
      </xdr:nvGrpSpPr>
      <xdr:grpSpPr>
        <a:xfrm>
          <a:off x="4850700" y="3660938"/>
          <a:ext cx="990600" cy="238125"/>
          <a:chOff x="4850700" y="3660938"/>
          <a:chExt cx="990600" cy="238125"/>
        </a:xfrm>
      </xdr:grpSpPr>
      <xdr:grpSp>
        <xdr:nvGrpSpPr>
          <xdr:cNvPr id="127" name="Shape 127"/>
          <xdr:cNvGrpSpPr/>
        </xdr:nvGrpSpPr>
        <xdr:grpSpPr>
          <a:xfrm>
            <a:off x="4850700" y="3660938"/>
            <a:ext cx="990600" cy="238125"/>
            <a:chOff x="4855463" y="3665700"/>
            <a:chExt cx="981075" cy="228600"/>
          </a:xfrm>
        </xdr:grpSpPr>
        <xdr:sp>
          <xdr:nvSpPr>
            <xdr:cNvPr id="4" name="Shape 4"/>
            <xdr:cNvSpPr/>
          </xdr:nvSpPr>
          <xdr:spPr>
            <a:xfrm>
              <a:off x="4855463" y="3665700"/>
              <a:ext cx="98107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8" name="Shape 128"/>
            <xdr:cNvCxnSpPr/>
          </xdr:nvCxnSpPr>
          <xdr:spPr>
            <a:xfrm rot="10800000">
              <a:off x="4855463" y="3665700"/>
              <a:ext cx="981075" cy="2286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18</xdr:row>
      <xdr:rowOff>123825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131" name="Shape 131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2" name="Shape 132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542925</xdr:colOff>
      <xdr:row>19</xdr:row>
      <xdr:rowOff>123825</xdr:rowOff>
    </xdr:from>
    <xdr:ext cx="1990725" cy="171450"/>
    <xdr:grpSp>
      <xdr:nvGrpSpPr>
        <xdr:cNvPr id="2" name="Shape 2"/>
        <xdr:cNvGrpSpPr/>
      </xdr:nvGrpSpPr>
      <xdr:grpSpPr>
        <a:xfrm>
          <a:off x="4350638" y="3694275"/>
          <a:ext cx="1990725" cy="171450"/>
          <a:chOff x="4350638" y="3694275"/>
          <a:chExt cx="1990725" cy="171450"/>
        </a:xfrm>
      </xdr:grpSpPr>
      <xdr:grpSp>
        <xdr:nvGrpSpPr>
          <xdr:cNvPr id="135" name="Shape 135"/>
          <xdr:cNvGrpSpPr/>
        </xdr:nvGrpSpPr>
        <xdr:grpSpPr>
          <a:xfrm>
            <a:off x="4350638" y="3694275"/>
            <a:ext cx="1990725" cy="171450"/>
            <a:chOff x="4355400" y="3699038"/>
            <a:chExt cx="1981200" cy="161925"/>
          </a:xfrm>
        </xdr:grpSpPr>
        <xdr:sp>
          <xdr:nvSpPr>
            <xdr:cNvPr id="4" name="Shape 4"/>
            <xdr:cNvSpPr/>
          </xdr:nvSpPr>
          <xdr:spPr>
            <a:xfrm>
              <a:off x="4355400" y="3699038"/>
              <a:ext cx="19812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6" name="Shape 136"/>
            <xdr:cNvCxnSpPr/>
          </xdr:nvCxnSpPr>
          <xdr:spPr>
            <a:xfrm rot="10800000">
              <a:off x="4355400" y="3699038"/>
              <a:ext cx="1981200" cy="1619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561975</xdr:colOff>
      <xdr:row>20</xdr:row>
      <xdr:rowOff>114300</xdr:rowOff>
    </xdr:from>
    <xdr:ext cx="962025" cy="171450"/>
    <xdr:grpSp>
      <xdr:nvGrpSpPr>
        <xdr:cNvPr id="2" name="Shape 2"/>
        <xdr:cNvGrpSpPr/>
      </xdr:nvGrpSpPr>
      <xdr:grpSpPr>
        <a:xfrm>
          <a:off x="4864988" y="3694275"/>
          <a:ext cx="962025" cy="171450"/>
          <a:chOff x="4864988" y="3694275"/>
          <a:chExt cx="962025" cy="171450"/>
        </a:xfrm>
      </xdr:grpSpPr>
      <xdr:grpSp>
        <xdr:nvGrpSpPr>
          <xdr:cNvPr id="139" name="Shape 139"/>
          <xdr:cNvGrpSpPr/>
        </xdr:nvGrpSpPr>
        <xdr:grpSpPr>
          <a:xfrm>
            <a:off x="4864988" y="3694275"/>
            <a:ext cx="962025" cy="171450"/>
            <a:chOff x="4869750" y="3699038"/>
            <a:chExt cx="952500" cy="161925"/>
          </a:xfrm>
        </xdr:grpSpPr>
        <xdr:sp>
          <xdr:nvSpPr>
            <xdr:cNvPr id="4" name="Shape 4"/>
            <xdr:cNvSpPr/>
          </xdr:nvSpPr>
          <xdr:spPr>
            <a:xfrm>
              <a:off x="4869750" y="3699038"/>
              <a:ext cx="9525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0" name="Shape 140"/>
            <xdr:cNvCxnSpPr/>
          </xdr:nvCxnSpPr>
          <xdr:spPr>
            <a:xfrm flipH="1">
              <a:off x="4869750" y="3699038"/>
              <a:ext cx="952500" cy="1619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21</xdr:row>
      <xdr:rowOff>104775</xdr:rowOff>
    </xdr:from>
    <xdr:ext cx="1000125" cy="228600"/>
    <xdr:grpSp>
      <xdr:nvGrpSpPr>
        <xdr:cNvPr id="2" name="Shape 2"/>
        <xdr:cNvGrpSpPr/>
      </xdr:nvGrpSpPr>
      <xdr:grpSpPr>
        <a:xfrm>
          <a:off x="4845938" y="3665700"/>
          <a:ext cx="1000125" cy="228600"/>
          <a:chOff x="4845938" y="3665700"/>
          <a:chExt cx="1000125" cy="228600"/>
        </a:xfrm>
      </xdr:grpSpPr>
      <xdr:grpSp>
        <xdr:nvGrpSpPr>
          <xdr:cNvPr id="143" name="Shape 143"/>
          <xdr:cNvGrpSpPr/>
        </xdr:nvGrpSpPr>
        <xdr:grpSpPr>
          <a:xfrm>
            <a:off x="4845938" y="3665700"/>
            <a:ext cx="1000125" cy="228600"/>
            <a:chOff x="4850700" y="3670463"/>
            <a:chExt cx="990600" cy="219075"/>
          </a:xfrm>
        </xdr:grpSpPr>
        <xdr:sp>
          <xdr:nvSpPr>
            <xdr:cNvPr id="4" name="Shape 4"/>
            <xdr:cNvSpPr/>
          </xdr:nvSpPr>
          <xdr:spPr>
            <a:xfrm>
              <a:off x="4850700" y="3670463"/>
              <a:ext cx="990600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4" name="Shape 144"/>
            <xdr:cNvCxnSpPr/>
          </xdr:nvCxnSpPr>
          <xdr:spPr>
            <a:xfrm flipH="1">
              <a:off x="4850700" y="3670463"/>
              <a:ext cx="990600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476250</xdr:colOff>
      <xdr:row>23</xdr:row>
      <xdr:rowOff>171450</xdr:rowOff>
    </xdr:from>
    <xdr:ext cx="1047750" cy="276225"/>
    <xdr:grpSp>
      <xdr:nvGrpSpPr>
        <xdr:cNvPr id="2" name="Shape 2"/>
        <xdr:cNvGrpSpPr/>
      </xdr:nvGrpSpPr>
      <xdr:grpSpPr>
        <a:xfrm>
          <a:off x="4822125" y="3641888"/>
          <a:ext cx="1047750" cy="276225"/>
          <a:chOff x="4822125" y="3641888"/>
          <a:chExt cx="1047750" cy="276225"/>
        </a:xfrm>
      </xdr:grpSpPr>
      <xdr:grpSp>
        <xdr:nvGrpSpPr>
          <xdr:cNvPr id="147" name="Shape 147"/>
          <xdr:cNvGrpSpPr/>
        </xdr:nvGrpSpPr>
        <xdr:grpSpPr>
          <a:xfrm>
            <a:off x="4822125" y="3641888"/>
            <a:ext cx="1047750" cy="276225"/>
            <a:chOff x="4845938" y="3722850"/>
            <a:chExt cx="1000125" cy="114300"/>
          </a:xfrm>
        </xdr:grpSpPr>
        <xdr:sp>
          <xdr:nvSpPr>
            <xdr:cNvPr id="4" name="Shape 4"/>
            <xdr:cNvSpPr/>
          </xdr:nvSpPr>
          <xdr:spPr>
            <a:xfrm>
              <a:off x="4845938" y="3722850"/>
              <a:ext cx="100012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8" name="Shape 148"/>
            <xdr:cNvCxnSpPr/>
          </xdr:nvCxnSpPr>
          <xdr:spPr>
            <a:xfrm rot="10800000">
              <a:off x="4845938" y="3722850"/>
              <a:ext cx="1000125" cy="1143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495300</xdr:colOff>
      <xdr:row>24</xdr:row>
      <xdr:rowOff>104775</xdr:rowOff>
    </xdr:from>
    <xdr:ext cx="962025" cy="190500"/>
    <xdr:grpSp>
      <xdr:nvGrpSpPr>
        <xdr:cNvPr id="2" name="Shape 2"/>
        <xdr:cNvGrpSpPr/>
      </xdr:nvGrpSpPr>
      <xdr:grpSpPr>
        <a:xfrm>
          <a:off x="4864988" y="3684750"/>
          <a:ext cx="962025" cy="190500"/>
          <a:chOff x="4864988" y="3684750"/>
          <a:chExt cx="962025" cy="190500"/>
        </a:xfrm>
      </xdr:grpSpPr>
      <xdr:grpSp>
        <xdr:nvGrpSpPr>
          <xdr:cNvPr id="151" name="Shape 151"/>
          <xdr:cNvGrpSpPr/>
        </xdr:nvGrpSpPr>
        <xdr:grpSpPr>
          <a:xfrm>
            <a:off x="4864988" y="3684750"/>
            <a:ext cx="962025" cy="190500"/>
            <a:chOff x="4869750" y="3689513"/>
            <a:chExt cx="952500" cy="180975"/>
          </a:xfrm>
        </xdr:grpSpPr>
        <xdr:sp>
          <xdr:nvSpPr>
            <xdr:cNvPr id="4" name="Shape 4"/>
            <xdr:cNvSpPr/>
          </xdr:nvSpPr>
          <xdr:spPr>
            <a:xfrm>
              <a:off x="4869750" y="3689513"/>
              <a:ext cx="952500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2" name="Shape 152"/>
            <xdr:cNvCxnSpPr/>
          </xdr:nvCxnSpPr>
          <xdr:spPr>
            <a:xfrm flipH="1">
              <a:off x="4869750" y="3689513"/>
              <a:ext cx="952500" cy="1809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25</xdr:row>
      <xdr:rowOff>123825</xdr:rowOff>
    </xdr:from>
    <xdr:ext cx="981075" cy="152400"/>
    <xdr:grpSp>
      <xdr:nvGrpSpPr>
        <xdr:cNvPr id="2" name="Shape 2"/>
        <xdr:cNvGrpSpPr/>
      </xdr:nvGrpSpPr>
      <xdr:grpSpPr>
        <a:xfrm>
          <a:off x="4855463" y="3703800"/>
          <a:ext cx="981075" cy="152400"/>
          <a:chOff x="4855463" y="3703800"/>
          <a:chExt cx="981075" cy="152400"/>
        </a:xfrm>
      </xdr:grpSpPr>
      <xdr:grpSp>
        <xdr:nvGrpSpPr>
          <xdr:cNvPr id="155" name="Shape 155"/>
          <xdr:cNvGrpSpPr/>
        </xdr:nvGrpSpPr>
        <xdr:grpSpPr>
          <a:xfrm>
            <a:off x="4855463" y="3703800"/>
            <a:ext cx="981075" cy="152400"/>
            <a:chOff x="4860225" y="3708563"/>
            <a:chExt cx="971550" cy="142875"/>
          </a:xfrm>
        </xdr:grpSpPr>
        <xdr:sp>
          <xdr:nvSpPr>
            <xdr:cNvPr id="4" name="Shape 4"/>
            <xdr:cNvSpPr/>
          </xdr:nvSpPr>
          <xdr:spPr>
            <a:xfrm>
              <a:off x="4860225" y="3708563"/>
              <a:ext cx="97155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6" name="Shape 156"/>
            <xdr:cNvCxnSpPr/>
          </xdr:nvCxnSpPr>
          <xdr:spPr>
            <a:xfrm rot="10800000">
              <a:off x="4860225" y="3708563"/>
              <a:ext cx="97155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26</xdr:row>
      <xdr:rowOff>104775</xdr:rowOff>
    </xdr:from>
    <xdr:ext cx="1000125" cy="171450"/>
    <xdr:grpSp>
      <xdr:nvGrpSpPr>
        <xdr:cNvPr id="2" name="Shape 2"/>
        <xdr:cNvGrpSpPr/>
      </xdr:nvGrpSpPr>
      <xdr:grpSpPr>
        <a:xfrm>
          <a:off x="4845938" y="3694275"/>
          <a:ext cx="1000125" cy="171450"/>
          <a:chOff x="4845938" y="3694275"/>
          <a:chExt cx="1000125" cy="171450"/>
        </a:xfrm>
      </xdr:grpSpPr>
      <xdr:grpSp>
        <xdr:nvGrpSpPr>
          <xdr:cNvPr id="159" name="Shape 159"/>
          <xdr:cNvGrpSpPr/>
        </xdr:nvGrpSpPr>
        <xdr:grpSpPr>
          <a:xfrm>
            <a:off x="4845938" y="3694275"/>
            <a:ext cx="1000125" cy="171450"/>
            <a:chOff x="4850700" y="3699038"/>
            <a:chExt cx="990600" cy="161925"/>
          </a:xfrm>
        </xdr:grpSpPr>
        <xdr:sp>
          <xdr:nvSpPr>
            <xdr:cNvPr id="4" name="Shape 4"/>
            <xdr:cNvSpPr/>
          </xdr:nvSpPr>
          <xdr:spPr>
            <a:xfrm>
              <a:off x="4850700" y="3699038"/>
              <a:ext cx="9906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0" name="Shape 160"/>
            <xdr:cNvCxnSpPr/>
          </xdr:nvCxnSpPr>
          <xdr:spPr>
            <a:xfrm flipH="1">
              <a:off x="4850700" y="3699038"/>
              <a:ext cx="990600" cy="1619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523875</xdr:colOff>
      <xdr:row>27</xdr:row>
      <xdr:rowOff>114300</xdr:rowOff>
    </xdr:from>
    <xdr:ext cx="952500" cy="152400"/>
    <xdr:grpSp>
      <xdr:nvGrpSpPr>
        <xdr:cNvPr id="2" name="Shape 2"/>
        <xdr:cNvGrpSpPr/>
      </xdr:nvGrpSpPr>
      <xdr:grpSpPr>
        <a:xfrm>
          <a:off x="4869750" y="3703800"/>
          <a:ext cx="952500" cy="152400"/>
          <a:chOff x="4869750" y="3703800"/>
          <a:chExt cx="952500" cy="152400"/>
        </a:xfrm>
      </xdr:grpSpPr>
      <xdr:grpSp>
        <xdr:nvGrpSpPr>
          <xdr:cNvPr id="162" name="Shape 162"/>
          <xdr:cNvGrpSpPr/>
        </xdr:nvGrpSpPr>
        <xdr:grpSpPr>
          <a:xfrm>
            <a:off x="4869750" y="3703800"/>
            <a:ext cx="952500" cy="152400"/>
            <a:chOff x="4879275" y="3708563"/>
            <a:chExt cx="933450" cy="142875"/>
          </a:xfrm>
        </xdr:grpSpPr>
        <xdr:sp>
          <xdr:nvSpPr>
            <xdr:cNvPr id="4" name="Shape 4"/>
            <xdr:cNvSpPr/>
          </xdr:nvSpPr>
          <xdr:spPr>
            <a:xfrm>
              <a:off x="4879275" y="3708563"/>
              <a:ext cx="93345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3" name="Shape 163"/>
            <xdr:cNvCxnSpPr/>
          </xdr:nvCxnSpPr>
          <xdr:spPr>
            <a:xfrm rot="10800000">
              <a:off x="4879275" y="3708563"/>
              <a:ext cx="933450" cy="1428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504825</xdr:colOff>
      <xdr:row>28</xdr:row>
      <xdr:rowOff>104775</xdr:rowOff>
    </xdr:from>
    <xdr:ext cx="1038225" cy="180975"/>
    <xdr:grpSp>
      <xdr:nvGrpSpPr>
        <xdr:cNvPr id="2" name="Shape 2"/>
        <xdr:cNvGrpSpPr/>
      </xdr:nvGrpSpPr>
      <xdr:grpSpPr>
        <a:xfrm>
          <a:off x="4826888" y="3689513"/>
          <a:ext cx="1038225" cy="180975"/>
          <a:chOff x="4826888" y="3689513"/>
          <a:chExt cx="1038225" cy="180975"/>
        </a:xfrm>
      </xdr:grpSpPr>
      <xdr:grpSp>
        <xdr:nvGrpSpPr>
          <xdr:cNvPr id="165" name="Shape 165"/>
          <xdr:cNvGrpSpPr/>
        </xdr:nvGrpSpPr>
        <xdr:grpSpPr>
          <a:xfrm>
            <a:off x="4826888" y="3689513"/>
            <a:ext cx="1038225" cy="180975"/>
            <a:chOff x="4836413" y="3694275"/>
            <a:chExt cx="1019175" cy="171450"/>
          </a:xfrm>
        </xdr:grpSpPr>
        <xdr:sp>
          <xdr:nvSpPr>
            <xdr:cNvPr id="4" name="Shape 4"/>
            <xdr:cNvSpPr/>
          </xdr:nvSpPr>
          <xdr:spPr>
            <a:xfrm>
              <a:off x="4836413" y="3694275"/>
              <a:ext cx="1019175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6" name="Shape 166"/>
            <xdr:cNvCxnSpPr/>
          </xdr:nvCxnSpPr>
          <xdr:spPr>
            <a:xfrm rot="10800000">
              <a:off x="4836413" y="3694275"/>
              <a:ext cx="1019175" cy="17145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485775</xdr:colOff>
      <xdr:row>29</xdr:row>
      <xdr:rowOff>95250</xdr:rowOff>
    </xdr:from>
    <xdr:ext cx="2076450" cy="200025"/>
    <xdr:grpSp>
      <xdr:nvGrpSpPr>
        <xdr:cNvPr id="2" name="Shape 2"/>
        <xdr:cNvGrpSpPr/>
      </xdr:nvGrpSpPr>
      <xdr:grpSpPr>
        <a:xfrm>
          <a:off x="4307775" y="3679988"/>
          <a:ext cx="2076450" cy="200025"/>
          <a:chOff x="4307775" y="3679988"/>
          <a:chExt cx="2076450" cy="200025"/>
        </a:xfrm>
      </xdr:grpSpPr>
      <xdr:grpSp>
        <xdr:nvGrpSpPr>
          <xdr:cNvPr id="168" name="Shape 168"/>
          <xdr:cNvGrpSpPr/>
        </xdr:nvGrpSpPr>
        <xdr:grpSpPr>
          <a:xfrm>
            <a:off x="4307775" y="3679988"/>
            <a:ext cx="2076450" cy="200025"/>
            <a:chOff x="4312538" y="3684750"/>
            <a:chExt cx="2066925" cy="190500"/>
          </a:xfrm>
        </xdr:grpSpPr>
        <xdr:sp>
          <xdr:nvSpPr>
            <xdr:cNvPr id="4" name="Shape 4"/>
            <xdr:cNvSpPr/>
          </xdr:nvSpPr>
          <xdr:spPr>
            <a:xfrm>
              <a:off x="4312538" y="3684750"/>
              <a:ext cx="20669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9" name="Shape 169"/>
            <xdr:cNvCxnSpPr/>
          </xdr:nvCxnSpPr>
          <xdr:spPr>
            <a:xfrm flipH="1">
              <a:off x="4312538" y="3684750"/>
              <a:ext cx="2066925" cy="1905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533400</xdr:colOff>
      <xdr:row>30</xdr:row>
      <xdr:rowOff>114300</xdr:rowOff>
    </xdr:from>
    <xdr:ext cx="2085975" cy="161925"/>
    <xdr:grpSp>
      <xdr:nvGrpSpPr>
        <xdr:cNvPr id="2" name="Shape 2"/>
        <xdr:cNvGrpSpPr/>
      </xdr:nvGrpSpPr>
      <xdr:grpSpPr>
        <a:xfrm>
          <a:off x="4303013" y="3699038"/>
          <a:ext cx="2085975" cy="161925"/>
          <a:chOff x="4303013" y="3699038"/>
          <a:chExt cx="2085975" cy="161925"/>
        </a:xfrm>
      </xdr:grpSpPr>
      <xdr:grpSp>
        <xdr:nvGrpSpPr>
          <xdr:cNvPr id="170" name="Shape 170"/>
          <xdr:cNvGrpSpPr/>
        </xdr:nvGrpSpPr>
        <xdr:grpSpPr>
          <a:xfrm>
            <a:off x="4303013" y="3699038"/>
            <a:ext cx="2085975" cy="161925"/>
            <a:chOff x="4307775" y="3703800"/>
            <a:chExt cx="2076450" cy="152400"/>
          </a:xfrm>
        </xdr:grpSpPr>
        <xdr:sp>
          <xdr:nvSpPr>
            <xdr:cNvPr id="4" name="Shape 4"/>
            <xdr:cNvSpPr/>
          </xdr:nvSpPr>
          <xdr:spPr>
            <a:xfrm>
              <a:off x="4307775" y="3703800"/>
              <a:ext cx="2076450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1" name="Shape 171"/>
            <xdr:cNvCxnSpPr/>
          </xdr:nvCxnSpPr>
          <xdr:spPr>
            <a:xfrm rot="10800000">
              <a:off x="4307775" y="3703800"/>
              <a:ext cx="2076450" cy="1524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447675</xdr:colOff>
      <xdr:row>31</xdr:row>
      <xdr:rowOff>104775</xdr:rowOff>
    </xdr:from>
    <xdr:ext cx="2133600" cy="161925"/>
    <xdr:grpSp>
      <xdr:nvGrpSpPr>
        <xdr:cNvPr id="2" name="Shape 2"/>
        <xdr:cNvGrpSpPr/>
      </xdr:nvGrpSpPr>
      <xdr:grpSpPr>
        <a:xfrm>
          <a:off x="4279200" y="3699038"/>
          <a:ext cx="2133600" cy="161925"/>
          <a:chOff x="4279200" y="3699038"/>
          <a:chExt cx="2133600" cy="161925"/>
        </a:xfrm>
      </xdr:grpSpPr>
      <xdr:grpSp>
        <xdr:nvGrpSpPr>
          <xdr:cNvPr id="172" name="Shape 172"/>
          <xdr:cNvGrpSpPr/>
        </xdr:nvGrpSpPr>
        <xdr:grpSpPr>
          <a:xfrm>
            <a:off x="4279200" y="3699038"/>
            <a:ext cx="2133600" cy="161925"/>
            <a:chOff x="4283963" y="3703800"/>
            <a:chExt cx="2124075" cy="152400"/>
          </a:xfrm>
        </xdr:grpSpPr>
        <xdr:sp>
          <xdr:nvSpPr>
            <xdr:cNvPr id="4" name="Shape 4"/>
            <xdr:cNvSpPr/>
          </xdr:nvSpPr>
          <xdr:spPr>
            <a:xfrm>
              <a:off x="4283963" y="3703800"/>
              <a:ext cx="212407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3" name="Shape 173"/>
            <xdr:cNvCxnSpPr/>
          </xdr:nvCxnSpPr>
          <xdr:spPr>
            <a:xfrm flipH="1">
              <a:off x="4283963" y="3703800"/>
              <a:ext cx="2124075" cy="152400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533400</xdr:colOff>
      <xdr:row>33</xdr:row>
      <xdr:rowOff>95250</xdr:rowOff>
    </xdr:from>
    <xdr:ext cx="971550" cy="238125"/>
    <xdr:grpSp>
      <xdr:nvGrpSpPr>
        <xdr:cNvPr id="2" name="Shape 2"/>
        <xdr:cNvGrpSpPr/>
      </xdr:nvGrpSpPr>
      <xdr:grpSpPr>
        <a:xfrm>
          <a:off x="4860225" y="3660938"/>
          <a:ext cx="971550" cy="238125"/>
          <a:chOff x="4860225" y="3660938"/>
          <a:chExt cx="971550" cy="238125"/>
        </a:xfrm>
      </xdr:grpSpPr>
      <xdr:grpSp>
        <xdr:nvGrpSpPr>
          <xdr:cNvPr id="174" name="Shape 174"/>
          <xdr:cNvGrpSpPr/>
        </xdr:nvGrpSpPr>
        <xdr:grpSpPr>
          <a:xfrm>
            <a:off x="4860225" y="3660938"/>
            <a:ext cx="971550" cy="238125"/>
            <a:chOff x="4864988" y="3670463"/>
            <a:chExt cx="962025" cy="219075"/>
          </a:xfrm>
        </xdr:grpSpPr>
        <xdr:sp>
          <xdr:nvSpPr>
            <xdr:cNvPr id="4" name="Shape 4"/>
            <xdr:cNvSpPr/>
          </xdr:nvSpPr>
          <xdr:spPr>
            <a:xfrm>
              <a:off x="4864988" y="3670463"/>
              <a:ext cx="962025" cy="21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5" name="Shape 175"/>
            <xdr:cNvCxnSpPr/>
          </xdr:nvCxnSpPr>
          <xdr:spPr>
            <a:xfrm rot="10800000">
              <a:off x="4864988" y="3670463"/>
              <a:ext cx="962025" cy="2190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581025</xdr:colOff>
      <xdr:row>35</xdr:row>
      <xdr:rowOff>190500</xdr:rowOff>
    </xdr:from>
    <xdr:ext cx="2952750" cy="352425"/>
    <xdr:grpSp>
      <xdr:nvGrpSpPr>
        <xdr:cNvPr id="2" name="Shape 2"/>
        <xdr:cNvGrpSpPr/>
      </xdr:nvGrpSpPr>
      <xdr:grpSpPr>
        <a:xfrm>
          <a:off x="3867584" y="3603107"/>
          <a:ext cx="2956832" cy="353786"/>
          <a:chOff x="3867584" y="3603107"/>
          <a:chExt cx="2956832" cy="353786"/>
        </a:xfrm>
      </xdr:grpSpPr>
      <xdr:grpSp>
        <xdr:nvGrpSpPr>
          <xdr:cNvPr id="176" name="Shape 176"/>
          <xdr:cNvGrpSpPr/>
        </xdr:nvGrpSpPr>
        <xdr:grpSpPr>
          <a:xfrm>
            <a:off x="3867584" y="3603107"/>
            <a:ext cx="2956832" cy="353786"/>
            <a:chOff x="4393500" y="3603788"/>
            <a:chExt cx="1905000" cy="352425"/>
          </a:xfrm>
        </xdr:grpSpPr>
        <xdr:sp>
          <xdr:nvSpPr>
            <xdr:cNvPr id="4" name="Shape 4"/>
            <xdr:cNvSpPr/>
          </xdr:nvSpPr>
          <xdr:spPr>
            <a:xfrm>
              <a:off x="4393500" y="3603788"/>
              <a:ext cx="19050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7" name="Shape 177"/>
            <xdr:cNvCxnSpPr/>
          </xdr:nvCxnSpPr>
          <xdr:spPr>
            <a:xfrm rot="10800000">
              <a:off x="4393500" y="3603788"/>
              <a:ext cx="1905000" cy="3524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647700</xdr:colOff>
      <xdr:row>36</xdr:row>
      <xdr:rowOff>171450</xdr:rowOff>
    </xdr:from>
    <xdr:ext cx="2876550" cy="371475"/>
    <xdr:grpSp>
      <xdr:nvGrpSpPr>
        <xdr:cNvPr id="2" name="Shape 2"/>
        <xdr:cNvGrpSpPr/>
      </xdr:nvGrpSpPr>
      <xdr:grpSpPr>
        <a:xfrm>
          <a:off x="3907725" y="3592222"/>
          <a:ext cx="2876550" cy="375557"/>
          <a:chOff x="3907725" y="3592222"/>
          <a:chExt cx="2876550" cy="375557"/>
        </a:xfrm>
      </xdr:grpSpPr>
      <xdr:grpSp>
        <xdr:nvGrpSpPr>
          <xdr:cNvPr id="178" name="Shape 178"/>
          <xdr:cNvGrpSpPr/>
        </xdr:nvGrpSpPr>
        <xdr:grpSpPr>
          <a:xfrm>
            <a:off x="3907725" y="3592222"/>
            <a:ext cx="2876550" cy="375557"/>
            <a:chOff x="4431600" y="3594263"/>
            <a:chExt cx="1828800" cy="371475"/>
          </a:xfrm>
        </xdr:grpSpPr>
        <xdr:sp>
          <xdr:nvSpPr>
            <xdr:cNvPr id="4" name="Shape 4"/>
            <xdr:cNvSpPr/>
          </xdr:nvSpPr>
          <xdr:spPr>
            <a:xfrm>
              <a:off x="4431600" y="3594263"/>
              <a:ext cx="18288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9" name="Shape 179"/>
            <xdr:cNvCxnSpPr/>
          </xdr:nvCxnSpPr>
          <xdr:spPr>
            <a:xfrm flipH="1">
              <a:off x="4431600" y="3594263"/>
              <a:ext cx="1828800" cy="37147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6</xdr:col>
      <xdr:colOff>571500</xdr:colOff>
      <xdr:row>37</xdr:row>
      <xdr:rowOff>171450</xdr:rowOff>
    </xdr:from>
    <xdr:ext cx="1952625" cy="295275"/>
    <xdr:grpSp>
      <xdr:nvGrpSpPr>
        <xdr:cNvPr id="2" name="Shape 2"/>
        <xdr:cNvGrpSpPr/>
      </xdr:nvGrpSpPr>
      <xdr:grpSpPr>
        <a:xfrm>
          <a:off x="4369688" y="3632363"/>
          <a:ext cx="1952625" cy="295275"/>
          <a:chOff x="4369688" y="3632363"/>
          <a:chExt cx="1952625" cy="295275"/>
        </a:xfrm>
      </xdr:grpSpPr>
      <xdr:grpSp>
        <xdr:nvGrpSpPr>
          <xdr:cNvPr id="180" name="Shape 180"/>
          <xdr:cNvGrpSpPr/>
        </xdr:nvGrpSpPr>
        <xdr:grpSpPr>
          <a:xfrm>
            <a:off x="4369688" y="3632363"/>
            <a:ext cx="1952625" cy="295275"/>
            <a:chOff x="4379213" y="3641888"/>
            <a:chExt cx="1933575" cy="276225"/>
          </a:xfrm>
        </xdr:grpSpPr>
        <xdr:sp>
          <xdr:nvSpPr>
            <xdr:cNvPr id="4" name="Shape 4"/>
            <xdr:cNvSpPr/>
          </xdr:nvSpPr>
          <xdr:spPr>
            <a:xfrm>
              <a:off x="4379213" y="3641888"/>
              <a:ext cx="193357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1" name="Shape 181"/>
            <xdr:cNvCxnSpPr/>
          </xdr:nvCxnSpPr>
          <xdr:spPr>
            <a:xfrm rot="10800000">
              <a:off x="4379213" y="3641888"/>
              <a:ext cx="1933575" cy="276225"/>
            </a:xfrm>
            <a:prstGeom prst="straightConnector1">
              <a:avLst/>
            </a:prstGeom>
            <a:noFill/>
            <a:ln cap="flat" cmpd="sng" w="12700">
              <a:solidFill>
                <a:schemeClr val="dk1"/>
              </a:solidFill>
              <a:prstDash val="solid"/>
              <a:miter lim="8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466725</xdr:colOff>
      <xdr:row>32</xdr:row>
      <xdr:rowOff>104775</xdr:rowOff>
    </xdr:from>
    <xdr:ext cx="28575" cy="152400"/>
    <xdr:grpSp>
      <xdr:nvGrpSpPr>
        <xdr:cNvPr id="2" name="Shape 2"/>
        <xdr:cNvGrpSpPr/>
      </xdr:nvGrpSpPr>
      <xdr:grpSpPr>
        <a:xfrm>
          <a:off x="5341238" y="3703800"/>
          <a:ext cx="9525" cy="152400"/>
          <a:chOff x="5341238" y="3703800"/>
          <a:chExt cx="9525" cy="152400"/>
        </a:xfrm>
      </xdr:grpSpPr>
      <xdr:cxnSp>
        <xdr:nvCxnSpPr>
          <xdr:cNvPr id="182" name="Shape 182"/>
          <xdr:cNvCxnSpPr/>
        </xdr:nvCxnSpPr>
        <xdr:spPr>
          <a:xfrm>
            <a:off x="5341238" y="3703800"/>
            <a:ext cx="9525" cy="1524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63"/>
    <col customWidth="1" min="2" max="2" width="8.0"/>
    <col customWidth="1" min="3" max="3" width="9.63"/>
    <col customWidth="1" min="4" max="4" width="8.88"/>
    <col customWidth="1" min="5" max="5" width="4.75"/>
    <col customWidth="1" min="6" max="6" width="13.0"/>
    <col customWidth="1" min="7" max="7" width="14.13"/>
    <col customWidth="1" min="8" max="8" width="10.38"/>
    <col customWidth="1" min="9" max="9" width="12.88"/>
    <col customWidth="1" min="10" max="10" width="7.13"/>
    <col customWidth="1" min="11" max="11" width="52.5"/>
    <col customWidth="1" min="12" max="26" width="8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N1" s="4"/>
    </row>
    <row r="2" ht="13.5" customHeight="1">
      <c r="N2" s="4"/>
    </row>
    <row r="3" ht="13.5" customHeight="1">
      <c r="A3" s="5" t="s">
        <v>1</v>
      </c>
      <c r="B3" s="6"/>
      <c r="C3" s="6"/>
      <c r="D3" s="6"/>
      <c r="E3" s="6"/>
      <c r="G3" s="7" t="s">
        <v>3</v>
      </c>
      <c r="H3" s="8"/>
      <c r="I3" s="8"/>
      <c r="J3" s="8"/>
      <c r="K3" s="9"/>
      <c r="N3" s="4"/>
    </row>
    <row r="4" ht="13.5" customHeight="1">
      <c r="A4" s="10" t="s">
        <v>4</v>
      </c>
      <c r="B4" s="10" t="s">
        <v>5</v>
      </c>
      <c r="C4" s="10"/>
      <c r="D4" s="10" t="s">
        <v>6</v>
      </c>
      <c r="E4" s="10" t="s">
        <v>7</v>
      </c>
      <c r="G4" s="11" t="s">
        <v>8</v>
      </c>
      <c r="H4" s="11" t="s">
        <v>11</v>
      </c>
      <c r="I4" s="11" t="s">
        <v>12</v>
      </c>
      <c r="J4" s="11" t="s">
        <v>13</v>
      </c>
      <c r="K4" s="11" t="s">
        <v>14</v>
      </c>
      <c r="N4" s="4"/>
    </row>
    <row r="5" ht="13.5" customHeight="1">
      <c r="A5" s="10" t="s">
        <v>15</v>
      </c>
      <c r="B5" s="10" t="s">
        <v>16</v>
      </c>
      <c r="C5" s="10"/>
      <c r="D5" s="10"/>
      <c r="E5" s="10"/>
      <c r="G5" s="12" t="s">
        <v>17</v>
      </c>
      <c r="H5" s="12" t="s">
        <v>18</v>
      </c>
      <c r="I5" s="12">
        <f>+COUNTA(F13:F39)</f>
        <v>12</v>
      </c>
      <c r="J5" s="13">
        <f t="shared" ref="J5:J9" si="1">IF(SUM($I$5:$I$9)=0,0,I5/SUM($I$5:$I$9))</f>
        <v>0.4444444444</v>
      </c>
      <c r="K5" s="14">
        <v>60.0</v>
      </c>
      <c r="N5" s="4"/>
    </row>
    <row r="6" ht="13.5" customHeight="1">
      <c r="A6" s="15"/>
      <c r="B6" s="15"/>
      <c r="C6" s="15"/>
      <c r="D6" s="15"/>
      <c r="E6" s="15"/>
      <c r="G6" s="12" t="s">
        <v>19</v>
      </c>
      <c r="H6" s="12" t="s">
        <v>20</v>
      </c>
      <c r="I6" s="12">
        <f>+COUNTA(G13:G39)</f>
        <v>6</v>
      </c>
      <c r="J6" s="13">
        <f t="shared" si="1"/>
        <v>0.2222222222</v>
      </c>
      <c r="K6" s="14">
        <f>SUMIF(G13:G39,"➜",D13:D39)</f>
        <v>0</v>
      </c>
    </row>
    <row r="7" ht="13.5" customHeight="1">
      <c r="A7" s="15"/>
      <c r="B7" s="15"/>
      <c r="C7" s="15"/>
      <c r="D7" s="15"/>
      <c r="E7" s="15"/>
      <c r="G7" s="12" t="s">
        <v>21</v>
      </c>
      <c r="H7" s="12" t="s">
        <v>22</v>
      </c>
      <c r="I7" s="12">
        <f>+COUNTA(H13:H39)</f>
        <v>6</v>
      </c>
      <c r="J7" s="13">
        <f t="shared" si="1"/>
        <v>0.2222222222</v>
      </c>
      <c r="K7" s="14">
        <f>SUMIF(H13:H39,"■",D13:D39)</f>
        <v>0</v>
      </c>
    </row>
    <row r="8" ht="13.5" customHeight="1">
      <c r="A8" s="15"/>
      <c r="B8" s="15"/>
      <c r="C8" s="15"/>
      <c r="D8" s="15"/>
      <c r="E8" s="15"/>
      <c r="G8" s="12" t="s">
        <v>23</v>
      </c>
      <c r="H8" s="12" t="s">
        <v>24</v>
      </c>
      <c r="I8" s="12">
        <f>+COUNTA(I13:I39)</f>
        <v>2</v>
      </c>
      <c r="J8" s="13">
        <f t="shared" si="1"/>
        <v>0.07407407407</v>
      </c>
      <c r="K8" s="14">
        <f>SUMIF(I13:I39,"▼",D13:D39)</f>
        <v>0</v>
      </c>
    </row>
    <row r="9" ht="13.5" customHeight="1">
      <c r="G9" s="12" t="s">
        <v>25</v>
      </c>
      <c r="H9" s="12" t="s">
        <v>26</v>
      </c>
      <c r="I9" s="12">
        <f>+COUNTA(J13:J39)</f>
        <v>1</v>
      </c>
      <c r="J9" s="13">
        <f t="shared" si="1"/>
        <v>0.03703703704</v>
      </c>
      <c r="K9" s="14">
        <f>SUMIF(J13:J39,"◖",D13:D39)</f>
        <v>0</v>
      </c>
    </row>
    <row r="10" ht="13.5" customHeight="1"/>
    <row r="11" ht="21.0" customHeight="1">
      <c r="A11" s="17" t="s">
        <v>27</v>
      </c>
      <c r="B11" s="17" t="s">
        <v>28</v>
      </c>
      <c r="C11" s="18" t="s">
        <v>29</v>
      </c>
      <c r="D11" s="8"/>
      <c r="E11" s="9"/>
      <c r="F11" s="18" t="s">
        <v>11</v>
      </c>
      <c r="G11" s="8"/>
      <c r="H11" s="8"/>
      <c r="I11" s="8"/>
      <c r="J11" s="9"/>
      <c r="K11" s="17" t="s">
        <v>31</v>
      </c>
    </row>
    <row r="12" ht="55.5" customHeight="1">
      <c r="A12" s="19"/>
      <c r="B12" s="19"/>
      <c r="C12" s="20" t="s">
        <v>32</v>
      </c>
      <c r="D12" s="20" t="s">
        <v>34</v>
      </c>
      <c r="E12" s="20" t="s">
        <v>35</v>
      </c>
      <c r="F12" s="20" t="s">
        <v>36</v>
      </c>
      <c r="G12" s="20" t="s">
        <v>37</v>
      </c>
      <c r="H12" s="20" t="s">
        <v>38</v>
      </c>
      <c r="I12" s="20" t="s">
        <v>39</v>
      </c>
      <c r="J12" s="20" t="s">
        <v>40</v>
      </c>
      <c r="K12" s="19"/>
    </row>
    <row r="13">
      <c r="A13" s="21" t="s">
        <v>41</v>
      </c>
      <c r="B13" s="22"/>
      <c r="C13" s="22"/>
      <c r="D13" s="22"/>
      <c r="E13" s="22"/>
      <c r="F13" s="23"/>
      <c r="G13" s="23"/>
      <c r="H13" s="23"/>
      <c r="I13" s="23" t="s">
        <v>24</v>
      </c>
      <c r="J13" s="23"/>
      <c r="K13" s="24" t="s">
        <v>42</v>
      </c>
    </row>
    <row r="14">
      <c r="A14" s="21" t="s">
        <v>43</v>
      </c>
      <c r="B14" s="22"/>
      <c r="C14" s="22"/>
      <c r="D14" s="22"/>
      <c r="E14" s="22"/>
      <c r="F14" s="23"/>
      <c r="G14" s="23"/>
      <c r="H14" s="23" t="s">
        <v>22</v>
      </c>
      <c r="I14" s="23"/>
      <c r="J14" s="23"/>
      <c r="K14" s="24" t="s">
        <v>44</v>
      </c>
    </row>
    <row r="15">
      <c r="A15" s="21" t="s">
        <v>45</v>
      </c>
      <c r="B15" s="21"/>
      <c r="C15" s="21"/>
      <c r="D15" s="21"/>
      <c r="E15" s="21"/>
      <c r="F15" s="21"/>
      <c r="G15" s="23" t="s">
        <v>20</v>
      </c>
      <c r="H15" s="21"/>
      <c r="I15" s="21"/>
      <c r="J15" s="21"/>
      <c r="K15" s="24" t="s">
        <v>46</v>
      </c>
    </row>
    <row r="16">
      <c r="A16" s="21" t="s">
        <v>47</v>
      </c>
      <c r="B16" s="25"/>
      <c r="C16" s="22"/>
      <c r="D16" s="25"/>
      <c r="E16" s="22"/>
      <c r="F16" s="23" t="s">
        <v>18</v>
      </c>
      <c r="G16" s="23"/>
      <c r="H16" s="23"/>
      <c r="I16" s="23"/>
      <c r="J16" s="23"/>
      <c r="K16" s="24" t="s">
        <v>48</v>
      </c>
    </row>
    <row r="17">
      <c r="A17" s="21" t="s">
        <v>49</v>
      </c>
      <c r="B17" s="21"/>
      <c r="C17" s="21"/>
      <c r="D17" s="21"/>
      <c r="E17" s="21"/>
      <c r="F17" s="21"/>
      <c r="G17" s="23" t="s">
        <v>20</v>
      </c>
      <c r="H17" s="21"/>
      <c r="I17" s="21"/>
      <c r="J17" s="21"/>
      <c r="K17" s="24" t="s">
        <v>50</v>
      </c>
    </row>
    <row r="18">
      <c r="A18" s="21" t="s">
        <v>51</v>
      </c>
      <c r="B18" s="21"/>
      <c r="C18" s="21"/>
      <c r="D18" s="21"/>
      <c r="E18" s="21"/>
      <c r="F18" s="23" t="s">
        <v>18</v>
      </c>
      <c r="G18" s="23"/>
      <c r="H18" s="21"/>
      <c r="I18" s="21"/>
      <c r="J18" s="21"/>
      <c r="K18" s="24" t="s">
        <v>52</v>
      </c>
    </row>
    <row r="19">
      <c r="A19" s="21" t="s">
        <v>53</v>
      </c>
      <c r="B19" s="21"/>
      <c r="C19" s="21"/>
      <c r="D19" s="21"/>
      <c r="E19" s="21"/>
      <c r="F19" s="23"/>
      <c r="G19" s="23" t="s">
        <v>20</v>
      </c>
      <c r="H19" s="21"/>
      <c r="I19" s="21"/>
      <c r="J19" s="21"/>
      <c r="K19" s="24" t="s">
        <v>50</v>
      </c>
    </row>
    <row r="20">
      <c r="A20" s="21" t="s">
        <v>54</v>
      </c>
      <c r="B20" s="22"/>
      <c r="C20" s="22"/>
      <c r="D20" s="25"/>
      <c r="E20" s="22"/>
      <c r="F20" s="23" t="s">
        <v>18</v>
      </c>
      <c r="G20" s="23"/>
      <c r="H20" s="23"/>
      <c r="I20" s="23"/>
      <c r="J20" s="23"/>
      <c r="K20" s="24" t="s">
        <v>55</v>
      </c>
    </row>
    <row r="21">
      <c r="A21" s="21" t="s">
        <v>56</v>
      </c>
      <c r="B21" s="21"/>
      <c r="C21" s="21"/>
      <c r="D21" s="21"/>
      <c r="E21" s="21"/>
      <c r="F21" s="21"/>
      <c r="G21" s="23" t="s">
        <v>20</v>
      </c>
      <c r="H21" s="21"/>
      <c r="I21" s="21"/>
      <c r="J21" s="21"/>
      <c r="K21" s="24" t="s">
        <v>57</v>
      </c>
    </row>
    <row r="22">
      <c r="A22" s="21" t="s">
        <v>58</v>
      </c>
      <c r="B22" s="22"/>
      <c r="C22" s="22"/>
      <c r="D22" s="25"/>
      <c r="E22" s="22"/>
      <c r="F22" s="23" t="s">
        <v>18</v>
      </c>
      <c r="G22" s="23"/>
      <c r="H22" s="23"/>
      <c r="I22" s="23"/>
      <c r="J22" s="23"/>
      <c r="K22" s="24" t="s">
        <v>60</v>
      </c>
    </row>
    <row r="23">
      <c r="A23" s="21" t="s">
        <v>61</v>
      </c>
      <c r="B23" s="22"/>
      <c r="C23" s="22"/>
      <c r="D23" s="22"/>
      <c r="E23" s="22"/>
      <c r="F23" s="23"/>
      <c r="G23" s="23"/>
      <c r="H23" s="23" t="s">
        <v>22</v>
      </c>
      <c r="I23" s="23"/>
      <c r="J23" s="23"/>
      <c r="K23" s="24" t="s">
        <v>63</v>
      </c>
    </row>
    <row r="24">
      <c r="A24" s="21" t="s">
        <v>64</v>
      </c>
      <c r="B24" s="22"/>
      <c r="C24" s="22"/>
      <c r="D24" s="25"/>
      <c r="E24" s="22"/>
      <c r="F24" s="23" t="s">
        <v>18</v>
      </c>
      <c r="G24" s="23"/>
      <c r="H24" s="23"/>
      <c r="I24" s="23"/>
      <c r="J24" s="23"/>
      <c r="K24" s="24" t="s">
        <v>67</v>
      </c>
    </row>
    <row r="25">
      <c r="A25" s="21" t="s">
        <v>68</v>
      </c>
      <c r="B25" s="22"/>
      <c r="C25" s="22"/>
      <c r="D25" s="22"/>
      <c r="E25" s="22"/>
      <c r="F25" s="23" t="s">
        <v>18</v>
      </c>
      <c r="G25" s="23"/>
      <c r="H25" s="23"/>
      <c r="I25" s="23"/>
      <c r="J25" s="23"/>
      <c r="K25" s="24" t="s">
        <v>70</v>
      </c>
    </row>
    <row r="26">
      <c r="A26" s="21" t="s">
        <v>71</v>
      </c>
      <c r="B26" s="22"/>
      <c r="C26" s="22"/>
      <c r="D26" s="22"/>
      <c r="E26" s="22"/>
      <c r="F26" s="23" t="s">
        <v>18</v>
      </c>
      <c r="G26" s="23"/>
      <c r="H26" s="23"/>
      <c r="I26" s="23"/>
      <c r="J26" s="23"/>
      <c r="K26" s="24" t="s">
        <v>74</v>
      </c>
    </row>
    <row r="27" ht="24.0" customHeight="1">
      <c r="A27" s="21" t="s">
        <v>75</v>
      </c>
      <c r="B27" s="22"/>
      <c r="C27" s="22"/>
      <c r="D27" s="22"/>
      <c r="E27" s="22"/>
      <c r="F27" s="23"/>
      <c r="G27" s="23"/>
      <c r="H27" s="23" t="s">
        <v>22</v>
      </c>
      <c r="I27" s="23"/>
      <c r="J27" s="23"/>
      <c r="K27" s="24" t="s">
        <v>77</v>
      </c>
    </row>
    <row r="28">
      <c r="A28" s="21" t="s">
        <v>79</v>
      </c>
      <c r="B28" s="22"/>
      <c r="C28" s="22"/>
      <c r="D28" s="22"/>
      <c r="E28" s="22"/>
      <c r="F28" s="23"/>
      <c r="G28" s="23"/>
      <c r="H28" s="23" t="s">
        <v>22</v>
      </c>
      <c r="I28" s="23"/>
      <c r="J28" s="23"/>
      <c r="K28" s="24" t="s">
        <v>81</v>
      </c>
    </row>
    <row r="29">
      <c r="A29" s="21" t="s">
        <v>83</v>
      </c>
      <c r="B29" s="22"/>
      <c r="C29" s="22"/>
      <c r="D29" s="22"/>
      <c r="E29" s="22"/>
      <c r="F29" s="23" t="s">
        <v>20</v>
      </c>
      <c r="G29" s="23"/>
      <c r="H29" s="23"/>
      <c r="I29" s="23"/>
      <c r="J29" s="23"/>
      <c r="K29" s="27" t="s">
        <v>85</v>
      </c>
    </row>
    <row r="30">
      <c r="A30" s="21" t="s">
        <v>86</v>
      </c>
      <c r="B30" s="22"/>
      <c r="C30" s="28"/>
      <c r="D30" s="25"/>
      <c r="E30" s="22"/>
      <c r="F30" s="23" t="s">
        <v>18</v>
      </c>
      <c r="G30" s="23"/>
      <c r="H30" s="23"/>
      <c r="I30" s="23"/>
      <c r="J30" s="23"/>
      <c r="K30" s="24" t="s">
        <v>89</v>
      </c>
    </row>
    <row r="31" ht="28.5" customHeight="1">
      <c r="A31" s="21" t="s">
        <v>91</v>
      </c>
      <c r="B31" s="22"/>
      <c r="C31" s="28"/>
      <c r="D31" s="25"/>
      <c r="E31" s="22"/>
      <c r="F31" s="23" t="s">
        <v>18</v>
      </c>
      <c r="G31" s="23"/>
      <c r="H31" s="23"/>
      <c r="I31" s="23"/>
      <c r="J31" s="23"/>
      <c r="K31" s="24" t="s">
        <v>94</v>
      </c>
    </row>
    <row r="32">
      <c r="A32" s="21" t="s">
        <v>95</v>
      </c>
      <c r="B32" s="22"/>
      <c r="C32" s="22"/>
      <c r="D32" s="22"/>
      <c r="E32" s="22"/>
      <c r="F32" s="23"/>
      <c r="G32" s="23"/>
      <c r="H32" s="23" t="s">
        <v>22</v>
      </c>
      <c r="I32" s="23"/>
      <c r="J32" s="23"/>
      <c r="K32" s="24" t="s">
        <v>99</v>
      </c>
      <c r="O32" s="29"/>
    </row>
    <row r="33">
      <c r="A33" s="21" t="s">
        <v>100</v>
      </c>
      <c r="B33" s="22"/>
      <c r="C33" s="22"/>
      <c r="D33" s="22"/>
      <c r="E33" s="22"/>
      <c r="F33" s="23"/>
      <c r="G33" s="23"/>
      <c r="H33" s="23" t="s">
        <v>22</v>
      </c>
      <c r="I33" s="23"/>
      <c r="J33" s="23"/>
      <c r="K33" s="24" t="s">
        <v>105</v>
      </c>
    </row>
    <row r="34">
      <c r="A34" s="21" t="s">
        <v>106</v>
      </c>
      <c r="B34" s="22"/>
      <c r="C34" s="22"/>
      <c r="D34" s="25"/>
      <c r="E34" s="22"/>
      <c r="F34" s="23" t="s">
        <v>18</v>
      </c>
      <c r="G34" s="23"/>
      <c r="H34" s="23"/>
      <c r="I34" s="23"/>
      <c r="J34" s="23"/>
      <c r="K34" s="24" t="s">
        <v>110</v>
      </c>
    </row>
    <row r="35">
      <c r="A35" s="21" t="s">
        <v>111</v>
      </c>
      <c r="B35" s="22"/>
      <c r="C35" s="22"/>
      <c r="D35" s="22"/>
      <c r="E35" s="22"/>
      <c r="F35" s="23" t="s">
        <v>18</v>
      </c>
      <c r="G35" s="23"/>
      <c r="H35" s="23"/>
      <c r="I35" s="23"/>
      <c r="J35" s="23"/>
      <c r="K35" s="24" t="s">
        <v>114</v>
      </c>
    </row>
    <row r="36">
      <c r="A36" s="21" t="s">
        <v>115</v>
      </c>
      <c r="B36" s="21"/>
      <c r="C36" s="21"/>
      <c r="D36" s="21"/>
      <c r="E36" s="21"/>
      <c r="F36" s="21"/>
      <c r="G36" s="23" t="s">
        <v>20</v>
      </c>
      <c r="H36" s="21"/>
      <c r="I36" s="21"/>
      <c r="J36" s="30"/>
      <c r="K36" s="24" t="s">
        <v>119</v>
      </c>
    </row>
    <row r="37">
      <c r="A37" s="21" t="s">
        <v>120</v>
      </c>
      <c r="B37" s="21"/>
      <c r="C37" s="21"/>
      <c r="D37" s="21"/>
      <c r="E37" s="21"/>
      <c r="G37" s="23"/>
      <c r="H37" s="21"/>
      <c r="I37" s="4"/>
      <c r="J37" s="23" t="s">
        <v>26</v>
      </c>
      <c r="K37" s="31" t="s">
        <v>123</v>
      </c>
    </row>
    <row r="38">
      <c r="A38" s="21" t="s">
        <v>126</v>
      </c>
      <c r="B38" s="21"/>
      <c r="C38" s="21"/>
      <c r="D38" s="21"/>
      <c r="E38" s="21"/>
      <c r="F38" s="21"/>
      <c r="G38" s="23" t="s">
        <v>20</v>
      </c>
      <c r="H38" s="21"/>
      <c r="I38" s="21"/>
      <c r="J38" s="32"/>
      <c r="K38" s="24" t="s">
        <v>130</v>
      </c>
    </row>
    <row r="39" ht="13.5" customHeight="1">
      <c r="A39" s="21" t="s">
        <v>132</v>
      </c>
      <c r="B39" s="21"/>
      <c r="C39" s="21"/>
      <c r="D39" s="21"/>
      <c r="E39" s="21"/>
      <c r="F39" s="21"/>
      <c r="G39" s="23"/>
      <c r="H39" s="21"/>
      <c r="I39" s="23" t="s">
        <v>24</v>
      </c>
      <c r="J39" s="21"/>
      <c r="K39" s="24"/>
    </row>
    <row r="40" ht="13.5" customHeight="1">
      <c r="A40" s="20" t="s">
        <v>134</v>
      </c>
      <c r="B40" s="33"/>
      <c r="C40" s="33">
        <f t="shared" ref="C40:D40" si="2">+SUM(C13:C30)+SUM(C32:C39)</f>
        <v>0</v>
      </c>
      <c r="D40" s="33">
        <f t="shared" si="2"/>
        <v>0</v>
      </c>
      <c r="E40" s="33">
        <f>SUM(E13:E34)</f>
        <v>0</v>
      </c>
      <c r="F40" s="20"/>
      <c r="G40" s="20"/>
      <c r="H40" s="20"/>
      <c r="I40" s="20"/>
      <c r="J40" s="20"/>
      <c r="K40" s="20"/>
    </row>
    <row r="41" ht="13.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7">
    <mergeCell ref="A1:K1"/>
    <mergeCell ref="G3:K3"/>
    <mergeCell ref="A11:A12"/>
    <mergeCell ref="B11:B12"/>
    <mergeCell ref="C11:E11"/>
    <mergeCell ref="F11:J11"/>
    <mergeCell ref="K11:K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63"/>
    <col customWidth="1" min="2" max="2" width="8.0"/>
    <col customWidth="1" min="3" max="3" width="9.63"/>
    <col customWidth="1" min="4" max="4" width="8.88"/>
    <col customWidth="1" min="5" max="5" width="4.75"/>
    <col customWidth="1" min="6" max="6" width="13.0"/>
    <col customWidth="1" min="7" max="7" width="14.13"/>
    <col customWidth="1" min="8" max="8" width="10.38"/>
    <col customWidth="1" min="9" max="9" width="12.88"/>
    <col customWidth="1" min="10" max="10" width="7.13"/>
    <col customWidth="1" min="11" max="11" width="52.5"/>
    <col customWidth="1" min="12" max="14" width="8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N1" s="4"/>
    </row>
    <row r="2" ht="13.5" customHeight="1">
      <c r="N2" s="4"/>
    </row>
    <row r="3" ht="13.5" customHeight="1">
      <c r="A3" s="5" t="s">
        <v>2</v>
      </c>
      <c r="B3" s="6"/>
      <c r="C3" s="6"/>
      <c r="D3" s="6"/>
      <c r="E3" s="6"/>
      <c r="G3" s="7" t="s">
        <v>3</v>
      </c>
      <c r="H3" s="8"/>
      <c r="I3" s="8"/>
      <c r="J3" s="8"/>
      <c r="K3" s="9"/>
      <c r="N3" s="4"/>
    </row>
    <row r="4" ht="13.5" customHeight="1">
      <c r="A4" s="10" t="s">
        <v>4</v>
      </c>
      <c r="B4" s="10" t="s">
        <v>5</v>
      </c>
      <c r="C4" s="10"/>
      <c r="D4" s="10" t="s">
        <v>6</v>
      </c>
      <c r="E4" s="10" t="s">
        <v>7</v>
      </c>
      <c r="G4" s="11" t="s">
        <v>8</v>
      </c>
      <c r="H4" s="11" t="s">
        <v>11</v>
      </c>
      <c r="I4" s="11" t="s">
        <v>12</v>
      </c>
      <c r="J4" s="11" t="s">
        <v>13</v>
      </c>
      <c r="K4" s="11" t="s">
        <v>14</v>
      </c>
      <c r="N4" s="4"/>
    </row>
    <row r="5" ht="13.5" customHeight="1">
      <c r="A5" s="10" t="s">
        <v>15</v>
      </c>
      <c r="B5" s="10" t="s">
        <v>16</v>
      </c>
      <c r="C5" s="10"/>
      <c r="D5" s="10"/>
      <c r="E5" s="10"/>
      <c r="G5" s="12" t="s">
        <v>17</v>
      </c>
      <c r="H5" s="12" t="s">
        <v>18</v>
      </c>
      <c r="I5" s="12">
        <f>+COUNTA(F13:F40)</f>
        <v>13</v>
      </c>
      <c r="J5" s="13">
        <f t="shared" ref="J5:J9" si="1">IF(SUM($I$5:$I$9)=0,0,I5/SUM($I$5:$I$9))</f>
        <v>0.4642857143</v>
      </c>
      <c r="K5" s="14">
        <f>SUMIF(F13:F30,"●",D13:D30)+SUMIF(F32:F40,"●",D32:D40)</f>
        <v>0</v>
      </c>
      <c r="L5" s="16">
        <f>+K5/60</f>
        <v>0</v>
      </c>
      <c r="N5" s="4"/>
    </row>
    <row r="6" ht="13.5" customHeight="1">
      <c r="A6" s="15"/>
      <c r="B6" s="15"/>
      <c r="C6" s="15"/>
      <c r="D6" s="15"/>
      <c r="E6" s="15"/>
      <c r="G6" s="12" t="s">
        <v>19</v>
      </c>
      <c r="H6" s="12" t="s">
        <v>20</v>
      </c>
      <c r="I6" s="12">
        <f>+COUNTA(G13:G40)</f>
        <v>6</v>
      </c>
      <c r="J6" s="13">
        <f t="shared" si="1"/>
        <v>0.2142857143</v>
      </c>
      <c r="K6" s="14">
        <f>SUMIF(G13:G40,"➜",D13:D40)</f>
        <v>0</v>
      </c>
    </row>
    <row r="7" ht="13.5" customHeight="1">
      <c r="A7" s="15"/>
      <c r="B7" s="15"/>
      <c r="C7" s="15"/>
      <c r="D7" s="15"/>
      <c r="E7" s="15"/>
      <c r="G7" s="12" t="s">
        <v>21</v>
      </c>
      <c r="H7" s="12" t="s">
        <v>22</v>
      </c>
      <c r="I7" s="12">
        <f>+COUNTA(H13:H40)</f>
        <v>6</v>
      </c>
      <c r="J7" s="13">
        <f t="shared" si="1"/>
        <v>0.2142857143</v>
      </c>
      <c r="K7" s="14">
        <f>SUMIF(H13:H40,"■",D13:D40)</f>
        <v>0</v>
      </c>
    </row>
    <row r="8" ht="13.5" customHeight="1">
      <c r="A8" s="15"/>
      <c r="B8" s="15"/>
      <c r="C8" s="15"/>
      <c r="D8" s="15"/>
      <c r="E8" s="15"/>
      <c r="G8" s="12" t="s">
        <v>23</v>
      </c>
      <c r="H8" s="12" t="s">
        <v>24</v>
      </c>
      <c r="I8" s="12">
        <f>+COUNTA(I13:I40)</f>
        <v>2</v>
      </c>
      <c r="J8" s="13">
        <f t="shared" si="1"/>
        <v>0.07142857143</v>
      </c>
      <c r="K8" s="14">
        <f>SUMIF(I13:I40,"▼",D13:D40)</f>
        <v>0</v>
      </c>
    </row>
    <row r="9" ht="13.5" customHeight="1">
      <c r="G9" s="12" t="s">
        <v>25</v>
      </c>
      <c r="H9" s="12" t="s">
        <v>26</v>
      </c>
      <c r="I9" s="12">
        <f>+COUNTA(J13:J40)</f>
        <v>1</v>
      </c>
      <c r="J9" s="13">
        <f t="shared" si="1"/>
        <v>0.03571428571</v>
      </c>
      <c r="K9" s="14">
        <f>SUMIF(J13:J40,"◖",D13:D40)</f>
        <v>0</v>
      </c>
    </row>
    <row r="10" ht="13.5" customHeight="1"/>
    <row r="11" ht="21.0" customHeight="1">
      <c r="A11" s="17" t="s">
        <v>27</v>
      </c>
      <c r="B11" s="17" t="s">
        <v>30</v>
      </c>
      <c r="C11" s="18" t="s">
        <v>29</v>
      </c>
      <c r="D11" s="8"/>
      <c r="E11" s="9"/>
      <c r="F11" s="18" t="s">
        <v>11</v>
      </c>
      <c r="G11" s="8"/>
      <c r="H11" s="8"/>
      <c r="I11" s="8"/>
      <c r="J11" s="9"/>
      <c r="K11" s="17" t="s">
        <v>31</v>
      </c>
    </row>
    <row r="12" ht="55.5" customHeight="1">
      <c r="A12" s="19"/>
      <c r="B12" s="19"/>
      <c r="C12" s="20" t="s">
        <v>32</v>
      </c>
      <c r="D12" s="20" t="s">
        <v>34</v>
      </c>
      <c r="E12" s="20" t="s">
        <v>35</v>
      </c>
      <c r="F12" s="20" t="s">
        <v>36</v>
      </c>
      <c r="G12" s="20" t="s">
        <v>37</v>
      </c>
      <c r="H12" s="20" t="s">
        <v>38</v>
      </c>
      <c r="I12" s="20" t="s">
        <v>39</v>
      </c>
      <c r="J12" s="20" t="s">
        <v>40</v>
      </c>
      <c r="K12" s="19"/>
    </row>
    <row r="13">
      <c r="A13" s="21" t="s">
        <v>41</v>
      </c>
      <c r="B13" s="22"/>
      <c r="C13" s="22"/>
      <c r="D13" s="22"/>
      <c r="E13" s="22"/>
      <c r="F13" s="23"/>
      <c r="G13" s="23"/>
      <c r="H13" s="23"/>
      <c r="I13" s="23" t="s">
        <v>24</v>
      </c>
      <c r="J13" s="23"/>
      <c r="K13" s="24" t="s">
        <v>42</v>
      </c>
    </row>
    <row r="14">
      <c r="A14" s="21" t="s">
        <v>43</v>
      </c>
      <c r="B14" s="22"/>
      <c r="C14" s="22"/>
      <c r="D14" s="22"/>
      <c r="E14" s="22"/>
      <c r="F14" s="23"/>
      <c r="G14" s="23"/>
      <c r="H14" s="23" t="s">
        <v>22</v>
      </c>
      <c r="I14" s="23"/>
      <c r="J14" s="23"/>
      <c r="K14" s="24" t="s">
        <v>44</v>
      </c>
    </row>
    <row r="15">
      <c r="A15" s="21" t="s">
        <v>45</v>
      </c>
      <c r="B15" s="21"/>
      <c r="C15" s="21"/>
      <c r="D15" s="21"/>
      <c r="E15" s="21"/>
      <c r="F15" s="21"/>
      <c r="G15" s="23" t="s">
        <v>20</v>
      </c>
      <c r="H15" s="21"/>
      <c r="I15" s="21"/>
      <c r="J15" s="21"/>
      <c r="K15" s="24" t="s">
        <v>46</v>
      </c>
    </row>
    <row r="16">
      <c r="A16" s="21" t="s">
        <v>47</v>
      </c>
      <c r="B16" s="25"/>
      <c r="C16" s="22"/>
      <c r="D16" s="25"/>
      <c r="E16" s="22"/>
      <c r="F16" s="23" t="s">
        <v>18</v>
      </c>
      <c r="G16" s="23"/>
      <c r="H16" s="23"/>
      <c r="I16" s="23"/>
      <c r="J16" s="23"/>
      <c r="K16" s="24" t="s">
        <v>48</v>
      </c>
    </row>
    <row r="17">
      <c r="A17" s="21" t="s">
        <v>49</v>
      </c>
      <c r="B17" s="21"/>
      <c r="C17" s="21"/>
      <c r="D17" s="21"/>
      <c r="E17" s="21"/>
      <c r="F17" s="21"/>
      <c r="G17" s="23" t="s">
        <v>20</v>
      </c>
      <c r="H17" s="21"/>
      <c r="I17" s="21"/>
      <c r="J17" s="21"/>
      <c r="K17" s="24" t="s">
        <v>50</v>
      </c>
    </row>
    <row r="18">
      <c r="A18" s="21" t="s">
        <v>51</v>
      </c>
      <c r="B18" s="21"/>
      <c r="C18" s="21"/>
      <c r="D18" s="21"/>
      <c r="E18" s="21"/>
      <c r="F18" s="23" t="s">
        <v>18</v>
      </c>
      <c r="G18" s="23"/>
      <c r="H18" s="21"/>
      <c r="I18" s="21"/>
      <c r="J18" s="21"/>
      <c r="K18" s="24" t="s">
        <v>52</v>
      </c>
    </row>
    <row r="19">
      <c r="A19" s="21" t="s">
        <v>53</v>
      </c>
      <c r="B19" s="21"/>
      <c r="C19" s="21"/>
      <c r="D19" s="21"/>
      <c r="E19" s="21"/>
      <c r="F19" s="23"/>
      <c r="G19" s="23" t="s">
        <v>20</v>
      </c>
      <c r="H19" s="21"/>
      <c r="I19" s="21"/>
      <c r="J19" s="21"/>
      <c r="K19" s="24" t="s">
        <v>50</v>
      </c>
    </row>
    <row r="20">
      <c r="A20" s="21" t="s">
        <v>54</v>
      </c>
      <c r="B20" s="22"/>
      <c r="C20" s="22"/>
      <c r="D20" s="22"/>
      <c r="E20" s="22"/>
      <c r="F20" s="23" t="s">
        <v>18</v>
      </c>
      <c r="G20" s="23"/>
      <c r="H20" s="23"/>
      <c r="I20" s="23"/>
      <c r="J20" s="23"/>
      <c r="K20" s="24" t="s">
        <v>55</v>
      </c>
    </row>
    <row r="21" ht="15.75" customHeight="1">
      <c r="A21" s="21" t="s">
        <v>56</v>
      </c>
      <c r="B21" s="21"/>
      <c r="C21" s="21"/>
      <c r="D21" s="21"/>
      <c r="E21" s="21"/>
      <c r="F21" s="21"/>
      <c r="G21" s="23" t="s">
        <v>20</v>
      </c>
      <c r="H21" s="21"/>
      <c r="I21" s="21"/>
      <c r="J21" s="21"/>
      <c r="K21" s="24" t="s">
        <v>57</v>
      </c>
    </row>
    <row r="22">
      <c r="A22" s="21" t="s">
        <v>58</v>
      </c>
      <c r="B22" s="22"/>
      <c r="C22" s="22"/>
      <c r="D22" s="22"/>
      <c r="E22" s="22"/>
      <c r="F22" s="23" t="s">
        <v>18</v>
      </c>
      <c r="G22" s="23"/>
      <c r="H22" s="23"/>
      <c r="I22" s="23"/>
      <c r="J22" s="23"/>
      <c r="K22" s="24" t="s">
        <v>60</v>
      </c>
    </row>
    <row r="23">
      <c r="A23" s="21" t="s">
        <v>62</v>
      </c>
      <c r="B23" s="22"/>
      <c r="C23" s="22"/>
      <c r="D23" s="22"/>
      <c r="E23" s="22"/>
      <c r="F23" s="23" t="s">
        <v>18</v>
      </c>
      <c r="G23" s="23"/>
      <c r="H23" s="23"/>
      <c r="I23" s="23"/>
      <c r="J23" s="23"/>
      <c r="K23" s="26" t="s">
        <v>65</v>
      </c>
    </row>
    <row r="24" ht="15.75" customHeight="1">
      <c r="A24" s="21" t="s">
        <v>61</v>
      </c>
      <c r="B24" s="22"/>
      <c r="C24" s="22"/>
      <c r="D24" s="22"/>
      <c r="E24" s="22"/>
      <c r="F24" s="23"/>
      <c r="G24" s="23"/>
      <c r="H24" s="23" t="s">
        <v>22</v>
      </c>
      <c r="I24" s="23"/>
      <c r="J24" s="23"/>
      <c r="K24" s="24" t="s">
        <v>63</v>
      </c>
    </row>
    <row r="25">
      <c r="A25" s="21" t="s">
        <v>64</v>
      </c>
      <c r="B25" s="22"/>
      <c r="C25" s="22"/>
      <c r="D25" s="22"/>
      <c r="E25" s="22"/>
      <c r="F25" s="23" t="s">
        <v>18</v>
      </c>
      <c r="G25" s="23"/>
      <c r="H25" s="23"/>
      <c r="I25" s="23"/>
      <c r="J25" s="23"/>
      <c r="K25" s="24" t="s">
        <v>67</v>
      </c>
    </row>
    <row r="26">
      <c r="A26" s="21" t="s">
        <v>68</v>
      </c>
      <c r="B26" s="22"/>
      <c r="C26" s="22"/>
      <c r="D26" s="22"/>
      <c r="E26" s="22"/>
      <c r="F26" s="23" t="s">
        <v>18</v>
      </c>
      <c r="G26" s="23"/>
      <c r="H26" s="23"/>
      <c r="I26" s="23"/>
      <c r="J26" s="23"/>
      <c r="K26" s="24" t="s">
        <v>70</v>
      </c>
    </row>
    <row r="27">
      <c r="A27" s="21" t="s">
        <v>71</v>
      </c>
      <c r="B27" s="22"/>
      <c r="C27" s="22"/>
      <c r="D27" s="22"/>
      <c r="E27" s="22"/>
      <c r="F27" s="23" t="s">
        <v>18</v>
      </c>
      <c r="G27" s="23"/>
      <c r="H27" s="23"/>
      <c r="I27" s="23"/>
      <c r="J27" s="23"/>
      <c r="K27" s="24" t="s">
        <v>74</v>
      </c>
    </row>
    <row r="28" ht="24.0" customHeight="1">
      <c r="A28" s="21" t="s">
        <v>75</v>
      </c>
      <c r="B28" s="22"/>
      <c r="C28" s="22"/>
      <c r="D28" s="22"/>
      <c r="E28" s="22"/>
      <c r="F28" s="23"/>
      <c r="G28" s="23"/>
      <c r="H28" s="23" t="s">
        <v>22</v>
      </c>
      <c r="I28" s="23"/>
      <c r="J28" s="23"/>
      <c r="K28" s="24" t="s">
        <v>77</v>
      </c>
    </row>
    <row r="29" ht="15.75" customHeight="1">
      <c r="A29" s="21" t="s">
        <v>79</v>
      </c>
      <c r="B29" s="22"/>
      <c r="C29" s="22"/>
      <c r="D29" s="22"/>
      <c r="E29" s="22"/>
      <c r="F29" s="23"/>
      <c r="G29" s="23"/>
      <c r="H29" s="23" t="s">
        <v>22</v>
      </c>
      <c r="I29" s="23"/>
      <c r="J29" s="23"/>
      <c r="K29" s="24" t="s">
        <v>81</v>
      </c>
    </row>
    <row r="30" ht="30.0" customHeight="1">
      <c r="A30" s="21" t="s">
        <v>83</v>
      </c>
      <c r="B30" s="22"/>
      <c r="C30" s="22"/>
      <c r="D30" s="22"/>
      <c r="E30" s="22"/>
      <c r="F30" s="23" t="s">
        <v>20</v>
      </c>
      <c r="G30" s="23"/>
      <c r="H30" s="23"/>
      <c r="I30" s="23"/>
      <c r="J30" s="23"/>
      <c r="K30" s="27" t="s">
        <v>85</v>
      </c>
    </row>
    <row r="31" ht="15.75" customHeight="1">
      <c r="A31" s="21" t="s">
        <v>86</v>
      </c>
      <c r="B31" s="22"/>
      <c r="C31" s="28"/>
      <c r="D31" s="22"/>
      <c r="E31" s="22"/>
      <c r="F31" s="23" t="s">
        <v>18</v>
      </c>
      <c r="G31" s="23"/>
      <c r="H31" s="23"/>
      <c r="I31" s="23"/>
      <c r="J31" s="23"/>
      <c r="K31" s="24" t="s">
        <v>89</v>
      </c>
    </row>
    <row r="32" ht="28.5" customHeight="1">
      <c r="A32" s="21" t="s">
        <v>91</v>
      </c>
      <c r="B32" s="22"/>
      <c r="C32" s="28"/>
      <c r="D32" s="22"/>
      <c r="E32" s="22"/>
      <c r="F32" s="23" t="s">
        <v>18</v>
      </c>
      <c r="G32" s="23"/>
      <c r="H32" s="23"/>
      <c r="I32" s="23"/>
      <c r="J32" s="23"/>
      <c r="K32" s="24" t="s">
        <v>94</v>
      </c>
    </row>
    <row r="33" ht="15.75" customHeight="1">
      <c r="A33" s="21" t="s">
        <v>95</v>
      </c>
      <c r="B33" s="22"/>
      <c r="C33" s="22"/>
      <c r="D33" s="22"/>
      <c r="E33" s="22"/>
      <c r="F33" s="23"/>
      <c r="G33" s="23"/>
      <c r="H33" s="23" t="s">
        <v>22</v>
      </c>
      <c r="I33" s="23"/>
      <c r="J33" s="23"/>
      <c r="K33" s="24" t="s">
        <v>99</v>
      </c>
    </row>
    <row r="34" ht="15.75" customHeight="1">
      <c r="A34" s="21" t="s">
        <v>100</v>
      </c>
      <c r="B34" s="22"/>
      <c r="C34" s="22"/>
      <c r="D34" s="22"/>
      <c r="E34" s="22"/>
      <c r="F34" s="23"/>
      <c r="G34" s="23"/>
      <c r="H34" s="23" t="s">
        <v>22</v>
      </c>
      <c r="I34" s="23"/>
      <c r="J34" s="23"/>
      <c r="K34" s="24" t="s">
        <v>105</v>
      </c>
    </row>
    <row r="35" ht="15.75" customHeight="1">
      <c r="A35" s="21" t="s">
        <v>106</v>
      </c>
      <c r="B35" s="22"/>
      <c r="C35" s="22"/>
      <c r="D35" s="25"/>
      <c r="E35" s="22"/>
      <c r="F35" s="23" t="s">
        <v>18</v>
      </c>
      <c r="G35" s="23"/>
      <c r="H35" s="23"/>
      <c r="I35" s="23"/>
      <c r="J35" s="23"/>
      <c r="K35" s="24" t="s">
        <v>110</v>
      </c>
    </row>
    <row r="36" ht="15.75" customHeight="1">
      <c r="A36" s="21" t="s">
        <v>111</v>
      </c>
      <c r="B36" s="22"/>
      <c r="C36" s="22"/>
      <c r="D36" s="22"/>
      <c r="E36" s="22"/>
      <c r="F36" s="23" t="s">
        <v>18</v>
      </c>
      <c r="G36" s="23"/>
      <c r="H36" s="23"/>
      <c r="I36" s="23"/>
      <c r="J36" s="23"/>
      <c r="K36" s="24" t="s">
        <v>118</v>
      </c>
    </row>
    <row r="37" ht="15.75" customHeight="1">
      <c r="A37" s="21" t="s">
        <v>115</v>
      </c>
      <c r="B37" s="21"/>
      <c r="C37" s="21"/>
      <c r="D37" s="21"/>
      <c r="E37" s="21"/>
      <c r="F37" s="21"/>
      <c r="G37" s="23" t="s">
        <v>20</v>
      </c>
      <c r="H37" s="21"/>
      <c r="I37" s="21"/>
      <c r="J37" s="30"/>
      <c r="K37" s="24" t="s">
        <v>124</v>
      </c>
    </row>
    <row r="38" ht="15.75" customHeight="1">
      <c r="A38" s="21" t="s">
        <v>120</v>
      </c>
      <c r="B38" s="21"/>
      <c r="C38" s="21"/>
      <c r="D38" s="21"/>
      <c r="E38" s="21"/>
      <c r="G38" s="23"/>
      <c r="H38" s="21"/>
      <c r="I38" s="4"/>
      <c r="J38" s="23" t="s">
        <v>26</v>
      </c>
      <c r="K38" s="31" t="s">
        <v>123</v>
      </c>
    </row>
    <row r="39" ht="15.75" customHeight="1">
      <c r="A39" s="21" t="s">
        <v>126</v>
      </c>
      <c r="B39" s="21"/>
      <c r="C39" s="21"/>
      <c r="D39" s="21"/>
      <c r="E39" s="21"/>
      <c r="F39" s="21"/>
      <c r="G39" s="23" t="s">
        <v>20</v>
      </c>
      <c r="H39" s="21"/>
      <c r="I39" s="21"/>
      <c r="J39" s="32"/>
      <c r="K39" s="24" t="s">
        <v>130</v>
      </c>
    </row>
    <row r="40" ht="13.5" customHeight="1">
      <c r="A40" s="21" t="s">
        <v>132</v>
      </c>
      <c r="B40" s="21"/>
      <c r="C40" s="21"/>
      <c r="D40" s="21"/>
      <c r="E40" s="21"/>
      <c r="F40" s="21"/>
      <c r="G40" s="23"/>
      <c r="H40" s="21"/>
      <c r="I40" s="23" t="s">
        <v>24</v>
      </c>
      <c r="J40" s="21"/>
      <c r="K40" s="24"/>
    </row>
    <row r="41" ht="13.5" customHeight="1">
      <c r="A41" s="34" t="s">
        <v>134</v>
      </c>
      <c r="B41" s="33" t="s">
        <v>7</v>
      </c>
      <c r="C41" s="33">
        <f t="shared" ref="C41:D41" si="2">+SUM(C13:C31)+SUM(C33:C40)</f>
        <v>0</v>
      </c>
      <c r="D41" s="33">
        <f t="shared" si="2"/>
        <v>0</v>
      </c>
      <c r="E41" s="33">
        <f>SUM(E14:E35)</f>
        <v>0</v>
      </c>
      <c r="F41" s="18"/>
      <c r="G41" s="8"/>
      <c r="H41" s="8"/>
      <c r="I41" s="8"/>
      <c r="J41" s="9"/>
      <c r="K41" s="34"/>
    </row>
    <row r="42" ht="13.5" customHeight="1"/>
    <row r="43" ht="13.5" customHeight="1"/>
    <row r="44" ht="13.5" customHeight="1"/>
    <row r="45" ht="13.5" customHeight="1"/>
    <row r="46" ht="15.7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G3:K3"/>
    <mergeCell ref="A11:A12"/>
    <mergeCell ref="B11:B12"/>
    <mergeCell ref="C11:E11"/>
    <mergeCell ref="F11:J11"/>
    <mergeCell ref="K11:K12"/>
    <mergeCell ref="F41:J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6.75"/>
    <col customWidth="1" min="2" max="2" width="8.0"/>
    <col customWidth="1" min="3" max="5" width="10.0"/>
    <col customWidth="1" min="6" max="6" width="13.0"/>
    <col customWidth="1" min="7" max="7" width="14.13"/>
    <col customWidth="1" min="8" max="10" width="13.0"/>
    <col customWidth="1" min="11" max="11" width="49.25"/>
    <col customWidth="1" min="12" max="25" width="8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/>
    <row r="3" ht="13.5" customHeight="1">
      <c r="A3" s="5" t="s">
        <v>9</v>
      </c>
      <c r="B3" s="6"/>
      <c r="C3" s="6"/>
      <c r="D3" s="6"/>
      <c r="E3" s="6"/>
      <c r="G3" s="7" t="s">
        <v>3</v>
      </c>
      <c r="H3" s="8"/>
      <c r="I3" s="8"/>
      <c r="J3" s="8"/>
      <c r="K3" s="9"/>
    </row>
    <row r="4" ht="13.5" customHeight="1">
      <c r="A4" s="10" t="s">
        <v>4</v>
      </c>
      <c r="B4" s="10" t="s">
        <v>5</v>
      </c>
      <c r="C4" s="10"/>
      <c r="D4" s="10" t="s">
        <v>6</v>
      </c>
      <c r="E4" s="10" t="s">
        <v>7</v>
      </c>
      <c r="G4" s="11" t="s">
        <v>8</v>
      </c>
      <c r="H4" s="11" t="s">
        <v>11</v>
      </c>
      <c r="I4" s="11" t="s">
        <v>12</v>
      </c>
      <c r="J4" s="11" t="s">
        <v>13</v>
      </c>
      <c r="K4" s="11" t="s">
        <v>14</v>
      </c>
    </row>
    <row r="5" ht="13.5" customHeight="1">
      <c r="A5" s="10" t="s">
        <v>15</v>
      </c>
      <c r="B5" s="10" t="s">
        <v>16</v>
      </c>
      <c r="C5" s="10"/>
      <c r="D5" s="10"/>
      <c r="E5" s="10"/>
      <c r="G5" s="12" t="s">
        <v>17</v>
      </c>
      <c r="H5" s="12" t="s">
        <v>18</v>
      </c>
      <c r="I5" s="12">
        <f>+COUNTA(F13:F42)</f>
        <v>13</v>
      </c>
      <c r="J5" s="13">
        <f t="shared" ref="J5:J9" si="1">IF(SUM($I$5:$I$9)=0,0,I5/SUM($I$5:$I$9))</f>
        <v>0.4642857143</v>
      </c>
      <c r="K5" s="14">
        <f>SUMIF(F13:F42,"●",D13:D42)</f>
        <v>0</v>
      </c>
      <c r="L5" s="16">
        <f>+K5/60</f>
        <v>0</v>
      </c>
    </row>
    <row r="6" ht="13.5" customHeight="1">
      <c r="A6" s="15"/>
      <c r="B6" s="15"/>
      <c r="C6" s="15"/>
      <c r="D6" s="15"/>
      <c r="E6" s="15"/>
      <c r="G6" s="12" t="s">
        <v>19</v>
      </c>
      <c r="H6" s="12" t="s">
        <v>20</v>
      </c>
      <c r="I6" s="12">
        <f>+COUNTA(G13:G37)</f>
        <v>8</v>
      </c>
      <c r="J6" s="13">
        <f t="shared" si="1"/>
        <v>0.2857142857</v>
      </c>
      <c r="K6" s="14">
        <f>SUMIF(G13:G42,"➜",D13:D42)</f>
        <v>0</v>
      </c>
    </row>
    <row r="7" ht="13.5" customHeight="1">
      <c r="A7" s="15"/>
      <c r="B7" s="15"/>
      <c r="C7" s="15"/>
      <c r="D7" s="15"/>
      <c r="E7" s="15"/>
      <c r="G7" s="12" t="s">
        <v>21</v>
      </c>
      <c r="H7" s="12" t="s">
        <v>22</v>
      </c>
      <c r="I7" s="12">
        <f>+COUNTA(H13:H42)</f>
        <v>4</v>
      </c>
      <c r="J7" s="13">
        <f t="shared" si="1"/>
        <v>0.1428571429</v>
      </c>
      <c r="K7" s="14">
        <f>SUMIF(H13:H42,"■",D13:D42)</f>
        <v>0</v>
      </c>
    </row>
    <row r="8" ht="13.5" customHeight="1">
      <c r="A8" s="15"/>
      <c r="B8" s="15"/>
      <c r="C8" s="15"/>
      <c r="D8" s="15"/>
      <c r="E8" s="15"/>
      <c r="G8" s="12" t="s">
        <v>23</v>
      </c>
      <c r="H8" s="12" t="s">
        <v>24</v>
      </c>
      <c r="I8" s="12">
        <f>+COUNTA(I13:I42)</f>
        <v>2</v>
      </c>
      <c r="J8" s="13">
        <f t="shared" si="1"/>
        <v>0.07142857143</v>
      </c>
      <c r="K8" s="14">
        <f>SUMIF(I13:I42,"▼",D13:D42)</f>
        <v>0</v>
      </c>
    </row>
    <row r="9" ht="13.5" customHeight="1">
      <c r="G9" s="12" t="s">
        <v>25</v>
      </c>
      <c r="H9" s="12" t="s">
        <v>26</v>
      </c>
      <c r="I9" s="12">
        <f>+COUNTA(J13:J42)</f>
        <v>1</v>
      </c>
      <c r="J9" s="13">
        <f t="shared" si="1"/>
        <v>0.03571428571</v>
      </c>
      <c r="K9" s="14">
        <f>SUMIF(J13:J42,"◖",D13:D42)</f>
        <v>0</v>
      </c>
    </row>
    <row r="10" ht="13.5" customHeight="1"/>
    <row r="11" ht="21.0" customHeight="1">
      <c r="A11" s="17" t="s">
        <v>27</v>
      </c>
      <c r="B11" s="17" t="s">
        <v>28</v>
      </c>
      <c r="C11" s="18" t="s">
        <v>29</v>
      </c>
      <c r="D11" s="8"/>
      <c r="E11" s="9"/>
      <c r="F11" s="18" t="s">
        <v>11</v>
      </c>
      <c r="G11" s="8"/>
      <c r="H11" s="8"/>
      <c r="I11" s="8"/>
      <c r="J11" s="9"/>
      <c r="K11" s="17" t="s">
        <v>31</v>
      </c>
    </row>
    <row r="12">
      <c r="A12" s="19"/>
      <c r="B12" s="19"/>
      <c r="C12" s="20" t="s">
        <v>32</v>
      </c>
      <c r="D12" s="20" t="s">
        <v>34</v>
      </c>
      <c r="E12" s="20" t="s">
        <v>35</v>
      </c>
      <c r="F12" s="20" t="s">
        <v>36</v>
      </c>
      <c r="G12" s="20" t="s">
        <v>37</v>
      </c>
      <c r="H12" s="20" t="s">
        <v>38</v>
      </c>
      <c r="I12" s="20" t="s">
        <v>39</v>
      </c>
      <c r="J12" s="20" t="s">
        <v>40</v>
      </c>
      <c r="K12" s="19"/>
    </row>
    <row r="13" ht="18.0" customHeight="1">
      <c r="A13" s="21" t="s">
        <v>41</v>
      </c>
      <c r="B13" s="22"/>
      <c r="C13" s="22"/>
      <c r="D13" s="22"/>
      <c r="E13" s="22"/>
      <c r="F13" s="23"/>
      <c r="G13" s="23"/>
      <c r="H13" s="23"/>
      <c r="I13" s="23" t="s">
        <v>24</v>
      </c>
      <c r="J13" s="23"/>
      <c r="K13" s="24" t="s">
        <v>42</v>
      </c>
    </row>
    <row r="14" ht="18.0" customHeight="1">
      <c r="A14" s="21" t="s">
        <v>43</v>
      </c>
      <c r="B14" s="22"/>
      <c r="C14" s="22"/>
      <c r="D14" s="22"/>
      <c r="E14" s="22"/>
      <c r="F14" s="23"/>
      <c r="G14" s="23"/>
      <c r="H14" s="23" t="s">
        <v>22</v>
      </c>
      <c r="I14" s="23"/>
      <c r="J14" s="23"/>
      <c r="K14" s="24" t="s">
        <v>44</v>
      </c>
    </row>
    <row r="15" ht="18.0" customHeight="1">
      <c r="A15" s="21" t="s">
        <v>45</v>
      </c>
      <c r="B15" s="22"/>
      <c r="C15" s="21"/>
      <c r="D15" s="21"/>
      <c r="E15" s="21"/>
      <c r="F15" s="21"/>
      <c r="G15" s="23" t="s">
        <v>20</v>
      </c>
      <c r="H15" s="21"/>
      <c r="I15" s="21"/>
      <c r="J15" s="21"/>
      <c r="K15" s="24" t="s">
        <v>46</v>
      </c>
    </row>
    <row r="16">
      <c r="A16" s="21" t="s">
        <v>47</v>
      </c>
      <c r="B16" s="25"/>
      <c r="C16" s="25"/>
      <c r="D16" s="25"/>
      <c r="E16" s="22"/>
      <c r="F16" s="23" t="s">
        <v>18</v>
      </c>
      <c r="G16" s="23"/>
      <c r="H16" s="23"/>
      <c r="I16" s="23"/>
      <c r="J16" s="23"/>
      <c r="K16" s="24" t="s">
        <v>48</v>
      </c>
    </row>
    <row r="17" ht="18.0" customHeight="1">
      <c r="A17" s="21" t="s">
        <v>49</v>
      </c>
      <c r="B17" s="22"/>
      <c r="C17" s="21"/>
      <c r="D17" s="21"/>
      <c r="E17" s="21"/>
      <c r="F17" s="21"/>
      <c r="G17" s="23" t="s">
        <v>20</v>
      </c>
      <c r="H17" s="21"/>
      <c r="I17" s="21"/>
      <c r="J17" s="21"/>
      <c r="K17" s="24" t="s">
        <v>50</v>
      </c>
    </row>
    <row r="18" ht="18.0" customHeight="1">
      <c r="A18" s="21" t="s">
        <v>51</v>
      </c>
      <c r="B18" s="22"/>
      <c r="C18" s="21"/>
      <c r="D18" s="21"/>
      <c r="E18" s="21"/>
      <c r="F18" s="23" t="s">
        <v>18</v>
      </c>
      <c r="G18" s="23"/>
      <c r="H18" s="21"/>
      <c r="I18" s="21"/>
      <c r="J18" s="21"/>
      <c r="K18" s="24" t="s">
        <v>52</v>
      </c>
    </row>
    <row r="19" ht="18.0" customHeight="1">
      <c r="A19" s="21" t="s">
        <v>72</v>
      </c>
      <c r="B19" s="22"/>
      <c r="C19" s="21"/>
      <c r="D19" s="21"/>
      <c r="E19" s="21"/>
      <c r="F19" s="23"/>
      <c r="G19" s="23" t="s">
        <v>20</v>
      </c>
      <c r="H19" s="21"/>
      <c r="I19" s="21"/>
      <c r="J19" s="21"/>
      <c r="K19" s="24" t="s">
        <v>50</v>
      </c>
    </row>
    <row r="20" ht="13.5" customHeight="1">
      <c r="A20" s="21" t="s">
        <v>73</v>
      </c>
      <c r="B20" s="22"/>
      <c r="C20" s="22"/>
      <c r="D20" s="22"/>
      <c r="E20" s="22"/>
      <c r="F20" s="23" t="s">
        <v>18</v>
      </c>
      <c r="G20" s="23"/>
      <c r="H20" s="23"/>
      <c r="I20" s="23"/>
      <c r="J20" s="23"/>
      <c r="K20" s="24" t="s">
        <v>76</v>
      </c>
    </row>
    <row r="21" ht="13.5" customHeight="1">
      <c r="A21" s="21" t="s">
        <v>84</v>
      </c>
      <c r="B21" s="22"/>
      <c r="C21" s="22"/>
      <c r="D21" s="22"/>
      <c r="E21" s="22"/>
      <c r="F21" s="23"/>
      <c r="G21" s="23"/>
      <c r="H21" s="23" t="s">
        <v>22</v>
      </c>
      <c r="I21" s="23"/>
      <c r="J21" s="23"/>
      <c r="K21" s="24" t="s">
        <v>80</v>
      </c>
    </row>
    <row r="22" ht="18.0" customHeight="1">
      <c r="A22" s="21" t="s">
        <v>82</v>
      </c>
      <c r="B22" s="22"/>
      <c r="C22" s="21"/>
      <c r="D22" s="21"/>
      <c r="E22" s="21"/>
      <c r="F22" s="21"/>
      <c r="G22" s="23" t="s">
        <v>20</v>
      </c>
      <c r="H22" s="21"/>
      <c r="I22" s="21"/>
      <c r="J22" s="21"/>
      <c r="K22" s="24" t="s">
        <v>90</v>
      </c>
    </row>
    <row r="23" ht="18.0" customHeight="1">
      <c r="A23" s="21" t="s">
        <v>88</v>
      </c>
      <c r="B23" s="22"/>
      <c r="C23" s="22"/>
      <c r="D23" s="22"/>
      <c r="E23" s="21"/>
      <c r="F23" s="23" t="s">
        <v>18</v>
      </c>
      <c r="G23" s="23"/>
      <c r="H23" s="21"/>
      <c r="I23" s="21"/>
      <c r="J23" s="21"/>
      <c r="K23" s="24" t="s">
        <v>92</v>
      </c>
    </row>
    <row r="24">
      <c r="A24" s="21" t="s">
        <v>93</v>
      </c>
      <c r="B24" s="22"/>
      <c r="C24" s="22"/>
      <c r="D24" s="22"/>
      <c r="E24" s="22"/>
      <c r="F24" s="23" t="s">
        <v>18</v>
      </c>
      <c r="G24" s="23"/>
      <c r="H24" s="23"/>
      <c r="I24" s="23"/>
      <c r="J24" s="23"/>
      <c r="K24" s="24" t="s">
        <v>96</v>
      </c>
    </row>
    <row r="25" ht="13.5" customHeight="1">
      <c r="A25" s="21" t="s">
        <v>98</v>
      </c>
      <c r="B25" s="22"/>
      <c r="C25" s="22"/>
      <c r="D25" s="22"/>
      <c r="E25" s="22"/>
      <c r="F25" s="23"/>
      <c r="G25" s="23" t="s">
        <v>20</v>
      </c>
      <c r="H25" s="23"/>
      <c r="I25" s="23"/>
      <c r="J25" s="23"/>
      <c r="K25" s="24" t="s">
        <v>103</v>
      </c>
    </row>
    <row r="26" ht="13.5" customHeight="1">
      <c r="A26" s="21" t="s">
        <v>104</v>
      </c>
      <c r="B26" s="22"/>
      <c r="C26" s="22"/>
      <c r="D26" s="22"/>
      <c r="E26" s="22"/>
      <c r="F26" s="23" t="s">
        <v>18</v>
      </c>
      <c r="G26" s="23"/>
      <c r="H26" s="23"/>
      <c r="I26" s="23"/>
      <c r="J26" s="23"/>
      <c r="K26" s="24" t="s">
        <v>108</v>
      </c>
    </row>
    <row r="27" ht="13.5" customHeight="1">
      <c r="A27" s="21" t="s">
        <v>109</v>
      </c>
      <c r="B27" s="22"/>
      <c r="C27" s="22"/>
      <c r="D27" s="22"/>
      <c r="E27" s="22"/>
      <c r="F27" s="23"/>
      <c r="G27" s="23" t="s">
        <v>20</v>
      </c>
      <c r="H27" s="23"/>
      <c r="I27" s="23"/>
      <c r="J27" s="23"/>
      <c r="K27" s="24" t="s">
        <v>103</v>
      </c>
    </row>
    <row r="28" ht="13.5" customHeight="1">
      <c r="A28" s="21" t="s">
        <v>102</v>
      </c>
      <c r="B28" s="22"/>
      <c r="C28" s="22"/>
      <c r="D28" s="22"/>
      <c r="E28" s="22"/>
      <c r="F28" s="23" t="s">
        <v>18</v>
      </c>
      <c r="G28" s="23"/>
      <c r="H28" s="23"/>
      <c r="I28" s="23"/>
      <c r="J28" s="23"/>
      <c r="K28" s="24"/>
    </row>
    <row r="29" ht="13.5" customHeight="1">
      <c r="A29" s="21" t="s">
        <v>107</v>
      </c>
      <c r="B29" s="22"/>
      <c r="C29" s="22"/>
      <c r="D29" s="22"/>
      <c r="E29" s="22"/>
      <c r="F29" s="23"/>
      <c r="G29" s="23" t="s">
        <v>20</v>
      </c>
      <c r="H29" s="23"/>
      <c r="I29" s="23"/>
      <c r="J29" s="23"/>
      <c r="K29" s="24" t="s">
        <v>125</v>
      </c>
    </row>
    <row r="30" ht="27.0" customHeight="1">
      <c r="A30" s="21" t="s">
        <v>127</v>
      </c>
      <c r="B30" s="22"/>
      <c r="C30" s="22"/>
      <c r="D30" s="22"/>
      <c r="E30" s="22"/>
      <c r="F30" s="23" t="s">
        <v>18</v>
      </c>
      <c r="G30" s="23"/>
      <c r="H30" s="23"/>
      <c r="I30" s="23"/>
      <c r="J30" s="23"/>
      <c r="K30" s="24" t="s">
        <v>129</v>
      </c>
    </row>
    <row r="31" ht="13.5" customHeight="1">
      <c r="A31" s="21" t="s">
        <v>113</v>
      </c>
      <c r="B31" s="22"/>
      <c r="C31" s="22"/>
      <c r="D31" s="22"/>
      <c r="E31" s="22"/>
      <c r="F31" s="23" t="s">
        <v>18</v>
      </c>
      <c r="G31" s="23"/>
      <c r="H31" s="23"/>
      <c r="I31" s="23"/>
      <c r="J31" s="23"/>
      <c r="K31" s="27" t="s">
        <v>116</v>
      </c>
    </row>
    <row r="32" ht="13.5" customHeight="1">
      <c r="A32" s="21" t="s">
        <v>117</v>
      </c>
      <c r="B32" s="22"/>
      <c r="C32" s="22"/>
      <c r="D32" s="22"/>
      <c r="E32" s="22"/>
      <c r="F32" s="23"/>
      <c r="G32" s="23" t="s">
        <v>20</v>
      </c>
      <c r="H32" s="23"/>
      <c r="I32" s="23"/>
      <c r="J32" s="23"/>
      <c r="K32" s="24" t="s">
        <v>136</v>
      </c>
    </row>
    <row r="33" ht="13.5" customHeight="1">
      <c r="A33" s="21" t="s">
        <v>122</v>
      </c>
      <c r="B33" s="22"/>
      <c r="C33" s="22"/>
      <c r="D33" s="22"/>
      <c r="E33" s="22"/>
      <c r="F33" s="23"/>
      <c r="G33" s="23"/>
      <c r="H33" s="23" t="s">
        <v>22</v>
      </c>
      <c r="I33" s="23"/>
      <c r="J33" s="23"/>
      <c r="K33" s="24" t="s">
        <v>138</v>
      </c>
    </row>
    <row r="34" ht="13.5" customHeight="1">
      <c r="A34" s="21" t="s">
        <v>139</v>
      </c>
      <c r="B34" s="22"/>
      <c r="C34" s="22"/>
      <c r="D34" s="22"/>
      <c r="E34" s="22"/>
      <c r="F34" s="23" t="s">
        <v>18</v>
      </c>
      <c r="G34" s="23"/>
      <c r="H34" s="23"/>
      <c r="I34" s="23"/>
      <c r="J34" s="23"/>
      <c r="K34" s="24" t="s">
        <v>141</v>
      </c>
    </row>
    <row r="35" ht="13.5" customHeight="1">
      <c r="A35" s="21" t="s">
        <v>91</v>
      </c>
      <c r="B35" s="22"/>
      <c r="C35" s="22"/>
      <c r="D35" s="22"/>
      <c r="E35" s="22"/>
      <c r="F35" s="23" t="s">
        <v>18</v>
      </c>
      <c r="G35" s="23"/>
      <c r="H35" s="23"/>
      <c r="I35" s="23"/>
      <c r="J35" s="23"/>
      <c r="K35" s="24" t="s">
        <v>131</v>
      </c>
    </row>
    <row r="36" ht="13.5" customHeight="1">
      <c r="A36" s="21" t="s">
        <v>133</v>
      </c>
      <c r="B36" s="22"/>
      <c r="C36" s="22"/>
      <c r="D36" s="22"/>
      <c r="E36" s="22"/>
      <c r="F36" s="23"/>
      <c r="G36" s="23"/>
      <c r="H36" s="23" t="s">
        <v>22</v>
      </c>
      <c r="I36" s="23"/>
      <c r="J36" s="23"/>
      <c r="K36" s="27" t="s">
        <v>135</v>
      </c>
    </row>
    <row r="37" ht="13.5" customHeight="1">
      <c r="A37" s="21" t="s">
        <v>106</v>
      </c>
      <c r="B37" s="22"/>
      <c r="C37" s="22"/>
      <c r="D37" s="22"/>
      <c r="E37" s="22"/>
      <c r="F37" s="23" t="s">
        <v>18</v>
      </c>
      <c r="G37" s="23"/>
      <c r="H37" s="23"/>
      <c r="I37" s="23"/>
      <c r="J37" s="23"/>
      <c r="K37" s="24" t="s">
        <v>137</v>
      </c>
    </row>
    <row r="38" ht="13.5" customHeight="1">
      <c r="A38" s="21" t="s">
        <v>111</v>
      </c>
      <c r="B38" s="22"/>
      <c r="C38" s="22"/>
      <c r="D38" s="22"/>
      <c r="E38" s="22"/>
      <c r="F38" s="23" t="s">
        <v>18</v>
      </c>
      <c r="G38" s="23"/>
      <c r="H38" s="23"/>
      <c r="I38" s="23"/>
      <c r="J38" s="23"/>
      <c r="K38" s="24" t="s">
        <v>140</v>
      </c>
    </row>
    <row r="39" ht="28.5" customHeight="1">
      <c r="A39" s="21" t="s">
        <v>115</v>
      </c>
      <c r="B39" s="22"/>
      <c r="C39" s="21"/>
      <c r="D39" s="21"/>
      <c r="E39" s="21"/>
      <c r="F39" s="21"/>
      <c r="G39" s="23" t="s">
        <v>20</v>
      </c>
      <c r="H39" s="21"/>
      <c r="I39" s="21"/>
      <c r="J39" s="30"/>
      <c r="K39" s="24" t="s">
        <v>124</v>
      </c>
    </row>
    <row r="40" ht="28.5" customHeight="1">
      <c r="A40" s="21" t="s">
        <v>120</v>
      </c>
      <c r="B40" s="22"/>
      <c r="C40" s="21"/>
      <c r="D40" s="21"/>
      <c r="E40" s="21"/>
      <c r="F40" s="21"/>
      <c r="G40" s="23"/>
      <c r="H40" s="21"/>
      <c r="I40" s="4"/>
      <c r="J40" s="23" t="s">
        <v>26</v>
      </c>
      <c r="K40" s="31" t="s">
        <v>123</v>
      </c>
    </row>
    <row r="41" ht="28.5" customHeight="1">
      <c r="A41" s="21" t="s">
        <v>126</v>
      </c>
      <c r="B41" s="22"/>
      <c r="C41" s="21"/>
      <c r="D41" s="21"/>
      <c r="E41" s="21"/>
      <c r="F41" s="21"/>
      <c r="G41" s="23" t="s">
        <v>20</v>
      </c>
      <c r="H41" s="21"/>
      <c r="I41" s="21"/>
      <c r="J41" s="32"/>
      <c r="K41" s="24" t="s">
        <v>130</v>
      </c>
    </row>
    <row r="42" ht="13.5" customHeight="1">
      <c r="A42" s="21" t="s">
        <v>132</v>
      </c>
      <c r="B42" s="22"/>
      <c r="C42" s="21"/>
      <c r="D42" s="21"/>
      <c r="E42" s="21"/>
      <c r="F42" s="21"/>
      <c r="G42" s="23"/>
      <c r="H42" s="21"/>
      <c r="I42" s="23" t="s">
        <v>24</v>
      </c>
      <c r="J42" s="21"/>
      <c r="K42" s="24"/>
    </row>
    <row r="43" ht="13.5" customHeight="1">
      <c r="A43" s="34" t="s">
        <v>134</v>
      </c>
      <c r="B43" s="33">
        <f t="shared" ref="B43:C43" si="2">SUM(B13:B42)</f>
        <v>0</v>
      </c>
      <c r="C43" s="33">
        <f t="shared" si="2"/>
        <v>0</v>
      </c>
      <c r="D43" s="33">
        <f>+SUM(D13:D23)+SUM(D25:D34)+SUM(D36:D42)</f>
        <v>0</v>
      </c>
      <c r="E43" s="33">
        <f>SUM(E16:E37)</f>
        <v>0</v>
      </c>
      <c r="F43" s="18"/>
      <c r="G43" s="8"/>
      <c r="H43" s="8"/>
      <c r="I43" s="8"/>
      <c r="J43" s="9"/>
      <c r="K43" s="34"/>
    </row>
    <row r="44" ht="13.5" customHeight="1">
      <c r="D44" s="16">
        <f>+D43/60</f>
        <v>0</v>
      </c>
    </row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8">
    <mergeCell ref="A1:K1"/>
    <mergeCell ref="G3:K3"/>
    <mergeCell ref="A11:A12"/>
    <mergeCell ref="B11:B12"/>
    <mergeCell ref="C11:E11"/>
    <mergeCell ref="F11:J11"/>
    <mergeCell ref="K11:K12"/>
    <mergeCell ref="F43:J4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6.75"/>
    <col customWidth="1" min="2" max="2" width="8.0"/>
    <col customWidth="1" min="3" max="5" width="10.0"/>
    <col customWidth="1" min="6" max="6" width="13.0"/>
    <col customWidth="1" min="7" max="7" width="14.13"/>
    <col customWidth="1" min="8" max="10" width="13.0"/>
    <col customWidth="1" min="11" max="11" width="51.13"/>
    <col customWidth="1" min="12" max="25" width="8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/>
    <row r="3" ht="13.5" customHeight="1">
      <c r="A3" s="5" t="s">
        <v>10</v>
      </c>
      <c r="B3" s="6"/>
      <c r="C3" s="6"/>
      <c r="D3" s="6"/>
      <c r="E3" s="6"/>
      <c r="G3" s="7" t="s">
        <v>3</v>
      </c>
      <c r="H3" s="8"/>
      <c r="I3" s="8"/>
      <c r="J3" s="8"/>
      <c r="K3" s="9"/>
    </row>
    <row r="4" ht="13.5" customHeight="1">
      <c r="A4" s="10" t="s">
        <v>4</v>
      </c>
      <c r="B4" s="10" t="s">
        <v>5</v>
      </c>
      <c r="C4" s="10"/>
      <c r="D4" s="10" t="s">
        <v>6</v>
      </c>
      <c r="E4" s="10" t="s">
        <v>7</v>
      </c>
      <c r="G4" s="11" t="s">
        <v>8</v>
      </c>
      <c r="H4" s="11" t="s">
        <v>11</v>
      </c>
      <c r="I4" s="11" t="s">
        <v>12</v>
      </c>
      <c r="J4" s="11" t="s">
        <v>13</v>
      </c>
      <c r="K4" s="11" t="s">
        <v>14</v>
      </c>
    </row>
    <row r="5" ht="13.5" customHeight="1">
      <c r="A5" s="10" t="s">
        <v>15</v>
      </c>
      <c r="B5" s="10" t="s">
        <v>16</v>
      </c>
      <c r="C5" s="10"/>
      <c r="D5" s="10"/>
      <c r="E5" s="10"/>
      <c r="G5" s="12" t="s">
        <v>17</v>
      </c>
      <c r="H5" s="12" t="s">
        <v>18</v>
      </c>
      <c r="I5" s="12">
        <f>+COUNTA(F13:F39)</f>
        <v>10</v>
      </c>
      <c r="J5" s="13">
        <f t="shared" ref="J5:J9" si="1">IF(SUM($I$5:$I$9)=0,0,I5/SUM($I$5:$I$9))</f>
        <v>0.3703703704</v>
      </c>
      <c r="K5" s="14">
        <f>SUMIF(F13:F39,"●",D13:D39)</f>
        <v>0</v>
      </c>
      <c r="L5" s="16">
        <f>+K5/60</f>
        <v>0</v>
      </c>
    </row>
    <row r="6" ht="13.5" customHeight="1">
      <c r="A6" s="15"/>
      <c r="B6" s="15"/>
      <c r="C6" s="15"/>
      <c r="D6" s="15"/>
      <c r="E6" s="15"/>
      <c r="G6" s="12" t="s">
        <v>19</v>
      </c>
      <c r="H6" s="12" t="s">
        <v>20</v>
      </c>
      <c r="I6" s="12">
        <f>+COUNTA(G13:G39)</f>
        <v>10</v>
      </c>
      <c r="J6" s="13">
        <f t="shared" si="1"/>
        <v>0.3703703704</v>
      </c>
      <c r="K6" s="14">
        <f>SUMIF(G13:G39,"➜",D13:D39)</f>
        <v>0</v>
      </c>
    </row>
    <row r="7" ht="13.5" customHeight="1">
      <c r="A7" s="15"/>
      <c r="B7" s="15"/>
      <c r="C7" s="15"/>
      <c r="D7" s="15"/>
      <c r="E7" s="15"/>
      <c r="G7" s="12" t="s">
        <v>21</v>
      </c>
      <c r="H7" s="12" t="s">
        <v>22</v>
      </c>
      <c r="I7" s="12">
        <f>+COUNTA(H13:H39)</f>
        <v>4</v>
      </c>
      <c r="J7" s="13">
        <f t="shared" si="1"/>
        <v>0.1481481481</v>
      </c>
      <c r="K7" s="14">
        <f>SUMIF(H13:H39,"■",D13:D39)</f>
        <v>0</v>
      </c>
    </row>
    <row r="8" ht="13.5" customHeight="1">
      <c r="A8" s="15"/>
      <c r="B8" s="15"/>
      <c r="C8" s="15"/>
      <c r="D8" s="15"/>
      <c r="E8" s="15"/>
      <c r="G8" s="12" t="s">
        <v>23</v>
      </c>
      <c r="H8" s="12" t="s">
        <v>24</v>
      </c>
      <c r="I8" s="12">
        <f>+COUNTA(I13:I39)</f>
        <v>2</v>
      </c>
      <c r="J8" s="13">
        <f t="shared" si="1"/>
        <v>0.07407407407</v>
      </c>
      <c r="K8" s="14">
        <f>SUMIF(I13:I39,"▼",D13:D39)</f>
        <v>0</v>
      </c>
    </row>
    <row r="9" ht="13.5" customHeight="1">
      <c r="G9" s="12" t="s">
        <v>25</v>
      </c>
      <c r="H9" s="12" t="s">
        <v>26</v>
      </c>
      <c r="I9" s="12">
        <f>+COUNTA(J13:J39)</f>
        <v>1</v>
      </c>
      <c r="J9" s="13">
        <f t="shared" si="1"/>
        <v>0.03703703704</v>
      </c>
      <c r="K9" s="14">
        <f>SUMIF(J13:J39,"◖",D13:D39)</f>
        <v>0</v>
      </c>
    </row>
    <row r="10" ht="13.5" customHeight="1"/>
    <row r="11" ht="21.0" customHeight="1">
      <c r="A11" s="17" t="s">
        <v>27</v>
      </c>
      <c r="B11" s="17" t="s">
        <v>33</v>
      </c>
      <c r="C11" s="18" t="s">
        <v>29</v>
      </c>
      <c r="D11" s="8"/>
      <c r="E11" s="9"/>
      <c r="F11" s="18" t="s">
        <v>11</v>
      </c>
      <c r="G11" s="8"/>
      <c r="H11" s="8"/>
      <c r="I11" s="8"/>
      <c r="J11" s="9"/>
      <c r="K11" s="17" t="s">
        <v>31</v>
      </c>
    </row>
    <row r="12">
      <c r="A12" s="19"/>
      <c r="B12" s="19"/>
      <c r="C12" s="20" t="s">
        <v>32</v>
      </c>
      <c r="D12" s="20" t="s">
        <v>34</v>
      </c>
      <c r="E12" s="20" t="s">
        <v>35</v>
      </c>
      <c r="F12" s="20" t="s">
        <v>36</v>
      </c>
      <c r="G12" s="20" t="s">
        <v>37</v>
      </c>
      <c r="H12" s="20" t="s">
        <v>38</v>
      </c>
      <c r="I12" s="20" t="s">
        <v>39</v>
      </c>
      <c r="J12" s="20" t="s">
        <v>40</v>
      </c>
      <c r="K12" s="19"/>
    </row>
    <row r="13" ht="18.0" customHeight="1">
      <c r="A13" s="21" t="s">
        <v>41</v>
      </c>
      <c r="B13" s="22"/>
      <c r="C13" s="22"/>
      <c r="D13" s="22"/>
      <c r="E13" s="22"/>
      <c r="F13" s="23"/>
      <c r="G13" s="23"/>
      <c r="H13" s="23"/>
      <c r="I13" s="23" t="s">
        <v>24</v>
      </c>
      <c r="J13" s="23"/>
      <c r="K13" s="24" t="s">
        <v>42</v>
      </c>
    </row>
    <row r="14" ht="18.0" customHeight="1">
      <c r="A14" s="21" t="s">
        <v>43</v>
      </c>
      <c r="B14" s="22"/>
      <c r="C14" s="22"/>
      <c r="D14" s="22"/>
      <c r="E14" s="22"/>
      <c r="F14" s="23"/>
      <c r="G14" s="23"/>
      <c r="H14" s="23" t="s">
        <v>22</v>
      </c>
      <c r="I14" s="23"/>
      <c r="J14" s="23"/>
      <c r="K14" s="24" t="s">
        <v>44</v>
      </c>
    </row>
    <row r="15" ht="18.0" customHeight="1">
      <c r="A15" s="21" t="s">
        <v>45</v>
      </c>
      <c r="B15" s="21"/>
      <c r="C15" s="21"/>
      <c r="D15" s="21"/>
      <c r="E15" s="21"/>
      <c r="F15" s="21"/>
      <c r="G15" s="23" t="s">
        <v>20</v>
      </c>
      <c r="H15" s="21"/>
      <c r="I15" s="21"/>
      <c r="J15" s="21"/>
      <c r="K15" s="24" t="s">
        <v>59</v>
      </c>
    </row>
    <row r="16">
      <c r="A16" s="21" t="s">
        <v>47</v>
      </c>
      <c r="B16" s="25"/>
      <c r="C16" s="25"/>
      <c r="D16" s="25"/>
      <c r="E16" s="22"/>
      <c r="F16" s="23" t="s">
        <v>18</v>
      </c>
      <c r="G16" s="23"/>
      <c r="H16" s="23"/>
      <c r="I16" s="23"/>
      <c r="J16" s="23"/>
      <c r="K16" s="24" t="s">
        <v>48</v>
      </c>
    </row>
    <row r="17" ht="18.0" customHeight="1">
      <c r="A17" s="21" t="s">
        <v>49</v>
      </c>
      <c r="B17" s="22"/>
      <c r="C17" s="22"/>
      <c r="D17" s="22"/>
      <c r="E17" s="21"/>
      <c r="F17" s="21"/>
      <c r="G17" s="23" t="s">
        <v>20</v>
      </c>
      <c r="H17" s="21"/>
      <c r="I17" s="21"/>
      <c r="J17" s="21"/>
      <c r="K17" s="24" t="s">
        <v>66</v>
      </c>
    </row>
    <row r="18" ht="18.0" customHeight="1">
      <c r="A18" s="21" t="s">
        <v>51</v>
      </c>
      <c r="B18" s="22"/>
      <c r="C18" s="22"/>
      <c r="D18" s="22"/>
      <c r="E18" s="21"/>
      <c r="F18" s="23" t="s">
        <v>18</v>
      </c>
      <c r="G18" s="23"/>
      <c r="H18" s="21"/>
      <c r="I18" s="21"/>
      <c r="J18" s="21"/>
      <c r="K18" s="24" t="s">
        <v>69</v>
      </c>
    </row>
    <row r="19" ht="18.0" customHeight="1">
      <c r="A19" s="21" t="s">
        <v>53</v>
      </c>
      <c r="B19" s="22"/>
      <c r="C19" s="22"/>
      <c r="D19" s="22"/>
      <c r="E19" s="21"/>
      <c r="F19" s="23"/>
      <c r="G19" s="23" t="s">
        <v>20</v>
      </c>
      <c r="H19" s="21"/>
      <c r="I19" s="21"/>
      <c r="J19" s="21"/>
      <c r="K19" s="24" t="s">
        <v>66</v>
      </c>
    </row>
    <row r="20" ht="13.5" customHeight="1">
      <c r="A20" s="21" t="s">
        <v>73</v>
      </c>
      <c r="B20" s="25"/>
      <c r="C20" s="22"/>
      <c r="D20" s="22"/>
      <c r="E20" s="22"/>
      <c r="F20" s="23" t="s">
        <v>18</v>
      </c>
      <c r="G20" s="23"/>
      <c r="H20" s="23"/>
      <c r="I20" s="23"/>
      <c r="J20" s="23"/>
      <c r="K20" s="24" t="s">
        <v>76</v>
      </c>
    </row>
    <row r="21" ht="13.5" customHeight="1">
      <c r="A21" s="21" t="s">
        <v>78</v>
      </c>
      <c r="B21" s="22"/>
      <c r="C21" s="22"/>
      <c r="D21" s="22"/>
      <c r="E21" s="22"/>
      <c r="F21" s="23"/>
      <c r="G21" s="23"/>
      <c r="H21" s="23" t="s">
        <v>22</v>
      </c>
      <c r="I21" s="23"/>
      <c r="J21" s="23"/>
      <c r="K21" s="24" t="s">
        <v>80</v>
      </c>
    </row>
    <row r="22" ht="18.0" customHeight="1">
      <c r="A22" s="21" t="s">
        <v>82</v>
      </c>
      <c r="B22" s="22"/>
      <c r="C22" s="22"/>
      <c r="D22" s="22"/>
      <c r="E22" s="21"/>
      <c r="F22" s="21"/>
      <c r="G22" s="23" t="s">
        <v>20</v>
      </c>
      <c r="H22" s="21"/>
      <c r="I22" s="21"/>
      <c r="J22" s="21"/>
      <c r="K22" s="24" t="s">
        <v>87</v>
      </c>
    </row>
    <row r="23" ht="18.0" customHeight="1">
      <c r="A23" s="21" t="s">
        <v>88</v>
      </c>
      <c r="B23" s="25"/>
      <c r="C23" s="22"/>
      <c r="D23" s="22"/>
      <c r="E23" s="21"/>
      <c r="F23" s="23" t="s">
        <v>18</v>
      </c>
      <c r="G23" s="23"/>
      <c r="H23" s="21"/>
      <c r="I23" s="21"/>
      <c r="J23" s="21"/>
      <c r="K23" s="24" t="s">
        <v>92</v>
      </c>
    </row>
    <row r="24">
      <c r="A24" s="21" t="s">
        <v>93</v>
      </c>
      <c r="B24" s="25"/>
      <c r="C24" s="22"/>
      <c r="D24" s="22"/>
      <c r="E24" s="22"/>
      <c r="F24" s="23" t="s">
        <v>18</v>
      </c>
      <c r="G24" s="23"/>
      <c r="H24" s="23"/>
      <c r="I24" s="23"/>
      <c r="J24" s="23"/>
      <c r="K24" s="24" t="s">
        <v>96</v>
      </c>
    </row>
    <row r="25" ht="13.5" customHeight="1">
      <c r="A25" s="21" t="s">
        <v>97</v>
      </c>
      <c r="B25" s="22"/>
      <c r="C25" s="22"/>
      <c r="D25" s="22"/>
      <c r="E25" s="22"/>
      <c r="F25" s="23"/>
      <c r="G25" s="23" t="s">
        <v>20</v>
      </c>
      <c r="H25" s="23"/>
      <c r="I25" s="23"/>
      <c r="J25" s="23"/>
      <c r="K25" s="24" t="s">
        <v>101</v>
      </c>
    </row>
    <row r="26" ht="13.5" customHeight="1">
      <c r="A26" s="21" t="s">
        <v>102</v>
      </c>
      <c r="B26" s="25"/>
      <c r="C26" s="22"/>
      <c r="D26" s="22"/>
      <c r="E26" s="22"/>
      <c r="F26" s="23" t="s">
        <v>18</v>
      </c>
      <c r="G26" s="23"/>
      <c r="H26" s="23"/>
      <c r="I26" s="23"/>
      <c r="J26" s="23"/>
      <c r="K26" s="24"/>
    </row>
    <row r="27" ht="13.5" customHeight="1">
      <c r="A27" s="21" t="s">
        <v>107</v>
      </c>
      <c r="B27" s="22"/>
      <c r="C27" s="22"/>
      <c r="D27" s="22"/>
      <c r="E27" s="22"/>
      <c r="F27" s="23"/>
      <c r="G27" s="23" t="s">
        <v>20</v>
      </c>
      <c r="H27" s="23"/>
      <c r="I27" s="23"/>
      <c r="J27" s="23"/>
      <c r="K27" s="24" t="s">
        <v>112</v>
      </c>
    </row>
    <row r="28" ht="13.5" customHeight="1">
      <c r="A28" s="21" t="s">
        <v>113</v>
      </c>
      <c r="B28" s="25"/>
      <c r="C28" s="22"/>
      <c r="D28" s="22"/>
      <c r="E28" s="22"/>
      <c r="F28" s="23" t="s">
        <v>18</v>
      </c>
      <c r="G28" s="23"/>
      <c r="H28" s="23"/>
      <c r="I28" s="23"/>
      <c r="J28" s="23"/>
      <c r="K28" s="27" t="s">
        <v>116</v>
      </c>
    </row>
    <row r="29" ht="13.5" customHeight="1">
      <c r="A29" s="21" t="s">
        <v>117</v>
      </c>
      <c r="B29" s="25"/>
      <c r="C29" s="22"/>
      <c r="D29" s="22"/>
      <c r="E29" s="22"/>
      <c r="F29" s="23"/>
      <c r="G29" s="23" t="s">
        <v>20</v>
      </c>
      <c r="H29" s="23"/>
      <c r="I29" s="23"/>
      <c r="J29" s="23"/>
      <c r="K29" s="24" t="s">
        <v>121</v>
      </c>
    </row>
    <row r="30" ht="13.5" customHeight="1">
      <c r="A30" s="21" t="s">
        <v>122</v>
      </c>
      <c r="B30" s="22"/>
      <c r="C30" s="22"/>
      <c r="D30" s="22"/>
      <c r="E30" s="22"/>
      <c r="F30" s="23"/>
      <c r="G30" s="23"/>
      <c r="H30" s="23" t="s">
        <v>22</v>
      </c>
      <c r="I30" s="23"/>
      <c r="J30" s="23"/>
      <c r="K30" s="24" t="s">
        <v>128</v>
      </c>
    </row>
    <row r="31" ht="13.5" customHeight="1">
      <c r="A31" s="21" t="s">
        <v>91</v>
      </c>
      <c r="B31" s="25"/>
      <c r="C31" s="22"/>
      <c r="D31" s="22"/>
      <c r="E31" s="22"/>
      <c r="F31" s="23" t="s">
        <v>18</v>
      </c>
      <c r="G31" s="23"/>
      <c r="H31" s="23"/>
      <c r="I31" s="23"/>
      <c r="J31" s="23"/>
      <c r="K31" s="24" t="s">
        <v>131</v>
      </c>
    </row>
    <row r="32" ht="13.5" customHeight="1">
      <c r="A32" s="21" t="s">
        <v>133</v>
      </c>
      <c r="B32" s="22"/>
      <c r="C32" s="22"/>
      <c r="D32" s="22"/>
      <c r="E32" s="22"/>
      <c r="F32" s="23"/>
      <c r="G32" s="23"/>
      <c r="H32" s="23" t="s">
        <v>22</v>
      </c>
      <c r="I32" s="23"/>
      <c r="J32" s="23"/>
      <c r="K32" s="27" t="s">
        <v>135</v>
      </c>
    </row>
    <row r="33" ht="13.5" customHeight="1">
      <c r="A33" s="21" t="s">
        <v>106</v>
      </c>
      <c r="B33" s="25"/>
      <c r="C33" s="22"/>
      <c r="D33" s="22"/>
      <c r="E33" s="22"/>
      <c r="F33" s="23" t="s">
        <v>18</v>
      </c>
      <c r="G33" s="23"/>
      <c r="H33" s="23"/>
      <c r="I33" s="23"/>
      <c r="J33" s="23"/>
      <c r="K33" s="24" t="s">
        <v>137</v>
      </c>
    </row>
    <row r="34" ht="13.5" customHeight="1">
      <c r="A34" s="21" t="s">
        <v>111</v>
      </c>
      <c r="B34" s="25"/>
      <c r="C34" s="22"/>
      <c r="D34" s="22"/>
      <c r="E34" s="22"/>
      <c r="F34" s="23" t="s">
        <v>18</v>
      </c>
      <c r="G34" s="23"/>
      <c r="H34" s="23"/>
      <c r="I34" s="23"/>
      <c r="J34" s="23"/>
      <c r="K34" s="24" t="s">
        <v>140</v>
      </c>
    </row>
    <row r="35" ht="28.5" customHeight="1">
      <c r="A35" s="21" t="s">
        <v>142</v>
      </c>
      <c r="B35" s="22"/>
      <c r="C35" s="22"/>
      <c r="D35" s="22"/>
      <c r="E35" s="21"/>
      <c r="F35" s="21"/>
      <c r="G35" s="23" t="s">
        <v>20</v>
      </c>
      <c r="H35" s="21"/>
      <c r="I35" s="21"/>
      <c r="J35" s="21"/>
      <c r="K35" s="24" t="s">
        <v>143</v>
      </c>
    </row>
    <row r="36" ht="28.5" customHeight="1">
      <c r="A36" s="21" t="s">
        <v>115</v>
      </c>
      <c r="B36" s="22"/>
      <c r="C36" s="22"/>
      <c r="D36" s="22"/>
      <c r="E36" s="21"/>
      <c r="F36" s="21"/>
      <c r="G36" s="23" t="s">
        <v>20</v>
      </c>
      <c r="H36" s="21"/>
      <c r="I36" s="21"/>
      <c r="J36" s="30"/>
      <c r="K36" s="24" t="s">
        <v>144</v>
      </c>
    </row>
    <row r="37" ht="28.5" customHeight="1">
      <c r="A37" s="21" t="s">
        <v>120</v>
      </c>
      <c r="B37" s="22"/>
      <c r="C37" s="22"/>
      <c r="D37" s="22"/>
      <c r="E37" s="21"/>
      <c r="F37" s="21"/>
      <c r="G37" s="23"/>
      <c r="H37" s="21"/>
      <c r="I37" s="4"/>
      <c r="J37" s="23" t="s">
        <v>26</v>
      </c>
      <c r="K37" s="31" t="s">
        <v>123</v>
      </c>
    </row>
    <row r="38" ht="28.5" customHeight="1">
      <c r="A38" s="21" t="s">
        <v>126</v>
      </c>
      <c r="B38" s="22"/>
      <c r="C38" s="22"/>
      <c r="D38" s="22"/>
      <c r="E38" s="21"/>
      <c r="F38" s="21"/>
      <c r="G38" s="23" t="s">
        <v>20</v>
      </c>
      <c r="H38" s="21"/>
      <c r="I38" s="21"/>
      <c r="J38" s="32"/>
      <c r="K38" s="24" t="s">
        <v>145</v>
      </c>
    </row>
    <row r="39" ht="13.5" customHeight="1">
      <c r="A39" s="21" t="s">
        <v>132</v>
      </c>
      <c r="B39" s="22"/>
      <c r="C39" s="22"/>
      <c r="D39" s="22"/>
      <c r="E39" s="21"/>
      <c r="F39" s="21"/>
      <c r="G39" s="23"/>
      <c r="H39" s="21"/>
      <c r="I39" s="23" t="s">
        <v>24</v>
      </c>
      <c r="J39" s="21"/>
      <c r="K39" s="24"/>
    </row>
    <row r="40" ht="13.5" customHeight="1">
      <c r="A40" s="34" t="s">
        <v>134</v>
      </c>
      <c r="B40" s="33">
        <f t="shared" ref="B40:D40" si="2">SUM(B10:B39)</f>
        <v>0</v>
      </c>
      <c r="C40" s="33">
        <f t="shared" si="2"/>
        <v>0</v>
      </c>
      <c r="D40" s="33">
        <f t="shared" si="2"/>
        <v>0</v>
      </c>
      <c r="E40" s="33">
        <f>SUM(E13:E34)</f>
        <v>0</v>
      </c>
      <c r="F40" s="18"/>
      <c r="G40" s="8"/>
      <c r="H40" s="8"/>
      <c r="I40" s="8"/>
      <c r="J40" s="9"/>
      <c r="K40" s="34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A1:K1"/>
    <mergeCell ref="G3:K3"/>
    <mergeCell ref="A11:A12"/>
    <mergeCell ref="B11:B12"/>
    <mergeCell ref="C11:E11"/>
    <mergeCell ref="F11:J11"/>
    <mergeCell ref="K11:K12"/>
    <mergeCell ref="F40:J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2026-06-13T18:32:21Z</dcterms:created>
  <dc:creator>ESTACION CENTRAL</dc:creator>
</cp:coreProperties>
</file>