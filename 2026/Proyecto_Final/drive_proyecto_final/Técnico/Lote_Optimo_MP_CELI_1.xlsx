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te Óptimo MP" sheetId="1" r:id="rId4"/>
  </sheets>
  <definedNames/>
  <calcPr/>
  <extLst>
    <ext uri="GoogleSheetsCustomDataVersion2">
      <go:sheetsCustomData xmlns:go="http://customooxmlschemas.google.com/" r:id="rId5" roundtripDataChecksum="BMfGiazn3JjLEyxosiV92sq55flZeAuZRaNdydXefR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======
ID#AAACFH_5jXo
Unknown Author    (2026-08-31 19:41:24)
Actualizado: sueldo bruto del Encargado de compras/logística = $2.000.000/mes (valor actual). Costo total con 60% de cargas sociales = $3.200.000/mes. Costo por hora = $3.200.000 / 176 hs (22 días x 8hs) = $18.181,82. Se estima 1 hora de gestión administrativa por pedido (armar la orden, confirmar con el proveedor, seguimiento).</t>
      </text>
    </comment>
    <comment authorId="0" ref="C6">
      <text>
        <t xml:space="preserve">======
ID#AAACFH_5jXc
Unknown Author    (2026-08-31 19:41:24)
Dato provisto por Bren: monto que cobra el transportista si el pedido no llega al mínimo pactado con el proveedor. No es un costo de emisión de pedido — funciona como una restricción dura (piso), no como un costo variable.</t>
      </text>
    </comment>
    <comment authorId="0" ref="C5">
      <text>
        <t xml:space="preserve">======
ID#AAACFH_5jXg
Unknown Author    (2026-08-31 19:41:24)
Se aplica sólo a Fécula de maíz, Harina de arroz, Azúcar y Cacao alcalino, donde el método Cmax-Cprom con sólo 2 semanas de datos dio un SS demasiado bajo. Definido junto con Bren.</t>
      </text>
    </comment>
    <comment authorId="0" ref="C4">
      <text>
        <t xml:space="preserve">======
ID#AAACFH_5jXk
Unknown Author    (2026-08-31 19:41:24)
Tasa de posesión típica en proyectos de este tipo (rango habitual 20%-25% anual): incluye capital inmovilizado, seguro y riesgo de obsolescencia.</t>
      </text>
    </comment>
  </commentList>
  <extLst>
    <ext uri="GoogleSheetsCustomDataVersion2">
      <go:sheetsCustomData xmlns:go="http://customooxmlschemas.google.com/" r:id="rId1" roundtripDataSignature="AMtx7mgOToyD4oDprkHJhuHHXXzGECBfNw=="/>
    </ext>
  </extLst>
</comments>
</file>

<file path=xl/sharedStrings.xml><?xml version="1.0" encoding="utf-8"?>
<sst xmlns="http://schemas.openxmlformats.org/spreadsheetml/2006/main" count="56" uniqueCount="49">
  <si>
    <t>Lote Óptimo, Stock de Seguridad y Punto de Reorden — Materias Primas CELI</t>
  </si>
  <si>
    <t>Parámetros del modelo</t>
  </si>
  <si>
    <t>Tasa de posesión anual (i)</t>
  </si>
  <si>
    <t>Ajuste manual de SS (% del consumo prom. semanal)</t>
  </si>
  <si>
    <t>Costo por incumplir el mínimo de compra sin cargo ($/viaje)</t>
  </si>
  <si>
    <t>Costo de emitir un pedido, K ($/pedido)</t>
  </si>
  <si>
    <t>Materia Prima</t>
  </si>
  <si>
    <t>Consumo
Semana 1 (kg)</t>
  </si>
  <si>
    <t>Consumo
Semana 2 (kg)</t>
  </si>
  <si>
    <t>Consumo prom.
semanal (kg)</t>
  </si>
  <si>
    <t>Consumo máx.
semanal (kg)</t>
  </si>
  <si>
    <t>Consumo
bisemanal (kg)</t>
  </si>
  <si>
    <t>Demanda anual
D (kg/año)</t>
  </si>
  <si>
    <t>Costo unitario
Cu ($/kg)</t>
  </si>
  <si>
    <t>Mínimo proveedor
Qmin (kg)</t>
  </si>
  <si>
    <t>Tiempo de entrega
Tp (días)</t>
  </si>
  <si>
    <t>Frecuencia de
pedido (semanas)</t>
  </si>
  <si>
    <t>N° pedidos
/año</t>
  </si>
  <si>
    <t>Lote Óptimo
Lo (kg)</t>
  </si>
  <si>
    <t>¿Ajustar SS
con 15%?</t>
  </si>
  <si>
    <t>SS método
Cmax-Cprom (kg)</t>
  </si>
  <si>
    <t>SS ajustado
15% (kg)</t>
  </si>
  <si>
    <t>SS final
(kg)</t>
  </si>
  <si>
    <t>Consumo diario
prom. (kg/día)</t>
  </si>
  <si>
    <t>Punto de
Reorden (kg)</t>
  </si>
  <si>
    <t>PR / Lote
(%)</t>
  </si>
  <si>
    <t>Calm ($)</t>
  </si>
  <si>
    <t>Css ($)</t>
  </si>
  <si>
    <t>Citem ($)</t>
  </si>
  <si>
    <t>Cadq ($)</t>
  </si>
  <si>
    <t>CTS ($)</t>
  </si>
  <si>
    <t>Fécula de maíz</t>
  </si>
  <si>
    <t>Sí</t>
  </si>
  <si>
    <t>Harina de arroz</t>
  </si>
  <si>
    <t>Aceite vegetal interesterificado</t>
  </si>
  <si>
    <t>No</t>
  </si>
  <si>
    <t>Azúcar</t>
  </si>
  <si>
    <t>Mermelada de batata</t>
  </si>
  <si>
    <t>Jarabe de glucosa</t>
  </si>
  <si>
    <t>Fécula de mandioca</t>
  </si>
  <si>
    <t>Cacao alcalino</t>
  </si>
  <si>
    <t>Chips de chocolate</t>
  </si>
  <si>
    <t>TOTAL</t>
  </si>
  <si>
    <t>Referencias</t>
  </si>
  <si>
    <t>Celdas en azul: valores de entrada (editables).</t>
  </si>
  <si>
    <t>Celdas en negro: fórmulas (se recalculan solas).</t>
  </si>
  <si>
    <t>Lote Óptimo = MAX(Consumo bisemanal × Frecuencia/2 ; Mínimo del proveedor) — asegura no pagar la penalidad por no llegar al mínimo, ordenando lo más seguido posible según la logística disponible.</t>
  </si>
  <si>
    <t>Punto de Reorden = Consumo diario promedio × Tp + SS final.</t>
  </si>
  <si>
    <t>SS método Cmax-Cprom calculado con datos de sólo 2 semanas; se usa el ajuste manual (15%) para las 4 MP donde ese método subestimaba el riesgo real.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</si>
</sst>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\$#,##0"/>
    <numFmt numFmtId="166" formatCode="#,##0.0"/>
    <numFmt numFmtId="167" formatCode="\$#,##0.00"/>
  </numFmts>
  <fonts count="7">
    <font>
      <sz val="11.0"/>
      <color theme="1"/>
      <name val="Calibri"/>
      <scheme val="minor"/>
    </font>
    <font>
      <b/>
      <sz val="9.0"/>
      <color rgb="FF000000"/>
      <name val="Montserrat"/>
    </font>
    <font>
      <sz val="9.0"/>
      <color theme="1"/>
      <name val="Montserrat"/>
    </font>
    <font>
      <sz val="9.0"/>
      <color rgb="FF000000"/>
      <name val="Montserrat"/>
    </font>
    <font>
      <b/>
      <sz val="9.0"/>
      <color rgb="FF0000FF"/>
      <name val="Montserrat"/>
    </font>
    <font>
      <b/>
      <sz val="9.0"/>
      <color rgb="FFFFFFFF"/>
      <name val="Montserrat"/>
    </font>
    <font>
      <sz val="9.0"/>
      <color rgb="FF0000FF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3">
    <border/>
    <border>
      <left/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1" numFmtId="0" xfId="0" applyFont="1"/>
    <xf borderId="0" fillId="0" fontId="3" numFmtId="0" xfId="0" applyFont="1"/>
    <xf borderId="1" fillId="2" fontId="4" numFmtId="164" xfId="0" applyBorder="1" applyFill="1" applyFont="1" applyNumberFormat="1"/>
    <xf borderId="1" fillId="2" fontId="4" numFmtId="165" xfId="0" applyBorder="1" applyFill="1" applyFont="1" applyNumberFormat="1"/>
    <xf borderId="2" fillId="3" fontId="5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left" vertical="center"/>
    </xf>
    <xf borderId="2" fillId="0" fontId="6" numFmtId="166" xfId="0" applyAlignment="1" applyBorder="1" applyFont="1" applyNumberFormat="1">
      <alignment horizontal="center" vertical="center"/>
    </xf>
    <xf borderId="2" fillId="0" fontId="3" numFmtId="166" xfId="0" applyAlignment="1" applyBorder="1" applyFont="1" applyNumberFormat="1">
      <alignment horizontal="center" vertical="center"/>
    </xf>
    <xf borderId="2" fillId="0" fontId="6" numFmtId="167" xfId="0" applyAlignment="1" applyBorder="1" applyFont="1" applyNumberFormat="1">
      <alignment horizontal="center" vertical="center"/>
    </xf>
    <xf borderId="2" fillId="0" fontId="6" numFmtId="3" xfId="0" applyAlignment="1" applyBorder="1" applyFont="1" applyNumberFormat="1">
      <alignment horizontal="center" vertical="center"/>
    </xf>
    <xf borderId="2" fillId="0" fontId="6" numFmtId="1" xfId="0" applyAlignment="1" applyBorder="1" applyFont="1" applyNumberFormat="1">
      <alignment horizontal="center" vertical="center"/>
    </xf>
    <xf borderId="2" fillId="0" fontId="3" numFmtId="2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center" vertical="center"/>
    </xf>
    <xf borderId="2" fillId="0" fontId="3" numFmtId="164" xfId="0" applyAlignment="1" applyBorder="1" applyFont="1" applyNumberFormat="1">
      <alignment horizontal="center" vertical="center"/>
    </xf>
    <xf borderId="2" fillId="0" fontId="3" numFmtId="167" xfId="0" applyAlignment="1" applyBorder="1" applyFont="1" applyNumberFormat="1">
      <alignment horizontal="center" vertical="center"/>
    </xf>
    <xf borderId="2" fillId="0" fontId="1" numFmtId="167" xfId="0" applyAlignment="1" applyBorder="1" applyFont="1" applyNumberFormat="1">
      <alignment horizontal="center" vertical="center"/>
    </xf>
    <xf borderId="2" fillId="4" fontId="1" numFmtId="0" xfId="0" applyBorder="1" applyFill="1" applyFont="1"/>
    <xf borderId="2" fillId="4" fontId="2" numFmtId="166" xfId="0" applyAlignment="1" applyBorder="1" applyFill="1" applyFont="1" applyNumberFormat="1">
      <alignment horizontal="center" vertical="center"/>
    </xf>
    <xf borderId="2" fillId="4" fontId="2" numFmtId="167" xfId="0" applyAlignment="1" applyBorder="1" applyFill="1" applyFont="1" applyNumberFormat="1">
      <alignment horizontal="center" vertical="center"/>
    </xf>
    <xf borderId="2" fillId="4" fontId="2" numFmtId="3" xfId="0" applyAlignment="1" applyBorder="1" applyFill="1" applyFont="1" applyNumberFormat="1">
      <alignment horizontal="center" vertical="center"/>
    </xf>
    <xf borderId="2" fillId="4" fontId="2" numFmtId="1" xfId="0" applyAlignment="1" applyBorder="1" applyFill="1" applyFont="1" applyNumberFormat="1">
      <alignment horizontal="center" vertical="center"/>
    </xf>
    <xf borderId="2" fillId="4" fontId="2" numFmtId="2" xfId="0" applyAlignment="1" applyBorder="1" applyFill="1" applyFont="1" applyNumberForma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2" fillId="4" fontId="2" numFmtId="164" xfId="0" applyAlignment="1" applyBorder="1" applyFill="1" applyFont="1" applyNumberFormat="1">
      <alignment horizontal="center" vertical="center"/>
    </xf>
    <xf borderId="2" fillId="4" fontId="1" numFmtId="167" xfId="0" applyAlignment="1" applyBorder="1" applyFill="1" applyFont="1" applyNumberFormat="1">
      <alignment horizontal="center" vertical="center"/>
    </xf>
    <xf borderId="0" fillId="0" fontId="6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0.0"/>
    <col customWidth="1" min="2" max="3" width="12.0"/>
    <col customWidth="1" min="4" max="6" width="13.0"/>
    <col customWidth="1" min="7" max="7" width="14.0"/>
    <col customWidth="1" min="8" max="8" width="12.0"/>
    <col customWidth="1" min="9" max="9" width="14.0"/>
    <col customWidth="1" min="10" max="11" width="13.0"/>
    <col customWidth="1" min="12" max="12" width="10.0"/>
    <col customWidth="1" min="13" max="13" width="13.0"/>
    <col customWidth="1" min="14" max="14" width="11.0"/>
    <col customWidth="1" min="15" max="15" width="15.0"/>
    <col customWidth="1" min="16" max="16" width="12.0"/>
    <col customWidth="1" min="17" max="17" width="11.0"/>
    <col customWidth="1" min="18" max="18" width="14.0"/>
    <col customWidth="1" min="19" max="19" width="13.0"/>
    <col customWidth="1" min="20" max="20" width="9.0"/>
    <col customWidth="1" min="21" max="22" width="14.0"/>
    <col customWidth="1" min="23" max="23" width="16.0"/>
    <col customWidth="1" min="24" max="24" width="12.0"/>
    <col customWidth="1" min="25" max="25" width="16.0"/>
    <col customWidth="1" min="26" max="26" width="8.71"/>
  </cols>
  <sheetData>
    <row r="1" ht="17.25" customHeight="1">
      <c r="A1" s="1" t="s">
        <v>0</v>
      </c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4" t="s">
        <v>2</v>
      </c>
      <c r="B4" s="2"/>
      <c r="C4" s="5">
        <v>0.22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4" t="s">
        <v>3</v>
      </c>
      <c r="B5" s="2"/>
      <c r="C5" s="5">
        <v>0.15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4" t="s">
        <v>4</v>
      </c>
      <c r="B6" s="2"/>
      <c r="C6" s="6">
        <v>110000.0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4" t="s">
        <v>5</v>
      </c>
      <c r="B7" s="2"/>
      <c r="C7" s="6">
        <v>18181.82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3.75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7" t="s">
        <v>11</v>
      </c>
      <c r="G10" s="7" t="s">
        <v>12</v>
      </c>
      <c r="H10" s="7" t="s">
        <v>13</v>
      </c>
      <c r="I10" s="7" t="s">
        <v>14</v>
      </c>
      <c r="J10" s="7" t="s">
        <v>15</v>
      </c>
      <c r="K10" s="7" t="s">
        <v>16</v>
      </c>
      <c r="L10" s="7" t="s">
        <v>17</v>
      </c>
      <c r="M10" s="7" t="s">
        <v>18</v>
      </c>
      <c r="N10" s="7" t="s">
        <v>19</v>
      </c>
      <c r="O10" s="7" t="s">
        <v>20</v>
      </c>
      <c r="P10" s="7" t="s">
        <v>21</v>
      </c>
      <c r="Q10" s="7" t="s">
        <v>22</v>
      </c>
      <c r="R10" s="7" t="s">
        <v>23</v>
      </c>
      <c r="S10" s="7" t="s">
        <v>24</v>
      </c>
      <c r="T10" s="7" t="s">
        <v>25</v>
      </c>
      <c r="U10" s="7" t="s">
        <v>26</v>
      </c>
      <c r="V10" s="7" t="s">
        <v>27</v>
      </c>
      <c r="W10" s="7" t="s">
        <v>28</v>
      </c>
      <c r="X10" s="7" t="s">
        <v>29</v>
      </c>
      <c r="Y10" s="7" t="s">
        <v>30</v>
      </c>
      <c r="Z10" s="2"/>
    </row>
    <row r="11" ht="15.0" customHeight="1">
      <c r="A11" s="8" t="s">
        <v>31</v>
      </c>
      <c r="B11" s="9">
        <v>2138.0</v>
      </c>
      <c r="C11" s="9">
        <v>2509.0</v>
      </c>
      <c r="D11" s="10">
        <f t="shared" ref="D11:D19" si="1">AVERAGE(B11:C11)</f>
        <v>2323.5</v>
      </c>
      <c r="E11" s="10">
        <f t="shared" ref="E11:E19" si="2">MAX(B11:C11)</f>
        <v>2509</v>
      </c>
      <c r="F11" s="10">
        <f t="shared" ref="F11:F19" si="3">B11+C11</f>
        <v>4647</v>
      </c>
      <c r="G11" s="10">
        <f t="shared" ref="G11:G19" si="4">F11*26</f>
        <v>120822</v>
      </c>
      <c r="H11" s="11">
        <v>850.0</v>
      </c>
      <c r="I11" s="12">
        <v>5000.0</v>
      </c>
      <c r="J11" s="13">
        <v>2.0</v>
      </c>
      <c r="K11" s="13">
        <v>2.0</v>
      </c>
      <c r="L11" s="14">
        <f t="shared" ref="L11:L19" si="5">52/K11</f>
        <v>26</v>
      </c>
      <c r="M11" s="10">
        <f t="shared" ref="M11:M19" si="6">MAX(F11*(K11/2),I11)</f>
        <v>5000</v>
      </c>
      <c r="N11" s="15" t="s">
        <v>32</v>
      </c>
      <c r="O11" s="10">
        <f t="shared" ref="O11:O19" si="7">(E11-D11)/7*J11</f>
        <v>53</v>
      </c>
      <c r="P11" s="10">
        <f t="shared" ref="P11:P19" si="8">$C$5*D11</f>
        <v>348.525</v>
      </c>
      <c r="Q11" s="10">
        <f t="shared" ref="Q11:Q19" si="9">IF(N11="Sí",P11,O11)</f>
        <v>348.525</v>
      </c>
      <c r="R11" s="10">
        <f t="shared" ref="R11:R19" si="10">D11/7</f>
        <v>331.9285714</v>
      </c>
      <c r="S11" s="10">
        <f t="shared" ref="S11:S19" si="11">R11*J11+Q11</f>
        <v>1012.382143</v>
      </c>
      <c r="T11" s="16">
        <f t="shared" ref="T11:T19" si="12">S11/M11</f>
        <v>0.2024764286</v>
      </c>
      <c r="U11" s="17">
        <f t="shared" ref="U11:U19" si="13">0.5*M11*$C$4*H11</f>
        <v>467500</v>
      </c>
      <c r="V11" s="17">
        <f t="shared" ref="V11:V19" si="14">Q11*$C$4*H11</f>
        <v>65174.175</v>
      </c>
      <c r="W11" s="17">
        <f t="shared" ref="W11:W19" si="15">H11*G11</f>
        <v>102698700</v>
      </c>
      <c r="X11" s="17">
        <f t="shared" ref="X11:X19" si="16">$C$7*L11</f>
        <v>472727.32</v>
      </c>
      <c r="Y11" s="18">
        <f t="shared" ref="Y11:Y19" si="17">U11+V11+W11+X11</f>
        <v>103704101.5</v>
      </c>
      <c r="Z11" s="2"/>
    </row>
    <row r="12" ht="15.0" customHeight="1">
      <c r="A12" s="8" t="s">
        <v>33</v>
      </c>
      <c r="B12" s="9">
        <v>1974.0</v>
      </c>
      <c r="C12" s="9">
        <v>1977.0</v>
      </c>
      <c r="D12" s="10">
        <f t="shared" si="1"/>
        <v>1975.5</v>
      </c>
      <c r="E12" s="10">
        <f t="shared" si="2"/>
        <v>1977</v>
      </c>
      <c r="F12" s="10">
        <f t="shared" si="3"/>
        <v>3951</v>
      </c>
      <c r="G12" s="10">
        <f t="shared" si="4"/>
        <v>102726</v>
      </c>
      <c r="H12" s="11">
        <v>700.0</v>
      </c>
      <c r="I12" s="12">
        <v>4000.0</v>
      </c>
      <c r="J12" s="13">
        <v>5.0</v>
      </c>
      <c r="K12" s="13">
        <v>2.0</v>
      </c>
      <c r="L12" s="14">
        <f t="shared" si="5"/>
        <v>26</v>
      </c>
      <c r="M12" s="10">
        <f t="shared" si="6"/>
        <v>4000</v>
      </c>
      <c r="N12" s="15" t="s">
        <v>32</v>
      </c>
      <c r="O12" s="10">
        <f t="shared" si="7"/>
        <v>1.071428571</v>
      </c>
      <c r="P12" s="10">
        <f t="shared" si="8"/>
        <v>296.325</v>
      </c>
      <c r="Q12" s="10">
        <f t="shared" si="9"/>
        <v>296.325</v>
      </c>
      <c r="R12" s="10">
        <f t="shared" si="10"/>
        <v>282.2142857</v>
      </c>
      <c r="S12" s="10">
        <f t="shared" si="11"/>
        <v>1707.396429</v>
      </c>
      <c r="T12" s="16">
        <f t="shared" si="12"/>
        <v>0.4268491071</v>
      </c>
      <c r="U12" s="17">
        <f t="shared" si="13"/>
        <v>308000</v>
      </c>
      <c r="V12" s="17">
        <f t="shared" si="14"/>
        <v>45634.05</v>
      </c>
      <c r="W12" s="17">
        <f t="shared" si="15"/>
        <v>71908200</v>
      </c>
      <c r="X12" s="17">
        <f t="shared" si="16"/>
        <v>472727.32</v>
      </c>
      <c r="Y12" s="18">
        <f t="shared" si="17"/>
        <v>72734561.37</v>
      </c>
      <c r="Z12" s="2"/>
    </row>
    <row r="13" ht="15.0" customHeight="1">
      <c r="A13" s="8" t="s">
        <v>34</v>
      </c>
      <c r="B13" s="9">
        <v>878.0</v>
      </c>
      <c r="C13" s="9">
        <v>1233.0</v>
      </c>
      <c r="D13" s="10">
        <f t="shared" si="1"/>
        <v>1055.5</v>
      </c>
      <c r="E13" s="10">
        <f t="shared" si="2"/>
        <v>1233</v>
      </c>
      <c r="F13" s="10">
        <f t="shared" si="3"/>
        <v>2111</v>
      </c>
      <c r="G13" s="10">
        <f t="shared" si="4"/>
        <v>54886</v>
      </c>
      <c r="H13" s="11">
        <v>4200.0</v>
      </c>
      <c r="I13" s="12">
        <v>1920.0</v>
      </c>
      <c r="J13" s="13">
        <v>4.0</v>
      </c>
      <c r="K13" s="13">
        <v>2.0</v>
      </c>
      <c r="L13" s="14">
        <f t="shared" si="5"/>
        <v>26</v>
      </c>
      <c r="M13" s="10">
        <f t="shared" si="6"/>
        <v>2111</v>
      </c>
      <c r="N13" s="15" t="s">
        <v>35</v>
      </c>
      <c r="O13" s="10">
        <f t="shared" si="7"/>
        <v>101.4285714</v>
      </c>
      <c r="P13" s="10">
        <f t="shared" si="8"/>
        <v>158.325</v>
      </c>
      <c r="Q13" s="10">
        <f t="shared" si="9"/>
        <v>101.4285714</v>
      </c>
      <c r="R13" s="10">
        <f t="shared" si="10"/>
        <v>150.7857143</v>
      </c>
      <c r="S13" s="10">
        <f t="shared" si="11"/>
        <v>704.5714286</v>
      </c>
      <c r="T13" s="16">
        <f t="shared" si="12"/>
        <v>0.3337619273</v>
      </c>
      <c r="U13" s="17">
        <f t="shared" si="13"/>
        <v>975282</v>
      </c>
      <c r="V13" s="17">
        <f t="shared" si="14"/>
        <v>93720</v>
      </c>
      <c r="W13" s="17">
        <f t="shared" si="15"/>
        <v>230521200</v>
      </c>
      <c r="X13" s="17">
        <f t="shared" si="16"/>
        <v>472727.32</v>
      </c>
      <c r="Y13" s="18">
        <f t="shared" si="17"/>
        <v>232062929.3</v>
      </c>
      <c r="Z13" s="2"/>
    </row>
    <row r="14" ht="15.0" customHeight="1">
      <c r="A14" s="8" t="s">
        <v>36</v>
      </c>
      <c r="B14" s="9">
        <v>1330.0</v>
      </c>
      <c r="C14" s="9">
        <v>1412.0</v>
      </c>
      <c r="D14" s="10">
        <f t="shared" si="1"/>
        <v>1371</v>
      </c>
      <c r="E14" s="10">
        <f t="shared" si="2"/>
        <v>1412</v>
      </c>
      <c r="F14" s="10">
        <f t="shared" si="3"/>
        <v>2742</v>
      </c>
      <c r="G14" s="10">
        <f t="shared" si="4"/>
        <v>71292</v>
      </c>
      <c r="H14" s="11">
        <v>981.0</v>
      </c>
      <c r="I14" s="12">
        <v>3000.0</v>
      </c>
      <c r="J14" s="13">
        <v>2.0</v>
      </c>
      <c r="K14" s="13">
        <v>2.0</v>
      </c>
      <c r="L14" s="14">
        <f t="shared" si="5"/>
        <v>26</v>
      </c>
      <c r="M14" s="10">
        <f t="shared" si="6"/>
        <v>3000</v>
      </c>
      <c r="N14" s="15" t="s">
        <v>32</v>
      </c>
      <c r="O14" s="10">
        <f t="shared" si="7"/>
        <v>11.71428571</v>
      </c>
      <c r="P14" s="10">
        <f t="shared" si="8"/>
        <v>205.65</v>
      </c>
      <c r="Q14" s="10">
        <f t="shared" si="9"/>
        <v>205.65</v>
      </c>
      <c r="R14" s="10">
        <f t="shared" si="10"/>
        <v>195.8571429</v>
      </c>
      <c r="S14" s="10">
        <f t="shared" si="11"/>
        <v>597.3642857</v>
      </c>
      <c r="T14" s="16">
        <f t="shared" si="12"/>
        <v>0.1991214286</v>
      </c>
      <c r="U14" s="17">
        <f t="shared" si="13"/>
        <v>323730</v>
      </c>
      <c r="V14" s="17">
        <f t="shared" si="14"/>
        <v>44383.383</v>
      </c>
      <c r="W14" s="17">
        <f t="shared" si="15"/>
        <v>69937452</v>
      </c>
      <c r="X14" s="17">
        <f t="shared" si="16"/>
        <v>472727.32</v>
      </c>
      <c r="Y14" s="18">
        <f t="shared" si="17"/>
        <v>70778292.7</v>
      </c>
      <c r="Z14" s="2"/>
    </row>
    <row r="15" ht="15.0" customHeight="1">
      <c r="A15" s="8" t="s">
        <v>37</v>
      </c>
      <c r="B15" s="9">
        <v>875.0</v>
      </c>
      <c r="C15" s="9">
        <v>0.0</v>
      </c>
      <c r="D15" s="10">
        <f t="shared" si="1"/>
        <v>437.5</v>
      </c>
      <c r="E15" s="10">
        <f t="shared" si="2"/>
        <v>875</v>
      </c>
      <c r="F15" s="10">
        <f t="shared" si="3"/>
        <v>875</v>
      </c>
      <c r="G15" s="10">
        <f t="shared" si="4"/>
        <v>22750</v>
      </c>
      <c r="H15" s="11">
        <v>2000.0</v>
      </c>
      <c r="I15" s="12">
        <v>800.0</v>
      </c>
      <c r="J15" s="13">
        <v>7.0</v>
      </c>
      <c r="K15" s="13">
        <v>2.0</v>
      </c>
      <c r="L15" s="14">
        <f t="shared" si="5"/>
        <v>26</v>
      </c>
      <c r="M15" s="10">
        <f t="shared" si="6"/>
        <v>875</v>
      </c>
      <c r="N15" s="15" t="s">
        <v>35</v>
      </c>
      <c r="O15" s="10">
        <f t="shared" si="7"/>
        <v>437.5</v>
      </c>
      <c r="P15" s="10">
        <f t="shared" si="8"/>
        <v>65.625</v>
      </c>
      <c r="Q15" s="10">
        <f t="shared" si="9"/>
        <v>437.5</v>
      </c>
      <c r="R15" s="10">
        <f t="shared" si="10"/>
        <v>62.5</v>
      </c>
      <c r="S15" s="10">
        <f t="shared" si="11"/>
        <v>875</v>
      </c>
      <c r="T15" s="16">
        <f t="shared" si="12"/>
        <v>1</v>
      </c>
      <c r="U15" s="17">
        <f t="shared" si="13"/>
        <v>192500</v>
      </c>
      <c r="V15" s="17">
        <f t="shared" si="14"/>
        <v>192500</v>
      </c>
      <c r="W15" s="17">
        <f t="shared" si="15"/>
        <v>45500000</v>
      </c>
      <c r="X15" s="17">
        <f t="shared" si="16"/>
        <v>472727.32</v>
      </c>
      <c r="Y15" s="18">
        <f t="shared" si="17"/>
        <v>46357727.32</v>
      </c>
      <c r="Z15" s="2"/>
    </row>
    <row r="16" ht="15.0" customHeight="1">
      <c r="A16" s="8" t="s">
        <v>38</v>
      </c>
      <c r="B16" s="9">
        <v>193.0</v>
      </c>
      <c r="C16" s="9">
        <v>435.0</v>
      </c>
      <c r="D16" s="10">
        <f t="shared" si="1"/>
        <v>314</v>
      </c>
      <c r="E16" s="10">
        <f t="shared" si="2"/>
        <v>435</v>
      </c>
      <c r="F16" s="10">
        <f t="shared" si="3"/>
        <v>628</v>
      </c>
      <c r="G16" s="10">
        <f t="shared" si="4"/>
        <v>16328</v>
      </c>
      <c r="H16" s="11">
        <v>1315.0</v>
      </c>
      <c r="I16" s="12">
        <v>180.0</v>
      </c>
      <c r="J16" s="13">
        <v>2.0</v>
      </c>
      <c r="K16" s="13">
        <v>2.0</v>
      </c>
      <c r="L16" s="14">
        <f t="shared" si="5"/>
        <v>26</v>
      </c>
      <c r="M16" s="10">
        <f t="shared" si="6"/>
        <v>628</v>
      </c>
      <c r="N16" s="15" t="s">
        <v>35</v>
      </c>
      <c r="O16" s="10">
        <f t="shared" si="7"/>
        <v>34.57142857</v>
      </c>
      <c r="P16" s="10">
        <f t="shared" si="8"/>
        <v>47.1</v>
      </c>
      <c r="Q16" s="10">
        <f t="shared" si="9"/>
        <v>34.57142857</v>
      </c>
      <c r="R16" s="10">
        <f t="shared" si="10"/>
        <v>44.85714286</v>
      </c>
      <c r="S16" s="10">
        <f t="shared" si="11"/>
        <v>124.2857143</v>
      </c>
      <c r="T16" s="16">
        <f t="shared" si="12"/>
        <v>0.1979071884</v>
      </c>
      <c r="U16" s="17">
        <f t="shared" si="13"/>
        <v>90840.2</v>
      </c>
      <c r="V16" s="17">
        <f t="shared" si="14"/>
        <v>10001.51429</v>
      </c>
      <c r="W16" s="17">
        <f t="shared" si="15"/>
        <v>21471320</v>
      </c>
      <c r="X16" s="17">
        <f t="shared" si="16"/>
        <v>472727.32</v>
      </c>
      <c r="Y16" s="18">
        <f t="shared" si="17"/>
        <v>22044889.03</v>
      </c>
      <c r="Z16" s="2"/>
    </row>
    <row r="17" ht="15.0" customHeight="1">
      <c r="A17" s="8" t="s">
        <v>39</v>
      </c>
      <c r="B17" s="9">
        <v>417.0</v>
      </c>
      <c r="C17" s="9">
        <v>172.0</v>
      </c>
      <c r="D17" s="10">
        <f t="shared" si="1"/>
        <v>294.5</v>
      </c>
      <c r="E17" s="10">
        <f t="shared" si="2"/>
        <v>417</v>
      </c>
      <c r="F17" s="10">
        <f t="shared" si="3"/>
        <v>589</v>
      </c>
      <c r="G17" s="10">
        <f t="shared" si="4"/>
        <v>15314</v>
      </c>
      <c r="H17" s="11">
        <v>1380.0</v>
      </c>
      <c r="I17" s="12">
        <v>4000.0</v>
      </c>
      <c r="J17" s="13">
        <v>2.0</v>
      </c>
      <c r="K17" s="13">
        <v>14.0</v>
      </c>
      <c r="L17" s="14">
        <f t="shared" si="5"/>
        <v>3.714285714</v>
      </c>
      <c r="M17" s="10">
        <f t="shared" si="6"/>
        <v>4123</v>
      </c>
      <c r="N17" s="15" t="s">
        <v>35</v>
      </c>
      <c r="O17" s="10">
        <f t="shared" si="7"/>
        <v>35</v>
      </c>
      <c r="P17" s="10">
        <f t="shared" si="8"/>
        <v>44.175</v>
      </c>
      <c r="Q17" s="10">
        <f t="shared" si="9"/>
        <v>35</v>
      </c>
      <c r="R17" s="10">
        <f t="shared" si="10"/>
        <v>42.07142857</v>
      </c>
      <c r="S17" s="10">
        <f t="shared" si="11"/>
        <v>119.1428571</v>
      </c>
      <c r="T17" s="16">
        <f t="shared" si="12"/>
        <v>0.02889712761</v>
      </c>
      <c r="U17" s="17">
        <f t="shared" si="13"/>
        <v>625871.4</v>
      </c>
      <c r="V17" s="17">
        <f t="shared" si="14"/>
        <v>10626</v>
      </c>
      <c r="W17" s="17">
        <f t="shared" si="15"/>
        <v>21133320</v>
      </c>
      <c r="X17" s="17">
        <f t="shared" si="16"/>
        <v>67532.47429</v>
      </c>
      <c r="Y17" s="18">
        <f t="shared" si="17"/>
        <v>21837349.87</v>
      </c>
      <c r="Z17" s="2"/>
    </row>
    <row r="18" ht="15.0" customHeight="1">
      <c r="A18" s="8" t="s">
        <v>40</v>
      </c>
      <c r="B18" s="9">
        <v>279.0</v>
      </c>
      <c r="C18" s="9">
        <v>246.0</v>
      </c>
      <c r="D18" s="10">
        <f t="shared" si="1"/>
        <v>262.5</v>
      </c>
      <c r="E18" s="10">
        <f t="shared" si="2"/>
        <v>279</v>
      </c>
      <c r="F18" s="10">
        <f t="shared" si="3"/>
        <v>525</v>
      </c>
      <c r="G18" s="10">
        <f t="shared" si="4"/>
        <v>13650</v>
      </c>
      <c r="H18" s="11">
        <v>9000.0</v>
      </c>
      <c r="I18" s="12">
        <v>1000.0</v>
      </c>
      <c r="J18" s="13">
        <v>7.0</v>
      </c>
      <c r="K18" s="13">
        <v>4.0</v>
      </c>
      <c r="L18" s="14">
        <f t="shared" si="5"/>
        <v>13</v>
      </c>
      <c r="M18" s="10">
        <f t="shared" si="6"/>
        <v>1050</v>
      </c>
      <c r="N18" s="15" t="s">
        <v>32</v>
      </c>
      <c r="O18" s="10">
        <f t="shared" si="7"/>
        <v>16.5</v>
      </c>
      <c r="P18" s="10">
        <f t="shared" si="8"/>
        <v>39.375</v>
      </c>
      <c r="Q18" s="10">
        <f t="shared" si="9"/>
        <v>39.375</v>
      </c>
      <c r="R18" s="10">
        <f t="shared" si="10"/>
        <v>37.5</v>
      </c>
      <c r="S18" s="10">
        <f t="shared" si="11"/>
        <v>301.875</v>
      </c>
      <c r="T18" s="16">
        <f t="shared" si="12"/>
        <v>0.2875</v>
      </c>
      <c r="U18" s="17">
        <f t="shared" si="13"/>
        <v>1039500</v>
      </c>
      <c r="V18" s="17">
        <f t="shared" si="14"/>
        <v>77962.5</v>
      </c>
      <c r="W18" s="17">
        <f t="shared" si="15"/>
        <v>122850000</v>
      </c>
      <c r="X18" s="17">
        <f t="shared" si="16"/>
        <v>236363.66</v>
      </c>
      <c r="Y18" s="18">
        <f t="shared" si="17"/>
        <v>124203826.2</v>
      </c>
      <c r="Z18" s="2"/>
    </row>
    <row r="19" ht="15.0" customHeight="1">
      <c r="A19" s="8" t="s">
        <v>41</v>
      </c>
      <c r="B19" s="9">
        <v>58.0</v>
      </c>
      <c r="C19" s="9">
        <v>459.0</v>
      </c>
      <c r="D19" s="10">
        <f t="shared" si="1"/>
        <v>258.5</v>
      </c>
      <c r="E19" s="10">
        <f t="shared" si="2"/>
        <v>459</v>
      </c>
      <c r="F19" s="10">
        <f t="shared" si="3"/>
        <v>517</v>
      </c>
      <c r="G19" s="10">
        <f t="shared" si="4"/>
        <v>13442</v>
      </c>
      <c r="H19" s="11">
        <v>5234.0</v>
      </c>
      <c r="I19" s="12">
        <v>500.0</v>
      </c>
      <c r="J19" s="13">
        <v>7.0</v>
      </c>
      <c r="K19" s="13">
        <v>2.0</v>
      </c>
      <c r="L19" s="14">
        <f t="shared" si="5"/>
        <v>26</v>
      </c>
      <c r="M19" s="10">
        <f t="shared" si="6"/>
        <v>517</v>
      </c>
      <c r="N19" s="15" t="s">
        <v>35</v>
      </c>
      <c r="O19" s="10">
        <f t="shared" si="7"/>
        <v>200.5</v>
      </c>
      <c r="P19" s="10">
        <f t="shared" si="8"/>
        <v>38.775</v>
      </c>
      <c r="Q19" s="10">
        <f t="shared" si="9"/>
        <v>200.5</v>
      </c>
      <c r="R19" s="10">
        <f t="shared" si="10"/>
        <v>36.92857143</v>
      </c>
      <c r="S19" s="10">
        <f t="shared" si="11"/>
        <v>459</v>
      </c>
      <c r="T19" s="16">
        <f t="shared" si="12"/>
        <v>0.8878143133</v>
      </c>
      <c r="U19" s="17">
        <f t="shared" si="13"/>
        <v>297657.58</v>
      </c>
      <c r="V19" s="17">
        <f t="shared" si="14"/>
        <v>230871.74</v>
      </c>
      <c r="W19" s="17">
        <f t="shared" si="15"/>
        <v>70355428</v>
      </c>
      <c r="X19" s="17">
        <f t="shared" si="16"/>
        <v>472727.32</v>
      </c>
      <c r="Y19" s="18">
        <f t="shared" si="17"/>
        <v>71356684.64</v>
      </c>
      <c r="Z19" s="2"/>
    </row>
    <row r="20" ht="15.0" customHeight="1">
      <c r="A20" s="19" t="s">
        <v>42</v>
      </c>
      <c r="B20" s="20"/>
      <c r="C20" s="20"/>
      <c r="D20" s="20"/>
      <c r="E20" s="20"/>
      <c r="F20" s="20"/>
      <c r="G20" s="20"/>
      <c r="H20" s="21"/>
      <c r="I20" s="22"/>
      <c r="J20" s="23"/>
      <c r="K20" s="23"/>
      <c r="L20" s="24"/>
      <c r="M20" s="20"/>
      <c r="N20" s="25"/>
      <c r="O20" s="20"/>
      <c r="P20" s="20"/>
      <c r="Q20" s="20"/>
      <c r="R20" s="20"/>
      <c r="S20" s="20"/>
      <c r="T20" s="26"/>
      <c r="U20" s="27">
        <f t="shared" ref="U20:Y20" si="18">SUM(U11:U19)</f>
        <v>4320881.18</v>
      </c>
      <c r="V20" s="27">
        <f t="shared" si="18"/>
        <v>770873.3623</v>
      </c>
      <c r="W20" s="27">
        <f t="shared" si="18"/>
        <v>756375620</v>
      </c>
      <c r="X20" s="27">
        <f t="shared" si="18"/>
        <v>3612987.374</v>
      </c>
      <c r="Y20" s="27">
        <f t="shared" si="18"/>
        <v>765080361.9</v>
      </c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3" t="s">
        <v>43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28" t="s">
        <v>44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4" t="s">
        <v>45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4" t="s">
        <v>46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4" t="s">
        <v>47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4" t="s">
        <v>48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Y1"/>
  </mergeCells>
  <printOptions/>
  <pageMargins bottom="1.0" footer="0.0" header="0.0" left="0.75" right="0.75" top="1.0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2026-08-31T19:33:06Z</dcterms:created>
  <dc:creator>openpyxl</dc:creator>
</cp:coreProperties>
</file>