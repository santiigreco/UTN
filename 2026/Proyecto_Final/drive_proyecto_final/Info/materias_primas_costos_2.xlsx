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erias Primas" sheetId="1" r:id="rId4"/>
    <sheet state="visible" name="Costo por Producto" sheetId="2" r:id="rId5"/>
    <sheet state="visible" name="Resumen" sheetId="3" r:id="rId6"/>
  </sheets>
  <definedNames/>
  <calcPr/>
  <extLst>
    <ext uri="GoogleSheetsCustomDataVersion2">
      <go:sheetsCustomData xmlns:go="http://customooxmlschemas.google.com/" r:id="rId7" roundtripDataChecksum="IQqNWpgSzXzMoDEg4ljERHvz71ZDChbZ8wEXRW0AgWE="/>
    </ext>
  </extLst>
</workbook>
</file>

<file path=xl/sharedStrings.xml><?xml version="1.0" encoding="utf-8"?>
<sst xmlns="http://schemas.openxmlformats.org/spreadsheetml/2006/main" count="156" uniqueCount="88">
  <si>
    <t>MATERIAS PRIMAS</t>
  </si>
  <si>
    <t>Ingrediente</t>
  </si>
  <si>
    <t>Unidad</t>
  </si>
  <si>
    <t>Precio Unit. ($)</t>
  </si>
  <si>
    <t>Observaciones</t>
  </si>
  <si>
    <t>HARINAS</t>
  </si>
  <si>
    <t>FECULA DE MAIZ</t>
  </si>
  <si>
    <t>Kg.</t>
  </si>
  <si>
    <t>HARINA DE ARROZ</t>
  </si>
  <si>
    <t>FECULA DE MANDIOCA</t>
  </si>
  <si>
    <t>PREMEZCLA PAN BLEND PRECISA BAKE INGREDION</t>
  </si>
  <si>
    <t>SANACEL ADD 030 Psyllium blanco BRENNTAG</t>
  </si>
  <si>
    <t>FIBRA CELULOSA C-200 - ENSOLFOOD</t>
  </si>
  <si>
    <t>GRASAS Y ACEITES</t>
  </si>
  <si>
    <t>ACEITE VEGETAL INTERESTERIFICADO</t>
  </si>
  <si>
    <t>ACEITE PURO DE GIRASOL ALTO OLEICO GRANEL</t>
  </si>
  <si>
    <t>LECITINA DE SOJA</t>
  </si>
  <si>
    <t>MONOESTEARATO DE GLICERILO</t>
  </si>
  <si>
    <t>ENDULZANTES</t>
  </si>
  <si>
    <t>AZUCAR COMUN</t>
  </si>
  <si>
    <t>JARABE DE GLUCOSA</t>
  </si>
  <si>
    <t>JARABE DE MAIZ ALTA FRUCTOSA</t>
  </si>
  <si>
    <t>LECHE CONDENSADA</t>
  </si>
  <si>
    <t>EDULZUGAR - endulzante - EL BAHIENSE</t>
  </si>
  <si>
    <t>ADITIVOS / OTROS</t>
  </si>
  <si>
    <t>AGUA</t>
  </si>
  <si>
    <t>L.</t>
  </si>
  <si>
    <t>SAL</t>
  </si>
  <si>
    <t>POLVO PARA HORNEAR</t>
  </si>
  <si>
    <t>SORBATO DE POTASIO</t>
  </si>
  <si>
    <t>PROPIONATO DE CALCIO</t>
  </si>
  <si>
    <t>GOMA XANTICA</t>
  </si>
  <si>
    <t>BICARBONATO DE AMONIO</t>
  </si>
  <si>
    <t>BICARBONATO DE SODIO</t>
  </si>
  <si>
    <t>LEVADURA SECA</t>
  </si>
  <si>
    <t>ESENCIA DE VAINILLA HARMONY</t>
  </si>
  <si>
    <t>ESENCIA AROMA BUDIN</t>
  </si>
  <si>
    <t>ESENCIA PAN DUAS RODAS</t>
  </si>
  <si>
    <t>SUPROLAC BK3</t>
  </si>
  <si>
    <t>HUEVO ENTERO EN POLVO-OVOALFA</t>
  </si>
  <si>
    <t>PANACEA 2813</t>
  </si>
  <si>
    <t>GLICERINA VEGETAL</t>
  </si>
  <si>
    <t>GRANOPLUS FRESCURA</t>
  </si>
  <si>
    <t>ACIDO CITRICO</t>
  </si>
  <si>
    <t>EMULSIONANTE PROBAT PLUS GEL</t>
  </si>
  <si>
    <t>GRANOZYME SOFT</t>
  </si>
  <si>
    <t>MEZCLA AVI</t>
  </si>
  <si>
    <t>GLUTAMATO MONOSODICO</t>
  </si>
  <si>
    <t>CACAO EN POLVO ALCALINO</t>
  </si>
  <si>
    <t>CHIPS CHOCOLATE AMARGO VEGANO</t>
  </si>
  <si>
    <t>COSTO DE MATERIA PRIMA POR PRODUCTO</t>
  </si>
  <si>
    <t>Sección</t>
  </si>
  <si>
    <t>BUDINES</t>
  </si>
  <si>
    <t>PEPAS CHOC. Y BATATA</t>
  </si>
  <si>
    <t>POLVORONES</t>
  </si>
  <si>
    <t>PAN DE MOLDE</t>
  </si>
  <si>
    <t>GALL. CHOCOLINAS</t>
  </si>
  <si>
    <t>BIZCOCHOS SALADOS</t>
  </si>
  <si>
    <t>CHOC. CHIPS PICANTE</t>
  </si>
  <si>
    <t>Subtotal ($)</t>
  </si>
  <si>
    <t>$/Kg secc.</t>
  </si>
  <si>
    <t>Harinas</t>
  </si>
  <si>
    <t>Grasas y Aceites</t>
  </si>
  <si>
    <t>Endulzantes</t>
  </si>
  <si>
    <t>—</t>
  </si>
  <si>
    <t>Aditivos / Otros</t>
  </si>
  <si>
    <t>TOTAL LOTE ($)</t>
  </si>
  <si>
    <t>COSTO / KG</t>
  </si>
  <si>
    <t>RESUMEN – COSTO DE MATERIA PRIMA POR PRODUCTO</t>
  </si>
  <si>
    <t>Producto</t>
  </si>
  <si>
    <t>Costo MP / Kg ($)</t>
  </si>
  <si>
    <t>Estado</t>
  </si>
  <si>
    <t>Tipo receta</t>
  </si>
  <si>
    <t>PRODUCTOS CON DATOS DE ARCHIVO</t>
  </si>
  <si>
    <t>Budines</t>
  </si>
  <si>
    <t>✓ Datos reales</t>
  </si>
  <si>
    <t>Panificado</t>
  </si>
  <si>
    <t>Pepas chocolate y batata</t>
  </si>
  <si>
    <t>Galletita</t>
  </si>
  <si>
    <t>Polvorones</t>
  </si>
  <si>
    <t>Pan de molde</t>
  </si>
  <si>
    <t>NUEVAS RECETAS (costos estimados)</t>
  </si>
  <si>
    <t>Galletitas simil chocolinas</t>
  </si>
  <si>
    <t>~ Estimado</t>
  </si>
  <si>
    <t>Galletita (nueva)</t>
  </si>
  <si>
    <t>Bizcochos salados</t>
  </si>
  <si>
    <t>Chocolate con chips picante</t>
  </si>
  <si>
    <t>✓ Precios actualizados: CACAO EN POLVO ALCALINO $11.000/kg | CHIPS CHOCOLATE AMARGO VEGANO $5.000/kg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</si>
</sst>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18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0.0"/>
      <color rgb="FFFFFFFF"/>
      <name val="Arial"/>
    </font>
    <font>
      <b/>
      <sz val="10.0"/>
      <color rgb="FF000000"/>
      <name val="Arial"/>
    </font>
    <font>
      <sz val="9.0"/>
      <color rgb="FF000000"/>
      <name val="Arial"/>
    </font>
    <font>
      <i/>
      <sz val="8.0"/>
      <color rgb="FF000000"/>
      <name val="Arial"/>
    </font>
    <font>
      <i/>
      <sz val="9.0"/>
      <color rgb="FF9C0006"/>
      <name val="Arial"/>
    </font>
    <font>
      <i/>
      <sz val="8.0"/>
      <color rgb="FF9C0006"/>
      <name val="Arial"/>
    </font>
    <font>
      <sz val="11.0"/>
      <color theme="1"/>
      <name val="Calibri"/>
    </font>
    <font>
      <b/>
      <sz val="8.0"/>
      <color rgb="FF000000"/>
      <name val="Arial"/>
    </font>
    <font>
      <b/>
      <sz val="9.0"/>
      <color rgb="FF000000"/>
      <name val="Arial"/>
    </font>
    <font>
      <b/>
      <sz val="11.0"/>
      <color rgb="FFFFFFFF"/>
      <name val="Arial"/>
    </font>
    <font>
      <b/>
      <sz val="12.0"/>
      <color rgb="FFFFFFFF"/>
      <name val="Arial"/>
    </font>
    <font>
      <b/>
      <sz val="9.0"/>
      <color rgb="FFFFFFFF"/>
      <name val="Arial"/>
    </font>
    <font>
      <sz val="9.0"/>
      <color rgb="FF006100"/>
      <name val="Arial"/>
    </font>
    <font>
      <sz val="9.0"/>
      <color rgb="FF9C0006"/>
      <name val="Arial"/>
    </font>
    <font>
      <i/>
      <sz val="8.0"/>
      <color rgb="FF006100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4B183"/>
        <bgColor rgb="FFF4B183"/>
      </patternFill>
    </fill>
    <fill>
      <patternFill patternType="solid">
        <fgColor rgb="FFFCE4D6"/>
        <bgColor rgb="FFFCE4D6"/>
      </patternFill>
    </fill>
    <fill>
      <patternFill patternType="solid">
        <fgColor rgb="FFA9D18E"/>
        <bgColor rgb="FFA9D18E"/>
      </patternFill>
    </fill>
    <fill>
      <patternFill patternType="solid">
        <fgColor rgb="FFE2EFDA"/>
        <bgColor rgb="FFE2EFDA"/>
      </patternFill>
    </fill>
    <fill>
      <patternFill patternType="solid">
        <fgColor rgb="FF9DC3E6"/>
        <bgColor rgb="FF9DC3E6"/>
      </patternFill>
    </fill>
    <fill>
      <patternFill patternType="solid">
        <fgColor rgb="FFEAF0FB"/>
        <bgColor rgb="FFEAF0FB"/>
      </patternFill>
    </fill>
    <fill>
      <patternFill patternType="solid">
        <fgColor rgb="FF375623"/>
        <bgColor rgb="FF375623"/>
      </patternFill>
    </fill>
    <fill>
      <patternFill patternType="solid">
        <fgColor rgb="FF843C0C"/>
        <bgColor rgb="FF843C0C"/>
      </patternFill>
    </fill>
    <fill>
      <patternFill patternType="solid">
        <fgColor rgb="FF4A235A"/>
        <bgColor rgb="FF4A235A"/>
      </patternFill>
    </fill>
    <fill>
      <patternFill patternType="solid">
        <fgColor rgb="FF833C00"/>
        <bgColor rgb="FF833C00"/>
      </patternFill>
    </fill>
    <fill>
      <patternFill patternType="solid">
        <fgColor rgb="FFC00000"/>
        <bgColor rgb="FFC00000"/>
      </patternFill>
    </fill>
    <fill>
      <patternFill patternType="solid">
        <fgColor rgb="FFD6DCE4"/>
        <bgColor rgb="FFD6DCE4"/>
      </patternFill>
    </fill>
    <fill>
      <patternFill patternType="solid">
        <fgColor rgb="FFBDD7EE"/>
        <bgColor rgb="FFBDD7EE"/>
      </patternFill>
    </fill>
    <fill>
      <patternFill patternType="solid">
        <fgColor rgb="FFD7B8F0"/>
        <bgColor rgb="FFD7B8F0"/>
      </patternFill>
    </fill>
    <fill>
      <patternFill patternType="solid">
        <fgColor rgb="FFFF9999"/>
        <bgColor rgb="FFFF9999"/>
      </patternFill>
    </fill>
    <fill>
      <patternFill patternType="solid">
        <fgColor rgb="FFD6E4F0"/>
        <bgColor rgb="FFD6E4F0"/>
      </patternFill>
    </fill>
    <fill>
      <patternFill patternType="solid">
        <fgColor rgb="FFF3E6FA"/>
        <bgColor rgb="FFF3E6FA"/>
      </patternFill>
    </fill>
    <fill>
      <patternFill patternType="solid">
        <fgColor rgb="FFFFE0E0"/>
        <bgColor rgb="FFFFE0E0"/>
      </patternFill>
    </fill>
  </fills>
  <borders count="5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4" fillId="5" fontId="5" numFmtId="0" xfId="0" applyAlignment="1" applyBorder="1" applyFill="1" applyFont="1">
      <alignment horizontal="left" vertical="center"/>
    </xf>
    <xf borderId="4" fillId="5" fontId="5" numFmtId="0" xfId="0" applyAlignment="1" applyBorder="1" applyFont="1">
      <alignment horizontal="center" vertical="center"/>
    </xf>
    <xf borderId="4" fillId="5" fontId="5" numFmtId="164" xfId="0" applyAlignment="1" applyBorder="1" applyFont="1" applyNumberFormat="1">
      <alignment horizontal="right" vertical="center"/>
    </xf>
    <xf borderId="4" fillId="5" fontId="6" numFmtId="0" xfId="0" applyAlignment="1" applyBorder="1" applyFont="1">
      <alignment horizontal="left" vertical="center"/>
    </xf>
    <xf borderId="1" fillId="6" fontId="4" numFmtId="0" xfId="0" applyAlignment="1" applyBorder="1" applyFill="1" applyFont="1">
      <alignment horizontal="center" vertical="center"/>
    </xf>
    <xf borderId="4" fillId="7" fontId="5" numFmtId="0" xfId="0" applyAlignment="1" applyBorder="1" applyFill="1" applyFont="1">
      <alignment horizontal="left" vertical="center"/>
    </xf>
    <xf borderId="4" fillId="7" fontId="5" numFmtId="0" xfId="0" applyAlignment="1" applyBorder="1" applyFont="1">
      <alignment horizontal="center" vertical="center"/>
    </xf>
    <xf borderId="4" fillId="7" fontId="5" numFmtId="164" xfId="0" applyAlignment="1" applyBorder="1" applyFont="1" applyNumberFormat="1">
      <alignment horizontal="right" vertical="center"/>
    </xf>
    <xf borderId="4" fillId="7" fontId="6" numFmtId="0" xfId="0" applyAlignment="1" applyBorder="1" applyFont="1">
      <alignment horizontal="left" vertical="center"/>
    </xf>
    <xf borderId="1" fillId="8" fontId="4" numFmtId="0" xfId="0" applyAlignment="1" applyBorder="1" applyFill="1" applyFont="1">
      <alignment horizontal="center" vertical="center"/>
    </xf>
    <xf borderId="4" fillId="9" fontId="5" numFmtId="0" xfId="0" applyAlignment="1" applyBorder="1" applyFill="1" applyFont="1">
      <alignment horizontal="left" vertical="center"/>
    </xf>
    <xf borderId="4" fillId="9" fontId="5" numFmtId="0" xfId="0" applyAlignment="1" applyBorder="1" applyFont="1">
      <alignment horizontal="center" vertical="center"/>
    </xf>
    <xf borderId="4" fillId="9" fontId="5" numFmtId="164" xfId="0" applyAlignment="1" applyBorder="1" applyFont="1" applyNumberFormat="1">
      <alignment horizontal="right" vertical="center"/>
    </xf>
    <xf borderId="4" fillId="9" fontId="6" numFmtId="0" xfId="0" applyAlignment="1" applyBorder="1" applyFont="1">
      <alignment horizontal="left" vertical="center"/>
    </xf>
    <xf borderId="1" fillId="10" fontId="4" numFmtId="0" xfId="0" applyAlignment="1" applyBorder="1" applyFill="1" applyFont="1">
      <alignment horizontal="center" vertical="center"/>
    </xf>
    <xf borderId="4" fillId="11" fontId="5" numFmtId="0" xfId="0" applyAlignment="1" applyBorder="1" applyFill="1" applyFont="1">
      <alignment horizontal="left" vertical="center"/>
    </xf>
    <xf borderId="4" fillId="11" fontId="5" numFmtId="0" xfId="0" applyAlignment="1" applyBorder="1" applyFont="1">
      <alignment horizontal="center" vertical="center"/>
    </xf>
    <xf borderId="4" fillId="11" fontId="5" numFmtId="164" xfId="0" applyAlignment="1" applyBorder="1" applyFont="1" applyNumberFormat="1">
      <alignment horizontal="right" vertical="center"/>
    </xf>
    <xf borderId="4" fillId="11" fontId="6" numFmtId="0" xfId="0" applyAlignment="1" applyBorder="1" applyFont="1">
      <alignment horizontal="left" vertical="center"/>
    </xf>
    <xf borderId="4" fillId="11" fontId="7" numFmtId="164" xfId="0" applyAlignment="1" applyBorder="1" applyFont="1" applyNumberFormat="1">
      <alignment horizontal="right" vertical="center"/>
    </xf>
    <xf borderId="4" fillId="11" fontId="8" numFmtId="0" xfId="0" applyAlignment="1" applyBorder="1" applyFont="1">
      <alignment horizontal="left" vertical="center"/>
    </xf>
    <xf borderId="4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12" fontId="3" numFmtId="0" xfId="0" applyAlignment="1" applyBorder="1" applyFill="1" applyFont="1">
      <alignment horizontal="center" vertical="center"/>
    </xf>
    <xf borderId="1" fillId="13" fontId="3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14" fontId="3" numFmtId="0" xfId="0" applyAlignment="1" applyBorder="1" applyFill="1" applyFont="1">
      <alignment horizontal="center" vertical="center"/>
    </xf>
    <xf borderId="1" fillId="15" fontId="3" numFmtId="0" xfId="0" applyAlignment="1" applyBorder="1" applyFill="1" applyFont="1">
      <alignment horizontal="center" vertical="center"/>
    </xf>
    <xf borderId="1" fillId="16" fontId="3" numFmtId="0" xfId="0" applyAlignment="1" applyBorder="1" applyFill="1" applyFont="1">
      <alignment horizontal="center" vertical="center"/>
    </xf>
    <xf borderId="4" fillId="17" fontId="9" numFmtId="0" xfId="0" applyBorder="1" applyFill="1" applyFont="1"/>
    <xf borderId="4" fillId="17" fontId="10" numFmtId="0" xfId="0" applyAlignment="1" applyBorder="1" applyFont="1">
      <alignment horizontal="center" vertical="center"/>
    </xf>
    <xf borderId="4" fillId="4" fontId="11" numFmtId="0" xfId="0" applyAlignment="1" applyBorder="1" applyFont="1">
      <alignment horizontal="left" vertical="center"/>
    </xf>
    <xf borderId="4" fillId="4" fontId="5" numFmtId="164" xfId="0" applyAlignment="1" applyBorder="1" applyFont="1" applyNumberFormat="1">
      <alignment horizontal="right" vertical="center"/>
    </xf>
    <xf borderId="4" fillId="6" fontId="11" numFmtId="0" xfId="0" applyAlignment="1" applyBorder="1" applyFont="1">
      <alignment horizontal="left" vertical="center"/>
    </xf>
    <xf borderId="4" fillId="6" fontId="5" numFmtId="164" xfId="0" applyAlignment="1" applyBorder="1" applyFont="1" applyNumberFormat="1">
      <alignment horizontal="right" vertical="center"/>
    </xf>
    <xf borderId="4" fillId="8" fontId="11" numFmtId="0" xfId="0" applyAlignment="1" applyBorder="1" applyFont="1">
      <alignment horizontal="left" vertical="center"/>
    </xf>
    <xf borderId="4" fillId="8" fontId="5" numFmtId="164" xfId="0" applyAlignment="1" applyBorder="1" applyFont="1" applyNumberFormat="1">
      <alignment horizontal="right" vertical="center"/>
    </xf>
    <xf borderId="4" fillId="10" fontId="11" numFmtId="0" xfId="0" applyAlignment="1" applyBorder="1" applyFont="1">
      <alignment horizontal="left" vertical="center"/>
    </xf>
    <xf borderId="4" fillId="10" fontId="5" numFmtId="164" xfId="0" applyAlignment="1" applyBorder="1" applyFont="1" applyNumberFormat="1">
      <alignment horizontal="right" vertical="center"/>
    </xf>
    <xf borderId="4" fillId="17" fontId="11" numFmtId="0" xfId="0" applyAlignment="1" applyBorder="1" applyFont="1">
      <alignment horizontal="left" vertical="center"/>
    </xf>
    <xf borderId="4" fillId="18" fontId="11" numFmtId="164" xfId="0" applyAlignment="1" applyBorder="1" applyFill="1" applyFont="1" applyNumberFormat="1">
      <alignment horizontal="right" vertical="center"/>
    </xf>
    <xf borderId="4" fillId="18" fontId="9" numFmtId="0" xfId="0" applyBorder="1" applyFont="1"/>
    <xf borderId="4" fillId="8" fontId="11" numFmtId="164" xfId="0" applyAlignment="1" applyBorder="1" applyFont="1" applyNumberFormat="1">
      <alignment horizontal="right" vertical="center"/>
    </xf>
    <xf borderId="4" fillId="8" fontId="9" numFmtId="0" xfId="0" applyBorder="1" applyFont="1"/>
    <xf borderId="4" fillId="6" fontId="11" numFmtId="164" xfId="0" applyAlignment="1" applyBorder="1" applyFont="1" applyNumberFormat="1">
      <alignment horizontal="right" vertical="center"/>
    </xf>
    <xf borderId="4" fillId="6" fontId="9" numFmtId="0" xfId="0" applyBorder="1" applyFont="1"/>
    <xf borderId="4" fillId="10" fontId="11" numFmtId="164" xfId="0" applyAlignment="1" applyBorder="1" applyFont="1" applyNumberFormat="1">
      <alignment horizontal="right" vertical="center"/>
    </xf>
    <xf borderId="4" fillId="10" fontId="9" numFmtId="0" xfId="0" applyBorder="1" applyFont="1"/>
    <xf borderId="4" fillId="19" fontId="11" numFmtId="164" xfId="0" applyAlignment="1" applyBorder="1" applyFill="1" applyFont="1" applyNumberFormat="1">
      <alignment horizontal="right" vertical="center"/>
    </xf>
    <xf borderId="4" fillId="19" fontId="9" numFmtId="0" xfId="0" applyBorder="1" applyFont="1"/>
    <xf borderId="4" fillId="4" fontId="11" numFmtId="164" xfId="0" applyAlignment="1" applyBorder="1" applyFont="1" applyNumberFormat="1">
      <alignment horizontal="right" vertical="center"/>
    </xf>
    <xf borderId="4" fillId="4" fontId="9" numFmtId="0" xfId="0" applyBorder="1" applyFont="1"/>
    <xf borderId="4" fillId="20" fontId="9" numFmtId="0" xfId="0" applyBorder="1" applyFill="1" applyFont="1"/>
    <xf borderId="4" fillId="2" fontId="3" numFmtId="0" xfId="0" applyAlignment="1" applyBorder="1" applyFont="1">
      <alignment horizontal="left" vertical="center"/>
    </xf>
    <xf borderId="1" fillId="2" fontId="12" numFmtId="164" xfId="0" applyAlignment="1" applyBorder="1" applyFont="1" applyNumberFormat="1">
      <alignment horizontal="center" vertical="center"/>
    </xf>
    <xf borderId="1" fillId="12" fontId="12" numFmtId="164" xfId="0" applyAlignment="1" applyBorder="1" applyFont="1" applyNumberFormat="1">
      <alignment horizontal="center" vertical="center"/>
    </xf>
    <xf borderId="1" fillId="13" fontId="12" numFmtId="164" xfId="0" applyAlignment="1" applyBorder="1" applyFont="1" applyNumberFormat="1">
      <alignment horizontal="center" vertical="center"/>
    </xf>
    <xf borderId="1" fillId="3" fontId="12" numFmtId="164" xfId="0" applyAlignment="1" applyBorder="1" applyFont="1" applyNumberFormat="1">
      <alignment horizontal="center" vertical="center"/>
    </xf>
    <xf borderId="1" fillId="14" fontId="12" numFmtId="164" xfId="0" applyAlignment="1" applyBorder="1" applyFont="1" applyNumberFormat="1">
      <alignment horizontal="center" vertical="center"/>
    </xf>
    <xf borderId="1" fillId="15" fontId="12" numFmtId="164" xfId="0" applyAlignment="1" applyBorder="1" applyFont="1" applyNumberFormat="1">
      <alignment horizontal="center" vertical="center"/>
    </xf>
    <xf borderId="1" fillId="16" fontId="12" numFmtId="164" xfId="0" applyAlignment="1" applyBorder="1" applyFont="1" applyNumberFormat="1">
      <alignment horizontal="center" vertical="center"/>
    </xf>
    <xf borderId="1" fillId="2" fontId="13" numFmtId="0" xfId="0" applyAlignment="1" applyBorder="1" applyFont="1">
      <alignment horizontal="center" vertical="center"/>
    </xf>
    <xf borderId="1" fillId="3" fontId="14" numFmtId="0" xfId="0" applyAlignment="1" applyBorder="1" applyFont="1">
      <alignment horizontal="center" vertical="center"/>
    </xf>
    <xf borderId="4" fillId="21" fontId="4" numFmtId="0" xfId="0" applyAlignment="1" applyBorder="1" applyFill="1" applyFont="1">
      <alignment horizontal="left" vertical="center"/>
    </xf>
    <xf borderId="4" fillId="18" fontId="4" numFmtId="164" xfId="0" applyAlignment="1" applyBorder="1" applyFont="1" applyNumberFormat="1">
      <alignment horizontal="right" vertical="center"/>
    </xf>
    <xf borderId="4" fillId="21" fontId="15" numFmtId="0" xfId="0" applyAlignment="1" applyBorder="1" applyFont="1">
      <alignment horizontal="center" vertical="center"/>
    </xf>
    <xf borderId="4" fillId="21" fontId="5" numFmtId="0" xfId="0" applyAlignment="1" applyBorder="1" applyFont="1">
      <alignment horizontal="center" vertical="center"/>
    </xf>
    <xf borderId="4" fillId="21" fontId="9" numFmtId="0" xfId="0" applyBorder="1" applyFont="1"/>
    <xf borderId="4" fillId="9" fontId="4" numFmtId="0" xfId="0" applyAlignment="1" applyBorder="1" applyFont="1">
      <alignment horizontal="left" vertical="center"/>
    </xf>
    <xf borderId="4" fillId="8" fontId="4" numFmtId="164" xfId="0" applyAlignment="1" applyBorder="1" applyFont="1" applyNumberFormat="1">
      <alignment horizontal="right" vertical="center"/>
    </xf>
    <xf borderId="4" fillId="9" fontId="15" numFmtId="0" xfId="0" applyAlignment="1" applyBorder="1" applyFont="1">
      <alignment horizontal="center" vertical="center"/>
    </xf>
    <xf borderId="4" fillId="9" fontId="9" numFmtId="0" xfId="0" applyBorder="1" applyFont="1"/>
    <xf borderId="4" fillId="7" fontId="4" numFmtId="0" xfId="0" applyAlignment="1" applyBorder="1" applyFont="1">
      <alignment horizontal="left" vertical="center"/>
    </xf>
    <xf borderId="4" fillId="6" fontId="4" numFmtId="164" xfId="0" applyAlignment="1" applyBorder="1" applyFont="1" applyNumberFormat="1">
      <alignment horizontal="right" vertical="center"/>
    </xf>
    <xf borderId="4" fillId="7" fontId="15" numFmtId="0" xfId="0" applyAlignment="1" applyBorder="1" applyFont="1">
      <alignment horizontal="center" vertical="center"/>
    </xf>
    <xf borderId="4" fillId="7" fontId="9" numFmtId="0" xfId="0" applyBorder="1" applyFont="1"/>
    <xf borderId="4" fillId="18" fontId="4" numFmtId="0" xfId="0" applyAlignment="1" applyBorder="1" applyFont="1">
      <alignment horizontal="left" vertical="center"/>
    </xf>
    <xf borderId="4" fillId="10" fontId="4" numFmtId="164" xfId="0" applyAlignment="1" applyBorder="1" applyFont="1" applyNumberFormat="1">
      <alignment horizontal="right" vertical="center"/>
    </xf>
    <xf borderId="4" fillId="18" fontId="15" numFmtId="0" xfId="0" applyAlignment="1" applyBorder="1" applyFont="1">
      <alignment horizontal="center" vertical="center"/>
    </xf>
    <xf borderId="4" fillId="18" fontId="5" numFmtId="0" xfId="0" applyAlignment="1" applyBorder="1" applyFont="1">
      <alignment horizontal="center" vertical="center"/>
    </xf>
    <xf borderId="1" fillId="13" fontId="14" numFmtId="0" xfId="0" applyAlignment="1" applyBorder="1" applyFont="1">
      <alignment horizontal="center" vertical="center"/>
    </xf>
    <xf borderId="4" fillId="22" fontId="4" numFmtId="0" xfId="0" applyAlignment="1" applyBorder="1" applyFill="1" applyFont="1">
      <alignment horizontal="left" vertical="center"/>
    </xf>
    <xf borderId="4" fillId="19" fontId="4" numFmtId="164" xfId="0" applyAlignment="1" applyBorder="1" applyFont="1" applyNumberFormat="1">
      <alignment horizontal="right" vertical="center"/>
    </xf>
    <xf borderId="4" fillId="22" fontId="16" numFmtId="0" xfId="0" applyAlignment="1" applyBorder="1" applyFont="1">
      <alignment horizontal="center" vertical="center"/>
    </xf>
    <xf borderId="4" fillId="22" fontId="5" numFmtId="0" xfId="0" applyAlignment="1" applyBorder="1" applyFont="1">
      <alignment horizontal="center" vertical="center"/>
    </xf>
    <xf borderId="4" fillId="22" fontId="9" numFmtId="0" xfId="0" applyBorder="1" applyFont="1"/>
    <xf borderId="4" fillId="5" fontId="4" numFmtId="0" xfId="0" applyAlignment="1" applyBorder="1" applyFont="1">
      <alignment horizontal="left" vertical="center"/>
    </xf>
    <xf borderId="4" fillId="4" fontId="4" numFmtId="164" xfId="0" applyAlignment="1" applyBorder="1" applyFont="1" applyNumberFormat="1">
      <alignment horizontal="right" vertical="center"/>
    </xf>
    <xf borderId="4" fillId="5" fontId="16" numFmtId="0" xfId="0" applyAlignment="1" applyBorder="1" applyFont="1">
      <alignment horizontal="center" vertical="center"/>
    </xf>
    <xf borderId="4" fillId="5" fontId="9" numFmtId="0" xfId="0" applyBorder="1" applyFont="1"/>
    <xf borderId="4" fillId="23" fontId="4" numFmtId="0" xfId="0" applyAlignment="1" applyBorder="1" applyFill="1" applyFont="1">
      <alignment horizontal="left" vertical="center"/>
    </xf>
    <xf borderId="4" fillId="20" fontId="4" numFmtId="164" xfId="0" applyAlignment="1" applyBorder="1" applyFont="1" applyNumberFormat="1">
      <alignment horizontal="right" vertical="center"/>
    </xf>
    <xf borderId="4" fillId="23" fontId="16" numFmtId="0" xfId="0" applyAlignment="1" applyBorder="1" applyFont="1">
      <alignment horizontal="center" vertical="center"/>
    </xf>
    <xf borderId="4" fillId="23" fontId="5" numFmtId="0" xfId="0" applyAlignment="1" applyBorder="1" applyFont="1">
      <alignment horizontal="center" vertical="center"/>
    </xf>
    <xf borderId="4" fillId="23" fontId="9" numFmtId="0" xfId="0" applyBorder="1" applyFont="1"/>
    <xf borderId="1" fillId="9" fontId="17" numFmtId="0" xfId="0" applyAlignment="1" applyBorder="1" applyFont="1">
      <alignment horizontal="left" shrinkToFit="0" vertical="center" wrapText="1"/>
    </xf>
    <xf borderId="4" fillId="19" fontId="4" numFmtId="164" xfId="0" applyAlignment="1" applyBorder="1" applyFont="1" applyNumberFormat="1">
      <alignment horizontal="right" readingOrder="0" vertical="center"/>
    </xf>
    <xf borderId="4" fillId="4" fontId="4" numFmtId="164" xfId="0" applyAlignment="1" applyBorder="1" applyFont="1" applyNumberFormat="1">
      <alignment horizontal="right" readingOrder="0" vertical="center"/>
    </xf>
    <xf borderId="4" fillId="20" fontId="4" numFmtId="164" xfId="0" applyAlignment="1" applyBorder="1" applyFont="1" applyNumberFormat="1">
      <alignment horizontal="righ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2" width="8.0"/>
    <col customWidth="1" min="3" max="3" width="18.0"/>
    <col customWidth="1" min="4" max="4" width="24.0"/>
    <col customWidth="1" min="5" max="26" width="9.14"/>
  </cols>
  <sheetData>
    <row r="1" ht="27.75" customHeight="1">
      <c r="A1" s="1" t="s">
        <v>0</v>
      </c>
      <c r="B1" s="2"/>
      <c r="C1" s="2"/>
      <c r="D1" s="3"/>
    </row>
    <row r="2" ht="19.5" customHeight="1">
      <c r="A2" s="4" t="s">
        <v>1</v>
      </c>
      <c r="B2" s="4" t="s">
        <v>2</v>
      </c>
      <c r="C2" s="4" t="s">
        <v>3</v>
      </c>
      <c r="D2" s="4" t="s">
        <v>4</v>
      </c>
    </row>
    <row r="3" ht="18.0" customHeight="1">
      <c r="A3" s="5" t="s">
        <v>5</v>
      </c>
      <c r="B3" s="2"/>
      <c r="C3" s="2"/>
      <c r="D3" s="3"/>
    </row>
    <row r="4" ht="15.75" customHeight="1">
      <c r="A4" s="6" t="s">
        <v>6</v>
      </c>
      <c r="B4" s="7" t="s">
        <v>7</v>
      </c>
      <c r="C4" s="8">
        <v>792.4</v>
      </c>
      <c r="D4" s="9"/>
    </row>
    <row r="5" ht="15.75" customHeight="1">
      <c r="A5" s="6" t="s">
        <v>8</v>
      </c>
      <c r="B5" s="7" t="s">
        <v>7</v>
      </c>
      <c r="C5" s="8">
        <v>616.0</v>
      </c>
      <c r="D5" s="9"/>
    </row>
    <row r="6" ht="15.75" customHeight="1">
      <c r="A6" s="6" t="s">
        <v>9</v>
      </c>
      <c r="B6" s="7" t="s">
        <v>7</v>
      </c>
      <c r="C6" s="8">
        <v>1075.4</v>
      </c>
      <c r="D6" s="9"/>
    </row>
    <row r="7" ht="15.75" customHeight="1">
      <c r="A7" s="6" t="s">
        <v>10</v>
      </c>
      <c r="B7" s="7" t="s">
        <v>7</v>
      </c>
      <c r="C7" s="8">
        <v>4525.5</v>
      </c>
      <c r="D7" s="9"/>
    </row>
    <row r="8" ht="15.75" customHeight="1">
      <c r="A8" s="6" t="s">
        <v>11</v>
      </c>
      <c r="B8" s="7" t="s">
        <v>7</v>
      </c>
      <c r="C8" s="8">
        <v>18040.32</v>
      </c>
      <c r="D8" s="9"/>
    </row>
    <row r="9" ht="15.75" customHeight="1">
      <c r="A9" s="6" t="s">
        <v>12</v>
      </c>
      <c r="B9" s="7" t="s">
        <v>7</v>
      </c>
      <c r="C9" s="8">
        <v>5380.54</v>
      </c>
      <c r="D9" s="9"/>
    </row>
    <row r="10" ht="18.0" customHeight="1">
      <c r="A10" s="10" t="s">
        <v>13</v>
      </c>
      <c r="B10" s="2"/>
      <c r="C10" s="2"/>
      <c r="D10" s="3"/>
    </row>
    <row r="11" ht="15.75" customHeight="1">
      <c r="A11" s="11" t="s">
        <v>14</v>
      </c>
      <c r="B11" s="12" t="s">
        <v>7</v>
      </c>
      <c r="C11" s="13">
        <v>3768.8</v>
      </c>
      <c r="D11" s="14"/>
    </row>
    <row r="12" ht="15.75" customHeight="1">
      <c r="A12" s="11" t="s">
        <v>15</v>
      </c>
      <c r="B12" s="12" t="s">
        <v>7</v>
      </c>
      <c r="C12" s="13">
        <v>2132.625</v>
      </c>
      <c r="D12" s="14"/>
    </row>
    <row r="13" ht="15.75" customHeight="1">
      <c r="A13" s="11" t="s">
        <v>16</v>
      </c>
      <c r="B13" s="12" t="s">
        <v>7</v>
      </c>
      <c r="C13" s="13">
        <v>1710.0</v>
      </c>
      <c r="D13" s="14"/>
    </row>
    <row r="14" ht="15.75" customHeight="1">
      <c r="A14" s="11" t="s">
        <v>17</v>
      </c>
      <c r="B14" s="12" t="s">
        <v>7</v>
      </c>
      <c r="C14" s="13">
        <v>4018.0</v>
      </c>
      <c r="D14" s="14"/>
    </row>
    <row r="15" ht="18.0" customHeight="1">
      <c r="A15" s="15" t="s">
        <v>18</v>
      </c>
      <c r="B15" s="2"/>
      <c r="C15" s="2"/>
      <c r="D15" s="3"/>
    </row>
    <row r="16" ht="15.75" customHeight="1">
      <c r="A16" s="16" t="s">
        <v>19</v>
      </c>
      <c r="B16" s="17" t="s">
        <v>7</v>
      </c>
      <c r="C16" s="18">
        <v>804.0</v>
      </c>
      <c r="D16" s="19"/>
    </row>
    <row r="17" ht="15.75" customHeight="1">
      <c r="A17" s="16" t="s">
        <v>20</v>
      </c>
      <c r="B17" s="17" t="s">
        <v>7</v>
      </c>
      <c r="C17" s="18">
        <v>1245.0</v>
      </c>
      <c r="D17" s="19"/>
    </row>
    <row r="18" ht="15.75" customHeight="1">
      <c r="A18" s="16" t="s">
        <v>21</v>
      </c>
      <c r="B18" s="17" t="s">
        <v>7</v>
      </c>
      <c r="C18" s="18">
        <v>1139.0</v>
      </c>
      <c r="D18" s="19"/>
    </row>
    <row r="19" ht="15.75" customHeight="1">
      <c r="A19" s="16" t="s">
        <v>22</v>
      </c>
      <c r="B19" s="17" t="s">
        <v>7</v>
      </c>
      <c r="C19" s="18">
        <v>39408.5</v>
      </c>
      <c r="D19" s="19"/>
    </row>
    <row r="20" ht="15.75" customHeight="1">
      <c r="A20" s="16" t="s">
        <v>23</v>
      </c>
      <c r="B20" s="17" t="s">
        <v>7</v>
      </c>
      <c r="C20" s="18">
        <v>1297.0</v>
      </c>
      <c r="D20" s="19"/>
    </row>
    <row r="21" ht="18.0" customHeight="1">
      <c r="A21" s="20" t="s">
        <v>24</v>
      </c>
      <c r="B21" s="2"/>
      <c r="C21" s="2"/>
      <c r="D21" s="3"/>
    </row>
    <row r="22" ht="15.75" customHeight="1">
      <c r="A22" s="21" t="s">
        <v>25</v>
      </c>
      <c r="B22" s="22" t="s">
        <v>26</v>
      </c>
      <c r="C22" s="23">
        <v>1.0</v>
      </c>
      <c r="D22" s="24"/>
    </row>
    <row r="23" ht="15.75" customHeight="1">
      <c r="A23" s="21" t="s">
        <v>27</v>
      </c>
      <c r="B23" s="22" t="s">
        <v>7</v>
      </c>
      <c r="C23" s="23">
        <v>407.04</v>
      </c>
      <c r="D23" s="24"/>
    </row>
    <row r="24" ht="15.75" customHeight="1">
      <c r="A24" s="21" t="s">
        <v>28</v>
      </c>
      <c r="B24" s="22" t="s">
        <v>7</v>
      </c>
      <c r="C24" s="23">
        <v>2058.0</v>
      </c>
      <c r="D24" s="24"/>
    </row>
    <row r="25" ht="15.75" customHeight="1">
      <c r="A25" s="21" t="s">
        <v>29</v>
      </c>
      <c r="B25" s="22" t="s">
        <v>7</v>
      </c>
      <c r="C25" s="23">
        <v>5130.0</v>
      </c>
      <c r="D25" s="24"/>
    </row>
    <row r="26" ht="15.75" customHeight="1">
      <c r="A26" s="21" t="s">
        <v>30</v>
      </c>
      <c r="B26" s="22" t="s">
        <v>7</v>
      </c>
      <c r="C26" s="23">
        <v>2842.0</v>
      </c>
      <c r="D26" s="24"/>
    </row>
    <row r="27" ht="15.75" customHeight="1">
      <c r="A27" s="21" t="s">
        <v>31</v>
      </c>
      <c r="B27" s="22" t="s">
        <v>7</v>
      </c>
      <c r="C27" s="23">
        <v>4200.0</v>
      </c>
      <c r="D27" s="24"/>
    </row>
    <row r="28" ht="15.75" customHeight="1">
      <c r="A28" s="21" t="s">
        <v>32</v>
      </c>
      <c r="B28" s="22" t="s">
        <v>7</v>
      </c>
      <c r="C28" s="23">
        <v>1102.0</v>
      </c>
      <c r="D28" s="24"/>
    </row>
    <row r="29" ht="15.75" customHeight="1">
      <c r="A29" s="21" t="s">
        <v>33</v>
      </c>
      <c r="B29" s="22" t="s">
        <v>7</v>
      </c>
      <c r="C29" s="23">
        <v>1219.75</v>
      </c>
      <c r="D29" s="24"/>
    </row>
    <row r="30" ht="15.75" customHeight="1">
      <c r="A30" s="21" t="s">
        <v>34</v>
      </c>
      <c r="B30" s="22" t="s">
        <v>7</v>
      </c>
      <c r="C30" s="23">
        <v>8273.45</v>
      </c>
      <c r="D30" s="24"/>
    </row>
    <row r="31" ht="15.75" customHeight="1">
      <c r="A31" s="21" t="s">
        <v>35</v>
      </c>
      <c r="B31" s="22" t="s">
        <v>7</v>
      </c>
      <c r="C31" s="23">
        <v>43468.8</v>
      </c>
      <c r="D31" s="24"/>
    </row>
    <row r="32" ht="15.75" customHeight="1">
      <c r="A32" s="21" t="s">
        <v>36</v>
      </c>
      <c r="B32" s="22" t="s">
        <v>7</v>
      </c>
      <c r="C32" s="23">
        <v>40126.35</v>
      </c>
      <c r="D32" s="24"/>
    </row>
    <row r="33" ht="15.75" customHeight="1">
      <c r="A33" s="21" t="s">
        <v>37</v>
      </c>
      <c r="B33" s="22" t="s">
        <v>7</v>
      </c>
      <c r="C33" s="23">
        <v>7511.1761</v>
      </c>
      <c r="D33" s="24"/>
    </row>
    <row r="34" ht="15.75" customHeight="1">
      <c r="A34" s="21" t="s">
        <v>38</v>
      </c>
      <c r="B34" s="22" t="s">
        <v>7</v>
      </c>
      <c r="C34" s="23">
        <v>3976.0</v>
      </c>
      <c r="D34" s="24"/>
    </row>
    <row r="35" ht="15.75" customHeight="1">
      <c r="A35" s="21" t="s">
        <v>39</v>
      </c>
      <c r="B35" s="22" t="s">
        <v>7</v>
      </c>
      <c r="C35" s="23">
        <v>11400.0</v>
      </c>
      <c r="D35" s="24"/>
    </row>
    <row r="36" ht="15.75" customHeight="1">
      <c r="A36" s="21" t="s">
        <v>40</v>
      </c>
      <c r="B36" s="22" t="s">
        <v>7</v>
      </c>
      <c r="C36" s="23">
        <v>8425.94</v>
      </c>
      <c r="D36" s="24"/>
    </row>
    <row r="37" ht="15.75" customHeight="1">
      <c r="A37" s="21" t="s">
        <v>41</v>
      </c>
      <c r="B37" s="22" t="s">
        <v>7</v>
      </c>
      <c r="C37" s="23">
        <v>2646.0</v>
      </c>
      <c r="D37" s="24"/>
    </row>
    <row r="38" ht="15.75" customHeight="1">
      <c r="A38" s="21" t="s">
        <v>42</v>
      </c>
      <c r="B38" s="22" t="s">
        <v>7</v>
      </c>
      <c r="C38" s="23">
        <v>13542.0</v>
      </c>
      <c r="D38" s="24"/>
    </row>
    <row r="39" ht="15.75" customHeight="1">
      <c r="A39" s="21" t="s">
        <v>43</v>
      </c>
      <c r="B39" s="22" t="s">
        <v>7</v>
      </c>
      <c r="C39" s="23">
        <v>1698.0</v>
      </c>
      <c r="D39" s="24"/>
    </row>
    <row r="40" ht="15.75" customHeight="1">
      <c r="A40" s="21" t="s">
        <v>44</v>
      </c>
      <c r="B40" s="22" t="s">
        <v>7</v>
      </c>
      <c r="C40" s="23">
        <v>7668.0</v>
      </c>
      <c r="D40" s="24"/>
    </row>
    <row r="41" ht="15.75" customHeight="1">
      <c r="A41" s="21" t="s">
        <v>45</v>
      </c>
      <c r="B41" s="22" t="s">
        <v>7</v>
      </c>
      <c r="C41" s="23">
        <v>189360.0</v>
      </c>
      <c r="D41" s="24"/>
    </row>
    <row r="42" ht="15.75" customHeight="1">
      <c r="A42" s="21" t="s">
        <v>46</v>
      </c>
      <c r="B42" s="22" t="s">
        <v>7</v>
      </c>
      <c r="C42" s="23">
        <v>2747.2489</v>
      </c>
      <c r="D42" s="24"/>
    </row>
    <row r="43" ht="15.75" customHeight="1">
      <c r="A43" s="21" t="s">
        <v>47</v>
      </c>
      <c r="B43" s="22" t="s">
        <v>7</v>
      </c>
      <c r="C43" s="23">
        <v>5781.0</v>
      </c>
      <c r="D43" s="24"/>
    </row>
    <row r="44" ht="15.75" customHeight="1">
      <c r="A44" s="21" t="s">
        <v>48</v>
      </c>
      <c r="B44" s="22" t="s">
        <v>7</v>
      </c>
      <c r="C44" s="25">
        <v>11000.0</v>
      </c>
      <c r="D44" s="26"/>
    </row>
    <row r="45" ht="15.75" customHeight="1">
      <c r="A45" s="21" t="s">
        <v>49</v>
      </c>
      <c r="B45" s="22" t="s">
        <v>7</v>
      </c>
      <c r="C45" s="25">
        <v>5000.0</v>
      </c>
      <c r="D45" s="26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3:D3"/>
    <mergeCell ref="A10:D10"/>
    <mergeCell ref="A15:D15"/>
    <mergeCell ref="A21:D2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4.0"/>
    <col customWidth="1" min="3" max="3" width="12.0"/>
    <col customWidth="1" min="4" max="4" width="14.0"/>
    <col customWidth="1" min="5" max="5" width="12.0"/>
    <col customWidth="1" min="6" max="6" width="14.0"/>
    <col customWidth="1" min="7" max="7" width="12.0"/>
    <col customWidth="1" min="8" max="8" width="14.0"/>
    <col customWidth="1" min="9" max="9" width="12.0"/>
    <col customWidth="1" min="10" max="10" width="14.0"/>
    <col customWidth="1" min="11" max="11" width="12.0"/>
    <col customWidth="1" min="12" max="12" width="14.0"/>
    <col customWidth="1" min="13" max="13" width="12.0"/>
    <col customWidth="1" min="14" max="14" width="14.0"/>
    <col customWidth="1" min="15" max="15" width="12.0"/>
    <col customWidth="1" min="16" max="26" width="9.14"/>
  </cols>
  <sheetData>
    <row r="1" ht="27.75" customHeight="1">
      <c r="A1" s="1" t="s">
        <v>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21.75" customHeight="1">
      <c r="A2" s="27" t="s">
        <v>51</v>
      </c>
      <c r="B2" s="28" t="s">
        <v>52</v>
      </c>
      <c r="C2" s="3"/>
      <c r="D2" s="29" t="s">
        <v>53</v>
      </c>
      <c r="E2" s="3"/>
      <c r="F2" s="30" t="s">
        <v>54</v>
      </c>
      <c r="G2" s="3"/>
      <c r="H2" s="31" t="s">
        <v>55</v>
      </c>
      <c r="I2" s="3"/>
      <c r="J2" s="32" t="s">
        <v>56</v>
      </c>
      <c r="K2" s="3"/>
      <c r="L2" s="33" t="s">
        <v>57</v>
      </c>
      <c r="M2" s="3"/>
      <c r="N2" s="34" t="s">
        <v>58</v>
      </c>
      <c r="O2" s="3"/>
    </row>
    <row r="3" ht="15.75" customHeight="1">
      <c r="A3" s="35"/>
      <c r="B3" s="36" t="s">
        <v>59</v>
      </c>
      <c r="C3" s="36" t="s">
        <v>60</v>
      </c>
      <c r="D3" s="36" t="s">
        <v>59</v>
      </c>
      <c r="E3" s="36" t="s">
        <v>60</v>
      </c>
      <c r="F3" s="36" t="s">
        <v>59</v>
      </c>
      <c r="G3" s="36" t="s">
        <v>60</v>
      </c>
      <c r="H3" s="36" t="s">
        <v>59</v>
      </c>
      <c r="I3" s="36" t="s">
        <v>60</v>
      </c>
      <c r="J3" s="36" t="s">
        <v>59</v>
      </c>
      <c r="K3" s="36" t="s">
        <v>60</v>
      </c>
      <c r="L3" s="36" t="s">
        <v>59</v>
      </c>
      <c r="M3" s="36" t="s">
        <v>60</v>
      </c>
      <c r="N3" s="36" t="s">
        <v>59</v>
      </c>
      <c r="O3" s="36" t="s">
        <v>60</v>
      </c>
    </row>
    <row r="4" ht="16.5" customHeight="1">
      <c r="A4" s="37" t="s">
        <v>61</v>
      </c>
      <c r="B4" s="38">
        <v>5167.73</v>
      </c>
      <c r="C4" s="38">
        <v>815.1</v>
      </c>
      <c r="D4" s="38">
        <v>90938.4</v>
      </c>
      <c r="E4" s="38">
        <v>739.34</v>
      </c>
      <c r="F4" s="38">
        <v>77379.4</v>
      </c>
      <c r="G4" s="38">
        <v>729.99</v>
      </c>
      <c r="H4" s="38">
        <v>52825.12</v>
      </c>
      <c r="I4" s="38">
        <v>3565.65</v>
      </c>
      <c r="J4" s="38">
        <v>36092.0</v>
      </c>
      <c r="K4" s="38">
        <v>721.84</v>
      </c>
      <c r="L4" s="38">
        <v>77379.4</v>
      </c>
      <c r="M4" s="38">
        <v>768.62</v>
      </c>
      <c r="N4" s="38">
        <v>82400.0</v>
      </c>
      <c r="O4" s="38">
        <v>723.37</v>
      </c>
    </row>
    <row r="5" ht="16.5" customHeight="1">
      <c r="A5" s="39" t="s">
        <v>62</v>
      </c>
      <c r="B5" s="40">
        <v>22034.25</v>
      </c>
      <c r="C5" s="40">
        <v>3782.7</v>
      </c>
      <c r="D5" s="40">
        <v>149548.2</v>
      </c>
      <c r="E5" s="40">
        <v>3692.55</v>
      </c>
      <c r="F5" s="40">
        <v>88563.4</v>
      </c>
      <c r="G5" s="40">
        <v>3674.83</v>
      </c>
      <c r="H5" s="40">
        <v>1599.47</v>
      </c>
      <c r="I5" s="40">
        <v>2132.62</v>
      </c>
      <c r="J5" s="40">
        <v>58242.0</v>
      </c>
      <c r="K5" s="40">
        <v>3640.12</v>
      </c>
      <c r="L5" s="40">
        <v>45825.0</v>
      </c>
      <c r="M5" s="40">
        <v>2109.78</v>
      </c>
      <c r="N5" s="40">
        <v>54473.2</v>
      </c>
      <c r="O5" s="40">
        <v>3631.55</v>
      </c>
    </row>
    <row r="6" ht="16.5" customHeight="1">
      <c r="A6" s="41" t="s">
        <v>63</v>
      </c>
      <c r="B6" s="42">
        <v>4964.7</v>
      </c>
      <c r="C6" s="42">
        <v>804.0</v>
      </c>
      <c r="D6" s="42">
        <v>64306.9</v>
      </c>
      <c r="E6" s="42">
        <v>1193.08</v>
      </c>
      <c r="F6" s="42">
        <v>42976.5</v>
      </c>
      <c r="G6" s="42">
        <v>924.23</v>
      </c>
      <c r="H6" s="42">
        <v>993.51</v>
      </c>
      <c r="I6" s="42">
        <v>903.19</v>
      </c>
      <c r="J6" s="42">
        <v>18207.0</v>
      </c>
      <c r="K6" s="42">
        <v>867.0</v>
      </c>
      <c r="L6" s="42">
        <v>0.0</v>
      </c>
      <c r="M6" s="42" t="s">
        <v>64</v>
      </c>
      <c r="N6" s="42">
        <v>17844.0</v>
      </c>
      <c r="O6" s="42">
        <v>892.2</v>
      </c>
    </row>
    <row r="7" ht="16.5" customHeight="1">
      <c r="A7" s="43" t="s">
        <v>65</v>
      </c>
      <c r="B7" s="44">
        <v>36392.05</v>
      </c>
      <c r="C7" s="44">
        <v>4816.95</v>
      </c>
      <c r="D7" s="44">
        <v>43339.18</v>
      </c>
      <c r="E7" s="44">
        <v>1758.18</v>
      </c>
      <c r="F7" s="44">
        <v>14078.32</v>
      </c>
      <c r="G7" s="44">
        <v>553.18</v>
      </c>
      <c r="H7" s="44">
        <v>4417.37</v>
      </c>
      <c r="I7" s="44">
        <v>352.63</v>
      </c>
      <c r="J7" s="44">
        <v>91725.7</v>
      </c>
      <c r="K7" s="44">
        <v>7055.82</v>
      </c>
      <c r="L7" s="44">
        <v>21985.0</v>
      </c>
      <c r="M7" s="44">
        <v>813.6</v>
      </c>
      <c r="N7" s="44">
        <v>63974.4</v>
      </c>
      <c r="O7" s="44">
        <v>3367.07</v>
      </c>
    </row>
    <row r="8" ht="18.0" customHeight="1">
      <c r="A8" s="45" t="s">
        <v>66</v>
      </c>
      <c r="B8" s="46">
        <v>68558.72</v>
      </c>
      <c r="C8" s="47"/>
      <c r="D8" s="48">
        <v>348132.68</v>
      </c>
      <c r="E8" s="49"/>
      <c r="F8" s="50">
        <v>222997.62</v>
      </c>
      <c r="G8" s="51"/>
      <c r="H8" s="52">
        <v>59835.46</v>
      </c>
      <c r="I8" s="53"/>
      <c r="J8" s="54">
        <v>204266.7</v>
      </c>
      <c r="K8" s="55"/>
      <c r="L8" s="56">
        <f>SUM(L4:L7)</f>
        <v>145189.4</v>
      </c>
      <c r="M8" s="57"/>
      <c r="N8" s="56">
        <f>SUM(N4:N7)</f>
        <v>218691.6</v>
      </c>
      <c r="O8" s="58"/>
    </row>
    <row r="9" ht="21.75" customHeight="1">
      <c r="A9" s="59" t="s">
        <v>67</v>
      </c>
      <c r="B9" s="60">
        <v>3798.7382</v>
      </c>
      <c r="C9" s="3"/>
      <c r="D9" s="61">
        <v>2404.9812</v>
      </c>
      <c r="E9" s="3"/>
      <c r="F9" s="62">
        <v>1958.9652</v>
      </c>
      <c r="G9" s="3"/>
      <c r="H9" s="63">
        <v>3034.2006</v>
      </c>
      <c r="I9" s="3"/>
      <c r="J9" s="64">
        <v>2042.67</v>
      </c>
      <c r="K9" s="3"/>
      <c r="L9" s="65">
        <f>L8/170</f>
        <v>854.0552941</v>
      </c>
      <c r="M9" s="3"/>
      <c r="N9" s="66">
        <v>1695.67</v>
      </c>
      <c r="O9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:C2"/>
    <mergeCell ref="B9:C9"/>
    <mergeCell ref="D9:E9"/>
    <mergeCell ref="F9:G9"/>
    <mergeCell ref="H9:I9"/>
    <mergeCell ref="J9:K9"/>
    <mergeCell ref="L9:M9"/>
    <mergeCell ref="N9:O9"/>
    <mergeCell ref="A1:O1"/>
    <mergeCell ref="D2:E2"/>
    <mergeCell ref="F2:G2"/>
    <mergeCell ref="H2:I2"/>
    <mergeCell ref="J2:K2"/>
    <mergeCell ref="L2:M2"/>
    <mergeCell ref="N2:O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4" width="20.0"/>
    <col customWidth="1" min="5" max="5" width="26.0"/>
    <col customWidth="1" min="6" max="26" width="9.14"/>
  </cols>
  <sheetData>
    <row r="1" ht="25.5" customHeight="1">
      <c r="A1" s="67" t="s">
        <v>68</v>
      </c>
      <c r="B1" s="2"/>
      <c r="C1" s="2"/>
      <c r="D1" s="2"/>
      <c r="E1" s="3"/>
    </row>
    <row r="2" ht="19.5" customHeight="1">
      <c r="A2" s="4" t="s">
        <v>69</v>
      </c>
      <c r="B2" s="4" t="s">
        <v>70</v>
      </c>
      <c r="C2" s="4" t="s">
        <v>71</v>
      </c>
      <c r="D2" s="4" t="s">
        <v>72</v>
      </c>
      <c r="E2" s="4"/>
    </row>
    <row r="4" ht="15.75" customHeight="1">
      <c r="A4" s="68" t="s">
        <v>73</v>
      </c>
      <c r="B4" s="2"/>
      <c r="C4" s="2"/>
      <c r="D4" s="2"/>
      <c r="E4" s="3"/>
    </row>
    <row r="5" ht="19.5" customHeight="1">
      <c r="A5" s="69" t="s">
        <v>74</v>
      </c>
      <c r="B5" s="70">
        <v>3798.7382</v>
      </c>
      <c r="C5" s="71" t="s">
        <v>75</v>
      </c>
      <c r="D5" s="72" t="s">
        <v>76</v>
      </c>
      <c r="E5" s="73"/>
    </row>
    <row r="6" ht="19.5" customHeight="1">
      <c r="A6" s="74" t="s">
        <v>77</v>
      </c>
      <c r="B6" s="75">
        <v>2404.9812</v>
      </c>
      <c r="C6" s="76" t="s">
        <v>75</v>
      </c>
      <c r="D6" s="17" t="s">
        <v>78</v>
      </c>
      <c r="E6" s="77"/>
    </row>
    <row r="7" ht="19.5" customHeight="1">
      <c r="A7" s="78" t="s">
        <v>79</v>
      </c>
      <c r="B7" s="79">
        <v>1958.9652</v>
      </c>
      <c r="C7" s="80" t="s">
        <v>75</v>
      </c>
      <c r="D7" s="12" t="s">
        <v>78</v>
      </c>
      <c r="E7" s="81"/>
    </row>
    <row r="8" ht="19.5" customHeight="1">
      <c r="A8" s="82" t="s">
        <v>80</v>
      </c>
      <c r="B8" s="83">
        <v>3034.2006</v>
      </c>
      <c r="C8" s="84" t="s">
        <v>75</v>
      </c>
      <c r="D8" s="85" t="s">
        <v>76</v>
      </c>
      <c r="E8" s="47"/>
    </row>
    <row r="10" ht="15.75" customHeight="1">
      <c r="A10" s="86" t="s">
        <v>81</v>
      </c>
      <c r="B10" s="2"/>
      <c r="C10" s="2"/>
      <c r="D10" s="2"/>
      <c r="E10" s="3"/>
    </row>
    <row r="11" ht="19.5" customHeight="1">
      <c r="A11" s="87" t="s">
        <v>82</v>
      </c>
      <c r="B11" s="88">
        <v>1498.67</v>
      </c>
      <c r="C11" s="89" t="s">
        <v>83</v>
      </c>
      <c r="D11" s="90" t="s">
        <v>84</v>
      </c>
      <c r="E11" s="91"/>
    </row>
    <row r="12" ht="19.5" customHeight="1">
      <c r="A12" s="92" t="s">
        <v>85</v>
      </c>
      <c r="B12" s="93">
        <v>974.85</v>
      </c>
      <c r="C12" s="94" t="s">
        <v>83</v>
      </c>
      <c r="D12" s="7" t="s">
        <v>84</v>
      </c>
      <c r="E12" s="95"/>
    </row>
    <row r="13" ht="19.5" customHeight="1">
      <c r="A13" s="96" t="s">
        <v>86</v>
      </c>
      <c r="B13" s="97">
        <v>1775.67</v>
      </c>
      <c r="C13" s="98" t="s">
        <v>83</v>
      </c>
      <c r="D13" s="99" t="s">
        <v>84</v>
      </c>
      <c r="E13" s="100"/>
    </row>
    <row r="15" ht="30.0" customHeight="1">
      <c r="A15" s="101" t="s">
        <v>87</v>
      </c>
      <c r="B15" s="2"/>
      <c r="C15" s="2"/>
      <c r="D15" s="2"/>
      <c r="E15" s="3"/>
    </row>
    <row r="18">
      <c r="A18" s="86" t="s">
        <v>81</v>
      </c>
      <c r="B18" s="2"/>
      <c r="C18" s="2"/>
      <c r="D18" s="2"/>
      <c r="E18" s="3"/>
    </row>
    <row r="19">
      <c r="A19" s="87" t="s">
        <v>82</v>
      </c>
      <c r="B19" s="102">
        <v>2245.0</v>
      </c>
      <c r="C19" s="89" t="s">
        <v>83</v>
      </c>
      <c r="D19" s="90" t="s">
        <v>84</v>
      </c>
      <c r="E19" s="91"/>
    </row>
    <row r="20">
      <c r="A20" s="92" t="s">
        <v>85</v>
      </c>
      <c r="B20" s="103">
        <v>1307.0</v>
      </c>
      <c r="C20" s="94" t="s">
        <v>83</v>
      </c>
      <c r="D20" s="7" t="s">
        <v>84</v>
      </c>
      <c r="E20" s="95"/>
    </row>
    <row r="21" ht="15.75" customHeight="1">
      <c r="A21" s="96" t="s">
        <v>86</v>
      </c>
      <c r="B21" s="104">
        <v>1900.0</v>
      </c>
      <c r="C21" s="98" t="s">
        <v>83</v>
      </c>
      <c r="D21" s="99" t="s">
        <v>84</v>
      </c>
      <c r="E21" s="10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E1"/>
    <mergeCell ref="A4:E4"/>
    <mergeCell ref="A10:E10"/>
    <mergeCell ref="A15:E15"/>
    <mergeCell ref="A18:E1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2026-04-11T20:53:19Z</dcterms:created>
  <dc:creator>openpyxl</dc:creator>
</cp:coreProperties>
</file>