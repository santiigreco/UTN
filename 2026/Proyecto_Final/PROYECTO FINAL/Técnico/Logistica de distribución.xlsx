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<sst xmlns="http://schemas.openxmlformats.org/spreadsheetml/2006/main" count="143" uniqueCount="76">
  <si>
    <t xml:space="preserve">Realicé el calculo para 52 semanas </t>
  </si>
  <si>
    <t>Producto</t>
  </si>
  <si>
    <t>Cantidad [Tn]</t>
  </si>
  <si>
    <t>Tn x Semana</t>
  </si>
  <si>
    <t>En gramos</t>
  </si>
  <si>
    <t>Peso x bolsa en gramos</t>
  </si>
  <si>
    <t>Cantidad de bolsas</t>
  </si>
  <si>
    <t>Cantidad de bolsas x caja</t>
  </si>
  <si>
    <t>Cantidad de cajas</t>
  </si>
  <si>
    <t xml:space="preserve">Cajas largo x ancho x alto </t>
  </si>
  <si>
    <t>Cantidad de cajas por piso</t>
  </si>
  <si>
    <t>Cantidad de pisos</t>
  </si>
  <si>
    <t>Peso de la caja en kg</t>
  </si>
  <si>
    <t>Peso x pallet</t>
  </si>
  <si>
    <t>Cajas x pallet</t>
  </si>
  <si>
    <t>Pallets</t>
  </si>
  <si>
    <t>Cantidad de pallets</t>
  </si>
  <si>
    <t>Chocolate con chips picante</t>
  </si>
  <si>
    <t>39*20*18</t>
  </si>
  <si>
    <t>Galletitas simil chocolinas (S/ azúcares)</t>
  </si>
  <si>
    <t>Galletitas simil chocolinas</t>
  </si>
  <si>
    <t>Pepas chocolate y batata</t>
  </si>
  <si>
    <t>Bizcochos sabor queso (?)</t>
  </si>
  <si>
    <t>Bizcochos sabor queso</t>
  </si>
  <si>
    <t>Polvorones (S/ azúcares)</t>
  </si>
  <si>
    <t>Polvorones</t>
  </si>
  <si>
    <t>Pan de molde</t>
  </si>
  <si>
    <t>Budines</t>
  </si>
  <si>
    <t>Budines saludables (S/ azúcares)</t>
  </si>
  <si>
    <t>TOTAL SEMANAL</t>
  </si>
  <si>
    <t>LOGÍSTICA PROPIA</t>
  </si>
  <si>
    <t>LOGÍSTICA TERCIARIZADA</t>
  </si>
  <si>
    <t>CHASIS</t>
  </si>
  <si>
    <t>Costos</t>
  </si>
  <si>
    <t>Datos</t>
  </si>
  <si>
    <t>Monto en pesos</t>
  </si>
  <si>
    <t>Costo</t>
  </si>
  <si>
    <t>Cantidad</t>
  </si>
  <si>
    <t>Vehículo</t>
  </si>
  <si>
    <t>USD 60000</t>
  </si>
  <si>
    <t>Flete recolección + última milla</t>
  </si>
  <si>
    <t>PUBLICIDAD</t>
  </si>
  <si>
    <t>MONTO EN PESOS</t>
  </si>
  <si>
    <t>Combustible anual</t>
  </si>
  <si>
    <t>-</t>
  </si>
  <si>
    <t>Tarifas de góndola</t>
  </si>
  <si>
    <t>Mantenimiento anual</t>
  </si>
  <si>
    <t>TOTAL</t>
  </si>
  <si>
    <t>Listing Fees (ingreso de productos nuevos)</t>
  </si>
  <si>
    <t>Seguro anual</t>
  </si>
  <si>
    <t>Material POP</t>
  </si>
  <si>
    <t>Patente anual</t>
  </si>
  <si>
    <t>Promotores</t>
  </si>
  <si>
    <t>Marketing Digital - Influencers</t>
  </si>
  <si>
    <t>Sueldo Chofer</t>
  </si>
  <si>
    <t>Canales de streaming</t>
  </si>
  <si>
    <t>Sueldo Planifcador de ruta</t>
  </si>
  <si>
    <t>Canales de TV</t>
  </si>
  <si>
    <t>Stand en Ferias</t>
  </si>
  <si>
    <t>Total</t>
  </si>
  <si>
    <t>[En M]</t>
  </si>
  <si>
    <t>CHASIS 8 PALLETS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</si>
  <si>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</si>
  <si>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</si>
  <si>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</si>
  <si>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</si>
  <si>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</si>
  <si>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</si>
  <si>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</si>
  <si>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</si>
  <si>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</si>
  <si>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</si>
  <si>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Camión</t>
  </si>
  <si>
    <t>8000 Litros</t>
  </si>
  <si>
    <t>Rastreo satelital</t>
  </si>
  <si>
    <t>Peajes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</si>
</sst>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[$$]#,##0.00"/>
    <numFmt numFmtId="166" formatCode="[$$]#,##0"/>
  </numFmts>
  <fonts count="10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Nunito"/>
    </font>
    <font>
      <color rgb="FF0070C0"/>
      <name val="Nunito"/>
    </font>
    <font>
      <b/>
      <color theme="1"/>
      <name val="Arial"/>
      <scheme val="minor"/>
    </font>
    <font/>
    <font>
      <sz val="12.0"/>
      <color theme="1"/>
      <name val="&quot;Google Sans&quot;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bottom" wrapText="1"/>
    </xf>
    <xf borderId="3" fillId="3" fontId="4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readingOrder="0"/>
    </xf>
    <xf borderId="3" fillId="4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165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/>
    </xf>
    <xf borderId="0" fillId="0" fontId="7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readingOrder="0" shrinkToFit="0" vertical="center" wrapText="1"/>
    </xf>
    <xf borderId="0" fillId="5" fontId="7" numFmtId="0" xfId="0" applyAlignment="1" applyFill="1" applyFont="1">
      <alignment horizontal="center" vertical="center"/>
    </xf>
    <xf borderId="0" fillId="5" fontId="7" numFmtId="0" xfId="0" applyFont="1"/>
    <xf borderId="1" fillId="0" fontId="7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bottom" wrapText="0"/>
    </xf>
    <xf borderId="1" fillId="0" fontId="4" numFmtId="9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0" fillId="5" fontId="9" numFmtId="0" xfId="0" applyAlignment="1" applyFont="1">
      <alignment readingOrder="0" shrinkToFit="0" vertical="bottom" wrapText="0"/>
    </xf>
    <xf borderId="0" fillId="5" fontId="9" numFmtId="0" xfId="0" applyAlignment="1" applyFont="1">
      <alignment horizontal="right" readingOrder="0" shrinkToFit="0" vertical="bottom" wrapText="0"/>
    </xf>
    <xf borderId="0" fillId="5" fontId="8" numFmtId="0" xfId="0" applyAlignment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/>
    </xf>
    <xf borderId="0" fillId="5" fontId="8" numFmtId="0" xfId="0" applyAlignment="1" applyFont="1">
      <alignment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5" fontId="8" numFmtId="9" xfId="0" applyAlignment="1" applyFont="1" applyNumberFormat="1">
      <alignment horizontal="left"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wrapText="1"/>
    </xf>
    <xf borderId="1" fillId="6" fontId="4" numFmtId="0" xfId="0" applyAlignment="1" applyBorder="1" applyFill="1" applyFont="1">
      <alignment horizontal="center" readingOrder="0"/>
    </xf>
    <xf borderId="0" fillId="5" fontId="8" numFmtId="0" xfId="0" applyAlignment="1" applyFont="1">
      <alignment horizontal="left" shrinkToFit="0" vertical="bottom" wrapText="0"/>
    </xf>
    <xf borderId="0" fillId="0" fontId="7" numFmtId="165" xfId="0" applyFont="1" applyNumberFormat="1"/>
    <xf borderId="0" fillId="3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horizontal="center" readingOrder="0" shrinkToFit="0" wrapText="1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5" displayName="Tabla_1" name="Tabla_1" id="1">
  <tableColumns count="16">
    <tableColumn name="Producto" id="1"/>
    <tableColumn name="Cantidad [Tn]" id="2"/>
    <tableColumn name="Tn x Semana" id="3"/>
    <tableColumn name="En gramos" id="4"/>
    <tableColumn name="Peso x bolsa en gramos" id="5"/>
    <tableColumn name="Cantidad de bolsas" id="6"/>
    <tableColumn name="Cantidad de bolsas x caja" id="7"/>
    <tableColumn name="Cantidad de cajas" id="8"/>
    <tableColumn name="Cajas largo x ancho x alto " id="9"/>
    <tableColumn name="Cantidad de cajas por piso" id="10"/>
    <tableColumn name="Cantidad de pisos" id="11"/>
    <tableColumn name="Peso de la caja en kg" id="12"/>
    <tableColumn name="Peso x pallet" id="13"/>
    <tableColumn name="Cajas x pallet" id="14"/>
    <tableColumn name="Pallets" id="15"/>
    <tableColumn name="Cantidad de pallets" id="1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8.25"/>
    <col customWidth="1" min="3" max="3" width="14.38"/>
    <col customWidth="1" min="4" max="4" width="16.13"/>
    <col customWidth="1" min="5" max="5" width="14.63"/>
    <col customWidth="1" min="6" max="7" width="15.38"/>
    <col customWidth="1" min="8" max="8" width="15.0"/>
    <col customWidth="1" min="10" max="11" width="15.0"/>
    <col customWidth="1" min="12" max="12" width="33.0"/>
    <col customWidth="1" min="13" max="13" width="16.13"/>
    <col customWidth="1" min="14" max="14" width="13.75"/>
    <col customWidth="1" hidden="1" min="15" max="15" width="13.63"/>
    <col customWidth="1" min="16" max="16" width="15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3.2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4" t="s">
        <v>15</v>
      </c>
      <c r="P3" s="4" t="s">
        <v>16</v>
      </c>
    </row>
    <row r="4" ht="22.5" customHeight="1">
      <c r="A4" s="5" t="s">
        <v>17</v>
      </c>
      <c r="B4" s="6">
        <v>48.0</v>
      </c>
      <c r="C4" s="6">
        <f t="shared" ref="C4:C14" si="1">B4/52</f>
        <v>0.9230769231</v>
      </c>
      <c r="D4" s="6">
        <f t="shared" ref="D4:D14" si="2">C4*1000000</f>
        <v>923076.9231</v>
      </c>
      <c r="E4" s="7">
        <v>150.0</v>
      </c>
      <c r="F4" s="8">
        <v>455000.0</v>
      </c>
      <c r="G4" s="9">
        <v>12.0</v>
      </c>
      <c r="H4" s="10">
        <f t="shared" ref="H4:H14" si="3">ROUND(F4/G4,0)</f>
        <v>37917</v>
      </c>
      <c r="I4" s="5" t="s">
        <v>18</v>
      </c>
      <c r="J4" s="10">
        <f t="shared" ref="J4:J14" si="4">3*5</f>
        <v>15</v>
      </c>
      <c r="K4" s="9">
        <v>8.0</v>
      </c>
      <c r="L4" s="9">
        <v>2.9</v>
      </c>
      <c r="M4" s="10">
        <f t="shared" ref="M4:M14" si="5">L4*N4</f>
        <v>348</v>
      </c>
      <c r="N4" s="10">
        <f t="shared" ref="N4:N14" si="6">J4*K4</f>
        <v>120</v>
      </c>
      <c r="O4" s="11">
        <f t="shared" ref="O4:O14" si="7">H4/N4</f>
        <v>315.975</v>
      </c>
      <c r="P4" s="12">
        <f t="shared" ref="P4:P14" si="8">IF(O4&lt;1,1,ROUND(O4,0))</f>
        <v>316</v>
      </c>
    </row>
    <row r="5" ht="22.5" customHeight="1">
      <c r="A5" s="5" t="s">
        <v>19</v>
      </c>
      <c r="B5" s="6">
        <v>8.0</v>
      </c>
      <c r="C5" s="6">
        <f t="shared" si="1"/>
        <v>0.1538461538</v>
      </c>
      <c r="D5" s="6">
        <f t="shared" si="2"/>
        <v>153846.1538</v>
      </c>
      <c r="E5" s="7">
        <v>150.0</v>
      </c>
      <c r="F5" s="8">
        <v>83000.0</v>
      </c>
      <c r="G5" s="9">
        <v>12.0</v>
      </c>
      <c r="H5" s="10">
        <f t="shared" si="3"/>
        <v>6917</v>
      </c>
      <c r="I5" s="5" t="s">
        <v>18</v>
      </c>
      <c r="J5" s="10">
        <f t="shared" si="4"/>
        <v>15</v>
      </c>
      <c r="K5" s="9">
        <v>8.0</v>
      </c>
      <c r="L5" s="9">
        <v>2.9</v>
      </c>
      <c r="M5" s="10">
        <f t="shared" si="5"/>
        <v>348</v>
      </c>
      <c r="N5" s="10">
        <f t="shared" si="6"/>
        <v>120</v>
      </c>
      <c r="O5" s="11">
        <f t="shared" si="7"/>
        <v>57.64166667</v>
      </c>
      <c r="P5" s="12">
        <f t="shared" si="8"/>
        <v>58</v>
      </c>
    </row>
    <row r="6" ht="22.5" customHeight="1">
      <c r="A6" s="5" t="s">
        <v>20</v>
      </c>
      <c r="B6" s="6">
        <v>19.0</v>
      </c>
      <c r="C6" s="6">
        <f t="shared" si="1"/>
        <v>0.3653846154</v>
      </c>
      <c r="D6" s="6">
        <f t="shared" si="2"/>
        <v>365384.6154</v>
      </c>
      <c r="E6" s="7">
        <v>150.0</v>
      </c>
      <c r="F6" s="8">
        <v>188000.0</v>
      </c>
      <c r="G6" s="9">
        <v>12.0</v>
      </c>
      <c r="H6" s="10">
        <f t="shared" si="3"/>
        <v>15667</v>
      </c>
      <c r="I6" s="5" t="s">
        <v>18</v>
      </c>
      <c r="J6" s="10">
        <f t="shared" si="4"/>
        <v>15</v>
      </c>
      <c r="K6" s="9">
        <v>8.0</v>
      </c>
      <c r="L6" s="9">
        <v>2.9</v>
      </c>
      <c r="M6" s="10">
        <f t="shared" si="5"/>
        <v>348</v>
      </c>
      <c r="N6" s="10">
        <f t="shared" si="6"/>
        <v>120</v>
      </c>
      <c r="O6" s="11">
        <f t="shared" si="7"/>
        <v>130.5583333</v>
      </c>
      <c r="P6" s="12">
        <f t="shared" si="8"/>
        <v>131</v>
      </c>
    </row>
    <row r="7" ht="22.5" customHeight="1">
      <c r="A7" s="5" t="s">
        <v>21</v>
      </c>
      <c r="B7" s="6">
        <v>78.0</v>
      </c>
      <c r="C7" s="6">
        <f t="shared" si="1"/>
        <v>1.5</v>
      </c>
      <c r="D7" s="6">
        <f t="shared" si="2"/>
        <v>1500000</v>
      </c>
      <c r="E7" s="7">
        <v>150.0</v>
      </c>
      <c r="F7" s="8">
        <v>737000.0</v>
      </c>
      <c r="G7" s="9">
        <v>12.0</v>
      </c>
      <c r="H7" s="10">
        <f t="shared" si="3"/>
        <v>61417</v>
      </c>
      <c r="I7" s="5" t="s">
        <v>18</v>
      </c>
      <c r="J7" s="10">
        <f t="shared" si="4"/>
        <v>15</v>
      </c>
      <c r="K7" s="9">
        <v>8.0</v>
      </c>
      <c r="L7" s="9">
        <v>2.9</v>
      </c>
      <c r="M7" s="10">
        <f t="shared" si="5"/>
        <v>348</v>
      </c>
      <c r="N7" s="10">
        <f t="shared" si="6"/>
        <v>120</v>
      </c>
      <c r="O7" s="11">
        <f t="shared" si="7"/>
        <v>511.8083333</v>
      </c>
      <c r="P7" s="12">
        <f t="shared" si="8"/>
        <v>512</v>
      </c>
    </row>
    <row r="8" ht="22.5" customHeight="1">
      <c r="A8" s="5" t="s">
        <v>22</v>
      </c>
      <c r="B8" s="6">
        <v>5.0</v>
      </c>
      <c r="C8" s="6">
        <f t="shared" si="1"/>
        <v>0.09615384615</v>
      </c>
      <c r="D8" s="6">
        <f t="shared" si="2"/>
        <v>96153.84615</v>
      </c>
      <c r="E8" s="7">
        <v>150.0</v>
      </c>
      <c r="F8" s="8">
        <v>48000.0</v>
      </c>
      <c r="G8" s="9">
        <v>12.0</v>
      </c>
      <c r="H8" s="10">
        <f t="shared" si="3"/>
        <v>4000</v>
      </c>
      <c r="I8" s="5" t="s">
        <v>18</v>
      </c>
      <c r="J8" s="10">
        <f t="shared" si="4"/>
        <v>15</v>
      </c>
      <c r="K8" s="9">
        <v>8.0</v>
      </c>
      <c r="L8" s="9">
        <v>2.9</v>
      </c>
      <c r="M8" s="10">
        <f t="shared" si="5"/>
        <v>348</v>
      </c>
      <c r="N8" s="10">
        <f t="shared" si="6"/>
        <v>120</v>
      </c>
      <c r="O8" s="11">
        <f t="shared" si="7"/>
        <v>33.33333333</v>
      </c>
      <c r="P8" s="12">
        <f t="shared" si="8"/>
        <v>33</v>
      </c>
    </row>
    <row r="9" ht="22.5" customHeight="1">
      <c r="A9" s="5" t="s">
        <v>23</v>
      </c>
      <c r="B9" s="6">
        <v>11.0</v>
      </c>
      <c r="C9" s="6">
        <f t="shared" si="1"/>
        <v>0.2115384615</v>
      </c>
      <c r="D9" s="6">
        <f t="shared" si="2"/>
        <v>211538.4615</v>
      </c>
      <c r="E9" s="7">
        <v>150.0</v>
      </c>
      <c r="F9" s="8">
        <v>107000.0</v>
      </c>
      <c r="G9" s="9">
        <v>12.0</v>
      </c>
      <c r="H9" s="10">
        <f t="shared" si="3"/>
        <v>8917</v>
      </c>
      <c r="I9" s="5" t="s">
        <v>18</v>
      </c>
      <c r="J9" s="10">
        <f t="shared" si="4"/>
        <v>15</v>
      </c>
      <c r="K9" s="9">
        <v>8.0</v>
      </c>
      <c r="L9" s="9">
        <v>2.9</v>
      </c>
      <c r="M9" s="10">
        <f t="shared" si="5"/>
        <v>348</v>
      </c>
      <c r="N9" s="10">
        <f t="shared" si="6"/>
        <v>120</v>
      </c>
      <c r="O9" s="11">
        <f t="shared" si="7"/>
        <v>74.30833333</v>
      </c>
      <c r="P9" s="12">
        <f t="shared" si="8"/>
        <v>74</v>
      </c>
    </row>
    <row r="10" ht="22.5" customHeight="1">
      <c r="A10" s="5" t="s">
        <v>24</v>
      </c>
      <c r="B10" s="6">
        <v>16.0</v>
      </c>
      <c r="C10" s="6">
        <f t="shared" si="1"/>
        <v>0.3076923077</v>
      </c>
      <c r="D10" s="6">
        <f t="shared" si="2"/>
        <v>307692.3077</v>
      </c>
      <c r="E10" s="7">
        <v>150.0</v>
      </c>
      <c r="F10" s="8">
        <v>154000.0</v>
      </c>
      <c r="G10" s="9">
        <v>12.0</v>
      </c>
      <c r="H10" s="10">
        <f t="shared" si="3"/>
        <v>12833</v>
      </c>
      <c r="I10" s="5" t="s">
        <v>18</v>
      </c>
      <c r="J10" s="10">
        <f t="shared" si="4"/>
        <v>15</v>
      </c>
      <c r="K10" s="9">
        <v>8.0</v>
      </c>
      <c r="L10" s="9">
        <v>2.9</v>
      </c>
      <c r="M10" s="10">
        <f t="shared" si="5"/>
        <v>348</v>
      </c>
      <c r="N10" s="10">
        <f t="shared" si="6"/>
        <v>120</v>
      </c>
      <c r="O10" s="11">
        <f t="shared" si="7"/>
        <v>106.9416667</v>
      </c>
      <c r="P10" s="12">
        <f t="shared" si="8"/>
        <v>107</v>
      </c>
    </row>
    <row r="11" ht="22.5" customHeight="1">
      <c r="A11" s="5" t="s">
        <v>25</v>
      </c>
      <c r="B11" s="6">
        <v>37.0</v>
      </c>
      <c r="C11" s="6">
        <f t="shared" si="1"/>
        <v>0.7115384615</v>
      </c>
      <c r="D11" s="6">
        <f t="shared" si="2"/>
        <v>711538.4615</v>
      </c>
      <c r="E11" s="7">
        <v>150.0</v>
      </c>
      <c r="F11" s="8">
        <v>353000.0</v>
      </c>
      <c r="G11" s="9">
        <v>12.0</v>
      </c>
      <c r="H11" s="10">
        <f t="shared" si="3"/>
        <v>29417</v>
      </c>
      <c r="I11" s="5" t="s">
        <v>18</v>
      </c>
      <c r="J11" s="10">
        <f t="shared" si="4"/>
        <v>15</v>
      </c>
      <c r="K11" s="9">
        <v>8.0</v>
      </c>
      <c r="L11" s="9">
        <v>2.9</v>
      </c>
      <c r="M11" s="10">
        <f t="shared" si="5"/>
        <v>348</v>
      </c>
      <c r="N11" s="10">
        <f t="shared" si="6"/>
        <v>120</v>
      </c>
      <c r="O11" s="11">
        <f t="shared" si="7"/>
        <v>245.1416667</v>
      </c>
      <c r="P11" s="12">
        <f t="shared" si="8"/>
        <v>245</v>
      </c>
    </row>
    <row r="12" ht="22.5" customHeight="1">
      <c r="A12" s="5" t="s">
        <v>26</v>
      </c>
      <c r="B12" s="6">
        <v>75.0</v>
      </c>
      <c r="C12" s="6">
        <f t="shared" si="1"/>
        <v>1.442307692</v>
      </c>
      <c r="D12" s="6">
        <f t="shared" si="2"/>
        <v>1442307.692</v>
      </c>
      <c r="E12" s="7">
        <v>150.0</v>
      </c>
      <c r="F12" s="8">
        <v>269000.0</v>
      </c>
      <c r="G12" s="9">
        <v>12.0</v>
      </c>
      <c r="H12" s="10">
        <f t="shared" si="3"/>
        <v>22417</v>
      </c>
      <c r="I12" s="5" t="s">
        <v>18</v>
      </c>
      <c r="J12" s="10">
        <f t="shared" si="4"/>
        <v>15</v>
      </c>
      <c r="K12" s="9">
        <v>8.0</v>
      </c>
      <c r="L12" s="9">
        <v>2.9</v>
      </c>
      <c r="M12" s="10">
        <f t="shared" si="5"/>
        <v>348</v>
      </c>
      <c r="N12" s="10">
        <f t="shared" si="6"/>
        <v>120</v>
      </c>
      <c r="O12" s="11">
        <f t="shared" si="7"/>
        <v>186.8083333</v>
      </c>
      <c r="P12" s="12">
        <f t="shared" si="8"/>
        <v>187</v>
      </c>
    </row>
    <row r="13" ht="22.5" customHeight="1">
      <c r="A13" s="5" t="s">
        <v>27</v>
      </c>
      <c r="B13" s="6">
        <v>71.0</v>
      </c>
      <c r="C13" s="6">
        <f t="shared" si="1"/>
        <v>1.365384615</v>
      </c>
      <c r="D13" s="6">
        <f t="shared" si="2"/>
        <v>1365384.615</v>
      </c>
      <c r="E13" s="7">
        <v>150.0</v>
      </c>
      <c r="F13" s="8">
        <v>562000.0</v>
      </c>
      <c r="G13" s="9">
        <v>12.0</v>
      </c>
      <c r="H13" s="10">
        <f t="shared" si="3"/>
        <v>46833</v>
      </c>
      <c r="I13" s="5" t="s">
        <v>18</v>
      </c>
      <c r="J13" s="10">
        <f t="shared" si="4"/>
        <v>15</v>
      </c>
      <c r="K13" s="9">
        <v>8.0</v>
      </c>
      <c r="L13" s="9">
        <v>2.9</v>
      </c>
      <c r="M13" s="10">
        <f t="shared" si="5"/>
        <v>348</v>
      </c>
      <c r="N13" s="10">
        <f t="shared" si="6"/>
        <v>120</v>
      </c>
      <c r="O13" s="11">
        <f t="shared" si="7"/>
        <v>390.275</v>
      </c>
      <c r="P13" s="12">
        <f t="shared" si="8"/>
        <v>390</v>
      </c>
    </row>
    <row r="14" ht="22.5" customHeight="1">
      <c r="A14" s="5" t="s">
        <v>28</v>
      </c>
      <c r="B14" s="6">
        <v>18.0</v>
      </c>
      <c r="C14" s="6">
        <f t="shared" si="1"/>
        <v>0.3461538462</v>
      </c>
      <c r="D14" s="6">
        <f t="shared" si="2"/>
        <v>346153.8462</v>
      </c>
      <c r="E14" s="7">
        <v>150.0</v>
      </c>
      <c r="F14" s="8">
        <v>145000.0</v>
      </c>
      <c r="G14" s="9">
        <v>12.0</v>
      </c>
      <c r="H14" s="10">
        <f t="shared" si="3"/>
        <v>12083</v>
      </c>
      <c r="I14" s="5" t="s">
        <v>18</v>
      </c>
      <c r="J14" s="10">
        <f t="shared" si="4"/>
        <v>15</v>
      </c>
      <c r="K14" s="9">
        <v>8.0</v>
      </c>
      <c r="L14" s="9">
        <v>2.9</v>
      </c>
      <c r="M14" s="10">
        <f t="shared" si="5"/>
        <v>348</v>
      </c>
      <c r="N14" s="10">
        <f t="shared" si="6"/>
        <v>120</v>
      </c>
      <c r="O14" s="11">
        <f t="shared" si="7"/>
        <v>100.6916667</v>
      </c>
      <c r="P14" s="12">
        <f t="shared" si="8"/>
        <v>101</v>
      </c>
    </row>
    <row r="15" ht="22.5" customHeight="1">
      <c r="A15" s="13"/>
      <c r="B15" s="14"/>
      <c r="C15" s="14"/>
      <c r="D15" s="14"/>
      <c r="E15" s="14"/>
      <c r="F15" s="14"/>
      <c r="G15" s="14"/>
      <c r="H15" s="14"/>
      <c r="I15" s="13"/>
      <c r="J15" s="14"/>
      <c r="K15" s="15"/>
      <c r="L15" s="14"/>
      <c r="M15" s="15"/>
      <c r="N15" s="16" t="s">
        <v>29</v>
      </c>
      <c r="O15" s="16"/>
      <c r="P15" s="17">
        <f>SUM(P4:P14)</f>
        <v>2154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8"/>
      <c r="L16" s="1"/>
      <c r="M16" s="18"/>
      <c r="N16" s="1"/>
      <c r="O16" s="18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8"/>
      <c r="L17" s="1"/>
      <c r="M17" s="18"/>
      <c r="N17" s="1"/>
      <c r="O17" s="18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8"/>
      <c r="L18" s="1"/>
      <c r="M18" s="18"/>
      <c r="N18" s="1"/>
      <c r="O18" s="18"/>
    </row>
    <row r="19">
      <c r="B19" s="19" t="s">
        <v>30</v>
      </c>
      <c r="C19" s="20"/>
      <c r="D19" s="21"/>
      <c r="F19" s="19" t="s">
        <v>31</v>
      </c>
      <c r="G19" s="20"/>
      <c r="H19" s="21"/>
      <c r="L19" s="22"/>
    </row>
    <row r="20">
      <c r="B20" s="23" t="s">
        <v>32</v>
      </c>
      <c r="C20" s="20"/>
      <c r="D20" s="21"/>
      <c r="F20" s="23" t="s">
        <v>32</v>
      </c>
      <c r="G20" s="20"/>
      <c r="H20" s="21"/>
      <c r="L20" s="22"/>
    </row>
    <row r="21">
      <c r="B21" s="24" t="s">
        <v>33</v>
      </c>
      <c r="C21" s="24" t="s">
        <v>34</v>
      </c>
      <c r="D21" s="24" t="s">
        <v>35</v>
      </c>
      <c r="F21" s="25" t="s">
        <v>36</v>
      </c>
      <c r="G21" s="25" t="s">
        <v>37</v>
      </c>
      <c r="H21" s="25" t="s">
        <v>35</v>
      </c>
      <c r="L21" s="22"/>
    </row>
    <row r="22">
      <c r="B22" s="26" t="s">
        <v>38</v>
      </c>
      <c r="C22" s="27" t="s">
        <v>39</v>
      </c>
      <c r="D22" s="27">
        <f>60000*1400</f>
        <v>84000000</v>
      </c>
      <c r="F22" s="25" t="s">
        <v>40</v>
      </c>
      <c r="G22" s="25">
        <v>220.0</v>
      </c>
      <c r="H22" s="25">
        <v>300000.0</v>
      </c>
      <c r="L22" s="28" t="s">
        <v>41</v>
      </c>
      <c r="M22" s="28" t="s">
        <v>42</v>
      </c>
    </row>
    <row r="23">
      <c r="B23" s="26" t="s">
        <v>43</v>
      </c>
      <c r="C23" s="24" t="s">
        <v>44</v>
      </c>
      <c r="D23" s="27">
        <v>1.82E7</v>
      </c>
      <c r="F23" s="29"/>
      <c r="G23" s="30"/>
      <c r="H23" s="31"/>
      <c r="I23" s="32"/>
      <c r="J23" s="32"/>
      <c r="L23" s="33" t="s">
        <v>45</v>
      </c>
      <c r="M23" s="34">
        <v>3500000.0</v>
      </c>
    </row>
    <row r="24">
      <c r="B24" s="26" t="s">
        <v>46</v>
      </c>
      <c r="C24" s="24">
        <v>2.0</v>
      </c>
      <c r="D24" s="27">
        <v>6000000.0</v>
      </c>
      <c r="F24" s="25" t="s">
        <v>47</v>
      </c>
      <c r="G24" s="25"/>
      <c r="H24" s="35">
        <f>G22*H22</f>
        <v>66000000</v>
      </c>
      <c r="I24" s="36"/>
      <c r="J24" s="36"/>
      <c r="L24" s="33" t="s">
        <v>48</v>
      </c>
      <c r="M24" s="34">
        <v>1.25E7</v>
      </c>
    </row>
    <row r="25">
      <c r="B25" s="26" t="s">
        <v>49</v>
      </c>
      <c r="C25" s="37">
        <v>0.05</v>
      </c>
      <c r="D25" s="38">
        <f>D22*C25</f>
        <v>4200000</v>
      </c>
      <c r="G25" s="32"/>
      <c r="H25" s="36"/>
      <c r="I25" s="36"/>
      <c r="J25" s="36"/>
      <c r="L25" s="33" t="s">
        <v>50</v>
      </c>
      <c r="M25" s="34">
        <v>2000000.0</v>
      </c>
    </row>
    <row r="26">
      <c r="B26" s="26" t="s">
        <v>51</v>
      </c>
      <c r="C26" s="37">
        <v>0.04</v>
      </c>
      <c r="D26" s="38">
        <f>D22*C26</f>
        <v>3360000</v>
      </c>
      <c r="G26" s="32"/>
      <c r="H26" s="39"/>
      <c r="I26" s="40"/>
      <c r="J26" s="41"/>
      <c r="L26" s="33" t="s">
        <v>52</v>
      </c>
      <c r="M26" s="34">
        <v>1200000.0</v>
      </c>
    </row>
    <row r="27">
      <c r="B27" s="42"/>
      <c r="C27" s="43"/>
      <c r="D27" s="43"/>
      <c r="G27" s="32"/>
      <c r="H27" s="39"/>
      <c r="I27" s="40"/>
      <c r="J27" s="41"/>
      <c r="L27" s="33" t="s">
        <v>53</v>
      </c>
      <c r="M27" s="34">
        <v>6000000.0</v>
      </c>
    </row>
    <row r="28">
      <c r="B28" s="26" t="s">
        <v>54</v>
      </c>
      <c r="C28" s="24" t="s">
        <v>44</v>
      </c>
      <c r="D28" s="27">
        <v>2000000.0</v>
      </c>
      <c r="G28" s="32"/>
      <c r="H28" s="44"/>
      <c r="I28" s="45"/>
      <c r="J28" s="41"/>
      <c r="L28" s="33" t="s">
        <v>55</v>
      </c>
      <c r="M28" s="34">
        <v>4500000.0</v>
      </c>
    </row>
    <row r="29">
      <c r="B29" s="26" t="s">
        <v>56</v>
      </c>
      <c r="C29" s="24" t="s">
        <v>44</v>
      </c>
      <c r="D29" s="27">
        <v>2200000.0</v>
      </c>
      <c r="G29" s="32"/>
      <c r="H29" s="44"/>
      <c r="I29" s="45"/>
      <c r="J29" s="46"/>
      <c r="L29" s="33" t="s">
        <v>57</v>
      </c>
      <c r="M29" s="34">
        <v>7500000.0</v>
      </c>
    </row>
    <row r="30">
      <c r="G30" s="32"/>
      <c r="H30" s="44"/>
      <c r="I30" s="45"/>
      <c r="J30" s="46"/>
      <c r="L30" s="33" t="s">
        <v>58</v>
      </c>
      <c r="M30" s="34">
        <v>2200000.0</v>
      </c>
    </row>
    <row r="31">
      <c r="B31" s="26" t="s">
        <v>47</v>
      </c>
      <c r="C31" s="26"/>
      <c r="D31" s="47">
        <f>SUM(D22:D29)</f>
        <v>119960000</v>
      </c>
      <c r="G31" s="32"/>
      <c r="H31" s="44"/>
      <c r="I31" s="45"/>
      <c r="J31" s="46"/>
      <c r="L31" s="48" t="s">
        <v>59</v>
      </c>
      <c r="M31" s="34">
        <f>SUM(M23:M30)</f>
        <v>39400000</v>
      </c>
    </row>
    <row r="32">
      <c r="G32" s="32"/>
      <c r="H32" s="44"/>
      <c r="I32" s="45"/>
      <c r="J32" s="49"/>
    </row>
    <row r="33">
      <c r="D33" s="50"/>
      <c r="G33" s="32"/>
      <c r="H33" s="44"/>
      <c r="I33" s="45"/>
      <c r="J33" s="41"/>
    </row>
    <row r="34">
      <c r="D34" s="50">
        <v>3.596E7</v>
      </c>
      <c r="G34" s="32"/>
      <c r="H34" s="44"/>
      <c r="I34" s="45"/>
      <c r="J34" s="41"/>
    </row>
    <row r="35">
      <c r="D35" s="50">
        <v>3.596E7</v>
      </c>
      <c r="G35" s="32"/>
      <c r="H35" s="44"/>
      <c r="I35" s="45"/>
      <c r="J35" s="41"/>
    </row>
  </sheetData>
  <mergeCells count="4">
    <mergeCell ref="B19:D19"/>
    <mergeCell ref="F19:H19"/>
    <mergeCell ref="B20:D20"/>
    <mergeCell ref="F20:H20"/>
  </mergeCells>
  <dataValidations>
    <dataValidation type="custom" allowBlank="1" showDropDown="1" sqref="B4:H15 J4:P1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4" max="4" width="13.63"/>
    <col customWidth="1" min="10" max="10" width="13.38"/>
  </cols>
  <sheetData>
    <row r="2">
      <c r="B2" s="19" t="s">
        <v>30</v>
      </c>
      <c r="C2" s="20"/>
      <c r="D2" s="21"/>
      <c r="F2" s="51" t="s">
        <v>60</v>
      </c>
      <c r="G2" s="51" t="s">
        <v>60</v>
      </c>
      <c r="H2" s="51" t="s">
        <v>60</v>
      </c>
      <c r="I2" s="51" t="s">
        <v>60</v>
      </c>
      <c r="J2" s="51" t="s">
        <v>60</v>
      </c>
      <c r="K2" s="51" t="s">
        <v>60</v>
      </c>
      <c r="L2" s="51" t="s">
        <v>60</v>
      </c>
      <c r="M2" s="51" t="s">
        <v>60</v>
      </c>
      <c r="N2" s="51" t="s">
        <v>60</v>
      </c>
      <c r="O2" s="51" t="s">
        <v>60</v>
      </c>
    </row>
    <row r="3">
      <c r="B3" s="23" t="s">
        <v>61</v>
      </c>
      <c r="C3" s="20"/>
      <c r="D3" s="21"/>
      <c r="F3" s="52" t="s">
        <v>62</v>
      </c>
      <c r="G3" s="52" t="s">
        <v>63</v>
      </c>
      <c r="H3" s="52" t="s">
        <v>64</v>
      </c>
      <c r="I3" s="52" t="s">
        <v>65</v>
      </c>
      <c r="J3" s="52" t="s">
        <v>66</v>
      </c>
      <c r="K3" s="52" t="s">
        <v>67</v>
      </c>
      <c r="L3" s="52" t="s">
        <v>68</v>
      </c>
      <c r="M3" s="52" t="s">
        <v>69</v>
      </c>
      <c r="N3" s="52" t="s">
        <v>70</v>
      </c>
      <c r="O3" s="52" t="s">
        <v>71</v>
      </c>
    </row>
    <row r="4">
      <c r="B4" s="53" t="s">
        <v>33</v>
      </c>
      <c r="C4" s="53" t="s">
        <v>34</v>
      </c>
      <c r="D4" s="53" t="s">
        <v>35</v>
      </c>
      <c r="F4" s="54">
        <f>SUM(D5:D13)</f>
        <v>126760000</v>
      </c>
      <c r="G4" s="54">
        <f>SUM(D6:D13)+SUM(D6:D13)*30%</f>
        <v>55588000</v>
      </c>
      <c r="H4" s="54">
        <f t="shared" ref="H4:J4" si="1">G4+G4*30%</f>
        <v>72264400</v>
      </c>
      <c r="I4" s="54">
        <f t="shared" si="1"/>
        <v>93943720</v>
      </c>
      <c r="J4" s="54">
        <f t="shared" si="1"/>
        <v>122126836</v>
      </c>
      <c r="K4" s="54">
        <f>J4+J4*30%+(D5+D5*25%)</f>
        <v>263764886.8</v>
      </c>
      <c r="L4" s="54">
        <f>K4-(D5+D5*25%)</f>
        <v>158764886.8</v>
      </c>
      <c r="M4" s="54">
        <f t="shared" ref="M4:O4" si="2">L4+L4*30%</f>
        <v>206394352.8</v>
      </c>
      <c r="N4" s="54">
        <f t="shared" si="2"/>
        <v>268312658.7</v>
      </c>
      <c r="O4" s="54">
        <f t="shared" si="2"/>
        <v>348806456.3</v>
      </c>
    </row>
    <row r="5">
      <c r="B5" s="25" t="s">
        <v>72</v>
      </c>
      <c r="C5" s="55" t="s">
        <v>39</v>
      </c>
      <c r="D5" s="55">
        <f>60000*1400</f>
        <v>84000000</v>
      </c>
    </row>
    <row r="6">
      <c r="B6" s="25" t="s">
        <v>43</v>
      </c>
      <c r="C6" s="56" t="s">
        <v>73</v>
      </c>
      <c r="D6" s="55">
        <v>1.92E7</v>
      </c>
      <c r="F6" s="51" t="s">
        <v>47</v>
      </c>
      <c r="G6" s="54">
        <f>ROUND(SUM(F4:O4),0)</f>
        <v>1716726197</v>
      </c>
    </row>
    <row r="7">
      <c r="B7" s="25" t="s">
        <v>46</v>
      </c>
      <c r="C7" s="56">
        <v>2.0</v>
      </c>
      <c r="D7" s="55">
        <v>7000000.0</v>
      </c>
    </row>
    <row r="8">
      <c r="B8" s="25" t="s">
        <v>49</v>
      </c>
      <c r="C8" s="57">
        <v>0.05</v>
      </c>
      <c r="D8" s="58">
        <f>D5*C8</f>
        <v>4200000</v>
      </c>
    </row>
    <row r="9">
      <c r="B9" s="25" t="s">
        <v>51</v>
      </c>
      <c r="C9" s="57">
        <v>0.04</v>
      </c>
      <c r="D9" s="58">
        <f>D5*C9</f>
        <v>3360000</v>
      </c>
    </row>
    <row r="10">
      <c r="B10" s="25" t="s">
        <v>74</v>
      </c>
      <c r="C10" s="59"/>
      <c r="D10" s="58">
        <v>1800000.0</v>
      </c>
    </row>
    <row r="11">
      <c r="B11" s="25" t="s">
        <v>75</v>
      </c>
      <c r="C11" s="59"/>
      <c r="D11" s="58">
        <v>3000000.0</v>
      </c>
    </row>
    <row r="12">
      <c r="B12" s="25" t="s">
        <v>54</v>
      </c>
      <c r="C12" s="56" t="s">
        <v>44</v>
      </c>
      <c r="D12" s="55">
        <v>2000000.0</v>
      </c>
    </row>
    <row r="13">
      <c r="B13" s="25" t="s">
        <v>56</v>
      </c>
      <c r="C13" s="56" t="s">
        <v>44</v>
      </c>
      <c r="D13" s="55">
        <v>2200000.0</v>
      </c>
    </row>
    <row r="15">
      <c r="B15" s="26" t="s">
        <v>47</v>
      </c>
      <c r="C15" s="26"/>
      <c r="D15" s="47">
        <f>SUM(D5:D13)</f>
        <v>126760000</v>
      </c>
    </row>
    <row r="18">
      <c r="B18" s="19" t="s">
        <v>31</v>
      </c>
      <c r="C18" s="20"/>
      <c r="D18" s="21"/>
      <c r="F18" s="51" t="s">
        <v>60</v>
      </c>
      <c r="G18" s="51" t="s">
        <v>60</v>
      </c>
      <c r="H18" s="51" t="s">
        <v>60</v>
      </c>
      <c r="I18" s="51" t="s">
        <v>60</v>
      </c>
      <c r="J18" s="51" t="s">
        <v>60</v>
      </c>
      <c r="K18" s="51" t="s">
        <v>60</v>
      </c>
      <c r="L18" s="51" t="s">
        <v>60</v>
      </c>
      <c r="M18" s="51" t="s">
        <v>60</v>
      </c>
      <c r="N18" s="51" t="s">
        <v>60</v>
      </c>
      <c r="O18" s="51" t="s">
        <v>60</v>
      </c>
    </row>
    <row r="19">
      <c r="B19" s="23" t="s">
        <v>32</v>
      </c>
      <c r="C19" s="20"/>
      <c r="D19" s="21"/>
      <c r="F19" s="52" t="s">
        <v>62</v>
      </c>
      <c r="G19" s="52" t="s">
        <v>63</v>
      </c>
      <c r="H19" s="52" t="s">
        <v>64</v>
      </c>
      <c r="I19" s="52" t="s">
        <v>65</v>
      </c>
      <c r="J19" s="52" t="s">
        <v>66</v>
      </c>
      <c r="K19" s="52" t="s">
        <v>67</v>
      </c>
      <c r="L19" s="52" t="s">
        <v>68</v>
      </c>
      <c r="M19" s="52" t="s">
        <v>69</v>
      </c>
      <c r="N19" s="52" t="s">
        <v>70</v>
      </c>
      <c r="O19" s="52" t="s">
        <v>71</v>
      </c>
    </row>
    <row r="20">
      <c r="B20" s="25" t="s">
        <v>36</v>
      </c>
      <c r="C20" s="25" t="s">
        <v>37</v>
      </c>
      <c r="D20" s="25" t="s">
        <v>35</v>
      </c>
      <c r="F20" s="54">
        <f>D23</f>
        <v>55000000</v>
      </c>
      <c r="G20" s="54">
        <f>F20+F20*10%</f>
        <v>60500000</v>
      </c>
      <c r="H20" s="54">
        <f t="shared" ref="H20:O20" si="3">G20+G20*15%</f>
        <v>69575000</v>
      </c>
      <c r="I20" s="54">
        <f t="shared" si="3"/>
        <v>80011250</v>
      </c>
      <c r="J20" s="54">
        <f t="shared" si="3"/>
        <v>92012937.5</v>
      </c>
      <c r="K20" s="54">
        <f t="shared" si="3"/>
        <v>105814878.1</v>
      </c>
      <c r="L20" s="54">
        <f t="shared" si="3"/>
        <v>121687109.8</v>
      </c>
      <c r="M20" s="54">
        <f t="shared" si="3"/>
        <v>139940176.3</v>
      </c>
      <c r="N20" s="54">
        <f t="shared" si="3"/>
        <v>160931202.8</v>
      </c>
      <c r="O20" s="54">
        <f t="shared" si="3"/>
        <v>185070883.2</v>
      </c>
    </row>
    <row r="21">
      <c r="B21" s="25" t="s">
        <v>40</v>
      </c>
      <c r="C21" s="25">
        <v>220.0</v>
      </c>
      <c r="D21" s="25">
        <v>250000.0</v>
      </c>
    </row>
    <row r="22">
      <c r="B22" s="29"/>
      <c r="C22" s="30"/>
      <c r="D22" s="31"/>
      <c r="F22" s="51" t="s">
        <v>47</v>
      </c>
      <c r="G22" s="54">
        <f>SUM(F20:O20)</f>
        <v>1070543438</v>
      </c>
    </row>
    <row r="23">
      <c r="B23" s="25" t="s">
        <v>47</v>
      </c>
      <c r="C23" s="25"/>
      <c r="D23" s="35">
        <f>C21*D21</f>
        <v>55000000</v>
      </c>
    </row>
  </sheetData>
  <mergeCells count="4">
    <mergeCell ref="B2:D2"/>
    <mergeCell ref="B3:D3"/>
    <mergeCell ref="B18:D18"/>
    <mergeCell ref="B19:D19"/>
  </mergeCells>
  <drawing r:id="rId1"/>
</worksheet>
</file>