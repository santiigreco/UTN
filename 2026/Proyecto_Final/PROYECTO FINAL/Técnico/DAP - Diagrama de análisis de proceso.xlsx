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79cb381f47d2fc/Escritorio/Joaco/Facultad/PF/"/>
    </mc:Choice>
  </mc:AlternateContent>
  <xr:revisionPtr revIDLastSave="523" documentId="8_{B8C40646-8375-43F0-AB56-3149EDB65906}" xr6:coauthVersionLast="47" xr6:coauthVersionMax="47" xr10:uidLastSave="{B42FC609-713B-4327-8C5C-9D066B95C5B5}"/>
  <bookViews>
    <workbookView xWindow="-120" yWindow="-120" windowWidth="29040" windowHeight="15720" xr2:uid="{00000000-000D-0000-FFFF-FFFF00000000}"/>
  </bookViews>
  <sheets>
    <sheet name="DAP - Galletitas varias" sheetId="1" r:id="rId1"/>
    <sheet name="DAP - Pepas" sheetId="2" r:id="rId2"/>
    <sheet name="DAP - Panes" sheetId="3" r:id="rId3"/>
    <sheet name="DAP - Budi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xO56GjUBHtwTITvLPxaMgilgudbMRGc3ZbOZnTm6lU="/>
    </ext>
  </extLst>
</workbook>
</file>

<file path=xl/calcChain.xml><?xml version="1.0" encoding="utf-8"?>
<calcChain xmlns="http://schemas.openxmlformats.org/spreadsheetml/2006/main">
  <c r="D40" i="1" l="1"/>
  <c r="B40" i="1"/>
  <c r="C40" i="1"/>
  <c r="D44" i="3"/>
  <c r="D43" i="3"/>
  <c r="C41" i="2"/>
  <c r="D41" i="2"/>
  <c r="K5" i="2"/>
  <c r="L5" i="2" s="1"/>
  <c r="D40" i="4"/>
  <c r="C40" i="4"/>
  <c r="B40" i="4"/>
  <c r="C43" i="3"/>
  <c r="B43" i="3"/>
  <c r="K9" i="4"/>
  <c r="K8" i="4"/>
  <c r="K7" i="4"/>
  <c r="K6" i="4"/>
  <c r="K5" i="4"/>
  <c r="L5" i="4" s="1"/>
  <c r="I9" i="4"/>
  <c r="I8" i="4"/>
  <c r="I7" i="4"/>
  <c r="I6" i="4"/>
  <c r="I5" i="4"/>
  <c r="E40" i="4"/>
  <c r="K9" i="3"/>
  <c r="K9" i="1"/>
  <c r="K8" i="1"/>
  <c r="K7" i="1"/>
  <c r="K6" i="1"/>
  <c r="K9" i="2"/>
  <c r="K8" i="2"/>
  <c r="K7" i="2"/>
  <c r="K6" i="2"/>
  <c r="K8" i="3"/>
  <c r="K7" i="3"/>
  <c r="K6" i="3"/>
  <c r="K5" i="3"/>
  <c r="L5" i="3" s="1"/>
  <c r="I9" i="3"/>
  <c r="I8" i="3"/>
  <c r="I7" i="3"/>
  <c r="I5" i="3"/>
  <c r="E43" i="3"/>
  <c r="I9" i="2"/>
  <c r="E41" i="2"/>
  <c r="J9" i="4"/>
  <c r="I6" i="3"/>
  <c r="J9" i="3" s="1"/>
  <c r="I8" i="2"/>
  <c r="I7" i="2"/>
  <c r="I6" i="2"/>
  <c r="I5" i="2"/>
  <c r="E40" i="1"/>
  <c r="I9" i="1"/>
  <c r="I8" i="1"/>
  <c r="I7" i="1"/>
  <c r="I6" i="1"/>
  <c r="I5" i="1"/>
  <c r="J5" i="3" l="1"/>
  <c r="J8" i="2"/>
  <c r="J6" i="1"/>
  <c r="J5" i="2"/>
  <c r="J9" i="2"/>
  <c r="J9" i="1"/>
  <c r="J5" i="4"/>
  <c r="J6" i="2"/>
  <c r="J6" i="3"/>
  <c r="J6" i="4"/>
  <c r="J8" i="1"/>
  <c r="J7" i="3"/>
  <c r="J7" i="1"/>
  <c r="J7" i="2"/>
  <c r="J7" i="4"/>
  <c r="J8" i="3"/>
  <c r="J8" i="4"/>
  <c r="J5" i="1"/>
</calcChain>
</file>

<file path=xl/sharedStrings.xml><?xml version="1.0" encoding="utf-8"?>
<sst xmlns="http://schemas.openxmlformats.org/spreadsheetml/2006/main" count="475" uniqueCount="143">
  <si>
    <t>DAP - Diagrama de Análisis de Proceso</t>
  </si>
  <si>
    <t>DIR - Línea de galletitas</t>
  </si>
  <si>
    <t>Resumen</t>
  </si>
  <si>
    <t>Página N°:</t>
  </si>
  <si>
    <t>1 / 1</t>
  </si>
  <si>
    <t>Actividad:</t>
  </si>
  <si>
    <t>-</t>
  </si>
  <si>
    <t>Actividad</t>
  </si>
  <si>
    <t>Símbolo</t>
  </si>
  <si>
    <t>Cant</t>
  </si>
  <si>
    <t>%</t>
  </si>
  <si>
    <t>Tpo tot min</t>
  </si>
  <si>
    <t>Método:</t>
  </si>
  <si>
    <t>ACTUAL</t>
  </si>
  <si>
    <t>Operación</t>
  </si>
  <si>
    <t>●</t>
  </si>
  <si>
    <t>Transporte</t>
  </si>
  <si>
    <t>➜</t>
  </si>
  <si>
    <t>Inspección</t>
  </si>
  <si>
    <t>■</t>
  </si>
  <si>
    <t>Almacenamiento</t>
  </si>
  <si>
    <t>▼</t>
  </si>
  <si>
    <t>Espera</t>
  </si>
  <si>
    <t>◖</t>
  </si>
  <si>
    <t>Descripción</t>
  </si>
  <si>
    <t>Cant.</t>
  </si>
  <si>
    <t>Tiempo y distancia</t>
  </si>
  <si>
    <t>Observaciones</t>
  </si>
  <si>
    <t>Tpo OP
[seg]</t>
  </si>
  <si>
    <t>Dist.
[m]</t>
  </si>
  <si>
    <t>Operación
●</t>
  </si>
  <si>
    <t>Transporte
➜</t>
  </si>
  <si>
    <t>Inspección
■</t>
  </si>
  <si>
    <t>Almacenamiento
▼</t>
  </si>
  <si>
    <t>Espera
◖</t>
  </si>
  <si>
    <t>Depósito MP</t>
  </si>
  <si>
    <t>Almacenado en Depósito de MP en pallet.</t>
  </si>
  <si>
    <t>Inspección de MP</t>
  </si>
  <si>
    <t>Inspección 100% de atributos y cantidades.</t>
  </si>
  <si>
    <t>Traslado de MP a sector pesado</t>
  </si>
  <si>
    <t>Traslado 6 km/h. Bultos grandes. Autoelevador. Operario 1</t>
  </si>
  <si>
    <t>Pesaje bultos grandes</t>
  </si>
  <si>
    <t>Fraccionado y pesado de ingredientes principales en balanza. Operario 2</t>
  </si>
  <si>
    <t>Traslado de depósito MP</t>
  </si>
  <si>
    <t>Traslado 2,5 km/h. Carro zorra. Operario 2</t>
  </si>
  <si>
    <t>Micro pesado</t>
  </si>
  <si>
    <t>Fraccionado. Balanza. Operario 2</t>
  </si>
  <si>
    <t>Traslado de MP fraccionadas a sector amasado</t>
  </si>
  <si>
    <t>Amasado + reproceso SE</t>
  </si>
  <si>
    <t>Amasadora industrial automática. Operario 2</t>
  </si>
  <si>
    <t>Traslado de amasijo al inicio de línea</t>
  </si>
  <si>
    <t>Traslado 2,5 km/h. Carro de estantes. Operario 3</t>
  </si>
  <si>
    <t>Moldeado en formadora rotativa</t>
  </si>
  <si>
    <t>Se depósita el amasijo en una tolva que luego moldea la formadora rotativa. Operario 3</t>
  </si>
  <si>
    <t>Control visual y de pesado</t>
  </si>
  <si>
    <t>Control de pesado por muestreo. Operario 3</t>
  </si>
  <si>
    <t>Horneado en horno tunel</t>
  </si>
  <si>
    <t xml:space="preserve">Horneado continuo en horno túnel. Operario 4. Longitud aproximada: </t>
  </si>
  <si>
    <t>Enfriado a Temperatura Ambiente</t>
  </si>
  <si>
    <t xml:space="preserve">Enfriado continuo en cinta transportadora a Temperatura ambiente. Operario 4. Longitud aproximada: </t>
  </si>
  <si>
    <t>Enfriado a con ventilación forzada</t>
  </si>
  <si>
    <t xml:space="preserve">Enfriado continuo en cinta transportadora con ventilación forzada mediante ductos. Longitud aproximada: </t>
  </si>
  <si>
    <t>Control de pesado y humedad</t>
  </si>
  <si>
    <t>Control por muestreo en balanza y termo balanza. Operario 4</t>
  </si>
  <si>
    <t>Control visual (rechazo/reproceso)</t>
  </si>
  <si>
    <t>Operario 5. Inspección 100%.</t>
  </si>
  <si>
    <t>Traslado para reproceso</t>
  </si>
  <si>
    <t>Operario 7. Rechazo de atributos de forma y quemado.</t>
  </si>
  <si>
    <t>Fraccionado</t>
  </si>
  <si>
    <t>Fraccionado por balanzas automáticas</t>
  </si>
  <si>
    <t>Envasado primario</t>
  </si>
  <si>
    <t>Envasado primario automático a cada paquete individual en bobina</t>
  </si>
  <si>
    <t>Detección de metales</t>
  </si>
  <si>
    <t>Detector de metales en línea. Operario 6</t>
  </si>
  <si>
    <t>Control de pesado</t>
  </si>
  <si>
    <t>Control de peso por paquete. Operario 6</t>
  </si>
  <si>
    <t>Envasado secundario</t>
  </si>
  <si>
    <t>Colocación manual de paquetes en cajas. Operario 6</t>
  </si>
  <si>
    <t>Palletizado</t>
  </si>
  <si>
    <t>Colocación de cajas en pallets. Operario logística</t>
  </si>
  <si>
    <t>Traslado de pallet a pulmón</t>
  </si>
  <si>
    <t>Traslado mediante zorra. Operario logística</t>
  </si>
  <si>
    <t>Almacenamiento en pulmón PT</t>
  </si>
  <si>
    <t>Traslado de pallet a depósito de PT.</t>
  </si>
  <si>
    <t>Traslado mediante autoelevador. Operario logística</t>
  </si>
  <si>
    <t>Almacenamiento en depósito de PT</t>
  </si>
  <si>
    <t>TOTAL</t>
  </si>
  <si>
    <t>DIR - Galletitas Pepas</t>
  </si>
  <si>
    <t>Dosificación</t>
  </si>
  <si>
    <t>Dosificado de la batata. Operario 2</t>
  </si>
  <si>
    <t>DIR - Panes</t>
  </si>
  <si>
    <t>Traslado de MP fraccionadas a sector batido</t>
  </si>
  <si>
    <t>Batido</t>
  </si>
  <si>
    <t>Batidora industrial automática. Operario 2</t>
  </si>
  <si>
    <t>Control densidad de batido</t>
  </si>
  <si>
    <t>Control con pipeta. Operario 2</t>
  </si>
  <si>
    <t>Traslado de batido a sector de dosificado</t>
  </si>
  <si>
    <t>Traslado 2,5 km/h. Carro. Operario 3</t>
  </si>
  <si>
    <t>Carga en dosificadora</t>
  </si>
  <si>
    <t>Carga manual en baldes. Operario 3</t>
  </si>
  <si>
    <t>Dosificado y carga en chapas</t>
  </si>
  <si>
    <t>Se dosifican en moldes los panes con su gramaje final de PT. Operario 4 / Operario 5 carga en chapas</t>
  </si>
  <si>
    <t>Traslado a sector de fermentado</t>
  </si>
  <si>
    <t>Traslado 2,5 km/h. Carros. Operario 5</t>
  </si>
  <si>
    <t>Fermentación</t>
  </si>
  <si>
    <t>Cámara de fermentado</t>
  </si>
  <si>
    <t>Traslado a sector de horneado</t>
  </si>
  <si>
    <t>Horneado en horno rotativo</t>
  </si>
  <si>
    <t>Traslado a sector de enfriado</t>
  </si>
  <si>
    <t>Traslado 2,5 km/h. Operario 5</t>
  </si>
  <si>
    <t>Desmolde</t>
  </si>
  <si>
    <t>Desmolde manual y pasaje a carros de enfriamiento. Operario 6</t>
  </si>
  <si>
    <t>Enfriado con ventilación forzada</t>
  </si>
  <si>
    <t>Traslado a sector de envasado</t>
  </si>
  <si>
    <t>Traslado 2,5 km/h. Operario 6</t>
  </si>
  <si>
    <t>Control visual y de peso</t>
  </si>
  <si>
    <t>Operario 7</t>
  </si>
  <si>
    <t>Rebanado</t>
  </si>
  <si>
    <t>Porcionado en formato de PT. Operario 7</t>
  </si>
  <si>
    <t>Envasadora automática. Operario 7</t>
  </si>
  <si>
    <t>Detector de metales</t>
  </si>
  <si>
    <t>Colocación manual de paquetes en cajas. Operario 8</t>
  </si>
  <si>
    <t>Palletizado manual. Operario 8</t>
  </si>
  <si>
    <t>DIR - Budines</t>
  </si>
  <si>
    <t>Traslado 3km/h. Bultos grandes. Autoelevador. Operario 1</t>
  </si>
  <si>
    <t>Traslado 3km/h. Carro zorra. Operario 2</t>
  </si>
  <si>
    <t>Control de densidad del batido</t>
  </si>
  <si>
    <t>Traslado 3km/h. Carro. Operario 3</t>
  </si>
  <si>
    <t>Traslado al horno rotativo</t>
  </si>
  <si>
    <t>Traslado 3km/h. Carros. Operario 5</t>
  </si>
  <si>
    <t>Traslado 3km/h. Operario 5</t>
  </si>
  <si>
    <t>Traslado 3km/h. Operario 6</t>
  </si>
  <si>
    <t>Operario 6</t>
  </si>
  <si>
    <t>Traslado de pallet a depósito de producto terminado</t>
  </si>
  <si>
    <t>Traslado mediante zorra.</t>
  </si>
  <si>
    <t>Traslado mediante zorra. Operario logístico</t>
  </si>
  <si>
    <t>Traslado mediante autoelevador. Operario logístico</t>
  </si>
  <si>
    <t>Fraccionado. Balanza. Operario 2. No se considera tiempo.</t>
  </si>
  <si>
    <t>Cant. [kg]</t>
  </si>
  <si>
    <t>Tpo OP
[min]</t>
  </si>
  <si>
    <t>Colocación de cajas en pallets. Operario 7</t>
  </si>
  <si>
    <t>Traslado mediante zorra. Operario 7</t>
  </si>
  <si>
    <t>Cant. [kg/h]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</si>
</sst>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0">
    <font>
      <sz val="11"/>
      <color rgb="FF000000"/>
      <name val="Carlito"/>
      <scheme val="minor"/>
    </font>
    <font>
      <b/>
      <sz val="18"/>
      <color rgb="FF111827"/>
      <name val="Carlito"/>
    </font>
    <font>
      <sz val="11"/>
      <name val="Carlito"/>
    </font>
    <font>
      <b/>
      <sz val="13"/>
      <color theme="1"/>
      <name val="Carlito"/>
    </font>
    <font>
      <b/>
      <sz val="11"/>
      <color theme="1"/>
      <name val="Carlito"/>
    </font>
    <font>
      <sz val="10"/>
      <color theme="1"/>
      <name val="Carlito"/>
    </font>
    <font>
      <b/>
      <sz val="11"/>
      <color theme="0"/>
      <name val="Carlito"/>
    </font>
    <font>
      <sz val="11"/>
      <color theme="1"/>
      <name val="Carlito"/>
    </font>
    <font>
      <sz val="11"/>
      <color theme="0"/>
      <name val="Carlito"/>
    </font>
    <font>
      <sz val="11"/>
      <color rgb="FF000000"/>
      <name val="Carlito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8ED873"/>
        <bgColor rgb="FF8ED873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8" fillId="0" borderId="0" xfId="0" applyFont="1"/>
    <xf numFmtId="0" fontId="5" fillId="0" borderId="4" xfId="0" applyFont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0" fillId="0" borderId="0" xfId="0" quotePrefix="1"/>
    <xf numFmtId="2" fontId="5" fillId="0" borderId="4" xfId="0" applyNumberFormat="1" applyFont="1" applyBorder="1" applyAlignment="1">
      <alignment horizontal="center" vertical="center" wrapText="1"/>
    </xf>
    <xf numFmtId="165" fontId="6" fillId="4" borderId="4" xfId="1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/>
    <xf numFmtId="0" fontId="7" fillId="0" borderId="9" xfId="0" applyFont="1" applyBorder="1"/>
    <xf numFmtId="0" fontId="3" fillId="0" borderId="11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4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6" fillId="4" borderId="5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12</xdr:row>
      <xdr:rowOff>66675</xdr:rowOff>
    </xdr:from>
    <xdr:ext cx="828675" cy="228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071757" y="2883354"/>
          <a:ext cx="828675" cy="228600"/>
          <a:chOff x="4936425" y="3670463"/>
          <a:chExt cx="819150" cy="2190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flipH="1">
            <a:off x="4936425" y="3670463"/>
            <a:ext cx="81915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561975</xdr:colOff>
      <xdr:row>13</xdr:row>
      <xdr:rowOff>114300</xdr:rowOff>
    </xdr:from>
    <xdr:ext cx="933450" cy="2000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7120618" y="3135086"/>
          <a:ext cx="933450" cy="200025"/>
          <a:chOff x="4884038" y="3684750"/>
          <a:chExt cx="923925" cy="190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4884038" y="3684750"/>
            <a:ext cx="923925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14</xdr:row>
      <xdr:rowOff>114300</xdr:rowOff>
    </xdr:from>
    <xdr:ext cx="990600" cy="276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6060621" y="3339193"/>
          <a:ext cx="990600" cy="276225"/>
          <a:chOff x="4855463" y="3646650"/>
          <a:chExt cx="981075" cy="26670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flipH="1">
            <a:off x="4855463" y="3646650"/>
            <a:ext cx="981075" cy="266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15</xdr:row>
      <xdr:rowOff>209550</xdr:rowOff>
    </xdr:from>
    <xdr:ext cx="1066800" cy="2286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6041571" y="3638550"/>
          <a:ext cx="1066800" cy="228600"/>
          <a:chOff x="4831650" y="3741900"/>
          <a:chExt cx="1028700" cy="7620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rot="10800000">
            <a:off x="4831650" y="3741900"/>
            <a:ext cx="1028700" cy="762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16</xdr:row>
      <xdr:rowOff>85725</xdr:rowOff>
    </xdr:from>
    <xdr:ext cx="1009650" cy="2190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6089196" y="3882118"/>
          <a:ext cx="1009650" cy="219075"/>
          <a:chOff x="4845938" y="3675225"/>
          <a:chExt cx="1000125" cy="20955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 flipH="1">
            <a:off x="4845938" y="3675225"/>
            <a:ext cx="1000125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17</xdr:row>
      <xdr:rowOff>104775</xdr:rowOff>
    </xdr:from>
    <xdr:ext cx="962025" cy="2000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89196" y="4105275"/>
          <a:ext cx="962025" cy="200025"/>
          <a:chOff x="4869750" y="3684750"/>
          <a:chExt cx="952500" cy="190500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10800000">
            <a:off x="4869750" y="3684750"/>
            <a:ext cx="952500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18</xdr:row>
      <xdr:rowOff>114300</xdr:rowOff>
    </xdr:from>
    <xdr:ext cx="1104900" cy="2286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6012996" y="4318907"/>
          <a:ext cx="1104900" cy="228600"/>
          <a:chOff x="4803075" y="3670463"/>
          <a:chExt cx="1085850" cy="219075"/>
        </a:xfrm>
      </xdr:grpSpPr>
      <xdr:cxnSp macro="">
        <xdr:nvCxnSpPr>
          <xdr:cNvPr id="15" name="Shape 9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 flipH="1">
            <a:off x="4803075" y="3670463"/>
            <a:ext cx="108585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19</xdr:row>
      <xdr:rowOff>142875</xdr:rowOff>
    </xdr:from>
    <xdr:ext cx="1104900" cy="18097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012996" y="4551589"/>
          <a:ext cx="1104900" cy="180975"/>
          <a:chOff x="4803075" y="3694275"/>
          <a:chExt cx="1085850" cy="171450"/>
        </a:xfrm>
      </xdr:grpSpPr>
      <xdr:cxnSp macro="">
        <xdr:nvCxnSpPr>
          <xdr:cNvPr id="17" name="Shape 10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 rot="10800000">
            <a:off x="4803075" y="3694275"/>
            <a:ext cx="10858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20</xdr:row>
      <xdr:rowOff>114300</xdr:rowOff>
    </xdr:from>
    <xdr:ext cx="1009650" cy="27622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6060621" y="4727121"/>
          <a:ext cx="1009650" cy="276225"/>
          <a:chOff x="4845938" y="3646650"/>
          <a:chExt cx="1000125" cy="266700"/>
        </a:xfrm>
      </xdr:grpSpPr>
      <xdr:cxnSp macro="">
        <xdr:nvCxnSpPr>
          <xdr:cNvPr id="19" name="Shape 1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 flipH="1">
            <a:off x="4845938" y="3646650"/>
            <a:ext cx="1000125" cy="266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21</xdr:row>
      <xdr:rowOff>200024</xdr:rowOff>
    </xdr:from>
    <xdr:ext cx="1973035" cy="303439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6041571" y="5016953"/>
          <a:ext cx="1973035" cy="303439"/>
          <a:chOff x="4355400" y="3713325"/>
          <a:chExt cx="1981200" cy="133350"/>
        </a:xfrm>
      </xdr:grpSpPr>
      <xdr:cxnSp macro="">
        <xdr:nvCxnSpPr>
          <xdr:cNvPr id="21" name="Shape 12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 rot="10800000">
            <a:off x="4355400" y="3713325"/>
            <a:ext cx="1981200" cy="1333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22</xdr:row>
      <xdr:rowOff>123825</xdr:rowOff>
    </xdr:from>
    <xdr:ext cx="1943100" cy="2667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6041571" y="5308146"/>
          <a:ext cx="1943100" cy="266700"/>
          <a:chOff x="4379213" y="3651413"/>
          <a:chExt cx="1933575" cy="257175"/>
        </a:xfrm>
      </xdr:grpSpPr>
      <xdr:cxnSp macro="">
        <xdr:nvCxnSpPr>
          <xdr:cNvPr id="23" name="Shape 1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/>
        </xdr:nvCxnSpPr>
        <xdr:spPr>
          <a:xfrm flipH="1">
            <a:off x="4379213" y="3651413"/>
            <a:ext cx="1933575" cy="2571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495301</xdr:colOff>
      <xdr:row>25</xdr:row>
      <xdr:rowOff>180974</xdr:rowOff>
    </xdr:from>
    <xdr:ext cx="1967592" cy="336097"/>
    <xdr:grpSp>
      <xdr:nvGrpSpPr>
        <xdr:cNvPr id="28" name="Shape 2" title="Dibuj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6060622" y="6304188"/>
          <a:ext cx="1967592" cy="336097"/>
          <a:chOff x="4369688" y="3689513"/>
          <a:chExt cx="1952625" cy="180975"/>
        </a:xfrm>
      </xdr:grpSpPr>
      <xdr:cxnSp macro="">
        <xdr:nvCxnSpPr>
          <xdr:cNvPr id="29" name="Shape 1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 rot="10800000">
            <a:off x="4369688" y="3689513"/>
            <a:ext cx="1952625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381000</xdr:colOff>
      <xdr:row>26</xdr:row>
      <xdr:rowOff>171450</xdr:rowOff>
    </xdr:from>
    <xdr:ext cx="38100" cy="27622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8014607" y="6662057"/>
          <a:ext cx="38100" cy="276225"/>
          <a:chOff x="5346000" y="3641888"/>
          <a:chExt cx="0" cy="276225"/>
        </a:xfrm>
      </xdr:grpSpPr>
      <xdr:cxnSp macro="">
        <xdr:nvCxnSpPr>
          <xdr:cNvPr id="31" name="Shape 17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 rot="10800000">
            <a:off x="5346000" y="3641888"/>
            <a:ext cx="0" cy="2762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533400</xdr:colOff>
      <xdr:row>27</xdr:row>
      <xdr:rowOff>142875</xdr:rowOff>
    </xdr:from>
    <xdr:ext cx="1924050" cy="1524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6098721" y="6932839"/>
          <a:ext cx="1924050" cy="152400"/>
          <a:chOff x="4388738" y="3713325"/>
          <a:chExt cx="1914525" cy="133350"/>
        </a:xfrm>
      </xdr:grpSpPr>
      <xdr:cxnSp macro="">
        <xdr:nvCxnSpPr>
          <xdr:cNvPr id="33" name="Shape 18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CxnSpPr/>
        </xdr:nvCxnSpPr>
        <xdr:spPr>
          <a:xfrm rot="10800000" flipH="1">
            <a:off x="4388738" y="3713325"/>
            <a:ext cx="1914525" cy="1333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28</xdr:row>
      <xdr:rowOff>142875</xdr:rowOff>
    </xdr:from>
    <xdr:ext cx="38100" cy="17145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6041571" y="7136946"/>
          <a:ext cx="38100" cy="171450"/>
          <a:chOff x="5346000" y="3694275"/>
          <a:chExt cx="0" cy="171450"/>
        </a:xfrm>
      </xdr:grpSpPr>
      <xdr:cxnSp macro="">
        <xdr:nvCxnSpPr>
          <xdr:cNvPr id="35" name="Shape 19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29</xdr:row>
      <xdr:rowOff>152400</xdr:rowOff>
    </xdr:from>
    <xdr:ext cx="38100" cy="2286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6041571" y="7350579"/>
          <a:ext cx="38100" cy="228600"/>
          <a:chOff x="5346000" y="3665700"/>
          <a:chExt cx="0" cy="228600"/>
        </a:xfrm>
      </xdr:grpSpPr>
      <xdr:cxnSp macro="">
        <xdr:nvCxnSpPr>
          <xdr:cNvPr id="37" name="Shape 20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 rot="10800000">
            <a:off x="5346000" y="3665700"/>
            <a:ext cx="0" cy="2286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30</xdr:row>
      <xdr:rowOff>200025</xdr:rowOff>
    </xdr:from>
    <xdr:ext cx="1990725" cy="32385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6051096" y="7602311"/>
          <a:ext cx="1990725" cy="323850"/>
          <a:chOff x="4355400" y="3627600"/>
          <a:chExt cx="1981200" cy="304800"/>
        </a:xfrm>
      </xdr:grpSpPr>
      <xdr:cxnSp macro="">
        <xdr:nvCxnSpPr>
          <xdr:cNvPr id="39" name="Shape 21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4355400" y="3627600"/>
            <a:ext cx="1981200" cy="3048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32</xdr:row>
      <xdr:rowOff>142875</xdr:rowOff>
    </xdr:from>
    <xdr:ext cx="1990725" cy="161925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6051096" y="8116661"/>
          <a:ext cx="1990725" cy="161925"/>
          <a:chOff x="4355400" y="3708563"/>
          <a:chExt cx="1981200" cy="142875"/>
        </a:xfrm>
      </xdr:grpSpPr>
      <xdr:cxnSp macro="">
        <xdr:nvCxnSpPr>
          <xdr:cNvPr id="43" name="Shape 2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 rot="10800000" flipH="1">
            <a:off x="4355400" y="3708563"/>
            <a:ext cx="198120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504825</xdr:colOff>
      <xdr:row>34</xdr:row>
      <xdr:rowOff>114300</xdr:rowOff>
    </xdr:from>
    <xdr:ext cx="1019175" cy="180975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6070146" y="8496300"/>
          <a:ext cx="1019175" cy="180975"/>
          <a:chOff x="4841175" y="3694275"/>
          <a:chExt cx="1009650" cy="171450"/>
        </a:xfrm>
      </xdr:grpSpPr>
      <xdr:cxnSp macro="">
        <xdr:nvCxnSpPr>
          <xdr:cNvPr id="47" name="Shape 25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4841175" y="3694275"/>
            <a:ext cx="10096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514350</xdr:colOff>
      <xdr:row>35</xdr:row>
      <xdr:rowOff>85725</xdr:rowOff>
    </xdr:from>
    <xdr:ext cx="2588078" cy="254454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7072993" y="8671832"/>
          <a:ext cx="2588078" cy="254454"/>
          <a:chOff x="4445888" y="3675225"/>
          <a:chExt cx="1800225" cy="209550"/>
        </a:xfrm>
      </xdr:grpSpPr>
      <xdr:cxnSp macro="">
        <xdr:nvCxnSpPr>
          <xdr:cNvPr id="49" name="Shape 26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 rot="10800000">
            <a:off x="4445888" y="3675225"/>
            <a:ext cx="1800225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518432</xdr:colOff>
      <xdr:row>36</xdr:row>
      <xdr:rowOff>122465</xdr:rowOff>
    </xdr:from>
    <xdr:ext cx="2611210" cy="149678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7077075" y="8912679"/>
          <a:ext cx="2611210" cy="149678"/>
          <a:chOff x="4488750" y="3689513"/>
          <a:chExt cx="1714500" cy="180975"/>
        </a:xfrm>
      </xdr:grpSpPr>
      <xdr:cxnSp macro="">
        <xdr:nvCxnSpPr>
          <xdr:cNvPr id="51" name="Shape 27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 flipH="1">
            <a:off x="4488750" y="3689513"/>
            <a:ext cx="1714500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581025</xdr:colOff>
      <xdr:row>37</xdr:row>
      <xdr:rowOff>114300</xdr:rowOff>
    </xdr:from>
    <xdr:ext cx="1781175" cy="180975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7139668" y="9108621"/>
          <a:ext cx="1781175" cy="180975"/>
          <a:chOff x="4460175" y="3694275"/>
          <a:chExt cx="1771650" cy="171450"/>
        </a:xfrm>
      </xdr:grpSpPr>
      <xdr:cxnSp macro="">
        <xdr:nvCxnSpPr>
          <xdr:cNvPr id="53" name="Shape 28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 rot="10800000">
            <a:off x="4460175" y="3694275"/>
            <a:ext cx="17716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5</xdr:col>
      <xdr:colOff>488674</xdr:colOff>
      <xdr:row>23</xdr:row>
      <xdr:rowOff>240196</xdr:rowOff>
    </xdr:from>
    <xdr:to>
      <xdr:col>5</xdr:col>
      <xdr:colOff>496957</xdr:colOff>
      <xdr:row>25</xdr:row>
      <xdr:rowOff>173934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0BD02DB3-7EAE-CBC9-3798-517D7F5DAED8}"/>
            </a:ext>
          </a:extLst>
        </xdr:cNvPr>
        <xdr:cNvCxnSpPr/>
      </xdr:nvCxnSpPr>
      <xdr:spPr>
        <a:xfrm>
          <a:off x="5880652" y="5615609"/>
          <a:ext cx="8283" cy="662608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410936</xdr:colOff>
      <xdr:row>31</xdr:row>
      <xdr:rowOff>114300</xdr:rowOff>
    </xdr:from>
    <xdr:ext cx="38100" cy="228600"/>
    <xdr:grpSp>
      <xdr:nvGrpSpPr>
        <xdr:cNvPr id="58" name="Shape 2">
          <a:extLst>
            <a:ext uri="{FF2B5EF4-FFF2-40B4-BE49-F238E27FC236}">
              <a16:creationId xmlns:a16="http://schemas.microsoft.com/office/drawing/2014/main" id="{954ADF2B-F447-4C57-A4C1-45E41B653B62}"/>
            </a:ext>
          </a:extLst>
        </xdr:cNvPr>
        <xdr:cNvGrpSpPr/>
      </xdr:nvGrpSpPr>
      <xdr:grpSpPr>
        <a:xfrm>
          <a:off x="8044543" y="7883979"/>
          <a:ext cx="38100" cy="228600"/>
          <a:chOff x="5346000" y="3665700"/>
          <a:chExt cx="0" cy="228600"/>
        </a:xfrm>
      </xdr:grpSpPr>
      <xdr:cxnSp macro="">
        <xdr:nvCxnSpPr>
          <xdr:cNvPr id="59" name="Shape 20">
            <a:extLst>
              <a:ext uri="{FF2B5EF4-FFF2-40B4-BE49-F238E27FC236}">
                <a16:creationId xmlns:a16="http://schemas.microsoft.com/office/drawing/2014/main" id="{34C54315-BE21-A7E8-C0C8-F3320D6C92D6}"/>
              </a:ext>
            </a:extLst>
          </xdr:cNvPr>
          <xdr:cNvCxnSpPr/>
        </xdr:nvCxnSpPr>
        <xdr:spPr>
          <a:xfrm rot="10800000">
            <a:off x="5346000" y="3665700"/>
            <a:ext cx="0" cy="2286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33</xdr:row>
      <xdr:rowOff>76200</xdr:rowOff>
    </xdr:from>
    <xdr:ext cx="38100" cy="228600"/>
    <xdr:grpSp>
      <xdr:nvGrpSpPr>
        <xdr:cNvPr id="60" name="Shape 2">
          <a:extLst>
            <a:ext uri="{FF2B5EF4-FFF2-40B4-BE49-F238E27FC236}">
              <a16:creationId xmlns:a16="http://schemas.microsoft.com/office/drawing/2014/main" id="{B3EF0308-C45E-4198-91C7-3AF4C3C41925}"/>
            </a:ext>
          </a:extLst>
        </xdr:cNvPr>
        <xdr:cNvGrpSpPr/>
      </xdr:nvGrpSpPr>
      <xdr:grpSpPr>
        <a:xfrm>
          <a:off x="6060621" y="8254093"/>
          <a:ext cx="38100" cy="228600"/>
          <a:chOff x="5346000" y="3665700"/>
          <a:chExt cx="0" cy="228600"/>
        </a:xfrm>
      </xdr:grpSpPr>
      <xdr:cxnSp macro="">
        <xdr:nvCxnSpPr>
          <xdr:cNvPr id="61" name="Shape 20">
            <a:extLst>
              <a:ext uri="{FF2B5EF4-FFF2-40B4-BE49-F238E27FC236}">
                <a16:creationId xmlns:a16="http://schemas.microsoft.com/office/drawing/2014/main" id="{3F002BFB-4186-91EF-0B9A-87DC73C5A8DC}"/>
              </a:ext>
            </a:extLst>
          </xdr:cNvPr>
          <xdr:cNvCxnSpPr/>
        </xdr:nvCxnSpPr>
        <xdr:spPr>
          <a:xfrm rot="10800000">
            <a:off x="5346000" y="3665700"/>
            <a:ext cx="0" cy="2286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12</xdr:row>
      <xdr:rowOff>66675</xdr:rowOff>
    </xdr:from>
    <xdr:ext cx="828675" cy="228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071757" y="2883354"/>
          <a:ext cx="828675" cy="228600"/>
          <a:chOff x="4936425" y="3670463"/>
          <a:chExt cx="819150" cy="219075"/>
        </a:xfrm>
      </xdr:grpSpPr>
      <xdr:cxnSp macro="">
        <xdr:nvCxnSpPr>
          <xdr:cNvPr id="29" name="Shape 29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CxnSpPr/>
        </xdr:nvCxnSpPr>
        <xdr:spPr>
          <a:xfrm flipH="1">
            <a:off x="4936425" y="3670463"/>
            <a:ext cx="81915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561975</xdr:colOff>
      <xdr:row>13</xdr:row>
      <xdr:rowOff>114300</xdr:rowOff>
    </xdr:from>
    <xdr:ext cx="933450" cy="2000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7120618" y="3135086"/>
          <a:ext cx="933450" cy="200025"/>
          <a:chOff x="4884038" y="3684750"/>
          <a:chExt cx="923925" cy="19050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 flipH="1">
            <a:off x="4884038" y="3684750"/>
            <a:ext cx="923925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14</xdr:row>
      <xdr:rowOff>114300</xdr:rowOff>
    </xdr:from>
    <xdr:ext cx="990600" cy="27622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6060621" y="3339193"/>
          <a:ext cx="990600" cy="276225"/>
          <a:chOff x="4855463" y="3646650"/>
          <a:chExt cx="981075" cy="266700"/>
        </a:xfrm>
      </xdr:grpSpPr>
      <xdr:cxnSp macro="">
        <xdr:nvCxnSpPr>
          <xdr:cNvPr id="30" name="Shape 30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CxnSpPr/>
        </xdr:nvCxnSpPr>
        <xdr:spPr>
          <a:xfrm flipH="1">
            <a:off x="4855463" y="3646650"/>
            <a:ext cx="981075" cy="266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15</xdr:row>
      <xdr:rowOff>209550</xdr:rowOff>
    </xdr:from>
    <xdr:ext cx="1074964" cy="253093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6041571" y="3638550"/>
          <a:ext cx="1074964" cy="253093"/>
          <a:chOff x="4831650" y="3741900"/>
          <a:chExt cx="1028700" cy="76200"/>
        </a:xfrm>
      </xdr:grpSpPr>
      <xdr:cxnSp macro="">
        <xdr:nvCxnSpPr>
          <xdr:cNvPr id="7" name="Shap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 rot="10800000">
            <a:off x="4831650" y="3741900"/>
            <a:ext cx="1028700" cy="762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16</xdr:row>
      <xdr:rowOff>85725</xdr:rowOff>
    </xdr:from>
    <xdr:ext cx="1009650" cy="2190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6089196" y="3882118"/>
          <a:ext cx="1009650" cy="219075"/>
          <a:chOff x="4845938" y="3675225"/>
          <a:chExt cx="1000125" cy="209550"/>
        </a:xfrm>
      </xdr:grpSpPr>
      <xdr:cxnSp macro="">
        <xdr:nvCxnSpPr>
          <xdr:cNvPr id="9" name="Shape 7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H="1">
            <a:off x="4845938" y="3675225"/>
            <a:ext cx="1000125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17</xdr:row>
      <xdr:rowOff>104775</xdr:rowOff>
    </xdr:from>
    <xdr:ext cx="962025" cy="2000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6089196" y="4105275"/>
          <a:ext cx="962025" cy="200025"/>
          <a:chOff x="4869750" y="3684750"/>
          <a:chExt cx="952500" cy="190500"/>
        </a:xfrm>
      </xdr:grpSpPr>
      <xdr:cxnSp macro="">
        <xdr:nvCxnSpPr>
          <xdr:cNvPr id="31" name="Shape 31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CxnSpPr/>
        </xdr:nvCxnSpPr>
        <xdr:spPr>
          <a:xfrm rot="10800000">
            <a:off x="4869750" y="3684750"/>
            <a:ext cx="952500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18</xdr:row>
      <xdr:rowOff>114300</xdr:rowOff>
    </xdr:from>
    <xdr:ext cx="1104900" cy="2286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6012996" y="4318907"/>
          <a:ext cx="1104900" cy="228600"/>
          <a:chOff x="4803075" y="3670463"/>
          <a:chExt cx="1085850" cy="219075"/>
        </a:xfrm>
      </xdr:grpSpPr>
      <xdr:cxnSp macro="">
        <xdr:nvCxnSpPr>
          <xdr:cNvPr id="32" name="Shape 32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CxnSpPr/>
        </xdr:nvCxnSpPr>
        <xdr:spPr>
          <a:xfrm flipH="1">
            <a:off x="4803075" y="3670463"/>
            <a:ext cx="108585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19</xdr:row>
      <xdr:rowOff>142875</xdr:rowOff>
    </xdr:from>
    <xdr:ext cx="1104900" cy="18097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012996" y="4551589"/>
          <a:ext cx="1104900" cy="180975"/>
          <a:chOff x="4803075" y="3694275"/>
          <a:chExt cx="1085850" cy="171450"/>
        </a:xfrm>
      </xdr:grpSpPr>
      <xdr:cxnSp macro="">
        <xdr:nvCxnSpPr>
          <xdr:cNvPr id="33" name="Shape 33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CxnSpPr/>
        </xdr:nvCxnSpPr>
        <xdr:spPr>
          <a:xfrm rot="10800000">
            <a:off x="4803075" y="3694275"/>
            <a:ext cx="10858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480392</xdr:colOff>
      <xdr:row>20</xdr:row>
      <xdr:rowOff>114300</xdr:rowOff>
    </xdr:from>
    <xdr:ext cx="1024558" cy="225287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045713" y="4727121"/>
          <a:ext cx="1024558" cy="225287"/>
          <a:chOff x="4845938" y="3646650"/>
          <a:chExt cx="1000125" cy="266700"/>
        </a:xfrm>
      </xdr:grpSpPr>
      <xdr:cxnSp macro="">
        <xdr:nvCxnSpPr>
          <xdr:cNvPr id="34" name="Shape 34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CxnSpPr/>
        </xdr:nvCxnSpPr>
        <xdr:spPr>
          <a:xfrm flipH="1">
            <a:off x="4845938" y="3646650"/>
            <a:ext cx="1000125" cy="266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505238</xdr:colOff>
      <xdr:row>23</xdr:row>
      <xdr:rowOff>123825</xdr:rowOff>
    </xdr:from>
    <xdr:ext cx="1914111" cy="232327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070559" y="5512254"/>
          <a:ext cx="1914111" cy="232327"/>
          <a:chOff x="4379213" y="3651413"/>
          <a:chExt cx="1933575" cy="257175"/>
        </a:xfrm>
      </xdr:grpSpPr>
      <xdr:cxnSp macro="">
        <xdr:nvCxnSpPr>
          <xdr:cNvPr id="36" name="Shape 36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CxnSpPr/>
        </xdr:nvCxnSpPr>
        <xdr:spPr>
          <a:xfrm flipH="1">
            <a:off x="4379213" y="3651413"/>
            <a:ext cx="1933575" cy="2571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26</xdr:row>
      <xdr:rowOff>180975</xdr:rowOff>
    </xdr:from>
    <xdr:ext cx="1981200" cy="349704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6060621" y="6508296"/>
          <a:ext cx="1981200" cy="349704"/>
          <a:chOff x="4369688" y="3689513"/>
          <a:chExt cx="1952625" cy="180975"/>
        </a:xfrm>
      </xdr:grpSpPr>
      <xdr:cxnSp macro="">
        <xdr:nvCxnSpPr>
          <xdr:cNvPr id="38" name="Shape 38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CxnSpPr/>
        </xdr:nvCxnSpPr>
        <xdr:spPr>
          <a:xfrm rot="10800000">
            <a:off x="4369688" y="3689513"/>
            <a:ext cx="1952625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381000</xdr:colOff>
      <xdr:row>27</xdr:row>
      <xdr:rowOff>171450</xdr:rowOff>
    </xdr:from>
    <xdr:ext cx="38100" cy="276225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8014607" y="6866164"/>
          <a:ext cx="38100" cy="276225"/>
          <a:chOff x="5346000" y="3641888"/>
          <a:chExt cx="0" cy="276225"/>
        </a:xfrm>
      </xdr:grpSpPr>
      <xdr:cxnSp macro="">
        <xdr:nvCxnSpPr>
          <xdr:cNvPr id="21" name="Shape 17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>
          <a:xfrm rot="10800000">
            <a:off x="5346000" y="3641888"/>
            <a:ext cx="0" cy="2762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533400</xdr:colOff>
      <xdr:row>28</xdr:row>
      <xdr:rowOff>142875</xdr:rowOff>
    </xdr:from>
    <xdr:ext cx="1924050" cy="1524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6098721" y="7136946"/>
          <a:ext cx="1924050" cy="152400"/>
          <a:chOff x="4388738" y="3713325"/>
          <a:chExt cx="1914525" cy="133350"/>
        </a:xfrm>
      </xdr:grpSpPr>
      <xdr:cxnSp macro="">
        <xdr:nvCxnSpPr>
          <xdr:cNvPr id="39" name="Shape 39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CxnSpPr/>
        </xdr:nvCxnSpPr>
        <xdr:spPr>
          <a:xfrm rot="10800000" flipH="1">
            <a:off x="4388738" y="3713325"/>
            <a:ext cx="1914525" cy="1333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501096</xdr:colOff>
      <xdr:row>29</xdr:row>
      <xdr:rowOff>91109</xdr:rowOff>
    </xdr:from>
    <xdr:ext cx="120099" cy="231498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6066417" y="7289288"/>
          <a:ext cx="120099" cy="231498"/>
          <a:chOff x="5346000" y="3694275"/>
          <a:chExt cx="0" cy="171450"/>
        </a:xfrm>
      </xdr:grpSpPr>
      <xdr:cxnSp macro="">
        <xdr:nvCxnSpPr>
          <xdr:cNvPr id="24" name="Shape 19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501098</xdr:colOff>
      <xdr:row>30</xdr:row>
      <xdr:rowOff>134592</xdr:rowOff>
    </xdr:from>
    <xdr:ext cx="38100" cy="238125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6066419" y="7536878"/>
          <a:ext cx="38100" cy="238125"/>
          <a:chOff x="5346000" y="3660938"/>
          <a:chExt cx="0" cy="238125"/>
        </a:xfrm>
      </xdr:grpSpPr>
      <xdr:cxnSp macro="">
        <xdr:nvCxnSpPr>
          <xdr:cNvPr id="40" name="Shape 40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31</xdr:row>
      <xdr:rowOff>200025</xdr:rowOff>
    </xdr:from>
    <xdr:ext cx="1990725" cy="3238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6051096" y="7806418"/>
          <a:ext cx="1990725" cy="323850"/>
          <a:chOff x="4355400" y="3627600"/>
          <a:chExt cx="1981200" cy="304800"/>
        </a:xfrm>
      </xdr:grpSpPr>
      <xdr:cxnSp macro="">
        <xdr:nvCxnSpPr>
          <xdr:cNvPr id="41" name="Shape 41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CxnSpPr/>
        </xdr:nvCxnSpPr>
        <xdr:spPr>
          <a:xfrm>
            <a:off x="4355400" y="3627600"/>
            <a:ext cx="1981200" cy="3048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33</xdr:row>
      <xdr:rowOff>142875</xdr:rowOff>
    </xdr:from>
    <xdr:ext cx="1990725" cy="16192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pSpPr/>
      </xdr:nvGrpSpPr>
      <xdr:grpSpPr>
        <a:xfrm>
          <a:off x="6051096" y="8320768"/>
          <a:ext cx="1990725" cy="161925"/>
          <a:chOff x="4355400" y="3708563"/>
          <a:chExt cx="1981200" cy="142875"/>
        </a:xfrm>
      </xdr:grpSpPr>
      <xdr:cxnSp macro="">
        <xdr:nvCxnSpPr>
          <xdr:cNvPr id="43" name="Shape 43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CxnSpPr/>
        </xdr:nvCxnSpPr>
        <xdr:spPr>
          <a:xfrm rot="10800000" flipH="1">
            <a:off x="4355400" y="3708563"/>
            <a:ext cx="198120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504825</xdr:colOff>
      <xdr:row>35</xdr:row>
      <xdr:rowOff>114300</xdr:rowOff>
    </xdr:from>
    <xdr:ext cx="1019175" cy="180975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pSpPr/>
      </xdr:nvGrpSpPr>
      <xdr:grpSpPr>
        <a:xfrm>
          <a:off x="6070146" y="8700407"/>
          <a:ext cx="1019175" cy="180975"/>
          <a:chOff x="4841175" y="3694275"/>
          <a:chExt cx="1009650" cy="171450"/>
        </a:xfrm>
      </xdr:grpSpPr>
      <xdr:cxnSp macro="">
        <xdr:nvCxnSpPr>
          <xdr:cNvPr id="47" name="Shape 4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CxnSpPr/>
        </xdr:nvCxnSpPr>
        <xdr:spPr>
          <a:xfrm>
            <a:off x="4841175" y="3694275"/>
            <a:ext cx="10096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527957</xdr:colOff>
      <xdr:row>36</xdr:row>
      <xdr:rowOff>99332</xdr:rowOff>
    </xdr:from>
    <xdr:ext cx="2560864" cy="22724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7086600" y="8889546"/>
          <a:ext cx="2560864" cy="227240"/>
          <a:chOff x="4445888" y="3675225"/>
          <a:chExt cx="1800225" cy="209550"/>
        </a:xfrm>
      </xdr:grpSpPr>
      <xdr:cxnSp macro="">
        <xdr:nvCxnSpPr>
          <xdr:cNvPr id="49" name="Shape 46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CxnSpPr/>
        </xdr:nvCxnSpPr>
        <xdr:spPr>
          <a:xfrm rot="10800000">
            <a:off x="4445888" y="3675225"/>
            <a:ext cx="1800225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598714</xdr:colOff>
      <xdr:row>37</xdr:row>
      <xdr:rowOff>122466</xdr:rowOff>
    </xdr:from>
    <xdr:ext cx="2462893" cy="1905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pSpPr/>
      </xdr:nvGrpSpPr>
      <xdr:grpSpPr>
        <a:xfrm>
          <a:off x="7157357" y="9116787"/>
          <a:ext cx="2462893" cy="190500"/>
          <a:chOff x="4488750" y="3689513"/>
          <a:chExt cx="1714500" cy="180975"/>
        </a:xfrm>
      </xdr:grpSpPr>
      <xdr:cxnSp macro="">
        <xdr:nvCxnSpPr>
          <xdr:cNvPr id="51" name="Shape 27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CxnSpPr/>
        </xdr:nvCxnSpPr>
        <xdr:spPr>
          <a:xfrm flipH="1">
            <a:off x="4488750" y="3689513"/>
            <a:ext cx="1714500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581025</xdr:colOff>
      <xdr:row>38</xdr:row>
      <xdr:rowOff>114300</xdr:rowOff>
    </xdr:from>
    <xdr:ext cx="1781175" cy="180975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7139668" y="9312729"/>
          <a:ext cx="1781175" cy="180975"/>
          <a:chOff x="4460175" y="3694275"/>
          <a:chExt cx="1771650" cy="171450"/>
        </a:xfrm>
      </xdr:grpSpPr>
      <xdr:cxnSp macro="">
        <xdr:nvCxnSpPr>
          <xdr:cNvPr id="53" name="Shape 28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CxnSpPr/>
        </xdr:nvCxnSpPr>
        <xdr:spPr>
          <a:xfrm rot="10800000">
            <a:off x="4460175" y="3694275"/>
            <a:ext cx="177165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22</xdr:row>
      <xdr:rowOff>85725</xdr:rowOff>
    </xdr:from>
    <xdr:ext cx="1933575" cy="2286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6089196" y="5270046"/>
          <a:ext cx="1933575" cy="228600"/>
          <a:chOff x="4383975" y="3675225"/>
          <a:chExt cx="1924050" cy="209550"/>
        </a:xfrm>
      </xdr:grpSpPr>
      <xdr:cxnSp macro="">
        <xdr:nvCxnSpPr>
          <xdr:cNvPr id="55" name="Shape 47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CxnSpPr/>
        </xdr:nvCxnSpPr>
        <xdr:spPr>
          <a:xfrm rot="10800000">
            <a:off x="4383975" y="3675225"/>
            <a:ext cx="1924050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5</xdr:col>
      <xdr:colOff>472109</xdr:colOff>
      <xdr:row>21</xdr:row>
      <xdr:rowOff>99392</xdr:rowOff>
    </xdr:from>
    <xdr:to>
      <xdr:col>5</xdr:col>
      <xdr:colOff>488674</xdr:colOff>
      <xdr:row>22</xdr:row>
      <xdr:rowOff>99392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FF99F0DC-62D2-E431-2B69-4E29B4C2B561}"/>
            </a:ext>
          </a:extLst>
        </xdr:cNvPr>
        <xdr:cNvCxnSpPr/>
      </xdr:nvCxnSpPr>
      <xdr:spPr>
        <a:xfrm flipH="1">
          <a:off x="5864087" y="4895022"/>
          <a:ext cx="16565" cy="19878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496957</xdr:colOff>
      <xdr:row>24</xdr:row>
      <xdr:rowOff>165653</xdr:rowOff>
    </xdr:from>
    <xdr:to>
      <xdr:col>5</xdr:col>
      <xdr:colOff>505239</xdr:colOff>
      <xdr:row>26</xdr:row>
      <xdr:rowOff>173934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EF6850EB-1449-96FC-F9C9-09C5DBD363D9}"/>
            </a:ext>
          </a:extLst>
        </xdr:cNvPr>
        <xdr:cNvCxnSpPr/>
      </xdr:nvCxnSpPr>
      <xdr:spPr>
        <a:xfrm>
          <a:off x="5888935" y="5532783"/>
          <a:ext cx="8282" cy="40584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396736</xdr:colOff>
      <xdr:row>32</xdr:row>
      <xdr:rowOff>144118</xdr:rowOff>
    </xdr:from>
    <xdr:ext cx="120099" cy="231498"/>
    <xdr:grpSp>
      <xdr:nvGrpSpPr>
        <xdr:cNvPr id="60" name="Shape 2">
          <a:extLst>
            <a:ext uri="{FF2B5EF4-FFF2-40B4-BE49-F238E27FC236}">
              <a16:creationId xmlns:a16="http://schemas.microsoft.com/office/drawing/2014/main" id="{65DBABBD-AD86-47CC-A84B-409F5AD76927}"/>
            </a:ext>
          </a:extLst>
        </xdr:cNvPr>
        <xdr:cNvGrpSpPr/>
      </xdr:nvGrpSpPr>
      <xdr:grpSpPr>
        <a:xfrm>
          <a:off x="8030343" y="8117904"/>
          <a:ext cx="120099" cy="231498"/>
          <a:chOff x="5346000" y="3694275"/>
          <a:chExt cx="0" cy="171450"/>
        </a:xfrm>
      </xdr:grpSpPr>
      <xdr:cxnSp macro="">
        <xdr:nvCxnSpPr>
          <xdr:cNvPr id="61" name="Shape 19">
            <a:extLst>
              <a:ext uri="{FF2B5EF4-FFF2-40B4-BE49-F238E27FC236}">
                <a16:creationId xmlns:a16="http://schemas.microsoft.com/office/drawing/2014/main" id="{514E16E0-7C4E-639F-7D6F-3580D4E55BCB}"/>
              </a:ext>
            </a:extLst>
          </xdr:cNvPr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507722</xdr:colOff>
      <xdr:row>34</xdr:row>
      <xdr:rowOff>97735</xdr:rowOff>
    </xdr:from>
    <xdr:ext cx="120099" cy="231498"/>
    <xdr:grpSp>
      <xdr:nvGrpSpPr>
        <xdr:cNvPr id="62" name="Shape 2">
          <a:extLst>
            <a:ext uri="{FF2B5EF4-FFF2-40B4-BE49-F238E27FC236}">
              <a16:creationId xmlns:a16="http://schemas.microsoft.com/office/drawing/2014/main" id="{CAD81D7E-BB18-4DFE-A959-CBD588DFF008}"/>
            </a:ext>
          </a:extLst>
        </xdr:cNvPr>
        <xdr:cNvGrpSpPr/>
      </xdr:nvGrpSpPr>
      <xdr:grpSpPr>
        <a:xfrm>
          <a:off x="6073043" y="8479735"/>
          <a:ext cx="120099" cy="231498"/>
          <a:chOff x="5346000" y="3694275"/>
          <a:chExt cx="0" cy="171450"/>
        </a:xfrm>
      </xdr:grpSpPr>
      <xdr:cxnSp macro="">
        <xdr:nvCxnSpPr>
          <xdr:cNvPr id="63" name="Shape 19">
            <a:extLst>
              <a:ext uri="{FF2B5EF4-FFF2-40B4-BE49-F238E27FC236}">
                <a16:creationId xmlns:a16="http://schemas.microsoft.com/office/drawing/2014/main" id="{D50EAF6D-88BC-A87C-6A89-1A0CC2C29637}"/>
              </a:ext>
            </a:extLst>
          </xdr:cNvPr>
          <xdr:cNvCxnSpPr/>
        </xdr:nvCxnSpPr>
        <xdr:spPr>
          <a:xfrm rot="10800000">
            <a:off x="5346000" y="3694275"/>
            <a:ext cx="0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495300</xdr:colOff>
      <xdr:row>12</xdr:row>
      <xdr:rowOff>142875</xdr:rowOff>
    </xdr:from>
    <xdr:ext cx="1000125" cy="228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9026979" y="2823482"/>
          <a:ext cx="1000125" cy="228600"/>
          <a:chOff x="4850700" y="3670463"/>
          <a:chExt cx="990600" cy="219075"/>
        </a:xfrm>
      </xdr:grpSpPr>
      <xdr:cxnSp macro="">
        <xdr:nvCxnSpPr>
          <xdr:cNvPr id="48" name="Shape 48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533400</xdr:colOff>
      <xdr:row>13</xdr:row>
      <xdr:rowOff>142875</xdr:rowOff>
    </xdr:from>
    <xdr:ext cx="10001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7990114" y="3054804"/>
          <a:ext cx="1000125" cy="228600"/>
          <a:chOff x="4850700" y="3670463"/>
          <a:chExt cx="990600" cy="219075"/>
        </a:xfrm>
      </xdr:grpSpPr>
      <xdr:cxnSp macro="">
        <xdr:nvCxnSpPr>
          <xdr:cNvPr id="4" name="Shape 48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14</xdr:row>
      <xdr:rowOff>123825</xdr:rowOff>
    </xdr:from>
    <xdr:ext cx="1019175" cy="3238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6958693" y="3267075"/>
          <a:ext cx="1019175" cy="323850"/>
          <a:chOff x="4845938" y="3622838"/>
          <a:chExt cx="1000125" cy="314325"/>
        </a:xfrm>
      </xdr:grpSpPr>
      <xdr:cxnSp macro="">
        <xdr:nvCxnSpPr>
          <xdr:cNvPr id="49" name="Shape 49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CxnSpPr/>
        </xdr:nvCxnSpPr>
        <xdr:spPr>
          <a:xfrm flipH="1">
            <a:off x="4845938" y="3622838"/>
            <a:ext cx="1000125" cy="3143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15</xdr:row>
      <xdr:rowOff>190499</xdr:rowOff>
    </xdr:from>
    <xdr:ext cx="1038225" cy="276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6987268" y="3565070"/>
          <a:ext cx="1038225" cy="276225"/>
          <a:chOff x="4850700" y="3708563"/>
          <a:chExt cx="990600" cy="142875"/>
        </a:xfrm>
      </xdr:grpSpPr>
      <xdr:cxnSp macro="">
        <xdr:nvCxnSpPr>
          <xdr:cNvPr id="50" name="Shape 50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/>
        </xdr:nvCxnSpPr>
        <xdr:spPr>
          <a:xfrm rot="10800000">
            <a:off x="4850700" y="3708563"/>
            <a:ext cx="99060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16</xdr:row>
      <xdr:rowOff>142875</xdr:rowOff>
    </xdr:from>
    <xdr:ext cx="10001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6958693" y="3884839"/>
          <a:ext cx="1000125" cy="228600"/>
          <a:chOff x="4850700" y="3670463"/>
          <a:chExt cx="990600" cy="219075"/>
        </a:xfrm>
      </xdr:grpSpPr>
      <xdr:cxnSp macro="">
        <xdr:nvCxnSpPr>
          <xdr:cNvPr id="51" name="Shape 51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17</xdr:row>
      <xdr:rowOff>142875</xdr:rowOff>
    </xdr:from>
    <xdr:ext cx="1009650" cy="2000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6958693" y="4116161"/>
          <a:ext cx="1009650" cy="200025"/>
          <a:chOff x="4845938" y="3684750"/>
          <a:chExt cx="1000125" cy="190500"/>
        </a:xfrm>
      </xdr:grpSpPr>
      <xdr:cxnSp macro="">
        <xdr:nvCxnSpPr>
          <xdr:cNvPr id="52" name="Shape 52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CxnSpPr/>
        </xdr:nvCxnSpPr>
        <xdr:spPr>
          <a:xfrm rot="10800000">
            <a:off x="4845938" y="3684750"/>
            <a:ext cx="1000125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466725</xdr:colOff>
      <xdr:row>18</xdr:row>
      <xdr:rowOff>95250</xdr:rowOff>
    </xdr:from>
    <xdr:ext cx="1066800" cy="2381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6930118" y="4299857"/>
          <a:ext cx="1066800" cy="238125"/>
          <a:chOff x="4817363" y="3665700"/>
          <a:chExt cx="1057275" cy="228600"/>
        </a:xfrm>
      </xdr:grpSpPr>
      <xdr:cxnSp macro="">
        <xdr:nvCxnSpPr>
          <xdr:cNvPr id="53" name="Shape 5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/>
        </xdr:nvCxnSpPr>
        <xdr:spPr>
          <a:xfrm rot="10800000" flipH="1">
            <a:off x="4817363" y="3665700"/>
            <a:ext cx="1057275" cy="2286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466725</xdr:colOff>
      <xdr:row>19</xdr:row>
      <xdr:rowOff>123825</xdr:rowOff>
    </xdr:from>
    <xdr:ext cx="2105025" cy="1714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6930118" y="4559754"/>
          <a:ext cx="2105025" cy="171450"/>
          <a:chOff x="4298250" y="3699038"/>
          <a:chExt cx="2095500" cy="161925"/>
        </a:xfrm>
      </xdr:grpSpPr>
      <xdr:cxnSp macro="">
        <xdr:nvCxnSpPr>
          <xdr:cNvPr id="54" name="Shape 54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CxnSpPr/>
        </xdr:nvCxnSpPr>
        <xdr:spPr>
          <a:xfrm rot="10800000">
            <a:off x="4298250" y="3699038"/>
            <a:ext cx="2095500" cy="1619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542925</xdr:colOff>
      <xdr:row>20</xdr:row>
      <xdr:rowOff>142875</xdr:rowOff>
    </xdr:from>
    <xdr:ext cx="1009650" cy="16192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7999639" y="4755696"/>
          <a:ext cx="1009650" cy="161925"/>
          <a:chOff x="4845938" y="3703800"/>
          <a:chExt cx="1000125" cy="152400"/>
        </a:xfrm>
      </xdr:grpSpPr>
      <xdr:cxnSp macro="">
        <xdr:nvCxnSpPr>
          <xdr:cNvPr id="55" name="Shape 55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CxnSpPr/>
        </xdr:nvCxnSpPr>
        <xdr:spPr>
          <a:xfrm flipH="1">
            <a:off x="4845938" y="3703800"/>
            <a:ext cx="1000125" cy="1524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21</xdr:row>
      <xdr:rowOff>104775</xdr:rowOff>
    </xdr:from>
    <xdr:ext cx="1000125" cy="2286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6958693" y="4894489"/>
          <a:ext cx="1000125" cy="228600"/>
          <a:chOff x="4850700" y="3670463"/>
          <a:chExt cx="990600" cy="219075"/>
        </a:xfrm>
      </xdr:grpSpPr>
      <xdr:cxnSp macro="">
        <xdr:nvCxnSpPr>
          <xdr:cNvPr id="13" name="Shape 51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22</xdr:row>
      <xdr:rowOff>171450</xdr:rowOff>
    </xdr:from>
    <xdr:ext cx="38100" cy="2476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6939643" y="5192486"/>
          <a:ext cx="38100" cy="247650"/>
          <a:chOff x="5346000" y="3656175"/>
          <a:chExt cx="0" cy="247650"/>
        </a:xfrm>
      </xdr:grpSpPr>
      <xdr:cxnSp macro="">
        <xdr:nvCxn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533399</xdr:colOff>
      <xdr:row>23</xdr:row>
      <xdr:rowOff>171450</xdr:rowOff>
    </xdr:from>
    <xdr:ext cx="1019175" cy="2667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6996792" y="5423807"/>
          <a:ext cx="1019175" cy="266700"/>
          <a:chOff x="4864988" y="3722850"/>
          <a:chExt cx="962025" cy="114300"/>
        </a:xfrm>
      </xdr:grpSpPr>
      <xdr:cxnSp macro="">
        <xdr:nvCxnSpPr>
          <xdr:cNvPr id="57" name="Shape 57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CxnSpPr/>
        </xdr:nvCxnSpPr>
        <xdr:spPr>
          <a:xfrm rot="10800000">
            <a:off x="4864988" y="3722850"/>
            <a:ext cx="962025" cy="1143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24</xdr:row>
      <xdr:rowOff>95250</xdr:rowOff>
    </xdr:from>
    <xdr:ext cx="1057275" cy="200025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pSpPr/>
      </xdr:nvGrpSpPr>
      <xdr:grpSpPr>
        <a:xfrm>
          <a:off x="6911068" y="5715000"/>
          <a:ext cx="1057275" cy="200025"/>
          <a:chOff x="4822125" y="3684750"/>
          <a:chExt cx="1047750" cy="190500"/>
        </a:xfrm>
      </xdr:grpSpPr>
      <xdr:cxnSp macro="">
        <xdr:nvCxnSpPr>
          <xdr:cNvPr id="58" name="Shape 58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CxnSpPr/>
        </xdr:nvCxnSpPr>
        <xdr:spPr>
          <a:xfrm flipH="1">
            <a:off x="4822125" y="3684750"/>
            <a:ext cx="1047750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25</xdr:row>
      <xdr:rowOff>123825</xdr:rowOff>
    </xdr:from>
    <xdr:ext cx="990600" cy="142875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6958693" y="5920468"/>
          <a:ext cx="990600" cy="142875"/>
          <a:chOff x="4855463" y="3713325"/>
          <a:chExt cx="981075" cy="133350"/>
        </a:xfrm>
      </xdr:grpSpPr>
      <xdr:cxnSp macro="">
        <xdr:nvCxn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 rot="10800000">
            <a:off x="4855463" y="3713325"/>
            <a:ext cx="981075" cy="1333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504825</xdr:colOff>
      <xdr:row>26</xdr:row>
      <xdr:rowOff>95250</xdr:rowOff>
    </xdr:from>
    <xdr:ext cx="990600" cy="1905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6968218" y="6068786"/>
          <a:ext cx="990600" cy="190500"/>
          <a:chOff x="4855463" y="3689513"/>
          <a:chExt cx="981075" cy="180975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CxnSpPr/>
        </xdr:nvCxnSpPr>
        <xdr:spPr>
          <a:xfrm flipH="1">
            <a:off x="4855463" y="3689513"/>
            <a:ext cx="981075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27</xdr:row>
      <xdr:rowOff>104775</xdr:rowOff>
    </xdr:from>
    <xdr:ext cx="1066800" cy="1809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6939643" y="6255204"/>
          <a:ext cx="1066800" cy="180975"/>
          <a:chOff x="4817363" y="3694275"/>
          <a:chExt cx="1057275" cy="171450"/>
        </a:xfrm>
      </xdr:grpSpPr>
      <xdr:cxnSp macro="">
        <xdr:nvCxnSpPr>
          <xdr:cNvPr id="61" name="Shape 61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/>
        </xdr:nvCxnSpPr>
        <xdr:spPr>
          <a:xfrm rot="10800000">
            <a:off x="4817363" y="3694275"/>
            <a:ext cx="1057275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495299</xdr:colOff>
      <xdr:row>28</xdr:row>
      <xdr:rowOff>114300</xdr:rowOff>
    </xdr:from>
    <xdr:ext cx="1000125" cy="2667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6958692" y="6441621"/>
          <a:ext cx="1000125" cy="266700"/>
          <a:chOff x="4817363" y="3694275"/>
          <a:chExt cx="1057275" cy="171450"/>
        </a:xfrm>
      </xdr:grpSpPr>
      <xdr:cxnSp macro="">
        <xdr:nvCxnSpPr>
          <xdr:cNvPr id="62" name="Shape 62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CxnSpPr/>
        </xdr:nvCxnSpPr>
        <xdr:spPr>
          <a:xfrm flipH="1">
            <a:off x="4817363" y="3694275"/>
            <a:ext cx="1057275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30</xdr:row>
      <xdr:rowOff>104775</xdr:rowOff>
    </xdr:from>
    <xdr:ext cx="1019175" cy="1524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/>
      </xdr:nvGrpSpPr>
      <xdr:grpSpPr>
        <a:xfrm>
          <a:off x="6949168" y="6949168"/>
          <a:ext cx="1019175" cy="152400"/>
          <a:chOff x="4841175" y="3708563"/>
          <a:chExt cx="1009650" cy="142875"/>
        </a:xfrm>
      </xdr:grpSpPr>
      <xdr:cxnSp macro="">
        <xdr:nvCxn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/>
        </xdr:nvCxnSpPr>
        <xdr:spPr>
          <a:xfrm rot="10800000">
            <a:off x="4841175" y="3708563"/>
            <a:ext cx="100965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542925</xdr:colOff>
      <xdr:row>31</xdr:row>
      <xdr:rowOff>104775</xdr:rowOff>
    </xdr:from>
    <xdr:ext cx="990600" cy="190500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>
          <a:off x="7999639" y="7126061"/>
          <a:ext cx="990600" cy="190500"/>
          <a:chOff x="4855463" y="3689513"/>
          <a:chExt cx="981075" cy="180975"/>
        </a:xfrm>
      </xdr:grpSpPr>
      <xdr:cxnSp macro="">
        <xdr:nvCxnSpPr>
          <xdr:cNvPr id="65" name="Shape 65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CxnSpPr/>
        </xdr:nvCxnSpPr>
        <xdr:spPr>
          <a:xfrm rot="10800000">
            <a:off x="4855463" y="3689513"/>
            <a:ext cx="981075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32</xdr:row>
      <xdr:rowOff>123825</xdr:rowOff>
    </xdr:from>
    <xdr:ext cx="2057400" cy="17145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6958693" y="7322004"/>
          <a:ext cx="2057400" cy="171450"/>
          <a:chOff x="4322063" y="3699038"/>
          <a:chExt cx="2047875" cy="161925"/>
        </a:xfrm>
      </xdr:grpSpPr>
      <xdr:cxnSp macro="">
        <xdr:nvCxnSpPr>
          <xdr:cNvPr id="66" name="Shape 66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CxnSpPr/>
        </xdr:nvCxnSpPr>
        <xdr:spPr>
          <a:xfrm flipH="1">
            <a:off x="4322063" y="3699038"/>
            <a:ext cx="2047875" cy="1619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34</xdr:row>
      <xdr:rowOff>133350</xdr:rowOff>
    </xdr:from>
    <xdr:ext cx="2066925" cy="16192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/>
      </xdr:nvGrpSpPr>
      <xdr:grpSpPr>
        <a:xfrm>
          <a:off x="6958693" y="7685314"/>
          <a:ext cx="2066925" cy="161925"/>
          <a:chOff x="4317300" y="3703800"/>
          <a:chExt cx="2057400" cy="152400"/>
        </a:xfrm>
      </xdr:grpSpPr>
      <xdr:cxnSp macro="">
        <xdr:nvCxnSpPr>
          <xdr:cNvPr id="68" name="Shape 68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CxnSpPr/>
        </xdr:nvCxnSpPr>
        <xdr:spPr>
          <a:xfrm rot="10800000">
            <a:off x="4317300" y="3703800"/>
            <a:ext cx="2057400" cy="1524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466725</xdr:colOff>
      <xdr:row>35</xdr:row>
      <xdr:rowOff>123825</xdr:rowOff>
    </xdr:from>
    <xdr:ext cx="2085975" cy="171450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6930118" y="7852682"/>
          <a:ext cx="2085975" cy="171450"/>
          <a:chOff x="4312538" y="3703800"/>
          <a:chExt cx="2066925" cy="152400"/>
        </a:xfrm>
      </xdr:grpSpPr>
      <xdr:cxnSp macro="">
        <xdr:nvCxnSpPr>
          <xdr:cNvPr id="69" name="Shape 69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CxnSpPr/>
        </xdr:nvCxnSpPr>
        <xdr:spPr>
          <a:xfrm flipH="1">
            <a:off x="4312538" y="3703800"/>
            <a:ext cx="2066925" cy="1524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37</xdr:row>
      <xdr:rowOff>95250</xdr:rowOff>
    </xdr:from>
    <xdr:ext cx="1085850" cy="2571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6949168" y="8177893"/>
          <a:ext cx="1085850" cy="257175"/>
          <a:chOff x="4779263" y="3675225"/>
          <a:chExt cx="1133475" cy="209550"/>
        </a:xfrm>
      </xdr:grpSpPr>
      <xdr:cxnSp macro="">
        <xdr:nvCxnSpPr>
          <xdr:cNvPr id="71" name="Shape 71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CxnSpPr/>
        </xdr:nvCxnSpPr>
        <xdr:spPr>
          <a:xfrm rot="10800000">
            <a:off x="4779263" y="3675225"/>
            <a:ext cx="1133475" cy="209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523875</xdr:colOff>
      <xdr:row>38</xdr:row>
      <xdr:rowOff>161926</xdr:rowOff>
    </xdr:from>
    <xdr:ext cx="3013982" cy="38236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7980589" y="8421462"/>
          <a:ext cx="3013982" cy="382360"/>
          <a:chOff x="4336350" y="3594263"/>
          <a:chExt cx="2019300" cy="371475"/>
        </a:xfrm>
      </xdr:grpSpPr>
      <xdr:cxnSp macro="">
        <xdr:nvCxnSpPr>
          <xdr:cNvPr id="72" name="Shape 72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CxnSpPr/>
        </xdr:nvCxnSpPr>
        <xdr:spPr>
          <a:xfrm rot="10800000">
            <a:off x="4336350" y="3594263"/>
            <a:ext cx="2019300" cy="3714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530679</xdr:colOff>
      <xdr:row>39</xdr:row>
      <xdr:rowOff>190499</xdr:rowOff>
    </xdr:from>
    <xdr:ext cx="2952750" cy="381001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/>
      </xdr:nvGrpSpPr>
      <xdr:grpSpPr>
        <a:xfrm>
          <a:off x="7987393" y="8817428"/>
          <a:ext cx="2952750" cy="381001"/>
          <a:chOff x="4369688" y="3599025"/>
          <a:chExt cx="1952625" cy="361950"/>
        </a:xfrm>
      </xdr:grpSpPr>
      <xdr:cxnSp macro="">
        <xdr:nvCxnSpPr>
          <xdr:cNvPr id="73" name="Shape 73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CxnSpPr/>
        </xdr:nvCxnSpPr>
        <xdr:spPr>
          <a:xfrm flipH="1">
            <a:off x="4369688" y="3599025"/>
            <a:ext cx="1952625" cy="3619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533400</xdr:colOff>
      <xdr:row>40</xdr:row>
      <xdr:rowOff>200025</xdr:rowOff>
    </xdr:from>
    <xdr:ext cx="2028825" cy="2667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7990114" y="9194346"/>
          <a:ext cx="2028825" cy="266700"/>
          <a:chOff x="4341113" y="3656175"/>
          <a:chExt cx="2009775" cy="247650"/>
        </a:xfrm>
      </xdr:grpSpPr>
      <xdr:cxnSp macro="">
        <xdr:nvCxnSpPr>
          <xdr:cNvPr id="74" name="Shape 74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CxnSpPr/>
        </xdr:nvCxnSpPr>
        <xdr:spPr>
          <a:xfrm rot="10800000">
            <a:off x="4341113" y="3656175"/>
            <a:ext cx="2009775" cy="2476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5</xdr:col>
      <xdr:colOff>495300</xdr:colOff>
      <xdr:row>33</xdr:row>
      <xdr:rowOff>152400</xdr:rowOff>
    </xdr:from>
    <xdr:to>
      <xdr:col>5</xdr:col>
      <xdr:colOff>504825</xdr:colOff>
      <xdr:row>34</xdr:row>
      <xdr:rowOff>95250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8EF56C73-E9EC-1492-7467-FBEB93F55B49}"/>
            </a:ext>
          </a:extLst>
        </xdr:cNvPr>
        <xdr:cNvCxnSpPr/>
      </xdr:nvCxnSpPr>
      <xdr:spPr>
        <a:xfrm flipH="1" flipV="1">
          <a:off x="6953250" y="7391400"/>
          <a:ext cx="9525" cy="1143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29</xdr:row>
      <xdr:rowOff>190500</xdr:rowOff>
    </xdr:from>
    <xdr:to>
      <xdr:col>5</xdr:col>
      <xdr:colOff>485775</xdr:colOff>
      <xdr:row>30</xdr:row>
      <xdr:rowOff>104775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18D11183-AA6C-07BD-E0AD-21A5B7D8ECC4}"/>
            </a:ext>
          </a:extLst>
        </xdr:cNvPr>
        <xdr:cNvCxnSpPr/>
      </xdr:nvCxnSpPr>
      <xdr:spPr>
        <a:xfrm>
          <a:off x="6943725" y="6572250"/>
          <a:ext cx="0" cy="257175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33</xdr:row>
      <xdr:rowOff>57150</xdr:rowOff>
    </xdr:from>
    <xdr:to>
      <xdr:col>5</xdr:col>
      <xdr:colOff>504825</xdr:colOff>
      <xdr:row>34</xdr:row>
      <xdr:rowOff>142875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51D27193-0F86-4823-894A-44979B837B29}"/>
            </a:ext>
          </a:extLst>
        </xdr:cNvPr>
        <xdr:cNvCxnSpPr/>
      </xdr:nvCxnSpPr>
      <xdr:spPr>
        <a:xfrm>
          <a:off x="6962775" y="7296150"/>
          <a:ext cx="0" cy="257175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36</xdr:row>
      <xdr:rowOff>57150</xdr:rowOff>
    </xdr:from>
    <xdr:to>
      <xdr:col>5</xdr:col>
      <xdr:colOff>485775</xdr:colOff>
      <xdr:row>37</xdr:row>
      <xdr:rowOff>142875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8A63F4FF-3528-4B9E-B403-CC40218526D3}"/>
            </a:ext>
          </a:extLst>
        </xdr:cNvPr>
        <xdr:cNvCxnSpPr/>
      </xdr:nvCxnSpPr>
      <xdr:spPr>
        <a:xfrm>
          <a:off x="6943725" y="7810500"/>
          <a:ext cx="0" cy="257175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504825</xdr:colOff>
      <xdr:row>12</xdr:row>
      <xdr:rowOff>123825</xdr:rowOff>
    </xdr:from>
    <xdr:ext cx="1000125" cy="228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6504" y="2804432"/>
          <a:ext cx="1000125" cy="228600"/>
          <a:chOff x="4850700" y="3670463"/>
          <a:chExt cx="990600" cy="219075"/>
        </a:xfrm>
      </xdr:grpSpPr>
      <xdr:cxnSp macro="">
        <xdr:nvCxnSpPr>
          <xdr:cNvPr id="75" name="Shape 75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571500</xdr:colOff>
      <xdr:row>13</xdr:row>
      <xdr:rowOff>114300</xdr:rowOff>
    </xdr:from>
    <xdr:ext cx="10001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8028214" y="3026229"/>
          <a:ext cx="1000125" cy="228600"/>
          <a:chOff x="4850700" y="3670463"/>
          <a:chExt cx="990600" cy="219075"/>
        </a:xfrm>
      </xdr:grpSpPr>
      <xdr:cxnSp macro="">
        <xdr:nvCxnSpPr>
          <xdr:cNvPr id="76" name="Shape 76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14</xdr:row>
      <xdr:rowOff>123825</xdr:rowOff>
    </xdr:from>
    <xdr:ext cx="1047750" cy="2857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6987268" y="3267075"/>
          <a:ext cx="1047750" cy="285750"/>
          <a:chOff x="4826888" y="3641888"/>
          <a:chExt cx="1038225" cy="276225"/>
        </a:xfrm>
      </xdr:grpSpPr>
      <xdr:cxnSp macro="">
        <xdr:nvCxnSpPr>
          <xdr:cNvPr id="77" name="Shape 77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CxnSpPr/>
        </xdr:nvCxnSpPr>
        <xdr:spPr>
          <a:xfrm flipH="1">
            <a:off x="4826888" y="3641888"/>
            <a:ext cx="1038225" cy="2762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15</xdr:row>
      <xdr:rowOff>209550</xdr:rowOff>
    </xdr:from>
    <xdr:ext cx="1085850" cy="2667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6949168" y="3584121"/>
          <a:ext cx="1085850" cy="266700"/>
          <a:chOff x="4822125" y="3718088"/>
          <a:chExt cx="1047750" cy="123825"/>
        </a:xfrm>
      </xdr:grpSpPr>
      <xdr:cxnSp macro="">
        <xdr:nvCxn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CxnSpPr/>
        </xdr:nvCxnSpPr>
        <xdr:spPr>
          <a:xfrm rot="10800000">
            <a:off x="4822125" y="3718088"/>
            <a:ext cx="1047750" cy="1238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16</xdr:row>
      <xdr:rowOff>133350</xdr:rowOff>
    </xdr:from>
    <xdr:ext cx="1000125" cy="2286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6949168" y="3875314"/>
          <a:ext cx="1000125" cy="228600"/>
          <a:chOff x="4850700" y="3670463"/>
          <a:chExt cx="990600" cy="219075"/>
        </a:xfrm>
      </xdr:grpSpPr>
      <xdr:cxnSp macro="">
        <xdr:nvCxnSpPr>
          <xdr:cNvPr id="48" name="Shape 48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17</xdr:row>
      <xdr:rowOff>123825</xdr:rowOff>
    </xdr:from>
    <xdr:ext cx="990600" cy="23812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6987268" y="4097111"/>
          <a:ext cx="990600" cy="238125"/>
          <a:chOff x="4855463" y="3665700"/>
          <a:chExt cx="981075" cy="228600"/>
        </a:xfrm>
      </xdr:grpSpPr>
      <xdr:cxnSp macro="">
        <xdr:nvCxnSpPr>
          <xdr:cNvPr id="79" name="Shape 79">
            <a:extLst>
              <a:ext uri="{FF2B5EF4-FFF2-40B4-BE49-F238E27FC236}">
                <a16:creationId xmlns:a16="http://schemas.microsoft.com/office/drawing/2014/main" id="{00000000-0008-0000-0300-00004F000000}"/>
              </a:ext>
            </a:extLst>
          </xdr:cNvPr>
          <xdr:cNvCxnSpPr/>
        </xdr:nvCxnSpPr>
        <xdr:spPr>
          <a:xfrm rot="10800000">
            <a:off x="4855463" y="3665700"/>
            <a:ext cx="981075" cy="2286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18</xdr:row>
      <xdr:rowOff>123825</xdr:rowOff>
    </xdr:from>
    <xdr:ext cx="1000125" cy="2286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6987268" y="4328432"/>
          <a:ext cx="1000125" cy="228600"/>
          <a:chOff x="4850700" y="3670463"/>
          <a:chExt cx="990600" cy="219075"/>
        </a:xfrm>
      </xdr:grpSpPr>
      <xdr:cxnSp macro="">
        <xdr:nvCxnSpPr>
          <xdr:cNvPr id="9" name="Shape 4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542925</xdr:colOff>
      <xdr:row>19</xdr:row>
      <xdr:rowOff>123825</xdr:rowOff>
    </xdr:from>
    <xdr:ext cx="1990725" cy="17145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7006318" y="4559754"/>
          <a:ext cx="1990725" cy="171450"/>
          <a:chOff x="4355400" y="3699038"/>
          <a:chExt cx="1981200" cy="161925"/>
        </a:xfrm>
      </xdr:grpSpPr>
      <xdr:cxnSp macro="">
        <xdr:nvCxnSpPr>
          <xdr:cNvPr id="80" name="Shape 80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CxnSpPr/>
        </xdr:nvCxnSpPr>
        <xdr:spPr>
          <a:xfrm rot="10800000">
            <a:off x="4355400" y="3699038"/>
            <a:ext cx="1981200" cy="1619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561975</xdr:colOff>
      <xdr:row>20</xdr:row>
      <xdr:rowOff>114300</xdr:rowOff>
    </xdr:from>
    <xdr:ext cx="962025" cy="17145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8018689" y="4727121"/>
          <a:ext cx="962025" cy="171450"/>
          <a:chOff x="4869750" y="3699038"/>
          <a:chExt cx="952500" cy="161925"/>
        </a:xfrm>
      </xdr:grpSpPr>
      <xdr:cxnSp macro="">
        <xdr:nvCxnSpPr>
          <xdr:cNvPr id="81" name="Shape 81">
            <a:extLst>
              <a:ext uri="{FF2B5EF4-FFF2-40B4-BE49-F238E27FC236}">
                <a16:creationId xmlns:a16="http://schemas.microsoft.com/office/drawing/2014/main" id="{00000000-0008-0000-0300-000051000000}"/>
              </a:ext>
            </a:extLst>
          </xdr:cNvPr>
          <xdr:cNvCxnSpPr/>
        </xdr:nvCxnSpPr>
        <xdr:spPr>
          <a:xfrm flipH="1">
            <a:off x="4869750" y="3699038"/>
            <a:ext cx="952500" cy="1619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21</xdr:row>
      <xdr:rowOff>104775</xdr:rowOff>
    </xdr:from>
    <xdr:ext cx="1000125" cy="2286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6958693" y="4894489"/>
          <a:ext cx="1000125" cy="228600"/>
          <a:chOff x="4850700" y="3670463"/>
          <a:chExt cx="990600" cy="219075"/>
        </a:xfrm>
      </xdr:grpSpPr>
      <xdr:cxnSp macro="">
        <xdr:nvCxnSpPr>
          <xdr:cNvPr id="51" name="Shape 51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/>
        </xdr:nvCxnSpPr>
        <xdr:spPr>
          <a:xfrm flipH="1">
            <a:off x="4850700" y="3670463"/>
            <a:ext cx="990600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22</xdr:row>
      <xdr:rowOff>142875</xdr:rowOff>
    </xdr:from>
    <xdr:ext cx="38100" cy="2667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6949168" y="5163911"/>
          <a:ext cx="38100" cy="266700"/>
          <a:chOff x="5346000" y="3646650"/>
          <a:chExt cx="0" cy="266700"/>
        </a:xfrm>
      </xdr:grpSpPr>
      <xdr:cxnSp macro="">
        <xdr:nvCxnSpPr>
          <xdr:cNvPr id="82" name="Shape 82">
            <a:extLst>
              <a:ext uri="{FF2B5EF4-FFF2-40B4-BE49-F238E27FC236}">
                <a16:creationId xmlns:a16="http://schemas.microsoft.com/office/drawing/2014/main" id="{00000000-0008-0000-0300-000052000000}"/>
              </a:ext>
            </a:extLst>
          </xdr:cNvPr>
          <xdr:cNvCxnSpPr/>
        </xdr:nvCxnSpPr>
        <xdr:spPr>
          <a:xfrm rot="10800000">
            <a:off x="5346000" y="3646650"/>
            <a:ext cx="0" cy="2667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23</xdr:row>
      <xdr:rowOff>171450</xdr:rowOff>
    </xdr:from>
    <xdr:ext cx="1047750" cy="2762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6939643" y="5423807"/>
          <a:ext cx="1047750" cy="276225"/>
          <a:chOff x="4845938" y="3722850"/>
          <a:chExt cx="1000125" cy="114300"/>
        </a:xfrm>
      </xdr:grpSpPr>
      <xdr:cxnSp macro="">
        <xdr:nvCxnSpPr>
          <xdr:cNvPr id="83" name="Shape 83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CxnSpPr/>
        </xdr:nvCxnSpPr>
        <xdr:spPr>
          <a:xfrm rot="10800000">
            <a:off x="4845938" y="3722850"/>
            <a:ext cx="1000125" cy="1143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495300</xdr:colOff>
      <xdr:row>24</xdr:row>
      <xdr:rowOff>104775</xdr:rowOff>
    </xdr:from>
    <xdr:ext cx="962025" cy="1905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6958693" y="5724525"/>
          <a:ext cx="962025" cy="190500"/>
          <a:chOff x="4869750" y="3689513"/>
          <a:chExt cx="952500" cy="180975"/>
        </a:xfrm>
      </xdr:grpSpPr>
      <xdr:cxnSp macro="">
        <xdr:nvCxnSpPr>
          <xdr:cNvPr id="84" name="Shape 84">
            <a:extLst>
              <a:ext uri="{FF2B5EF4-FFF2-40B4-BE49-F238E27FC236}">
                <a16:creationId xmlns:a16="http://schemas.microsoft.com/office/drawing/2014/main" id="{00000000-0008-0000-0300-000054000000}"/>
              </a:ext>
            </a:extLst>
          </xdr:cNvPr>
          <xdr:cNvCxnSpPr/>
        </xdr:nvCxnSpPr>
        <xdr:spPr>
          <a:xfrm flipH="1">
            <a:off x="4869750" y="3689513"/>
            <a:ext cx="952500" cy="1809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25</xdr:row>
      <xdr:rowOff>123825</xdr:rowOff>
    </xdr:from>
    <xdr:ext cx="981075" cy="1524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/>
      </xdr:nvGrpSpPr>
      <xdr:grpSpPr>
        <a:xfrm>
          <a:off x="6987268" y="5920468"/>
          <a:ext cx="981075" cy="152400"/>
          <a:chOff x="4860225" y="3708563"/>
          <a:chExt cx="971550" cy="142875"/>
        </a:xfrm>
      </xdr:grpSpPr>
      <xdr:cxnSp macro="">
        <xdr:nvCxnSpPr>
          <xdr:cNvPr id="85" name="Shape 85">
            <a:extLst>
              <a:ext uri="{FF2B5EF4-FFF2-40B4-BE49-F238E27FC236}">
                <a16:creationId xmlns:a16="http://schemas.microsoft.com/office/drawing/2014/main" id="{00000000-0008-0000-0300-000055000000}"/>
              </a:ext>
            </a:extLst>
          </xdr:cNvPr>
          <xdr:cNvCxnSpPr/>
        </xdr:nvCxnSpPr>
        <xdr:spPr>
          <a:xfrm rot="10800000">
            <a:off x="4860225" y="3708563"/>
            <a:ext cx="97155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26</xdr:row>
      <xdr:rowOff>104775</xdr:rowOff>
    </xdr:from>
    <xdr:ext cx="1000125" cy="17145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/>
      </xdr:nvGrpSpPr>
      <xdr:grpSpPr>
        <a:xfrm>
          <a:off x="6949168" y="6078311"/>
          <a:ext cx="1000125" cy="171450"/>
          <a:chOff x="4850700" y="3699038"/>
          <a:chExt cx="990600" cy="161925"/>
        </a:xfrm>
      </xdr:grpSpPr>
      <xdr:cxnSp macro="">
        <xdr:nvCxnSpPr>
          <xdr:cNvPr id="86" name="Shape 86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CxnSpPr/>
        </xdr:nvCxnSpPr>
        <xdr:spPr>
          <a:xfrm flipH="1">
            <a:off x="4850700" y="3699038"/>
            <a:ext cx="990600" cy="1619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523875</xdr:colOff>
      <xdr:row>27</xdr:row>
      <xdr:rowOff>114300</xdr:rowOff>
    </xdr:from>
    <xdr:ext cx="952500" cy="1524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6987268" y="6264729"/>
          <a:ext cx="952500" cy="152400"/>
          <a:chOff x="4879275" y="3708563"/>
          <a:chExt cx="933450" cy="142875"/>
        </a:xfrm>
      </xdr:grpSpPr>
      <xdr:cxnSp macro="">
        <xdr:nvCxnSpPr>
          <xdr:cNvPr id="87" name="Shape 87">
            <a:extLst>
              <a:ext uri="{FF2B5EF4-FFF2-40B4-BE49-F238E27FC236}">
                <a16:creationId xmlns:a16="http://schemas.microsoft.com/office/drawing/2014/main" id="{00000000-0008-0000-0300-000057000000}"/>
              </a:ext>
            </a:extLst>
          </xdr:cNvPr>
          <xdr:cNvCxnSpPr/>
        </xdr:nvCxnSpPr>
        <xdr:spPr>
          <a:xfrm rot="10800000">
            <a:off x="4879275" y="3708563"/>
            <a:ext cx="933450" cy="1428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504825</xdr:colOff>
      <xdr:row>28</xdr:row>
      <xdr:rowOff>104775</xdr:rowOff>
    </xdr:from>
    <xdr:ext cx="1038225" cy="180975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pSpPr/>
      </xdr:nvGrpSpPr>
      <xdr:grpSpPr>
        <a:xfrm>
          <a:off x="7961539" y="6432096"/>
          <a:ext cx="1038225" cy="180975"/>
          <a:chOff x="4836413" y="3694275"/>
          <a:chExt cx="1019175" cy="171450"/>
        </a:xfrm>
      </xdr:grpSpPr>
      <xdr:cxnSp macro="">
        <xdr:nvCxnSpPr>
          <xdr:cNvPr id="88" name="Shape 88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CxnSpPr/>
        </xdr:nvCxnSpPr>
        <xdr:spPr>
          <a:xfrm rot="10800000">
            <a:off x="4836413" y="3694275"/>
            <a:ext cx="1019175" cy="1714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485775</xdr:colOff>
      <xdr:row>29</xdr:row>
      <xdr:rowOff>95250</xdr:rowOff>
    </xdr:from>
    <xdr:ext cx="2076450" cy="200025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6949168" y="6599464"/>
          <a:ext cx="2076450" cy="200025"/>
          <a:chOff x="4312538" y="3684750"/>
          <a:chExt cx="2066925" cy="190500"/>
        </a:xfrm>
      </xdr:grpSpPr>
      <xdr:cxnSp macro="">
        <xdr:nvCxnSpPr>
          <xdr:cNvPr id="89" name="Shape 89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CxnSpPr/>
        </xdr:nvCxnSpPr>
        <xdr:spPr>
          <a:xfrm flipH="1">
            <a:off x="4312538" y="3684750"/>
            <a:ext cx="2066925" cy="1905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533400</xdr:colOff>
      <xdr:row>30</xdr:row>
      <xdr:rowOff>114300</xdr:rowOff>
    </xdr:from>
    <xdr:ext cx="2085975" cy="16192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/>
      </xdr:nvGrpSpPr>
      <xdr:grpSpPr>
        <a:xfrm>
          <a:off x="6996793" y="6795407"/>
          <a:ext cx="2085975" cy="161925"/>
          <a:chOff x="4307775" y="3703800"/>
          <a:chExt cx="2076450" cy="152400"/>
        </a:xfrm>
      </xdr:grpSpPr>
      <xdr:cxnSp macro="">
        <xdr:nvCxnSpPr>
          <xdr:cNvPr id="90" name="Shape 90">
            <a:extLst>
              <a:ext uri="{FF2B5EF4-FFF2-40B4-BE49-F238E27FC236}">
                <a16:creationId xmlns:a16="http://schemas.microsoft.com/office/drawing/2014/main" id="{00000000-0008-0000-0300-00005A000000}"/>
              </a:ext>
            </a:extLst>
          </xdr:cNvPr>
          <xdr:cNvCxnSpPr/>
        </xdr:nvCxnSpPr>
        <xdr:spPr>
          <a:xfrm rot="10800000">
            <a:off x="4307775" y="3703800"/>
            <a:ext cx="2076450" cy="1524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447675</xdr:colOff>
      <xdr:row>31</xdr:row>
      <xdr:rowOff>104775</xdr:rowOff>
    </xdr:from>
    <xdr:ext cx="2133600" cy="16192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6911068" y="6962775"/>
          <a:ext cx="2133600" cy="161925"/>
          <a:chOff x="4283963" y="3703800"/>
          <a:chExt cx="2124075" cy="152400"/>
        </a:xfrm>
      </xdr:grpSpPr>
      <xdr:cxnSp macro="">
        <xdr:nvCxnSpPr>
          <xdr:cNvPr id="91" name="Shape 91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CxnSpPr/>
        </xdr:nvCxnSpPr>
        <xdr:spPr>
          <a:xfrm flipH="1">
            <a:off x="4283963" y="3703800"/>
            <a:ext cx="2124075" cy="1524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533400</xdr:colOff>
      <xdr:row>33</xdr:row>
      <xdr:rowOff>95250</xdr:rowOff>
    </xdr:from>
    <xdr:ext cx="971550" cy="23812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pSpPr/>
      </xdr:nvGrpSpPr>
      <xdr:grpSpPr>
        <a:xfrm>
          <a:off x="6996793" y="7307036"/>
          <a:ext cx="971550" cy="238125"/>
          <a:chOff x="4864988" y="3670463"/>
          <a:chExt cx="962025" cy="219075"/>
        </a:xfrm>
      </xdr:grpSpPr>
      <xdr:cxnSp macro="">
        <xdr:nvCxnSpPr>
          <xdr:cNvPr id="93" name="Shape 93">
            <a:extLst>
              <a:ext uri="{FF2B5EF4-FFF2-40B4-BE49-F238E27FC236}">
                <a16:creationId xmlns:a16="http://schemas.microsoft.com/office/drawing/2014/main" id="{00000000-0008-0000-0300-00005D000000}"/>
              </a:ext>
            </a:extLst>
          </xdr:cNvPr>
          <xdr:cNvCxnSpPr/>
        </xdr:nvCxnSpPr>
        <xdr:spPr>
          <a:xfrm rot="10800000">
            <a:off x="4864988" y="3670463"/>
            <a:ext cx="962025" cy="2190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514350</xdr:colOff>
      <xdr:row>34</xdr:row>
      <xdr:rowOff>171450</xdr:rowOff>
    </xdr:from>
    <xdr:ext cx="38100" cy="38100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pSpPr/>
      </xdr:nvGrpSpPr>
      <xdr:grpSpPr>
        <a:xfrm>
          <a:off x="7971064" y="7560129"/>
          <a:ext cx="38100" cy="381000"/>
          <a:chOff x="5346000" y="3589500"/>
          <a:chExt cx="0" cy="381000"/>
        </a:xfrm>
      </xdr:grpSpPr>
      <xdr:cxnSp macro="">
        <xdr:nvCxnSpPr>
          <xdr:cNvPr id="94" name="Shape 94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CxnSpPr/>
        </xdr:nvCxnSpPr>
        <xdr:spPr>
          <a:xfrm rot="10800000">
            <a:off x="5346000" y="3589500"/>
            <a:ext cx="0" cy="38100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581025</xdr:colOff>
      <xdr:row>35</xdr:row>
      <xdr:rowOff>190500</xdr:rowOff>
    </xdr:from>
    <xdr:ext cx="2956832" cy="353786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/>
      </xdr:nvGrpSpPr>
      <xdr:grpSpPr>
        <a:xfrm>
          <a:off x="8037739" y="7946571"/>
          <a:ext cx="2956832" cy="353786"/>
          <a:chOff x="4393500" y="3603788"/>
          <a:chExt cx="1905000" cy="352425"/>
        </a:xfrm>
      </xdr:grpSpPr>
      <xdr:cxnSp macro="">
        <xdr:nvCxnSpPr>
          <xdr:cNvPr id="95" name="Shape 95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CxnSpPr/>
        </xdr:nvCxnSpPr>
        <xdr:spPr>
          <a:xfrm rot="10800000">
            <a:off x="4393500" y="3603788"/>
            <a:ext cx="1905000" cy="3524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647700</xdr:colOff>
      <xdr:row>36</xdr:row>
      <xdr:rowOff>176892</xdr:rowOff>
    </xdr:from>
    <xdr:ext cx="2876550" cy="375557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pSpPr/>
      </xdr:nvGrpSpPr>
      <xdr:grpSpPr>
        <a:xfrm>
          <a:off x="8104414" y="8300356"/>
          <a:ext cx="2876550" cy="375557"/>
          <a:chOff x="4431600" y="3594263"/>
          <a:chExt cx="1828800" cy="371475"/>
        </a:xfrm>
      </xdr:grpSpPr>
      <xdr:cxnSp macro="">
        <xdr:nvCxnSpPr>
          <xdr:cNvPr id="96" name="Shape 96">
            <a:extLst>
              <a:ext uri="{FF2B5EF4-FFF2-40B4-BE49-F238E27FC236}">
                <a16:creationId xmlns:a16="http://schemas.microsoft.com/office/drawing/2014/main" id="{00000000-0008-0000-0300-000060000000}"/>
              </a:ext>
            </a:extLst>
          </xdr:cNvPr>
          <xdr:cNvCxnSpPr/>
        </xdr:nvCxnSpPr>
        <xdr:spPr>
          <a:xfrm flipH="1">
            <a:off x="4431600" y="3594263"/>
            <a:ext cx="1828800" cy="37147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571500</xdr:colOff>
      <xdr:row>37</xdr:row>
      <xdr:rowOff>171450</xdr:rowOff>
    </xdr:from>
    <xdr:ext cx="1952625" cy="295275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pSpPr/>
      </xdr:nvGrpSpPr>
      <xdr:grpSpPr>
        <a:xfrm>
          <a:off x="8028214" y="8662307"/>
          <a:ext cx="1952625" cy="295275"/>
          <a:chOff x="4379213" y="3641888"/>
          <a:chExt cx="1933575" cy="276225"/>
        </a:xfrm>
      </xdr:grpSpPr>
      <xdr:cxnSp macro="">
        <xdr:nvCxnSpPr>
          <xdr:cNvPr id="97" name="Shape 97">
            <a:extLst>
              <a:ext uri="{FF2B5EF4-FFF2-40B4-BE49-F238E27FC236}">
                <a16:creationId xmlns:a16="http://schemas.microsoft.com/office/drawing/2014/main" id="{00000000-0008-0000-0300-000061000000}"/>
              </a:ext>
            </a:extLst>
          </xdr:cNvPr>
          <xdr:cNvCxnSpPr/>
        </xdr:nvCxnSpPr>
        <xdr:spPr>
          <a:xfrm rot="10800000">
            <a:off x="4379213" y="3641888"/>
            <a:ext cx="1933575" cy="276225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5</xdr:col>
      <xdr:colOff>485775</xdr:colOff>
      <xdr:row>32</xdr:row>
      <xdr:rowOff>104775</xdr:rowOff>
    </xdr:from>
    <xdr:to>
      <xdr:col>5</xdr:col>
      <xdr:colOff>495300</xdr:colOff>
      <xdr:row>33</xdr:row>
      <xdr:rowOff>85725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71223BF4-D3D3-C5E9-1E87-7FCEA812C663}"/>
            </a:ext>
          </a:extLst>
        </xdr:cNvPr>
        <xdr:cNvCxnSpPr/>
      </xdr:nvCxnSpPr>
      <xdr:spPr>
        <a:xfrm>
          <a:off x="6943725" y="7000875"/>
          <a:ext cx="9525" cy="1524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showGridLines="0" tabSelected="1" zoomScale="70" zoomScaleNormal="70" workbookViewId="0">
      <selection activeCell="A39" sqref="A39"/>
    </sheetView>
  </sheetViews>
  <sheetFormatPr baseColWidth="10" defaultColWidth="12.625" defaultRowHeight="15" customHeight="1"/>
  <cols>
    <col min="1" max="1" width="41.625" customWidth="1"/>
    <col min="2" max="2" width="8" customWidth="1"/>
    <col min="3" max="3" width="9.625" bestFit="1" customWidth="1"/>
    <col min="4" max="4" width="8.875" customWidth="1"/>
    <col min="5" max="5" width="4.75" customWidth="1"/>
    <col min="6" max="6" width="13" customWidth="1"/>
    <col min="7" max="7" width="14.125" customWidth="1"/>
    <col min="8" max="8" width="10.375" customWidth="1"/>
    <col min="9" max="9" width="12.875" customWidth="1"/>
    <col min="10" max="10" width="7.125" customWidth="1"/>
    <col min="11" max="11" width="52.5" customWidth="1"/>
    <col min="12" max="26" width="8.625" customWidth="1"/>
  </cols>
  <sheetData>
    <row r="1" spans="1:14" ht="19.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N1" s="1"/>
    </row>
    <row r="2" spans="1:14" ht="13.5" customHeight="1">
      <c r="N2" s="1"/>
    </row>
    <row r="3" spans="1:14" ht="13.5" customHeight="1">
      <c r="A3" s="2" t="s">
        <v>1</v>
      </c>
      <c r="B3" s="3"/>
      <c r="C3" s="3"/>
      <c r="D3" s="3"/>
      <c r="E3" s="3"/>
      <c r="G3" s="30" t="s">
        <v>2</v>
      </c>
      <c r="H3" s="31"/>
      <c r="I3" s="31"/>
      <c r="J3" s="31"/>
      <c r="K3" s="32"/>
      <c r="N3" s="1"/>
    </row>
    <row r="4" spans="1:14" ht="13.5" customHeight="1">
      <c r="A4" s="4" t="s">
        <v>3</v>
      </c>
      <c r="B4" s="4" t="s">
        <v>4</v>
      </c>
      <c r="C4" s="4"/>
      <c r="D4" s="4" t="s">
        <v>5</v>
      </c>
      <c r="E4" s="4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N4" s="1"/>
    </row>
    <row r="5" spans="1:14" ht="13.5" customHeight="1">
      <c r="A5" s="4" t="s">
        <v>12</v>
      </c>
      <c r="B5" s="4" t="s">
        <v>13</v>
      </c>
      <c r="C5" s="4"/>
      <c r="D5" s="4"/>
      <c r="E5" s="4"/>
      <c r="G5" s="6" t="s">
        <v>14</v>
      </c>
      <c r="H5" s="6" t="s">
        <v>15</v>
      </c>
      <c r="I5" s="6">
        <f>+COUNTA(F13:F39)</f>
        <v>12</v>
      </c>
      <c r="J5" s="7">
        <f t="shared" ref="J5:J9" si="0">IF(SUM($I$5:$I$9)=0,0,I5/SUM($I$5:$I$9))</f>
        <v>0.44444444444444442</v>
      </c>
      <c r="K5" s="8">
        <v>60</v>
      </c>
      <c r="N5" s="1"/>
    </row>
    <row r="6" spans="1:14" ht="13.5" customHeight="1">
      <c r="A6" s="9"/>
      <c r="B6" s="9"/>
      <c r="C6" s="9"/>
      <c r="D6" s="9"/>
      <c r="E6" s="9"/>
      <c r="G6" s="6" t="s">
        <v>16</v>
      </c>
      <c r="H6" s="6" t="s">
        <v>17</v>
      </c>
      <c r="I6" s="6">
        <f>+COUNTA(G13:G39)</f>
        <v>6</v>
      </c>
      <c r="J6" s="7">
        <f t="shared" si="0"/>
        <v>0.22222222222222221</v>
      </c>
      <c r="K6" s="8">
        <f>SUMIF(G13:G39,"➜",D13:D39)</f>
        <v>0</v>
      </c>
    </row>
    <row r="7" spans="1:14" ht="13.5" customHeight="1">
      <c r="A7" s="9"/>
      <c r="B7" s="9"/>
      <c r="C7" s="9"/>
      <c r="D7" s="9"/>
      <c r="E7" s="9"/>
      <c r="G7" s="6" t="s">
        <v>18</v>
      </c>
      <c r="H7" s="6" t="s">
        <v>19</v>
      </c>
      <c r="I7" s="6">
        <f>+COUNTA(H13:H39)</f>
        <v>6</v>
      </c>
      <c r="J7" s="7">
        <f t="shared" si="0"/>
        <v>0.22222222222222221</v>
      </c>
      <c r="K7" s="8">
        <f>SUMIF(H13:H39,"■",D13:D39)</f>
        <v>0</v>
      </c>
    </row>
    <row r="8" spans="1:14" ht="13.5" customHeight="1">
      <c r="A8" s="9"/>
      <c r="B8" s="9"/>
      <c r="C8" s="9"/>
      <c r="D8" s="9"/>
      <c r="E8" s="9"/>
      <c r="G8" s="6" t="s">
        <v>20</v>
      </c>
      <c r="H8" s="6" t="s">
        <v>21</v>
      </c>
      <c r="I8" s="6">
        <f>+COUNTA(I13:I39)</f>
        <v>2</v>
      </c>
      <c r="J8" s="7">
        <f t="shared" si="0"/>
        <v>7.407407407407407E-2</v>
      </c>
      <c r="K8" s="8">
        <f>SUMIF(I13:I39,"▼",D13:D39)</f>
        <v>0</v>
      </c>
    </row>
    <row r="9" spans="1:14" ht="13.5" customHeight="1">
      <c r="G9" s="6" t="s">
        <v>22</v>
      </c>
      <c r="H9" s="6" t="s">
        <v>23</v>
      </c>
      <c r="I9" s="6">
        <f>+COUNTA(J13:J39)</f>
        <v>1</v>
      </c>
      <c r="J9" s="7">
        <f t="shared" si="0"/>
        <v>3.7037037037037035E-2</v>
      </c>
      <c r="K9" s="8">
        <f>SUMIF(J13:J39,"◖",D13:D39)</f>
        <v>0</v>
      </c>
    </row>
    <row r="10" spans="1:14" ht="13.5" customHeight="1"/>
    <row r="11" spans="1:14" ht="21" customHeight="1">
      <c r="A11" s="33" t="s">
        <v>24</v>
      </c>
      <c r="B11" s="33" t="s">
        <v>142</v>
      </c>
      <c r="C11" s="35" t="s">
        <v>26</v>
      </c>
      <c r="D11" s="31"/>
      <c r="E11" s="32"/>
      <c r="F11" s="35" t="s">
        <v>8</v>
      </c>
      <c r="G11" s="31"/>
      <c r="H11" s="31"/>
      <c r="I11" s="31"/>
      <c r="J11" s="32"/>
      <c r="K11" s="33" t="s">
        <v>27</v>
      </c>
    </row>
    <row r="12" spans="1:14" ht="55.5" customHeight="1">
      <c r="A12" s="34"/>
      <c r="B12" s="34"/>
      <c r="C12" s="10" t="s">
        <v>28</v>
      </c>
      <c r="D12" s="10" t="s">
        <v>139</v>
      </c>
      <c r="E12" s="10" t="s">
        <v>29</v>
      </c>
      <c r="F12" s="10" t="s">
        <v>30</v>
      </c>
      <c r="G12" s="10" t="s">
        <v>31</v>
      </c>
      <c r="H12" s="10" t="s">
        <v>32</v>
      </c>
      <c r="I12" s="10" t="s">
        <v>33</v>
      </c>
      <c r="J12" s="10" t="s">
        <v>34</v>
      </c>
      <c r="K12" s="34"/>
    </row>
    <row r="13" spans="1:14" ht="16.5">
      <c r="A13" s="11" t="s">
        <v>35</v>
      </c>
      <c r="B13" s="12"/>
      <c r="C13" s="12"/>
      <c r="D13" s="12"/>
      <c r="E13" s="12"/>
      <c r="F13" s="13"/>
      <c r="G13" s="13"/>
      <c r="H13" s="13"/>
      <c r="I13" s="13" t="s">
        <v>21</v>
      </c>
      <c r="J13" s="13"/>
      <c r="K13" s="14" t="s">
        <v>36</v>
      </c>
    </row>
    <row r="14" spans="1:14" ht="16.5">
      <c r="A14" s="11" t="s">
        <v>37</v>
      </c>
      <c r="B14" s="12"/>
      <c r="C14" s="12"/>
      <c r="D14" s="12"/>
      <c r="E14" s="12"/>
      <c r="F14" s="13"/>
      <c r="G14" s="13"/>
      <c r="H14" s="13" t="s">
        <v>19</v>
      </c>
      <c r="I14" s="13"/>
      <c r="J14" s="13"/>
      <c r="K14" s="14" t="s">
        <v>38</v>
      </c>
    </row>
    <row r="15" spans="1:14" ht="16.5">
      <c r="A15" s="11" t="s">
        <v>39</v>
      </c>
      <c r="B15" s="11"/>
      <c r="C15" s="11"/>
      <c r="D15" s="11"/>
      <c r="E15" s="11"/>
      <c r="F15" s="11"/>
      <c r="G15" s="13" t="s">
        <v>17</v>
      </c>
      <c r="H15" s="11"/>
      <c r="I15" s="11"/>
      <c r="J15" s="11"/>
      <c r="K15" s="14" t="s">
        <v>40</v>
      </c>
    </row>
    <row r="16" spans="1:14" ht="28.5">
      <c r="A16" s="11" t="s">
        <v>41</v>
      </c>
      <c r="B16" s="20">
        <v>1385.6812933025403</v>
      </c>
      <c r="C16" s="12"/>
      <c r="D16" s="20"/>
      <c r="E16" s="12"/>
      <c r="F16" s="13" t="s">
        <v>15</v>
      </c>
      <c r="G16" s="13"/>
      <c r="H16" s="13"/>
      <c r="I16" s="13"/>
      <c r="J16" s="13"/>
      <c r="K16" s="14" t="s">
        <v>42</v>
      </c>
    </row>
    <row r="17" spans="1:15" ht="16.5">
      <c r="A17" s="11" t="s">
        <v>43</v>
      </c>
      <c r="B17" s="11"/>
      <c r="C17" s="11"/>
      <c r="D17" s="11"/>
      <c r="E17" s="11"/>
      <c r="F17" s="11"/>
      <c r="G17" s="13" t="s">
        <v>17</v>
      </c>
      <c r="H17" s="11"/>
      <c r="I17" s="11"/>
      <c r="J17" s="11"/>
      <c r="K17" s="14" t="s">
        <v>44</v>
      </c>
    </row>
    <row r="18" spans="1:15" ht="16.5">
      <c r="A18" s="11" t="s">
        <v>45</v>
      </c>
      <c r="B18" s="11"/>
      <c r="C18" s="11"/>
      <c r="D18" s="11"/>
      <c r="E18" s="11"/>
      <c r="F18" s="13" t="s">
        <v>15</v>
      </c>
      <c r="G18" s="13"/>
      <c r="H18" s="11"/>
      <c r="I18" s="11"/>
      <c r="J18" s="11"/>
      <c r="K18" s="14" t="s">
        <v>137</v>
      </c>
    </row>
    <row r="19" spans="1:15" ht="16.5">
      <c r="A19" s="11" t="s">
        <v>47</v>
      </c>
      <c r="B19" s="11"/>
      <c r="C19" s="11"/>
      <c r="D19" s="11"/>
      <c r="E19" s="11"/>
      <c r="F19" s="13"/>
      <c r="G19" s="13" t="s">
        <v>17</v>
      </c>
      <c r="H19" s="11"/>
      <c r="I19" s="11"/>
      <c r="J19" s="11"/>
      <c r="K19" s="14" t="s">
        <v>44</v>
      </c>
    </row>
    <row r="20" spans="1:15" ht="16.5">
      <c r="A20" s="11" t="s">
        <v>48</v>
      </c>
      <c r="B20" s="12">
        <v>750</v>
      </c>
      <c r="C20" s="12"/>
      <c r="D20" s="20"/>
      <c r="E20" s="12"/>
      <c r="F20" s="13" t="s">
        <v>15</v>
      </c>
      <c r="G20" s="13"/>
      <c r="H20" s="13"/>
      <c r="I20" s="13"/>
      <c r="J20" s="13"/>
      <c r="K20" s="14" t="s">
        <v>49</v>
      </c>
    </row>
    <row r="21" spans="1:15" ht="16.5">
      <c r="A21" s="11" t="s">
        <v>50</v>
      </c>
      <c r="B21" s="11"/>
      <c r="C21" s="11"/>
      <c r="D21" s="11"/>
      <c r="E21" s="11"/>
      <c r="F21" s="11"/>
      <c r="G21" s="13" t="s">
        <v>17</v>
      </c>
      <c r="H21" s="11"/>
      <c r="I21" s="11"/>
      <c r="J21" s="11"/>
      <c r="K21" s="14" t="s">
        <v>51</v>
      </c>
    </row>
    <row r="22" spans="1:15" ht="28.5">
      <c r="A22" s="11" t="s">
        <v>52</v>
      </c>
      <c r="B22" s="12">
        <v>168</v>
      </c>
      <c r="C22" s="12"/>
      <c r="D22" s="20"/>
      <c r="E22" s="12"/>
      <c r="F22" s="13" t="s">
        <v>15</v>
      </c>
      <c r="G22" s="13"/>
      <c r="H22" s="13"/>
      <c r="I22" s="13"/>
      <c r="J22" s="13"/>
      <c r="K22" s="14" t="s">
        <v>53</v>
      </c>
    </row>
    <row r="23" spans="1:15" ht="16.5">
      <c r="A23" s="11" t="s">
        <v>54</v>
      </c>
      <c r="B23" s="12"/>
      <c r="C23" s="12"/>
      <c r="D23" s="12"/>
      <c r="E23" s="12"/>
      <c r="F23" s="13"/>
      <c r="G23" s="13"/>
      <c r="H23" s="13" t="s">
        <v>19</v>
      </c>
      <c r="I23" s="13"/>
      <c r="J23" s="13"/>
      <c r="K23" s="14" t="s">
        <v>55</v>
      </c>
    </row>
    <row r="24" spans="1:15" ht="28.5">
      <c r="A24" s="11" t="s">
        <v>56</v>
      </c>
      <c r="B24" s="12">
        <v>100</v>
      </c>
      <c r="C24" s="12"/>
      <c r="D24" s="20"/>
      <c r="E24" s="12"/>
      <c r="F24" s="13" t="s">
        <v>15</v>
      </c>
      <c r="G24" s="13"/>
      <c r="H24" s="13"/>
      <c r="I24" s="13"/>
      <c r="J24" s="13"/>
      <c r="K24" s="15" t="s">
        <v>57</v>
      </c>
    </row>
    <row r="25" spans="1:15" ht="28.5">
      <c r="A25" s="11" t="s">
        <v>58</v>
      </c>
      <c r="B25" s="12"/>
      <c r="C25" s="12"/>
      <c r="D25" s="12"/>
      <c r="E25" s="12"/>
      <c r="F25" s="13" t="s">
        <v>15</v>
      </c>
      <c r="G25" s="13"/>
      <c r="H25" s="13"/>
      <c r="I25" s="13"/>
      <c r="J25" s="13"/>
      <c r="K25" s="15" t="s">
        <v>59</v>
      </c>
    </row>
    <row r="26" spans="1:15" ht="28.5">
      <c r="A26" s="11" t="s">
        <v>60</v>
      </c>
      <c r="B26" s="12"/>
      <c r="C26" s="12"/>
      <c r="D26" s="12"/>
      <c r="E26" s="12"/>
      <c r="F26" s="13" t="s">
        <v>15</v>
      </c>
      <c r="G26" s="13"/>
      <c r="H26" s="13"/>
      <c r="I26" s="13"/>
      <c r="J26" s="13"/>
      <c r="K26" s="15" t="s">
        <v>61</v>
      </c>
    </row>
    <row r="27" spans="1:15" ht="24" customHeight="1">
      <c r="A27" s="11" t="s">
        <v>62</v>
      </c>
      <c r="B27" s="12"/>
      <c r="C27" s="12"/>
      <c r="D27" s="12"/>
      <c r="E27" s="12"/>
      <c r="F27" s="13"/>
      <c r="G27" s="13"/>
      <c r="H27" s="13" t="s">
        <v>19</v>
      </c>
      <c r="I27" s="13"/>
      <c r="J27" s="13"/>
      <c r="K27" s="14" t="s">
        <v>63</v>
      </c>
    </row>
    <row r="28" spans="1:15" ht="16.5">
      <c r="A28" s="11" t="s">
        <v>64</v>
      </c>
      <c r="B28" s="12"/>
      <c r="C28" s="12"/>
      <c r="D28" s="12"/>
      <c r="E28" s="12"/>
      <c r="F28" s="13"/>
      <c r="G28" s="13"/>
      <c r="H28" s="13" t="s">
        <v>19</v>
      </c>
      <c r="I28" s="13"/>
      <c r="J28" s="13"/>
      <c r="K28" s="14" t="s">
        <v>65</v>
      </c>
    </row>
    <row r="29" spans="1:15" ht="16.5">
      <c r="A29" s="11" t="s">
        <v>66</v>
      </c>
      <c r="B29" s="12"/>
      <c r="C29" s="12"/>
      <c r="D29" s="12"/>
      <c r="E29" s="12"/>
      <c r="F29" s="13" t="s">
        <v>17</v>
      </c>
      <c r="G29" s="13"/>
      <c r="H29" s="13"/>
      <c r="I29" s="13"/>
      <c r="J29" s="13"/>
      <c r="K29" s="14" t="s">
        <v>67</v>
      </c>
    </row>
    <row r="30" spans="1:15" ht="16.5">
      <c r="A30" s="11" t="s">
        <v>68</v>
      </c>
      <c r="B30" s="12">
        <v>135</v>
      </c>
      <c r="C30" s="26"/>
      <c r="D30" s="20"/>
      <c r="E30" s="12"/>
      <c r="F30" s="13" t="s">
        <v>15</v>
      </c>
      <c r="G30" s="13"/>
      <c r="H30" s="13"/>
      <c r="I30" s="13"/>
      <c r="J30" s="13"/>
      <c r="K30" s="14" t="s">
        <v>69</v>
      </c>
    </row>
    <row r="31" spans="1:15" ht="28.5" customHeight="1">
      <c r="A31" s="11" t="s">
        <v>70</v>
      </c>
      <c r="B31" s="12">
        <v>135</v>
      </c>
      <c r="C31" s="26"/>
      <c r="D31" s="20"/>
      <c r="E31" s="12"/>
      <c r="F31" s="13" t="s">
        <v>15</v>
      </c>
      <c r="G31" s="13"/>
      <c r="H31" s="13"/>
      <c r="I31" s="13"/>
      <c r="J31" s="13"/>
      <c r="K31" s="14" t="s">
        <v>71</v>
      </c>
    </row>
    <row r="32" spans="1:15" ht="16.5">
      <c r="A32" s="11" t="s">
        <v>72</v>
      </c>
      <c r="B32" s="12"/>
      <c r="C32" s="12"/>
      <c r="D32" s="12"/>
      <c r="E32" s="12"/>
      <c r="F32" s="13"/>
      <c r="G32" s="13"/>
      <c r="H32" s="13" t="s">
        <v>19</v>
      </c>
      <c r="I32" s="13"/>
      <c r="J32" s="13"/>
      <c r="K32" s="14" t="s">
        <v>73</v>
      </c>
      <c r="O32" s="19"/>
    </row>
    <row r="33" spans="1:11" ht="16.5">
      <c r="A33" s="11" t="s">
        <v>74</v>
      </c>
      <c r="B33" s="12"/>
      <c r="C33" s="12"/>
      <c r="D33" s="12"/>
      <c r="E33" s="12"/>
      <c r="F33" s="13"/>
      <c r="G33" s="13"/>
      <c r="H33" s="13" t="s">
        <v>19</v>
      </c>
      <c r="I33" s="13"/>
      <c r="J33" s="13"/>
      <c r="K33" s="14" t="s">
        <v>75</v>
      </c>
    </row>
    <row r="34" spans="1:11" ht="16.5">
      <c r="A34" s="11" t="s">
        <v>76</v>
      </c>
      <c r="B34" s="12">
        <v>144</v>
      </c>
      <c r="C34" s="12"/>
      <c r="D34" s="20"/>
      <c r="E34" s="12"/>
      <c r="F34" s="13" t="s">
        <v>15</v>
      </c>
      <c r="G34" s="13"/>
      <c r="H34" s="13"/>
      <c r="I34" s="13"/>
      <c r="J34" s="13"/>
      <c r="K34" s="14" t="s">
        <v>77</v>
      </c>
    </row>
    <row r="35" spans="1:11" ht="16.5">
      <c r="A35" s="11" t="s">
        <v>78</v>
      </c>
      <c r="B35" s="12">
        <v>1440</v>
      </c>
      <c r="C35" s="12"/>
      <c r="D35" s="12"/>
      <c r="E35" s="12"/>
      <c r="F35" s="13" t="s">
        <v>15</v>
      </c>
      <c r="G35" s="13"/>
      <c r="H35" s="13"/>
      <c r="I35" s="13"/>
      <c r="J35" s="13"/>
      <c r="K35" s="14" t="s">
        <v>140</v>
      </c>
    </row>
    <row r="36" spans="1:11" ht="16.5">
      <c r="A36" s="11" t="s">
        <v>80</v>
      </c>
      <c r="B36" s="11"/>
      <c r="C36" s="11"/>
      <c r="D36" s="11"/>
      <c r="E36" s="11"/>
      <c r="F36" s="11"/>
      <c r="G36" s="13" t="s">
        <v>17</v>
      </c>
      <c r="H36" s="11"/>
      <c r="I36" s="11"/>
      <c r="J36" s="23"/>
      <c r="K36" s="14" t="s">
        <v>141</v>
      </c>
    </row>
    <row r="37" spans="1:11" ht="16.5">
      <c r="A37" s="11" t="s">
        <v>82</v>
      </c>
      <c r="B37" s="11"/>
      <c r="C37" s="11"/>
      <c r="D37" s="11"/>
      <c r="E37" s="11"/>
      <c r="G37" s="13"/>
      <c r="H37" s="11"/>
      <c r="I37" s="1"/>
      <c r="J37" s="25" t="s">
        <v>23</v>
      </c>
      <c r="K37" s="22"/>
    </row>
    <row r="38" spans="1:11" ht="16.5">
      <c r="A38" s="11" t="s">
        <v>83</v>
      </c>
      <c r="B38" s="11"/>
      <c r="C38" s="11"/>
      <c r="D38" s="11"/>
      <c r="E38" s="11"/>
      <c r="F38" s="11"/>
      <c r="G38" s="13" t="s">
        <v>17</v>
      </c>
      <c r="H38" s="11"/>
      <c r="I38" s="11"/>
      <c r="J38" s="24"/>
      <c r="K38" s="14" t="s">
        <v>84</v>
      </c>
    </row>
    <row r="39" spans="1:11" ht="13.5" customHeight="1">
      <c r="A39" s="11" t="s">
        <v>85</v>
      </c>
      <c r="B39" s="11"/>
      <c r="C39" s="11"/>
      <c r="D39" s="11"/>
      <c r="E39" s="11"/>
      <c r="F39" s="11"/>
      <c r="G39" s="13"/>
      <c r="H39" s="11"/>
      <c r="I39" s="13" t="s">
        <v>21</v>
      </c>
      <c r="J39" s="11"/>
      <c r="K39" s="14"/>
    </row>
    <row r="40" spans="1:11" ht="13.5" customHeight="1">
      <c r="A40" s="10" t="s">
        <v>86</v>
      </c>
      <c r="B40" s="21">
        <f>+B24</f>
        <v>100</v>
      </c>
      <c r="C40" s="21">
        <f>+SUM(C13:C30)+SUM(C32:C39)</f>
        <v>0</v>
      </c>
      <c r="D40" s="21">
        <f>+SUM(D13:D30)+SUM(D32:D39)</f>
        <v>0</v>
      </c>
      <c r="E40" s="21">
        <f t="shared" ref="B40:E40" si="1">SUM(E13:E34)</f>
        <v>0</v>
      </c>
      <c r="F40" s="10"/>
      <c r="G40" s="10"/>
      <c r="H40" s="10"/>
      <c r="I40" s="10"/>
      <c r="J40" s="10"/>
      <c r="K40" s="10"/>
    </row>
    <row r="41" spans="1:11" ht="13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3.5" customHeight="1"/>
    <row r="43" spans="1:11" ht="13.5" customHeight="1"/>
    <row r="44" spans="1:11" ht="13.5" customHeight="1"/>
    <row r="45" spans="1:11" ht="13.5" customHeight="1"/>
    <row r="46" spans="1:11" ht="13.5" customHeight="1"/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7">
    <mergeCell ref="A1:K1"/>
    <mergeCell ref="G3:K3"/>
    <mergeCell ref="A11:A12"/>
    <mergeCell ref="B11:B12"/>
    <mergeCell ref="C11:E11"/>
    <mergeCell ref="F11:J11"/>
    <mergeCell ref="K11:K1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topLeftCell="A3" zoomScale="70" zoomScaleNormal="70" workbookViewId="0">
      <selection activeCell="M25" sqref="M14:O25"/>
    </sheetView>
  </sheetViews>
  <sheetFormatPr baseColWidth="10" defaultColWidth="12.625" defaultRowHeight="15" customHeight="1"/>
  <cols>
    <col min="1" max="1" width="41.625" customWidth="1"/>
    <col min="2" max="2" width="8" customWidth="1"/>
    <col min="3" max="3" width="9.625" bestFit="1" customWidth="1"/>
    <col min="4" max="4" width="8.875" customWidth="1"/>
    <col min="5" max="5" width="4.75" customWidth="1"/>
    <col min="6" max="6" width="13" customWidth="1"/>
    <col min="7" max="7" width="14.125" customWidth="1"/>
    <col min="8" max="8" width="10.375" customWidth="1"/>
    <col min="9" max="9" width="12.875" customWidth="1"/>
    <col min="10" max="10" width="7.125" customWidth="1"/>
    <col min="11" max="11" width="52.5" customWidth="1"/>
    <col min="12" max="14" width="8.625" customWidth="1"/>
  </cols>
  <sheetData>
    <row r="1" spans="1:14" ht="19.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N1" s="1"/>
    </row>
    <row r="2" spans="1:14" ht="13.5" customHeight="1">
      <c r="N2" s="1"/>
    </row>
    <row r="3" spans="1:14" ht="13.5" customHeight="1">
      <c r="A3" s="2" t="s">
        <v>87</v>
      </c>
      <c r="B3" s="3"/>
      <c r="C3" s="3"/>
      <c r="D3" s="3"/>
      <c r="E3" s="3"/>
      <c r="G3" s="30" t="s">
        <v>2</v>
      </c>
      <c r="H3" s="31"/>
      <c r="I3" s="31"/>
      <c r="J3" s="31"/>
      <c r="K3" s="32"/>
      <c r="N3" s="1"/>
    </row>
    <row r="4" spans="1:14" ht="13.5" customHeight="1">
      <c r="A4" s="4" t="s">
        <v>3</v>
      </c>
      <c r="B4" s="4" t="s">
        <v>4</v>
      </c>
      <c r="C4" s="4"/>
      <c r="D4" s="4" t="s">
        <v>5</v>
      </c>
      <c r="E4" s="4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N4" s="1"/>
    </row>
    <row r="5" spans="1:14" ht="13.5" customHeight="1">
      <c r="A5" s="4" t="s">
        <v>12</v>
      </c>
      <c r="B5" s="4" t="s">
        <v>13</v>
      </c>
      <c r="C5" s="4"/>
      <c r="D5" s="4"/>
      <c r="E5" s="4"/>
      <c r="G5" s="6" t="s">
        <v>14</v>
      </c>
      <c r="H5" s="6" t="s">
        <v>15</v>
      </c>
      <c r="I5" s="6">
        <f>+COUNTA(F13:F40)</f>
        <v>13</v>
      </c>
      <c r="J5" s="7">
        <f t="shared" ref="J5:J9" si="0">IF(SUM($I$5:$I$9)=0,0,I5/SUM($I$5:$I$9))</f>
        <v>0.4642857142857143</v>
      </c>
      <c r="K5" s="8">
        <f>SUMIF(F13:F30,"●",D13:D30)+SUMIF(F32:F40,"●",D32:D40)</f>
        <v>0</v>
      </c>
      <c r="L5">
        <f>+K5/60</f>
        <v>0</v>
      </c>
      <c r="N5" s="1"/>
    </row>
    <row r="6" spans="1:14" ht="13.5" customHeight="1">
      <c r="A6" s="9"/>
      <c r="B6" s="9"/>
      <c r="C6" s="9"/>
      <c r="D6" s="9"/>
      <c r="E6" s="9"/>
      <c r="G6" s="6" t="s">
        <v>16</v>
      </c>
      <c r="H6" s="6" t="s">
        <v>17</v>
      </c>
      <c r="I6" s="6">
        <f>+COUNTA(G13:G40)</f>
        <v>6</v>
      </c>
      <c r="J6" s="7">
        <f t="shared" si="0"/>
        <v>0.21428571428571427</v>
      </c>
      <c r="K6" s="8">
        <f>SUMIF(G13:G40,"➜",D13:D40)</f>
        <v>0</v>
      </c>
    </row>
    <row r="7" spans="1:14" ht="13.5" customHeight="1">
      <c r="A7" s="9"/>
      <c r="B7" s="9"/>
      <c r="C7" s="9"/>
      <c r="D7" s="9"/>
      <c r="E7" s="9"/>
      <c r="G7" s="6" t="s">
        <v>18</v>
      </c>
      <c r="H7" s="6" t="s">
        <v>19</v>
      </c>
      <c r="I7" s="6">
        <f>+COUNTA(H13:H40)</f>
        <v>6</v>
      </c>
      <c r="J7" s="7">
        <f t="shared" si="0"/>
        <v>0.21428571428571427</v>
      </c>
      <c r="K7" s="8">
        <f>SUMIF(H13:H40,"■",D13:D40)</f>
        <v>0</v>
      </c>
    </row>
    <row r="8" spans="1:14" ht="13.5" customHeight="1">
      <c r="A8" s="9"/>
      <c r="B8" s="9"/>
      <c r="C8" s="9"/>
      <c r="D8" s="9"/>
      <c r="E8" s="9"/>
      <c r="G8" s="6" t="s">
        <v>20</v>
      </c>
      <c r="H8" s="6" t="s">
        <v>21</v>
      </c>
      <c r="I8" s="6">
        <f>+COUNTA(I13:I40)</f>
        <v>2</v>
      </c>
      <c r="J8" s="7">
        <f t="shared" si="0"/>
        <v>7.1428571428571425E-2</v>
      </c>
      <c r="K8" s="8">
        <f>SUMIF(I13:I40,"▼",D13:D40)</f>
        <v>0</v>
      </c>
    </row>
    <row r="9" spans="1:14" ht="13.5" customHeight="1">
      <c r="G9" s="6" t="s">
        <v>22</v>
      </c>
      <c r="H9" s="6" t="s">
        <v>23</v>
      </c>
      <c r="I9" s="6">
        <f>+COUNTA(J13:J40)</f>
        <v>1</v>
      </c>
      <c r="J9" s="7">
        <f t="shared" si="0"/>
        <v>3.5714285714285712E-2</v>
      </c>
      <c r="K9" s="8">
        <f>SUMIF(J13:J40,"◖",D13:D40)</f>
        <v>0</v>
      </c>
    </row>
    <row r="10" spans="1:14" ht="13.5" customHeight="1"/>
    <row r="11" spans="1:14" ht="21" customHeight="1">
      <c r="A11" s="33" t="s">
        <v>24</v>
      </c>
      <c r="B11" s="33" t="s">
        <v>138</v>
      </c>
      <c r="C11" s="35" t="s">
        <v>26</v>
      </c>
      <c r="D11" s="31"/>
      <c r="E11" s="32"/>
      <c r="F11" s="35" t="s">
        <v>8</v>
      </c>
      <c r="G11" s="31"/>
      <c r="H11" s="31"/>
      <c r="I11" s="31"/>
      <c r="J11" s="32"/>
      <c r="K11" s="33" t="s">
        <v>27</v>
      </c>
    </row>
    <row r="12" spans="1:14" ht="55.5" customHeight="1">
      <c r="A12" s="34"/>
      <c r="B12" s="34"/>
      <c r="C12" s="10" t="s">
        <v>28</v>
      </c>
      <c r="D12" s="10" t="s">
        <v>139</v>
      </c>
      <c r="E12" s="10" t="s">
        <v>29</v>
      </c>
      <c r="F12" s="10" t="s">
        <v>30</v>
      </c>
      <c r="G12" s="10" t="s">
        <v>31</v>
      </c>
      <c r="H12" s="10" t="s">
        <v>32</v>
      </c>
      <c r="I12" s="10" t="s">
        <v>33</v>
      </c>
      <c r="J12" s="10" t="s">
        <v>34</v>
      </c>
      <c r="K12" s="34"/>
    </row>
    <row r="13" spans="1:14" ht="16.5">
      <c r="A13" s="11" t="s">
        <v>35</v>
      </c>
      <c r="B13" s="12"/>
      <c r="C13" s="12"/>
      <c r="D13" s="12"/>
      <c r="E13" s="12"/>
      <c r="F13" s="13"/>
      <c r="G13" s="13"/>
      <c r="H13" s="13"/>
      <c r="I13" s="13" t="s">
        <v>21</v>
      </c>
      <c r="J13" s="13"/>
      <c r="K13" s="14" t="s">
        <v>36</v>
      </c>
    </row>
    <row r="14" spans="1:14" ht="16.5">
      <c r="A14" s="11" t="s">
        <v>37</v>
      </c>
      <c r="B14" s="12"/>
      <c r="C14" s="12"/>
      <c r="D14" s="12"/>
      <c r="E14" s="12"/>
      <c r="F14" s="13"/>
      <c r="G14" s="13"/>
      <c r="H14" s="13" t="s">
        <v>19</v>
      </c>
      <c r="I14" s="13"/>
      <c r="J14" s="13"/>
      <c r="K14" s="14" t="s">
        <v>38</v>
      </c>
    </row>
    <row r="15" spans="1:14" ht="16.5">
      <c r="A15" s="11" t="s">
        <v>39</v>
      </c>
      <c r="B15" s="11"/>
      <c r="C15" s="11"/>
      <c r="D15" s="11"/>
      <c r="E15" s="11"/>
      <c r="F15" s="11"/>
      <c r="G15" s="13" t="s">
        <v>17</v>
      </c>
      <c r="H15" s="11"/>
      <c r="I15" s="11"/>
      <c r="J15" s="11"/>
      <c r="K15" s="14" t="s">
        <v>40</v>
      </c>
    </row>
    <row r="16" spans="1:14" ht="28.5">
      <c r="A16" s="11" t="s">
        <v>41</v>
      </c>
      <c r="B16" s="20">
        <v>1385.6812933025403</v>
      </c>
      <c r="C16" s="12"/>
      <c r="D16" s="20"/>
      <c r="E16" s="12"/>
      <c r="F16" s="13" t="s">
        <v>15</v>
      </c>
      <c r="G16" s="13"/>
      <c r="H16" s="13"/>
      <c r="I16" s="13"/>
      <c r="J16" s="13"/>
      <c r="K16" s="14" t="s">
        <v>42</v>
      </c>
    </row>
    <row r="17" spans="1:11" ht="16.5">
      <c r="A17" s="11" t="s">
        <v>43</v>
      </c>
      <c r="B17" s="11"/>
      <c r="C17" s="11"/>
      <c r="D17" s="11"/>
      <c r="E17" s="11"/>
      <c r="F17" s="11"/>
      <c r="G17" s="13" t="s">
        <v>17</v>
      </c>
      <c r="H17" s="11"/>
      <c r="I17" s="11"/>
      <c r="J17" s="11"/>
      <c r="K17" s="14" t="s">
        <v>44</v>
      </c>
    </row>
    <row r="18" spans="1:11" ht="16.5">
      <c r="A18" s="11" t="s">
        <v>45</v>
      </c>
      <c r="B18" s="11"/>
      <c r="C18" s="11"/>
      <c r="D18" s="11"/>
      <c r="E18" s="11"/>
      <c r="F18" s="13" t="s">
        <v>15</v>
      </c>
      <c r="G18" s="13"/>
      <c r="H18" s="11"/>
      <c r="I18" s="11"/>
      <c r="J18" s="11"/>
      <c r="K18" s="14" t="s">
        <v>137</v>
      </c>
    </row>
    <row r="19" spans="1:11" ht="16.5">
      <c r="A19" s="11" t="s">
        <v>47</v>
      </c>
      <c r="B19" s="11"/>
      <c r="C19" s="11"/>
      <c r="D19" s="11"/>
      <c r="E19" s="11"/>
      <c r="F19" s="13"/>
      <c r="G19" s="13" t="s">
        <v>17</v>
      </c>
      <c r="H19" s="11"/>
      <c r="I19" s="11"/>
      <c r="J19" s="11"/>
      <c r="K19" s="14" t="s">
        <v>44</v>
      </c>
    </row>
    <row r="20" spans="1:11" ht="16.5">
      <c r="A20" s="11" t="s">
        <v>48</v>
      </c>
      <c r="B20" s="12">
        <v>750</v>
      </c>
      <c r="C20" s="12"/>
      <c r="D20" s="12"/>
      <c r="E20" s="12"/>
      <c r="F20" s="13" t="s">
        <v>15</v>
      </c>
      <c r="G20" s="13"/>
      <c r="H20" s="13"/>
      <c r="I20" s="13"/>
      <c r="J20" s="13"/>
      <c r="K20" s="14" t="s">
        <v>49</v>
      </c>
    </row>
    <row r="21" spans="1:11" ht="15.75" customHeight="1">
      <c r="A21" s="11" t="s">
        <v>50</v>
      </c>
      <c r="B21" s="11"/>
      <c r="C21" s="11"/>
      <c r="D21" s="11"/>
      <c r="E21" s="11"/>
      <c r="F21" s="11"/>
      <c r="G21" s="13" t="s">
        <v>17</v>
      </c>
      <c r="H21" s="11"/>
      <c r="I21" s="11"/>
      <c r="J21" s="11"/>
      <c r="K21" s="14" t="s">
        <v>51</v>
      </c>
    </row>
    <row r="22" spans="1:11" ht="28.5">
      <c r="A22" s="11" t="s">
        <v>52</v>
      </c>
      <c r="B22" s="12">
        <v>168</v>
      </c>
      <c r="C22" s="12"/>
      <c r="D22" s="12"/>
      <c r="E22" s="12"/>
      <c r="F22" s="13" t="s">
        <v>15</v>
      </c>
      <c r="G22" s="13"/>
      <c r="H22" s="13"/>
      <c r="I22" s="13"/>
      <c r="J22" s="13"/>
      <c r="K22" s="14" t="s">
        <v>53</v>
      </c>
    </row>
    <row r="23" spans="1:11" ht="16.5">
      <c r="A23" s="11" t="s">
        <v>88</v>
      </c>
      <c r="B23" s="12"/>
      <c r="C23" s="12"/>
      <c r="D23" s="12"/>
      <c r="E23" s="12"/>
      <c r="F23" s="13" t="s">
        <v>15</v>
      </c>
      <c r="G23" s="13"/>
      <c r="H23" s="13"/>
      <c r="I23" s="13"/>
      <c r="J23" s="13"/>
      <c r="K23" s="17" t="s">
        <v>89</v>
      </c>
    </row>
    <row r="24" spans="1:11" ht="15.75" customHeight="1">
      <c r="A24" s="11" t="s">
        <v>54</v>
      </c>
      <c r="B24" s="12"/>
      <c r="C24" s="12"/>
      <c r="D24" s="12"/>
      <c r="E24" s="12"/>
      <c r="F24" s="13"/>
      <c r="G24" s="13"/>
      <c r="H24" s="13" t="s">
        <v>19</v>
      </c>
      <c r="I24" s="13"/>
      <c r="J24" s="13"/>
      <c r="K24" s="14" t="s">
        <v>55</v>
      </c>
    </row>
    <row r="25" spans="1:11" ht="28.5">
      <c r="A25" s="11" t="s">
        <v>56</v>
      </c>
      <c r="B25" s="12">
        <v>100</v>
      </c>
      <c r="C25" s="12"/>
      <c r="D25" s="12"/>
      <c r="E25" s="12"/>
      <c r="F25" s="13" t="s">
        <v>15</v>
      </c>
      <c r="G25" s="13"/>
      <c r="H25" s="13"/>
      <c r="I25" s="13"/>
      <c r="J25" s="13"/>
      <c r="K25" s="15" t="s">
        <v>57</v>
      </c>
    </row>
    <row r="26" spans="1:11" ht="28.5">
      <c r="A26" s="11" t="s">
        <v>58</v>
      </c>
      <c r="B26" s="12"/>
      <c r="C26" s="12"/>
      <c r="D26" s="12"/>
      <c r="E26" s="12"/>
      <c r="F26" s="13" t="s">
        <v>15</v>
      </c>
      <c r="G26" s="13"/>
      <c r="H26" s="13"/>
      <c r="I26" s="13"/>
      <c r="J26" s="13"/>
      <c r="K26" s="15" t="s">
        <v>59</v>
      </c>
    </row>
    <row r="27" spans="1:11" ht="28.5">
      <c r="A27" s="11" t="s">
        <v>60</v>
      </c>
      <c r="B27" s="12"/>
      <c r="C27" s="12"/>
      <c r="D27" s="12"/>
      <c r="E27" s="12"/>
      <c r="F27" s="13" t="s">
        <v>15</v>
      </c>
      <c r="G27" s="13"/>
      <c r="H27" s="13"/>
      <c r="I27" s="13"/>
      <c r="J27" s="13"/>
      <c r="K27" s="15" t="s">
        <v>61</v>
      </c>
    </row>
    <row r="28" spans="1:11" ht="24" customHeight="1">
      <c r="A28" s="11" t="s">
        <v>62</v>
      </c>
      <c r="B28" s="12"/>
      <c r="C28" s="12"/>
      <c r="D28" s="12"/>
      <c r="E28" s="12"/>
      <c r="F28" s="13"/>
      <c r="G28" s="13"/>
      <c r="H28" s="13" t="s">
        <v>19</v>
      </c>
      <c r="I28" s="13"/>
      <c r="J28" s="13"/>
      <c r="K28" s="14" t="s">
        <v>63</v>
      </c>
    </row>
    <row r="29" spans="1:11" ht="15.75" customHeight="1">
      <c r="A29" s="11" t="s">
        <v>64</v>
      </c>
      <c r="B29" s="12"/>
      <c r="C29" s="12"/>
      <c r="D29" s="12"/>
      <c r="E29" s="12"/>
      <c r="F29" s="13"/>
      <c r="G29" s="13"/>
      <c r="H29" s="13" t="s">
        <v>19</v>
      </c>
      <c r="I29" s="13"/>
      <c r="J29" s="13"/>
      <c r="K29" s="14" t="s">
        <v>65</v>
      </c>
    </row>
    <row r="30" spans="1:11" ht="15.75" customHeight="1">
      <c r="A30" s="11" t="s">
        <v>66</v>
      </c>
      <c r="B30" s="12"/>
      <c r="C30" s="12"/>
      <c r="D30" s="12"/>
      <c r="E30" s="12"/>
      <c r="F30" s="13" t="s">
        <v>17</v>
      </c>
      <c r="G30" s="13"/>
      <c r="H30" s="13"/>
      <c r="I30" s="13"/>
      <c r="J30" s="13"/>
      <c r="K30" s="14" t="s">
        <v>67</v>
      </c>
    </row>
    <row r="31" spans="1:11" ht="15.75" customHeight="1">
      <c r="A31" s="11" t="s">
        <v>68</v>
      </c>
      <c r="B31" s="12">
        <v>135</v>
      </c>
      <c r="C31" s="26"/>
      <c r="D31" s="12"/>
      <c r="E31" s="12"/>
      <c r="F31" s="13" t="s">
        <v>15</v>
      </c>
      <c r="G31" s="13"/>
      <c r="H31" s="13"/>
      <c r="I31" s="13"/>
      <c r="J31" s="13"/>
      <c r="K31" s="14" t="s">
        <v>69</v>
      </c>
    </row>
    <row r="32" spans="1:11" ht="28.5" customHeight="1">
      <c r="A32" s="11" t="s">
        <v>70</v>
      </c>
      <c r="B32" s="12">
        <v>135</v>
      </c>
      <c r="C32" s="26"/>
      <c r="D32" s="12"/>
      <c r="E32" s="12"/>
      <c r="F32" s="13" t="s">
        <v>15</v>
      </c>
      <c r="G32" s="13"/>
      <c r="H32" s="13"/>
      <c r="I32" s="13"/>
      <c r="J32" s="13"/>
      <c r="K32" s="14" t="s">
        <v>71</v>
      </c>
    </row>
    <row r="33" spans="1:11" ht="15.75" customHeight="1">
      <c r="A33" s="11" t="s">
        <v>72</v>
      </c>
      <c r="B33" s="12"/>
      <c r="C33" s="12"/>
      <c r="D33" s="12"/>
      <c r="E33" s="12"/>
      <c r="F33" s="13"/>
      <c r="G33" s="13"/>
      <c r="H33" s="13" t="s">
        <v>19</v>
      </c>
      <c r="I33" s="13"/>
      <c r="J33" s="13"/>
      <c r="K33" s="14" t="s">
        <v>73</v>
      </c>
    </row>
    <row r="34" spans="1:11" ht="15.75" customHeight="1">
      <c r="A34" s="11" t="s">
        <v>74</v>
      </c>
      <c r="B34" s="12"/>
      <c r="C34" s="12"/>
      <c r="D34" s="12"/>
      <c r="E34" s="12"/>
      <c r="F34" s="13"/>
      <c r="G34" s="13"/>
      <c r="H34" s="13" t="s">
        <v>19</v>
      </c>
      <c r="I34" s="13"/>
      <c r="J34" s="13"/>
      <c r="K34" s="14" t="s">
        <v>75</v>
      </c>
    </row>
    <row r="35" spans="1:11" ht="15.75" customHeight="1">
      <c r="A35" s="11" t="s">
        <v>76</v>
      </c>
      <c r="B35" s="12">
        <v>144</v>
      </c>
      <c r="C35" s="12"/>
      <c r="D35" s="20"/>
      <c r="E35" s="12"/>
      <c r="F35" s="13" t="s">
        <v>15</v>
      </c>
      <c r="G35" s="13"/>
      <c r="H35" s="13"/>
      <c r="I35" s="13"/>
      <c r="J35" s="13"/>
      <c r="K35" s="14" t="s">
        <v>77</v>
      </c>
    </row>
    <row r="36" spans="1:11" ht="15.75" customHeight="1">
      <c r="A36" s="11" t="s">
        <v>78</v>
      </c>
      <c r="B36" s="12">
        <v>1440</v>
      </c>
      <c r="C36" s="12"/>
      <c r="D36" s="12"/>
      <c r="E36" s="12"/>
      <c r="F36" s="13" t="s">
        <v>15</v>
      </c>
      <c r="G36" s="13"/>
      <c r="H36" s="13"/>
      <c r="I36" s="13"/>
      <c r="J36" s="13"/>
      <c r="K36" s="14" t="s">
        <v>79</v>
      </c>
    </row>
    <row r="37" spans="1:11" ht="15.75" customHeight="1">
      <c r="A37" s="11" t="s">
        <v>80</v>
      </c>
      <c r="B37" s="11"/>
      <c r="C37" s="11"/>
      <c r="D37" s="11"/>
      <c r="E37" s="11"/>
      <c r="F37" s="11"/>
      <c r="G37" s="13" t="s">
        <v>17</v>
      </c>
      <c r="H37" s="11"/>
      <c r="I37" s="11"/>
      <c r="J37" s="23"/>
      <c r="K37" s="14" t="s">
        <v>81</v>
      </c>
    </row>
    <row r="38" spans="1:11" ht="15.75" customHeight="1">
      <c r="A38" s="11" t="s">
        <v>82</v>
      </c>
      <c r="B38" s="11"/>
      <c r="C38" s="11"/>
      <c r="D38" s="11"/>
      <c r="E38" s="11"/>
      <c r="G38" s="13"/>
      <c r="H38" s="11"/>
      <c r="I38" s="1"/>
      <c r="J38" s="25" t="s">
        <v>23</v>
      </c>
      <c r="K38" s="22"/>
    </row>
    <row r="39" spans="1:11" ht="15.75" customHeight="1">
      <c r="A39" s="11" t="s">
        <v>83</v>
      </c>
      <c r="B39" s="11"/>
      <c r="C39" s="11"/>
      <c r="D39" s="11"/>
      <c r="E39" s="11"/>
      <c r="F39" s="11"/>
      <c r="G39" s="13" t="s">
        <v>17</v>
      </c>
      <c r="H39" s="11"/>
      <c r="I39" s="11"/>
      <c r="J39" s="24"/>
      <c r="K39" s="14" t="s">
        <v>84</v>
      </c>
    </row>
    <row r="40" spans="1:11" ht="13.5" customHeight="1">
      <c r="A40" s="11" t="s">
        <v>85</v>
      </c>
      <c r="B40" s="11"/>
      <c r="C40" s="11"/>
      <c r="D40" s="11"/>
      <c r="E40" s="11"/>
      <c r="F40" s="11"/>
      <c r="G40" s="13"/>
      <c r="H40" s="11"/>
      <c r="I40" s="13" t="s">
        <v>21</v>
      </c>
      <c r="J40" s="11"/>
      <c r="K40" s="14"/>
    </row>
    <row r="41" spans="1:11" ht="13.5" customHeight="1">
      <c r="A41" s="18" t="s">
        <v>86</v>
      </c>
      <c r="B41" s="21" t="s">
        <v>6</v>
      </c>
      <c r="C41" s="21">
        <f t="shared" ref="B41:C41" si="1">+SUM(C13:C31)+SUM(C33:C40)</f>
        <v>0</v>
      </c>
      <c r="D41" s="21">
        <f>+SUM(D13:D31)+SUM(D33:D40)</f>
        <v>0</v>
      </c>
      <c r="E41" s="21">
        <f t="shared" ref="E41" si="2">SUM(E14:E35)</f>
        <v>0</v>
      </c>
      <c r="F41" s="35"/>
      <c r="G41" s="31"/>
      <c r="H41" s="31"/>
      <c r="I41" s="31"/>
      <c r="J41" s="32"/>
      <c r="K41" s="18"/>
    </row>
    <row r="42" spans="1:11" ht="13.5" customHeight="1"/>
    <row r="43" spans="1:11" ht="13.5" customHeight="1"/>
    <row r="44" spans="1:11" ht="13.5" customHeight="1"/>
    <row r="45" spans="1:11" ht="13.5" customHeight="1"/>
    <row r="46" spans="1:11" ht="15.75" customHeight="1"/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1:J41"/>
    <mergeCell ref="A1:K1"/>
    <mergeCell ref="G3:K3"/>
    <mergeCell ref="A11:A12"/>
    <mergeCell ref="B11:B12"/>
    <mergeCell ref="C11:E11"/>
    <mergeCell ref="F11:J11"/>
    <mergeCell ref="K11:K1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9"/>
  <sheetViews>
    <sheetView showGridLines="0" topLeftCell="A3" zoomScale="70" zoomScaleNormal="70" workbookViewId="0">
      <selection activeCell="M39" sqref="M25:S39"/>
    </sheetView>
  </sheetViews>
  <sheetFormatPr baseColWidth="10" defaultColWidth="12.625" defaultRowHeight="15" customHeight="1"/>
  <cols>
    <col min="1" max="1" width="46.75" customWidth="1"/>
    <col min="2" max="2" width="8" customWidth="1"/>
    <col min="3" max="5" width="10" customWidth="1"/>
    <col min="6" max="6" width="13" customWidth="1"/>
    <col min="7" max="7" width="14.125" customWidth="1"/>
    <col min="8" max="10" width="13" customWidth="1"/>
    <col min="11" max="11" width="49.25" bestFit="1" customWidth="1"/>
    <col min="12" max="25" width="8.625" customWidth="1"/>
  </cols>
  <sheetData>
    <row r="1" spans="1:12" ht="19.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2" ht="13.5" customHeight="1"/>
    <row r="3" spans="1:12" ht="13.5" customHeight="1">
      <c r="A3" s="2" t="s">
        <v>90</v>
      </c>
      <c r="B3" s="3"/>
      <c r="C3" s="3"/>
      <c r="D3" s="3"/>
      <c r="E3" s="3"/>
      <c r="G3" s="30" t="s">
        <v>2</v>
      </c>
      <c r="H3" s="31"/>
      <c r="I3" s="31"/>
      <c r="J3" s="31"/>
      <c r="K3" s="32"/>
    </row>
    <row r="4" spans="1:12" ht="13.5" customHeight="1">
      <c r="A4" s="4" t="s">
        <v>3</v>
      </c>
      <c r="B4" s="4" t="s">
        <v>4</v>
      </c>
      <c r="C4" s="4"/>
      <c r="D4" s="4" t="s">
        <v>5</v>
      </c>
      <c r="E4" s="4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2" ht="13.5" customHeight="1">
      <c r="A5" s="4" t="s">
        <v>12</v>
      </c>
      <c r="B5" s="4" t="s">
        <v>13</v>
      </c>
      <c r="C5" s="4"/>
      <c r="D5" s="4"/>
      <c r="E5" s="4"/>
      <c r="G5" s="6" t="s">
        <v>14</v>
      </c>
      <c r="H5" s="6" t="s">
        <v>15</v>
      </c>
      <c r="I5" s="6">
        <f>+COUNTA(F13:F42)</f>
        <v>13</v>
      </c>
      <c r="J5" s="7">
        <f t="shared" ref="J5:J9" si="0">IF(SUM($I$5:$I$9)=0,0,I5/SUM($I$5:$I$9))</f>
        <v>0.4642857142857143</v>
      </c>
      <c r="K5" s="8">
        <f>SUMIF(F13:F42,"●",D13:D42)</f>
        <v>0</v>
      </c>
      <c r="L5">
        <f>+K5/60</f>
        <v>0</v>
      </c>
    </row>
    <row r="6" spans="1:12" ht="13.5" customHeight="1">
      <c r="A6" s="9"/>
      <c r="B6" s="9"/>
      <c r="C6" s="9"/>
      <c r="D6" s="9"/>
      <c r="E6" s="9"/>
      <c r="G6" s="6" t="s">
        <v>16</v>
      </c>
      <c r="H6" s="6" t="s">
        <v>17</v>
      </c>
      <c r="I6" s="6">
        <f>+COUNTA(G13:G37)</f>
        <v>8</v>
      </c>
      <c r="J6" s="7">
        <f t="shared" si="0"/>
        <v>0.2857142857142857</v>
      </c>
      <c r="K6" s="8">
        <f>SUMIF(G13:G42,"➜",D13:D42)</f>
        <v>0</v>
      </c>
    </row>
    <row r="7" spans="1:12" ht="13.5" customHeight="1">
      <c r="A7" s="9"/>
      <c r="B7" s="9"/>
      <c r="C7" s="9"/>
      <c r="D7" s="9"/>
      <c r="E7" s="9"/>
      <c r="G7" s="6" t="s">
        <v>18</v>
      </c>
      <c r="H7" s="6" t="s">
        <v>19</v>
      </c>
      <c r="I7" s="6">
        <f>+COUNTA(H13:H42)</f>
        <v>4</v>
      </c>
      <c r="J7" s="7">
        <f t="shared" si="0"/>
        <v>0.14285714285714285</v>
      </c>
      <c r="K7" s="8">
        <f>SUMIF(H13:H42,"■",D13:D42)</f>
        <v>0</v>
      </c>
    </row>
    <row r="8" spans="1:12" ht="13.5" customHeight="1">
      <c r="A8" s="9"/>
      <c r="B8" s="9"/>
      <c r="C8" s="9"/>
      <c r="D8" s="9"/>
      <c r="E8" s="9"/>
      <c r="G8" s="6" t="s">
        <v>20</v>
      </c>
      <c r="H8" s="6" t="s">
        <v>21</v>
      </c>
      <c r="I8" s="6">
        <f>+COUNTA(I13:I42)</f>
        <v>2</v>
      </c>
      <c r="J8" s="7">
        <f t="shared" si="0"/>
        <v>7.1428571428571425E-2</v>
      </c>
      <c r="K8" s="8">
        <f>SUMIF(I13:I42,"▼",D13:D42)</f>
        <v>0</v>
      </c>
    </row>
    <row r="9" spans="1:12" ht="13.5" customHeight="1">
      <c r="G9" s="6" t="s">
        <v>22</v>
      </c>
      <c r="H9" s="6" t="s">
        <v>23</v>
      </c>
      <c r="I9" s="6">
        <f>+COUNTA(J13:J42)</f>
        <v>1</v>
      </c>
      <c r="J9" s="7">
        <f t="shared" si="0"/>
        <v>3.5714285714285712E-2</v>
      </c>
      <c r="K9" s="8">
        <f>SUMIF(J13:J42,"◖",D13:D42)</f>
        <v>0</v>
      </c>
    </row>
    <row r="10" spans="1:12" ht="13.5" customHeight="1"/>
    <row r="11" spans="1:12" ht="21" customHeight="1">
      <c r="A11" s="33" t="s">
        <v>24</v>
      </c>
      <c r="B11" s="33" t="s">
        <v>142</v>
      </c>
      <c r="C11" s="35" t="s">
        <v>26</v>
      </c>
      <c r="D11" s="31"/>
      <c r="E11" s="32"/>
      <c r="F11" s="35" t="s">
        <v>8</v>
      </c>
      <c r="G11" s="31"/>
      <c r="H11" s="31"/>
      <c r="I11" s="31"/>
      <c r="J11" s="32"/>
      <c r="K11" s="33" t="s">
        <v>27</v>
      </c>
    </row>
    <row r="12" spans="1:12" ht="45">
      <c r="A12" s="34"/>
      <c r="B12" s="34"/>
      <c r="C12" s="10" t="s">
        <v>28</v>
      </c>
      <c r="D12" s="10" t="s">
        <v>139</v>
      </c>
      <c r="E12" s="10" t="s">
        <v>29</v>
      </c>
      <c r="F12" s="10" t="s">
        <v>30</v>
      </c>
      <c r="G12" s="10" t="s">
        <v>31</v>
      </c>
      <c r="H12" s="10" t="s">
        <v>32</v>
      </c>
      <c r="I12" s="10" t="s">
        <v>33</v>
      </c>
      <c r="J12" s="10" t="s">
        <v>34</v>
      </c>
      <c r="K12" s="34"/>
    </row>
    <row r="13" spans="1:12" ht="18" customHeight="1">
      <c r="A13" s="11" t="s">
        <v>35</v>
      </c>
      <c r="B13" s="12"/>
      <c r="C13" s="12"/>
      <c r="D13" s="12"/>
      <c r="E13" s="12"/>
      <c r="F13" s="13"/>
      <c r="G13" s="13"/>
      <c r="H13" s="13"/>
      <c r="I13" s="13" t="s">
        <v>21</v>
      </c>
      <c r="J13" s="13"/>
      <c r="K13" s="14" t="s">
        <v>36</v>
      </c>
    </row>
    <row r="14" spans="1:12" ht="18" customHeight="1">
      <c r="A14" s="11" t="s">
        <v>37</v>
      </c>
      <c r="B14" s="12"/>
      <c r="C14" s="12"/>
      <c r="D14" s="12"/>
      <c r="E14" s="12"/>
      <c r="F14" s="13"/>
      <c r="G14" s="13"/>
      <c r="H14" s="13" t="s">
        <v>19</v>
      </c>
      <c r="I14" s="13"/>
      <c r="J14" s="13"/>
      <c r="K14" s="14" t="s">
        <v>38</v>
      </c>
    </row>
    <row r="15" spans="1:12" ht="18" customHeight="1">
      <c r="A15" s="11" t="s">
        <v>39</v>
      </c>
      <c r="B15" s="12"/>
      <c r="C15" s="11"/>
      <c r="D15" s="11"/>
      <c r="E15" s="11"/>
      <c r="F15" s="11"/>
      <c r="G15" s="13" t="s">
        <v>17</v>
      </c>
      <c r="H15" s="11"/>
      <c r="I15" s="11"/>
      <c r="J15" s="11"/>
      <c r="K15" s="14" t="s">
        <v>40</v>
      </c>
    </row>
    <row r="16" spans="1:12" ht="28.5">
      <c r="A16" s="11" t="s">
        <v>41</v>
      </c>
      <c r="B16" s="20">
        <v>2.8888888888888888</v>
      </c>
      <c r="C16" s="20"/>
      <c r="D16" s="20"/>
      <c r="E16" s="12"/>
      <c r="F16" s="13" t="s">
        <v>15</v>
      </c>
      <c r="G16" s="13"/>
      <c r="H16" s="13"/>
      <c r="I16" s="13"/>
      <c r="J16" s="13"/>
      <c r="K16" s="14" t="s">
        <v>42</v>
      </c>
    </row>
    <row r="17" spans="1:11" ht="18" customHeight="1">
      <c r="A17" s="11" t="s">
        <v>43</v>
      </c>
      <c r="B17" s="12"/>
      <c r="C17" s="11"/>
      <c r="D17" s="11"/>
      <c r="E17" s="11"/>
      <c r="F17" s="11"/>
      <c r="G17" s="13" t="s">
        <v>17</v>
      </c>
      <c r="H17" s="11"/>
      <c r="I17" s="11"/>
      <c r="J17" s="11"/>
      <c r="K17" s="14" t="s">
        <v>44</v>
      </c>
    </row>
    <row r="18" spans="1:11" ht="18" customHeight="1">
      <c r="A18" s="11" t="s">
        <v>45</v>
      </c>
      <c r="B18" s="12"/>
      <c r="C18" s="11"/>
      <c r="D18" s="11"/>
      <c r="E18" s="11"/>
      <c r="F18" s="13" t="s">
        <v>15</v>
      </c>
      <c r="G18" s="13"/>
      <c r="H18" s="11"/>
      <c r="I18" s="11"/>
      <c r="J18" s="11"/>
      <c r="K18" s="14" t="s">
        <v>137</v>
      </c>
    </row>
    <row r="19" spans="1:11" ht="18" customHeight="1">
      <c r="A19" s="11" t="s">
        <v>91</v>
      </c>
      <c r="B19" s="12"/>
      <c r="C19" s="11"/>
      <c r="D19" s="11"/>
      <c r="E19" s="11"/>
      <c r="F19" s="13"/>
      <c r="G19" s="13" t="s">
        <v>17</v>
      </c>
      <c r="H19" s="11"/>
      <c r="I19" s="11"/>
      <c r="J19" s="11"/>
      <c r="K19" s="14" t="s">
        <v>44</v>
      </c>
    </row>
    <row r="20" spans="1:11" ht="13.5" customHeight="1">
      <c r="A20" s="11" t="s">
        <v>92</v>
      </c>
      <c r="B20" s="12">
        <v>16</v>
      </c>
      <c r="C20" s="12"/>
      <c r="D20" s="12"/>
      <c r="E20" s="12"/>
      <c r="F20" s="13" t="s">
        <v>15</v>
      </c>
      <c r="G20" s="13"/>
      <c r="H20" s="13"/>
      <c r="I20" s="13"/>
      <c r="J20" s="13"/>
      <c r="K20" s="14" t="s">
        <v>93</v>
      </c>
    </row>
    <row r="21" spans="1:11" ht="13.5" customHeight="1">
      <c r="A21" s="11" t="s">
        <v>94</v>
      </c>
      <c r="B21" s="12"/>
      <c r="C21" s="12"/>
      <c r="D21" s="12"/>
      <c r="E21" s="12"/>
      <c r="F21" s="13"/>
      <c r="G21" s="13"/>
      <c r="H21" s="13" t="s">
        <v>19</v>
      </c>
      <c r="I21" s="13"/>
      <c r="J21" s="13"/>
      <c r="K21" s="14" t="s">
        <v>95</v>
      </c>
    </row>
    <row r="22" spans="1:11" ht="18" customHeight="1">
      <c r="A22" s="11" t="s">
        <v>96</v>
      </c>
      <c r="B22" s="12"/>
      <c r="C22" s="11"/>
      <c r="D22" s="11"/>
      <c r="E22" s="11"/>
      <c r="F22" s="11"/>
      <c r="G22" s="13" t="s">
        <v>17</v>
      </c>
      <c r="H22" s="11"/>
      <c r="I22" s="11"/>
      <c r="J22" s="11"/>
      <c r="K22" s="14" t="s">
        <v>97</v>
      </c>
    </row>
    <row r="23" spans="1:11" ht="18" customHeight="1">
      <c r="A23" s="11" t="s">
        <v>98</v>
      </c>
      <c r="B23" s="12">
        <v>50</v>
      </c>
      <c r="C23" s="12"/>
      <c r="D23" s="12"/>
      <c r="E23" s="11"/>
      <c r="F23" s="13" t="s">
        <v>15</v>
      </c>
      <c r="G23" s="13"/>
      <c r="H23" s="11"/>
      <c r="I23" s="11"/>
      <c r="J23" s="11"/>
      <c r="K23" s="14" t="s">
        <v>99</v>
      </c>
    </row>
    <row r="24" spans="1:11" ht="28.5">
      <c r="A24" s="11" t="s">
        <v>100</v>
      </c>
      <c r="B24" s="12">
        <v>50</v>
      </c>
      <c r="C24" s="12"/>
      <c r="D24" s="12"/>
      <c r="E24" s="12"/>
      <c r="F24" s="13" t="s">
        <v>15</v>
      </c>
      <c r="G24" s="13"/>
      <c r="H24" s="13"/>
      <c r="I24" s="13"/>
      <c r="J24" s="13"/>
      <c r="K24" s="14" t="s">
        <v>101</v>
      </c>
    </row>
    <row r="25" spans="1:11" ht="13.5" customHeight="1">
      <c r="A25" s="11" t="s">
        <v>102</v>
      </c>
      <c r="B25" s="12"/>
      <c r="C25" s="12"/>
      <c r="D25" s="12"/>
      <c r="E25" s="12"/>
      <c r="F25" s="13"/>
      <c r="G25" s="13" t="s">
        <v>17</v>
      </c>
      <c r="H25" s="13"/>
      <c r="I25" s="13"/>
      <c r="J25" s="13"/>
      <c r="K25" s="14" t="s">
        <v>103</v>
      </c>
    </row>
    <row r="26" spans="1:11" ht="13.5" customHeight="1">
      <c r="A26" s="11" t="s">
        <v>104</v>
      </c>
      <c r="B26" s="12">
        <v>120</v>
      </c>
      <c r="C26" s="12"/>
      <c r="D26" s="12"/>
      <c r="E26" s="12"/>
      <c r="F26" s="13" t="s">
        <v>15</v>
      </c>
      <c r="G26" s="13"/>
      <c r="H26" s="13"/>
      <c r="I26" s="13"/>
      <c r="J26" s="13"/>
      <c r="K26" s="14" t="s">
        <v>105</v>
      </c>
    </row>
    <row r="27" spans="1:11" ht="13.5" customHeight="1">
      <c r="A27" s="11" t="s">
        <v>106</v>
      </c>
      <c r="B27" s="12"/>
      <c r="C27" s="12"/>
      <c r="D27" s="12"/>
      <c r="E27" s="12"/>
      <c r="F27" s="13"/>
      <c r="G27" s="13" t="s">
        <v>17</v>
      </c>
      <c r="H27" s="13"/>
      <c r="I27" s="13"/>
      <c r="J27" s="13"/>
      <c r="K27" s="14" t="s">
        <v>103</v>
      </c>
    </row>
    <row r="28" spans="1:11" ht="13.5" customHeight="1">
      <c r="A28" s="11" t="s">
        <v>107</v>
      </c>
      <c r="B28" s="12">
        <v>110</v>
      </c>
      <c r="C28" s="12"/>
      <c r="D28" s="12"/>
      <c r="E28" s="12"/>
      <c r="F28" s="13" t="s">
        <v>15</v>
      </c>
      <c r="G28" s="13"/>
      <c r="H28" s="13"/>
      <c r="I28" s="13"/>
      <c r="J28" s="13"/>
      <c r="K28" s="14"/>
    </row>
    <row r="29" spans="1:11" ht="13.5" customHeight="1">
      <c r="A29" s="11" t="s">
        <v>108</v>
      </c>
      <c r="B29" s="12"/>
      <c r="C29" s="12"/>
      <c r="D29" s="12"/>
      <c r="E29" s="12"/>
      <c r="F29" s="13"/>
      <c r="G29" s="13" t="s">
        <v>17</v>
      </c>
      <c r="H29" s="13"/>
      <c r="I29" s="13"/>
      <c r="J29" s="13"/>
      <c r="K29" s="14" t="s">
        <v>109</v>
      </c>
    </row>
    <row r="30" spans="1:11" ht="27" customHeight="1">
      <c r="A30" s="11" t="s">
        <v>110</v>
      </c>
      <c r="B30" s="12">
        <v>20</v>
      </c>
      <c r="C30" s="12"/>
      <c r="D30" s="12"/>
      <c r="E30" s="12"/>
      <c r="F30" s="13" t="s">
        <v>15</v>
      </c>
      <c r="G30" s="13"/>
      <c r="H30" s="13"/>
      <c r="I30" s="13"/>
      <c r="J30" s="13"/>
      <c r="K30" s="14" t="s">
        <v>111</v>
      </c>
    </row>
    <row r="31" spans="1:11" ht="13.5" customHeight="1">
      <c r="A31" s="11" t="s">
        <v>112</v>
      </c>
      <c r="B31" s="12">
        <v>150</v>
      </c>
      <c r="C31" s="12"/>
      <c r="D31" s="12"/>
      <c r="E31" s="12"/>
      <c r="F31" s="13" t="s">
        <v>15</v>
      </c>
      <c r="G31" s="13"/>
      <c r="H31" s="13"/>
      <c r="I31" s="13"/>
      <c r="J31" s="13"/>
      <c r="K31" s="14"/>
    </row>
    <row r="32" spans="1:11" ht="13.5" customHeight="1">
      <c r="A32" s="11" t="s">
        <v>113</v>
      </c>
      <c r="B32" s="12"/>
      <c r="C32" s="12"/>
      <c r="D32" s="12"/>
      <c r="E32" s="12"/>
      <c r="F32" s="13"/>
      <c r="G32" s="13" t="s">
        <v>17</v>
      </c>
      <c r="H32" s="13"/>
      <c r="I32" s="13"/>
      <c r="J32" s="13"/>
      <c r="K32" s="14" t="s">
        <v>114</v>
      </c>
    </row>
    <row r="33" spans="1:11" ht="13.5" customHeight="1">
      <c r="A33" s="11" t="s">
        <v>115</v>
      </c>
      <c r="B33" s="12"/>
      <c r="C33" s="12"/>
      <c r="D33" s="12"/>
      <c r="E33" s="12"/>
      <c r="F33" s="13"/>
      <c r="G33" s="13"/>
      <c r="H33" s="13" t="s">
        <v>19</v>
      </c>
      <c r="I33" s="13"/>
      <c r="J33" s="13"/>
      <c r="K33" s="14" t="s">
        <v>116</v>
      </c>
    </row>
    <row r="34" spans="1:11" ht="13.5" customHeight="1">
      <c r="A34" s="11" t="s">
        <v>117</v>
      </c>
      <c r="B34" s="12">
        <v>120</v>
      </c>
      <c r="C34" s="12"/>
      <c r="D34" s="12"/>
      <c r="E34" s="12"/>
      <c r="F34" s="13" t="s">
        <v>15</v>
      </c>
      <c r="G34" s="13"/>
      <c r="H34" s="13"/>
      <c r="I34" s="13"/>
      <c r="J34" s="13"/>
      <c r="K34" s="14" t="s">
        <v>118</v>
      </c>
    </row>
    <row r="35" spans="1:11" ht="13.5" customHeight="1">
      <c r="A35" s="11" t="s">
        <v>70</v>
      </c>
      <c r="B35" s="12">
        <v>120</v>
      </c>
      <c r="C35" s="12"/>
      <c r="D35" s="12"/>
      <c r="E35" s="12"/>
      <c r="F35" s="13" t="s">
        <v>15</v>
      </c>
      <c r="G35" s="13"/>
      <c r="H35" s="13"/>
      <c r="I35" s="13"/>
      <c r="J35" s="13"/>
      <c r="K35" s="14" t="s">
        <v>119</v>
      </c>
    </row>
    <row r="36" spans="1:11" ht="13.5" customHeight="1">
      <c r="A36" s="11" t="s">
        <v>120</v>
      </c>
      <c r="B36" s="12"/>
      <c r="C36" s="12"/>
      <c r="D36" s="12"/>
      <c r="E36" s="12"/>
      <c r="F36" s="13"/>
      <c r="G36" s="13"/>
      <c r="H36" s="13" t="s">
        <v>19</v>
      </c>
      <c r="I36" s="13"/>
      <c r="J36" s="13"/>
      <c r="K36" s="14"/>
    </row>
    <row r="37" spans="1:11" ht="13.5" customHeight="1">
      <c r="A37" s="11" t="s">
        <v>76</v>
      </c>
      <c r="B37" s="12">
        <v>6</v>
      </c>
      <c r="C37" s="12"/>
      <c r="D37" s="12"/>
      <c r="E37" s="12"/>
      <c r="F37" s="13" t="s">
        <v>15</v>
      </c>
      <c r="G37" s="13"/>
      <c r="H37" s="13"/>
      <c r="I37" s="13"/>
      <c r="J37" s="13"/>
      <c r="K37" s="14" t="s">
        <v>121</v>
      </c>
    </row>
    <row r="38" spans="1:11" ht="13.5" customHeight="1">
      <c r="A38" s="11" t="s">
        <v>78</v>
      </c>
      <c r="B38" s="12">
        <v>24</v>
      </c>
      <c r="C38" s="12"/>
      <c r="D38" s="12"/>
      <c r="E38" s="12"/>
      <c r="F38" s="13" t="s">
        <v>15</v>
      </c>
      <c r="G38" s="13"/>
      <c r="H38" s="13"/>
      <c r="I38" s="13"/>
      <c r="J38" s="13"/>
      <c r="K38" s="14" t="s">
        <v>122</v>
      </c>
    </row>
    <row r="39" spans="1:11" ht="28.5" customHeight="1">
      <c r="A39" s="11" t="s">
        <v>80</v>
      </c>
      <c r="B39" s="12"/>
      <c r="C39" s="11"/>
      <c r="D39" s="11"/>
      <c r="E39" s="11"/>
      <c r="F39" s="11"/>
      <c r="G39" s="13" t="s">
        <v>17</v>
      </c>
      <c r="H39" s="11"/>
      <c r="I39" s="11"/>
      <c r="J39" s="23"/>
      <c r="K39" s="14" t="s">
        <v>81</v>
      </c>
    </row>
    <row r="40" spans="1:11" ht="28.5" customHeight="1">
      <c r="A40" s="11" t="s">
        <v>82</v>
      </c>
      <c r="B40" s="12"/>
      <c r="C40" s="11"/>
      <c r="D40" s="11"/>
      <c r="E40" s="11"/>
      <c r="F40" s="11"/>
      <c r="G40" s="13"/>
      <c r="H40" s="11"/>
      <c r="I40" s="1"/>
      <c r="J40" s="25" t="s">
        <v>23</v>
      </c>
      <c r="K40" s="22"/>
    </row>
    <row r="41" spans="1:11" ht="28.5" customHeight="1">
      <c r="A41" s="11" t="s">
        <v>83</v>
      </c>
      <c r="B41" s="12"/>
      <c r="C41" s="11"/>
      <c r="D41" s="11"/>
      <c r="E41" s="11"/>
      <c r="F41" s="11"/>
      <c r="G41" s="13" t="s">
        <v>17</v>
      </c>
      <c r="H41" s="11"/>
      <c r="I41" s="11"/>
      <c r="J41" s="24"/>
      <c r="K41" s="14" t="s">
        <v>84</v>
      </c>
    </row>
    <row r="42" spans="1:11" ht="13.5" customHeight="1">
      <c r="A42" s="11" t="s">
        <v>85</v>
      </c>
      <c r="B42" s="12"/>
      <c r="C42" s="11"/>
      <c r="D42" s="11"/>
      <c r="E42" s="11"/>
      <c r="F42" s="11"/>
      <c r="G42" s="13"/>
      <c r="H42" s="11"/>
      <c r="I42" s="13" t="s">
        <v>21</v>
      </c>
      <c r="J42" s="11"/>
      <c r="K42" s="14"/>
    </row>
    <row r="43" spans="1:11" ht="13.5" customHeight="1">
      <c r="A43" s="18" t="s">
        <v>86</v>
      </c>
      <c r="B43" s="21">
        <f>SUM(B13:B42)</f>
        <v>788.88888888888891</v>
      </c>
      <c r="C43" s="21">
        <f>SUM(C13:C42)</f>
        <v>0</v>
      </c>
      <c r="D43" s="21">
        <f>+SUM(D13:D23)+SUM(D25:D34)+SUM(D36:D42)</f>
        <v>0</v>
      </c>
      <c r="E43" s="21">
        <f t="shared" ref="E43" si="1">SUM(E16:E37)</f>
        <v>0</v>
      </c>
      <c r="F43" s="35"/>
      <c r="G43" s="31"/>
      <c r="H43" s="31"/>
      <c r="I43" s="31"/>
      <c r="J43" s="32"/>
      <c r="K43" s="18"/>
    </row>
    <row r="44" spans="1:11" ht="13.5" customHeight="1">
      <c r="D44">
        <f>+D43/60</f>
        <v>0</v>
      </c>
    </row>
    <row r="45" spans="1:11" ht="13.5" customHeight="1"/>
    <row r="46" spans="1:11" ht="13.5" customHeight="1"/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8">
    <mergeCell ref="F43:J43"/>
    <mergeCell ref="A1:K1"/>
    <mergeCell ref="G3:K3"/>
    <mergeCell ref="A11:A12"/>
    <mergeCell ref="B11:B12"/>
    <mergeCell ref="C11:E11"/>
    <mergeCell ref="F11:J11"/>
    <mergeCell ref="K11:K1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zoomScale="70" zoomScaleNormal="70" workbookViewId="0">
      <selection activeCell="N35" sqref="L29:N35"/>
    </sheetView>
  </sheetViews>
  <sheetFormatPr baseColWidth="10" defaultColWidth="12.625" defaultRowHeight="15" customHeight="1"/>
  <cols>
    <col min="1" max="1" width="46.75" customWidth="1"/>
    <col min="2" max="2" width="8" customWidth="1"/>
    <col min="3" max="5" width="10" customWidth="1"/>
    <col min="6" max="6" width="13" customWidth="1"/>
    <col min="7" max="7" width="14.125" customWidth="1"/>
    <col min="8" max="10" width="13" customWidth="1"/>
    <col min="11" max="11" width="51.125" customWidth="1"/>
    <col min="12" max="25" width="8.625" customWidth="1"/>
  </cols>
  <sheetData>
    <row r="1" spans="1:12" ht="19.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2" ht="13.5" customHeight="1"/>
    <row r="3" spans="1:12" ht="13.5" customHeight="1">
      <c r="A3" s="2" t="s">
        <v>123</v>
      </c>
      <c r="B3" s="3"/>
      <c r="C3" s="3"/>
      <c r="D3" s="3"/>
      <c r="E3" s="3"/>
      <c r="G3" s="30" t="s">
        <v>2</v>
      </c>
      <c r="H3" s="31"/>
      <c r="I3" s="31"/>
      <c r="J3" s="31"/>
      <c r="K3" s="32"/>
    </row>
    <row r="4" spans="1:12" ht="13.5" customHeight="1">
      <c r="A4" s="4" t="s">
        <v>3</v>
      </c>
      <c r="B4" s="4" t="s">
        <v>4</v>
      </c>
      <c r="C4" s="4"/>
      <c r="D4" s="4" t="s">
        <v>5</v>
      </c>
      <c r="E4" s="4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2" ht="13.5" customHeight="1">
      <c r="A5" s="4" t="s">
        <v>12</v>
      </c>
      <c r="B5" s="4" t="s">
        <v>13</v>
      </c>
      <c r="C5" s="4"/>
      <c r="D5" s="4"/>
      <c r="E5" s="4"/>
      <c r="G5" s="6" t="s">
        <v>14</v>
      </c>
      <c r="H5" s="6" t="s">
        <v>15</v>
      </c>
      <c r="I5" s="6">
        <f>+COUNTA(F13:F39)</f>
        <v>10</v>
      </c>
      <c r="J5" s="7">
        <f t="shared" ref="J5:J9" si="0">IF(SUM($I$5:$I$9)=0,0,I5/SUM($I$5:$I$9))</f>
        <v>0.37037037037037035</v>
      </c>
      <c r="K5" s="8">
        <f>SUMIF(F13:F39,"●",D13:D39)</f>
        <v>0</v>
      </c>
      <c r="L5">
        <f>+K5/60</f>
        <v>0</v>
      </c>
    </row>
    <row r="6" spans="1:12" ht="13.5" customHeight="1">
      <c r="A6" s="9"/>
      <c r="B6" s="9"/>
      <c r="C6" s="9"/>
      <c r="D6" s="9"/>
      <c r="E6" s="9"/>
      <c r="G6" s="6" t="s">
        <v>16</v>
      </c>
      <c r="H6" s="6" t="s">
        <v>17</v>
      </c>
      <c r="I6" s="6">
        <f>+COUNTA(G13:G39)</f>
        <v>10</v>
      </c>
      <c r="J6" s="7">
        <f t="shared" si="0"/>
        <v>0.37037037037037035</v>
      </c>
      <c r="K6" s="8">
        <f>SUMIF(G13:G39,"➜",D13:D39)</f>
        <v>0</v>
      </c>
    </row>
    <row r="7" spans="1:12" ht="13.5" customHeight="1">
      <c r="A7" s="9"/>
      <c r="B7" s="9"/>
      <c r="C7" s="9"/>
      <c r="D7" s="9"/>
      <c r="E7" s="9"/>
      <c r="G7" s="6" t="s">
        <v>18</v>
      </c>
      <c r="H7" s="6" t="s">
        <v>19</v>
      </c>
      <c r="I7" s="6">
        <f>+COUNTA(H13:H39)</f>
        <v>4</v>
      </c>
      <c r="J7" s="7">
        <f t="shared" si="0"/>
        <v>0.14814814814814814</v>
      </c>
      <c r="K7" s="8">
        <f>SUMIF(H13:H39,"■",D13:D39)</f>
        <v>0</v>
      </c>
    </row>
    <row r="8" spans="1:12" ht="13.5" customHeight="1">
      <c r="A8" s="9"/>
      <c r="B8" s="9"/>
      <c r="C8" s="9"/>
      <c r="D8" s="9"/>
      <c r="E8" s="9"/>
      <c r="G8" s="6" t="s">
        <v>20</v>
      </c>
      <c r="H8" s="6" t="s">
        <v>21</v>
      </c>
      <c r="I8" s="6">
        <f>+COUNTA(I13:I39)</f>
        <v>2</v>
      </c>
      <c r="J8" s="7">
        <f t="shared" si="0"/>
        <v>7.407407407407407E-2</v>
      </c>
      <c r="K8" s="8">
        <f>SUMIF(I13:I39,"▼",D13:D39)</f>
        <v>0</v>
      </c>
    </row>
    <row r="9" spans="1:12" ht="13.5" customHeight="1">
      <c r="G9" s="6" t="s">
        <v>22</v>
      </c>
      <c r="H9" s="6" t="s">
        <v>23</v>
      </c>
      <c r="I9" s="6">
        <f>+COUNTA(J13:J39)</f>
        <v>1</v>
      </c>
      <c r="J9" s="7">
        <f t="shared" si="0"/>
        <v>3.7037037037037035E-2</v>
      </c>
      <c r="K9" s="8">
        <f>SUMIF(J13:J39,"◖",D13:D39)</f>
        <v>0</v>
      </c>
    </row>
    <row r="10" spans="1:12" ht="13.5" customHeight="1"/>
    <row r="11" spans="1:12" ht="21" customHeight="1">
      <c r="A11" s="33" t="s">
        <v>24</v>
      </c>
      <c r="B11" s="33" t="s">
        <v>25</v>
      </c>
      <c r="C11" s="35" t="s">
        <v>26</v>
      </c>
      <c r="D11" s="31"/>
      <c r="E11" s="32"/>
      <c r="F11" s="35" t="s">
        <v>8</v>
      </c>
      <c r="G11" s="31"/>
      <c r="H11" s="31"/>
      <c r="I11" s="31"/>
      <c r="J11" s="32"/>
      <c r="K11" s="33" t="s">
        <v>27</v>
      </c>
    </row>
    <row r="12" spans="1:12" ht="45">
      <c r="A12" s="34"/>
      <c r="B12" s="34"/>
      <c r="C12" s="10" t="s">
        <v>28</v>
      </c>
      <c r="D12" s="10" t="s">
        <v>139</v>
      </c>
      <c r="E12" s="10" t="s">
        <v>29</v>
      </c>
      <c r="F12" s="10" t="s">
        <v>30</v>
      </c>
      <c r="G12" s="10" t="s">
        <v>31</v>
      </c>
      <c r="H12" s="10" t="s">
        <v>32</v>
      </c>
      <c r="I12" s="10" t="s">
        <v>33</v>
      </c>
      <c r="J12" s="10" t="s">
        <v>34</v>
      </c>
      <c r="K12" s="34"/>
    </row>
    <row r="13" spans="1:12" ht="18" customHeight="1">
      <c r="A13" s="11" t="s">
        <v>35</v>
      </c>
      <c r="B13" s="12"/>
      <c r="C13" s="12"/>
      <c r="D13" s="12"/>
      <c r="E13" s="12"/>
      <c r="F13" s="13"/>
      <c r="G13" s="13"/>
      <c r="H13" s="13"/>
      <c r="I13" s="13" t="s">
        <v>21</v>
      </c>
      <c r="J13" s="13"/>
      <c r="K13" s="14" t="s">
        <v>36</v>
      </c>
    </row>
    <row r="14" spans="1:12" ht="18" customHeight="1">
      <c r="A14" s="11" t="s">
        <v>37</v>
      </c>
      <c r="B14" s="12"/>
      <c r="C14" s="12"/>
      <c r="D14" s="12"/>
      <c r="E14" s="12"/>
      <c r="F14" s="13"/>
      <c r="G14" s="13"/>
      <c r="H14" s="13" t="s">
        <v>19</v>
      </c>
      <c r="I14" s="13"/>
      <c r="J14" s="13"/>
      <c r="K14" s="14" t="s">
        <v>38</v>
      </c>
    </row>
    <row r="15" spans="1:12" ht="18" customHeight="1">
      <c r="A15" s="11" t="s">
        <v>39</v>
      </c>
      <c r="B15" s="11"/>
      <c r="C15" s="11"/>
      <c r="D15" s="11"/>
      <c r="E15" s="11"/>
      <c r="F15" s="11"/>
      <c r="G15" s="13" t="s">
        <v>17</v>
      </c>
      <c r="H15" s="11"/>
      <c r="I15" s="11"/>
      <c r="J15" s="11"/>
      <c r="K15" s="14" t="s">
        <v>124</v>
      </c>
    </row>
    <row r="16" spans="1:12" ht="28.5">
      <c r="A16" s="11" t="s">
        <v>41</v>
      </c>
      <c r="B16" s="20">
        <v>2.8888888888888888</v>
      </c>
      <c r="C16" s="20"/>
      <c r="D16" s="20"/>
      <c r="E16" s="12"/>
      <c r="F16" s="13" t="s">
        <v>15</v>
      </c>
      <c r="G16" s="13"/>
      <c r="H16" s="13"/>
      <c r="I16" s="13"/>
      <c r="J16" s="13"/>
      <c r="K16" s="14" t="s">
        <v>42</v>
      </c>
    </row>
    <row r="17" spans="1:11" ht="18" customHeight="1">
      <c r="A17" s="11" t="s">
        <v>43</v>
      </c>
      <c r="B17" s="12"/>
      <c r="C17" s="12"/>
      <c r="D17" s="12"/>
      <c r="E17" s="11"/>
      <c r="F17" s="11"/>
      <c r="G17" s="13" t="s">
        <v>17</v>
      </c>
      <c r="H17" s="11"/>
      <c r="I17" s="11"/>
      <c r="J17" s="11"/>
      <c r="K17" s="14" t="s">
        <v>125</v>
      </c>
    </row>
    <row r="18" spans="1:11" ht="18" customHeight="1">
      <c r="A18" s="11" t="s">
        <v>45</v>
      </c>
      <c r="B18" s="12"/>
      <c r="C18" s="12"/>
      <c r="D18" s="12"/>
      <c r="E18" s="11"/>
      <c r="F18" s="13" t="s">
        <v>15</v>
      </c>
      <c r="G18" s="13"/>
      <c r="H18" s="11"/>
      <c r="I18" s="11"/>
      <c r="J18" s="11"/>
      <c r="K18" s="14" t="s">
        <v>46</v>
      </c>
    </row>
    <row r="19" spans="1:11" ht="18" customHeight="1">
      <c r="A19" s="11" t="s">
        <v>47</v>
      </c>
      <c r="B19" s="12"/>
      <c r="C19" s="12"/>
      <c r="D19" s="12"/>
      <c r="E19" s="11"/>
      <c r="F19" s="13"/>
      <c r="G19" s="13" t="s">
        <v>17</v>
      </c>
      <c r="H19" s="11"/>
      <c r="I19" s="11"/>
      <c r="J19" s="11"/>
      <c r="K19" s="14" t="s">
        <v>125</v>
      </c>
    </row>
    <row r="20" spans="1:11" ht="13.5" customHeight="1">
      <c r="A20" s="11" t="s">
        <v>92</v>
      </c>
      <c r="B20" s="20">
        <v>16</v>
      </c>
      <c r="C20" s="12"/>
      <c r="D20" s="12"/>
      <c r="E20" s="12"/>
      <c r="F20" s="13" t="s">
        <v>15</v>
      </c>
      <c r="G20" s="13"/>
      <c r="H20" s="13"/>
      <c r="I20" s="13"/>
      <c r="J20" s="13"/>
      <c r="K20" s="14" t="s">
        <v>93</v>
      </c>
    </row>
    <row r="21" spans="1:11" ht="13.5" customHeight="1">
      <c r="A21" s="11" t="s">
        <v>126</v>
      </c>
      <c r="B21" s="12"/>
      <c r="C21" s="12"/>
      <c r="D21" s="12"/>
      <c r="E21" s="12"/>
      <c r="F21" s="13"/>
      <c r="G21" s="13"/>
      <c r="H21" s="13" t="s">
        <v>19</v>
      </c>
      <c r="I21" s="13"/>
      <c r="J21" s="13"/>
      <c r="K21" s="14" t="s">
        <v>95</v>
      </c>
    </row>
    <row r="22" spans="1:11" ht="18" customHeight="1">
      <c r="A22" s="11" t="s">
        <v>96</v>
      </c>
      <c r="B22" s="12"/>
      <c r="C22" s="12"/>
      <c r="D22" s="12"/>
      <c r="E22" s="11"/>
      <c r="F22" s="11"/>
      <c r="G22" s="13" t="s">
        <v>17</v>
      </c>
      <c r="H22" s="11"/>
      <c r="I22" s="11"/>
      <c r="J22" s="11"/>
      <c r="K22" s="14" t="s">
        <v>127</v>
      </c>
    </row>
    <row r="23" spans="1:11" ht="18" customHeight="1">
      <c r="A23" s="11" t="s">
        <v>98</v>
      </c>
      <c r="B23" s="20">
        <v>50</v>
      </c>
      <c r="C23" s="12"/>
      <c r="D23" s="12"/>
      <c r="E23" s="11"/>
      <c r="F23" s="13" t="s">
        <v>15</v>
      </c>
      <c r="G23" s="13"/>
      <c r="H23" s="11"/>
      <c r="I23" s="11"/>
      <c r="J23" s="11"/>
      <c r="K23" s="14" t="s">
        <v>99</v>
      </c>
    </row>
    <row r="24" spans="1:11" ht="28.5">
      <c r="A24" s="11" t="s">
        <v>100</v>
      </c>
      <c r="B24" s="20">
        <v>50</v>
      </c>
      <c r="C24" s="12"/>
      <c r="D24" s="12"/>
      <c r="E24" s="12"/>
      <c r="F24" s="13" t="s">
        <v>15</v>
      </c>
      <c r="G24" s="13"/>
      <c r="H24" s="13"/>
      <c r="I24" s="13"/>
      <c r="J24" s="13"/>
      <c r="K24" s="14" t="s">
        <v>101</v>
      </c>
    </row>
    <row r="25" spans="1:11" ht="13.5" customHeight="1">
      <c r="A25" s="11" t="s">
        <v>128</v>
      </c>
      <c r="B25" s="12"/>
      <c r="C25" s="12"/>
      <c r="D25" s="12"/>
      <c r="E25" s="12"/>
      <c r="F25" s="13"/>
      <c r="G25" s="13" t="s">
        <v>17</v>
      </c>
      <c r="H25" s="13"/>
      <c r="I25" s="13"/>
      <c r="J25" s="13"/>
      <c r="K25" s="14" t="s">
        <v>129</v>
      </c>
    </row>
    <row r="26" spans="1:11" ht="13.5" customHeight="1">
      <c r="A26" s="11" t="s">
        <v>107</v>
      </c>
      <c r="B26" s="20">
        <v>110</v>
      </c>
      <c r="C26" s="12"/>
      <c r="D26" s="12"/>
      <c r="E26" s="12"/>
      <c r="F26" s="13" t="s">
        <v>15</v>
      </c>
      <c r="G26" s="13"/>
      <c r="H26" s="13"/>
      <c r="I26" s="13"/>
      <c r="J26" s="13"/>
      <c r="K26" s="14"/>
    </row>
    <row r="27" spans="1:11" ht="13.5" customHeight="1">
      <c r="A27" s="11" t="s">
        <v>108</v>
      </c>
      <c r="B27" s="12"/>
      <c r="C27" s="12"/>
      <c r="D27" s="12"/>
      <c r="E27" s="12"/>
      <c r="F27" s="13"/>
      <c r="G27" s="13" t="s">
        <v>17</v>
      </c>
      <c r="H27" s="13"/>
      <c r="I27" s="13"/>
      <c r="J27" s="13"/>
      <c r="K27" s="14" t="s">
        <v>130</v>
      </c>
    </row>
    <row r="28" spans="1:11" ht="13.5" customHeight="1">
      <c r="A28" s="11" t="s">
        <v>112</v>
      </c>
      <c r="B28" s="20">
        <v>20</v>
      </c>
      <c r="C28" s="12"/>
      <c r="D28" s="12"/>
      <c r="E28" s="12"/>
      <c r="F28" s="13" t="s">
        <v>15</v>
      </c>
      <c r="G28" s="13"/>
      <c r="H28" s="13"/>
      <c r="I28" s="13"/>
      <c r="J28" s="13"/>
      <c r="K28" s="14"/>
    </row>
    <row r="29" spans="1:11" ht="13.5" customHeight="1">
      <c r="A29" s="11" t="s">
        <v>113</v>
      </c>
      <c r="B29" s="20">
        <v>150</v>
      </c>
      <c r="C29" s="12"/>
      <c r="D29" s="12"/>
      <c r="E29" s="12"/>
      <c r="F29" s="13"/>
      <c r="G29" s="13" t="s">
        <v>17</v>
      </c>
      <c r="H29" s="13"/>
      <c r="I29" s="13"/>
      <c r="J29" s="13"/>
      <c r="K29" s="14" t="s">
        <v>131</v>
      </c>
    </row>
    <row r="30" spans="1:11" ht="13.5" customHeight="1">
      <c r="A30" s="11" t="s">
        <v>115</v>
      </c>
      <c r="B30" s="12"/>
      <c r="C30" s="12"/>
      <c r="D30" s="12"/>
      <c r="E30" s="12"/>
      <c r="F30" s="13"/>
      <c r="G30" s="13"/>
      <c r="H30" s="13" t="s">
        <v>19</v>
      </c>
      <c r="I30" s="13"/>
      <c r="J30" s="13"/>
      <c r="K30" s="14" t="s">
        <v>132</v>
      </c>
    </row>
    <row r="31" spans="1:11" ht="13.5" customHeight="1">
      <c r="A31" s="11" t="s">
        <v>70</v>
      </c>
      <c r="B31" s="20">
        <v>100</v>
      </c>
      <c r="C31" s="12"/>
      <c r="D31" s="12"/>
      <c r="E31" s="12"/>
      <c r="F31" s="13" t="s">
        <v>15</v>
      </c>
      <c r="G31" s="13"/>
      <c r="H31" s="13"/>
      <c r="I31" s="13"/>
      <c r="J31" s="13"/>
      <c r="K31" s="14" t="s">
        <v>119</v>
      </c>
    </row>
    <row r="32" spans="1:11" ht="13.5" customHeight="1">
      <c r="A32" s="11" t="s">
        <v>120</v>
      </c>
      <c r="B32" s="12"/>
      <c r="C32" s="12"/>
      <c r="D32" s="12"/>
      <c r="E32" s="12"/>
      <c r="F32" s="13"/>
      <c r="G32" s="13"/>
      <c r="H32" s="13" t="s">
        <v>19</v>
      </c>
      <c r="I32" s="13"/>
      <c r="J32" s="13"/>
      <c r="K32" s="14"/>
    </row>
    <row r="33" spans="1:11" ht="13.5" customHeight="1">
      <c r="A33" s="11" t="s">
        <v>76</v>
      </c>
      <c r="B33" s="20">
        <v>15</v>
      </c>
      <c r="C33" s="12"/>
      <c r="D33" s="12"/>
      <c r="E33" s="12"/>
      <c r="F33" s="13" t="s">
        <v>15</v>
      </c>
      <c r="G33" s="13"/>
      <c r="H33" s="13"/>
      <c r="I33" s="13"/>
      <c r="J33" s="13"/>
      <c r="K33" s="14" t="s">
        <v>121</v>
      </c>
    </row>
    <row r="34" spans="1:11" ht="13.5" customHeight="1">
      <c r="A34" s="11" t="s">
        <v>78</v>
      </c>
      <c r="B34" s="20">
        <v>24</v>
      </c>
      <c r="C34" s="12"/>
      <c r="D34" s="12"/>
      <c r="E34" s="12"/>
      <c r="F34" s="13" t="s">
        <v>15</v>
      </c>
      <c r="G34" s="13"/>
      <c r="H34" s="13"/>
      <c r="I34" s="13"/>
      <c r="J34" s="13"/>
      <c r="K34" s="14" t="s">
        <v>122</v>
      </c>
    </row>
    <row r="35" spans="1:11" ht="28.5" customHeight="1">
      <c r="A35" s="11" t="s">
        <v>133</v>
      </c>
      <c r="B35" s="12"/>
      <c r="C35" s="12"/>
      <c r="D35" s="12"/>
      <c r="E35" s="11"/>
      <c r="F35" s="11"/>
      <c r="G35" s="13" t="s">
        <v>17</v>
      </c>
      <c r="H35" s="11"/>
      <c r="I35" s="11"/>
      <c r="J35" s="11"/>
      <c r="K35" s="14" t="s">
        <v>134</v>
      </c>
    </row>
    <row r="36" spans="1:11" ht="28.5" customHeight="1">
      <c r="A36" s="11" t="s">
        <v>80</v>
      </c>
      <c r="B36" s="12"/>
      <c r="C36" s="12"/>
      <c r="D36" s="12"/>
      <c r="E36" s="11"/>
      <c r="F36" s="11"/>
      <c r="G36" s="13" t="s">
        <v>17</v>
      </c>
      <c r="H36" s="11"/>
      <c r="I36" s="11"/>
      <c r="J36" s="23"/>
      <c r="K36" s="14" t="s">
        <v>135</v>
      </c>
    </row>
    <row r="37" spans="1:11" ht="28.5" customHeight="1">
      <c r="A37" s="11" t="s">
        <v>82</v>
      </c>
      <c r="B37" s="12"/>
      <c r="C37" s="12"/>
      <c r="D37" s="12"/>
      <c r="E37" s="11"/>
      <c r="F37" s="11"/>
      <c r="G37" s="13"/>
      <c r="H37" s="11"/>
      <c r="I37" s="1"/>
      <c r="J37" s="25" t="s">
        <v>23</v>
      </c>
      <c r="K37" s="22"/>
    </row>
    <row r="38" spans="1:11" ht="28.5" customHeight="1">
      <c r="A38" s="11" t="s">
        <v>83</v>
      </c>
      <c r="B38" s="12"/>
      <c r="C38" s="12"/>
      <c r="D38" s="12"/>
      <c r="E38" s="11"/>
      <c r="F38" s="11"/>
      <c r="G38" s="13" t="s">
        <v>17</v>
      </c>
      <c r="H38" s="11"/>
      <c r="I38" s="11"/>
      <c r="J38" s="24"/>
      <c r="K38" s="14" t="s">
        <v>136</v>
      </c>
    </row>
    <row r="39" spans="1:11" ht="13.5" customHeight="1">
      <c r="A39" s="11" t="s">
        <v>85</v>
      </c>
      <c r="B39" s="12"/>
      <c r="C39" s="12"/>
      <c r="D39" s="12"/>
      <c r="E39" s="11"/>
      <c r="F39" s="11"/>
      <c r="G39" s="13"/>
      <c r="H39" s="11"/>
      <c r="I39" s="13" t="s">
        <v>21</v>
      </c>
      <c r="J39" s="11"/>
      <c r="K39" s="14"/>
    </row>
    <row r="40" spans="1:11" ht="13.5" customHeight="1">
      <c r="A40" s="18" t="s">
        <v>86</v>
      </c>
      <c r="B40" s="21">
        <f>SUM(B10:B39)</f>
        <v>537.88888888888891</v>
      </c>
      <c r="C40" s="21">
        <f>SUM(C10:C39)</f>
        <v>0</v>
      </c>
      <c r="D40" s="21">
        <f>SUM(D10:D39)</f>
        <v>0</v>
      </c>
      <c r="E40" s="21">
        <f t="shared" ref="E40" si="1">SUM(E13:E34)</f>
        <v>0</v>
      </c>
      <c r="F40" s="35"/>
      <c r="G40" s="31"/>
      <c r="H40" s="31"/>
      <c r="I40" s="31"/>
      <c r="J40" s="32"/>
      <c r="K40" s="18"/>
    </row>
    <row r="41" spans="1:11" ht="13.5" customHeight="1"/>
    <row r="42" spans="1:11" ht="13.5" customHeight="1"/>
    <row r="43" spans="1:11" ht="13.5" customHeight="1"/>
    <row r="44" spans="1:11" ht="13.5" customHeight="1"/>
    <row r="45" spans="1:11" ht="13.5" customHeight="1"/>
    <row r="46" spans="1:11" ht="13.5" customHeight="1"/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F40:J40"/>
    <mergeCell ref="A1:K1"/>
    <mergeCell ref="G3:K3"/>
    <mergeCell ref="A11:A12"/>
    <mergeCell ref="B11:B12"/>
    <mergeCell ref="C11:E11"/>
    <mergeCell ref="F11:J11"/>
    <mergeCell ref="K11:K1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DAP - Galletitas varias</vt:lpstr>
      <vt:lpstr>DAP - Pepas</vt:lpstr>
      <vt:lpstr>DAP - Panes</vt:lpstr>
      <vt:lpstr>DAP - Budines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CENTRAL</dc:creator>
  <cp:lastModifiedBy>Joaquin Carrizo</cp:lastModifiedBy>
  <dcterms:created xsi:type="dcterms:W3CDTF">2026-06-13T18:32:21Z</dcterms:created>
  <dcterms:modified xsi:type="dcterms:W3CDTF">2026-06-23T21:21:57Z</dcterms:modified>
</cp:coreProperties>
</file>