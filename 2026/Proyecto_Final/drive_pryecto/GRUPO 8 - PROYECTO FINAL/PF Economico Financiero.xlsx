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Iniciales y ACLARACIONES" sheetId="1" r:id="rId4"/>
    <sheet state="visible" name="Inv AF" sheetId="2" r:id="rId5"/>
    <sheet state="visible" name="InvAT" sheetId="3" r:id="rId6"/>
    <sheet state="visible" name="CostoPROD" sheetId="4" r:id="rId7"/>
    <sheet state="visible" name="CostoAdmComFin" sheetId="5" r:id="rId8"/>
    <sheet state="visible" name="CTV y CResult" sheetId="6" r:id="rId9"/>
    <sheet state="visible" name="IVA" sheetId="7" r:id="rId10"/>
    <sheet state="visible" name="Resumen Cred" sheetId="8" r:id="rId11"/>
    <sheet state="visible" name="2 Estructura" sheetId="9" r:id="rId12"/>
    <sheet state="visible" name="CFyU" sheetId="10" r:id="rId13"/>
    <sheet state="visible" name="Balance" sheetId="11" r:id="rId14"/>
    <sheet state="visible" name="DF- Form" sheetId="12" r:id="rId15"/>
  </sheets>
  <definedNames/>
  <calcPr/>
  <extLst>
    <ext uri="GoogleSheetsCustomDataVersion2">
      <go:sheetsCustomData xmlns:go="http://customooxmlschemas.google.com/" r:id="rId16" roundtripDataChecksum="edN2d3f6QY4YlFFHoWl8MfpR8+Yc/uCFHTOdq3UN6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
ID#AAAB743KSSo
Ing Diego Roberto Berenguer    (2026-05-11 14:54:36)
Cambie los Rubros en caso de ser Necesario</t>
      </text>
    </comment>
    <comment authorId="0" ref="A39">
      <text>
        <t xml:space="preserve">======
ID#AAAB7PPimDI
Ing Diego Roberto Berenguer    (2026-05-11 14:54:36)
Solo aquellos Rubros que lo lleven. Ver tasa de acuerdo al rubro.</t>
      </text>
    </comment>
    <comment authorId="0" ref="A46">
      <text>
        <t xml:space="preserve">======
ID#AAAB7PPimDA
Ing Diego Roberto Berenguer    (2026-05-11 14:54:36)
Cambie los Rubros y los coeficientes de Amortización en caso de ser Necesario</t>
      </text>
    </comment>
    <comment authorId="0" ref="A3">
      <text>
        <t xml:space="preserve">======
ID#AAAB7PPimC0
Ing Diego Roberto Berenguer    (2026-05-11 14:54:36)
Cambie los Rubros y los coeficientes de Amortización en caso de ser Necesario</t>
      </text>
    </comment>
    <comment authorId="0" ref="A68">
      <text>
        <t xml:space="preserve">======
ID#AAAB7PPimCo
Ing Diego Roberto Berenguer    (2026-05-11 14:54:36)
Cambie los Rubros en caso de ser Necesario</t>
      </text>
    </comment>
  </commentList>
  <extLst>
    <ext uri="GoogleSheetsCustomDataVersion2">
      <go:sheetsCustomData xmlns:go="http://customooxmlschemas.google.com/" r:id="rId1" roundtripDataSignature="AMtx7mjc+2ehLpiJVVC5zR/3GDakYpanx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
ID#AAAB7PPimDQ
Ing Diego Roberto Berenguer    (2026-05-11 14:54:36)
Estas Formulas son válidas sin no se han cambiado los rubros de costos (excepto que se hayan cambiado por rubros con igual comportamiento sobre el IVA)</t>
      </text>
    </comment>
  </commentList>
  <extLst>
    <ext uri="GoogleSheetsCustomDataVersion2">
      <go:sheetsCustomData xmlns:go="http://customooxmlschemas.google.com/" r:id="rId1" roundtripDataSignature="AMtx7miFWGfzhbw6VBe81bZ2U/DciG9PP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0">
      <text>
        <t xml:space="preserve">======
ID#AAAB743KSSs
Ing Diego Roberto Berenguer    (2026-05-11 14:54:36)
Solo en caso de poseer un solo producto</t>
      </text>
    </comment>
    <comment authorId="0" ref="A25">
      <text>
        <t xml:space="preserve">======
ID#AAAB7PPimDE
Ing Diego Roberto Berenguer    (2026-05-11 14:54:36)
Cambie los Rubros en caso de ser Necesario</t>
      </text>
    </comment>
    <comment authorId="0" ref="A3">
      <text>
        <t xml:space="preserve">======
ID#AAAB7PPimC8
Ing Diego Roberto Berenguer    (2026-05-11 14:54:36)
Cambie los Rubros en caso de ser Necesario</t>
      </text>
    </comment>
  </commentList>
  <extLst>
    <ext uri="GoogleSheetsCustomDataVersion2">
      <go:sheetsCustomData xmlns:go="http://customooxmlschemas.google.com/" r:id="rId1" roundtripDataSignature="AMtx7mg0zfe7ImCCaJrPOV3RkVZqHczTA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6">
      <text>
        <t xml:space="preserve">======
ID#AAAB6GZeQUI
Santiago Greco    (2026-05-11 19:43:20)
a partir del 2do año ya no pagamos diseño páckaging</t>
      </text>
    </comment>
    <comment authorId="0" ref="B26">
      <text>
        <t xml:space="preserve">======
ID#AAAB6GZeQUE
Santiago Greco    (2026-05-11 19:43:01)
Agencia de marketing 800 k por mes 
diseñp packaging + identidad marca 1.3mm por linea de productos
PNT 2 apariciones por mes a 330k la salida 
1 evento anual 2820000 entre alquiler, armado</t>
      </text>
    </comment>
    <comment authorId="0" ref="B23">
      <text>
        <t xml:space="preserve">======
ID#AAAB6GZeQUA
Santiago Greco    (2026-05-11 19:36:35)
2 key acc managers + 4 auditores de campo</t>
      </text>
    </comment>
    <comment authorId="0" ref="A3">
      <text>
        <t xml:space="preserve">======
ID#AAAB743KSS0
Ing Diego Roberto Berenguer    (2026-05-11 14:54:36)
Cambie los Rubros en caso de ser Necesario</t>
      </text>
    </comment>
    <comment authorId="0" ref="A22">
      <text>
        <t xml:space="preserve">======
ID#AAAB7PPimC4
Ing Diego Roberto Berenguer    (2026-05-11 14:54:36)
Cambie los Rubros en caso de ser Necesario</t>
      </text>
    </comment>
    <comment authorId="0" ref="A41">
      <text>
        <t xml:space="preserve">======
ID#AAAB7PPimCs
Ing Diego Roberto Berenguer    (2026-05-11 14:54:36)
Cambie los Rubros en caso de ser Necesario</t>
      </text>
    </comment>
  </commentList>
  <extLst>
    <ext uri="GoogleSheetsCustomDataVersion2">
      <go:sheetsCustomData xmlns:go="http://customooxmlschemas.google.com/" r:id="rId1" roundtripDataSignature="AMtx7mjKh9mo6Lr3sPD2dX3vcp1i3iBhf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ID#AAAB743KSSw
Ing Diego Roberto Berenguer    (2026-05-11 14:54:36)
!!! Cambiar Nombres de Productos SI o SI</t>
      </text>
    </comment>
    <comment authorId="0" ref="A23">
      <text>
        <t xml:space="preserve">======
ID#AAAB743KSS4
Ing Diego Roberto Berenguer    (2026-05-11 14:54:36)
RECALCULAR de ACUERDO al PROYECTO</t>
      </text>
    </comment>
    <comment authorId="0" ref="A25">
      <text>
        <t xml:space="preserve">======
ID#AAAB7PPimDU
Ing Diego Roberto Berenguer    (2026-05-11 14:54:36)
RECALCULAR DE ACUERDO AL PROYECTO</t>
      </text>
    </comment>
    <comment authorId="0" ref="A24">
      <text>
        <t xml:space="preserve">======
ID#AAAB7PPimDM
Ing Diego Roberto Berenguer    (2026-05-11 14:54:36)
RECALCULAR DE ACUERDO AL PROYECTO</t>
      </text>
    </comment>
    <comment authorId="0" ref="A34">
      <text>
        <t xml:space="preserve">======
ID#AAAB7PPimCw
Ing Diego Roberto Berenguer    (2026-05-11 14:54:36)
RECALCULAR u OCULTAR de ACUERDO AL PROYECTO</t>
      </text>
    </comment>
    <comment authorId="0" ref="A27">
      <text>
        <t xml:space="preserve">======
ID#AAAB7PPimCk
Diego Roberto Berenguer    (2026-05-11 14:54:36)
RECALCULAR DE ACUERDO AL PROYECTO</t>
      </text>
    </comment>
  </commentList>
  <extLst>
    <ext uri="GoogleSheetsCustomDataVersion2">
      <go:sheetsCustomData xmlns:go="http://customooxmlschemas.google.com/" r:id="rId1" roundtripDataSignature="AMtx7mh/LAESWEvD7A5YcNMPmP6sYvnhOQ=="/>
    </ext>
  </extLst>
</comments>
</file>

<file path=xl/sharedStrings.xml><?xml version="1.0" encoding="utf-8"?>
<sst xmlns="http://schemas.openxmlformats.org/spreadsheetml/2006/main" count="670" uniqueCount="403">
  <si>
    <t>ESTA SOLAPA NO DEBE IMPRIMIRSE</t>
  </si>
  <si>
    <t>Como Referencia, se usa la siguiente configuración de Referencia:</t>
  </si>
  <si>
    <t>Las casillas en Amarillo son para Completar datos Numéricos</t>
  </si>
  <si>
    <t>Las casillas Grises son de Fórmulas.Si bien en reglas generales están correctas, puede llegar a ser modificadas</t>
  </si>
  <si>
    <t xml:space="preserve">Las casillas en Verde son Datos Cualitativos. </t>
  </si>
  <si>
    <t>Las celdas cruzadas no deben completarse</t>
  </si>
  <si>
    <t>Base</t>
  </si>
  <si>
    <t>Los Rubros de Activos Fijos y Costos son generales y DEBEN ser modificados de manera de reflejar los del proyecto Propio</t>
  </si>
  <si>
    <t>Crecimiento</t>
  </si>
  <si>
    <t>Demostrar los datos de Inversiones y Costos</t>
  </si>
  <si>
    <t>Años</t>
  </si>
  <si>
    <t>Datos de Referencias: Se agregan los más comunes, se recomienda agregar más para usarlos con referencias</t>
  </si>
  <si>
    <t>Fecha del Proyecto</t>
  </si>
  <si>
    <t>IVA Gastos</t>
  </si>
  <si>
    <t>General</t>
  </si>
  <si>
    <t>Tasa Reducida (Maquinas y Alimentos)</t>
  </si>
  <si>
    <t>Servicios</t>
  </si>
  <si>
    <t>IVA Ventas</t>
  </si>
  <si>
    <t>Si se brindan algunos productos o servicios con tasas diferenciales, colocar el promedio ponderado o hacer tabla auxiliar</t>
  </si>
  <si>
    <r>
      <rPr>
        <rFont val="Roboto"/>
        <color theme="1"/>
        <sz val="10.0"/>
      </rPr>
      <t>Imp. A las Ganancias</t>
    </r>
    <r>
      <rPr>
        <rFont val="Roboto"/>
        <color theme="1"/>
        <sz val="10.0"/>
        <vertAlign val="superscript"/>
      </rPr>
      <t>*1</t>
    </r>
  </si>
  <si>
    <t>Tasa General</t>
  </si>
  <si>
    <r>
      <rPr>
        <rFont val="Roboto"/>
        <color theme="1"/>
        <sz val="10.0"/>
      </rPr>
      <t>Hon.al Directorio</t>
    </r>
    <r>
      <rPr>
        <rFont val="Roboto"/>
        <color theme="1"/>
        <sz val="10.0"/>
        <vertAlign val="superscript"/>
      </rPr>
      <t>*2*3</t>
    </r>
  </si>
  <si>
    <t>VARIABLE</t>
  </si>
  <si>
    <t>ajusto Mateo</t>
  </si>
  <si>
    <t>Tipos de Cambios</t>
  </si>
  <si>
    <t>$ por USD</t>
  </si>
  <si>
    <t>$ por Euro</t>
  </si>
  <si>
    <t>% Imprevistos</t>
  </si>
  <si>
    <t>Sobre Inversiones</t>
  </si>
  <si>
    <t>Sobre Costos</t>
  </si>
  <si>
    <t xml:space="preserve"> Alicuota de Prorrateo de Gastos Indirectos</t>
  </si>
  <si>
    <t>Principal</t>
  </si>
  <si>
    <t>Alt1</t>
  </si>
  <si>
    <t>Alt2</t>
  </si>
  <si>
    <t>Area de Producción</t>
  </si>
  <si>
    <t>Area Administrativa</t>
  </si>
  <si>
    <t>Area Comercial</t>
  </si>
  <si>
    <t>*1 En Argentina existen distintas escalas para Pequeñas y Medianas Empresas.  Verificar estas escalas al momento de llenar esta información</t>
  </si>
  <si>
    <t>*2 Solo aplicable a Sociedades Anónimas. En caso de ser SRL o SAS, colocar valor 0 (Cero)</t>
  </si>
  <si>
    <t>*3 Colocar FIJO o VARIABLE en la Segunda Casilla. En el primer caso poner el valor Anual  si es fijo, o el Porcentaje si es Variable</t>
  </si>
  <si>
    <t>Información de Dimensionamiento Físico</t>
  </si>
  <si>
    <t>Bienes de Cambio</t>
  </si>
  <si>
    <t>Año 0</t>
  </si>
  <si>
    <t>Año 1</t>
  </si>
  <si>
    <t>Año 2</t>
  </si>
  <si>
    <t>Año 3</t>
  </si>
  <si>
    <t>Año 4</t>
  </si>
  <si>
    <t>Año 5</t>
  </si>
  <si>
    <t>Año 6</t>
  </si>
  <si>
    <t>Año 7</t>
  </si>
  <si>
    <t>Año 8</t>
  </si>
  <si>
    <t>Año 9</t>
  </si>
  <si>
    <t>Año 10</t>
  </si>
  <si>
    <t>Stock MP</t>
  </si>
  <si>
    <t>Ueq PT al fin Ej.</t>
  </si>
  <si>
    <t>Stock MCySE</t>
  </si>
  <si>
    <t>Stock PT</t>
  </si>
  <si>
    <t>Créditos por Ventas</t>
  </si>
  <si>
    <t>días Prom Pond</t>
  </si>
  <si>
    <t>Unidades Producción</t>
  </si>
  <si>
    <t>Totales Ueq</t>
  </si>
  <si>
    <t>Ventas</t>
  </si>
  <si>
    <t>Min. en Caja y Bancos</t>
  </si>
  <si>
    <t>Ventas Año 1</t>
  </si>
  <si>
    <t>COMO MODELIZAR</t>
  </si>
  <si>
    <t>VER COMO AFECTA EL IIGG en el CASHFLOW, VER SI HACER UN CUADRO DIFERENCIADO TIPO EL IVA</t>
  </si>
  <si>
    <t>Inversión en Activo Fijo</t>
  </si>
  <si>
    <t>Plazo Amort.</t>
  </si>
  <si>
    <t>IVA</t>
  </si>
  <si>
    <t>a) Bienes de Uso</t>
  </si>
  <si>
    <t>Terreno y Mejoras</t>
  </si>
  <si>
    <t>Edificios y Obras Complementarias</t>
  </si>
  <si>
    <t>Infraestructura en predio propio</t>
  </si>
  <si>
    <t>Instalaciones industriales</t>
  </si>
  <si>
    <t>Máquinas operativas Importadas</t>
  </si>
  <si>
    <t>Gastos Conexos de Importación</t>
  </si>
  <si>
    <t>Maquinas Operativas Nacionales</t>
  </si>
  <si>
    <t>Transporte y montaje de la maquinaria:</t>
  </si>
  <si>
    <t>Repuestos Iniciales</t>
  </si>
  <si>
    <t>Rodados</t>
  </si>
  <si>
    <t>Equipos Auxiliares de Fabricación</t>
  </si>
  <si>
    <t>Equipos Auxiliares de Logística</t>
  </si>
  <si>
    <t>Muebles y Herramental Operativo</t>
  </si>
  <si>
    <t xml:space="preserve">Equipamiento e Instalac. Sistemas </t>
  </si>
  <si>
    <t xml:space="preserve">Muebles y Útiles Administrativos </t>
  </si>
  <si>
    <t>Otros 1</t>
  </si>
  <si>
    <t>Otros 2</t>
  </si>
  <si>
    <t>Otros3</t>
  </si>
  <si>
    <t>Imprevistos</t>
  </si>
  <si>
    <t>Total Bienes de uso:</t>
  </si>
  <si>
    <t xml:space="preserve">b) Gastos asimilables </t>
  </si>
  <si>
    <t>Investigaciones y estudios</t>
  </si>
  <si>
    <t>Constitución y Org.de la empresa</t>
  </si>
  <si>
    <t>Adm.e Ing. en Período de Instalación</t>
  </si>
  <si>
    <t>Gastos de puesta en marcha:</t>
  </si>
  <si>
    <t>Patentes y Licencias:</t>
  </si>
  <si>
    <t>Promocion y Publicidad Preoperativas</t>
  </si>
  <si>
    <t>Infraestructura en predio ajeno</t>
  </si>
  <si>
    <t>Intereses y Gastos Preoperativos</t>
  </si>
  <si>
    <t xml:space="preserve">Imprevistos:  </t>
  </si>
  <si>
    <t>Total gastos asimilables</t>
  </si>
  <si>
    <t>c) Total Inversión sin IVA</t>
  </si>
  <si>
    <t>d) IVA</t>
  </si>
  <si>
    <t>e) TOTAL INV. ACTIVO FIJO</t>
  </si>
  <si>
    <t>Inversión Inicial</t>
  </si>
  <si>
    <t>Alícuotas de amortización</t>
  </si>
  <si>
    <t>Rubro</t>
  </si>
  <si>
    <t>Año 0 y 1</t>
  </si>
  <si>
    <t>V. Resid</t>
  </si>
  <si>
    <t>Amortiz. Por Bienes de Uso</t>
  </si>
  <si>
    <t>Gastos de puesta en marcha</t>
  </si>
  <si>
    <t>Patentes y Licencias</t>
  </si>
  <si>
    <t>Amortiz. Por Gastos Asimilables</t>
  </si>
  <si>
    <t>Total Amortización Anual</t>
  </si>
  <si>
    <t>Alicuota de Amortiz. Producción</t>
  </si>
  <si>
    <t>Alicuota de Amortiz. Comercializ.</t>
  </si>
  <si>
    <t>Alicuota de Amortiz. Administrac.</t>
  </si>
  <si>
    <t>Alicuota de Amortiz. Financiera</t>
  </si>
  <si>
    <t>En este cuadro se ha utilizado se ha usado el criterio principal para el Prorrateo de Amortización. En caso de utilizarse otros Criterios, reveer las fórmulas de las últimas 3 filas</t>
  </si>
  <si>
    <t>Las Alicuotas de Amortización del año 4 en adelante se han calculado considerando que los rubros (y en particular el plazo de Amortización) son los originales.  En caso de cambiarlos, verificar las fórmulas</t>
  </si>
  <si>
    <t>INVERSIONES EN ACTIVO DE TRABAJO</t>
  </si>
  <si>
    <t>Rubros</t>
  </si>
  <si>
    <r>
      <rPr>
        <rFont val="Roboto"/>
        <b/>
        <color theme="1"/>
        <sz val="10.0"/>
      </rPr>
      <t xml:space="preserve">1. Activo de Trabajo: </t>
    </r>
    <r>
      <rPr>
        <rFont val="Roboto"/>
        <b val="0"/>
        <color theme="1"/>
        <sz val="10.0"/>
      </rPr>
      <t>(valor contable)</t>
    </r>
  </si>
  <si>
    <t xml:space="preserve">   a) Disponibilidad Mínima en Caja y Bancos:</t>
  </si>
  <si>
    <t xml:space="preserve">   b) Crédito por Ventas</t>
  </si>
  <si>
    <t xml:space="preserve">   c) Bienes de cambio:</t>
  </si>
  <si>
    <t xml:space="preserve">    Stock de materias prima:</t>
  </si>
  <si>
    <t xml:space="preserve">   Stock de materiales:</t>
  </si>
  <si>
    <t xml:space="preserve">   Mercadería en curso y semielaborada</t>
  </si>
  <si>
    <t xml:space="preserve">   Stock de elaborados</t>
  </si>
  <si>
    <t xml:space="preserve">   d) Total Activo de Trabajo, sin IVA:</t>
  </si>
  <si>
    <t>2. Menos:</t>
  </si>
  <si>
    <t xml:space="preserve">    Amortizaciones en Mercadería en proceso</t>
  </si>
  <si>
    <t xml:space="preserve">    Amortizaciones en Stock de elaborado</t>
  </si>
  <si>
    <t xml:space="preserve">    Utilidades en Crédito por ventas</t>
  </si>
  <si>
    <t xml:space="preserve">    Amortizaciones en Crédito por ventas</t>
  </si>
  <si>
    <t>3. Inversiones en Activo de Trabajo, sin IVA</t>
  </si>
  <si>
    <t>4. Incrementos de Activo de Trabajo</t>
  </si>
  <si>
    <t xml:space="preserve">    Incrementos de Inversión en Activo de Trabajo</t>
  </si>
  <si>
    <t>5. Incrementos IVA sobre Inversiones</t>
  </si>
  <si>
    <t xml:space="preserve">    Crédito por Ventas                             </t>
  </si>
  <si>
    <t xml:space="preserve">    Bienes de cambio:</t>
  </si>
  <si>
    <t xml:space="preserve">               Stock de materia prima</t>
  </si>
  <si>
    <t xml:space="preserve">               Stock de materiales</t>
  </si>
  <si>
    <t xml:space="preserve">               Mercadería en proceso</t>
  </si>
  <si>
    <t xml:space="preserve">               Stock de elaborados</t>
  </si>
  <si>
    <t xml:space="preserve">   Total incrementos IVA sobre inversiones</t>
  </si>
  <si>
    <t>6. Incrementos Inversiones en Activo de Trabajo</t>
  </si>
  <si>
    <t>COSTO TOTAL DE PRODUCCION</t>
  </si>
  <si>
    <t>Gastos en el Area de Producción</t>
  </si>
  <si>
    <t>Tipo de Gasto</t>
  </si>
  <si>
    <t>Materia prima</t>
  </si>
  <si>
    <t>FIJO</t>
  </si>
  <si>
    <t>Mano de obra directa</t>
  </si>
  <si>
    <t xml:space="preserve">  Amortizaciones</t>
  </si>
  <si>
    <t xml:space="preserve">  Personal indirecto</t>
  </si>
  <si>
    <t xml:space="preserve">  Materiales</t>
  </si>
  <si>
    <t xml:space="preserve">  Energía eléctrica</t>
  </si>
  <si>
    <t>Telefono, Gas, Agua</t>
  </si>
  <si>
    <t xml:space="preserve">  Tasas e impuestos</t>
  </si>
  <si>
    <t xml:space="preserve">  Seguros</t>
  </si>
  <si>
    <t>Procesos y Servicios Tercerizados</t>
  </si>
  <si>
    <t>Regalias Patentes y Licencias</t>
  </si>
  <si>
    <t>Tratamiento de residuos</t>
  </si>
  <si>
    <t>Gastos Logísticos</t>
  </si>
  <si>
    <t xml:space="preserve">  Imprevistos</t>
  </si>
  <si>
    <t>Gastos Total de Producción</t>
  </si>
  <si>
    <t>Gasto Variable</t>
  </si>
  <si>
    <t>Gasto Constante</t>
  </si>
  <si>
    <t>Gastos a activar</t>
  </si>
  <si>
    <t>Mercadería en Curso y Semielaborada*1</t>
  </si>
  <si>
    <t xml:space="preserve">  Combustibles</t>
  </si>
  <si>
    <t>Total gastos a activar MCySE</t>
  </si>
  <si>
    <t>Total de Gasto a Activar Gasto P. Marcha</t>
  </si>
  <si>
    <t>Costo en el Area de Producción</t>
  </si>
  <si>
    <t>Menos:</t>
  </si>
  <si>
    <t>Gasto de puesta en marcha</t>
  </si>
  <si>
    <t>Variación Mercadería en proceso</t>
  </si>
  <si>
    <t>Costo de producción anual</t>
  </si>
  <si>
    <t>Costo de prod. Unitario Promedio</t>
  </si>
  <si>
    <t>*1 El gasto de Mercadería en Curso y Semielaborado se calcula asumiendo costos similares para la totalidad de las unidades producidas. En caso de esto no resultar razonable, deberá calcularse especificamente el valor en MCy SE para cada producto</t>
  </si>
  <si>
    <t>Gastos en el Area de Administración</t>
  </si>
  <si>
    <t>Personal</t>
  </si>
  <si>
    <t>Amortizaciones de A. Fijo</t>
  </si>
  <si>
    <t>Materiales</t>
  </si>
  <si>
    <t>Electricidad</t>
  </si>
  <si>
    <t>Combustible</t>
  </si>
  <si>
    <t>Sistema y Tecnologías de la Información</t>
  </si>
  <si>
    <t>Servicios Tercerizados</t>
  </si>
  <si>
    <t>Tasas e impuestos</t>
  </si>
  <si>
    <t>Seguros</t>
  </si>
  <si>
    <t>Costo total de Admistración</t>
  </si>
  <si>
    <t>% Costo Variable</t>
  </si>
  <si>
    <t>% Costo Constante</t>
  </si>
  <si>
    <t>Gastos en el Area de Comercialización</t>
  </si>
  <si>
    <t>Personal (Fijo)</t>
  </si>
  <si>
    <t>Comisiones por Ventas</t>
  </si>
  <si>
    <t>Promoción y Publicidad</t>
  </si>
  <si>
    <t>Servicio Técnico y Postventa</t>
  </si>
  <si>
    <t>Logística y Combustibles</t>
  </si>
  <si>
    <t>Energía Eléctrica</t>
  </si>
  <si>
    <t>Costo total de Comercialización</t>
  </si>
  <si>
    <t>Gastos en el Area de Financiera</t>
  </si>
  <si>
    <t>Intereses Devengados año a año</t>
  </si>
  <si>
    <t>Alicuotas de Amortización de IGPO</t>
  </si>
  <si>
    <t>Gastos Bancarios Año a Año</t>
  </si>
  <si>
    <t>Gastos de la Oficina Financiera</t>
  </si>
  <si>
    <t>Costo total Financiero</t>
  </si>
  <si>
    <t>COSTO TOTAL de lo VENDIDO</t>
  </si>
  <si>
    <t>Venta anual, en Unidades Producto 1</t>
  </si>
  <si>
    <t>Precio de venta Producto 1</t>
  </si>
  <si>
    <t>Venta anual, en Unidades Producto 2</t>
  </si>
  <si>
    <t>Precio de venta Producto 2</t>
  </si>
  <si>
    <t>Venta anual, en Unidades Producto 3</t>
  </si>
  <si>
    <t>Precio de venta Producto 3</t>
  </si>
  <si>
    <t>Venta anual, en Unidades Producto 4</t>
  </si>
  <si>
    <t>Precio de venta Producto 4</t>
  </si>
  <si>
    <t>Otros Ingresos Ordinarios (en $)</t>
  </si>
  <si>
    <t>VENTAS ANUALES</t>
  </si>
  <si>
    <t xml:space="preserve">Consumo de materia prima </t>
  </si>
  <si>
    <t>Gastos de fabricación</t>
  </si>
  <si>
    <t>Gastos de Producción</t>
  </si>
  <si>
    <t>(-) Puesta en marcha</t>
  </si>
  <si>
    <t>(-) Variación Mercadería en proceso</t>
  </si>
  <si>
    <t>COSTO DE PRODUCCION ANUAL</t>
  </si>
  <si>
    <t>Producción anual en Unidades Equivalentes</t>
  </si>
  <si>
    <t>Costo de producción unitario Promedio Equiv</t>
  </si>
  <si>
    <t>Stock de Elaborados Valorizado</t>
  </si>
  <si>
    <t>(-) Variación de Stock de Elaborado</t>
  </si>
  <si>
    <t>COSTO DE PRODUCCION DE LO VENDIDO</t>
  </si>
  <si>
    <t>GASTO DE ADMINISTRACION</t>
  </si>
  <si>
    <t xml:space="preserve">GASTO DE COMERCIALIZACION </t>
  </si>
  <si>
    <t>GASTO DE FINANCIACION</t>
  </si>
  <si>
    <t>COSTO ANUAL DE LO VENDIDO</t>
  </si>
  <si>
    <t>Costo total unitario promedio</t>
  </si>
  <si>
    <t>UTILIDAD  (a/H. D. e Impuesto)</t>
  </si>
  <si>
    <t>Honorarios al Directorio</t>
  </si>
  <si>
    <t xml:space="preserve">Impuesto a la ganancia </t>
  </si>
  <si>
    <t>UTILIDAD (d/H.D. e Impuesto)</t>
  </si>
  <si>
    <t>% sobre VENTAS</t>
  </si>
  <si>
    <t>FONDOS AUTOGENERADOS</t>
  </si>
  <si>
    <t>Utilidad Económica (d/H.D. e Impuesto)</t>
  </si>
  <si>
    <t>Amortización anual</t>
  </si>
  <si>
    <t xml:space="preserve">Costo Variable </t>
  </si>
  <si>
    <t>Costo Constante</t>
  </si>
  <si>
    <t>UTILIDAD MARGINAL</t>
  </si>
  <si>
    <t>PUNTO DE EQUILIBRIO</t>
  </si>
  <si>
    <t>CUADRO DE RESULTADOS PROFORMA</t>
  </si>
  <si>
    <t>Totales</t>
  </si>
  <si>
    <t>Ventas netas (Ingresos Ordinarios)</t>
  </si>
  <si>
    <t>(-) Costo de producción de lo Vendido</t>
  </si>
  <si>
    <t>Resultado operativo</t>
  </si>
  <si>
    <t>(-) Gastos de Administración</t>
  </si>
  <si>
    <t>(-) Gastos de Comercialización</t>
  </si>
  <si>
    <t>(-) Gastos Financieros</t>
  </si>
  <si>
    <t>RESULTADO (a/Hon. e Imp.)</t>
  </si>
  <si>
    <t>Menos: Honorarios al Direct.</t>
  </si>
  <si>
    <t>Menos: Impuesto a la Ganancia</t>
  </si>
  <si>
    <t>RESULTADO (d/Hon. e Imp.)</t>
  </si>
  <si>
    <t>IVA plan de Explotación, Cancelación del Credito Fiscal y pago al Fisco por IVA</t>
  </si>
  <si>
    <t>TOTALES PARA LAS TRES AREAS</t>
  </si>
  <si>
    <t>a) IVA pagado Costo Total de lo Vendido*1</t>
  </si>
  <si>
    <t>Tasa</t>
  </si>
  <si>
    <t>Total Pagado en Producción</t>
  </si>
  <si>
    <t>Materia Prima con tarifa Normal</t>
  </si>
  <si>
    <t>Materia Prima con tarifa Reducida</t>
  </si>
  <si>
    <t xml:space="preserve">Servicios </t>
  </si>
  <si>
    <t>Otros Gastos tarifa normal</t>
  </si>
  <si>
    <t>Total Pagado por Administración</t>
  </si>
  <si>
    <t>otros Gastos</t>
  </si>
  <si>
    <t>Total pagado por Comercialización</t>
  </si>
  <si>
    <t>Otros Gastos</t>
  </si>
  <si>
    <t xml:space="preserve">  Total pagado por Financiación</t>
  </si>
  <si>
    <t xml:space="preserve">  IVA abonado en Costo Total de lo Vendido:</t>
  </si>
  <si>
    <t>IVA total abonado por insumos</t>
  </si>
  <si>
    <t>IVA total cobrado por ventas</t>
  </si>
  <si>
    <t>b) IVA diferencia</t>
  </si>
  <si>
    <t>c) Crédito Fiscal Anterior</t>
  </si>
  <si>
    <t xml:space="preserve">d) Crédito Fiscal del Año </t>
  </si>
  <si>
    <t>e) Crédito Fiscal Final Año</t>
  </si>
  <si>
    <t>f) Recupero Credito Fiscal</t>
  </si>
  <si>
    <t xml:space="preserve">    Pago al Fisco por IVA</t>
  </si>
  <si>
    <t>*1 En caso de modificarse los rubros de Costos, deberán adecuarse las formulas de estas casillas</t>
  </si>
  <si>
    <t>CUADRO RESUMEN DE CREDITOS*1</t>
  </si>
  <si>
    <t>día/mes/año</t>
  </si>
  <si>
    <t>deuda fin Ejercicio</t>
  </si>
  <si>
    <t>amortización</t>
  </si>
  <si>
    <t xml:space="preserve">deuda </t>
  </si>
  <si>
    <t>interés</t>
  </si>
  <si>
    <t>gasto</t>
  </si>
  <si>
    <t>No renovable</t>
  </si>
  <si>
    <t>Renovable</t>
  </si>
  <si>
    <t>anual</t>
  </si>
  <si>
    <t>prom. anual</t>
  </si>
  <si>
    <t>kd</t>
  </si>
  <si>
    <t>bancario</t>
  </si>
  <si>
    <t>31/12/-1</t>
  </si>
  <si>
    <t>gastos preoperativos:</t>
  </si>
  <si>
    <t>Totales:</t>
  </si>
  <si>
    <t>*1 Elaborar créditos y traer valores al final de cada ejercicio a este cuadro</t>
  </si>
  <si>
    <t>SEGUNDA ESTRUCTURA FINANCIERA</t>
  </si>
  <si>
    <t>a) Inversión y calendario de Activo Fijo Incrementos</t>
  </si>
  <si>
    <t>Bienes de uso</t>
  </si>
  <si>
    <t>Cargos diferidos:</t>
  </si>
  <si>
    <t>Totales de activo fijo, sin IVA</t>
  </si>
  <si>
    <t xml:space="preserve">IVA   </t>
  </si>
  <si>
    <t>Totales de activo fijo, con IVA</t>
  </si>
  <si>
    <t>b) Inversión y calendario de activo de trabajo: incrementos</t>
  </si>
  <si>
    <t>Disponibilidad mínima</t>
  </si>
  <si>
    <t>Crédito por ventas (valor contable)</t>
  </si>
  <si>
    <t>Bienes de cambio (valor contable)</t>
  </si>
  <si>
    <t>Totales activo de trabajo, sin IVA</t>
  </si>
  <si>
    <t>Amortizaciones en inventarios</t>
  </si>
  <si>
    <t>Amortizaciones en crédito</t>
  </si>
  <si>
    <t>Utilidades en crédito</t>
  </si>
  <si>
    <t>Inversión activo de trabajo, s/IVA</t>
  </si>
  <si>
    <t>Totales activo de trabajo (v. contable), c/IVA</t>
  </si>
  <si>
    <t>Inversión activo de trabajo, con IVA</t>
  </si>
  <si>
    <t>c) Inversión y calendario totales: incrementos</t>
  </si>
  <si>
    <t>Activo fijo, con IVA</t>
  </si>
  <si>
    <t>Inversión activo de trabajo, c/IVA</t>
  </si>
  <si>
    <t>Inversiones Totales, con IVA</t>
  </si>
  <si>
    <t>d) Financiación global (segunda y definitiva):</t>
  </si>
  <si>
    <t>%</t>
  </si>
  <si>
    <t>Crédito renovable</t>
  </si>
  <si>
    <t>Crédito no renovable</t>
  </si>
  <si>
    <t>Capital propio</t>
  </si>
  <si>
    <t>CUADRO DE FUENTES Y USOS</t>
  </si>
  <si>
    <t>FUENTES: Totales</t>
  </si>
  <si>
    <t>Saldo ejercicio anterior</t>
  </si>
  <si>
    <t>Aporte de capital propio</t>
  </si>
  <si>
    <t xml:space="preserve">Créditos renovables </t>
  </si>
  <si>
    <t xml:space="preserve">Créditos no renovables </t>
  </si>
  <si>
    <t xml:space="preserve">Ventas del ejercicio </t>
  </si>
  <si>
    <t>Recupero Crédito Fiscal</t>
  </si>
  <si>
    <t>Otros ingresos</t>
  </si>
  <si>
    <t>USOS: Totales</t>
  </si>
  <si>
    <t>Activo Fijo</t>
  </si>
  <si>
    <t xml:space="preserve">Activo de Trabajo </t>
  </si>
  <si>
    <t>Costo de lo Vendido</t>
  </si>
  <si>
    <t>Impuesto a la Ganancia</t>
  </si>
  <si>
    <t>Cancelación de deudas</t>
  </si>
  <si>
    <t xml:space="preserve">Honorarios del Directorio </t>
  </si>
  <si>
    <t>Dividendos en efectivo</t>
  </si>
  <si>
    <t xml:space="preserve">IVA inversión </t>
  </si>
  <si>
    <t>Otros egresos</t>
  </si>
  <si>
    <t>FUENTES - USOS</t>
  </si>
  <si>
    <t xml:space="preserve">(+) Amortizaciones del ejercicio </t>
  </si>
  <si>
    <t>Saldo al Ej. siguiente (acumulado)</t>
  </si>
  <si>
    <t>Saldo Propio del Ejercicio</t>
  </si>
  <si>
    <t>BALANCES PROFORMAS</t>
  </si>
  <si>
    <t>ACTIVO CORRIENTE: Total</t>
  </si>
  <si>
    <t xml:space="preserve">Caja y Bancos: </t>
  </si>
  <si>
    <t xml:space="preserve">   - mínimo </t>
  </si>
  <si>
    <t xml:space="preserve">   - saldo acumulado de Fuentes y Usos </t>
  </si>
  <si>
    <t>Crédito por ventas</t>
  </si>
  <si>
    <t>Bienes de cambio</t>
  </si>
  <si>
    <t>Crédito Fiscal</t>
  </si>
  <si>
    <t>ACTIVO NO CORRIENTE: Total</t>
  </si>
  <si>
    <t>Cargos Diferidos:</t>
  </si>
  <si>
    <t xml:space="preserve">   - valor inicial </t>
  </si>
  <si>
    <t xml:space="preserve">     más inversiones del ejercicio </t>
  </si>
  <si>
    <r>
      <rPr>
        <rFont val="Roboto"/>
        <color theme="1"/>
        <sz val="10.0"/>
      </rPr>
      <t xml:space="preserve">     menos amortizaciones del ejerc.</t>
    </r>
  </si>
  <si>
    <t xml:space="preserve">   - valor final del ejercicio</t>
  </si>
  <si>
    <t>Bienes de Uso</t>
  </si>
  <si>
    <t xml:space="preserve">     más inversiones del ejercicio</t>
  </si>
  <si>
    <t xml:space="preserve">     menos amortizaciones del ejerc</t>
  </si>
  <si>
    <t xml:space="preserve">Crédito Fiscal </t>
  </si>
  <si>
    <t>ACTIVO TOTAL:</t>
  </si>
  <si>
    <t>PASIVO CORRIENTE: Total</t>
  </si>
  <si>
    <t>Deudas comerciales</t>
  </si>
  <si>
    <t>Deudas bancarias</t>
  </si>
  <si>
    <t>PASIVO NO CORRIENTE: Total</t>
  </si>
  <si>
    <t>PASIVO TOTAL:</t>
  </si>
  <si>
    <t>PATRIMONIO NETO:</t>
  </si>
  <si>
    <t>Capital societario</t>
  </si>
  <si>
    <t>Utilidad del ejercicio</t>
  </si>
  <si>
    <t>Utilidad acumulada</t>
  </si>
  <si>
    <t>PASIVO + PATRIMONIO NETO</t>
  </si>
  <si>
    <t>Formulación del Proyecto a Nivel Financiero</t>
  </si>
  <si>
    <t>Año</t>
  </si>
  <si>
    <t>Activo de Trabajo</t>
  </si>
  <si>
    <t>Credito Fiscal</t>
  </si>
  <si>
    <t>Impuesto a las Ganancias</t>
  </si>
  <si>
    <t>Total Egresos</t>
  </si>
  <si>
    <t>Utilidad  Antes  HD e IG</t>
  </si>
  <si>
    <t>Intereses Pagados</t>
  </si>
  <si>
    <t>Amortizaciones</t>
  </si>
  <si>
    <t>Cobro Credito Fiscal</t>
  </si>
  <si>
    <t>Total Ingresos</t>
  </si>
  <si>
    <t>Saldo Anual</t>
  </si>
  <si>
    <t>Saldo Acumulado</t>
  </si>
  <si>
    <t>Suma.</t>
  </si>
  <si>
    <t>Beneficio Neto</t>
  </si>
  <si>
    <t>Periodo de Recupero de la Inversión</t>
  </si>
  <si>
    <t>en años</t>
  </si>
  <si>
    <t>TIR modificada</t>
  </si>
  <si>
    <t>Formulación para el Inversor</t>
  </si>
  <si>
    <t>Aporte de Capital</t>
  </si>
  <si>
    <t>Saldo propio de Fuentes y Usos</t>
  </si>
  <si>
    <t>para el inversor</t>
  </si>
  <si>
    <t>en años para el inversor</t>
  </si>
  <si>
    <t>TIR</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</si>
</sst>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quot;$&quot;* #,##0.00_);_(&quot;$&quot;* \(#,##0.00\);_(&quot;$&quot;* &quot;-&quot;??_);_(@_)"/>
    <numFmt numFmtId="165" formatCode="0.000%"/>
    <numFmt numFmtId="166" formatCode="D/M/YYYY"/>
    <numFmt numFmtId="167" formatCode="0.0%"/>
    <numFmt numFmtId="168" formatCode="_(* #,##0_);_(* \(#,##0\);_(* &quot;-&quot;??_);_(@_)"/>
    <numFmt numFmtId="169" formatCode="_(* #,##0.00_);_(* \(#,##0.00\);_(* &quot;-&quot;??_);_(@_)"/>
    <numFmt numFmtId="170" formatCode="_(&quot;$&quot;* #,##0_);_(&quot;$&quot;* \(#,##0\);_(&quot;$&quot;* &quot;-&quot;??_);_(@_)"/>
    <numFmt numFmtId="171" formatCode="0.000"/>
    <numFmt numFmtId="172" formatCode="0.0"/>
    <numFmt numFmtId="173" formatCode="_-&quot;$&quot;* #,##0.00_-;\-&quot;$&quot;* #,##0.00_-;_-&quot;$&quot;* &quot;-&quot;??_-;_-@"/>
    <numFmt numFmtId="174" formatCode="_-* #,##0.00_-;\-* #,##0.00_-;_-* &quot;-&quot;??_-;_-@"/>
  </numFmts>
  <fonts count="13">
    <font>
      <sz val="10.0"/>
      <color rgb="FF000000"/>
      <name val="Arial"/>
      <scheme val="minor"/>
    </font>
    <font>
      <sz val="10.0"/>
      <color theme="1"/>
      <name val="Roboto"/>
    </font>
    <font>
      <b/>
      <sz val="10.0"/>
      <color theme="1"/>
      <name val="Roboto"/>
    </font>
    <font>
      <b/>
      <sz val="10.0"/>
      <color rgb="FFFF0000"/>
      <name val="Roboto"/>
    </font>
    <font>
      <b/>
      <sz val="12.0"/>
      <color theme="1"/>
      <name val="Roboto"/>
    </font>
    <font>
      <b/>
      <sz val="11.0"/>
      <color theme="1"/>
      <name val="Roboto"/>
    </font>
    <font>
      <i/>
      <sz val="10.0"/>
      <color theme="1"/>
      <name val="Roboto"/>
    </font>
    <font>
      <b/>
      <i/>
      <sz val="10.0"/>
      <color theme="1"/>
      <name val="Roboto"/>
    </font>
    <font>
      <b/>
      <sz val="12.0"/>
      <color rgb="FFFF0000"/>
      <name val="Roboto"/>
    </font>
    <font/>
    <font>
      <b/>
      <i/>
      <sz val="8.0"/>
      <color theme="1"/>
      <name val="Roboto"/>
    </font>
    <font>
      <b/>
      <sz val="8.0"/>
      <color theme="1"/>
      <name val="Roboto"/>
    </font>
    <font>
      <sz val="12.0"/>
      <color theme="1"/>
      <name val="Roboto"/>
    </font>
  </fonts>
  <fills count="12">
    <fill>
      <patternFill patternType="none"/>
    </fill>
    <fill>
      <patternFill patternType="lightGray"/>
    </fill>
    <fill>
      <patternFill patternType="solid">
        <fgColor rgb="FFFFFFCC"/>
        <bgColor rgb="FFFFFFCC"/>
      </patternFill>
    </fill>
    <fill>
      <patternFill patternType="solid">
        <fgColor rgb="FFC0C0C0"/>
        <bgColor rgb="FFC0C0C0"/>
      </patternFill>
    </fill>
    <fill>
      <patternFill patternType="solid">
        <fgColor rgb="FFCCFFCC"/>
        <bgColor rgb="FFCCFFCC"/>
      </patternFill>
    </fill>
    <fill>
      <patternFill patternType="solid">
        <fgColor rgb="FF969696"/>
        <bgColor rgb="FF969696"/>
      </patternFill>
    </fill>
    <fill>
      <patternFill patternType="solid">
        <fgColor rgb="FFF2F2F2"/>
        <bgColor rgb="FFF2F2F2"/>
      </patternFill>
    </fill>
    <fill>
      <patternFill patternType="solid">
        <fgColor rgb="FFD8D8D8"/>
        <bgColor rgb="FFD8D8D8"/>
      </patternFill>
    </fill>
    <fill>
      <patternFill patternType="solid">
        <fgColor theme="0"/>
        <bgColor theme="0"/>
      </patternFill>
    </fill>
    <fill>
      <patternFill patternType="solid">
        <fgColor rgb="FFBFBFBF"/>
        <bgColor rgb="FFBFBFBF"/>
      </patternFill>
    </fill>
    <fill>
      <patternFill patternType="solid">
        <fgColor rgb="FFFFFFFF"/>
        <bgColor rgb="FFFFFFFF"/>
      </patternFill>
    </fill>
    <fill>
      <patternFill patternType="solid">
        <fgColor theme="9"/>
        <bgColor theme="9"/>
      </patternFill>
    </fill>
  </fills>
  <borders count="99">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hair">
        <color rgb="FF000000"/>
      </top>
      <bottom style="hair">
        <color rgb="FF000000"/>
      </bottom>
    </border>
    <border>
      <right style="thin">
        <color rgb="FF000000"/>
      </right>
      <top style="hair">
        <color rgb="FF000000"/>
      </top>
      <bottom style="hair">
        <color rgb="FF000000"/>
      </bottom>
    </border>
    <border>
      <left/>
      <right style="double">
        <color rgb="FF000000"/>
      </right>
      <top style="hair">
        <color rgb="FF000000"/>
      </top>
      <bottom/>
    </border>
    <border>
      <right style="double">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hair">
        <color rgb="FF000000"/>
      </top>
      <bottom style="hair">
        <color rgb="FF000000"/>
      </bottom>
    </border>
    <border>
      <left/>
      <right/>
      <top/>
      <bottom/>
    </border>
    <border>
      <left style="double">
        <color rgb="FF000000"/>
      </left>
      <right style="thin">
        <color rgb="FF000000"/>
      </right>
      <top style="double">
        <color rgb="FF000000"/>
      </top>
      <bottom style="hair">
        <color rgb="FF000000"/>
      </bottom>
    </border>
    <border>
      <left/>
      <right style="thin">
        <color rgb="FF000000"/>
      </right>
      <top/>
      <bottom/>
    </border>
    <border>
      <left style="thin">
        <color rgb="FF000000"/>
      </left>
      <right style="thin">
        <color rgb="FF000000"/>
      </right>
      <top style="hair">
        <color rgb="FF000000"/>
      </top>
      <bottom style="double">
        <color rgb="FF000000"/>
      </bottom>
    </border>
    <border>
      <left style="double">
        <color rgb="FF000000"/>
      </left>
      <right style="thin">
        <color rgb="FF000000"/>
      </right>
      <top style="hair">
        <color rgb="FF000000"/>
      </top>
      <bottom style="hair">
        <color rgb="FF000000"/>
      </bottom>
    </border>
    <border>
      <right style="thin">
        <color rgb="FF000000"/>
      </right>
      <top style="hair">
        <color rgb="FF000000"/>
      </top>
    </border>
    <border>
      <left style="thin">
        <color rgb="FF000000"/>
      </left>
      <right style="thin">
        <color rgb="FF000000"/>
      </right>
      <top style="hair">
        <color rgb="FF000000"/>
      </top>
    </border>
    <border>
      <left style="double">
        <color rgb="FF000000"/>
      </left>
      <top style="hair">
        <color rgb="FF000000"/>
      </top>
      <bottom style="hair">
        <color rgb="FF000000"/>
      </bottom>
    </border>
    <border>
      <left style="thin">
        <color rgb="FF000000"/>
      </left>
      <right style="thin">
        <color rgb="FF000000"/>
      </right>
      <top style="hair">
        <color rgb="FF000000"/>
      </top>
      <bottom style="hair">
        <color rgb="FF000000"/>
      </bottom>
    </border>
    <border>
      <left/>
      <right style="thin">
        <color rgb="FF000000"/>
      </right>
      <top/>
      <bottom style="hair">
        <color rgb="FF000000"/>
      </bottom>
    </border>
    <border>
      <left style="thin">
        <color rgb="FF000000"/>
      </left>
      <right style="thin">
        <color rgb="FF000000"/>
      </right>
      <top style="double">
        <color rgb="FF000000"/>
      </top>
      <bottom style="hair">
        <color rgb="FF000000"/>
      </bottom>
    </border>
    <border>
      <left style="thin">
        <color rgb="FF000000"/>
      </left>
      <right style="double">
        <color rgb="FF000000"/>
      </right>
      <top style="double">
        <color rgb="FF000000"/>
      </top>
      <bottom style="hair">
        <color rgb="FF000000"/>
      </bottom>
    </border>
    <border>
      <left style="double">
        <color rgb="FF000000"/>
      </left>
    </border>
    <border>
      <left style="double">
        <color rgb="FF000000"/>
      </left>
      <right style="thin">
        <color rgb="FF000000"/>
      </right>
      <top style="hair">
        <color rgb="FF000000"/>
      </top>
      <bottom/>
    </border>
    <border>
      <left style="thin">
        <color rgb="FF000000"/>
      </left>
      <right style="thin">
        <color rgb="FF000000"/>
      </right>
      <top style="hair">
        <color rgb="FF000000"/>
      </top>
      <bottom/>
    </border>
    <border>
      <left/>
      <right style="thin">
        <color rgb="FF000000"/>
      </right>
      <top style="hair">
        <color rgb="FF000000"/>
      </top>
      <bottom/>
    </border>
    <border>
      <left style="thin">
        <color rgb="FF000000"/>
      </left>
      <right style="double">
        <color rgb="FF000000"/>
      </right>
      <top style="hair">
        <color rgb="FF000000"/>
      </top>
      <bottom/>
    </border>
    <border>
      <left style="double">
        <color rgb="FF000000"/>
      </left>
      <right style="thin">
        <color rgb="FF000000"/>
      </right>
      <top style="hair">
        <color rgb="FF000000"/>
      </top>
      <bottom style="double">
        <color rgb="FF000000"/>
      </bottom>
    </border>
    <border>
      <right style="thin">
        <color rgb="FF000000"/>
      </right>
      <bottom style="hair">
        <color rgb="FF000000"/>
      </bottom>
    </border>
    <border>
      <left style="thin">
        <color rgb="FF000000"/>
      </left>
      <right style="thin">
        <color rgb="FF000000"/>
      </right>
      <top/>
      <bottom style="hair">
        <color rgb="FF000000"/>
      </bottom>
    </border>
    <border>
      <left style="double">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double">
        <color rgb="FF000000"/>
      </left>
      <right style="thin">
        <color rgb="FF000000"/>
      </right>
      <top/>
      <bottom style="hair">
        <color rgb="FF000000"/>
      </bottom>
    </border>
    <border>
      <left/>
      <right/>
      <top style="hair">
        <color rgb="FF000000"/>
      </top>
      <bottom/>
    </border>
    <border>
      <left style="thin">
        <color rgb="FF000000"/>
      </left>
      <right style="thin">
        <color rgb="FF000000"/>
      </right>
      <top style="double">
        <color rgb="FF000000"/>
      </top>
      <bottom style="double">
        <color rgb="FF000000"/>
      </bottom>
    </border>
    <border>
      <left style="thin">
        <color rgb="FF000000"/>
      </left>
      <right style="thin">
        <color rgb="FF000000"/>
      </right>
      <bottom style="hair">
        <color rgb="FF000000"/>
      </bottom>
    </border>
    <border>
      <right style="thin">
        <color rgb="FF000000"/>
      </right>
      <top style="hair">
        <color rgb="FF000000"/>
      </top>
      <bottom style="double">
        <color rgb="FF000000"/>
      </bottom>
    </border>
    <border>
      <left style="thin">
        <color rgb="FF000000"/>
      </left>
      <top style="double">
        <color rgb="FF000000"/>
      </top>
      <bottom style="hair">
        <color rgb="FF000000"/>
      </bottom>
    </border>
    <border>
      <right style="thin">
        <color rgb="FF000000"/>
      </right>
      <top style="double">
        <color rgb="FF000000"/>
      </top>
      <bottom style="hair">
        <color rgb="FF000000"/>
      </bottom>
    </border>
    <border>
      <left style="thin">
        <color rgb="FF000000"/>
      </left>
      <top/>
      <bottom style="hair">
        <color rgb="FF000000"/>
      </bottom>
    </border>
    <border>
      <top/>
      <bottom style="hair">
        <color rgb="FF000000"/>
      </bottom>
    </border>
    <border>
      <right/>
      <top/>
      <bottom style="hair">
        <color rgb="FF000000"/>
      </bottom>
    </border>
    <border>
      <left style="thin">
        <color rgb="FF000000"/>
      </left>
      <top style="hair">
        <color rgb="FF000000"/>
      </top>
      <bottom style="double">
        <color rgb="FF000000"/>
      </bottom>
    </border>
    <border>
      <left style="thin">
        <color rgb="FF000000"/>
      </left>
      <top style="hair">
        <color rgb="FF000000"/>
      </top>
      <bottom style="hair">
        <color rgb="FF000000"/>
      </bottom>
    </border>
    <border>
      <left style="thin">
        <color rgb="FF000000"/>
      </left>
      <top style="double">
        <color rgb="FF000000"/>
      </top>
      <bottom style="double">
        <color rgb="FF000000"/>
      </bottom>
    </border>
    <border>
      <right style="thin">
        <color rgb="FF000000"/>
      </right>
      <top style="double">
        <color rgb="FF000000"/>
      </top>
      <bottom style="double">
        <color rgb="FF000000"/>
      </bottom>
    </border>
    <border>
      <left style="double">
        <color rgb="FF000000"/>
      </left>
      <right style="thin">
        <color rgb="FF000000"/>
      </right>
    </border>
    <border>
      <left style="double">
        <color rgb="FF000000"/>
      </left>
      <right/>
      <top style="double">
        <color rgb="FF000000"/>
      </top>
      <bottom style="hair">
        <color rgb="FF000000"/>
      </bottom>
    </border>
    <border>
      <left/>
      <right/>
      <top style="double">
        <color rgb="FF000000"/>
      </top>
      <bottom style="hair">
        <color rgb="FF000000"/>
      </bottom>
    </border>
    <border>
      <left/>
      <right style="double">
        <color rgb="FF000000"/>
      </right>
      <top style="double">
        <color rgb="FF000000"/>
      </top>
      <bottom style="hair">
        <color rgb="FF000000"/>
      </bottom>
    </border>
    <border>
      <left style="thin">
        <color rgb="FF000000"/>
      </left>
      <right style="double">
        <color rgb="FF000000"/>
      </right>
      <top style="hair">
        <color rgb="FF000000"/>
      </top>
      <bottom style="double">
        <color rgb="FF000000"/>
      </bottom>
    </border>
    <border>
      <top style="hair">
        <color rgb="FF000000"/>
      </top>
      <bottom style="hair">
        <color rgb="FF000000"/>
      </bottom>
    </border>
    <border>
      <left style="thin">
        <color rgb="FF000000"/>
      </left>
      <right style="double">
        <color rgb="FF000000"/>
      </right>
      <bottom style="hair">
        <color rgb="FF000000"/>
      </bottom>
    </border>
    <border>
      <left style="thin">
        <color rgb="FF000000"/>
      </left>
      <right style="double">
        <color rgb="FF000000"/>
      </right>
      <top style="hair">
        <color rgb="FF000000"/>
      </top>
    </border>
    <border>
      <top style="hair">
        <color rgb="FF000000"/>
      </top>
      <bottom style="double">
        <color rgb="FF000000"/>
      </bottom>
    </border>
    <border>
      <left style="double">
        <color rgb="FF000000"/>
      </left>
      <top style="double">
        <color rgb="FF000000"/>
      </top>
      <bottom style="hair">
        <color rgb="FF000000"/>
      </bottom>
    </border>
    <border>
      <top style="double">
        <color rgb="FF000000"/>
      </top>
      <bottom style="hair">
        <color rgb="FF000000"/>
      </bottom>
    </border>
    <border>
      <right style="double">
        <color rgb="FF000000"/>
      </right>
      <top style="double">
        <color rgb="FF000000"/>
      </top>
      <bottom style="hair">
        <color rgb="FF000000"/>
      </bottom>
    </border>
    <border>
      <left style="double">
        <color rgb="FF000000"/>
      </left>
      <bottom style="hair">
        <color rgb="FF000000"/>
      </bottom>
    </border>
    <border>
      <left style="thin">
        <color rgb="FF000000"/>
      </left>
      <right style="double">
        <color rgb="FF000000"/>
      </right>
      <top/>
      <bottom style="hair">
        <color rgb="FF000000"/>
      </bottom>
    </border>
    <border>
      <left style="double">
        <color rgb="FF000000"/>
      </left>
      <right style="thin">
        <color rgb="FF000000"/>
      </right>
      <top style="hair">
        <color rgb="FF000000"/>
      </top>
    </border>
    <border>
      <left style="thin">
        <color rgb="FF000000"/>
      </left>
      <right style="thin">
        <color rgb="FF000000"/>
      </right>
      <top/>
      <bottom/>
    </border>
    <border>
      <left style="thin">
        <color rgb="FF000000"/>
      </left>
      <right style="thin">
        <color rgb="FF000000"/>
      </right>
      <top/>
      <bottom style="double">
        <color rgb="FF000000"/>
      </bottom>
    </border>
    <border>
      <left style="double">
        <color rgb="FF000000"/>
      </left>
      <right style="thin">
        <color rgb="FF000000"/>
      </right>
      <bottom style="hair">
        <color rgb="FF000000"/>
      </bottom>
    </border>
    <border>
      <left style="double">
        <color rgb="FF000000"/>
      </left>
      <top style="double">
        <color rgb="FF000000"/>
      </top>
      <bottom style="double">
        <color rgb="FF000000"/>
      </bottom>
    </border>
    <border>
      <left style="double">
        <color rgb="FF000000"/>
      </left>
      <right style="thin">
        <color rgb="FF000000"/>
      </right>
      <top style="double">
        <color rgb="FF000000"/>
      </top>
      <bottom style="double">
        <color rgb="FF000000"/>
      </bottom>
    </border>
    <border>
      <left style="thin">
        <color rgb="FF000000"/>
      </left>
      <right style="double">
        <color rgb="FF000000"/>
      </right>
      <top style="double">
        <color rgb="FF000000"/>
      </top>
      <bottom style="double">
        <color rgb="FF000000"/>
      </bottom>
    </border>
    <border>
      <left style="double">
        <color rgb="FF000000"/>
      </left>
      <right style="double">
        <color rgb="FF000000"/>
      </right>
      <top style="hair">
        <color rgb="FF000000"/>
      </top>
      <bottom style="hair">
        <color rgb="FF000000"/>
      </bottom>
    </border>
    <border>
      <left style="thin">
        <color rgb="FF000000"/>
      </left>
      <right/>
      <top style="hair">
        <color rgb="FF000000"/>
      </top>
      <bottom style="double">
        <color rgb="FF000000"/>
      </bottom>
    </border>
    <border>
      <left/>
      <right style="double">
        <color rgb="FF000000"/>
      </right>
      <top style="hair">
        <color rgb="FF000000"/>
      </top>
      <bottom style="hair">
        <color rgb="FF000000"/>
      </bottom>
    </border>
    <border>
      <left style="double">
        <color rgb="FF000000"/>
      </left>
      <right/>
      <top/>
      <bottom style="hair">
        <color rgb="FF000000"/>
      </bottom>
    </border>
    <border>
      <left/>
      <right/>
      <top/>
      <bottom style="hair">
        <color rgb="FF000000"/>
      </bottom>
    </border>
    <border>
      <left/>
      <top style="hair">
        <color rgb="FF000000"/>
      </top>
      <bottom style="hair">
        <color rgb="FF000000"/>
      </bottom>
    </border>
    <border>
      <left style="double">
        <color rgb="FF000000"/>
      </left>
      <top style="hair">
        <color rgb="FF000000"/>
      </top>
      <bottom/>
    </border>
    <border>
      <right style="thin">
        <color rgb="FF000000"/>
      </right>
      <top style="hair">
        <color rgb="FF000000"/>
      </top>
      <bottom/>
    </border>
    <border>
      <left style="double">
        <color rgb="FF000000"/>
      </left>
      <right style="double">
        <color rgb="FF000000"/>
      </right>
      <top style="double">
        <color rgb="FF000000"/>
      </top>
      <bottom style="hair">
        <color rgb="FF000000"/>
      </bottom>
    </border>
    <border>
      <bottom style="hair">
        <color rgb="FF000000"/>
      </bottom>
    </border>
    <border>
      <left style="double">
        <color rgb="FF000000"/>
      </left>
      <right style="double">
        <color rgb="FF000000"/>
      </right>
      <top style="hair">
        <color rgb="FF000000"/>
      </top>
      <bottom style="double">
        <color rgb="FF000000"/>
      </bottom>
    </border>
    <border>
      <left/>
      <right style="thin">
        <color rgb="FF000000"/>
      </right>
      <top style="hair">
        <color rgb="FF000000"/>
      </top>
      <bottom style="double">
        <color rgb="FF000000"/>
      </bottom>
    </border>
    <border>
      <left style="double">
        <color rgb="FF000000"/>
      </lef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double">
        <color rgb="FF000000"/>
      </left>
      <right style="thin">
        <color rgb="FF000000"/>
      </right>
      <top/>
      <bottom/>
    </border>
    <border>
      <left style="thin">
        <color rgb="FF000000"/>
      </left>
      <top style="thin">
        <color rgb="FF000000"/>
      </top>
      <bottom/>
    </border>
    <border>
      <right style="thin">
        <color rgb="FF000000"/>
      </right>
      <top style="thin">
        <color rgb="FF000000"/>
      </top>
      <bottom/>
    </border>
    <border>
      <left style="thin">
        <color rgb="FF000000"/>
      </left>
      <right style="double">
        <color rgb="FF000000"/>
      </right>
      <top/>
      <bottom/>
    </border>
    <border>
      <left style="double">
        <color rgb="FF000000"/>
      </left>
      <right style="thin">
        <color rgb="FF000000"/>
      </right>
      <top/>
      <bottom style="double">
        <color rgb="FF000000"/>
      </bottom>
    </border>
    <border>
      <left style="thin">
        <color rgb="FF000000"/>
      </left>
      <right style="double">
        <color rgb="FF000000"/>
      </right>
      <top/>
      <bottom style="double">
        <color rgb="FF000000"/>
      </bottom>
    </border>
    <border>
      <left style="double">
        <color rgb="FF000000"/>
      </left>
      <right style="thin">
        <color rgb="FF000000"/>
      </right>
      <bottom style="double">
        <color rgb="FF000000"/>
      </bottom>
    </border>
    <border>
      <right/>
      <top style="hair">
        <color rgb="FF000000"/>
      </top>
      <bottom/>
    </border>
    <border>
      <left style="thin">
        <color rgb="FF000000"/>
      </left>
      <right/>
      <top style="hair">
        <color rgb="FF000000"/>
      </top>
      <bottom/>
    </border>
    <border>
      <left/>
      <right/>
      <top style="hair">
        <color rgb="FF000000"/>
      </top>
      <bottom style="hair">
        <color rgb="FF000000"/>
      </bottom>
    </border>
    <border>
      <left style="thin">
        <color rgb="FF000000"/>
      </left>
      <right/>
      <top style="hair">
        <color rgb="FF000000"/>
      </top>
      <bottom style="hair">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top/>
      <bottom style="hair">
        <color rgb="FF000000"/>
      </bottom>
    </border>
    <border>
      <left style="thin">
        <color rgb="FF000000"/>
      </left>
      <right style="thin">
        <color rgb="FF000000"/>
      </right>
      <top style="thin">
        <color rgb="FF000000"/>
      </top>
      <bottom/>
    </border>
    <border>
      <left style="double">
        <color rgb="FF000000"/>
      </left>
      <right style="double">
        <color rgb="FF000000"/>
      </right>
      <top style="double">
        <color rgb="FF000000"/>
      </top>
      <bottom style="double">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0" fontId="1" numFmtId="0" xfId="0" applyFont="1"/>
    <xf borderId="1" fillId="2" fontId="2" numFmtId="9" xfId="0" applyBorder="1" applyFill="1" applyFont="1" applyNumberFormat="1"/>
    <xf borderId="2" fillId="0" fontId="2" numFmtId="9" xfId="0" applyBorder="1" applyFont="1" applyNumberFormat="1"/>
    <xf borderId="3" fillId="3" fontId="1" numFmtId="164" xfId="0" applyBorder="1" applyFill="1" applyFont="1" applyNumberFormat="1"/>
    <xf borderId="4" fillId="0" fontId="1" numFmtId="164" xfId="0" applyBorder="1" applyFont="1" applyNumberFormat="1"/>
    <xf borderId="5" fillId="4" fontId="1" numFmtId="164" xfId="0" applyAlignment="1" applyBorder="1" applyFill="1" applyFont="1" applyNumberFormat="1">
      <alignment horizontal="left"/>
    </xf>
    <xf borderId="6" fillId="0" fontId="1" numFmtId="164" xfId="0" applyAlignment="1" applyBorder="1" applyFont="1" applyNumberFormat="1">
      <alignment horizontal="left"/>
    </xf>
    <xf borderId="0" fillId="0" fontId="1" numFmtId="165" xfId="0" applyFont="1" applyNumberFormat="1"/>
    <xf borderId="7" fillId="0" fontId="1" numFmtId="0" xfId="0" applyBorder="1" applyFont="1"/>
    <xf borderId="0" fillId="0" fontId="1" numFmtId="10" xfId="0" applyFont="1" applyNumberFormat="1"/>
    <xf borderId="0" fillId="0" fontId="2" numFmtId="10" xfId="0" applyFont="1" applyNumberFormat="1"/>
    <xf borderId="0" fillId="0" fontId="1" numFmtId="164" xfId="0" applyFont="1" applyNumberFormat="1"/>
    <xf borderId="7" fillId="2" fontId="2" numFmtId="166" xfId="0" applyBorder="1" applyFont="1" applyNumberFormat="1"/>
    <xf borderId="0" fillId="0" fontId="1" numFmtId="0" xfId="0" applyAlignment="1" applyFont="1">
      <alignment horizontal="right"/>
    </xf>
    <xf borderId="7" fillId="2" fontId="2" numFmtId="9" xfId="0" applyBorder="1" applyFont="1" applyNumberFormat="1"/>
    <xf borderId="7" fillId="2" fontId="2" numFmtId="167" xfId="0" applyBorder="1" applyFont="1" applyNumberFormat="1"/>
    <xf borderId="8" fillId="4" fontId="1" numFmtId="164" xfId="0" applyAlignment="1" applyBorder="1" applyFont="1" applyNumberFormat="1">
      <alignment horizontal="center"/>
    </xf>
    <xf borderId="7" fillId="2" fontId="2" numFmtId="168" xfId="0" applyBorder="1" applyFont="1" applyNumberFormat="1"/>
    <xf borderId="7" fillId="2" fontId="2" numFmtId="0" xfId="0" applyBorder="1" applyFont="1"/>
    <xf borderId="9" fillId="2" fontId="2" numFmtId="9" xfId="0" applyBorder="1" applyFont="1" applyNumberFormat="1"/>
    <xf borderId="7" fillId="2" fontId="2" numFmtId="3" xfId="0" applyBorder="1" applyFont="1" applyNumberFormat="1"/>
    <xf borderId="0" fillId="0" fontId="3" numFmtId="0" xfId="0" applyFont="1"/>
    <xf borderId="10" fillId="5" fontId="4" numFmtId="0" xfId="0" applyBorder="1" applyFill="1" applyFont="1"/>
    <xf borderId="11" fillId="5" fontId="4" numFmtId="0" xfId="0" applyAlignment="1" applyBorder="1" applyFont="1">
      <alignment horizontal="center" shrinkToFit="0" wrapText="1"/>
    </xf>
    <xf borderId="12" fillId="5" fontId="2" numFmtId="0" xfId="0" applyAlignment="1" applyBorder="1" applyFont="1">
      <alignment horizontal="center"/>
    </xf>
    <xf borderId="13" fillId="0" fontId="5" numFmtId="0" xfId="0" applyBorder="1" applyFont="1"/>
    <xf borderId="14" fillId="0" fontId="2" numFmtId="0" xfId="0" applyBorder="1" applyFont="1"/>
    <xf borderId="15" fillId="0" fontId="1" numFmtId="0" xfId="0" applyBorder="1" applyFont="1"/>
    <xf borderId="16" fillId="0" fontId="6" numFmtId="0" xfId="0" applyBorder="1" applyFont="1"/>
    <xf borderId="17" fillId="2" fontId="7" numFmtId="169" xfId="0" applyBorder="1" applyFont="1" applyNumberFormat="1"/>
    <xf borderId="18" fillId="6" fontId="7" numFmtId="169" xfId="0" applyBorder="1" applyFill="1" applyFont="1" applyNumberFormat="1"/>
    <xf borderId="10" fillId="2" fontId="1" numFmtId="170" xfId="0" applyBorder="1" applyFont="1" applyNumberFormat="1"/>
    <xf borderId="19" fillId="2" fontId="1" numFmtId="170" xfId="0" applyBorder="1" applyFont="1" applyNumberFormat="1"/>
    <xf borderId="20" fillId="2" fontId="1" numFmtId="170" xfId="0" applyBorder="1" applyFont="1" applyNumberFormat="1"/>
    <xf borderId="0" fillId="0" fontId="1" numFmtId="170" xfId="0" applyFont="1" applyNumberFormat="1"/>
    <xf borderId="17" fillId="2" fontId="7" numFmtId="168" xfId="0" applyBorder="1" applyFont="1" applyNumberFormat="1"/>
    <xf borderId="3" fillId="6" fontId="7" numFmtId="9" xfId="0" applyBorder="1" applyFont="1" applyNumberFormat="1"/>
    <xf borderId="13" fillId="2" fontId="1" numFmtId="170" xfId="0" applyBorder="1" applyFont="1" applyNumberFormat="1"/>
    <xf borderId="17" fillId="2" fontId="1" numFmtId="170" xfId="0" applyBorder="1" applyFont="1" applyNumberFormat="1"/>
    <xf borderId="8" fillId="2" fontId="1" numFmtId="170" xfId="0" applyBorder="1" applyFont="1" applyNumberFormat="1"/>
    <xf borderId="3" fillId="6" fontId="7" numFmtId="167" xfId="0" applyBorder="1" applyFont="1" applyNumberFormat="1"/>
    <xf borderId="21" fillId="0" fontId="6" numFmtId="0" xfId="0" applyBorder="1" applyFont="1"/>
    <xf quotePrefix="1" borderId="16" fillId="0" fontId="6" numFmtId="0" xfId="0" applyAlignment="1" applyBorder="1" applyFont="1">
      <alignment horizontal="left"/>
    </xf>
    <xf borderId="22" fillId="2" fontId="1" numFmtId="170" xfId="0" applyBorder="1" applyFont="1" applyNumberFormat="1"/>
    <xf borderId="23" fillId="2" fontId="1" numFmtId="170" xfId="0" applyBorder="1" applyFont="1" applyNumberFormat="1"/>
    <xf borderId="24" fillId="2" fontId="1" numFmtId="170" xfId="0" applyBorder="1" applyFont="1" applyNumberFormat="1"/>
    <xf borderId="25" fillId="2" fontId="1" numFmtId="170" xfId="0" applyBorder="1" applyFont="1" applyNumberFormat="1"/>
    <xf borderId="26" fillId="6" fontId="1" numFmtId="170" xfId="0" applyBorder="1" applyFont="1" applyNumberFormat="1"/>
    <xf borderId="27" fillId="0" fontId="2" numFmtId="168" xfId="0" applyBorder="1" applyFont="1" applyNumberFormat="1"/>
    <xf borderId="28" fillId="6" fontId="2" numFmtId="170" xfId="0" applyBorder="1" applyFont="1" applyNumberFormat="1"/>
    <xf borderId="0" fillId="0" fontId="2" numFmtId="0" xfId="0" applyFont="1"/>
    <xf borderId="13" fillId="0" fontId="1" numFmtId="0" xfId="0" applyBorder="1" applyFont="1"/>
    <xf borderId="4" fillId="0" fontId="1" numFmtId="168" xfId="0" applyBorder="1" applyFont="1" applyNumberFormat="1"/>
    <xf borderId="17" fillId="0" fontId="1" numFmtId="164" xfId="0" applyBorder="1" applyFont="1" applyNumberFormat="1"/>
    <xf borderId="14" fillId="0" fontId="2" numFmtId="168" xfId="0" applyBorder="1" applyFont="1" applyNumberFormat="1"/>
    <xf borderId="15" fillId="0" fontId="1" numFmtId="164" xfId="0" applyBorder="1" applyFont="1" applyNumberFormat="1"/>
    <xf borderId="24" fillId="6" fontId="7" numFmtId="9" xfId="0" applyBorder="1" applyFont="1" applyNumberFormat="1"/>
    <xf borderId="7" fillId="6" fontId="7" numFmtId="9" xfId="0" applyBorder="1" applyFont="1" applyNumberFormat="1"/>
    <xf borderId="29" fillId="2" fontId="1" numFmtId="170" xfId="0" applyBorder="1" applyFont="1" applyNumberFormat="1"/>
    <xf borderId="30" fillId="2" fontId="1" numFmtId="170" xfId="0" applyBorder="1" applyFont="1" applyNumberFormat="1"/>
    <xf borderId="3" fillId="2" fontId="1" numFmtId="170" xfId="0" applyBorder="1" applyFont="1" applyNumberFormat="1"/>
    <xf borderId="18" fillId="6" fontId="7" numFmtId="9" xfId="0" applyBorder="1" applyFont="1" applyNumberFormat="1"/>
    <xf borderId="31" fillId="2" fontId="1" numFmtId="170" xfId="0" applyBorder="1" applyFont="1" applyNumberFormat="1"/>
    <xf borderId="28" fillId="2" fontId="1" numFmtId="170" xfId="0" applyBorder="1" applyFont="1" applyNumberFormat="1"/>
    <xf borderId="16" fillId="0" fontId="6" numFmtId="0" xfId="0" applyAlignment="1" applyBorder="1" applyFont="1">
      <alignment horizontal="left"/>
    </xf>
    <xf borderId="26" fillId="7" fontId="1" numFmtId="170" xfId="0" applyBorder="1" applyFill="1" applyFont="1" applyNumberFormat="1"/>
    <xf borderId="32" fillId="2" fontId="1" numFmtId="170" xfId="0" applyBorder="1" applyFont="1" applyNumberFormat="1"/>
    <xf borderId="28" fillId="7" fontId="2" numFmtId="170" xfId="0" applyBorder="1" applyFont="1" applyNumberFormat="1"/>
    <xf borderId="17" fillId="0" fontId="1" numFmtId="170" xfId="0" applyBorder="1" applyFont="1" applyNumberFormat="1"/>
    <xf borderId="4" fillId="0" fontId="2" numFmtId="168" xfId="0" applyBorder="1" applyFont="1" applyNumberFormat="1"/>
    <xf borderId="17" fillId="7" fontId="2" numFmtId="170" xfId="0" applyBorder="1" applyFont="1" applyNumberFormat="1"/>
    <xf borderId="0" fillId="0" fontId="2" numFmtId="170" xfId="0" applyFont="1" applyNumberFormat="1"/>
    <xf borderId="14" fillId="0" fontId="1" numFmtId="168" xfId="0" applyBorder="1" applyFont="1" applyNumberFormat="1"/>
    <xf borderId="15" fillId="0" fontId="1" numFmtId="170" xfId="0" applyBorder="1" applyFont="1" applyNumberFormat="1"/>
    <xf borderId="0" fillId="0" fontId="2" numFmtId="168" xfId="0" applyFont="1" applyNumberFormat="1"/>
    <xf borderId="33" fillId="7" fontId="2" numFmtId="170" xfId="0" applyBorder="1" applyFont="1" applyNumberFormat="1"/>
    <xf borderId="27" fillId="0" fontId="1" numFmtId="0" xfId="0" applyBorder="1" applyFont="1"/>
    <xf borderId="34" fillId="0" fontId="1" numFmtId="170" xfId="0" applyBorder="1" applyFont="1" applyNumberFormat="1"/>
    <xf quotePrefix="1" borderId="26" fillId="0" fontId="5" numFmtId="0" xfId="0" applyAlignment="1" applyBorder="1" applyFont="1">
      <alignment horizontal="left"/>
    </xf>
    <xf borderId="35" fillId="0" fontId="5" numFmtId="0" xfId="0" applyAlignment="1" applyBorder="1" applyFont="1">
      <alignment horizontal="left"/>
    </xf>
    <xf borderId="12" fillId="7" fontId="5" numFmtId="170" xfId="0" applyBorder="1" applyFont="1" applyNumberFormat="1"/>
    <xf borderId="0" fillId="0" fontId="5" numFmtId="0" xfId="0" applyFont="1"/>
    <xf borderId="0" fillId="0" fontId="8" numFmtId="0" xfId="0" applyFont="1"/>
    <xf borderId="36" fillId="5" fontId="2" numFmtId="0" xfId="0" applyAlignment="1" applyBorder="1" applyFont="1">
      <alignment horizontal="center"/>
    </xf>
    <xf borderId="37" fillId="0" fontId="9" numFmtId="0" xfId="0" applyBorder="1" applyFont="1"/>
    <xf borderId="19" fillId="5" fontId="2" numFmtId="0" xfId="0" applyAlignment="1" applyBorder="1" applyFont="1">
      <alignment horizontal="center"/>
    </xf>
    <xf borderId="38" fillId="5" fontId="2" numFmtId="0" xfId="0" applyAlignment="1" applyBorder="1" applyFont="1">
      <alignment horizontal="center"/>
    </xf>
    <xf borderId="39" fillId="0" fontId="9" numFmtId="0" xfId="0" applyBorder="1" applyFont="1"/>
    <xf borderId="40" fillId="0" fontId="9" numFmtId="0" xfId="0" applyBorder="1" applyFont="1"/>
    <xf borderId="10" fillId="5" fontId="2" numFmtId="0" xfId="0" applyAlignment="1" applyBorder="1" applyFont="1">
      <alignment horizontal="center"/>
    </xf>
    <xf borderId="41" fillId="5" fontId="2" numFmtId="0" xfId="0" applyAlignment="1" applyBorder="1" applyFont="1">
      <alignment horizontal="center"/>
    </xf>
    <xf borderId="35" fillId="0" fontId="9" numFmtId="0" xfId="0" applyBorder="1" applyFont="1"/>
    <xf borderId="20" fillId="5" fontId="2" numFmtId="0" xfId="0" applyBorder="1" applyFont="1"/>
    <xf borderId="19" fillId="0" fontId="1" numFmtId="164" xfId="0" applyBorder="1" applyFont="1" applyNumberFormat="1"/>
    <xf borderId="19" fillId="0" fontId="1" numFmtId="0" xfId="0" applyAlignment="1" applyBorder="1" applyFont="1">
      <alignment horizontal="center"/>
    </xf>
    <xf borderId="20" fillId="0" fontId="1" numFmtId="0" xfId="0" applyBorder="1" applyFont="1"/>
    <xf borderId="42" fillId="7" fontId="1" numFmtId="9" xfId="0" applyAlignment="1" applyBorder="1" applyFont="1" applyNumberFormat="1">
      <alignment horizontal="center"/>
    </xf>
    <xf borderId="4" fillId="0" fontId="9" numFmtId="0" xfId="0" applyBorder="1" applyFont="1"/>
    <xf borderId="17" fillId="7" fontId="1" numFmtId="170" xfId="0" applyBorder="1" applyFont="1" applyNumberFormat="1"/>
    <xf borderId="8" fillId="7" fontId="1" numFmtId="170" xfId="0" applyBorder="1" applyFont="1" applyNumberFormat="1"/>
    <xf borderId="42" fillId="8" fontId="1" numFmtId="9" xfId="0" applyAlignment="1" applyBorder="1" applyFill="1" applyFont="1" applyNumberFormat="1">
      <alignment horizontal="center"/>
    </xf>
    <xf borderId="17" fillId="8" fontId="1" numFmtId="170" xfId="0" applyBorder="1" applyFont="1" applyNumberFormat="1"/>
    <xf borderId="17" fillId="7" fontId="5" numFmtId="170" xfId="0" applyBorder="1" applyFont="1" applyNumberFormat="1"/>
    <xf borderId="8" fillId="7" fontId="5" numFmtId="170" xfId="0" applyBorder="1" applyFont="1" applyNumberFormat="1"/>
    <xf borderId="8" fillId="8" fontId="1" numFmtId="170" xfId="0" applyBorder="1" applyFont="1" applyNumberFormat="1"/>
    <xf borderId="17" fillId="0" fontId="1" numFmtId="0" xfId="0" applyBorder="1" applyFont="1"/>
    <xf borderId="17" fillId="0" fontId="2" numFmtId="170" xfId="0" applyAlignment="1" applyBorder="1" applyFont="1" applyNumberFormat="1">
      <alignment horizontal="center"/>
    </xf>
    <xf borderId="17" fillId="0" fontId="1" numFmtId="170" xfId="0" applyAlignment="1" applyBorder="1" applyFont="1" applyNumberFormat="1">
      <alignment horizontal="center"/>
    </xf>
    <xf borderId="8" fillId="0" fontId="1" numFmtId="170" xfId="0" applyAlignment="1" applyBorder="1" applyFont="1" applyNumberFormat="1">
      <alignment horizontal="center"/>
    </xf>
    <xf borderId="41" fillId="7" fontId="2" numFmtId="164" xfId="0" applyAlignment="1" applyBorder="1" applyFont="1" applyNumberFormat="1">
      <alignment horizontal="center"/>
    </xf>
    <xf borderId="12" fillId="0" fontId="2" numFmtId="170" xfId="0" applyBorder="1" applyFont="1" applyNumberFormat="1"/>
    <xf borderId="43" fillId="7" fontId="2" numFmtId="9" xfId="0" applyAlignment="1" applyBorder="1" applyFont="1" applyNumberFormat="1">
      <alignment horizontal="center"/>
    </xf>
    <xf borderId="44" fillId="0" fontId="9" numFmtId="0" xfId="0" applyBorder="1" applyFont="1"/>
    <xf borderId="12" fillId="7" fontId="2" numFmtId="170" xfId="0" applyBorder="1" applyFont="1" applyNumberFormat="1"/>
    <xf borderId="45" fillId="0" fontId="10" numFmtId="0" xfId="0" applyBorder="1" applyFont="1"/>
    <xf borderId="46" fillId="5" fontId="4" numFmtId="0" xfId="0" applyAlignment="1" applyBorder="1" applyFont="1">
      <alignment horizontal="center"/>
    </xf>
    <xf borderId="47" fillId="5" fontId="4" numFmtId="0" xfId="0" applyAlignment="1" applyBorder="1" applyFont="1">
      <alignment horizontal="center"/>
    </xf>
    <xf borderId="48" fillId="5" fontId="4" numFmtId="0" xfId="0" applyAlignment="1" applyBorder="1" applyFont="1">
      <alignment horizontal="center"/>
    </xf>
    <xf borderId="13" fillId="5" fontId="2" numFmtId="0" xfId="0" applyAlignment="1" applyBorder="1" applyFont="1">
      <alignment horizontal="center"/>
    </xf>
    <xf borderId="49" fillId="5" fontId="2" numFmtId="0" xfId="0" applyAlignment="1" applyBorder="1" applyFont="1">
      <alignment horizontal="center"/>
    </xf>
    <xf borderId="50" fillId="0" fontId="2" numFmtId="0" xfId="0" applyBorder="1" applyFont="1"/>
    <xf borderId="34" fillId="0" fontId="1" numFmtId="164" xfId="0" applyAlignment="1" applyBorder="1" applyFont="1" applyNumberFormat="1">
      <alignment horizontal="center"/>
    </xf>
    <xf borderId="51" fillId="0" fontId="1" numFmtId="164" xfId="0" applyAlignment="1" applyBorder="1" applyFont="1" applyNumberFormat="1">
      <alignment horizontal="center"/>
    </xf>
    <xf borderId="17" fillId="3" fontId="1" numFmtId="170" xfId="0" applyAlignment="1" applyBorder="1" applyFont="1" applyNumberFormat="1">
      <alignment horizontal="center"/>
    </xf>
    <xf borderId="50" fillId="0" fontId="1" numFmtId="0" xfId="0" applyBorder="1" applyFont="1"/>
    <xf borderId="50" fillId="0" fontId="6" numFmtId="0" xfId="0" applyBorder="1" applyFont="1"/>
    <xf borderId="10" fillId="2" fontId="1" numFmtId="170" xfId="0" applyAlignment="1" applyBorder="1" applyFont="1" applyNumberFormat="1">
      <alignment horizontal="center"/>
    </xf>
    <xf borderId="19" fillId="2" fontId="1" numFmtId="170" xfId="0" applyAlignment="1" applyBorder="1" applyFont="1" applyNumberFormat="1">
      <alignment horizontal="center"/>
    </xf>
    <xf borderId="26" fillId="2" fontId="1" numFmtId="170" xfId="0" applyAlignment="1" applyBorder="1" applyFont="1" applyNumberFormat="1">
      <alignment horizontal="center"/>
    </xf>
    <xf borderId="12" fillId="2" fontId="1" numFmtId="170" xfId="0" applyAlignment="1" applyBorder="1" applyFont="1" applyNumberFormat="1">
      <alignment horizontal="center"/>
    </xf>
    <xf borderId="49" fillId="2" fontId="1" numFmtId="170" xfId="0" applyAlignment="1" applyBorder="1" applyFont="1" applyNumberFormat="1">
      <alignment horizontal="center"/>
    </xf>
    <xf borderId="28" fillId="3" fontId="1" numFmtId="170" xfId="0" applyAlignment="1" applyBorder="1" applyFont="1" applyNumberFormat="1">
      <alignment horizontal="center"/>
    </xf>
    <xf borderId="17" fillId="3" fontId="2" numFmtId="170" xfId="0" applyAlignment="1" applyBorder="1" applyFont="1" applyNumberFormat="1">
      <alignment horizontal="center"/>
    </xf>
    <xf borderId="8" fillId="3" fontId="1" numFmtId="170" xfId="0" applyAlignment="1" applyBorder="1" applyFont="1" applyNumberFormat="1">
      <alignment horizontal="center"/>
    </xf>
    <xf borderId="15" fillId="0" fontId="1" numFmtId="170" xfId="0" applyAlignment="1" applyBorder="1" applyFont="1" applyNumberFormat="1">
      <alignment horizontal="center"/>
    </xf>
    <xf borderId="52" fillId="0" fontId="1" numFmtId="170" xfId="0" applyBorder="1" applyFont="1" applyNumberFormat="1"/>
    <xf borderId="53" fillId="0" fontId="2" numFmtId="0" xfId="0" applyBorder="1" applyFont="1"/>
    <xf borderId="12" fillId="3" fontId="1" numFmtId="170" xfId="0" applyAlignment="1" applyBorder="1" applyFont="1" applyNumberFormat="1">
      <alignment horizontal="center"/>
    </xf>
    <xf borderId="49" fillId="3" fontId="1" numFmtId="170" xfId="0" applyAlignment="1" applyBorder="1" applyFont="1" applyNumberFormat="1">
      <alignment horizontal="center"/>
    </xf>
    <xf borderId="54" fillId="5" fontId="4" numFmtId="0" xfId="0" applyAlignment="1" applyBorder="1" applyFont="1">
      <alignment horizontal="center"/>
    </xf>
    <xf borderId="55" fillId="0" fontId="9" numFmtId="0" xfId="0" applyBorder="1" applyFont="1"/>
    <xf borderId="56" fillId="0" fontId="9" numFmtId="0" xfId="0" applyBorder="1" applyFont="1"/>
    <xf borderId="42" fillId="5" fontId="2" numFmtId="0" xfId="0" applyAlignment="1" applyBorder="1" applyFont="1">
      <alignment horizontal="center"/>
    </xf>
    <xf borderId="50" fillId="0" fontId="9" numFmtId="0" xfId="0" applyBorder="1" applyFont="1"/>
    <xf borderId="6" fillId="0" fontId="9" numFmtId="0" xfId="0" applyBorder="1" applyFont="1"/>
    <xf borderId="57" fillId="0" fontId="6" numFmtId="0" xfId="0" applyBorder="1" applyFont="1"/>
    <xf borderId="20" fillId="2" fontId="1" numFmtId="170" xfId="0" applyAlignment="1" applyBorder="1" applyFont="1" applyNumberFormat="1">
      <alignment horizontal="center"/>
    </xf>
    <xf borderId="20" fillId="4" fontId="1" numFmtId="164" xfId="0" applyAlignment="1" applyBorder="1" applyFont="1" applyNumberFormat="1">
      <alignment horizontal="center"/>
    </xf>
    <xf borderId="13" fillId="2" fontId="1" numFmtId="170" xfId="0" applyAlignment="1" applyBorder="1" applyFont="1" applyNumberFormat="1">
      <alignment horizontal="center"/>
    </xf>
    <xf borderId="17" fillId="2" fontId="1" numFmtId="170" xfId="0" applyAlignment="1" applyBorder="1" applyFont="1" applyNumberFormat="1">
      <alignment horizontal="center"/>
    </xf>
    <xf borderId="13" fillId="9" fontId="1" numFmtId="170" xfId="0" applyAlignment="1" applyBorder="1" applyFill="1" applyFont="1" applyNumberFormat="1">
      <alignment horizontal="center"/>
    </xf>
    <xf borderId="3" fillId="2" fontId="1" numFmtId="170" xfId="0" applyAlignment="1" applyBorder="1" applyFont="1" applyNumberFormat="1">
      <alignment horizontal="center"/>
    </xf>
    <xf borderId="25" fillId="4" fontId="1" numFmtId="164" xfId="0" applyAlignment="1" applyBorder="1" applyFont="1" applyNumberFormat="1">
      <alignment horizontal="center"/>
    </xf>
    <xf borderId="49" fillId="4" fontId="1" numFmtId="164" xfId="0" applyAlignment="1" applyBorder="1" applyFont="1" applyNumberFormat="1">
      <alignment horizontal="center"/>
    </xf>
    <xf borderId="13" fillId="0" fontId="2" numFmtId="0" xfId="0" applyBorder="1" applyFont="1"/>
    <xf borderId="28" fillId="3" fontId="2" numFmtId="170" xfId="0" applyAlignment="1" applyBorder="1" applyFont="1" applyNumberFormat="1">
      <alignment horizontal="center"/>
    </xf>
    <xf borderId="58" fillId="3" fontId="2" numFmtId="170" xfId="0" applyAlignment="1" applyBorder="1" applyFont="1" applyNumberFormat="1">
      <alignment horizontal="center"/>
    </xf>
    <xf borderId="59" fillId="0" fontId="1" numFmtId="0" xfId="0" applyBorder="1" applyFont="1"/>
    <xf borderId="59" fillId="0" fontId="2" numFmtId="0" xfId="0" applyBorder="1" applyFont="1"/>
    <xf borderId="26" fillId="0" fontId="2" numFmtId="0" xfId="0" applyBorder="1" applyFont="1"/>
    <xf borderId="12" fillId="3" fontId="2" numFmtId="170" xfId="0" applyAlignment="1" applyBorder="1" applyFont="1" applyNumberFormat="1">
      <alignment horizontal="center"/>
    </xf>
    <xf borderId="10" fillId="5" fontId="1" numFmtId="0" xfId="0" applyBorder="1" applyFont="1"/>
    <xf quotePrefix="1" borderId="12" fillId="5" fontId="1" numFmtId="0" xfId="0" applyAlignment="1" applyBorder="1" applyFont="1">
      <alignment horizontal="center"/>
    </xf>
    <xf borderId="13" fillId="9" fontId="1" numFmtId="164" xfId="0" applyAlignment="1" applyBorder="1" applyFont="1" applyNumberFormat="1">
      <alignment horizontal="center"/>
    </xf>
    <xf borderId="60" fillId="3" fontId="2" numFmtId="164" xfId="0" applyAlignment="1" applyBorder="1" applyFont="1" applyNumberFormat="1">
      <alignment horizontal="center"/>
    </xf>
    <xf borderId="61" fillId="3" fontId="2" numFmtId="164" xfId="0" applyAlignment="1" applyBorder="1" applyFont="1" applyNumberFormat="1">
      <alignment horizontal="center"/>
    </xf>
    <xf borderId="13" fillId="2" fontId="1" numFmtId="164" xfId="0" applyAlignment="1" applyBorder="1" applyFont="1" applyNumberFormat="1">
      <alignment horizontal="center"/>
    </xf>
    <xf borderId="17" fillId="2" fontId="1" numFmtId="164" xfId="0" applyAlignment="1" applyBorder="1" applyFont="1" applyNumberFormat="1">
      <alignment horizontal="center"/>
    </xf>
    <xf borderId="8" fillId="2" fontId="1" numFmtId="164" xfId="0" applyAlignment="1" applyBorder="1" applyFont="1" applyNumberFormat="1">
      <alignment horizontal="center"/>
    </xf>
    <xf borderId="0" fillId="0" fontId="1" numFmtId="171" xfId="0" applyAlignment="1" applyFont="1" applyNumberFormat="1">
      <alignment horizontal="center"/>
    </xf>
    <xf borderId="10" fillId="5" fontId="2" numFmtId="0" xfId="0" applyBorder="1" applyFont="1"/>
    <xf borderId="36" fillId="5" fontId="2" numFmtId="171" xfId="0" applyAlignment="1" applyBorder="1" applyFont="1" applyNumberFormat="1">
      <alignment horizontal="center"/>
    </xf>
    <xf borderId="26" fillId="5" fontId="2" numFmtId="0" xfId="0" applyBorder="1" applyFont="1"/>
    <xf quotePrefix="1" borderId="49" fillId="5" fontId="1" numFmtId="0" xfId="0" applyAlignment="1" applyBorder="1" applyFont="1">
      <alignment horizontal="center"/>
    </xf>
    <xf borderId="62" fillId="0" fontId="2" numFmtId="0" xfId="0" applyBorder="1" applyFont="1"/>
    <xf borderId="17" fillId="3" fontId="1" numFmtId="170" xfId="0" applyBorder="1" applyFont="1" applyNumberFormat="1"/>
    <xf borderId="8" fillId="3" fontId="1" numFmtId="170" xfId="0" applyBorder="1" applyFont="1" applyNumberFormat="1"/>
    <xf borderId="23" fillId="3" fontId="2" numFmtId="170" xfId="0" applyAlignment="1" applyBorder="1" applyFont="1" applyNumberFormat="1">
      <alignment horizontal="center"/>
    </xf>
    <xf borderId="25" fillId="3" fontId="2" numFmtId="170" xfId="0" applyAlignment="1" applyBorder="1" applyFont="1" applyNumberFormat="1">
      <alignment horizontal="center"/>
    </xf>
    <xf borderId="0" fillId="0" fontId="2" numFmtId="171" xfId="0" applyAlignment="1" applyFont="1" applyNumberFormat="1">
      <alignment horizontal="center"/>
    </xf>
    <xf borderId="63" fillId="0" fontId="2" numFmtId="0" xfId="0" applyBorder="1" applyFont="1"/>
    <xf borderId="64" fillId="0" fontId="1" numFmtId="170" xfId="0" applyAlignment="1" applyBorder="1" applyFont="1" applyNumberFormat="1">
      <alignment horizontal="center"/>
    </xf>
    <xf borderId="33" fillId="0" fontId="1" numFmtId="170" xfId="0" applyAlignment="1" applyBorder="1" applyFont="1" applyNumberFormat="1">
      <alignment horizontal="center"/>
    </xf>
    <xf borderId="65" fillId="0" fontId="1" numFmtId="170" xfId="0" applyAlignment="1" applyBorder="1" applyFont="1" applyNumberFormat="1">
      <alignment horizontal="center"/>
    </xf>
    <xf borderId="0" fillId="0" fontId="11" numFmtId="0" xfId="0" applyFont="1"/>
    <xf borderId="26" fillId="5" fontId="2" numFmtId="0" xfId="0" applyAlignment="1" applyBorder="1" applyFont="1">
      <alignment horizontal="center"/>
    </xf>
    <xf borderId="54" fillId="0" fontId="6" numFmtId="0" xfId="0" applyBorder="1" applyFont="1"/>
    <xf borderId="8" fillId="2" fontId="1" numFmtId="170" xfId="0" applyAlignment="1" applyBorder="1" applyFont="1" applyNumberFormat="1">
      <alignment horizontal="center"/>
    </xf>
    <xf borderId="66" fillId="4" fontId="1" numFmtId="164" xfId="0" applyAlignment="1" applyBorder="1" applyFont="1" applyNumberFormat="1">
      <alignment horizontal="center"/>
    </xf>
    <xf borderId="26" fillId="9" fontId="1" numFmtId="170" xfId="0" applyAlignment="1" applyBorder="1" applyFont="1" applyNumberFormat="1">
      <alignment horizontal="center"/>
    </xf>
    <xf borderId="12" fillId="9" fontId="1" numFmtId="170" xfId="0" applyAlignment="1" applyBorder="1" applyFont="1" applyNumberFormat="1">
      <alignment horizontal="center"/>
    </xf>
    <xf borderId="34" fillId="0" fontId="1" numFmtId="170" xfId="0" applyAlignment="1" applyBorder="1" applyFont="1" applyNumberFormat="1">
      <alignment horizontal="center"/>
    </xf>
    <xf borderId="20" fillId="0" fontId="1" numFmtId="170" xfId="0" applyBorder="1" applyFont="1" applyNumberFormat="1"/>
    <xf borderId="17" fillId="0" fontId="1" numFmtId="164" xfId="0" applyAlignment="1" applyBorder="1" applyFont="1" applyNumberFormat="1">
      <alignment horizontal="center"/>
    </xf>
    <xf borderId="8" fillId="0" fontId="1" numFmtId="164" xfId="0" applyAlignment="1" applyBorder="1" applyFont="1" applyNumberFormat="1">
      <alignment horizontal="center"/>
    </xf>
    <xf borderId="62" fillId="0" fontId="6" numFmtId="0" xfId="0" applyBorder="1" applyFont="1"/>
    <xf borderId="28" fillId="2" fontId="1" numFmtId="170" xfId="0" applyAlignment="1" applyBorder="1" applyFont="1" applyNumberFormat="1">
      <alignment horizontal="center"/>
    </xf>
    <xf borderId="13" fillId="0" fontId="6" numFmtId="0" xfId="0" applyBorder="1" applyFont="1"/>
    <xf borderId="17" fillId="0" fontId="1" numFmtId="172" xfId="0" applyAlignment="1" applyBorder="1" applyFont="1" applyNumberFormat="1">
      <alignment horizontal="center"/>
    </xf>
    <xf borderId="58" fillId="2" fontId="1" numFmtId="170" xfId="0" applyAlignment="1" applyBorder="1" applyFont="1" applyNumberFormat="1">
      <alignment horizontal="center"/>
    </xf>
    <xf borderId="12" fillId="3" fontId="1" numFmtId="9" xfId="0" applyAlignment="1" applyBorder="1" applyFont="1" applyNumberFormat="1">
      <alignment horizontal="center"/>
    </xf>
    <xf borderId="0" fillId="0" fontId="1" numFmtId="168" xfId="0" applyFont="1" applyNumberFormat="1"/>
    <xf borderId="54" fillId="5" fontId="2" numFmtId="0" xfId="0" applyAlignment="1" applyBorder="1" applyFont="1">
      <alignment horizontal="center"/>
    </xf>
    <xf borderId="13" fillId="5" fontId="1" numFmtId="0" xfId="0" applyBorder="1" applyFont="1"/>
    <xf borderId="23" fillId="5" fontId="2" numFmtId="0" xfId="0" applyAlignment="1" applyBorder="1" applyFont="1">
      <alignment horizontal="center"/>
    </xf>
    <xf borderId="25" fillId="5" fontId="2" numFmtId="0" xfId="0" applyAlignment="1" applyBorder="1" applyFont="1">
      <alignment horizontal="center"/>
    </xf>
    <xf borderId="16" fillId="0" fontId="2" numFmtId="0" xfId="0" applyBorder="1" applyFont="1"/>
    <xf borderId="10" fillId="2" fontId="1" numFmtId="168" xfId="0" applyAlignment="1" applyBorder="1" applyFont="1" applyNumberFormat="1">
      <alignment horizontal="center"/>
    </xf>
    <xf borderId="13" fillId="2" fontId="1" numFmtId="168" xfId="0" applyBorder="1" applyFont="1" applyNumberFormat="1"/>
    <xf borderId="13" fillId="2" fontId="1" numFmtId="168" xfId="0" applyAlignment="1" applyBorder="1" applyFont="1" applyNumberFormat="1">
      <alignment horizontal="center"/>
    </xf>
    <xf borderId="26" fillId="2" fontId="1" numFmtId="164" xfId="0" applyAlignment="1" applyBorder="1" applyFont="1" applyNumberFormat="1">
      <alignment horizontal="center"/>
    </xf>
    <xf borderId="12" fillId="2" fontId="1" numFmtId="164" xfId="0" applyAlignment="1" applyBorder="1" applyFont="1" applyNumberFormat="1">
      <alignment horizontal="center"/>
    </xf>
    <xf borderId="49" fillId="2" fontId="1" numFmtId="164" xfId="0" applyAlignment="1" applyBorder="1" applyFont="1" applyNumberFormat="1">
      <alignment horizontal="center"/>
    </xf>
    <xf borderId="13" fillId="0" fontId="7" numFmtId="0" xfId="0" applyBorder="1" applyFont="1"/>
    <xf borderId="17" fillId="3" fontId="7" numFmtId="170" xfId="0" applyAlignment="1" applyBorder="1" applyFont="1" applyNumberFormat="1">
      <alignment horizontal="center"/>
    </xf>
    <xf borderId="8" fillId="3" fontId="7" numFmtId="170" xfId="0" applyAlignment="1" applyBorder="1" applyFont="1" applyNumberFormat="1">
      <alignment horizontal="center"/>
    </xf>
    <xf borderId="0" fillId="0" fontId="7" numFmtId="0" xfId="0" applyFont="1"/>
    <xf quotePrefix="1" borderId="13" fillId="0" fontId="1" numFmtId="0" xfId="0" applyAlignment="1" applyBorder="1" applyFont="1">
      <alignment horizontal="left"/>
    </xf>
    <xf borderId="10" fillId="2" fontId="6" numFmtId="168" xfId="0" applyAlignment="1" applyBorder="1" applyFont="1" applyNumberFormat="1">
      <alignment horizontal="center"/>
    </xf>
    <xf borderId="26" fillId="2" fontId="6" numFmtId="170" xfId="0" applyAlignment="1" applyBorder="1" applyFont="1" applyNumberFormat="1">
      <alignment horizontal="center"/>
    </xf>
    <xf borderId="15" fillId="0" fontId="2" numFmtId="170" xfId="0" applyAlignment="1" applyBorder="1" applyFont="1" applyNumberFormat="1">
      <alignment horizontal="center"/>
    </xf>
    <xf borderId="52" fillId="0" fontId="2" numFmtId="170" xfId="0" applyAlignment="1" applyBorder="1" applyFont="1" applyNumberFormat="1">
      <alignment horizontal="center"/>
    </xf>
    <xf borderId="16" fillId="0" fontId="1" numFmtId="0" xfId="0" applyBorder="1" applyFont="1"/>
    <xf borderId="64" fillId="2" fontId="1" numFmtId="170" xfId="0" applyAlignment="1" applyBorder="1" applyFont="1" applyNumberFormat="1">
      <alignment horizontal="center"/>
    </xf>
    <xf borderId="33" fillId="2" fontId="1" numFmtId="170" xfId="0" applyAlignment="1" applyBorder="1" applyFont="1" applyNumberFormat="1">
      <alignment horizontal="center"/>
    </xf>
    <xf borderId="8" fillId="3" fontId="2" numFmtId="170" xfId="0" applyAlignment="1" applyBorder="1" applyFont="1" applyNumberFormat="1">
      <alignment horizontal="center"/>
    </xf>
    <xf borderId="64" fillId="9" fontId="6" numFmtId="170" xfId="0" applyAlignment="1" applyBorder="1" applyFont="1" applyNumberFormat="1">
      <alignment horizontal="center"/>
    </xf>
    <xf borderId="34" fillId="0" fontId="2" numFmtId="170" xfId="0" applyAlignment="1" applyBorder="1" applyFont="1" applyNumberFormat="1">
      <alignment horizontal="center"/>
    </xf>
    <xf borderId="51" fillId="0" fontId="2" numFmtId="170" xfId="0" applyAlignment="1" applyBorder="1" applyFont="1" applyNumberFormat="1">
      <alignment horizontal="center"/>
    </xf>
    <xf borderId="64" fillId="9" fontId="1" numFmtId="170" xfId="0" applyAlignment="1" applyBorder="1" applyFont="1" applyNumberFormat="1">
      <alignment horizontal="center"/>
    </xf>
    <xf quotePrefix="1" borderId="13" fillId="0" fontId="2" numFmtId="0" xfId="0" applyAlignment="1" applyBorder="1" applyFont="1">
      <alignment horizontal="left"/>
    </xf>
    <xf borderId="8" fillId="0" fontId="2" numFmtId="170" xfId="0" applyAlignment="1" applyBorder="1" applyFont="1" applyNumberFormat="1">
      <alignment horizontal="center"/>
    </xf>
    <xf borderId="17" fillId="3" fontId="6" numFmtId="9" xfId="0" applyBorder="1" applyFont="1" applyNumberFormat="1"/>
    <xf borderId="8" fillId="0" fontId="1" numFmtId="170" xfId="0" applyBorder="1" applyFont="1" applyNumberFormat="1"/>
    <xf borderId="17" fillId="3" fontId="2" numFmtId="170" xfId="0" applyBorder="1" applyFont="1" applyNumberFormat="1"/>
    <xf borderId="13" fillId="0" fontId="2" numFmtId="0" xfId="0" applyAlignment="1" applyBorder="1" applyFont="1">
      <alignment horizontal="left"/>
    </xf>
    <xf borderId="46" fillId="5" fontId="2" numFmtId="0" xfId="0" applyAlignment="1" applyBorder="1" applyFont="1">
      <alignment horizontal="left"/>
    </xf>
    <xf borderId="47" fillId="5" fontId="2" numFmtId="0" xfId="0" applyAlignment="1" applyBorder="1" applyFont="1">
      <alignment horizontal="center"/>
    </xf>
    <xf borderId="48" fillId="5" fontId="2" numFmtId="0" xfId="0" applyAlignment="1" applyBorder="1" applyFont="1">
      <alignment horizontal="center"/>
    </xf>
    <xf borderId="67" fillId="5" fontId="2" numFmtId="0" xfId="0" applyAlignment="1" applyBorder="1" applyFont="1">
      <alignment horizontal="center"/>
    </xf>
    <xf borderId="23" fillId="3" fontId="1" numFmtId="170" xfId="0" applyAlignment="1" applyBorder="1" applyFont="1" applyNumberFormat="1">
      <alignment horizontal="center"/>
    </xf>
    <xf borderId="68" fillId="3" fontId="1" numFmtId="170" xfId="0" applyAlignment="1" applyBorder="1" applyFont="1" applyNumberFormat="1">
      <alignment horizontal="center"/>
    </xf>
    <xf borderId="0" fillId="0" fontId="1" numFmtId="0" xfId="0" applyAlignment="1" applyFont="1">
      <alignment horizontal="left"/>
    </xf>
    <xf borderId="46" fillId="5" fontId="4" numFmtId="0" xfId="0" applyAlignment="1" applyBorder="1" applyFont="1">
      <alignment horizontal="left"/>
    </xf>
    <xf borderId="47" fillId="5" fontId="4" numFmtId="0" xfId="0" applyAlignment="1" applyBorder="1" applyFont="1">
      <alignment horizontal="left"/>
    </xf>
    <xf borderId="69" fillId="5" fontId="4" numFmtId="0" xfId="0" applyAlignment="1" applyBorder="1" applyFont="1">
      <alignment horizontal="left"/>
    </xf>
    <xf borderId="70" fillId="5" fontId="4" numFmtId="0" xfId="0" applyAlignment="1" applyBorder="1" applyFont="1">
      <alignment horizontal="left"/>
    </xf>
    <xf borderId="71" fillId="5" fontId="4" numFmtId="0" xfId="0" applyAlignment="1" applyBorder="1" applyFont="1">
      <alignment horizontal="center"/>
    </xf>
    <xf borderId="72" fillId="5" fontId="2" numFmtId="0" xfId="0" applyAlignment="1" applyBorder="1" applyFont="1">
      <alignment horizontal="center"/>
    </xf>
    <xf borderId="73" fillId="0" fontId="9" numFmtId="0" xfId="0" applyBorder="1" applyFont="1"/>
    <xf borderId="12" fillId="5" fontId="2" numFmtId="0" xfId="0" applyAlignment="1" applyBorder="1" applyFont="1">
      <alignment horizontal="center" shrinkToFit="0" wrapText="1"/>
    </xf>
    <xf borderId="74" fillId="0" fontId="2" numFmtId="0" xfId="0" applyBorder="1" applyFont="1"/>
    <xf borderId="75" fillId="0" fontId="2" numFmtId="0" xfId="0" applyBorder="1" applyFont="1"/>
    <xf borderId="27" fillId="0" fontId="1" numFmtId="164" xfId="0" applyAlignment="1" applyBorder="1" applyFont="1" applyNumberFormat="1">
      <alignment horizontal="center"/>
    </xf>
    <xf borderId="66" fillId="0" fontId="6" numFmtId="0" xfId="0" applyBorder="1" applyFont="1"/>
    <xf borderId="3" fillId="3" fontId="1" numFmtId="170" xfId="0" applyAlignment="1" applyBorder="1" applyFont="1" applyNumberFormat="1">
      <alignment horizontal="center"/>
    </xf>
    <xf borderId="66" fillId="0" fontId="1" numFmtId="0" xfId="0" applyBorder="1" applyFont="1"/>
    <xf borderId="50" fillId="0" fontId="1" numFmtId="9" xfId="0" applyBorder="1" applyFont="1" applyNumberFormat="1"/>
    <xf borderId="50" fillId="0" fontId="1" numFmtId="167" xfId="0" applyBorder="1" applyFont="1" applyNumberFormat="1"/>
    <xf borderId="50" fillId="0" fontId="6" numFmtId="9" xfId="0" applyBorder="1" applyFont="1" applyNumberFormat="1"/>
    <xf quotePrefix="1" borderId="66" fillId="0" fontId="6" numFmtId="0" xfId="0" applyAlignment="1" applyBorder="1" applyFont="1">
      <alignment horizontal="left"/>
    </xf>
    <xf borderId="50" fillId="0" fontId="6" numFmtId="9" xfId="0" applyAlignment="1" applyBorder="1" applyFont="1" applyNumberFormat="1">
      <alignment horizontal="left"/>
    </xf>
    <xf borderId="66" fillId="0" fontId="2" numFmtId="0" xfId="0" applyBorder="1" applyFont="1"/>
    <xf borderId="4" fillId="0" fontId="1" numFmtId="170" xfId="0" applyAlignment="1" applyBorder="1" applyFont="1" applyNumberFormat="1">
      <alignment horizontal="center"/>
    </xf>
    <xf borderId="66" fillId="0" fontId="2" numFmtId="0" xfId="0" applyAlignment="1" applyBorder="1" applyFont="1">
      <alignment horizontal="left"/>
    </xf>
    <xf borderId="50" fillId="0" fontId="2" numFmtId="0" xfId="0" applyAlignment="1" applyBorder="1" applyFont="1">
      <alignment horizontal="left"/>
    </xf>
    <xf borderId="76" fillId="0" fontId="2" numFmtId="0" xfId="0" applyBorder="1" applyFont="1"/>
    <xf borderId="77" fillId="3" fontId="1" numFmtId="170" xfId="0" applyAlignment="1" applyBorder="1" applyFont="1" applyNumberFormat="1">
      <alignment horizontal="center"/>
    </xf>
    <xf borderId="0" fillId="0" fontId="2" numFmtId="172" xfId="0" applyAlignment="1" applyFont="1" applyNumberFormat="1">
      <alignment horizontal="center"/>
    </xf>
    <xf borderId="78" fillId="5" fontId="4" numFmtId="0" xfId="0" applyAlignment="1" applyBorder="1" applyFont="1">
      <alignment horizontal="center"/>
    </xf>
    <xf borderId="79" fillId="0" fontId="9" numFmtId="0" xfId="0" applyBorder="1" applyFont="1"/>
    <xf borderId="80" fillId="0" fontId="9" numFmtId="0" xfId="0" applyBorder="1" applyFont="1"/>
    <xf borderId="81" fillId="5" fontId="2" numFmtId="0" xfId="0" applyAlignment="1" applyBorder="1" applyFont="1">
      <alignment horizontal="center"/>
    </xf>
    <xf borderId="82" fillId="5" fontId="2" numFmtId="0" xfId="0" applyAlignment="1" applyBorder="1" applyFont="1">
      <alignment horizontal="center"/>
    </xf>
    <xf borderId="83" fillId="0" fontId="9" numFmtId="0" xfId="0" applyBorder="1" applyFont="1"/>
    <xf borderId="60" fillId="5" fontId="2" numFmtId="0" xfId="0" applyAlignment="1" applyBorder="1" applyFont="1">
      <alignment horizontal="center"/>
    </xf>
    <xf borderId="84" fillId="5" fontId="2" numFmtId="0" xfId="0" applyAlignment="1" applyBorder="1" applyFont="1">
      <alignment horizontal="center"/>
    </xf>
    <xf borderId="85" fillId="5" fontId="2" numFmtId="0" xfId="0" applyAlignment="1" applyBorder="1" applyFont="1">
      <alignment horizontal="center"/>
    </xf>
    <xf borderId="61" fillId="5" fontId="2" numFmtId="0" xfId="0" applyAlignment="1" applyBorder="1" applyFont="1">
      <alignment horizontal="center"/>
    </xf>
    <xf borderId="86" fillId="5" fontId="2" numFmtId="0" xfId="0" applyAlignment="1" applyBorder="1" applyFont="1">
      <alignment horizontal="center"/>
    </xf>
    <xf borderId="26" fillId="2" fontId="1" numFmtId="15" xfId="0" applyAlignment="1" applyBorder="1" applyFont="1" applyNumberFormat="1">
      <alignment horizontal="right"/>
    </xf>
    <xf borderId="12" fillId="2" fontId="1" numFmtId="170" xfId="0" applyBorder="1" applyFont="1" applyNumberFormat="1"/>
    <xf borderId="0" fillId="0" fontId="2" numFmtId="0" xfId="0" applyAlignment="1" applyFont="1">
      <alignment horizontal="right"/>
    </xf>
    <xf borderId="0" fillId="0" fontId="2" numFmtId="170" xfId="0" applyAlignment="1" applyFont="1" applyNumberFormat="1">
      <alignment horizontal="center"/>
    </xf>
    <xf borderId="60" fillId="3" fontId="2" numFmtId="170" xfId="0" applyAlignment="1" applyBorder="1" applyFont="1" applyNumberFormat="1">
      <alignment horizontal="center"/>
    </xf>
    <xf borderId="10" fillId="2" fontId="1" numFmtId="15" xfId="0" applyAlignment="1" applyBorder="1" applyFont="1" applyNumberFormat="1">
      <alignment horizontal="right"/>
    </xf>
    <xf borderId="19" fillId="2" fontId="1" numFmtId="10" xfId="0" applyBorder="1" applyFont="1" applyNumberFormat="1"/>
    <xf borderId="13" fillId="2" fontId="1" numFmtId="15" xfId="0" applyAlignment="1" applyBorder="1" applyFont="1" applyNumberFormat="1">
      <alignment horizontal="right"/>
    </xf>
    <xf borderId="87" fillId="0" fontId="2" numFmtId="0" xfId="0" applyAlignment="1" applyBorder="1" applyFont="1">
      <alignment horizontal="center"/>
    </xf>
    <xf borderId="61" fillId="3" fontId="2" numFmtId="170" xfId="0" applyAlignment="1" applyBorder="1" applyFont="1" applyNumberFormat="1">
      <alignment horizontal="center"/>
    </xf>
    <xf borderId="61" fillId="10" fontId="2" numFmtId="170" xfId="0" applyBorder="1" applyFill="1" applyFont="1" applyNumberFormat="1"/>
    <xf borderId="86" fillId="3" fontId="2" numFmtId="170" xfId="0" applyAlignment="1" applyBorder="1" applyFont="1" applyNumberFormat="1">
      <alignment horizontal="center"/>
    </xf>
    <xf borderId="88" fillId="0" fontId="9" numFmtId="0" xfId="0" applyBorder="1" applyFont="1"/>
    <xf borderId="9" fillId="5" fontId="2" numFmtId="0" xfId="0" applyAlignment="1" applyBorder="1" applyFont="1">
      <alignment horizontal="center"/>
    </xf>
    <xf borderId="17" fillId="0" fontId="1" numFmtId="168" xfId="0" applyAlignment="1" applyBorder="1" applyFont="1" applyNumberFormat="1">
      <alignment horizontal="center"/>
    </xf>
    <xf borderId="8" fillId="0" fontId="1" numFmtId="168" xfId="0" applyAlignment="1" applyBorder="1" applyFont="1" applyNumberFormat="1">
      <alignment horizontal="center"/>
    </xf>
    <xf borderId="17" fillId="3" fontId="1" numFmtId="168" xfId="0" applyAlignment="1" applyBorder="1" applyFont="1" applyNumberFormat="1">
      <alignment horizontal="center"/>
    </xf>
    <xf borderId="8" fillId="3" fontId="1" numFmtId="168" xfId="0" applyAlignment="1" applyBorder="1" applyFont="1" applyNumberFormat="1">
      <alignment horizontal="center"/>
    </xf>
    <xf quotePrefix="1" borderId="0" fillId="0" fontId="1" numFmtId="0" xfId="0" applyAlignment="1" applyFont="1">
      <alignment horizontal="left"/>
    </xf>
    <xf borderId="51" fillId="0" fontId="2" numFmtId="168" xfId="0" applyAlignment="1" applyBorder="1" applyFont="1" applyNumberFormat="1">
      <alignment horizontal="center"/>
    </xf>
    <xf borderId="15" fillId="0" fontId="1" numFmtId="168" xfId="0" applyAlignment="1" applyBorder="1" applyFont="1" applyNumberFormat="1">
      <alignment horizontal="center"/>
    </xf>
    <xf borderId="42" fillId="0" fontId="1" numFmtId="168" xfId="0" applyAlignment="1" applyBorder="1" applyFont="1" applyNumberFormat="1">
      <alignment horizontal="center"/>
    </xf>
    <xf borderId="8" fillId="3" fontId="1" numFmtId="9" xfId="0" applyAlignment="1" applyBorder="1" applyFont="1" applyNumberFormat="1">
      <alignment horizontal="center"/>
    </xf>
    <xf borderId="89" fillId="3" fontId="1" numFmtId="168" xfId="0" applyAlignment="1" applyBorder="1" applyFont="1" applyNumberFormat="1">
      <alignment horizontal="center"/>
    </xf>
    <xf borderId="90" fillId="3" fontId="1" numFmtId="168" xfId="0" applyAlignment="1" applyBorder="1" applyFont="1" applyNumberFormat="1">
      <alignment horizontal="center"/>
    </xf>
    <xf borderId="18" fillId="3" fontId="1" numFmtId="168" xfId="0" applyAlignment="1" applyBorder="1" applyFont="1" applyNumberFormat="1">
      <alignment horizontal="center"/>
    </xf>
    <xf borderId="91" fillId="3" fontId="1" numFmtId="168" xfId="0" applyAlignment="1" applyBorder="1" applyFont="1" applyNumberFormat="1">
      <alignment horizontal="center"/>
    </xf>
    <xf borderId="28" fillId="3" fontId="1" numFmtId="168" xfId="0" applyAlignment="1" applyBorder="1" applyFont="1" applyNumberFormat="1">
      <alignment horizontal="center"/>
    </xf>
    <xf borderId="12" fillId="3" fontId="1" numFmtId="168" xfId="0" applyAlignment="1" applyBorder="1" applyFont="1" applyNumberFormat="1">
      <alignment horizontal="center"/>
    </xf>
    <xf borderId="17" fillId="5" fontId="2" numFmtId="0" xfId="0" applyAlignment="1" applyBorder="1" applyFont="1">
      <alignment horizontal="center"/>
    </xf>
    <xf borderId="91" fillId="5" fontId="2" numFmtId="0" xfId="0" applyAlignment="1" applyBorder="1" applyFont="1">
      <alignment horizontal="center"/>
    </xf>
    <xf borderId="8" fillId="5" fontId="2" numFmtId="0" xfId="0" applyAlignment="1" applyBorder="1" applyFont="1">
      <alignment horizontal="center"/>
    </xf>
    <xf borderId="17" fillId="3" fontId="1" numFmtId="168" xfId="0" applyBorder="1" applyFont="1" applyNumberFormat="1"/>
    <xf borderId="91" fillId="3" fontId="1" numFmtId="168" xfId="0" applyBorder="1" applyFont="1" applyNumberFormat="1"/>
    <xf borderId="92" fillId="2" fontId="1" numFmtId="168" xfId="0" applyBorder="1" applyFont="1" applyNumberFormat="1"/>
    <xf borderId="93" fillId="2" fontId="1" numFmtId="168" xfId="0" applyBorder="1" applyFont="1" applyNumberFormat="1"/>
    <xf borderId="94" fillId="2" fontId="1" numFmtId="168" xfId="0" applyBorder="1" applyFont="1" applyNumberFormat="1"/>
    <xf borderId="68" fillId="3" fontId="1" numFmtId="168" xfId="0" applyAlignment="1" applyBorder="1" applyFont="1" applyNumberFormat="1">
      <alignment horizontal="center"/>
    </xf>
    <xf borderId="95" fillId="3" fontId="1" numFmtId="168" xfId="0" applyAlignment="1" applyBorder="1" applyFont="1" applyNumberFormat="1">
      <alignment horizontal="center"/>
    </xf>
    <xf borderId="23" fillId="3" fontId="1" numFmtId="168" xfId="0" applyAlignment="1" applyBorder="1" applyFont="1" applyNumberFormat="1">
      <alignment horizontal="center"/>
    </xf>
    <xf borderId="17" fillId="3" fontId="2" numFmtId="168" xfId="0" applyAlignment="1" applyBorder="1" applyFont="1" applyNumberFormat="1">
      <alignment horizontal="center"/>
    </xf>
    <xf borderId="12" fillId="3" fontId="1" numFmtId="168" xfId="0" applyBorder="1" applyFont="1" applyNumberFormat="1"/>
    <xf borderId="49" fillId="3" fontId="1" numFmtId="168" xfId="0" applyBorder="1" applyFont="1" applyNumberFormat="1"/>
    <xf borderId="0" fillId="0" fontId="1" numFmtId="173" xfId="0" applyFont="1" applyNumberFormat="1"/>
    <xf borderId="10" fillId="5" fontId="4" numFmtId="0" xfId="0" applyAlignment="1" applyBorder="1" applyFont="1">
      <alignment horizontal="left"/>
    </xf>
    <xf borderId="19" fillId="5" fontId="4" numFmtId="0" xfId="0" applyAlignment="1" applyBorder="1" applyFont="1">
      <alignment horizontal="center"/>
    </xf>
    <xf borderId="20" fillId="5" fontId="4" numFmtId="0" xfId="0" applyAlignment="1" applyBorder="1" applyFont="1">
      <alignment horizontal="center"/>
    </xf>
    <xf borderId="22" fillId="5" fontId="1" numFmtId="0" xfId="0" applyBorder="1" applyFont="1"/>
    <xf borderId="10" fillId="0" fontId="2" numFmtId="0" xfId="0" applyBorder="1" applyFont="1"/>
    <xf borderId="19" fillId="3" fontId="1" numFmtId="168" xfId="0" applyAlignment="1" applyBorder="1" applyFont="1" applyNumberFormat="1">
      <alignment horizontal="center"/>
    </xf>
    <xf borderId="13" fillId="11" fontId="1" numFmtId="0" xfId="0" applyBorder="1" applyFill="1" applyFont="1"/>
    <xf borderId="13" fillId="11" fontId="2" numFmtId="0" xfId="0" applyBorder="1" applyFont="1"/>
    <xf borderId="8" fillId="3" fontId="1" numFmtId="168" xfId="0" applyBorder="1" applyFont="1" applyNumberFormat="1"/>
    <xf borderId="26" fillId="11" fontId="2" numFmtId="0" xfId="0" applyBorder="1" applyFont="1"/>
    <xf borderId="0" fillId="0" fontId="1" numFmtId="174" xfId="0" applyFont="1" applyNumberFormat="1"/>
    <xf borderId="22" fillId="5" fontId="2" numFmtId="0" xfId="0" applyAlignment="1" applyBorder="1" applyFont="1">
      <alignment horizontal="center"/>
    </xf>
    <xf borderId="67" fillId="5" fontId="2" numFmtId="0" xfId="0" applyAlignment="1" applyBorder="1" applyFont="1">
      <alignment horizontal="center" shrinkToFit="0" wrapText="1"/>
    </xf>
    <xf borderId="49" fillId="5" fontId="2" numFmtId="0" xfId="0" applyAlignment="1" applyBorder="1" applyFont="1">
      <alignment horizontal="center" shrinkToFit="0" wrapText="1"/>
    </xf>
    <xf borderId="74" fillId="0" fontId="2" numFmtId="0" xfId="0" applyAlignment="1" applyBorder="1" applyFont="1">
      <alignment horizontal="center"/>
    </xf>
    <xf borderId="18" fillId="3" fontId="1" numFmtId="170" xfId="0" applyAlignment="1" applyBorder="1" applyFont="1" applyNumberFormat="1">
      <alignment horizontal="center"/>
    </xf>
    <xf borderId="95" fillId="3" fontId="1" numFmtId="170" xfId="0" applyAlignment="1" applyBorder="1" applyFont="1" applyNumberFormat="1">
      <alignment horizontal="center"/>
    </xf>
    <xf borderId="58" fillId="3" fontId="1" numFmtId="170" xfId="0" applyAlignment="1" applyBorder="1" applyFont="1" applyNumberFormat="1">
      <alignment horizontal="center"/>
    </xf>
    <xf borderId="66" fillId="0" fontId="2" numFmtId="0" xfId="0" applyAlignment="1" applyBorder="1" applyFont="1">
      <alignment horizontal="center"/>
    </xf>
    <xf borderId="91" fillId="3" fontId="1" numFmtId="170" xfId="0" applyAlignment="1" applyBorder="1" applyFont="1" applyNumberFormat="1">
      <alignment horizontal="center"/>
    </xf>
    <xf borderId="42" fillId="0" fontId="1" numFmtId="170" xfId="0" applyAlignment="1" applyBorder="1" applyFont="1" applyNumberFormat="1">
      <alignment horizontal="center"/>
    </xf>
    <xf borderId="76" fillId="0" fontId="2" numFmtId="0" xfId="0" applyAlignment="1" applyBorder="1" applyFont="1">
      <alignment horizontal="center"/>
    </xf>
    <xf borderId="67" fillId="3" fontId="1" numFmtId="170" xfId="0" applyAlignment="1" applyBorder="1" applyFont="1" applyNumberFormat="1">
      <alignment horizontal="center"/>
    </xf>
    <xf borderId="96" fillId="3" fontId="1" numFmtId="164" xfId="0" applyBorder="1" applyFont="1" applyNumberFormat="1"/>
    <xf borderId="97" fillId="2" fontId="1" numFmtId="0" xfId="0" applyBorder="1" applyFont="1"/>
    <xf borderId="98" fillId="3" fontId="1" numFmtId="9" xfId="0" applyBorder="1" applyFont="1" applyNumberFormat="1"/>
    <xf borderId="0" fillId="0" fontId="1" numFmtId="0" xfId="0" applyAlignment="1" applyFont="1">
      <alignment horizontal="center"/>
    </xf>
    <xf borderId="0" fillId="0" fontId="1" numFmtId="172" xfId="0" applyAlignment="1" applyFont="1" applyNumberFormat="1">
      <alignment horizontal="center"/>
    </xf>
    <xf borderId="0" fillId="0" fontId="12" numFmtId="0" xfId="0" applyFont="1"/>
    <xf borderId="0" fillId="0" fontId="1" numFmtId="1" xfId="0" applyAlignment="1" applyFont="1" applyNumberFormat="1">
      <alignment horizontal="center"/>
    </xf>
    <xf borderId="0" fillId="0" fontId="2" numFmtId="0" xfId="0" applyAlignment="1" applyFont="1">
      <alignment horizontal="left"/>
    </xf>
    <xf borderId="96" fillId="3" fontId="1" numFmtId="170"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9.75"/>
    <col customWidth="1" min="2" max="3" width="11.5"/>
    <col customWidth="1" min="4" max="13" width="8.25"/>
    <col customWidth="1" min="14" max="18" width="11.5"/>
    <col customWidth="1" min="19" max="26" width="10.63"/>
  </cols>
  <sheetData>
    <row r="1" ht="12.75" customHeight="1">
      <c r="A1" s="1" t="s">
        <v>0</v>
      </c>
      <c r="B1" s="1"/>
      <c r="C1" s="1"/>
      <c r="D1" s="1"/>
      <c r="E1" s="1"/>
      <c r="F1" s="1"/>
      <c r="G1" s="1"/>
      <c r="H1" s="1"/>
      <c r="I1" s="1"/>
      <c r="J1" s="1"/>
      <c r="K1" s="1"/>
      <c r="L1" s="1"/>
      <c r="M1" s="1"/>
      <c r="N1" s="1"/>
      <c r="O1" s="1"/>
      <c r="P1" s="1"/>
      <c r="Q1" s="1"/>
      <c r="R1" s="1"/>
      <c r="S1" s="1"/>
      <c r="T1" s="1"/>
      <c r="U1" s="1"/>
      <c r="V1" s="1"/>
      <c r="W1" s="1"/>
      <c r="X1" s="1"/>
      <c r="Y1" s="1"/>
      <c r="Z1" s="1"/>
    </row>
    <row r="2" ht="12.75" customHeight="1">
      <c r="A2" s="1" t="s">
        <v>1</v>
      </c>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2"/>
      <c r="B4" s="3" t="s">
        <v>2</v>
      </c>
      <c r="C4" s="1"/>
      <c r="D4" s="1"/>
      <c r="E4" s="1"/>
      <c r="F4" s="1"/>
      <c r="G4" s="1"/>
      <c r="H4" s="1"/>
      <c r="I4" s="1"/>
      <c r="J4" s="1"/>
      <c r="K4" s="1"/>
      <c r="L4" s="1"/>
      <c r="M4" s="1"/>
      <c r="N4" s="1"/>
      <c r="O4" s="1"/>
      <c r="P4" s="1"/>
      <c r="Q4" s="1"/>
      <c r="R4" s="1"/>
      <c r="S4" s="1"/>
      <c r="T4" s="1"/>
      <c r="U4" s="1"/>
      <c r="V4" s="1"/>
      <c r="W4" s="1"/>
      <c r="X4" s="1"/>
      <c r="Y4" s="1"/>
      <c r="Z4" s="1"/>
    </row>
    <row r="5" ht="12.75" customHeight="1">
      <c r="A5" s="4"/>
      <c r="B5" s="5" t="s">
        <v>3</v>
      </c>
      <c r="C5" s="1"/>
      <c r="D5" s="1"/>
      <c r="E5" s="1"/>
      <c r="F5" s="1"/>
      <c r="G5" s="1"/>
      <c r="H5" s="1"/>
      <c r="I5" s="1"/>
      <c r="J5" s="1"/>
      <c r="K5" s="1"/>
      <c r="L5" s="1"/>
      <c r="M5" s="1"/>
      <c r="N5" s="1"/>
      <c r="O5" s="1"/>
      <c r="P5" s="1"/>
      <c r="Q5" s="1"/>
      <c r="R5" s="1"/>
      <c r="S5" s="1"/>
      <c r="T5" s="1"/>
      <c r="U5" s="1"/>
      <c r="V5" s="1"/>
      <c r="W5" s="1"/>
      <c r="X5" s="1"/>
      <c r="Y5" s="1"/>
      <c r="Z5" s="1"/>
    </row>
    <row r="6" ht="12.75" customHeight="1">
      <c r="A6" s="6"/>
      <c r="B6" s="7" t="s">
        <v>4</v>
      </c>
      <c r="C6" s="1"/>
      <c r="D6" s="1"/>
      <c r="E6" s="1"/>
      <c r="F6" s="1"/>
      <c r="G6" s="1"/>
      <c r="H6" s="1"/>
      <c r="I6" s="1"/>
      <c r="J6" s="1"/>
      <c r="K6" s="1"/>
      <c r="L6" s="1"/>
      <c r="M6" s="1"/>
      <c r="N6" s="1"/>
      <c r="O6" s="8">
        <f>1.04^10-1</f>
        <v>0.4802442849</v>
      </c>
      <c r="P6" s="1"/>
      <c r="Q6" s="1"/>
      <c r="R6" s="1"/>
      <c r="S6" s="1"/>
      <c r="T6" s="1"/>
      <c r="U6" s="1"/>
      <c r="V6" s="1"/>
      <c r="W6" s="1"/>
      <c r="X6" s="1"/>
      <c r="Y6" s="1"/>
      <c r="Z6" s="1"/>
    </row>
    <row r="7" ht="12.75" customHeight="1">
      <c r="A7" s="9"/>
      <c r="B7" s="1" t="s">
        <v>5</v>
      </c>
      <c r="C7" s="1"/>
      <c r="D7" s="1"/>
      <c r="E7" s="1"/>
      <c r="F7" s="1"/>
      <c r="G7" s="1"/>
      <c r="H7" s="1"/>
      <c r="I7" s="1"/>
      <c r="J7" s="1"/>
      <c r="K7" s="1"/>
      <c r="L7" s="1"/>
      <c r="M7" s="1"/>
      <c r="N7" s="1"/>
      <c r="O7" s="1"/>
      <c r="P7" s="1"/>
      <c r="Q7" s="1" t="s">
        <v>6</v>
      </c>
      <c r="R7" s="10">
        <v>0.0527</v>
      </c>
      <c r="S7" s="1"/>
      <c r="T7" s="1"/>
      <c r="U7" s="1"/>
      <c r="V7" s="1"/>
      <c r="W7" s="1"/>
      <c r="X7" s="1"/>
      <c r="Y7" s="1"/>
      <c r="Z7" s="1"/>
    </row>
    <row r="8" ht="12.75" customHeight="1">
      <c r="A8" s="1"/>
      <c r="B8" s="1" t="s">
        <v>7</v>
      </c>
      <c r="C8" s="1"/>
      <c r="D8" s="1"/>
      <c r="E8" s="1"/>
      <c r="F8" s="1"/>
      <c r="G8" s="1"/>
      <c r="H8" s="1"/>
      <c r="I8" s="1"/>
      <c r="J8" s="1"/>
      <c r="K8" s="1"/>
      <c r="L8" s="1"/>
      <c r="M8" s="1"/>
      <c r="N8" s="1"/>
      <c r="O8" s="1"/>
      <c r="P8" s="1"/>
      <c r="Q8" s="1" t="s">
        <v>8</v>
      </c>
      <c r="R8" s="10">
        <v>0.005</v>
      </c>
      <c r="S8" s="1"/>
      <c r="T8" s="1"/>
      <c r="U8" s="1"/>
      <c r="V8" s="1"/>
      <c r="W8" s="1"/>
      <c r="X8" s="1"/>
      <c r="Y8" s="1"/>
      <c r="Z8" s="1"/>
    </row>
    <row r="9" ht="12.75" customHeight="1">
      <c r="A9" s="1"/>
      <c r="B9" s="1" t="s">
        <v>9</v>
      </c>
      <c r="C9" s="1"/>
      <c r="D9" s="1"/>
      <c r="E9" s="1"/>
      <c r="F9" s="1"/>
      <c r="G9" s="1"/>
      <c r="H9" s="1"/>
      <c r="I9" s="1"/>
      <c r="J9" s="1"/>
      <c r="K9" s="1"/>
      <c r="L9" s="1"/>
      <c r="M9" s="1"/>
      <c r="N9" s="1"/>
      <c r="O9" s="1"/>
      <c r="P9" s="1"/>
      <c r="Q9" s="1" t="s">
        <v>10</v>
      </c>
      <c r="R9" s="1">
        <v>5.0</v>
      </c>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t="s">
        <v>11</v>
      </c>
      <c r="B11" s="1"/>
      <c r="C11" s="1"/>
      <c r="D11" s="1"/>
      <c r="E11" s="1"/>
      <c r="F11" s="1"/>
      <c r="G11" s="1"/>
      <c r="H11" s="1"/>
      <c r="I11" s="1"/>
      <c r="J11" s="1"/>
      <c r="K11" s="1"/>
      <c r="L11" s="1"/>
      <c r="M11" s="1"/>
      <c r="N11" s="1"/>
      <c r="O11" s="1"/>
      <c r="P11" s="1"/>
      <c r="Q11" s="1"/>
      <c r="R11" s="11">
        <f>R7+R8*R9</f>
        <v>0.0777</v>
      </c>
      <c r="S11" s="1"/>
      <c r="T11" s="1"/>
      <c r="U11" s="1"/>
      <c r="V11" s="1"/>
      <c r="W11" s="1"/>
      <c r="X11" s="1"/>
      <c r="Y11" s="1"/>
      <c r="Z11" s="1"/>
    </row>
    <row r="12" ht="12.75" customHeight="1">
      <c r="A12" s="1"/>
      <c r="B12" s="1"/>
      <c r="C12" s="1"/>
      <c r="D12" s="1"/>
      <c r="E12" s="1"/>
      <c r="F12" s="1"/>
      <c r="G12" s="1"/>
      <c r="H12" s="12"/>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t="s">
        <v>12</v>
      </c>
      <c r="B14" s="13">
        <v>46154.0</v>
      </c>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4" t="s">
        <v>13</v>
      </c>
      <c r="B15" s="15">
        <v>0.21</v>
      </c>
      <c r="C15" s="1" t="s">
        <v>14</v>
      </c>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6">
        <v>0.105</v>
      </c>
      <c r="C16" s="1" t="s">
        <v>15</v>
      </c>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5">
        <v>0.27</v>
      </c>
      <c r="C17" s="1" t="s">
        <v>16</v>
      </c>
      <c r="D17" s="1"/>
      <c r="E17" s="1"/>
      <c r="F17" s="1"/>
      <c r="G17" s="1"/>
      <c r="H17" s="1"/>
      <c r="I17" s="1"/>
      <c r="J17" s="1"/>
      <c r="K17" s="1"/>
      <c r="L17" s="1"/>
      <c r="M17" s="1"/>
      <c r="N17" s="1"/>
      <c r="O17" s="1"/>
      <c r="P17" s="1"/>
      <c r="Q17" s="1"/>
      <c r="R17" s="1"/>
      <c r="S17" s="1"/>
      <c r="T17" s="1"/>
      <c r="U17" s="1"/>
      <c r="V17" s="1"/>
      <c r="W17" s="1"/>
      <c r="X17" s="1"/>
      <c r="Y17" s="1"/>
      <c r="Z17" s="1"/>
    </row>
    <row r="18" ht="12.75" customHeight="1">
      <c r="A18" s="14" t="s">
        <v>17</v>
      </c>
      <c r="B18" s="15">
        <v>0.21</v>
      </c>
      <c r="C18" s="1" t="s">
        <v>18</v>
      </c>
      <c r="D18" s="1"/>
      <c r="E18" s="1"/>
      <c r="F18" s="1"/>
      <c r="G18" s="1"/>
      <c r="H18" s="1"/>
      <c r="I18" s="1"/>
      <c r="J18" s="1"/>
      <c r="K18" s="1"/>
      <c r="L18" s="1"/>
      <c r="M18" s="1"/>
      <c r="N18" s="1"/>
      <c r="O18" s="1"/>
      <c r="P18" s="1"/>
      <c r="Q18" s="1"/>
      <c r="R18" s="1"/>
      <c r="S18" s="1"/>
      <c r="T18" s="1"/>
      <c r="U18" s="1"/>
      <c r="V18" s="1"/>
      <c r="W18" s="1"/>
      <c r="X18" s="1"/>
      <c r="Y18" s="1"/>
      <c r="Z18" s="1"/>
    </row>
    <row r="19" ht="12.75" customHeight="1">
      <c r="A19" s="14" t="s">
        <v>19</v>
      </c>
      <c r="B19" s="15">
        <v>0.35</v>
      </c>
      <c r="C19" s="1" t="s">
        <v>20</v>
      </c>
      <c r="D19" s="1"/>
      <c r="E19" s="1"/>
      <c r="F19" s="1"/>
      <c r="G19" s="1"/>
      <c r="H19" s="1"/>
      <c r="I19" s="1"/>
      <c r="J19" s="1"/>
      <c r="K19" s="1"/>
      <c r="L19" s="1"/>
      <c r="M19" s="1"/>
      <c r="N19" s="1"/>
      <c r="O19" s="1"/>
      <c r="P19" s="1"/>
      <c r="Q19" s="1"/>
      <c r="R19" s="1"/>
      <c r="S19" s="1"/>
      <c r="T19" s="1"/>
      <c r="U19" s="1"/>
      <c r="V19" s="1"/>
      <c r="W19" s="1"/>
      <c r="X19" s="1"/>
      <c r="Y19" s="1"/>
      <c r="Z19" s="1"/>
    </row>
    <row r="20" ht="12.75" customHeight="1">
      <c r="A20" s="1" t="s">
        <v>21</v>
      </c>
      <c r="B20" s="15">
        <v>0.05</v>
      </c>
      <c r="C20" s="17" t="s">
        <v>22</v>
      </c>
      <c r="D20" s="1" t="s">
        <v>23</v>
      </c>
      <c r="E20" s="1"/>
      <c r="F20" s="1"/>
      <c r="G20" s="1"/>
      <c r="H20" s="1"/>
      <c r="I20" s="1"/>
      <c r="J20" s="1"/>
      <c r="K20" s="1"/>
      <c r="L20" s="1"/>
      <c r="M20" s="1"/>
      <c r="N20" s="1"/>
      <c r="O20" s="1"/>
      <c r="P20" s="1"/>
      <c r="Q20" s="1"/>
      <c r="R20" s="1"/>
      <c r="S20" s="1"/>
      <c r="T20" s="1"/>
      <c r="U20" s="1"/>
      <c r="V20" s="1"/>
      <c r="W20" s="1"/>
      <c r="X20" s="1"/>
      <c r="Y20" s="1"/>
      <c r="Z20" s="1"/>
    </row>
    <row r="21" ht="12.75" customHeight="1">
      <c r="A21" s="1" t="s">
        <v>24</v>
      </c>
      <c r="B21" s="18">
        <v>1400.0</v>
      </c>
      <c r="C21" s="1" t="s">
        <v>25</v>
      </c>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9"/>
      <c r="C22" s="1" t="s">
        <v>26</v>
      </c>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9"/>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t="s">
        <v>27</v>
      </c>
      <c r="B24" s="15">
        <v>0.05</v>
      </c>
      <c r="C24" s="1" t="s">
        <v>28</v>
      </c>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5">
        <v>0.03</v>
      </c>
      <c r="C25" s="1" t="s">
        <v>29</v>
      </c>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0"/>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t="s">
        <v>30</v>
      </c>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t="s">
        <v>31</v>
      </c>
      <c r="C28" s="1" t="s">
        <v>32</v>
      </c>
      <c r="D28" s="1" t="s">
        <v>33</v>
      </c>
      <c r="E28" s="1"/>
      <c r="F28" s="1"/>
      <c r="G28" s="1"/>
      <c r="H28" s="1"/>
      <c r="I28" s="1"/>
      <c r="J28" s="1"/>
      <c r="K28" s="1"/>
      <c r="L28" s="1"/>
      <c r="M28" s="1"/>
      <c r="N28" s="1"/>
      <c r="O28" s="1"/>
      <c r="P28" s="1"/>
      <c r="Q28" s="1"/>
      <c r="R28" s="1"/>
      <c r="S28" s="1"/>
      <c r="T28" s="1"/>
      <c r="U28" s="1"/>
      <c r="V28" s="1"/>
      <c r="W28" s="1"/>
      <c r="X28" s="1"/>
      <c r="Y28" s="1"/>
      <c r="Z28" s="1"/>
    </row>
    <row r="29" ht="12.75" customHeight="1">
      <c r="A29" s="1" t="s">
        <v>34</v>
      </c>
      <c r="B29" s="15">
        <v>0.4</v>
      </c>
      <c r="C29" s="15">
        <v>0.95</v>
      </c>
      <c r="D29" s="15">
        <v>0.95</v>
      </c>
      <c r="E29" s="1"/>
      <c r="F29" s="1"/>
      <c r="G29" s="1"/>
      <c r="H29" s="1"/>
      <c r="I29" s="1"/>
      <c r="J29" s="1"/>
      <c r="K29" s="1"/>
      <c r="L29" s="1"/>
      <c r="M29" s="1"/>
      <c r="N29" s="1"/>
      <c r="O29" s="1"/>
      <c r="P29" s="1"/>
      <c r="Q29" s="1"/>
      <c r="R29" s="1"/>
      <c r="S29" s="1"/>
      <c r="T29" s="1"/>
      <c r="U29" s="1"/>
      <c r="V29" s="1"/>
      <c r="W29" s="1"/>
      <c r="X29" s="1"/>
      <c r="Y29" s="1"/>
      <c r="Z29" s="1"/>
    </row>
    <row r="30" ht="12.75" customHeight="1">
      <c r="A30" s="1" t="s">
        <v>35</v>
      </c>
      <c r="B30" s="15">
        <v>0.4</v>
      </c>
      <c r="C30" s="15">
        <v>0.03</v>
      </c>
      <c r="D30" s="15">
        <v>0.03</v>
      </c>
      <c r="E30" s="1"/>
      <c r="F30" s="1"/>
      <c r="G30" s="1"/>
      <c r="H30" s="1"/>
      <c r="I30" s="1"/>
      <c r="J30" s="1"/>
      <c r="K30" s="1"/>
      <c r="L30" s="1"/>
      <c r="M30" s="1"/>
      <c r="N30" s="1"/>
      <c r="O30" s="1"/>
      <c r="P30" s="1"/>
      <c r="Q30" s="1"/>
      <c r="R30" s="1"/>
      <c r="S30" s="1"/>
      <c r="T30" s="1"/>
      <c r="U30" s="1"/>
      <c r="V30" s="1"/>
      <c r="W30" s="1"/>
      <c r="X30" s="1"/>
      <c r="Y30" s="1"/>
      <c r="Z30" s="1"/>
    </row>
    <row r="31" ht="12.75" customHeight="1">
      <c r="A31" s="1" t="s">
        <v>36</v>
      </c>
      <c r="B31" s="15">
        <f t="shared" ref="B31:D31" si="1">IF((1-B30-B29)&gt;0,(1-B30-B29), "ERROR")</f>
        <v>0.2</v>
      </c>
      <c r="C31" s="15">
        <f t="shared" si="1"/>
        <v>0.02</v>
      </c>
      <c r="D31" s="15">
        <f t="shared" si="1"/>
        <v>0.02</v>
      </c>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t="s">
        <v>37</v>
      </c>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t="s">
        <v>38</v>
      </c>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t="s">
        <v>39</v>
      </c>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t="s">
        <v>40</v>
      </c>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t="s">
        <v>41</v>
      </c>
      <c r="B39" s="1"/>
      <c r="C39" s="1" t="s">
        <v>42</v>
      </c>
      <c r="D39" s="1" t="s">
        <v>43</v>
      </c>
      <c r="E39" s="1" t="s">
        <v>44</v>
      </c>
      <c r="F39" s="1" t="s">
        <v>45</v>
      </c>
      <c r="G39" s="1" t="s">
        <v>46</v>
      </c>
      <c r="H39" s="1" t="s">
        <v>47</v>
      </c>
      <c r="I39" s="1" t="s">
        <v>48</v>
      </c>
      <c r="J39" s="1" t="s">
        <v>49</v>
      </c>
      <c r="K39" s="1" t="s">
        <v>50</v>
      </c>
      <c r="L39" s="1" t="s">
        <v>51</v>
      </c>
      <c r="M39" s="1" t="s">
        <v>52</v>
      </c>
      <c r="N39" s="1"/>
      <c r="O39" s="1"/>
      <c r="P39" s="1"/>
      <c r="Q39" s="1"/>
      <c r="R39" s="1"/>
      <c r="S39" s="1"/>
      <c r="T39" s="1"/>
      <c r="U39" s="1"/>
      <c r="V39" s="1"/>
      <c r="W39" s="1"/>
      <c r="X39" s="1"/>
      <c r="Y39" s="1"/>
      <c r="Z39" s="1"/>
    </row>
    <row r="40" ht="12.75" customHeight="1">
      <c r="A40" s="14" t="s">
        <v>53</v>
      </c>
      <c r="B40" s="1" t="s">
        <v>54</v>
      </c>
      <c r="C40" s="19"/>
      <c r="D40" s="19"/>
      <c r="E40" s="19"/>
      <c r="F40" s="19"/>
      <c r="G40" s="19"/>
      <c r="H40" s="19"/>
      <c r="I40" s="19"/>
      <c r="J40" s="19"/>
      <c r="K40" s="19"/>
      <c r="L40" s="19"/>
      <c r="M40" s="19"/>
      <c r="N40" s="1"/>
      <c r="O40" s="1"/>
      <c r="P40" s="1"/>
      <c r="Q40" s="1"/>
      <c r="R40" s="1"/>
      <c r="S40" s="1"/>
      <c r="T40" s="1"/>
      <c r="U40" s="1"/>
      <c r="V40" s="1"/>
      <c r="W40" s="1"/>
      <c r="X40" s="1"/>
      <c r="Y40" s="1"/>
      <c r="Z40" s="1"/>
    </row>
    <row r="41" ht="12.75" customHeight="1">
      <c r="A41" s="14" t="s">
        <v>55</v>
      </c>
      <c r="B41" s="1" t="s">
        <v>54</v>
      </c>
      <c r="C41" s="19"/>
      <c r="D41" s="19"/>
      <c r="E41" s="19"/>
      <c r="F41" s="19"/>
      <c r="G41" s="19"/>
      <c r="H41" s="19"/>
      <c r="I41" s="19"/>
      <c r="J41" s="19"/>
      <c r="K41" s="19"/>
      <c r="L41" s="19"/>
      <c r="M41" s="19"/>
      <c r="N41" s="1"/>
      <c r="O41" s="1"/>
      <c r="P41" s="1"/>
      <c r="Q41" s="1"/>
      <c r="R41" s="1"/>
      <c r="S41" s="1"/>
      <c r="T41" s="1"/>
      <c r="U41" s="1"/>
      <c r="V41" s="1"/>
      <c r="W41" s="1"/>
      <c r="X41" s="1"/>
      <c r="Y41" s="1"/>
      <c r="Z41" s="1"/>
    </row>
    <row r="42" ht="12.75" customHeight="1">
      <c r="A42" s="14" t="s">
        <v>56</v>
      </c>
      <c r="B42" s="1" t="s">
        <v>54</v>
      </c>
      <c r="C42" s="19"/>
      <c r="D42" s="19"/>
      <c r="E42" s="19"/>
      <c r="F42" s="19"/>
      <c r="G42" s="19"/>
      <c r="H42" s="19"/>
      <c r="I42" s="19"/>
      <c r="J42" s="19"/>
      <c r="K42" s="19"/>
      <c r="L42" s="19"/>
      <c r="M42" s="19"/>
      <c r="N42" s="1"/>
      <c r="O42" s="1"/>
      <c r="P42" s="1"/>
      <c r="Q42" s="1"/>
      <c r="R42" s="1"/>
      <c r="S42" s="1"/>
      <c r="T42" s="1"/>
      <c r="U42" s="1"/>
      <c r="V42" s="1"/>
      <c r="W42" s="1"/>
      <c r="X42" s="1"/>
      <c r="Y42" s="1"/>
      <c r="Z42" s="1"/>
    </row>
    <row r="43" ht="12.75" customHeight="1">
      <c r="A43" s="1" t="s">
        <v>57</v>
      </c>
      <c r="B43" s="1" t="s">
        <v>58</v>
      </c>
      <c r="C43" s="19"/>
      <c r="D43" s="19">
        <v>180.0</v>
      </c>
      <c r="E43" s="19">
        <v>120.0</v>
      </c>
      <c r="F43" s="19">
        <v>90.0</v>
      </c>
      <c r="G43" s="19">
        <v>80.0</v>
      </c>
      <c r="H43" s="19">
        <v>70.0</v>
      </c>
      <c r="I43" s="19">
        <v>60.0</v>
      </c>
      <c r="J43" s="19">
        <v>50.0</v>
      </c>
      <c r="K43" s="19">
        <v>50.0</v>
      </c>
      <c r="L43" s="19">
        <v>100.0</v>
      </c>
      <c r="M43" s="19">
        <v>180.0</v>
      </c>
      <c r="N43" s="1"/>
      <c r="O43" s="1"/>
      <c r="P43" s="1"/>
      <c r="Q43" s="1"/>
      <c r="R43" s="1"/>
      <c r="S43" s="1"/>
      <c r="T43" s="1"/>
      <c r="U43" s="1"/>
      <c r="V43" s="1"/>
      <c r="W43" s="1"/>
      <c r="X43" s="1"/>
      <c r="Y43" s="1"/>
      <c r="Z43" s="1"/>
    </row>
    <row r="44" ht="12.75" customHeight="1">
      <c r="A44" s="14" t="s">
        <v>59</v>
      </c>
      <c r="B44" s="1" t="s">
        <v>60</v>
      </c>
      <c r="C44" s="1"/>
      <c r="D44" s="21">
        <v>4139.0</v>
      </c>
      <c r="E44" s="21">
        <v>4730.0</v>
      </c>
      <c r="F44" s="21">
        <v>4926.0</v>
      </c>
      <c r="G44" s="21">
        <v>5136.0</v>
      </c>
      <c r="H44" s="21">
        <v>5381.0</v>
      </c>
      <c r="I44" s="21">
        <v>5635.0</v>
      </c>
      <c r="J44" s="21">
        <v>5905.0</v>
      </c>
      <c r="K44" s="21">
        <v>6184.0</v>
      </c>
      <c r="L44" s="21">
        <v>6475.0</v>
      </c>
      <c r="M44" s="21">
        <v>6780.0</v>
      </c>
      <c r="N44" s="1"/>
      <c r="O44" s="1"/>
      <c r="P44" s="1"/>
      <c r="Q44" s="1"/>
      <c r="R44" s="1"/>
      <c r="S44" s="1"/>
      <c r="T44" s="1"/>
      <c r="U44" s="1"/>
      <c r="V44" s="1"/>
      <c r="W44" s="1"/>
      <c r="X44" s="1"/>
      <c r="Y44" s="1"/>
      <c r="Z44" s="1"/>
    </row>
    <row r="45" ht="12.75" customHeight="1">
      <c r="A45" s="14" t="s">
        <v>61</v>
      </c>
      <c r="B45" s="1" t="s">
        <v>60</v>
      </c>
      <c r="C45" s="1"/>
      <c r="D45" s="21">
        <v>4139.0</v>
      </c>
      <c r="E45" s="21">
        <v>4730.0</v>
      </c>
      <c r="F45" s="21">
        <v>4926.0</v>
      </c>
      <c r="G45" s="21">
        <v>5136.0</v>
      </c>
      <c r="H45" s="21">
        <v>5381.0</v>
      </c>
      <c r="I45" s="21">
        <v>5635.0</v>
      </c>
      <c r="J45" s="21">
        <v>5905.0</v>
      </c>
      <c r="K45" s="21">
        <v>6184.0</v>
      </c>
      <c r="L45" s="21">
        <v>6475.0</v>
      </c>
      <c r="M45" s="21">
        <v>6780.0</v>
      </c>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4" t="s">
        <v>62</v>
      </c>
      <c r="B47" s="15">
        <v>0.02</v>
      </c>
      <c r="C47" s="1" t="s">
        <v>63</v>
      </c>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22" t="s">
        <v>64</v>
      </c>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22" t="s">
        <v>65</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0.7"/>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2" width="8.75"/>
    <col customWidth="1" min="3" max="3" width="6.75"/>
    <col customWidth="1" min="4" max="15" width="15.38"/>
    <col customWidth="1" min="16" max="16" width="12.25"/>
    <col customWidth="1" min="17"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23" t="s">
        <v>66</v>
      </c>
      <c r="B2" s="24" t="s">
        <v>67</v>
      </c>
      <c r="C2" s="24" t="s">
        <v>68</v>
      </c>
      <c r="D2" s="25" t="s">
        <v>42</v>
      </c>
      <c r="E2" s="25" t="s">
        <v>43</v>
      </c>
      <c r="F2" s="25" t="s">
        <v>44</v>
      </c>
      <c r="G2" s="25" t="s">
        <v>45</v>
      </c>
      <c r="H2" s="25" t="s">
        <v>46</v>
      </c>
      <c r="I2" s="25" t="s">
        <v>47</v>
      </c>
      <c r="J2" s="25" t="s">
        <v>48</v>
      </c>
      <c r="K2" s="25" t="s">
        <v>49</v>
      </c>
      <c r="L2" s="25" t="s">
        <v>50</v>
      </c>
      <c r="M2" s="25" t="s">
        <v>51</v>
      </c>
      <c r="N2" s="25" t="s">
        <v>52</v>
      </c>
      <c r="O2" s="1"/>
      <c r="P2" s="1"/>
      <c r="Q2" s="1"/>
      <c r="R2" s="1"/>
      <c r="S2" s="1"/>
      <c r="T2" s="1"/>
      <c r="U2" s="1"/>
      <c r="V2" s="1"/>
      <c r="W2" s="1"/>
      <c r="X2" s="1"/>
      <c r="Y2" s="1"/>
      <c r="Z2" s="1"/>
    </row>
    <row r="3" ht="12.75" customHeight="1">
      <c r="A3" s="26" t="s">
        <v>69</v>
      </c>
      <c r="B3" s="27"/>
      <c r="C3" s="27"/>
      <c r="D3" s="28"/>
      <c r="E3" s="28"/>
      <c r="F3" s="28"/>
      <c r="G3" s="28"/>
      <c r="H3" s="1"/>
      <c r="I3" s="1"/>
      <c r="J3" s="1"/>
      <c r="K3" s="1"/>
      <c r="L3" s="1"/>
      <c r="M3" s="1"/>
      <c r="N3" s="1"/>
      <c r="O3" s="1"/>
      <c r="P3" s="1"/>
      <c r="Q3" s="1"/>
      <c r="R3" s="1"/>
      <c r="S3" s="1"/>
      <c r="T3" s="1"/>
      <c r="U3" s="1"/>
      <c r="V3" s="1"/>
      <c r="W3" s="1"/>
      <c r="X3" s="1"/>
      <c r="Y3" s="1"/>
      <c r="Z3" s="1"/>
    </row>
    <row r="4" ht="12.75" customHeight="1">
      <c r="A4" s="29" t="s">
        <v>70</v>
      </c>
      <c r="B4" s="30">
        <v>0.0</v>
      </c>
      <c r="C4" s="31">
        <v>0.0</v>
      </c>
      <c r="D4" s="32">
        <v>1.224E9</v>
      </c>
      <c r="E4" s="33"/>
      <c r="F4" s="33"/>
      <c r="G4" s="33"/>
      <c r="H4" s="33"/>
      <c r="I4" s="33"/>
      <c r="J4" s="33"/>
      <c r="K4" s="33"/>
      <c r="L4" s="33"/>
      <c r="M4" s="33"/>
      <c r="N4" s="34"/>
      <c r="O4" s="35"/>
      <c r="P4" s="1"/>
      <c r="Q4" s="1"/>
      <c r="R4" s="1"/>
      <c r="S4" s="1"/>
      <c r="T4" s="1"/>
      <c r="U4" s="1"/>
      <c r="V4" s="1"/>
      <c r="W4" s="1"/>
      <c r="X4" s="1"/>
      <c r="Y4" s="1"/>
      <c r="Z4" s="1"/>
    </row>
    <row r="5" ht="12.75" customHeight="1">
      <c r="A5" s="29" t="s">
        <v>71</v>
      </c>
      <c r="B5" s="36">
        <v>30.0</v>
      </c>
      <c r="C5" s="37">
        <f>'DATOS Iniciales y ACLARACIONES'!B15</f>
        <v>0.21</v>
      </c>
      <c r="D5" s="38">
        <v>1.86E8</v>
      </c>
      <c r="E5" s="39"/>
      <c r="F5" s="39"/>
      <c r="G5" s="39"/>
      <c r="H5" s="39"/>
      <c r="I5" s="39"/>
      <c r="J5" s="39"/>
      <c r="K5" s="39"/>
      <c r="L5" s="39"/>
      <c r="M5" s="39"/>
      <c r="N5" s="40"/>
      <c r="O5" s="35"/>
      <c r="P5" s="1"/>
      <c r="Q5" s="1"/>
      <c r="R5" s="1"/>
      <c r="S5" s="1"/>
      <c r="T5" s="1"/>
      <c r="U5" s="1"/>
      <c r="V5" s="1"/>
      <c r="W5" s="1"/>
      <c r="X5" s="1"/>
      <c r="Y5" s="1"/>
      <c r="Z5" s="1"/>
    </row>
    <row r="6" ht="12.75" customHeight="1">
      <c r="A6" s="29" t="s">
        <v>72</v>
      </c>
      <c r="B6" s="36">
        <v>30.0</v>
      </c>
      <c r="C6" s="37">
        <f>'DATOS Iniciales y ACLARACIONES'!B15</f>
        <v>0.21</v>
      </c>
      <c r="D6" s="38"/>
      <c r="E6" s="39"/>
      <c r="F6" s="39"/>
      <c r="G6" s="39"/>
      <c r="H6" s="39"/>
      <c r="I6" s="39"/>
      <c r="J6" s="39"/>
      <c r="K6" s="39"/>
      <c r="L6" s="39"/>
      <c r="M6" s="39"/>
      <c r="N6" s="40"/>
      <c r="O6" s="35"/>
      <c r="P6" s="1"/>
      <c r="Q6" s="1"/>
      <c r="R6" s="1"/>
      <c r="S6" s="1"/>
      <c r="T6" s="1"/>
      <c r="U6" s="1"/>
      <c r="V6" s="1"/>
      <c r="W6" s="1"/>
      <c r="X6" s="1"/>
      <c r="Y6" s="1"/>
      <c r="Z6" s="1"/>
    </row>
    <row r="7" ht="12.75" customHeight="1">
      <c r="A7" s="29" t="s">
        <v>73</v>
      </c>
      <c r="B7" s="36">
        <v>10.0</v>
      </c>
      <c r="C7" s="41">
        <f>'DATOS Iniciales y ACLARACIONES'!B16</f>
        <v>0.105</v>
      </c>
      <c r="D7" s="38"/>
      <c r="E7" s="39"/>
      <c r="F7" s="39"/>
      <c r="G7" s="39"/>
      <c r="H7" s="39"/>
      <c r="I7" s="39"/>
      <c r="J7" s="39"/>
      <c r="K7" s="39"/>
      <c r="L7" s="39"/>
      <c r="M7" s="39"/>
      <c r="N7" s="40"/>
      <c r="O7" s="35"/>
      <c r="P7" s="1"/>
      <c r="Q7" s="1"/>
      <c r="R7" s="1"/>
      <c r="S7" s="1"/>
      <c r="T7" s="1"/>
      <c r="U7" s="1"/>
      <c r="V7" s="1"/>
      <c r="W7" s="1"/>
      <c r="X7" s="1"/>
      <c r="Y7" s="1"/>
      <c r="Z7" s="1"/>
    </row>
    <row r="8" ht="12.75" customHeight="1">
      <c r="A8" s="29" t="s">
        <v>74</v>
      </c>
      <c r="B8" s="36">
        <v>10.0</v>
      </c>
      <c r="C8" s="41">
        <f>'DATOS Iniciales y ACLARACIONES'!B16</f>
        <v>0.105</v>
      </c>
      <c r="D8" s="38">
        <v>3.37E8</v>
      </c>
      <c r="E8" s="39"/>
      <c r="F8" s="39"/>
      <c r="G8" s="39"/>
      <c r="H8" s="39"/>
      <c r="I8" s="39"/>
      <c r="J8" s="39"/>
      <c r="K8" s="39"/>
      <c r="L8" s="39"/>
      <c r="M8" s="39"/>
      <c r="N8" s="40"/>
      <c r="O8" s="35"/>
      <c r="P8" s="1"/>
      <c r="Q8" s="1"/>
      <c r="R8" s="1"/>
      <c r="S8" s="1"/>
      <c r="T8" s="1"/>
      <c r="U8" s="1"/>
      <c r="V8" s="1"/>
      <c r="W8" s="1"/>
      <c r="X8" s="1"/>
      <c r="Y8" s="1"/>
      <c r="Z8" s="1"/>
    </row>
    <row r="9" ht="12.75" customHeight="1">
      <c r="A9" s="42" t="s">
        <v>75</v>
      </c>
      <c r="B9" s="36">
        <v>10.0</v>
      </c>
      <c r="C9" s="41">
        <f>'DATOS Iniciales y ACLARACIONES'!B16</f>
        <v>0.105</v>
      </c>
      <c r="D9" s="38"/>
      <c r="E9" s="39"/>
      <c r="F9" s="39"/>
      <c r="G9" s="39"/>
      <c r="H9" s="39"/>
      <c r="I9" s="39"/>
      <c r="J9" s="39"/>
      <c r="K9" s="39"/>
      <c r="L9" s="39"/>
      <c r="M9" s="39"/>
      <c r="N9" s="40"/>
      <c r="O9" s="35"/>
      <c r="P9" s="1"/>
      <c r="Q9" s="1"/>
      <c r="R9" s="1"/>
      <c r="S9" s="1"/>
      <c r="T9" s="1"/>
      <c r="U9" s="1"/>
      <c r="V9" s="1"/>
      <c r="W9" s="1"/>
      <c r="X9" s="1"/>
      <c r="Y9" s="1"/>
      <c r="Z9" s="1"/>
    </row>
    <row r="10" ht="12.75" customHeight="1">
      <c r="A10" s="29" t="s">
        <v>76</v>
      </c>
      <c r="B10" s="36">
        <v>10.0</v>
      </c>
      <c r="C10" s="41">
        <f>'DATOS Iniciales y ACLARACIONES'!B16</f>
        <v>0.105</v>
      </c>
      <c r="D10" s="38"/>
      <c r="E10" s="39"/>
      <c r="F10" s="39"/>
      <c r="G10" s="39"/>
      <c r="H10" s="39"/>
      <c r="I10" s="39"/>
      <c r="J10" s="39"/>
      <c r="K10" s="39"/>
      <c r="L10" s="39"/>
      <c r="M10" s="39"/>
      <c r="N10" s="40"/>
      <c r="O10" s="35"/>
      <c r="P10" s="1"/>
      <c r="Q10" s="1"/>
      <c r="R10" s="1"/>
      <c r="S10" s="1"/>
      <c r="T10" s="1"/>
      <c r="U10" s="1"/>
      <c r="V10" s="1"/>
      <c r="W10" s="1"/>
      <c r="X10" s="1"/>
      <c r="Y10" s="1"/>
      <c r="Z10" s="1"/>
    </row>
    <row r="11" ht="12.75" customHeight="1">
      <c r="A11" s="29" t="s">
        <v>77</v>
      </c>
      <c r="B11" s="36">
        <v>10.0</v>
      </c>
      <c r="C11" s="37">
        <f>'DATOS Iniciales y ACLARACIONES'!$B$15</f>
        <v>0.21</v>
      </c>
      <c r="D11" s="38"/>
      <c r="E11" s="39"/>
      <c r="F11" s="39"/>
      <c r="G11" s="39"/>
      <c r="H11" s="39"/>
      <c r="I11" s="39"/>
      <c r="J11" s="39"/>
      <c r="K11" s="39"/>
      <c r="L11" s="39"/>
      <c r="M11" s="39"/>
      <c r="N11" s="40"/>
      <c r="O11" s="35"/>
      <c r="P11" s="1"/>
      <c r="Q11" s="1"/>
      <c r="R11" s="1"/>
      <c r="S11" s="1"/>
      <c r="T11" s="1"/>
      <c r="U11" s="1"/>
      <c r="V11" s="1"/>
      <c r="W11" s="1"/>
      <c r="X11" s="1"/>
      <c r="Y11" s="1"/>
      <c r="Z11" s="1"/>
    </row>
    <row r="12" ht="12.75" customHeight="1">
      <c r="A12" s="29" t="s">
        <v>78</v>
      </c>
      <c r="B12" s="36">
        <v>3.0</v>
      </c>
      <c r="C12" s="37">
        <f>'DATOS Iniciales y ACLARACIONES'!$B$15</f>
        <v>0.21</v>
      </c>
      <c r="D12" s="38"/>
      <c r="E12" s="39"/>
      <c r="F12" s="39"/>
      <c r="G12" s="39"/>
      <c r="H12" s="39"/>
      <c r="I12" s="39"/>
      <c r="J12" s="39"/>
      <c r="K12" s="39"/>
      <c r="L12" s="39"/>
      <c r="M12" s="39"/>
      <c r="N12" s="40"/>
      <c r="O12" s="35"/>
      <c r="P12" s="1"/>
      <c r="Q12" s="1"/>
      <c r="R12" s="1"/>
      <c r="S12" s="1"/>
      <c r="T12" s="1"/>
      <c r="U12" s="1"/>
      <c r="V12" s="1"/>
      <c r="W12" s="1"/>
      <c r="X12" s="1"/>
      <c r="Y12" s="1"/>
      <c r="Z12" s="1"/>
    </row>
    <row r="13" ht="12.75" customHeight="1">
      <c r="A13" s="43" t="s">
        <v>79</v>
      </c>
      <c r="B13" s="36">
        <v>5.0</v>
      </c>
      <c r="C13" s="37">
        <f>'DATOS Iniciales y ACLARACIONES'!$B$15</f>
        <v>0.21</v>
      </c>
      <c r="D13" s="38">
        <v>2.2E7</v>
      </c>
      <c r="E13" s="39"/>
      <c r="F13" s="39"/>
      <c r="G13" s="39"/>
      <c r="H13" s="39"/>
      <c r="I13" s="39"/>
      <c r="J13" s="39"/>
      <c r="K13" s="39"/>
      <c r="L13" s="39"/>
      <c r="M13" s="39"/>
      <c r="N13" s="40"/>
      <c r="O13" s="35"/>
      <c r="P13" s="1"/>
      <c r="Q13" s="1"/>
      <c r="R13" s="1"/>
      <c r="S13" s="1"/>
      <c r="T13" s="1"/>
      <c r="U13" s="1"/>
      <c r="V13" s="1"/>
      <c r="W13" s="1"/>
      <c r="X13" s="1"/>
      <c r="Y13" s="1"/>
      <c r="Z13" s="1"/>
    </row>
    <row r="14" ht="12.75" customHeight="1">
      <c r="A14" s="29" t="s">
        <v>80</v>
      </c>
      <c r="B14" s="36">
        <v>5.0</v>
      </c>
      <c r="C14" s="37">
        <f>'DATOS Iniciales y ACLARACIONES'!$B$15</f>
        <v>0.21</v>
      </c>
      <c r="D14" s="38"/>
      <c r="E14" s="39"/>
      <c r="F14" s="39"/>
      <c r="G14" s="39"/>
      <c r="H14" s="39"/>
      <c r="I14" s="39"/>
      <c r="J14" s="39"/>
      <c r="K14" s="39"/>
      <c r="L14" s="39"/>
      <c r="M14" s="39"/>
      <c r="N14" s="40"/>
      <c r="O14" s="35"/>
      <c r="P14" s="1"/>
      <c r="Q14" s="1"/>
      <c r="R14" s="1"/>
      <c r="S14" s="1"/>
      <c r="T14" s="1"/>
      <c r="U14" s="1"/>
      <c r="V14" s="1"/>
      <c r="W14" s="1"/>
      <c r="X14" s="1"/>
      <c r="Y14" s="1"/>
      <c r="Z14" s="1"/>
    </row>
    <row r="15" ht="12.75" customHeight="1">
      <c r="A15" s="29" t="s">
        <v>81</v>
      </c>
      <c r="B15" s="36">
        <v>5.0</v>
      </c>
      <c r="C15" s="37">
        <f>'DATOS Iniciales y ACLARACIONES'!$B$15</f>
        <v>0.21</v>
      </c>
      <c r="D15" s="38"/>
      <c r="E15" s="39"/>
      <c r="F15" s="39"/>
      <c r="G15" s="39"/>
      <c r="H15" s="39"/>
      <c r="I15" s="39"/>
      <c r="J15" s="39"/>
      <c r="K15" s="39"/>
      <c r="L15" s="39"/>
      <c r="M15" s="39"/>
      <c r="N15" s="40"/>
      <c r="O15" s="35"/>
      <c r="P15" s="1"/>
      <c r="Q15" s="1"/>
      <c r="R15" s="1"/>
      <c r="S15" s="1"/>
      <c r="T15" s="1"/>
      <c r="U15" s="1"/>
      <c r="V15" s="1"/>
      <c r="W15" s="1"/>
      <c r="X15" s="1"/>
      <c r="Y15" s="1"/>
      <c r="Z15" s="1"/>
    </row>
    <row r="16" ht="12.75" customHeight="1">
      <c r="A16" s="29" t="s">
        <v>82</v>
      </c>
      <c r="B16" s="36">
        <v>5.0</v>
      </c>
      <c r="C16" s="37">
        <f>'DATOS Iniciales y ACLARACIONES'!$B$15</f>
        <v>0.21</v>
      </c>
      <c r="D16" s="38">
        <v>1.0E7</v>
      </c>
      <c r="E16" s="39"/>
      <c r="F16" s="39"/>
      <c r="G16" s="39"/>
      <c r="H16" s="39"/>
      <c r="I16" s="39"/>
      <c r="J16" s="39"/>
      <c r="K16" s="39"/>
      <c r="L16" s="39"/>
      <c r="M16" s="39"/>
      <c r="N16" s="40"/>
      <c r="O16" s="35"/>
      <c r="P16" s="1"/>
      <c r="Q16" s="1"/>
      <c r="R16" s="1"/>
      <c r="S16" s="1"/>
      <c r="T16" s="1"/>
      <c r="U16" s="1"/>
      <c r="V16" s="1"/>
      <c r="W16" s="1"/>
      <c r="X16" s="1"/>
      <c r="Y16" s="1"/>
      <c r="Z16" s="1"/>
    </row>
    <row r="17" ht="12.75" customHeight="1">
      <c r="A17" s="29" t="s">
        <v>83</v>
      </c>
      <c r="B17" s="36">
        <v>5.0</v>
      </c>
      <c r="C17" s="37">
        <f>'DATOS Iniciales y ACLARACIONES'!$B$15</f>
        <v>0.21</v>
      </c>
      <c r="D17" s="38"/>
      <c r="E17" s="39"/>
      <c r="F17" s="39"/>
      <c r="G17" s="39"/>
      <c r="H17" s="39"/>
      <c r="I17" s="39"/>
      <c r="J17" s="39"/>
      <c r="K17" s="39"/>
      <c r="L17" s="39"/>
      <c r="M17" s="39"/>
      <c r="N17" s="40"/>
      <c r="O17" s="35"/>
      <c r="P17" s="1"/>
      <c r="Q17" s="1"/>
      <c r="R17" s="1"/>
      <c r="S17" s="1"/>
      <c r="T17" s="1"/>
      <c r="U17" s="1"/>
      <c r="V17" s="1"/>
      <c r="W17" s="1"/>
      <c r="X17" s="1"/>
      <c r="Y17" s="1"/>
      <c r="Z17" s="1"/>
    </row>
    <row r="18" ht="12.75" customHeight="1">
      <c r="A18" s="42" t="s">
        <v>84</v>
      </c>
      <c r="B18" s="36">
        <v>5.0</v>
      </c>
      <c r="C18" s="37">
        <f>'DATOS Iniciales y ACLARACIONES'!$B$15</f>
        <v>0.21</v>
      </c>
      <c r="D18" s="38"/>
      <c r="E18" s="39"/>
      <c r="F18" s="39"/>
      <c r="G18" s="39"/>
      <c r="H18" s="39"/>
      <c r="I18" s="39"/>
      <c r="J18" s="39"/>
      <c r="K18" s="39"/>
      <c r="L18" s="39"/>
      <c r="M18" s="39"/>
      <c r="N18" s="40"/>
      <c r="O18" s="35"/>
      <c r="P18" s="1"/>
      <c r="Q18" s="1"/>
      <c r="R18" s="1"/>
      <c r="S18" s="1"/>
      <c r="T18" s="1"/>
      <c r="U18" s="1"/>
      <c r="V18" s="1"/>
      <c r="W18" s="1"/>
      <c r="X18" s="1"/>
      <c r="Y18" s="1"/>
      <c r="Z18" s="1"/>
    </row>
    <row r="19" ht="12.75" customHeight="1">
      <c r="A19" s="29" t="s">
        <v>85</v>
      </c>
      <c r="B19" s="36">
        <v>5.0</v>
      </c>
      <c r="C19" s="37">
        <f>'DATOS Iniciales y ACLARACIONES'!$B$15</f>
        <v>0.21</v>
      </c>
      <c r="D19" s="38"/>
      <c r="E19" s="39"/>
      <c r="F19" s="39"/>
      <c r="G19" s="39"/>
      <c r="H19" s="39"/>
      <c r="I19" s="39"/>
      <c r="J19" s="39"/>
      <c r="K19" s="39"/>
      <c r="L19" s="39"/>
      <c r="M19" s="39"/>
      <c r="N19" s="40"/>
      <c r="O19" s="35"/>
      <c r="P19" s="1"/>
      <c r="Q19" s="1"/>
      <c r="R19" s="1"/>
      <c r="S19" s="1"/>
      <c r="T19" s="1"/>
      <c r="U19" s="1"/>
      <c r="V19" s="1"/>
      <c r="W19" s="1"/>
      <c r="X19" s="1"/>
      <c r="Y19" s="1"/>
      <c r="Z19" s="1"/>
    </row>
    <row r="20" ht="12.75" customHeight="1">
      <c r="A20" s="29" t="s">
        <v>86</v>
      </c>
      <c r="B20" s="36">
        <v>5.0</v>
      </c>
      <c r="C20" s="37">
        <f>'DATOS Iniciales y ACLARACIONES'!$B$15</f>
        <v>0.21</v>
      </c>
      <c r="D20" s="44"/>
      <c r="E20" s="45"/>
      <c r="F20" s="46"/>
      <c r="G20" s="46"/>
      <c r="H20" s="46"/>
      <c r="I20" s="46"/>
      <c r="J20" s="46"/>
      <c r="K20" s="46"/>
      <c r="L20" s="46"/>
      <c r="M20" s="46"/>
      <c r="N20" s="47"/>
      <c r="O20" s="35"/>
      <c r="P20" s="1"/>
      <c r="Q20" s="1"/>
      <c r="R20" s="1"/>
      <c r="S20" s="1"/>
      <c r="T20" s="1"/>
      <c r="U20" s="1"/>
      <c r="V20" s="1"/>
      <c r="W20" s="1"/>
      <c r="X20" s="1"/>
      <c r="Y20" s="1"/>
      <c r="Z20" s="1"/>
    </row>
    <row r="21" ht="12.75" customHeight="1">
      <c r="A21" s="29" t="s">
        <v>87</v>
      </c>
      <c r="B21" s="36">
        <v>5.0</v>
      </c>
      <c r="C21" s="37">
        <f>'DATOS Iniciales y ACLARACIONES'!$B$15</f>
        <v>0.21</v>
      </c>
      <c r="D21" s="44"/>
      <c r="E21" s="45"/>
      <c r="F21" s="46"/>
      <c r="G21" s="46"/>
      <c r="H21" s="46"/>
      <c r="I21" s="46"/>
      <c r="J21" s="46"/>
      <c r="K21" s="46"/>
      <c r="L21" s="46"/>
      <c r="M21" s="46"/>
      <c r="N21" s="47"/>
      <c r="O21" s="35"/>
      <c r="P21" s="1"/>
      <c r="Q21" s="1"/>
      <c r="R21" s="1"/>
      <c r="S21" s="1"/>
      <c r="T21" s="1"/>
      <c r="U21" s="1"/>
      <c r="V21" s="1"/>
      <c r="W21" s="1"/>
      <c r="X21" s="1"/>
      <c r="Y21" s="1"/>
      <c r="Z21" s="1"/>
    </row>
    <row r="22" ht="12.75" customHeight="1">
      <c r="A22" s="29" t="s">
        <v>88</v>
      </c>
      <c r="B22" s="36">
        <v>5.0</v>
      </c>
      <c r="C22" s="37">
        <f>'DATOS Iniciales y ACLARACIONES'!$B$15</f>
        <v>0.21</v>
      </c>
      <c r="D22" s="48">
        <f>SUM(D4:D21)*'DATOS Iniciales y ACLARACIONES'!$B$24</f>
        <v>88950000</v>
      </c>
      <c r="E22" s="48">
        <f>SUM(E4:E21)*'DATOS Iniciales y ACLARACIONES'!$B$24</f>
        <v>0</v>
      </c>
      <c r="F22" s="48">
        <f>SUM(F4:F21)*'DATOS Iniciales y ACLARACIONES'!$B$24</f>
        <v>0</v>
      </c>
      <c r="G22" s="48">
        <f>SUM(G4:G21)*'DATOS Iniciales y ACLARACIONES'!$B$24</f>
        <v>0</v>
      </c>
      <c r="H22" s="48">
        <f>SUM(H4:H21)*'DATOS Iniciales y ACLARACIONES'!$B$24</f>
        <v>0</v>
      </c>
      <c r="I22" s="48">
        <f>SUM(I4:I21)*'DATOS Iniciales y ACLARACIONES'!$B$24</f>
        <v>0</v>
      </c>
      <c r="J22" s="48">
        <f>SUM(J4:J21)*'DATOS Iniciales y ACLARACIONES'!$B$24</f>
        <v>0</v>
      </c>
      <c r="K22" s="48">
        <f>SUM(K4:K21)*'DATOS Iniciales y ACLARACIONES'!$B$24</f>
        <v>0</v>
      </c>
      <c r="L22" s="48">
        <f>SUM(L4:L21)*'DATOS Iniciales y ACLARACIONES'!$B$24</f>
        <v>0</v>
      </c>
      <c r="M22" s="48">
        <f>SUM(M4:M21)*'DATOS Iniciales y ACLARACIONES'!$B$24</f>
        <v>0</v>
      </c>
      <c r="N22" s="48">
        <f>SUM(N4:N21)*'DATOS Iniciales y ACLARACIONES'!$B$24</f>
        <v>0</v>
      </c>
      <c r="O22" s="35"/>
      <c r="P22" s="1"/>
      <c r="Q22" s="1"/>
      <c r="R22" s="1"/>
      <c r="S22" s="1"/>
      <c r="T22" s="1"/>
      <c r="U22" s="1"/>
      <c r="V22" s="1"/>
      <c r="W22" s="1"/>
      <c r="X22" s="1"/>
      <c r="Y22" s="1"/>
      <c r="Z22" s="1"/>
    </row>
    <row r="23" ht="12.75" customHeight="1">
      <c r="A23" s="26" t="s">
        <v>89</v>
      </c>
      <c r="B23" s="49"/>
      <c r="C23" s="49"/>
      <c r="D23" s="50">
        <f t="shared" ref="D23:N23" si="1">SUM(D4:D22)</f>
        <v>1867950000</v>
      </c>
      <c r="E23" s="50">
        <f t="shared" si="1"/>
        <v>0</v>
      </c>
      <c r="F23" s="50">
        <f t="shared" si="1"/>
        <v>0</v>
      </c>
      <c r="G23" s="50">
        <f t="shared" si="1"/>
        <v>0</v>
      </c>
      <c r="H23" s="50">
        <f t="shared" si="1"/>
        <v>0</v>
      </c>
      <c r="I23" s="50">
        <f t="shared" si="1"/>
        <v>0</v>
      </c>
      <c r="J23" s="50">
        <f t="shared" si="1"/>
        <v>0</v>
      </c>
      <c r="K23" s="50">
        <f t="shared" si="1"/>
        <v>0</v>
      </c>
      <c r="L23" s="50">
        <f t="shared" si="1"/>
        <v>0</v>
      </c>
      <c r="M23" s="50">
        <f t="shared" si="1"/>
        <v>0</v>
      </c>
      <c r="N23" s="50">
        <f t="shared" si="1"/>
        <v>0</v>
      </c>
      <c r="O23" s="51"/>
      <c r="P23" s="51"/>
      <c r="Q23" s="51"/>
      <c r="R23" s="51"/>
      <c r="S23" s="51"/>
      <c r="T23" s="51"/>
      <c r="U23" s="51"/>
      <c r="V23" s="51"/>
      <c r="W23" s="51"/>
      <c r="X23" s="51"/>
      <c r="Y23" s="51"/>
      <c r="Z23" s="51"/>
    </row>
    <row r="24" ht="6.0" customHeight="1">
      <c r="A24" s="52"/>
      <c r="B24" s="53"/>
      <c r="C24" s="53"/>
      <c r="D24" s="54"/>
      <c r="E24" s="54"/>
      <c r="F24" s="54"/>
      <c r="G24" s="54"/>
      <c r="H24" s="54"/>
      <c r="I24" s="54"/>
      <c r="J24" s="54"/>
      <c r="K24" s="54"/>
      <c r="L24" s="54"/>
      <c r="M24" s="54"/>
      <c r="N24" s="54"/>
      <c r="O24" s="1"/>
      <c r="P24" s="1"/>
      <c r="Q24" s="1"/>
      <c r="R24" s="1"/>
      <c r="S24" s="1"/>
      <c r="T24" s="1"/>
      <c r="U24" s="1"/>
      <c r="V24" s="1"/>
      <c r="W24" s="1"/>
      <c r="X24" s="1"/>
      <c r="Y24" s="1"/>
      <c r="Z24" s="1"/>
    </row>
    <row r="25" ht="12.75" customHeight="1">
      <c r="A25" s="26" t="s">
        <v>90</v>
      </c>
      <c r="B25" s="55"/>
      <c r="C25" s="55"/>
      <c r="D25" s="56"/>
      <c r="E25" s="56"/>
      <c r="F25" s="56"/>
      <c r="G25" s="56"/>
      <c r="H25" s="56"/>
      <c r="I25" s="56"/>
      <c r="J25" s="56"/>
      <c r="K25" s="56"/>
      <c r="L25" s="56"/>
      <c r="M25" s="56"/>
      <c r="N25" s="56"/>
      <c r="O25" s="1"/>
      <c r="P25" s="1"/>
      <c r="Q25" s="1"/>
      <c r="R25" s="1"/>
      <c r="S25" s="1"/>
      <c r="T25" s="1"/>
      <c r="U25" s="1"/>
      <c r="V25" s="1"/>
      <c r="W25" s="1"/>
      <c r="X25" s="1"/>
      <c r="Y25" s="1"/>
      <c r="Z25" s="1"/>
    </row>
    <row r="26" ht="12.75" customHeight="1">
      <c r="A26" s="29" t="s">
        <v>91</v>
      </c>
      <c r="B26" s="36">
        <v>5.0</v>
      </c>
      <c r="C26" s="37">
        <f>'DATOS Iniciales y ACLARACIONES'!$B$15</f>
        <v>0.21</v>
      </c>
      <c r="D26" s="32"/>
      <c r="E26" s="33"/>
      <c r="F26" s="33"/>
      <c r="G26" s="33"/>
      <c r="H26" s="33"/>
      <c r="I26" s="33"/>
      <c r="J26" s="33"/>
      <c r="K26" s="33"/>
      <c r="L26" s="33"/>
      <c r="M26" s="33"/>
      <c r="N26" s="34"/>
      <c r="O26" s="35"/>
      <c r="P26" s="1"/>
      <c r="Q26" s="1"/>
      <c r="R26" s="1"/>
      <c r="S26" s="1"/>
      <c r="T26" s="1"/>
      <c r="U26" s="1"/>
      <c r="V26" s="1"/>
      <c r="W26" s="1"/>
      <c r="X26" s="1"/>
      <c r="Y26" s="1"/>
      <c r="Z26" s="1"/>
    </row>
    <row r="27" ht="12.75" customHeight="1">
      <c r="A27" s="29" t="s">
        <v>92</v>
      </c>
      <c r="B27" s="36">
        <v>5.0</v>
      </c>
      <c r="C27" s="37">
        <f>'DATOS Iniciales y ACLARACIONES'!$B$15</f>
        <v>0.21</v>
      </c>
      <c r="D27" s="38"/>
      <c r="E27" s="39"/>
      <c r="F27" s="39"/>
      <c r="G27" s="39"/>
      <c r="H27" s="39"/>
      <c r="I27" s="39"/>
      <c r="J27" s="39"/>
      <c r="K27" s="39"/>
      <c r="L27" s="39"/>
      <c r="M27" s="39"/>
      <c r="N27" s="40"/>
      <c r="O27" s="35"/>
      <c r="P27" s="1"/>
      <c r="Q27" s="1"/>
      <c r="R27" s="1"/>
      <c r="S27" s="1"/>
      <c r="T27" s="1"/>
      <c r="U27" s="1"/>
      <c r="V27" s="1"/>
      <c r="W27" s="1"/>
      <c r="X27" s="1"/>
      <c r="Y27" s="1"/>
      <c r="Z27" s="1"/>
    </row>
    <row r="28" ht="12.75" customHeight="1">
      <c r="A28" s="29" t="s">
        <v>93</v>
      </c>
      <c r="B28" s="36">
        <v>5.0</v>
      </c>
      <c r="C28" s="57">
        <f>'DATOS Iniciales y ACLARACIONES'!$B$15</f>
        <v>0.21</v>
      </c>
      <c r="D28" s="44"/>
      <c r="E28" s="45"/>
      <c r="F28" s="39"/>
      <c r="G28" s="39"/>
      <c r="H28" s="39"/>
      <c r="I28" s="39"/>
      <c r="J28" s="39"/>
      <c r="K28" s="39"/>
      <c r="L28" s="39"/>
      <c r="M28" s="39"/>
      <c r="N28" s="40"/>
      <c r="O28" s="35"/>
      <c r="P28" s="1"/>
      <c r="Q28" s="1"/>
      <c r="R28" s="1"/>
      <c r="S28" s="1"/>
      <c r="T28" s="1"/>
      <c r="U28" s="1"/>
      <c r="V28" s="1"/>
      <c r="W28" s="1"/>
      <c r="X28" s="1"/>
      <c r="Y28" s="1"/>
      <c r="Z28" s="1"/>
    </row>
    <row r="29" ht="12.75" customHeight="1">
      <c r="A29" s="43" t="s">
        <v>94</v>
      </c>
      <c r="B29" s="36">
        <v>5.0</v>
      </c>
      <c r="C29" s="58">
        <f>'DATOS Iniciales y ACLARACIONES'!$B$15</f>
        <v>0.21</v>
      </c>
      <c r="D29" s="59"/>
      <c r="E29" s="60"/>
      <c r="F29" s="61"/>
      <c r="G29" s="39"/>
      <c r="H29" s="39"/>
      <c r="I29" s="39"/>
      <c r="J29" s="39"/>
      <c r="K29" s="39"/>
      <c r="L29" s="39"/>
      <c r="M29" s="39"/>
      <c r="N29" s="40"/>
      <c r="O29" s="35"/>
      <c r="P29" s="1"/>
      <c r="Q29" s="1"/>
      <c r="R29" s="1"/>
      <c r="S29" s="1"/>
      <c r="T29" s="1"/>
      <c r="U29" s="1"/>
      <c r="V29" s="1"/>
      <c r="W29" s="1"/>
      <c r="X29" s="1"/>
      <c r="Y29" s="1"/>
      <c r="Z29" s="1"/>
    </row>
    <row r="30" ht="12.75" customHeight="1">
      <c r="A30" s="43" t="s">
        <v>95</v>
      </c>
      <c r="B30" s="36">
        <v>5.0</v>
      </c>
      <c r="C30" s="62">
        <f>'DATOS Iniciales y ACLARACIONES'!$B$15</f>
        <v>0.21</v>
      </c>
      <c r="D30" s="63"/>
      <c r="E30" s="64"/>
      <c r="F30" s="39"/>
      <c r="G30" s="39"/>
      <c r="H30" s="39"/>
      <c r="I30" s="39"/>
      <c r="J30" s="39"/>
      <c r="K30" s="39"/>
      <c r="L30" s="39"/>
      <c r="M30" s="39"/>
      <c r="N30" s="40"/>
      <c r="O30" s="35"/>
      <c r="P30" s="1"/>
      <c r="Q30" s="1"/>
      <c r="R30" s="1"/>
      <c r="S30" s="1"/>
      <c r="T30" s="1"/>
      <c r="U30" s="1"/>
      <c r="V30" s="1"/>
      <c r="W30" s="1"/>
      <c r="X30" s="1"/>
      <c r="Y30" s="1"/>
      <c r="Z30" s="1"/>
    </row>
    <row r="31" ht="12.75" customHeight="1">
      <c r="A31" s="65" t="s">
        <v>96</v>
      </c>
      <c r="B31" s="36">
        <v>5.0</v>
      </c>
      <c r="C31" s="37">
        <f>'DATOS Iniciales y ACLARACIONES'!$B$15</f>
        <v>0.21</v>
      </c>
      <c r="D31" s="38"/>
      <c r="E31" s="39"/>
      <c r="F31" s="39"/>
      <c r="G31" s="39"/>
      <c r="H31" s="39"/>
      <c r="I31" s="39"/>
      <c r="J31" s="39"/>
      <c r="K31" s="39"/>
      <c r="L31" s="39"/>
      <c r="M31" s="39"/>
      <c r="N31" s="40"/>
      <c r="O31" s="35"/>
      <c r="P31" s="1"/>
      <c r="Q31" s="1"/>
      <c r="R31" s="1"/>
      <c r="S31" s="1"/>
      <c r="T31" s="1"/>
      <c r="U31" s="1"/>
      <c r="V31" s="1"/>
      <c r="W31" s="1"/>
      <c r="X31" s="1"/>
      <c r="Y31" s="1"/>
      <c r="Z31" s="1"/>
    </row>
    <row r="32" ht="12.75" customHeight="1">
      <c r="A32" s="65" t="s">
        <v>97</v>
      </c>
      <c r="B32" s="36">
        <v>5.0</v>
      </c>
      <c r="C32" s="37">
        <f>'DATOS Iniciales y ACLARACIONES'!$B$15</f>
        <v>0.21</v>
      </c>
      <c r="D32" s="38"/>
      <c r="E32" s="39"/>
      <c r="F32" s="39"/>
      <c r="G32" s="39"/>
      <c r="H32" s="39"/>
      <c r="I32" s="39"/>
      <c r="J32" s="39"/>
      <c r="K32" s="39"/>
      <c r="L32" s="39"/>
      <c r="M32" s="39"/>
      <c r="N32" s="40"/>
      <c r="O32" s="35"/>
      <c r="P32" s="1"/>
      <c r="Q32" s="1"/>
      <c r="R32" s="1"/>
      <c r="S32" s="1"/>
      <c r="T32" s="1"/>
      <c r="U32" s="1"/>
      <c r="V32" s="1"/>
      <c r="W32" s="1"/>
      <c r="X32" s="1"/>
      <c r="Y32" s="1"/>
      <c r="Z32" s="1"/>
    </row>
    <row r="33" ht="12.75" customHeight="1">
      <c r="A33" s="65" t="s">
        <v>98</v>
      </c>
      <c r="B33" s="36">
        <v>3.0</v>
      </c>
      <c r="C33" s="37">
        <v>0.21</v>
      </c>
      <c r="D33" s="66"/>
      <c r="E33" s="46"/>
      <c r="F33" s="46"/>
      <c r="G33" s="46"/>
      <c r="H33" s="46"/>
      <c r="I33" s="46"/>
      <c r="J33" s="46"/>
      <c r="K33" s="46"/>
      <c r="L33" s="46"/>
      <c r="M33" s="46"/>
      <c r="N33" s="67"/>
      <c r="O33" s="35"/>
      <c r="P33" s="1"/>
      <c r="Q33" s="1"/>
      <c r="R33" s="1"/>
      <c r="S33" s="1"/>
      <c r="T33" s="1"/>
      <c r="U33" s="1"/>
      <c r="V33" s="1"/>
      <c r="W33" s="1"/>
      <c r="X33" s="1"/>
      <c r="Y33" s="1"/>
      <c r="Z33" s="1"/>
    </row>
    <row r="34" ht="12.75" customHeight="1">
      <c r="A34" s="29" t="s">
        <v>99</v>
      </c>
      <c r="B34" s="36">
        <v>5.0</v>
      </c>
      <c r="C34" s="37">
        <f>'DATOS Iniciales y ACLARACIONES'!$B$15</f>
        <v>0.21</v>
      </c>
      <c r="D34" s="66">
        <f>SUM(D26:D32)*'DATOS Iniciales y ACLARACIONES'!$B$24</f>
        <v>0</v>
      </c>
      <c r="E34" s="66">
        <f>SUM(E26:E32)*'DATOS Iniciales y ACLARACIONES'!$B$24</f>
        <v>0</v>
      </c>
      <c r="F34" s="66">
        <f>SUM(F26:F32)*'DATOS Iniciales y ACLARACIONES'!$B$24</f>
        <v>0</v>
      </c>
      <c r="G34" s="66">
        <f>SUM(G26:G32)*'DATOS Iniciales y ACLARACIONES'!$B$24</f>
        <v>0</v>
      </c>
      <c r="H34" s="66">
        <f>SUM(H26:H32)*'DATOS Iniciales y ACLARACIONES'!$B$24</f>
        <v>0</v>
      </c>
      <c r="I34" s="66">
        <f>SUM(I26:I32)*'DATOS Iniciales y ACLARACIONES'!$B$24</f>
        <v>0</v>
      </c>
      <c r="J34" s="66">
        <f>SUM(J26:J32)*'DATOS Iniciales y ACLARACIONES'!$B$24</f>
        <v>0</v>
      </c>
      <c r="K34" s="66">
        <f>SUM(K26:K32)*'DATOS Iniciales y ACLARACIONES'!$B$24</f>
        <v>0</v>
      </c>
      <c r="L34" s="66">
        <f>SUM(L26:L32)*'DATOS Iniciales y ACLARACIONES'!$B$24</f>
        <v>0</v>
      </c>
      <c r="M34" s="66">
        <f>SUM(M26:M32)*'DATOS Iniciales y ACLARACIONES'!$B$24</f>
        <v>0</v>
      </c>
      <c r="N34" s="66">
        <f>SUM(N26:N32)*'DATOS Iniciales y ACLARACIONES'!$B$24</f>
        <v>0</v>
      </c>
      <c r="O34" s="35"/>
      <c r="P34" s="1"/>
      <c r="Q34" s="1"/>
      <c r="R34" s="1"/>
      <c r="S34" s="1"/>
      <c r="T34" s="1"/>
      <c r="U34" s="1"/>
      <c r="V34" s="1"/>
      <c r="W34" s="1"/>
      <c r="X34" s="1"/>
      <c r="Y34" s="1"/>
      <c r="Z34" s="1"/>
    </row>
    <row r="35" ht="12.75" customHeight="1">
      <c r="A35" s="26" t="s">
        <v>100</v>
      </c>
      <c r="B35" s="49"/>
      <c r="C35" s="49"/>
      <c r="D35" s="68">
        <f t="shared" ref="D35:N35" si="2">SUM(D26:D34)</f>
        <v>0</v>
      </c>
      <c r="E35" s="68">
        <f t="shared" si="2"/>
        <v>0</v>
      </c>
      <c r="F35" s="68">
        <f t="shared" si="2"/>
        <v>0</v>
      </c>
      <c r="G35" s="68">
        <f t="shared" si="2"/>
        <v>0</v>
      </c>
      <c r="H35" s="68">
        <f t="shared" si="2"/>
        <v>0</v>
      </c>
      <c r="I35" s="68">
        <f t="shared" si="2"/>
        <v>0</v>
      </c>
      <c r="J35" s="68">
        <f t="shared" si="2"/>
        <v>0</v>
      </c>
      <c r="K35" s="68">
        <f t="shared" si="2"/>
        <v>0</v>
      </c>
      <c r="L35" s="68">
        <f t="shared" si="2"/>
        <v>0</v>
      </c>
      <c r="M35" s="68">
        <f t="shared" si="2"/>
        <v>0</v>
      </c>
      <c r="N35" s="68">
        <f t="shared" si="2"/>
        <v>0</v>
      </c>
      <c r="O35" s="35"/>
      <c r="P35" s="51"/>
      <c r="Q35" s="51"/>
      <c r="R35" s="51"/>
      <c r="S35" s="51"/>
      <c r="T35" s="51"/>
      <c r="U35" s="51"/>
      <c r="V35" s="51"/>
      <c r="W35" s="51"/>
      <c r="X35" s="51"/>
      <c r="Y35" s="51"/>
      <c r="Z35" s="51"/>
    </row>
    <row r="36" ht="5.25" customHeight="1">
      <c r="A36" s="52"/>
      <c r="B36" s="53"/>
      <c r="C36" s="53"/>
      <c r="D36" s="69"/>
      <c r="E36" s="69"/>
      <c r="F36" s="69"/>
      <c r="G36" s="69"/>
      <c r="H36" s="69"/>
      <c r="I36" s="69"/>
      <c r="J36" s="69"/>
      <c r="K36" s="69"/>
      <c r="L36" s="69"/>
      <c r="M36" s="69"/>
      <c r="N36" s="69"/>
      <c r="O36" s="35"/>
      <c r="P36" s="1"/>
      <c r="Q36" s="1"/>
      <c r="R36" s="1"/>
      <c r="S36" s="1"/>
      <c r="T36" s="1"/>
      <c r="U36" s="1"/>
      <c r="V36" s="1"/>
      <c r="W36" s="1"/>
      <c r="X36" s="1"/>
      <c r="Y36" s="1"/>
      <c r="Z36" s="1"/>
    </row>
    <row r="37" ht="12.75" customHeight="1">
      <c r="A37" s="26" t="s">
        <v>101</v>
      </c>
      <c r="B37" s="70"/>
      <c r="C37" s="70"/>
      <c r="D37" s="71">
        <f t="shared" ref="D37:N37" si="3">+D23+D35</f>
        <v>1867950000</v>
      </c>
      <c r="E37" s="71">
        <f t="shared" si="3"/>
        <v>0</v>
      </c>
      <c r="F37" s="71">
        <f t="shared" si="3"/>
        <v>0</v>
      </c>
      <c r="G37" s="71">
        <f t="shared" si="3"/>
        <v>0</v>
      </c>
      <c r="H37" s="71">
        <f t="shared" si="3"/>
        <v>0</v>
      </c>
      <c r="I37" s="71">
        <f t="shared" si="3"/>
        <v>0</v>
      </c>
      <c r="J37" s="71">
        <f t="shared" si="3"/>
        <v>0</v>
      </c>
      <c r="K37" s="71">
        <f t="shared" si="3"/>
        <v>0</v>
      </c>
      <c r="L37" s="71">
        <f t="shared" si="3"/>
        <v>0</v>
      </c>
      <c r="M37" s="71">
        <f t="shared" si="3"/>
        <v>0</v>
      </c>
      <c r="N37" s="71">
        <f t="shared" si="3"/>
        <v>0</v>
      </c>
      <c r="O37" s="35"/>
      <c r="P37" s="72"/>
      <c r="Q37" s="51"/>
      <c r="R37" s="51"/>
      <c r="S37" s="51"/>
      <c r="T37" s="51"/>
      <c r="U37" s="51"/>
      <c r="V37" s="51"/>
      <c r="W37" s="51"/>
      <c r="X37" s="51"/>
      <c r="Y37" s="51"/>
      <c r="Z37" s="51"/>
    </row>
    <row r="38" ht="4.5" customHeight="1">
      <c r="A38" s="52"/>
      <c r="B38" s="73"/>
      <c r="C38" s="73"/>
      <c r="D38" s="74"/>
      <c r="E38" s="74"/>
      <c r="F38" s="74"/>
      <c r="G38" s="74"/>
      <c r="H38" s="74"/>
      <c r="I38" s="74"/>
      <c r="J38" s="74"/>
      <c r="K38" s="74"/>
      <c r="L38" s="74"/>
      <c r="M38" s="74"/>
      <c r="N38" s="74"/>
      <c r="O38" s="35"/>
      <c r="P38" s="1"/>
      <c r="Q38" s="1"/>
      <c r="R38" s="1"/>
      <c r="S38" s="1"/>
      <c r="T38" s="1"/>
      <c r="U38" s="1"/>
      <c r="V38" s="1"/>
      <c r="W38" s="1"/>
      <c r="X38" s="1"/>
      <c r="Y38" s="1"/>
      <c r="Z38" s="1"/>
    </row>
    <row r="39" ht="12.75" customHeight="1">
      <c r="A39" s="26" t="s">
        <v>102</v>
      </c>
      <c r="B39" s="75"/>
      <c r="C39" s="75"/>
      <c r="D39" s="76">
        <f t="shared" ref="D39:N39" si="4">SUMPRODUCT($C$4:$C$22,D4:D22)+SUMPRODUCT($C$26:$C$34,D26:D34)</f>
        <v>99844500</v>
      </c>
      <c r="E39" s="76">
        <f t="shared" si="4"/>
        <v>0</v>
      </c>
      <c r="F39" s="76">
        <f t="shared" si="4"/>
        <v>0</v>
      </c>
      <c r="G39" s="76">
        <f t="shared" si="4"/>
        <v>0</v>
      </c>
      <c r="H39" s="76">
        <f t="shared" si="4"/>
        <v>0</v>
      </c>
      <c r="I39" s="76">
        <f t="shared" si="4"/>
        <v>0</v>
      </c>
      <c r="J39" s="76">
        <f t="shared" si="4"/>
        <v>0</v>
      </c>
      <c r="K39" s="76">
        <f t="shared" si="4"/>
        <v>0</v>
      </c>
      <c r="L39" s="76">
        <f t="shared" si="4"/>
        <v>0</v>
      </c>
      <c r="M39" s="76">
        <f t="shared" si="4"/>
        <v>0</v>
      </c>
      <c r="N39" s="76">
        <f t="shared" si="4"/>
        <v>0</v>
      </c>
      <c r="O39" s="35"/>
      <c r="P39" s="51"/>
      <c r="Q39" s="51"/>
      <c r="R39" s="51"/>
      <c r="S39" s="51"/>
      <c r="T39" s="51"/>
      <c r="U39" s="51"/>
      <c r="V39" s="51"/>
      <c r="W39" s="51"/>
      <c r="X39" s="51"/>
      <c r="Y39" s="51"/>
      <c r="Z39" s="51"/>
    </row>
    <row r="40" ht="3.75" customHeight="1">
      <c r="A40" s="52"/>
      <c r="B40" s="77"/>
      <c r="C40" s="77"/>
      <c r="D40" s="78"/>
      <c r="E40" s="78"/>
      <c r="F40" s="78"/>
      <c r="G40" s="78"/>
      <c r="H40" s="78"/>
      <c r="I40" s="78"/>
      <c r="J40" s="78"/>
      <c r="K40" s="78"/>
      <c r="L40" s="78"/>
      <c r="M40" s="78"/>
      <c r="N40" s="78"/>
      <c r="O40" s="35"/>
      <c r="P40" s="1"/>
      <c r="Q40" s="1"/>
      <c r="R40" s="1"/>
      <c r="S40" s="1"/>
      <c r="T40" s="1"/>
      <c r="U40" s="1"/>
      <c r="V40" s="1"/>
      <c r="W40" s="1"/>
      <c r="X40" s="1"/>
      <c r="Y40" s="1"/>
      <c r="Z40" s="1"/>
    </row>
    <row r="41" ht="12.75" customHeight="1">
      <c r="A41" s="79" t="s">
        <v>103</v>
      </c>
      <c r="B41" s="80"/>
      <c r="C41" s="80"/>
      <c r="D41" s="81">
        <f t="shared" ref="D41:N41" si="5">+D37+D39</f>
        <v>1967794500</v>
      </c>
      <c r="E41" s="81">
        <f t="shared" si="5"/>
        <v>0</v>
      </c>
      <c r="F41" s="81">
        <f t="shared" si="5"/>
        <v>0</v>
      </c>
      <c r="G41" s="81">
        <f t="shared" si="5"/>
        <v>0</v>
      </c>
      <c r="H41" s="81">
        <f t="shared" si="5"/>
        <v>0</v>
      </c>
      <c r="I41" s="81">
        <f t="shared" si="5"/>
        <v>0</v>
      </c>
      <c r="J41" s="81">
        <f t="shared" si="5"/>
        <v>0</v>
      </c>
      <c r="K41" s="81">
        <f t="shared" si="5"/>
        <v>0</v>
      </c>
      <c r="L41" s="81">
        <f t="shared" si="5"/>
        <v>0</v>
      </c>
      <c r="M41" s="81">
        <f t="shared" si="5"/>
        <v>0</v>
      </c>
      <c r="N41" s="81">
        <f t="shared" si="5"/>
        <v>0</v>
      </c>
      <c r="O41" s="35"/>
      <c r="P41" s="82"/>
      <c r="Q41" s="82"/>
      <c r="R41" s="82"/>
      <c r="S41" s="82"/>
      <c r="T41" s="82"/>
      <c r="U41" s="82"/>
      <c r="V41" s="82"/>
      <c r="W41" s="82"/>
      <c r="X41" s="82"/>
      <c r="Y41" s="82"/>
      <c r="Z41" s="82"/>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83"/>
      <c r="H43" s="1"/>
      <c r="I43" s="1"/>
      <c r="J43" s="1"/>
      <c r="K43" s="1"/>
      <c r="L43" s="1"/>
      <c r="M43" s="1"/>
      <c r="N43" s="1"/>
      <c r="O43" s="1"/>
      <c r="P43" s="1"/>
      <c r="Q43" s="1"/>
      <c r="R43" s="1"/>
      <c r="S43" s="1"/>
      <c r="T43" s="1"/>
      <c r="U43" s="1"/>
      <c r="V43" s="1"/>
      <c r="W43" s="1"/>
      <c r="X43" s="1"/>
      <c r="Y43" s="1"/>
      <c r="Z43" s="1"/>
    </row>
    <row r="44" ht="12.75" customHeight="1">
      <c r="A44" s="1"/>
      <c r="B44" s="84"/>
      <c r="C44" s="85"/>
      <c r="D44" s="86" t="s">
        <v>104</v>
      </c>
      <c r="E44" s="87" t="s">
        <v>105</v>
      </c>
      <c r="F44" s="88"/>
      <c r="G44" s="88"/>
      <c r="H44" s="88"/>
      <c r="I44" s="88"/>
      <c r="J44" s="88"/>
      <c r="K44" s="88"/>
      <c r="L44" s="88"/>
      <c r="M44" s="88"/>
      <c r="N44" s="89"/>
      <c r="O44" s="1"/>
      <c r="P44" s="1"/>
      <c r="Q44" s="1"/>
      <c r="R44" s="1"/>
      <c r="S44" s="1"/>
      <c r="T44" s="1"/>
      <c r="U44" s="1"/>
      <c r="V44" s="1"/>
      <c r="W44" s="1"/>
      <c r="X44" s="1"/>
      <c r="Y44" s="1"/>
      <c r="Z44" s="1"/>
    </row>
    <row r="45" ht="12.75" customHeight="1">
      <c r="A45" s="90" t="s">
        <v>106</v>
      </c>
      <c r="B45" s="91"/>
      <c r="C45" s="92"/>
      <c r="D45" s="86" t="s">
        <v>107</v>
      </c>
      <c r="E45" s="25" t="s">
        <v>43</v>
      </c>
      <c r="F45" s="25" t="s">
        <v>44</v>
      </c>
      <c r="G45" s="25" t="s">
        <v>45</v>
      </c>
      <c r="H45" s="25" t="s">
        <v>46</v>
      </c>
      <c r="I45" s="25" t="s">
        <v>47</v>
      </c>
      <c r="J45" s="25" t="s">
        <v>48</v>
      </c>
      <c r="K45" s="25" t="s">
        <v>49</v>
      </c>
      <c r="L45" s="25" t="s">
        <v>50</v>
      </c>
      <c r="M45" s="25" t="s">
        <v>51</v>
      </c>
      <c r="N45" s="25" t="s">
        <v>52</v>
      </c>
      <c r="O45" s="93" t="s">
        <v>108</v>
      </c>
      <c r="P45" s="1"/>
      <c r="Q45" s="1"/>
      <c r="R45" s="1"/>
      <c r="S45" s="1"/>
      <c r="T45" s="1"/>
      <c r="U45" s="1"/>
      <c r="V45" s="1"/>
      <c r="W45" s="1"/>
      <c r="X45" s="1"/>
      <c r="Y45" s="1"/>
      <c r="Z45" s="1"/>
    </row>
    <row r="46" ht="12.75" customHeight="1">
      <c r="A46" s="26" t="s">
        <v>69</v>
      </c>
      <c r="B46" s="94"/>
      <c r="C46" s="94"/>
      <c r="D46" s="94"/>
      <c r="E46" s="94"/>
      <c r="F46" s="94"/>
      <c r="G46" s="94"/>
      <c r="H46" s="94"/>
      <c r="I46" s="94"/>
      <c r="J46" s="94"/>
      <c r="K46" s="94"/>
      <c r="L46" s="94"/>
      <c r="M46" s="94"/>
      <c r="N46" s="95"/>
      <c r="O46" s="96"/>
      <c r="P46" s="1"/>
      <c r="Q46" s="1"/>
      <c r="R46" s="1"/>
      <c r="S46" s="1"/>
      <c r="T46" s="1"/>
      <c r="U46" s="1"/>
      <c r="V46" s="1"/>
      <c r="W46" s="1"/>
      <c r="X46" s="1"/>
      <c r="Y46" s="1"/>
      <c r="Z46" s="1"/>
    </row>
    <row r="47" ht="12.75" customHeight="1">
      <c r="A47" s="29" t="s">
        <v>70</v>
      </c>
      <c r="B47" s="97">
        <v>0.0</v>
      </c>
      <c r="C47" s="98"/>
      <c r="D47" s="99">
        <f t="shared" ref="D47:D65" si="7">D4+E4</f>
        <v>1224000000</v>
      </c>
      <c r="E47" s="99">
        <f t="shared" ref="E47:E65" si="8">(E4+D4)*$B47</f>
        <v>0</v>
      </c>
      <c r="F47" s="99">
        <f t="shared" ref="F47:F65" si="9">SUM(D4:F4)*$B47</f>
        <v>0</v>
      </c>
      <c r="G47" s="99">
        <f t="shared" ref="G47:G65" si="10">SUM(D4:G4)*$B47</f>
        <v>0</v>
      </c>
      <c r="H47" s="99">
        <f t="shared" ref="H47:H54" si="11">SUM(D4:H4)*$B47</f>
        <v>0</v>
      </c>
      <c r="I47" s="99">
        <f t="shared" ref="I47:N47" si="6">SUM($D4:I4)*$B47</f>
        <v>0</v>
      </c>
      <c r="J47" s="99">
        <f t="shared" si="6"/>
        <v>0</v>
      </c>
      <c r="K47" s="99">
        <f t="shared" si="6"/>
        <v>0</v>
      </c>
      <c r="L47" s="99">
        <f t="shared" si="6"/>
        <v>0</v>
      </c>
      <c r="M47" s="99">
        <f t="shared" si="6"/>
        <v>0</v>
      </c>
      <c r="N47" s="99">
        <f t="shared" si="6"/>
        <v>0</v>
      </c>
      <c r="O47" s="100">
        <f t="shared" ref="O47:O65" si="13">SUM(D4:N4)-SUM(E47:N47)</f>
        <v>1224000000</v>
      </c>
      <c r="P47" s="35"/>
      <c r="Q47" s="1"/>
      <c r="R47" s="1"/>
      <c r="S47" s="1"/>
      <c r="T47" s="1"/>
      <c r="U47" s="1"/>
      <c r="V47" s="1"/>
      <c r="W47" s="1"/>
      <c r="X47" s="1"/>
      <c r="Y47" s="1"/>
      <c r="Z47" s="1"/>
    </row>
    <row r="48" ht="12.75" customHeight="1">
      <c r="A48" s="29" t="s">
        <v>71</v>
      </c>
      <c r="B48" s="97">
        <f t="shared" ref="B48:B65" si="14">1/B5</f>
        <v>0.03333333333</v>
      </c>
      <c r="C48" s="98"/>
      <c r="D48" s="99">
        <f t="shared" si="7"/>
        <v>186000000</v>
      </c>
      <c r="E48" s="99">
        <f t="shared" si="8"/>
        <v>6200000</v>
      </c>
      <c r="F48" s="99">
        <f t="shared" si="9"/>
        <v>6200000</v>
      </c>
      <c r="G48" s="99">
        <f t="shared" si="10"/>
        <v>6200000</v>
      </c>
      <c r="H48" s="99">
        <f t="shared" si="11"/>
        <v>6200000</v>
      </c>
      <c r="I48" s="99">
        <f t="shared" ref="I48:N48" si="12">SUM($D5:I5)*$B48</f>
        <v>6200000</v>
      </c>
      <c r="J48" s="99">
        <f t="shared" si="12"/>
        <v>6200000</v>
      </c>
      <c r="K48" s="99">
        <f t="shared" si="12"/>
        <v>6200000</v>
      </c>
      <c r="L48" s="99">
        <f t="shared" si="12"/>
        <v>6200000</v>
      </c>
      <c r="M48" s="99">
        <f t="shared" si="12"/>
        <v>6200000</v>
      </c>
      <c r="N48" s="99">
        <f t="shared" si="12"/>
        <v>6200000</v>
      </c>
      <c r="O48" s="100">
        <f t="shared" si="13"/>
        <v>124000000</v>
      </c>
      <c r="P48" s="35"/>
      <c r="Q48" s="1"/>
      <c r="R48" s="1"/>
      <c r="S48" s="1"/>
      <c r="T48" s="1"/>
      <c r="U48" s="1"/>
      <c r="V48" s="1"/>
      <c r="W48" s="1"/>
      <c r="X48" s="1"/>
      <c r="Y48" s="1"/>
      <c r="Z48" s="1"/>
    </row>
    <row r="49" ht="12.75" customHeight="1">
      <c r="A49" s="29" t="s">
        <v>72</v>
      </c>
      <c r="B49" s="97">
        <f t="shared" si="14"/>
        <v>0.03333333333</v>
      </c>
      <c r="C49" s="98"/>
      <c r="D49" s="99">
        <f t="shared" si="7"/>
        <v>0</v>
      </c>
      <c r="E49" s="99">
        <f t="shared" si="8"/>
        <v>0</v>
      </c>
      <c r="F49" s="99">
        <f t="shared" si="9"/>
        <v>0</v>
      </c>
      <c r="G49" s="99">
        <f t="shared" si="10"/>
        <v>0</v>
      </c>
      <c r="H49" s="99">
        <f t="shared" si="11"/>
        <v>0</v>
      </c>
      <c r="I49" s="99">
        <f t="shared" ref="I49:N49" si="15">SUM($D6:I6)*$B49</f>
        <v>0</v>
      </c>
      <c r="J49" s="99">
        <f t="shared" si="15"/>
        <v>0</v>
      </c>
      <c r="K49" s="99">
        <f t="shared" si="15"/>
        <v>0</v>
      </c>
      <c r="L49" s="99">
        <f t="shared" si="15"/>
        <v>0</v>
      </c>
      <c r="M49" s="99">
        <f t="shared" si="15"/>
        <v>0</v>
      </c>
      <c r="N49" s="99">
        <f t="shared" si="15"/>
        <v>0</v>
      </c>
      <c r="O49" s="100">
        <f t="shared" si="13"/>
        <v>0</v>
      </c>
      <c r="P49" s="35"/>
      <c r="Q49" s="1"/>
      <c r="R49" s="1"/>
      <c r="S49" s="1"/>
      <c r="T49" s="1"/>
      <c r="U49" s="1"/>
      <c r="V49" s="1"/>
      <c r="W49" s="1"/>
      <c r="X49" s="1"/>
      <c r="Y49" s="1"/>
      <c r="Z49" s="1"/>
    </row>
    <row r="50" ht="12.75" customHeight="1">
      <c r="A50" s="29" t="s">
        <v>73</v>
      </c>
      <c r="B50" s="97">
        <f t="shared" si="14"/>
        <v>0.1</v>
      </c>
      <c r="C50" s="98"/>
      <c r="D50" s="99">
        <f t="shared" si="7"/>
        <v>0</v>
      </c>
      <c r="E50" s="99">
        <f t="shared" si="8"/>
        <v>0</v>
      </c>
      <c r="F50" s="99">
        <f t="shared" si="9"/>
        <v>0</v>
      </c>
      <c r="G50" s="99">
        <f t="shared" si="10"/>
        <v>0</v>
      </c>
      <c r="H50" s="99">
        <f t="shared" si="11"/>
        <v>0</v>
      </c>
      <c r="I50" s="99">
        <f t="shared" ref="I50:N50" si="16">SUM($D7:I7)*$B50</f>
        <v>0</v>
      </c>
      <c r="J50" s="99">
        <f t="shared" si="16"/>
        <v>0</v>
      </c>
      <c r="K50" s="99">
        <f t="shared" si="16"/>
        <v>0</v>
      </c>
      <c r="L50" s="99">
        <f t="shared" si="16"/>
        <v>0</v>
      </c>
      <c r="M50" s="99">
        <f t="shared" si="16"/>
        <v>0</v>
      </c>
      <c r="N50" s="99">
        <f t="shared" si="16"/>
        <v>0</v>
      </c>
      <c r="O50" s="100">
        <f t="shared" si="13"/>
        <v>0</v>
      </c>
      <c r="P50" s="35"/>
      <c r="Q50" s="1"/>
      <c r="R50" s="1"/>
      <c r="S50" s="1"/>
      <c r="T50" s="1"/>
      <c r="U50" s="1"/>
      <c r="V50" s="1"/>
      <c r="W50" s="1"/>
      <c r="X50" s="1"/>
      <c r="Y50" s="1"/>
      <c r="Z50" s="1"/>
    </row>
    <row r="51" ht="12.75" customHeight="1">
      <c r="A51" s="29" t="s">
        <v>74</v>
      </c>
      <c r="B51" s="97">
        <f t="shared" si="14"/>
        <v>0.1</v>
      </c>
      <c r="C51" s="98"/>
      <c r="D51" s="99">
        <f t="shared" si="7"/>
        <v>337000000</v>
      </c>
      <c r="E51" s="99">
        <f t="shared" si="8"/>
        <v>33700000</v>
      </c>
      <c r="F51" s="99">
        <f t="shared" si="9"/>
        <v>33700000</v>
      </c>
      <c r="G51" s="99">
        <f t="shared" si="10"/>
        <v>33700000</v>
      </c>
      <c r="H51" s="99">
        <f t="shared" si="11"/>
        <v>33700000</v>
      </c>
      <c r="I51" s="99">
        <f t="shared" ref="I51:N51" si="17">SUM($D8:I8)*$B51</f>
        <v>33700000</v>
      </c>
      <c r="J51" s="99">
        <f t="shared" si="17"/>
        <v>33700000</v>
      </c>
      <c r="K51" s="99">
        <f t="shared" si="17"/>
        <v>33700000</v>
      </c>
      <c r="L51" s="99">
        <f t="shared" si="17"/>
        <v>33700000</v>
      </c>
      <c r="M51" s="99">
        <f t="shared" si="17"/>
        <v>33700000</v>
      </c>
      <c r="N51" s="99">
        <f t="shared" si="17"/>
        <v>33700000</v>
      </c>
      <c r="O51" s="100">
        <f t="shared" si="13"/>
        <v>0</v>
      </c>
      <c r="P51" s="35"/>
      <c r="Q51" s="1"/>
      <c r="R51" s="1"/>
      <c r="S51" s="1"/>
      <c r="T51" s="1"/>
      <c r="U51" s="1"/>
      <c r="V51" s="1"/>
      <c r="W51" s="1"/>
      <c r="X51" s="1"/>
      <c r="Y51" s="1"/>
      <c r="Z51" s="1"/>
    </row>
    <row r="52" ht="12.75" customHeight="1">
      <c r="A52" s="42" t="s">
        <v>75</v>
      </c>
      <c r="B52" s="97">
        <f t="shared" si="14"/>
        <v>0.1</v>
      </c>
      <c r="C52" s="98"/>
      <c r="D52" s="99">
        <f t="shared" si="7"/>
        <v>0</v>
      </c>
      <c r="E52" s="99">
        <f t="shared" si="8"/>
        <v>0</v>
      </c>
      <c r="F52" s="99">
        <f t="shared" si="9"/>
        <v>0</v>
      </c>
      <c r="G52" s="99">
        <f t="shared" si="10"/>
        <v>0</v>
      </c>
      <c r="H52" s="99">
        <f t="shared" si="11"/>
        <v>0</v>
      </c>
      <c r="I52" s="99">
        <f t="shared" ref="I52:N52" si="18">SUM($D9:I9)*$B52</f>
        <v>0</v>
      </c>
      <c r="J52" s="99">
        <f t="shared" si="18"/>
        <v>0</v>
      </c>
      <c r="K52" s="99">
        <f t="shared" si="18"/>
        <v>0</v>
      </c>
      <c r="L52" s="99">
        <f t="shared" si="18"/>
        <v>0</v>
      </c>
      <c r="M52" s="99">
        <f t="shared" si="18"/>
        <v>0</v>
      </c>
      <c r="N52" s="99">
        <f t="shared" si="18"/>
        <v>0</v>
      </c>
      <c r="O52" s="100">
        <f t="shared" si="13"/>
        <v>0</v>
      </c>
      <c r="P52" s="35"/>
      <c r="Q52" s="1"/>
      <c r="R52" s="1"/>
      <c r="S52" s="1"/>
      <c r="T52" s="1"/>
      <c r="U52" s="1"/>
      <c r="V52" s="1"/>
      <c r="W52" s="1"/>
      <c r="X52" s="1"/>
      <c r="Y52" s="1"/>
      <c r="Z52" s="1"/>
    </row>
    <row r="53" ht="12.75" customHeight="1">
      <c r="A53" s="29" t="s">
        <v>76</v>
      </c>
      <c r="B53" s="97">
        <f t="shared" si="14"/>
        <v>0.1</v>
      </c>
      <c r="C53" s="98"/>
      <c r="D53" s="99">
        <f t="shared" si="7"/>
        <v>0</v>
      </c>
      <c r="E53" s="99">
        <f t="shared" si="8"/>
        <v>0</v>
      </c>
      <c r="F53" s="99">
        <f t="shared" si="9"/>
        <v>0</v>
      </c>
      <c r="G53" s="99">
        <f t="shared" si="10"/>
        <v>0</v>
      </c>
      <c r="H53" s="99">
        <f t="shared" si="11"/>
        <v>0</v>
      </c>
      <c r="I53" s="99">
        <f t="shared" ref="I53:N53" si="19">SUM($D10:I10)*$B53</f>
        <v>0</v>
      </c>
      <c r="J53" s="99">
        <f t="shared" si="19"/>
        <v>0</v>
      </c>
      <c r="K53" s="99">
        <f t="shared" si="19"/>
        <v>0</v>
      </c>
      <c r="L53" s="99">
        <f t="shared" si="19"/>
        <v>0</v>
      </c>
      <c r="M53" s="99">
        <f t="shared" si="19"/>
        <v>0</v>
      </c>
      <c r="N53" s="99">
        <f t="shared" si="19"/>
        <v>0</v>
      </c>
      <c r="O53" s="100">
        <f t="shared" si="13"/>
        <v>0</v>
      </c>
      <c r="P53" s="35"/>
      <c r="Q53" s="1"/>
      <c r="R53" s="1"/>
      <c r="S53" s="1"/>
      <c r="T53" s="1"/>
      <c r="U53" s="1"/>
      <c r="V53" s="1"/>
      <c r="W53" s="1"/>
      <c r="X53" s="1"/>
      <c r="Y53" s="1"/>
      <c r="Z53" s="1"/>
    </row>
    <row r="54" ht="12.75" customHeight="1">
      <c r="A54" s="29" t="s">
        <v>77</v>
      </c>
      <c r="B54" s="97">
        <f t="shared" si="14"/>
        <v>0.1</v>
      </c>
      <c r="C54" s="98"/>
      <c r="D54" s="99">
        <f t="shared" si="7"/>
        <v>0</v>
      </c>
      <c r="E54" s="99">
        <f t="shared" si="8"/>
        <v>0</v>
      </c>
      <c r="F54" s="99">
        <f t="shared" si="9"/>
        <v>0</v>
      </c>
      <c r="G54" s="99">
        <f t="shared" si="10"/>
        <v>0</v>
      </c>
      <c r="H54" s="99">
        <f t="shared" si="11"/>
        <v>0</v>
      </c>
      <c r="I54" s="99">
        <f t="shared" ref="I54:N54" si="20">SUM($D11:I11)*$B54</f>
        <v>0</v>
      </c>
      <c r="J54" s="99">
        <f t="shared" si="20"/>
        <v>0</v>
      </c>
      <c r="K54" s="99">
        <f t="shared" si="20"/>
        <v>0</v>
      </c>
      <c r="L54" s="99">
        <f t="shared" si="20"/>
        <v>0</v>
      </c>
      <c r="M54" s="99">
        <f t="shared" si="20"/>
        <v>0</v>
      </c>
      <c r="N54" s="99">
        <f t="shared" si="20"/>
        <v>0</v>
      </c>
      <c r="O54" s="100">
        <f t="shared" si="13"/>
        <v>0</v>
      </c>
      <c r="P54" s="35"/>
      <c r="Q54" s="1"/>
      <c r="R54" s="1"/>
      <c r="S54" s="1"/>
      <c r="T54" s="1"/>
      <c r="U54" s="1"/>
      <c r="V54" s="1"/>
      <c r="W54" s="1"/>
      <c r="X54" s="1"/>
      <c r="Y54" s="1"/>
      <c r="Z54" s="1"/>
    </row>
    <row r="55" ht="12.75" customHeight="1">
      <c r="A55" s="29" t="s">
        <v>78</v>
      </c>
      <c r="B55" s="97">
        <f t="shared" si="14"/>
        <v>0.3333333333</v>
      </c>
      <c r="C55" s="98"/>
      <c r="D55" s="99">
        <f t="shared" si="7"/>
        <v>0</v>
      </c>
      <c r="E55" s="99">
        <f t="shared" si="8"/>
        <v>0</v>
      </c>
      <c r="F55" s="99">
        <f t="shared" si="9"/>
        <v>0</v>
      </c>
      <c r="G55" s="99">
        <f t="shared" si="10"/>
        <v>0</v>
      </c>
      <c r="H55" s="99">
        <f t="shared" ref="H55:N55" si="21">SUM(F12:H12)*$B55</f>
        <v>0</v>
      </c>
      <c r="I55" s="99">
        <f t="shared" si="21"/>
        <v>0</v>
      </c>
      <c r="J55" s="99">
        <f t="shared" si="21"/>
        <v>0</v>
      </c>
      <c r="K55" s="99">
        <f t="shared" si="21"/>
        <v>0</v>
      </c>
      <c r="L55" s="99">
        <f t="shared" si="21"/>
        <v>0</v>
      </c>
      <c r="M55" s="99">
        <f t="shared" si="21"/>
        <v>0</v>
      </c>
      <c r="N55" s="99">
        <f t="shared" si="21"/>
        <v>0</v>
      </c>
      <c r="O55" s="100">
        <f t="shared" si="13"/>
        <v>0</v>
      </c>
      <c r="P55" s="35"/>
      <c r="Q55" s="51"/>
      <c r="R55" s="51"/>
      <c r="S55" s="51"/>
      <c r="T55" s="51"/>
      <c r="U55" s="51"/>
      <c r="V55" s="51"/>
      <c r="W55" s="51"/>
      <c r="X55" s="51"/>
      <c r="Y55" s="51"/>
      <c r="Z55" s="51"/>
    </row>
    <row r="56" ht="12.75" customHeight="1">
      <c r="A56" s="43" t="s">
        <v>79</v>
      </c>
      <c r="B56" s="97">
        <f t="shared" si="14"/>
        <v>0.2</v>
      </c>
      <c r="C56" s="98"/>
      <c r="D56" s="99">
        <f t="shared" si="7"/>
        <v>22000000</v>
      </c>
      <c r="E56" s="99">
        <f t="shared" si="8"/>
        <v>4400000</v>
      </c>
      <c r="F56" s="99">
        <f t="shared" si="9"/>
        <v>4400000</v>
      </c>
      <c r="G56" s="99">
        <f t="shared" si="10"/>
        <v>4400000</v>
      </c>
      <c r="H56" s="99">
        <f t="shared" ref="H56:H65" si="23">SUM(D13:H13)*$B56</f>
        <v>4400000</v>
      </c>
      <c r="I56" s="99">
        <f t="shared" ref="I56:I65" si="24">SUM($D13:I13)*$B56</f>
        <v>4400000</v>
      </c>
      <c r="J56" s="99">
        <f t="shared" ref="J56:N56" si="22">SUM(F13:J13)*$B56</f>
        <v>0</v>
      </c>
      <c r="K56" s="99">
        <f t="shared" si="22"/>
        <v>0</v>
      </c>
      <c r="L56" s="99">
        <f t="shared" si="22"/>
        <v>0</v>
      </c>
      <c r="M56" s="99">
        <f t="shared" si="22"/>
        <v>0</v>
      </c>
      <c r="N56" s="99">
        <f t="shared" si="22"/>
        <v>0</v>
      </c>
      <c r="O56" s="100">
        <f t="shared" si="13"/>
        <v>0</v>
      </c>
      <c r="P56" s="35"/>
      <c r="Q56" s="1"/>
      <c r="R56" s="1"/>
      <c r="S56" s="1"/>
      <c r="T56" s="1"/>
      <c r="U56" s="1"/>
      <c r="V56" s="1"/>
      <c r="W56" s="1"/>
      <c r="X56" s="1"/>
      <c r="Y56" s="1"/>
      <c r="Z56" s="1"/>
    </row>
    <row r="57" ht="12.75" customHeight="1">
      <c r="A57" s="29" t="s">
        <v>80</v>
      </c>
      <c r="B57" s="97">
        <f t="shared" si="14"/>
        <v>0.2</v>
      </c>
      <c r="C57" s="98"/>
      <c r="D57" s="99">
        <f t="shared" si="7"/>
        <v>0</v>
      </c>
      <c r="E57" s="99">
        <f t="shared" si="8"/>
        <v>0</v>
      </c>
      <c r="F57" s="99">
        <f t="shared" si="9"/>
        <v>0</v>
      </c>
      <c r="G57" s="99">
        <f t="shared" si="10"/>
        <v>0</v>
      </c>
      <c r="H57" s="99">
        <f t="shared" si="23"/>
        <v>0</v>
      </c>
      <c r="I57" s="99">
        <f t="shared" si="24"/>
        <v>0</v>
      </c>
      <c r="J57" s="99">
        <f t="shared" ref="J57:N57" si="25">SUM(F14:J14)*$B57</f>
        <v>0</v>
      </c>
      <c r="K57" s="99">
        <f t="shared" si="25"/>
        <v>0</v>
      </c>
      <c r="L57" s="99">
        <f t="shared" si="25"/>
        <v>0</v>
      </c>
      <c r="M57" s="99">
        <f t="shared" si="25"/>
        <v>0</v>
      </c>
      <c r="N57" s="99">
        <f t="shared" si="25"/>
        <v>0</v>
      </c>
      <c r="O57" s="100">
        <f t="shared" si="13"/>
        <v>0</v>
      </c>
      <c r="P57" s="35"/>
      <c r="Q57" s="1"/>
      <c r="R57" s="1"/>
      <c r="S57" s="1"/>
      <c r="T57" s="1"/>
      <c r="U57" s="1"/>
      <c r="V57" s="1"/>
      <c r="W57" s="1"/>
      <c r="X57" s="1"/>
      <c r="Y57" s="1"/>
      <c r="Z57" s="1"/>
    </row>
    <row r="58" ht="12.75" customHeight="1">
      <c r="A58" s="29" t="s">
        <v>81</v>
      </c>
      <c r="B58" s="97">
        <f t="shared" si="14"/>
        <v>0.2</v>
      </c>
      <c r="C58" s="98"/>
      <c r="D58" s="99">
        <f t="shared" si="7"/>
        <v>0</v>
      </c>
      <c r="E58" s="99">
        <f t="shared" si="8"/>
        <v>0</v>
      </c>
      <c r="F58" s="99">
        <f t="shared" si="9"/>
        <v>0</v>
      </c>
      <c r="G58" s="99">
        <f t="shared" si="10"/>
        <v>0</v>
      </c>
      <c r="H58" s="99">
        <f t="shared" si="23"/>
        <v>0</v>
      </c>
      <c r="I58" s="99">
        <f t="shared" si="24"/>
        <v>0</v>
      </c>
      <c r="J58" s="99">
        <f t="shared" ref="J58:N58" si="26">SUM(F15:J15)*$B58</f>
        <v>0</v>
      </c>
      <c r="K58" s="99">
        <f t="shared" si="26"/>
        <v>0</v>
      </c>
      <c r="L58" s="99">
        <f t="shared" si="26"/>
        <v>0</v>
      </c>
      <c r="M58" s="99">
        <f t="shared" si="26"/>
        <v>0</v>
      </c>
      <c r="N58" s="99">
        <f t="shared" si="26"/>
        <v>0</v>
      </c>
      <c r="O58" s="100">
        <f t="shared" si="13"/>
        <v>0</v>
      </c>
      <c r="P58" s="35"/>
      <c r="Q58" s="1"/>
      <c r="R58" s="1"/>
      <c r="S58" s="1"/>
      <c r="T58" s="1"/>
      <c r="U58" s="1"/>
      <c r="V58" s="1"/>
      <c r="W58" s="1"/>
      <c r="X58" s="1"/>
      <c r="Y58" s="1"/>
      <c r="Z58" s="1"/>
    </row>
    <row r="59" ht="12.75" customHeight="1">
      <c r="A59" s="29" t="s">
        <v>82</v>
      </c>
      <c r="B59" s="97">
        <f t="shared" si="14"/>
        <v>0.2</v>
      </c>
      <c r="C59" s="98"/>
      <c r="D59" s="99">
        <f t="shared" si="7"/>
        <v>10000000</v>
      </c>
      <c r="E59" s="99">
        <f t="shared" si="8"/>
        <v>2000000</v>
      </c>
      <c r="F59" s="99">
        <f t="shared" si="9"/>
        <v>2000000</v>
      </c>
      <c r="G59" s="99">
        <f t="shared" si="10"/>
        <v>2000000</v>
      </c>
      <c r="H59" s="99">
        <f t="shared" si="23"/>
        <v>2000000</v>
      </c>
      <c r="I59" s="99">
        <f t="shared" si="24"/>
        <v>2000000</v>
      </c>
      <c r="J59" s="99">
        <f t="shared" ref="J59:N59" si="27">SUM(F16:J16)*$B59</f>
        <v>0</v>
      </c>
      <c r="K59" s="99">
        <f t="shared" si="27"/>
        <v>0</v>
      </c>
      <c r="L59" s="99">
        <f t="shared" si="27"/>
        <v>0</v>
      </c>
      <c r="M59" s="99">
        <f t="shared" si="27"/>
        <v>0</v>
      </c>
      <c r="N59" s="99">
        <f t="shared" si="27"/>
        <v>0</v>
      </c>
      <c r="O59" s="100">
        <f t="shared" si="13"/>
        <v>0</v>
      </c>
      <c r="P59" s="35"/>
      <c r="Q59" s="51"/>
      <c r="R59" s="51"/>
      <c r="S59" s="51"/>
      <c r="T59" s="51"/>
      <c r="U59" s="51"/>
      <c r="V59" s="51"/>
      <c r="W59" s="51"/>
      <c r="X59" s="51"/>
      <c r="Y59" s="51"/>
      <c r="Z59" s="51"/>
    </row>
    <row r="60" ht="12.75" customHeight="1">
      <c r="A60" s="29" t="s">
        <v>83</v>
      </c>
      <c r="B60" s="97">
        <f t="shared" si="14"/>
        <v>0.2</v>
      </c>
      <c r="C60" s="98"/>
      <c r="D60" s="99">
        <f t="shared" si="7"/>
        <v>0</v>
      </c>
      <c r="E60" s="99">
        <f t="shared" si="8"/>
        <v>0</v>
      </c>
      <c r="F60" s="99">
        <f t="shared" si="9"/>
        <v>0</v>
      </c>
      <c r="G60" s="99">
        <f t="shared" si="10"/>
        <v>0</v>
      </c>
      <c r="H60" s="99">
        <f t="shared" si="23"/>
        <v>0</v>
      </c>
      <c r="I60" s="99">
        <f t="shared" si="24"/>
        <v>0</v>
      </c>
      <c r="J60" s="99">
        <f t="shared" ref="J60:N60" si="28">SUM(F17:J17)*$B60</f>
        <v>0</v>
      </c>
      <c r="K60" s="99">
        <f t="shared" si="28"/>
        <v>0</v>
      </c>
      <c r="L60" s="99">
        <f t="shared" si="28"/>
        <v>0</v>
      </c>
      <c r="M60" s="99">
        <f t="shared" si="28"/>
        <v>0</v>
      </c>
      <c r="N60" s="99">
        <f t="shared" si="28"/>
        <v>0</v>
      </c>
      <c r="O60" s="100">
        <f t="shared" si="13"/>
        <v>0</v>
      </c>
      <c r="P60" s="35"/>
      <c r="Q60" s="1"/>
      <c r="R60" s="1"/>
      <c r="S60" s="1"/>
      <c r="T60" s="1"/>
      <c r="U60" s="1"/>
      <c r="V60" s="1"/>
      <c r="W60" s="1"/>
      <c r="X60" s="1"/>
      <c r="Y60" s="1"/>
      <c r="Z60" s="1"/>
    </row>
    <row r="61" ht="12.75" customHeight="1">
      <c r="A61" s="42" t="s">
        <v>84</v>
      </c>
      <c r="B61" s="97">
        <f t="shared" si="14"/>
        <v>0.2</v>
      </c>
      <c r="C61" s="98"/>
      <c r="D61" s="99">
        <f t="shared" si="7"/>
        <v>0</v>
      </c>
      <c r="E61" s="99">
        <f t="shared" si="8"/>
        <v>0</v>
      </c>
      <c r="F61" s="99">
        <f t="shared" si="9"/>
        <v>0</v>
      </c>
      <c r="G61" s="99">
        <f t="shared" si="10"/>
        <v>0</v>
      </c>
      <c r="H61" s="99">
        <f t="shared" si="23"/>
        <v>0</v>
      </c>
      <c r="I61" s="99">
        <f t="shared" si="24"/>
        <v>0</v>
      </c>
      <c r="J61" s="99">
        <f t="shared" ref="J61:N61" si="29">SUM(F18:J18)*$B61</f>
        <v>0</v>
      </c>
      <c r="K61" s="99">
        <f t="shared" si="29"/>
        <v>0</v>
      </c>
      <c r="L61" s="99">
        <f t="shared" si="29"/>
        <v>0</v>
      </c>
      <c r="M61" s="99">
        <f t="shared" si="29"/>
        <v>0</v>
      </c>
      <c r="N61" s="99">
        <f t="shared" si="29"/>
        <v>0</v>
      </c>
      <c r="O61" s="100">
        <f t="shared" si="13"/>
        <v>0</v>
      </c>
      <c r="P61" s="35"/>
      <c r="Q61" s="1"/>
      <c r="R61" s="1"/>
      <c r="S61" s="1"/>
      <c r="T61" s="1"/>
      <c r="U61" s="1"/>
      <c r="V61" s="1"/>
      <c r="W61" s="1"/>
      <c r="X61" s="1"/>
      <c r="Y61" s="1"/>
      <c r="Z61" s="1"/>
    </row>
    <row r="62" ht="12.75" customHeight="1">
      <c r="A62" s="29" t="s">
        <v>85</v>
      </c>
      <c r="B62" s="97">
        <f t="shared" si="14"/>
        <v>0.2</v>
      </c>
      <c r="C62" s="98"/>
      <c r="D62" s="99">
        <f t="shared" si="7"/>
        <v>0</v>
      </c>
      <c r="E62" s="99">
        <f t="shared" si="8"/>
        <v>0</v>
      </c>
      <c r="F62" s="99">
        <f t="shared" si="9"/>
        <v>0</v>
      </c>
      <c r="G62" s="99">
        <f t="shared" si="10"/>
        <v>0</v>
      </c>
      <c r="H62" s="99">
        <f t="shared" si="23"/>
        <v>0</v>
      </c>
      <c r="I62" s="99">
        <f t="shared" si="24"/>
        <v>0</v>
      </c>
      <c r="J62" s="99">
        <f t="shared" ref="J62:N62" si="30">SUM(F19:J19)*$B62</f>
        <v>0</v>
      </c>
      <c r="K62" s="99">
        <f t="shared" si="30"/>
        <v>0</v>
      </c>
      <c r="L62" s="99">
        <f t="shared" si="30"/>
        <v>0</v>
      </c>
      <c r="M62" s="99">
        <f t="shared" si="30"/>
        <v>0</v>
      </c>
      <c r="N62" s="99">
        <f t="shared" si="30"/>
        <v>0</v>
      </c>
      <c r="O62" s="100">
        <f t="shared" si="13"/>
        <v>0</v>
      </c>
      <c r="P62" s="35"/>
      <c r="Q62" s="1"/>
      <c r="R62" s="1"/>
      <c r="S62" s="1"/>
      <c r="T62" s="1"/>
      <c r="U62" s="1"/>
      <c r="V62" s="1"/>
      <c r="W62" s="1"/>
      <c r="X62" s="1"/>
      <c r="Y62" s="1"/>
      <c r="Z62" s="1"/>
    </row>
    <row r="63" ht="12.75" customHeight="1">
      <c r="A63" s="29" t="s">
        <v>86</v>
      </c>
      <c r="B63" s="97">
        <f t="shared" si="14"/>
        <v>0.2</v>
      </c>
      <c r="C63" s="98"/>
      <c r="D63" s="99">
        <f t="shared" si="7"/>
        <v>0</v>
      </c>
      <c r="E63" s="99">
        <f t="shared" si="8"/>
        <v>0</v>
      </c>
      <c r="F63" s="99">
        <f t="shared" si="9"/>
        <v>0</v>
      </c>
      <c r="G63" s="99">
        <f t="shared" si="10"/>
        <v>0</v>
      </c>
      <c r="H63" s="99">
        <f t="shared" si="23"/>
        <v>0</v>
      </c>
      <c r="I63" s="99">
        <f t="shared" si="24"/>
        <v>0</v>
      </c>
      <c r="J63" s="99">
        <f t="shared" ref="J63:N63" si="31">SUM(F20:J20)*$B63</f>
        <v>0</v>
      </c>
      <c r="K63" s="99">
        <f t="shared" si="31"/>
        <v>0</v>
      </c>
      <c r="L63" s="99">
        <f t="shared" si="31"/>
        <v>0</v>
      </c>
      <c r="M63" s="99">
        <f t="shared" si="31"/>
        <v>0</v>
      </c>
      <c r="N63" s="99">
        <f t="shared" si="31"/>
        <v>0</v>
      </c>
      <c r="O63" s="100">
        <f t="shared" si="13"/>
        <v>0</v>
      </c>
      <c r="P63" s="35"/>
      <c r="Q63" s="1"/>
      <c r="R63" s="1"/>
      <c r="S63" s="1"/>
      <c r="T63" s="1"/>
      <c r="U63" s="1"/>
      <c r="V63" s="1"/>
      <c r="W63" s="1"/>
      <c r="X63" s="1"/>
      <c r="Y63" s="1"/>
      <c r="Z63" s="1"/>
    </row>
    <row r="64" ht="12.75" customHeight="1">
      <c r="A64" s="29" t="s">
        <v>87</v>
      </c>
      <c r="B64" s="97">
        <f t="shared" si="14"/>
        <v>0.2</v>
      </c>
      <c r="C64" s="98"/>
      <c r="D64" s="99">
        <f t="shared" si="7"/>
        <v>0</v>
      </c>
      <c r="E64" s="99">
        <f t="shared" si="8"/>
        <v>0</v>
      </c>
      <c r="F64" s="99">
        <f t="shared" si="9"/>
        <v>0</v>
      </c>
      <c r="G64" s="99">
        <f t="shared" si="10"/>
        <v>0</v>
      </c>
      <c r="H64" s="99">
        <f t="shared" si="23"/>
        <v>0</v>
      </c>
      <c r="I64" s="99">
        <f t="shared" si="24"/>
        <v>0</v>
      </c>
      <c r="J64" s="99">
        <f t="shared" ref="J64:N64" si="32">SUM(F21:J21)*$B64</f>
        <v>0</v>
      </c>
      <c r="K64" s="99">
        <f t="shared" si="32"/>
        <v>0</v>
      </c>
      <c r="L64" s="99">
        <f t="shared" si="32"/>
        <v>0</v>
      </c>
      <c r="M64" s="99">
        <f t="shared" si="32"/>
        <v>0</v>
      </c>
      <c r="N64" s="99">
        <f t="shared" si="32"/>
        <v>0</v>
      </c>
      <c r="O64" s="100">
        <f t="shared" si="13"/>
        <v>0</v>
      </c>
      <c r="P64" s="35"/>
      <c r="Q64" s="1"/>
      <c r="R64" s="1"/>
      <c r="S64" s="1"/>
      <c r="T64" s="1"/>
      <c r="U64" s="1"/>
      <c r="V64" s="1"/>
      <c r="W64" s="1"/>
      <c r="X64" s="1"/>
      <c r="Y64" s="1"/>
      <c r="Z64" s="1"/>
    </row>
    <row r="65" ht="12.75" customHeight="1">
      <c r="A65" s="29" t="s">
        <v>88</v>
      </c>
      <c r="B65" s="97">
        <f t="shared" si="14"/>
        <v>0.2</v>
      </c>
      <c r="C65" s="98"/>
      <c r="D65" s="99">
        <f t="shared" si="7"/>
        <v>88950000</v>
      </c>
      <c r="E65" s="99">
        <f t="shared" si="8"/>
        <v>17790000</v>
      </c>
      <c r="F65" s="99">
        <f t="shared" si="9"/>
        <v>17790000</v>
      </c>
      <c r="G65" s="99">
        <f t="shared" si="10"/>
        <v>17790000</v>
      </c>
      <c r="H65" s="99">
        <f t="shared" si="23"/>
        <v>17790000</v>
      </c>
      <c r="I65" s="99">
        <f t="shared" si="24"/>
        <v>17790000</v>
      </c>
      <c r="J65" s="99">
        <f t="shared" ref="J65:N65" si="33">SUM(F22:J22)*$B65</f>
        <v>0</v>
      </c>
      <c r="K65" s="99">
        <f t="shared" si="33"/>
        <v>0</v>
      </c>
      <c r="L65" s="99">
        <f t="shared" si="33"/>
        <v>0</v>
      </c>
      <c r="M65" s="99">
        <f t="shared" si="33"/>
        <v>0</v>
      </c>
      <c r="N65" s="99">
        <f t="shared" si="33"/>
        <v>0</v>
      </c>
      <c r="O65" s="100">
        <f t="shared" si="13"/>
        <v>0</v>
      </c>
      <c r="P65" s="35"/>
      <c r="Q65" s="1"/>
      <c r="R65" s="1"/>
      <c r="S65" s="1"/>
      <c r="T65" s="1"/>
      <c r="U65" s="1"/>
      <c r="V65" s="1"/>
      <c r="W65" s="1"/>
      <c r="X65" s="1"/>
      <c r="Y65" s="1"/>
      <c r="Z65" s="1"/>
    </row>
    <row r="66" ht="12.75" customHeight="1">
      <c r="A66" s="26" t="s">
        <v>109</v>
      </c>
      <c r="B66" s="101"/>
      <c r="C66" s="98"/>
      <c r="D66" s="102"/>
      <c r="E66" s="103">
        <f t="shared" ref="E66:O66" si="34">SUM(E47:E65)</f>
        <v>64090000</v>
      </c>
      <c r="F66" s="103">
        <f t="shared" si="34"/>
        <v>64090000</v>
      </c>
      <c r="G66" s="103">
        <f t="shared" si="34"/>
        <v>64090000</v>
      </c>
      <c r="H66" s="103">
        <f t="shared" si="34"/>
        <v>64090000</v>
      </c>
      <c r="I66" s="103">
        <f t="shared" si="34"/>
        <v>64090000</v>
      </c>
      <c r="J66" s="103">
        <f t="shared" si="34"/>
        <v>39900000</v>
      </c>
      <c r="K66" s="103">
        <f t="shared" si="34"/>
        <v>39900000</v>
      </c>
      <c r="L66" s="103">
        <f t="shared" si="34"/>
        <v>39900000</v>
      </c>
      <c r="M66" s="103">
        <f t="shared" si="34"/>
        <v>39900000</v>
      </c>
      <c r="N66" s="103">
        <f t="shared" si="34"/>
        <v>39900000</v>
      </c>
      <c r="O66" s="104">
        <f t="shared" si="34"/>
        <v>1348000000</v>
      </c>
      <c r="P66" s="35"/>
      <c r="Q66" s="1"/>
      <c r="R66" s="1"/>
      <c r="S66" s="1"/>
      <c r="T66" s="1"/>
      <c r="U66" s="1"/>
      <c r="V66" s="1"/>
      <c r="W66" s="1"/>
      <c r="X66" s="1"/>
      <c r="Y66" s="1"/>
      <c r="Z66" s="1"/>
    </row>
    <row r="67" ht="12.75" customHeight="1">
      <c r="A67" s="52"/>
      <c r="B67" s="101"/>
      <c r="C67" s="98"/>
      <c r="D67" s="102"/>
      <c r="E67" s="102"/>
      <c r="F67" s="102"/>
      <c r="G67" s="102"/>
      <c r="H67" s="102"/>
      <c r="I67" s="102"/>
      <c r="J67" s="102"/>
      <c r="K67" s="102"/>
      <c r="L67" s="102"/>
      <c r="M67" s="102"/>
      <c r="N67" s="102"/>
      <c r="O67" s="105"/>
      <c r="P67" s="35"/>
      <c r="Q67" s="1"/>
      <c r="R67" s="1"/>
      <c r="S67" s="1"/>
      <c r="T67" s="1"/>
      <c r="U67" s="1"/>
      <c r="V67" s="1"/>
      <c r="W67" s="1"/>
      <c r="X67" s="1"/>
      <c r="Y67" s="1"/>
      <c r="Z67" s="1"/>
    </row>
    <row r="68" ht="12.75" customHeight="1">
      <c r="A68" s="26" t="s">
        <v>90</v>
      </c>
      <c r="B68" s="101"/>
      <c r="C68" s="98"/>
      <c r="D68" s="102"/>
      <c r="E68" s="102"/>
      <c r="F68" s="102"/>
      <c r="G68" s="102"/>
      <c r="H68" s="102"/>
      <c r="I68" s="102"/>
      <c r="J68" s="102"/>
      <c r="K68" s="102"/>
      <c r="L68" s="102"/>
      <c r="M68" s="102"/>
      <c r="N68" s="102"/>
      <c r="O68" s="105"/>
      <c r="P68" s="35"/>
      <c r="Q68" s="1"/>
      <c r="R68" s="1"/>
      <c r="S68" s="1"/>
      <c r="T68" s="1"/>
      <c r="U68" s="1"/>
      <c r="V68" s="1"/>
      <c r="W68" s="1"/>
      <c r="X68" s="1"/>
      <c r="Y68" s="1"/>
      <c r="Z68" s="1"/>
    </row>
    <row r="69" ht="12.75" customHeight="1">
      <c r="A69" s="29" t="s">
        <v>91</v>
      </c>
      <c r="B69" s="97">
        <f t="shared" ref="B69:B77" si="36">1/B26</f>
        <v>0.2</v>
      </c>
      <c r="C69" s="98"/>
      <c r="D69" s="99">
        <f t="shared" ref="D69:D77" si="37">D26+E26</f>
        <v>0</v>
      </c>
      <c r="E69" s="99">
        <f t="shared" ref="E69:E77" si="38">(E26+D26)*$B69</f>
        <v>0</v>
      </c>
      <c r="F69" s="99">
        <f t="shared" ref="F69:F77" si="39">SUM(D26:F26)*$B69</f>
        <v>0</v>
      </c>
      <c r="G69" s="99">
        <f t="shared" ref="G69:G77" si="40">SUM(D26:G26)*$B69</f>
        <v>0</v>
      </c>
      <c r="H69" s="99">
        <f t="shared" ref="H69:H75" si="41">SUM(D26:H26)*$B69</f>
        <v>0</v>
      </c>
      <c r="I69" s="99">
        <f t="shared" ref="I69:I75" si="42">SUM($D26:I26)*$B69</f>
        <v>0</v>
      </c>
      <c r="J69" s="99">
        <f t="shared" ref="J69:N69" si="35">SUM(F26:J26)*$B69</f>
        <v>0</v>
      </c>
      <c r="K69" s="99">
        <f t="shared" si="35"/>
        <v>0</v>
      </c>
      <c r="L69" s="99">
        <f t="shared" si="35"/>
        <v>0</v>
      </c>
      <c r="M69" s="99">
        <f t="shared" si="35"/>
        <v>0</v>
      </c>
      <c r="N69" s="99">
        <f t="shared" si="35"/>
        <v>0</v>
      </c>
      <c r="O69" s="100">
        <f t="shared" ref="O69:O77" si="44">SUM(D26:N26)-SUM(E69:N69)</f>
        <v>0</v>
      </c>
      <c r="P69" s="35"/>
      <c r="Q69" s="1"/>
      <c r="R69" s="1"/>
      <c r="S69" s="1"/>
      <c r="T69" s="1"/>
      <c r="U69" s="1"/>
      <c r="V69" s="1"/>
      <c r="W69" s="1"/>
      <c r="X69" s="1"/>
      <c r="Y69" s="1"/>
      <c r="Z69" s="1"/>
    </row>
    <row r="70" ht="12.75" customHeight="1">
      <c r="A70" s="29" t="s">
        <v>92</v>
      </c>
      <c r="B70" s="97">
        <f t="shared" si="36"/>
        <v>0.2</v>
      </c>
      <c r="C70" s="98"/>
      <c r="D70" s="99">
        <f t="shared" si="37"/>
        <v>0</v>
      </c>
      <c r="E70" s="99">
        <f t="shared" si="38"/>
        <v>0</v>
      </c>
      <c r="F70" s="99">
        <f t="shared" si="39"/>
        <v>0</v>
      </c>
      <c r="G70" s="99">
        <f t="shared" si="40"/>
        <v>0</v>
      </c>
      <c r="H70" s="99">
        <f t="shared" si="41"/>
        <v>0</v>
      </c>
      <c r="I70" s="99">
        <f t="shared" si="42"/>
        <v>0</v>
      </c>
      <c r="J70" s="99">
        <f t="shared" ref="J70:N70" si="43">SUM(F27:J27)*$B70</f>
        <v>0</v>
      </c>
      <c r="K70" s="99">
        <f t="shared" si="43"/>
        <v>0</v>
      </c>
      <c r="L70" s="99">
        <f t="shared" si="43"/>
        <v>0</v>
      </c>
      <c r="M70" s="99">
        <f t="shared" si="43"/>
        <v>0</v>
      </c>
      <c r="N70" s="99">
        <f t="shared" si="43"/>
        <v>0</v>
      </c>
      <c r="O70" s="100">
        <f t="shared" si="44"/>
        <v>0</v>
      </c>
      <c r="P70" s="35"/>
      <c r="Q70" s="1"/>
      <c r="R70" s="1"/>
      <c r="S70" s="1"/>
      <c r="T70" s="1"/>
      <c r="U70" s="1"/>
      <c r="V70" s="1"/>
      <c r="W70" s="1"/>
      <c r="X70" s="1"/>
      <c r="Y70" s="1"/>
      <c r="Z70" s="1"/>
    </row>
    <row r="71" ht="12.75" customHeight="1">
      <c r="A71" s="29" t="s">
        <v>93</v>
      </c>
      <c r="B71" s="97">
        <f t="shared" si="36"/>
        <v>0.2</v>
      </c>
      <c r="C71" s="98"/>
      <c r="D71" s="99">
        <f t="shared" si="37"/>
        <v>0</v>
      </c>
      <c r="E71" s="99">
        <f t="shared" si="38"/>
        <v>0</v>
      </c>
      <c r="F71" s="99">
        <f t="shared" si="39"/>
        <v>0</v>
      </c>
      <c r="G71" s="99">
        <f t="shared" si="40"/>
        <v>0</v>
      </c>
      <c r="H71" s="99">
        <f t="shared" si="41"/>
        <v>0</v>
      </c>
      <c r="I71" s="99">
        <f t="shared" si="42"/>
        <v>0</v>
      </c>
      <c r="J71" s="99">
        <f t="shared" ref="J71:N71" si="45">SUM(F28:J28)*$B71</f>
        <v>0</v>
      </c>
      <c r="K71" s="99">
        <f t="shared" si="45"/>
        <v>0</v>
      </c>
      <c r="L71" s="99">
        <f t="shared" si="45"/>
        <v>0</v>
      </c>
      <c r="M71" s="99">
        <f t="shared" si="45"/>
        <v>0</v>
      </c>
      <c r="N71" s="99">
        <f t="shared" si="45"/>
        <v>0</v>
      </c>
      <c r="O71" s="100">
        <f t="shared" si="44"/>
        <v>0</v>
      </c>
      <c r="P71" s="35"/>
      <c r="Q71" s="1"/>
      <c r="R71" s="1"/>
      <c r="S71" s="1"/>
      <c r="T71" s="1"/>
      <c r="U71" s="1"/>
      <c r="V71" s="1"/>
      <c r="W71" s="1"/>
      <c r="X71" s="1"/>
      <c r="Y71" s="1"/>
      <c r="Z71" s="1"/>
    </row>
    <row r="72" ht="12.75" customHeight="1">
      <c r="A72" s="43" t="s">
        <v>110</v>
      </c>
      <c r="B72" s="97">
        <f t="shared" si="36"/>
        <v>0.2</v>
      </c>
      <c r="C72" s="98"/>
      <c r="D72" s="99">
        <f t="shared" si="37"/>
        <v>0</v>
      </c>
      <c r="E72" s="99">
        <f t="shared" si="38"/>
        <v>0</v>
      </c>
      <c r="F72" s="99">
        <f t="shared" si="39"/>
        <v>0</v>
      </c>
      <c r="G72" s="99">
        <f t="shared" si="40"/>
        <v>0</v>
      </c>
      <c r="H72" s="99">
        <f t="shared" si="41"/>
        <v>0</v>
      </c>
      <c r="I72" s="99">
        <f t="shared" si="42"/>
        <v>0</v>
      </c>
      <c r="J72" s="99">
        <f t="shared" ref="J72:N72" si="46">SUM(F29:J29)*$B72</f>
        <v>0</v>
      </c>
      <c r="K72" s="99">
        <f t="shared" si="46"/>
        <v>0</v>
      </c>
      <c r="L72" s="99">
        <f t="shared" si="46"/>
        <v>0</v>
      </c>
      <c r="M72" s="99">
        <f t="shared" si="46"/>
        <v>0</v>
      </c>
      <c r="N72" s="99">
        <f t="shared" si="46"/>
        <v>0</v>
      </c>
      <c r="O72" s="100">
        <f t="shared" si="44"/>
        <v>0</v>
      </c>
      <c r="P72" s="35"/>
      <c r="Q72" s="1"/>
      <c r="R72" s="1"/>
      <c r="S72" s="1"/>
      <c r="T72" s="1"/>
      <c r="U72" s="1"/>
      <c r="V72" s="1"/>
      <c r="W72" s="1"/>
      <c r="X72" s="1"/>
      <c r="Y72" s="1"/>
      <c r="Z72" s="1"/>
    </row>
    <row r="73" ht="12.75" customHeight="1">
      <c r="A73" s="43" t="s">
        <v>111</v>
      </c>
      <c r="B73" s="97">
        <f t="shared" si="36"/>
        <v>0.2</v>
      </c>
      <c r="C73" s="98"/>
      <c r="D73" s="99">
        <f t="shared" si="37"/>
        <v>0</v>
      </c>
      <c r="E73" s="99">
        <f t="shared" si="38"/>
        <v>0</v>
      </c>
      <c r="F73" s="99">
        <f t="shared" si="39"/>
        <v>0</v>
      </c>
      <c r="G73" s="99">
        <f t="shared" si="40"/>
        <v>0</v>
      </c>
      <c r="H73" s="99">
        <f t="shared" si="41"/>
        <v>0</v>
      </c>
      <c r="I73" s="99">
        <f t="shared" si="42"/>
        <v>0</v>
      </c>
      <c r="J73" s="99">
        <f t="shared" ref="J73:N73" si="47">SUM(F30:J30)*$B73</f>
        <v>0</v>
      </c>
      <c r="K73" s="99">
        <f t="shared" si="47"/>
        <v>0</v>
      </c>
      <c r="L73" s="99">
        <f t="shared" si="47"/>
        <v>0</v>
      </c>
      <c r="M73" s="99">
        <f t="shared" si="47"/>
        <v>0</v>
      </c>
      <c r="N73" s="99">
        <f t="shared" si="47"/>
        <v>0</v>
      </c>
      <c r="O73" s="100">
        <f t="shared" si="44"/>
        <v>0</v>
      </c>
      <c r="P73" s="35"/>
      <c r="Q73" s="1"/>
      <c r="R73" s="1"/>
      <c r="S73" s="1"/>
      <c r="T73" s="1"/>
      <c r="U73" s="1"/>
      <c r="V73" s="1"/>
      <c r="W73" s="1"/>
      <c r="X73" s="1"/>
      <c r="Y73" s="1"/>
      <c r="Z73" s="1"/>
    </row>
    <row r="74" ht="12.75" customHeight="1">
      <c r="A74" s="65" t="s">
        <v>96</v>
      </c>
      <c r="B74" s="97">
        <f t="shared" si="36"/>
        <v>0.2</v>
      </c>
      <c r="C74" s="98"/>
      <c r="D74" s="99">
        <f t="shared" si="37"/>
        <v>0</v>
      </c>
      <c r="E74" s="99">
        <f t="shared" si="38"/>
        <v>0</v>
      </c>
      <c r="F74" s="99">
        <f t="shared" si="39"/>
        <v>0</v>
      </c>
      <c r="G74" s="99">
        <f t="shared" si="40"/>
        <v>0</v>
      </c>
      <c r="H74" s="99">
        <f t="shared" si="41"/>
        <v>0</v>
      </c>
      <c r="I74" s="99">
        <f t="shared" si="42"/>
        <v>0</v>
      </c>
      <c r="J74" s="99">
        <f t="shared" ref="J74:N74" si="48">SUM(F31:J31)*$B74</f>
        <v>0</v>
      </c>
      <c r="K74" s="99">
        <f t="shared" si="48"/>
        <v>0</v>
      </c>
      <c r="L74" s="99">
        <f t="shared" si="48"/>
        <v>0</v>
      </c>
      <c r="M74" s="99">
        <f t="shared" si="48"/>
        <v>0</v>
      </c>
      <c r="N74" s="99">
        <f t="shared" si="48"/>
        <v>0</v>
      </c>
      <c r="O74" s="100">
        <f t="shared" si="44"/>
        <v>0</v>
      </c>
      <c r="P74" s="35"/>
      <c r="Q74" s="1"/>
      <c r="R74" s="1"/>
      <c r="S74" s="1"/>
      <c r="T74" s="1"/>
      <c r="U74" s="1"/>
      <c r="V74" s="1"/>
      <c r="W74" s="1"/>
      <c r="X74" s="1"/>
      <c r="Y74" s="1"/>
      <c r="Z74" s="1"/>
    </row>
    <row r="75" ht="12.75" customHeight="1">
      <c r="A75" s="65" t="s">
        <v>97</v>
      </c>
      <c r="B75" s="97">
        <f t="shared" si="36"/>
        <v>0.2</v>
      </c>
      <c r="C75" s="98"/>
      <c r="D75" s="99">
        <f t="shared" si="37"/>
        <v>0</v>
      </c>
      <c r="E75" s="99">
        <f t="shared" si="38"/>
        <v>0</v>
      </c>
      <c r="F75" s="99">
        <f t="shared" si="39"/>
        <v>0</v>
      </c>
      <c r="G75" s="99">
        <f t="shared" si="40"/>
        <v>0</v>
      </c>
      <c r="H75" s="99">
        <f t="shared" si="41"/>
        <v>0</v>
      </c>
      <c r="I75" s="99">
        <f t="shared" si="42"/>
        <v>0</v>
      </c>
      <c r="J75" s="99">
        <f t="shared" ref="J75:N75" si="49">SUM(F32:J32)*$B75</f>
        <v>0</v>
      </c>
      <c r="K75" s="99">
        <f t="shared" si="49"/>
        <v>0</v>
      </c>
      <c r="L75" s="99">
        <f t="shared" si="49"/>
        <v>0</v>
      </c>
      <c r="M75" s="99">
        <f t="shared" si="49"/>
        <v>0</v>
      </c>
      <c r="N75" s="99">
        <f t="shared" si="49"/>
        <v>0</v>
      </c>
      <c r="O75" s="100">
        <f t="shared" si="44"/>
        <v>0</v>
      </c>
      <c r="P75" s="35"/>
      <c r="Q75" s="1"/>
      <c r="R75" s="1"/>
      <c r="S75" s="1"/>
      <c r="T75" s="1"/>
      <c r="U75" s="1"/>
      <c r="V75" s="1"/>
      <c r="W75" s="1"/>
      <c r="X75" s="1"/>
      <c r="Y75" s="1"/>
      <c r="Z75" s="1"/>
    </row>
    <row r="76" ht="12.75" customHeight="1">
      <c r="A76" s="65" t="s">
        <v>98</v>
      </c>
      <c r="B76" s="97">
        <f t="shared" si="36"/>
        <v>0.3333333333</v>
      </c>
      <c r="C76" s="98"/>
      <c r="D76" s="99">
        <f t="shared" si="37"/>
        <v>0</v>
      </c>
      <c r="E76" s="99">
        <f t="shared" si="38"/>
        <v>0</v>
      </c>
      <c r="F76" s="99">
        <f t="shared" si="39"/>
        <v>0</v>
      </c>
      <c r="G76" s="99">
        <f t="shared" si="40"/>
        <v>0</v>
      </c>
      <c r="H76" s="99">
        <f>SUM(F33:H33)*$B76</f>
        <v>0</v>
      </c>
      <c r="I76" s="99">
        <f>SUM($G33:I33)*$B76</f>
        <v>0</v>
      </c>
      <c r="J76" s="99">
        <f>SUM($H33:J33)*$B76</f>
        <v>0</v>
      </c>
      <c r="K76" s="99">
        <f>SUM($I33:K33)*$B76</f>
        <v>0</v>
      </c>
      <c r="L76" s="99">
        <f>SUM($J33:L33)*$B76</f>
        <v>0</v>
      </c>
      <c r="M76" s="99">
        <f>SUM($K33:M33)*$B76</f>
        <v>0</v>
      </c>
      <c r="N76" s="99">
        <f>SUM($L33:N33)*$B76</f>
        <v>0</v>
      </c>
      <c r="O76" s="100">
        <f t="shared" si="44"/>
        <v>0</v>
      </c>
      <c r="P76" s="35"/>
      <c r="Q76" s="1"/>
      <c r="R76" s="1"/>
      <c r="S76" s="1"/>
      <c r="T76" s="1"/>
      <c r="U76" s="1"/>
      <c r="V76" s="1"/>
      <c r="W76" s="1"/>
      <c r="X76" s="1"/>
      <c r="Y76" s="1"/>
      <c r="Z76" s="1"/>
    </row>
    <row r="77" ht="12.75" customHeight="1">
      <c r="A77" s="29" t="s">
        <v>99</v>
      </c>
      <c r="B77" s="97">
        <f t="shared" si="36"/>
        <v>0.2</v>
      </c>
      <c r="C77" s="98"/>
      <c r="D77" s="99">
        <f t="shared" si="37"/>
        <v>0</v>
      </c>
      <c r="E77" s="99">
        <f t="shared" si="38"/>
        <v>0</v>
      </c>
      <c r="F77" s="99">
        <f t="shared" si="39"/>
        <v>0</v>
      </c>
      <c r="G77" s="99">
        <f t="shared" si="40"/>
        <v>0</v>
      </c>
      <c r="H77" s="99">
        <f>SUM(D34:H34)*$B77</f>
        <v>0</v>
      </c>
      <c r="I77" s="99">
        <f>SUM($D34:I34)*$B77</f>
        <v>0</v>
      </c>
      <c r="J77" s="99">
        <f t="shared" ref="J77:N77" si="50">SUM(F34:J34)*$B77</f>
        <v>0</v>
      </c>
      <c r="K77" s="99">
        <f t="shared" si="50"/>
        <v>0</v>
      </c>
      <c r="L77" s="99">
        <f t="shared" si="50"/>
        <v>0</v>
      </c>
      <c r="M77" s="99">
        <f t="shared" si="50"/>
        <v>0</v>
      </c>
      <c r="N77" s="99">
        <f t="shared" si="50"/>
        <v>0</v>
      </c>
      <c r="O77" s="100">
        <f t="shared" si="44"/>
        <v>0</v>
      </c>
      <c r="P77" s="35"/>
      <c r="Q77" s="1"/>
      <c r="R77" s="1"/>
      <c r="S77" s="1"/>
      <c r="T77" s="1"/>
      <c r="U77" s="1"/>
      <c r="V77" s="1"/>
      <c r="W77" s="1"/>
      <c r="X77" s="1"/>
      <c r="Y77" s="1"/>
      <c r="Z77" s="1"/>
    </row>
    <row r="78" ht="12.75" customHeight="1">
      <c r="A78" s="26" t="s">
        <v>112</v>
      </c>
      <c r="B78" s="97"/>
      <c r="C78" s="98"/>
      <c r="D78" s="99"/>
      <c r="E78" s="103">
        <f t="shared" ref="E78:O78" si="51">SUM(E69:E77)</f>
        <v>0</v>
      </c>
      <c r="F78" s="103">
        <f t="shared" si="51"/>
        <v>0</v>
      </c>
      <c r="G78" s="103">
        <f t="shared" si="51"/>
        <v>0</v>
      </c>
      <c r="H78" s="103">
        <f t="shared" si="51"/>
        <v>0</v>
      </c>
      <c r="I78" s="103">
        <f t="shared" si="51"/>
        <v>0</v>
      </c>
      <c r="J78" s="103">
        <f t="shared" si="51"/>
        <v>0</v>
      </c>
      <c r="K78" s="103">
        <f t="shared" si="51"/>
        <v>0</v>
      </c>
      <c r="L78" s="103">
        <f t="shared" si="51"/>
        <v>0</v>
      </c>
      <c r="M78" s="103">
        <f t="shared" si="51"/>
        <v>0</v>
      </c>
      <c r="N78" s="103">
        <f t="shared" si="51"/>
        <v>0</v>
      </c>
      <c r="O78" s="104">
        <f t="shared" si="51"/>
        <v>0</v>
      </c>
      <c r="P78" s="35"/>
      <c r="Q78" s="1"/>
      <c r="R78" s="1"/>
      <c r="S78" s="1"/>
      <c r="T78" s="1"/>
      <c r="U78" s="1"/>
      <c r="V78" s="1"/>
      <c r="W78" s="1"/>
      <c r="X78" s="1"/>
      <c r="Y78" s="1"/>
      <c r="Z78" s="1"/>
    </row>
    <row r="79" ht="12.75" customHeight="1">
      <c r="A79" s="52"/>
      <c r="B79" s="106"/>
      <c r="C79" s="106"/>
      <c r="D79" s="69"/>
      <c r="E79" s="107"/>
      <c r="F79" s="107"/>
      <c r="G79" s="107"/>
      <c r="H79" s="107"/>
      <c r="I79" s="107"/>
      <c r="J79" s="107"/>
      <c r="K79" s="107"/>
      <c r="L79" s="107"/>
      <c r="M79" s="108"/>
      <c r="N79" s="108"/>
      <c r="O79" s="109"/>
      <c r="P79" s="35"/>
      <c r="Q79" s="1"/>
      <c r="R79" s="1"/>
      <c r="S79" s="1"/>
      <c r="T79" s="1"/>
      <c r="U79" s="1"/>
      <c r="V79" s="1"/>
      <c r="W79" s="1"/>
      <c r="X79" s="1"/>
      <c r="Y79" s="1"/>
      <c r="Z79" s="1"/>
    </row>
    <row r="80" ht="12.75" customHeight="1">
      <c r="A80" s="26" t="s">
        <v>113</v>
      </c>
      <c r="B80" s="110"/>
      <c r="C80" s="92"/>
      <c r="D80" s="111"/>
      <c r="E80" s="103">
        <f t="shared" ref="E80:O80" si="52">E78+E66</f>
        <v>64090000</v>
      </c>
      <c r="F80" s="103">
        <f t="shared" si="52"/>
        <v>64090000</v>
      </c>
      <c r="G80" s="103">
        <f t="shared" si="52"/>
        <v>64090000</v>
      </c>
      <c r="H80" s="103">
        <f t="shared" si="52"/>
        <v>64090000</v>
      </c>
      <c r="I80" s="103">
        <f t="shared" si="52"/>
        <v>64090000</v>
      </c>
      <c r="J80" s="103">
        <f t="shared" si="52"/>
        <v>39900000</v>
      </c>
      <c r="K80" s="103">
        <f t="shared" si="52"/>
        <v>39900000</v>
      </c>
      <c r="L80" s="103">
        <f t="shared" si="52"/>
        <v>39900000</v>
      </c>
      <c r="M80" s="103">
        <f t="shared" si="52"/>
        <v>39900000</v>
      </c>
      <c r="N80" s="103">
        <f t="shared" si="52"/>
        <v>39900000</v>
      </c>
      <c r="O80" s="104">
        <f t="shared" si="52"/>
        <v>1348000000</v>
      </c>
      <c r="P80" s="35"/>
      <c r="Q80" s="1"/>
      <c r="R80" s="1"/>
      <c r="S80" s="1"/>
      <c r="T80" s="1"/>
      <c r="U80" s="1"/>
      <c r="V80" s="1"/>
      <c r="W80" s="1"/>
      <c r="X80" s="1"/>
      <c r="Y80" s="1"/>
      <c r="Z80" s="1"/>
    </row>
    <row r="81" ht="12.75" customHeight="1">
      <c r="A81" s="26" t="s">
        <v>114</v>
      </c>
      <c r="B81" s="112">
        <f>'DATOS Iniciales y ACLARACIONES'!B29</f>
        <v>0.4</v>
      </c>
      <c r="C81" s="113"/>
      <c r="D81" s="111"/>
      <c r="E81" s="114">
        <f t="shared" ref="E81:N81" si="53">(E$80-E$84)*$B81</f>
        <v>25636000</v>
      </c>
      <c r="F81" s="114">
        <f t="shared" si="53"/>
        <v>25636000</v>
      </c>
      <c r="G81" s="114">
        <f t="shared" si="53"/>
        <v>25636000</v>
      </c>
      <c r="H81" s="114">
        <f t="shared" si="53"/>
        <v>25636000</v>
      </c>
      <c r="I81" s="114">
        <f t="shared" si="53"/>
        <v>25636000</v>
      </c>
      <c r="J81" s="114">
        <f t="shared" si="53"/>
        <v>15960000</v>
      </c>
      <c r="K81" s="114">
        <f t="shared" si="53"/>
        <v>15960000</v>
      </c>
      <c r="L81" s="114">
        <f t="shared" si="53"/>
        <v>15960000</v>
      </c>
      <c r="M81" s="114">
        <f t="shared" si="53"/>
        <v>15960000</v>
      </c>
      <c r="N81" s="114">
        <f t="shared" si="53"/>
        <v>15960000</v>
      </c>
      <c r="O81" s="72"/>
      <c r="P81" s="1"/>
      <c r="Q81" s="1"/>
      <c r="R81" s="1"/>
      <c r="S81" s="1"/>
      <c r="T81" s="1"/>
      <c r="U81" s="1"/>
      <c r="V81" s="1"/>
      <c r="W81" s="1"/>
      <c r="X81" s="1"/>
      <c r="Y81" s="1"/>
      <c r="Z81" s="1"/>
    </row>
    <row r="82" ht="12.75" customHeight="1">
      <c r="A82" s="26" t="s">
        <v>115</v>
      </c>
      <c r="B82" s="112">
        <f>'DATOS Iniciales y ACLARACIONES'!B30</f>
        <v>0.4</v>
      </c>
      <c r="C82" s="113"/>
      <c r="D82" s="111"/>
      <c r="E82" s="114">
        <f t="shared" ref="E82:N82" si="54">(E$80-E$84)*$B82</f>
        <v>25636000</v>
      </c>
      <c r="F82" s="114">
        <f t="shared" si="54"/>
        <v>25636000</v>
      </c>
      <c r="G82" s="114">
        <f t="shared" si="54"/>
        <v>25636000</v>
      </c>
      <c r="H82" s="114">
        <f t="shared" si="54"/>
        <v>25636000</v>
      </c>
      <c r="I82" s="114">
        <f t="shared" si="54"/>
        <v>25636000</v>
      </c>
      <c r="J82" s="114">
        <f t="shared" si="54"/>
        <v>15960000</v>
      </c>
      <c r="K82" s="114">
        <f t="shared" si="54"/>
        <v>15960000</v>
      </c>
      <c r="L82" s="114">
        <f t="shared" si="54"/>
        <v>15960000</v>
      </c>
      <c r="M82" s="114">
        <f t="shared" si="54"/>
        <v>15960000</v>
      </c>
      <c r="N82" s="114">
        <f t="shared" si="54"/>
        <v>15960000</v>
      </c>
      <c r="O82" s="72"/>
      <c r="P82" s="1"/>
      <c r="Q82" s="1"/>
      <c r="R82" s="1"/>
      <c r="S82" s="1"/>
      <c r="T82" s="1"/>
      <c r="U82" s="1"/>
      <c r="V82" s="1"/>
      <c r="W82" s="1"/>
      <c r="X82" s="1"/>
      <c r="Y82" s="1"/>
      <c r="Z82" s="1"/>
    </row>
    <row r="83" ht="12.75" customHeight="1">
      <c r="A83" s="26" t="s">
        <v>116</v>
      </c>
      <c r="B83" s="112">
        <f>'DATOS Iniciales y ACLARACIONES'!B31</f>
        <v>0.2</v>
      </c>
      <c r="C83" s="113"/>
      <c r="D83" s="111"/>
      <c r="E83" s="114">
        <f t="shared" ref="E83:N83" si="55">(E$80-E$84)*$B83</f>
        <v>12818000</v>
      </c>
      <c r="F83" s="114">
        <f t="shared" si="55"/>
        <v>12818000</v>
      </c>
      <c r="G83" s="114">
        <f t="shared" si="55"/>
        <v>12818000</v>
      </c>
      <c r="H83" s="114">
        <f t="shared" si="55"/>
        <v>12818000</v>
      </c>
      <c r="I83" s="114">
        <f t="shared" si="55"/>
        <v>12818000</v>
      </c>
      <c r="J83" s="114">
        <f t="shared" si="55"/>
        <v>7980000</v>
      </c>
      <c r="K83" s="114">
        <f t="shared" si="55"/>
        <v>7980000</v>
      </c>
      <c r="L83" s="114">
        <f t="shared" si="55"/>
        <v>7980000</v>
      </c>
      <c r="M83" s="114">
        <f t="shared" si="55"/>
        <v>7980000</v>
      </c>
      <c r="N83" s="114">
        <f t="shared" si="55"/>
        <v>7980000</v>
      </c>
      <c r="O83" s="72"/>
      <c r="P83" s="1"/>
      <c r="Q83" s="1"/>
      <c r="R83" s="1"/>
      <c r="S83" s="1"/>
      <c r="T83" s="1"/>
      <c r="U83" s="1"/>
      <c r="V83" s="1"/>
      <c r="W83" s="1"/>
      <c r="X83" s="1"/>
      <c r="Y83" s="1"/>
      <c r="Z83" s="1"/>
    </row>
    <row r="84" ht="12.75" customHeight="1">
      <c r="A84" s="26" t="s">
        <v>117</v>
      </c>
      <c r="B84" s="112"/>
      <c r="C84" s="113"/>
      <c r="D84" s="111"/>
      <c r="E84" s="114">
        <f t="shared" ref="E84:N84" si="56">E76</f>
        <v>0</v>
      </c>
      <c r="F84" s="114">
        <f t="shared" si="56"/>
        <v>0</v>
      </c>
      <c r="G84" s="114">
        <f t="shared" si="56"/>
        <v>0</v>
      </c>
      <c r="H84" s="114">
        <f t="shared" si="56"/>
        <v>0</v>
      </c>
      <c r="I84" s="114">
        <f t="shared" si="56"/>
        <v>0</v>
      </c>
      <c r="J84" s="114">
        <f t="shared" si="56"/>
        <v>0</v>
      </c>
      <c r="K84" s="114">
        <f t="shared" si="56"/>
        <v>0</v>
      </c>
      <c r="L84" s="114">
        <f t="shared" si="56"/>
        <v>0</v>
      </c>
      <c r="M84" s="114">
        <f t="shared" si="56"/>
        <v>0</v>
      </c>
      <c r="N84" s="114">
        <f t="shared" si="56"/>
        <v>0</v>
      </c>
      <c r="O84" s="72"/>
      <c r="P84" s="1"/>
      <c r="Q84" s="1"/>
      <c r="R84" s="1"/>
      <c r="S84" s="1"/>
      <c r="T84" s="1"/>
      <c r="U84" s="1"/>
      <c r="V84" s="1"/>
      <c r="W84" s="1"/>
      <c r="X84" s="1"/>
      <c r="Y84" s="1"/>
      <c r="Z84" s="1"/>
    </row>
    <row r="85" ht="12.75" customHeight="1">
      <c r="A85" s="115" t="s">
        <v>118</v>
      </c>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15" t="s">
        <v>119</v>
      </c>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35"/>
      <c r="F88" s="35"/>
      <c r="G88" s="35"/>
      <c r="H88" s="35"/>
      <c r="I88" s="35"/>
      <c r="J88" s="35"/>
      <c r="K88" s="35"/>
      <c r="L88" s="35"/>
      <c r="M88" s="35"/>
      <c r="N88" s="35"/>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B44:C44"/>
    <mergeCell ref="E44:N44"/>
    <mergeCell ref="B45:C45"/>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80:C80"/>
    <mergeCell ref="B81:C81"/>
    <mergeCell ref="B82:C82"/>
    <mergeCell ref="B83:C83"/>
    <mergeCell ref="B84:C84"/>
    <mergeCell ref="B72:C72"/>
    <mergeCell ref="B73:C73"/>
    <mergeCell ref="B74:C74"/>
    <mergeCell ref="B75:C75"/>
    <mergeCell ref="B76:C76"/>
    <mergeCell ref="B77:C77"/>
    <mergeCell ref="B78:C78"/>
  </mergeCells>
  <printOptions/>
  <pageMargins bottom="0.984251968503937" footer="0.0" header="0.0" left="0.4330708661417323" right="0.35433070866141736" top="0.5118110236220472"/>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5.5"/>
    <col customWidth="1" min="2" max="12" width="14.75"/>
    <col customWidth="1" min="13" max="13" width="17.5"/>
    <col customWidth="1" min="14" max="26" width="10.63"/>
  </cols>
  <sheetData>
    <row r="1" ht="12.75" customHeight="1">
      <c r="A1" s="116" t="s">
        <v>120</v>
      </c>
      <c r="B1" s="117"/>
      <c r="C1" s="117"/>
      <c r="D1" s="117"/>
      <c r="E1" s="117"/>
      <c r="F1" s="117"/>
      <c r="G1" s="117"/>
      <c r="H1" s="117"/>
      <c r="I1" s="117"/>
      <c r="J1" s="117"/>
      <c r="K1" s="117"/>
      <c r="L1" s="118"/>
      <c r="M1" s="1"/>
      <c r="N1" s="1"/>
      <c r="O1" s="1"/>
      <c r="P1" s="1"/>
      <c r="Q1" s="1"/>
      <c r="R1" s="1"/>
      <c r="S1" s="1"/>
      <c r="T1" s="1"/>
      <c r="U1" s="1"/>
      <c r="V1" s="1"/>
      <c r="W1" s="1"/>
      <c r="X1" s="1"/>
      <c r="Y1" s="1"/>
      <c r="Z1" s="1"/>
    </row>
    <row r="2" ht="12.75" customHeight="1">
      <c r="A2" s="119" t="s">
        <v>121</v>
      </c>
      <c r="B2" s="25" t="s">
        <v>42</v>
      </c>
      <c r="C2" s="25" t="s">
        <v>43</v>
      </c>
      <c r="D2" s="25" t="s">
        <v>44</v>
      </c>
      <c r="E2" s="25" t="s">
        <v>45</v>
      </c>
      <c r="F2" s="25" t="s">
        <v>46</v>
      </c>
      <c r="G2" s="25" t="s">
        <v>47</v>
      </c>
      <c r="H2" s="25" t="s">
        <v>48</v>
      </c>
      <c r="I2" s="25" t="s">
        <v>49</v>
      </c>
      <c r="J2" s="25" t="s">
        <v>50</v>
      </c>
      <c r="K2" s="25" t="s">
        <v>51</v>
      </c>
      <c r="L2" s="120" t="s">
        <v>52</v>
      </c>
      <c r="M2" s="1"/>
      <c r="N2" s="1"/>
      <c r="O2" s="1"/>
      <c r="P2" s="1"/>
      <c r="Q2" s="1"/>
      <c r="R2" s="1"/>
      <c r="S2" s="1"/>
      <c r="T2" s="1"/>
      <c r="U2" s="1"/>
      <c r="V2" s="1"/>
      <c r="W2" s="1"/>
      <c r="X2" s="1"/>
      <c r="Y2" s="1"/>
      <c r="Z2" s="1"/>
    </row>
    <row r="3" ht="12.75" customHeight="1">
      <c r="A3" s="121" t="s">
        <v>122</v>
      </c>
      <c r="B3" s="122"/>
      <c r="C3" s="122"/>
      <c r="D3" s="122"/>
      <c r="E3" s="122"/>
      <c r="F3" s="122"/>
      <c r="G3" s="122"/>
      <c r="H3" s="122"/>
      <c r="I3" s="122"/>
      <c r="J3" s="122"/>
      <c r="K3" s="122"/>
      <c r="L3" s="123"/>
      <c r="M3" s="1"/>
      <c r="N3" s="1"/>
      <c r="O3" s="1"/>
      <c r="P3" s="1"/>
      <c r="Q3" s="1"/>
      <c r="R3" s="1"/>
      <c r="S3" s="1"/>
      <c r="T3" s="1"/>
      <c r="U3" s="1"/>
      <c r="V3" s="1"/>
      <c r="W3" s="1"/>
      <c r="X3" s="1"/>
      <c r="Y3" s="1"/>
      <c r="Z3" s="1"/>
    </row>
    <row r="4" ht="12.75" customHeight="1">
      <c r="A4" s="121" t="s">
        <v>123</v>
      </c>
      <c r="B4" s="124">
        <f>'CTV y CResult'!$B$13*'DATOS Iniciales y ACLARACIONES'!$B$47</f>
        <v>79464000</v>
      </c>
      <c r="C4" s="124">
        <f t="shared" ref="C4:L4" si="1">B4</f>
        <v>79464000</v>
      </c>
      <c r="D4" s="124">
        <f t="shared" si="1"/>
        <v>79464000</v>
      </c>
      <c r="E4" s="124">
        <f t="shared" si="1"/>
        <v>79464000</v>
      </c>
      <c r="F4" s="124">
        <f t="shared" si="1"/>
        <v>79464000</v>
      </c>
      <c r="G4" s="124">
        <f t="shared" si="1"/>
        <v>79464000</v>
      </c>
      <c r="H4" s="124">
        <f t="shared" si="1"/>
        <v>79464000</v>
      </c>
      <c r="I4" s="124">
        <f t="shared" si="1"/>
        <v>79464000</v>
      </c>
      <c r="J4" s="124">
        <f t="shared" si="1"/>
        <v>79464000</v>
      </c>
      <c r="K4" s="124">
        <f t="shared" si="1"/>
        <v>79464000</v>
      </c>
      <c r="L4" s="124">
        <f t="shared" si="1"/>
        <v>79464000</v>
      </c>
      <c r="M4" s="1"/>
      <c r="N4" s="1"/>
      <c r="O4" s="1"/>
      <c r="P4" s="1"/>
      <c r="Q4" s="1"/>
      <c r="R4" s="1"/>
      <c r="S4" s="1"/>
      <c r="T4" s="1"/>
      <c r="U4" s="1"/>
      <c r="V4" s="1"/>
      <c r="W4" s="1"/>
      <c r="X4" s="1"/>
      <c r="Y4" s="1"/>
      <c r="Z4" s="1"/>
    </row>
    <row r="5" ht="12.75" customHeight="1">
      <c r="A5" s="121" t="s">
        <v>124</v>
      </c>
      <c r="B5" s="124">
        <v>0.0</v>
      </c>
      <c r="C5" s="124">
        <f>'CTV y CResult'!B13*'DATOS Iniciales y ACLARACIONES'!D43/365</f>
        <v>1959386301</v>
      </c>
      <c r="D5" s="124">
        <f>'CTV y CResult'!C13*'DATOS Iniciales y ACLARACIONES'!E43/365</f>
        <v>1492668493</v>
      </c>
      <c r="E5" s="124">
        <f>'CTV y CResult'!D13*'DATOS Iniciales y ACLARACIONES'!F43/365</f>
        <v>1166104110</v>
      </c>
      <c r="F5" s="124">
        <f>'CTV y CResult'!E13*'DATOS Iniciales y ACLARACIONES'!G43/365</f>
        <v>1081183562</v>
      </c>
      <c r="G5" s="124">
        <f>'CTV y CResult'!F13*'DATOS Iniciales y ACLARACIONES'!H43/365</f>
        <v>991142465.8</v>
      </c>
      <c r="H5" s="124">
        <f>'CTV y CResult'!G13*'DATOS Iniciales y ACLARACIONES'!I43/365</f>
        <v>889594520.5</v>
      </c>
      <c r="I5" s="124">
        <f>'CTV y CResult'!H13*'DATOS Iniciales y ACLARACIONES'!J43/365</f>
        <v>776712328.8</v>
      </c>
      <c r="J5" s="124">
        <f>'CTV y CResult'!I13*'DATOS Iniciales y ACLARACIONES'!K43/365</f>
        <v>813534246.6</v>
      </c>
      <c r="K5" s="124">
        <f>'CTV y CResult'!J13*'DATOS Iniciales y ACLARACIONES'!L43/365</f>
        <v>1703589041</v>
      </c>
      <c r="L5" s="124">
        <f>'CTV y CResult'!K13*'DATOS Iniciales y ACLARACIONES'!M43/365</f>
        <v>3211446575</v>
      </c>
      <c r="M5" s="12"/>
      <c r="N5" s="1"/>
      <c r="O5" s="1"/>
      <c r="P5" s="1"/>
      <c r="Q5" s="1"/>
      <c r="R5" s="1"/>
      <c r="S5" s="1"/>
      <c r="T5" s="1"/>
      <c r="U5" s="1"/>
      <c r="V5" s="1"/>
      <c r="W5" s="1"/>
      <c r="X5" s="1"/>
      <c r="Y5" s="1"/>
      <c r="Z5" s="1"/>
    </row>
    <row r="6" ht="6.0" customHeight="1">
      <c r="A6" s="125"/>
      <c r="B6" s="108"/>
      <c r="C6" s="108"/>
      <c r="D6" s="108"/>
      <c r="E6" s="108"/>
      <c r="F6" s="108"/>
      <c r="G6" s="108"/>
      <c r="H6" s="108"/>
      <c r="I6" s="108"/>
      <c r="J6" s="108"/>
      <c r="K6" s="108"/>
      <c r="L6" s="109"/>
      <c r="M6" s="1"/>
      <c r="N6" s="1"/>
      <c r="O6" s="1"/>
      <c r="P6" s="1"/>
      <c r="Q6" s="1"/>
      <c r="R6" s="1"/>
      <c r="S6" s="1"/>
      <c r="T6" s="1"/>
      <c r="U6" s="1"/>
      <c r="V6" s="1"/>
      <c r="W6" s="1"/>
      <c r="X6" s="1"/>
      <c r="Y6" s="1"/>
      <c r="Z6" s="1"/>
    </row>
    <row r="7" ht="12.75" customHeight="1">
      <c r="A7" s="121" t="s">
        <v>125</v>
      </c>
      <c r="B7" s="124">
        <f t="shared" ref="B7:L7" si="2">SUM(B8:B11)</f>
        <v>0</v>
      </c>
      <c r="C7" s="124">
        <f t="shared" si="2"/>
        <v>0</v>
      </c>
      <c r="D7" s="124">
        <f t="shared" si="2"/>
        <v>0</v>
      </c>
      <c r="E7" s="124">
        <f t="shared" si="2"/>
        <v>0</v>
      </c>
      <c r="F7" s="124">
        <f t="shared" si="2"/>
        <v>0</v>
      </c>
      <c r="G7" s="124">
        <f t="shared" si="2"/>
        <v>0</v>
      </c>
      <c r="H7" s="124">
        <f t="shared" si="2"/>
        <v>0</v>
      </c>
      <c r="I7" s="124">
        <f t="shared" si="2"/>
        <v>0</v>
      </c>
      <c r="J7" s="124">
        <f t="shared" si="2"/>
        <v>0</v>
      </c>
      <c r="K7" s="124">
        <f t="shared" si="2"/>
        <v>0</v>
      </c>
      <c r="L7" s="124">
        <f t="shared" si="2"/>
        <v>0</v>
      </c>
      <c r="M7" s="1"/>
      <c r="N7" s="1"/>
      <c r="O7" s="1"/>
      <c r="P7" s="1"/>
      <c r="Q7" s="1"/>
      <c r="R7" s="1"/>
      <c r="S7" s="1"/>
      <c r="T7" s="1"/>
      <c r="U7" s="1"/>
      <c r="V7" s="1"/>
      <c r="W7" s="1"/>
      <c r="X7" s="1"/>
      <c r="Y7" s="1"/>
      <c r="Z7" s="1"/>
    </row>
    <row r="8" ht="12.75" customHeight="1">
      <c r="A8" s="126" t="s">
        <v>126</v>
      </c>
      <c r="B8" s="127"/>
      <c r="C8" s="128"/>
      <c r="D8" s="128"/>
      <c r="E8" s="128"/>
      <c r="F8" s="128"/>
      <c r="G8" s="128"/>
      <c r="H8" s="128"/>
      <c r="I8" s="128"/>
      <c r="J8" s="128"/>
      <c r="K8" s="128"/>
      <c r="L8" s="128"/>
      <c r="M8" s="1"/>
      <c r="N8" s="1"/>
      <c r="O8" s="1"/>
      <c r="P8" s="1"/>
      <c r="Q8" s="1"/>
      <c r="R8" s="1"/>
      <c r="S8" s="1"/>
      <c r="T8" s="1"/>
      <c r="U8" s="1"/>
      <c r="V8" s="1"/>
      <c r="W8" s="1"/>
      <c r="X8" s="1"/>
      <c r="Y8" s="1"/>
      <c r="Z8" s="1"/>
    </row>
    <row r="9" ht="12.75" customHeight="1">
      <c r="A9" s="126" t="s">
        <v>127</v>
      </c>
      <c r="B9" s="129"/>
      <c r="C9" s="130"/>
      <c r="D9" s="130"/>
      <c r="E9" s="130"/>
      <c r="F9" s="130"/>
      <c r="G9" s="130"/>
      <c r="H9" s="130"/>
      <c r="I9" s="130"/>
      <c r="J9" s="130"/>
      <c r="K9" s="130"/>
      <c r="L9" s="131"/>
      <c r="M9" s="1"/>
      <c r="N9" s="1"/>
      <c r="O9" s="1"/>
      <c r="P9" s="1"/>
      <c r="Q9" s="1"/>
      <c r="R9" s="1"/>
      <c r="S9" s="1"/>
      <c r="T9" s="1"/>
      <c r="U9" s="1"/>
      <c r="V9" s="1"/>
      <c r="W9" s="1"/>
      <c r="X9" s="1"/>
      <c r="Y9" s="1"/>
      <c r="Z9" s="1"/>
    </row>
    <row r="10" ht="12.75" customHeight="1">
      <c r="A10" s="126" t="s">
        <v>128</v>
      </c>
      <c r="B10" s="132">
        <v>0.0</v>
      </c>
      <c r="C10" s="132">
        <f>CostoPROD!B40</f>
        <v>0</v>
      </c>
      <c r="D10" s="132">
        <f>CostoPROD!C40</f>
        <v>0</v>
      </c>
      <c r="E10" s="132">
        <f>CostoPROD!D40</f>
        <v>0</v>
      </c>
      <c r="F10" s="132">
        <f>CostoPROD!E40</f>
        <v>0</v>
      </c>
      <c r="G10" s="132">
        <f>CostoPROD!F40</f>
        <v>0</v>
      </c>
      <c r="H10" s="132">
        <f>CostoPROD!G40</f>
        <v>0</v>
      </c>
      <c r="I10" s="132">
        <f>CostoPROD!H40</f>
        <v>0</v>
      </c>
      <c r="J10" s="132">
        <f>CostoPROD!I40</f>
        <v>0</v>
      </c>
      <c r="K10" s="132">
        <f>CostoPROD!J40</f>
        <v>0</v>
      </c>
      <c r="L10" s="132">
        <f>CostoPROD!K40</f>
        <v>0</v>
      </c>
      <c r="M10" s="1"/>
      <c r="N10" s="1"/>
      <c r="O10" s="1"/>
      <c r="P10" s="1"/>
      <c r="Q10" s="1"/>
      <c r="R10" s="1"/>
      <c r="S10" s="1"/>
      <c r="T10" s="1"/>
      <c r="U10" s="1"/>
      <c r="V10" s="1"/>
      <c r="W10" s="1"/>
      <c r="X10" s="1"/>
      <c r="Y10" s="1"/>
      <c r="Z10" s="1"/>
    </row>
    <row r="11" ht="12.75" customHeight="1">
      <c r="A11" s="126" t="s">
        <v>129</v>
      </c>
      <c r="B11" s="124">
        <v>0.0</v>
      </c>
      <c r="C11" s="124">
        <f>'CTV y CResult'!B25</f>
        <v>0</v>
      </c>
      <c r="D11" s="124">
        <f>'CTV y CResult'!C25</f>
        <v>0</v>
      </c>
      <c r="E11" s="124">
        <f>'CTV y CResult'!D25</f>
        <v>0</v>
      </c>
      <c r="F11" s="124">
        <f>'CTV y CResult'!E25</f>
        <v>0</v>
      </c>
      <c r="G11" s="124">
        <f>'CTV y CResult'!F25</f>
        <v>0</v>
      </c>
      <c r="H11" s="124">
        <f>'CTV y CResult'!G25</f>
        <v>0</v>
      </c>
      <c r="I11" s="124">
        <f>'CTV y CResult'!H25</f>
        <v>0</v>
      </c>
      <c r="J11" s="124">
        <f>'CTV y CResult'!I25</f>
        <v>0</v>
      </c>
      <c r="K11" s="124">
        <f>'CTV y CResult'!J25</f>
        <v>0</v>
      </c>
      <c r="L11" s="124">
        <f>'CTV y CResult'!K25</f>
        <v>0</v>
      </c>
      <c r="M11" s="1"/>
      <c r="N11" s="1"/>
      <c r="O11" s="1"/>
      <c r="P11" s="1"/>
      <c r="Q11" s="1"/>
      <c r="R11" s="1"/>
      <c r="S11" s="1"/>
      <c r="T11" s="1"/>
      <c r="U11" s="1"/>
      <c r="V11" s="1"/>
      <c r="W11" s="1"/>
      <c r="X11" s="1"/>
      <c r="Y11" s="1"/>
      <c r="Z11" s="1"/>
    </row>
    <row r="12" ht="6.0" customHeight="1">
      <c r="A12" s="125"/>
      <c r="B12" s="108"/>
      <c r="C12" s="108"/>
      <c r="D12" s="108"/>
      <c r="E12" s="108"/>
      <c r="F12" s="108"/>
      <c r="G12" s="108"/>
      <c r="H12" s="108"/>
      <c r="I12" s="108"/>
      <c r="J12" s="108"/>
      <c r="K12" s="108"/>
      <c r="L12" s="109"/>
      <c r="M12" s="1"/>
      <c r="N12" s="1"/>
      <c r="O12" s="1"/>
      <c r="P12" s="1"/>
      <c r="Q12" s="1"/>
      <c r="R12" s="1"/>
      <c r="S12" s="1"/>
      <c r="T12" s="1"/>
      <c r="U12" s="1"/>
      <c r="V12" s="1"/>
      <c r="W12" s="1"/>
      <c r="X12" s="1"/>
      <c r="Y12" s="1"/>
      <c r="Z12" s="1"/>
    </row>
    <row r="13" ht="12.75" customHeight="1">
      <c r="A13" s="121" t="s">
        <v>130</v>
      </c>
      <c r="B13" s="133">
        <f t="shared" ref="B13:L13" si="3">SUM(B4:B7)</f>
        <v>79464000</v>
      </c>
      <c r="C13" s="133">
        <f t="shared" si="3"/>
        <v>2038850301</v>
      </c>
      <c r="D13" s="133">
        <f t="shared" si="3"/>
        <v>1572132493</v>
      </c>
      <c r="E13" s="133">
        <f t="shared" si="3"/>
        <v>1245568110</v>
      </c>
      <c r="F13" s="133">
        <f t="shared" si="3"/>
        <v>1160647562</v>
      </c>
      <c r="G13" s="133">
        <f t="shared" si="3"/>
        <v>1070606466</v>
      </c>
      <c r="H13" s="133">
        <f t="shared" si="3"/>
        <v>969058520.5</v>
      </c>
      <c r="I13" s="133">
        <f t="shared" si="3"/>
        <v>856176328.8</v>
      </c>
      <c r="J13" s="133">
        <f t="shared" si="3"/>
        <v>892998246.6</v>
      </c>
      <c r="K13" s="133">
        <f t="shared" si="3"/>
        <v>1783053041</v>
      </c>
      <c r="L13" s="133">
        <f t="shared" si="3"/>
        <v>3290910575</v>
      </c>
      <c r="M13" s="51"/>
      <c r="N13" s="51"/>
      <c r="O13" s="51"/>
      <c r="P13" s="51"/>
      <c r="Q13" s="51"/>
      <c r="R13" s="51"/>
      <c r="S13" s="51"/>
      <c r="T13" s="51"/>
      <c r="U13" s="51"/>
      <c r="V13" s="51"/>
      <c r="W13" s="51"/>
      <c r="X13" s="51"/>
      <c r="Y13" s="51"/>
      <c r="Z13" s="51"/>
    </row>
    <row r="14" ht="12.75" customHeight="1">
      <c r="A14" s="121" t="s">
        <v>131</v>
      </c>
      <c r="B14" s="108"/>
      <c r="C14" s="108"/>
      <c r="D14" s="108"/>
      <c r="E14" s="108"/>
      <c r="F14" s="108"/>
      <c r="G14" s="108"/>
      <c r="H14" s="108"/>
      <c r="I14" s="108"/>
      <c r="J14" s="108"/>
      <c r="K14" s="108"/>
      <c r="L14" s="109"/>
      <c r="M14" s="1"/>
      <c r="N14" s="1"/>
      <c r="O14" s="1"/>
      <c r="P14" s="1"/>
      <c r="Q14" s="1"/>
      <c r="R14" s="1"/>
      <c r="S14" s="1"/>
      <c r="T14" s="1"/>
      <c r="U14" s="1"/>
      <c r="V14" s="1"/>
      <c r="W14" s="1"/>
      <c r="X14" s="1"/>
      <c r="Y14" s="1"/>
      <c r="Z14" s="1"/>
    </row>
    <row r="15" ht="12.75" customHeight="1">
      <c r="A15" s="126" t="s">
        <v>132</v>
      </c>
      <c r="B15" s="124">
        <v>0.0</v>
      </c>
      <c r="C15" s="124">
        <f>CostoPROD!B28</f>
        <v>0</v>
      </c>
      <c r="D15" s="124">
        <f>CostoPROD!C28</f>
        <v>0</v>
      </c>
      <c r="E15" s="124">
        <f>CostoPROD!D28</f>
        <v>0</v>
      </c>
      <c r="F15" s="124">
        <f>CostoPROD!E28</f>
        <v>0</v>
      </c>
      <c r="G15" s="124">
        <f>CostoPROD!F28</f>
        <v>0</v>
      </c>
      <c r="H15" s="124">
        <f>CostoPROD!G28</f>
        <v>0</v>
      </c>
      <c r="I15" s="124">
        <f>CostoPROD!H28</f>
        <v>0</v>
      </c>
      <c r="J15" s="124">
        <f>CostoPROD!I28</f>
        <v>0</v>
      </c>
      <c r="K15" s="124">
        <f>CostoPROD!J28</f>
        <v>0</v>
      </c>
      <c r="L15" s="124">
        <f>CostoPROD!K28</f>
        <v>0</v>
      </c>
      <c r="M15" s="1"/>
      <c r="N15" s="1"/>
      <c r="O15" s="1"/>
      <c r="P15" s="1"/>
      <c r="Q15" s="1"/>
      <c r="R15" s="1"/>
      <c r="S15" s="1"/>
      <c r="T15" s="1"/>
      <c r="U15" s="1"/>
      <c r="V15" s="1"/>
      <c r="W15" s="1"/>
      <c r="X15" s="1"/>
      <c r="Y15" s="1"/>
      <c r="Z15" s="1"/>
    </row>
    <row r="16" ht="12.75" customHeight="1">
      <c r="A16" s="126" t="s">
        <v>133</v>
      </c>
      <c r="B16" s="124">
        <v>0.0</v>
      </c>
      <c r="C16" s="124">
        <f>(CostoPROD!B6-C15)/CostoPROD!B49*InvAT!C11</f>
        <v>0</v>
      </c>
      <c r="D16" s="124">
        <f>(CostoPROD!C6-D15)/CostoPROD!C49*InvAT!D11</f>
        <v>0</v>
      </c>
      <c r="E16" s="124">
        <f>(CostoPROD!D6-E15)/CostoPROD!D49*InvAT!E11</f>
        <v>0</v>
      </c>
      <c r="F16" s="124">
        <f>(CostoPROD!E6-F15)/CostoPROD!E49*InvAT!F11</f>
        <v>0</v>
      </c>
      <c r="G16" s="124">
        <f>(CostoPROD!F6-G15)/CostoPROD!F49*InvAT!G11</f>
        <v>0</v>
      </c>
      <c r="H16" s="124">
        <f>(CostoPROD!G6-H15)/CostoPROD!G49*InvAT!H11</f>
        <v>0</v>
      </c>
      <c r="I16" s="124">
        <f>(CostoPROD!H6-I15)/CostoPROD!H49*InvAT!I11</f>
        <v>0</v>
      </c>
      <c r="J16" s="124">
        <f>(CostoPROD!I6-J15)/CostoPROD!I49*InvAT!J11</f>
        <v>0</v>
      </c>
      <c r="K16" s="124">
        <f>(CostoPROD!J6-K15)/CostoPROD!J49*InvAT!K11</f>
        <v>0</v>
      </c>
      <c r="L16" s="124">
        <f>(CostoPROD!K6-L15)/CostoPROD!K49*InvAT!L11</f>
        <v>0</v>
      </c>
      <c r="M16" s="1"/>
      <c r="N16" s="1"/>
      <c r="O16" s="1"/>
      <c r="P16" s="1"/>
      <c r="Q16" s="1"/>
      <c r="R16" s="1"/>
      <c r="S16" s="1"/>
      <c r="T16" s="1"/>
      <c r="U16" s="1"/>
      <c r="V16" s="1"/>
      <c r="W16" s="1"/>
      <c r="X16" s="1"/>
      <c r="Y16" s="1"/>
      <c r="Z16" s="1"/>
    </row>
    <row r="17" ht="12.75" customHeight="1">
      <c r="A17" s="126" t="s">
        <v>134</v>
      </c>
      <c r="B17" s="124">
        <v>0.0</v>
      </c>
      <c r="C17" s="124">
        <f>'CTV y CResult'!B41*InvAT!C5</f>
        <v>199695490.3</v>
      </c>
      <c r="D17" s="124">
        <f>'CTV y CResult'!C41*InvAT!D5</f>
        <v>233109505</v>
      </c>
      <c r="E17" s="124">
        <f>'CTV y CResult'!D41*InvAT!E5</f>
        <v>199163225.7</v>
      </c>
      <c r="F17" s="124">
        <f>'CTV y CResult'!E41*InvAT!F5</f>
        <v>200343804.6</v>
      </c>
      <c r="G17" s="124">
        <f>'CTV y CResult'!F41*InvAT!G5</f>
        <v>198850945.9</v>
      </c>
      <c r="H17" s="124">
        <f>'CTV y CResult'!G41*InvAT!H5</f>
        <v>193879201.5</v>
      </c>
      <c r="I17" s="124">
        <f>'CTV y CResult'!H41*InvAT!I5</f>
        <v>180039890.3</v>
      </c>
      <c r="J17" s="124">
        <f>'CTV y CResult'!I41*InvAT!J5</f>
        <v>199264475.5</v>
      </c>
      <c r="K17" s="124">
        <f>'CTV y CResult'!J41*InvAT!K5</f>
        <v>438480042.1</v>
      </c>
      <c r="L17" s="124">
        <f>'CTV y CResult'!K41*InvAT!L5</f>
        <v>864960880</v>
      </c>
      <c r="M17" s="1"/>
      <c r="N17" s="1"/>
      <c r="O17" s="1"/>
      <c r="P17" s="1"/>
      <c r="Q17" s="1"/>
      <c r="R17" s="1"/>
      <c r="S17" s="1"/>
      <c r="T17" s="1"/>
      <c r="U17" s="1"/>
      <c r="V17" s="1"/>
      <c r="W17" s="1"/>
      <c r="X17" s="1"/>
      <c r="Y17" s="1"/>
      <c r="Z17" s="1"/>
    </row>
    <row r="18" ht="12.75" customHeight="1">
      <c r="A18" s="126" t="s">
        <v>135</v>
      </c>
      <c r="B18" s="124">
        <v>0.0</v>
      </c>
      <c r="C18" s="124">
        <f>('Inv AF'!E80-InvAT!C15-InvAT!C16)/'CTV y CResult'!B13*C5</f>
        <v>31606027.4</v>
      </c>
      <c r="D18" s="124">
        <f>('Inv AF'!F80-InvAT!D15-InvAT!D16)/'CTV y CResult'!C13*D5</f>
        <v>21070684.93</v>
      </c>
      <c r="E18" s="124">
        <f>('Inv AF'!G80-InvAT!E15-InvAT!E16)/'CTV y CResult'!D13*E5</f>
        <v>15803013.7</v>
      </c>
      <c r="F18" s="124">
        <f>('Inv AF'!H80-InvAT!F15-InvAT!F16)/'CTV y CResult'!E13*F5</f>
        <v>14047123.29</v>
      </c>
      <c r="G18" s="124">
        <f>('Inv AF'!I80-InvAT!G15-InvAT!G16)/'CTV y CResult'!F13*G5</f>
        <v>12291232.88</v>
      </c>
      <c r="H18" s="124">
        <f>('Inv AF'!J80-InvAT!H15-InvAT!H16)/'CTV y CResult'!G13*H5</f>
        <v>6558904.11</v>
      </c>
      <c r="I18" s="124">
        <f>('Inv AF'!K80-InvAT!I15-InvAT!I16)/'CTV y CResult'!H13*I5</f>
        <v>5465753.425</v>
      </c>
      <c r="J18" s="124">
        <f>('Inv AF'!L80-InvAT!J15-InvAT!J16)/'CTV y CResult'!I13*J5</f>
        <v>5465753.425</v>
      </c>
      <c r="K18" s="124">
        <f>('Inv AF'!M80-InvAT!K15-InvAT!K16)/'CTV y CResult'!J13*K5</f>
        <v>10931506.85</v>
      </c>
      <c r="L18" s="124">
        <f>('Inv AF'!N80-InvAT!L15-InvAT!L16)/'CTV y CResult'!K13*L5</f>
        <v>19676712.33</v>
      </c>
      <c r="M18" s="1"/>
      <c r="N18" s="1"/>
      <c r="O18" s="1"/>
      <c r="P18" s="1"/>
      <c r="Q18" s="1"/>
      <c r="R18" s="1"/>
      <c r="S18" s="1"/>
      <c r="T18" s="1"/>
      <c r="U18" s="1"/>
      <c r="V18" s="1"/>
      <c r="W18" s="1"/>
      <c r="X18" s="1"/>
      <c r="Y18" s="1"/>
      <c r="Z18" s="1"/>
    </row>
    <row r="19" ht="4.5" customHeight="1">
      <c r="A19" s="125"/>
      <c r="B19" s="108"/>
      <c r="C19" s="109"/>
      <c r="D19" s="109"/>
      <c r="E19" s="109"/>
      <c r="F19" s="109"/>
      <c r="G19" s="109"/>
      <c r="H19" s="109"/>
      <c r="I19" s="109"/>
      <c r="J19" s="109"/>
      <c r="K19" s="109"/>
      <c r="L19" s="109"/>
      <c r="M19" s="1"/>
      <c r="N19" s="1"/>
      <c r="O19" s="1"/>
      <c r="P19" s="1"/>
      <c r="Q19" s="1"/>
      <c r="R19" s="1"/>
      <c r="S19" s="1"/>
      <c r="T19" s="1"/>
      <c r="U19" s="1"/>
      <c r="V19" s="1"/>
      <c r="W19" s="1"/>
      <c r="X19" s="1"/>
      <c r="Y19" s="1"/>
      <c r="Z19" s="1"/>
    </row>
    <row r="20" ht="12.75" customHeight="1">
      <c r="A20" s="121" t="s">
        <v>136</v>
      </c>
      <c r="B20" s="124">
        <f t="shared" ref="B20:L20" si="4">+B13-B15-B16-B17-B18</f>
        <v>79464000</v>
      </c>
      <c r="C20" s="124">
        <f t="shared" si="4"/>
        <v>1807548784</v>
      </c>
      <c r="D20" s="124">
        <f t="shared" si="4"/>
        <v>1317952303</v>
      </c>
      <c r="E20" s="124">
        <f t="shared" si="4"/>
        <v>1030601870</v>
      </c>
      <c r="F20" s="124">
        <f t="shared" si="4"/>
        <v>946256633.8</v>
      </c>
      <c r="G20" s="124">
        <f t="shared" si="4"/>
        <v>859464287</v>
      </c>
      <c r="H20" s="124">
        <f t="shared" si="4"/>
        <v>768620414.9</v>
      </c>
      <c r="I20" s="124">
        <f t="shared" si="4"/>
        <v>670670685.1</v>
      </c>
      <c r="J20" s="124">
        <f t="shared" si="4"/>
        <v>688268017.7</v>
      </c>
      <c r="K20" s="124">
        <f t="shared" si="4"/>
        <v>1333641492</v>
      </c>
      <c r="L20" s="124">
        <f t="shared" si="4"/>
        <v>2406272983</v>
      </c>
      <c r="M20" s="1"/>
      <c r="N20" s="1"/>
      <c r="O20" s="1"/>
      <c r="P20" s="1"/>
      <c r="Q20" s="1"/>
      <c r="R20" s="1"/>
      <c r="S20" s="1"/>
      <c r="T20" s="1"/>
      <c r="U20" s="1"/>
      <c r="V20" s="1"/>
      <c r="W20" s="1"/>
      <c r="X20" s="1"/>
      <c r="Y20" s="1"/>
      <c r="Z20" s="1"/>
    </row>
    <row r="21" ht="4.5" customHeight="1">
      <c r="A21" s="125"/>
      <c r="B21" s="108"/>
      <c r="C21" s="108"/>
      <c r="D21" s="108"/>
      <c r="E21" s="108"/>
      <c r="F21" s="108"/>
      <c r="G21" s="108"/>
      <c r="H21" s="108"/>
      <c r="I21" s="108"/>
      <c r="J21" s="108"/>
      <c r="K21" s="108"/>
      <c r="L21" s="109"/>
      <c r="M21" s="1"/>
      <c r="N21" s="1"/>
      <c r="O21" s="1"/>
      <c r="P21" s="1"/>
      <c r="Q21" s="1"/>
      <c r="R21" s="1"/>
      <c r="S21" s="1"/>
      <c r="T21" s="1"/>
      <c r="U21" s="1"/>
      <c r="V21" s="1"/>
      <c r="W21" s="1"/>
      <c r="X21" s="1"/>
      <c r="Y21" s="1"/>
      <c r="Z21" s="1"/>
    </row>
    <row r="22" ht="12.75" customHeight="1">
      <c r="A22" s="121" t="s">
        <v>137</v>
      </c>
      <c r="B22" s="124">
        <f>+B13</f>
        <v>79464000</v>
      </c>
      <c r="C22" s="124">
        <f t="shared" ref="C22:L22" si="5">+C13-B13</f>
        <v>1959386301</v>
      </c>
      <c r="D22" s="124">
        <f t="shared" si="5"/>
        <v>-466717808.2</v>
      </c>
      <c r="E22" s="124">
        <f t="shared" si="5"/>
        <v>-326564383.6</v>
      </c>
      <c r="F22" s="124">
        <f t="shared" si="5"/>
        <v>-84920547.95</v>
      </c>
      <c r="G22" s="124">
        <f t="shared" si="5"/>
        <v>-90041095.89</v>
      </c>
      <c r="H22" s="124">
        <f t="shared" si="5"/>
        <v>-101547945.2</v>
      </c>
      <c r="I22" s="124">
        <f t="shared" si="5"/>
        <v>-112882191.8</v>
      </c>
      <c r="J22" s="124">
        <f t="shared" si="5"/>
        <v>36821917.81</v>
      </c>
      <c r="K22" s="124">
        <f t="shared" si="5"/>
        <v>890054794.5</v>
      </c>
      <c r="L22" s="134">
        <f t="shared" si="5"/>
        <v>1507857534</v>
      </c>
      <c r="M22" s="1"/>
      <c r="N22" s="1"/>
      <c r="O22" s="1"/>
      <c r="P22" s="1"/>
      <c r="Q22" s="1"/>
      <c r="R22" s="1"/>
      <c r="S22" s="1"/>
      <c r="T22" s="1"/>
      <c r="U22" s="1"/>
      <c r="V22" s="1"/>
      <c r="W22" s="1"/>
      <c r="X22" s="1"/>
      <c r="Y22" s="1"/>
      <c r="Z22" s="1"/>
    </row>
    <row r="23" ht="12.75" customHeight="1">
      <c r="A23" s="121" t="s">
        <v>138</v>
      </c>
      <c r="B23" s="124">
        <f>+B20</f>
        <v>79464000</v>
      </c>
      <c r="C23" s="124">
        <f t="shared" ref="C23:L23" si="6">+C20-B20</f>
        <v>1728084784</v>
      </c>
      <c r="D23" s="124">
        <f t="shared" si="6"/>
        <v>-489596480.5</v>
      </c>
      <c r="E23" s="124">
        <f t="shared" si="6"/>
        <v>-287350433</v>
      </c>
      <c r="F23" s="124">
        <f t="shared" si="6"/>
        <v>-84345236.45</v>
      </c>
      <c r="G23" s="124">
        <f t="shared" si="6"/>
        <v>-86792346.78</v>
      </c>
      <c r="H23" s="124">
        <f t="shared" si="6"/>
        <v>-90843872.07</v>
      </c>
      <c r="I23" s="124">
        <f t="shared" si="6"/>
        <v>-97949729.86</v>
      </c>
      <c r="J23" s="124">
        <f t="shared" si="6"/>
        <v>17597332.6</v>
      </c>
      <c r="K23" s="124">
        <f t="shared" si="6"/>
        <v>645373474.5</v>
      </c>
      <c r="L23" s="134">
        <f t="shared" si="6"/>
        <v>1072631491</v>
      </c>
      <c r="M23" s="1"/>
      <c r="N23" s="1"/>
      <c r="O23" s="1"/>
      <c r="P23" s="1"/>
      <c r="Q23" s="1"/>
      <c r="R23" s="1"/>
      <c r="S23" s="1"/>
      <c r="T23" s="1"/>
      <c r="U23" s="1"/>
      <c r="V23" s="1"/>
      <c r="W23" s="1"/>
      <c r="X23" s="1"/>
      <c r="Y23" s="1"/>
      <c r="Z23" s="1"/>
    </row>
    <row r="24" ht="5.25" customHeight="1">
      <c r="A24" s="125"/>
      <c r="B24" s="108"/>
      <c r="C24" s="108"/>
      <c r="D24" s="108"/>
      <c r="E24" s="108"/>
      <c r="F24" s="108"/>
      <c r="G24" s="108"/>
      <c r="H24" s="108"/>
      <c r="I24" s="108"/>
      <c r="J24" s="108"/>
      <c r="K24" s="108"/>
      <c r="L24" s="109"/>
      <c r="M24" s="1"/>
      <c r="N24" s="1"/>
      <c r="O24" s="1"/>
      <c r="P24" s="1"/>
      <c r="Q24" s="1"/>
      <c r="R24" s="1"/>
      <c r="S24" s="1"/>
      <c r="T24" s="1"/>
      <c r="U24" s="1"/>
      <c r="V24" s="1"/>
      <c r="W24" s="1"/>
      <c r="X24" s="1"/>
      <c r="Y24" s="1"/>
      <c r="Z24" s="1"/>
    </row>
    <row r="25" ht="12.75" customHeight="1">
      <c r="A25" s="121" t="s">
        <v>139</v>
      </c>
      <c r="B25" s="108"/>
      <c r="C25" s="108"/>
      <c r="D25" s="108"/>
      <c r="E25" s="108"/>
      <c r="F25" s="108"/>
      <c r="G25" s="108"/>
      <c r="H25" s="108"/>
      <c r="I25" s="108"/>
      <c r="J25" s="108"/>
      <c r="K25" s="108"/>
      <c r="L25" s="109"/>
      <c r="M25" s="1"/>
      <c r="N25" s="1"/>
      <c r="O25" s="1"/>
      <c r="P25" s="1"/>
      <c r="Q25" s="1"/>
      <c r="R25" s="1"/>
      <c r="S25" s="1"/>
      <c r="T25" s="1"/>
      <c r="U25" s="1"/>
      <c r="V25" s="1"/>
      <c r="W25" s="1"/>
      <c r="X25" s="1"/>
      <c r="Y25" s="1"/>
      <c r="Z25" s="1"/>
    </row>
    <row r="26" ht="12.75" customHeight="1">
      <c r="A26" s="126" t="s">
        <v>140</v>
      </c>
      <c r="B26" s="124"/>
      <c r="C26" s="124"/>
      <c r="D26" s="124"/>
      <c r="E26" s="124"/>
      <c r="F26" s="124"/>
      <c r="G26" s="124"/>
      <c r="H26" s="124"/>
      <c r="I26" s="124"/>
      <c r="J26" s="124"/>
      <c r="K26" s="124"/>
      <c r="L26" s="134"/>
      <c r="M26" s="1"/>
      <c r="N26" s="1"/>
      <c r="O26" s="1"/>
      <c r="P26" s="1"/>
      <c r="Q26" s="1"/>
      <c r="R26" s="1"/>
      <c r="S26" s="1"/>
      <c r="T26" s="1"/>
      <c r="U26" s="1"/>
      <c r="V26" s="1"/>
      <c r="W26" s="1"/>
      <c r="X26" s="1"/>
      <c r="Y26" s="1"/>
      <c r="Z26" s="1"/>
    </row>
    <row r="27" ht="12.75" customHeight="1">
      <c r="A27" s="126" t="s">
        <v>141</v>
      </c>
      <c r="B27" s="124"/>
      <c r="C27" s="124"/>
      <c r="D27" s="124"/>
      <c r="E27" s="124"/>
      <c r="F27" s="124"/>
      <c r="G27" s="124"/>
      <c r="H27" s="124"/>
      <c r="I27" s="124"/>
      <c r="J27" s="124"/>
      <c r="K27" s="124"/>
      <c r="L27" s="134"/>
      <c r="M27" s="1"/>
      <c r="N27" s="1"/>
      <c r="O27" s="1"/>
      <c r="P27" s="1"/>
      <c r="Q27" s="1"/>
      <c r="R27" s="1"/>
      <c r="S27" s="1"/>
      <c r="T27" s="1"/>
      <c r="U27" s="1"/>
      <c r="V27" s="1"/>
      <c r="W27" s="1"/>
      <c r="X27" s="1"/>
      <c r="Y27" s="1"/>
      <c r="Z27" s="1"/>
    </row>
    <row r="28" ht="12.75" customHeight="1">
      <c r="A28" s="126" t="s">
        <v>142</v>
      </c>
      <c r="B28" s="124">
        <f>+B8*'DATOS Iniciales y ACLARACIONES'!$B$15</f>
        <v>0</v>
      </c>
      <c r="C28" s="124">
        <f>(+C8-B8)*'DATOS Iniciales y ACLARACIONES'!$B$15</f>
        <v>0</v>
      </c>
      <c r="D28" s="124">
        <f>(+D8-C8)*'DATOS Iniciales y ACLARACIONES'!$B$15</f>
        <v>0</v>
      </c>
      <c r="E28" s="124">
        <f>(+E8-D8)*'DATOS Iniciales y ACLARACIONES'!$B$15</f>
        <v>0</v>
      </c>
      <c r="F28" s="124">
        <f>(+F8-E8)*'DATOS Iniciales y ACLARACIONES'!$B$15</f>
        <v>0</v>
      </c>
      <c r="G28" s="124">
        <f>(+G8-F8)*'DATOS Iniciales y ACLARACIONES'!$B$15</f>
        <v>0</v>
      </c>
      <c r="H28" s="124">
        <f>(+H8-G8)*'DATOS Iniciales y ACLARACIONES'!$B$15</f>
        <v>0</v>
      </c>
      <c r="I28" s="124">
        <f>(+I8-H8)*'DATOS Iniciales y ACLARACIONES'!$B$15</f>
        <v>0</v>
      </c>
      <c r="J28" s="124">
        <f>(+J8-I8)*'DATOS Iniciales y ACLARACIONES'!$B$15</f>
        <v>0</v>
      </c>
      <c r="K28" s="124">
        <f>(+K8-J8)*'DATOS Iniciales y ACLARACIONES'!$B$15</f>
        <v>0</v>
      </c>
      <c r="L28" s="124">
        <f>(+L8-K8)*'DATOS Iniciales y ACLARACIONES'!$B$15</f>
        <v>0</v>
      </c>
      <c r="M28" s="1"/>
      <c r="N28" s="1"/>
      <c r="O28" s="1"/>
      <c r="P28" s="1"/>
      <c r="Q28" s="1"/>
      <c r="R28" s="1"/>
      <c r="S28" s="1"/>
      <c r="T28" s="1"/>
      <c r="U28" s="1"/>
      <c r="V28" s="1"/>
      <c r="W28" s="1"/>
      <c r="X28" s="1"/>
      <c r="Y28" s="1"/>
      <c r="Z28" s="1"/>
    </row>
    <row r="29" ht="12.75" customHeight="1">
      <c r="A29" s="126" t="s">
        <v>143</v>
      </c>
      <c r="B29" s="124">
        <f>+B9*'DATOS Iniciales y ACLARACIONES'!B15</f>
        <v>0</v>
      </c>
      <c r="C29" s="124">
        <f>(+C9-B9)*'DATOS Iniciales y ACLARACIONES'!$B$15</f>
        <v>0</v>
      </c>
      <c r="D29" s="124">
        <f>(+D9-C9)*'DATOS Iniciales y ACLARACIONES'!$B$15</f>
        <v>0</v>
      </c>
      <c r="E29" s="124">
        <f>(+E9-D9)*'DATOS Iniciales y ACLARACIONES'!$B$15</f>
        <v>0</v>
      </c>
      <c r="F29" s="124">
        <f>(+F9-E9)*'DATOS Iniciales y ACLARACIONES'!$B$15</f>
        <v>0</v>
      </c>
      <c r="G29" s="124">
        <f>(+G9-F9)*'DATOS Iniciales y ACLARACIONES'!$B$15</f>
        <v>0</v>
      </c>
      <c r="H29" s="124">
        <f>(+H9-G9)*'DATOS Iniciales y ACLARACIONES'!$B$15</f>
        <v>0</v>
      </c>
      <c r="I29" s="124">
        <f>(+I9-H9)*'DATOS Iniciales y ACLARACIONES'!$B$15</f>
        <v>0</v>
      </c>
      <c r="J29" s="124">
        <f>(+J9-I9)*'DATOS Iniciales y ACLARACIONES'!$B$15</f>
        <v>0</v>
      </c>
      <c r="K29" s="124">
        <f>(+K9-J9)*'DATOS Iniciales y ACLARACIONES'!$B$15</f>
        <v>0</v>
      </c>
      <c r="L29" s="124">
        <f>(+L9-K9)*'DATOS Iniciales y ACLARACIONES'!$B$15</f>
        <v>0</v>
      </c>
      <c r="M29" s="1"/>
      <c r="N29" s="1"/>
      <c r="O29" s="1"/>
      <c r="P29" s="1"/>
      <c r="Q29" s="1"/>
      <c r="R29" s="1"/>
      <c r="S29" s="1"/>
      <c r="T29" s="1"/>
      <c r="U29" s="1"/>
      <c r="V29" s="1"/>
      <c r="W29" s="1"/>
      <c r="X29" s="1"/>
      <c r="Y29" s="1"/>
      <c r="Z29" s="1"/>
    </row>
    <row r="30" ht="12.75" customHeight="1">
      <c r="A30" s="126" t="s">
        <v>144</v>
      </c>
      <c r="B30" s="124">
        <v>0.0</v>
      </c>
      <c r="C30" s="124">
        <f>IVA!D5/'CTV y CResult'!B22*C10</f>
        <v>0</v>
      </c>
      <c r="D30" s="124">
        <f>IVA!E5/'CTV y CResult'!C22*D10-(IVA!D5/'CTV y CResult'!B22*C10)</f>
        <v>0</v>
      </c>
      <c r="E30" s="124">
        <f>IVA!F5/'CTV y CResult'!D22*E10-(IVA!E5/'CTV y CResult'!C22*D10)</f>
        <v>0</v>
      </c>
      <c r="F30" s="124">
        <f>IVA!G5/'CTV y CResult'!E22*F10-(IVA!F5/'CTV y CResult'!D22*E10)</f>
        <v>0</v>
      </c>
      <c r="G30" s="124">
        <f>IVA!H5/'CTV y CResult'!F22*G10-(IVA!G5/'CTV y CResult'!E22*F10)</f>
        <v>0</v>
      </c>
      <c r="H30" s="124">
        <f>IVA!I5/'CTV y CResult'!G22*H10-(IVA!H5/'CTV y CResult'!F22*G10)</f>
        <v>0</v>
      </c>
      <c r="I30" s="124">
        <f>IVA!J5/'CTV y CResult'!H22*I10-(IVA!I5/'CTV y CResult'!G22*H10)</f>
        <v>0</v>
      </c>
      <c r="J30" s="124">
        <f>IVA!K5/'CTV y CResult'!I22*J10-(IVA!J5/'CTV y CResult'!H22*I10)</f>
        <v>0</v>
      </c>
      <c r="K30" s="124">
        <f>IVA!L5/'CTV y CResult'!J22*K10-(IVA!K5/'CTV y CResult'!I22*J10)</f>
        <v>0</v>
      </c>
      <c r="L30" s="124">
        <f>IVA!M5/'CTV y CResult'!K22*L10-(IVA!L5/'CTV y CResult'!J22*K10)</f>
        <v>0</v>
      </c>
      <c r="M30" s="1"/>
      <c r="N30" s="1"/>
      <c r="O30" s="1"/>
      <c r="P30" s="1"/>
      <c r="Q30" s="1"/>
      <c r="R30" s="1"/>
      <c r="S30" s="1"/>
      <c r="T30" s="1"/>
      <c r="U30" s="1"/>
      <c r="V30" s="1"/>
      <c r="W30" s="1"/>
      <c r="X30" s="1"/>
      <c r="Y30" s="1"/>
      <c r="Z30" s="1"/>
    </row>
    <row r="31" ht="12.75" customHeight="1">
      <c r="A31" s="126" t="s">
        <v>145</v>
      </c>
      <c r="B31" s="124">
        <v>0.0</v>
      </c>
      <c r="C31" s="124">
        <f>IVA!D5/'CTV y CResult'!B22*C11</f>
        <v>0</v>
      </c>
      <c r="D31" s="124">
        <f>IVA!E5/'CTV y CResult'!C22*D11-(IVA!D5/'CTV y CResult'!B22*C11)</f>
        <v>0</v>
      </c>
      <c r="E31" s="124">
        <f>IVA!F5/'CTV y CResult'!D22*E11-(IVA!E5/'CTV y CResult'!C22*D11)</f>
        <v>0</v>
      </c>
      <c r="F31" s="124">
        <f>IVA!G5/'CTV y CResult'!E22*F11-(IVA!F5/'CTV y CResult'!D22*E11)</f>
        <v>0</v>
      </c>
      <c r="G31" s="124">
        <f>IVA!H5/'CTV y CResult'!F22*G11-(IVA!G5/'CTV y CResult'!E22*F11)</f>
        <v>0</v>
      </c>
      <c r="H31" s="124">
        <f>IVA!I5/'CTV y CResult'!G22*H11-(IVA!H5/'CTV y CResult'!F22*G11)</f>
        <v>0</v>
      </c>
      <c r="I31" s="124">
        <f>IVA!J5/'CTV y CResult'!H22*I11-(IVA!I5/'CTV y CResult'!G22*H11)</f>
        <v>0</v>
      </c>
      <c r="J31" s="124">
        <f>IVA!K5/'CTV y CResult'!I22*J11-(IVA!J5/'CTV y CResult'!H22*I11)</f>
        <v>0</v>
      </c>
      <c r="K31" s="124">
        <f>IVA!L5/'CTV y CResult'!J22*K11-(IVA!K5/'CTV y CResult'!I22*J11)</f>
        <v>0</v>
      </c>
      <c r="L31" s="124">
        <f>IVA!M5/'CTV y CResult'!K22*L11-(IVA!L5/'CTV y CResult'!J22*K11)</f>
        <v>0</v>
      </c>
      <c r="M31" s="1"/>
      <c r="N31" s="1"/>
      <c r="O31" s="1"/>
      <c r="P31" s="1"/>
      <c r="Q31" s="1"/>
      <c r="R31" s="1"/>
      <c r="S31" s="1"/>
      <c r="T31" s="1"/>
      <c r="U31" s="1"/>
      <c r="V31" s="1"/>
      <c r="W31" s="1"/>
      <c r="X31" s="1"/>
      <c r="Y31" s="1"/>
      <c r="Z31" s="1"/>
    </row>
    <row r="32" ht="12.75" customHeight="1">
      <c r="A32" s="121" t="s">
        <v>146</v>
      </c>
      <c r="B32" s="124">
        <f t="shared" ref="B32:L32" si="7">SUM(B26:B31)</f>
        <v>0</v>
      </c>
      <c r="C32" s="124">
        <f t="shared" si="7"/>
        <v>0</v>
      </c>
      <c r="D32" s="124">
        <f t="shared" si="7"/>
        <v>0</v>
      </c>
      <c r="E32" s="124">
        <f t="shared" si="7"/>
        <v>0</v>
      </c>
      <c r="F32" s="124">
        <f t="shared" si="7"/>
        <v>0</v>
      </c>
      <c r="G32" s="124">
        <f t="shared" si="7"/>
        <v>0</v>
      </c>
      <c r="H32" s="124">
        <f t="shared" si="7"/>
        <v>0</v>
      </c>
      <c r="I32" s="124">
        <f t="shared" si="7"/>
        <v>0</v>
      </c>
      <c r="J32" s="124">
        <f t="shared" si="7"/>
        <v>0</v>
      </c>
      <c r="K32" s="124">
        <f t="shared" si="7"/>
        <v>0</v>
      </c>
      <c r="L32" s="134">
        <f t="shared" si="7"/>
        <v>0</v>
      </c>
      <c r="M32" s="1"/>
      <c r="N32" s="1"/>
      <c r="O32" s="1"/>
      <c r="P32" s="1"/>
      <c r="Q32" s="1"/>
      <c r="R32" s="1"/>
      <c r="S32" s="1"/>
      <c r="T32" s="1"/>
      <c r="U32" s="1"/>
      <c r="V32" s="1"/>
      <c r="W32" s="1"/>
      <c r="X32" s="1"/>
      <c r="Y32" s="1"/>
      <c r="Z32" s="1"/>
    </row>
    <row r="33" ht="3.0" customHeight="1">
      <c r="A33" s="125"/>
      <c r="B33" s="135"/>
      <c r="C33" s="135"/>
      <c r="D33" s="135"/>
      <c r="E33" s="135"/>
      <c r="F33" s="135"/>
      <c r="G33" s="135"/>
      <c r="H33" s="74"/>
      <c r="I33" s="74"/>
      <c r="J33" s="74"/>
      <c r="K33" s="74"/>
      <c r="L33" s="136"/>
      <c r="M33" s="1"/>
      <c r="N33" s="1"/>
      <c r="O33" s="1"/>
      <c r="P33" s="1"/>
      <c r="Q33" s="1"/>
      <c r="R33" s="1"/>
      <c r="S33" s="1"/>
      <c r="T33" s="1"/>
      <c r="U33" s="1"/>
      <c r="V33" s="1"/>
      <c r="W33" s="1"/>
      <c r="X33" s="1"/>
      <c r="Y33" s="1"/>
      <c r="Z33" s="1"/>
    </row>
    <row r="34" ht="12.75" customHeight="1">
      <c r="A34" s="137" t="s">
        <v>147</v>
      </c>
      <c r="B34" s="138">
        <f t="shared" ref="B34:L34" si="8">+B23+B32</f>
        <v>79464000</v>
      </c>
      <c r="C34" s="138">
        <f t="shared" si="8"/>
        <v>1728084784</v>
      </c>
      <c r="D34" s="138">
        <f t="shared" si="8"/>
        <v>-489596480.5</v>
      </c>
      <c r="E34" s="138">
        <f t="shared" si="8"/>
        <v>-287350433</v>
      </c>
      <c r="F34" s="138">
        <f t="shared" si="8"/>
        <v>-84345236.45</v>
      </c>
      <c r="G34" s="138">
        <f t="shared" si="8"/>
        <v>-86792346.78</v>
      </c>
      <c r="H34" s="138">
        <f t="shared" si="8"/>
        <v>-90843872.07</v>
      </c>
      <c r="I34" s="138">
        <f t="shared" si="8"/>
        <v>-97949729.86</v>
      </c>
      <c r="J34" s="138">
        <f t="shared" si="8"/>
        <v>17597332.6</v>
      </c>
      <c r="K34" s="138">
        <f t="shared" si="8"/>
        <v>645373474.5</v>
      </c>
      <c r="L34" s="139">
        <f t="shared" si="8"/>
        <v>1072631491</v>
      </c>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26" right="0.46" top="0.6"/>
  <pageSetup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0"/>
    <col customWidth="1" min="2" max="11" width="15.75"/>
    <col customWidth="1" min="12" max="12" width="17.5"/>
    <col customWidth="1" min="13" max="26" width="10.63"/>
  </cols>
  <sheetData>
    <row r="1" ht="12.75" customHeight="1">
      <c r="A1" s="140" t="s">
        <v>148</v>
      </c>
      <c r="B1" s="141"/>
      <c r="C1" s="141"/>
      <c r="D1" s="141"/>
      <c r="E1" s="141"/>
      <c r="F1" s="141"/>
      <c r="G1" s="141"/>
      <c r="H1" s="141"/>
      <c r="I1" s="141"/>
      <c r="J1" s="141"/>
      <c r="K1" s="142"/>
      <c r="L1" s="1"/>
      <c r="M1" s="1"/>
      <c r="N1" s="1"/>
      <c r="O1" s="1"/>
      <c r="P1" s="1"/>
      <c r="Q1" s="1"/>
      <c r="R1" s="1"/>
      <c r="S1" s="1"/>
      <c r="T1" s="1"/>
      <c r="U1" s="1"/>
      <c r="V1" s="1"/>
      <c r="W1" s="1"/>
      <c r="X1" s="1"/>
      <c r="Y1" s="1"/>
      <c r="Z1" s="1"/>
    </row>
    <row r="2" ht="12.75" customHeight="1">
      <c r="A2" s="119"/>
      <c r="B2" s="143" t="s">
        <v>149</v>
      </c>
      <c r="C2" s="144"/>
      <c r="D2" s="144"/>
      <c r="E2" s="144"/>
      <c r="F2" s="144"/>
      <c r="G2" s="144"/>
      <c r="H2" s="144"/>
      <c r="I2" s="144"/>
      <c r="J2" s="144"/>
      <c r="K2" s="145"/>
      <c r="L2" s="1"/>
      <c r="M2" s="1"/>
      <c r="N2" s="1"/>
      <c r="O2" s="1"/>
      <c r="P2" s="1"/>
      <c r="Q2" s="1"/>
      <c r="R2" s="1"/>
      <c r="S2" s="1"/>
      <c r="T2" s="1"/>
      <c r="U2" s="1"/>
      <c r="V2" s="1"/>
      <c r="W2" s="1"/>
      <c r="X2" s="1"/>
      <c r="Y2" s="1"/>
      <c r="Z2" s="1"/>
    </row>
    <row r="3" ht="12.75" customHeight="1">
      <c r="A3" s="119" t="s">
        <v>121</v>
      </c>
      <c r="B3" s="25" t="s">
        <v>43</v>
      </c>
      <c r="C3" s="25" t="s">
        <v>44</v>
      </c>
      <c r="D3" s="25" t="s">
        <v>45</v>
      </c>
      <c r="E3" s="25" t="s">
        <v>46</v>
      </c>
      <c r="F3" s="25" t="s">
        <v>47</v>
      </c>
      <c r="G3" s="25" t="s">
        <v>48</v>
      </c>
      <c r="H3" s="25" t="s">
        <v>49</v>
      </c>
      <c r="I3" s="25" t="s">
        <v>50</v>
      </c>
      <c r="J3" s="25" t="s">
        <v>51</v>
      </c>
      <c r="K3" s="120" t="s">
        <v>52</v>
      </c>
      <c r="L3" s="120" t="s">
        <v>150</v>
      </c>
      <c r="M3" s="1"/>
      <c r="N3" s="1"/>
      <c r="O3" s="1"/>
      <c r="P3" s="1"/>
      <c r="Q3" s="1"/>
      <c r="R3" s="1"/>
      <c r="S3" s="1"/>
      <c r="T3" s="1"/>
      <c r="U3" s="1"/>
      <c r="V3" s="1"/>
      <c r="W3" s="1"/>
      <c r="X3" s="1"/>
      <c r="Y3" s="1"/>
      <c r="Z3" s="1"/>
    </row>
    <row r="4" ht="12.75" customHeight="1">
      <c r="A4" s="146" t="s">
        <v>151</v>
      </c>
      <c r="B4" s="127">
        <v>1.004E9</v>
      </c>
      <c r="C4" s="128">
        <v>1.004E9</v>
      </c>
      <c r="D4" s="128">
        <v>1.004E9</v>
      </c>
      <c r="E4" s="128">
        <v>1.004E9</v>
      </c>
      <c r="F4" s="128">
        <v>1.004E9</v>
      </c>
      <c r="G4" s="128">
        <v>1.004E9</v>
      </c>
      <c r="H4" s="128">
        <v>1.004E9</v>
      </c>
      <c r="I4" s="128">
        <v>1.004E9</v>
      </c>
      <c r="J4" s="128">
        <v>1.004E9</v>
      </c>
      <c r="K4" s="147">
        <v>1.004E9</v>
      </c>
      <c r="L4" s="148" t="s">
        <v>152</v>
      </c>
      <c r="M4" s="1"/>
      <c r="N4" s="1"/>
      <c r="O4" s="1"/>
      <c r="P4" s="1"/>
      <c r="Q4" s="1"/>
      <c r="R4" s="1"/>
      <c r="S4" s="1"/>
      <c r="T4" s="1"/>
      <c r="U4" s="1"/>
      <c r="V4" s="1"/>
      <c r="W4" s="1"/>
      <c r="X4" s="1"/>
      <c r="Y4" s="1"/>
      <c r="Z4" s="1"/>
    </row>
    <row r="5" ht="12.75" customHeight="1">
      <c r="A5" s="29" t="s">
        <v>153</v>
      </c>
      <c r="B5" s="149">
        <v>8.5E8</v>
      </c>
      <c r="C5" s="150">
        <f t="shared" ref="C5:K5" si="1">B5</f>
        <v>850000000</v>
      </c>
      <c r="D5" s="150">
        <f t="shared" si="1"/>
        <v>850000000</v>
      </c>
      <c r="E5" s="150">
        <f t="shared" si="1"/>
        <v>850000000</v>
      </c>
      <c r="F5" s="150">
        <f t="shared" si="1"/>
        <v>850000000</v>
      </c>
      <c r="G5" s="150">
        <f t="shared" si="1"/>
        <v>850000000</v>
      </c>
      <c r="H5" s="150">
        <f t="shared" si="1"/>
        <v>850000000</v>
      </c>
      <c r="I5" s="150">
        <f t="shared" si="1"/>
        <v>850000000</v>
      </c>
      <c r="J5" s="150">
        <f t="shared" si="1"/>
        <v>850000000</v>
      </c>
      <c r="K5" s="150">
        <f t="shared" si="1"/>
        <v>850000000</v>
      </c>
      <c r="L5" s="17" t="s">
        <v>152</v>
      </c>
      <c r="M5" s="1"/>
      <c r="N5" s="1"/>
      <c r="O5" s="1"/>
      <c r="P5" s="1"/>
      <c r="Q5" s="1"/>
      <c r="R5" s="1"/>
      <c r="S5" s="1"/>
      <c r="T5" s="1"/>
      <c r="U5" s="1"/>
      <c r="V5" s="1"/>
      <c r="W5" s="1"/>
      <c r="X5" s="1"/>
      <c r="Y5" s="1"/>
      <c r="Z5" s="1"/>
    </row>
    <row r="6" ht="12.75" customHeight="1">
      <c r="A6" s="29" t="s">
        <v>154</v>
      </c>
      <c r="B6" s="151">
        <f>'Inv AF'!E81</f>
        <v>25636000</v>
      </c>
      <c r="C6" s="151">
        <f>'Inv AF'!F81</f>
        <v>25636000</v>
      </c>
      <c r="D6" s="151">
        <f>'Inv AF'!G81</f>
        <v>25636000</v>
      </c>
      <c r="E6" s="151">
        <f>'Inv AF'!H81</f>
        <v>25636000</v>
      </c>
      <c r="F6" s="151">
        <f>'Inv AF'!I81</f>
        <v>25636000</v>
      </c>
      <c r="G6" s="151">
        <f>'Inv AF'!J81</f>
        <v>15960000</v>
      </c>
      <c r="H6" s="151">
        <f>'Inv AF'!K81</f>
        <v>15960000</v>
      </c>
      <c r="I6" s="151">
        <f>'Inv AF'!L81</f>
        <v>15960000</v>
      </c>
      <c r="J6" s="151">
        <f>'Inv AF'!M81</f>
        <v>15960000</v>
      </c>
      <c r="K6" s="151">
        <f>'Inv AF'!N81</f>
        <v>15960000</v>
      </c>
      <c r="L6" s="17" t="s">
        <v>152</v>
      </c>
      <c r="M6" s="1"/>
      <c r="N6" s="1"/>
      <c r="O6" s="1"/>
      <c r="P6" s="1"/>
      <c r="Q6" s="1"/>
      <c r="R6" s="1"/>
      <c r="S6" s="1"/>
      <c r="T6" s="1"/>
      <c r="U6" s="1"/>
      <c r="V6" s="1"/>
      <c r="W6" s="1"/>
      <c r="X6" s="1"/>
      <c r="Y6" s="1"/>
      <c r="Z6" s="1"/>
    </row>
    <row r="7" ht="12.75" customHeight="1">
      <c r="A7" s="29" t="s">
        <v>155</v>
      </c>
      <c r="B7" s="149"/>
      <c r="C7" s="150"/>
      <c r="D7" s="150"/>
      <c r="E7" s="150"/>
      <c r="F7" s="150"/>
      <c r="G7" s="150"/>
      <c r="H7" s="150"/>
      <c r="I7" s="150"/>
      <c r="J7" s="150"/>
      <c r="K7" s="150"/>
      <c r="L7" s="17" t="s">
        <v>22</v>
      </c>
      <c r="M7" s="1"/>
      <c r="N7" s="1"/>
      <c r="O7" s="1"/>
      <c r="P7" s="1"/>
      <c r="Q7" s="1"/>
      <c r="R7" s="1"/>
      <c r="S7" s="1"/>
      <c r="T7" s="1"/>
      <c r="U7" s="1"/>
      <c r="V7" s="1"/>
      <c r="W7" s="1"/>
      <c r="X7" s="1"/>
      <c r="Y7" s="1"/>
      <c r="Z7" s="1"/>
    </row>
    <row r="8" ht="12.75" customHeight="1">
      <c r="A8" s="29" t="s">
        <v>156</v>
      </c>
      <c r="B8" s="149"/>
      <c r="C8" s="150"/>
      <c r="D8" s="150"/>
      <c r="E8" s="150"/>
      <c r="F8" s="150"/>
      <c r="G8" s="150"/>
      <c r="H8" s="150"/>
      <c r="I8" s="150"/>
      <c r="J8" s="150"/>
      <c r="K8" s="150"/>
      <c r="L8" s="17" t="s">
        <v>152</v>
      </c>
      <c r="M8" s="1"/>
      <c r="N8" s="1"/>
      <c r="O8" s="1"/>
      <c r="P8" s="1"/>
      <c r="Q8" s="1"/>
      <c r="R8" s="1"/>
      <c r="S8" s="1"/>
      <c r="T8" s="1"/>
      <c r="U8" s="1"/>
      <c r="V8" s="1"/>
      <c r="W8" s="1"/>
      <c r="X8" s="1"/>
      <c r="Y8" s="1"/>
      <c r="Z8" s="1"/>
    </row>
    <row r="9" ht="12.75" customHeight="1">
      <c r="A9" s="29" t="s">
        <v>157</v>
      </c>
      <c r="B9" s="149"/>
      <c r="C9" s="150"/>
      <c r="D9" s="150"/>
      <c r="E9" s="150"/>
      <c r="F9" s="150"/>
      <c r="G9" s="150"/>
      <c r="H9" s="150"/>
      <c r="I9" s="150"/>
      <c r="J9" s="150"/>
      <c r="K9" s="150"/>
      <c r="L9" s="17" t="s">
        <v>152</v>
      </c>
      <c r="M9" s="1"/>
      <c r="N9" s="1"/>
      <c r="O9" s="1"/>
      <c r="P9" s="1"/>
      <c r="Q9" s="1"/>
      <c r="R9" s="1"/>
      <c r="S9" s="1"/>
      <c r="T9" s="1"/>
      <c r="U9" s="1"/>
      <c r="V9" s="1"/>
      <c r="W9" s="1"/>
      <c r="X9" s="1"/>
      <c r="Y9" s="1"/>
      <c r="Z9" s="1"/>
    </row>
    <row r="10" ht="12.75" customHeight="1">
      <c r="A10" s="29" t="s">
        <v>158</v>
      </c>
      <c r="B10" s="149"/>
      <c r="C10" s="150"/>
      <c r="D10" s="150"/>
      <c r="E10" s="150"/>
      <c r="F10" s="150"/>
      <c r="G10" s="150"/>
      <c r="H10" s="150"/>
      <c r="I10" s="150"/>
      <c r="J10" s="150"/>
      <c r="K10" s="150"/>
      <c r="L10" s="17" t="s">
        <v>152</v>
      </c>
      <c r="M10" s="1"/>
      <c r="N10" s="1"/>
      <c r="O10" s="1"/>
      <c r="P10" s="1"/>
      <c r="Q10" s="1"/>
      <c r="R10" s="1"/>
      <c r="S10" s="1"/>
      <c r="T10" s="1"/>
      <c r="U10" s="1"/>
      <c r="V10" s="1"/>
      <c r="W10" s="1"/>
      <c r="X10" s="1"/>
      <c r="Y10" s="1"/>
      <c r="Z10" s="1"/>
    </row>
    <row r="11" ht="12.75" customHeight="1">
      <c r="A11" s="29" t="s">
        <v>159</v>
      </c>
      <c r="B11" s="149"/>
      <c r="C11" s="150"/>
      <c r="D11" s="150"/>
      <c r="E11" s="150"/>
      <c r="F11" s="150"/>
      <c r="G11" s="150"/>
      <c r="H11" s="150"/>
      <c r="I11" s="150"/>
      <c r="J11" s="150"/>
      <c r="K11" s="150"/>
      <c r="L11" s="17" t="s">
        <v>152</v>
      </c>
      <c r="M11" s="1"/>
      <c r="N11" s="1"/>
      <c r="O11" s="1"/>
      <c r="P11" s="1"/>
      <c r="Q11" s="1"/>
      <c r="R11" s="1"/>
      <c r="S11" s="1"/>
      <c r="T11" s="1"/>
      <c r="U11" s="1"/>
      <c r="V11" s="1"/>
      <c r="W11" s="1"/>
      <c r="X11" s="1"/>
      <c r="Y11" s="1"/>
      <c r="Z11" s="1"/>
    </row>
    <row r="12" ht="12.75" customHeight="1">
      <c r="A12" s="29" t="s">
        <v>160</v>
      </c>
      <c r="B12" s="149"/>
      <c r="C12" s="150"/>
      <c r="D12" s="150"/>
      <c r="E12" s="150"/>
      <c r="F12" s="150"/>
      <c r="G12" s="150"/>
      <c r="H12" s="150"/>
      <c r="I12" s="150"/>
      <c r="J12" s="150"/>
      <c r="K12" s="150"/>
      <c r="L12" s="17" t="s">
        <v>152</v>
      </c>
      <c r="M12" s="1"/>
      <c r="N12" s="1"/>
      <c r="O12" s="1"/>
      <c r="P12" s="1"/>
      <c r="Q12" s="1"/>
      <c r="R12" s="1"/>
      <c r="S12" s="1"/>
      <c r="T12" s="1"/>
      <c r="U12" s="1"/>
      <c r="V12" s="1"/>
      <c r="W12" s="1"/>
      <c r="X12" s="1"/>
      <c r="Y12" s="1"/>
      <c r="Z12" s="1"/>
    </row>
    <row r="13" ht="12.75" customHeight="1">
      <c r="A13" s="29" t="s">
        <v>161</v>
      </c>
      <c r="B13" s="149"/>
      <c r="C13" s="152"/>
      <c r="D13" s="152"/>
      <c r="E13" s="152"/>
      <c r="F13" s="152"/>
      <c r="G13" s="152"/>
      <c r="H13" s="152"/>
      <c r="I13" s="152"/>
      <c r="J13" s="152"/>
      <c r="K13" s="152"/>
      <c r="L13" s="153" t="s">
        <v>152</v>
      </c>
      <c r="M13" s="1"/>
      <c r="N13" s="1"/>
      <c r="O13" s="1"/>
      <c r="P13" s="1"/>
      <c r="Q13" s="1"/>
      <c r="R13" s="1"/>
      <c r="S13" s="1"/>
      <c r="T13" s="1"/>
      <c r="U13" s="1"/>
      <c r="V13" s="1"/>
      <c r="W13" s="1"/>
      <c r="X13" s="1"/>
      <c r="Y13" s="1"/>
      <c r="Z13" s="1"/>
    </row>
    <row r="14" ht="12.75" customHeight="1">
      <c r="A14" s="29" t="s">
        <v>162</v>
      </c>
      <c r="B14" s="149"/>
      <c r="C14" s="152"/>
      <c r="D14" s="152"/>
      <c r="E14" s="152"/>
      <c r="F14" s="152"/>
      <c r="G14" s="152"/>
      <c r="H14" s="152"/>
      <c r="I14" s="152"/>
      <c r="J14" s="152"/>
      <c r="K14" s="152"/>
      <c r="L14" s="153" t="s">
        <v>152</v>
      </c>
      <c r="M14" s="1"/>
      <c r="N14" s="1"/>
      <c r="O14" s="1"/>
      <c r="P14" s="1"/>
      <c r="Q14" s="1"/>
      <c r="R14" s="1"/>
      <c r="S14" s="1"/>
      <c r="T14" s="1"/>
      <c r="U14" s="1"/>
      <c r="V14" s="1"/>
      <c r="W14" s="1"/>
      <c r="X14" s="1"/>
      <c r="Y14" s="1"/>
      <c r="Z14" s="1"/>
    </row>
    <row r="15" ht="12.75" customHeight="1">
      <c r="A15" s="29" t="s">
        <v>163</v>
      </c>
      <c r="B15" s="149"/>
      <c r="C15" s="152"/>
      <c r="D15" s="152"/>
      <c r="E15" s="152"/>
      <c r="F15" s="152"/>
      <c r="G15" s="152"/>
      <c r="H15" s="152"/>
      <c r="I15" s="152"/>
      <c r="J15" s="152"/>
      <c r="K15" s="152"/>
      <c r="L15" s="153" t="s">
        <v>152</v>
      </c>
      <c r="M15" s="1"/>
      <c r="N15" s="1"/>
      <c r="O15" s="1"/>
      <c r="P15" s="1"/>
      <c r="Q15" s="1"/>
      <c r="R15" s="1"/>
      <c r="S15" s="1"/>
      <c r="T15" s="1"/>
      <c r="U15" s="1"/>
      <c r="V15" s="1"/>
      <c r="W15" s="1"/>
      <c r="X15" s="1"/>
      <c r="Y15" s="1"/>
      <c r="Z15" s="1"/>
    </row>
    <row r="16" ht="12.75" customHeight="1">
      <c r="A16" s="29" t="s">
        <v>164</v>
      </c>
      <c r="B16" s="149">
        <v>34.0</v>
      </c>
      <c r="C16" s="152"/>
      <c r="D16" s="152">
        <v>123.0</v>
      </c>
      <c r="E16" s="152"/>
      <c r="F16" s="152"/>
      <c r="G16" s="152">
        <v>3123.0</v>
      </c>
      <c r="H16" s="152"/>
      <c r="I16" s="152"/>
      <c r="J16" s="152"/>
      <c r="K16" s="152"/>
      <c r="L16" s="153" t="s">
        <v>152</v>
      </c>
      <c r="M16" s="1"/>
      <c r="N16" s="1"/>
      <c r="O16" s="1"/>
      <c r="P16" s="1"/>
      <c r="Q16" s="1"/>
      <c r="R16" s="1"/>
      <c r="S16" s="1"/>
      <c r="T16" s="1"/>
      <c r="U16" s="1"/>
      <c r="V16" s="1"/>
      <c r="W16" s="1"/>
      <c r="X16" s="1"/>
      <c r="Y16" s="1"/>
      <c r="Z16" s="1"/>
    </row>
    <row r="17" ht="12.75" customHeight="1">
      <c r="A17" s="29" t="s">
        <v>165</v>
      </c>
      <c r="B17" s="151">
        <f>SUM(B3:B12)*'DATOS Iniciales y ACLARACIONES'!$B$25</f>
        <v>56389080</v>
      </c>
      <c r="C17" s="151">
        <f>SUM(C3:C12)*'DATOS Iniciales y ACLARACIONES'!$B$25</f>
        <v>56389080</v>
      </c>
      <c r="D17" s="151">
        <f>SUM(D3:D12)*'DATOS Iniciales y ACLARACIONES'!$B$25</f>
        <v>56389080</v>
      </c>
      <c r="E17" s="151">
        <f>SUM(E3:E12)*'DATOS Iniciales y ACLARACIONES'!$B$25</f>
        <v>56389080</v>
      </c>
      <c r="F17" s="151">
        <f>SUM(F3:F12)*'DATOS Iniciales y ACLARACIONES'!$B$25</f>
        <v>56389080</v>
      </c>
      <c r="G17" s="151">
        <f>SUM(G3:G12)*'DATOS Iniciales y ACLARACIONES'!$B$25</f>
        <v>56098800</v>
      </c>
      <c r="H17" s="151">
        <f>SUM(H3:H12)*'DATOS Iniciales y ACLARACIONES'!$B$25</f>
        <v>56098800</v>
      </c>
      <c r="I17" s="151">
        <f>SUM(I3:I12)*'DATOS Iniciales y ACLARACIONES'!$B$25</f>
        <v>56098800</v>
      </c>
      <c r="J17" s="151">
        <f>SUM(J3:J12)*'DATOS Iniciales y ACLARACIONES'!$B$25</f>
        <v>56098800</v>
      </c>
      <c r="K17" s="151">
        <f>SUM(K3:K12)*'DATOS Iniciales y ACLARACIONES'!$B$25</f>
        <v>56098800</v>
      </c>
      <c r="L17" s="154" t="s">
        <v>152</v>
      </c>
      <c r="M17" s="1"/>
      <c r="N17" s="1"/>
      <c r="O17" s="1"/>
      <c r="P17" s="1"/>
      <c r="Q17" s="1"/>
      <c r="R17" s="1"/>
      <c r="S17" s="1"/>
      <c r="T17" s="1"/>
      <c r="U17" s="1"/>
      <c r="V17" s="1"/>
      <c r="W17" s="1"/>
      <c r="X17" s="1"/>
      <c r="Y17" s="1"/>
      <c r="Z17" s="1"/>
    </row>
    <row r="18" ht="12.75" customHeight="1">
      <c r="A18" s="155" t="s">
        <v>166</v>
      </c>
      <c r="B18" s="156">
        <f t="shared" ref="B18:K18" si="2">SUM(B4:B17)</f>
        <v>1936025114</v>
      </c>
      <c r="C18" s="156">
        <f t="shared" si="2"/>
        <v>1936025080</v>
      </c>
      <c r="D18" s="156">
        <f t="shared" si="2"/>
        <v>1936025203</v>
      </c>
      <c r="E18" s="156">
        <f t="shared" si="2"/>
        <v>1936025080</v>
      </c>
      <c r="F18" s="156">
        <f t="shared" si="2"/>
        <v>1936025080</v>
      </c>
      <c r="G18" s="156">
        <f t="shared" si="2"/>
        <v>1926061923</v>
      </c>
      <c r="H18" s="156">
        <f t="shared" si="2"/>
        <v>1926058800</v>
      </c>
      <c r="I18" s="156">
        <f t="shared" si="2"/>
        <v>1926058800</v>
      </c>
      <c r="J18" s="156">
        <f t="shared" si="2"/>
        <v>1926058800</v>
      </c>
      <c r="K18" s="157">
        <f t="shared" si="2"/>
        <v>1926058800</v>
      </c>
      <c r="L18" s="51"/>
      <c r="M18" s="51"/>
      <c r="N18" s="51"/>
      <c r="O18" s="51"/>
      <c r="P18" s="51"/>
      <c r="Q18" s="51"/>
      <c r="R18" s="51"/>
      <c r="S18" s="51"/>
      <c r="T18" s="51"/>
      <c r="U18" s="51"/>
      <c r="V18" s="51"/>
      <c r="W18" s="51"/>
      <c r="X18" s="51"/>
      <c r="Y18" s="51"/>
      <c r="Z18" s="51"/>
    </row>
    <row r="19" ht="12.75" customHeight="1">
      <c r="A19" s="158"/>
      <c r="B19" s="135"/>
      <c r="C19" s="135"/>
      <c r="D19" s="135"/>
      <c r="E19" s="135"/>
      <c r="F19" s="135"/>
      <c r="G19" s="74"/>
      <c r="H19" s="74"/>
      <c r="I19" s="74"/>
      <c r="J19" s="74"/>
      <c r="K19" s="136"/>
      <c r="L19" s="1"/>
      <c r="M19" s="1"/>
      <c r="N19" s="1"/>
      <c r="O19" s="1"/>
      <c r="P19" s="1"/>
      <c r="Q19" s="1"/>
      <c r="R19" s="1"/>
      <c r="S19" s="1"/>
      <c r="T19" s="1"/>
      <c r="U19" s="1"/>
      <c r="V19" s="1"/>
      <c r="W19" s="1"/>
      <c r="X19" s="1"/>
      <c r="Y19" s="1"/>
      <c r="Z19" s="1"/>
    </row>
    <row r="20" ht="12.75" customHeight="1">
      <c r="A20" s="159" t="s">
        <v>167</v>
      </c>
      <c r="B20" s="133">
        <f t="shared" ref="B20:K20" si="3">SUMIF($L$4:$L$17,"VARIABLE",B4:B17)</f>
        <v>0</v>
      </c>
      <c r="C20" s="133">
        <f t="shared" si="3"/>
        <v>0</v>
      </c>
      <c r="D20" s="133">
        <f t="shared" si="3"/>
        <v>0</v>
      </c>
      <c r="E20" s="133">
        <f t="shared" si="3"/>
        <v>0</v>
      </c>
      <c r="F20" s="133">
        <f t="shared" si="3"/>
        <v>0</v>
      </c>
      <c r="G20" s="133">
        <f t="shared" si="3"/>
        <v>0</v>
      </c>
      <c r="H20" s="133">
        <f t="shared" si="3"/>
        <v>0</v>
      </c>
      <c r="I20" s="133">
        <f t="shared" si="3"/>
        <v>0</v>
      </c>
      <c r="J20" s="133">
        <f t="shared" si="3"/>
        <v>0</v>
      </c>
      <c r="K20" s="133">
        <f t="shared" si="3"/>
        <v>0</v>
      </c>
      <c r="L20" s="51"/>
      <c r="M20" s="51"/>
      <c r="N20" s="51"/>
      <c r="O20" s="51"/>
      <c r="P20" s="51"/>
      <c r="Q20" s="51"/>
      <c r="R20" s="51"/>
      <c r="S20" s="51"/>
      <c r="T20" s="51"/>
      <c r="U20" s="51"/>
      <c r="V20" s="51"/>
      <c r="W20" s="51"/>
      <c r="X20" s="51"/>
      <c r="Y20" s="51"/>
      <c r="Z20" s="51"/>
    </row>
    <row r="21" ht="12.75" customHeight="1">
      <c r="A21" s="160" t="s">
        <v>168</v>
      </c>
      <c r="B21" s="161">
        <f t="shared" ref="B21:K21" si="4">SUMIF($L$4:$L$17,"FIJO",B4:B17)</f>
        <v>1936025114</v>
      </c>
      <c r="C21" s="161">
        <f t="shared" si="4"/>
        <v>1936025080</v>
      </c>
      <c r="D21" s="161">
        <f t="shared" si="4"/>
        <v>1936025203</v>
      </c>
      <c r="E21" s="161">
        <f t="shared" si="4"/>
        <v>1936025080</v>
      </c>
      <c r="F21" s="161">
        <f t="shared" si="4"/>
        <v>1936025080</v>
      </c>
      <c r="G21" s="161">
        <f t="shared" si="4"/>
        <v>1926061923</v>
      </c>
      <c r="H21" s="161">
        <f t="shared" si="4"/>
        <v>1926058800</v>
      </c>
      <c r="I21" s="161">
        <f t="shared" si="4"/>
        <v>1926058800</v>
      </c>
      <c r="J21" s="161">
        <f t="shared" si="4"/>
        <v>1926058800</v>
      </c>
      <c r="K21" s="161">
        <f t="shared" si="4"/>
        <v>1926058800</v>
      </c>
      <c r="L21" s="51"/>
      <c r="M21" s="51"/>
      <c r="N21" s="51"/>
      <c r="O21" s="51"/>
      <c r="P21" s="51"/>
      <c r="Q21" s="51"/>
      <c r="R21" s="51"/>
      <c r="S21" s="51"/>
      <c r="T21" s="51"/>
      <c r="U21" s="51"/>
      <c r="V21" s="51"/>
      <c r="W21" s="51"/>
      <c r="X21" s="51"/>
      <c r="Y21" s="51"/>
      <c r="Z21" s="5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62"/>
      <c r="B23" s="84" t="s">
        <v>169</v>
      </c>
      <c r="C23" s="141"/>
      <c r="D23" s="141"/>
      <c r="E23" s="141"/>
      <c r="F23" s="141"/>
      <c r="G23" s="141"/>
      <c r="H23" s="141"/>
      <c r="I23" s="141"/>
      <c r="J23" s="141"/>
      <c r="K23" s="85"/>
      <c r="L23" s="1"/>
      <c r="M23" s="1"/>
      <c r="N23" s="1"/>
      <c r="O23" s="1"/>
      <c r="P23" s="1"/>
      <c r="Q23" s="1"/>
      <c r="R23" s="1"/>
      <c r="S23" s="1"/>
      <c r="T23" s="1"/>
      <c r="U23" s="1"/>
      <c r="V23" s="1"/>
      <c r="W23" s="1"/>
      <c r="X23" s="1"/>
      <c r="Y23" s="1"/>
      <c r="Z23" s="1"/>
    </row>
    <row r="24" ht="12.75" customHeight="1">
      <c r="A24" s="119"/>
      <c r="B24" s="143" t="s">
        <v>170</v>
      </c>
      <c r="C24" s="144"/>
      <c r="D24" s="144"/>
      <c r="E24" s="144"/>
      <c r="F24" s="144"/>
      <c r="G24" s="144"/>
      <c r="H24" s="144"/>
      <c r="I24" s="144"/>
      <c r="J24" s="144"/>
      <c r="K24" s="98"/>
      <c r="L24" s="1"/>
      <c r="M24" s="1"/>
      <c r="N24" s="1"/>
      <c r="O24" s="1"/>
      <c r="P24" s="1"/>
      <c r="Q24" s="1"/>
      <c r="R24" s="1"/>
      <c r="S24" s="1"/>
      <c r="T24" s="1"/>
      <c r="U24" s="1"/>
      <c r="V24" s="1"/>
      <c r="W24" s="1"/>
      <c r="X24" s="1"/>
      <c r="Y24" s="1"/>
      <c r="Z24" s="1"/>
    </row>
    <row r="25" ht="12.75" customHeight="1">
      <c r="A25" s="119" t="s">
        <v>121</v>
      </c>
      <c r="B25" s="163" t="s">
        <v>43</v>
      </c>
      <c r="C25" s="163" t="s">
        <v>44</v>
      </c>
      <c r="D25" s="163" t="s">
        <v>45</v>
      </c>
      <c r="E25" s="163" t="s">
        <v>46</v>
      </c>
      <c r="F25" s="163" t="s">
        <v>47</v>
      </c>
      <c r="G25" s="163" t="s">
        <v>48</v>
      </c>
      <c r="H25" s="163" t="s">
        <v>49</v>
      </c>
      <c r="I25" s="163" t="s">
        <v>50</v>
      </c>
      <c r="J25" s="163" t="s">
        <v>51</v>
      </c>
      <c r="K25" s="163" t="s">
        <v>52</v>
      </c>
      <c r="L25" s="1"/>
      <c r="M25" s="1"/>
      <c r="N25" s="1"/>
      <c r="O25" s="1"/>
      <c r="P25" s="1"/>
      <c r="Q25" s="1"/>
      <c r="R25" s="1"/>
      <c r="S25" s="1"/>
      <c r="T25" s="1"/>
      <c r="U25" s="1"/>
      <c r="V25" s="1"/>
      <c r="W25" s="1"/>
      <c r="X25" s="1"/>
      <c r="Y25" s="1"/>
      <c r="Z25" s="1"/>
    </row>
    <row r="26" ht="12.75" customHeight="1">
      <c r="A26" s="146" t="s">
        <v>151</v>
      </c>
      <c r="B26" s="164">
        <f>B4/'DATOS Iniciales y ACLARACIONES'!D$44*'DATOS Iniciales y ACLARACIONES'!D$41/2</f>
        <v>0</v>
      </c>
      <c r="C26" s="164">
        <f>C4/'DATOS Iniciales y ACLARACIONES'!E$44*'DATOS Iniciales y ACLARACIONES'!E$41/2</f>
        <v>0</v>
      </c>
      <c r="D26" s="164">
        <f>D4/'DATOS Iniciales y ACLARACIONES'!F$44*'DATOS Iniciales y ACLARACIONES'!F$41/2</f>
        <v>0</v>
      </c>
      <c r="E26" s="164">
        <f>E4/'DATOS Iniciales y ACLARACIONES'!G$44*'DATOS Iniciales y ACLARACIONES'!G$41/2</f>
        <v>0</v>
      </c>
      <c r="F26" s="164">
        <f>F4/'DATOS Iniciales y ACLARACIONES'!H$44*'DATOS Iniciales y ACLARACIONES'!H$41/2</f>
        <v>0</v>
      </c>
      <c r="G26" s="164">
        <f>G4/'DATOS Iniciales y ACLARACIONES'!I$44*'DATOS Iniciales y ACLARACIONES'!I$41/2</f>
        <v>0</v>
      </c>
      <c r="H26" s="164">
        <f>H4/'DATOS Iniciales y ACLARACIONES'!J$44*'DATOS Iniciales y ACLARACIONES'!J$41/2</f>
        <v>0</v>
      </c>
      <c r="I26" s="164">
        <f>I4/'DATOS Iniciales y ACLARACIONES'!K$44*'DATOS Iniciales y ACLARACIONES'!K$41/2</f>
        <v>0</v>
      </c>
      <c r="J26" s="164">
        <f>J4/'DATOS Iniciales y ACLARACIONES'!L$44*'DATOS Iniciales y ACLARACIONES'!L$41/2</f>
        <v>0</v>
      </c>
      <c r="K26" s="164">
        <f>K4/'DATOS Iniciales y ACLARACIONES'!M$44*'DATOS Iniciales y ACLARACIONES'!M$41/2</f>
        <v>0</v>
      </c>
      <c r="L26" s="1"/>
      <c r="M26" s="1"/>
      <c r="N26" s="1"/>
      <c r="O26" s="1"/>
      <c r="P26" s="1"/>
      <c r="Q26" s="1"/>
      <c r="R26" s="1"/>
      <c r="S26" s="1"/>
      <c r="T26" s="1"/>
      <c r="U26" s="1"/>
      <c r="V26" s="1"/>
      <c r="W26" s="1"/>
      <c r="X26" s="1"/>
      <c r="Y26" s="1"/>
      <c r="Z26" s="1"/>
    </row>
    <row r="27" ht="12.75" customHeight="1">
      <c r="A27" s="29" t="s">
        <v>153</v>
      </c>
      <c r="B27" s="164">
        <f>B5/'DATOS Iniciales y ACLARACIONES'!D$44*'DATOS Iniciales y ACLARACIONES'!D$41/2</f>
        <v>0</v>
      </c>
      <c r="C27" s="164">
        <f>C5/'DATOS Iniciales y ACLARACIONES'!E$44*'DATOS Iniciales y ACLARACIONES'!E$41/2</f>
        <v>0</v>
      </c>
      <c r="D27" s="164">
        <f>D5/'DATOS Iniciales y ACLARACIONES'!F$44*'DATOS Iniciales y ACLARACIONES'!F$41/2</f>
        <v>0</v>
      </c>
      <c r="E27" s="164">
        <f>E5/'DATOS Iniciales y ACLARACIONES'!G$44*'DATOS Iniciales y ACLARACIONES'!G$41/2</f>
        <v>0</v>
      </c>
      <c r="F27" s="164">
        <f>F5/'DATOS Iniciales y ACLARACIONES'!H$44*'DATOS Iniciales y ACLARACIONES'!H$41/2</f>
        <v>0</v>
      </c>
      <c r="G27" s="164">
        <f>G5/'DATOS Iniciales y ACLARACIONES'!I$44*'DATOS Iniciales y ACLARACIONES'!I$41/2</f>
        <v>0</v>
      </c>
      <c r="H27" s="164">
        <f>H5/'DATOS Iniciales y ACLARACIONES'!J$44*'DATOS Iniciales y ACLARACIONES'!J$41/2</f>
        <v>0</v>
      </c>
      <c r="I27" s="164">
        <f>I5/'DATOS Iniciales y ACLARACIONES'!K$44*'DATOS Iniciales y ACLARACIONES'!K$41/2</f>
        <v>0</v>
      </c>
      <c r="J27" s="164">
        <f>J5/'DATOS Iniciales y ACLARACIONES'!L$44*'DATOS Iniciales y ACLARACIONES'!L$41/2</f>
        <v>0</v>
      </c>
      <c r="K27" s="164">
        <f>K5/'DATOS Iniciales y ACLARACIONES'!M$44*'DATOS Iniciales y ACLARACIONES'!M$41/2</f>
        <v>0</v>
      </c>
      <c r="L27" s="1"/>
      <c r="M27" s="1"/>
      <c r="N27" s="1"/>
      <c r="O27" s="1"/>
      <c r="P27" s="1"/>
      <c r="Q27" s="1"/>
      <c r="R27" s="1"/>
      <c r="S27" s="1"/>
      <c r="T27" s="1"/>
      <c r="U27" s="1"/>
      <c r="V27" s="1"/>
      <c r="W27" s="1"/>
      <c r="X27" s="1"/>
      <c r="Y27" s="1"/>
      <c r="Z27" s="1"/>
    </row>
    <row r="28" ht="12.75" customHeight="1">
      <c r="A28" s="29" t="s">
        <v>154</v>
      </c>
      <c r="B28" s="164">
        <f>B6/'DATOS Iniciales y ACLARACIONES'!D$44*'DATOS Iniciales y ACLARACIONES'!D$41/2</f>
        <v>0</v>
      </c>
      <c r="C28" s="164">
        <f>C6/'DATOS Iniciales y ACLARACIONES'!E$44*'DATOS Iniciales y ACLARACIONES'!E$41/2</f>
        <v>0</v>
      </c>
      <c r="D28" s="164">
        <f>D6/'DATOS Iniciales y ACLARACIONES'!F$44*'DATOS Iniciales y ACLARACIONES'!F$41/2</f>
        <v>0</v>
      </c>
      <c r="E28" s="164">
        <f>E6/'DATOS Iniciales y ACLARACIONES'!G$44*'DATOS Iniciales y ACLARACIONES'!G$41/2</f>
        <v>0</v>
      </c>
      <c r="F28" s="164">
        <f>F6/'DATOS Iniciales y ACLARACIONES'!H$44*'DATOS Iniciales y ACLARACIONES'!H$41/2</f>
        <v>0</v>
      </c>
      <c r="G28" s="164">
        <f>G6/'DATOS Iniciales y ACLARACIONES'!I$44*'DATOS Iniciales y ACLARACIONES'!I$41/2</f>
        <v>0</v>
      </c>
      <c r="H28" s="164">
        <f>H6/'DATOS Iniciales y ACLARACIONES'!J$44*'DATOS Iniciales y ACLARACIONES'!J$41/2</f>
        <v>0</v>
      </c>
      <c r="I28" s="164">
        <f>I6/'DATOS Iniciales y ACLARACIONES'!K$44*'DATOS Iniciales y ACLARACIONES'!K$41/2</f>
        <v>0</v>
      </c>
      <c r="J28" s="164">
        <f>J6/'DATOS Iniciales y ACLARACIONES'!L$44*'DATOS Iniciales y ACLARACIONES'!L$41/2</f>
        <v>0</v>
      </c>
      <c r="K28" s="164">
        <f>K6/'DATOS Iniciales y ACLARACIONES'!M$44*'DATOS Iniciales y ACLARACIONES'!M$41/2</f>
        <v>0</v>
      </c>
      <c r="L28" s="1"/>
      <c r="M28" s="1"/>
      <c r="N28" s="1"/>
      <c r="O28" s="1"/>
      <c r="P28" s="1"/>
      <c r="Q28" s="1"/>
      <c r="R28" s="1"/>
      <c r="S28" s="1"/>
      <c r="T28" s="1"/>
      <c r="U28" s="1"/>
      <c r="V28" s="1"/>
      <c r="W28" s="1"/>
      <c r="X28" s="1"/>
      <c r="Y28" s="1"/>
      <c r="Z28" s="1"/>
    </row>
    <row r="29" ht="12.75" customHeight="1">
      <c r="A29" s="29" t="s">
        <v>155</v>
      </c>
      <c r="B29" s="164">
        <f>B7/'DATOS Iniciales y ACLARACIONES'!D$44*'DATOS Iniciales y ACLARACIONES'!D$41/2</f>
        <v>0</v>
      </c>
      <c r="C29" s="164">
        <f>C7/'DATOS Iniciales y ACLARACIONES'!E$44*'DATOS Iniciales y ACLARACIONES'!E$41/2</f>
        <v>0</v>
      </c>
      <c r="D29" s="164">
        <f>D7/'DATOS Iniciales y ACLARACIONES'!F$44*'DATOS Iniciales y ACLARACIONES'!F$41/2</f>
        <v>0</v>
      </c>
      <c r="E29" s="164">
        <f>E7/'DATOS Iniciales y ACLARACIONES'!G$44*'DATOS Iniciales y ACLARACIONES'!G$41/2</f>
        <v>0</v>
      </c>
      <c r="F29" s="164">
        <f>F7/'DATOS Iniciales y ACLARACIONES'!H$44*'DATOS Iniciales y ACLARACIONES'!H$41/2</f>
        <v>0</v>
      </c>
      <c r="G29" s="164">
        <f>G7/'DATOS Iniciales y ACLARACIONES'!I$44*'DATOS Iniciales y ACLARACIONES'!I$41/2</f>
        <v>0</v>
      </c>
      <c r="H29" s="164">
        <f>H7/'DATOS Iniciales y ACLARACIONES'!J$44*'DATOS Iniciales y ACLARACIONES'!J$41/2</f>
        <v>0</v>
      </c>
      <c r="I29" s="164">
        <f>I7/'DATOS Iniciales y ACLARACIONES'!K$44*'DATOS Iniciales y ACLARACIONES'!K$41/2</f>
        <v>0</v>
      </c>
      <c r="J29" s="164">
        <f>J7/'DATOS Iniciales y ACLARACIONES'!L$44*'DATOS Iniciales y ACLARACIONES'!L$41/2</f>
        <v>0</v>
      </c>
      <c r="K29" s="164">
        <f>K7/'DATOS Iniciales y ACLARACIONES'!M$44*'DATOS Iniciales y ACLARACIONES'!M$41/2</f>
        <v>0</v>
      </c>
      <c r="L29" s="1"/>
      <c r="M29" s="1"/>
      <c r="N29" s="1"/>
      <c r="O29" s="1"/>
      <c r="P29" s="1"/>
      <c r="Q29" s="1"/>
      <c r="R29" s="1"/>
      <c r="S29" s="1"/>
      <c r="T29" s="1"/>
      <c r="U29" s="1"/>
      <c r="V29" s="1"/>
      <c r="W29" s="1"/>
      <c r="X29" s="1"/>
      <c r="Y29" s="1"/>
      <c r="Z29" s="1"/>
    </row>
    <row r="30" ht="12.75" customHeight="1">
      <c r="A30" s="29" t="s">
        <v>156</v>
      </c>
      <c r="B30" s="164">
        <f>B8/'DATOS Iniciales y ACLARACIONES'!D$44*'DATOS Iniciales y ACLARACIONES'!D$41/2</f>
        <v>0</v>
      </c>
      <c r="C30" s="164">
        <f>C8/'DATOS Iniciales y ACLARACIONES'!E$44*'DATOS Iniciales y ACLARACIONES'!E$41/2</f>
        <v>0</v>
      </c>
      <c r="D30" s="164">
        <f>D8/'DATOS Iniciales y ACLARACIONES'!F$44*'DATOS Iniciales y ACLARACIONES'!F$41/2</f>
        <v>0</v>
      </c>
      <c r="E30" s="164">
        <f>E8/'DATOS Iniciales y ACLARACIONES'!G$44*'DATOS Iniciales y ACLARACIONES'!G$41/2</f>
        <v>0</v>
      </c>
      <c r="F30" s="164">
        <f>F8/'DATOS Iniciales y ACLARACIONES'!H$44*'DATOS Iniciales y ACLARACIONES'!H$41/2</f>
        <v>0</v>
      </c>
      <c r="G30" s="164">
        <f>G8/'DATOS Iniciales y ACLARACIONES'!I$44*'DATOS Iniciales y ACLARACIONES'!I$41/2</f>
        <v>0</v>
      </c>
      <c r="H30" s="164">
        <f>H8/'DATOS Iniciales y ACLARACIONES'!J$44*'DATOS Iniciales y ACLARACIONES'!J$41/2</f>
        <v>0</v>
      </c>
      <c r="I30" s="164">
        <f>I8/'DATOS Iniciales y ACLARACIONES'!K$44*'DATOS Iniciales y ACLARACIONES'!K$41/2</f>
        <v>0</v>
      </c>
      <c r="J30" s="164">
        <f>J8/'DATOS Iniciales y ACLARACIONES'!L$44*'DATOS Iniciales y ACLARACIONES'!L$41/2</f>
        <v>0</v>
      </c>
      <c r="K30" s="164">
        <f>K8/'DATOS Iniciales y ACLARACIONES'!M$44*'DATOS Iniciales y ACLARACIONES'!M$41/2</f>
        <v>0</v>
      </c>
      <c r="L30" s="1"/>
      <c r="M30" s="1"/>
      <c r="N30" s="1"/>
      <c r="O30" s="1"/>
      <c r="P30" s="1"/>
      <c r="Q30" s="1"/>
      <c r="R30" s="1"/>
      <c r="S30" s="1"/>
      <c r="T30" s="1"/>
      <c r="U30" s="1"/>
      <c r="V30" s="1"/>
      <c r="W30" s="1"/>
      <c r="X30" s="1"/>
      <c r="Y30" s="1"/>
      <c r="Z30" s="1"/>
    </row>
    <row r="31" ht="12.75" customHeight="1">
      <c r="A31" s="29" t="s">
        <v>157</v>
      </c>
      <c r="B31" s="164">
        <f>B9/'DATOS Iniciales y ACLARACIONES'!D$44*'DATOS Iniciales y ACLARACIONES'!D$41/2</f>
        <v>0</v>
      </c>
      <c r="C31" s="164">
        <f>C9/'DATOS Iniciales y ACLARACIONES'!E$44*'DATOS Iniciales y ACLARACIONES'!E$41/2</f>
        <v>0</v>
      </c>
      <c r="D31" s="164">
        <f>D9/'DATOS Iniciales y ACLARACIONES'!F$44*'DATOS Iniciales y ACLARACIONES'!F$41/2</f>
        <v>0</v>
      </c>
      <c r="E31" s="164">
        <f>E9/'DATOS Iniciales y ACLARACIONES'!G$44*'DATOS Iniciales y ACLARACIONES'!G$41/2</f>
        <v>0</v>
      </c>
      <c r="F31" s="164">
        <f>F9/'DATOS Iniciales y ACLARACIONES'!H$44*'DATOS Iniciales y ACLARACIONES'!H$41/2</f>
        <v>0</v>
      </c>
      <c r="G31" s="164">
        <f>G9/'DATOS Iniciales y ACLARACIONES'!I$44*'DATOS Iniciales y ACLARACIONES'!I$41/2</f>
        <v>0</v>
      </c>
      <c r="H31" s="164">
        <f>H9/'DATOS Iniciales y ACLARACIONES'!J$44*'DATOS Iniciales y ACLARACIONES'!J$41/2</f>
        <v>0</v>
      </c>
      <c r="I31" s="164">
        <f>I9/'DATOS Iniciales y ACLARACIONES'!K$44*'DATOS Iniciales y ACLARACIONES'!K$41/2</f>
        <v>0</v>
      </c>
      <c r="J31" s="164">
        <f>J9/'DATOS Iniciales y ACLARACIONES'!L$44*'DATOS Iniciales y ACLARACIONES'!L$41/2</f>
        <v>0</v>
      </c>
      <c r="K31" s="164">
        <f>K9/'DATOS Iniciales y ACLARACIONES'!M$44*'DATOS Iniciales y ACLARACIONES'!M$41/2</f>
        <v>0</v>
      </c>
      <c r="L31" s="1"/>
      <c r="M31" s="1"/>
      <c r="N31" s="1"/>
      <c r="O31" s="1"/>
      <c r="P31" s="1"/>
      <c r="Q31" s="1"/>
      <c r="R31" s="1"/>
      <c r="S31" s="1"/>
      <c r="T31" s="1"/>
      <c r="U31" s="1"/>
      <c r="V31" s="1"/>
      <c r="W31" s="1"/>
      <c r="X31" s="1"/>
      <c r="Y31" s="1"/>
      <c r="Z31" s="1"/>
    </row>
    <row r="32" ht="12.75" customHeight="1">
      <c r="A32" s="29" t="s">
        <v>171</v>
      </c>
      <c r="B32" s="164">
        <f>B10/'DATOS Iniciales y ACLARACIONES'!D$44*'DATOS Iniciales y ACLARACIONES'!D$41/2</f>
        <v>0</v>
      </c>
      <c r="C32" s="164">
        <f>C10/'DATOS Iniciales y ACLARACIONES'!E$44*'DATOS Iniciales y ACLARACIONES'!E$41/2</f>
        <v>0</v>
      </c>
      <c r="D32" s="164">
        <f>D10/'DATOS Iniciales y ACLARACIONES'!F$44*'DATOS Iniciales y ACLARACIONES'!F$41/2</f>
        <v>0</v>
      </c>
      <c r="E32" s="164">
        <f>E10/'DATOS Iniciales y ACLARACIONES'!G$44*'DATOS Iniciales y ACLARACIONES'!G$41/2</f>
        <v>0</v>
      </c>
      <c r="F32" s="164">
        <f>F10/'DATOS Iniciales y ACLARACIONES'!H$44*'DATOS Iniciales y ACLARACIONES'!H$41/2</f>
        <v>0</v>
      </c>
      <c r="G32" s="164">
        <f>G10/'DATOS Iniciales y ACLARACIONES'!I$44*'DATOS Iniciales y ACLARACIONES'!I$41/2</f>
        <v>0</v>
      </c>
      <c r="H32" s="164">
        <f>H10/'DATOS Iniciales y ACLARACIONES'!J$44*'DATOS Iniciales y ACLARACIONES'!J$41/2</f>
        <v>0</v>
      </c>
      <c r="I32" s="164">
        <f>I10/'DATOS Iniciales y ACLARACIONES'!K$44*'DATOS Iniciales y ACLARACIONES'!K$41/2</f>
        <v>0</v>
      </c>
      <c r="J32" s="164">
        <f>J10/'DATOS Iniciales y ACLARACIONES'!L$44*'DATOS Iniciales y ACLARACIONES'!L$41/2</f>
        <v>0</v>
      </c>
      <c r="K32" s="164">
        <f>K10/'DATOS Iniciales y ACLARACIONES'!M$44*'DATOS Iniciales y ACLARACIONES'!M$41/2</f>
        <v>0</v>
      </c>
      <c r="L32" s="1"/>
      <c r="M32" s="1"/>
      <c r="N32" s="1"/>
      <c r="O32" s="1"/>
      <c r="P32" s="1"/>
      <c r="Q32" s="1"/>
      <c r="R32" s="1"/>
      <c r="S32" s="1"/>
      <c r="T32" s="1"/>
      <c r="U32" s="1"/>
      <c r="V32" s="1"/>
      <c r="W32" s="1"/>
      <c r="X32" s="1"/>
      <c r="Y32" s="1"/>
      <c r="Z32" s="1"/>
    </row>
    <row r="33" ht="12.75" customHeight="1">
      <c r="A33" s="29" t="s">
        <v>159</v>
      </c>
      <c r="B33" s="164">
        <f>B11/'DATOS Iniciales y ACLARACIONES'!D$44*'DATOS Iniciales y ACLARACIONES'!D$41/2</f>
        <v>0</v>
      </c>
      <c r="C33" s="164">
        <f>C11/'DATOS Iniciales y ACLARACIONES'!E$44*'DATOS Iniciales y ACLARACIONES'!E$41/2</f>
        <v>0</v>
      </c>
      <c r="D33" s="164">
        <f>D11/'DATOS Iniciales y ACLARACIONES'!F$44*'DATOS Iniciales y ACLARACIONES'!F$41/2</f>
        <v>0</v>
      </c>
      <c r="E33" s="164">
        <f>E11/'DATOS Iniciales y ACLARACIONES'!G$44*'DATOS Iniciales y ACLARACIONES'!G$41/2</f>
        <v>0</v>
      </c>
      <c r="F33" s="164">
        <f>F11/'DATOS Iniciales y ACLARACIONES'!H$44*'DATOS Iniciales y ACLARACIONES'!H$41/2</f>
        <v>0</v>
      </c>
      <c r="G33" s="164">
        <f>G11/'DATOS Iniciales y ACLARACIONES'!I$44*'DATOS Iniciales y ACLARACIONES'!I$41/2</f>
        <v>0</v>
      </c>
      <c r="H33" s="164">
        <f>H11/'DATOS Iniciales y ACLARACIONES'!J$44*'DATOS Iniciales y ACLARACIONES'!J$41/2</f>
        <v>0</v>
      </c>
      <c r="I33" s="164">
        <f>I11/'DATOS Iniciales y ACLARACIONES'!K$44*'DATOS Iniciales y ACLARACIONES'!K$41/2</f>
        <v>0</v>
      </c>
      <c r="J33" s="164">
        <f>J11/'DATOS Iniciales y ACLARACIONES'!L$44*'DATOS Iniciales y ACLARACIONES'!L$41/2</f>
        <v>0</v>
      </c>
      <c r="K33" s="164">
        <f>K11/'DATOS Iniciales y ACLARACIONES'!M$44*'DATOS Iniciales y ACLARACIONES'!M$41/2</f>
        <v>0</v>
      </c>
      <c r="L33" s="1"/>
      <c r="M33" s="1"/>
      <c r="N33" s="1"/>
      <c r="O33" s="1"/>
      <c r="P33" s="1"/>
      <c r="Q33" s="1"/>
      <c r="R33" s="1"/>
      <c r="S33" s="1"/>
      <c r="T33" s="1"/>
      <c r="U33" s="1"/>
      <c r="V33" s="1"/>
      <c r="W33" s="1"/>
      <c r="X33" s="1"/>
      <c r="Y33" s="1"/>
      <c r="Z33" s="1"/>
    </row>
    <row r="34" ht="12.75" customHeight="1">
      <c r="A34" s="29" t="s">
        <v>160</v>
      </c>
      <c r="B34" s="164">
        <f>B12/'DATOS Iniciales y ACLARACIONES'!D$44*'DATOS Iniciales y ACLARACIONES'!D$41/2</f>
        <v>0</v>
      </c>
      <c r="C34" s="164">
        <f>C12/'DATOS Iniciales y ACLARACIONES'!E$44*'DATOS Iniciales y ACLARACIONES'!E$41/2</f>
        <v>0</v>
      </c>
      <c r="D34" s="164">
        <f>D12/'DATOS Iniciales y ACLARACIONES'!F$44*'DATOS Iniciales y ACLARACIONES'!F$41/2</f>
        <v>0</v>
      </c>
      <c r="E34" s="164">
        <f>E12/'DATOS Iniciales y ACLARACIONES'!G$44*'DATOS Iniciales y ACLARACIONES'!G$41/2</f>
        <v>0</v>
      </c>
      <c r="F34" s="164">
        <f>F12/'DATOS Iniciales y ACLARACIONES'!H$44*'DATOS Iniciales y ACLARACIONES'!H$41/2</f>
        <v>0</v>
      </c>
      <c r="G34" s="164">
        <f>G12/'DATOS Iniciales y ACLARACIONES'!I$44*'DATOS Iniciales y ACLARACIONES'!I$41/2</f>
        <v>0</v>
      </c>
      <c r="H34" s="164">
        <f>H12/'DATOS Iniciales y ACLARACIONES'!J$44*'DATOS Iniciales y ACLARACIONES'!J$41/2</f>
        <v>0</v>
      </c>
      <c r="I34" s="164">
        <f>I12/'DATOS Iniciales y ACLARACIONES'!K$44*'DATOS Iniciales y ACLARACIONES'!K$41/2</f>
        <v>0</v>
      </c>
      <c r="J34" s="164">
        <f>J12/'DATOS Iniciales y ACLARACIONES'!L$44*'DATOS Iniciales y ACLARACIONES'!L$41/2</f>
        <v>0</v>
      </c>
      <c r="K34" s="164">
        <f>K12/'DATOS Iniciales y ACLARACIONES'!M$44*'DATOS Iniciales y ACLARACIONES'!M$41/2</f>
        <v>0</v>
      </c>
      <c r="L34" s="1"/>
      <c r="M34" s="1"/>
      <c r="N34" s="1"/>
      <c r="O34" s="1"/>
      <c r="P34" s="1"/>
      <c r="Q34" s="1"/>
      <c r="R34" s="1"/>
      <c r="S34" s="1"/>
      <c r="T34" s="1"/>
      <c r="U34" s="1"/>
      <c r="V34" s="1"/>
      <c r="W34" s="1"/>
      <c r="X34" s="1"/>
      <c r="Y34" s="1"/>
      <c r="Z34" s="1"/>
    </row>
    <row r="35" ht="12.75" customHeight="1">
      <c r="A35" s="29" t="s">
        <v>161</v>
      </c>
      <c r="B35" s="164">
        <f>B13/'DATOS Iniciales y ACLARACIONES'!D$44*'DATOS Iniciales y ACLARACIONES'!D$41/2</f>
        <v>0</v>
      </c>
      <c r="C35" s="164">
        <f>C13/'DATOS Iniciales y ACLARACIONES'!E$44*'DATOS Iniciales y ACLARACIONES'!E$41/2</f>
        <v>0</v>
      </c>
      <c r="D35" s="164">
        <f>D13/'DATOS Iniciales y ACLARACIONES'!F$44*'DATOS Iniciales y ACLARACIONES'!F$41/2</f>
        <v>0</v>
      </c>
      <c r="E35" s="164">
        <f>E13/'DATOS Iniciales y ACLARACIONES'!G$44*'DATOS Iniciales y ACLARACIONES'!G$41/2</f>
        <v>0</v>
      </c>
      <c r="F35" s="164">
        <f>F13/'DATOS Iniciales y ACLARACIONES'!H$44*'DATOS Iniciales y ACLARACIONES'!H$41/2</f>
        <v>0</v>
      </c>
      <c r="G35" s="164">
        <f>G13/'DATOS Iniciales y ACLARACIONES'!I$44*'DATOS Iniciales y ACLARACIONES'!I$41/2</f>
        <v>0</v>
      </c>
      <c r="H35" s="164">
        <f>H13/'DATOS Iniciales y ACLARACIONES'!J$44*'DATOS Iniciales y ACLARACIONES'!J$41/2</f>
        <v>0</v>
      </c>
      <c r="I35" s="164">
        <f>I13/'DATOS Iniciales y ACLARACIONES'!K$44*'DATOS Iniciales y ACLARACIONES'!K$41/2</f>
        <v>0</v>
      </c>
      <c r="J35" s="164">
        <f>J13/'DATOS Iniciales y ACLARACIONES'!L$44*'DATOS Iniciales y ACLARACIONES'!L$41/2</f>
        <v>0</v>
      </c>
      <c r="K35" s="164">
        <f>K13/'DATOS Iniciales y ACLARACIONES'!M$44*'DATOS Iniciales y ACLARACIONES'!M$41/2</f>
        <v>0</v>
      </c>
      <c r="L35" s="1"/>
      <c r="M35" s="1"/>
      <c r="N35" s="1"/>
      <c r="O35" s="1"/>
      <c r="P35" s="1"/>
      <c r="Q35" s="1"/>
      <c r="R35" s="1"/>
      <c r="S35" s="1"/>
      <c r="T35" s="1"/>
      <c r="U35" s="1"/>
      <c r="V35" s="1"/>
      <c r="W35" s="1"/>
      <c r="X35" s="1"/>
      <c r="Y35" s="1"/>
      <c r="Z35" s="1"/>
    </row>
    <row r="36" ht="12.75" customHeight="1">
      <c r="A36" s="29" t="s">
        <v>162</v>
      </c>
      <c r="B36" s="164">
        <f>B14/'DATOS Iniciales y ACLARACIONES'!D$44*'DATOS Iniciales y ACLARACIONES'!D$41/2</f>
        <v>0</v>
      </c>
      <c r="C36" s="164">
        <f>C14/'DATOS Iniciales y ACLARACIONES'!E$44*'DATOS Iniciales y ACLARACIONES'!E$41/2</f>
        <v>0</v>
      </c>
      <c r="D36" s="164">
        <f>D14/'DATOS Iniciales y ACLARACIONES'!F$44*'DATOS Iniciales y ACLARACIONES'!F$41/2</f>
        <v>0</v>
      </c>
      <c r="E36" s="164">
        <f>E14/'DATOS Iniciales y ACLARACIONES'!G$44*'DATOS Iniciales y ACLARACIONES'!G$41/2</f>
        <v>0</v>
      </c>
      <c r="F36" s="164">
        <f>F14/'DATOS Iniciales y ACLARACIONES'!H$44*'DATOS Iniciales y ACLARACIONES'!H$41/2</f>
        <v>0</v>
      </c>
      <c r="G36" s="164">
        <f>G14/'DATOS Iniciales y ACLARACIONES'!I$44*'DATOS Iniciales y ACLARACIONES'!I$41/2</f>
        <v>0</v>
      </c>
      <c r="H36" s="164">
        <f>H14/'DATOS Iniciales y ACLARACIONES'!J$44*'DATOS Iniciales y ACLARACIONES'!J$41/2</f>
        <v>0</v>
      </c>
      <c r="I36" s="164">
        <f>I14/'DATOS Iniciales y ACLARACIONES'!K$44*'DATOS Iniciales y ACLARACIONES'!K$41/2</f>
        <v>0</v>
      </c>
      <c r="J36" s="164">
        <f>J14/'DATOS Iniciales y ACLARACIONES'!L$44*'DATOS Iniciales y ACLARACIONES'!L$41/2</f>
        <v>0</v>
      </c>
      <c r="K36" s="164">
        <f>K14/'DATOS Iniciales y ACLARACIONES'!M$44*'DATOS Iniciales y ACLARACIONES'!M$41/2</f>
        <v>0</v>
      </c>
      <c r="L36" s="1"/>
      <c r="M36" s="1"/>
      <c r="N36" s="1"/>
      <c r="O36" s="1"/>
      <c r="P36" s="1"/>
      <c r="Q36" s="1"/>
      <c r="R36" s="1"/>
      <c r="S36" s="1"/>
      <c r="T36" s="1"/>
      <c r="U36" s="1"/>
      <c r="V36" s="1"/>
      <c r="W36" s="1"/>
      <c r="X36" s="1"/>
      <c r="Y36" s="1"/>
      <c r="Z36" s="1"/>
    </row>
    <row r="37" ht="12.75" customHeight="1">
      <c r="A37" s="29" t="s">
        <v>163</v>
      </c>
      <c r="B37" s="164">
        <f>B15/'DATOS Iniciales y ACLARACIONES'!D$44*'DATOS Iniciales y ACLARACIONES'!D$41/2</f>
        <v>0</v>
      </c>
      <c r="C37" s="164">
        <f>C15/'DATOS Iniciales y ACLARACIONES'!E$44*'DATOS Iniciales y ACLARACIONES'!E$41/2</f>
        <v>0</v>
      </c>
      <c r="D37" s="164">
        <f>D15/'DATOS Iniciales y ACLARACIONES'!F$44*'DATOS Iniciales y ACLARACIONES'!F$41/2</f>
        <v>0</v>
      </c>
      <c r="E37" s="164">
        <f>E15/'DATOS Iniciales y ACLARACIONES'!G$44*'DATOS Iniciales y ACLARACIONES'!G$41/2</f>
        <v>0</v>
      </c>
      <c r="F37" s="164">
        <f>F15/'DATOS Iniciales y ACLARACIONES'!H$44*'DATOS Iniciales y ACLARACIONES'!H$41/2</f>
        <v>0</v>
      </c>
      <c r="G37" s="164">
        <f>G15/'DATOS Iniciales y ACLARACIONES'!I$44*'DATOS Iniciales y ACLARACIONES'!I$41/2</f>
        <v>0</v>
      </c>
      <c r="H37" s="164">
        <f>H15/'DATOS Iniciales y ACLARACIONES'!J$44*'DATOS Iniciales y ACLARACIONES'!J$41/2</f>
        <v>0</v>
      </c>
      <c r="I37" s="164">
        <f>I15/'DATOS Iniciales y ACLARACIONES'!K$44*'DATOS Iniciales y ACLARACIONES'!K$41/2</f>
        <v>0</v>
      </c>
      <c r="J37" s="164">
        <f>J15/'DATOS Iniciales y ACLARACIONES'!L$44*'DATOS Iniciales y ACLARACIONES'!L$41/2</f>
        <v>0</v>
      </c>
      <c r="K37" s="164">
        <f>K15/'DATOS Iniciales y ACLARACIONES'!M$44*'DATOS Iniciales y ACLARACIONES'!M$41/2</f>
        <v>0</v>
      </c>
      <c r="L37" s="1"/>
      <c r="M37" s="1"/>
      <c r="N37" s="1"/>
      <c r="O37" s="1"/>
      <c r="P37" s="1"/>
      <c r="Q37" s="1"/>
      <c r="R37" s="1"/>
      <c r="S37" s="1"/>
      <c r="T37" s="1"/>
      <c r="U37" s="1"/>
      <c r="V37" s="1"/>
      <c r="W37" s="1"/>
      <c r="X37" s="1"/>
      <c r="Y37" s="1"/>
      <c r="Z37" s="1"/>
    </row>
    <row r="38" ht="12.75" customHeight="1">
      <c r="A38" s="29" t="s">
        <v>164</v>
      </c>
      <c r="B38" s="164">
        <f>B16/'DATOS Iniciales y ACLARACIONES'!D$44*'DATOS Iniciales y ACLARACIONES'!D$41/2</f>
        <v>0</v>
      </c>
      <c r="C38" s="164">
        <f>C16/'DATOS Iniciales y ACLARACIONES'!E$44*'DATOS Iniciales y ACLARACIONES'!E$41/2</f>
        <v>0</v>
      </c>
      <c r="D38" s="164">
        <f>D16/'DATOS Iniciales y ACLARACIONES'!F$44*'DATOS Iniciales y ACLARACIONES'!F$41/2</f>
        <v>0</v>
      </c>
      <c r="E38" s="164">
        <f>E16/'DATOS Iniciales y ACLARACIONES'!G$44*'DATOS Iniciales y ACLARACIONES'!G$41/2</f>
        <v>0</v>
      </c>
      <c r="F38" s="164">
        <f>F16/'DATOS Iniciales y ACLARACIONES'!H$44*'DATOS Iniciales y ACLARACIONES'!H$41/2</f>
        <v>0</v>
      </c>
      <c r="G38" s="164">
        <f>G16/'DATOS Iniciales y ACLARACIONES'!I$44*'DATOS Iniciales y ACLARACIONES'!I$41/2</f>
        <v>0</v>
      </c>
      <c r="H38" s="164">
        <f>H16/'DATOS Iniciales y ACLARACIONES'!J$44*'DATOS Iniciales y ACLARACIONES'!J$41/2</f>
        <v>0</v>
      </c>
      <c r="I38" s="164">
        <f>I16/'DATOS Iniciales y ACLARACIONES'!K$44*'DATOS Iniciales y ACLARACIONES'!K$41/2</f>
        <v>0</v>
      </c>
      <c r="J38" s="164">
        <f>J16/'DATOS Iniciales y ACLARACIONES'!L$44*'DATOS Iniciales y ACLARACIONES'!L$41/2</f>
        <v>0</v>
      </c>
      <c r="K38" s="164">
        <f>K16/'DATOS Iniciales y ACLARACIONES'!M$44*'DATOS Iniciales y ACLARACIONES'!M$41/2</f>
        <v>0</v>
      </c>
      <c r="L38" s="1"/>
      <c r="M38" s="1"/>
      <c r="N38" s="1"/>
      <c r="O38" s="1"/>
      <c r="P38" s="1"/>
      <c r="Q38" s="1"/>
      <c r="R38" s="1"/>
      <c r="S38" s="1"/>
      <c r="T38" s="1"/>
      <c r="U38" s="1"/>
      <c r="V38" s="1"/>
      <c r="W38" s="1"/>
      <c r="X38" s="1"/>
      <c r="Y38" s="1"/>
      <c r="Z38" s="1"/>
    </row>
    <row r="39" ht="12.75" customHeight="1">
      <c r="A39" s="29" t="s">
        <v>165</v>
      </c>
      <c r="B39" s="164">
        <f>B17/'DATOS Iniciales y ACLARACIONES'!D$44*'DATOS Iniciales y ACLARACIONES'!D$41/2</f>
        <v>0</v>
      </c>
      <c r="C39" s="164">
        <f>C17/'DATOS Iniciales y ACLARACIONES'!E$44*'DATOS Iniciales y ACLARACIONES'!E$41/2</f>
        <v>0</v>
      </c>
      <c r="D39" s="164">
        <f>D17/'DATOS Iniciales y ACLARACIONES'!F$44*'DATOS Iniciales y ACLARACIONES'!F$41/2</f>
        <v>0</v>
      </c>
      <c r="E39" s="164">
        <f>E17/'DATOS Iniciales y ACLARACIONES'!G$44*'DATOS Iniciales y ACLARACIONES'!G$41/2</f>
        <v>0</v>
      </c>
      <c r="F39" s="164">
        <f>F17/'DATOS Iniciales y ACLARACIONES'!H$44*'DATOS Iniciales y ACLARACIONES'!H$41/2</f>
        <v>0</v>
      </c>
      <c r="G39" s="164">
        <f>G17/'DATOS Iniciales y ACLARACIONES'!I$44*'DATOS Iniciales y ACLARACIONES'!I$41/2</f>
        <v>0</v>
      </c>
      <c r="H39" s="164">
        <f>H17/'DATOS Iniciales y ACLARACIONES'!J$44*'DATOS Iniciales y ACLARACIONES'!J$41/2</f>
        <v>0</v>
      </c>
      <c r="I39" s="164">
        <f>I17/'DATOS Iniciales y ACLARACIONES'!K$44*'DATOS Iniciales y ACLARACIONES'!K$41/2</f>
        <v>0</v>
      </c>
      <c r="J39" s="164">
        <f>J17/'DATOS Iniciales y ACLARACIONES'!L$44*'DATOS Iniciales y ACLARACIONES'!L$41/2</f>
        <v>0</v>
      </c>
      <c r="K39" s="164">
        <f>K17/'DATOS Iniciales y ACLARACIONES'!M$44*'DATOS Iniciales y ACLARACIONES'!M$41/2</f>
        <v>0</v>
      </c>
      <c r="L39" s="1"/>
      <c r="M39" s="1"/>
      <c r="N39" s="1"/>
      <c r="O39" s="1"/>
      <c r="P39" s="1"/>
      <c r="Q39" s="1"/>
      <c r="R39" s="1"/>
      <c r="S39" s="1"/>
      <c r="T39" s="1"/>
      <c r="U39" s="1"/>
      <c r="V39" s="1"/>
      <c r="W39" s="1"/>
      <c r="X39" s="1"/>
      <c r="Y39" s="1"/>
      <c r="Z39" s="1"/>
    </row>
    <row r="40" ht="12.75" customHeight="1">
      <c r="A40" s="160" t="s">
        <v>172</v>
      </c>
      <c r="B40" s="165">
        <f t="shared" ref="B40:K40" si="5">SUM(B26:B39)</f>
        <v>0</v>
      </c>
      <c r="C40" s="166">
        <f t="shared" si="5"/>
        <v>0</v>
      </c>
      <c r="D40" s="166">
        <f t="shared" si="5"/>
        <v>0</v>
      </c>
      <c r="E40" s="166">
        <f t="shared" si="5"/>
        <v>0</v>
      </c>
      <c r="F40" s="166">
        <f t="shared" si="5"/>
        <v>0</v>
      </c>
      <c r="G40" s="166">
        <f t="shared" si="5"/>
        <v>0</v>
      </c>
      <c r="H40" s="166">
        <f t="shared" si="5"/>
        <v>0</v>
      </c>
      <c r="I40" s="166">
        <f t="shared" si="5"/>
        <v>0</v>
      </c>
      <c r="J40" s="166">
        <f t="shared" si="5"/>
        <v>0</v>
      </c>
      <c r="K40" s="166">
        <f t="shared" si="5"/>
        <v>0</v>
      </c>
      <c r="L40" s="51"/>
      <c r="M40" s="51"/>
      <c r="N40" s="51"/>
      <c r="O40" s="51"/>
      <c r="P40" s="51"/>
      <c r="Q40" s="51"/>
      <c r="R40" s="51"/>
      <c r="S40" s="51"/>
      <c r="T40" s="51"/>
      <c r="U40" s="51"/>
      <c r="V40" s="51"/>
      <c r="W40" s="51"/>
      <c r="X40" s="51"/>
      <c r="Y40" s="51"/>
      <c r="Z40" s="51"/>
    </row>
    <row r="41" ht="12.75" customHeight="1">
      <c r="A41" s="51" t="s">
        <v>173</v>
      </c>
      <c r="B41" s="167">
        <v>4500.0</v>
      </c>
      <c r="C41" s="168"/>
      <c r="D41" s="168"/>
      <c r="E41" s="168"/>
      <c r="F41" s="168"/>
      <c r="G41" s="168"/>
      <c r="H41" s="168"/>
      <c r="I41" s="168"/>
      <c r="J41" s="168"/>
      <c r="K41" s="169"/>
      <c r="L41" s="51"/>
      <c r="M41" s="51"/>
      <c r="N41" s="51"/>
      <c r="O41" s="51"/>
      <c r="P41" s="51"/>
      <c r="Q41" s="51"/>
      <c r="R41" s="51"/>
      <c r="S41" s="51"/>
      <c r="T41" s="51"/>
      <c r="U41" s="51"/>
      <c r="V41" s="51"/>
      <c r="W41" s="51"/>
      <c r="X41" s="51"/>
      <c r="Y41" s="51"/>
      <c r="Z41" s="51"/>
    </row>
    <row r="42" ht="12.75" customHeight="1">
      <c r="A42" s="51"/>
      <c r="B42" s="170"/>
      <c r="C42" s="170"/>
      <c r="D42" s="170"/>
      <c r="E42" s="170"/>
      <c r="F42" s="170"/>
      <c r="G42" s="170"/>
      <c r="H42" s="170"/>
      <c r="I42" s="170"/>
      <c r="J42" s="170"/>
      <c r="K42" s="170"/>
      <c r="L42" s="170"/>
      <c r="M42" s="1"/>
      <c r="N42" s="1"/>
      <c r="O42" s="1"/>
      <c r="P42" s="1"/>
      <c r="Q42" s="1"/>
      <c r="R42" s="1"/>
      <c r="S42" s="1"/>
      <c r="T42" s="1"/>
      <c r="U42" s="1"/>
      <c r="V42" s="1"/>
      <c r="W42" s="1"/>
      <c r="X42" s="1"/>
      <c r="Y42" s="1"/>
      <c r="Z42" s="1"/>
    </row>
    <row r="43" ht="12.75" customHeight="1">
      <c r="A43" s="171"/>
      <c r="B43" s="172" t="s">
        <v>174</v>
      </c>
      <c r="C43" s="141"/>
      <c r="D43" s="141"/>
      <c r="E43" s="141"/>
      <c r="F43" s="141"/>
      <c r="G43" s="141"/>
      <c r="H43" s="141"/>
      <c r="I43" s="141"/>
      <c r="J43" s="141"/>
      <c r="K43" s="142"/>
      <c r="L43" s="1"/>
      <c r="M43" s="1"/>
      <c r="N43" s="1"/>
      <c r="O43" s="1"/>
      <c r="P43" s="1"/>
      <c r="Q43" s="1"/>
      <c r="R43" s="1"/>
      <c r="S43" s="1"/>
      <c r="T43" s="1"/>
      <c r="U43" s="1"/>
      <c r="V43" s="1"/>
      <c r="W43" s="1"/>
      <c r="X43" s="1"/>
      <c r="Y43" s="1"/>
      <c r="Z43" s="1"/>
    </row>
    <row r="44" ht="12.75" customHeight="1">
      <c r="A44" s="173"/>
      <c r="B44" s="163" t="s">
        <v>43</v>
      </c>
      <c r="C44" s="163" t="s">
        <v>44</v>
      </c>
      <c r="D44" s="163" t="s">
        <v>45</v>
      </c>
      <c r="E44" s="163" t="s">
        <v>46</v>
      </c>
      <c r="F44" s="163" t="s">
        <v>47</v>
      </c>
      <c r="G44" s="163" t="s">
        <v>48</v>
      </c>
      <c r="H44" s="163" t="s">
        <v>49</v>
      </c>
      <c r="I44" s="163" t="s">
        <v>50</v>
      </c>
      <c r="J44" s="163" t="s">
        <v>51</v>
      </c>
      <c r="K44" s="174" t="s">
        <v>52</v>
      </c>
      <c r="L44" s="170"/>
      <c r="M44" s="1"/>
      <c r="N44" s="1"/>
      <c r="O44" s="1"/>
      <c r="P44" s="1"/>
      <c r="Q44" s="1"/>
      <c r="R44" s="1"/>
      <c r="S44" s="1"/>
      <c r="T44" s="1"/>
      <c r="U44" s="1"/>
      <c r="V44" s="1"/>
      <c r="W44" s="1"/>
      <c r="X44" s="1"/>
      <c r="Y44" s="1"/>
      <c r="Z44" s="1"/>
    </row>
    <row r="45" ht="12.75" customHeight="1">
      <c r="A45" s="175" t="s">
        <v>166</v>
      </c>
      <c r="B45" s="132">
        <f t="shared" ref="B45:K45" si="6">+B18</f>
        <v>1936025114</v>
      </c>
      <c r="C45" s="132">
        <f t="shared" si="6"/>
        <v>1936025080</v>
      </c>
      <c r="D45" s="132">
        <f t="shared" si="6"/>
        <v>1936025203</v>
      </c>
      <c r="E45" s="132">
        <f t="shared" si="6"/>
        <v>1936025080</v>
      </c>
      <c r="F45" s="132">
        <f t="shared" si="6"/>
        <v>1936025080</v>
      </c>
      <c r="G45" s="132">
        <f t="shared" si="6"/>
        <v>1926061923</v>
      </c>
      <c r="H45" s="132">
        <f t="shared" si="6"/>
        <v>1926058800</v>
      </c>
      <c r="I45" s="132">
        <f t="shared" si="6"/>
        <v>1926058800</v>
      </c>
      <c r="J45" s="132">
        <f t="shared" si="6"/>
        <v>1926058800</v>
      </c>
      <c r="K45" s="134">
        <f t="shared" si="6"/>
        <v>1926058800</v>
      </c>
      <c r="L45" s="170"/>
      <c r="M45" s="1"/>
      <c r="N45" s="1"/>
      <c r="O45" s="1"/>
      <c r="P45" s="1"/>
      <c r="Q45" s="1"/>
      <c r="R45" s="1"/>
      <c r="S45" s="1"/>
      <c r="T45" s="1"/>
      <c r="U45" s="1"/>
      <c r="V45" s="1"/>
      <c r="W45" s="1"/>
      <c r="X45" s="1"/>
      <c r="Y45" s="1"/>
      <c r="Z45" s="1"/>
    </row>
    <row r="46" ht="12.75" customHeight="1">
      <c r="A46" s="52" t="s">
        <v>175</v>
      </c>
      <c r="B46" s="124"/>
      <c r="C46" s="124"/>
      <c r="D46" s="124"/>
      <c r="E46" s="124"/>
      <c r="F46" s="124"/>
      <c r="G46" s="176"/>
      <c r="H46" s="176"/>
      <c r="I46" s="176"/>
      <c r="J46" s="176"/>
      <c r="K46" s="177"/>
      <c r="L46" s="170"/>
      <c r="M46" s="1"/>
      <c r="N46" s="1"/>
      <c r="O46" s="1"/>
      <c r="P46" s="1"/>
      <c r="Q46" s="1"/>
      <c r="R46" s="1"/>
      <c r="S46" s="1"/>
      <c r="T46" s="1"/>
      <c r="U46" s="1"/>
      <c r="V46" s="1"/>
      <c r="W46" s="1"/>
      <c r="X46" s="1"/>
      <c r="Y46" s="1"/>
      <c r="Z46" s="1"/>
    </row>
    <row r="47" ht="12.75" customHeight="1">
      <c r="A47" s="52" t="s">
        <v>176</v>
      </c>
      <c r="B47" s="124">
        <f>B41</f>
        <v>4500</v>
      </c>
      <c r="C47" s="124"/>
      <c r="D47" s="124"/>
      <c r="E47" s="124"/>
      <c r="F47" s="124"/>
      <c r="G47" s="176"/>
      <c r="H47" s="176"/>
      <c r="I47" s="176"/>
      <c r="J47" s="176"/>
      <c r="K47" s="177"/>
      <c r="L47" s="170"/>
      <c r="M47" s="1"/>
      <c r="N47" s="1"/>
      <c r="O47" s="1"/>
      <c r="P47" s="1"/>
      <c r="Q47" s="1"/>
      <c r="R47" s="1"/>
      <c r="S47" s="1"/>
      <c r="T47" s="1"/>
      <c r="U47" s="1"/>
      <c r="V47" s="1"/>
      <c r="W47" s="1"/>
      <c r="X47" s="1"/>
      <c r="Y47" s="1"/>
      <c r="Z47" s="1"/>
    </row>
    <row r="48" ht="12.75" customHeight="1">
      <c r="A48" s="52" t="s">
        <v>177</v>
      </c>
      <c r="B48" s="124">
        <f>B40</f>
        <v>0</v>
      </c>
      <c r="C48" s="124">
        <f t="shared" ref="C48:K48" si="7">C40-B40</f>
        <v>0</v>
      </c>
      <c r="D48" s="124">
        <f t="shared" si="7"/>
        <v>0</v>
      </c>
      <c r="E48" s="124">
        <f t="shared" si="7"/>
        <v>0</v>
      </c>
      <c r="F48" s="124">
        <f t="shared" si="7"/>
        <v>0</v>
      </c>
      <c r="G48" s="124">
        <f t="shared" si="7"/>
        <v>0</v>
      </c>
      <c r="H48" s="124">
        <f t="shared" si="7"/>
        <v>0</v>
      </c>
      <c r="I48" s="124">
        <f t="shared" si="7"/>
        <v>0</v>
      </c>
      <c r="J48" s="124">
        <f t="shared" si="7"/>
        <v>0</v>
      </c>
      <c r="K48" s="124">
        <f t="shared" si="7"/>
        <v>0</v>
      </c>
      <c r="L48" s="170"/>
      <c r="M48" s="1"/>
      <c r="N48" s="1"/>
      <c r="O48" s="1"/>
      <c r="P48" s="1"/>
      <c r="Q48" s="1"/>
      <c r="R48" s="1"/>
      <c r="S48" s="1"/>
      <c r="T48" s="1"/>
      <c r="U48" s="1"/>
      <c r="V48" s="1"/>
      <c r="W48" s="1"/>
      <c r="X48" s="1"/>
      <c r="Y48" s="1"/>
      <c r="Z48" s="1"/>
    </row>
    <row r="49" ht="12.75" customHeight="1">
      <c r="A49" s="159" t="s">
        <v>178</v>
      </c>
      <c r="B49" s="178">
        <f t="shared" ref="B49:K49" si="8">+B45-B47-B48</f>
        <v>1936020614</v>
      </c>
      <c r="C49" s="178">
        <f t="shared" si="8"/>
        <v>1936025080</v>
      </c>
      <c r="D49" s="178">
        <f t="shared" si="8"/>
        <v>1936025203</v>
      </c>
      <c r="E49" s="178">
        <f t="shared" si="8"/>
        <v>1936025080</v>
      </c>
      <c r="F49" s="178">
        <f t="shared" si="8"/>
        <v>1936025080</v>
      </c>
      <c r="G49" s="178">
        <f t="shared" si="8"/>
        <v>1926061923</v>
      </c>
      <c r="H49" s="178">
        <f t="shared" si="8"/>
        <v>1926058800</v>
      </c>
      <c r="I49" s="178">
        <f t="shared" si="8"/>
        <v>1926058800</v>
      </c>
      <c r="J49" s="178">
        <f t="shared" si="8"/>
        <v>1926058800</v>
      </c>
      <c r="K49" s="179">
        <f t="shared" si="8"/>
        <v>1926058800</v>
      </c>
      <c r="L49" s="180"/>
      <c r="M49" s="51"/>
      <c r="N49" s="51"/>
      <c r="O49" s="51"/>
      <c r="P49" s="51"/>
      <c r="Q49" s="51"/>
      <c r="R49" s="51"/>
      <c r="S49" s="51"/>
      <c r="T49" s="51"/>
      <c r="U49" s="51"/>
      <c r="V49" s="51"/>
      <c r="W49" s="51"/>
      <c r="X49" s="51"/>
      <c r="Y49" s="51"/>
      <c r="Z49" s="51"/>
    </row>
    <row r="50" ht="12.75" customHeight="1">
      <c r="A50" s="181" t="s">
        <v>179</v>
      </c>
      <c r="B50" s="182"/>
      <c r="C50" s="183"/>
      <c r="D50" s="183"/>
      <c r="E50" s="183"/>
      <c r="F50" s="183"/>
      <c r="G50" s="183"/>
      <c r="H50" s="183"/>
      <c r="I50" s="183"/>
      <c r="J50" s="183"/>
      <c r="K50" s="184"/>
      <c r="L50" s="170"/>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85" t="s">
        <v>180</v>
      </c>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K1"/>
    <mergeCell ref="B2:K2"/>
    <mergeCell ref="B23:K23"/>
    <mergeCell ref="B24:K24"/>
    <mergeCell ref="B43:K43"/>
  </mergeCells>
  <printOptions/>
  <pageMargins bottom="0.24" footer="0.0" header="0.0" left="0.32" right="0.75" top="0.6"/>
  <pageSetup paperSize="9"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0"/>
    <col customWidth="1" min="2" max="11" width="15.5"/>
    <col customWidth="1" min="12" max="12" width="17.5"/>
    <col customWidth="1" min="13"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90"/>
      <c r="B2" s="84" t="s">
        <v>181</v>
      </c>
      <c r="C2" s="141"/>
      <c r="D2" s="141"/>
      <c r="E2" s="141"/>
      <c r="F2" s="141"/>
      <c r="G2" s="141"/>
      <c r="H2" s="141"/>
      <c r="I2" s="141"/>
      <c r="J2" s="141"/>
      <c r="K2" s="142"/>
      <c r="L2" s="1"/>
      <c r="M2" s="1"/>
      <c r="N2" s="1"/>
      <c r="O2" s="1"/>
      <c r="P2" s="1"/>
      <c r="Q2" s="1"/>
      <c r="R2" s="1"/>
      <c r="S2" s="1"/>
      <c r="T2" s="1"/>
      <c r="U2" s="1"/>
      <c r="V2" s="1"/>
      <c r="W2" s="1"/>
      <c r="X2" s="1"/>
      <c r="Y2" s="1"/>
      <c r="Z2" s="1"/>
    </row>
    <row r="3" ht="12.75" customHeight="1">
      <c r="A3" s="186" t="s">
        <v>121</v>
      </c>
      <c r="B3" s="25" t="s">
        <v>43</v>
      </c>
      <c r="C3" s="25" t="s">
        <v>44</v>
      </c>
      <c r="D3" s="25" t="s">
        <v>45</v>
      </c>
      <c r="E3" s="25" t="s">
        <v>46</v>
      </c>
      <c r="F3" s="25" t="s">
        <v>47</v>
      </c>
      <c r="G3" s="25" t="s">
        <v>48</v>
      </c>
      <c r="H3" s="25" t="s">
        <v>49</v>
      </c>
      <c r="I3" s="25" t="s">
        <v>50</v>
      </c>
      <c r="J3" s="25" t="s">
        <v>51</v>
      </c>
      <c r="K3" s="120" t="s">
        <v>52</v>
      </c>
      <c r="L3" s="120" t="s">
        <v>150</v>
      </c>
      <c r="M3" s="1"/>
      <c r="N3" s="1"/>
      <c r="O3" s="1"/>
      <c r="P3" s="1"/>
      <c r="Q3" s="1"/>
      <c r="R3" s="1"/>
      <c r="S3" s="1"/>
      <c r="T3" s="1"/>
      <c r="U3" s="1"/>
      <c r="V3" s="1"/>
      <c r="W3" s="1"/>
      <c r="X3" s="1"/>
      <c r="Y3" s="1"/>
      <c r="Z3" s="1"/>
    </row>
    <row r="4" ht="12.75" customHeight="1">
      <c r="A4" s="187" t="s">
        <v>182</v>
      </c>
      <c r="B4" s="127">
        <v>5.07E8</v>
      </c>
      <c r="C4" s="128">
        <v>5.07E8</v>
      </c>
      <c r="D4" s="128">
        <v>5.07E8</v>
      </c>
      <c r="E4" s="128">
        <v>5.07E8</v>
      </c>
      <c r="F4" s="128">
        <v>5.07E8</v>
      </c>
      <c r="G4" s="128">
        <v>5.07E8</v>
      </c>
      <c r="H4" s="128">
        <v>5.07E8</v>
      </c>
      <c r="I4" s="128">
        <v>5.07E8</v>
      </c>
      <c r="J4" s="128">
        <v>5.07E8</v>
      </c>
      <c r="K4" s="147">
        <v>5.07E8</v>
      </c>
      <c r="L4" s="148" t="s">
        <v>22</v>
      </c>
      <c r="M4" s="1"/>
      <c r="N4" s="1"/>
      <c r="O4" s="1"/>
      <c r="P4" s="1"/>
      <c r="Q4" s="1"/>
      <c r="R4" s="1"/>
      <c r="S4" s="1"/>
      <c r="T4" s="1"/>
      <c r="U4" s="1"/>
      <c r="V4" s="1"/>
      <c r="W4" s="1"/>
      <c r="X4" s="1"/>
      <c r="Y4" s="1"/>
      <c r="Z4" s="1"/>
    </row>
    <row r="5" ht="12.75" customHeight="1">
      <c r="A5" s="29" t="s">
        <v>183</v>
      </c>
      <c r="B5" s="151">
        <f>'Inv AF'!E83</f>
        <v>12818000</v>
      </c>
      <c r="C5" s="151">
        <f>'Inv AF'!F83</f>
        <v>12818000</v>
      </c>
      <c r="D5" s="151">
        <f>'Inv AF'!G83</f>
        <v>12818000</v>
      </c>
      <c r="E5" s="151">
        <f>'Inv AF'!H83</f>
        <v>12818000</v>
      </c>
      <c r="F5" s="151">
        <f>'Inv AF'!I83</f>
        <v>12818000</v>
      </c>
      <c r="G5" s="151">
        <f>'Inv AF'!J83</f>
        <v>7980000</v>
      </c>
      <c r="H5" s="151">
        <f>'Inv AF'!K83</f>
        <v>7980000</v>
      </c>
      <c r="I5" s="151">
        <f>'Inv AF'!L83</f>
        <v>7980000</v>
      </c>
      <c r="J5" s="151">
        <f>'Inv AF'!M83</f>
        <v>7980000</v>
      </c>
      <c r="K5" s="151">
        <f>'Inv AF'!N83</f>
        <v>7980000</v>
      </c>
      <c r="L5" s="17" t="s">
        <v>152</v>
      </c>
      <c r="M5" s="1"/>
      <c r="N5" s="1"/>
      <c r="O5" s="1"/>
      <c r="P5" s="1"/>
      <c r="Q5" s="1"/>
      <c r="R5" s="1"/>
      <c r="S5" s="1"/>
      <c r="T5" s="1"/>
      <c r="U5" s="1"/>
      <c r="V5" s="1"/>
      <c r="W5" s="1"/>
      <c r="X5" s="1"/>
      <c r="Y5" s="1"/>
      <c r="Z5" s="1"/>
    </row>
    <row r="6" ht="12.75" customHeight="1">
      <c r="A6" s="29" t="s">
        <v>184</v>
      </c>
      <c r="B6" s="149"/>
      <c r="C6" s="150"/>
      <c r="D6" s="150"/>
      <c r="E6" s="150"/>
      <c r="F6" s="150"/>
      <c r="G6" s="150"/>
      <c r="H6" s="150"/>
      <c r="I6" s="150"/>
      <c r="J6" s="150"/>
      <c r="K6" s="188"/>
      <c r="L6" s="189" t="s">
        <v>152</v>
      </c>
      <c r="M6" s="1"/>
      <c r="N6" s="1"/>
      <c r="O6" s="1"/>
      <c r="P6" s="1"/>
      <c r="Q6" s="1"/>
      <c r="R6" s="1"/>
      <c r="S6" s="1"/>
      <c r="T6" s="1"/>
      <c r="U6" s="1"/>
      <c r="V6" s="1"/>
      <c r="W6" s="1"/>
      <c r="X6" s="1"/>
      <c r="Y6" s="1"/>
      <c r="Z6" s="1"/>
    </row>
    <row r="7" ht="12.75" customHeight="1">
      <c r="A7" s="29" t="s">
        <v>185</v>
      </c>
      <c r="B7" s="149"/>
      <c r="C7" s="150"/>
      <c r="D7" s="150"/>
      <c r="E7" s="150"/>
      <c r="F7" s="150"/>
      <c r="G7" s="150"/>
      <c r="H7" s="150"/>
      <c r="I7" s="150"/>
      <c r="J7" s="150"/>
      <c r="K7" s="188"/>
      <c r="L7" s="17" t="s">
        <v>152</v>
      </c>
      <c r="M7" s="1"/>
      <c r="N7" s="1"/>
      <c r="O7" s="1"/>
      <c r="P7" s="1"/>
      <c r="Q7" s="1"/>
      <c r="R7" s="1"/>
      <c r="S7" s="1"/>
      <c r="T7" s="1"/>
      <c r="U7" s="1"/>
      <c r="V7" s="1"/>
      <c r="W7" s="1"/>
      <c r="X7" s="1"/>
      <c r="Y7" s="1"/>
      <c r="Z7" s="1"/>
    </row>
    <row r="8" ht="12.75" customHeight="1">
      <c r="A8" s="29" t="s">
        <v>186</v>
      </c>
      <c r="B8" s="149"/>
      <c r="C8" s="150"/>
      <c r="D8" s="150"/>
      <c r="E8" s="150"/>
      <c r="F8" s="150"/>
      <c r="G8" s="150"/>
      <c r="H8" s="150"/>
      <c r="I8" s="150"/>
      <c r="J8" s="150"/>
      <c r="K8" s="188"/>
      <c r="L8" s="17" t="s">
        <v>152</v>
      </c>
      <c r="M8" s="1"/>
      <c r="N8" s="1"/>
      <c r="O8" s="1"/>
      <c r="P8" s="1"/>
      <c r="Q8" s="1"/>
      <c r="R8" s="1"/>
      <c r="S8" s="1"/>
      <c r="T8" s="1"/>
      <c r="U8" s="1"/>
      <c r="V8" s="1"/>
      <c r="W8" s="1"/>
      <c r="X8" s="1"/>
      <c r="Y8" s="1"/>
      <c r="Z8" s="1"/>
    </row>
    <row r="9" ht="12.75" customHeight="1">
      <c r="A9" s="29" t="s">
        <v>187</v>
      </c>
      <c r="B9" s="149"/>
      <c r="C9" s="150"/>
      <c r="D9" s="150"/>
      <c r="E9" s="150"/>
      <c r="F9" s="150"/>
      <c r="G9" s="150"/>
      <c r="H9" s="150"/>
      <c r="I9" s="150"/>
      <c r="J9" s="150"/>
      <c r="K9" s="188"/>
      <c r="L9" s="17" t="s">
        <v>152</v>
      </c>
      <c r="M9" s="1"/>
      <c r="N9" s="1"/>
      <c r="O9" s="1"/>
      <c r="P9" s="1"/>
      <c r="Q9" s="1"/>
      <c r="R9" s="1"/>
      <c r="S9" s="1"/>
      <c r="T9" s="1"/>
      <c r="U9" s="1"/>
      <c r="V9" s="1"/>
      <c r="W9" s="1"/>
      <c r="X9" s="1"/>
      <c r="Y9" s="1"/>
      <c r="Z9" s="1"/>
    </row>
    <row r="10" ht="12.75" customHeight="1">
      <c r="A10" s="29" t="s">
        <v>188</v>
      </c>
      <c r="B10" s="149"/>
      <c r="C10" s="150"/>
      <c r="D10" s="150"/>
      <c r="E10" s="150"/>
      <c r="F10" s="150"/>
      <c r="G10" s="150"/>
      <c r="H10" s="150"/>
      <c r="I10" s="150"/>
      <c r="J10" s="150"/>
      <c r="K10" s="188"/>
      <c r="L10" s="17"/>
      <c r="M10" s="1"/>
      <c r="N10" s="1"/>
      <c r="O10" s="1"/>
      <c r="P10" s="1"/>
      <c r="Q10" s="1"/>
      <c r="R10" s="1"/>
      <c r="S10" s="1"/>
      <c r="T10" s="1"/>
      <c r="U10" s="1"/>
      <c r="V10" s="1"/>
      <c r="W10" s="1"/>
      <c r="X10" s="1"/>
      <c r="Y10" s="1"/>
      <c r="Z10" s="1"/>
    </row>
    <row r="11" ht="12.75" customHeight="1">
      <c r="A11" s="29" t="s">
        <v>189</v>
      </c>
      <c r="B11" s="149"/>
      <c r="C11" s="150"/>
      <c r="D11" s="150"/>
      <c r="E11" s="150"/>
      <c r="F11" s="150"/>
      <c r="G11" s="150"/>
      <c r="H11" s="150"/>
      <c r="I11" s="150"/>
      <c r="J11" s="150"/>
      <c r="K11" s="188"/>
      <c r="L11" s="17" t="s">
        <v>152</v>
      </c>
      <c r="M11" s="1"/>
      <c r="N11" s="1"/>
      <c r="O11" s="1"/>
      <c r="P11" s="1"/>
      <c r="Q11" s="1"/>
      <c r="R11" s="1"/>
      <c r="S11" s="1"/>
      <c r="T11" s="1"/>
      <c r="U11" s="1"/>
      <c r="V11" s="1"/>
      <c r="W11" s="1"/>
      <c r="X11" s="1"/>
      <c r="Y11" s="1"/>
      <c r="Z11" s="1"/>
    </row>
    <row r="12" ht="12.75" customHeight="1">
      <c r="A12" s="29" t="s">
        <v>190</v>
      </c>
      <c r="B12" s="149"/>
      <c r="C12" s="150"/>
      <c r="D12" s="150"/>
      <c r="E12" s="150"/>
      <c r="F12" s="150"/>
      <c r="G12" s="150"/>
      <c r="H12" s="150"/>
      <c r="I12" s="150"/>
      <c r="J12" s="150"/>
      <c r="K12" s="188"/>
      <c r="L12" s="17" t="s">
        <v>152</v>
      </c>
      <c r="M12" s="1"/>
      <c r="N12" s="1"/>
      <c r="O12" s="1"/>
      <c r="P12" s="1"/>
      <c r="Q12" s="1"/>
      <c r="R12" s="1"/>
      <c r="S12" s="1"/>
      <c r="T12" s="1"/>
      <c r="U12" s="1"/>
      <c r="V12" s="1"/>
      <c r="W12" s="1"/>
      <c r="X12" s="1"/>
      <c r="Y12" s="1"/>
      <c r="Z12" s="1"/>
    </row>
    <row r="13" ht="12.75" customHeight="1">
      <c r="A13" s="29" t="s">
        <v>88</v>
      </c>
      <c r="B13" s="190">
        <f>SUM(B4:B12)*'DATOS Iniciales y ACLARACIONES'!$B$25</f>
        <v>15594540</v>
      </c>
      <c r="C13" s="191">
        <f>SUM(C4:C12)*'DATOS Iniciales y ACLARACIONES'!$B$25</f>
        <v>15594540</v>
      </c>
      <c r="D13" s="191">
        <f>SUM(D4:D12)*'DATOS Iniciales y ACLARACIONES'!$B$25</f>
        <v>15594540</v>
      </c>
      <c r="E13" s="191">
        <f>SUM(E4:E12)*'DATOS Iniciales y ACLARACIONES'!$B$25</f>
        <v>15594540</v>
      </c>
      <c r="F13" s="191">
        <f>SUM(F4:F12)*'DATOS Iniciales y ACLARACIONES'!$B$25</f>
        <v>15594540</v>
      </c>
      <c r="G13" s="191">
        <f>SUM(G4:G12)*'DATOS Iniciales y ACLARACIONES'!$B$25</f>
        <v>15449400</v>
      </c>
      <c r="H13" s="191">
        <f>SUM(H4:H12)*'DATOS Iniciales y ACLARACIONES'!$B$25</f>
        <v>15449400</v>
      </c>
      <c r="I13" s="191">
        <f>SUM(I4:I12)*'DATOS Iniciales y ACLARACIONES'!$B$25</f>
        <v>15449400</v>
      </c>
      <c r="J13" s="191">
        <f>SUM(J4:J12)*'DATOS Iniciales y ACLARACIONES'!$B$25</f>
        <v>15449400</v>
      </c>
      <c r="K13" s="191">
        <f>SUM(K4:K12)*'DATOS Iniciales y ACLARACIONES'!$B$25</f>
        <v>15449400</v>
      </c>
      <c r="L13" s="17" t="s">
        <v>22</v>
      </c>
      <c r="M13" s="1"/>
      <c r="N13" s="1"/>
      <c r="O13" s="1"/>
      <c r="P13" s="1"/>
      <c r="Q13" s="1"/>
      <c r="R13" s="1"/>
      <c r="S13" s="1"/>
      <c r="T13" s="1"/>
      <c r="U13" s="1"/>
      <c r="V13" s="1"/>
      <c r="W13" s="1"/>
      <c r="X13" s="1"/>
      <c r="Y13" s="1"/>
      <c r="Z13" s="1"/>
    </row>
    <row r="14" ht="12.75" customHeight="1">
      <c r="A14" s="52"/>
      <c r="B14" s="192"/>
      <c r="C14" s="192"/>
      <c r="D14" s="192"/>
      <c r="E14" s="192"/>
      <c r="F14" s="192"/>
      <c r="G14" s="78"/>
      <c r="H14" s="78"/>
      <c r="I14" s="78"/>
      <c r="J14" s="78"/>
      <c r="K14" s="193"/>
      <c r="L14" s="1"/>
      <c r="M14" s="1"/>
      <c r="N14" s="1"/>
      <c r="O14" s="1"/>
      <c r="P14" s="1"/>
      <c r="Q14" s="1"/>
      <c r="R14" s="1"/>
      <c r="S14" s="1"/>
      <c r="T14" s="1"/>
      <c r="U14" s="1"/>
      <c r="V14" s="1"/>
      <c r="W14" s="1"/>
      <c r="X14" s="1"/>
      <c r="Y14" s="1"/>
      <c r="Z14" s="1"/>
    </row>
    <row r="15" ht="12.75" customHeight="1">
      <c r="A15" s="155" t="s">
        <v>191</v>
      </c>
      <c r="B15" s="124">
        <f t="shared" ref="B15:K15" si="1">SUM(B4:B13)</f>
        <v>535412540</v>
      </c>
      <c r="C15" s="124">
        <f t="shared" si="1"/>
        <v>535412540</v>
      </c>
      <c r="D15" s="124">
        <f t="shared" si="1"/>
        <v>535412540</v>
      </c>
      <c r="E15" s="124">
        <f t="shared" si="1"/>
        <v>535412540</v>
      </c>
      <c r="F15" s="124">
        <f t="shared" si="1"/>
        <v>535412540</v>
      </c>
      <c r="G15" s="124">
        <f t="shared" si="1"/>
        <v>530429400</v>
      </c>
      <c r="H15" s="124">
        <f t="shared" si="1"/>
        <v>530429400</v>
      </c>
      <c r="I15" s="124">
        <f t="shared" si="1"/>
        <v>530429400</v>
      </c>
      <c r="J15" s="124">
        <f t="shared" si="1"/>
        <v>530429400</v>
      </c>
      <c r="K15" s="124">
        <f t="shared" si="1"/>
        <v>530429400</v>
      </c>
      <c r="L15" s="1"/>
      <c r="M15" s="1"/>
      <c r="N15" s="1"/>
      <c r="O15" s="1"/>
      <c r="P15" s="1"/>
      <c r="Q15" s="1"/>
      <c r="R15" s="1"/>
      <c r="S15" s="1"/>
      <c r="T15" s="1"/>
      <c r="U15" s="1"/>
      <c r="V15" s="1"/>
      <c r="W15" s="1"/>
      <c r="X15" s="1"/>
      <c r="Y15" s="1"/>
      <c r="Z15" s="1"/>
    </row>
    <row r="16" ht="12.75" customHeight="1">
      <c r="A16" s="155"/>
      <c r="B16" s="194"/>
      <c r="C16" s="194"/>
      <c r="D16" s="194"/>
      <c r="E16" s="194"/>
      <c r="F16" s="194"/>
      <c r="G16" s="194"/>
      <c r="H16" s="194"/>
      <c r="I16" s="194"/>
      <c r="J16" s="194"/>
      <c r="K16" s="195"/>
      <c r="L16" s="170"/>
      <c r="M16" s="1"/>
      <c r="N16" s="1"/>
      <c r="O16" s="1"/>
      <c r="P16" s="1"/>
      <c r="Q16" s="1"/>
      <c r="R16" s="1"/>
      <c r="S16" s="1"/>
      <c r="T16" s="1"/>
      <c r="U16" s="1"/>
      <c r="V16" s="1"/>
      <c r="W16" s="1"/>
      <c r="X16" s="1"/>
      <c r="Y16" s="1"/>
      <c r="Z16" s="1"/>
    </row>
    <row r="17" ht="12.75" customHeight="1">
      <c r="A17" s="155" t="s">
        <v>192</v>
      </c>
      <c r="B17" s="124">
        <f t="shared" ref="B17:K17" si="2">SUMIF($L$4:$L$13,"VARIABLE",B4:B13)</f>
        <v>522594540</v>
      </c>
      <c r="C17" s="124">
        <f t="shared" si="2"/>
        <v>522594540</v>
      </c>
      <c r="D17" s="124">
        <f t="shared" si="2"/>
        <v>522594540</v>
      </c>
      <c r="E17" s="124">
        <f t="shared" si="2"/>
        <v>522594540</v>
      </c>
      <c r="F17" s="124">
        <f t="shared" si="2"/>
        <v>522594540</v>
      </c>
      <c r="G17" s="124">
        <f t="shared" si="2"/>
        <v>522449400</v>
      </c>
      <c r="H17" s="124">
        <f t="shared" si="2"/>
        <v>522449400</v>
      </c>
      <c r="I17" s="124">
        <f t="shared" si="2"/>
        <v>522449400</v>
      </c>
      <c r="J17" s="124">
        <f t="shared" si="2"/>
        <v>522449400</v>
      </c>
      <c r="K17" s="124">
        <f t="shared" si="2"/>
        <v>522449400</v>
      </c>
      <c r="L17" s="170"/>
      <c r="M17" s="1"/>
      <c r="N17" s="1"/>
      <c r="O17" s="1"/>
      <c r="P17" s="1"/>
      <c r="Q17" s="1"/>
      <c r="R17" s="1"/>
      <c r="S17" s="1"/>
      <c r="T17" s="1"/>
      <c r="U17" s="1"/>
      <c r="V17" s="1"/>
      <c r="W17" s="1"/>
      <c r="X17" s="1"/>
      <c r="Y17" s="1"/>
      <c r="Z17" s="1"/>
    </row>
    <row r="18" ht="12.75" customHeight="1">
      <c r="A18" s="160" t="s">
        <v>193</v>
      </c>
      <c r="B18" s="138">
        <f t="shared" ref="B18:K18" si="3">B15-B17</f>
        <v>12818000</v>
      </c>
      <c r="C18" s="138">
        <f t="shared" si="3"/>
        <v>12818000</v>
      </c>
      <c r="D18" s="138">
        <f t="shared" si="3"/>
        <v>12818000</v>
      </c>
      <c r="E18" s="138">
        <f t="shared" si="3"/>
        <v>12818000</v>
      </c>
      <c r="F18" s="138">
        <f t="shared" si="3"/>
        <v>12818000</v>
      </c>
      <c r="G18" s="138">
        <f t="shared" si="3"/>
        <v>7980000</v>
      </c>
      <c r="H18" s="138">
        <f t="shared" si="3"/>
        <v>7980000</v>
      </c>
      <c r="I18" s="138">
        <f t="shared" si="3"/>
        <v>7980000</v>
      </c>
      <c r="J18" s="138">
        <f t="shared" si="3"/>
        <v>7980000</v>
      </c>
      <c r="K18" s="138">
        <f t="shared" si="3"/>
        <v>7980000</v>
      </c>
      <c r="L18" s="170"/>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90"/>
      <c r="B21" s="84" t="s">
        <v>194</v>
      </c>
      <c r="C21" s="141"/>
      <c r="D21" s="141"/>
      <c r="E21" s="141"/>
      <c r="F21" s="141"/>
      <c r="G21" s="141"/>
      <c r="H21" s="141"/>
      <c r="I21" s="141"/>
      <c r="J21" s="141"/>
      <c r="K21" s="142"/>
      <c r="L21" s="1"/>
      <c r="M21" s="1"/>
      <c r="N21" s="1"/>
      <c r="O21" s="1"/>
      <c r="P21" s="1"/>
      <c r="Q21" s="1"/>
      <c r="R21" s="1"/>
      <c r="S21" s="1"/>
      <c r="T21" s="1"/>
      <c r="U21" s="1"/>
      <c r="V21" s="1"/>
      <c r="W21" s="1"/>
      <c r="X21" s="1"/>
      <c r="Y21" s="1"/>
      <c r="Z21" s="1"/>
    </row>
    <row r="22" ht="12.75" customHeight="1">
      <c r="A22" s="186" t="s">
        <v>121</v>
      </c>
      <c r="B22" s="25" t="s">
        <v>43</v>
      </c>
      <c r="C22" s="25" t="s">
        <v>44</v>
      </c>
      <c r="D22" s="25" t="s">
        <v>45</v>
      </c>
      <c r="E22" s="25" t="s">
        <v>46</v>
      </c>
      <c r="F22" s="25" t="s">
        <v>47</v>
      </c>
      <c r="G22" s="25" t="s">
        <v>48</v>
      </c>
      <c r="H22" s="25" t="s">
        <v>49</v>
      </c>
      <c r="I22" s="25" t="s">
        <v>50</v>
      </c>
      <c r="J22" s="25" t="s">
        <v>51</v>
      </c>
      <c r="K22" s="120" t="s">
        <v>52</v>
      </c>
      <c r="L22" s="120" t="s">
        <v>150</v>
      </c>
      <c r="M22" s="1"/>
      <c r="N22" s="1"/>
      <c r="O22" s="1"/>
      <c r="P22" s="1"/>
      <c r="Q22" s="1"/>
      <c r="R22" s="1"/>
      <c r="S22" s="1"/>
      <c r="T22" s="1"/>
      <c r="U22" s="1"/>
      <c r="V22" s="1"/>
      <c r="W22" s="1"/>
      <c r="X22" s="1"/>
      <c r="Y22" s="1"/>
      <c r="Z22" s="1"/>
    </row>
    <row r="23" ht="12.75" customHeight="1">
      <c r="A23" s="196" t="s">
        <v>195</v>
      </c>
      <c r="B23" s="197">
        <f t="shared" ref="B23:K23" si="4">(2*13*1.25*3000000)+(4*13*1.25*1200000)</f>
        <v>175500000</v>
      </c>
      <c r="C23" s="197">
        <f t="shared" si="4"/>
        <v>175500000</v>
      </c>
      <c r="D23" s="197">
        <f t="shared" si="4"/>
        <v>175500000</v>
      </c>
      <c r="E23" s="197">
        <f t="shared" si="4"/>
        <v>175500000</v>
      </c>
      <c r="F23" s="197">
        <f t="shared" si="4"/>
        <v>175500000</v>
      </c>
      <c r="G23" s="197">
        <f t="shared" si="4"/>
        <v>175500000</v>
      </c>
      <c r="H23" s="197">
        <f t="shared" si="4"/>
        <v>175500000</v>
      </c>
      <c r="I23" s="197">
        <f t="shared" si="4"/>
        <v>175500000</v>
      </c>
      <c r="J23" s="197">
        <f t="shared" si="4"/>
        <v>175500000</v>
      </c>
      <c r="K23" s="197">
        <f t="shared" si="4"/>
        <v>175500000</v>
      </c>
      <c r="L23" s="148" t="s">
        <v>152</v>
      </c>
      <c r="M23" s="1"/>
      <c r="N23" s="1"/>
      <c r="O23" s="1"/>
      <c r="P23" s="1"/>
      <c r="Q23" s="1"/>
      <c r="R23" s="1"/>
      <c r="S23" s="1"/>
      <c r="T23" s="1"/>
      <c r="U23" s="1"/>
      <c r="V23" s="1"/>
      <c r="W23" s="1"/>
      <c r="X23" s="1"/>
      <c r="Y23" s="1"/>
      <c r="Z23" s="1"/>
    </row>
    <row r="24" ht="12.75" customHeight="1">
      <c r="A24" s="198" t="s">
        <v>183</v>
      </c>
      <c r="B24" s="151">
        <f>'Inv AF'!E82</f>
        <v>25636000</v>
      </c>
      <c r="C24" s="151">
        <f>'Inv AF'!F82</f>
        <v>25636000</v>
      </c>
      <c r="D24" s="151">
        <f>'Inv AF'!G82</f>
        <v>25636000</v>
      </c>
      <c r="E24" s="151">
        <f>'Inv AF'!H82</f>
        <v>25636000</v>
      </c>
      <c r="F24" s="151">
        <f>'Inv AF'!I82</f>
        <v>25636000</v>
      </c>
      <c r="G24" s="151">
        <f>'Inv AF'!J82</f>
        <v>15960000</v>
      </c>
      <c r="H24" s="151">
        <f>'Inv AF'!K82</f>
        <v>15960000</v>
      </c>
      <c r="I24" s="151">
        <f>'Inv AF'!L82</f>
        <v>15960000</v>
      </c>
      <c r="J24" s="151">
        <f>'Inv AF'!M82</f>
        <v>15960000</v>
      </c>
      <c r="K24" s="151">
        <f>'Inv AF'!N82</f>
        <v>15960000</v>
      </c>
      <c r="L24" s="17" t="s">
        <v>152</v>
      </c>
      <c r="M24" s="1"/>
      <c r="N24" s="1"/>
      <c r="O24" s="1"/>
      <c r="P24" s="1"/>
      <c r="Q24" s="1"/>
      <c r="R24" s="1"/>
      <c r="S24" s="1"/>
      <c r="T24" s="1"/>
      <c r="U24" s="1"/>
      <c r="V24" s="1"/>
      <c r="W24" s="1"/>
      <c r="X24" s="1"/>
      <c r="Y24" s="1"/>
      <c r="Z24" s="1"/>
    </row>
    <row r="25" ht="12.75" customHeight="1">
      <c r="A25" s="198" t="s">
        <v>196</v>
      </c>
      <c r="B25" s="150">
        <f>'CTV y CResult'!B13*0.15</f>
        <v>595980000</v>
      </c>
      <c r="C25" s="150">
        <f>'CTV y CResult'!C13*0.15</f>
        <v>681030000</v>
      </c>
      <c r="D25" s="150">
        <f>'CTV y CResult'!D13*0.15</f>
        <v>709380000</v>
      </c>
      <c r="E25" s="150">
        <f>'CTV y CResult'!E13*0.15</f>
        <v>739935000</v>
      </c>
      <c r="F25" s="150">
        <f>'CTV y CResult'!F13*0.15</f>
        <v>775215000</v>
      </c>
      <c r="G25" s="150">
        <f>'CTV y CResult'!G13*0.15</f>
        <v>811755000</v>
      </c>
      <c r="H25" s="150">
        <f>'CTV y CResult'!H13*0.15</f>
        <v>850500000</v>
      </c>
      <c r="I25" s="150">
        <f>'CTV y CResult'!I13*0.15</f>
        <v>890820000</v>
      </c>
      <c r="J25" s="150">
        <f>'CTV y CResult'!J13*0.15</f>
        <v>932715000</v>
      </c>
      <c r="K25" s="150">
        <f>'CTV y CResult'!K13*0.15</f>
        <v>976815000</v>
      </c>
      <c r="L25" s="189" t="s">
        <v>22</v>
      </c>
      <c r="M25" s="1"/>
      <c r="N25" s="1"/>
      <c r="O25" s="1"/>
      <c r="P25" s="1"/>
      <c r="Q25" s="1"/>
      <c r="R25" s="1"/>
      <c r="S25" s="1"/>
      <c r="T25" s="1"/>
      <c r="U25" s="1"/>
      <c r="V25" s="1"/>
      <c r="W25" s="1"/>
      <c r="X25" s="1"/>
      <c r="Y25" s="1"/>
      <c r="Z25" s="1"/>
    </row>
    <row r="26" ht="12.75" customHeight="1">
      <c r="A26" s="198" t="s">
        <v>197</v>
      </c>
      <c r="B26" s="150">
        <f>9600000+3*1300000 + 7920000 + 2820000</f>
        <v>24240000</v>
      </c>
      <c r="C26" s="150">
        <f t="shared" ref="C26:K26" si="5">800000+7920000 + 2820000</f>
        <v>11540000</v>
      </c>
      <c r="D26" s="150">
        <f t="shared" si="5"/>
        <v>11540000</v>
      </c>
      <c r="E26" s="150">
        <f t="shared" si="5"/>
        <v>11540000</v>
      </c>
      <c r="F26" s="150">
        <f t="shared" si="5"/>
        <v>11540000</v>
      </c>
      <c r="G26" s="150">
        <f t="shared" si="5"/>
        <v>11540000</v>
      </c>
      <c r="H26" s="150">
        <f t="shared" si="5"/>
        <v>11540000</v>
      </c>
      <c r="I26" s="150">
        <f t="shared" si="5"/>
        <v>11540000</v>
      </c>
      <c r="J26" s="150">
        <f t="shared" si="5"/>
        <v>11540000</v>
      </c>
      <c r="K26" s="150">
        <f t="shared" si="5"/>
        <v>11540000</v>
      </c>
      <c r="L26" s="17" t="s">
        <v>152</v>
      </c>
      <c r="M26" s="1"/>
      <c r="N26" s="1"/>
      <c r="O26" s="1"/>
      <c r="P26" s="1"/>
      <c r="Q26" s="1"/>
      <c r="R26" s="1"/>
      <c r="S26" s="1"/>
      <c r="T26" s="1"/>
      <c r="U26" s="1"/>
      <c r="V26" s="1"/>
      <c r="W26" s="1"/>
      <c r="X26" s="1"/>
      <c r="Y26" s="1"/>
      <c r="Z26" s="1"/>
    </row>
    <row r="27" ht="12.75" customHeight="1">
      <c r="A27" s="198" t="s">
        <v>198</v>
      </c>
      <c r="B27" s="150"/>
      <c r="C27" s="150"/>
      <c r="D27" s="150"/>
      <c r="E27" s="150"/>
      <c r="F27" s="150"/>
      <c r="G27" s="150"/>
      <c r="H27" s="150"/>
      <c r="I27" s="150"/>
      <c r="J27" s="150"/>
      <c r="K27" s="188"/>
      <c r="L27" s="17" t="s">
        <v>152</v>
      </c>
      <c r="M27" s="1"/>
      <c r="N27" s="1"/>
      <c r="O27" s="1"/>
      <c r="P27" s="1"/>
      <c r="Q27" s="1"/>
      <c r="R27" s="1"/>
      <c r="S27" s="1"/>
      <c r="T27" s="1"/>
      <c r="U27" s="1"/>
      <c r="V27" s="1"/>
      <c r="W27" s="1"/>
      <c r="X27" s="1"/>
      <c r="Y27" s="1"/>
      <c r="Z27" s="1"/>
    </row>
    <row r="28" ht="12.75" customHeight="1">
      <c r="A28" s="198" t="s">
        <v>189</v>
      </c>
      <c r="B28" s="150"/>
      <c r="C28" s="150"/>
      <c r="D28" s="150"/>
      <c r="E28" s="150"/>
      <c r="F28" s="150"/>
      <c r="G28" s="150"/>
      <c r="H28" s="150"/>
      <c r="I28" s="150"/>
      <c r="J28" s="150"/>
      <c r="K28" s="188"/>
      <c r="L28" s="17" t="s">
        <v>152</v>
      </c>
      <c r="M28" s="1"/>
      <c r="N28" s="1"/>
      <c r="O28" s="1"/>
      <c r="P28" s="1"/>
      <c r="Q28" s="1"/>
      <c r="R28" s="1"/>
      <c r="S28" s="1"/>
      <c r="T28" s="1"/>
      <c r="U28" s="1"/>
      <c r="V28" s="1"/>
      <c r="W28" s="1"/>
      <c r="X28" s="1"/>
      <c r="Y28" s="1"/>
      <c r="Z28" s="1"/>
    </row>
    <row r="29" ht="12.75" customHeight="1">
      <c r="A29" s="198" t="s">
        <v>199</v>
      </c>
      <c r="B29" s="150"/>
      <c r="C29" s="150"/>
      <c r="D29" s="150"/>
      <c r="E29" s="150"/>
      <c r="F29" s="150"/>
      <c r="G29" s="150"/>
      <c r="H29" s="150"/>
      <c r="I29" s="150"/>
      <c r="J29" s="150"/>
      <c r="K29" s="188"/>
      <c r="L29" s="17" t="s">
        <v>152</v>
      </c>
      <c r="M29" s="1"/>
      <c r="N29" s="1"/>
      <c r="O29" s="1"/>
      <c r="P29" s="1"/>
      <c r="Q29" s="1"/>
      <c r="R29" s="1"/>
      <c r="S29" s="1"/>
      <c r="T29" s="1"/>
      <c r="U29" s="1"/>
      <c r="V29" s="1"/>
      <c r="W29" s="1"/>
      <c r="X29" s="1"/>
      <c r="Y29" s="1"/>
      <c r="Z29" s="1"/>
    </row>
    <row r="30" ht="12.75" customHeight="1">
      <c r="A30" s="198" t="s">
        <v>200</v>
      </c>
      <c r="B30" s="150"/>
      <c r="C30" s="150"/>
      <c r="D30" s="150"/>
      <c r="E30" s="150"/>
      <c r="F30" s="150"/>
      <c r="G30" s="150"/>
      <c r="H30" s="150"/>
      <c r="I30" s="150"/>
      <c r="J30" s="150"/>
      <c r="K30" s="188"/>
      <c r="L30" s="17" t="s">
        <v>152</v>
      </c>
      <c r="M30" s="1"/>
      <c r="N30" s="1"/>
      <c r="O30" s="1"/>
      <c r="P30" s="1"/>
      <c r="Q30" s="1"/>
      <c r="R30" s="1"/>
      <c r="S30" s="1"/>
      <c r="T30" s="1"/>
      <c r="U30" s="1"/>
      <c r="V30" s="1"/>
      <c r="W30" s="1"/>
      <c r="X30" s="1"/>
      <c r="Y30" s="1"/>
      <c r="Z30" s="1"/>
    </row>
    <row r="31" ht="12.75" customHeight="1">
      <c r="A31" s="198" t="s">
        <v>190</v>
      </c>
      <c r="B31" s="150"/>
      <c r="C31" s="150"/>
      <c r="D31" s="150"/>
      <c r="E31" s="150"/>
      <c r="F31" s="150"/>
      <c r="G31" s="150"/>
      <c r="H31" s="150"/>
      <c r="I31" s="150"/>
      <c r="J31" s="150"/>
      <c r="K31" s="188"/>
      <c r="L31" s="17" t="s">
        <v>152</v>
      </c>
      <c r="M31" s="1"/>
      <c r="N31" s="1"/>
      <c r="O31" s="1"/>
      <c r="P31" s="1"/>
      <c r="Q31" s="1"/>
      <c r="R31" s="1"/>
      <c r="S31" s="1"/>
      <c r="T31" s="1"/>
      <c r="U31" s="1"/>
      <c r="V31" s="1"/>
      <c r="W31" s="1"/>
      <c r="X31" s="1"/>
      <c r="Y31" s="1"/>
      <c r="Z31" s="1"/>
    </row>
    <row r="32" ht="12.75" customHeight="1">
      <c r="A32" s="198" t="s">
        <v>188</v>
      </c>
      <c r="B32" s="150"/>
      <c r="C32" s="150"/>
      <c r="D32" s="150"/>
      <c r="E32" s="150"/>
      <c r="F32" s="150"/>
      <c r="G32" s="150"/>
      <c r="H32" s="150"/>
      <c r="I32" s="150"/>
      <c r="J32" s="150"/>
      <c r="K32" s="188"/>
      <c r="L32" s="17" t="s">
        <v>152</v>
      </c>
      <c r="M32" s="1"/>
      <c r="N32" s="1"/>
      <c r="O32" s="1"/>
      <c r="P32" s="1"/>
      <c r="Q32" s="1"/>
      <c r="R32" s="1"/>
      <c r="S32" s="1"/>
      <c r="T32" s="1"/>
      <c r="U32" s="1"/>
      <c r="V32" s="1"/>
      <c r="W32" s="1"/>
      <c r="X32" s="1"/>
      <c r="Y32" s="1"/>
      <c r="Z32" s="1"/>
    </row>
    <row r="33" ht="12.75" customHeight="1">
      <c r="A33" s="198" t="s">
        <v>88</v>
      </c>
      <c r="B33" s="190">
        <f>SUM(B23:B32)*'DATOS Iniciales y ACLARACIONES'!$B$25</f>
        <v>24640680</v>
      </c>
      <c r="C33" s="191">
        <f>SUM(C23:C32)*'DATOS Iniciales y ACLARACIONES'!$B$25</f>
        <v>26811180</v>
      </c>
      <c r="D33" s="191">
        <f>SUM(D23:D32)*'DATOS Iniciales y ACLARACIONES'!$B$25</f>
        <v>27661680</v>
      </c>
      <c r="E33" s="191">
        <f>SUM(E23:E32)*'DATOS Iniciales y ACLARACIONES'!$B$25</f>
        <v>28578330</v>
      </c>
      <c r="F33" s="191">
        <f>SUM(F23:F32)*'DATOS Iniciales y ACLARACIONES'!$B$25</f>
        <v>29636730</v>
      </c>
      <c r="G33" s="191">
        <f>SUM(G23:G32)*'DATOS Iniciales y ACLARACIONES'!$B$25</f>
        <v>30442650</v>
      </c>
      <c r="H33" s="191">
        <f>SUM(H23:H32)*'DATOS Iniciales y ACLARACIONES'!$B$25</f>
        <v>31605000</v>
      </c>
      <c r="I33" s="191">
        <f>SUM(I23:I32)*'DATOS Iniciales y ACLARACIONES'!$B$25</f>
        <v>32814600</v>
      </c>
      <c r="J33" s="191">
        <f>SUM(J23:J32)*'DATOS Iniciales y ACLARACIONES'!$B$25</f>
        <v>34071450</v>
      </c>
      <c r="K33" s="191">
        <f>SUM(K23:K32)*'DATOS Iniciales y ACLARACIONES'!$B$25</f>
        <v>35394450</v>
      </c>
      <c r="L33" s="17" t="s">
        <v>152</v>
      </c>
      <c r="M33" s="1"/>
      <c r="N33" s="1"/>
      <c r="O33" s="1"/>
      <c r="P33" s="1"/>
      <c r="Q33" s="1"/>
      <c r="R33" s="1"/>
      <c r="S33" s="1"/>
      <c r="T33" s="1"/>
      <c r="U33" s="1"/>
      <c r="V33" s="1"/>
      <c r="W33" s="1"/>
      <c r="X33" s="1"/>
      <c r="Y33" s="1"/>
      <c r="Z33" s="1"/>
    </row>
    <row r="34" ht="12.75" customHeight="1">
      <c r="A34" s="52"/>
      <c r="B34" s="199"/>
      <c r="C34" s="199"/>
      <c r="D34" s="199"/>
      <c r="E34" s="199"/>
      <c r="F34" s="199"/>
      <c r="G34" s="199"/>
      <c r="H34" s="199"/>
      <c r="I34" s="199"/>
      <c r="J34" s="199"/>
      <c r="K34" s="199"/>
      <c r="L34" s="1"/>
      <c r="M34" s="1"/>
      <c r="N34" s="1"/>
      <c r="O34" s="1"/>
      <c r="P34" s="1"/>
      <c r="Q34" s="1"/>
      <c r="R34" s="1"/>
      <c r="S34" s="1"/>
      <c r="T34" s="1"/>
      <c r="U34" s="1"/>
      <c r="V34" s="1"/>
      <c r="W34" s="1"/>
      <c r="X34" s="1"/>
      <c r="Y34" s="1"/>
      <c r="Z34" s="1"/>
    </row>
    <row r="35" ht="12.75" customHeight="1">
      <c r="A35" s="155" t="s">
        <v>201</v>
      </c>
      <c r="B35" s="124">
        <f t="shared" ref="B35:K35" si="6">SUM(B23:B33)</f>
        <v>845996680</v>
      </c>
      <c r="C35" s="124">
        <f t="shared" si="6"/>
        <v>920517180</v>
      </c>
      <c r="D35" s="124">
        <f t="shared" si="6"/>
        <v>949717680</v>
      </c>
      <c r="E35" s="124">
        <f t="shared" si="6"/>
        <v>981189330</v>
      </c>
      <c r="F35" s="124">
        <f t="shared" si="6"/>
        <v>1017527730</v>
      </c>
      <c r="G35" s="124">
        <f t="shared" si="6"/>
        <v>1045197650</v>
      </c>
      <c r="H35" s="124">
        <f t="shared" si="6"/>
        <v>1085105000</v>
      </c>
      <c r="I35" s="124">
        <f t="shared" si="6"/>
        <v>1126634600</v>
      </c>
      <c r="J35" s="124">
        <f t="shared" si="6"/>
        <v>1169786450</v>
      </c>
      <c r="K35" s="124">
        <f t="shared" si="6"/>
        <v>1215209450</v>
      </c>
      <c r="L35" s="1"/>
      <c r="M35" s="1"/>
      <c r="N35" s="1"/>
      <c r="O35" s="1"/>
      <c r="P35" s="1"/>
      <c r="Q35" s="1"/>
      <c r="R35" s="1"/>
      <c r="S35" s="1"/>
      <c r="T35" s="1"/>
      <c r="U35" s="1"/>
      <c r="V35" s="1"/>
      <c r="W35" s="1"/>
      <c r="X35" s="1"/>
      <c r="Y35" s="1"/>
      <c r="Z35" s="1"/>
    </row>
    <row r="36" ht="12.75" customHeight="1">
      <c r="A36" s="155"/>
      <c r="B36" s="108"/>
      <c r="C36" s="108"/>
      <c r="D36" s="108"/>
      <c r="E36" s="108"/>
      <c r="F36" s="108"/>
      <c r="G36" s="108"/>
      <c r="H36" s="108"/>
      <c r="I36" s="108"/>
      <c r="J36" s="108"/>
      <c r="K36" s="108"/>
      <c r="L36" s="1"/>
      <c r="M36" s="1"/>
      <c r="N36" s="1"/>
      <c r="O36" s="1"/>
      <c r="P36" s="1"/>
      <c r="Q36" s="1"/>
      <c r="R36" s="1"/>
      <c r="S36" s="1"/>
      <c r="T36" s="1"/>
      <c r="U36" s="1"/>
      <c r="V36" s="1"/>
      <c r="W36" s="1"/>
      <c r="X36" s="1"/>
      <c r="Y36" s="1"/>
      <c r="Z36" s="1"/>
    </row>
    <row r="37" ht="12.75" customHeight="1">
      <c r="A37" s="155" t="s">
        <v>192</v>
      </c>
      <c r="B37" s="124">
        <f t="shared" ref="B37:K37" si="7">SUMIF($L$23:$L$33,"VARIABLE",B23:B33)</f>
        <v>595980000</v>
      </c>
      <c r="C37" s="124">
        <f t="shared" si="7"/>
        <v>681030000</v>
      </c>
      <c r="D37" s="124">
        <f t="shared" si="7"/>
        <v>709380000</v>
      </c>
      <c r="E37" s="124">
        <f t="shared" si="7"/>
        <v>739935000</v>
      </c>
      <c r="F37" s="124">
        <f t="shared" si="7"/>
        <v>775215000</v>
      </c>
      <c r="G37" s="124">
        <f t="shared" si="7"/>
        <v>811755000</v>
      </c>
      <c r="H37" s="124">
        <f t="shared" si="7"/>
        <v>850500000</v>
      </c>
      <c r="I37" s="124">
        <f t="shared" si="7"/>
        <v>890820000</v>
      </c>
      <c r="J37" s="124">
        <f t="shared" si="7"/>
        <v>932715000</v>
      </c>
      <c r="K37" s="124">
        <f t="shared" si="7"/>
        <v>976815000</v>
      </c>
      <c r="L37" s="1"/>
      <c r="M37" s="1"/>
      <c r="N37" s="1"/>
      <c r="O37" s="1"/>
      <c r="P37" s="1"/>
      <c r="Q37" s="1"/>
      <c r="R37" s="1"/>
      <c r="S37" s="1"/>
      <c r="T37" s="1"/>
      <c r="U37" s="1"/>
      <c r="V37" s="1"/>
      <c r="W37" s="1"/>
      <c r="X37" s="1"/>
      <c r="Y37" s="1"/>
      <c r="Z37" s="1"/>
    </row>
    <row r="38" ht="12.75" customHeight="1">
      <c r="A38" s="160" t="s">
        <v>193</v>
      </c>
      <c r="B38" s="138">
        <f t="shared" ref="B38:K38" si="8">B35-B37</f>
        <v>250016680</v>
      </c>
      <c r="C38" s="138">
        <f t="shared" si="8"/>
        <v>239487180</v>
      </c>
      <c r="D38" s="138">
        <f t="shared" si="8"/>
        <v>240337680</v>
      </c>
      <c r="E38" s="138">
        <f t="shared" si="8"/>
        <v>241254330</v>
      </c>
      <c r="F38" s="138">
        <f t="shared" si="8"/>
        <v>242312730</v>
      </c>
      <c r="G38" s="138">
        <f t="shared" si="8"/>
        <v>233442650</v>
      </c>
      <c r="H38" s="138">
        <f t="shared" si="8"/>
        <v>234605000</v>
      </c>
      <c r="I38" s="138">
        <f t="shared" si="8"/>
        <v>235814600</v>
      </c>
      <c r="J38" s="138">
        <f t="shared" si="8"/>
        <v>237071450</v>
      </c>
      <c r="K38" s="138">
        <f t="shared" si="8"/>
        <v>238394450</v>
      </c>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90"/>
      <c r="B40" s="84" t="s">
        <v>202</v>
      </c>
      <c r="C40" s="141"/>
      <c r="D40" s="141"/>
      <c r="E40" s="141"/>
      <c r="F40" s="141"/>
      <c r="G40" s="141"/>
      <c r="H40" s="141"/>
      <c r="I40" s="141"/>
      <c r="J40" s="141"/>
      <c r="K40" s="142"/>
      <c r="L40" s="1"/>
      <c r="M40" s="1"/>
      <c r="N40" s="1"/>
      <c r="O40" s="1"/>
      <c r="P40" s="1"/>
      <c r="Q40" s="1"/>
      <c r="R40" s="1"/>
      <c r="S40" s="1"/>
      <c r="T40" s="1"/>
      <c r="U40" s="1"/>
      <c r="V40" s="1"/>
      <c r="W40" s="1"/>
      <c r="X40" s="1"/>
      <c r="Y40" s="1"/>
      <c r="Z40" s="1"/>
    </row>
    <row r="41" ht="12.75" customHeight="1">
      <c r="A41" s="186" t="s">
        <v>121</v>
      </c>
      <c r="B41" s="25" t="s">
        <v>43</v>
      </c>
      <c r="C41" s="25" t="s">
        <v>44</v>
      </c>
      <c r="D41" s="25" t="s">
        <v>45</v>
      </c>
      <c r="E41" s="25" t="s">
        <v>46</v>
      </c>
      <c r="F41" s="25" t="s">
        <v>47</v>
      </c>
      <c r="G41" s="25" t="s">
        <v>48</v>
      </c>
      <c r="H41" s="25" t="s">
        <v>49</v>
      </c>
      <c r="I41" s="25" t="s">
        <v>50</v>
      </c>
      <c r="J41" s="25" t="s">
        <v>51</v>
      </c>
      <c r="K41" s="120" t="s">
        <v>52</v>
      </c>
      <c r="L41" s="1"/>
      <c r="M41" s="1"/>
      <c r="N41" s="1"/>
      <c r="O41" s="1"/>
      <c r="P41" s="1"/>
      <c r="Q41" s="1"/>
      <c r="R41" s="1"/>
      <c r="S41" s="1"/>
      <c r="T41" s="1"/>
      <c r="U41" s="1"/>
      <c r="V41" s="1"/>
      <c r="W41" s="1"/>
      <c r="X41" s="1"/>
      <c r="Y41" s="1"/>
      <c r="Z41" s="1"/>
    </row>
    <row r="42" ht="12.75" customHeight="1">
      <c r="A42" s="196" t="s">
        <v>203</v>
      </c>
      <c r="B42" s="197"/>
      <c r="C42" s="197"/>
      <c r="D42" s="197"/>
      <c r="E42" s="197"/>
      <c r="F42" s="197"/>
      <c r="G42" s="197"/>
      <c r="H42" s="197"/>
      <c r="I42" s="197"/>
      <c r="J42" s="197"/>
      <c r="K42" s="200"/>
      <c r="L42" s="1"/>
      <c r="M42" s="1"/>
      <c r="N42" s="1"/>
      <c r="O42" s="1"/>
      <c r="P42" s="1"/>
      <c r="Q42" s="1"/>
      <c r="R42" s="1"/>
      <c r="S42" s="1"/>
      <c r="T42" s="1"/>
      <c r="U42" s="1"/>
      <c r="V42" s="1"/>
      <c r="W42" s="1"/>
      <c r="X42" s="1"/>
      <c r="Y42" s="1"/>
      <c r="Z42" s="1"/>
    </row>
    <row r="43" ht="12.75" customHeight="1">
      <c r="A43" s="198" t="s">
        <v>204</v>
      </c>
      <c r="B43" s="151">
        <f>'Inv AF'!E84</f>
        <v>0</v>
      </c>
      <c r="C43" s="151">
        <f>'Inv AF'!F84</f>
        <v>0</v>
      </c>
      <c r="D43" s="151">
        <f>'Inv AF'!G84</f>
        <v>0</v>
      </c>
      <c r="E43" s="151">
        <f>'Inv AF'!H84</f>
        <v>0</v>
      </c>
      <c r="F43" s="151">
        <f>'Inv AF'!I84</f>
        <v>0</v>
      </c>
      <c r="G43" s="151">
        <f>'Inv AF'!J84</f>
        <v>0</v>
      </c>
      <c r="H43" s="151">
        <f>'Inv AF'!K84</f>
        <v>0</v>
      </c>
      <c r="I43" s="151">
        <f>'Inv AF'!L84</f>
        <v>0</v>
      </c>
      <c r="J43" s="151">
        <f>'Inv AF'!M84</f>
        <v>0</v>
      </c>
      <c r="K43" s="151">
        <f>'Inv AF'!N84</f>
        <v>0</v>
      </c>
      <c r="L43" s="1"/>
      <c r="M43" s="1"/>
      <c r="N43" s="1"/>
      <c r="O43" s="1"/>
      <c r="P43" s="1"/>
      <c r="Q43" s="1"/>
      <c r="R43" s="1"/>
      <c r="S43" s="1"/>
      <c r="T43" s="1"/>
      <c r="U43" s="1"/>
      <c r="V43" s="1"/>
      <c r="W43" s="1"/>
      <c r="X43" s="1"/>
      <c r="Y43" s="1"/>
      <c r="Z43" s="1"/>
    </row>
    <row r="44" ht="12.75" customHeight="1">
      <c r="A44" s="198" t="s">
        <v>205</v>
      </c>
      <c r="B44" s="150"/>
      <c r="C44" s="150"/>
      <c r="D44" s="150"/>
      <c r="E44" s="150"/>
      <c r="F44" s="150"/>
      <c r="G44" s="150"/>
      <c r="H44" s="150"/>
      <c r="I44" s="150"/>
      <c r="J44" s="150"/>
      <c r="K44" s="188"/>
      <c r="L44" s="1"/>
      <c r="M44" s="1"/>
      <c r="N44" s="1"/>
      <c r="O44" s="1"/>
      <c r="P44" s="1"/>
      <c r="Q44" s="1"/>
      <c r="R44" s="1"/>
      <c r="S44" s="1"/>
      <c r="T44" s="1"/>
      <c r="U44" s="1"/>
      <c r="V44" s="1"/>
      <c r="W44" s="1"/>
      <c r="X44" s="1"/>
      <c r="Y44" s="1"/>
      <c r="Z44" s="1"/>
    </row>
    <row r="45" ht="12.75" customHeight="1">
      <c r="A45" s="198" t="s">
        <v>206</v>
      </c>
      <c r="B45" s="150"/>
      <c r="C45" s="150"/>
      <c r="D45" s="150"/>
      <c r="E45" s="150"/>
      <c r="F45" s="150"/>
      <c r="G45" s="150"/>
      <c r="H45" s="150"/>
      <c r="I45" s="150"/>
      <c r="J45" s="150"/>
      <c r="K45" s="188"/>
      <c r="L45" s="1"/>
      <c r="M45" s="1"/>
      <c r="N45" s="1"/>
      <c r="O45" s="1"/>
      <c r="P45" s="1"/>
      <c r="Q45" s="1"/>
      <c r="R45" s="1"/>
      <c r="S45" s="1"/>
      <c r="T45" s="1"/>
      <c r="U45" s="1"/>
      <c r="V45" s="1"/>
      <c r="W45" s="1"/>
      <c r="X45" s="1"/>
      <c r="Y45" s="1"/>
      <c r="Z45" s="1"/>
    </row>
    <row r="46" ht="12.75" customHeight="1">
      <c r="A46" s="155" t="s">
        <v>207</v>
      </c>
      <c r="B46" s="124">
        <f t="shared" ref="B46:K46" si="9">SUM(B42:B45)</f>
        <v>0</v>
      </c>
      <c r="C46" s="124">
        <f t="shared" si="9"/>
        <v>0</v>
      </c>
      <c r="D46" s="124">
        <f t="shared" si="9"/>
        <v>0</v>
      </c>
      <c r="E46" s="124">
        <f t="shared" si="9"/>
        <v>0</v>
      </c>
      <c r="F46" s="124">
        <f t="shared" si="9"/>
        <v>0</v>
      </c>
      <c r="G46" s="124">
        <f t="shared" si="9"/>
        <v>0</v>
      </c>
      <c r="H46" s="124">
        <f t="shared" si="9"/>
        <v>0</v>
      </c>
      <c r="I46" s="124">
        <f t="shared" si="9"/>
        <v>0</v>
      </c>
      <c r="J46" s="124">
        <f t="shared" si="9"/>
        <v>0</v>
      </c>
      <c r="K46" s="124">
        <f t="shared" si="9"/>
        <v>0</v>
      </c>
      <c r="L46" s="1"/>
      <c r="M46" s="1"/>
      <c r="N46" s="1"/>
      <c r="O46" s="1"/>
      <c r="P46" s="1"/>
      <c r="Q46" s="1"/>
      <c r="R46" s="1"/>
      <c r="S46" s="1"/>
      <c r="T46" s="1"/>
      <c r="U46" s="1"/>
      <c r="V46" s="1"/>
      <c r="W46" s="1"/>
      <c r="X46" s="1"/>
      <c r="Y46" s="1"/>
      <c r="Z46" s="1"/>
    </row>
    <row r="47" ht="12.75" customHeight="1">
      <c r="A47" s="155"/>
      <c r="B47" s="108"/>
      <c r="C47" s="108"/>
      <c r="D47" s="108"/>
      <c r="E47" s="108"/>
      <c r="F47" s="108"/>
      <c r="G47" s="108"/>
      <c r="H47" s="108"/>
      <c r="I47" s="108"/>
      <c r="J47" s="108"/>
      <c r="K47" s="108"/>
      <c r="L47" s="1"/>
      <c r="M47" s="1"/>
      <c r="N47" s="1"/>
      <c r="O47" s="1"/>
      <c r="P47" s="1"/>
      <c r="Q47" s="1"/>
      <c r="R47" s="1"/>
      <c r="S47" s="1"/>
      <c r="T47" s="1"/>
      <c r="U47" s="1"/>
      <c r="V47" s="1"/>
      <c r="W47" s="1"/>
      <c r="X47" s="1"/>
      <c r="Y47" s="1"/>
      <c r="Z47" s="1"/>
    </row>
    <row r="48" ht="12.75" customHeight="1">
      <c r="A48" s="160" t="s">
        <v>193</v>
      </c>
      <c r="B48" s="201">
        <v>1.0</v>
      </c>
      <c r="C48" s="201">
        <v>1.0</v>
      </c>
      <c r="D48" s="201">
        <v>1.0</v>
      </c>
      <c r="E48" s="201">
        <v>1.0</v>
      </c>
      <c r="F48" s="201">
        <v>1.0</v>
      </c>
      <c r="G48" s="201">
        <v>1.0</v>
      </c>
      <c r="H48" s="201">
        <v>1.0</v>
      </c>
      <c r="I48" s="201">
        <v>1.0</v>
      </c>
      <c r="J48" s="201">
        <v>1.0</v>
      </c>
      <c r="K48" s="201">
        <v>1.0</v>
      </c>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K2"/>
    <mergeCell ref="B21:K21"/>
    <mergeCell ref="B40:K40"/>
  </mergeCells>
  <printOptions/>
  <pageMargins bottom="0.24" footer="0.0" header="0.0" left="0.32" right="0.75" top="0.6"/>
  <pageSetup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0"/>
    <col customWidth="1" min="2" max="12" width="19.0"/>
    <col customWidth="1" min="13" max="26" width="10.63"/>
  </cols>
  <sheetData>
    <row r="1" ht="12.75" customHeight="1">
      <c r="A1" s="1"/>
      <c r="B1" s="202">
        <f t="shared" ref="B1:K1" si="1">B4*1000</f>
        <v>1892000000</v>
      </c>
      <c r="C1" s="202">
        <f t="shared" si="1"/>
        <v>2162000000</v>
      </c>
      <c r="D1" s="202">
        <f t="shared" si="1"/>
        <v>2252000000</v>
      </c>
      <c r="E1" s="202">
        <f t="shared" si="1"/>
        <v>2349000000</v>
      </c>
      <c r="F1" s="202">
        <f t="shared" si="1"/>
        <v>2461000000</v>
      </c>
      <c r="G1" s="202">
        <f t="shared" si="1"/>
        <v>2577000000</v>
      </c>
      <c r="H1" s="202">
        <f t="shared" si="1"/>
        <v>2700000000</v>
      </c>
      <c r="I1" s="202">
        <f t="shared" si="1"/>
        <v>2828000000</v>
      </c>
      <c r="J1" s="202">
        <f t="shared" si="1"/>
        <v>2961000000</v>
      </c>
      <c r="K1" s="202">
        <f t="shared" si="1"/>
        <v>3101000000</v>
      </c>
      <c r="L1" s="1"/>
      <c r="M1" s="1"/>
      <c r="N1" s="1"/>
      <c r="O1" s="1"/>
      <c r="P1" s="1"/>
      <c r="Q1" s="1"/>
      <c r="R1" s="1"/>
      <c r="S1" s="1"/>
      <c r="T1" s="1"/>
      <c r="U1" s="1"/>
      <c r="V1" s="1"/>
      <c r="W1" s="1"/>
      <c r="X1" s="1"/>
      <c r="Y1" s="1"/>
      <c r="Z1" s="1"/>
    </row>
    <row r="2" ht="12.75" customHeight="1">
      <c r="A2" s="203" t="s">
        <v>208</v>
      </c>
      <c r="B2" s="141"/>
      <c r="C2" s="141"/>
      <c r="D2" s="141"/>
      <c r="E2" s="141"/>
      <c r="F2" s="141"/>
      <c r="G2" s="141"/>
      <c r="H2" s="141"/>
      <c r="I2" s="141"/>
      <c r="J2" s="141"/>
      <c r="K2" s="142"/>
      <c r="L2" s="1"/>
      <c r="M2" s="1"/>
      <c r="N2" s="1"/>
      <c r="O2" s="1"/>
      <c r="P2" s="1"/>
      <c r="Q2" s="1"/>
      <c r="R2" s="1"/>
      <c r="S2" s="1"/>
      <c r="T2" s="1"/>
      <c r="U2" s="1"/>
      <c r="V2" s="1"/>
      <c r="W2" s="1"/>
      <c r="X2" s="1"/>
      <c r="Y2" s="1"/>
      <c r="Z2" s="1"/>
    </row>
    <row r="3" ht="12.75" customHeight="1">
      <c r="A3" s="204"/>
      <c r="B3" s="205" t="s">
        <v>43</v>
      </c>
      <c r="C3" s="205" t="s">
        <v>44</v>
      </c>
      <c r="D3" s="205" t="s">
        <v>45</v>
      </c>
      <c r="E3" s="205" t="s">
        <v>46</v>
      </c>
      <c r="F3" s="205" t="s">
        <v>47</v>
      </c>
      <c r="G3" s="205" t="s">
        <v>48</v>
      </c>
      <c r="H3" s="205" t="s">
        <v>49</v>
      </c>
      <c r="I3" s="205" t="s">
        <v>50</v>
      </c>
      <c r="J3" s="205" t="s">
        <v>51</v>
      </c>
      <c r="K3" s="206" t="s">
        <v>52</v>
      </c>
      <c r="L3" s="1"/>
      <c r="M3" s="1"/>
      <c r="N3" s="1"/>
      <c r="O3" s="1"/>
      <c r="P3" s="1"/>
      <c r="Q3" s="1"/>
      <c r="R3" s="1"/>
      <c r="S3" s="1"/>
      <c r="T3" s="1"/>
      <c r="U3" s="1"/>
      <c r="V3" s="1"/>
      <c r="W3" s="1"/>
      <c r="X3" s="1"/>
      <c r="Y3" s="1"/>
      <c r="Z3" s="1"/>
    </row>
    <row r="4" ht="12.75" customHeight="1">
      <c r="A4" s="207" t="s">
        <v>209</v>
      </c>
      <c r="B4" s="208">
        <v>1892000.0</v>
      </c>
      <c r="C4" s="208">
        <v>2162000.0</v>
      </c>
      <c r="D4" s="208">
        <v>2252000.0</v>
      </c>
      <c r="E4" s="208">
        <v>2349000.0</v>
      </c>
      <c r="F4" s="208">
        <v>2461000.0</v>
      </c>
      <c r="G4" s="208">
        <v>2577000.0</v>
      </c>
      <c r="H4" s="208">
        <v>2700000.0</v>
      </c>
      <c r="I4" s="208">
        <v>2828000.0</v>
      </c>
      <c r="J4" s="208">
        <v>2961000.0</v>
      </c>
      <c r="K4" s="208">
        <v>3101000.0</v>
      </c>
      <c r="L4" s="1"/>
      <c r="M4" s="1"/>
      <c r="N4" s="1"/>
      <c r="O4" s="1"/>
      <c r="P4" s="1"/>
      <c r="Q4" s="1"/>
      <c r="R4" s="1"/>
      <c r="S4" s="1"/>
      <c r="T4" s="1"/>
      <c r="U4" s="1"/>
      <c r="V4" s="1"/>
      <c r="W4" s="1"/>
      <c r="X4" s="1"/>
      <c r="Y4" s="1"/>
      <c r="Z4" s="1"/>
    </row>
    <row r="5" ht="12.75" customHeight="1">
      <c r="A5" s="207" t="s">
        <v>210</v>
      </c>
      <c r="B5" s="149">
        <v>2100.0</v>
      </c>
      <c r="C5" s="150">
        <v>2100.0</v>
      </c>
      <c r="D5" s="150">
        <v>2100.0</v>
      </c>
      <c r="E5" s="150">
        <v>2100.0</v>
      </c>
      <c r="F5" s="150">
        <v>2100.0</v>
      </c>
      <c r="G5" s="150">
        <v>2100.0</v>
      </c>
      <c r="H5" s="150">
        <v>2100.0</v>
      </c>
      <c r="I5" s="150">
        <v>2100.0</v>
      </c>
      <c r="J5" s="150">
        <v>2100.0</v>
      </c>
      <c r="K5" s="150">
        <v>2100.0</v>
      </c>
      <c r="L5" s="1"/>
      <c r="M5" s="1"/>
      <c r="N5" s="1"/>
      <c r="O5" s="1"/>
      <c r="P5" s="1"/>
      <c r="Q5" s="1"/>
      <c r="R5" s="1"/>
      <c r="S5" s="1"/>
      <c r="T5" s="1"/>
      <c r="U5" s="1"/>
      <c r="V5" s="1"/>
      <c r="W5" s="1"/>
      <c r="X5" s="1"/>
      <c r="Y5" s="1"/>
      <c r="Z5" s="1"/>
    </row>
    <row r="6" ht="12.75" customHeight="1">
      <c r="A6" s="207" t="s">
        <v>211</v>
      </c>
      <c r="B6" s="209"/>
      <c r="C6" s="209"/>
      <c r="D6" s="209"/>
      <c r="E6" s="209"/>
      <c r="F6" s="209"/>
      <c r="G6" s="209"/>
      <c r="H6" s="209"/>
      <c r="I6" s="209"/>
      <c r="J6" s="209"/>
      <c r="K6" s="209"/>
      <c r="L6" s="1"/>
      <c r="M6" s="1"/>
      <c r="N6" s="1"/>
      <c r="O6" s="1"/>
      <c r="P6" s="1"/>
      <c r="Q6" s="1"/>
      <c r="R6" s="1"/>
      <c r="S6" s="1"/>
      <c r="T6" s="1"/>
      <c r="U6" s="1"/>
      <c r="V6" s="1"/>
      <c r="W6" s="1"/>
      <c r="X6" s="1"/>
      <c r="Y6" s="1"/>
      <c r="Z6" s="1"/>
    </row>
    <row r="7" ht="12.75" customHeight="1">
      <c r="A7" s="207" t="s">
        <v>212</v>
      </c>
      <c r="B7" s="149"/>
      <c r="C7" s="150"/>
      <c r="D7" s="150"/>
      <c r="E7" s="150"/>
      <c r="F7" s="150"/>
      <c r="G7" s="150"/>
      <c r="H7" s="150"/>
      <c r="I7" s="150"/>
      <c r="J7" s="150"/>
      <c r="K7" s="150"/>
      <c r="L7" s="1"/>
      <c r="M7" s="1"/>
      <c r="N7" s="1"/>
      <c r="O7" s="1"/>
      <c r="P7" s="1"/>
      <c r="Q7" s="1"/>
      <c r="R7" s="1"/>
      <c r="S7" s="1"/>
      <c r="T7" s="1"/>
      <c r="U7" s="1"/>
      <c r="V7" s="1"/>
      <c r="W7" s="1"/>
      <c r="X7" s="1"/>
      <c r="Y7" s="1"/>
      <c r="Z7" s="1"/>
    </row>
    <row r="8" ht="12.75" customHeight="1">
      <c r="A8" s="207" t="s">
        <v>213</v>
      </c>
      <c r="B8" s="209"/>
      <c r="C8" s="209"/>
      <c r="D8" s="209"/>
      <c r="E8" s="209"/>
      <c r="F8" s="209"/>
      <c r="G8" s="209"/>
      <c r="H8" s="209"/>
      <c r="I8" s="209"/>
      <c r="J8" s="209"/>
      <c r="K8" s="209"/>
      <c r="L8" s="1"/>
      <c r="M8" s="1"/>
      <c r="N8" s="1"/>
      <c r="O8" s="1"/>
      <c r="P8" s="1"/>
      <c r="Q8" s="1"/>
      <c r="R8" s="1"/>
      <c r="S8" s="1"/>
      <c r="T8" s="1"/>
      <c r="U8" s="1"/>
      <c r="V8" s="1"/>
      <c r="W8" s="1"/>
      <c r="X8" s="1"/>
      <c r="Y8" s="1"/>
      <c r="Z8" s="1"/>
    </row>
    <row r="9" ht="12.75" customHeight="1">
      <c r="A9" s="207" t="s">
        <v>214</v>
      </c>
      <c r="B9" s="149"/>
      <c r="C9" s="150"/>
      <c r="D9" s="150"/>
      <c r="E9" s="150"/>
      <c r="F9" s="150"/>
      <c r="G9" s="150"/>
      <c r="H9" s="150"/>
      <c r="I9" s="150"/>
      <c r="J9" s="150"/>
      <c r="K9" s="150"/>
      <c r="L9" s="1"/>
      <c r="M9" s="1"/>
      <c r="N9" s="1"/>
      <c r="O9" s="1"/>
      <c r="P9" s="1"/>
      <c r="Q9" s="1"/>
      <c r="R9" s="1"/>
      <c r="S9" s="1"/>
      <c r="T9" s="1"/>
      <c r="U9" s="1"/>
      <c r="V9" s="1"/>
      <c r="W9" s="1"/>
      <c r="X9" s="1"/>
      <c r="Y9" s="1"/>
      <c r="Z9" s="1"/>
    </row>
    <row r="10" ht="12.75" customHeight="1">
      <c r="A10" s="207" t="s">
        <v>215</v>
      </c>
      <c r="B10" s="210"/>
      <c r="C10" s="210"/>
      <c r="D10" s="210"/>
      <c r="E10" s="210"/>
      <c r="F10" s="210"/>
      <c r="G10" s="210"/>
      <c r="H10" s="210"/>
      <c r="I10" s="210"/>
      <c r="J10" s="210"/>
      <c r="K10" s="210"/>
      <c r="L10" s="1"/>
      <c r="M10" s="1"/>
      <c r="N10" s="1"/>
      <c r="O10" s="1"/>
      <c r="P10" s="1"/>
      <c r="Q10" s="1"/>
      <c r="R10" s="1"/>
      <c r="S10" s="1"/>
      <c r="T10" s="1"/>
      <c r="U10" s="1"/>
      <c r="V10" s="1"/>
      <c r="W10" s="1"/>
      <c r="X10" s="1"/>
      <c r="Y10" s="1"/>
      <c r="Z10" s="1"/>
    </row>
    <row r="11" ht="12.75" customHeight="1">
      <c r="A11" s="207" t="s">
        <v>216</v>
      </c>
      <c r="B11" s="149"/>
      <c r="C11" s="150"/>
      <c r="D11" s="150"/>
      <c r="E11" s="150"/>
      <c r="F11" s="150"/>
      <c r="G11" s="150"/>
      <c r="H11" s="150"/>
      <c r="I11" s="150"/>
      <c r="J11" s="150"/>
      <c r="K11" s="150"/>
      <c r="L11" s="1"/>
      <c r="M11" s="1"/>
      <c r="N11" s="1"/>
      <c r="O11" s="1"/>
      <c r="P11" s="1"/>
      <c r="Q11" s="1"/>
      <c r="R11" s="1"/>
      <c r="S11" s="1"/>
      <c r="T11" s="1"/>
      <c r="U11" s="1"/>
      <c r="V11" s="1"/>
      <c r="W11" s="1"/>
      <c r="X11" s="1"/>
      <c r="Y11" s="1"/>
      <c r="Z11" s="1"/>
    </row>
    <row r="12" ht="12.75" customHeight="1">
      <c r="A12" s="207" t="s">
        <v>217</v>
      </c>
      <c r="B12" s="211"/>
      <c r="C12" s="212"/>
      <c r="D12" s="212"/>
      <c r="E12" s="212"/>
      <c r="F12" s="212"/>
      <c r="G12" s="212"/>
      <c r="H12" s="212"/>
      <c r="I12" s="212"/>
      <c r="J12" s="212"/>
      <c r="K12" s="213"/>
      <c r="L12" s="1"/>
      <c r="M12" s="1"/>
      <c r="N12" s="1"/>
      <c r="O12" s="1"/>
      <c r="P12" s="1"/>
      <c r="Q12" s="1"/>
      <c r="R12" s="1"/>
      <c r="S12" s="1"/>
      <c r="T12" s="1"/>
      <c r="U12" s="1"/>
      <c r="V12" s="1"/>
      <c r="W12" s="1"/>
      <c r="X12" s="1"/>
      <c r="Y12" s="1"/>
      <c r="Z12" s="1"/>
    </row>
    <row r="13" ht="12.75" customHeight="1">
      <c r="A13" s="155" t="s">
        <v>218</v>
      </c>
      <c r="B13" s="133">
        <f t="shared" ref="B13:K13" si="2">+B4*B5+B6*B7+B8*B9+B10*B11+B12</f>
        <v>3973200000</v>
      </c>
      <c r="C13" s="133">
        <f t="shared" si="2"/>
        <v>4540200000</v>
      </c>
      <c r="D13" s="133">
        <f t="shared" si="2"/>
        <v>4729200000</v>
      </c>
      <c r="E13" s="133">
        <f t="shared" si="2"/>
        <v>4932900000</v>
      </c>
      <c r="F13" s="133">
        <f t="shared" si="2"/>
        <v>5168100000</v>
      </c>
      <c r="G13" s="133">
        <f t="shared" si="2"/>
        <v>5411700000</v>
      </c>
      <c r="H13" s="133">
        <f t="shared" si="2"/>
        <v>5670000000</v>
      </c>
      <c r="I13" s="133">
        <f t="shared" si="2"/>
        <v>5938800000</v>
      </c>
      <c r="J13" s="133">
        <f t="shared" si="2"/>
        <v>6218100000</v>
      </c>
      <c r="K13" s="133">
        <f t="shared" si="2"/>
        <v>6512100000</v>
      </c>
      <c r="L13" s="51"/>
      <c r="M13" s="51"/>
      <c r="N13" s="51"/>
      <c r="O13" s="51"/>
      <c r="P13" s="51"/>
      <c r="Q13" s="51"/>
      <c r="R13" s="51"/>
      <c r="S13" s="51"/>
      <c r="T13" s="51"/>
      <c r="U13" s="51"/>
      <c r="V13" s="51"/>
      <c r="W13" s="51"/>
      <c r="X13" s="51"/>
      <c r="Y13" s="51"/>
      <c r="Z13" s="51"/>
    </row>
    <row r="14" ht="6.0" customHeight="1">
      <c r="A14" s="52"/>
      <c r="B14" s="108"/>
      <c r="C14" s="108"/>
      <c r="D14" s="108"/>
      <c r="E14" s="108"/>
      <c r="F14" s="108"/>
      <c r="G14" s="108"/>
      <c r="H14" s="108"/>
      <c r="I14" s="108"/>
      <c r="J14" s="108"/>
      <c r="K14" s="109"/>
      <c r="L14" s="1"/>
      <c r="M14" s="1"/>
      <c r="N14" s="1"/>
      <c r="O14" s="1"/>
      <c r="P14" s="1"/>
      <c r="Q14" s="1"/>
      <c r="R14" s="1"/>
      <c r="S14" s="1"/>
      <c r="T14" s="1"/>
      <c r="U14" s="1"/>
      <c r="V14" s="1"/>
      <c r="W14" s="1"/>
      <c r="X14" s="1"/>
      <c r="Y14" s="1"/>
      <c r="Z14" s="1"/>
    </row>
    <row r="15" ht="12.75" customHeight="1">
      <c r="A15" s="52" t="s">
        <v>219</v>
      </c>
      <c r="B15" s="124">
        <f>CostoPROD!B4</f>
        <v>1004000000</v>
      </c>
      <c r="C15" s="124">
        <f>CostoPROD!C4</f>
        <v>1004000000</v>
      </c>
      <c r="D15" s="124">
        <f>CostoPROD!D4</f>
        <v>1004000000</v>
      </c>
      <c r="E15" s="124">
        <f>CostoPROD!E4</f>
        <v>1004000000</v>
      </c>
      <c r="F15" s="124">
        <f>CostoPROD!F4</f>
        <v>1004000000</v>
      </c>
      <c r="G15" s="124">
        <f>CostoPROD!G4</f>
        <v>1004000000</v>
      </c>
      <c r="H15" s="124">
        <f>CostoPROD!H4</f>
        <v>1004000000</v>
      </c>
      <c r="I15" s="124">
        <f>CostoPROD!I4</f>
        <v>1004000000</v>
      </c>
      <c r="J15" s="124">
        <f>CostoPROD!J4</f>
        <v>1004000000</v>
      </c>
      <c r="K15" s="124">
        <f>CostoPROD!K4</f>
        <v>1004000000</v>
      </c>
      <c r="L15" s="1"/>
      <c r="M15" s="1"/>
      <c r="N15" s="1"/>
      <c r="O15" s="1"/>
      <c r="P15" s="1"/>
      <c r="Q15" s="1"/>
      <c r="R15" s="1"/>
      <c r="S15" s="1"/>
      <c r="T15" s="1"/>
      <c r="U15" s="1"/>
      <c r="V15" s="1"/>
      <c r="W15" s="1"/>
      <c r="X15" s="1"/>
      <c r="Y15" s="1"/>
      <c r="Z15" s="1"/>
    </row>
    <row r="16" ht="12.75" customHeight="1">
      <c r="A16" s="52" t="s">
        <v>153</v>
      </c>
      <c r="B16" s="124">
        <f>CostoPROD!B5</f>
        <v>850000000</v>
      </c>
      <c r="C16" s="124">
        <f>CostoPROD!C5</f>
        <v>850000000</v>
      </c>
      <c r="D16" s="124">
        <f>CostoPROD!D5</f>
        <v>850000000</v>
      </c>
      <c r="E16" s="124">
        <f>CostoPROD!E5</f>
        <v>850000000</v>
      </c>
      <c r="F16" s="124">
        <f>CostoPROD!F5</f>
        <v>850000000</v>
      </c>
      <c r="G16" s="124">
        <f>CostoPROD!G5</f>
        <v>850000000</v>
      </c>
      <c r="H16" s="124">
        <f>CostoPROD!H5</f>
        <v>850000000</v>
      </c>
      <c r="I16" s="124">
        <f>CostoPROD!I5</f>
        <v>850000000</v>
      </c>
      <c r="J16" s="124">
        <f>CostoPROD!J5</f>
        <v>850000000</v>
      </c>
      <c r="K16" s="124">
        <f>CostoPROD!K5</f>
        <v>850000000</v>
      </c>
      <c r="L16" s="1"/>
      <c r="M16" s="1"/>
      <c r="N16" s="1"/>
      <c r="O16" s="1"/>
      <c r="P16" s="1"/>
      <c r="Q16" s="1"/>
      <c r="R16" s="1"/>
      <c r="S16" s="1"/>
      <c r="T16" s="1"/>
      <c r="U16" s="1"/>
      <c r="V16" s="1"/>
      <c r="W16" s="1"/>
      <c r="X16" s="1"/>
      <c r="Y16" s="1"/>
      <c r="Z16" s="1"/>
    </row>
    <row r="17" ht="12.75" customHeight="1">
      <c r="A17" s="52" t="s">
        <v>220</v>
      </c>
      <c r="B17" s="124">
        <f>CostoPROD!B18-CostoPROD!B4-CostoPROD!B5</f>
        <v>82025114</v>
      </c>
      <c r="C17" s="124">
        <f>CostoPROD!C18-CostoPROD!C4-CostoPROD!C5</f>
        <v>82025080</v>
      </c>
      <c r="D17" s="124">
        <f>CostoPROD!D18-CostoPROD!D4-CostoPROD!D5</f>
        <v>82025203</v>
      </c>
      <c r="E17" s="124">
        <f>CostoPROD!E18-CostoPROD!E4-CostoPROD!E5</f>
        <v>82025080</v>
      </c>
      <c r="F17" s="124">
        <f>CostoPROD!F18-CostoPROD!F4-CostoPROD!F5</f>
        <v>82025080</v>
      </c>
      <c r="G17" s="124">
        <f>CostoPROD!G18-CostoPROD!G4-CostoPROD!G5</f>
        <v>72061923</v>
      </c>
      <c r="H17" s="124">
        <f>CostoPROD!H18-CostoPROD!H4-CostoPROD!H5</f>
        <v>72058800</v>
      </c>
      <c r="I17" s="124">
        <f>CostoPROD!I18-CostoPROD!I4-CostoPROD!I5</f>
        <v>72058800</v>
      </c>
      <c r="J17" s="124">
        <f>CostoPROD!J18-CostoPROD!J4-CostoPROD!J5</f>
        <v>72058800</v>
      </c>
      <c r="K17" s="124">
        <f>CostoPROD!K18-CostoPROD!K4-CostoPROD!K5</f>
        <v>72058800</v>
      </c>
      <c r="L17" s="1"/>
      <c r="M17" s="1"/>
      <c r="N17" s="1"/>
      <c r="O17" s="1"/>
      <c r="P17" s="1"/>
      <c r="Q17" s="1"/>
      <c r="R17" s="1"/>
      <c r="S17" s="1"/>
      <c r="T17" s="1"/>
      <c r="U17" s="1"/>
      <c r="V17" s="1"/>
      <c r="W17" s="1"/>
      <c r="X17" s="1"/>
      <c r="Y17" s="1"/>
      <c r="Z17" s="1"/>
    </row>
    <row r="18" ht="12.75" customHeight="1">
      <c r="A18" s="214" t="s">
        <v>221</v>
      </c>
      <c r="B18" s="215">
        <f t="shared" ref="B18:K18" si="3">SUM(B15:B17)</f>
        <v>1936025114</v>
      </c>
      <c r="C18" s="215">
        <f t="shared" si="3"/>
        <v>1936025080</v>
      </c>
      <c r="D18" s="215">
        <f t="shared" si="3"/>
        <v>1936025203</v>
      </c>
      <c r="E18" s="215">
        <f t="shared" si="3"/>
        <v>1936025080</v>
      </c>
      <c r="F18" s="215">
        <f t="shared" si="3"/>
        <v>1936025080</v>
      </c>
      <c r="G18" s="215">
        <f t="shared" si="3"/>
        <v>1926061923</v>
      </c>
      <c r="H18" s="215">
        <f t="shared" si="3"/>
        <v>1926058800</v>
      </c>
      <c r="I18" s="215">
        <f t="shared" si="3"/>
        <v>1926058800</v>
      </c>
      <c r="J18" s="215">
        <f t="shared" si="3"/>
        <v>1926058800</v>
      </c>
      <c r="K18" s="216">
        <f t="shared" si="3"/>
        <v>1926058800</v>
      </c>
      <c r="L18" s="217"/>
      <c r="M18" s="217"/>
      <c r="N18" s="217"/>
      <c r="O18" s="217"/>
      <c r="P18" s="217"/>
      <c r="Q18" s="217"/>
      <c r="R18" s="217"/>
      <c r="S18" s="217"/>
      <c r="T18" s="217"/>
      <c r="U18" s="217"/>
      <c r="V18" s="217"/>
      <c r="W18" s="217"/>
      <c r="X18" s="217"/>
      <c r="Y18" s="217"/>
      <c r="Z18" s="217"/>
    </row>
    <row r="19" ht="8.25" customHeight="1">
      <c r="A19" s="52"/>
      <c r="B19" s="108"/>
      <c r="C19" s="108"/>
      <c r="D19" s="108"/>
      <c r="E19" s="108"/>
      <c r="F19" s="108"/>
      <c r="G19" s="108"/>
      <c r="H19" s="108"/>
      <c r="I19" s="108"/>
      <c r="J19" s="108"/>
      <c r="K19" s="109"/>
      <c r="L19" s="1"/>
      <c r="M19" s="1"/>
      <c r="N19" s="1"/>
      <c r="O19" s="1"/>
      <c r="P19" s="1"/>
      <c r="Q19" s="1"/>
      <c r="R19" s="1"/>
      <c r="S19" s="1"/>
      <c r="T19" s="1"/>
      <c r="U19" s="1"/>
      <c r="V19" s="1"/>
      <c r="W19" s="1"/>
      <c r="X19" s="1"/>
      <c r="Y19" s="1"/>
      <c r="Z19" s="1"/>
    </row>
    <row r="20" ht="12.75" customHeight="1">
      <c r="A20" s="218" t="s">
        <v>222</v>
      </c>
      <c r="B20" s="124">
        <f>CostoPROD!B41</f>
        <v>4500</v>
      </c>
      <c r="C20" s="124" t="str">
        <f>CostoPROD!C41</f>
        <v/>
      </c>
      <c r="D20" s="124" t="str">
        <f>CostoPROD!D41</f>
        <v/>
      </c>
      <c r="E20" s="124" t="str">
        <f>CostoPROD!E41</f>
        <v/>
      </c>
      <c r="F20" s="124" t="str">
        <f>CostoPROD!F41</f>
        <v/>
      </c>
      <c r="G20" s="124" t="str">
        <f>CostoPROD!G41</f>
        <v/>
      </c>
      <c r="H20" s="124" t="str">
        <f>CostoPROD!H41</f>
        <v/>
      </c>
      <c r="I20" s="124" t="str">
        <f>CostoPROD!I41</f>
        <v/>
      </c>
      <c r="J20" s="124" t="str">
        <f>CostoPROD!J41</f>
        <v/>
      </c>
      <c r="K20" s="124" t="str">
        <f>CostoPROD!K41</f>
        <v/>
      </c>
      <c r="L20" s="1"/>
      <c r="M20" s="1"/>
      <c r="N20" s="1"/>
      <c r="O20" s="1"/>
      <c r="P20" s="1"/>
      <c r="Q20" s="1"/>
      <c r="R20" s="1"/>
      <c r="S20" s="1"/>
      <c r="T20" s="1"/>
      <c r="U20" s="1"/>
      <c r="V20" s="1"/>
      <c r="W20" s="1"/>
      <c r="X20" s="1"/>
      <c r="Y20" s="1"/>
      <c r="Z20" s="1"/>
    </row>
    <row r="21" ht="12.75" customHeight="1">
      <c r="A21" s="218" t="s">
        <v>223</v>
      </c>
      <c r="B21" s="124">
        <f>CostoPROD!B48</f>
        <v>0</v>
      </c>
      <c r="C21" s="124">
        <f>CostoPROD!C48</f>
        <v>0</v>
      </c>
      <c r="D21" s="124">
        <f>CostoPROD!D48</f>
        <v>0</v>
      </c>
      <c r="E21" s="124">
        <f>CostoPROD!E48</f>
        <v>0</v>
      </c>
      <c r="F21" s="124">
        <f>CostoPROD!F48</f>
        <v>0</v>
      </c>
      <c r="G21" s="124">
        <f>CostoPROD!G48</f>
        <v>0</v>
      </c>
      <c r="H21" s="124">
        <f>CostoPROD!H48</f>
        <v>0</v>
      </c>
      <c r="I21" s="124">
        <f>CostoPROD!I48</f>
        <v>0</v>
      </c>
      <c r="J21" s="124">
        <f>CostoPROD!J48</f>
        <v>0</v>
      </c>
      <c r="K21" s="124">
        <f>CostoPROD!K48</f>
        <v>0</v>
      </c>
      <c r="L21" s="1"/>
      <c r="M21" s="1"/>
      <c r="N21" s="1"/>
      <c r="O21" s="1"/>
      <c r="P21" s="1"/>
      <c r="Q21" s="1"/>
      <c r="R21" s="1"/>
      <c r="S21" s="1"/>
      <c r="T21" s="1"/>
      <c r="U21" s="1"/>
      <c r="V21" s="1"/>
      <c r="W21" s="1"/>
      <c r="X21" s="1"/>
      <c r="Y21" s="1"/>
      <c r="Z21" s="1"/>
    </row>
    <row r="22" ht="12.75" customHeight="1">
      <c r="A22" s="155" t="s">
        <v>224</v>
      </c>
      <c r="B22" s="178">
        <f t="shared" ref="B22:K22" si="4">+B18-B20-B21</f>
        <v>1936020614</v>
      </c>
      <c r="C22" s="178">
        <f t="shared" si="4"/>
        <v>1936025080</v>
      </c>
      <c r="D22" s="178">
        <f t="shared" si="4"/>
        <v>1936025203</v>
      </c>
      <c r="E22" s="178">
        <f t="shared" si="4"/>
        <v>1936025080</v>
      </c>
      <c r="F22" s="178">
        <f t="shared" si="4"/>
        <v>1936025080</v>
      </c>
      <c r="G22" s="178">
        <f t="shared" si="4"/>
        <v>1926061923</v>
      </c>
      <c r="H22" s="178">
        <f t="shared" si="4"/>
        <v>1926058800</v>
      </c>
      <c r="I22" s="178">
        <f t="shared" si="4"/>
        <v>1926058800</v>
      </c>
      <c r="J22" s="178">
        <f t="shared" si="4"/>
        <v>1926058800</v>
      </c>
      <c r="K22" s="178">
        <f t="shared" si="4"/>
        <v>1926058800</v>
      </c>
      <c r="L22" s="1"/>
      <c r="M22" s="1"/>
      <c r="N22" s="1"/>
      <c r="O22" s="1"/>
      <c r="P22" s="1"/>
      <c r="Q22" s="1"/>
      <c r="R22" s="1"/>
      <c r="S22" s="1"/>
      <c r="T22" s="1"/>
      <c r="U22" s="1"/>
      <c r="V22" s="1"/>
      <c r="W22" s="1"/>
      <c r="X22" s="1"/>
      <c r="Y22" s="1"/>
      <c r="Z22" s="1"/>
    </row>
    <row r="23" ht="12.75" customHeight="1">
      <c r="A23" s="43" t="s">
        <v>225</v>
      </c>
      <c r="B23" s="219">
        <f t="shared" ref="B23:K23" si="5">+B4+B6+B8+B10</f>
        <v>1892000</v>
      </c>
      <c r="C23" s="219">
        <f t="shared" si="5"/>
        <v>2162000</v>
      </c>
      <c r="D23" s="219">
        <f t="shared" si="5"/>
        <v>2252000</v>
      </c>
      <c r="E23" s="219">
        <f t="shared" si="5"/>
        <v>2349000</v>
      </c>
      <c r="F23" s="219">
        <f t="shared" si="5"/>
        <v>2461000</v>
      </c>
      <c r="G23" s="219">
        <f t="shared" si="5"/>
        <v>2577000</v>
      </c>
      <c r="H23" s="219">
        <f t="shared" si="5"/>
        <v>2700000</v>
      </c>
      <c r="I23" s="219">
        <f t="shared" si="5"/>
        <v>2828000</v>
      </c>
      <c r="J23" s="219">
        <f t="shared" si="5"/>
        <v>2961000</v>
      </c>
      <c r="K23" s="219">
        <f t="shared" si="5"/>
        <v>3101000</v>
      </c>
      <c r="L23" s="1"/>
      <c r="M23" s="1"/>
      <c r="N23" s="1"/>
      <c r="O23" s="1"/>
      <c r="P23" s="1"/>
      <c r="Q23" s="1"/>
      <c r="R23" s="1"/>
      <c r="S23" s="1"/>
      <c r="T23" s="1"/>
      <c r="U23" s="1"/>
      <c r="V23" s="1"/>
      <c r="W23" s="1"/>
      <c r="X23" s="1"/>
      <c r="Y23" s="1"/>
      <c r="Z23" s="1"/>
    </row>
    <row r="24" ht="12.75" customHeight="1">
      <c r="A24" s="29" t="s">
        <v>226</v>
      </c>
      <c r="B24" s="220">
        <f t="shared" ref="B24:K24" si="6">B22/B23</f>
        <v>1023.266709</v>
      </c>
      <c r="C24" s="220">
        <f t="shared" si="6"/>
        <v>895.4787604</v>
      </c>
      <c r="D24" s="220">
        <f t="shared" si="6"/>
        <v>859.6914756</v>
      </c>
      <c r="E24" s="220">
        <f t="shared" si="6"/>
        <v>824.1911792</v>
      </c>
      <c r="F24" s="220">
        <f t="shared" si="6"/>
        <v>786.6822755</v>
      </c>
      <c r="G24" s="220">
        <f t="shared" si="6"/>
        <v>747.4047043</v>
      </c>
      <c r="H24" s="220">
        <f t="shared" si="6"/>
        <v>713.3551111</v>
      </c>
      <c r="I24" s="220">
        <f t="shared" si="6"/>
        <v>681.0674682</v>
      </c>
      <c r="J24" s="220">
        <f t="shared" si="6"/>
        <v>650.4757852</v>
      </c>
      <c r="K24" s="220">
        <f t="shared" si="6"/>
        <v>621.1089326</v>
      </c>
      <c r="L24" s="1"/>
      <c r="M24" s="1"/>
      <c r="N24" s="1"/>
      <c r="O24" s="1"/>
      <c r="P24" s="1"/>
      <c r="Q24" s="1"/>
      <c r="R24" s="1"/>
      <c r="S24" s="1"/>
      <c r="T24" s="1"/>
      <c r="U24" s="1"/>
      <c r="V24" s="1"/>
      <c r="W24" s="1"/>
      <c r="X24" s="1"/>
      <c r="Y24" s="1"/>
      <c r="Z24" s="1"/>
    </row>
    <row r="25" ht="12.75" customHeight="1">
      <c r="A25" s="29" t="s">
        <v>227</v>
      </c>
      <c r="B25" s="220">
        <f>B24*'DATOS Iniciales y ACLARACIONES'!D42</f>
        <v>0</v>
      </c>
      <c r="C25" s="220">
        <f>C24*'DATOS Iniciales y ACLARACIONES'!E42</f>
        <v>0</v>
      </c>
      <c r="D25" s="220">
        <f>D24*'DATOS Iniciales y ACLARACIONES'!F42</f>
        <v>0</v>
      </c>
      <c r="E25" s="220">
        <f>E24*'DATOS Iniciales y ACLARACIONES'!G42</f>
        <v>0</v>
      </c>
      <c r="F25" s="220">
        <f>F24*'DATOS Iniciales y ACLARACIONES'!H42</f>
        <v>0</v>
      </c>
      <c r="G25" s="220">
        <f>G24*'DATOS Iniciales y ACLARACIONES'!I42</f>
        <v>0</v>
      </c>
      <c r="H25" s="220">
        <f>H24*'DATOS Iniciales y ACLARACIONES'!J42</f>
        <v>0</v>
      </c>
      <c r="I25" s="220">
        <f>I24*'DATOS Iniciales y ACLARACIONES'!K42</f>
        <v>0</v>
      </c>
      <c r="J25" s="220">
        <f>J24*'DATOS Iniciales y ACLARACIONES'!L42</f>
        <v>0</v>
      </c>
      <c r="K25" s="220">
        <f>K24*'DATOS Iniciales y ACLARACIONES'!M42</f>
        <v>0</v>
      </c>
      <c r="L25" s="1"/>
      <c r="M25" s="1"/>
      <c r="N25" s="1"/>
      <c r="O25" s="1"/>
      <c r="P25" s="1"/>
      <c r="Q25" s="1"/>
      <c r="R25" s="1"/>
      <c r="S25" s="1"/>
      <c r="T25" s="1"/>
      <c r="U25" s="1"/>
      <c r="V25" s="1"/>
      <c r="W25" s="1"/>
      <c r="X25" s="1"/>
      <c r="Y25" s="1"/>
      <c r="Z25" s="1"/>
    </row>
    <row r="26" ht="5.25" customHeight="1">
      <c r="A26" s="52"/>
      <c r="B26" s="221"/>
      <c r="C26" s="221"/>
      <c r="D26" s="221"/>
      <c r="E26" s="221"/>
      <c r="F26" s="221"/>
      <c r="G26" s="221"/>
      <c r="H26" s="221"/>
      <c r="I26" s="221"/>
      <c r="J26" s="221"/>
      <c r="K26" s="222"/>
      <c r="L26" s="1"/>
      <c r="M26" s="1"/>
      <c r="N26" s="1"/>
      <c r="O26" s="1"/>
      <c r="P26" s="1"/>
      <c r="Q26" s="1"/>
      <c r="R26" s="1"/>
      <c r="S26" s="1"/>
      <c r="T26" s="1"/>
      <c r="U26" s="1"/>
      <c r="V26" s="1"/>
      <c r="W26" s="1"/>
      <c r="X26" s="1"/>
      <c r="Y26" s="1"/>
      <c r="Z26" s="1"/>
    </row>
    <row r="27" ht="12.75" customHeight="1">
      <c r="A27" s="223" t="s">
        <v>228</v>
      </c>
      <c r="B27" s="224">
        <f>B25</f>
        <v>0</v>
      </c>
      <c r="C27" s="225">
        <f t="shared" ref="C27:K27" si="7">C25-B25</f>
        <v>0</v>
      </c>
      <c r="D27" s="225">
        <f t="shared" si="7"/>
        <v>0</v>
      </c>
      <c r="E27" s="225">
        <f t="shared" si="7"/>
        <v>0</v>
      </c>
      <c r="F27" s="225">
        <f t="shared" si="7"/>
        <v>0</v>
      </c>
      <c r="G27" s="225">
        <f t="shared" si="7"/>
        <v>0</v>
      </c>
      <c r="H27" s="225">
        <f t="shared" si="7"/>
        <v>0</v>
      </c>
      <c r="I27" s="225">
        <f t="shared" si="7"/>
        <v>0</v>
      </c>
      <c r="J27" s="225">
        <f t="shared" si="7"/>
        <v>0</v>
      </c>
      <c r="K27" s="225">
        <f t="shared" si="7"/>
        <v>0</v>
      </c>
      <c r="L27" s="1"/>
      <c r="M27" s="1"/>
      <c r="N27" s="1"/>
      <c r="O27" s="1"/>
      <c r="P27" s="1"/>
      <c r="Q27" s="1"/>
      <c r="R27" s="1"/>
      <c r="S27" s="1"/>
      <c r="T27" s="1"/>
      <c r="U27" s="1"/>
      <c r="V27" s="1"/>
      <c r="W27" s="1"/>
      <c r="X27" s="1"/>
      <c r="Y27" s="1"/>
      <c r="Z27" s="1"/>
    </row>
    <row r="28" ht="12.75" customHeight="1">
      <c r="A28" s="155" t="s">
        <v>229</v>
      </c>
      <c r="B28" s="124">
        <f t="shared" ref="B28:K28" si="8">+B22-B27</f>
        <v>1936020614</v>
      </c>
      <c r="C28" s="124">
        <f t="shared" si="8"/>
        <v>1936025080</v>
      </c>
      <c r="D28" s="124">
        <f t="shared" si="8"/>
        <v>1936025203</v>
      </c>
      <c r="E28" s="124">
        <f t="shared" si="8"/>
        <v>1936025080</v>
      </c>
      <c r="F28" s="124">
        <f t="shared" si="8"/>
        <v>1936025080</v>
      </c>
      <c r="G28" s="124">
        <f t="shared" si="8"/>
        <v>1926061923</v>
      </c>
      <c r="H28" s="124">
        <f t="shared" si="8"/>
        <v>1926058800</v>
      </c>
      <c r="I28" s="124">
        <f t="shared" si="8"/>
        <v>1926058800</v>
      </c>
      <c r="J28" s="124">
        <f t="shared" si="8"/>
        <v>1926058800</v>
      </c>
      <c r="K28" s="134">
        <f t="shared" si="8"/>
        <v>1926058800</v>
      </c>
      <c r="L28" s="1"/>
      <c r="M28" s="1"/>
      <c r="N28" s="1"/>
      <c r="O28" s="1"/>
      <c r="P28" s="1"/>
      <c r="Q28" s="1"/>
      <c r="R28" s="1"/>
      <c r="S28" s="1"/>
      <c r="T28" s="1"/>
      <c r="U28" s="1"/>
      <c r="V28" s="1"/>
      <c r="W28" s="1"/>
      <c r="X28" s="1"/>
      <c r="Y28" s="1"/>
      <c r="Z28" s="1"/>
    </row>
    <row r="29" ht="12.75" customHeight="1">
      <c r="A29" s="155" t="s">
        <v>230</v>
      </c>
      <c r="B29" s="124">
        <f>CostoAdmComFin!B15</f>
        <v>535412540</v>
      </c>
      <c r="C29" s="124">
        <f>CostoAdmComFin!C15</f>
        <v>535412540</v>
      </c>
      <c r="D29" s="124">
        <f>CostoAdmComFin!D15</f>
        <v>535412540</v>
      </c>
      <c r="E29" s="124">
        <f>CostoAdmComFin!E15</f>
        <v>535412540</v>
      </c>
      <c r="F29" s="124">
        <f>CostoAdmComFin!F15</f>
        <v>535412540</v>
      </c>
      <c r="G29" s="124">
        <f>CostoAdmComFin!G15</f>
        <v>530429400</v>
      </c>
      <c r="H29" s="124">
        <f>CostoAdmComFin!H15</f>
        <v>530429400</v>
      </c>
      <c r="I29" s="124">
        <f>CostoAdmComFin!I15</f>
        <v>530429400</v>
      </c>
      <c r="J29" s="124">
        <f>CostoAdmComFin!J15</f>
        <v>530429400</v>
      </c>
      <c r="K29" s="124">
        <f>CostoAdmComFin!K15</f>
        <v>530429400</v>
      </c>
      <c r="L29" s="1"/>
      <c r="M29" s="1"/>
      <c r="N29" s="1"/>
      <c r="O29" s="1"/>
      <c r="P29" s="1"/>
      <c r="Q29" s="1"/>
      <c r="R29" s="1"/>
      <c r="S29" s="1"/>
      <c r="T29" s="1"/>
      <c r="U29" s="1"/>
      <c r="V29" s="1"/>
      <c r="W29" s="1"/>
      <c r="X29" s="1"/>
      <c r="Y29" s="1"/>
      <c r="Z29" s="1"/>
    </row>
    <row r="30" ht="12.75" customHeight="1">
      <c r="A30" s="155" t="s">
        <v>231</v>
      </c>
      <c r="B30" s="124">
        <f>CostoAdmComFin!B35</f>
        <v>845996680</v>
      </c>
      <c r="C30" s="124">
        <f>CostoAdmComFin!C35</f>
        <v>920517180</v>
      </c>
      <c r="D30" s="124">
        <f>CostoAdmComFin!D35</f>
        <v>949717680</v>
      </c>
      <c r="E30" s="124">
        <f>CostoAdmComFin!E35</f>
        <v>981189330</v>
      </c>
      <c r="F30" s="124">
        <f>CostoAdmComFin!F35</f>
        <v>1017527730</v>
      </c>
      <c r="G30" s="124">
        <f>CostoAdmComFin!G35</f>
        <v>1045197650</v>
      </c>
      <c r="H30" s="124">
        <f>CostoAdmComFin!H35</f>
        <v>1085105000</v>
      </c>
      <c r="I30" s="124">
        <f>CostoAdmComFin!I35</f>
        <v>1126634600</v>
      </c>
      <c r="J30" s="124">
        <f>CostoAdmComFin!J35</f>
        <v>1169786450</v>
      </c>
      <c r="K30" s="124">
        <f>CostoAdmComFin!K35</f>
        <v>1215209450</v>
      </c>
      <c r="L30" s="1"/>
      <c r="M30" s="1"/>
      <c r="N30" s="1"/>
      <c r="O30" s="1"/>
      <c r="P30" s="1"/>
      <c r="Q30" s="1"/>
      <c r="R30" s="1"/>
      <c r="S30" s="1"/>
      <c r="T30" s="1"/>
      <c r="U30" s="1"/>
      <c r="V30" s="1"/>
      <c r="W30" s="1"/>
      <c r="X30" s="1"/>
      <c r="Y30" s="1"/>
      <c r="Z30" s="1"/>
    </row>
    <row r="31" ht="12.75" customHeight="1">
      <c r="A31" s="155" t="s">
        <v>232</v>
      </c>
      <c r="B31" s="124">
        <f>CostoAdmComFin!B46</f>
        <v>0</v>
      </c>
      <c r="C31" s="124">
        <f>CostoAdmComFin!C46</f>
        <v>0</v>
      </c>
      <c r="D31" s="124">
        <f>CostoAdmComFin!D46</f>
        <v>0</v>
      </c>
      <c r="E31" s="124">
        <f>CostoAdmComFin!E46</f>
        <v>0</v>
      </c>
      <c r="F31" s="124">
        <f>CostoAdmComFin!F46</f>
        <v>0</v>
      </c>
      <c r="G31" s="124">
        <f>CostoAdmComFin!G46</f>
        <v>0</v>
      </c>
      <c r="H31" s="124">
        <f>CostoAdmComFin!H46</f>
        <v>0</v>
      </c>
      <c r="I31" s="124">
        <f>CostoAdmComFin!I46</f>
        <v>0</v>
      </c>
      <c r="J31" s="124">
        <f>CostoAdmComFin!J46</f>
        <v>0</v>
      </c>
      <c r="K31" s="124">
        <f>CostoAdmComFin!K46</f>
        <v>0</v>
      </c>
      <c r="L31" s="1"/>
      <c r="M31" s="1"/>
      <c r="N31" s="1"/>
      <c r="O31" s="1"/>
      <c r="P31" s="1"/>
      <c r="Q31" s="1"/>
      <c r="R31" s="1"/>
      <c r="S31" s="1"/>
      <c r="T31" s="1"/>
      <c r="U31" s="1"/>
      <c r="V31" s="1"/>
      <c r="W31" s="1"/>
      <c r="X31" s="1"/>
      <c r="Y31" s="1"/>
      <c r="Z31" s="1"/>
    </row>
    <row r="32" ht="12.75" customHeight="1">
      <c r="A32" s="155" t="s">
        <v>233</v>
      </c>
      <c r="B32" s="133">
        <f t="shared" ref="B32:K32" si="9">+B28+B29+B30</f>
        <v>3317429834</v>
      </c>
      <c r="C32" s="133">
        <f t="shared" si="9"/>
        <v>3391954800</v>
      </c>
      <c r="D32" s="133">
        <f t="shared" si="9"/>
        <v>3421155423</v>
      </c>
      <c r="E32" s="133">
        <f t="shared" si="9"/>
        <v>3452626950</v>
      </c>
      <c r="F32" s="133">
        <f t="shared" si="9"/>
        <v>3488965350</v>
      </c>
      <c r="G32" s="133">
        <f t="shared" si="9"/>
        <v>3501688973</v>
      </c>
      <c r="H32" s="133">
        <f t="shared" si="9"/>
        <v>3541593200</v>
      </c>
      <c r="I32" s="133">
        <f t="shared" si="9"/>
        <v>3583122800</v>
      </c>
      <c r="J32" s="133">
        <f t="shared" si="9"/>
        <v>3626274650</v>
      </c>
      <c r="K32" s="226">
        <f t="shared" si="9"/>
        <v>3671697650</v>
      </c>
      <c r="L32" s="1"/>
      <c r="M32" s="1"/>
      <c r="N32" s="1"/>
      <c r="O32" s="1"/>
      <c r="P32" s="1"/>
      <c r="Q32" s="1"/>
      <c r="R32" s="1"/>
      <c r="S32" s="1"/>
      <c r="T32" s="1"/>
      <c r="U32" s="1"/>
      <c r="V32" s="1"/>
      <c r="W32" s="1"/>
      <c r="X32" s="1"/>
      <c r="Y32" s="1"/>
      <c r="Z32" s="1"/>
    </row>
    <row r="33" ht="3.75" customHeight="1">
      <c r="A33" s="52"/>
      <c r="B33" s="221"/>
      <c r="C33" s="221"/>
      <c r="D33" s="221"/>
      <c r="E33" s="221"/>
      <c r="F33" s="221"/>
      <c r="G33" s="221"/>
      <c r="H33" s="221"/>
      <c r="I33" s="221"/>
      <c r="J33" s="221"/>
      <c r="K33" s="222"/>
      <c r="L33" s="1"/>
      <c r="M33" s="1"/>
      <c r="N33" s="1"/>
      <c r="O33" s="1"/>
      <c r="P33" s="1"/>
      <c r="Q33" s="1"/>
      <c r="R33" s="1"/>
      <c r="S33" s="1"/>
      <c r="T33" s="1"/>
      <c r="U33" s="1"/>
      <c r="V33" s="1"/>
      <c r="W33" s="1"/>
      <c r="X33" s="1"/>
      <c r="Y33" s="1"/>
      <c r="Z33" s="1"/>
    </row>
    <row r="34" ht="12.75" customHeight="1">
      <c r="A34" s="29" t="s">
        <v>234</v>
      </c>
      <c r="B34" s="227">
        <f t="shared" ref="B34:K34" si="10">B32/(B10+B4+B6+B8)</f>
        <v>1753.398432</v>
      </c>
      <c r="C34" s="227">
        <f t="shared" si="10"/>
        <v>1568.896762</v>
      </c>
      <c r="D34" s="227">
        <f t="shared" si="10"/>
        <v>1519.163154</v>
      </c>
      <c r="E34" s="227">
        <f t="shared" si="10"/>
        <v>1469.828416</v>
      </c>
      <c r="F34" s="227">
        <f t="shared" si="10"/>
        <v>1417.702296</v>
      </c>
      <c r="G34" s="227">
        <f t="shared" si="10"/>
        <v>1358.823816</v>
      </c>
      <c r="H34" s="227">
        <f t="shared" si="10"/>
        <v>1311.701185</v>
      </c>
      <c r="I34" s="227">
        <f t="shared" si="10"/>
        <v>1267.016549</v>
      </c>
      <c r="J34" s="227">
        <f t="shared" si="10"/>
        <v>1224.679044</v>
      </c>
      <c r="K34" s="227">
        <f t="shared" si="10"/>
        <v>1184.036649</v>
      </c>
      <c r="L34" s="1"/>
      <c r="M34" s="1"/>
      <c r="N34" s="1"/>
      <c r="O34" s="1"/>
      <c r="P34" s="1"/>
      <c r="Q34" s="1"/>
      <c r="R34" s="1"/>
      <c r="S34" s="1"/>
      <c r="T34" s="1"/>
      <c r="U34" s="1"/>
      <c r="V34" s="1"/>
      <c r="W34" s="1"/>
      <c r="X34" s="1"/>
      <c r="Y34" s="1"/>
      <c r="Z34" s="1"/>
    </row>
    <row r="35" ht="6.75" customHeight="1">
      <c r="A35" s="52"/>
      <c r="B35" s="228"/>
      <c r="C35" s="228"/>
      <c r="D35" s="228"/>
      <c r="E35" s="228"/>
      <c r="F35" s="228"/>
      <c r="G35" s="228"/>
      <c r="H35" s="228"/>
      <c r="I35" s="228"/>
      <c r="J35" s="228"/>
      <c r="K35" s="229"/>
      <c r="L35" s="1"/>
      <c r="M35" s="1"/>
      <c r="N35" s="1"/>
      <c r="O35" s="1"/>
      <c r="P35" s="1"/>
      <c r="Q35" s="1"/>
      <c r="R35" s="1"/>
      <c r="S35" s="1"/>
      <c r="T35" s="1"/>
      <c r="U35" s="1"/>
      <c r="V35" s="1"/>
      <c r="W35" s="1"/>
      <c r="X35" s="1"/>
      <c r="Y35" s="1"/>
      <c r="Z35" s="1"/>
    </row>
    <row r="36" ht="12.75" customHeight="1">
      <c r="A36" s="155" t="s">
        <v>235</v>
      </c>
      <c r="B36" s="133">
        <f t="shared" ref="B36:K36" si="11">+B13-B32</f>
        <v>655770166</v>
      </c>
      <c r="C36" s="133">
        <f t="shared" si="11"/>
        <v>1148245200</v>
      </c>
      <c r="D36" s="133">
        <f t="shared" si="11"/>
        <v>1308044577</v>
      </c>
      <c r="E36" s="133">
        <f t="shared" si="11"/>
        <v>1480273050</v>
      </c>
      <c r="F36" s="133">
        <f t="shared" si="11"/>
        <v>1679134650</v>
      </c>
      <c r="G36" s="133">
        <f t="shared" si="11"/>
        <v>1910011027</v>
      </c>
      <c r="H36" s="133">
        <f t="shared" si="11"/>
        <v>2128406800</v>
      </c>
      <c r="I36" s="133">
        <f t="shared" si="11"/>
        <v>2355677200</v>
      </c>
      <c r="J36" s="133">
        <f t="shared" si="11"/>
        <v>2591825350</v>
      </c>
      <c r="K36" s="226">
        <f t="shared" si="11"/>
        <v>2840402350</v>
      </c>
      <c r="L36" s="1"/>
      <c r="M36" s="1"/>
      <c r="N36" s="1"/>
      <c r="O36" s="1"/>
      <c r="P36" s="1"/>
      <c r="Q36" s="1"/>
      <c r="R36" s="1"/>
      <c r="S36" s="1"/>
      <c r="T36" s="1"/>
      <c r="U36" s="1"/>
      <c r="V36" s="1"/>
      <c r="W36" s="1"/>
      <c r="X36" s="1"/>
      <c r="Y36" s="1"/>
      <c r="Z36" s="1"/>
    </row>
    <row r="37" ht="12.75" customHeight="1">
      <c r="A37" s="207" t="s">
        <v>236</v>
      </c>
      <c r="B37" s="230">
        <f>IF('DATOS Iniciales y ACLARACIONES'!$C$20="FIJO",'DATOS Iniciales y ACLARACIONES'!$B$20,'DATOS Iniciales y ACLARACIONES'!$B$20*'CTV y CResult'!B36)</f>
        <v>32788508.3</v>
      </c>
      <c r="C37" s="230">
        <f>IF('DATOS Iniciales y ACLARACIONES'!$C$20="FIJO",'DATOS Iniciales y ACLARACIONES'!$B$20,'DATOS Iniciales y ACLARACIONES'!$B$20*'CTV y CResult'!C36)</f>
        <v>57412260</v>
      </c>
      <c r="D37" s="230">
        <f>IF('DATOS Iniciales y ACLARACIONES'!$C$20="FIJO",'DATOS Iniciales y ACLARACIONES'!$B$20,'DATOS Iniciales y ACLARACIONES'!$B$20*'CTV y CResult'!D36)</f>
        <v>65402228.85</v>
      </c>
      <c r="E37" s="230">
        <f>IF('DATOS Iniciales y ACLARACIONES'!$C$20="FIJO",'DATOS Iniciales y ACLARACIONES'!$B$20,'DATOS Iniciales y ACLARACIONES'!$B$20*'CTV y CResult'!E36)</f>
        <v>74013652.5</v>
      </c>
      <c r="F37" s="230">
        <f>IF('DATOS Iniciales y ACLARACIONES'!$C$20="FIJO",'DATOS Iniciales y ACLARACIONES'!$B$20,'DATOS Iniciales y ACLARACIONES'!$B$20*'CTV y CResult'!F36)</f>
        <v>83956732.5</v>
      </c>
      <c r="G37" s="230">
        <f>IF('DATOS Iniciales y ACLARACIONES'!$C$20="FIJO",'DATOS Iniciales y ACLARACIONES'!$B$20,'DATOS Iniciales y ACLARACIONES'!$B$20*'CTV y CResult'!G36)</f>
        <v>95500551.35</v>
      </c>
      <c r="H37" s="230">
        <f>IF('DATOS Iniciales y ACLARACIONES'!$C$20="FIJO",'DATOS Iniciales y ACLARACIONES'!$B$20,'DATOS Iniciales y ACLARACIONES'!$B$20*'CTV y CResult'!H36)</f>
        <v>106420340</v>
      </c>
      <c r="I37" s="230">
        <f>IF('DATOS Iniciales y ACLARACIONES'!$C$20="FIJO",'DATOS Iniciales y ACLARACIONES'!$B$20,'DATOS Iniciales y ACLARACIONES'!$B$20*'CTV y CResult'!I36)</f>
        <v>117783860</v>
      </c>
      <c r="J37" s="230">
        <f>IF('DATOS Iniciales y ACLARACIONES'!$C$20="FIJO",'DATOS Iniciales y ACLARACIONES'!$B$20,'DATOS Iniciales y ACLARACIONES'!$B$20*'CTV y CResult'!J36)</f>
        <v>129591267.5</v>
      </c>
      <c r="K37" s="230">
        <f>IF('DATOS Iniciales y ACLARACIONES'!$C$20="FIJO",'DATOS Iniciales y ACLARACIONES'!$B$20,'DATOS Iniciales y ACLARACIONES'!$B$20*'CTV y CResult'!K36)</f>
        <v>142020117.5</v>
      </c>
      <c r="L37" s="1"/>
      <c r="M37" s="1"/>
      <c r="N37" s="1"/>
      <c r="O37" s="1"/>
      <c r="P37" s="1"/>
      <c r="Q37" s="1"/>
      <c r="R37" s="1"/>
      <c r="S37" s="1"/>
      <c r="T37" s="1"/>
      <c r="U37" s="1"/>
      <c r="V37" s="1"/>
      <c r="W37" s="1"/>
      <c r="X37" s="1"/>
      <c r="Y37" s="1"/>
      <c r="Z37" s="1"/>
    </row>
    <row r="38" ht="12.75" customHeight="1">
      <c r="A38" s="231" t="s">
        <v>237</v>
      </c>
      <c r="B38" s="132">
        <f>(B36-B37)*'DATOS Iniciales y ACLARACIONES'!$B$19</f>
        <v>218043580.2</v>
      </c>
      <c r="C38" s="132">
        <f>(C36-C37)*'DATOS Iniciales y ACLARACIONES'!$B$19</f>
        <v>381791529</v>
      </c>
      <c r="D38" s="132">
        <f>(D36-D37)*'DATOS Iniciales y ACLARACIONES'!$B$19</f>
        <v>434924821.9</v>
      </c>
      <c r="E38" s="132">
        <f>(E36-E37)*'DATOS Iniciales y ACLARACIONES'!$B$19</f>
        <v>492190789.1</v>
      </c>
      <c r="F38" s="132">
        <f>(F36-F37)*'DATOS Iniciales y ACLARACIONES'!$B$19</f>
        <v>558312271.1</v>
      </c>
      <c r="G38" s="132">
        <f>(G36-G37)*'DATOS Iniciales y ACLARACIONES'!$B$19</f>
        <v>635078666.5</v>
      </c>
      <c r="H38" s="132">
        <f>(H36-H37)*'DATOS Iniciales y ACLARACIONES'!$B$19</f>
        <v>707695261</v>
      </c>
      <c r="I38" s="132">
        <f>(I36-I37)*'DATOS Iniciales y ACLARACIONES'!$B$19</f>
        <v>783262669</v>
      </c>
      <c r="J38" s="132">
        <f>(J36-J37)*'DATOS Iniciales y ACLARACIONES'!$B$19</f>
        <v>861781928.9</v>
      </c>
      <c r="K38" s="132">
        <f>(K36-K37)*'DATOS Iniciales y ACLARACIONES'!$B$19</f>
        <v>944433781.4</v>
      </c>
      <c r="L38" s="1"/>
      <c r="M38" s="1"/>
      <c r="N38" s="1"/>
      <c r="O38" s="1"/>
      <c r="P38" s="1"/>
      <c r="Q38" s="1"/>
      <c r="R38" s="1"/>
      <c r="S38" s="1"/>
      <c r="T38" s="1"/>
      <c r="U38" s="1"/>
      <c r="V38" s="1"/>
      <c r="W38" s="1"/>
      <c r="X38" s="1"/>
      <c r="Y38" s="1"/>
      <c r="Z38" s="1"/>
    </row>
    <row r="39" ht="4.5" customHeight="1">
      <c r="A39" s="155"/>
      <c r="B39" s="107"/>
      <c r="C39" s="107"/>
      <c r="D39" s="107"/>
      <c r="E39" s="107"/>
      <c r="F39" s="107"/>
      <c r="G39" s="107"/>
      <c r="H39" s="107"/>
      <c r="I39" s="107"/>
      <c r="J39" s="107"/>
      <c r="K39" s="232"/>
      <c r="L39" s="1"/>
      <c r="M39" s="1"/>
      <c r="N39" s="1"/>
      <c r="O39" s="1"/>
      <c r="P39" s="1"/>
      <c r="Q39" s="1"/>
      <c r="R39" s="1"/>
      <c r="S39" s="1"/>
      <c r="T39" s="1"/>
      <c r="U39" s="1"/>
      <c r="V39" s="1"/>
      <c r="W39" s="1"/>
      <c r="X39" s="1"/>
      <c r="Y39" s="1"/>
      <c r="Z39" s="1"/>
    </row>
    <row r="40" ht="12.75" customHeight="1">
      <c r="A40" s="155" t="s">
        <v>238</v>
      </c>
      <c r="B40" s="133">
        <f t="shared" ref="B40:K40" si="12">B36-B37-B38</f>
        <v>404938077.5</v>
      </c>
      <c r="C40" s="133">
        <f t="shared" si="12"/>
        <v>709041411</v>
      </c>
      <c r="D40" s="133">
        <f t="shared" si="12"/>
        <v>807717526.3</v>
      </c>
      <c r="E40" s="133">
        <f t="shared" si="12"/>
        <v>914068608.4</v>
      </c>
      <c r="F40" s="133">
        <f t="shared" si="12"/>
        <v>1036865646</v>
      </c>
      <c r="G40" s="133">
        <f t="shared" si="12"/>
        <v>1179431809</v>
      </c>
      <c r="H40" s="133">
        <f t="shared" si="12"/>
        <v>1314291199</v>
      </c>
      <c r="I40" s="133">
        <f t="shared" si="12"/>
        <v>1454630671</v>
      </c>
      <c r="J40" s="133">
        <f t="shared" si="12"/>
        <v>1600452154</v>
      </c>
      <c r="K40" s="226">
        <f t="shared" si="12"/>
        <v>1753948451</v>
      </c>
      <c r="L40" s="1"/>
      <c r="M40" s="1"/>
      <c r="N40" s="1"/>
      <c r="O40" s="1"/>
      <c r="P40" s="1"/>
      <c r="Q40" s="1"/>
      <c r="R40" s="1"/>
      <c r="S40" s="1"/>
      <c r="T40" s="1"/>
      <c r="U40" s="1"/>
      <c r="V40" s="1"/>
      <c r="W40" s="1"/>
      <c r="X40" s="1"/>
      <c r="Y40" s="1"/>
      <c r="Z40" s="1"/>
    </row>
    <row r="41" ht="12.75" customHeight="1">
      <c r="A41" s="214" t="s">
        <v>239</v>
      </c>
      <c r="B41" s="233">
        <f t="shared" ref="B41:K41" si="13">+B40/B13</f>
        <v>0.1019173657</v>
      </c>
      <c r="C41" s="233">
        <f t="shared" si="13"/>
        <v>0.1561696425</v>
      </c>
      <c r="D41" s="233">
        <f t="shared" si="13"/>
        <v>0.1707936916</v>
      </c>
      <c r="E41" s="233">
        <f t="shared" si="13"/>
        <v>0.1853004538</v>
      </c>
      <c r="F41" s="233">
        <f t="shared" si="13"/>
        <v>0.2006280154</v>
      </c>
      <c r="G41" s="233">
        <f t="shared" si="13"/>
        <v>0.2179410923</v>
      </c>
      <c r="H41" s="233">
        <f t="shared" si="13"/>
        <v>0.2317973896</v>
      </c>
      <c r="I41" s="233">
        <f t="shared" si="13"/>
        <v>0.2449368005</v>
      </c>
      <c r="J41" s="233">
        <f t="shared" si="13"/>
        <v>0.2573860429</v>
      </c>
      <c r="K41" s="233">
        <f t="shared" si="13"/>
        <v>0.2693368424</v>
      </c>
      <c r="L41" s="1"/>
      <c r="M41" s="1"/>
      <c r="N41" s="1"/>
      <c r="O41" s="1"/>
      <c r="P41" s="1"/>
      <c r="Q41" s="1"/>
      <c r="R41" s="1"/>
      <c r="S41" s="1"/>
      <c r="T41" s="1"/>
      <c r="U41" s="1"/>
      <c r="V41" s="1"/>
      <c r="W41" s="1"/>
      <c r="X41" s="1"/>
      <c r="Y41" s="1"/>
      <c r="Z41" s="1"/>
    </row>
    <row r="42" ht="6.0" customHeight="1">
      <c r="A42" s="155"/>
      <c r="B42" s="69"/>
      <c r="C42" s="69"/>
      <c r="D42" s="69"/>
      <c r="E42" s="69"/>
      <c r="F42" s="69"/>
      <c r="G42" s="69"/>
      <c r="H42" s="69"/>
      <c r="I42" s="69"/>
      <c r="J42" s="69"/>
      <c r="K42" s="234"/>
      <c r="L42" s="1"/>
      <c r="M42" s="1"/>
      <c r="N42" s="1"/>
      <c r="O42" s="1"/>
      <c r="P42" s="1"/>
      <c r="Q42" s="1"/>
      <c r="R42" s="1"/>
      <c r="S42" s="1"/>
      <c r="T42" s="1"/>
      <c r="U42" s="1"/>
      <c r="V42" s="1"/>
      <c r="W42" s="1"/>
      <c r="X42" s="1"/>
      <c r="Y42" s="1"/>
      <c r="Z42" s="1"/>
    </row>
    <row r="43" ht="12.75" customHeight="1">
      <c r="A43" s="155" t="s">
        <v>240</v>
      </c>
      <c r="B43" s="235">
        <f t="shared" ref="B43:K43" si="14">+B44+B45</f>
        <v>469028077.5</v>
      </c>
      <c r="C43" s="235">
        <f t="shared" si="14"/>
        <v>773131411</v>
      </c>
      <c r="D43" s="235">
        <f t="shared" si="14"/>
        <v>871807526.3</v>
      </c>
      <c r="E43" s="235">
        <f t="shared" si="14"/>
        <v>978158608.4</v>
      </c>
      <c r="F43" s="235">
        <f t="shared" si="14"/>
        <v>1100955646</v>
      </c>
      <c r="G43" s="235">
        <f t="shared" si="14"/>
        <v>1219331809</v>
      </c>
      <c r="H43" s="235">
        <f t="shared" si="14"/>
        <v>1354191199</v>
      </c>
      <c r="I43" s="235">
        <f t="shared" si="14"/>
        <v>1494530671</v>
      </c>
      <c r="J43" s="235">
        <f t="shared" si="14"/>
        <v>1640352154</v>
      </c>
      <c r="K43" s="235">
        <f t="shared" si="14"/>
        <v>1793848451</v>
      </c>
      <c r="L43" s="1"/>
      <c r="M43" s="1"/>
      <c r="N43" s="1"/>
      <c r="O43" s="1"/>
      <c r="P43" s="1"/>
      <c r="Q43" s="1"/>
      <c r="R43" s="1"/>
      <c r="S43" s="1"/>
      <c r="T43" s="1"/>
      <c r="U43" s="1"/>
      <c r="V43" s="1"/>
      <c r="W43" s="1"/>
      <c r="X43" s="1"/>
      <c r="Y43" s="1"/>
      <c r="Z43" s="1"/>
    </row>
    <row r="44" ht="12.75" customHeight="1">
      <c r="A44" s="236" t="s">
        <v>241</v>
      </c>
      <c r="B44" s="176">
        <f t="shared" ref="B44:K44" si="15">+B40</f>
        <v>404938077.5</v>
      </c>
      <c r="C44" s="176">
        <f t="shared" si="15"/>
        <v>709041411</v>
      </c>
      <c r="D44" s="176">
        <f t="shared" si="15"/>
        <v>807717526.3</v>
      </c>
      <c r="E44" s="176">
        <f t="shared" si="15"/>
        <v>914068608.4</v>
      </c>
      <c r="F44" s="176">
        <f t="shared" si="15"/>
        <v>1036865646</v>
      </c>
      <c r="G44" s="176">
        <f t="shared" si="15"/>
        <v>1179431809</v>
      </c>
      <c r="H44" s="176">
        <f t="shared" si="15"/>
        <v>1314291199</v>
      </c>
      <c r="I44" s="176">
        <f t="shared" si="15"/>
        <v>1454630671</v>
      </c>
      <c r="J44" s="176">
        <f t="shared" si="15"/>
        <v>1600452154</v>
      </c>
      <c r="K44" s="134">
        <f t="shared" si="15"/>
        <v>1753948451</v>
      </c>
      <c r="L44" s="1"/>
      <c r="M44" s="1"/>
      <c r="N44" s="1"/>
      <c r="O44" s="1"/>
      <c r="P44" s="1"/>
      <c r="Q44" s="1"/>
      <c r="R44" s="1"/>
      <c r="S44" s="1"/>
      <c r="T44" s="1"/>
      <c r="U44" s="1"/>
      <c r="V44" s="1"/>
      <c r="W44" s="1"/>
      <c r="X44" s="1"/>
      <c r="Y44" s="1"/>
      <c r="Z44" s="1"/>
    </row>
    <row r="45" ht="12.75" customHeight="1">
      <c r="A45" s="155" t="s">
        <v>242</v>
      </c>
      <c r="B45" s="176">
        <f>+'Inv AF'!E80</f>
        <v>64090000</v>
      </c>
      <c r="C45" s="176">
        <f>+'Inv AF'!F80</f>
        <v>64090000</v>
      </c>
      <c r="D45" s="176">
        <f>+'Inv AF'!G80</f>
        <v>64090000</v>
      </c>
      <c r="E45" s="176">
        <f>+'Inv AF'!H80</f>
        <v>64090000</v>
      </c>
      <c r="F45" s="176">
        <f>+'Inv AF'!I80</f>
        <v>64090000</v>
      </c>
      <c r="G45" s="176">
        <f>+'Inv AF'!J80</f>
        <v>39900000</v>
      </c>
      <c r="H45" s="176">
        <f>+'Inv AF'!K80</f>
        <v>39900000</v>
      </c>
      <c r="I45" s="176">
        <f>+'Inv AF'!L80</f>
        <v>39900000</v>
      </c>
      <c r="J45" s="176">
        <f>+'Inv AF'!M80</f>
        <v>39900000</v>
      </c>
      <c r="K45" s="176">
        <f>+'Inv AF'!N80</f>
        <v>39900000</v>
      </c>
      <c r="L45" s="1"/>
      <c r="M45" s="1"/>
      <c r="N45" s="1"/>
      <c r="O45" s="1"/>
      <c r="P45" s="1"/>
      <c r="Q45" s="1"/>
      <c r="R45" s="1"/>
      <c r="S45" s="1"/>
      <c r="T45" s="1"/>
      <c r="U45" s="1"/>
      <c r="V45" s="1"/>
      <c r="W45" s="1"/>
      <c r="X45" s="1"/>
      <c r="Y45" s="1"/>
      <c r="Z45" s="1"/>
    </row>
    <row r="46" ht="7.5" customHeight="1">
      <c r="A46" s="155"/>
      <c r="B46" s="69"/>
      <c r="C46" s="69"/>
      <c r="D46" s="69"/>
      <c r="E46" s="69"/>
      <c r="F46" s="69"/>
      <c r="G46" s="69"/>
      <c r="H46" s="69"/>
      <c r="I46" s="69"/>
      <c r="J46" s="69"/>
      <c r="K46" s="69"/>
      <c r="L46" s="1"/>
      <c r="M46" s="1"/>
      <c r="N46" s="1"/>
      <c r="O46" s="1"/>
      <c r="P46" s="1"/>
      <c r="Q46" s="1"/>
      <c r="R46" s="1"/>
      <c r="S46" s="1"/>
      <c r="T46" s="1"/>
      <c r="U46" s="1"/>
      <c r="V46" s="1"/>
      <c r="W46" s="1"/>
      <c r="X46" s="1"/>
      <c r="Y46" s="1"/>
      <c r="Z46" s="1"/>
    </row>
    <row r="47" ht="12.75" customHeight="1">
      <c r="A47" s="155" t="s">
        <v>243</v>
      </c>
      <c r="B47" s="176">
        <f>CostoPROD!B20+CostoAdmComFin!B17+CostoAdmComFin!B37</f>
        <v>1118574540</v>
      </c>
      <c r="C47" s="176">
        <f>CostoPROD!C20+CostoAdmComFin!C17+CostoAdmComFin!C37</f>
        <v>1203624540</v>
      </c>
      <c r="D47" s="176">
        <f>CostoPROD!D20+CostoAdmComFin!D17+CostoAdmComFin!D37</f>
        <v>1231974540</v>
      </c>
      <c r="E47" s="176">
        <f>CostoPROD!E20+CostoAdmComFin!E17+CostoAdmComFin!E37</f>
        <v>1262529540</v>
      </c>
      <c r="F47" s="176">
        <f>CostoPROD!F20+CostoAdmComFin!F17+CostoAdmComFin!F37</f>
        <v>1297809540</v>
      </c>
      <c r="G47" s="176">
        <f>CostoPROD!G20+CostoAdmComFin!G17+CostoAdmComFin!G37</f>
        <v>1334204400</v>
      </c>
      <c r="H47" s="176">
        <f>CostoPROD!H20+CostoAdmComFin!H17+CostoAdmComFin!H37</f>
        <v>1372949400</v>
      </c>
      <c r="I47" s="176">
        <f>CostoPROD!I20+CostoAdmComFin!I17+CostoAdmComFin!I37</f>
        <v>1413269400</v>
      </c>
      <c r="J47" s="176">
        <f>CostoPROD!J20+CostoAdmComFin!J17+CostoAdmComFin!J37</f>
        <v>1455164400</v>
      </c>
      <c r="K47" s="176">
        <f>CostoPROD!K20+CostoAdmComFin!K17+CostoAdmComFin!K37</f>
        <v>1499264400</v>
      </c>
      <c r="L47" s="1"/>
      <c r="M47" s="1"/>
      <c r="N47" s="1"/>
      <c r="O47" s="1"/>
      <c r="P47" s="1"/>
      <c r="Q47" s="1"/>
      <c r="R47" s="1"/>
      <c r="S47" s="1"/>
      <c r="T47" s="1"/>
      <c r="U47" s="1"/>
      <c r="V47" s="1"/>
      <c r="W47" s="1"/>
      <c r="X47" s="1"/>
      <c r="Y47" s="1"/>
      <c r="Z47" s="1"/>
    </row>
    <row r="48" ht="12.75" customHeight="1">
      <c r="A48" s="236" t="s">
        <v>244</v>
      </c>
      <c r="B48" s="176">
        <f>CostoPROD!B21+CostoAdmComFin!B18+CostoAdmComFin!B38+CostoAdmComFin!B48</f>
        <v>2198859795</v>
      </c>
      <c r="C48" s="176">
        <f>CostoPROD!C21+CostoAdmComFin!C18+CostoAdmComFin!C38+CostoAdmComFin!C48</f>
        <v>2188330261</v>
      </c>
      <c r="D48" s="176">
        <f>CostoPROD!D21+CostoAdmComFin!D18+CostoAdmComFin!D38+CostoAdmComFin!D48</f>
        <v>2189180884</v>
      </c>
      <c r="E48" s="176">
        <f>CostoPROD!E21+CostoAdmComFin!E18+CostoAdmComFin!E38+CostoAdmComFin!E48</f>
        <v>2190097411</v>
      </c>
      <c r="F48" s="176">
        <f>CostoPROD!F21+CostoAdmComFin!F18+CostoAdmComFin!F38+CostoAdmComFin!F48</f>
        <v>2191155811</v>
      </c>
      <c r="G48" s="176">
        <f>CostoPROD!G21+CostoAdmComFin!G18+CostoAdmComFin!G38+CostoAdmComFin!G48</f>
        <v>2167484574</v>
      </c>
      <c r="H48" s="176">
        <f>CostoPROD!H21+CostoAdmComFin!H18+CostoAdmComFin!H38+CostoAdmComFin!H48</f>
        <v>2168643801</v>
      </c>
      <c r="I48" s="176">
        <f>CostoPROD!I21+CostoAdmComFin!I18+CostoAdmComFin!I38+CostoAdmComFin!I48</f>
        <v>2169853401</v>
      </c>
      <c r="J48" s="176">
        <f>CostoPROD!J21+CostoAdmComFin!J18+CostoAdmComFin!J38+CostoAdmComFin!J48</f>
        <v>2171110251</v>
      </c>
      <c r="K48" s="176">
        <f>CostoPROD!K21+CostoAdmComFin!K18+CostoAdmComFin!K38+CostoAdmComFin!K48</f>
        <v>2172433251</v>
      </c>
      <c r="L48" s="1"/>
      <c r="M48" s="1"/>
      <c r="N48" s="1"/>
      <c r="O48" s="1"/>
      <c r="P48" s="1"/>
      <c r="Q48" s="1"/>
      <c r="R48" s="1"/>
      <c r="S48" s="1"/>
      <c r="T48" s="1"/>
      <c r="U48" s="1"/>
      <c r="V48" s="1"/>
      <c r="W48" s="1"/>
      <c r="X48" s="1"/>
      <c r="Y48" s="1"/>
      <c r="Z48" s="1"/>
    </row>
    <row r="49" ht="12.75" customHeight="1">
      <c r="A49" s="155" t="s">
        <v>245</v>
      </c>
      <c r="B49" s="176">
        <f t="shared" ref="B49:K49" si="16">+B13-B47</f>
        <v>2854625460</v>
      </c>
      <c r="C49" s="176">
        <f t="shared" si="16"/>
        <v>3336575460</v>
      </c>
      <c r="D49" s="176">
        <f t="shared" si="16"/>
        <v>3497225460</v>
      </c>
      <c r="E49" s="176">
        <f t="shared" si="16"/>
        <v>3670370460</v>
      </c>
      <c r="F49" s="176">
        <f t="shared" si="16"/>
        <v>3870290460</v>
      </c>
      <c r="G49" s="176">
        <f t="shared" si="16"/>
        <v>4077495600</v>
      </c>
      <c r="H49" s="176">
        <f t="shared" si="16"/>
        <v>4297050600</v>
      </c>
      <c r="I49" s="176">
        <f t="shared" si="16"/>
        <v>4525530600</v>
      </c>
      <c r="J49" s="176">
        <f t="shared" si="16"/>
        <v>4762935600</v>
      </c>
      <c r="K49" s="176">
        <f t="shared" si="16"/>
        <v>5012835600</v>
      </c>
      <c r="L49" s="1"/>
      <c r="M49" s="1"/>
      <c r="N49" s="1"/>
      <c r="O49" s="1"/>
      <c r="P49" s="1"/>
      <c r="Q49" s="1"/>
      <c r="R49" s="1"/>
      <c r="S49" s="1"/>
      <c r="T49" s="1"/>
      <c r="U49" s="1"/>
      <c r="V49" s="1"/>
      <c r="W49" s="1"/>
      <c r="X49" s="1"/>
      <c r="Y49" s="1"/>
      <c r="Z49" s="1"/>
    </row>
    <row r="50" ht="12.75" customHeight="1">
      <c r="A50" s="160" t="s">
        <v>246</v>
      </c>
      <c r="B50" s="201">
        <f t="shared" ref="B50:K50" si="17">B48/B49</f>
        <v>0.7702796131</v>
      </c>
      <c r="C50" s="201">
        <f t="shared" si="17"/>
        <v>0.6558611628</v>
      </c>
      <c r="D50" s="201">
        <f t="shared" si="17"/>
        <v>0.6259764802</v>
      </c>
      <c r="E50" s="201">
        <f t="shared" si="17"/>
        <v>0.5966965555</v>
      </c>
      <c r="F50" s="201">
        <f t="shared" si="17"/>
        <v>0.5661476402</v>
      </c>
      <c r="G50" s="201">
        <f t="shared" si="17"/>
        <v>0.5315725108</v>
      </c>
      <c r="H50" s="201">
        <f t="shared" si="17"/>
        <v>0.5046819325</v>
      </c>
      <c r="I50" s="201">
        <f t="shared" si="17"/>
        <v>0.4794693911</v>
      </c>
      <c r="J50" s="201">
        <f t="shared" si="17"/>
        <v>0.4558344755</v>
      </c>
      <c r="K50" s="201">
        <f t="shared" si="17"/>
        <v>0.4333741268</v>
      </c>
      <c r="L50" s="1"/>
      <c r="M50" s="1"/>
      <c r="N50" s="1"/>
      <c r="O50" s="1"/>
      <c r="P50" s="1"/>
      <c r="Q50" s="1"/>
      <c r="R50" s="1"/>
      <c r="S50" s="1"/>
      <c r="T50" s="1"/>
      <c r="U50" s="1"/>
      <c r="V50" s="1"/>
      <c r="W50" s="1"/>
      <c r="X50" s="1"/>
      <c r="Y50" s="1"/>
      <c r="Z50" s="1"/>
    </row>
    <row r="51" ht="12.75" customHeight="1">
      <c r="A51" s="5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237" t="s">
        <v>247</v>
      </c>
      <c r="B52" s="238"/>
      <c r="C52" s="238"/>
      <c r="D52" s="238"/>
      <c r="E52" s="238"/>
      <c r="F52" s="238"/>
      <c r="G52" s="238"/>
      <c r="H52" s="238"/>
      <c r="I52" s="238"/>
      <c r="J52" s="238"/>
      <c r="K52" s="238"/>
      <c r="L52" s="239"/>
      <c r="M52" s="1"/>
      <c r="N52" s="1"/>
      <c r="O52" s="1"/>
      <c r="P52" s="1"/>
      <c r="Q52" s="1"/>
      <c r="R52" s="1"/>
      <c r="S52" s="1"/>
      <c r="T52" s="1"/>
      <c r="U52" s="1"/>
      <c r="V52" s="1"/>
      <c r="W52" s="1"/>
      <c r="X52" s="1"/>
      <c r="Y52" s="1"/>
      <c r="Z52" s="1"/>
    </row>
    <row r="53" ht="12.75" customHeight="1">
      <c r="A53" s="119" t="s">
        <v>121</v>
      </c>
      <c r="B53" s="25" t="s">
        <v>43</v>
      </c>
      <c r="C53" s="25" t="s">
        <v>44</v>
      </c>
      <c r="D53" s="25" t="s">
        <v>45</v>
      </c>
      <c r="E53" s="25" t="s">
        <v>46</v>
      </c>
      <c r="F53" s="25" t="s">
        <v>47</v>
      </c>
      <c r="G53" s="25" t="s">
        <v>48</v>
      </c>
      <c r="H53" s="25" t="s">
        <v>49</v>
      </c>
      <c r="I53" s="25" t="s">
        <v>50</v>
      </c>
      <c r="J53" s="25" t="s">
        <v>51</v>
      </c>
      <c r="K53" s="240" t="s">
        <v>52</v>
      </c>
      <c r="L53" s="120" t="s">
        <v>248</v>
      </c>
      <c r="M53" s="1"/>
      <c r="N53" s="1"/>
      <c r="O53" s="1"/>
      <c r="P53" s="1"/>
      <c r="Q53" s="1"/>
      <c r="R53" s="1"/>
      <c r="S53" s="1"/>
      <c r="T53" s="1"/>
      <c r="U53" s="1"/>
      <c r="V53" s="1"/>
      <c r="W53" s="1"/>
      <c r="X53" s="1"/>
      <c r="Y53" s="1"/>
      <c r="Z53" s="1"/>
    </row>
    <row r="54" ht="12.75" customHeight="1">
      <c r="A54" s="1" t="s">
        <v>249</v>
      </c>
      <c r="B54" s="124">
        <f t="shared" ref="B54:K54" si="18">B13</f>
        <v>3973200000</v>
      </c>
      <c r="C54" s="124">
        <f t="shared" si="18"/>
        <v>4540200000</v>
      </c>
      <c r="D54" s="124">
        <f t="shared" si="18"/>
        <v>4729200000</v>
      </c>
      <c r="E54" s="124">
        <f t="shared" si="18"/>
        <v>4932900000</v>
      </c>
      <c r="F54" s="124">
        <f t="shared" si="18"/>
        <v>5168100000</v>
      </c>
      <c r="G54" s="124">
        <f t="shared" si="18"/>
        <v>5411700000</v>
      </c>
      <c r="H54" s="124">
        <f t="shared" si="18"/>
        <v>5670000000</v>
      </c>
      <c r="I54" s="124">
        <f t="shared" si="18"/>
        <v>5938800000</v>
      </c>
      <c r="J54" s="124">
        <f t="shared" si="18"/>
        <v>6218100000</v>
      </c>
      <c r="K54" s="124">
        <f t="shared" si="18"/>
        <v>6512100000</v>
      </c>
      <c r="L54" s="134">
        <f t="shared" ref="L54:L56" si="20">SUM(B54:K54)</f>
        <v>53094300000</v>
      </c>
      <c r="M54" s="1"/>
      <c r="N54" s="1"/>
      <c r="O54" s="1"/>
      <c r="P54" s="1"/>
      <c r="Q54" s="1"/>
      <c r="R54" s="1"/>
      <c r="S54" s="1"/>
      <c r="T54" s="1"/>
      <c r="U54" s="1"/>
      <c r="V54" s="1"/>
      <c r="W54" s="1"/>
      <c r="X54" s="1"/>
      <c r="Y54" s="1"/>
      <c r="Z54" s="1"/>
    </row>
    <row r="55" ht="12.75" customHeight="1">
      <c r="A55" s="1" t="s">
        <v>250</v>
      </c>
      <c r="B55" s="124">
        <f t="shared" ref="B55:K55" si="19">B28</f>
        <v>1936020614</v>
      </c>
      <c r="C55" s="124">
        <f t="shared" si="19"/>
        <v>1936025080</v>
      </c>
      <c r="D55" s="124">
        <f t="shared" si="19"/>
        <v>1936025203</v>
      </c>
      <c r="E55" s="124">
        <f t="shared" si="19"/>
        <v>1936025080</v>
      </c>
      <c r="F55" s="124">
        <f t="shared" si="19"/>
        <v>1936025080</v>
      </c>
      <c r="G55" s="124">
        <f t="shared" si="19"/>
        <v>1926061923</v>
      </c>
      <c r="H55" s="124">
        <f t="shared" si="19"/>
        <v>1926058800</v>
      </c>
      <c r="I55" s="124">
        <f t="shared" si="19"/>
        <v>1926058800</v>
      </c>
      <c r="J55" s="124">
        <f t="shared" si="19"/>
        <v>1926058800</v>
      </c>
      <c r="K55" s="124">
        <f t="shared" si="19"/>
        <v>1926058800</v>
      </c>
      <c r="L55" s="134">
        <f t="shared" si="20"/>
        <v>19310418180</v>
      </c>
      <c r="M55" s="1"/>
      <c r="N55" s="1"/>
      <c r="O55" s="1"/>
      <c r="P55" s="1"/>
      <c r="Q55" s="1"/>
      <c r="R55" s="1"/>
      <c r="S55" s="1"/>
      <c r="T55" s="1"/>
      <c r="U55" s="1"/>
      <c r="V55" s="1"/>
      <c r="W55" s="1"/>
      <c r="X55" s="1"/>
      <c r="Y55" s="1"/>
      <c r="Z55" s="1"/>
    </row>
    <row r="56" ht="12.75" customHeight="1">
      <c r="A56" s="1" t="s">
        <v>251</v>
      </c>
      <c r="B56" s="124">
        <f t="shared" ref="B56:K56" si="21">B54-B55</f>
        <v>2037179386</v>
      </c>
      <c r="C56" s="124">
        <f t="shared" si="21"/>
        <v>2604174920</v>
      </c>
      <c r="D56" s="124">
        <f t="shared" si="21"/>
        <v>2793174797</v>
      </c>
      <c r="E56" s="124">
        <f t="shared" si="21"/>
        <v>2996874920</v>
      </c>
      <c r="F56" s="124">
        <f t="shared" si="21"/>
        <v>3232074920</v>
      </c>
      <c r="G56" s="124">
        <f t="shared" si="21"/>
        <v>3485638077</v>
      </c>
      <c r="H56" s="124">
        <f t="shared" si="21"/>
        <v>3743941200</v>
      </c>
      <c r="I56" s="124">
        <f t="shared" si="21"/>
        <v>4012741200</v>
      </c>
      <c r="J56" s="124">
        <f t="shared" si="21"/>
        <v>4292041200</v>
      </c>
      <c r="K56" s="124">
        <f t="shared" si="21"/>
        <v>4586041200</v>
      </c>
      <c r="L56" s="134">
        <f t="shared" si="20"/>
        <v>33783881820</v>
      </c>
      <c r="M56" s="1"/>
      <c r="N56" s="1"/>
      <c r="O56" s="1"/>
      <c r="P56" s="1"/>
      <c r="Q56" s="1"/>
      <c r="R56" s="1"/>
      <c r="S56" s="1"/>
      <c r="T56" s="1"/>
      <c r="U56" s="1"/>
      <c r="V56" s="1"/>
      <c r="W56" s="1"/>
      <c r="X56" s="1"/>
      <c r="Y56" s="1"/>
      <c r="Z56" s="1"/>
    </row>
    <row r="57" ht="4.5" customHeight="1">
      <c r="A57" s="1"/>
      <c r="B57" s="108"/>
      <c r="C57" s="108"/>
      <c r="D57" s="108"/>
      <c r="E57" s="108"/>
      <c r="F57" s="108"/>
      <c r="G57" s="108"/>
      <c r="H57" s="108"/>
      <c r="I57" s="108"/>
      <c r="J57" s="108"/>
      <c r="K57" s="108"/>
      <c r="L57" s="109"/>
      <c r="M57" s="1"/>
      <c r="N57" s="1"/>
      <c r="O57" s="1"/>
      <c r="P57" s="1"/>
      <c r="Q57" s="1"/>
      <c r="R57" s="1"/>
      <c r="S57" s="1"/>
      <c r="T57" s="1"/>
      <c r="U57" s="1"/>
      <c r="V57" s="1"/>
      <c r="W57" s="1"/>
      <c r="X57" s="1"/>
      <c r="Y57" s="1"/>
      <c r="Z57" s="1"/>
    </row>
    <row r="58" ht="12.75" customHeight="1">
      <c r="A58" s="1" t="s">
        <v>252</v>
      </c>
      <c r="B58" s="124">
        <f t="shared" ref="B58:K58" si="22">B29</f>
        <v>535412540</v>
      </c>
      <c r="C58" s="124">
        <f t="shared" si="22"/>
        <v>535412540</v>
      </c>
      <c r="D58" s="124">
        <f t="shared" si="22"/>
        <v>535412540</v>
      </c>
      <c r="E58" s="124">
        <f t="shared" si="22"/>
        <v>535412540</v>
      </c>
      <c r="F58" s="124">
        <f t="shared" si="22"/>
        <v>535412540</v>
      </c>
      <c r="G58" s="124">
        <f t="shared" si="22"/>
        <v>530429400</v>
      </c>
      <c r="H58" s="124">
        <f t="shared" si="22"/>
        <v>530429400</v>
      </c>
      <c r="I58" s="124">
        <f t="shared" si="22"/>
        <v>530429400</v>
      </c>
      <c r="J58" s="124">
        <f t="shared" si="22"/>
        <v>530429400</v>
      </c>
      <c r="K58" s="124">
        <f t="shared" si="22"/>
        <v>530429400</v>
      </c>
      <c r="L58" s="134">
        <f t="shared" ref="L58:L60" si="24">SUM(B58:K58)</f>
        <v>5329209700</v>
      </c>
      <c r="M58" s="1"/>
      <c r="N58" s="1"/>
      <c r="O58" s="1"/>
      <c r="P58" s="1"/>
      <c r="Q58" s="1"/>
      <c r="R58" s="1"/>
      <c r="S58" s="1"/>
      <c r="T58" s="1"/>
      <c r="U58" s="1"/>
      <c r="V58" s="1"/>
      <c r="W58" s="1"/>
      <c r="X58" s="1"/>
      <c r="Y58" s="1"/>
      <c r="Z58" s="1"/>
    </row>
    <row r="59" ht="12.75" customHeight="1">
      <c r="A59" s="1" t="s">
        <v>253</v>
      </c>
      <c r="B59" s="241">
        <f t="shared" ref="B59:K59" si="23">B30</f>
        <v>845996680</v>
      </c>
      <c r="C59" s="241">
        <f t="shared" si="23"/>
        <v>920517180</v>
      </c>
      <c r="D59" s="241">
        <f t="shared" si="23"/>
        <v>949717680</v>
      </c>
      <c r="E59" s="241">
        <f t="shared" si="23"/>
        <v>981189330</v>
      </c>
      <c r="F59" s="241">
        <f t="shared" si="23"/>
        <v>1017527730</v>
      </c>
      <c r="G59" s="241">
        <f t="shared" si="23"/>
        <v>1045197650</v>
      </c>
      <c r="H59" s="241">
        <f t="shared" si="23"/>
        <v>1085105000</v>
      </c>
      <c r="I59" s="241">
        <f t="shared" si="23"/>
        <v>1126634600</v>
      </c>
      <c r="J59" s="241">
        <f t="shared" si="23"/>
        <v>1169786450</v>
      </c>
      <c r="K59" s="241">
        <f t="shared" si="23"/>
        <v>1215209450</v>
      </c>
      <c r="L59" s="134">
        <f t="shared" si="24"/>
        <v>10356881750</v>
      </c>
      <c r="M59" s="1"/>
      <c r="N59" s="1"/>
      <c r="O59" s="1"/>
      <c r="P59" s="1"/>
      <c r="Q59" s="1"/>
      <c r="R59" s="1"/>
      <c r="S59" s="1"/>
      <c r="T59" s="1"/>
      <c r="U59" s="1"/>
      <c r="V59" s="1"/>
      <c r="W59" s="1"/>
      <c r="X59" s="1"/>
      <c r="Y59" s="1"/>
      <c r="Z59" s="1"/>
    </row>
    <row r="60" ht="12.75" customHeight="1">
      <c r="A60" s="1" t="s">
        <v>254</v>
      </c>
      <c r="B60" s="124">
        <f t="shared" ref="B60:K60" si="25">B31</f>
        <v>0</v>
      </c>
      <c r="C60" s="124">
        <f t="shared" si="25"/>
        <v>0</v>
      </c>
      <c r="D60" s="124">
        <f t="shared" si="25"/>
        <v>0</v>
      </c>
      <c r="E60" s="124">
        <f t="shared" si="25"/>
        <v>0</v>
      </c>
      <c r="F60" s="124">
        <f t="shared" si="25"/>
        <v>0</v>
      </c>
      <c r="G60" s="124">
        <f t="shared" si="25"/>
        <v>0</v>
      </c>
      <c r="H60" s="124">
        <f t="shared" si="25"/>
        <v>0</v>
      </c>
      <c r="I60" s="124">
        <f t="shared" si="25"/>
        <v>0</v>
      </c>
      <c r="J60" s="124">
        <f t="shared" si="25"/>
        <v>0</v>
      </c>
      <c r="K60" s="124">
        <f t="shared" si="25"/>
        <v>0</v>
      </c>
      <c r="L60" s="242">
        <f t="shared" si="24"/>
        <v>0</v>
      </c>
      <c r="M60" s="1"/>
      <c r="N60" s="1"/>
      <c r="O60" s="1"/>
      <c r="P60" s="1"/>
      <c r="Q60" s="1"/>
      <c r="R60" s="1"/>
      <c r="S60" s="1"/>
      <c r="T60" s="1"/>
      <c r="U60" s="1"/>
      <c r="V60" s="1"/>
      <c r="W60" s="1"/>
      <c r="X60" s="1"/>
      <c r="Y60" s="1"/>
      <c r="Z60" s="1"/>
    </row>
    <row r="61" ht="12.75" customHeight="1">
      <c r="A61" s="51" t="s">
        <v>255</v>
      </c>
      <c r="B61" s="132">
        <f t="shared" ref="B61:L61" si="26">B56-B58-B59-B60</f>
        <v>655770166</v>
      </c>
      <c r="C61" s="132">
        <f t="shared" si="26"/>
        <v>1148245200</v>
      </c>
      <c r="D61" s="132">
        <f t="shared" si="26"/>
        <v>1308044577</v>
      </c>
      <c r="E61" s="132">
        <f t="shared" si="26"/>
        <v>1480273050</v>
      </c>
      <c r="F61" s="132">
        <f t="shared" si="26"/>
        <v>1679134650</v>
      </c>
      <c r="G61" s="132">
        <f t="shared" si="26"/>
        <v>1910011027</v>
      </c>
      <c r="H61" s="132">
        <f t="shared" si="26"/>
        <v>2128406800</v>
      </c>
      <c r="I61" s="132">
        <f t="shared" si="26"/>
        <v>2355677200</v>
      </c>
      <c r="J61" s="132">
        <f t="shared" si="26"/>
        <v>2591825350</v>
      </c>
      <c r="K61" s="132">
        <f t="shared" si="26"/>
        <v>2840402350</v>
      </c>
      <c r="L61" s="124">
        <f t="shared" si="26"/>
        <v>18097790370</v>
      </c>
      <c r="M61" s="1"/>
      <c r="N61" s="1"/>
      <c r="O61" s="1"/>
      <c r="P61" s="1"/>
      <c r="Q61" s="1"/>
      <c r="R61" s="1"/>
      <c r="S61" s="1"/>
      <c r="T61" s="1"/>
      <c r="U61" s="1"/>
      <c r="V61" s="1"/>
      <c r="W61" s="1"/>
      <c r="X61" s="1"/>
      <c r="Y61" s="1"/>
      <c r="Z61" s="1"/>
    </row>
    <row r="62" ht="12.75" customHeight="1">
      <c r="A62" s="1" t="s">
        <v>256</v>
      </c>
      <c r="B62" s="124">
        <f t="shared" ref="B62:K62" si="27">B37</f>
        <v>32788508.3</v>
      </c>
      <c r="C62" s="124">
        <f t="shared" si="27"/>
        <v>57412260</v>
      </c>
      <c r="D62" s="124">
        <f t="shared" si="27"/>
        <v>65402228.85</v>
      </c>
      <c r="E62" s="124">
        <f t="shared" si="27"/>
        <v>74013652.5</v>
      </c>
      <c r="F62" s="124">
        <f t="shared" si="27"/>
        <v>83956732.5</v>
      </c>
      <c r="G62" s="124">
        <f t="shared" si="27"/>
        <v>95500551.35</v>
      </c>
      <c r="H62" s="124">
        <f t="shared" si="27"/>
        <v>106420340</v>
      </c>
      <c r="I62" s="124">
        <f t="shared" si="27"/>
        <v>117783860</v>
      </c>
      <c r="J62" s="124">
        <f t="shared" si="27"/>
        <v>129591267.5</v>
      </c>
      <c r="K62" s="124">
        <f t="shared" si="27"/>
        <v>142020117.5</v>
      </c>
      <c r="L62" s="134">
        <f t="shared" ref="L62:L64" si="29">SUM(B62:K62)</f>
        <v>904889518.5</v>
      </c>
      <c r="M62" s="1"/>
      <c r="N62" s="1"/>
      <c r="O62" s="1"/>
      <c r="P62" s="1"/>
      <c r="Q62" s="1"/>
      <c r="R62" s="1"/>
      <c r="S62" s="1"/>
      <c r="T62" s="1"/>
      <c r="U62" s="1"/>
      <c r="V62" s="1"/>
      <c r="W62" s="1"/>
      <c r="X62" s="1"/>
      <c r="Y62" s="1"/>
      <c r="Z62" s="1"/>
    </row>
    <row r="63" ht="12.75" customHeight="1">
      <c r="A63" s="243" t="s">
        <v>257</v>
      </c>
      <c r="B63" s="124">
        <f t="shared" ref="B63:K63" si="28">B38</f>
        <v>218043580.2</v>
      </c>
      <c r="C63" s="124">
        <f t="shared" si="28"/>
        <v>381791529</v>
      </c>
      <c r="D63" s="124">
        <f t="shared" si="28"/>
        <v>434924821.9</v>
      </c>
      <c r="E63" s="124">
        <f t="shared" si="28"/>
        <v>492190789.1</v>
      </c>
      <c r="F63" s="124">
        <f t="shared" si="28"/>
        <v>558312271.1</v>
      </c>
      <c r="G63" s="124">
        <f t="shared" si="28"/>
        <v>635078666.5</v>
      </c>
      <c r="H63" s="124">
        <f t="shared" si="28"/>
        <v>707695261</v>
      </c>
      <c r="I63" s="124">
        <f t="shared" si="28"/>
        <v>783262669</v>
      </c>
      <c r="J63" s="124">
        <f t="shared" si="28"/>
        <v>861781928.9</v>
      </c>
      <c r="K63" s="124">
        <f t="shared" si="28"/>
        <v>944433781.4</v>
      </c>
      <c r="L63" s="134">
        <f t="shared" si="29"/>
        <v>6017515298</v>
      </c>
      <c r="M63" s="1"/>
      <c r="N63" s="1"/>
      <c r="O63" s="1"/>
      <c r="P63" s="1"/>
      <c r="Q63" s="1"/>
      <c r="R63" s="1"/>
      <c r="S63" s="1"/>
      <c r="T63" s="1"/>
      <c r="U63" s="1"/>
      <c r="V63" s="1"/>
      <c r="W63" s="1"/>
      <c r="X63" s="1"/>
      <c r="Y63" s="1"/>
      <c r="Z63" s="1"/>
    </row>
    <row r="64" ht="12.75" customHeight="1">
      <c r="A64" s="137" t="s">
        <v>258</v>
      </c>
      <c r="B64" s="138">
        <f t="shared" ref="B64:K64" si="30">B61-B62-B63</f>
        <v>404938077.5</v>
      </c>
      <c r="C64" s="138">
        <f t="shared" si="30"/>
        <v>709041411</v>
      </c>
      <c r="D64" s="138">
        <f t="shared" si="30"/>
        <v>807717526.3</v>
      </c>
      <c r="E64" s="138">
        <f t="shared" si="30"/>
        <v>914068608.4</v>
      </c>
      <c r="F64" s="138">
        <f t="shared" si="30"/>
        <v>1036865646</v>
      </c>
      <c r="G64" s="138">
        <f t="shared" si="30"/>
        <v>1179431809</v>
      </c>
      <c r="H64" s="138">
        <f t="shared" si="30"/>
        <v>1314291199</v>
      </c>
      <c r="I64" s="138">
        <f t="shared" si="30"/>
        <v>1454630671</v>
      </c>
      <c r="J64" s="138">
        <f t="shared" si="30"/>
        <v>1600452154</v>
      </c>
      <c r="K64" s="138">
        <f t="shared" si="30"/>
        <v>1753948451</v>
      </c>
      <c r="L64" s="134">
        <f t="shared" si="29"/>
        <v>11175385553</v>
      </c>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2:K2"/>
  </mergeCells>
  <printOptions/>
  <pageMargins bottom="0.24" footer="0.0" header="0.0" left="0.32" right="0.75" top="0.6"/>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0"/>
    <col customWidth="1" min="2" max="2" width="7.25"/>
    <col customWidth="1" min="3" max="13" width="15.25"/>
    <col customWidth="1" min="14" max="26" width="10.63"/>
  </cols>
  <sheetData>
    <row r="1" ht="12.75" customHeight="1">
      <c r="A1" s="244" t="s">
        <v>259</v>
      </c>
      <c r="B1" s="245"/>
      <c r="C1" s="117"/>
      <c r="D1" s="117"/>
      <c r="E1" s="117"/>
      <c r="F1" s="117"/>
      <c r="G1" s="117"/>
      <c r="H1" s="117"/>
      <c r="I1" s="117"/>
      <c r="J1" s="117"/>
      <c r="K1" s="117"/>
      <c r="L1" s="117"/>
      <c r="M1" s="118"/>
      <c r="N1" s="1"/>
      <c r="O1" s="1"/>
      <c r="P1" s="1"/>
      <c r="Q1" s="1"/>
      <c r="R1" s="1"/>
      <c r="S1" s="1"/>
      <c r="T1" s="1"/>
      <c r="U1" s="1"/>
      <c r="V1" s="1"/>
      <c r="W1" s="1"/>
      <c r="X1" s="1"/>
      <c r="Y1" s="1"/>
      <c r="Z1" s="1"/>
    </row>
    <row r="2" ht="12.75" customHeight="1">
      <c r="A2" s="246"/>
      <c r="B2" s="247"/>
      <c r="C2" s="248" t="s">
        <v>260</v>
      </c>
      <c r="D2" s="144"/>
      <c r="E2" s="144"/>
      <c r="F2" s="144"/>
      <c r="G2" s="144"/>
      <c r="H2" s="144"/>
      <c r="I2" s="144"/>
      <c r="J2" s="144"/>
      <c r="K2" s="144"/>
      <c r="L2" s="144"/>
      <c r="M2" s="145"/>
      <c r="N2" s="1"/>
      <c r="O2" s="1"/>
      <c r="P2" s="1"/>
      <c r="Q2" s="1"/>
      <c r="R2" s="1"/>
      <c r="S2" s="1"/>
      <c r="T2" s="1"/>
      <c r="U2" s="1"/>
      <c r="V2" s="1"/>
      <c r="W2" s="1"/>
      <c r="X2" s="1"/>
      <c r="Y2" s="1"/>
      <c r="Z2" s="1"/>
    </row>
    <row r="3" ht="12.75" customHeight="1">
      <c r="A3" s="249" t="s">
        <v>121</v>
      </c>
      <c r="B3" s="250"/>
      <c r="C3" s="251" t="s">
        <v>42</v>
      </c>
      <c r="D3" s="25" t="s">
        <v>43</v>
      </c>
      <c r="E3" s="25" t="s">
        <v>44</v>
      </c>
      <c r="F3" s="25" t="s">
        <v>45</v>
      </c>
      <c r="G3" s="25" t="s">
        <v>46</v>
      </c>
      <c r="H3" s="25" t="s">
        <v>47</v>
      </c>
      <c r="I3" s="25" t="s">
        <v>48</v>
      </c>
      <c r="J3" s="25" t="s">
        <v>49</v>
      </c>
      <c r="K3" s="25" t="s">
        <v>50</v>
      </c>
      <c r="L3" s="25" t="s">
        <v>51</v>
      </c>
      <c r="M3" s="120" t="s">
        <v>52</v>
      </c>
      <c r="N3" s="1"/>
      <c r="O3" s="1"/>
      <c r="P3" s="1"/>
      <c r="Q3" s="1"/>
      <c r="R3" s="1"/>
      <c r="S3" s="1"/>
      <c r="T3" s="1"/>
      <c r="U3" s="1"/>
      <c r="V3" s="1"/>
      <c r="W3" s="1"/>
      <c r="X3" s="1"/>
      <c r="Y3" s="1"/>
      <c r="Z3" s="1"/>
    </row>
    <row r="4" ht="12.75" customHeight="1">
      <c r="A4" s="252" t="s">
        <v>261</v>
      </c>
      <c r="B4" s="253" t="s">
        <v>262</v>
      </c>
      <c r="C4" s="254"/>
      <c r="D4" s="122"/>
      <c r="E4" s="122"/>
      <c r="F4" s="122"/>
      <c r="G4" s="122"/>
      <c r="H4" s="122"/>
      <c r="I4" s="122"/>
      <c r="J4" s="122"/>
      <c r="K4" s="122"/>
      <c r="L4" s="122"/>
      <c r="M4" s="123"/>
      <c r="N4" s="1"/>
      <c r="O4" s="1"/>
      <c r="P4" s="1"/>
      <c r="Q4" s="1"/>
      <c r="R4" s="1"/>
      <c r="S4" s="1"/>
      <c r="T4" s="1"/>
      <c r="U4" s="1"/>
      <c r="V4" s="1"/>
      <c r="W4" s="1"/>
      <c r="X4" s="1"/>
      <c r="Y4" s="1"/>
      <c r="Z4" s="1"/>
    </row>
    <row r="5" ht="12.75" customHeight="1">
      <c r="A5" s="255" t="s">
        <v>263</v>
      </c>
      <c r="B5" s="126"/>
      <c r="C5" s="256"/>
      <c r="D5" s="256">
        <f t="shared" ref="D5:M5" si="1">SUM(D6:D9)</f>
        <v>222681713.9</v>
      </c>
      <c r="E5" s="256">
        <f t="shared" si="1"/>
        <v>222681706.8</v>
      </c>
      <c r="F5" s="256">
        <f t="shared" si="1"/>
        <v>222681732.6</v>
      </c>
      <c r="G5" s="256">
        <f t="shared" si="1"/>
        <v>222681706.8</v>
      </c>
      <c r="H5" s="256">
        <f t="shared" si="1"/>
        <v>222681706.8</v>
      </c>
      <c r="I5" s="256">
        <f t="shared" si="1"/>
        <v>222621403.8</v>
      </c>
      <c r="J5" s="256">
        <f t="shared" si="1"/>
        <v>222620748</v>
      </c>
      <c r="K5" s="256">
        <f t="shared" si="1"/>
        <v>222620748</v>
      </c>
      <c r="L5" s="256">
        <f t="shared" si="1"/>
        <v>222620748</v>
      </c>
      <c r="M5" s="256">
        <f t="shared" si="1"/>
        <v>222620748</v>
      </c>
      <c r="N5" s="1"/>
      <c r="O5" s="1"/>
      <c r="P5" s="1"/>
      <c r="Q5" s="1"/>
      <c r="R5" s="1"/>
      <c r="S5" s="1"/>
      <c r="T5" s="1"/>
      <c r="U5" s="1"/>
      <c r="V5" s="1"/>
      <c r="W5" s="1"/>
      <c r="X5" s="1"/>
      <c r="Y5" s="1"/>
      <c r="Z5" s="1"/>
    </row>
    <row r="6" ht="12.75" customHeight="1">
      <c r="A6" s="257" t="s">
        <v>264</v>
      </c>
      <c r="B6" s="258">
        <f>'DATOS Iniciales y ACLARACIONES'!B15</f>
        <v>0.21</v>
      </c>
      <c r="C6" s="256"/>
      <c r="D6" s="256">
        <f>(CostoPROD!B4)*$B$6</f>
        <v>210840000</v>
      </c>
      <c r="E6" s="256">
        <f>(CostoPROD!C4)*$B$6</f>
        <v>210840000</v>
      </c>
      <c r="F6" s="256">
        <f>(CostoPROD!D4)*$B$6</f>
        <v>210840000</v>
      </c>
      <c r="G6" s="256">
        <f>(CostoPROD!E4)*$B$6</f>
        <v>210840000</v>
      </c>
      <c r="H6" s="256">
        <f>(CostoPROD!F4)*$B$6</f>
        <v>210840000</v>
      </c>
      <c r="I6" s="256">
        <f>(CostoPROD!G4)*$B$6</f>
        <v>210840000</v>
      </c>
      <c r="J6" s="256">
        <f>(CostoPROD!H4)*$B$6</f>
        <v>210840000</v>
      </c>
      <c r="K6" s="256">
        <f>(CostoPROD!I4)*$B$6</f>
        <v>210840000</v>
      </c>
      <c r="L6" s="256">
        <f>(CostoPROD!J4)*$B$6</f>
        <v>210840000</v>
      </c>
      <c r="M6" s="256">
        <f>(CostoPROD!K4)*$B$6</f>
        <v>210840000</v>
      </c>
      <c r="N6" s="1"/>
      <c r="O6" s="1"/>
      <c r="P6" s="1"/>
      <c r="Q6" s="1"/>
      <c r="R6" s="1"/>
      <c r="S6" s="1"/>
      <c r="T6" s="1"/>
      <c r="U6" s="1"/>
      <c r="V6" s="1"/>
      <c r="W6" s="1"/>
      <c r="X6" s="1"/>
      <c r="Y6" s="1"/>
      <c r="Z6" s="1"/>
    </row>
    <row r="7" ht="12.75" customHeight="1">
      <c r="A7" s="257" t="s">
        <v>265</v>
      </c>
      <c r="B7" s="259">
        <f>'DATOS Iniciales y ACLARACIONES'!B16</f>
        <v>0.105</v>
      </c>
      <c r="C7" s="256"/>
      <c r="D7" s="256"/>
      <c r="E7" s="256"/>
      <c r="F7" s="256"/>
      <c r="G7" s="256"/>
      <c r="H7" s="256"/>
      <c r="I7" s="256"/>
      <c r="J7" s="256"/>
      <c r="K7" s="256"/>
      <c r="L7" s="256"/>
      <c r="M7" s="256"/>
      <c r="N7" s="1"/>
      <c r="O7" s="1"/>
      <c r="P7" s="1"/>
      <c r="Q7" s="1"/>
      <c r="R7" s="1"/>
      <c r="S7" s="1"/>
      <c r="T7" s="1"/>
      <c r="U7" s="1"/>
      <c r="V7" s="1"/>
      <c r="W7" s="1"/>
      <c r="X7" s="1"/>
      <c r="Y7" s="1"/>
      <c r="Z7" s="1"/>
    </row>
    <row r="8" ht="12.75" customHeight="1">
      <c r="A8" s="257" t="s">
        <v>266</v>
      </c>
      <c r="B8" s="258">
        <f>'DATOS Iniciales y ACLARACIONES'!B17</f>
        <v>0.27</v>
      </c>
      <c r="C8" s="256"/>
      <c r="D8" s="256">
        <f>(CostoPROD!B9+CostoPROD!B10)*IVA!$B$8</f>
        <v>0</v>
      </c>
      <c r="E8" s="256">
        <f>(CostoPROD!C9+CostoPROD!C10)*IVA!$B$8</f>
        <v>0</v>
      </c>
      <c r="F8" s="256">
        <f>(CostoPROD!D9+CostoPROD!D10)*IVA!$B$8</f>
        <v>0</v>
      </c>
      <c r="G8" s="256">
        <f>(CostoPROD!E9+CostoPROD!E10)*IVA!$B$8</f>
        <v>0</v>
      </c>
      <c r="H8" s="256">
        <f>(CostoPROD!F9+CostoPROD!F10)*IVA!$B$8</f>
        <v>0</v>
      </c>
      <c r="I8" s="256">
        <f>(CostoPROD!G9+CostoPROD!G10)*IVA!$B$8</f>
        <v>0</v>
      </c>
      <c r="J8" s="256">
        <f>(CostoPROD!H9+CostoPROD!H10)*IVA!$B$8</f>
        <v>0</v>
      </c>
      <c r="K8" s="256">
        <f>(CostoPROD!I9+CostoPROD!I10)*IVA!$B$8</f>
        <v>0</v>
      </c>
      <c r="L8" s="256">
        <f>(CostoPROD!J9+CostoPROD!J10)*IVA!$B$8</f>
        <v>0</v>
      </c>
      <c r="M8" s="256">
        <f>(CostoPROD!K9+CostoPROD!K10)*IVA!$B$8</f>
        <v>0</v>
      </c>
      <c r="N8" s="1"/>
      <c r="O8" s="1"/>
      <c r="P8" s="1"/>
      <c r="Q8" s="1"/>
      <c r="R8" s="1"/>
      <c r="S8" s="1"/>
      <c r="T8" s="1"/>
      <c r="U8" s="1"/>
      <c r="V8" s="1"/>
      <c r="W8" s="1"/>
      <c r="X8" s="1"/>
      <c r="Y8" s="1"/>
      <c r="Z8" s="1"/>
    </row>
    <row r="9" ht="12.75" customHeight="1">
      <c r="A9" s="257" t="s">
        <v>267</v>
      </c>
      <c r="B9" s="258">
        <f>'DATOS Iniciales y ACLARACIONES'!B15</f>
        <v>0.21</v>
      </c>
      <c r="C9" s="256"/>
      <c r="D9" s="256">
        <f>(CostoPROD!B8+CostoPROD!B12+CostoPROD!B13+CostoPROD!B14+CostoPROD!B15+CostoPROD!B16+CostoPROD!B17)*$B$9</f>
        <v>11841713.94</v>
      </c>
      <c r="E9" s="256">
        <f>(CostoPROD!C8+CostoPROD!C12+CostoPROD!C13+CostoPROD!C14+CostoPROD!C15+CostoPROD!C16+CostoPROD!C17)*$B$9</f>
        <v>11841706.8</v>
      </c>
      <c r="F9" s="256">
        <f>(CostoPROD!D8+CostoPROD!D12+CostoPROD!D13+CostoPROD!D14+CostoPROD!D15+CostoPROD!D16+CostoPROD!D17)*$B$9</f>
        <v>11841732.63</v>
      </c>
      <c r="G9" s="256">
        <f>(CostoPROD!E8+CostoPROD!E12+CostoPROD!E13+CostoPROD!E14+CostoPROD!E15+CostoPROD!E16+CostoPROD!E17)*$B$9</f>
        <v>11841706.8</v>
      </c>
      <c r="H9" s="256">
        <f>(CostoPROD!F8+CostoPROD!F12+CostoPROD!F13+CostoPROD!F14+CostoPROD!F15+CostoPROD!F16+CostoPROD!F17)*$B$9</f>
        <v>11841706.8</v>
      </c>
      <c r="I9" s="256">
        <f>(CostoPROD!G8+CostoPROD!G12+CostoPROD!G13+CostoPROD!G14+CostoPROD!G15+CostoPROD!G16+CostoPROD!G17)*$B$9</f>
        <v>11781403.83</v>
      </c>
      <c r="J9" s="256">
        <f>(CostoPROD!H8+CostoPROD!H12+CostoPROD!H13+CostoPROD!H14+CostoPROD!H15+CostoPROD!H16+CostoPROD!H17)*$B$9</f>
        <v>11780748</v>
      </c>
      <c r="K9" s="256">
        <f>(CostoPROD!I8+CostoPROD!I12+CostoPROD!I13+CostoPROD!I14+CostoPROD!I15+CostoPROD!I16+CostoPROD!I17)*$B$9</f>
        <v>11780748</v>
      </c>
      <c r="L9" s="256">
        <f>(CostoPROD!J8+CostoPROD!J12+CostoPROD!J13+CostoPROD!J14+CostoPROD!J15+CostoPROD!J16+CostoPROD!J17)*$B$9</f>
        <v>11780748</v>
      </c>
      <c r="M9" s="256">
        <f>(CostoPROD!K8+CostoPROD!K12+CostoPROD!K13+CostoPROD!K14+CostoPROD!K15+CostoPROD!K16+CostoPROD!K17)*$B$9</f>
        <v>11780748</v>
      </c>
      <c r="N9" s="1"/>
      <c r="O9" s="1"/>
      <c r="P9" s="1"/>
      <c r="Q9" s="1"/>
      <c r="R9" s="1"/>
      <c r="S9" s="1"/>
      <c r="T9" s="1"/>
      <c r="U9" s="1"/>
      <c r="V9" s="1"/>
      <c r="W9" s="1"/>
      <c r="X9" s="1"/>
      <c r="Y9" s="1"/>
      <c r="Z9" s="1"/>
    </row>
    <row r="10" ht="12.75" customHeight="1">
      <c r="A10" s="255" t="s">
        <v>268</v>
      </c>
      <c r="B10" s="126"/>
      <c r="C10" s="256"/>
      <c r="D10" s="256">
        <f t="shared" ref="D10:M10" si="2">SUM(D11:D12)</f>
        <v>0</v>
      </c>
      <c r="E10" s="256">
        <f t="shared" si="2"/>
        <v>0</v>
      </c>
      <c r="F10" s="256">
        <f t="shared" si="2"/>
        <v>0</v>
      </c>
      <c r="G10" s="256">
        <f t="shared" si="2"/>
        <v>0</v>
      </c>
      <c r="H10" s="256">
        <f t="shared" si="2"/>
        <v>0</v>
      </c>
      <c r="I10" s="256">
        <f t="shared" si="2"/>
        <v>0</v>
      </c>
      <c r="J10" s="256">
        <f t="shared" si="2"/>
        <v>0</v>
      </c>
      <c r="K10" s="256">
        <f t="shared" si="2"/>
        <v>0</v>
      </c>
      <c r="L10" s="256">
        <f t="shared" si="2"/>
        <v>0</v>
      </c>
      <c r="M10" s="256">
        <f t="shared" si="2"/>
        <v>0</v>
      </c>
      <c r="N10" s="1"/>
      <c r="O10" s="1"/>
      <c r="P10" s="1"/>
      <c r="Q10" s="1"/>
      <c r="R10" s="1"/>
      <c r="S10" s="1"/>
      <c r="T10" s="1"/>
      <c r="U10" s="1"/>
      <c r="V10" s="1"/>
      <c r="W10" s="1"/>
      <c r="X10" s="1"/>
      <c r="Y10" s="1"/>
      <c r="Z10" s="1"/>
    </row>
    <row r="11" ht="12.75" customHeight="1">
      <c r="A11" s="255" t="s">
        <v>266</v>
      </c>
      <c r="B11" s="260">
        <f>'DATOS Iniciales y ACLARACIONES'!B17</f>
        <v>0.27</v>
      </c>
      <c r="C11" s="256"/>
      <c r="D11" s="256">
        <f>$B$11*(CostoAdmComFin!B7)</f>
        <v>0</v>
      </c>
      <c r="E11" s="256">
        <f>$B$11*(CostoAdmComFin!C7)</f>
        <v>0</v>
      </c>
      <c r="F11" s="256">
        <f>$B$11*(CostoAdmComFin!D7)</f>
        <v>0</v>
      </c>
      <c r="G11" s="256">
        <f>$B$11*(CostoAdmComFin!E7)</f>
        <v>0</v>
      </c>
      <c r="H11" s="256">
        <f>$B$11*(CostoAdmComFin!F7)</f>
        <v>0</v>
      </c>
      <c r="I11" s="256">
        <f>$B$11*(CostoAdmComFin!G7)</f>
        <v>0</v>
      </c>
      <c r="J11" s="256">
        <f>$B$11*(CostoAdmComFin!H7)</f>
        <v>0</v>
      </c>
      <c r="K11" s="256">
        <f>$B$11*(CostoAdmComFin!I7)</f>
        <v>0</v>
      </c>
      <c r="L11" s="256">
        <f>$B$11*(CostoAdmComFin!J7)</f>
        <v>0</v>
      </c>
      <c r="M11" s="256">
        <f>$B$11*(CostoAdmComFin!K7)</f>
        <v>0</v>
      </c>
      <c r="N11" s="1"/>
      <c r="O11" s="1"/>
      <c r="P11" s="1"/>
      <c r="Q11" s="1"/>
      <c r="R11" s="1"/>
      <c r="S11" s="1"/>
      <c r="T11" s="1"/>
      <c r="U11" s="1"/>
      <c r="V11" s="1"/>
      <c r="W11" s="1"/>
      <c r="X11" s="1"/>
      <c r="Y11" s="1"/>
      <c r="Z11" s="1"/>
    </row>
    <row r="12" ht="12.75" customHeight="1">
      <c r="A12" s="255" t="s">
        <v>269</v>
      </c>
      <c r="B12" s="260">
        <f>'DATOS Iniciales y ACLARACIONES'!B15</f>
        <v>0.21</v>
      </c>
      <c r="C12" s="256"/>
      <c r="D12" s="256">
        <f>$B$11*(CostoAdmComFin!B6+CostoAdmComFin!B8+CostoAdmComFin!B9+CostoAdmComFin!B10+CostoAdmComFin!B12)</f>
        <v>0</v>
      </c>
      <c r="E12" s="256">
        <f>$B$11*(CostoAdmComFin!C6+CostoAdmComFin!C8+CostoAdmComFin!C9+CostoAdmComFin!C10+CostoAdmComFin!C12)</f>
        <v>0</v>
      </c>
      <c r="F12" s="256">
        <f>$B$11*(CostoAdmComFin!D6+CostoAdmComFin!D8+CostoAdmComFin!D9+CostoAdmComFin!D10+CostoAdmComFin!D12)</f>
        <v>0</v>
      </c>
      <c r="G12" s="256">
        <f>$B$11*(CostoAdmComFin!E6+CostoAdmComFin!E8+CostoAdmComFin!E9+CostoAdmComFin!E10+CostoAdmComFin!E12)</f>
        <v>0</v>
      </c>
      <c r="H12" s="256">
        <f>$B$11*(CostoAdmComFin!F6+CostoAdmComFin!F8+CostoAdmComFin!F9+CostoAdmComFin!F10+CostoAdmComFin!F12)</f>
        <v>0</v>
      </c>
      <c r="I12" s="256">
        <f>$B$11*(CostoAdmComFin!G6+CostoAdmComFin!G8+CostoAdmComFin!G9+CostoAdmComFin!G10+CostoAdmComFin!G12)</f>
        <v>0</v>
      </c>
      <c r="J12" s="256">
        <f>$B$11*(CostoAdmComFin!H6+CostoAdmComFin!H8+CostoAdmComFin!H9+CostoAdmComFin!H10+CostoAdmComFin!H12)</f>
        <v>0</v>
      </c>
      <c r="K12" s="256">
        <f>$B$11*(CostoAdmComFin!I6+CostoAdmComFin!I8+CostoAdmComFin!I9+CostoAdmComFin!I10+CostoAdmComFin!I12)</f>
        <v>0</v>
      </c>
      <c r="L12" s="256">
        <f>$B$11*(CostoAdmComFin!J6+CostoAdmComFin!J8+CostoAdmComFin!J9+CostoAdmComFin!J10+CostoAdmComFin!J12)</f>
        <v>0</v>
      </c>
      <c r="M12" s="256">
        <f>$B$11*(CostoAdmComFin!K6+CostoAdmComFin!K8+CostoAdmComFin!K9+CostoAdmComFin!K10+CostoAdmComFin!K12)</f>
        <v>0</v>
      </c>
      <c r="N12" s="1"/>
      <c r="O12" s="1"/>
      <c r="P12" s="1"/>
      <c r="Q12" s="1"/>
      <c r="R12" s="1"/>
      <c r="S12" s="1"/>
      <c r="T12" s="1"/>
      <c r="U12" s="1"/>
      <c r="V12" s="1"/>
      <c r="W12" s="1"/>
      <c r="X12" s="1"/>
      <c r="Y12" s="1"/>
      <c r="Z12" s="1"/>
    </row>
    <row r="13" ht="12.75" customHeight="1">
      <c r="A13" s="255" t="s">
        <v>270</v>
      </c>
      <c r="B13" s="126"/>
      <c r="C13" s="256"/>
      <c r="D13" s="256">
        <f t="shared" ref="D13:M13" si="3">SUM(D14:D15)</f>
        <v>5090400</v>
      </c>
      <c r="E13" s="256">
        <f t="shared" si="3"/>
        <v>2423400</v>
      </c>
      <c r="F13" s="256">
        <f t="shared" si="3"/>
        <v>2423400</v>
      </c>
      <c r="G13" s="256">
        <f t="shared" si="3"/>
        <v>2423400</v>
      </c>
      <c r="H13" s="256">
        <f t="shared" si="3"/>
        <v>2423400</v>
      </c>
      <c r="I13" s="256">
        <f t="shared" si="3"/>
        <v>2423400</v>
      </c>
      <c r="J13" s="256">
        <f t="shared" si="3"/>
        <v>2423400</v>
      </c>
      <c r="K13" s="256">
        <f t="shared" si="3"/>
        <v>2423400</v>
      </c>
      <c r="L13" s="256">
        <f t="shared" si="3"/>
        <v>2423400</v>
      </c>
      <c r="M13" s="256">
        <f t="shared" si="3"/>
        <v>2423400</v>
      </c>
      <c r="N13" s="1"/>
      <c r="O13" s="1"/>
      <c r="P13" s="1"/>
      <c r="Q13" s="1"/>
      <c r="R13" s="1"/>
      <c r="S13" s="1"/>
      <c r="T13" s="1"/>
      <c r="U13" s="1"/>
      <c r="V13" s="1"/>
      <c r="W13" s="1"/>
      <c r="X13" s="1"/>
      <c r="Y13" s="1"/>
      <c r="Z13" s="1"/>
    </row>
    <row r="14" ht="12.75" customHeight="1">
      <c r="A14" s="255" t="s">
        <v>266</v>
      </c>
      <c r="B14" s="260">
        <f>'DATOS Iniciales y ACLARACIONES'!B17</f>
        <v>0.27</v>
      </c>
      <c r="C14" s="256"/>
      <c r="D14" s="256">
        <f>$B$14*(CostoAdmComFin!B30)</f>
        <v>0</v>
      </c>
      <c r="E14" s="256">
        <f>$B$14*(CostoAdmComFin!C30)</f>
        <v>0</v>
      </c>
      <c r="F14" s="256">
        <f>$B$14*(CostoAdmComFin!D30)</f>
        <v>0</v>
      </c>
      <c r="G14" s="256">
        <f>$B$14*(CostoAdmComFin!E30)</f>
        <v>0</v>
      </c>
      <c r="H14" s="256">
        <f>$B$14*(CostoAdmComFin!F30)</f>
        <v>0</v>
      </c>
      <c r="I14" s="256">
        <f>$B$14*(CostoAdmComFin!G30)</f>
        <v>0</v>
      </c>
      <c r="J14" s="256">
        <f>$B$14*(CostoAdmComFin!H30)</f>
        <v>0</v>
      </c>
      <c r="K14" s="256">
        <f>$B$14*(CostoAdmComFin!I30)</f>
        <v>0</v>
      </c>
      <c r="L14" s="256">
        <f>$B$14*(CostoAdmComFin!J30)</f>
        <v>0</v>
      </c>
      <c r="M14" s="256">
        <f>$B$14*(CostoAdmComFin!K30)</f>
        <v>0</v>
      </c>
      <c r="N14" s="1"/>
      <c r="O14" s="1"/>
      <c r="P14" s="1"/>
      <c r="Q14" s="1"/>
      <c r="R14" s="1"/>
      <c r="S14" s="1"/>
      <c r="T14" s="1"/>
      <c r="U14" s="1"/>
      <c r="V14" s="1"/>
      <c r="W14" s="1"/>
      <c r="X14" s="1"/>
      <c r="Y14" s="1"/>
      <c r="Z14" s="1"/>
    </row>
    <row r="15" ht="12.75" customHeight="1">
      <c r="A15" s="255" t="s">
        <v>271</v>
      </c>
      <c r="B15" s="260">
        <f>'DATOS Iniciales y ACLARACIONES'!B15</f>
        <v>0.21</v>
      </c>
      <c r="C15" s="256"/>
      <c r="D15" s="256">
        <f>$B$15*(CostoAdmComFin!B26+CostoAdmComFin!B27+CostoAdmComFin!B29+CostoAdmComFin!B31+CostoAdmComFin!B32)</f>
        <v>5090400</v>
      </c>
      <c r="E15" s="256">
        <f>$B$15*(CostoAdmComFin!C26+CostoAdmComFin!C27+CostoAdmComFin!C29+CostoAdmComFin!C31+CostoAdmComFin!C32)</f>
        <v>2423400</v>
      </c>
      <c r="F15" s="256">
        <f>$B$15*(CostoAdmComFin!D26+CostoAdmComFin!D27+CostoAdmComFin!D29+CostoAdmComFin!D31+CostoAdmComFin!D32)</f>
        <v>2423400</v>
      </c>
      <c r="G15" s="256">
        <f>$B$15*(CostoAdmComFin!E26+CostoAdmComFin!E27+CostoAdmComFin!E29+CostoAdmComFin!E31+CostoAdmComFin!E32)</f>
        <v>2423400</v>
      </c>
      <c r="H15" s="256">
        <f>$B$15*(CostoAdmComFin!F26+CostoAdmComFin!F27+CostoAdmComFin!F29+CostoAdmComFin!F31+CostoAdmComFin!F32)</f>
        <v>2423400</v>
      </c>
      <c r="I15" s="256">
        <f>$B$15*(CostoAdmComFin!G26+CostoAdmComFin!G27+CostoAdmComFin!G29+CostoAdmComFin!G31+CostoAdmComFin!G32)</f>
        <v>2423400</v>
      </c>
      <c r="J15" s="256">
        <f>$B$15*(CostoAdmComFin!H26+CostoAdmComFin!H27+CostoAdmComFin!H29+CostoAdmComFin!H31+CostoAdmComFin!H32)</f>
        <v>2423400</v>
      </c>
      <c r="K15" s="256">
        <f>$B$15*(CostoAdmComFin!I26+CostoAdmComFin!I27+CostoAdmComFin!I29+CostoAdmComFin!I31+CostoAdmComFin!I32)</f>
        <v>2423400</v>
      </c>
      <c r="L15" s="256">
        <f>$B$15*(CostoAdmComFin!J26+CostoAdmComFin!J27+CostoAdmComFin!J29+CostoAdmComFin!J31+CostoAdmComFin!J32)</f>
        <v>2423400</v>
      </c>
      <c r="M15" s="256">
        <f>$B$15*(CostoAdmComFin!K26+CostoAdmComFin!K27+CostoAdmComFin!K29+CostoAdmComFin!K31+CostoAdmComFin!K32)</f>
        <v>2423400</v>
      </c>
      <c r="N15" s="1"/>
      <c r="O15" s="1"/>
      <c r="P15" s="1"/>
      <c r="Q15" s="1"/>
      <c r="R15" s="1"/>
      <c r="S15" s="1"/>
      <c r="T15" s="1"/>
      <c r="U15" s="1"/>
      <c r="V15" s="1"/>
      <c r="W15" s="1"/>
      <c r="X15" s="1"/>
      <c r="Y15" s="1"/>
      <c r="Z15" s="1"/>
    </row>
    <row r="16" ht="12.75" customHeight="1">
      <c r="A16" s="261" t="s">
        <v>272</v>
      </c>
      <c r="B16" s="262">
        <f>'DATOS Iniciales y ACLARACIONES'!B15</f>
        <v>0.21</v>
      </c>
      <c r="C16" s="256"/>
      <c r="D16" s="124">
        <f>$B$16*(CostoAdmComFin!B42+CostoAdmComFin!B44+CostoAdmComFin!B45)</f>
        <v>0</v>
      </c>
      <c r="E16" s="124">
        <f>$B$16*(CostoAdmComFin!C42+CostoAdmComFin!C44+CostoAdmComFin!C45)</f>
        <v>0</v>
      </c>
      <c r="F16" s="124">
        <f>$B$16*(CostoAdmComFin!D42+CostoAdmComFin!D44+CostoAdmComFin!D45)</f>
        <v>0</v>
      </c>
      <c r="G16" s="124">
        <f>$B$16*(CostoAdmComFin!E42+CostoAdmComFin!E44+CostoAdmComFin!E45)</f>
        <v>0</v>
      </c>
      <c r="H16" s="124">
        <f>$B$16*(CostoAdmComFin!F42+CostoAdmComFin!F44+CostoAdmComFin!F45)</f>
        <v>0</v>
      </c>
      <c r="I16" s="124">
        <f>$B$16*(CostoAdmComFin!G42+CostoAdmComFin!G44+CostoAdmComFin!G45)</f>
        <v>0</v>
      </c>
      <c r="J16" s="124">
        <f>$B$16*(CostoAdmComFin!H42+CostoAdmComFin!H44+CostoAdmComFin!H45)</f>
        <v>0</v>
      </c>
      <c r="K16" s="124">
        <f>$B$16*(CostoAdmComFin!I42+CostoAdmComFin!I44+CostoAdmComFin!I45)</f>
        <v>0</v>
      </c>
      <c r="L16" s="124">
        <f>$B$16*(CostoAdmComFin!J42+CostoAdmComFin!J44+CostoAdmComFin!J45)</f>
        <v>0</v>
      </c>
      <c r="M16" s="124">
        <f>$B$16*(CostoAdmComFin!K42+CostoAdmComFin!K44+CostoAdmComFin!K45)</f>
        <v>0</v>
      </c>
      <c r="N16" s="1"/>
      <c r="O16" s="1"/>
      <c r="P16" s="1"/>
      <c r="Q16" s="1"/>
      <c r="R16" s="1"/>
      <c r="S16" s="1"/>
      <c r="T16" s="1"/>
      <c r="U16" s="1"/>
      <c r="V16" s="1"/>
      <c r="W16" s="1"/>
      <c r="X16" s="1"/>
      <c r="Y16" s="1"/>
      <c r="Z16" s="1"/>
    </row>
    <row r="17" ht="12.75" customHeight="1">
      <c r="A17" s="263" t="s">
        <v>273</v>
      </c>
      <c r="B17" s="121"/>
      <c r="C17" s="256"/>
      <c r="D17" s="256">
        <f t="shared" ref="D17:M17" si="4">SUM(D5:D16)</f>
        <v>455544227.9</v>
      </c>
      <c r="E17" s="256">
        <f t="shared" si="4"/>
        <v>450210213.6</v>
      </c>
      <c r="F17" s="256">
        <f t="shared" si="4"/>
        <v>450210265.3</v>
      </c>
      <c r="G17" s="256">
        <f t="shared" si="4"/>
        <v>450210213.6</v>
      </c>
      <c r="H17" s="256">
        <f t="shared" si="4"/>
        <v>450210213.6</v>
      </c>
      <c r="I17" s="256">
        <f t="shared" si="4"/>
        <v>450089607.7</v>
      </c>
      <c r="J17" s="256">
        <f t="shared" si="4"/>
        <v>450088296</v>
      </c>
      <c r="K17" s="256">
        <f t="shared" si="4"/>
        <v>450088296</v>
      </c>
      <c r="L17" s="256">
        <f t="shared" si="4"/>
        <v>450088296</v>
      </c>
      <c r="M17" s="256">
        <f t="shared" si="4"/>
        <v>450088296</v>
      </c>
      <c r="N17" s="1"/>
      <c r="O17" s="1"/>
      <c r="P17" s="1"/>
      <c r="Q17" s="1"/>
      <c r="R17" s="1"/>
      <c r="S17" s="1"/>
      <c r="T17" s="1"/>
      <c r="U17" s="1"/>
      <c r="V17" s="1"/>
      <c r="W17" s="1"/>
      <c r="X17" s="1"/>
      <c r="Y17" s="1"/>
      <c r="Z17" s="1"/>
    </row>
    <row r="18" ht="12.75" customHeight="1">
      <c r="A18" s="263"/>
      <c r="B18" s="121"/>
      <c r="C18" s="264"/>
      <c r="D18" s="108"/>
      <c r="E18" s="108"/>
      <c r="F18" s="108"/>
      <c r="G18" s="108"/>
      <c r="H18" s="108"/>
      <c r="I18" s="108"/>
      <c r="J18" s="108"/>
      <c r="K18" s="108"/>
      <c r="L18" s="108"/>
      <c r="M18" s="109"/>
      <c r="N18" s="1"/>
      <c r="O18" s="1"/>
      <c r="P18" s="1"/>
      <c r="Q18" s="1"/>
      <c r="R18" s="1"/>
      <c r="S18" s="1"/>
      <c r="T18" s="1"/>
      <c r="U18" s="1"/>
      <c r="V18" s="1"/>
      <c r="W18" s="1"/>
      <c r="X18" s="1"/>
      <c r="Y18" s="1"/>
      <c r="Z18" s="1"/>
    </row>
    <row r="19" ht="12.75" customHeight="1">
      <c r="A19" s="257" t="s">
        <v>274</v>
      </c>
      <c r="B19" s="125"/>
      <c r="C19" s="256" t="str">
        <f t="shared" ref="C19:M19" si="5">C17</f>
        <v/>
      </c>
      <c r="D19" s="124">
        <f t="shared" si="5"/>
        <v>455544227.9</v>
      </c>
      <c r="E19" s="124">
        <f t="shared" si="5"/>
        <v>450210213.6</v>
      </c>
      <c r="F19" s="124">
        <f t="shared" si="5"/>
        <v>450210265.3</v>
      </c>
      <c r="G19" s="124">
        <f t="shared" si="5"/>
        <v>450210213.6</v>
      </c>
      <c r="H19" s="124">
        <f t="shared" si="5"/>
        <v>450210213.6</v>
      </c>
      <c r="I19" s="124">
        <f t="shared" si="5"/>
        <v>450089607.7</v>
      </c>
      <c r="J19" s="124">
        <f t="shared" si="5"/>
        <v>450088296</v>
      </c>
      <c r="K19" s="124">
        <f t="shared" si="5"/>
        <v>450088296</v>
      </c>
      <c r="L19" s="124">
        <f t="shared" si="5"/>
        <v>450088296</v>
      </c>
      <c r="M19" s="124">
        <f t="shared" si="5"/>
        <v>450088296</v>
      </c>
      <c r="N19" s="1"/>
      <c r="O19" s="1"/>
      <c r="P19" s="1"/>
      <c r="Q19" s="1"/>
      <c r="R19" s="1"/>
      <c r="S19" s="1"/>
      <c r="T19" s="1"/>
      <c r="U19" s="1"/>
      <c r="V19" s="1"/>
      <c r="W19" s="1"/>
      <c r="X19" s="1"/>
      <c r="Y19" s="1"/>
      <c r="Z19" s="1"/>
    </row>
    <row r="20" ht="12.75" customHeight="1">
      <c r="A20" s="257" t="s">
        <v>275</v>
      </c>
      <c r="B20" s="258">
        <f>'DATOS Iniciales y ACLARACIONES'!B18</f>
        <v>0.21</v>
      </c>
      <c r="C20" s="256">
        <v>0.0</v>
      </c>
      <c r="D20" s="124">
        <f>'CTV y CResult'!B13*IVA!$B$20</f>
        <v>834372000</v>
      </c>
      <c r="E20" s="124">
        <f>'CTV y CResult'!C13*IVA!$B$20</f>
        <v>953442000</v>
      </c>
      <c r="F20" s="124">
        <f>'CTV y CResult'!D13*IVA!$B$20</f>
        <v>993132000</v>
      </c>
      <c r="G20" s="124">
        <f>'CTV y CResult'!E13*IVA!$B$20</f>
        <v>1035909000</v>
      </c>
      <c r="H20" s="124">
        <f>'CTV y CResult'!F13*IVA!$B$20</f>
        <v>1085301000</v>
      </c>
      <c r="I20" s="124">
        <f>'CTV y CResult'!G13*IVA!$B$20</f>
        <v>1136457000</v>
      </c>
      <c r="J20" s="124">
        <f>'CTV y CResult'!H13*IVA!$B$20</f>
        <v>1190700000</v>
      </c>
      <c r="K20" s="124">
        <f>'CTV y CResult'!I13*IVA!$B$20</f>
        <v>1247148000</v>
      </c>
      <c r="L20" s="124">
        <f>'CTV y CResult'!J13*IVA!$B$20</f>
        <v>1305801000</v>
      </c>
      <c r="M20" s="124">
        <f>'CTV y CResult'!K13*IVA!$B$20</f>
        <v>1367541000</v>
      </c>
      <c r="N20" s="1"/>
      <c r="O20" s="1"/>
      <c r="P20" s="1"/>
      <c r="Q20" s="1"/>
      <c r="R20" s="1"/>
      <c r="S20" s="1"/>
      <c r="T20" s="1"/>
      <c r="U20" s="1"/>
      <c r="V20" s="1"/>
      <c r="W20" s="1"/>
      <c r="X20" s="1"/>
      <c r="Y20" s="1"/>
      <c r="Z20" s="1"/>
    </row>
    <row r="21" ht="12.75" customHeight="1">
      <c r="A21" s="263" t="s">
        <v>276</v>
      </c>
      <c r="B21" s="121"/>
      <c r="C21" s="256">
        <f t="shared" ref="C21:M21" si="6">C20-C19</f>
        <v>0</v>
      </c>
      <c r="D21" s="124">
        <f t="shared" si="6"/>
        <v>378827772.1</v>
      </c>
      <c r="E21" s="124">
        <f t="shared" si="6"/>
        <v>503231786.4</v>
      </c>
      <c r="F21" s="124">
        <f t="shared" si="6"/>
        <v>542921734.7</v>
      </c>
      <c r="G21" s="124">
        <f t="shared" si="6"/>
        <v>585698786.4</v>
      </c>
      <c r="H21" s="124">
        <f t="shared" si="6"/>
        <v>635090786.4</v>
      </c>
      <c r="I21" s="124">
        <f t="shared" si="6"/>
        <v>686367392.3</v>
      </c>
      <c r="J21" s="124">
        <f t="shared" si="6"/>
        <v>740611704</v>
      </c>
      <c r="K21" s="124">
        <f t="shared" si="6"/>
        <v>797059704</v>
      </c>
      <c r="L21" s="124">
        <f t="shared" si="6"/>
        <v>855712704</v>
      </c>
      <c r="M21" s="124">
        <f t="shared" si="6"/>
        <v>917452704</v>
      </c>
      <c r="N21" s="1"/>
      <c r="O21" s="1"/>
      <c r="P21" s="1"/>
      <c r="Q21" s="1"/>
      <c r="R21" s="1"/>
      <c r="S21" s="1"/>
      <c r="T21" s="1"/>
      <c r="U21" s="1"/>
      <c r="V21" s="1"/>
      <c r="W21" s="1"/>
      <c r="X21" s="1"/>
      <c r="Y21" s="1"/>
      <c r="Z21" s="1"/>
    </row>
    <row r="22" ht="12.75" customHeight="1">
      <c r="A22" s="257"/>
      <c r="B22" s="125"/>
      <c r="C22" s="264"/>
      <c r="D22" s="108"/>
      <c r="E22" s="108"/>
      <c r="F22" s="108"/>
      <c r="G22" s="108"/>
      <c r="H22" s="108"/>
      <c r="I22" s="108"/>
      <c r="J22" s="108"/>
      <c r="K22" s="108"/>
      <c r="L22" s="108"/>
      <c r="M22" s="109"/>
      <c r="N22" s="1"/>
      <c r="O22" s="1"/>
      <c r="P22" s="1"/>
      <c r="Q22" s="1"/>
      <c r="R22" s="1"/>
      <c r="S22" s="1"/>
      <c r="T22" s="1"/>
      <c r="U22" s="1"/>
      <c r="V22" s="1"/>
      <c r="W22" s="1"/>
      <c r="X22" s="1"/>
      <c r="Y22" s="1"/>
      <c r="Z22" s="1"/>
    </row>
    <row r="23" ht="12.75" customHeight="1">
      <c r="A23" s="265" t="s">
        <v>277</v>
      </c>
      <c r="B23" s="266"/>
      <c r="C23" s="256"/>
      <c r="D23" s="124">
        <f>C25</f>
        <v>99844500</v>
      </c>
      <c r="E23" s="124">
        <f t="shared" ref="E23:M23" si="7">IF(D25&lt;0,0,D25)</f>
        <v>0</v>
      </c>
      <c r="F23" s="124">
        <f t="shared" si="7"/>
        <v>0</v>
      </c>
      <c r="G23" s="124">
        <f t="shared" si="7"/>
        <v>0</v>
      </c>
      <c r="H23" s="124">
        <f t="shared" si="7"/>
        <v>0</v>
      </c>
      <c r="I23" s="124">
        <f t="shared" si="7"/>
        <v>0</v>
      </c>
      <c r="J23" s="124">
        <f t="shared" si="7"/>
        <v>0</v>
      </c>
      <c r="K23" s="124">
        <f t="shared" si="7"/>
        <v>0</v>
      </c>
      <c r="L23" s="124">
        <f t="shared" si="7"/>
        <v>0</v>
      </c>
      <c r="M23" s="124">
        <f t="shared" si="7"/>
        <v>0</v>
      </c>
      <c r="N23" s="1"/>
      <c r="O23" s="1"/>
      <c r="P23" s="1"/>
      <c r="Q23" s="1"/>
      <c r="R23" s="1"/>
      <c r="S23" s="1"/>
      <c r="T23" s="1"/>
      <c r="U23" s="1"/>
      <c r="V23" s="1"/>
      <c r="W23" s="1"/>
      <c r="X23" s="1"/>
      <c r="Y23" s="1"/>
      <c r="Z23" s="1"/>
    </row>
    <row r="24" ht="12.75" customHeight="1">
      <c r="A24" s="265" t="s">
        <v>278</v>
      </c>
      <c r="B24" s="266"/>
      <c r="C24" s="256">
        <f>'Inv AF'!D39+InvAT!B32</f>
        <v>99844500</v>
      </c>
      <c r="D24" s="256">
        <f>'Inv AF'!E39+InvAT!C32</f>
        <v>0</v>
      </c>
      <c r="E24" s="256">
        <f>'Inv AF'!F39+InvAT!D32</f>
        <v>0</v>
      </c>
      <c r="F24" s="256">
        <f>'Inv AF'!G39+InvAT!E32</f>
        <v>0</v>
      </c>
      <c r="G24" s="256">
        <f>'Inv AF'!H39+InvAT!F32</f>
        <v>0</v>
      </c>
      <c r="H24" s="256">
        <f>'Inv AF'!I39+InvAT!G32</f>
        <v>0</v>
      </c>
      <c r="I24" s="256">
        <f>'Inv AF'!J39+InvAT!H32</f>
        <v>0</v>
      </c>
      <c r="J24" s="256">
        <f>'Inv AF'!K39+InvAT!I32</f>
        <v>0</v>
      </c>
      <c r="K24" s="256">
        <f>'Inv AF'!L39+InvAT!J32</f>
        <v>0</v>
      </c>
      <c r="L24" s="256">
        <f>'Inv AF'!M39+InvAT!K32</f>
        <v>0</v>
      </c>
      <c r="M24" s="256">
        <f>'Inv AF'!N39+InvAT!L32</f>
        <v>0</v>
      </c>
      <c r="N24" s="1"/>
      <c r="O24" s="1"/>
      <c r="P24" s="1"/>
      <c r="Q24" s="1"/>
      <c r="R24" s="1"/>
      <c r="S24" s="1"/>
      <c r="T24" s="1"/>
      <c r="U24" s="1"/>
      <c r="V24" s="1"/>
      <c r="W24" s="1"/>
      <c r="X24" s="1"/>
      <c r="Y24" s="1"/>
      <c r="Z24" s="1"/>
    </row>
    <row r="25" ht="12.75" customHeight="1">
      <c r="A25" s="263" t="s">
        <v>279</v>
      </c>
      <c r="B25" s="121"/>
      <c r="C25" s="256">
        <f>C24</f>
        <v>99844500</v>
      </c>
      <c r="D25" s="124">
        <f>IF(D23+D24-D21&lt;0,0,D23+D24-D21)</f>
        <v>0</v>
      </c>
      <c r="E25" s="124">
        <f t="shared" ref="E25:M25" si="8">IF(E23+E24&lt;E21,0,+E23+E24-E21)</f>
        <v>0</v>
      </c>
      <c r="F25" s="124">
        <f t="shared" si="8"/>
        <v>0</v>
      </c>
      <c r="G25" s="124">
        <f t="shared" si="8"/>
        <v>0</v>
      </c>
      <c r="H25" s="124">
        <f t="shared" si="8"/>
        <v>0</v>
      </c>
      <c r="I25" s="124">
        <f t="shared" si="8"/>
        <v>0</v>
      </c>
      <c r="J25" s="124">
        <f t="shared" si="8"/>
        <v>0</v>
      </c>
      <c r="K25" s="124">
        <f t="shared" si="8"/>
        <v>0</v>
      </c>
      <c r="L25" s="124">
        <f t="shared" si="8"/>
        <v>0</v>
      </c>
      <c r="M25" s="124">
        <f t="shared" si="8"/>
        <v>0</v>
      </c>
      <c r="N25" s="1"/>
      <c r="O25" s="1"/>
      <c r="P25" s="1"/>
      <c r="Q25" s="1"/>
      <c r="R25" s="1"/>
      <c r="S25" s="1"/>
      <c r="T25" s="1"/>
      <c r="U25" s="1"/>
      <c r="V25" s="1"/>
      <c r="W25" s="1"/>
      <c r="X25" s="1"/>
      <c r="Y25" s="1"/>
      <c r="Z25" s="1"/>
    </row>
    <row r="26" ht="12.75" customHeight="1">
      <c r="A26" s="263" t="s">
        <v>280</v>
      </c>
      <c r="B26" s="121"/>
      <c r="C26" s="256"/>
      <c r="D26" s="124">
        <f t="shared" ref="D26:M26" si="9">IF(D25&gt;0,D21,D23+D24)</f>
        <v>99844500</v>
      </c>
      <c r="E26" s="124">
        <f t="shared" si="9"/>
        <v>0</v>
      </c>
      <c r="F26" s="124">
        <f t="shared" si="9"/>
        <v>0</v>
      </c>
      <c r="G26" s="124">
        <f t="shared" si="9"/>
        <v>0</v>
      </c>
      <c r="H26" s="124">
        <f t="shared" si="9"/>
        <v>0</v>
      </c>
      <c r="I26" s="124">
        <f t="shared" si="9"/>
        <v>0</v>
      </c>
      <c r="J26" s="124">
        <f t="shared" si="9"/>
        <v>0</v>
      </c>
      <c r="K26" s="124">
        <f t="shared" si="9"/>
        <v>0</v>
      </c>
      <c r="L26" s="124">
        <f t="shared" si="9"/>
        <v>0</v>
      </c>
      <c r="M26" s="124">
        <f t="shared" si="9"/>
        <v>0</v>
      </c>
      <c r="N26" s="1"/>
      <c r="O26" s="1"/>
      <c r="P26" s="1"/>
      <c r="Q26" s="1"/>
      <c r="R26" s="1"/>
      <c r="S26" s="1"/>
      <c r="T26" s="1"/>
      <c r="U26" s="1"/>
      <c r="V26" s="1"/>
      <c r="W26" s="1"/>
      <c r="X26" s="1"/>
      <c r="Y26" s="1"/>
      <c r="Z26" s="1"/>
    </row>
    <row r="27" ht="12.75" customHeight="1">
      <c r="A27" s="257"/>
      <c r="B27" s="125"/>
      <c r="C27" s="264"/>
      <c r="D27" s="108"/>
      <c r="E27" s="108"/>
      <c r="F27" s="108"/>
      <c r="G27" s="108"/>
      <c r="H27" s="108"/>
      <c r="I27" s="108"/>
      <c r="J27" s="108"/>
      <c r="K27" s="108"/>
      <c r="L27" s="108"/>
      <c r="M27" s="109"/>
      <c r="N27" s="1"/>
      <c r="O27" s="1"/>
      <c r="P27" s="1"/>
      <c r="Q27" s="1"/>
      <c r="R27" s="1"/>
      <c r="S27" s="1"/>
      <c r="T27" s="1"/>
      <c r="U27" s="1"/>
      <c r="V27" s="1"/>
      <c r="W27" s="1"/>
      <c r="X27" s="1"/>
      <c r="Y27" s="1"/>
      <c r="Z27" s="1"/>
    </row>
    <row r="28" ht="12.75" customHeight="1">
      <c r="A28" s="267" t="s">
        <v>281</v>
      </c>
      <c r="B28" s="137"/>
      <c r="C28" s="268"/>
      <c r="D28" s="138">
        <f>IF(D25&gt;0,0,-D25)</f>
        <v>0</v>
      </c>
      <c r="E28" s="138">
        <f t="shared" ref="E28:M28" si="10">IF(E25=0,E21-E26,0)</f>
        <v>503231786.4</v>
      </c>
      <c r="F28" s="138">
        <f t="shared" si="10"/>
        <v>542921734.7</v>
      </c>
      <c r="G28" s="138">
        <f t="shared" si="10"/>
        <v>585698786.4</v>
      </c>
      <c r="H28" s="138">
        <f t="shared" si="10"/>
        <v>635090786.4</v>
      </c>
      <c r="I28" s="138">
        <f t="shared" si="10"/>
        <v>686367392.3</v>
      </c>
      <c r="J28" s="138">
        <f t="shared" si="10"/>
        <v>740611704</v>
      </c>
      <c r="K28" s="138">
        <f t="shared" si="10"/>
        <v>797059704</v>
      </c>
      <c r="L28" s="138">
        <f t="shared" si="10"/>
        <v>855712704</v>
      </c>
      <c r="M28" s="138">
        <f t="shared" si="10"/>
        <v>917452704</v>
      </c>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51" t="s">
        <v>282</v>
      </c>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51"/>
      <c r="B31" s="5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51"/>
      <c r="B34" s="5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243"/>
      <c r="B37" s="243"/>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243"/>
      <c r="B38" s="243"/>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243"/>
      <c r="B39" s="243"/>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51"/>
      <c r="B40" s="5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51"/>
      <c r="B42" s="5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243"/>
      <c r="B47" s="243"/>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51"/>
      <c r="B48" s="5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51"/>
      <c r="B52" s="5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5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51"/>
      <c r="B55" s="5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51"/>
      <c r="B57" s="5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C2:M2"/>
    <mergeCell ref="A3:B3"/>
  </mergeCells>
  <printOptions/>
  <pageMargins bottom="1.0" footer="0.0" header="0.0" left="0.26" right="0.46" top="1.27"/>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25"/>
    <col customWidth="1" min="2" max="8" width="15.25"/>
    <col customWidth="1" min="9" max="26" width="10.63"/>
  </cols>
  <sheetData>
    <row r="1" ht="12.75" customHeight="1">
      <c r="A1" s="51"/>
      <c r="B1" s="269"/>
      <c r="C1" s="269"/>
      <c r="D1" s="269"/>
      <c r="E1" s="269"/>
      <c r="F1" s="269"/>
      <c r="G1" s="1"/>
      <c r="H1" s="1"/>
      <c r="I1" s="1"/>
      <c r="J1" s="1"/>
      <c r="K1" s="1"/>
      <c r="L1" s="1"/>
      <c r="M1" s="1"/>
      <c r="N1" s="1"/>
      <c r="O1" s="1"/>
      <c r="P1" s="1"/>
      <c r="Q1" s="1"/>
      <c r="R1" s="1"/>
      <c r="S1" s="1"/>
      <c r="T1" s="1"/>
      <c r="U1" s="1"/>
      <c r="V1" s="1"/>
      <c r="W1" s="1"/>
      <c r="X1" s="1"/>
      <c r="Y1" s="1"/>
      <c r="Z1" s="1"/>
    </row>
    <row r="2" ht="12.75" customHeight="1">
      <c r="A2" s="270" t="s">
        <v>283</v>
      </c>
      <c r="B2" s="271"/>
      <c r="C2" s="271"/>
      <c r="D2" s="271"/>
      <c r="E2" s="271"/>
      <c r="F2" s="271"/>
      <c r="G2" s="271"/>
      <c r="H2" s="272"/>
      <c r="I2" s="1"/>
      <c r="J2" s="1"/>
      <c r="K2" s="1"/>
      <c r="L2" s="1"/>
      <c r="M2" s="1"/>
      <c r="N2" s="1"/>
      <c r="O2" s="1"/>
      <c r="P2" s="1"/>
      <c r="Q2" s="1"/>
      <c r="R2" s="1"/>
      <c r="S2" s="1"/>
      <c r="T2" s="1"/>
      <c r="U2" s="1"/>
      <c r="V2" s="1"/>
      <c r="W2" s="1"/>
      <c r="X2" s="1"/>
      <c r="Y2" s="1"/>
      <c r="Z2" s="1"/>
    </row>
    <row r="3" ht="12.75" customHeight="1">
      <c r="A3" s="273" t="s">
        <v>284</v>
      </c>
      <c r="B3" s="274" t="s">
        <v>285</v>
      </c>
      <c r="C3" s="275"/>
      <c r="D3" s="276" t="s">
        <v>286</v>
      </c>
      <c r="E3" s="276" t="s">
        <v>287</v>
      </c>
      <c r="F3" s="276" t="s">
        <v>288</v>
      </c>
      <c r="G3" s="276"/>
      <c r="H3" s="277" t="s">
        <v>289</v>
      </c>
      <c r="I3" s="1"/>
      <c r="J3" s="1"/>
      <c r="K3" s="1"/>
      <c r="L3" s="1"/>
      <c r="M3" s="1"/>
      <c r="N3" s="1"/>
      <c r="O3" s="1"/>
      <c r="P3" s="1"/>
      <c r="Q3" s="1"/>
      <c r="R3" s="1"/>
      <c r="S3" s="1"/>
      <c r="T3" s="1"/>
      <c r="U3" s="1"/>
      <c r="V3" s="1"/>
      <c r="W3" s="1"/>
      <c r="X3" s="1"/>
      <c r="Y3" s="1"/>
      <c r="Z3" s="1"/>
    </row>
    <row r="4" ht="12.75" customHeight="1">
      <c r="A4" s="278"/>
      <c r="B4" s="279" t="s">
        <v>290</v>
      </c>
      <c r="C4" s="279" t="s">
        <v>291</v>
      </c>
      <c r="D4" s="279" t="s">
        <v>292</v>
      </c>
      <c r="E4" s="279" t="s">
        <v>293</v>
      </c>
      <c r="F4" s="279" t="s">
        <v>292</v>
      </c>
      <c r="G4" s="279" t="s">
        <v>294</v>
      </c>
      <c r="H4" s="280" t="s">
        <v>295</v>
      </c>
      <c r="I4" s="1"/>
      <c r="J4" s="1"/>
      <c r="K4" s="1"/>
      <c r="L4" s="1"/>
      <c r="M4" s="1"/>
      <c r="N4" s="1"/>
      <c r="O4" s="1"/>
      <c r="P4" s="1"/>
      <c r="Q4" s="1"/>
      <c r="R4" s="1"/>
      <c r="S4" s="1"/>
      <c r="T4" s="1"/>
      <c r="U4" s="1"/>
      <c r="V4" s="1"/>
      <c r="W4" s="1"/>
      <c r="X4" s="1"/>
      <c r="Y4" s="1"/>
      <c r="Z4" s="1"/>
    </row>
    <row r="5" ht="12.75" customHeight="1">
      <c r="A5" s="281" t="s">
        <v>296</v>
      </c>
      <c r="B5" s="130"/>
      <c r="C5" s="130"/>
      <c r="D5" s="130"/>
      <c r="E5" s="282"/>
      <c r="F5" s="130"/>
      <c r="G5" s="282"/>
      <c r="H5" s="131"/>
      <c r="I5" s="1"/>
      <c r="J5" s="1"/>
      <c r="K5" s="1"/>
      <c r="L5" s="1"/>
      <c r="M5" s="1"/>
      <c r="N5" s="1"/>
      <c r="O5" s="1"/>
      <c r="P5" s="1"/>
      <c r="Q5" s="1"/>
      <c r="R5" s="1"/>
      <c r="S5" s="1"/>
      <c r="T5" s="1"/>
      <c r="U5" s="1"/>
      <c r="V5" s="1"/>
      <c r="W5" s="1"/>
      <c r="X5" s="1"/>
      <c r="Y5" s="1"/>
      <c r="Z5" s="1"/>
    </row>
    <row r="6" ht="12.75" customHeight="1">
      <c r="A6" s="283" t="s">
        <v>297</v>
      </c>
      <c r="B6" s="284"/>
      <c r="C6" s="284"/>
      <c r="D6" s="284"/>
      <c r="E6" s="72"/>
      <c r="F6" s="285">
        <f>SUM(F5)</f>
        <v>0</v>
      </c>
      <c r="G6" s="35"/>
      <c r="H6" s="285">
        <f>SUM(H5)</f>
        <v>0</v>
      </c>
      <c r="I6" s="1"/>
      <c r="J6" s="1"/>
      <c r="K6" s="1"/>
      <c r="L6" s="1"/>
      <c r="M6" s="1"/>
      <c r="N6" s="1"/>
      <c r="O6" s="1"/>
      <c r="P6" s="1"/>
      <c r="Q6" s="1"/>
      <c r="R6" s="1"/>
      <c r="S6" s="1"/>
      <c r="T6" s="1"/>
      <c r="U6" s="1"/>
      <c r="V6" s="1"/>
      <c r="W6" s="1"/>
      <c r="X6" s="1"/>
      <c r="Y6" s="1"/>
      <c r="Z6" s="1"/>
    </row>
    <row r="7" ht="12.75" customHeight="1">
      <c r="A7" s="286">
        <v>37256.0</v>
      </c>
      <c r="B7" s="128"/>
      <c r="C7" s="128"/>
      <c r="D7" s="128"/>
      <c r="E7" s="33"/>
      <c r="F7" s="128"/>
      <c r="G7" s="287"/>
      <c r="H7" s="147"/>
      <c r="I7" s="1"/>
      <c r="J7" s="1"/>
      <c r="K7" s="1"/>
      <c r="L7" s="1"/>
      <c r="M7" s="1"/>
      <c r="N7" s="1"/>
      <c r="O7" s="1"/>
      <c r="P7" s="1"/>
      <c r="Q7" s="1"/>
      <c r="R7" s="1"/>
      <c r="S7" s="1"/>
      <c r="T7" s="1"/>
      <c r="U7" s="1"/>
      <c r="V7" s="1"/>
      <c r="W7" s="1"/>
      <c r="X7" s="1"/>
      <c r="Y7" s="1"/>
      <c r="Z7" s="1"/>
    </row>
    <row r="8" ht="12.75" customHeight="1">
      <c r="A8" s="288">
        <v>37621.0</v>
      </c>
      <c r="B8" s="150"/>
      <c r="C8" s="150"/>
      <c r="D8" s="150"/>
      <c r="E8" s="39"/>
      <c r="F8" s="150"/>
      <c r="G8" s="39"/>
      <c r="H8" s="188"/>
      <c r="I8" s="1"/>
      <c r="J8" s="1"/>
      <c r="K8" s="1"/>
      <c r="L8" s="1"/>
      <c r="M8" s="1"/>
      <c r="N8" s="1"/>
      <c r="O8" s="1"/>
      <c r="P8" s="1"/>
      <c r="Q8" s="1"/>
      <c r="R8" s="1"/>
      <c r="S8" s="1"/>
      <c r="T8" s="1"/>
      <c r="U8" s="1"/>
      <c r="V8" s="1"/>
      <c r="W8" s="1"/>
      <c r="X8" s="1"/>
      <c r="Y8" s="1"/>
      <c r="Z8" s="1"/>
    </row>
    <row r="9" ht="12.75" customHeight="1">
      <c r="A9" s="288">
        <v>37986.0</v>
      </c>
      <c r="B9" s="150"/>
      <c r="C9" s="150"/>
      <c r="D9" s="150"/>
      <c r="E9" s="150"/>
      <c r="F9" s="150"/>
      <c r="G9" s="39"/>
      <c r="H9" s="188"/>
      <c r="I9" s="1"/>
      <c r="J9" s="1"/>
      <c r="K9" s="1"/>
      <c r="L9" s="1"/>
      <c r="M9" s="1"/>
      <c r="N9" s="1"/>
      <c r="O9" s="1"/>
      <c r="P9" s="1"/>
      <c r="Q9" s="1"/>
      <c r="R9" s="1"/>
      <c r="S9" s="1"/>
      <c r="T9" s="1"/>
      <c r="U9" s="1"/>
      <c r="V9" s="1"/>
      <c r="W9" s="1"/>
      <c r="X9" s="1"/>
      <c r="Y9" s="1"/>
      <c r="Z9" s="1"/>
    </row>
    <row r="10" ht="12.75" customHeight="1">
      <c r="A10" s="288">
        <v>38352.0</v>
      </c>
      <c r="B10" s="150"/>
      <c r="C10" s="150"/>
      <c r="D10" s="150"/>
      <c r="E10" s="150"/>
      <c r="F10" s="150"/>
      <c r="G10" s="39"/>
      <c r="H10" s="188"/>
      <c r="I10" s="1"/>
      <c r="J10" s="1"/>
      <c r="K10" s="1"/>
      <c r="L10" s="1"/>
      <c r="M10" s="1"/>
      <c r="N10" s="1"/>
      <c r="O10" s="1"/>
      <c r="P10" s="1"/>
      <c r="Q10" s="1"/>
      <c r="R10" s="1"/>
      <c r="S10" s="1"/>
      <c r="T10" s="1"/>
      <c r="U10" s="1"/>
      <c r="V10" s="1"/>
      <c r="W10" s="1"/>
      <c r="X10" s="1"/>
      <c r="Y10" s="1"/>
      <c r="Z10" s="1"/>
    </row>
    <row r="11" ht="12.75" customHeight="1">
      <c r="A11" s="288">
        <v>38717.0</v>
      </c>
      <c r="B11" s="150"/>
      <c r="C11" s="150"/>
      <c r="D11" s="150"/>
      <c r="E11" s="150"/>
      <c r="F11" s="150"/>
      <c r="G11" s="39"/>
      <c r="H11" s="188"/>
      <c r="I11" s="1"/>
      <c r="J11" s="1"/>
      <c r="K11" s="1"/>
      <c r="L11" s="1"/>
      <c r="M11" s="1"/>
      <c r="N11" s="1"/>
      <c r="O11" s="1"/>
      <c r="P11" s="1"/>
      <c r="Q11" s="1"/>
      <c r="R11" s="1"/>
      <c r="S11" s="1"/>
      <c r="T11" s="1"/>
      <c r="U11" s="1"/>
      <c r="V11" s="1"/>
      <c r="W11" s="1"/>
      <c r="X11" s="1"/>
      <c r="Y11" s="1"/>
      <c r="Z11" s="1"/>
    </row>
    <row r="12" ht="12.75" customHeight="1">
      <c r="A12" s="288">
        <v>39082.0</v>
      </c>
      <c r="B12" s="150"/>
      <c r="C12" s="150"/>
      <c r="D12" s="150"/>
      <c r="E12" s="150"/>
      <c r="F12" s="150"/>
      <c r="G12" s="39"/>
      <c r="H12" s="188"/>
      <c r="I12" s="1"/>
      <c r="J12" s="1"/>
      <c r="K12" s="1"/>
      <c r="L12" s="1"/>
      <c r="M12" s="1"/>
      <c r="N12" s="1"/>
      <c r="O12" s="1"/>
      <c r="P12" s="1"/>
      <c r="Q12" s="1"/>
      <c r="R12" s="1"/>
      <c r="S12" s="1"/>
      <c r="T12" s="1"/>
      <c r="U12" s="1"/>
      <c r="V12" s="1"/>
      <c r="W12" s="1"/>
      <c r="X12" s="1"/>
      <c r="Y12" s="1"/>
      <c r="Z12" s="1"/>
    </row>
    <row r="13" ht="12.75" customHeight="1">
      <c r="A13" s="288">
        <v>39447.0</v>
      </c>
      <c r="B13" s="150"/>
      <c r="C13" s="150"/>
      <c r="D13" s="150"/>
      <c r="E13" s="150"/>
      <c r="F13" s="150"/>
      <c r="G13" s="39"/>
      <c r="H13" s="188"/>
      <c r="I13" s="1"/>
      <c r="J13" s="1"/>
      <c r="K13" s="1"/>
      <c r="L13" s="1"/>
      <c r="M13" s="1"/>
      <c r="N13" s="1"/>
      <c r="O13" s="1"/>
      <c r="P13" s="1"/>
      <c r="Q13" s="1"/>
      <c r="R13" s="1"/>
      <c r="S13" s="1"/>
      <c r="T13" s="1"/>
      <c r="U13" s="1"/>
      <c r="V13" s="1"/>
      <c r="W13" s="1"/>
      <c r="X13" s="1"/>
      <c r="Y13" s="1"/>
      <c r="Z13" s="1"/>
    </row>
    <row r="14" ht="12.75" customHeight="1">
      <c r="A14" s="288">
        <v>39813.0</v>
      </c>
      <c r="B14" s="150"/>
      <c r="C14" s="150"/>
      <c r="D14" s="150"/>
      <c r="E14" s="150"/>
      <c r="F14" s="150"/>
      <c r="G14" s="39"/>
      <c r="H14" s="188"/>
      <c r="I14" s="1"/>
      <c r="J14" s="1"/>
      <c r="K14" s="1"/>
      <c r="L14" s="1"/>
      <c r="M14" s="1"/>
      <c r="N14" s="1"/>
      <c r="O14" s="1"/>
      <c r="P14" s="1"/>
      <c r="Q14" s="1"/>
      <c r="R14" s="1"/>
      <c r="S14" s="1"/>
      <c r="T14" s="1"/>
      <c r="U14" s="1"/>
      <c r="V14" s="1"/>
      <c r="W14" s="1"/>
      <c r="X14" s="1"/>
      <c r="Y14" s="1"/>
      <c r="Z14" s="1"/>
    </row>
    <row r="15" ht="12.75" customHeight="1">
      <c r="A15" s="288">
        <v>40178.0</v>
      </c>
      <c r="B15" s="150"/>
      <c r="C15" s="150"/>
      <c r="D15" s="150"/>
      <c r="E15" s="150"/>
      <c r="F15" s="150"/>
      <c r="G15" s="39"/>
      <c r="H15" s="188"/>
      <c r="I15" s="1"/>
      <c r="J15" s="1"/>
      <c r="K15" s="1"/>
      <c r="L15" s="1"/>
      <c r="M15" s="1"/>
      <c r="N15" s="1"/>
      <c r="O15" s="1"/>
      <c r="P15" s="1"/>
      <c r="Q15" s="1"/>
      <c r="R15" s="1"/>
      <c r="S15" s="1"/>
      <c r="T15" s="1"/>
      <c r="U15" s="1"/>
      <c r="V15" s="1"/>
      <c r="W15" s="1"/>
      <c r="X15" s="1"/>
      <c r="Y15" s="1"/>
      <c r="Z15" s="1"/>
    </row>
    <row r="16" ht="12.75" customHeight="1">
      <c r="A16" s="281">
        <v>40543.0</v>
      </c>
      <c r="B16" s="150"/>
      <c r="C16" s="150"/>
      <c r="D16" s="150"/>
      <c r="E16" s="150"/>
      <c r="F16" s="150"/>
      <c r="G16" s="39"/>
      <c r="H16" s="188"/>
      <c r="I16" s="1"/>
      <c r="J16" s="1"/>
      <c r="K16" s="1"/>
      <c r="L16" s="1"/>
      <c r="M16" s="1"/>
      <c r="N16" s="1"/>
      <c r="O16" s="1"/>
      <c r="P16" s="1"/>
      <c r="Q16" s="1"/>
      <c r="R16" s="1"/>
      <c r="S16" s="1"/>
      <c r="T16" s="1"/>
      <c r="U16" s="1"/>
      <c r="V16" s="1"/>
      <c r="W16" s="1"/>
      <c r="X16" s="1"/>
      <c r="Y16" s="1"/>
      <c r="Z16" s="1"/>
    </row>
    <row r="17" ht="12.75" customHeight="1">
      <c r="A17" s="289" t="s">
        <v>298</v>
      </c>
      <c r="B17" s="290"/>
      <c r="C17" s="290"/>
      <c r="D17" s="290">
        <f>SUM(D7:D16)</f>
        <v>0</v>
      </c>
      <c r="E17" s="291"/>
      <c r="F17" s="290">
        <f>SUM(F6:F16)</f>
        <v>0</v>
      </c>
      <c r="G17" s="291"/>
      <c r="H17" s="292">
        <f>H6</f>
        <v>0</v>
      </c>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t="s">
        <v>299</v>
      </c>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2:H2"/>
    <mergeCell ref="B3:C3"/>
  </mergeCells>
  <printOptions/>
  <pageMargins bottom="1.0" footer="0.0" header="0.0" left="0.26" right="0.46" top="0.43"/>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4.5"/>
    <col customWidth="1" min="2" max="2" width="6.0"/>
    <col customWidth="1" min="3" max="5" width="15.63"/>
    <col customWidth="1" min="6" max="6" width="11.5"/>
    <col customWidth="1" min="7" max="26" width="10.63"/>
  </cols>
  <sheetData>
    <row r="1" ht="12.75" customHeight="1">
      <c r="A1" s="244" t="s">
        <v>300</v>
      </c>
      <c r="B1" s="245"/>
      <c r="C1" s="117"/>
      <c r="D1" s="117"/>
      <c r="E1" s="118"/>
      <c r="F1" s="1"/>
      <c r="G1" s="1"/>
      <c r="H1" s="1"/>
      <c r="I1" s="1"/>
      <c r="J1" s="1"/>
      <c r="K1" s="1"/>
      <c r="L1" s="1"/>
      <c r="M1" s="1"/>
      <c r="N1" s="1"/>
      <c r="O1" s="1"/>
      <c r="P1" s="1"/>
      <c r="Q1" s="1"/>
      <c r="R1" s="1"/>
      <c r="S1" s="1"/>
      <c r="T1" s="1"/>
      <c r="U1" s="1"/>
      <c r="V1" s="1"/>
      <c r="W1" s="1"/>
      <c r="X1" s="1"/>
      <c r="Y1" s="1"/>
      <c r="Z1" s="1"/>
    </row>
    <row r="2" ht="12.75" customHeight="1">
      <c r="A2" s="249" t="s">
        <v>121</v>
      </c>
      <c r="B2" s="293"/>
      <c r="C2" s="294" t="s">
        <v>42</v>
      </c>
      <c r="D2" s="294" t="s">
        <v>43</v>
      </c>
      <c r="E2" s="120" t="s">
        <v>248</v>
      </c>
      <c r="F2" s="1"/>
      <c r="G2" s="1"/>
      <c r="H2" s="1"/>
      <c r="I2" s="1"/>
      <c r="J2" s="1"/>
      <c r="K2" s="1"/>
      <c r="L2" s="1"/>
      <c r="M2" s="1"/>
      <c r="N2" s="1"/>
      <c r="O2" s="1"/>
      <c r="P2" s="1"/>
      <c r="Q2" s="1"/>
      <c r="R2" s="1"/>
      <c r="S2" s="1"/>
      <c r="T2" s="1"/>
      <c r="U2" s="1"/>
      <c r="V2" s="1"/>
      <c r="W2" s="1"/>
      <c r="X2" s="1"/>
      <c r="Y2" s="1"/>
      <c r="Z2" s="1"/>
    </row>
    <row r="3" ht="12.75" customHeight="1">
      <c r="A3" s="51" t="s">
        <v>301</v>
      </c>
      <c r="B3" s="51"/>
      <c r="C3" s="295"/>
      <c r="D3" s="295"/>
      <c r="E3" s="296"/>
      <c r="F3" s="1"/>
      <c r="G3" s="1"/>
      <c r="H3" s="1"/>
      <c r="I3" s="1"/>
      <c r="J3" s="1"/>
      <c r="K3" s="1"/>
      <c r="L3" s="1"/>
      <c r="M3" s="1"/>
      <c r="N3" s="1"/>
      <c r="O3" s="1"/>
      <c r="P3" s="1"/>
      <c r="Q3" s="1"/>
      <c r="R3" s="1"/>
      <c r="S3" s="1"/>
      <c r="T3" s="1"/>
      <c r="U3" s="1"/>
      <c r="V3" s="1"/>
      <c r="W3" s="1"/>
      <c r="X3" s="1"/>
      <c r="Y3" s="1"/>
      <c r="Z3" s="1"/>
    </row>
    <row r="4" ht="12.75" customHeight="1">
      <c r="A4" s="1"/>
      <c r="B4" s="1"/>
      <c r="C4" s="297"/>
      <c r="D4" s="297"/>
      <c r="E4" s="298"/>
      <c r="F4" s="1"/>
      <c r="G4" s="1"/>
      <c r="H4" s="1"/>
      <c r="I4" s="1"/>
      <c r="J4" s="1"/>
      <c r="K4" s="1"/>
      <c r="L4" s="1"/>
      <c r="M4" s="1"/>
      <c r="N4" s="1"/>
      <c r="O4" s="1"/>
      <c r="P4" s="1"/>
      <c r="Q4" s="1"/>
      <c r="R4" s="1"/>
      <c r="S4" s="1"/>
      <c r="T4" s="1"/>
      <c r="U4" s="1"/>
      <c r="V4" s="1"/>
      <c r="W4" s="1"/>
      <c r="X4" s="1"/>
      <c r="Y4" s="1"/>
      <c r="Z4" s="1"/>
    </row>
    <row r="5" ht="12.75" customHeight="1">
      <c r="A5" s="1" t="s">
        <v>302</v>
      </c>
      <c r="B5" s="1"/>
      <c r="C5" s="297">
        <f>'Inv AF'!D23</f>
        <v>1867950000</v>
      </c>
      <c r="D5" s="297">
        <f>'Inv AF'!E23</f>
        <v>0</v>
      </c>
      <c r="E5" s="298">
        <f t="shared" ref="E5:E8" si="1">D5+C5</f>
        <v>1867950000</v>
      </c>
      <c r="F5" s="1"/>
      <c r="G5" s="1"/>
      <c r="H5" s="1"/>
      <c r="I5" s="1"/>
      <c r="J5" s="1"/>
      <c r="K5" s="1"/>
      <c r="L5" s="1"/>
      <c r="M5" s="1"/>
      <c r="N5" s="1"/>
      <c r="O5" s="1"/>
      <c r="P5" s="1"/>
      <c r="Q5" s="1"/>
      <c r="R5" s="1"/>
      <c r="S5" s="1"/>
      <c r="T5" s="1"/>
      <c r="U5" s="1"/>
      <c r="V5" s="1"/>
      <c r="W5" s="1"/>
      <c r="X5" s="1"/>
      <c r="Y5" s="1"/>
      <c r="Z5" s="1"/>
    </row>
    <row r="6" ht="12.75" customHeight="1">
      <c r="A6" s="1" t="s">
        <v>303</v>
      </c>
      <c r="B6" s="1"/>
      <c r="C6" s="297">
        <f>'Inv AF'!D35</f>
        <v>0</v>
      </c>
      <c r="D6" s="297">
        <f>'Inv AF'!E35</f>
        <v>0</v>
      </c>
      <c r="E6" s="298">
        <f t="shared" si="1"/>
        <v>0</v>
      </c>
      <c r="F6" s="1"/>
      <c r="G6" s="1"/>
      <c r="H6" s="1"/>
      <c r="I6" s="1"/>
      <c r="J6" s="1"/>
      <c r="K6" s="1"/>
      <c r="L6" s="1"/>
      <c r="M6" s="1"/>
      <c r="N6" s="1"/>
      <c r="O6" s="1"/>
      <c r="P6" s="1"/>
      <c r="Q6" s="1"/>
      <c r="R6" s="1"/>
      <c r="S6" s="1"/>
      <c r="T6" s="1"/>
      <c r="U6" s="1"/>
      <c r="V6" s="1"/>
      <c r="W6" s="1"/>
      <c r="X6" s="1"/>
      <c r="Y6" s="1"/>
      <c r="Z6" s="1"/>
    </row>
    <row r="7" ht="12.75" customHeight="1">
      <c r="A7" s="51" t="s">
        <v>304</v>
      </c>
      <c r="B7" s="51"/>
      <c r="C7" s="297">
        <f t="shared" ref="C7:D7" si="2">C6+C5</f>
        <v>1867950000</v>
      </c>
      <c r="D7" s="297">
        <f t="shared" si="2"/>
        <v>0</v>
      </c>
      <c r="E7" s="298">
        <f t="shared" si="1"/>
        <v>1867950000</v>
      </c>
      <c r="F7" s="1"/>
      <c r="G7" s="1"/>
      <c r="H7" s="1"/>
      <c r="I7" s="1"/>
      <c r="J7" s="1"/>
      <c r="K7" s="1"/>
      <c r="L7" s="1"/>
      <c r="M7" s="1"/>
      <c r="N7" s="1"/>
      <c r="O7" s="1"/>
      <c r="P7" s="1"/>
      <c r="Q7" s="1"/>
      <c r="R7" s="1"/>
      <c r="S7" s="1"/>
      <c r="T7" s="1"/>
      <c r="U7" s="1"/>
      <c r="V7" s="1"/>
      <c r="W7" s="1"/>
      <c r="X7" s="1"/>
      <c r="Y7" s="1"/>
      <c r="Z7" s="1"/>
    </row>
    <row r="8" ht="12.75" customHeight="1">
      <c r="A8" s="299" t="s">
        <v>305</v>
      </c>
      <c r="B8" s="243"/>
      <c r="C8" s="297">
        <f>'Inv AF'!D39</f>
        <v>99844500</v>
      </c>
      <c r="D8" s="297">
        <f>'Inv AF'!E39</f>
        <v>0</v>
      </c>
      <c r="E8" s="298">
        <f t="shared" si="1"/>
        <v>99844500</v>
      </c>
      <c r="F8" s="1"/>
      <c r="G8" s="1"/>
      <c r="H8" s="1"/>
      <c r="I8" s="1"/>
      <c r="J8" s="1"/>
      <c r="K8" s="1"/>
      <c r="L8" s="1"/>
      <c r="M8" s="1"/>
      <c r="N8" s="1"/>
      <c r="O8" s="1"/>
      <c r="P8" s="1"/>
      <c r="Q8" s="1"/>
      <c r="R8" s="1"/>
      <c r="S8" s="1"/>
      <c r="T8" s="1"/>
      <c r="U8" s="1"/>
      <c r="V8" s="1"/>
      <c r="W8" s="1"/>
      <c r="X8" s="1"/>
      <c r="Y8" s="1"/>
      <c r="Z8" s="1"/>
    </row>
    <row r="9" ht="12.75" customHeight="1">
      <c r="A9" s="51" t="s">
        <v>306</v>
      </c>
      <c r="B9" s="51"/>
      <c r="C9" s="297">
        <f t="shared" ref="C9:D9" si="3">C8+C7</f>
        <v>1967794500</v>
      </c>
      <c r="D9" s="297">
        <f t="shared" si="3"/>
        <v>0</v>
      </c>
      <c r="E9" s="298">
        <f>+E8+E7</f>
        <v>1967794500</v>
      </c>
      <c r="F9" s="1"/>
      <c r="G9" s="1"/>
      <c r="H9" s="1"/>
      <c r="I9" s="1"/>
      <c r="J9" s="1"/>
      <c r="K9" s="1"/>
      <c r="L9" s="1"/>
      <c r="M9" s="1"/>
      <c r="N9" s="1"/>
      <c r="O9" s="1"/>
      <c r="P9" s="1"/>
      <c r="Q9" s="1"/>
      <c r="R9" s="1"/>
      <c r="S9" s="1"/>
      <c r="T9" s="1"/>
      <c r="U9" s="1"/>
      <c r="V9" s="1"/>
      <c r="W9" s="1"/>
      <c r="X9" s="1"/>
      <c r="Y9" s="1"/>
      <c r="Z9" s="1"/>
    </row>
    <row r="10" ht="12.75" customHeight="1">
      <c r="A10" s="51" t="s">
        <v>307</v>
      </c>
      <c r="B10" s="51"/>
      <c r="C10" s="295"/>
      <c r="D10" s="295"/>
      <c r="E10" s="296"/>
      <c r="F10" s="1"/>
      <c r="G10" s="1"/>
      <c r="H10" s="1"/>
      <c r="I10" s="1"/>
      <c r="J10" s="1"/>
      <c r="K10" s="1"/>
      <c r="L10" s="1"/>
      <c r="M10" s="1"/>
      <c r="N10" s="1"/>
      <c r="O10" s="1"/>
      <c r="P10" s="1"/>
      <c r="Q10" s="1"/>
      <c r="R10" s="1"/>
      <c r="S10" s="1"/>
      <c r="T10" s="1"/>
      <c r="U10" s="1"/>
      <c r="V10" s="1"/>
      <c r="W10" s="1"/>
      <c r="X10" s="1"/>
      <c r="Y10" s="1"/>
      <c r="Z10" s="1"/>
    </row>
    <row r="11" ht="12.75" customHeight="1">
      <c r="A11" s="299" t="s">
        <v>308</v>
      </c>
      <c r="B11" s="243"/>
      <c r="C11" s="297">
        <f>InvAT!B4</f>
        <v>79464000</v>
      </c>
      <c r="D11" s="297">
        <f>InvAT!C4-InvAT!B4</f>
        <v>0</v>
      </c>
      <c r="E11" s="298">
        <f t="shared" ref="E11:E14" si="4">D11+C11</f>
        <v>79464000</v>
      </c>
      <c r="F11" s="1"/>
      <c r="G11" s="1"/>
      <c r="H11" s="1"/>
      <c r="I11" s="1"/>
      <c r="J11" s="1"/>
      <c r="K11" s="1"/>
      <c r="L11" s="1"/>
      <c r="M11" s="1"/>
      <c r="N11" s="1"/>
      <c r="O11" s="1"/>
      <c r="P11" s="1"/>
      <c r="Q11" s="1"/>
      <c r="R11" s="1"/>
      <c r="S11" s="1"/>
      <c r="T11" s="1"/>
      <c r="U11" s="1"/>
      <c r="V11" s="1"/>
      <c r="W11" s="1"/>
      <c r="X11" s="1"/>
      <c r="Y11" s="1"/>
      <c r="Z11" s="1"/>
    </row>
    <row r="12" ht="12.75" customHeight="1">
      <c r="A12" s="1" t="s">
        <v>309</v>
      </c>
      <c r="B12" s="1"/>
      <c r="C12" s="297">
        <f>InvAT!B5</f>
        <v>0</v>
      </c>
      <c r="D12" s="297">
        <f>InvAT!C5-InvAT!B5</f>
        <v>1959386301</v>
      </c>
      <c r="E12" s="298">
        <f t="shared" si="4"/>
        <v>1959386301</v>
      </c>
      <c r="F12" s="1"/>
      <c r="G12" s="1"/>
      <c r="H12" s="1"/>
      <c r="I12" s="1"/>
      <c r="J12" s="1"/>
      <c r="K12" s="1"/>
      <c r="L12" s="1"/>
      <c r="M12" s="1"/>
      <c r="N12" s="1"/>
      <c r="O12" s="1"/>
      <c r="P12" s="1"/>
      <c r="Q12" s="1"/>
      <c r="R12" s="1"/>
      <c r="S12" s="1"/>
      <c r="T12" s="1"/>
      <c r="U12" s="1"/>
      <c r="V12" s="1"/>
      <c r="W12" s="1"/>
      <c r="X12" s="1"/>
      <c r="Y12" s="1"/>
      <c r="Z12" s="1"/>
    </row>
    <row r="13" ht="12.75" customHeight="1">
      <c r="A13" s="1" t="s">
        <v>310</v>
      </c>
      <c r="B13" s="1"/>
      <c r="C13" s="297">
        <f>InvAT!B7</f>
        <v>0</v>
      </c>
      <c r="D13" s="297">
        <f>InvAT!C7-InvAT!B7</f>
        <v>0</v>
      </c>
      <c r="E13" s="298">
        <f t="shared" si="4"/>
        <v>0</v>
      </c>
      <c r="F13" s="1"/>
      <c r="G13" s="1"/>
      <c r="H13" s="1"/>
      <c r="I13" s="1"/>
      <c r="J13" s="1"/>
      <c r="K13" s="1"/>
      <c r="L13" s="1"/>
      <c r="M13" s="1"/>
      <c r="N13" s="1"/>
      <c r="O13" s="1"/>
      <c r="P13" s="1"/>
      <c r="Q13" s="1"/>
      <c r="R13" s="1"/>
      <c r="S13" s="1"/>
      <c r="T13" s="1"/>
      <c r="U13" s="1"/>
      <c r="V13" s="1"/>
      <c r="W13" s="1"/>
      <c r="X13" s="1"/>
      <c r="Y13" s="1"/>
      <c r="Z13" s="1"/>
    </row>
    <row r="14" ht="12.75" customHeight="1">
      <c r="A14" s="51" t="s">
        <v>311</v>
      </c>
      <c r="B14" s="51"/>
      <c r="C14" s="297">
        <f t="shared" ref="C14:D14" si="5">SUM(C11:C13)</f>
        <v>79464000</v>
      </c>
      <c r="D14" s="297">
        <f t="shared" si="5"/>
        <v>1959386301</v>
      </c>
      <c r="E14" s="298">
        <f t="shared" si="4"/>
        <v>2038850301</v>
      </c>
      <c r="F14" s="1"/>
      <c r="G14" s="1"/>
      <c r="H14" s="1"/>
      <c r="I14" s="1"/>
      <c r="J14" s="1"/>
      <c r="K14" s="1"/>
      <c r="L14" s="1"/>
      <c r="M14" s="1"/>
      <c r="N14" s="1"/>
      <c r="O14" s="1"/>
      <c r="P14" s="1"/>
      <c r="Q14" s="1"/>
      <c r="R14" s="1"/>
      <c r="S14" s="1"/>
      <c r="T14" s="1"/>
      <c r="U14" s="1"/>
      <c r="V14" s="1"/>
      <c r="W14" s="1"/>
      <c r="X14" s="1"/>
      <c r="Y14" s="1"/>
      <c r="Z14" s="1"/>
    </row>
    <row r="15" ht="12.75" customHeight="1">
      <c r="A15" s="1" t="s">
        <v>175</v>
      </c>
      <c r="B15" s="1"/>
      <c r="C15" s="295"/>
      <c r="D15" s="295"/>
      <c r="E15" s="296"/>
      <c r="F15" s="1"/>
      <c r="G15" s="1"/>
      <c r="H15" s="1"/>
      <c r="I15" s="1"/>
      <c r="J15" s="1"/>
      <c r="K15" s="1"/>
      <c r="L15" s="1"/>
      <c r="M15" s="1"/>
      <c r="N15" s="1"/>
      <c r="O15" s="1"/>
      <c r="P15" s="1"/>
      <c r="Q15" s="1"/>
      <c r="R15" s="1"/>
      <c r="S15" s="1"/>
      <c r="T15" s="1"/>
      <c r="U15" s="1"/>
      <c r="V15" s="1"/>
      <c r="W15" s="1"/>
      <c r="X15" s="1"/>
      <c r="Y15" s="1"/>
      <c r="Z15" s="1"/>
    </row>
    <row r="16" ht="12.75" customHeight="1">
      <c r="A16" s="1" t="s">
        <v>312</v>
      </c>
      <c r="B16" s="1"/>
      <c r="C16" s="297">
        <f>InvAT!B15+InvAT!B16</f>
        <v>0</v>
      </c>
      <c r="D16" s="297">
        <f>InvAT!C15+InvAT!C16-InvAT!B15-InvAT!B16</f>
        <v>0</v>
      </c>
      <c r="E16" s="298">
        <f t="shared" ref="E16:E18" si="6">D16+C16</f>
        <v>0</v>
      </c>
      <c r="F16" s="1"/>
      <c r="G16" s="1"/>
      <c r="H16" s="1"/>
      <c r="I16" s="1"/>
      <c r="J16" s="1"/>
      <c r="K16" s="1"/>
      <c r="L16" s="1"/>
      <c r="M16" s="1"/>
      <c r="N16" s="1"/>
      <c r="O16" s="1"/>
      <c r="P16" s="1"/>
      <c r="Q16" s="1"/>
      <c r="R16" s="1"/>
      <c r="S16" s="1"/>
      <c r="T16" s="1"/>
      <c r="U16" s="1"/>
      <c r="V16" s="1"/>
      <c r="W16" s="1"/>
      <c r="X16" s="1"/>
      <c r="Y16" s="1"/>
      <c r="Z16" s="1"/>
    </row>
    <row r="17" ht="12.75" customHeight="1">
      <c r="A17" s="1" t="s">
        <v>313</v>
      </c>
      <c r="B17" s="1"/>
      <c r="C17" s="297">
        <f>InvAT!B18</f>
        <v>0</v>
      </c>
      <c r="D17" s="297">
        <f>InvAT!C18-InvAT!B18</f>
        <v>31606027.4</v>
      </c>
      <c r="E17" s="298">
        <f t="shared" si="6"/>
        <v>31606027.4</v>
      </c>
      <c r="F17" s="1"/>
      <c r="G17" s="1"/>
      <c r="H17" s="1"/>
      <c r="I17" s="1"/>
      <c r="J17" s="1"/>
      <c r="K17" s="1"/>
      <c r="L17" s="1"/>
      <c r="M17" s="1"/>
      <c r="N17" s="1"/>
      <c r="O17" s="1"/>
      <c r="P17" s="1"/>
      <c r="Q17" s="1"/>
      <c r="R17" s="1"/>
      <c r="S17" s="1"/>
      <c r="T17" s="1"/>
      <c r="U17" s="1"/>
      <c r="V17" s="1"/>
      <c r="W17" s="1"/>
      <c r="X17" s="1"/>
      <c r="Y17" s="1"/>
      <c r="Z17" s="1"/>
    </row>
    <row r="18" ht="12.75" customHeight="1">
      <c r="A18" s="1" t="s">
        <v>314</v>
      </c>
      <c r="B18" s="1"/>
      <c r="C18" s="297">
        <f>InvAT!B17</f>
        <v>0</v>
      </c>
      <c r="D18" s="297">
        <f>InvAT!C17-InvAT!B17</f>
        <v>199695490.3</v>
      </c>
      <c r="E18" s="298">
        <f t="shared" si="6"/>
        <v>199695490.3</v>
      </c>
      <c r="F18" s="1"/>
      <c r="G18" s="1"/>
      <c r="H18" s="1"/>
      <c r="I18" s="1"/>
      <c r="J18" s="1"/>
      <c r="K18" s="1"/>
      <c r="L18" s="1"/>
      <c r="M18" s="1"/>
      <c r="N18" s="1"/>
      <c r="O18" s="1"/>
      <c r="P18" s="1"/>
      <c r="Q18" s="1"/>
      <c r="R18" s="1"/>
      <c r="S18" s="1"/>
      <c r="T18" s="1"/>
      <c r="U18" s="1"/>
      <c r="V18" s="1"/>
      <c r="W18" s="1"/>
      <c r="X18" s="1"/>
      <c r="Y18" s="1"/>
      <c r="Z18" s="1"/>
    </row>
    <row r="19" ht="12.75" customHeight="1">
      <c r="A19" s="51" t="s">
        <v>315</v>
      </c>
      <c r="B19" s="51"/>
      <c r="C19" s="297">
        <f t="shared" ref="C19:D19" si="7">C14-C16-C17-C18</f>
        <v>79464000</v>
      </c>
      <c r="D19" s="297">
        <f t="shared" si="7"/>
        <v>1728084784</v>
      </c>
      <c r="E19" s="298">
        <f>E14-E17-E18-E16</f>
        <v>1807548784</v>
      </c>
      <c r="F19" s="1"/>
      <c r="G19" s="1"/>
      <c r="H19" s="1"/>
      <c r="I19" s="1"/>
      <c r="J19" s="1"/>
      <c r="K19" s="1"/>
      <c r="L19" s="1"/>
      <c r="M19" s="1"/>
      <c r="N19" s="1"/>
      <c r="O19" s="1"/>
      <c r="P19" s="1"/>
      <c r="Q19" s="1"/>
      <c r="R19" s="1"/>
      <c r="S19" s="1"/>
      <c r="T19" s="1"/>
      <c r="U19" s="1"/>
      <c r="V19" s="1"/>
      <c r="W19" s="1"/>
      <c r="X19" s="1"/>
      <c r="Y19" s="1"/>
      <c r="Z19" s="1"/>
    </row>
    <row r="20" ht="12.75" customHeight="1">
      <c r="A20" s="1" t="s">
        <v>68</v>
      </c>
      <c r="B20" s="1"/>
      <c r="C20" s="297">
        <f>InvAT!B32</f>
        <v>0</v>
      </c>
      <c r="D20" s="297">
        <f>InvAT!C32</f>
        <v>0</v>
      </c>
      <c r="E20" s="298">
        <f>SUM(C20:D20)</f>
        <v>0</v>
      </c>
      <c r="F20" s="1"/>
      <c r="G20" s="1"/>
      <c r="H20" s="1"/>
      <c r="I20" s="1"/>
      <c r="J20" s="1"/>
      <c r="K20" s="1"/>
      <c r="L20" s="1"/>
      <c r="M20" s="1"/>
      <c r="N20" s="1"/>
      <c r="O20" s="1"/>
      <c r="P20" s="1"/>
      <c r="Q20" s="1"/>
      <c r="R20" s="1"/>
      <c r="S20" s="1"/>
      <c r="T20" s="1"/>
      <c r="U20" s="1"/>
      <c r="V20" s="1"/>
      <c r="W20" s="1"/>
      <c r="X20" s="1"/>
      <c r="Y20" s="1"/>
      <c r="Z20" s="1"/>
    </row>
    <row r="21" ht="12.75" customHeight="1">
      <c r="A21" s="51" t="s">
        <v>316</v>
      </c>
      <c r="B21" s="51"/>
      <c r="C21" s="297">
        <f t="shared" ref="C21:D21" si="8">C14+C20</f>
        <v>79464000</v>
      </c>
      <c r="D21" s="297">
        <f t="shared" si="8"/>
        <v>1959386301</v>
      </c>
      <c r="E21" s="298">
        <f t="shared" ref="E21:E22" si="10">D21+C21</f>
        <v>2038850301</v>
      </c>
      <c r="F21" s="1"/>
      <c r="G21" s="1"/>
      <c r="H21" s="1"/>
      <c r="I21" s="1"/>
      <c r="J21" s="1"/>
      <c r="K21" s="1"/>
      <c r="L21" s="1"/>
      <c r="M21" s="1"/>
      <c r="N21" s="1"/>
      <c r="O21" s="1"/>
      <c r="P21" s="1"/>
      <c r="Q21" s="1"/>
      <c r="R21" s="1"/>
      <c r="S21" s="1"/>
      <c r="T21" s="1"/>
      <c r="U21" s="1"/>
      <c r="V21" s="1"/>
      <c r="W21" s="1"/>
      <c r="X21" s="1"/>
      <c r="Y21" s="1"/>
      <c r="Z21" s="1"/>
    </row>
    <row r="22" ht="12.75" customHeight="1">
      <c r="A22" s="51" t="s">
        <v>317</v>
      </c>
      <c r="B22" s="51"/>
      <c r="C22" s="297">
        <f t="shared" ref="C22:D22" si="9">C19+C20</f>
        <v>79464000</v>
      </c>
      <c r="D22" s="297">
        <f t="shared" si="9"/>
        <v>1728084784</v>
      </c>
      <c r="E22" s="298">
        <f t="shared" si="10"/>
        <v>1807548784</v>
      </c>
      <c r="F22" s="1"/>
      <c r="G22" s="1"/>
      <c r="H22" s="1"/>
      <c r="I22" s="1"/>
      <c r="J22" s="1"/>
      <c r="K22" s="1"/>
      <c r="L22" s="1"/>
      <c r="M22" s="1"/>
      <c r="N22" s="1"/>
      <c r="O22" s="1"/>
      <c r="P22" s="1"/>
      <c r="Q22" s="1"/>
      <c r="R22" s="1"/>
      <c r="S22" s="1"/>
      <c r="T22" s="1"/>
      <c r="U22" s="1"/>
      <c r="V22" s="1"/>
      <c r="W22" s="1"/>
      <c r="X22" s="1"/>
      <c r="Y22" s="1"/>
      <c r="Z22" s="1"/>
    </row>
    <row r="23" ht="12.75" customHeight="1">
      <c r="A23" s="51" t="s">
        <v>318</v>
      </c>
      <c r="B23" s="51"/>
      <c r="C23" s="295"/>
      <c r="D23" s="295"/>
      <c r="E23" s="296"/>
      <c r="F23" s="1"/>
      <c r="G23" s="1"/>
      <c r="H23" s="1"/>
      <c r="I23" s="1"/>
      <c r="J23" s="1"/>
      <c r="K23" s="1"/>
      <c r="L23" s="1"/>
      <c r="M23" s="1"/>
      <c r="N23" s="1"/>
      <c r="O23" s="1"/>
      <c r="P23" s="1"/>
      <c r="Q23" s="1"/>
      <c r="R23" s="1"/>
      <c r="S23" s="1"/>
      <c r="T23" s="1"/>
      <c r="U23" s="1"/>
      <c r="V23" s="1"/>
      <c r="W23" s="1"/>
      <c r="X23" s="1"/>
      <c r="Y23" s="1"/>
      <c r="Z23" s="1"/>
    </row>
    <row r="24" ht="12.75" customHeight="1">
      <c r="A24" s="1" t="s">
        <v>319</v>
      </c>
      <c r="B24" s="1"/>
      <c r="C24" s="297">
        <f t="shared" ref="C24:D24" si="11">C9</f>
        <v>1967794500</v>
      </c>
      <c r="D24" s="297">
        <f t="shared" si="11"/>
        <v>0</v>
      </c>
      <c r="E24" s="298">
        <f t="shared" ref="E24:E26" si="12">D24+C24</f>
        <v>1967794500</v>
      </c>
      <c r="F24" s="1"/>
      <c r="G24" s="1"/>
      <c r="H24" s="1"/>
      <c r="I24" s="1"/>
      <c r="J24" s="1"/>
      <c r="K24" s="1"/>
      <c r="L24" s="1"/>
      <c r="M24" s="1"/>
      <c r="N24" s="1"/>
      <c r="O24" s="1"/>
      <c r="P24" s="1"/>
      <c r="Q24" s="1"/>
      <c r="R24" s="1"/>
      <c r="S24" s="1"/>
      <c r="T24" s="1"/>
      <c r="U24" s="1"/>
      <c r="V24" s="1"/>
      <c r="W24" s="1"/>
      <c r="X24" s="1"/>
      <c r="Y24" s="1"/>
      <c r="Z24" s="1"/>
    </row>
    <row r="25" ht="12.75" customHeight="1">
      <c r="A25" s="1" t="s">
        <v>320</v>
      </c>
      <c r="B25" s="1"/>
      <c r="C25" s="297">
        <f>InvAT!B34</f>
        <v>79464000</v>
      </c>
      <c r="D25" s="297">
        <f>InvAT!C34</f>
        <v>1728084784</v>
      </c>
      <c r="E25" s="298">
        <f t="shared" si="12"/>
        <v>1807548784</v>
      </c>
      <c r="F25" s="1"/>
      <c r="G25" s="1"/>
      <c r="H25" s="1"/>
      <c r="I25" s="1"/>
      <c r="J25" s="1"/>
      <c r="K25" s="1"/>
      <c r="L25" s="1"/>
      <c r="M25" s="1"/>
      <c r="N25" s="1"/>
      <c r="O25" s="1"/>
      <c r="P25" s="1"/>
      <c r="Q25" s="1"/>
      <c r="R25" s="1"/>
      <c r="S25" s="1"/>
      <c r="T25" s="1"/>
      <c r="U25" s="1"/>
      <c r="V25" s="1"/>
      <c r="W25" s="1"/>
      <c r="X25" s="1"/>
      <c r="Y25" s="1"/>
      <c r="Z25" s="1"/>
    </row>
    <row r="26" ht="12.75" customHeight="1">
      <c r="A26" s="51" t="s">
        <v>321</v>
      </c>
      <c r="B26" s="51"/>
      <c r="C26" s="297">
        <f t="shared" ref="C26:D26" si="13">C25+C24</f>
        <v>2047258500</v>
      </c>
      <c r="D26" s="297">
        <f t="shared" si="13"/>
        <v>1728084784</v>
      </c>
      <c r="E26" s="298">
        <f t="shared" si="12"/>
        <v>3775343284</v>
      </c>
      <c r="F26" s="1"/>
      <c r="G26" s="1"/>
      <c r="H26" s="1"/>
      <c r="I26" s="1"/>
      <c r="J26" s="1"/>
      <c r="K26" s="1"/>
      <c r="L26" s="1"/>
      <c r="M26" s="1"/>
      <c r="N26" s="1"/>
      <c r="O26" s="1"/>
      <c r="P26" s="1"/>
      <c r="Q26" s="1"/>
      <c r="R26" s="1"/>
      <c r="S26" s="1"/>
      <c r="T26" s="1"/>
      <c r="U26" s="1"/>
      <c r="V26" s="1"/>
      <c r="W26" s="1"/>
      <c r="X26" s="1"/>
      <c r="Y26" s="1"/>
      <c r="Z26" s="1"/>
    </row>
    <row r="27" ht="12.75" customHeight="1">
      <c r="A27" s="51" t="s">
        <v>322</v>
      </c>
      <c r="B27" s="300" t="s">
        <v>323</v>
      </c>
      <c r="C27" s="295"/>
      <c r="D27" s="301"/>
      <c r="E27" s="302"/>
      <c r="F27" s="1"/>
      <c r="G27" s="1"/>
      <c r="H27" s="1"/>
      <c r="I27" s="1"/>
      <c r="J27" s="1"/>
      <c r="K27" s="1"/>
      <c r="L27" s="1"/>
      <c r="M27" s="1"/>
      <c r="N27" s="1"/>
      <c r="O27" s="1"/>
      <c r="P27" s="1"/>
      <c r="Q27" s="1"/>
      <c r="R27" s="1"/>
      <c r="S27" s="1"/>
      <c r="T27" s="1"/>
      <c r="U27" s="1"/>
      <c r="V27" s="1"/>
      <c r="W27" s="1"/>
      <c r="X27" s="1"/>
      <c r="Y27" s="1"/>
      <c r="Z27" s="1"/>
    </row>
    <row r="28" ht="12.75" customHeight="1">
      <c r="A28" s="51" t="s">
        <v>324</v>
      </c>
      <c r="B28" s="303">
        <f t="shared" ref="B28:B31" si="14">E28/E$31</f>
        <v>0</v>
      </c>
      <c r="C28" s="304">
        <v>0.0</v>
      </c>
      <c r="D28" s="304" t="str">
        <f>'Resumen Cred'!C7</f>
        <v/>
      </c>
      <c r="E28" s="305">
        <f t="shared" ref="E28:E31" si="15">+D28+C28</f>
        <v>0</v>
      </c>
      <c r="F28" s="1"/>
      <c r="G28" s="1"/>
      <c r="H28" s="1"/>
      <c r="I28" s="1"/>
      <c r="J28" s="1"/>
      <c r="K28" s="1"/>
      <c r="L28" s="1"/>
      <c r="M28" s="1"/>
      <c r="N28" s="1"/>
      <c r="O28" s="1"/>
      <c r="P28" s="1"/>
      <c r="Q28" s="1"/>
      <c r="R28" s="1"/>
      <c r="S28" s="1"/>
      <c r="T28" s="1"/>
      <c r="U28" s="1"/>
      <c r="V28" s="1"/>
      <c r="W28" s="1"/>
      <c r="X28" s="1"/>
      <c r="Y28" s="1"/>
      <c r="Z28" s="1"/>
    </row>
    <row r="29" ht="12.75" customHeight="1">
      <c r="A29" s="51" t="s">
        <v>325</v>
      </c>
      <c r="B29" s="303">
        <f t="shared" si="14"/>
        <v>0</v>
      </c>
      <c r="C29" s="304" t="str">
        <f>'Resumen Cred'!B5</f>
        <v/>
      </c>
      <c r="D29" s="306">
        <v>0.0</v>
      </c>
      <c r="E29" s="307">
        <f t="shared" si="15"/>
        <v>0</v>
      </c>
      <c r="F29" s="1"/>
      <c r="G29" s="1"/>
      <c r="H29" s="1"/>
      <c r="I29" s="1"/>
      <c r="J29" s="1"/>
      <c r="K29" s="1"/>
      <c r="L29" s="1"/>
      <c r="M29" s="1"/>
      <c r="N29" s="1"/>
      <c r="O29" s="1"/>
      <c r="P29" s="1"/>
      <c r="Q29" s="1"/>
      <c r="R29" s="1"/>
      <c r="S29" s="1"/>
      <c r="T29" s="1"/>
      <c r="U29" s="1"/>
      <c r="V29" s="1"/>
      <c r="W29" s="1"/>
      <c r="X29" s="1"/>
      <c r="Y29" s="1"/>
      <c r="Z29" s="1"/>
    </row>
    <row r="30" ht="12.75" customHeight="1">
      <c r="A30" s="51" t="s">
        <v>326</v>
      </c>
      <c r="B30" s="303">
        <f t="shared" si="14"/>
        <v>1</v>
      </c>
      <c r="C30" s="308">
        <f t="shared" ref="C30:D30" si="16">C26-C29</f>
        <v>2047258500</v>
      </c>
      <c r="D30" s="297">
        <f t="shared" si="16"/>
        <v>1728084784</v>
      </c>
      <c r="E30" s="307">
        <f t="shared" si="15"/>
        <v>3775343284</v>
      </c>
      <c r="F30" s="1"/>
      <c r="G30" s="1"/>
      <c r="H30" s="1"/>
      <c r="I30" s="1"/>
      <c r="J30" s="1"/>
      <c r="K30" s="1"/>
      <c r="L30" s="1"/>
      <c r="M30" s="1"/>
      <c r="N30" s="1"/>
      <c r="O30" s="1"/>
      <c r="P30" s="1"/>
      <c r="Q30" s="1"/>
      <c r="R30" s="1"/>
      <c r="S30" s="1"/>
      <c r="T30" s="1"/>
      <c r="U30" s="1"/>
      <c r="V30" s="1"/>
      <c r="W30" s="1"/>
      <c r="X30" s="1"/>
      <c r="Y30" s="1"/>
      <c r="Z30" s="1"/>
    </row>
    <row r="31" ht="12.75" customHeight="1">
      <c r="A31" s="137" t="s">
        <v>248</v>
      </c>
      <c r="B31" s="303">
        <f t="shared" si="14"/>
        <v>1</v>
      </c>
      <c r="C31" s="309">
        <f t="shared" ref="C31:D31" si="17">C30+C28+C29</f>
        <v>2047258500</v>
      </c>
      <c r="D31" s="309">
        <f t="shared" si="17"/>
        <v>1728084784</v>
      </c>
      <c r="E31" s="307">
        <f t="shared" si="15"/>
        <v>3775343284</v>
      </c>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51"/>
      <c r="B33" s="5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243"/>
      <c r="B35" s="243"/>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51"/>
      <c r="B38" s="51"/>
      <c r="C38" s="51"/>
      <c r="D38" s="5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51"/>
      <c r="B43" s="51"/>
      <c r="C43" s="51"/>
      <c r="D43" s="5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51"/>
      <c r="B45" s="51"/>
      <c r="C45" s="51"/>
      <c r="D45" s="51"/>
      <c r="E45" s="1"/>
      <c r="F45" s="1"/>
      <c r="G45" s="1"/>
      <c r="H45" s="1"/>
      <c r="I45" s="1"/>
      <c r="J45" s="1"/>
      <c r="K45" s="1"/>
      <c r="L45" s="1"/>
      <c r="M45" s="1"/>
      <c r="N45" s="1"/>
      <c r="O45" s="1"/>
      <c r="P45" s="1"/>
      <c r="Q45" s="1"/>
      <c r="R45" s="1"/>
      <c r="S45" s="1"/>
      <c r="T45" s="1"/>
      <c r="U45" s="1"/>
      <c r="V45" s="1"/>
      <c r="W45" s="1"/>
      <c r="X45" s="1"/>
      <c r="Y45" s="1"/>
      <c r="Z45" s="1"/>
    </row>
    <row r="46" ht="12.75" customHeight="1">
      <c r="A46" s="51"/>
      <c r="B46" s="51"/>
      <c r="C46" s="51"/>
      <c r="D46" s="5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51"/>
      <c r="B48" s="5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51"/>
      <c r="B49" s="5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51"/>
      <c r="B52" s="51"/>
      <c r="C52" s="51"/>
      <c r="D52" s="5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5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51"/>
      <c r="B55" s="5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51"/>
      <c r="B56" s="5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51"/>
      <c r="B57" s="5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51"/>
      <c r="B58" s="5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51"/>
      <c r="B59" s="5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2:B2"/>
  </mergeCells>
  <printOptions/>
  <pageMargins bottom="1.0" footer="0.0" header="0.0" left="0.26" right="0.46" top="0.7"/>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1.5"/>
    <col customWidth="1" min="2" max="13" width="16.38"/>
    <col customWidth="1" min="14"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40" t="s">
        <v>327</v>
      </c>
      <c r="B2" s="141"/>
      <c r="C2" s="141"/>
      <c r="D2" s="141"/>
      <c r="E2" s="141"/>
      <c r="F2" s="141"/>
      <c r="G2" s="141"/>
      <c r="H2" s="141"/>
      <c r="I2" s="141"/>
      <c r="J2" s="141"/>
      <c r="K2" s="141"/>
      <c r="L2" s="141"/>
      <c r="M2" s="142"/>
      <c r="N2" s="1"/>
      <c r="O2" s="1"/>
      <c r="P2" s="1"/>
      <c r="Q2" s="1"/>
      <c r="R2" s="1"/>
      <c r="S2" s="1"/>
      <c r="T2" s="1"/>
      <c r="U2" s="1"/>
      <c r="V2" s="1"/>
      <c r="W2" s="1"/>
      <c r="X2" s="1"/>
      <c r="Y2" s="1"/>
      <c r="Z2" s="1"/>
    </row>
    <row r="3" ht="12.75" customHeight="1">
      <c r="A3" s="204"/>
      <c r="B3" s="310" t="s">
        <v>42</v>
      </c>
      <c r="C3" s="310" t="s">
        <v>43</v>
      </c>
      <c r="D3" s="310" t="s">
        <v>44</v>
      </c>
      <c r="E3" s="310" t="s">
        <v>45</v>
      </c>
      <c r="F3" s="310" t="s">
        <v>46</v>
      </c>
      <c r="G3" s="310" t="s">
        <v>47</v>
      </c>
      <c r="H3" s="310" t="s">
        <v>48</v>
      </c>
      <c r="I3" s="310" t="s">
        <v>49</v>
      </c>
      <c r="J3" s="310" t="s">
        <v>50</v>
      </c>
      <c r="K3" s="310" t="s">
        <v>51</v>
      </c>
      <c r="L3" s="311" t="s">
        <v>52</v>
      </c>
      <c r="M3" s="312" t="s">
        <v>248</v>
      </c>
      <c r="N3" s="1"/>
      <c r="O3" s="1"/>
      <c r="P3" s="1"/>
      <c r="Q3" s="1"/>
      <c r="R3" s="1"/>
      <c r="S3" s="1"/>
      <c r="T3" s="1"/>
      <c r="U3" s="1"/>
      <c r="V3" s="1"/>
      <c r="W3" s="1"/>
      <c r="X3" s="1"/>
      <c r="Y3" s="1"/>
      <c r="Z3" s="1"/>
    </row>
    <row r="4" ht="12.75" customHeight="1">
      <c r="A4" s="51" t="s">
        <v>328</v>
      </c>
      <c r="B4" s="297">
        <f t="shared" ref="B4:M4" si="1">SUM(B5:B11)</f>
        <v>2047258500</v>
      </c>
      <c r="C4" s="297">
        <f t="shared" si="1"/>
        <v>5801129284</v>
      </c>
      <c r="D4" s="297">
        <f t="shared" si="1"/>
        <v>4877771060</v>
      </c>
      <c r="E4" s="297">
        <f t="shared" si="1"/>
        <v>6306620279</v>
      </c>
      <c r="F4" s="297">
        <f t="shared" si="1"/>
        <v>7708692189</v>
      </c>
      <c r="G4" s="297">
        <f t="shared" si="1"/>
        <v>9006971345</v>
      </c>
      <c r="H4" s="297">
        <f t="shared" si="1"/>
        <v>10441568087</v>
      </c>
      <c r="I4" s="297">
        <f t="shared" si="1"/>
        <v>12020747842</v>
      </c>
      <c r="J4" s="297">
        <f t="shared" si="1"/>
        <v>13756621233</v>
      </c>
      <c r="K4" s="297">
        <f t="shared" si="1"/>
        <v>15493629986</v>
      </c>
      <c r="L4" s="297">
        <f t="shared" si="1"/>
        <v>16537927345</v>
      </c>
      <c r="M4" s="298">
        <f t="shared" si="1"/>
        <v>56969487784</v>
      </c>
      <c r="N4" s="1"/>
      <c r="O4" s="1"/>
      <c r="P4" s="1"/>
      <c r="Q4" s="1"/>
      <c r="R4" s="1"/>
      <c r="S4" s="1"/>
      <c r="T4" s="1"/>
      <c r="U4" s="1"/>
      <c r="V4" s="1"/>
      <c r="W4" s="1"/>
      <c r="X4" s="1"/>
      <c r="Y4" s="1"/>
      <c r="Z4" s="1"/>
    </row>
    <row r="5" ht="12.75" customHeight="1">
      <c r="A5" s="1" t="s">
        <v>329</v>
      </c>
      <c r="B5" s="297">
        <v>0.0</v>
      </c>
      <c r="C5" s="297">
        <f t="shared" ref="C5:L5" si="2">B27</f>
        <v>0</v>
      </c>
      <c r="D5" s="297">
        <f t="shared" si="2"/>
        <v>337571059.8</v>
      </c>
      <c r="E5" s="297">
        <f t="shared" si="2"/>
        <v>1577420279</v>
      </c>
      <c r="F5" s="297">
        <f t="shared" si="2"/>
        <v>2775792189</v>
      </c>
      <c r="G5" s="297">
        <f t="shared" si="2"/>
        <v>3838871345</v>
      </c>
      <c r="H5" s="297">
        <f t="shared" si="2"/>
        <v>5029868087</v>
      </c>
      <c r="I5" s="297">
        <f t="shared" si="2"/>
        <v>6350747842</v>
      </c>
      <c r="J5" s="297">
        <f t="shared" si="2"/>
        <v>7817821233</v>
      </c>
      <c r="K5" s="297">
        <f t="shared" si="2"/>
        <v>9275529986</v>
      </c>
      <c r="L5" s="297">
        <f t="shared" si="2"/>
        <v>10025827345</v>
      </c>
      <c r="M5" s="298">
        <v>0.0</v>
      </c>
      <c r="N5" s="1"/>
      <c r="O5" s="1"/>
      <c r="P5" s="1"/>
      <c r="Q5" s="1"/>
      <c r="R5" s="1"/>
      <c r="S5" s="1"/>
      <c r="T5" s="1"/>
      <c r="U5" s="1"/>
      <c r="V5" s="1"/>
      <c r="W5" s="1"/>
      <c r="X5" s="1"/>
      <c r="Y5" s="1"/>
      <c r="Z5" s="1"/>
    </row>
    <row r="6" ht="12.75" customHeight="1">
      <c r="A6" s="1" t="s">
        <v>330</v>
      </c>
      <c r="B6" s="313">
        <f>'2 Estructura'!C30</f>
        <v>2047258500</v>
      </c>
      <c r="C6" s="314">
        <f>'2 Estructura'!D30</f>
        <v>1728084784</v>
      </c>
      <c r="D6" s="315">
        <v>0.0</v>
      </c>
      <c r="E6" s="316">
        <v>0.0</v>
      </c>
      <c r="F6" s="316">
        <v>0.0</v>
      </c>
      <c r="G6" s="316">
        <v>0.0</v>
      </c>
      <c r="H6" s="316"/>
      <c r="I6" s="316">
        <v>0.0</v>
      </c>
      <c r="J6" s="316">
        <v>0.0</v>
      </c>
      <c r="K6" s="316">
        <v>0.0</v>
      </c>
      <c r="L6" s="317">
        <v>0.0</v>
      </c>
      <c r="M6" s="318">
        <f t="shared" ref="M6:M11" si="3">SUM(B6:L6)</f>
        <v>3775343284</v>
      </c>
      <c r="N6" s="1"/>
      <c r="O6" s="1"/>
      <c r="P6" s="1"/>
      <c r="Q6" s="1"/>
      <c r="R6" s="1"/>
      <c r="S6" s="1"/>
      <c r="T6" s="1"/>
      <c r="U6" s="1"/>
      <c r="V6" s="1"/>
      <c r="W6" s="1"/>
      <c r="X6" s="1"/>
      <c r="Y6" s="1"/>
      <c r="Z6" s="1"/>
    </row>
    <row r="7" ht="12.75" customHeight="1">
      <c r="A7" s="1" t="s">
        <v>331</v>
      </c>
      <c r="B7" s="313" t="str">
        <f>'Resumen Cred'!C6</f>
        <v/>
      </c>
      <c r="C7" s="297">
        <f>'Resumen Cred'!C7-'Resumen Cred'!C6</f>
        <v>0</v>
      </c>
      <c r="D7" s="308">
        <f>'Resumen Cred'!C8-'Resumen Cred'!C7</f>
        <v>0</v>
      </c>
      <c r="E7" s="308">
        <f>'Resumen Cred'!C9-'Resumen Cred'!C8</f>
        <v>0</v>
      </c>
      <c r="F7" s="308">
        <f>'Resumen Cred'!C10-'Resumen Cred'!C9</f>
        <v>0</v>
      </c>
      <c r="G7" s="308">
        <f>'Resumen Cred'!C11-'Resumen Cred'!C10</f>
        <v>0</v>
      </c>
      <c r="H7" s="308">
        <f>'Resumen Cred'!C12-'Resumen Cred'!C11</f>
        <v>0</v>
      </c>
      <c r="I7" s="308">
        <f>'Resumen Cred'!C13-'Resumen Cred'!C12</f>
        <v>0</v>
      </c>
      <c r="J7" s="308">
        <f>'Resumen Cred'!C14-'Resumen Cred'!C13</f>
        <v>0</v>
      </c>
      <c r="K7" s="308">
        <f>'Resumen Cred'!C15-'Resumen Cred'!C14</f>
        <v>0</v>
      </c>
      <c r="L7" s="319">
        <f>'Resumen Cred'!C16-'Resumen Cred'!C15</f>
        <v>0</v>
      </c>
      <c r="M7" s="298">
        <f t="shared" si="3"/>
        <v>0</v>
      </c>
      <c r="N7" s="1"/>
      <c r="O7" s="1"/>
      <c r="P7" s="1"/>
      <c r="Q7" s="1"/>
      <c r="R7" s="1"/>
      <c r="S7" s="1"/>
      <c r="T7" s="1"/>
      <c r="U7" s="1"/>
      <c r="V7" s="1"/>
      <c r="W7" s="1"/>
      <c r="X7" s="1"/>
      <c r="Y7" s="1"/>
      <c r="Z7" s="1"/>
    </row>
    <row r="8" ht="12.75" customHeight="1">
      <c r="A8" s="1" t="s">
        <v>332</v>
      </c>
      <c r="B8" s="313" t="str">
        <f>'2 Estructura'!C29</f>
        <v/>
      </c>
      <c r="C8" s="313">
        <f>'2 Estructura'!D29</f>
        <v>0</v>
      </c>
      <c r="D8" s="313">
        <v>0.0</v>
      </c>
      <c r="E8" s="313">
        <v>0.0</v>
      </c>
      <c r="F8" s="313">
        <v>0.0</v>
      </c>
      <c r="G8" s="313">
        <v>0.0</v>
      </c>
      <c r="H8" s="313">
        <v>0.0</v>
      </c>
      <c r="I8" s="313">
        <v>0.0</v>
      </c>
      <c r="J8" s="313">
        <v>0.0</v>
      </c>
      <c r="K8" s="313">
        <v>0.0</v>
      </c>
      <c r="L8" s="314">
        <v>0.0</v>
      </c>
      <c r="M8" s="298">
        <f t="shared" si="3"/>
        <v>0</v>
      </c>
      <c r="N8" s="1"/>
      <c r="O8" s="1"/>
      <c r="P8" s="1"/>
      <c r="Q8" s="1"/>
      <c r="R8" s="1"/>
      <c r="S8" s="1"/>
      <c r="T8" s="1"/>
      <c r="U8" s="1"/>
      <c r="V8" s="1"/>
      <c r="W8" s="1"/>
      <c r="X8" s="1"/>
      <c r="Y8" s="1"/>
      <c r="Z8" s="1"/>
    </row>
    <row r="9" ht="12.75" customHeight="1">
      <c r="A9" s="1" t="s">
        <v>333</v>
      </c>
      <c r="B9" s="297">
        <v>0.0</v>
      </c>
      <c r="C9" s="297">
        <f>'CTV y CResult'!B54</f>
        <v>3973200000</v>
      </c>
      <c r="D9" s="297">
        <f>'CTV y CResult'!C54</f>
        <v>4540200000</v>
      </c>
      <c r="E9" s="297">
        <f>'CTV y CResult'!D54</f>
        <v>4729200000</v>
      </c>
      <c r="F9" s="297">
        <f>'CTV y CResult'!E54</f>
        <v>4932900000</v>
      </c>
      <c r="G9" s="297">
        <f>'CTV y CResult'!F54</f>
        <v>5168100000</v>
      </c>
      <c r="H9" s="297">
        <f>'CTV y CResult'!G54</f>
        <v>5411700000</v>
      </c>
      <c r="I9" s="297">
        <f>'CTV y CResult'!H54</f>
        <v>5670000000</v>
      </c>
      <c r="J9" s="297">
        <f>'CTV y CResult'!I54</f>
        <v>5938800000</v>
      </c>
      <c r="K9" s="297">
        <f>'CTV y CResult'!J54</f>
        <v>6218100000</v>
      </c>
      <c r="L9" s="297">
        <f>'CTV y CResult'!K54</f>
        <v>6512100000</v>
      </c>
      <c r="M9" s="298">
        <f t="shared" si="3"/>
        <v>53094300000</v>
      </c>
      <c r="N9" s="1"/>
      <c r="O9" s="1"/>
      <c r="P9" s="1"/>
      <c r="Q9" s="1"/>
      <c r="R9" s="1"/>
      <c r="S9" s="1"/>
      <c r="T9" s="1"/>
      <c r="U9" s="1"/>
      <c r="V9" s="1"/>
      <c r="W9" s="1"/>
      <c r="X9" s="1"/>
      <c r="Y9" s="1"/>
      <c r="Z9" s="1"/>
    </row>
    <row r="10" ht="12.75" customHeight="1">
      <c r="A10" s="1" t="s">
        <v>334</v>
      </c>
      <c r="B10" s="297" t="str">
        <f>IVA!C26</f>
        <v/>
      </c>
      <c r="C10" s="297">
        <f>IVA!D26</f>
        <v>99844500</v>
      </c>
      <c r="D10" s="297">
        <f>IVA!E26</f>
        <v>0</v>
      </c>
      <c r="E10" s="297">
        <f>IVA!F26</f>
        <v>0</v>
      </c>
      <c r="F10" s="297">
        <f>IVA!G26</f>
        <v>0</v>
      </c>
      <c r="G10" s="297">
        <f>IVA!H26</f>
        <v>0</v>
      </c>
      <c r="H10" s="297">
        <f>IVA!I26</f>
        <v>0</v>
      </c>
      <c r="I10" s="297">
        <f>IVA!J26</f>
        <v>0</v>
      </c>
      <c r="J10" s="297">
        <f>IVA!K26</f>
        <v>0</v>
      </c>
      <c r="K10" s="297">
        <f>IVA!L26</f>
        <v>0</v>
      </c>
      <c r="L10" s="297">
        <f>IVA!M26</f>
        <v>0</v>
      </c>
      <c r="M10" s="298">
        <f t="shared" si="3"/>
        <v>99844500</v>
      </c>
      <c r="N10" s="1"/>
      <c r="O10" s="1"/>
      <c r="P10" s="1"/>
      <c r="Q10" s="1"/>
      <c r="R10" s="1"/>
      <c r="S10" s="1"/>
      <c r="T10" s="1"/>
      <c r="U10" s="1"/>
      <c r="V10" s="1"/>
      <c r="W10" s="1"/>
      <c r="X10" s="1"/>
      <c r="Y10" s="1"/>
      <c r="Z10" s="1"/>
    </row>
    <row r="11" ht="12.75" customHeight="1">
      <c r="A11" s="1" t="s">
        <v>335</v>
      </c>
      <c r="B11" s="297">
        <v>0.0</v>
      </c>
      <c r="C11" s="297">
        <v>0.0</v>
      </c>
      <c r="D11" s="297">
        <v>0.0</v>
      </c>
      <c r="E11" s="297">
        <v>0.0</v>
      </c>
      <c r="F11" s="297">
        <v>0.0</v>
      </c>
      <c r="G11" s="297">
        <v>0.0</v>
      </c>
      <c r="H11" s="297">
        <v>0.0</v>
      </c>
      <c r="I11" s="297">
        <v>0.0</v>
      </c>
      <c r="J11" s="297">
        <v>0.0</v>
      </c>
      <c r="K11" s="297">
        <v>0.0</v>
      </c>
      <c r="L11" s="307">
        <v>0.0</v>
      </c>
      <c r="M11" s="298">
        <f t="shared" si="3"/>
        <v>0</v>
      </c>
      <c r="N11" s="1"/>
      <c r="O11" s="1"/>
      <c r="P11" s="1"/>
      <c r="Q11" s="1"/>
      <c r="R11" s="1"/>
      <c r="S11" s="1"/>
      <c r="T11" s="1"/>
      <c r="U11" s="1"/>
      <c r="V11" s="1"/>
      <c r="W11" s="1"/>
      <c r="X11" s="1"/>
      <c r="Y11" s="1"/>
      <c r="Z11" s="1"/>
    </row>
    <row r="12" ht="12.75" customHeight="1">
      <c r="A12" s="1"/>
      <c r="B12" s="295"/>
      <c r="C12" s="295"/>
      <c r="D12" s="295"/>
      <c r="E12" s="295"/>
      <c r="F12" s="295"/>
      <c r="G12" s="295"/>
      <c r="H12" s="295"/>
      <c r="I12" s="295"/>
      <c r="J12" s="295"/>
      <c r="K12" s="295"/>
      <c r="L12" s="302"/>
      <c r="M12" s="296"/>
      <c r="N12" s="1"/>
      <c r="O12" s="1"/>
      <c r="P12" s="1"/>
      <c r="Q12" s="1"/>
      <c r="R12" s="1"/>
      <c r="S12" s="1"/>
      <c r="T12" s="1"/>
      <c r="U12" s="1"/>
      <c r="V12" s="1"/>
      <c r="W12" s="1"/>
      <c r="X12" s="1"/>
      <c r="Y12" s="1"/>
      <c r="Z12" s="1"/>
    </row>
    <row r="13" ht="12.75" customHeight="1">
      <c r="A13" s="51" t="s">
        <v>336</v>
      </c>
      <c r="B13" s="297">
        <f t="shared" ref="B13:L13" si="4">SUM(B14:B22)</f>
        <v>2047258500</v>
      </c>
      <c r="C13" s="297">
        <f t="shared" si="4"/>
        <v>5527648224</v>
      </c>
      <c r="D13" s="297">
        <f t="shared" si="4"/>
        <v>3364440781</v>
      </c>
      <c r="E13" s="297">
        <f t="shared" si="4"/>
        <v>3594918090</v>
      </c>
      <c r="F13" s="297">
        <f t="shared" si="4"/>
        <v>3933910844</v>
      </c>
      <c r="G13" s="297">
        <f t="shared" si="4"/>
        <v>4041193258</v>
      </c>
      <c r="H13" s="297">
        <f t="shared" si="4"/>
        <v>4130720246</v>
      </c>
      <c r="I13" s="297">
        <f t="shared" si="4"/>
        <v>4242826609</v>
      </c>
      <c r="J13" s="297">
        <f t="shared" si="4"/>
        <v>4520991247</v>
      </c>
      <c r="K13" s="297">
        <f t="shared" si="4"/>
        <v>5507702641</v>
      </c>
      <c r="L13" s="297">
        <f t="shared" si="4"/>
        <v>6266009083</v>
      </c>
      <c r="M13" s="298">
        <f t="shared" ref="M13:M22" si="5">SUM(B13:L13)</f>
        <v>47177619522</v>
      </c>
      <c r="N13" s="1"/>
      <c r="O13" s="1"/>
      <c r="P13" s="1"/>
      <c r="Q13" s="1"/>
      <c r="R13" s="1"/>
      <c r="S13" s="1"/>
      <c r="T13" s="1"/>
      <c r="U13" s="1"/>
      <c r="V13" s="1"/>
      <c r="W13" s="1"/>
      <c r="X13" s="1"/>
      <c r="Y13" s="1"/>
      <c r="Z13" s="1"/>
    </row>
    <row r="14" ht="12.75" customHeight="1">
      <c r="A14" s="1" t="s">
        <v>337</v>
      </c>
      <c r="B14" s="313">
        <f>'Inv AF'!D37</f>
        <v>1867950000</v>
      </c>
      <c r="C14" s="313">
        <f>'Inv AF'!E37</f>
        <v>0</v>
      </c>
      <c r="D14" s="313">
        <f>'Inv AF'!F37</f>
        <v>0</v>
      </c>
      <c r="E14" s="313">
        <f>'Inv AF'!G37</f>
        <v>0</v>
      </c>
      <c r="F14" s="313">
        <f>'Inv AF'!H37</f>
        <v>0</v>
      </c>
      <c r="G14" s="313">
        <f>'Inv AF'!I37</f>
        <v>0</v>
      </c>
      <c r="H14" s="313">
        <f>'Inv AF'!J37</f>
        <v>0</v>
      </c>
      <c r="I14" s="313">
        <f>'Inv AF'!K37</f>
        <v>0</v>
      </c>
      <c r="J14" s="313">
        <f>'Inv AF'!L37</f>
        <v>0</v>
      </c>
      <c r="K14" s="313">
        <f>'Inv AF'!M37</f>
        <v>0</v>
      </c>
      <c r="L14" s="313">
        <f>'Inv AF'!N37</f>
        <v>0</v>
      </c>
      <c r="M14" s="298">
        <f t="shared" si="5"/>
        <v>1867950000</v>
      </c>
      <c r="N14" s="1"/>
      <c r="O14" s="1"/>
      <c r="P14" s="1"/>
      <c r="Q14" s="1"/>
      <c r="R14" s="1"/>
      <c r="S14" s="1"/>
      <c r="T14" s="1"/>
      <c r="U14" s="1"/>
      <c r="V14" s="1"/>
      <c r="W14" s="1"/>
      <c r="X14" s="1"/>
      <c r="Y14" s="1"/>
      <c r="Z14" s="1"/>
    </row>
    <row r="15" ht="12.75" customHeight="1">
      <c r="A15" s="1" t="s">
        <v>338</v>
      </c>
      <c r="B15" s="297">
        <f>InvAT!B22</f>
        <v>79464000</v>
      </c>
      <c r="C15" s="297">
        <f>InvAT!C22</f>
        <v>1959386301</v>
      </c>
      <c r="D15" s="297">
        <f>InvAT!D22</f>
        <v>-466717808.2</v>
      </c>
      <c r="E15" s="297">
        <f>InvAT!E22</f>
        <v>-326564383.6</v>
      </c>
      <c r="F15" s="297">
        <f>InvAT!F22</f>
        <v>-84920547.95</v>
      </c>
      <c r="G15" s="297">
        <f>InvAT!G22</f>
        <v>-90041095.89</v>
      </c>
      <c r="H15" s="297">
        <f>InvAT!H22</f>
        <v>-101547945.2</v>
      </c>
      <c r="I15" s="297">
        <f>InvAT!I22</f>
        <v>-112882191.8</v>
      </c>
      <c r="J15" s="297">
        <f>InvAT!J22</f>
        <v>36821917.81</v>
      </c>
      <c r="K15" s="297">
        <f>InvAT!K22</f>
        <v>890054794.5</v>
      </c>
      <c r="L15" s="297">
        <f>InvAT!L22</f>
        <v>1507857534</v>
      </c>
      <c r="M15" s="298">
        <f t="shared" si="5"/>
        <v>3290910575</v>
      </c>
      <c r="N15" s="1"/>
      <c r="O15" s="1"/>
      <c r="P15" s="1"/>
      <c r="Q15" s="1"/>
      <c r="R15" s="1"/>
      <c r="S15" s="1"/>
      <c r="T15" s="1"/>
      <c r="U15" s="1"/>
      <c r="V15" s="1"/>
      <c r="W15" s="1"/>
      <c r="X15" s="1"/>
      <c r="Y15" s="1"/>
      <c r="Z15" s="1"/>
    </row>
    <row r="16" ht="12.75" customHeight="1">
      <c r="A16" s="1" t="s">
        <v>339</v>
      </c>
      <c r="B16" s="297">
        <v>0.0</v>
      </c>
      <c r="C16" s="297">
        <f>'CTV y CResult'!B55+'CTV y CResult'!B58+'CTV y CResult'!B59+'CTV y CResult'!B60</f>
        <v>3317429834</v>
      </c>
      <c r="D16" s="297">
        <f>'CTV y CResult'!C55+'CTV y CResult'!C58+'CTV y CResult'!C59+'CTV y CResult'!C60</f>
        <v>3391954800</v>
      </c>
      <c r="E16" s="297">
        <f>'CTV y CResult'!D55+'CTV y CResult'!D58+'CTV y CResult'!D59+'CTV y CResult'!D60</f>
        <v>3421155423</v>
      </c>
      <c r="F16" s="297">
        <f>'CTV y CResult'!E55+'CTV y CResult'!E58+'CTV y CResult'!E59+'CTV y CResult'!E60</f>
        <v>3452626950</v>
      </c>
      <c r="G16" s="297">
        <f>'CTV y CResult'!F55+'CTV y CResult'!F58+'CTV y CResult'!F59+'CTV y CResult'!F60</f>
        <v>3488965350</v>
      </c>
      <c r="H16" s="297">
        <f>'CTV y CResult'!G55+'CTV y CResult'!G58+'CTV y CResult'!G59+'CTV y CResult'!G60</f>
        <v>3501688973</v>
      </c>
      <c r="I16" s="297">
        <f>'CTV y CResult'!H55+'CTV y CResult'!H58+'CTV y CResult'!H59+'CTV y CResult'!H60</f>
        <v>3541593200</v>
      </c>
      <c r="J16" s="297">
        <f>'CTV y CResult'!I55+'CTV y CResult'!I58+'CTV y CResult'!I59+'CTV y CResult'!I60</f>
        <v>3583122800</v>
      </c>
      <c r="K16" s="297">
        <f>'CTV y CResult'!J55+'CTV y CResult'!J58+'CTV y CResult'!J59+'CTV y CResult'!J60</f>
        <v>3626274650</v>
      </c>
      <c r="L16" s="297">
        <f>'CTV y CResult'!K55+'CTV y CResult'!K58+'CTV y CResult'!K59+'CTV y CResult'!K60</f>
        <v>3671697650</v>
      </c>
      <c r="M16" s="298">
        <f t="shared" si="5"/>
        <v>34996509630</v>
      </c>
      <c r="N16" s="1"/>
      <c r="O16" s="1"/>
      <c r="P16" s="1"/>
      <c r="Q16" s="1"/>
      <c r="R16" s="1"/>
      <c r="S16" s="1"/>
      <c r="T16" s="1"/>
      <c r="U16" s="1"/>
      <c r="V16" s="1"/>
      <c r="W16" s="1"/>
      <c r="X16" s="1"/>
      <c r="Y16" s="1"/>
      <c r="Z16" s="1"/>
    </row>
    <row r="17" ht="12.75" customHeight="1">
      <c r="A17" s="1" t="s">
        <v>340</v>
      </c>
      <c r="B17" s="297">
        <v>0.0</v>
      </c>
      <c r="C17" s="297">
        <f>'CTV y CResult'!B63</f>
        <v>218043580.2</v>
      </c>
      <c r="D17" s="297">
        <f>'CTV y CResult'!C63</f>
        <v>381791529</v>
      </c>
      <c r="E17" s="297">
        <f>'CTV y CResult'!D63</f>
        <v>434924821.9</v>
      </c>
      <c r="F17" s="297">
        <f>'CTV y CResult'!E63</f>
        <v>492190789.1</v>
      </c>
      <c r="G17" s="297">
        <f>'CTV y CResult'!F63</f>
        <v>558312271.1</v>
      </c>
      <c r="H17" s="297">
        <f>'CTV y CResult'!G63</f>
        <v>635078666.5</v>
      </c>
      <c r="I17" s="297">
        <f>'CTV y CResult'!H63</f>
        <v>707695261</v>
      </c>
      <c r="J17" s="297">
        <f>'CTV y CResult'!I63</f>
        <v>783262669</v>
      </c>
      <c r="K17" s="297">
        <f>'CTV y CResult'!J63</f>
        <v>861781928.9</v>
      </c>
      <c r="L17" s="297">
        <f>'CTV y CResult'!K63</f>
        <v>944433781.4</v>
      </c>
      <c r="M17" s="298">
        <f t="shared" si="5"/>
        <v>6017515298</v>
      </c>
      <c r="N17" s="1"/>
      <c r="O17" s="1"/>
      <c r="P17" s="1"/>
      <c r="Q17" s="1"/>
      <c r="R17" s="1"/>
      <c r="S17" s="1"/>
      <c r="T17" s="1"/>
      <c r="U17" s="1"/>
      <c r="V17" s="1"/>
      <c r="W17" s="1"/>
      <c r="X17" s="1"/>
      <c r="Y17" s="1"/>
      <c r="Z17" s="1"/>
    </row>
    <row r="18" ht="12.75" customHeight="1">
      <c r="A18" s="1" t="s">
        <v>341</v>
      </c>
      <c r="B18" s="313">
        <v>0.0</v>
      </c>
      <c r="C18" s="313" t="str">
        <f>'Resumen Cred'!D7</f>
        <v/>
      </c>
      <c r="D18" s="313" t="str">
        <f>'Resumen Cred'!D8</f>
        <v/>
      </c>
      <c r="E18" s="313" t="str">
        <f>'Resumen Cred'!D9</f>
        <v/>
      </c>
      <c r="F18" s="313" t="str">
        <f>'Resumen Cred'!D10</f>
        <v/>
      </c>
      <c r="G18" s="313" t="str">
        <f>'Resumen Cred'!D11</f>
        <v/>
      </c>
      <c r="H18" s="313" t="str">
        <f>'Resumen Cred'!D12</f>
        <v/>
      </c>
      <c r="I18" s="313" t="str">
        <f>'Resumen Cred'!D13</f>
        <v/>
      </c>
      <c r="J18" s="313" t="str">
        <f>'Resumen Cred'!D14</f>
        <v/>
      </c>
      <c r="K18" s="313" t="str">
        <f>'Resumen Cred'!D15</f>
        <v/>
      </c>
      <c r="L18" s="314" t="str">
        <f>'Resumen Cred'!D16</f>
        <v/>
      </c>
      <c r="M18" s="298">
        <f t="shared" si="5"/>
        <v>0</v>
      </c>
      <c r="N18" s="1"/>
      <c r="O18" s="1"/>
      <c r="P18" s="1"/>
      <c r="Q18" s="1"/>
      <c r="R18" s="1"/>
      <c r="S18" s="1"/>
      <c r="T18" s="1"/>
      <c r="U18" s="1"/>
      <c r="V18" s="1"/>
      <c r="W18" s="1"/>
      <c r="X18" s="1"/>
      <c r="Y18" s="1"/>
      <c r="Z18" s="1"/>
    </row>
    <row r="19" ht="12.75" customHeight="1">
      <c r="A19" s="1" t="s">
        <v>342</v>
      </c>
      <c r="B19" s="297">
        <v>0.0</v>
      </c>
      <c r="C19" s="320">
        <f>'CTV y CResult'!B62</f>
        <v>32788508.3</v>
      </c>
      <c r="D19" s="320">
        <f>'CTV y CResult'!C62</f>
        <v>57412260</v>
      </c>
      <c r="E19" s="320">
        <f>'CTV y CResult'!D62</f>
        <v>65402228.85</v>
      </c>
      <c r="F19" s="320">
        <f>'CTV y CResult'!E62</f>
        <v>74013652.5</v>
      </c>
      <c r="G19" s="320">
        <f>'CTV y CResult'!F62</f>
        <v>83956732.5</v>
      </c>
      <c r="H19" s="320">
        <f>'CTV y CResult'!G62</f>
        <v>95500551.35</v>
      </c>
      <c r="I19" s="320">
        <f>'CTV y CResult'!H62</f>
        <v>106420340</v>
      </c>
      <c r="J19" s="320">
        <f>'CTV y CResult'!I62</f>
        <v>117783860</v>
      </c>
      <c r="K19" s="320">
        <f>'CTV y CResult'!J62</f>
        <v>129591267.5</v>
      </c>
      <c r="L19" s="320">
        <f>'CTV y CResult'!K62</f>
        <v>142020117.5</v>
      </c>
      <c r="M19" s="298">
        <f t="shared" si="5"/>
        <v>904889518.5</v>
      </c>
      <c r="N19" s="1"/>
      <c r="O19" s="1"/>
      <c r="P19" s="1"/>
      <c r="Q19" s="1"/>
      <c r="R19" s="1"/>
      <c r="S19" s="1"/>
      <c r="T19" s="1"/>
      <c r="U19" s="1"/>
      <c r="V19" s="1"/>
      <c r="W19" s="1"/>
      <c r="X19" s="1"/>
      <c r="Y19" s="1"/>
      <c r="Z19" s="1"/>
    </row>
    <row r="20" ht="12.75" customHeight="1">
      <c r="A20" s="1" t="s">
        <v>343</v>
      </c>
      <c r="B20" s="314">
        <v>0.0</v>
      </c>
      <c r="C20" s="315">
        <v>0.0</v>
      </c>
      <c r="D20" s="316">
        <v>0.0</v>
      </c>
      <c r="E20" s="316">
        <v>0.0</v>
      </c>
      <c r="F20" s="316">
        <v>0.0</v>
      </c>
      <c r="G20" s="316">
        <v>0.0</v>
      </c>
      <c r="H20" s="316">
        <v>0.0</v>
      </c>
      <c r="I20" s="316">
        <v>0.0</v>
      </c>
      <c r="J20" s="316">
        <v>0.0</v>
      </c>
      <c r="K20" s="316">
        <v>0.0</v>
      </c>
      <c r="L20" s="317">
        <v>0.0</v>
      </c>
      <c r="M20" s="318">
        <f t="shared" si="5"/>
        <v>0</v>
      </c>
      <c r="N20" s="1"/>
      <c r="O20" s="1"/>
      <c r="P20" s="1"/>
      <c r="Q20" s="1"/>
      <c r="R20" s="1"/>
      <c r="S20" s="1"/>
      <c r="T20" s="1"/>
      <c r="U20" s="1"/>
      <c r="V20" s="1"/>
      <c r="W20" s="1"/>
      <c r="X20" s="1"/>
      <c r="Y20" s="1"/>
      <c r="Z20" s="1"/>
    </row>
    <row r="21" ht="12.75" customHeight="1">
      <c r="A21" s="1" t="s">
        <v>344</v>
      </c>
      <c r="B21" s="297">
        <f>IVA!C24</f>
        <v>99844500</v>
      </c>
      <c r="C21" s="308">
        <f>IVA!D24</f>
        <v>0</v>
      </c>
      <c r="D21" s="308">
        <f>IVA!E24</f>
        <v>0</v>
      </c>
      <c r="E21" s="308">
        <f>IVA!F24</f>
        <v>0</v>
      </c>
      <c r="F21" s="308">
        <f>IVA!G24</f>
        <v>0</v>
      </c>
      <c r="G21" s="308">
        <f>IVA!H24</f>
        <v>0</v>
      </c>
      <c r="H21" s="308">
        <f>IVA!I24</f>
        <v>0</v>
      </c>
      <c r="I21" s="308">
        <f>IVA!J24</f>
        <v>0</v>
      </c>
      <c r="J21" s="308">
        <f>IVA!K24</f>
        <v>0</v>
      </c>
      <c r="K21" s="308">
        <f>IVA!L24</f>
        <v>0</v>
      </c>
      <c r="L21" s="308">
        <f>IVA!M24</f>
        <v>0</v>
      </c>
      <c r="M21" s="298">
        <f t="shared" si="5"/>
        <v>99844500</v>
      </c>
      <c r="N21" s="1"/>
      <c r="O21" s="1"/>
      <c r="P21" s="1"/>
      <c r="Q21" s="1"/>
      <c r="R21" s="1"/>
      <c r="S21" s="1"/>
      <c r="T21" s="1"/>
      <c r="U21" s="1"/>
      <c r="V21" s="1"/>
      <c r="W21" s="1"/>
      <c r="X21" s="1"/>
      <c r="Y21" s="1"/>
      <c r="Z21" s="1"/>
    </row>
    <row r="22" ht="12.75" customHeight="1">
      <c r="A22" s="1" t="s">
        <v>345</v>
      </c>
      <c r="B22" s="297">
        <v>0.0</v>
      </c>
      <c r="C22" s="297">
        <v>0.0</v>
      </c>
      <c r="D22" s="297">
        <v>0.0</v>
      </c>
      <c r="E22" s="297">
        <v>0.0</v>
      </c>
      <c r="F22" s="297">
        <v>0.0</v>
      </c>
      <c r="G22" s="297">
        <v>0.0</v>
      </c>
      <c r="H22" s="297">
        <v>0.0</v>
      </c>
      <c r="I22" s="297">
        <v>0.0</v>
      </c>
      <c r="J22" s="297">
        <v>0.0</v>
      </c>
      <c r="K22" s="297">
        <v>0.0</v>
      </c>
      <c r="L22" s="307">
        <v>0.0</v>
      </c>
      <c r="M22" s="298">
        <f t="shared" si="5"/>
        <v>0</v>
      </c>
      <c r="N22" s="1"/>
      <c r="O22" s="1"/>
      <c r="P22" s="1"/>
      <c r="Q22" s="1"/>
      <c r="R22" s="1"/>
      <c r="S22" s="1"/>
      <c r="T22" s="1"/>
      <c r="U22" s="1"/>
      <c r="V22" s="1"/>
      <c r="W22" s="1"/>
      <c r="X22" s="1"/>
      <c r="Y22" s="1"/>
      <c r="Z22" s="1"/>
    </row>
    <row r="23" ht="12.75" customHeight="1">
      <c r="A23" s="1"/>
      <c r="B23" s="295"/>
      <c r="C23" s="295"/>
      <c r="D23" s="295"/>
      <c r="E23" s="295"/>
      <c r="F23" s="295"/>
      <c r="G23" s="295"/>
      <c r="H23" s="295"/>
      <c r="I23" s="295"/>
      <c r="J23" s="295"/>
      <c r="K23" s="295"/>
      <c r="L23" s="302"/>
      <c r="M23" s="296"/>
      <c r="N23" s="1"/>
      <c r="O23" s="1"/>
      <c r="P23" s="1"/>
      <c r="Q23" s="1"/>
      <c r="R23" s="1"/>
      <c r="S23" s="1"/>
      <c r="T23" s="1"/>
      <c r="U23" s="1"/>
      <c r="V23" s="1"/>
      <c r="W23" s="1"/>
      <c r="X23" s="1"/>
      <c r="Y23" s="1"/>
      <c r="Z23" s="1"/>
    </row>
    <row r="24" ht="12.75" customHeight="1">
      <c r="A24" s="51" t="s">
        <v>346</v>
      </c>
      <c r="B24" s="297">
        <f t="shared" ref="B24:M24" si="6">B4-B13</f>
        <v>0</v>
      </c>
      <c r="C24" s="297">
        <f t="shared" si="6"/>
        <v>273481059.8</v>
      </c>
      <c r="D24" s="297">
        <f t="shared" si="6"/>
        <v>1513330279</v>
      </c>
      <c r="E24" s="297">
        <f t="shared" si="6"/>
        <v>2711702189</v>
      </c>
      <c r="F24" s="297">
        <f t="shared" si="6"/>
        <v>3774781345</v>
      </c>
      <c r="G24" s="297">
        <f t="shared" si="6"/>
        <v>4965778087</v>
      </c>
      <c r="H24" s="297">
        <f t="shared" si="6"/>
        <v>6310847842</v>
      </c>
      <c r="I24" s="297">
        <f t="shared" si="6"/>
        <v>7777921233</v>
      </c>
      <c r="J24" s="297">
        <f t="shared" si="6"/>
        <v>9235629986</v>
      </c>
      <c r="K24" s="297">
        <f t="shared" si="6"/>
        <v>9985927345</v>
      </c>
      <c r="L24" s="297">
        <f t="shared" si="6"/>
        <v>10271918262</v>
      </c>
      <c r="M24" s="298">
        <f t="shared" si="6"/>
        <v>9791868262</v>
      </c>
      <c r="N24" s="1"/>
      <c r="O24" s="1"/>
      <c r="P24" s="1"/>
      <c r="Q24" s="1"/>
      <c r="R24" s="1"/>
      <c r="S24" s="1"/>
      <c r="T24" s="1"/>
      <c r="U24" s="1"/>
      <c r="V24" s="1"/>
      <c r="W24" s="1"/>
      <c r="X24" s="1"/>
      <c r="Y24" s="1"/>
      <c r="Z24" s="1"/>
    </row>
    <row r="25" ht="12.75" customHeight="1">
      <c r="A25" s="51" t="s">
        <v>347</v>
      </c>
      <c r="B25" s="297">
        <v>0.0</v>
      </c>
      <c r="C25" s="297">
        <f>'Inv AF'!E80</f>
        <v>64090000</v>
      </c>
      <c r="D25" s="297">
        <f>'Inv AF'!F80</f>
        <v>64090000</v>
      </c>
      <c r="E25" s="297">
        <f>'Inv AF'!G80</f>
        <v>64090000</v>
      </c>
      <c r="F25" s="297">
        <f>'Inv AF'!H80</f>
        <v>64090000</v>
      </c>
      <c r="G25" s="297">
        <f>'Inv AF'!I80</f>
        <v>64090000</v>
      </c>
      <c r="H25" s="297">
        <f>'Inv AF'!J80</f>
        <v>39900000</v>
      </c>
      <c r="I25" s="297">
        <f>'Inv AF'!K80</f>
        <v>39900000</v>
      </c>
      <c r="J25" s="297">
        <f>'Inv AF'!L80</f>
        <v>39900000</v>
      </c>
      <c r="K25" s="297">
        <f>'Inv AF'!M80</f>
        <v>39900000</v>
      </c>
      <c r="L25" s="297">
        <f>'Inv AF'!N80</f>
        <v>39900000</v>
      </c>
      <c r="M25" s="298">
        <f>SUM(B25:L25)</f>
        <v>519950000</v>
      </c>
      <c r="N25" s="1"/>
      <c r="O25" s="1"/>
      <c r="P25" s="1"/>
      <c r="Q25" s="1"/>
      <c r="R25" s="1"/>
      <c r="S25" s="1"/>
      <c r="T25" s="1"/>
      <c r="U25" s="1"/>
      <c r="V25" s="1"/>
      <c r="W25" s="1"/>
      <c r="X25" s="1"/>
      <c r="Y25" s="1"/>
      <c r="Z25" s="1"/>
    </row>
    <row r="26" ht="12.75" customHeight="1">
      <c r="A26" s="51"/>
      <c r="B26" s="295"/>
      <c r="C26" s="295"/>
      <c r="D26" s="295"/>
      <c r="E26" s="295"/>
      <c r="F26" s="295"/>
      <c r="G26" s="295"/>
      <c r="H26" s="295"/>
      <c r="I26" s="295"/>
      <c r="J26" s="295"/>
      <c r="K26" s="295"/>
      <c r="L26" s="302"/>
      <c r="M26" s="296"/>
      <c r="N26" s="1"/>
      <c r="O26" s="1"/>
      <c r="P26" s="1"/>
      <c r="Q26" s="1"/>
      <c r="R26" s="1"/>
      <c r="S26" s="1"/>
      <c r="T26" s="1"/>
      <c r="U26" s="1"/>
      <c r="V26" s="1"/>
      <c r="W26" s="1"/>
      <c r="X26" s="1"/>
      <c r="Y26" s="1"/>
      <c r="Z26" s="1"/>
    </row>
    <row r="27" ht="12.75" customHeight="1">
      <c r="A27" s="51" t="s">
        <v>348</v>
      </c>
      <c r="B27" s="321">
        <f>B24+B25</f>
        <v>0</v>
      </c>
      <c r="C27" s="321">
        <f t="shared" ref="C27:M27" si="7">C25+C24</f>
        <v>337571059.8</v>
      </c>
      <c r="D27" s="321">
        <f t="shared" si="7"/>
        <v>1577420279</v>
      </c>
      <c r="E27" s="321">
        <f t="shared" si="7"/>
        <v>2775792189</v>
      </c>
      <c r="F27" s="321">
        <f t="shared" si="7"/>
        <v>3838871345</v>
      </c>
      <c r="G27" s="321">
        <f t="shared" si="7"/>
        <v>5029868087</v>
      </c>
      <c r="H27" s="321">
        <f t="shared" si="7"/>
        <v>6350747842</v>
      </c>
      <c r="I27" s="321">
        <f t="shared" si="7"/>
        <v>7817821233</v>
      </c>
      <c r="J27" s="321">
        <f t="shared" si="7"/>
        <v>9275529986</v>
      </c>
      <c r="K27" s="321">
        <f t="shared" si="7"/>
        <v>10025827345</v>
      </c>
      <c r="L27" s="321">
        <f t="shared" si="7"/>
        <v>10311818262</v>
      </c>
      <c r="M27" s="298">
        <f t="shared" si="7"/>
        <v>10311818262</v>
      </c>
      <c r="N27" s="1"/>
      <c r="O27" s="1"/>
      <c r="P27" s="1"/>
      <c r="Q27" s="1"/>
      <c r="R27" s="1"/>
      <c r="S27" s="1"/>
      <c r="T27" s="1"/>
      <c r="U27" s="1"/>
      <c r="V27" s="1"/>
      <c r="W27" s="1"/>
      <c r="X27" s="1"/>
      <c r="Y27" s="1"/>
      <c r="Z27" s="1"/>
    </row>
    <row r="28" ht="12.75" customHeight="1">
      <c r="A28" s="160" t="s">
        <v>349</v>
      </c>
      <c r="B28" s="322">
        <f t="shared" ref="B28:L28" si="8">B27-B5</f>
        <v>0</v>
      </c>
      <c r="C28" s="322">
        <f t="shared" si="8"/>
        <v>337571059.8</v>
      </c>
      <c r="D28" s="322">
        <f t="shared" si="8"/>
        <v>1239849219</v>
      </c>
      <c r="E28" s="322">
        <f t="shared" si="8"/>
        <v>1198371910</v>
      </c>
      <c r="F28" s="322">
        <f t="shared" si="8"/>
        <v>1063079156</v>
      </c>
      <c r="G28" s="322">
        <f t="shared" si="8"/>
        <v>1190996742</v>
      </c>
      <c r="H28" s="322">
        <f t="shared" si="8"/>
        <v>1320879754</v>
      </c>
      <c r="I28" s="322">
        <f t="shared" si="8"/>
        <v>1467073391</v>
      </c>
      <c r="J28" s="322">
        <f t="shared" si="8"/>
        <v>1457708753</v>
      </c>
      <c r="K28" s="322">
        <f t="shared" si="8"/>
        <v>750297359.1</v>
      </c>
      <c r="L28" s="322">
        <f t="shared" si="8"/>
        <v>285990916.9</v>
      </c>
      <c r="M28" s="323">
        <f>SUM(B28:L28)</f>
        <v>10311818262</v>
      </c>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2"/>
      <c r="D30" s="1"/>
      <c r="E30" s="1"/>
      <c r="F30" s="1"/>
      <c r="G30" s="1"/>
      <c r="H30" s="1"/>
      <c r="I30" s="1"/>
      <c r="J30" s="1"/>
      <c r="K30" s="1"/>
      <c r="L30" s="1"/>
      <c r="M30" s="202"/>
      <c r="N30" s="1"/>
      <c r="O30" s="1"/>
      <c r="P30" s="1"/>
      <c r="Q30" s="1"/>
      <c r="R30" s="1"/>
      <c r="S30" s="1"/>
      <c r="T30" s="1"/>
      <c r="U30" s="1"/>
      <c r="V30" s="1"/>
      <c r="W30" s="1"/>
      <c r="X30" s="1"/>
      <c r="Y30" s="1"/>
      <c r="Z30" s="1"/>
    </row>
    <row r="31" ht="12.75" customHeight="1">
      <c r="A31" s="1"/>
      <c r="B31" s="1"/>
      <c r="C31" s="12"/>
      <c r="D31" s="12"/>
      <c r="E31" s="12"/>
      <c r="F31" s="12"/>
      <c r="G31" s="12"/>
      <c r="H31" s="12"/>
      <c r="I31" s="12"/>
      <c r="J31" s="12"/>
      <c r="K31" s="1"/>
      <c r="L31" s="1"/>
      <c r="M31" s="1"/>
      <c r="N31" s="1"/>
      <c r="O31" s="1"/>
      <c r="P31" s="1"/>
      <c r="Q31" s="1"/>
      <c r="R31" s="1"/>
      <c r="S31" s="1"/>
      <c r="T31" s="1"/>
      <c r="U31" s="1"/>
      <c r="V31" s="1"/>
      <c r="W31" s="1"/>
      <c r="X31" s="1"/>
      <c r="Y31" s="1"/>
      <c r="Z31" s="1"/>
    </row>
    <row r="32" ht="12.75" customHeight="1">
      <c r="A32" s="51"/>
      <c r="B32" s="1"/>
      <c r="C32" s="1"/>
      <c r="D32" s="1"/>
      <c r="E32" s="324"/>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5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5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5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5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5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2:M2"/>
  </mergeCells>
  <printOptions/>
  <pageMargins bottom="0.24" footer="0.0" header="0.0" left="0.32" right="0.75" top="0.6"/>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75"/>
    <col customWidth="1" min="2" max="12" width="15.88"/>
    <col customWidth="1" min="13"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325" t="s">
        <v>350</v>
      </c>
      <c r="B3" s="326"/>
      <c r="C3" s="326"/>
      <c r="D3" s="326"/>
      <c r="E3" s="326"/>
      <c r="F3" s="326"/>
      <c r="G3" s="326"/>
      <c r="H3" s="326"/>
      <c r="I3" s="326"/>
      <c r="J3" s="326"/>
      <c r="K3" s="326"/>
      <c r="L3" s="327"/>
      <c r="M3" s="1"/>
      <c r="N3" s="1"/>
      <c r="O3" s="1"/>
      <c r="P3" s="1"/>
      <c r="Q3" s="1"/>
      <c r="R3" s="1"/>
      <c r="S3" s="1"/>
      <c r="T3" s="1"/>
      <c r="U3" s="1"/>
      <c r="V3" s="1"/>
      <c r="W3" s="1"/>
      <c r="X3" s="1"/>
      <c r="Y3" s="1"/>
      <c r="Z3" s="1"/>
    </row>
    <row r="4" ht="12.75" customHeight="1">
      <c r="A4" s="328"/>
      <c r="B4" s="205" t="s">
        <v>42</v>
      </c>
      <c r="C4" s="205" t="s">
        <v>43</v>
      </c>
      <c r="D4" s="205" t="s">
        <v>44</v>
      </c>
      <c r="E4" s="205" t="s">
        <v>45</v>
      </c>
      <c r="F4" s="205" t="s">
        <v>46</v>
      </c>
      <c r="G4" s="205" t="s">
        <v>47</v>
      </c>
      <c r="H4" s="205" t="s">
        <v>48</v>
      </c>
      <c r="I4" s="205" t="s">
        <v>49</v>
      </c>
      <c r="J4" s="205" t="s">
        <v>50</v>
      </c>
      <c r="K4" s="205" t="s">
        <v>51</v>
      </c>
      <c r="L4" s="206" t="s">
        <v>52</v>
      </c>
      <c r="M4" s="1"/>
      <c r="N4" s="1"/>
      <c r="O4" s="1"/>
      <c r="P4" s="1"/>
      <c r="Q4" s="1"/>
      <c r="R4" s="1"/>
      <c r="S4" s="1"/>
      <c r="T4" s="1"/>
      <c r="U4" s="1"/>
      <c r="V4" s="1"/>
      <c r="W4" s="1"/>
      <c r="X4" s="1"/>
      <c r="Y4" s="1"/>
      <c r="Z4" s="1"/>
    </row>
    <row r="5" ht="12.75" customHeight="1">
      <c r="A5" s="329" t="s">
        <v>351</v>
      </c>
      <c r="B5" s="330">
        <f t="shared" ref="B5:L5" si="1">SUM(B7:B11)</f>
        <v>179308500</v>
      </c>
      <c r="C5" s="330">
        <f t="shared" si="1"/>
        <v>2376421361</v>
      </c>
      <c r="D5" s="330">
        <f t="shared" si="1"/>
        <v>3149552772</v>
      </c>
      <c r="E5" s="330">
        <f t="shared" si="1"/>
        <v>4021360298</v>
      </c>
      <c r="F5" s="330">
        <f t="shared" si="1"/>
        <v>4999518907</v>
      </c>
      <c r="G5" s="330">
        <f t="shared" si="1"/>
        <v>6100474553</v>
      </c>
      <c r="H5" s="330">
        <f t="shared" si="1"/>
        <v>7319806362</v>
      </c>
      <c r="I5" s="330">
        <f t="shared" si="1"/>
        <v>8673997561</v>
      </c>
      <c r="J5" s="330">
        <f t="shared" si="1"/>
        <v>10168528232</v>
      </c>
      <c r="K5" s="330">
        <f t="shared" si="1"/>
        <v>11808880386</v>
      </c>
      <c r="L5" s="330">
        <f t="shared" si="1"/>
        <v>13602728837</v>
      </c>
      <c r="M5" s="1"/>
      <c r="N5" s="1"/>
      <c r="O5" s="1"/>
      <c r="P5" s="1"/>
      <c r="Q5" s="1"/>
      <c r="R5" s="1"/>
      <c r="S5" s="1"/>
      <c r="T5" s="1"/>
      <c r="U5" s="1"/>
      <c r="V5" s="1"/>
      <c r="W5" s="1"/>
      <c r="X5" s="1"/>
      <c r="Y5" s="1"/>
      <c r="Z5" s="1"/>
    </row>
    <row r="6" ht="12.75" customHeight="1">
      <c r="A6" s="155" t="s">
        <v>352</v>
      </c>
      <c r="B6" s="295"/>
      <c r="C6" s="295"/>
      <c r="D6" s="295"/>
      <c r="E6" s="295"/>
      <c r="F6" s="295"/>
      <c r="G6" s="295"/>
      <c r="H6" s="295"/>
      <c r="I6" s="295"/>
      <c r="J6" s="295"/>
      <c r="K6" s="295"/>
      <c r="L6" s="296"/>
      <c r="M6" s="1"/>
      <c r="N6" s="1"/>
      <c r="O6" s="1"/>
      <c r="P6" s="1"/>
      <c r="Q6" s="1"/>
      <c r="R6" s="1"/>
      <c r="S6" s="1"/>
      <c r="T6" s="1"/>
      <c r="U6" s="1"/>
      <c r="V6" s="1"/>
      <c r="W6" s="1"/>
      <c r="X6" s="1"/>
      <c r="Y6" s="1"/>
      <c r="Z6" s="1"/>
    </row>
    <row r="7" ht="12.75" customHeight="1">
      <c r="A7" s="331" t="s">
        <v>353</v>
      </c>
      <c r="B7" s="313">
        <f>InvAT!B4</f>
        <v>79464000</v>
      </c>
      <c r="C7" s="313">
        <f>InvAT!C4</f>
        <v>79464000</v>
      </c>
      <c r="D7" s="313">
        <f>InvAT!D4</f>
        <v>79464000</v>
      </c>
      <c r="E7" s="313">
        <f>InvAT!E4</f>
        <v>79464000</v>
      </c>
      <c r="F7" s="313">
        <f>InvAT!F4</f>
        <v>79464000</v>
      </c>
      <c r="G7" s="313">
        <f>InvAT!G4</f>
        <v>79464000</v>
      </c>
      <c r="H7" s="313">
        <f>InvAT!H4</f>
        <v>79464000</v>
      </c>
      <c r="I7" s="313">
        <f>InvAT!I4</f>
        <v>79464000</v>
      </c>
      <c r="J7" s="313">
        <f>InvAT!J4</f>
        <v>79464000</v>
      </c>
      <c r="K7" s="313">
        <f>InvAT!K4</f>
        <v>79464000</v>
      </c>
      <c r="L7" s="313">
        <f>InvAT!L4</f>
        <v>79464000</v>
      </c>
      <c r="M7" s="1"/>
      <c r="N7" s="1"/>
      <c r="O7" s="1"/>
      <c r="P7" s="1"/>
      <c r="Q7" s="1"/>
      <c r="R7" s="1"/>
      <c r="S7" s="1"/>
      <c r="T7" s="1"/>
      <c r="U7" s="1"/>
      <c r="V7" s="1"/>
      <c r="W7" s="1"/>
      <c r="X7" s="1"/>
      <c r="Y7" s="1"/>
      <c r="Z7" s="1"/>
    </row>
    <row r="8" ht="12.75" customHeight="1">
      <c r="A8" s="331" t="s">
        <v>354</v>
      </c>
      <c r="B8" s="297">
        <f>CFyU!B5</f>
        <v>0</v>
      </c>
      <c r="C8" s="297">
        <f>CFyU!C27</f>
        <v>337571059.8</v>
      </c>
      <c r="D8" s="297">
        <f>CFyU!D27</f>
        <v>1577420279</v>
      </c>
      <c r="E8" s="297">
        <f>CFyU!E27</f>
        <v>2775792189</v>
      </c>
      <c r="F8" s="297">
        <f>CFyU!F27</f>
        <v>3838871345</v>
      </c>
      <c r="G8" s="297">
        <f>CFyU!G27</f>
        <v>5029868087</v>
      </c>
      <c r="H8" s="297">
        <f>CFyU!H27</f>
        <v>6350747842</v>
      </c>
      <c r="I8" s="297">
        <f>CFyU!I27</f>
        <v>7817821233</v>
      </c>
      <c r="J8" s="297">
        <f>CFyU!J27</f>
        <v>9275529986</v>
      </c>
      <c r="K8" s="297">
        <f>CFyU!K27</f>
        <v>10025827345</v>
      </c>
      <c r="L8" s="297">
        <f>CFyU!L27</f>
        <v>10311818262</v>
      </c>
      <c r="M8" s="1"/>
      <c r="N8" s="1"/>
      <c r="O8" s="1"/>
      <c r="P8" s="1"/>
      <c r="Q8" s="1"/>
      <c r="R8" s="1"/>
      <c r="S8" s="1"/>
      <c r="T8" s="1"/>
      <c r="U8" s="1"/>
      <c r="V8" s="1"/>
      <c r="W8" s="1"/>
      <c r="X8" s="1"/>
      <c r="Y8" s="1"/>
      <c r="Z8" s="1"/>
    </row>
    <row r="9" ht="12.75" customHeight="1">
      <c r="A9" s="332" t="s">
        <v>355</v>
      </c>
      <c r="B9" s="313">
        <f>InvAT!B5</f>
        <v>0</v>
      </c>
      <c r="C9" s="313">
        <f>InvAT!C5</f>
        <v>1959386301</v>
      </c>
      <c r="D9" s="313">
        <f>InvAT!D5</f>
        <v>1492668493</v>
      </c>
      <c r="E9" s="313">
        <f>InvAT!E5</f>
        <v>1166104110</v>
      </c>
      <c r="F9" s="313">
        <f>InvAT!F5</f>
        <v>1081183562</v>
      </c>
      <c r="G9" s="313">
        <f>InvAT!G5</f>
        <v>991142465.8</v>
      </c>
      <c r="H9" s="313">
        <f>InvAT!H5</f>
        <v>889594520.5</v>
      </c>
      <c r="I9" s="313">
        <f>InvAT!I5</f>
        <v>776712328.8</v>
      </c>
      <c r="J9" s="313">
        <f>InvAT!J5</f>
        <v>813534246.6</v>
      </c>
      <c r="K9" s="313">
        <f>InvAT!K5</f>
        <v>1703589041</v>
      </c>
      <c r="L9" s="313">
        <f>InvAT!L5</f>
        <v>3211446575</v>
      </c>
      <c r="M9" s="1"/>
      <c r="N9" s="1"/>
      <c r="O9" s="1"/>
      <c r="P9" s="1"/>
      <c r="Q9" s="1"/>
      <c r="R9" s="1"/>
      <c r="S9" s="1"/>
      <c r="T9" s="1"/>
      <c r="U9" s="1"/>
      <c r="V9" s="1"/>
      <c r="W9" s="1"/>
      <c r="X9" s="1"/>
      <c r="Y9" s="1"/>
      <c r="Z9" s="1"/>
    </row>
    <row r="10" ht="12.75" customHeight="1">
      <c r="A10" s="332" t="s">
        <v>356</v>
      </c>
      <c r="B10" s="297">
        <f>InvAT!B7</f>
        <v>0</v>
      </c>
      <c r="C10" s="297">
        <f>InvAT!C7</f>
        <v>0</v>
      </c>
      <c r="D10" s="297">
        <f>InvAT!D7</f>
        <v>0</v>
      </c>
      <c r="E10" s="297">
        <f>InvAT!E7</f>
        <v>0</v>
      </c>
      <c r="F10" s="297">
        <f>InvAT!F7</f>
        <v>0</v>
      </c>
      <c r="G10" s="297">
        <f>InvAT!G7</f>
        <v>0</v>
      </c>
      <c r="H10" s="297">
        <f>InvAT!H7</f>
        <v>0</v>
      </c>
      <c r="I10" s="297">
        <f>InvAT!I7</f>
        <v>0</v>
      </c>
      <c r="J10" s="297">
        <f>InvAT!J7</f>
        <v>0</v>
      </c>
      <c r="K10" s="297">
        <f>InvAT!K7</f>
        <v>0</v>
      </c>
      <c r="L10" s="297">
        <f>InvAT!L7</f>
        <v>0</v>
      </c>
      <c r="M10" s="1"/>
      <c r="N10" s="1"/>
      <c r="O10" s="1"/>
      <c r="P10" s="1"/>
      <c r="Q10" s="1"/>
      <c r="R10" s="1"/>
      <c r="S10" s="1"/>
      <c r="T10" s="1"/>
      <c r="U10" s="1"/>
      <c r="V10" s="1"/>
      <c r="W10" s="1"/>
      <c r="X10" s="1"/>
      <c r="Y10" s="1"/>
      <c r="Z10" s="1"/>
    </row>
    <row r="11" ht="12.75" customHeight="1">
      <c r="A11" s="155" t="s">
        <v>357</v>
      </c>
      <c r="B11" s="297">
        <f>IF(IVA!C25&gt;IVA!D21,IVA!D21,IVA!C25)</f>
        <v>99844500</v>
      </c>
      <c r="C11" s="297">
        <f>IF(IVA!D25&gt;IVA!E21,IVA!E21,IVA!D25)</f>
        <v>0</v>
      </c>
      <c r="D11" s="297">
        <f>IF(IVA!E25&gt;IVA!F21,IVA!F21,IVA!E25)</f>
        <v>0</v>
      </c>
      <c r="E11" s="297">
        <f>IF(IVA!F25&gt;IVA!G21,IVA!G21,IVA!F25)</f>
        <v>0</v>
      </c>
      <c r="F11" s="297">
        <f>IF(IVA!G25&gt;IVA!H21,IVA!H21,IVA!G25)</f>
        <v>0</v>
      </c>
      <c r="G11" s="297">
        <f>IF(IVA!H25&gt;IVA!I21,IVA!I21,IVA!H25)</f>
        <v>0</v>
      </c>
      <c r="H11" s="297">
        <f>IF(IVA!I25&gt;IVA!J21,IVA!J21,IVA!I25)</f>
        <v>0</v>
      </c>
      <c r="I11" s="297">
        <f>IF(IVA!J25&gt;IVA!K21,IVA!K21,IVA!J25)</f>
        <v>0</v>
      </c>
      <c r="J11" s="297">
        <f>IF(IVA!K25&gt;IVA!L21,IVA!L21,IVA!K25)</f>
        <v>0</v>
      </c>
      <c r="K11" s="297">
        <f>IF(IVA!L25&gt;IVA!M21,IVA!M21,IVA!L25)</f>
        <v>0</v>
      </c>
      <c r="L11" s="297">
        <f>IF(IVA!M25&gt;IVA!N21,IVA!N21,IVA!M25)</f>
        <v>0</v>
      </c>
      <c r="M11" s="1"/>
      <c r="N11" s="1"/>
      <c r="O11" s="1"/>
      <c r="P11" s="1"/>
      <c r="Q11" s="1"/>
      <c r="R11" s="1"/>
      <c r="S11" s="1"/>
      <c r="T11" s="1"/>
      <c r="U11" s="1"/>
      <c r="V11" s="1"/>
      <c r="W11" s="1"/>
      <c r="X11" s="1"/>
      <c r="Y11" s="1"/>
      <c r="Z11" s="1"/>
    </row>
    <row r="12" ht="12.75" customHeight="1">
      <c r="A12" s="155" t="s">
        <v>358</v>
      </c>
      <c r="B12" s="297">
        <f t="shared" ref="B12:L12" si="2">B17+B22+B23</f>
        <v>1867950000</v>
      </c>
      <c r="C12" s="297">
        <f t="shared" si="2"/>
        <v>1803860000</v>
      </c>
      <c r="D12" s="297">
        <f t="shared" si="2"/>
        <v>1739770000</v>
      </c>
      <c r="E12" s="297">
        <f t="shared" si="2"/>
        <v>1675680000</v>
      </c>
      <c r="F12" s="297">
        <f t="shared" si="2"/>
        <v>1611590000</v>
      </c>
      <c r="G12" s="297">
        <f t="shared" si="2"/>
        <v>1547500000</v>
      </c>
      <c r="H12" s="297">
        <f t="shared" si="2"/>
        <v>1507600000</v>
      </c>
      <c r="I12" s="297">
        <f t="shared" si="2"/>
        <v>1467700000</v>
      </c>
      <c r="J12" s="297">
        <f t="shared" si="2"/>
        <v>1427800000</v>
      </c>
      <c r="K12" s="297">
        <f t="shared" si="2"/>
        <v>1387900000</v>
      </c>
      <c r="L12" s="297">
        <f t="shared" si="2"/>
        <v>1348000000</v>
      </c>
      <c r="M12" s="1"/>
      <c r="N12" s="1"/>
      <c r="O12" s="1"/>
      <c r="P12" s="1"/>
      <c r="Q12" s="1"/>
      <c r="R12" s="1"/>
      <c r="S12" s="1"/>
      <c r="T12" s="1"/>
      <c r="U12" s="1"/>
      <c r="V12" s="1"/>
      <c r="W12" s="1"/>
      <c r="X12" s="1"/>
      <c r="Y12" s="1"/>
      <c r="Z12" s="1"/>
    </row>
    <row r="13" ht="12.75" customHeight="1">
      <c r="A13" s="155" t="s">
        <v>359</v>
      </c>
      <c r="B13" s="295"/>
      <c r="C13" s="295"/>
      <c r="D13" s="295"/>
      <c r="E13" s="295"/>
      <c r="F13" s="295"/>
      <c r="G13" s="295"/>
      <c r="H13" s="295"/>
      <c r="I13" s="295"/>
      <c r="J13" s="295"/>
      <c r="K13" s="295"/>
      <c r="L13" s="296"/>
      <c r="M13" s="1"/>
      <c r="N13" s="1"/>
      <c r="O13" s="1"/>
      <c r="P13" s="1"/>
      <c r="Q13" s="1"/>
      <c r="R13" s="1"/>
      <c r="S13" s="1"/>
      <c r="T13" s="1"/>
      <c r="U13" s="1"/>
      <c r="V13" s="1"/>
      <c r="W13" s="1"/>
      <c r="X13" s="1"/>
      <c r="Y13" s="1"/>
      <c r="Z13" s="1"/>
    </row>
    <row r="14" ht="12.75" customHeight="1">
      <c r="A14" s="331" t="s">
        <v>360</v>
      </c>
      <c r="B14" s="297">
        <v>0.0</v>
      </c>
      <c r="C14" s="297">
        <f t="shared" ref="C14:L14" si="3">B17</f>
        <v>0</v>
      </c>
      <c r="D14" s="297">
        <f t="shared" si="3"/>
        <v>0</v>
      </c>
      <c r="E14" s="297">
        <f t="shared" si="3"/>
        <v>0</v>
      </c>
      <c r="F14" s="297">
        <f t="shared" si="3"/>
        <v>0</v>
      </c>
      <c r="G14" s="297">
        <f t="shared" si="3"/>
        <v>0</v>
      </c>
      <c r="H14" s="297">
        <f t="shared" si="3"/>
        <v>0</v>
      </c>
      <c r="I14" s="297">
        <f t="shared" si="3"/>
        <v>0</v>
      </c>
      <c r="J14" s="297">
        <f t="shared" si="3"/>
        <v>0</v>
      </c>
      <c r="K14" s="297">
        <f t="shared" si="3"/>
        <v>0</v>
      </c>
      <c r="L14" s="297">
        <f t="shared" si="3"/>
        <v>0</v>
      </c>
      <c r="M14" s="1"/>
      <c r="N14" s="1"/>
      <c r="O14" s="1"/>
      <c r="P14" s="1"/>
      <c r="Q14" s="1"/>
      <c r="R14" s="1"/>
      <c r="S14" s="1"/>
      <c r="T14" s="1"/>
      <c r="U14" s="1"/>
      <c r="V14" s="1"/>
      <c r="W14" s="1"/>
      <c r="X14" s="1"/>
      <c r="Y14" s="1"/>
      <c r="Z14" s="1"/>
    </row>
    <row r="15" ht="12.75" customHeight="1">
      <c r="A15" s="331" t="s">
        <v>361</v>
      </c>
      <c r="B15" s="313">
        <f>'Inv AF'!D35</f>
        <v>0</v>
      </c>
      <c r="C15" s="313">
        <f>'Inv AF'!E35</f>
        <v>0</v>
      </c>
      <c r="D15" s="313">
        <f>'Inv AF'!F35</f>
        <v>0</v>
      </c>
      <c r="E15" s="313">
        <f>'Inv AF'!G35</f>
        <v>0</v>
      </c>
      <c r="F15" s="313">
        <f>'Inv AF'!H35</f>
        <v>0</v>
      </c>
      <c r="G15" s="313">
        <f>'Inv AF'!I35</f>
        <v>0</v>
      </c>
      <c r="H15" s="313">
        <f>'Inv AF'!J35</f>
        <v>0</v>
      </c>
      <c r="I15" s="313">
        <f>'Inv AF'!K35</f>
        <v>0</v>
      </c>
      <c r="J15" s="313">
        <f>'Inv AF'!L35</f>
        <v>0</v>
      </c>
      <c r="K15" s="313">
        <f>'Inv AF'!M35</f>
        <v>0</v>
      </c>
      <c r="L15" s="313">
        <f>'Inv AF'!N35</f>
        <v>0</v>
      </c>
      <c r="M15" s="1"/>
      <c r="N15" s="1"/>
      <c r="O15" s="1"/>
      <c r="P15" s="1"/>
      <c r="Q15" s="1"/>
      <c r="R15" s="1"/>
      <c r="S15" s="1"/>
      <c r="T15" s="1"/>
      <c r="U15" s="1"/>
      <c r="V15" s="1"/>
      <c r="W15" s="1"/>
      <c r="X15" s="1"/>
      <c r="Y15" s="1"/>
      <c r="Z15" s="1"/>
    </row>
    <row r="16" ht="12.75" customHeight="1">
      <c r="A16" s="331" t="s">
        <v>362</v>
      </c>
      <c r="B16" s="297">
        <v>0.0</v>
      </c>
      <c r="C16" s="297">
        <f>'Inv AF'!E78</f>
        <v>0</v>
      </c>
      <c r="D16" s="297">
        <f>'Inv AF'!F78</f>
        <v>0</v>
      </c>
      <c r="E16" s="297">
        <f>'Inv AF'!G78</f>
        <v>0</v>
      </c>
      <c r="F16" s="297">
        <f>'Inv AF'!H78</f>
        <v>0</v>
      </c>
      <c r="G16" s="297">
        <f>'Inv AF'!I78</f>
        <v>0</v>
      </c>
      <c r="H16" s="297">
        <f>'Inv AF'!J78</f>
        <v>0</v>
      </c>
      <c r="I16" s="297">
        <f>'Inv AF'!K78</f>
        <v>0</v>
      </c>
      <c r="J16" s="297">
        <f>'Inv AF'!L78</f>
        <v>0</v>
      </c>
      <c r="K16" s="297">
        <f>'Inv AF'!M78</f>
        <v>0</v>
      </c>
      <c r="L16" s="297">
        <f>'Inv AF'!N78</f>
        <v>0</v>
      </c>
      <c r="M16" s="1"/>
      <c r="N16" s="1"/>
      <c r="O16" s="1"/>
      <c r="P16" s="1"/>
      <c r="Q16" s="1"/>
      <c r="R16" s="1"/>
      <c r="S16" s="1"/>
      <c r="T16" s="1"/>
      <c r="U16" s="1"/>
      <c r="V16" s="1"/>
      <c r="W16" s="1"/>
      <c r="X16" s="1"/>
      <c r="Y16" s="1"/>
      <c r="Z16" s="1"/>
    </row>
    <row r="17" ht="12.75" customHeight="1">
      <c r="A17" s="331" t="s">
        <v>363</v>
      </c>
      <c r="B17" s="297">
        <f t="shared" ref="B17:L17" si="4">B14+B15-B16</f>
        <v>0</v>
      </c>
      <c r="C17" s="297">
        <f t="shared" si="4"/>
        <v>0</v>
      </c>
      <c r="D17" s="297">
        <f t="shared" si="4"/>
        <v>0</v>
      </c>
      <c r="E17" s="297">
        <f t="shared" si="4"/>
        <v>0</v>
      </c>
      <c r="F17" s="297">
        <f t="shared" si="4"/>
        <v>0</v>
      </c>
      <c r="G17" s="297">
        <f t="shared" si="4"/>
        <v>0</v>
      </c>
      <c r="H17" s="297">
        <f t="shared" si="4"/>
        <v>0</v>
      </c>
      <c r="I17" s="297">
        <f t="shared" si="4"/>
        <v>0</v>
      </c>
      <c r="J17" s="297">
        <f t="shared" si="4"/>
        <v>0</v>
      </c>
      <c r="K17" s="297">
        <f t="shared" si="4"/>
        <v>0</v>
      </c>
      <c r="L17" s="297">
        <f t="shared" si="4"/>
        <v>0</v>
      </c>
      <c r="M17" s="1"/>
      <c r="N17" s="1"/>
      <c r="O17" s="1"/>
      <c r="P17" s="1"/>
      <c r="Q17" s="1"/>
      <c r="R17" s="1"/>
      <c r="S17" s="1"/>
      <c r="T17" s="1"/>
      <c r="U17" s="1"/>
      <c r="V17" s="1"/>
      <c r="W17" s="1"/>
      <c r="X17" s="1"/>
      <c r="Y17" s="1"/>
      <c r="Z17" s="1"/>
    </row>
    <row r="18" ht="12.75" customHeight="1">
      <c r="A18" s="155" t="s">
        <v>364</v>
      </c>
      <c r="B18" s="313"/>
      <c r="C18" s="313"/>
      <c r="D18" s="313"/>
      <c r="E18" s="313"/>
      <c r="F18" s="313"/>
      <c r="G18" s="313"/>
      <c r="H18" s="313"/>
      <c r="I18" s="313"/>
      <c r="J18" s="313"/>
      <c r="K18" s="313"/>
      <c r="L18" s="333"/>
      <c r="M18" s="1"/>
      <c r="N18" s="1"/>
      <c r="O18" s="1"/>
      <c r="P18" s="1"/>
      <c r="Q18" s="1"/>
      <c r="R18" s="1"/>
      <c r="S18" s="1"/>
      <c r="T18" s="1"/>
      <c r="U18" s="1"/>
      <c r="V18" s="1"/>
      <c r="W18" s="1"/>
      <c r="X18" s="1"/>
      <c r="Y18" s="1"/>
      <c r="Z18" s="1"/>
    </row>
    <row r="19" ht="12.75" customHeight="1">
      <c r="A19" s="331" t="s">
        <v>360</v>
      </c>
      <c r="B19" s="297">
        <v>0.0</v>
      </c>
      <c r="C19" s="297">
        <f t="shared" ref="C19:L19" si="5">B22</f>
        <v>1867950000</v>
      </c>
      <c r="D19" s="297">
        <f t="shared" si="5"/>
        <v>1803860000</v>
      </c>
      <c r="E19" s="297">
        <f t="shared" si="5"/>
        <v>1739770000</v>
      </c>
      <c r="F19" s="297">
        <f t="shared" si="5"/>
        <v>1675680000</v>
      </c>
      <c r="G19" s="297">
        <f t="shared" si="5"/>
        <v>1611590000</v>
      </c>
      <c r="H19" s="297">
        <f t="shared" si="5"/>
        <v>1547500000</v>
      </c>
      <c r="I19" s="297">
        <f t="shared" si="5"/>
        <v>1507600000</v>
      </c>
      <c r="J19" s="297">
        <f t="shared" si="5"/>
        <v>1467700000</v>
      </c>
      <c r="K19" s="297">
        <f t="shared" si="5"/>
        <v>1427800000</v>
      </c>
      <c r="L19" s="297">
        <f t="shared" si="5"/>
        <v>1387900000</v>
      </c>
      <c r="M19" s="1"/>
      <c r="N19" s="1"/>
      <c r="O19" s="1"/>
      <c r="P19" s="1"/>
      <c r="Q19" s="1"/>
      <c r="R19" s="1"/>
      <c r="S19" s="1"/>
      <c r="T19" s="1"/>
      <c r="U19" s="1"/>
      <c r="V19" s="1"/>
      <c r="W19" s="1"/>
      <c r="X19" s="1"/>
      <c r="Y19" s="1"/>
      <c r="Z19" s="1"/>
    </row>
    <row r="20" ht="12.75" customHeight="1">
      <c r="A20" s="331" t="s">
        <v>365</v>
      </c>
      <c r="B20" s="297">
        <f>'Inv AF'!D23</f>
        <v>1867950000</v>
      </c>
      <c r="C20" s="297">
        <f>'Inv AF'!E23</f>
        <v>0</v>
      </c>
      <c r="D20" s="297">
        <f>'Inv AF'!F23</f>
        <v>0</v>
      </c>
      <c r="E20" s="297">
        <f>'Inv AF'!G23</f>
        <v>0</v>
      </c>
      <c r="F20" s="297">
        <f>'Inv AF'!H23</f>
        <v>0</v>
      </c>
      <c r="G20" s="297">
        <f>'Inv AF'!I23</f>
        <v>0</v>
      </c>
      <c r="H20" s="297">
        <f>'Inv AF'!J23</f>
        <v>0</v>
      </c>
      <c r="I20" s="297">
        <f>'Inv AF'!K23</f>
        <v>0</v>
      </c>
      <c r="J20" s="297">
        <f>'Inv AF'!L23</f>
        <v>0</v>
      </c>
      <c r="K20" s="297">
        <f>'Inv AF'!M23</f>
        <v>0</v>
      </c>
      <c r="L20" s="297">
        <f>'Inv AF'!N23</f>
        <v>0</v>
      </c>
      <c r="M20" s="1"/>
      <c r="N20" s="1"/>
      <c r="O20" s="1"/>
      <c r="P20" s="1"/>
      <c r="Q20" s="1"/>
      <c r="R20" s="1"/>
      <c r="S20" s="1"/>
      <c r="T20" s="1"/>
      <c r="U20" s="1"/>
      <c r="V20" s="1"/>
      <c r="W20" s="1"/>
      <c r="X20" s="1"/>
      <c r="Y20" s="1"/>
      <c r="Z20" s="1"/>
    </row>
    <row r="21" ht="12.75" customHeight="1">
      <c r="A21" s="331" t="s">
        <v>366</v>
      </c>
      <c r="B21" s="297">
        <v>0.0</v>
      </c>
      <c r="C21" s="297">
        <f>'Inv AF'!E66</f>
        <v>64090000</v>
      </c>
      <c r="D21" s="297">
        <f>'Inv AF'!F66</f>
        <v>64090000</v>
      </c>
      <c r="E21" s="297">
        <f>'Inv AF'!G66</f>
        <v>64090000</v>
      </c>
      <c r="F21" s="297">
        <f>'Inv AF'!H66</f>
        <v>64090000</v>
      </c>
      <c r="G21" s="297">
        <f>'Inv AF'!I66</f>
        <v>64090000</v>
      </c>
      <c r="H21" s="297">
        <f>'Inv AF'!J66</f>
        <v>39900000</v>
      </c>
      <c r="I21" s="297">
        <f>'Inv AF'!K66</f>
        <v>39900000</v>
      </c>
      <c r="J21" s="297">
        <f>'Inv AF'!L66</f>
        <v>39900000</v>
      </c>
      <c r="K21" s="297">
        <f>'Inv AF'!M66</f>
        <v>39900000</v>
      </c>
      <c r="L21" s="297">
        <f>'Inv AF'!N66</f>
        <v>39900000</v>
      </c>
      <c r="M21" s="1"/>
      <c r="N21" s="1"/>
      <c r="O21" s="1"/>
      <c r="P21" s="1"/>
      <c r="Q21" s="1"/>
      <c r="R21" s="1"/>
      <c r="S21" s="1"/>
      <c r="T21" s="1"/>
      <c r="U21" s="1"/>
      <c r="V21" s="1"/>
      <c r="W21" s="1"/>
      <c r="X21" s="1"/>
      <c r="Y21" s="1"/>
      <c r="Z21" s="1"/>
    </row>
    <row r="22" ht="12.75" customHeight="1">
      <c r="A22" s="331" t="s">
        <v>363</v>
      </c>
      <c r="B22" s="297">
        <f t="shared" ref="B22:L22" si="6">B19+B20-B21</f>
        <v>1867950000</v>
      </c>
      <c r="C22" s="297">
        <f t="shared" si="6"/>
        <v>1803860000</v>
      </c>
      <c r="D22" s="297">
        <f t="shared" si="6"/>
        <v>1739770000</v>
      </c>
      <c r="E22" s="297">
        <f t="shared" si="6"/>
        <v>1675680000</v>
      </c>
      <c r="F22" s="297">
        <f t="shared" si="6"/>
        <v>1611590000</v>
      </c>
      <c r="G22" s="297">
        <f t="shared" si="6"/>
        <v>1547500000</v>
      </c>
      <c r="H22" s="297">
        <f t="shared" si="6"/>
        <v>1507600000</v>
      </c>
      <c r="I22" s="297">
        <f t="shared" si="6"/>
        <v>1467700000</v>
      </c>
      <c r="J22" s="297">
        <f t="shared" si="6"/>
        <v>1427800000</v>
      </c>
      <c r="K22" s="297">
        <f t="shared" si="6"/>
        <v>1387900000</v>
      </c>
      <c r="L22" s="297">
        <f t="shared" si="6"/>
        <v>1348000000</v>
      </c>
      <c r="M22" s="1"/>
      <c r="N22" s="1"/>
      <c r="O22" s="1"/>
      <c r="P22" s="1"/>
      <c r="Q22" s="1"/>
      <c r="R22" s="1"/>
      <c r="S22" s="1"/>
      <c r="T22" s="1"/>
      <c r="U22" s="1"/>
      <c r="V22" s="1"/>
      <c r="W22" s="1"/>
      <c r="X22" s="1"/>
      <c r="Y22" s="1"/>
      <c r="Z22" s="1"/>
    </row>
    <row r="23" ht="12.75" customHeight="1">
      <c r="A23" s="155" t="s">
        <v>367</v>
      </c>
      <c r="B23" s="313">
        <f>IVA!C25-Balance!B11</f>
        <v>0</v>
      </c>
      <c r="C23" s="313">
        <f>IVA!D25-Balance!C11</f>
        <v>0</v>
      </c>
      <c r="D23" s="313">
        <f>IVA!E25-Balance!D11</f>
        <v>0</v>
      </c>
      <c r="E23" s="313">
        <f>IVA!F25-Balance!E11</f>
        <v>0</v>
      </c>
      <c r="F23" s="313">
        <f>IVA!G25-Balance!F11</f>
        <v>0</v>
      </c>
      <c r="G23" s="313">
        <f>IVA!H25-Balance!G11</f>
        <v>0</v>
      </c>
      <c r="H23" s="313">
        <f>IVA!I25-Balance!H11</f>
        <v>0</v>
      </c>
      <c r="I23" s="313">
        <f>IVA!J25-Balance!I11</f>
        <v>0</v>
      </c>
      <c r="J23" s="313">
        <f>IVA!K25-Balance!J11</f>
        <v>0</v>
      </c>
      <c r="K23" s="313">
        <f>IVA!L25-Balance!K11</f>
        <v>0</v>
      </c>
      <c r="L23" s="313">
        <f>IVA!M25-Balance!L11</f>
        <v>0</v>
      </c>
      <c r="M23" s="1"/>
      <c r="N23" s="1"/>
      <c r="O23" s="1"/>
      <c r="P23" s="1"/>
      <c r="Q23" s="1"/>
      <c r="R23" s="1"/>
      <c r="S23" s="1"/>
      <c r="T23" s="1"/>
      <c r="U23" s="1"/>
      <c r="V23" s="1"/>
      <c r="W23" s="1"/>
      <c r="X23" s="1"/>
      <c r="Y23" s="1"/>
      <c r="Z23" s="1"/>
    </row>
    <row r="24" ht="12.75" customHeight="1">
      <c r="A24" s="155" t="s">
        <v>368</v>
      </c>
      <c r="B24" s="313">
        <f t="shared" ref="B24:L24" si="7">B12+B5</f>
        <v>2047258500</v>
      </c>
      <c r="C24" s="313">
        <f t="shared" si="7"/>
        <v>4180281361</v>
      </c>
      <c r="D24" s="313">
        <f t="shared" si="7"/>
        <v>4889322772</v>
      </c>
      <c r="E24" s="313">
        <f t="shared" si="7"/>
        <v>5697040298</v>
      </c>
      <c r="F24" s="313">
        <f t="shared" si="7"/>
        <v>6611108907</v>
      </c>
      <c r="G24" s="313">
        <f t="shared" si="7"/>
        <v>7647974553</v>
      </c>
      <c r="H24" s="313">
        <f t="shared" si="7"/>
        <v>8827406362</v>
      </c>
      <c r="I24" s="313">
        <f t="shared" si="7"/>
        <v>10141697561</v>
      </c>
      <c r="J24" s="313">
        <f t="shared" si="7"/>
        <v>11596328232</v>
      </c>
      <c r="K24" s="313">
        <f t="shared" si="7"/>
        <v>13196780386</v>
      </c>
      <c r="L24" s="313">
        <f t="shared" si="7"/>
        <v>14950728837</v>
      </c>
      <c r="M24" s="1"/>
      <c r="N24" s="1"/>
      <c r="O24" s="1"/>
      <c r="P24" s="1"/>
      <c r="Q24" s="1"/>
      <c r="R24" s="1"/>
      <c r="S24" s="1"/>
      <c r="T24" s="1"/>
      <c r="U24" s="1"/>
      <c r="V24" s="1"/>
      <c r="W24" s="1"/>
      <c r="X24" s="1"/>
      <c r="Y24" s="1"/>
      <c r="Z24" s="1"/>
    </row>
    <row r="25" ht="12.75" customHeight="1">
      <c r="A25" s="332" t="s">
        <v>369</v>
      </c>
      <c r="B25" s="313">
        <f t="shared" ref="B25:L25" si="8">B26+B27</f>
        <v>0</v>
      </c>
      <c r="C25" s="313">
        <f t="shared" si="8"/>
        <v>0</v>
      </c>
      <c r="D25" s="313">
        <f t="shared" si="8"/>
        <v>0</v>
      </c>
      <c r="E25" s="313">
        <f t="shared" si="8"/>
        <v>0</v>
      </c>
      <c r="F25" s="313">
        <f t="shared" si="8"/>
        <v>0</v>
      </c>
      <c r="G25" s="313">
        <f t="shared" si="8"/>
        <v>0</v>
      </c>
      <c r="H25" s="313">
        <f t="shared" si="8"/>
        <v>0</v>
      </c>
      <c r="I25" s="313">
        <f t="shared" si="8"/>
        <v>0</v>
      </c>
      <c r="J25" s="313">
        <f t="shared" si="8"/>
        <v>0</v>
      </c>
      <c r="K25" s="313">
        <f t="shared" si="8"/>
        <v>0</v>
      </c>
      <c r="L25" s="313">
        <f t="shared" si="8"/>
        <v>0</v>
      </c>
      <c r="M25" s="1"/>
      <c r="N25" s="1"/>
      <c r="O25" s="1"/>
      <c r="P25" s="1"/>
      <c r="Q25" s="1"/>
      <c r="R25" s="1"/>
      <c r="S25" s="1"/>
      <c r="T25" s="1"/>
      <c r="U25" s="1"/>
      <c r="V25" s="1"/>
      <c r="W25" s="1"/>
      <c r="X25" s="1"/>
      <c r="Y25" s="1"/>
      <c r="Z25" s="1"/>
    </row>
    <row r="26" ht="12.75" customHeight="1">
      <c r="A26" s="332" t="s">
        <v>370</v>
      </c>
      <c r="B26" s="313">
        <v>0.0</v>
      </c>
      <c r="C26" s="313" t="str">
        <f>'Resumen Cred'!C7</f>
        <v/>
      </c>
      <c r="D26" s="313" t="str">
        <f>'Resumen Cred'!C8</f>
        <v/>
      </c>
      <c r="E26" s="313" t="str">
        <f>'Resumen Cred'!C9</f>
        <v/>
      </c>
      <c r="F26" s="313" t="str">
        <f>'Resumen Cred'!C10</f>
        <v/>
      </c>
      <c r="G26" s="313" t="str">
        <f>'Resumen Cred'!C11</f>
        <v/>
      </c>
      <c r="H26" s="313" t="str">
        <f>'Resumen Cred'!C12</f>
        <v/>
      </c>
      <c r="I26" s="313" t="str">
        <f>'Resumen Cred'!C13</f>
        <v/>
      </c>
      <c r="J26" s="313" t="str">
        <f>'Resumen Cred'!C14</f>
        <v/>
      </c>
      <c r="K26" s="313" t="str">
        <f>'Resumen Cred'!C15</f>
        <v/>
      </c>
      <c r="L26" s="313" t="str">
        <f>'Resumen Cred'!C16</f>
        <v/>
      </c>
      <c r="M26" s="1"/>
      <c r="N26" s="1"/>
      <c r="O26" s="1"/>
      <c r="P26" s="1"/>
      <c r="Q26" s="1"/>
      <c r="R26" s="1"/>
      <c r="S26" s="1"/>
      <c r="T26" s="1"/>
      <c r="U26" s="1"/>
      <c r="V26" s="1"/>
      <c r="W26" s="1"/>
      <c r="X26" s="1"/>
      <c r="Y26" s="1"/>
      <c r="Z26" s="1"/>
    </row>
    <row r="27" ht="12.75" customHeight="1">
      <c r="A27" s="332" t="s">
        <v>371</v>
      </c>
      <c r="B27" s="297" t="str">
        <f>'Resumen Cred'!D7</f>
        <v/>
      </c>
      <c r="C27" s="297" t="str">
        <f>'Resumen Cred'!D8</f>
        <v/>
      </c>
      <c r="D27" s="297" t="str">
        <f>'Resumen Cred'!D9</f>
        <v/>
      </c>
      <c r="E27" s="297" t="str">
        <f>'Resumen Cred'!D10</f>
        <v/>
      </c>
      <c r="F27" s="297" t="str">
        <f>'Resumen Cred'!D11</f>
        <v/>
      </c>
      <c r="G27" s="297" t="str">
        <f>'Resumen Cred'!D12</f>
        <v/>
      </c>
      <c r="H27" s="297" t="str">
        <f>'Resumen Cred'!D13</f>
        <v/>
      </c>
      <c r="I27" s="297" t="str">
        <f>'Resumen Cred'!D14</f>
        <v/>
      </c>
      <c r="J27" s="297" t="str">
        <f>'Resumen Cred'!D15</f>
        <v/>
      </c>
      <c r="K27" s="297" t="str">
        <f>'Resumen Cred'!D16</f>
        <v/>
      </c>
      <c r="L27" s="298">
        <v>0.0</v>
      </c>
      <c r="M27" s="1"/>
      <c r="N27" s="1"/>
      <c r="O27" s="1"/>
      <c r="P27" s="1"/>
      <c r="Q27" s="1"/>
      <c r="R27" s="1"/>
      <c r="S27" s="1"/>
      <c r="T27" s="1"/>
      <c r="U27" s="1"/>
      <c r="V27" s="1"/>
      <c r="W27" s="1"/>
      <c r="X27" s="1"/>
      <c r="Y27" s="1"/>
      <c r="Z27" s="1"/>
    </row>
    <row r="28" ht="12.75" customHeight="1">
      <c r="A28" s="332" t="s">
        <v>372</v>
      </c>
      <c r="B28" s="297">
        <f t="shared" ref="B28:L28" si="9">+B29</f>
        <v>0</v>
      </c>
      <c r="C28" s="297">
        <f t="shared" si="9"/>
        <v>0</v>
      </c>
      <c r="D28" s="297">
        <f t="shared" si="9"/>
        <v>0</v>
      </c>
      <c r="E28" s="297">
        <f t="shared" si="9"/>
        <v>0</v>
      </c>
      <c r="F28" s="297">
        <f t="shared" si="9"/>
        <v>0</v>
      </c>
      <c r="G28" s="297">
        <f t="shared" si="9"/>
        <v>0</v>
      </c>
      <c r="H28" s="297">
        <f t="shared" si="9"/>
        <v>0</v>
      </c>
      <c r="I28" s="297">
        <f t="shared" si="9"/>
        <v>0</v>
      </c>
      <c r="J28" s="297">
        <f t="shared" si="9"/>
        <v>0</v>
      </c>
      <c r="K28" s="297">
        <f t="shared" si="9"/>
        <v>0</v>
      </c>
      <c r="L28" s="297">
        <f t="shared" si="9"/>
        <v>0</v>
      </c>
      <c r="M28" s="1"/>
      <c r="N28" s="1"/>
      <c r="O28" s="1"/>
      <c r="P28" s="1"/>
      <c r="Q28" s="1"/>
      <c r="R28" s="1"/>
      <c r="S28" s="1"/>
      <c r="T28" s="1"/>
      <c r="U28" s="1"/>
      <c r="V28" s="1"/>
      <c r="W28" s="1"/>
      <c r="X28" s="1"/>
      <c r="Y28" s="1"/>
      <c r="Z28" s="1"/>
    </row>
    <row r="29" ht="12.75" customHeight="1">
      <c r="A29" s="332" t="s">
        <v>371</v>
      </c>
      <c r="B29" s="313">
        <f>'Resumen Cred'!B5-B27</f>
        <v>0</v>
      </c>
      <c r="C29" s="313">
        <f>'Resumen Cred'!B7-C27</f>
        <v>0</v>
      </c>
      <c r="D29" s="313">
        <f>'Resumen Cred'!B8-D27</f>
        <v>0</v>
      </c>
      <c r="E29" s="313">
        <f>'Resumen Cred'!B9-E27</f>
        <v>0</v>
      </c>
      <c r="F29" s="313">
        <f>'Resumen Cred'!B10-F27</f>
        <v>0</v>
      </c>
      <c r="G29" s="313">
        <f>'Resumen Cred'!B11-G27</f>
        <v>0</v>
      </c>
      <c r="H29" s="313">
        <f>'Resumen Cred'!B12-H27</f>
        <v>0</v>
      </c>
      <c r="I29" s="313">
        <f>'Resumen Cred'!IB13-I27</f>
        <v>0</v>
      </c>
      <c r="J29" s="313">
        <f>'Resumen Cred'!B14-J27</f>
        <v>0</v>
      </c>
      <c r="K29" s="313">
        <f>'Resumen Cred'!B15-K27</f>
        <v>0</v>
      </c>
      <c r="L29" s="313">
        <f>'Resumen Cred'!B16-L27</f>
        <v>0</v>
      </c>
      <c r="M29" s="1"/>
      <c r="N29" s="1"/>
      <c r="O29" s="1"/>
      <c r="P29" s="1"/>
      <c r="Q29" s="1"/>
      <c r="R29" s="1"/>
      <c r="S29" s="1"/>
      <c r="T29" s="1"/>
      <c r="U29" s="1"/>
      <c r="V29" s="1"/>
      <c r="W29" s="1"/>
      <c r="X29" s="1"/>
      <c r="Y29" s="1"/>
      <c r="Z29" s="1"/>
    </row>
    <row r="30" ht="12.75" customHeight="1">
      <c r="A30" s="332" t="s">
        <v>373</v>
      </c>
      <c r="B30" s="297">
        <f t="shared" ref="B30:L30" si="10">+B29+B25</f>
        <v>0</v>
      </c>
      <c r="C30" s="297">
        <f t="shared" si="10"/>
        <v>0</v>
      </c>
      <c r="D30" s="297">
        <f t="shared" si="10"/>
        <v>0</v>
      </c>
      <c r="E30" s="297">
        <f t="shared" si="10"/>
        <v>0</v>
      </c>
      <c r="F30" s="297">
        <f t="shared" si="10"/>
        <v>0</v>
      </c>
      <c r="G30" s="297">
        <f t="shared" si="10"/>
        <v>0</v>
      </c>
      <c r="H30" s="297">
        <f t="shared" si="10"/>
        <v>0</v>
      </c>
      <c r="I30" s="297">
        <f t="shared" si="10"/>
        <v>0</v>
      </c>
      <c r="J30" s="297">
        <f t="shared" si="10"/>
        <v>0</v>
      </c>
      <c r="K30" s="297">
        <f t="shared" si="10"/>
        <v>0</v>
      </c>
      <c r="L30" s="297">
        <f t="shared" si="10"/>
        <v>0</v>
      </c>
      <c r="M30" s="1"/>
      <c r="N30" s="1"/>
      <c r="O30" s="1"/>
      <c r="P30" s="1"/>
      <c r="Q30" s="1"/>
      <c r="R30" s="1"/>
      <c r="S30" s="1"/>
      <c r="T30" s="1"/>
      <c r="U30" s="1"/>
      <c r="V30" s="1"/>
      <c r="W30" s="1"/>
      <c r="X30" s="1"/>
      <c r="Y30" s="1"/>
      <c r="Z30" s="1"/>
    </row>
    <row r="31" ht="12.75" customHeight="1">
      <c r="A31" s="332" t="s">
        <v>374</v>
      </c>
      <c r="B31" s="297">
        <f t="shared" ref="B31:L31" si="11">B32+B33+B34</f>
        <v>2047258500</v>
      </c>
      <c r="C31" s="297">
        <f t="shared" si="11"/>
        <v>4180281361</v>
      </c>
      <c r="D31" s="297">
        <f t="shared" si="11"/>
        <v>4889322772</v>
      </c>
      <c r="E31" s="297">
        <f t="shared" si="11"/>
        <v>5697040298</v>
      </c>
      <c r="F31" s="297">
        <f t="shared" si="11"/>
        <v>6611108907</v>
      </c>
      <c r="G31" s="297">
        <f t="shared" si="11"/>
        <v>7647974553</v>
      </c>
      <c r="H31" s="297">
        <f t="shared" si="11"/>
        <v>8827406362</v>
      </c>
      <c r="I31" s="297">
        <f t="shared" si="11"/>
        <v>10141697561</v>
      </c>
      <c r="J31" s="297">
        <f t="shared" si="11"/>
        <v>11596328232</v>
      </c>
      <c r="K31" s="297">
        <f t="shared" si="11"/>
        <v>13196780386</v>
      </c>
      <c r="L31" s="297">
        <f t="shared" si="11"/>
        <v>14950728837</v>
      </c>
      <c r="M31" s="1"/>
      <c r="N31" s="1"/>
      <c r="O31" s="1"/>
      <c r="P31" s="1"/>
      <c r="Q31" s="1"/>
      <c r="R31" s="1"/>
      <c r="S31" s="1"/>
      <c r="T31" s="1"/>
      <c r="U31" s="1"/>
      <c r="V31" s="1"/>
      <c r="W31" s="1"/>
      <c r="X31" s="1"/>
      <c r="Y31" s="1"/>
      <c r="Z31" s="1"/>
    </row>
    <row r="32" ht="12.75" customHeight="1">
      <c r="A32" s="332" t="s">
        <v>375</v>
      </c>
      <c r="B32" s="297">
        <f>CFyU!B6</f>
        <v>2047258500</v>
      </c>
      <c r="C32" s="297">
        <f>CFyU!C6+Balance!B32</f>
        <v>3775343284</v>
      </c>
      <c r="D32" s="297">
        <f>CFyU!D6+Balance!C32</f>
        <v>3775343284</v>
      </c>
      <c r="E32" s="297">
        <f>CFyU!E6+Balance!D32</f>
        <v>3775343284</v>
      </c>
      <c r="F32" s="297">
        <f>CFyU!F6+Balance!E32</f>
        <v>3775343284</v>
      </c>
      <c r="G32" s="297">
        <f>CFyU!G6+Balance!F32</f>
        <v>3775343284</v>
      </c>
      <c r="H32" s="297">
        <f>CFyU!H6+Balance!G32</f>
        <v>3775343284</v>
      </c>
      <c r="I32" s="297">
        <f>CFyU!I6+Balance!H32</f>
        <v>3775343284</v>
      </c>
      <c r="J32" s="297">
        <f>CFyU!J6+Balance!I32</f>
        <v>3775343284</v>
      </c>
      <c r="K32" s="297">
        <f>CFyU!K6+Balance!J32</f>
        <v>3775343284</v>
      </c>
      <c r="L32" s="297">
        <f>CFyU!L6+Balance!K32</f>
        <v>3775343284</v>
      </c>
      <c r="M32" s="1"/>
      <c r="N32" s="1"/>
      <c r="O32" s="1"/>
      <c r="P32" s="1"/>
      <c r="Q32" s="1"/>
      <c r="R32" s="1"/>
      <c r="S32" s="1"/>
      <c r="T32" s="1"/>
      <c r="U32" s="1"/>
      <c r="V32" s="1"/>
      <c r="W32" s="1"/>
      <c r="X32" s="1"/>
      <c r="Y32" s="1"/>
      <c r="Z32" s="1"/>
    </row>
    <row r="33" ht="12.75" customHeight="1">
      <c r="A33" s="332" t="s">
        <v>376</v>
      </c>
      <c r="B33" s="313">
        <v>0.0</v>
      </c>
      <c r="C33" s="313">
        <f>'CTV y CResult'!B64</f>
        <v>404938077.5</v>
      </c>
      <c r="D33" s="313">
        <f>'CTV y CResult'!C64</f>
        <v>709041411</v>
      </c>
      <c r="E33" s="313">
        <f>'CTV y CResult'!D64</f>
        <v>807717526.3</v>
      </c>
      <c r="F33" s="313">
        <f>'CTV y CResult'!E64</f>
        <v>914068608.4</v>
      </c>
      <c r="G33" s="313">
        <f>'CTV y CResult'!F64</f>
        <v>1036865646</v>
      </c>
      <c r="H33" s="313">
        <f>'CTV y CResult'!G64</f>
        <v>1179431809</v>
      </c>
      <c r="I33" s="313">
        <f>'CTV y CResult'!H64</f>
        <v>1314291199</v>
      </c>
      <c r="J33" s="313">
        <f>'CTV y CResult'!I64</f>
        <v>1454630671</v>
      </c>
      <c r="K33" s="313">
        <f>'CTV y CResult'!J64</f>
        <v>1600452154</v>
      </c>
      <c r="L33" s="313">
        <f>'CTV y CResult'!K64</f>
        <v>1753948451</v>
      </c>
      <c r="M33" s="1"/>
      <c r="N33" s="1"/>
      <c r="O33" s="1"/>
      <c r="P33" s="1"/>
      <c r="Q33" s="1"/>
      <c r="R33" s="1"/>
      <c r="S33" s="1"/>
      <c r="T33" s="1"/>
      <c r="U33" s="1"/>
      <c r="V33" s="1"/>
      <c r="W33" s="1"/>
      <c r="X33" s="1"/>
      <c r="Y33" s="1"/>
      <c r="Z33" s="1"/>
    </row>
    <row r="34" ht="12.75" customHeight="1">
      <c r="A34" s="332" t="s">
        <v>377</v>
      </c>
      <c r="B34" s="297">
        <v>0.0</v>
      </c>
      <c r="C34" s="297">
        <v>0.0</v>
      </c>
      <c r="D34" s="297">
        <f t="shared" ref="D34:L34" si="12">C34+C33</f>
        <v>404938077.5</v>
      </c>
      <c r="E34" s="297">
        <f t="shared" si="12"/>
        <v>1113979489</v>
      </c>
      <c r="F34" s="297">
        <f t="shared" si="12"/>
        <v>1921697015</v>
      </c>
      <c r="G34" s="297">
        <f t="shared" si="12"/>
        <v>2835765623</v>
      </c>
      <c r="H34" s="297">
        <f t="shared" si="12"/>
        <v>3872631270</v>
      </c>
      <c r="I34" s="297">
        <f t="shared" si="12"/>
        <v>5052063079</v>
      </c>
      <c r="J34" s="297">
        <f t="shared" si="12"/>
        <v>6366354278</v>
      </c>
      <c r="K34" s="297">
        <f t="shared" si="12"/>
        <v>7820984949</v>
      </c>
      <c r="L34" s="297">
        <f t="shared" si="12"/>
        <v>9421437102</v>
      </c>
      <c r="M34" s="1"/>
      <c r="N34" s="1"/>
      <c r="O34" s="1"/>
      <c r="P34" s="1"/>
      <c r="Q34" s="1"/>
      <c r="R34" s="1"/>
      <c r="S34" s="1"/>
      <c r="T34" s="1"/>
      <c r="U34" s="1"/>
      <c r="V34" s="1"/>
      <c r="W34" s="1"/>
      <c r="X34" s="1"/>
      <c r="Y34" s="1"/>
      <c r="Z34" s="1"/>
    </row>
    <row r="35" ht="12.75" customHeight="1">
      <c r="A35" s="334" t="s">
        <v>378</v>
      </c>
      <c r="B35" s="322">
        <f t="shared" ref="B35:L35" si="13">B31+B30</f>
        <v>2047258500</v>
      </c>
      <c r="C35" s="322">
        <f t="shared" si="13"/>
        <v>4180281361</v>
      </c>
      <c r="D35" s="322">
        <f t="shared" si="13"/>
        <v>4889322772</v>
      </c>
      <c r="E35" s="322">
        <f t="shared" si="13"/>
        <v>5697040298</v>
      </c>
      <c r="F35" s="322">
        <f t="shared" si="13"/>
        <v>6611108907</v>
      </c>
      <c r="G35" s="322">
        <f t="shared" si="13"/>
        <v>7647974553</v>
      </c>
      <c r="H35" s="322">
        <f t="shared" si="13"/>
        <v>8827406362</v>
      </c>
      <c r="I35" s="322">
        <f t="shared" si="13"/>
        <v>10141697561</v>
      </c>
      <c r="J35" s="322">
        <f t="shared" si="13"/>
        <v>11596328232</v>
      </c>
      <c r="K35" s="322">
        <f t="shared" si="13"/>
        <v>13196780386</v>
      </c>
      <c r="L35" s="323">
        <f t="shared" si="13"/>
        <v>14950728837</v>
      </c>
      <c r="M35" s="1"/>
      <c r="N35" s="1"/>
      <c r="O35" s="1"/>
      <c r="P35" s="1"/>
      <c r="Q35" s="1"/>
      <c r="R35" s="1"/>
      <c r="S35" s="1"/>
      <c r="T35" s="1"/>
      <c r="U35" s="1"/>
      <c r="V35" s="1"/>
      <c r="W35" s="1"/>
      <c r="X35" s="1"/>
      <c r="Y35" s="1"/>
      <c r="Z35" s="1"/>
    </row>
    <row r="36" ht="12.75" customHeight="1">
      <c r="A36" s="1"/>
      <c r="B36" s="202">
        <f t="shared" ref="B36:L36" si="14">B35-B24</f>
        <v>0</v>
      </c>
      <c r="C36" s="202">
        <f t="shared" si="14"/>
        <v>0.0000004768371582</v>
      </c>
      <c r="D36" s="202">
        <f t="shared" si="14"/>
        <v>0</v>
      </c>
      <c r="E36" s="202">
        <f t="shared" si="14"/>
        <v>0</v>
      </c>
      <c r="F36" s="202">
        <f t="shared" si="14"/>
        <v>0.000001907348633</v>
      </c>
      <c r="G36" s="202">
        <f t="shared" si="14"/>
        <v>0.0000009536743164</v>
      </c>
      <c r="H36" s="202">
        <f t="shared" si="14"/>
        <v>0</v>
      </c>
      <c r="I36" s="202">
        <f t="shared" si="14"/>
        <v>0.000001907348633</v>
      </c>
      <c r="J36" s="202">
        <f t="shared" si="14"/>
        <v>0.000001907348633</v>
      </c>
      <c r="K36" s="202">
        <f t="shared" si="14"/>
        <v>0.000001907348633</v>
      </c>
      <c r="L36" s="202">
        <f t="shared" si="14"/>
        <v>0.000001907348633</v>
      </c>
      <c r="M36" s="1"/>
      <c r="N36" s="1"/>
      <c r="O36" s="1"/>
      <c r="P36" s="1"/>
      <c r="Q36" s="1"/>
      <c r="R36" s="1"/>
      <c r="S36" s="1"/>
      <c r="T36" s="1"/>
      <c r="U36" s="1"/>
      <c r="V36" s="1"/>
      <c r="W36" s="1"/>
      <c r="X36" s="1"/>
      <c r="Y36" s="1"/>
      <c r="Z36" s="1"/>
    </row>
    <row r="37" ht="12.75" customHeight="1">
      <c r="A37" s="1"/>
      <c r="B37" s="202"/>
      <c r="C37" s="202">
        <f t="shared" ref="C37:L37" si="15">C36-B36</f>
        <v>0.0000004768371582</v>
      </c>
      <c r="D37" s="202">
        <f t="shared" si="15"/>
        <v>-0.0000004768371582</v>
      </c>
      <c r="E37" s="202">
        <f t="shared" si="15"/>
        <v>0</v>
      </c>
      <c r="F37" s="202">
        <f t="shared" si="15"/>
        <v>0.000001907348633</v>
      </c>
      <c r="G37" s="202">
        <f t="shared" si="15"/>
        <v>-0.0000009536743164</v>
      </c>
      <c r="H37" s="202">
        <f t="shared" si="15"/>
        <v>-0.0000009536743164</v>
      </c>
      <c r="I37" s="202">
        <f t="shared" si="15"/>
        <v>0.000001907348633</v>
      </c>
      <c r="J37" s="202">
        <f t="shared" si="15"/>
        <v>0</v>
      </c>
      <c r="K37" s="202">
        <f t="shared" si="15"/>
        <v>0</v>
      </c>
      <c r="L37" s="202">
        <f t="shared" si="15"/>
        <v>0</v>
      </c>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51"/>
      <c r="B39" s="335"/>
      <c r="C39" s="335"/>
      <c r="D39" s="335"/>
      <c r="E39" s="335"/>
      <c r="F39" s="335"/>
      <c r="G39" s="335"/>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5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5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5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5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5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5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5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5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5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5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5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5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5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5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5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5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5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5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5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5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24" footer="0.0" header="0.0" left="0.32" right="0.75" top="0.6"/>
  <pageSetup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14" width="19.63"/>
    <col customWidth="1" min="15" max="15" width="17.5"/>
    <col customWidth="1" min="16" max="26" width="10.63"/>
  </cols>
  <sheetData>
    <row r="1" ht="12.75" customHeight="1">
      <c r="A1" s="244" t="s">
        <v>379</v>
      </c>
      <c r="B1" s="117"/>
      <c r="C1" s="117"/>
      <c r="D1" s="117"/>
      <c r="E1" s="117"/>
      <c r="F1" s="117"/>
      <c r="G1" s="117"/>
      <c r="H1" s="117"/>
      <c r="I1" s="117"/>
      <c r="J1" s="117"/>
      <c r="K1" s="117"/>
      <c r="L1" s="117"/>
      <c r="M1" s="117"/>
      <c r="N1" s="118"/>
      <c r="O1" s="1"/>
      <c r="P1" s="1"/>
      <c r="Q1" s="1"/>
      <c r="R1" s="1"/>
      <c r="S1" s="1"/>
      <c r="T1" s="1"/>
      <c r="U1" s="1"/>
      <c r="V1" s="1"/>
      <c r="W1" s="1"/>
      <c r="X1" s="1"/>
      <c r="Y1" s="1"/>
      <c r="Z1" s="1"/>
    </row>
    <row r="2" ht="12.75" customHeight="1">
      <c r="A2" s="336" t="s">
        <v>380</v>
      </c>
      <c r="B2" s="251" t="s">
        <v>337</v>
      </c>
      <c r="C2" s="251" t="s">
        <v>381</v>
      </c>
      <c r="D2" s="251" t="s">
        <v>382</v>
      </c>
      <c r="E2" s="251" t="s">
        <v>236</v>
      </c>
      <c r="F2" s="251" t="s">
        <v>383</v>
      </c>
      <c r="G2" s="251" t="s">
        <v>384</v>
      </c>
      <c r="H2" s="251" t="s">
        <v>385</v>
      </c>
      <c r="I2" s="251" t="s">
        <v>386</v>
      </c>
      <c r="J2" s="251" t="s">
        <v>387</v>
      </c>
      <c r="K2" s="251" t="s">
        <v>388</v>
      </c>
      <c r="L2" s="251" t="s">
        <v>389</v>
      </c>
      <c r="M2" s="337" t="s">
        <v>390</v>
      </c>
      <c r="N2" s="338" t="s">
        <v>391</v>
      </c>
      <c r="O2" s="1"/>
      <c r="P2" s="1"/>
      <c r="Q2" s="1"/>
      <c r="R2" s="1"/>
      <c r="S2" s="1"/>
      <c r="T2" s="1"/>
      <c r="U2" s="1"/>
      <c r="V2" s="1"/>
      <c r="W2" s="1"/>
      <c r="X2" s="1"/>
      <c r="Y2" s="1"/>
      <c r="Z2" s="1"/>
    </row>
    <row r="3" ht="12.75" customHeight="1">
      <c r="A3" s="339">
        <v>0.0</v>
      </c>
      <c r="B3" s="340">
        <f>CFyU!B14</f>
        <v>1867950000</v>
      </c>
      <c r="C3" s="132">
        <f>CFyU!B15</f>
        <v>79464000</v>
      </c>
      <c r="D3" s="132">
        <f>CFyU!B21</f>
        <v>99844500</v>
      </c>
      <c r="E3" s="132">
        <f>CFyU!B19</f>
        <v>0</v>
      </c>
      <c r="F3" s="132">
        <f>CFyU!B17</f>
        <v>0</v>
      </c>
      <c r="G3" s="132">
        <f t="shared" ref="G3:G13" si="1">SUM(B3:F3)</f>
        <v>2047258500</v>
      </c>
      <c r="H3" s="132">
        <v>0.0</v>
      </c>
      <c r="I3" s="132">
        <f>'Resumen Cred'!F5+'Resumen Cred'!H5</f>
        <v>0</v>
      </c>
      <c r="J3" s="132">
        <f>CFyU!B25</f>
        <v>0</v>
      </c>
      <c r="K3" s="132" t="str">
        <f>CFyU!B10</f>
        <v/>
      </c>
      <c r="L3" s="132">
        <f t="shared" ref="L3:L13" si="2">SUM(H3:K3)</f>
        <v>0</v>
      </c>
      <c r="M3" s="341">
        <f t="shared" ref="M3:M13" si="3">L3-G3</f>
        <v>-2047258500</v>
      </c>
      <c r="N3" s="342">
        <f>M3</f>
        <v>-2047258500</v>
      </c>
      <c r="O3" s="1"/>
      <c r="P3" s="1"/>
      <c r="Q3" s="1"/>
      <c r="R3" s="1"/>
      <c r="S3" s="1"/>
      <c r="T3" s="1"/>
      <c r="U3" s="1"/>
      <c r="V3" s="1"/>
      <c r="W3" s="1"/>
      <c r="X3" s="1"/>
      <c r="Y3" s="1"/>
      <c r="Z3" s="1"/>
    </row>
    <row r="4" ht="12.75" customHeight="1">
      <c r="A4" s="343">
        <v>1.0</v>
      </c>
      <c r="B4" s="256">
        <f>CFyU!C14</f>
        <v>0</v>
      </c>
      <c r="C4" s="124">
        <f>CFyU!C15</f>
        <v>1959386301</v>
      </c>
      <c r="D4" s="124">
        <f>CFyU!C21</f>
        <v>0</v>
      </c>
      <c r="E4" s="124">
        <f>CFyU!C19</f>
        <v>32788508.3</v>
      </c>
      <c r="F4" s="124">
        <f>CFyU!C17</f>
        <v>218043580.2</v>
      </c>
      <c r="G4" s="132">
        <f t="shared" si="1"/>
        <v>2210218390</v>
      </c>
      <c r="H4" s="124">
        <f>'CTV y CResult'!B61</f>
        <v>655770166</v>
      </c>
      <c r="I4" s="124">
        <f>'Resumen Cred'!F7+'Resumen Cred'!H7</f>
        <v>0</v>
      </c>
      <c r="J4" s="124">
        <f>CFyU!C25</f>
        <v>64090000</v>
      </c>
      <c r="K4" s="124">
        <f>CFyU!C10</f>
        <v>99844500</v>
      </c>
      <c r="L4" s="124">
        <f t="shared" si="2"/>
        <v>819704666</v>
      </c>
      <c r="M4" s="344">
        <f t="shared" si="3"/>
        <v>-1390513724</v>
      </c>
      <c r="N4" s="134">
        <f t="shared" ref="N4:N13" si="4">N3+M4</f>
        <v>-3437772224</v>
      </c>
      <c r="O4" s="1"/>
      <c r="P4" s="1"/>
      <c r="Q4" s="1"/>
      <c r="R4" s="1"/>
      <c r="S4" s="1"/>
      <c r="T4" s="1"/>
      <c r="U4" s="1"/>
      <c r="V4" s="1"/>
      <c r="W4" s="1"/>
      <c r="X4" s="1"/>
      <c r="Y4" s="1"/>
      <c r="Z4" s="1"/>
    </row>
    <row r="5" ht="12.75" customHeight="1">
      <c r="A5" s="343">
        <v>2.0</v>
      </c>
      <c r="B5" s="256">
        <f>CFyU!D14</f>
        <v>0</v>
      </c>
      <c r="C5" s="124">
        <f>CFyU!D15</f>
        <v>-466717808.2</v>
      </c>
      <c r="D5" s="124">
        <f>CFyU!D21</f>
        <v>0</v>
      </c>
      <c r="E5" s="124">
        <f>CFyU!D19</f>
        <v>57412260</v>
      </c>
      <c r="F5" s="124">
        <f>CFyU!D17</f>
        <v>381791529</v>
      </c>
      <c r="G5" s="132">
        <f t="shared" si="1"/>
        <v>-27514019.22</v>
      </c>
      <c r="H5" s="124">
        <f>'CTV y CResult'!C61</f>
        <v>1148245200</v>
      </c>
      <c r="I5" s="124">
        <f>'Resumen Cred'!F8+'Resumen Cred'!H8</f>
        <v>0</v>
      </c>
      <c r="J5" s="124">
        <f>CFyU!D25</f>
        <v>64090000</v>
      </c>
      <c r="K5" s="124">
        <f>CFyU!D10</f>
        <v>0</v>
      </c>
      <c r="L5" s="124">
        <f t="shared" si="2"/>
        <v>1212335200</v>
      </c>
      <c r="M5" s="344">
        <f t="shared" si="3"/>
        <v>1239849219</v>
      </c>
      <c r="N5" s="134">
        <f t="shared" si="4"/>
        <v>-2197923005</v>
      </c>
      <c r="O5" s="1"/>
      <c r="P5" s="1"/>
      <c r="Q5" s="1"/>
      <c r="R5" s="1"/>
      <c r="S5" s="1"/>
      <c r="T5" s="1"/>
      <c r="U5" s="1"/>
      <c r="V5" s="1"/>
      <c r="W5" s="1"/>
      <c r="X5" s="1"/>
      <c r="Y5" s="1"/>
      <c r="Z5" s="1"/>
    </row>
    <row r="6" ht="12.75" customHeight="1">
      <c r="A6" s="343">
        <v>3.0</v>
      </c>
      <c r="B6" s="256">
        <f>CFyU!E14</f>
        <v>0</v>
      </c>
      <c r="C6" s="124">
        <f>CFyU!E15</f>
        <v>-326564383.6</v>
      </c>
      <c r="D6" s="124">
        <f>CFyU!E21</f>
        <v>0</v>
      </c>
      <c r="E6" s="124">
        <f>CFyU!E19</f>
        <v>65402228.85</v>
      </c>
      <c r="F6" s="124">
        <f>CFyU!E17</f>
        <v>434924821.9</v>
      </c>
      <c r="G6" s="132">
        <f t="shared" si="1"/>
        <v>173762667.1</v>
      </c>
      <c r="H6" s="124">
        <f>'CTV y CResult'!D61</f>
        <v>1308044577</v>
      </c>
      <c r="I6" s="124">
        <f>'Resumen Cred'!F9+'Resumen Cred'!H9</f>
        <v>0</v>
      </c>
      <c r="J6" s="124">
        <f>CFyU!E25</f>
        <v>64090000</v>
      </c>
      <c r="K6" s="124">
        <f>CFyU!E10</f>
        <v>0</v>
      </c>
      <c r="L6" s="124">
        <f t="shared" si="2"/>
        <v>1372134577</v>
      </c>
      <c r="M6" s="344">
        <f t="shared" si="3"/>
        <v>1198371910</v>
      </c>
      <c r="N6" s="134">
        <f t="shared" si="4"/>
        <v>-999551094.8</v>
      </c>
      <c r="O6" s="1"/>
      <c r="P6" s="1"/>
      <c r="Q6" s="1"/>
      <c r="R6" s="1"/>
      <c r="S6" s="1"/>
      <c r="T6" s="1"/>
      <c r="U6" s="1"/>
      <c r="V6" s="1"/>
      <c r="W6" s="1"/>
      <c r="X6" s="1"/>
      <c r="Y6" s="1"/>
      <c r="Z6" s="1"/>
    </row>
    <row r="7" ht="12.75" customHeight="1">
      <c r="A7" s="343">
        <v>4.0</v>
      </c>
      <c r="B7" s="256">
        <f>CFyU!F14</f>
        <v>0</v>
      </c>
      <c r="C7" s="124">
        <f>CFyU!F15</f>
        <v>-84920547.95</v>
      </c>
      <c r="D7" s="124">
        <f>CFyU!F21</f>
        <v>0</v>
      </c>
      <c r="E7" s="124">
        <f>CFyU!F19</f>
        <v>74013652.5</v>
      </c>
      <c r="F7" s="124">
        <f>CFyU!F17</f>
        <v>492190789.1</v>
      </c>
      <c r="G7" s="132">
        <f t="shared" si="1"/>
        <v>481283893.7</v>
      </c>
      <c r="H7" s="124">
        <f>'CTV y CResult'!E61</f>
        <v>1480273050</v>
      </c>
      <c r="I7" s="124">
        <f>'Resumen Cred'!F10+'Resumen Cred'!H10</f>
        <v>0</v>
      </c>
      <c r="J7" s="124">
        <f>CFyU!F25</f>
        <v>64090000</v>
      </c>
      <c r="K7" s="124">
        <f>CFyU!F10</f>
        <v>0</v>
      </c>
      <c r="L7" s="124">
        <f t="shared" si="2"/>
        <v>1544363050</v>
      </c>
      <c r="M7" s="344">
        <f t="shared" si="3"/>
        <v>1063079156</v>
      </c>
      <c r="N7" s="134">
        <f t="shared" si="4"/>
        <v>63528061.53</v>
      </c>
      <c r="O7" s="1"/>
      <c r="P7" s="1"/>
      <c r="Q7" s="1"/>
      <c r="R7" s="1"/>
      <c r="S7" s="1"/>
      <c r="T7" s="1"/>
      <c r="U7" s="1"/>
      <c r="V7" s="1"/>
      <c r="W7" s="1"/>
      <c r="X7" s="1"/>
      <c r="Y7" s="1"/>
      <c r="Z7" s="1"/>
    </row>
    <row r="8" ht="12.75" customHeight="1">
      <c r="A8" s="343">
        <v>5.0</v>
      </c>
      <c r="B8" s="256">
        <f>CFyU!G14</f>
        <v>0</v>
      </c>
      <c r="C8" s="124">
        <f>CFyU!G15</f>
        <v>-90041095.89</v>
      </c>
      <c r="D8" s="124">
        <f>CFyU!G21</f>
        <v>0</v>
      </c>
      <c r="E8" s="124">
        <f>CFyU!G19</f>
        <v>83956732.5</v>
      </c>
      <c r="F8" s="124">
        <f>CFyU!G17</f>
        <v>558312271.1</v>
      </c>
      <c r="G8" s="132">
        <f t="shared" si="1"/>
        <v>552227907.7</v>
      </c>
      <c r="H8" s="124">
        <f>'CTV y CResult'!F61</f>
        <v>1679134650</v>
      </c>
      <c r="I8" s="124">
        <f>'Resumen Cred'!F11+'Resumen Cred'!H11</f>
        <v>0</v>
      </c>
      <c r="J8" s="124">
        <f>CFyU!G25</f>
        <v>64090000</v>
      </c>
      <c r="K8" s="124">
        <f>CFyU!G10</f>
        <v>0</v>
      </c>
      <c r="L8" s="124">
        <f t="shared" si="2"/>
        <v>1743224650</v>
      </c>
      <c r="M8" s="344">
        <f t="shared" si="3"/>
        <v>1190996742</v>
      </c>
      <c r="N8" s="134">
        <f t="shared" si="4"/>
        <v>1254524804</v>
      </c>
      <c r="O8" s="1"/>
      <c r="P8" s="1"/>
      <c r="Q8" s="1"/>
      <c r="R8" s="1"/>
      <c r="S8" s="1"/>
      <c r="T8" s="1"/>
      <c r="U8" s="1"/>
      <c r="V8" s="1"/>
      <c r="W8" s="1"/>
      <c r="X8" s="1"/>
      <c r="Y8" s="1"/>
      <c r="Z8" s="1"/>
    </row>
    <row r="9" ht="12.75" customHeight="1">
      <c r="A9" s="343">
        <v>6.0</v>
      </c>
      <c r="B9" s="256">
        <f>CFyU!H14</f>
        <v>0</v>
      </c>
      <c r="C9" s="124">
        <f>CFyU!H15</f>
        <v>-101547945.2</v>
      </c>
      <c r="D9" s="124">
        <f>CFyU!H21</f>
        <v>0</v>
      </c>
      <c r="E9" s="124">
        <f>CFyU!H19</f>
        <v>95500551.35</v>
      </c>
      <c r="F9" s="124">
        <f>CFyU!H17</f>
        <v>635078666.5</v>
      </c>
      <c r="G9" s="132">
        <f t="shared" si="1"/>
        <v>629031272.6</v>
      </c>
      <c r="H9" s="124">
        <f>'CTV y CResult'!G61</f>
        <v>1910011027</v>
      </c>
      <c r="I9" s="124">
        <f>'Resumen Cred'!F12+'Resumen Cred'!H12</f>
        <v>0</v>
      </c>
      <c r="J9" s="124">
        <f>CFyU!H25</f>
        <v>39900000</v>
      </c>
      <c r="K9" s="124">
        <f>CFyU!H10</f>
        <v>0</v>
      </c>
      <c r="L9" s="124">
        <f t="shared" si="2"/>
        <v>1949911027</v>
      </c>
      <c r="M9" s="344">
        <f t="shared" si="3"/>
        <v>1320879754</v>
      </c>
      <c r="N9" s="134">
        <f t="shared" si="4"/>
        <v>2575404558</v>
      </c>
      <c r="O9" s="1"/>
      <c r="P9" s="1"/>
      <c r="Q9" s="1"/>
      <c r="R9" s="1"/>
      <c r="S9" s="1"/>
      <c r="T9" s="1"/>
      <c r="U9" s="1"/>
      <c r="V9" s="1"/>
      <c r="W9" s="1"/>
      <c r="X9" s="1"/>
      <c r="Y9" s="1"/>
      <c r="Z9" s="1"/>
    </row>
    <row r="10" ht="12.75" customHeight="1">
      <c r="A10" s="343">
        <v>7.0</v>
      </c>
      <c r="B10" s="256">
        <f>CFyU!I14</f>
        <v>0</v>
      </c>
      <c r="C10" s="124">
        <f>CFyU!I15</f>
        <v>-112882191.8</v>
      </c>
      <c r="D10" s="124">
        <f>CFyU!I21</f>
        <v>0</v>
      </c>
      <c r="E10" s="124">
        <f>CFyU!I19</f>
        <v>106420340</v>
      </c>
      <c r="F10" s="124">
        <f>CFyU!I17</f>
        <v>707695261</v>
      </c>
      <c r="G10" s="132">
        <f t="shared" si="1"/>
        <v>701233409.2</v>
      </c>
      <c r="H10" s="124">
        <f>'CTV y CResult'!H61</f>
        <v>2128406800</v>
      </c>
      <c r="I10" s="124">
        <f>'Resumen Cred'!F13+'Resumen Cred'!H13</f>
        <v>0</v>
      </c>
      <c r="J10" s="124">
        <f>CFyU!I25</f>
        <v>39900000</v>
      </c>
      <c r="K10" s="124">
        <f>CFyU!I10</f>
        <v>0</v>
      </c>
      <c r="L10" s="124">
        <f t="shared" si="2"/>
        <v>2168306800</v>
      </c>
      <c r="M10" s="344">
        <f t="shared" si="3"/>
        <v>1467073391</v>
      </c>
      <c r="N10" s="134">
        <f t="shared" si="4"/>
        <v>4042477949</v>
      </c>
      <c r="O10" s="1"/>
      <c r="P10" s="1"/>
      <c r="Q10" s="1"/>
      <c r="R10" s="1"/>
      <c r="S10" s="1"/>
      <c r="T10" s="1"/>
      <c r="U10" s="1"/>
      <c r="V10" s="1"/>
      <c r="W10" s="1"/>
      <c r="X10" s="1"/>
      <c r="Y10" s="1"/>
      <c r="Z10" s="1"/>
    </row>
    <row r="11" ht="12.75" customHeight="1">
      <c r="A11" s="343">
        <v>8.0</v>
      </c>
      <c r="B11" s="256">
        <f>CFyU!J14</f>
        <v>0</v>
      </c>
      <c r="C11" s="124">
        <f>CFyU!J15</f>
        <v>36821917.81</v>
      </c>
      <c r="D11" s="124">
        <f>CFyU!J21</f>
        <v>0</v>
      </c>
      <c r="E11" s="124">
        <f>CFyU!J19</f>
        <v>117783860</v>
      </c>
      <c r="F11" s="124">
        <f>CFyU!J17</f>
        <v>783262669</v>
      </c>
      <c r="G11" s="132">
        <f t="shared" si="1"/>
        <v>937868446.8</v>
      </c>
      <c r="H11" s="124">
        <f>'CTV y CResult'!I61</f>
        <v>2355677200</v>
      </c>
      <c r="I11" s="124">
        <f>'Resumen Cred'!F14+'Resumen Cred'!H14</f>
        <v>0</v>
      </c>
      <c r="J11" s="124">
        <f>CFyU!J25</f>
        <v>39900000</v>
      </c>
      <c r="K11" s="124">
        <f>CFyU!J10</f>
        <v>0</v>
      </c>
      <c r="L11" s="124">
        <f t="shared" si="2"/>
        <v>2395577200</v>
      </c>
      <c r="M11" s="344">
        <f t="shared" si="3"/>
        <v>1457708753</v>
      </c>
      <c r="N11" s="134">
        <f t="shared" si="4"/>
        <v>5500186702</v>
      </c>
      <c r="O11" s="1"/>
      <c r="P11" s="1"/>
      <c r="Q11" s="1"/>
      <c r="R11" s="1"/>
      <c r="S11" s="1"/>
      <c r="T11" s="1"/>
      <c r="U11" s="1"/>
      <c r="V11" s="1"/>
      <c r="W11" s="1"/>
      <c r="X11" s="1"/>
      <c r="Y11" s="1"/>
      <c r="Z11" s="1"/>
    </row>
    <row r="12" ht="12.75" customHeight="1">
      <c r="A12" s="343">
        <v>9.0</v>
      </c>
      <c r="B12" s="256">
        <f>CFyU!K14</f>
        <v>0</v>
      </c>
      <c r="C12" s="124">
        <f>CFyU!K15</f>
        <v>890054794.5</v>
      </c>
      <c r="D12" s="124">
        <f>CFyU!K21</f>
        <v>0</v>
      </c>
      <c r="E12" s="124">
        <f>CFyU!K19</f>
        <v>129591267.5</v>
      </c>
      <c r="F12" s="124">
        <f>CFyU!K17</f>
        <v>861781928.9</v>
      </c>
      <c r="G12" s="132">
        <f t="shared" si="1"/>
        <v>1881427991</v>
      </c>
      <c r="H12" s="124">
        <f>'CTV y CResult'!J61</f>
        <v>2591825350</v>
      </c>
      <c r="I12" s="124">
        <f>'Resumen Cred'!F15+'Resumen Cred'!H15</f>
        <v>0</v>
      </c>
      <c r="J12" s="124">
        <f>CFyU!K25</f>
        <v>39900000</v>
      </c>
      <c r="K12" s="124">
        <f>CFyU!K10</f>
        <v>0</v>
      </c>
      <c r="L12" s="124">
        <f t="shared" si="2"/>
        <v>2631725350</v>
      </c>
      <c r="M12" s="344">
        <f t="shared" si="3"/>
        <v>750297359.1</v>
      </c>
      <c r="N12" s="134">
        <f t="shared" si="4"/>
        <v>6250484061</v>
      </c>
      <c r="O12" s="1"/>
      <c r="P12" s="1"/>
      <c r="Q12" s="1"/>
      <c r="R12" s="1"/>
      <c r="S12" s="1"/>
      <c r="T12" s="1"/>
      <c r="U12" s="1"/>
      <c r="V12" s="1"/>
      <c r="W12" s="1"/>
      <c r="X12" s="1"/>
      <c r="Y12" s="1"/>
      <c r="Z12" s="1"/>
    </row>
    <row r="13" ht="12.75" customHeight="1">
      <c r="A13" s="343">
        <v>10.0</v>
      </c>
      <c r="B13" s="256">
        <f>CFyU!L14-'Inv AF'!O80</f>
        <v>-1348000000</v>
      </c>
      <c r="C13" s="124">
        <f>-InvAT!L13+InvAT!L22</f>
        <v>-1783053041</v>
      </c>
      <c r="D13" s="124">
        <f>CFyU!L21</f>
        <v>0</v>
      </c>
      <c r="E13" s="124">
        <f>CFyU!L19</f>
        <v>142020117.5</v>
      </c>
      <c r="F13" s="124">
        <f>CFyU!L17</f>
        <v>944433781.4</v>
      </c>
      <c r="G13" s="132">
        <f t="shared" si="1"/>
        <v>-2044599142</v>
      </c>
      <c r="H13" s="124">
        <f>'CTV y CResult'!K61</f>
        <v>2840402350</v>
      </c>
      <c r="I13" s="124">
        <f>'Resumen Cred'!F16+'Resumen Cred'!H16</f>
        <v>0</v>
      </c>
      <c r="J13" s="124">
        <f>CFyU!L25</f>
        <v>39900000</v>
      </c>
      <c r="K13" s="124">
        <f>CFyU!L10</f>
        <v>0</v>
      </c>
      <c r="L13" s="124">
        <f t="shared" si="2"/>
        <v>2880302350</v>
      </c>
      <c r="M13" s="344">
        <f t="shared" si="3"/>
        <v>4924901492</v>
      </c>
      <c r="N13" s="134">
        <f t="shared" si="4"/>
        <v>11175385553</v>
      </c>
      <c r="O13" s="1"/>
      <c r="P13" s="1"/>
      <c r="Q13" s="1"/>
      <c r="R13" s="1"/>
      <c r="S13" s="1"/>
      <c r="T13" s="1"/>
      <c r="U13" s="1"/>
      <c r="V13" s="1"/>
      <c r="W13" s="1"/>
      <c r="X13" s="1"/>
      <c r="Y13" s="1"/>
      <c r="Z13" s="1"/>
    </row>
    <row r="14" ht="12.75" customHeight="1">
      <c r="A14" s="343"/>
      <c r="B14" s="264"/>
      <c r="C14" s="108"/>
      <c r="D14" s="108"/>
      <c r="E14" s="108"/>
      <c r="F14" s="108"/>
      <c r="G14" s="108"/>
      <c r="H14" s="108"/>
      <c r="I14" s="108"/>
      <c r="J14" s="108"/>
      <c r="K14" s="108"/>
      <c r="L14" s="108"/>
      <c r="M14" s="345"/>
      <c r="N14" s="109"/>
      <c r="O14" s="1"/>
      <c r="P14" s="1"/>
      <c r="Q14" s="1"/>
      <c r="R14" s="1"/>
      <c r="S14" s="1"/>
      <c r="T14" s="1"/>
      <c r="U14" s="1"/>
      <c r="V14" s="1"/>
      <c r="W14" s="1"/>
      <c r="X14" s="1"/>
      <c r="Y14" s="1"/>
      <c r="Z14" s="1"/>
    </row>
    <row r="15" ht="12.75" customHeight="1">
      <c r="A15" s="346" t="s">
        <v>392</v>
      </c>
      <c r="B15" s="268">
        <f t="shared" ref="B15:L15" si="5">SUM(B3:B13)</f>
        <v>519950000</v>
      </c>
      <c r="C15" s="138">
        <f t="shared" si="5"/>
        <v>0</v>
      </c>
      <c r="D15" s="138">
        <f t="shared" si="5"/>
        <v>99844500</v>
      </c>
      <c r="E15" s="138">
        <f t="shared" si="5"/>
        <v>904889518.5</v>
      </c>
      <c r="F15" s="138">
        <f t="shared" si="5"/>
        <v>6017515298</v>
      </c>
      <c r="G15" s="138">
        <f t="shared" si="5"/>
        <v>7542199317</v>
      </c>
      <c r="H15" s="138">
        <f t="shared" si="5"/>
        <v>18097790370</v>
      </c>
      <c r="I15" s="138">
        <f t="shared" si="5"/>
        <v>0</v>
      </c>
      <c r="J15" s="138">
        <f t="shared" si="5"/>
        <v>519950000</v>
      </c>
      <c r="K15" s="138">
        <f t="shared" si="5"/>
        <v>99844500</v>
      </c>
      <c r="L15" s="138">
        <f t="shared" si="5"/>
        <v>18717584870</v>
      </c>
      <c r="M15" s="347">
        <f>L15-G15</f>
        <v>11175385553</v>
      </c>
      <c r="N15" s="139">
        <f>N13</f>
        <v>11175385553</v>
      </c>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4" t="s">
        <v>393</v>
      </c>
      <c r="D17" s="348">
        <f>N15</f>
        <v>11175385553</v>
      </c>
      <c r="E17" s="1"/>
      <c r="F17" s="1"/>
      <c r="G17" s="1"/>
      <c r="H17" s="1"/>
      <c r="I17" s="1"/>
      <c r="J17" s="1"/>
      <c r="K17" s="1"/>
      <c r="L17" s="1"/>
      <c r="M17" s="1"/>
      <c r="N17" s="1"/>
      <c r="O17" s="1"/>
      <c r="P17" s="1"/>
      <c r="Q17" s="1"/>
      <c r="R17" s="1"/>
      <c r="S17" s="1"/>
      <c r="T17" s="1"/>
      <c r="U17" s="1"/>
      <c r="V17" s="1"/>
      <c r="W17" s="1"/>
      <c r="X17" s="1"/>
      <c r="Y17" s="1"/>
      <c r="Z17" s="1"/>
    </row>
    <row r="18" ht="12.75" customHeight="1">
      <c r="A18" s="51"/>
      <c r="B18" s="1"/>
      <c r="C18" s="14" t="s">
        <v>394</v>
      </c>
      <c r="D18" s="349"/>
      <c r="E18" s="1" t="s">
        <v>395</v>
      </c>
      <c r="F18" s="1"/>
      <c r="G18" s="1"/>
      <c r="H18" s="1"/>
      <c r="I18" s="1"/>
      <c r="J18" s="1"/>
      <c r="K18" s="1"/>
      <c r="L18" s="1"/>
      <c r="M18" s="1"/>
      <c r="N18" s="1"/>
      <c r="O18" s="1"/>
      <c r="P18" s="1"/>
      <c r="Q18" s="1"/>
      <c r="R18" s="1"/>
      <c r="S18" s="1"/>
      <c r="T18" s="1"/>
      <c r="U18" s="1"/>
      <c r="V18" s="1"/>
      <c r="W18" s="1"/>
      <c r="X18" s="1"/>
      <c r="Y18" s="1"/>
      <c r="Z18" s="1"/>
    </row>
    <row r="19" ht="12.75" customHeight="1">
      <c r="A19" s="1"/>
      <c r="B19" s="1"/>
      <c r="C19" s="14" t="s">
        <v>396</v>
      </c>
      <c r="D19" s="350">
        <f>IRR(M3:M13)</f>
        <v>0.2971865359</v>
      </c>
      <c r="E19" s="1"/>
      <c r="F19" s="1"/>
      <c r="G19" s="1"/>
      <c r="H19" s="1"/>
      <c r="I19" s="1"/>
      <c r="J19" s="1"/>
      <c r="K19" s="1"/>
      <c r="L19" s="1"/>
      <c r="M19" s="1"/>
      <c r="N19" s="1"/>
      <c r="O19" s="1"/>
      <c r="P19" s="1"/>
      <c r="Q19" s="1"/>
      <c r="R19" s="1"/>
      <c r="S19" s="1"/>
      <c r="T19" s="1"/>
      <c r="U19" s="1"/>
      <c r="V19" s="1"/>
      <c r="W19" s="1"/>
      <c r="X19" s="1"/>
      <c r="Y19" s="1"/>
      <c r="Z19" s="1"/>
    </row>
    <row r="20" ht="12.75" customHeight="1">
      <c r="A20" s="351"/>
      <c r="B20" s="170"/>
      <c r="C20" s="170"/>
      <c r="D20" s="170"/>
      <c r="E20" s="170"/>
      <c r="F20" s="352"/>
      <c r="G20" s="352"/>
      <c r="H20" s="352"/>
      <c r="I20" s="352"/>
      <c r="J20" s="170"/>
      <c r="K20" s="352"/>
      <c r="L20" s="352"/>
      <c r="M20" s="352"/>
      <c r="N20" s="352"/>
      <c r="O20" s="170"/>
      <c r="P20" s="1"/>
      <c r="Q20" s="1"/>
      <c r="R20" s="1"/>
      <c r="S20" s="1"/>
      <c r="T20" s="1"/>
      <c r="U20" s="1"/>
      <c r="V20" s="1"/>
      <c r="W20" s="1"/>
      <c r="X20" s="1"/>
      <c r="Y20" s="1"/>
      <c r="Z20" s="1"/>
    </row>
    <row r="21" ht="12.75" customHeight="1">
      <c r="A21" s="353"/>
      <c r="B21" s="352"/>
      <c r="C21" s="354"/>
      <c r="D21" s="352"/>
      <c r="E21" s="352"/>
      <c r="F21" s="352"/>
      <c r="G21" s="352"/>
      <c r="H21" s="352"/>
      <c r="I21" s="352"/>
      <c r="J21" s="352"/>
      <c r="K21" s="352"/>
      <c r="L21" s="352"/>
      <c r="M21" s="352"/>
      <c r="N21" s="352"/>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355"/>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244" t="s">
        <v>397</v>
      </c>
      <c r="B24" s="117"/>
      <c r="C24" s="117"/>
      <c r="D24" s="117"/>
      <c r="E24" s="117"/>
      <c r="F24" s="117"/>
      <c r="G24" s="117"/>
      <c r="H24" s="118"/>
      <c r="I24" s="1"/>
      <c r="J24" s="1"/>
      <c r="K24" s="1"/>
      <c r="L24" s="1"/>
      <c r="M24" s="1"/>
      <c r="N24" s="1"/>
      <c r="O24" s="1"/>
      <c r="P24" s="1"/>
      <c r="Q24" s="1"/>
      <c r="R24" s="1"/>
      <c r="S24" s="1"/>
      <c r="T24" s="1"/>
      <c r="U24" s="1"/>
      <c r="V24" s="1"/>
      <c r="W24" s="1"/>
      <c r="X24" s="1"/>
      <c r="Y24" s="1"/>
      <c r="Z24" s="1"/>
    </row>
    <row r="25" ht="63.0" customHeight="1">
      <c r="A25" s="336" t="s">
        <v>380</v>
      </c>
      <c r="B25" s="251" t="s">
        <v>398</v>
      </c>
      <c r="C25" s="251" t="s">
        <v>384</v>
      </c>
      <c r="D25" s="251" t="s">
        <v>343</v>
      </c>
      <c r="E25" s="251" t="s">
        <v>399</v>
      </c>
      <c r="F25" s="251" t="s">
        <v>389</v>
      </c>
      <c r="G25" s="337" t="s">
        <v>390</v>
      </c>
      <c r="H25" s="338" t="s">
        <v>391</v>
      </c>
      <c r="I25" s="1"/>
      <c r="J25" s="1"/>
      <c r="K25" s="1"/>
      <c r="L25" s="1"/>
      <c r="M25" s="1"/>
      <c r="N25" s="1"/>
      <c r="O25" s="1"/>
      <c r="P25" s="1"/>
      <c r="Q25" s="1"/>
      <c r="R25" s="1"/>
      <c r="S25" s="1"/>
      <c r="T25" s="1"/>
      <c r="U25" s="1"/>
      <c r="V25" s="1"/>
      <c r="W25" s="1"/>
      <c r="X25" s="1"/>
      <c r="Y25" s="1"/>
      <c r="Z25" s="1"/>
    </row>
    <row r="26" ht="12.75" customHeight="1">
      <c r="A26" s="339">
        <v>0.0</v>
      </c>
      <c r="B26" s="340">
        <f>CFyU!B6</f>
        <v>2047258500</v>
      </c>
      <c r="C26" s="132">
        <f t="shared" ref="C26:C36" si="6">B26</f>
        <v>2047258500</v>
      </c>
      <c r="D26" s="132">
        <v>0.0</v>
      </c>
      <c r="E26" s="132">
        <f>CFyU!B28</f>
        <v>0</v>
      </c>
      <c r="F26" s="132">
        <f t="shared" ref="F26:F36" si="7">SUM(D26:E26)</f>
        <v>0</v>
      </c>
      <c r="G26" s="341">
        <f t="shared" ref="G26:G36" si="8">F26-C26</f>
        <v>-2047258500</v>
      </c>
      <c r="H26" s="342">
        <f>G26</f>
        <v>-2047258500</v>
      </c>
      <c r="I26" s="1"/>
      <c r="J26" s="1"/>
      <c r="K26" s="1"/>
      <c r="L26" s="1"/>
      <c r="M26" s="1"/>
      <c r="N26" s="1"/>
      <c r="O26" s="1"/>
      <c r="P26" s="1"/>
      <c r="Q26" s="1"/>
      <c r="R26" s="1"/>
      <c r="S26" s="1"/>
      <c r="T26" s="1"/>
      <c r="U26" s="1"/>
      <c r="V26" s="1"/>
      <c r="W26" s="1"/>
      <c r="X26" s="1"/>
      <c r="Y26" s="1"/>
      <c r="Z26" s="1"/>
    </row>
    <row r="27" ht="12.75" customHeight="1">
      <c r="A27" s="343">
        <v>1.0</v>
      </c>
      <c r="B27" s="256">
        <f>CFyU!C6</f>
        <v>1728084784</v>
      </c>
      <c r="C27" s="124">
        <f t="shared" si="6"/>
        <v>1728084784</v>
      </c>
      <c r="D27" s="124">
        <f>CFyU!C20</f>
        <v>0</v>
      </c>
      <c r="E27" s="124">
        <f>CFyU!C28</f>
        <v>337571059.8</v>
      </c>
      <c r="F27" s="124">
        <f t="shared" si="7"/>
        <v>337571059.8</v>
      </c>
      <c r="G27" s="344">
        <f t="shared" si="8"/>
        <v>-1390513724</v>
      </c>
      <c r="H27" s="134">
        <f t="shared" ref="H27:H36" si="9">H26+G27</f>
        <v>-3437772224</v>
      </c>
      <c r="I27" s="1"/>
      <c r="J27" s="1"/>
      <c r="K27" s="1"/>
      <c r="L27" s="1"/>
      <c r="M27" s="1"/>
      <c r="N27" s="1"/>
      <c r="O27" s="1"/>
      <c r="P27" s="1"/>
      <c r="Q27" s="1"/>
      <c r="R27" s="1"/>
      <c r="S27" s="1"/>
      <c r="T27" s="1"/>
      <c r="U27" s="1"/>
      <c r="V27" s="1"/>
      <c r="W27" s="1"/>
      <c r="X27" s="1"/>
      <c r="Y27" s="1"/>
      <c r="Z27" s="1"/>
    </row>
    <row r="28" ht="12.75" customHeight="1">
      <c r="A28" s="343">
        <v>2.0</v>
      </c>
      <c r="B28" s="256">
        <f>CFyU!D6</f>
        <v>0</v>
      </c>
      <c r="C28" s="124">
        <f t="shared" si="6"/>
        <v>0</v>
      </c>
      <c r="D28" s="124">
        <f>CFyU!D20</f>
        <v>0</v>
      </c>
      <c r="E28" s="124">
        <f>CFyU!D28</f>
        <v>1239849219</v>
      </c>
      <c r="F28" s="124">
        <f t="shared" si="7"/>
        <v>1239849219</v>
      </c>
      <c r="G28" s="344">
        <f t="shared" si="8"/>
        <v>1239849219</v>
      </c>
      <c r="H28" s="134">
        <f t="shared" si="9"/>
        <v>-2197923005</v>
      </c>
      <c r="I28" s="1"/>
      <c r="J28" s="1"/>
      <c r="K28" s="1"/>
      <c r="L28" s="1"/>
      <c r="M28" s="1"/>
      <c r="N28" s="1"/>
      <c r="O28" s="1"/>
      <c r="P28" s="1"/>
      <c r="Q28" s="1"/>
      <c r="R28" s="1"/>
      <c r="S28" s="1"/>
      <c r="T28" s="1"/>
      <c r="U28" s="1"/>
      <c r="V28" s="1"/>
      <c r="W28" s="1"/>
      <c r="X28" s="1"/>
      <c r="Y28" s="1"/>
      <c r="Z28" s="1"/>
    </row>
    <row r="29" ht="12.75" customHeight="1">
      <c r="A29" s="343">
        <v>3.0</v>
      </c>
      <c r="B29" s="256">
        <f>CFyU!E6</f>
        <v>0</v>
      </c>
      <c r="C29" s="124">
        <f t="shared" si="6"/>
        <v>0</v>
      </c>
      <c r="D29" s="124">
        <f>CFyU!E20</f>
        <v>0</v>
      </c>
      <c r="E29" s="124">
        <f>CFyU!E28</f>
        <v>1198371910</v>
      </c>
      <c r="F29" s="124">
        <f t="shared" si="7"/>
        <v>1198371910</v>
      </c>
      <c r="G29" s="344">
        <f t="shared" si="8"/>
        <v>1198371910</v>
      </c>
      <c r="H29" s="134">
        <f t="shared" si="9"/>
        <v>-999551094.8</v>
      </c>
      <c r="I29" s="1"/>
      <c r="J29" s="1"/>
      <c r="K29" s="1"/>
      <c r="L29" s="1"/>
      <c r="M29" s="1"/>
      <c r="N29" s="1"/>
      <c r="O29" s="1"/>
      <c r="P29" s="1"/>
      <c r="Q29" s="1"/>
      <c r="R29" s="1"/>
      <c r="S29" s="1"/>
      <c r="T29" s="1"/>
      <c r="U29" s="1"/>
      <c r="V29" s="1"/>
      <c r="W29" s="1"/>
      <c r="X29" s="1"/>
      <c r="Y29" s="1"/>
      <c r="Z29" s="1"/>
    </row>
    <row r="30" ht="12.75" customHeight="1">
      <c r="A30" s="343">
        <v>4.0</v>
      </c>
      <c r="B30" s="256">
        <f>CFyU!F6</f>
        <v>0</v>
      </c>
      <c r="C30" s="124">
        <f t="shared" si="6"/>
        <v>0</v>
      </c>
      <c r="D30" s="124">
        <f>CFyU!F20</f>
        <v>0</v>
      </c>
      <c r="E30" s="124">
        <f>CFyU!F28</f>
        <v>1063079156</v>
      </c>
      <c r="F30" s="124">
        <f t="shared" si="7"/>
        <v>1063079156</v>
      </c>
      <c r="G30" s="344">
        <f t="shared" si="8"/>
        <v>1063079156</v>
      </c>
      <c r="H30" s="134">
        <f t="shared" si="9"/>
        <v>63528061.53</v>
      </c>
      <c r="I30" s="1"/>
      <c r="J30" s="1"/>
      <c r="K30" s="1"/>
      <c r="L30" s="1"/>
      <c r="M30" s="1"/>
      <c r="N30" s="1"/>
      <c r="O30" s="1"/>
      <c r="P30" s="1"/>
      <c r="Q30" s="1"/>
      <c r="R30" s="1"/>
      <c r="S30" s="1"/>
      <c r="T30" s="1"/>
      <c r="U30" s="1"/>
      <c r="V30" s="1"/>
      <c r="W30" s="1"/>
      <c r="X30" s="1"/>
      <c r="Y30" s="1"/>
      <c r="Z30" s="1"/>
    </row>
    <row r="31" ht="12.75" customHeight="1">
      <c r="A31" s="343">
        <v>5.0</v>
      </c>
      <c r="B31" s="256">
        <f>CFyU!G6</f>
        <v>0</v>
      </c>
      <c r="C31" s="124">
        <f t="shared" si="6"/>
        <v>0</v>
      </c>
      <c r="D31" s="124">
        <f>CFyU!G20</f>
        <v>0</v>
      </c>
      <c r="E31" s="124">
        <f>CFyU!G28</f>
        <v>1190996742</v>
      </c>
      <c r="F31" s="124">
        <f t="shared" si="7"/>
        <v>1190996742</v>
      </c>
      <c r="G31" s="344">
        <f t="shared" si="8"/>
        <v>1190996742</v>
      </c>
      <c r="H31" s="134">
        <f t="shared" si="9"/>
        <v>1254524804</v>
      </c>
      <c r="I31" s="1"/>
      <c r="J31" s="1"/>
      <c r="K31" s="1"/>
      <c r="L31" s="1"/>
      <c r="M31" s="1"/>
      <c r="N31" s="1"/>
      <c r="O31" s="1"/>
      <c r="P31" s="1"/>
      <c r="Q31" s="1"/>
      <c r="R31" s="1"/>
      <c r="S31" s="1"/>
      <c r="T31" s="1"/>
      <c r="U31" s="1"/>
      <c r="V31" s="1"/>
      <c r="W31" s="1"/>
      <c r="X31" s="1"/>
      <c r="Y31" s="1"/>
      <c r="Z31" s="1"/>
    </row>
    <row r="32" ht="12.75" customHeight="1">
      <c r="A32" s="343">
        <v>6.0</v>
      </c>
      <c r="B32" s="256" t="str">
        <f>CFyU!H6</f>
        <v/>
      </c>
      <c r="C32" s="124" t="str">
        <f t="shared" si="6"/>
        <v/>
      </c>
      <c r="D32" s="124">
        <f>CFyU!H20</f>
        <v>0</v>
      </c>
      <c r="E32" s="124">
        <f>CFyU!H28</f>
        <v>1320879754</v>
      </c>
      <c r="F32" s="124">
        <f t="shared" si="7"/>
        <v>1320879754</v>
      </c>
      <c r="G32" s="344">
        <f t="shared" si="8"/>
        <v>1320879754</v>
      </c>
      <c r="H32" s="134">
        <f t="shared" si="9"/>
        <v>2575404558</v>
      </c>
      <c r="I32" s="1"/>
      <c r="J32" s="1"/>
      <c r="K32" s="1"/>
      <c r="L32" s="1"/>
      <c r="M32" s="1"/>
      <c r="N32" s="1"/>
      <c r="O32" s="1"/>
      <c r="P32" s="1"/>
      <c r="Q32" s="1"/>
      <c r="R32" s="1"/>
      <c r="S32" s="1"/>
      <c r="T32" s="1"/>
      <c r="U32" s="1"/>
      <c r="V32" s="1"/>
      <c r="W32" s="1"/>
      <c r="X32" s="1"/>
      <c r="Y32" s="1"/>
      <c r="Z32" s="1"/>
    </row>
    <row r="33" ht="12.75" customHeight="1">
      <c r="A33" s="343">
        <v>7.0</v>
      </c>
      <c r="B33" s="256">
        <f>CFyU!I6</f>
        <v>0</v>
      </c>
      <c r="C33" s="124">
        <f t="shared" si="6"/>
        <v>0</v>
      </c>
      <c r="D33" s="124">
        <f>CFyU!I20</f>
        <v>0</v>
      </c>
      <c r="E33" s="124">
        <f>CFyU!I28</f>
        <v>1467073391</v>
      </c>
      <c r="F33" s="124">
        <f t="shared" si="7"/>
        <v>1467073391</v>
      </c>
      <c r="G33" s="344">
        <f t="shared" si="8"/>
        <v>1467073391</v>
      </c>
      <c r="H33" s="134">
        <f t="shared" si="9"/>
        <v>4042477949</v>
      </c>
      <c r="I33" s="1"/>
      <c r="J33" s="1"/>
      <c r="K33" s="1"/>
      <c r="L33" s="1"/>
      <c r="M33" s="1"/>
      <c r="N33" s="1"/>
      <c r="O33" s="1"/>
      <c r="P33" s="1"/>
      <c r="Q33" s="1"/>
      <c r="R33" s="1"/>
      <c r="S33" s="1"/>
      <c r="T33" s="1"/>
      <c r="U33" s="1"/>
      <c r="V33" s="1"/>
      <c r="W33" s="1"/>
      <c r="X33" s="1"/>
      <c r="Y33" s="1"/>
      <c r="Z33" s="1"/>
    </row>
    <row r="34" ht="12.75" customHeight="1">
      <c r="A34" s="343">
        <v>8.0</v>
      </c>
      <c r="B34" s="256">
        <f>CFyU!J6</f>
        <v>0</v>
      </c>
      <c r="C34" s="124">
        <f t="shared" si="6"/>
        <v>0</v>
      </c>
      <c r="D34" s="124">
        <f>CFyU!J20</f>
        <v>0</v>
      </c>
      <c r="E34" s="124">
        <f>CFyU!J28</f>
        <v>1457708753</v>
      </c>
      <c r="F34" s="124">
        <f t="shared" si="7"/>
        <v>1457708753</v>
      </c>
      <c r="G34" s="344">
        <f t="shared" si="8"/>
        <v>1457708753</v>
      </c>
      <c r="H34" s="134">
        <f t="shared" si="9"/>
        <v>5500186702</v>
      </c>
      <c r="I34" s="1"/>
      <c r="J34" s="1"/>
      <c r="K34" s="1"/>
      <c r="L34" s="1"/>
      <c r="M34" s="1"/>
      <c r="N34" s="1"/>
      <c r="O34" s="1"/>
      <c r="P34" s="1"/>
      <c r="Q34" s="1"/>
      <c r="R34" s="1"/>
      <c r="S34" s="1"/>
      <c r="T34" s="1"/>
      <c r="U34" s="1"/>
      <c r="V34" s="1"/>
      <c r="W34" s="1"/>
      <c r="X34" s="1"/>
      <c r="Y34" s="1"/>
      <c r="Z34" s="1"/>
    </row>
    <row r="35" ht="12.75" customHeight="1">
      <c r="A35" s="343">
        <v>9.0</v>
      </c>
      <c r="B35" s="256">
        <f>CFyU!K6</f>
        <v>0</v>
      </c>
      <c r="C35" s="124">
        <f t="shared" si="6"/>
        <v>0</v>
      </c>
      <c r="D35" s="124">
        <f>CFyU!K20</f>
        <v>0</v>
      </c>
      <c r="E35" s="124">
        <f>CFyU!K28</f>
        <v>750297359.1</v>
      </c>
      <c r="F35" s="124">
        <f t="shared" si="7"/>
        <v>750297359.1</v>
      </c>
      <c r="G35" s="344">
        <f t="shared" si="8"/>
        <v>750297359.1</v>
      </c>
      <c r="H35" s="134">
        <f t="shared" si="9"/>
        <v>6250484061</v>
      </c>
      <c r="I35" s="1"/>
      <c r="J35" s="1"/>
      <c r="K35" s="1"/>
      <c r="L35" s="1"/>
      <c r="M35" s="1"/>
      <c r="N35" s="1"/>
      <c r="O35" s="1"/>
      <c r="P35" s="1"/>
      <c r="Q35" s="1"/>
      <c r="R35" s="1"/>
      <c r="S35" s="1"/>
      <c r="T35" s="1"/>
      <c r="U35" s="1"/>
      <c r="V35" s="1"/>
      <c r="W35" s="1"/>
      <c r="X35" s="1"/>
      <c r="Y35" s="1"/>
      <c r="Z35" s="1"/>
    </row>
    <row r="36" ht="12.75" customHeight="1">
      <c r="A36" s="343">
        <v>10.0</v>
      </c>
      <c r="B36" s="256">
        <f>-'Inv AF'!O80-CFyU!M15+CFyU!M7</f>
        <v>-4638910575</v>
      </c>
      <c r="C36" s="124">
        <f t="shared" si="6"/>
        <v>-4638910575</v>
      </c>
      <c r="D36" s="124">
        <f>CFyU!L20</f>
        <v>0</v>
      </c>
      <c r="E36" s="124">
        <f>CFyU!L28</f>
        <v>285990916.9</v>
      </c>
      <c r="F36" s="124">
        <f t="shared" si="7"/>
        <v>285990916.9</v>
      </c>
      <c r="G36" s="344">
        <f t="shared" si="8"/>
        <v>4924901492</v>
      </c>
      <c r="H36" s="134">
        <f t="shared" si="9"/>
        <v>11175385553</v>
      </c>
      <c r="I36" s="1"/>
      <c r="J36" s="1"/>
      <c r="K36" s="1"/>
      <c r="L36" s="1"/>
      <c r="M36" s="1"/>
      <c r="N36" s="1"/>
      <c r="O36" s="1"/>
      <c r="P36" s="1"/>
      <c r="Q36" s="1"/>
      <c r="R36" s="1"/>
      <c r="S36" s="1"/>
      <c r="T36" s="1"/>
      <c r="U36" s="1"/>
      <c r="V36" s="1"/>
      <c r="W36" s="1"/>
      <c r="X36" s="1"/>
      <c r="Y36" s="1"/>
      <c r="Z36" s="1"/>
    </row>
    <row r="37" ht="3.0" customHeight="1">
      <c r="A37" s="343"/>
      <c r="B37" s="264"/>
      <c r="C37" s="108"/>
      <c r="D37" s="108"/>
      <c r="E37" s="108"/>
      <c r="F37" s="108"/>
      <c r="G37" s="345"/>
      <c r="H37" s="109"/>
      <c r="I37" s="1"/>
      <c r="J37" s="1"/>
      <c r="K37" s="1"/>
      <c r="L37" s="1"/>
      <c r="M37" s="1"/>
      <c r="N37" s="1"/>
      <c r="O37" s="1"/>
      <c r="P37" s="1"/>
      <c r="Q37" s="1"/>
      <c r="R37" s="1"/>
      <c r="S37" s="1"/>
      <c r="T37" s="1"/>
      <c r="U37" s="1"/>
      <c r="V37" s="1"/>
      <c r="W37" s="1"/>
      <c r="X37" s="1"/>
      <c r="Y37" s="1"/>
      <c r="Z37" s="1"/>
    </row>
    <row r="38" ht="12.75" customHeight="1">
      <c r="A38" s="346" t="s">
        <v>392</v>
      </c>
      <c r="B38" s="268">
        <f t="shared" ref="B38:F38" si="10">SUM(B26:B36)</f>
        <v>-863567291.6</v>
      </c>
      <c r="C38" s="138">
        <f t="shared" si="10"/>
        <v>-863567291.6</v>
      </c>
      <c r="D38" s="138">
        <f t="shared" si="10"/>
        <v>0</v>
      </c>
      <c r="E38" s="138">
        <f t="shared" si="10"/>
        <v>10311818262</v>
      </c>
      <c r="F38" s="138">
        <f t="shared" si="10"/>
        <v>10311818262</v>
      </c>
      <c r="G38" s="347">
        <f>F38-C38</f>
        <v>11175385553</v>
      </c>
      <c r="H38" s="139">
        <f>H36</f>
        <v>11175385553</v>
      </c>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4" t="s">
        <v>393</v>
      </c>
      <c r="D41" s="356">
        <f>H38</f>
        <v>11175385553</v>
      </c>
      <c r="E41" s="1" t="s">
        <v>400</v>
      </c>
      <c r="F41" s="1"/>
      <c r="G41" s="1"/>
      <c r="H41" s="1"/>
      <c r="I41" s="1"/>
      <c r="J41" s="1"/>
      <c r="K41" s="1"/>
      <c r="L41" s="1"/>
      <c r="M41" s="1"/>
      <c r="N41" s="1"/>
      <c r="O41" s="1"/>
      <c r="P41" s="1"/>
      <c r="Q41" s="1"/>
      <c r="R41" s="1"/>
      <c r="S41" s="1"/>
      <c r="T41" s="1"/>
      <c r="U41" s="1"/>
      <c r="V41" s="1"/>
      <c r="W41" s="1"/>
      <c r="X41" s="1"/>
      <c r="Y41" s="1"/>
      <c r="Z41" s="1"/>
    </row>
    <row r="42" ht="12.75" customHeight="1">
      <c r="A42" s="1"/>
      <c r="B42" s="1"/>
      <c r="C42" s="14" t="s">
        <v>394</v>
      </c>
      <c r="D42" s="349"/>
      <c r="E42" s="1" t="s">
        <v>401</v>
      </c>
      <c r="F42" s="1"/>
      <c r="G42" s="1"/>
      <c r="H42" s="1"/>
      <c r="I42" s="1"/>
      <c r="J42" s="1"/>
      <c r="K42" s="1"/>
      <c r="L42" s="1"/>
      <c r="M42" s="1"/>
      <c r="N42" s="1"/>
      <c r="O42" s="1"/>
      <c r="P42" s="1"/>
      <c r="Q42" s="1"/>
      <c r="R42" s="1"/>
      <c r="S42" s="1"/>
      <c r="T42" s="1"/>
      <c r="U42" s="1"/>
      <c r="V42" s="1"/>
      <c r="W42" s="1"/>
      <c r="X42" s="1"/>
      <c r="Y42" s="1"/>
      <c r="Z42" s="1"/>
    </row>
    <row r="43" ht="12.75" customHeight="1">
      <c r="A43" s="1"/>
      <c r="B43" s="1"/>
      <c r="C43" s="14" t="s">
        <v>402</v>
      </c>
      <c r="D43" s="350">
        <f>IRR(G26:G36)</f>
        <v>0.2971865359</v>
      </c>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26" right="0.46" top="1.27"/>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2004-09-01T03:31:20Z</dcterms:created>
  <dc:creator>Berenguer,Cabeza, Martinez Iraci</dc:creator>
</cp:coreProperties>
</file>