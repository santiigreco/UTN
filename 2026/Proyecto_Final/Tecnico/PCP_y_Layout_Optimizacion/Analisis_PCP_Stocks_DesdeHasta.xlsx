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umen Ejecutivo" sheetId="1" state="visible" r:id="rId1"/>
    <sheet xmlns:r="http://schemas.openxmlformats.org/officeDocument/2006/relationships" name="2. PCP - Programa &amp; Lotes" sheetId="2" state="visible" r:id="rId2"/>
    <sheet xmlns:r="http://schemas.openxmlformats.org/officeDocument/2006/relationships" name="3. Cuantificación Frecuencias" sheetId="3" state="visible" r:id="rId3"/>
    <sheet xmlns:r="http://schemas.openxmlformats.org/officeDocument/2006/relationships" name="4. Dimensionamiento Stocks" sheetId="4" state="visible" r:id="rId4"/>
    <sheet xmlns:r="http://schemas.openxmlformats.org/officeDocument/2006/relationships" name="5. Desde-Hasta (Viajes)" sheetId="5" state="visible" r:id="rId5"/>
    <sheet xmlns:r="http://schemas.openxmlformats.org/officeDocument/2006/relationships" name="6. Desde-Hasta (Flujo Masa)" sheetId="6" state="visible" r:id="rId6"/>
    <sheet xmlns:r="http://schemas.openxmlformats.org/officeDocument/2006/relationships" name="7. Carga-Distancia &amp; Hor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95959"/>
      <sz val="10"/>
    </font>
    <font>
      <name val="Calibri"/>
      <b val="1"/>
      <color rgb="00000000"/>
      <sz val="9"/>
    </font>
    <font>
      <name val="Calibri"/>
      <b val="1"/>
      <color rgb="00833C0C"/>
      <sz val="9"/>
    </font>
    <font>
      <name val="Calibri"/>
      <b val="1"/>
      <color rgb="001F497D"/>
      <sz val="11"/>
    </font>
    <font>
      <name val="Calibri"/>
      <color rgb="00000000"/>
      <sz val="9"/>
    </font>
    <font>
      <name val="Calibri"/>
      <b val="1"/>
      <color rgb="00595959"/>
      <sz val="8"/>
    </font>
    <font>
      <name val="Calibri"/>
      <b val="1"/>
      <color rgb="001F497D"/>
      <sz val="12"/>
    </font>
    <font>
      <name val="Calibri"/>
      <i val="1"/>
      <color rgb="00595959"/>
      <sz val="8"/>
    </font>
    <font>
      <name val="Calibri"/>
      <b val="1"/>
      <color rgb="00FFFFFF"/>
      <sz val="10"/>
    </font>
    <font>
      <name val="Consolas"/>
      <b val="1"/>
      <color rgb="001F497D"/>
      <sz val="9"/>
    </font>
    <font>
      <name val="Calibri"/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AEEF7"/>
      </patternFill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F2F5F9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C65911"/>
      </left>
      <right style="thin">
        <color rgb="00C65911"/>
      </right>
      <top style="thin">
        <color rgb="00C65911"/>
      </top>
      <bottom style="thin">
        <color rgb="00C65911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1F497D"/>
      </left>
      <right style="thin">
        <color rgb="001F497D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4" fontId="8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3" fontId="8" fillId="4" borderId="2" applyAlignment="1" pivotButton="0" quotePrefix="0" xfId="0">
      <alignment horizontal="center" vertical="center" wrapText="1"/>
    </xf>
    <xf numFmtId="0" fontId="10" fillId="5" borderId="7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0" fillId="0" borderId="8" pivotButton="0" quotePrefix="0" xfId="0"/>
    <xf numFmtId="4" fontId="3" fillId="0" borderId="8" applyAlignment="1" pivotButton="0" quotePrefix="0" xfId="0">
      <alignment horizontal="right" vertical="center"/>
    </xf>
    <xf numFmtId="164" fontId="3" fillId="0" borderId="8" applyAlignment="1" pivotButton="0" quotePrefix="0" xfId="0">
      <alignment horizontal="right" vertical="center"/>
    </xf>
    <xf numFmtId="165" fontId="3" fillId="0" borderId="8" applyAlignment="1" pivotButton="0" quotePrefix="0" xfId="0">
      <alignment horizontal="right" vertical="center"/>
    </xf>
    <xf numFmtId="0" fontId="10" fillId="6" borderId="7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3" fontId="3" fillId="0" borderId="2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166" fontId="4" fillId="2" borderId="1" applyAlignment="1" pivotButton="0" quotePrefix="0" xfId="0">
      <alignment horizontal="right" vertical="center"/>
    </xf>
    <xf numFmtId="2" fontId="4" fillId="2" borderId="1" applyAlignment="1" pivotButton="0" quotePrefix="0" xfId="0">
      <alignment horizontal="right" vertical="center"/>
    </xf>
    <xf numFmtId="2" fontId="6" fillId="0" borderId="2" applyAlignment="1" pivotButton="0" quotePrefix="0" xfId="0">
      <alignment horizontal="right" vertical="center"/>
    </xf>
    <xf numFmtId="2" fontId="3" fillId="3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left" vertical="center"/>
    </xf>
    <xf numFmtId="165" fontId="6" fillId="7" borderId="2" applyAlignment="1" pivotButton="0" quotePrefix="0" xfId="0">
      <alignment horizontal="right" vertical="center"/>
    </xf>
    <xf numFmtId="2" fontId="6" fillId="7" borderId="2" applyAlignment="1" pivotButton="0" quotePrefix="0" xfId="0">
      <alignment horizontal="right" vertical="center"/>
    </xf>
    <xf numFmtId="165" fontId="3" fillId="7" borderId="2" applyAlignment="1" pivotButton="0" quotePrefix="0" xfId="0">
      <alignment horizontal="right" vertical="center"/>
    </xf>
    <xf numFmtId="0" fontId="10" fillId="5" borderId="8" applyAlignment="1" pivotButton="0" quotePrefix="0" xfId="0">
      <alignment horizontal="left" vertical="center"/>
    </xf>
    <xf numFmtId="165" fontId="10" fillId="5" borderId="8" applyAlignment="1" pivotButton="0" quotePrefix="0" xfId="0">
      <alignment horizontal="right" vertical="center"/>
    </xf>
    <xf numFmtId="2" fontId="10" fillId="5" borderId="8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4" fontId="3" fillId="3" borderId="2" applyAlignment="1" pivotButton="0" quotePrefix="0" xfId="0">
      <alignment horizontal="right" vertical="center"/>
    </xf>
    <xf numFmtId="0" fontId="12" fillId="5" borderId="7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165" fontId="3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 wrapText="1"/>
    </xf>
    <xf numFmtId="165" fontId="3" fillId="3" borderId="8" applyAlignment="1" pivotButton="0" quotePrefix="0" xfId="0">
      <alignment horizontal="center" vertical="center" wrapText="1"/>
    </xf>
    <xf numFmtId="165" fontId="10" fillId="5" borderId="8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12" fillId="6" borderId="7" applyAlignment="1" pivotButton="0" quotePrefix="0" xfId="0">
      <alignment horizontal="center" vertical="center" wrapText="1"/>
    </xf>
    <xf numFmtId="3" fontId="6" fillId="3" borderId="2" applyAlignment="1" pivotButton="0" quotePrefix="0" xfId="0">
      <alignment horizontal="right" vertical="center"/>
    </xf>
    <xf numFmtId="0" fontId="10" fillId="6" borderId="8" applyAlignment="1" pivotButton="0" quotePrefix="0" xfId="0">
      <alignment horizontal="center" vertical="center" wrapText="1"/>
    </xf>
    <xf numFmtId="3" fontId="3" fillId="3" borderId="8" applyAlignment="1" pivotButton="0" quotePrefix="0" xfId="0">
      <alignment horizontal="right" vertical="center"/>
    </xf>
    <xf numFmtId="3" fontId="10" fillId="6" borderId="8" applyAlignment="1" pivotButton="0" quotePrefix="0" xfId="0">
      <alignment horizontal="right" vertical="center"/>
    </xf>
    <xf numFmtId="166" fontId="3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45" customWidth="1" min="4" max="4"/>
    <col width="45" customWidth="1" min="5" max="5"/>
    <col width="10" customWidth="1" min="6" max="6"/>
    <col width="10" customWidth="1" min="7" max="7"/>
    <col width="45" customWidth="1" min="8" max="8"/>
    <col width="10" customWidth="1" min="9" max="9"/>
    <col width="10" customWidth="1" min="10" max="10"/>
  </cols>
  <sheetData>
    <row r="1"/>
    <row r="2">
      <c r="B2" s="1" t="inlineStr">
        <is>
          <t>PLANTA DE ALIMENTOS LIBRES DE GLUTEN (CELI)</t>
        </is>
      </c>
    </row>
    <row r="3">
      <c r="B3" s="2" t="inlineStr">
        <is>
          <t>Proyecto Final de Ingeniería Industrial - UTN FRBA | Articulación Dinámica PCP vs. Layout</t>
        </is>
      </c>
    </row>
    <row r="4">
      <c r="B4" s="3" t="inlineStr">
        <is>
          <t>REFERENCIA DE FORMATO:</t>
        </is>
      </c>
      <c r="C4" s="4" t="inlineStr">
        <is>
          <t>Parámetro Configurable (Modificable)</t>
        </is>
      </c>
      <c r="E4" s="5" t="inlineStr">
        <is>
          <t>Fórmula Automática / Vinculada</t>
        </is>
      </c>
    </row>
    <row r="5"/>
    <row r="6">
      <c r="B6" s="6" t="inlineStr">
        <is>
          <t>1. OBJETIVO DEL ESTUDIO TÉCNICO-LOGÍSTICO</t>
        </is>
      </c>
    </row>
    <row r="7">
      <c r="B7" s="7" t="inlineStr">
        <is>
          <t>El presente modelo articula los datos maestros de Planeamiento y Control de la Producción (PCP), balance de masa (BOM) y dimensionamiento de equipos al Año 10 con la distribución en planta (Layout).</t>
        </is>
      </c>
    </row>
    <row r="8">
      <c r="B8" s="7" t="inlineStr">
        <is>
          <t>Todas las hojas se encuentran 100% vinculadas dinámicamente: cualquier modificación en la demanda, baches o rendimientos del PCP impacta de forma automática en los stocks, frecuencias y horas de traslado del layout.</t>
        </is>
      </c>
    </row>
    <row r="9"/>
    <row r="10">
      <c r="B10" s="6" t="inlineStr">
        <is>
          <t>2. INDICADORES MAESTROS DE PLANTA (VINCULADOS AL PCP Y LAYOUT)</t>
        </is>
      </c>
    </row>
    <row r="11"/>
    <row r="12">
      <c r="B12" s="8" t="inlineStr">
        <is>
          <t>PRODUCCIÓN TOTAL AÑO 10</t>
        </is>
      </c>
      <c r="C12" s="9" t="n"/>
      <c r="D12" s="10" t="n"/>
      <c r="E12" s="8" t="inlineStr">
        <is>
          <t>RÉGIMEN OPERATIVO</t>
        </is>
      </c>
      <c r="F12" s="9" t="n"/>
      <c r="G12" s="10" t="n"/>
      <c r="H12" s="8" t="inlineStr">
        <is>
          <t>SALIDA POR TURNO</t>
        </is>
      </c>
      <c r="I12" s="9" t="n"/>
      <c r="J12" s="10" t="n"/>
    </row>
    <row r="13">
      <c r="B13" s="11">
        <f>'2. PCP - Programa &amp; Lotes'!F20</f>
        <v/>
      </c>
      <c r="C13" s="9" t="n"/>
      <c r="D13" s="10" t="n"/>
      <c r="E13" s="12" t="inlineStr">
        <is>
          <t>239 días / 3 turnos</t>
        </is>
      </c>
      <c r="F13" s="9" t="n"/>
      <c r="G13" s="10" t="n"/>
      <c r="H13" s="11">
        <f>'2. PCP - Programa &amp; Lotes'!J20</f>
        <v/>
      </c>
      <c r="I13" s="9" t="n"/>
      <c r="J13" s="10" t="n"/>
    </row>
    <row r="14">
      <c r="B14" s="13" t="inlineStr">
        <is>
          <t>kg PT / año | Línea A: Galletitas | Línea B: Panificados</t>
        </is>
      </c>
      <c r="C14" s="9" t="n"/>
      <c r="D14" s="10" t="n"/>
      <c r="E14" s="13" t="inlineStr">
        <is>
          <t>5.736 hs activas/año (15 turnos/sem)</t>
        </is>
      </c>
      <c r="F14" s="9" t="n"/>
      <c r="G14" s="10" t="n"/>
      <c r="H14" s="13" t="inlineStr">
        <is>
          <t>kg PT / turno | Promedio ponderado total planta</t>
        </is>
      </c>
      <c r="I14" s="9" t="n"/>
      <c r="J14" s="10" t="n"/>
    </row>
    <row r="15"/>
    <row r="16">
      <c r="B16" s="8" t="inlineStr">
        <is>
          <t>PALLETS A EXPEDICIÓN</t>
        </is>
      </c>
      <c r="C16" s="9" t="n"/>
      <c r="D16" s="10" t="n"/>
      <c r="E16" s="8" t="inlineStr">
        <is>
          <t>POLÍTICA DE STOCK PT</t>
        </is>
      </c>
      <c r="F16" s="9" t="n"/>
      <c r="G16" s="10" t="n"/>
      <c r="H16" s="8" t="inlineStr">
        <is>
          <t>HORAS TRASLADO / TURNO</t>
        </is>
      </c>
      <c r="I16" s="9" t="n"/>
      <c r="J16" s="10" t="n"/>
    </row>
    <row r="17">
      <c r="B17" s="14">
        <f>'4. Dimensionamiento Stocks'!C9</f>
        <v/>
      </c>
      <c r="C17" s="9" t="n"/>
      <c r="D17" s="10" t="n"/>
      <c r="E17" s="14">
        <f>'4. Dimensionamiento Stocks'!C10</f>
        <v/>
      </c>
      <c r="F17" s="9" t="n"/>
      <c r="G17" s="10" t="n"/>
      <c r="H17" s="11">
        <f>'3. Cuantificación Frecuencias'!N27</f>
        <v/>
      </c>
      <c r="I17" s="9" t="n"/>
      <c r="J17" s="10" t="n"/>
    </row>
    <row r="18">
      <c r="B18" s="13" t="inlineStr">
        <is>
          <t>pallets / semana | Galletitas: 30 pal/sem | Panif: 10 pal/sem</t>
        </is>
      </c>
      <c r="C18" s="9" t="n"/>
      <c r="D18" s="10" t="n"/>
      <c r="E18" s="13" t="inlineStr">
        <is>
          <t>días hábiles | Capacidad: 160 posiciones de rack</t>
        </is>
      </c>
      <c r="F18" s="9" t="n"/>
      <c r="G18" s="10" t="n"/>
      <c r="H18" s="13" t="inlineStr">
        <is>
          <t>hs / turno | Tiempo total en movimientos internos</t>
        </is>
      </c>
      <c r="I18" s="9" t="n"/>
      <c r="J18" s="10" t="n"/>
    </row>
    <row r="19"/>
    <row r="20"/>
    <row r="21">
      <c r="B21" s="6" t="inlineStr">
        <is>
          <t>3. METODOLOGÍA DE ARTICULACIÓN DINÁMICA ENTRE HOJAS</t>
        </is>
      </c>
    </row>
    <row r="22"/>
    <row r="23">
      <c r="B23" s="15" t="inlineStr">
        <is>
          <t>Etapa Metodológica</t>
        </is>
      </c>
      <c r="C23" s="15" t="inlineStr">
        <is>
          <t>Descripción y Justificación Técnica</t>
        </is>
      </c>
      <c r="D23" s="15" t="inlineStr">
        <is>
          <t>Solapa de Referencia</t>
        </is>
      </c>
    </row>
    <row r="24">
      <c r="B24" s="16" t="inlineStr">
        <is>
          <t>PASO 1: PCP MAESTRO (ENTRADA)</t>
        </is>
      </c>
      <c r="C24" s="17" t="inlineStr">
        <is>
          <t>Cálculo de turnos por SKU, batches por hora y masa a preparar según rendimientos del BOM.</t>
        </is>
      </c>
      <c r="D24" s="5" t="inlineStr">
        <is>
          <t>Solapa: 2. PCP - Programa &amp; Lotes</t>
        </is>
      </c>
    </row>
    <row r="25">
      <c r="B25" s="16" t="inlineStr">
        <is>
          <t>PASO 2: CUANTIFICACIÓN DE FRECUENCIAS</t>
        </is>
      </c>
      <c r="C25" s="17" t="inlineStr">
        <is>
          <t>Análisis detallado tramo por tramo (pesos, velocidades, tiempos de maniobra y cálculo dinámico de horas).</t>
        </is>
      </c>
      <c r="D25" s="5" t="inlineStr">
        <is>
          <t>Solapa: 3. Cuantificación Frecuencias</t>
        </is>
      </c>
    </row>
    <row r="26">
      <c r="B26" s="16" t="inlineStr">
        <is>
          <t>PASO 3: DIMENSIONAMIENTO DE STOCKS</t>
        </is>
      </c>
      <c r="C26" s="17" t="inlineStr">
        <is>
          <t>Cálculo automático de posiciones de racks PT (160 pal), MP (52 pal) y pulmones WIP alimentado por el PCP.</t>
        </is>
      </c>
      <c r="D26" s="5" t="inlineStr">
        <is>
          <t>Solapa: 4. Dimensionamiento Stocks</t>
        </is>
      </c>
    </row>
    <row r="27">
      <c r="B27" s="16" t="inlineStr">
        <is>
          <t>PASO 4: MATRIZ DESDE-HASTA (VIAJES Y MASA)</t>
        </is>
      </c>
      <c r="C27" s="17" t="inlineStr">
        <is>
          <t>Matrices 18x18 con nombres de sectores en horizontal vinculadas a la solapa de cuantificación de frecuencias.</t>
        </is>
      </c>
      <c r="D27" s="5" t="inlineStr">
        <is>
          <t>Solapas: 5. Desde-Hasta (Viajes) / 6. (Masa)</t>
        </is>
      </c>
    </row>
    <row r="28">
      <c r="B28" s="16" t="inlineStr">
        <is>
          <t>PASO 5: EVALUACIÓN Y OPTIMIZACIÓN CAD</t>
        </is>
      </c>
      <c r="C28" s="17" t="inlineStr">
        <is>
          <t>Cálculo del Momento de Transporte Ponderado (M = fij * dij y M_peso = fij * dij * peso) cruzando distancias CAD.</t>
        </is>
      </c>
      <c r="D28" s="5" t="inlineStr">
        <is>
          <t>Solapa: 7. Carga-Distancia &amp; Horas</t>
        </is>
      </c>
    </row>
  </sheetData>
  <mergeCells count="18">
    <mergeCell ref="H16:J16"/>
    <mergeCell ref="B14:D14"/>
    <mergeCell ref="E13:G13"/>
    <mergeCell ref="E14:G14"/>
    <mergeCell ref="H18:J18"/>
    <mergeCell ref="H14:J14"/>
    <mergeCell ref="H13:J13"/>
    <mergeCell ref="B17:D17"/>
    <mergeCell ref="B18:D18"/>
    <mergeCell ref="B13:D13"/>
    <mergeCell ref="E12:G12"/>
    <mergeCell ref="E17:G17"/>
    <mergeCell ref="H12:J12"/>
    <mergeCell ref="E18:G18"/>
    <mergeCell ref="B12:D12"/>
    <mergeCell ref="H17:J17"/>
    <mergeCell ref="B16:D16"/>
    <mergeCell ref="E16: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9" customWidth="1" min="3" max="3"/>
    <col width="35" customWidth="1" min="4" max="4"/>
    <col width="33" customWidth="1" min="5" max="5"/>
    <col width="45" customWidth="1" min="6" max="6"/>
    <col width="15" customWidth="1" min="7" max="7"/>
    <col width="18" customWidth="1" min="8" max="8"/>
    <col width="17" customWidth="1" min="9" max="9"/>
    <col width="16" customWidth="1" min="10" max="10"/>
    <col width="17" customWidth="1" min="11" max="11"/>
    <col width="28" customWidth="1" min="12" max="12"/>
    <col width="37" customWidth="1" min="13" max="13"/>
  </cols>
  <sheetData>
    <row r="1"/>
    <row r="2">
      <c r="B2" s="1" t="inlineStr">
        <is>
          <t>PLANEAMIENTO Y CONTROL DE PRODUCCIÓN (PCP) - AÑO 10 (HOJA MAESTRA)</t>
        </is>
      </c>
    </row>
    <row r="3">
      <c r="B3" s="2" t="inlineStr">
        <is>
          <t>Desglose por SKU, Programa Maestro (MPS), Batches de Producción y Régimen de Turnos</t>
        </is>
      </c>
    </row>
    <row r="4">
      <c r="B4" s="3" t="inlineStr">
        <is>
          <t>REFERENCIA DE FORMATO:</t>
        </is>
      </c>
      <c r="C4" s="4" t="inlineStr">
        <is>
          <t>Parámetro Configurable (Modificable)</t>
        </is>
      </c>
      <c r="E4" s="5" t="inlineStr">
        <is>
          <t>Fórmula Automática / Vinculada</t>
        </is>
      </c>
    </row>
    <row r="5"/>
    <row r="6">
      <c r="B6" s="6" t="inlineStr">
        <is>
          <t>1. DESGLOSE DE PRODUCCIÓN POR PRODUCTO (MIX DE VENTAS AÑO 10)</t>
        </is>
      </c>
    </row>
    <row r="7"/>
    <row r="8">
      <c r="B8" s="15" t="inlineStr">
        <is>
          <t>Línea</t>
        </is>
      </c>
      <c r="C8" s="15" t="inlineStr">
        <is>
          <t>Cód.</t>
        </is>
      </c>
      <c r="D8" s="15" t="inlineStr">
        <is>
          <t>Denominación del Producto</t>
        </is>
      </c>
      <c r="E8" s="15" t="inlineStr">
        <is>
          <t>Present.</t>
        </is>
      </c>
      <c r="F8" s="15" t="inlineStr">
        <is>
          <t>PT Anual (kg)</t>
        </is>
      </c>
      <c r="G8" s="15" t="inlineStr">
        <is>
          <t>% Mix</t>
        </is>
      </c>
      <c r="H8" s="15" t="inlineStr">
        <is>
          <t>PT Mensual (kg)</t>
        </is>
      </c>
      <c r="I8" s="15" t="inlineStr">
        <is>
          <t>PT Diario (kg)</t>
        </is>
      </c>
      <c r="J8" s="15" t="inlineStr">
        <is>
          <t>PT Turno (kg)</t>
        </is>
      </c>
      <c r="K8" s="15" t="inlineStr">
        <is>
          <t>Cajas / Turno</t>
        </is>
      </c>
      <c r="L8" s="15" t="inlineStr">
        <is>
          <t>Pallets / Sem</t>
        </is>
      </c>
      <c r="M8" s="15" t="inlineStr">
        <is>
          <t>Frecuencia / Campaña</t>
        </is>
      </c>
    </row>
    <row r="9">
      <c r="B9" s="17" t="inlineStr">
        <is>
          <t>Línea A - Galletitas</t>
        </is>
      </c>
      <c r="C9" s="18" t="inlineStr">
        <is>
          <t>A001</t>
        </is>
      </c>
      <c r="D9" s="16" t="inlineStr">
        <is>
          <t>Chocolate con chips picante</t>
        </is>
      </c>
      <c r="E9" s="19" t="inlineStr">
        <is>
          <t>150g</t>
        </is>
      </c>
      <c r="F9" s="20" t="n">
        <v>101019.36</v>
      </c>
      <c r="G9" s="21">
        <f>F9/$F$20</f>
        <v/>
      </c>
      <c r="H9" s="22">
        <f>F9/12</f>
        <v/>
      </c>
      <c r="I9" s="22">
        <f>F9/239</f>
        <v/>
      </c>
      <c r="J9" s="22">
        <f>I9/3</f>
        <v/>
      </c>
      <c r="K9" s="23">
        <f>J9/(0.15*20)</f>
        <v/>
      </c>
      <c r="L9" s="23">
        <f>(F9/47.8)/(0.15*20*105)</f>
        <v/>
      </c>
      <c r="M9" s="24" t="inlineStr">
        <is>
          <t>Campaña quincenal (8-9 turnos/mes)</t>
        </is>
      </c>
    </row>
    <row r="10">
      <c r="B10" s="17" t="inlineStr">
        <is>
          <t>Línea A - Galletitas</t>
        </is>
      </c>
      <c r="C10" s="18" t="inlineStr">
        <is>
          <t>A002</t>
        </is>
      </c>
      <c r="D10" s="16" t="inlineStr">
        <is>
          <t>Galletitas símil chocolinas free</t>
        </is>
      </c>
      <c r="E10" s="19" t="inlineStr">
        <is>
          <t>150g</t>
        </is>
      </c>
      <c r="F10" s="20" t="n">
        <v>13132.52</v>
      </c>
      <c r="G10" s="21">
        <f>F10/$F$20</f>
        <v/>
      </c>
      <c r="H10" s="22">
        <f>F10/12</f>
        <v/>
      </c>
      <c r="I10" s="22">
        <f>F10/239</f>
        <v/>
      </c>
      <c r="J10" s="22">
        <f>I10/3</f>
        <v/>
      </c>
      <c r="K10" s="23">
        <f>J10/(0.15*20)</f>
        <v/>
      </c>
      <c r="L10" s="23">
        <f>(F10/47.8)/(0.15*20*105)</f>
        <v/>
      </c>
      <c r="M10" s="24" t="inlineStr">
        <is>
          <t>Campaña quincenal (1-2 turnos/mes)</t>
        </is>
      </c>
    </row>
    <row r="11">
      <c r="B11" s="17" t="inlineStr">
        <is>
          <t>Línea A - Galletitas</t>
        </is>
      </c>
      <c r="C11" s="18" t="inlineStr">
        <is>
          <t>A003</t>
        </is>
      </c>
      <c r="D11" s="16" t="inlineStr">
        <is>
          <t>Galletitas símil chocolinas</t>
        </is>
      </c>
      <c r="E11" s="19" t="inlineStr">
        <is>
          <t>150g</t>
        </is>
      </c>
      <c r="F11" s="20" t="n">
        <v>30642.71</v>
      </c>
      <c r="G11" s="21">
        <f>F11/$F$20</f>
        <v/>
      </c>
      <c r="H11" s="22">
        <f>F11/12</f>
        <v/>
      </c>
      <c r="I11" s="22">
        <f>F11/239</f>
        <v/>
      </c>
      <c r="J11" s="22">
        <f>I11/3</f>
        <v/>
      </c>
      <c r="K11" s="23">
        <f>J11/(0.15*20)</f>
        <v/>
      </c>
      <c r="L11" s="23">
        <f>(F11/47.8)/(0.15*20*105)</f>
        <v/>
      </c>
      <c r="M11" s="24" t="inlineStr">
        <is>
          <t>Campaña quincenal (2-3 turnos/mes)</t>
        </is>
      </c>
    </row>
    <row r="12">
      <c r="B12" s="17" t="inlineStr">
        <is>
          <t>Línea A - Galletitas</t>
        </is>
      </c>
      <c r="C12" s="18" t="inlineStr">
        <is>
          <t>A004</t>
        </is>
      </c>
      <c r="D12" s="16" t="inlineStr">
        <is>
          <t>Pepas chocolate y batata</t>
        </is>
      </c>
      <c r="E12" s="19" t="inlineStr">
        <is>
          <t>150g</t>
        </is>
      </c>
      <c r="F12" s="20" t="n">
        <v>94284.89999999999</v>
      </c>
      <c r="G12" s="21">
        <f>F12/$F$20</f>
        <v/>
      </c>
      <c r="H12" s="22">
        <f>F12/12</f>
        <v/>
      </c>
      <c r="I12" s="22">
        <f>F12/239</f>
        <v/>
      </c>
      <c r="J12" s="22">
        <f>I12/3</f>
        <v/>
      </c>
      <c r="K12" s="23">
        <f>J12/(0.15*20)</f>
        <v/>
      </c>
      <c r="L12" s="23">
        <f>(F12/47.8)/(0.15*20*105)</f>
        <v/>
      </c>
      <c r="M12" s="24" t="inlineStr">
        <is>
          <t>Campaña quincenal (8 turnos/mes)</t>
        </is>
      </c>
    </row>
    <row r="13">
      <c r="B13" s="17" t="inlineStr">
        <is>
          <t>Línea A - Galletitas</t>
        </is>
      </c>
      <c r="C13" s="18" t="inlineStr">
        <is>
          <t>A005</t>
        </is>
      </c>
      <c r="D13" s="16" t="inlineStr">
        <is>
          <t>Bizcochos sabor queso free</t>
        </is>
      </c>
      <c r="E13" s="19" t="inlineStr">
        <is>
          <t>150g</t>
        </is>
      </c>
      <c r="F13" s="20" t="n">
        <v>13132.52</v>
      </c>
      <c r="G13" s="21">
        <f>F13/$F$20</f>
        <v/>
      </c>
      <c r="H13" s="22">
        <f>F13/12</f>
        <v/>
      </c>
      <c r="I13" s="22">
        <f>F13/239</f>
        <v/>
      </c>
      <c r="J13" s="22">
        <f>I13/3</f>
        <v/>
      </c>
      <c r="K13" s="23">
        <f>J13/(0.15*20)</f>
        <v/>
      </c>
      <c r="L13" s="23">
        <f>(F13/47.8)/(0.15*20*105)</f>
        <v/>
      </c>
      <c r="M13" s="24" t="inlineStr">
        <is>
          <t>Campaña quincenal (1-2 turnos/mes)</t>
        </is>
      </c>
    </row>
    <row r="14">
      <c r="B14" s="17" t="inlineStr">
        <is>
          <t>Línea A - Galletitas</t>
        </is>
      </c>
      <c r="C14" s="18" t="inlineStr">
        <is>
          <t>A006</t>
        </is>
      </c>
      <c r="D14" s="16" t="inlineStr">
        <is>
          <t>Bizcochos sabor queso</t>
        </is>
      </c>
      <c r="E14" s="19" t="inlineStr">
        <is>
          <t>150g</t>
        </is>
      </c>
      <c r="F14" s="20" t="n">
        <v>30642.71</v>
      </c>
      <c r="G14" s="21">
        <f>F14/$F$20</f>
        <v/>
      </c>
      <c r="H14" s="22">
        <f>F14/12</f>
        <v/>
      </c>
      <c r="I14" s="22">
        <f>F14/239</f>
        <v/>
      </c>
      <c r="J14" s="22">
        <f>I14/3</f>
        <v/>
      </c>
      <c r="K14" s="23">
        <f>J14/(0.15*20)</f>
        <v/>
      </c>
      <c r="L14" s="23">
        <f>(F14/47.8)/(0.15*20*105)</f>
        <v/>
      </c>
      <c r="M14" s="24" t="inlineStr">
        <is>
          <t>Campaña quincenal (2-3 turnos/mes)</t>
        </is>
      </c>
    </row>
    <row r="15">
      <c r="B15" s="17" t="inlineStr">
        <is>
          <t>Línea A - Galletitas</t>
        </is>
      </c>
      <c r="C15" s="18" t="inlineStr">
        <is>
          <t>A007</t>
        </is>
      </c>
      <c r="D15" s="16" t="inlineStr">
        <is>
          <t>Polvorones free</t>
        </is>
      </c>
      <c r="E15" s="19" t="inlineStr">
        <is>
          <t>150g</t>
        </is>
      </c>
      <c r="F15" s="20" t="n">
        <v>22729.36</v>
      </c>
      <c r="G15" s="21">
        <f>F15/$F$20</f>
        <v/>
      </c>
      <c r="H15" s="22">
        <f>F15/12</f>
        <v/>
      </c>
      <c r="I15" s="22">
        <f>F15/239</f>
        <v/>
      </c>
      <c r="J15" s="22">
        <f>I15/3</f>
        <v/>
      </c>
      <c r="K15" s="23">
        <f>J15/(0.15*20)</f>
        <v/>
      </c>
      <c r="L15" s="23">
        <f>(F15/47.8)/(0.15*20*105)</f>
        <v/>
      </c>
      <c r="M15" s="24" t="inlineStr">
        <is>
          <t>Campaña quincenal (2 turnos/mes)</t>
        </is>
      </c>
    </row>
    <row r="16">
      <c r="B16" s="17" t="inlineStr">
        <is>
          <t>Línea A - Galletitas</t>
        </is>
      </c>
      <c r="C16" s="18" t="inlineStr">
        <is>
          <t>A008</t>
        </is>
      </c>
      <c r="D16" s="16" t="inlineStr">
        <is>
          <t>Polvorones</t>
        </is>
      </c>
      <c r="E16" s="19" t="inlineStr">
        <is>
          <t>150g</t>
        </is>
      </c>
      <c r="F16" s="20" t="n">
        <v>53035.16</v>
      </c>
      <c r="G16" s="21">
        <f>F16/$F$20</f>
        <v/>
      </c>
      <c r="H16" s="22">
        <f>F16/12</f>
        <v/>
      </c>
      <c r="I16" s="22">
        <f>F16/239</f>
        <v/>
      </c>
      <c r="J16" s="22">
        <f>I16/3</f>
        <v/>
      </c>
      <c r="K16" s="23">
        <f>J16/(0.15*20)</f>
        <v/>
      </c>
      <c r="L16" s="23">
        <f>(F16/47.8)/(0.15*20*105)</f>
        <v/>
      </c>
      <c r="M16" s="24" t="inlineStr">
        <is>
          <t>Campaña quincenal (4-5 turnos/mes)</t>
        </is>
      </c>
    </row>
    <row r="17">
      <c r="B17" s="17" t="inlineStr">
        <is>
          <t>Línea B - Panificados</t>
        </is>
      </c>
      <c r="C17" s="18" t="inlineStr">
        <is>
          <t>B001</t>
        </is>
      </c>
      <c r="D17" s="16" t="inlineStr">
        <is>
          <t>Pan de molde</t>
        </is>
      </c>
      <c r="E17" s="19" t="inlineStr">
        <is>
          <t>400g</t>
        </is>
      </c>
      <c r="F17" s="20" t="n">
        <v>117855.92</v>
      </c>
      <c r="G17" s="21">
        <f>F17/$F$20</f>
        <v/>
      </c>
      <c r="H17" s="22">
        <f>F17/12</f>
        <v/>
      </c>
      <c r="I17" s="22">
        <f>F17/239</f>
        <v/>
      </c>
      <c r="J17" s="22">
        <f>I17/3</f>
        <v/>
      </c>
      <c r="K17" s="23">
        <f>J17/(0.4*10)</f>
        <v/>
      </c>
      <c r="L17" s="23">
        <f>(F17/47.8)/(0.4*10*80)</f>
        <v/>
      </c>
      <c r="M17" s="24" t="inlineStr">
        <is>
          <t>Lunes y Miércoles (TM, TT, TN)</t>
        </is>
      </c>
    </row>
    <row r="18">
      <c r="B18" s="17" t="inlineStr">
        <is>
          <t>Línea B - Panificados</t>
        </is>
      </c>
      <c r="C18" s="18" t="inlineStr">
        <is>
          <t>B002</t>
        </is>
      </c>
      <c r="D18" s="16" t="inlineStr">
        <is>
          <t>Budines vainilla / cítricos</t>
        </is>
      </c>
      <c r="E18" s="19" t="inlineStr">
        <is>
          <t>180g</t>
        </is>
      </c>
      <c r="F18" s="20" t="n">
        <v>141427.2</v>
      </c>
      <c r="G18" s="21">
        <f>F18/$F$20</f>
        <v/>
      </c>
      <c r="H18" s="22">
        <f>F18/12</f>
        <v/>
      </c>
      <c r="I18" s="22">
        <f>F18/239</f>
        <v/>
      </c>
      <c r="J18" s="22">
        <f>I18/3</f>
        <v/>
      </c>
      <c r="K18" s="23">
        <f>J18/(0.18*20)</f>
        <v/>
      </c>
      <c r="L18" s="23">
        <f>(F18/47.8)/(0.18*20*90)</f>
        <v/>
      </c>
      <c r="M18" s="24" t="inlineStr">
        <is>
          <t>Martes, Jueves y Viernes</t>
        </is>
      </c>
    </row>
    <row r="19">
      <c r="B19" s="17" t="inlineStr">
        <is>
          <t>Línea B - Panificados</t>
        </is>
      </c>
      <c r="C19" s="18" t="inlineStr">
        <is>
          <t>B003</t>
        </is>
      </c>
      <c r="D19" s="16" t="inlineStr">
        <is>
          <t>Budines chocolate free</t>
        </is>
      </c>
      <c r="E19" s="19" t="inlineStr">
        <is>
          <t>180g</t>
        </is>
      </c>
      <c r="F19" s="20" t="n">
        <v>60611.61</v>
      </c>
      <c r="G19" s="21">
        <f>F19/$F$20</f>
        <v/>
      </c>
      <c r="H19" s="22">
        <f>F19/12</f>
        <v/>
      </c>
      <c r="I19" s="22">
        <f>F19/239</f>
        <v/>
      </c>
      <c r="J19" s="22">
        <f>I19/3</f>
        <v/>
      </c>
      <c r="K19" s="23">
        <f>J19/(0.18*20)</f>
        <v/>
      </c>
      <c r="L19" s="23">
        <f>(F19/47.8)/(0.18*20*90)</f>
        <v/>
      </c>
      <c r="M19" s="24" t="inlineStr">
        <is>
          <t>Jueves y Viernes</t>
        </is>
      </c>
    </row>
    <row r="20">
      <c r="B20" s="25" t="inlineStr">
        <is>
          <t>TOTAL GENERAL PLANTA CELI</t>
        </is>
      </c>
      <c r="C20" s="26" t="inlineStr"/>
      <c r="D20" s="26" t="inlineStr"/>
      <c r="E20" s="26" t="inlineStr"/>
      <c r="F20" s="27">
        <f>SUM(F9:F19)</f>
        <v/>
      </c>
      <c r="G20" s="28">
        <f>SUM(G9:G19)</f>
        <v/>
      </c>
      <c r="H20" s="27">
        <f>SUM(H9:H19)</f>
        <v/>
      </c>
      <c r="I20" s="27">
        <f>SUM(I9:I19)</f>
        <v/>
      </c>
      <c r="J20" s="27">
        <f>SUM(J9:J19)</f>
        <v/>
      </c>
      <c r="K20" s="29">
        <f>SUM(K9:K19)</f>
        <v/>
      </c>
      <c r="L20" s="29">
        <f>SUM(L9:L19)</f>
        <v/>
      </c>
      <c r="M20" s="25" t="inlineStr">
        <is>
          <t>40 pallets / semana a régimen</t>
        </is>
      </c>
    </row>
    <row r="21"/>
    <row r="22"/>
    <row r="23">
      <c r="B23" s="6" t="inlineStr">
        <is>
          <t>2. PARÁMETROS OPERATIVOS DE PROCESO Y TAMAÑOS DE BATCH</t>
        </is>
      </c>
    </row>
    <row r="24"/>
    <row r="25">
      <c r="B25" s="30" t="inlineStr">
        <is>
          <t>Parámetro Técnico / Operativo</t>
        </is>
      </c>
      <c r="C25" s="30" t="inlineStr">
        <is>
          <t>Línea A - Galletitas</t>
        </is>
      </c>
      <c r="D25" s="30" t="inlineStr">
        <is>
          <t>Línea B - Panificados</t>
        </is>
      </c>
      <c r="E25" s="30" t="inlineStr">
        <is>
          <t>Unidad</t>
        </is>
      </c>
      <c r="F25" s="30" t="inlineStr">
        <is>
          <t>Impacto en el Layout / Manejo de Materiales</t>
        </is>
      </c>
    </row>
    <row r="26">
      <c r="B26" s="16" t="inlineStr">
        <is>
          <t>Salida PT Neta por Turno (kg)</t>
        </is>
      </c>
      <c r="C26" s="31">
        <f>SUM(J9:J16)</f>
        <v/>
      </c>
      <c r="D26" s="31">
        <f>SUM(J17:J19)</f>
        <v/>
      </c>
      <c r="E26" s="32" t="inlineStr">
        <is>
          <t>kg PT / turno</t>
        </is>
      </c>
      <c r="F26" s="17" t="inlineStr">
        <is>
          <t>Salida neta de producto terminado de cada línea</t>
        </is>
      </c>
    </row>
    <row r="27">
      <c r="B27" s="16" t="inlineStr">
        <is>
          <t>Rendimiento Global de Proceso (%)</t>
        </is>
      </c>
      <c r="C27" s="33" t="n">
        <v>0.831</v>
      </c>
      <c r="D27" s="33" t="n">
        <v>0.8090000000000001</v>
      </c>
      <c r="E27" s="32" t="inlineStr">
        <is>
          <t>% masa a PT</t>
        </is>
      </c>
      <c r="F27" s="17" t="inlineStr">
        <is>
          <t>Pérdidas de humedad, cocción y mermas (BOM)</t>
        </is>
      </c>
    </row>
    <row r="28">
      <c r="B28" s="16" t="inlineStr">
        <is>
          <t>Masa total a preparar por turno</t>
        </is>
      </c>
      <c r="C28" s="31">
        <f>C26/C27</f>
        <v/>
      </c>
      <c r="D28" s="31">
        <f>D26/D27</f>
        <v/>
      </c>
      <c r="E28" s="32" t="inlineStr">
        <is>
          <t>kg masa / turno</t>
        </is>
      </c>
      <c r="F28" s="17" t="inlineStr">
        <is>
          <t>Flujo que ingresa a Pesado y Amasado/Batido</t>
        </is>
      </c>
    </row>
    <row r="29">
      <c r="B29" s="16" t="inlineStr">
        <is>
          <t>Capacidad unitaria de máquina (Batea)</t>
        </is>
      </c>
      <c r="C29" s="34" t="n">
        <v>25</v>
      </c>
      <c r="D29" s="34" t="n">
        <v>45</v>
      </c>
      <c r="E29" s="32" t="inlineStr">
        <is>
          <t>kg / batch</t>
        </is>
      </c>
      <c r="F29" s="17" t="inlineStr">
        <is>
          <t>Amasadora HJ25B (25kg) vs. Batidora Moretti (45kg)</t>
        </is>
      </c>
    </row>
    <row r="30">
      <c r="B30" s="16" t="inlineStr">
        <is>
          <t>Cantidad de Batches por Turno</t>
        </is>
      </c>
      <c r="C30" s="35">
        <f>ROUNDUP(C28/C29, 0)</f>
        <v/>
      </c>
      <c r="D30" s="35">
        <f>ROUNDUP(D28/D29, 0)</f>
        <v/>
      </c>
      <c r="E30" s="32" t="inlineStr">
        <is>
          <t>tandas / turno</t>
        </is>
      </c>
      <c r="F30" s="17" t="inlineStr">
        <is>
          <t>Define los viajes Pesado &lt;-&gt; Amasado en Desde-Hasta</t>
        </is>
      </c>
    </row>
    <row r="31">
      <c r="B31" s="16" t="inlineStr">
        <is>
          <t>Capacidad de la Unidad Intermedia</t>
        </is>
      </c>
      <c r="C31" s="34" t="n">
        <v>25</v>
      </c>
      <c r="D31" s="36" t="n">
        <v>40.5</v>
      </c>
      <c r="E31" s="32" t="inlineStr">
        <is>
          <t>kg / unidad</t>
        </is>
      </c>
      <c r="F31" s="17" t="inlineStr">
        <is>
          <t>Batea volcable (25kg) vs. Carro 15 bandejas (40,5kg)</t>
        </is>
      </c>
    </row>
    <row r="32">
      <c r="B32" s="16" t="inlineStr">
        <is>
          <t>Carros / Bateas por Turno en Proceso</t>
        </is>
      </c>
      <c r="C32" s="35">
        <f>ROUNDUP(C28/C31, 0)</f>
        <v/>
      </c>
      <c r="D32" s="35">
        <f>ROUNDUP(D28/D31, 0)</f>
        <v/>
      </c>
      <c r="E32" s="32" t="inlineStr">
        <is>
          <t>unid. rodantes / turno</t>
        </is>
      </c>
      <c r="F32" s="17" t="inlineStr">
        <is>
          <t>Tráfico pesado en hornos, fermentador y enfriamiento</t>
        </is>
      </c>
    </row>
    <row r="33">
      <c r="B33" s="16" t="inlineStr">
        <is>
          <t>Tiempo de Residencia en Enfriado</t>
        </is>
      </c>
      <c r="C33" s="34" t="n">
        <v>15</v>
      </c>
      <c r="D33" s="34" t="n">
        <v>75</v>
      </c>
      <c r="E33" s="32" t="inlineStr">
        <is>
          <t>minutos</t>
        </is>
      </c>
      <c r="F33" s="17" t="inlineStr">
        <is>
          <t>Exige pulmón estático de 4 carros en Panificados</t>
        </is>
      </c>
    </row>
    <row r="34">
      <c r="B34" s="16" t="inlineStr">
        <is>
          <t>Salida de Cajas Secundarias</t>
        </is>
      </c>
      <c r="C34" s="35">
        <f>SUM(K9:K16)</f>
        <v/>
      </c>
      <c r="D34" s="35">
        <f>SUM(K17:K19)</f>
        <v/>
      </c>
      <c r="E34" s="32" t="inlineStr">
        <is>
          <t>cajas / turno</t>
        </is>
      </c>
      <c r="F34" s="17" t="inlineStr">
        <is>
          <t>Flujo hacia mesa de encajonado manual</t>
        </is>
      </c>
    </row>
    <row r="35">
      <c r="B35" s="16" t="inlineStr">
        <is>
          <t>Generación de Pallets PT</t>
        </is>
      </c>
      <c r="C35" s="31">
        <f>SUM(L9:L16)/15</f>
        <v/>
      </c>
      <c r="D35" s="31">
        <f>SUM(L17:L19)/15</f>
        <v/>
      </c>
      <c r="E35" s="32" t="inlineStr">
        <is>
          <t>pallets / turno</t>
        </is>
      </c>
      <c r="F35" s="17" t="inlineStr">
        <is>
          <t>Traslado con zorra hidráulica a depósito 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9" customWidth="1" min="3" max="3"/>
    <col width="27" customWidth="1" min="4" max="4"/>
    <col width="45" customWidth="1" min="5" max="5"/>
    <col width="38" customWidth="1" min="6" max="6"/>
    <col width="22" customWidth="1" min="7" max="7"/>
    <col width="45" customWidth="1" min="8" max="8"/>
    <col width="45" customWidth="1" min="9" max="9"/>
    <col width="18" customWidth="1" min="10" max="10"/>
    <col width="22" customWidth="1" min="11" max="11"/>
    <col width="24" customWidth="1" min="12" max="12"/>
    <col width="35" customWidth="1" min="13" max="13"/>
    <col width="28" customWidth="1" min="14" max="14"/>
    <col width="35" customWidth="1" min="15" max="15"/>
  </cols>
  <sheetData>
    <row r="1"/>
    <row r="2">
      <c r="B2" s="1" t="inlineStr">
        <is>
          <t>CUANTIFICACIÓN FINA DE FRECUENCIAS, VELOCIDADES Y TIEMPOS DE TRASLADO</t>
        </is>
      </c>
    </row>
    <row r="3">
      <c r="B3" s="2" t="inlineStr">
        <is>
          <t>Desglose Operativo por Tramo, Medios de Manutención, Peso, Velocidad y Horas de Transporte por Turno</t>
        </is>
      </c>
    </row>
    <row r="4">
      <c r="B4" s="3" t="inlineStr">
        <is>
          <t>REFERENCIA DE FORMATO:</t>
        </is>
      </c>
      <c r="C4" s="4" t="inlineStr">
        <is>
          <t>Parámetro Configurable (Modificable)</t>
        </is>
      </c>
      <c r="E4" s="5" t="inlineStr">
        <is>
          <t>Fórmula Automática / Vinculada</t>
        </is>
      </c>
    </row>
    <row r="5"/>
    <row r="6">
      <c r="B6" s="15" t="inlineStr">
        <is>
          <t>N° Tramo</t>
        </is>
      </c>
      <c r="C6" s="15" t="inlineStr">
        <is>
          <t>Origen</t>
        </is>
      </c>
      <c r="D6" s="15" t="inlineStr">
        <is>
          <t>Destino</t>
        </is>
      </c>
      <c r="E6" s="15" t="inlineStr">
        <is>
          <t>Material / Carga Transportada</t>
        </is>
      </c>
      <c r="F6" s="15" t="inlineStr">
        <is>
          <t>Medio de Transporte</t>
        </is>
      </c>
      <c r="G6" s="15" t="inlineStr">
        <is>
          <t>Peso por Viaje (kg)</t>
        </is>
      </c>
      <c r="H6" s="15" t="inlineStr">
        <is>
          <t>Frecuencia f (viajes/turno)</t>
        </is>
      </c>
      <c r="I6" s="15" t="inlineStr">
        <is>
          <t>Flujo Masa (kg/turno)</t>
        </is>
      </c>
      <c r="J6" s="15" t="inlineStr">
        <is>
          <t>Distancia d (m)</t>
        </is>
      </c>
      <c r="K6" s="15" t="inlineStr">
        <is>
          <t>Velocidad v (m/min)</t>
        </is>
      </c>
      <c r="L6" s="15" t="inlineStr">
        <is>
          <t>Tiempo Maniobra (min)</t>
        </is>
      </c>
      <c r="M6" s="15" t="inlineStr">
        <is>
          <t>Tiempo por Ciclo (min)</t>
        </is>
      </c>
      <c r="N6" s="15" t="inlineStr">
        <is>
          <t>Horas Traslado (hs/turno)</t>
        </is>
      </c>
      <c r="O6" s="15" t="inlineStr">
        <is>
          <t>Esfuerzo Carga-Dist (kg·m/turno)</t>
        </is>
      </c>
    </row>
    <row r="7">
      <c r="B7" s="18" t="inlineStr">
        <is>
          <t>TR-01</t>
        </is>
      </c>
      <c r="C7" s="16" t="inlineStr">
        <is>
          <t>1. Depósito MP</t>
        </is>
      </c>
      <c r="D7" s="16" t="inlineStr">
        <is>
          <t>2. Sección Pesado</t>
        </is>
      </c>
      <c r="E7" s="17" t="inlineStr">
        <is>
          <t>Bolsas harinas, féculas, azúcar, aditivos</t>
        </is>
      </c>
      <c r="F7" s="24" t="inlineStr">
        <is>
          <t>Zorra hidráulica HELI BF25</t>
        </is>
      </c>
      <c r="G7" s="37" t="n">
        <v>300</v>
      </c>
      <c r="H7" s="38">
        <f>ROUNDUP(('2. PCP - Programa &amp; Lotes'!C28+'2. PCP - Programa &amp; Lotes'!D28)/G7, 0)</f>
        <v/>
      </c>
      <c r="I7" s="23">
        <f>'2. PCP - Programa &amp; Lotes'!C28+'2. PCP - Programa &amp; Lotes'!D28</f>
        <v/>
      </c>
      <c r="J7" s="39" t="n">
        <v>4.5</v>
      </c>
      <c r="K7" s="39" t="n">
        <v>36</v>
      </c>
      <c r="L7" s="40" t="n">
        <v>0.5</v>
      </c>
      <c r="M7" s="41">
        <f>IF(H7&gt;0, (2*J7/K7) + L7, 0)</f>
        <v/>
      </c>
      <c r="N7" s="42">
        <f>H7*M7/60</f>
        <v/>
      </c>
      <c r="O7" s="43">
        <f>H7*J7*G7</f>
        <v/>
      </c>
    </row>
    <row r="8">
      <c r="B8" s="44" t="inlineStr">
        <is>
          <t>TR-02</t>
        </is>
      </c>
      <c r="C8" s="45" t="inlineStr">
        <is>
          <t>2. Sección Pesado</t>
        </is>
      </c>
      <c r="D8" s="45" t="inlineStr">
        <is>
          <t>3. Amasado G</t>
        </is>
      </c>
      <c r="E8" s="46" t="inlineStr">
        <is>
          <t>Insumos pesados fraccionados para amasadora</t>
        </is>
      </c>
      <c r="F8" s="47" t="inlineStr">
        <is>
          <t>Tachos / Contenedores rodantes</t>
        </is>
      </c>
      <c r="G8" s="37" t="n">
        <v>25</v>
      </c>
      <c r="H8" s="38">
        <f>'2. PCP - Programa &amp; Lotes'!C30</f>
        <v/>
      </c>
      <c r="I8" s="48">
        <f>'2. PCP - Programa &amp; Lotes'!C28</f>
        <v/>
      </c>
      <c r="J8" s="39" t="n">
        <v>3.5</v>
      </c>
      <c r="K8" s="39" t="n">
        <v>48</v>
      </c>
      <c r="L8" s="40" t="n">
        <v>0.3</v>
      </c>
      <c r="M8" s="49">
        <f>IF(H8&gt;0, (2*J8/K8) + L8, 0)</f>
        <v/>
      </c>
      <c r="N8" s="42">
        <f>H8*M8/60</f>
        <v/>
      </c>
      <c r="O8" s="50">
        <f>H8*J8*G8</f>
        <v/>
      </c>
    </row>
    <row r="9">
      <c r="B9" s="18" t="inlineStr">
        <is>
          <t>TR-03</t>
        </is>
      </c>
      <c r="C9" s="16" t="inlineStr">
        <is>
          <t>3. Amasado G</t>
        </is>
      </c>
      <c r="D9" s="16" t="inlineStr">
        <is>
          <t>4. Moldeado G</t>
        </is>
      </c>
      <c r="E9" s="17" t="inlineStr">
        <is>
          <t>Amasijo volcado de amasadora a tolva</t>
        </is>
      </c>
      <c r="F9" s="24" t="inlineStr">
        <is>
          <t>Batea rodante volcable</t>
        </is>
      </c>
      <c r="G9" s="37" t="n">
        <v>25</v>
      </c>
      <c r="H9" s="38">
        <f>'2. PCP - Programa &amp; Lotes'!C30</f>
        <v/>
      </c>
      <c r="I9" s="23">
        <f>'2. PCP - Programa &amp; Lotes'!C28</f>
        <v/>
      </c>
      <c r="J9" s="39" t="n">
        <v>3</v>
      </c>
      <c r="K9" s="39" t="n">
        <v>42</v>
      </c>
      <c r="L9" s="40" t="n">
        <v>0.35</v>
      </c>
      <c r="M9" s="41">
        <f>IF(H9&gt;0, (2*J9/K9) + L9, 0)</f>
        <v/>
      </c>
      <c r="N9" s="42">
        <f>H9*M9/60</f>
        <v/>
      </c>
      <c r="O9" s="43">
        <f>H9*J9*G9</f>
        <v/>
      </c>
    </row>
    <row r="10">
      <c r="B10" s="44" t="inlineStr">
        <is>
          <t>TR-04</t>
        </is>
      </c>
      <c r="C10" s="45" t="inlineStr">
        <is>
          <t>4. Moldeado G</t>
        </is>
      </c>
      <c r="D10" s="45" t="inlineStr">
        <is>
          <t>5. Horno Túnel G</t>
        </is>
      </c>
      <c r="E10" s="46" t="inlineStr">
        <is>
          <t>Galletitas crudas formadas</t>
        </is>
      </c>
      <c r="F10" s="47" t="inlineStr">
        <is>
          <t>Cinta transportadora continua [C]</t>
        </is>
      </c>
      <c r="G10" s="37" t="n">
        <v>0</v>
      </c>
      <c r="H10" s="37" t="n">
        <v>0</v>
      </c>
      <c r="I10" s="48">
        <f>'2. PCP - Programa &amp; Lotes'!C28*0.98</f>
        <v/>
      </c>
      <c r="J10" s="39" t="n">
        <v>5</v>
      </c>
      <c r="K10" s="39" t="n">
        <v>60</v>
      </c>
      <c r="L10" s="40" t="n">
        <v>0</v>
      </c>
      <c r="M10" s="49">
        <f>IF(H10&gt;0, (2*J10/K10) + L10, 0)</f>
        <v/>
      </c>
      <c r="N10" s="42">
        <f>H10*M10/60</f>
        <v/>
      </c>
      <c r="O10" s="50">
        <f>H10*J10*G10</f>
        <v/>
      </c>
    </row>
    <row r="11">
      <c r="B11" s="18" t="inlineStr">
        <is>
          <t>TR-05</t>
        </is>
      </c>
      <c r="C11" s="16" t="inlineStr">
        <is>
          <t>5. Horno Túnel G</t>
        </is>
      </c>
      <c r="D11" s="16" t="inlineStr">
        <is>
          <t>6. Cinta Enfriado G</t>
        </is>
      </c>
      <c r="E11" s="17" t="inlineStr">
        <is>
          <t>Galletitas cocidas calientes</t>
        </is>
      </c>
      <c r="F11" s="24" t="inlineStr">
        <is>
          <t>Cinta transportadora continua [C]</t>
        </is>
      </c>
      <c r="G11" s="37" t="n">
        <v>0</v>
      </c>
      <c r="H11" s="37" t="n">
        <v>0</v>
      </c>
      <c r="I11" s="23">
        <f>'2. PCP - Programa &amp; Lotes'!C28*0.91</f>
        <v/>
      </c>
      <c r="J11" s="39" t="n">
        <v>6</v>
      </c>
      <c r="K11" s="39" t="n">
        <v>60</v>
      </c>
      <c r="L11" s="40" t="n">
        <v>0</v>
      </c>
      <c r="M11" s="41">
        <f>IF(H11&gt;0, (2*J11/K11) + L11, 0)</f>
        <v/>
      </c>
      <c r="N11" s="42">
        <f>H11*M11/60</f>
        <v/>
      </c>
      <c r="O11" s="43">
        <f>H11*J11*G11</f>
        <v/>
      </c>
    </row>
    <row r="12">
      <c r="B12" s="44" t="inlineStr">
        <is>
          <t>TR-06</t>
        </is>
      </c>
      <c r="C12" s="45" t="inlineStr">
        <is>
          <t>6. Cinta Enfriado G</t>
        </is>
      </c>
      <c r="D12" s="45" t="inlineStr">
        <is>
          <t>7. Envasado 1° G</t>
        </is>
      </c>
      <c r="E12" s="46" t="inlineStr">
        <is>
          <t>Galletitas a temperatura ambiente</t>
        </is>
      </c>
      <c r="F12" s="47" t="inlineStr">
        <is>
          <t>Cinta inclinada de alimentación [C]</t>
        </is>
      </c>
      <c r="G12" s="37" t="n">
        <v>0</v>
      </c>
      <c r="H12" s="37" t="n">
        <v>0</v>
      </c>
      <c r="I12" s="48">
        <f>'2. PCP - Programa &amp; Lotes'!C28*0.865</f>
        <v/>
      </c>
      <c r="J12" s="39" t="n">
        <v>4</v>
      </c>
      <c r="K12" s="39" t="n">
        <v>60</v>
      </c>
      <c r="L12" s="40" t="n">
        <v>0</v>
      </c>
      <c r="M12" s="49">
        <f>IF(H12&gt;0, (2*J12/K12) + L12, 0)</f>
        <v/>
      </c>
      <c r="N12" s="42">
        <f>H12*M12/60</f>
        <v/>
      </c>
      <c r="O12" s="50">
        <f>H12*J12*G12</f>
        <v/>
      </c>
    </row>
    <row r="13">
      <c r="B13" s="18" t="inlineStr">
        <is>
          <t>TR-07</t>
        </is>
      </c>
      <c r="C13" s="16" t="inlineStr">
        <is>
          <t>7. Envasado 1° G</t>
        </is>
      </c>
      <c r="D13" s="16" t="inlineStr">
        <is>
          <t>8. Envasado 2° G</t>
        </is>
      </c>
      <c r="E13" s="17" t="inlineStr">
        <is>
          <t>Paquetes individuales de 150g a mesa manual</t>
        </is>
      </c>
      <c r="F13" s="24" t="inlineStr">
        <is>
          <t>Mesa contigua manual [L]</t>
        </is>
      </c>
      <c r="G13" s="37" t="n">
        <v>3</v>
      </c>
      <c r="H13" s="38">
        <f>'2. PCP - Programa &amp; Lotes'!C34</f>
        <v/>
      </c>
      <c r="I13" s="23">
        <f>'2. PCP - Programa &amp; Lotes'!C26</f>
        <v/>
      </c>
      <c r="J13" s="39" t="n">
        <v>2.5</v>
      </c>
      <c r="K13" s="39" t="n">
        <v>48</v>
      </c>
      <c r="L13" s="40" t="n">
        <v>0.05</v>
      </c>
      <c r="M13" s="41">
        <f>IF(H13&gt;0, (2*J13/K13) + L13, 0)</f>
        <v/>
      </c>
      <c r="N13" s="42">
        <f>H13*M13/60</f>
        <v/>
      </c>
      <c r="O13" s="43">
        <f>H13*J13*G13</f>
        <v/>
      </c>
    </row>
    <row r="14">
      <c r="B14" s="44" t="inlineStr">
        <is>
          <t>TR-08</t>
        </is>
      </c>
      <c r="C14" s="45" t="inlineStr">
        <is>
          <t>8. Envasado 2° G</t>
        </is>
      </c>
      <c r="D14" s="45" t="inlineStr">
        <is>
          <t>17. Depósito PT</t>
        </is>
      </c>
      <c r="E14" s="46" t="inlineStr">
        <is>
          <t>Pallet Arlog conformado con 105 cajas</t>
        </is>
      </c>
      <c r="F14" s="47" t="inlineStr">
        <is>
          <t>Zorra hidráulica HELI BF25</t>
        </is>
      </c>
      <c r="G14" s="37" t="n">
        <v>315</v>
      </c>
      <c r="H14" s="38">
        <f>'2. PCP - Programa &amp; Lotes'!C35</f>
        <v/>
      </c>
      <c r="I14" s="48">
        <f>'2. PCP - Programa &amp; Lotes'!C26</f>
        <v/>
      </c>
      <c r="J14" s="39" t="n">
        <v>5</v>
      </c>
      <c r="K14" s="39" t="n">
        <v>36</v>
      </c>
      <c r="L14" s="40" t="n">
        <v>0.75</v>
      </c>
      <c r="M14" s="49">
        <f>IF(H14&gt;0, (2*J14/K14) + L14, 0)</f>
        <v/>
      </c>
      <c r="N14" s="42">
        <f>H14*M14/60</f>
        <v/>
      </c>
      <c r="O14" s="50">
        <f>H14*J14*G14</f>
        <v/>
      </c>
    </row>
    <row r="15">
      <c r="B15" s="18" t="inlineStr">
        <is>
          <t>TR-09</t>
        </is>
      </c>
      <c r="C15" s="16" t="inlineStr">
        <is>
          <t>2. Sección Pesado</t>
        </is>
      </c>
      <c r="D15" s="16" t="inlineStr">
        <is>
          <t>9. Batido Panif.</t>
        </is>
      </c>
      <c r="E15" s="17" t="inlineStr">
        <is>
          <t>Premezclas, huevo, aceite fraccionados</t>
        </is>
      </c>
      <c r="F15" s="24" t="inlineStr">
        <is>
          <t>Tachos / Contenedores rodantes</t>
        </is>
      </c>
      <c r="G15" s="37" t="n">
        <v>45</v>
      </c>
      <c r="H15" s="38">
        <f>'2. PCP - Programa &amp; Lotes'!D30</f>
        <v/>
      </c>
      <c r="I15" s="23">
        <f>'2. PCP - Programa &amp; Lotes'!D28</f>
        <v/>
      </c>
      <c r="J15" s="39" t="n">
        <v>5.5</v>
      </c>
      <c r="K15" s="39" t="n">
        <v>48</v>
      </c>
      <c r="L15" s="40" t="n">
        <v>0.35</v>
      </c>
      <c r="M15" s="41">
        <f>IF(H15&gt;0, (2*J15/K15) + L15, 0)</f>
        <v/>
      </c>
      <c r="N15" s="42">
        <f>H15*M15/60</f>
        <v/>
      </c>
      <c r="O15" s="43">
        <f>H15*J15*G15</f>
        <v/>
      </c>
    </row>
    <row r="16">
      <c r="B16" s="44" t="inlineStr">
        <is>
          <t>TR-10</t>
        </is>
      </c>
      <c r="C16" s="45" t="inlineStr">
        <is>
          <t>9. Batido Panif.</t>
        </is>
      </c>
      <c r="D16" s="45" t="inlineStr">
        <is>
          <t>10. Dosificado P.</t>
        </is>
      </c>
      <c r="E16" s="46" t="inlineStr">
        <is>
          <t>Batido homogéneo volcado a tolva</t>
        </is>
      </c>
      <c r="F16" s="47" t="inlineStr">
        <is>
          <t>Batea rodante volcable</t>
        </is>
      </c>
      <c r="G16" s="37" t="n">
        <v>45</v>
      </c>
      <c r="H16" s="38">
        <f>'2. PCP - Programa &amp; Lotes'!D30</f>
        <v/>
      </c>
      <c r="I16" s="48">
        <f>'2. PCP - Programa &amp; Lotes'!D28</f>
        <v/>
      </c>
      <c r="J16" s="39" t="n">
        <v>3</v>
      </c>
      <c r="K16" s="39" t="n">
        <v>42</v>
      </c>
      <c r="L16" s="40" t="n">
        <v>0.35</v>
      </c>
      <c r="M16" s="49">
        <f>IF(H16&gt;0, (2*J16/K16) + L16, 0)</f>
        <v/>
      </c>
      <c r="N16" s="42">
        <f>H16*M16/60</f>
        <v/>
      </c>
      <c r="O16" s="50">
        <f>H16*J16*G16</f>
        <v/>
      </c>
    </row>
    <row r="17">
      <c r="B17" s="18" t="inlineStr">
        <is>
          <t>TR-11</t>
        </is>
      </c>
      <c r="C17" s="16" t="inlineStr">
        <is>
          <t>10. Dosificado P.</t>
        </is>
      </c>
      <c r="D17" s="16" t="inlineStr">
        <is>
          <t>11. Fermentado P.</t>
        </is>
      </c>
      <c r="E17" s="17" t="inlineStr">
        <is>
          <t>Carros porta-bandejas con moldes (Pan)</t>
        </is>
      </c>
      <c r="F17" s="24" t="inlineStr">
        <is>
          <t>Carro con 15 bandejas (45x70)</t>
        </is>
      </c>
      <c r="G17" s="37" t="n">
        <v>27</v>
      </c>
      <c r="H17" s="38">
        <f>'2. PCP - Programa &amp; Lotes'!D32</f>
        <v/>
      </c>
      <c r="I17" s="23">
        <f>'2. PCP - Programa &amp; Lotes'!D28</f>
        <v/>
      </c>
      <c r="J17" s="39" t="n">
        <v>3</v>
      </c>
      <c r="K17" s="39" t="n">
        <v>42</v>
      </c>
      <c r="L17" s="40" t="n">
        <v>0.4</v>
      </c>
      <c r="M17" s="41">
        <f>IF(H17&gt;0, (2*J17/K17) + L17, 0)</f>
        <v/>
      </c>
      <c r="N17" s="42">
        <f>H17*M17/60</f>
        <v/>
      </c>
      <c r="O17" s="43">
        <f>H17*J17*G17</f>
        <v/>
      </c>
    </row>
    <row r="18">
      <c r="B18" s="44" t="inlineStr">
        <is>
          <t>TR-12</t>
        </is>
      </c>
      <c r="C18" s="45" t="inlineStr">
        <is>
          <t>11. Fermentado P.</t>
        </is>
      </c>
      <c r="D18" s="45" t="inlineStr">
        <is>
          <t>12. Hornos Rotat. P.</t>
        </is>
      </c>
      <c r="E18" s="46" t="inlineStr">
        <is>
          <t>Carros leudados hacia hornos Pauna SIGMA</t>
        </is>
      </c>
      <c r="F18" s="47" t="inlineStr">
        <is>
          <t>Carro con 15 bandejas (45x70)</t>
        </is>
      </c>
      <c r="G18" s="37" t="n">
        <v>27</v>
      </c>
      <c r="H18" s="38">
        <f>'2. PCP - Programa &amp; Lotes'!D32</f>
        <v/>
      </c>
      <c r="I18" s="48">
        <f>'2. PCP - Programa &amp; Lotes'!D28</f>
        <v/>
      </c>
      <c r="J18" s="39" t="n">
        <v>4</v>
      </c>
      <c r="K18" s="39" t="n">
        <v>42</v>
      </c>
      <c r="L18" s="40" t="n">
        <v>0.4</v>
      </c>
      <c r="M18" s="49">
        <f>IF(H18&gt;0, (2*J18/K18) + L18, 0)</f>
        <v/>
      </c>
      <c r="N18" s="42">
        <f>H18*M18/60</f>
        <v/>
      </c>
      <c r="O18" s="50">
        <f>H18*J18*G18</f>
        <v/>
      </c>
    </row>
    <row r="19">
      <c r="B19" s="18" t="inlineStr">
        <is>
          <t>TR-13</t>
        </is>
      </c>
      <c r="C19" s="16" t="inlineStr">
        <is>
          <t>12. Hornos Rotat. P.</t>
        </is>
      </c>
      <c r="D19" s="16" t="inlineStr">
        <is>
          <t>13. Enfriado P.</t>
        </is>
      </c>
      <c r="E19" s="17" t="inlineStr">
        <is>
          <t>Carros calientes a 180°C saliendo de cocción</t>
        </is>
      </c>
      <c r="F19" s="24" t="inlineStr">
        <is>
          <t>Carro con 15 bandejas (45x70)</t>
        </is>
      </c>
      <c r="G19" s="37" t="n">
        <v>35</v>
      </c>
      <c r="H19" s="38">
        <f>'2. PCP - Programa &amp; Lotes'!D32</f>
        <v/>
      </c>
      <c r="I19" s="23">
        <f>'2. PCP - Programa &amp; Lotes'!D28*0.87</f>
        <v/>
      </c>
      <c r="J19" s="39" t="n">
        <v>3.5</v>
      </c>
      <c r="K19" s="39" t="n">
        <v>36</v>
      </c>
      <c r="L19" s="40" t="n">
        <v>0.45</v>
      </c>
      <c r="M19" s="41">
        <f>IF(H19&gt;0, (2*J19/K19) + L19, 0)</f>
        <v/>
      </c>
      <c r="N19" s="42">
        <f>H19*M19/60</f>
        <v/>
      </c>
      <c r="O19" s="43">
        <f>H19*J19*G19</f>
        <v/>
      </c>
    </row>
    <row r="20">
      <c r="B20" s="44" t="inlineStr">
        <is>
          <t>TR-14</t>
        </is>
      </c>
      <c r="C20" s="45" t="inlineStr">
        <is>
          <t>13. Enfriado P.</t>
        </is>
      </c>
      <c r="D20" s="45" t="inlineStr">
        <is>
          <t>14. Rebanado / Env 1°</t>
        </is>
      </c>
      <c r="E20" s="46" t="inlineStr">
        <is>
          <t>Bandejas frías hacia rebanadora y Flow-Pack</t>
        </is>
      </c>
      <c r="F20" s="47" t="inlineStr">
        <is>
          <t>Manual / Carro porta-bandejas</t>
        </is>
      </c>
      <c r="G20" s="37" t="n">
        <v>30</v>
      </c>
      <c r="H20" s="38">
        <f>'2. PCP - Programa &amp; Lotes'!D32</f>
        <v/>
      </c>
      <c r="I20" s="48">
        <f>'2. PCP - Programa &amp; Lotes'!D26</f>
        <v/>
      </c>
      <c r="J20" s="39" t="n">
        <v>4</v>
      </c>
      <c r="K20" s="39" t="n">
        <v>42</v>
      </c>
      <c r="L20" s="40" t="n">
        <v>0.35</v>
      </c>
      <c r="M20" s="49">
        <f>IF(H20&gt;0, (2*J20/K20) + L20, 0)</f>
        <v/>
      </c>
      <c r="N20" s="42">
        <f>H20*M20/60</f>
        <v/>
      </c>
      <c r="O20" s="50">
        <f>H20*J20*G20</f>
        <v/>
      </c>
    </row>
    <row r="21">
      <c r="B21" s="18" t="inlineStr">
        <is>
          <t>TR-15</t>
        </is>
      </c>
      <c r="C21" s="16" t="inlineStr">
        <is>
          <t>14. Rebanado Pan</t>
        </is>
      </c>
      <c r="D21" s="16" t="inlineStr">
        <is>
          <t>15. Envasado 1° P.</t>
        </is>
      </c>
      <c r="E21" s="17" t="inlineStr">
        <is>
          <t>Pan rebanado agrupado hacia Flow-Pack</t>
        </is>
      </c>
      <c r="F21" s="24" t="inlineStr">
        <is>
          <t>Mesa contigua manual [L]</t>
        </is>
      </c>
      <c r="G21" s="37" t="n">
        <v>4</v>
      </c>
      <c r="H21" s="38">
        <f>'2. PCP - Programa &amp; Lotes'!D34/2</f>
        <v/>
      </c>
      <c r="I21" s="23">
        <f>'2. PCP - Programa &amp; Lotes'!D26*0.54</f>
        <v/>
      </c>
      <c r="J21" s="39" t="n">
        <v>2</v>
      </c>
      <c r="K21" s="39" t="n">
        <v>48</v>
      </c>
      <c r="L21" s="40" t="n">
        <v>0.05</v>
      </c>
      <c r="M21" s="41">
        <f>IF(H21&gt;0, (2*J21/K21) + L21, 0)</f>
        <v/>
      </c>
      <c r="N21" s="42">
        <f>H21*M21/60</f>
        <v/>
      </c>
      <c r="O21" s="43">
        <f>H21*J21*G21</f>
        <v/>
      </c>
    </row>
    <row r="22">
      <c r="B22" s="44" t="inlineStr">
        <is>
          <t>TR-16</t>
        </is>
      </c>
      <c r="C22" s="45" t="inlineStr">
        <is>
          <t>15. Envasado 1° P.</t>
        </is>
      </c>
      <c r="D22" s="45" t="inlineStr">
        <is>
          <t>16. Envasado 2° P.</t>
        </is>
      </c>
      <c r="E22" s="46" t="inlineStr">
        <is>
          <t>Panes / Budines empaquetados hacia cajas</t>
        </is>
      </c>
      <c r="F22" s="47" t="inlineStr">
        <is>
          <t>Mesa contigua manual [L]</t>
        </is>
      </c>
      <c r="G22" s="37" t="n">
        <v>3.6</v>
      </c>
      <c r="H22" s="38">
        <f>'2. PCP - Programa &amp; Lotes'!D34/2</f>
        <v/>
      </c>
      <c r="I22" s="48">
        <f>'2. PCP - Programa &amp; Lotes'!D26</f>
        <v/>
      </c>
      <c r="J22" s="39" t="n">
        <v>2</v>
      </c>
      <c r="K22" s="39" t="n">
        <v>48</v>
      </c>
      <c r="L22" s="40" t="n">
        <v>0.05</v>
      </c>
      <c r="M22" s="49">
        <f>IF(H22&gt;0, (2*J22/K22) + L22, 0)</f>
        <v/>
      </c>
      <c r="N22" s="42">
        <f>H22*M22/60</f>
        <v/>
      </c>
      <c r="O22" s="50">
        <f>H22*J22*G22</f>
        <v/>
      </c>
    </row>
    <row r="23">
      <c r="B23" s="18" t="inlineStr">
        <is>
          <t>TR-17</t>
        </is>
      </c>
      <c r="C23" s="16" t="inlineStr">
        <is>
          <t>16. Envasado 2° P.</t>
        </is>
      </c>
      <c r="D23" s="16" t="inlineStr">
        <is>
          <t>17. Depósito PT</t>
        </is>
      </c>
      <c r="E23" s="17" t="inlineStr">
        <is>
          <t>Pallet terminado enfardado con cajas</t>
        </is>
      </c>
      <c r="F23" s="24" t="inlineStr">
        <is>
          <t>Zorra hidráulica HELI BF25</t>
        </is>
      </c>
      <c r="G23" s="37" t="n">
        <v>250</v>
      </c>
      <c r="H23" s="38">
        <f>'2. PCP - Programa &amp; Lotes'!D35</f>
        <v/>
      </c>
      <c r="I23" s="23">
        <f>'2. PCP - Programa &amp; Lotes'!D26</f>
        <v/>
      </c>
      <c r="J23" s="39" t="n">
        <v>5</v>
      </c>
      <c r="K23" s="39" t="n">
        <v>36</v>
      </c>
      <c r="L23" s="40" t="n">
        <v>0.75</v>
      </c>
      <c r="M23" s="41">
        <f>IF(H23&gt;0, (2*J23/K23) + L23, 0)</f>
        <v/>
      </c>
      <c r="N23" s="42">
        <f>H23*M23/60</f>
        <v/>
      </c>
      <c r="O23" s="43">
        <f>H23*J23*G23</f>
        <v/>
      </c>
    </row>
    <row r="24">
      <c r="B24" s="44" t="inlineStr">
        <is>
          <t>TR-18</t>
        </is>
      </c>
      <c r="C24" s="45" t="inlineStr">
        <is>
          <t>Recirculación Mermas</t>
        </is>
      </c>
      <c r="D24" s="45" t="inlineStr">
        <is>
          <t>2. Sección Pesado</t>
        </is>
      </c>
      <c r="E24" s="46" t="inlineStr">
        <is>
          <t>Recortes de masa y producto recuperable</t>
        </is>
      </c>
      <c r="F24" s="47" t="inlineStr">
        <is>
          <t>Tachos de reproceso</t>
        </is>
      </c>
      <c r="G24" s="37" t="n">
        <v>12</v>
      </c>
      <c r="H24" s="37" t="n">
        <v>4</v>
      </c>
      <c r="I24" s="48">
        <f>'2. PCP - Programa &amp; Lotes'!C28*0.08</f>
        <v/>
      </c>
      <c r="J24" s="39" t="n">
        <v>8</v>
      </c>
      <c r="K24" s="39" t="n">
        <v>48</v>
      </c>
      <c r="L24" s="40" t="n">
        <v>0.3</v>
      </c>
      <c r="M24" s="49">
        <f>IF(H24&gt;0, (2*J24/K24) + L24, 0)</f>
        <v/>
      </c>
      <c r="N24" s="42">
        <f>H24*M24/60</f>
        <v/>
      </c>
      <c r="O24" s="50">
        <f>H24*J24*G24</f>
        <v/>
      </c>
    </row>
    <row r="25">
      <c r="B25" s="18" t="inlineStr">
        <is>
          <t>TR-19</t>
        </is>
      </c>
      <c r="C25" s="16" t="inlineStr">
        <is>
          <t>Retorno Carros Vacíos</t>
        </is>
      </c>
      <c r="D25" s="16" t="inlineStr">
        <is>
          <t>10. Dosificado P.</t>
        </is>
      </c>
      <c r="E25" s="17" t="inlineStr">
        <is>
          <t>Carros porta-bandejas limpios desocupados</t>
        </is>
      </c>
      <c r="F25" s="24" t="inlineStr">
        <is>
          <t>Carro vacío</t>
        </is>
      </c>
      <c r="G25" s="37" t="n">
        <v>15</v>
      </c>
      <c r="H25" s="38">
        <f>'2. PCP - Programa &amp; Lotes'!D32</f>
        <v/>
      </c>
      <c r="I25" s="23" t="n">
        <v>0</v>
      </c>
      <c r="J25" s="39" t="n">
        <v>6</v>
      </c>
      <c r="K25" s="39" t="n">
        <v>48</v>
      </c>
      <c r="L25" s="40" t="n">
        <v>0.2</v>
      </c>
      <c r="M25" s="41">
        <f>IF(H25&gt;0, (2*J25/K25) + L25, 0)</f>
        <v/>
      </c>
      <c r="N25" s="42">
        <f>H25*M25/60</f>
        <v/>
      </c>
      <c r="O25" s="43">
        <f>H25*J25*G25</f>
        <v/>
      </c>
    </row>
    <row r="26">
      <c r="B26" s="44" t="inlineStr">
        <is>
          <t>TR-20</t>
        </is>
      </c>
      <c r="C26" s="45" t="inlineStr">
        <is>
          <t>Evacuación Residuos</t>
        </is>
      </c>
      <c r="D26" s="45" t="inlineStr">
        <is>
          <t>18. Lavado / Scrap</t>
        </is>
      </c>
      <c r="E26" s="46" t="inlineStr">
        <is>
          <t>Desechos no recuperables y limpieza</t>
        </is>
      </c>
      <c r="F26" s="47" t="inlineStr">
        <is>
          <t>Contenedor de residuos</t>
        </is>
      </c>
      <c r="G26" s="37" t="n">
        <v>20</v>
      </c>
      <c r="H26" s="37" t="n">
        <v>11</v>
      </c>
      <c r="I26" s="48">
        <f>('2. PCP - Programa &amp; Lotes'!C28+'2. PCP - Programa &amp; Lotes'!D28)*0.09</f>
        <v/>
      </c>
      <c r="J26" s="39" t="n">
        <v>10</v>
      </c>
      <c r="K26" s="39" t="n">
        <v>42</v>
      </c>
      <c r="L26" s="40" t="n">
        <v>0.4</v>
      </c>
      <c r="M26" s="49">
        <f>IF(H26&gt;0, (2*J26/K26) + L26, 0)</f>
        <v/>
      </c>
      <c r="N26" s="42">
        <f>H26*M26/60</f>
        <v/>
      </c>
      <c r="O26" s="50">
        <f>H26*J26*G26</f>
        <v/>
      </c>
    </row>
    <row r="27">
      <c r="B27" s="51" t="inlineStr">
        <is>
          <t>TOTALES DE PLANTA</t>
        </is>
      </c>
      <c r="C27" s="26" t="inlineStr"/>
      <c r="D27" s="26" t="inlineStr"/>
      <c r="E27" s="26" t="inlineStr"/>
      <c r="F27" s="26" t="inlineStr"/>
      <c r="G27" s="26" t="inlineStr"/>
      <c r="H27" s="52">
        <f>SUM(H7:H26)</f>
        <v/>
      </c>
      <c r="I27" s="52">
        <f>SUM(I7:I26)</f>
        <v/>
      </c>
      <c r="J27" s="26" t="inlineStr"/>
      <c r="K27" s="26" t="inlineStr"/>
      <c r="L27" s="26" t="inlineStr"/>
      <c r="M27" s="26" t="inlineStr"/>
      <c r="N27" s="53">
        <f>SUM(N7:N26)</f>
        <v/>
      </c>
      <c r="O27" s="52">
        <f>SUM(O7:O26)</f>
        <v/>
      </c>
    </row>
    <row r="28"/>
    <row r="29"/>
    <row r="30">
      <c r="B30" s="6" t="inlineStr">
        <is>
          <t>RESUMEN DE RECURSOS DE MANEJO DE MATERIALES</t>
        </is>
      </c>
    </row>
    <row r="31">
      <c r="B31" s="16" t="inlineStr">
        <is>
          <t>Horas totales de traslado y manipulación por turno</t>
        </is>
      </c>
      <c r="C31" s="42">
        <f>N27</f>
        <v/>
      </c>
      <c r="D31" s="32" t="inlineStr">
        <is>
          <t>hs / turno</t>
        </is>
      </c>
      <c r="E31" s="24" t="inlineStr">
        <is>
          <t>Tiempo total que demandan los movimientos internos en cada turno de 8h</t>
        </is>
      </c>
    </row>
    <row r="32">
      <c r="B32" s="16" t="inlineStr">
        <is>
          <t>Equivalente en Jornadas de Operario de Manutención</t>
        </is>
      </c>
      <c r="C32" s="42">
        <f>C31/8</f>
        <v/>
      </c>
      <c r="D32" s="32" t="inlineStr">
        <is>
          <t>operarios equiv. / turno</t>
        </is>
      </c>
      <c r="E32" s="24" t="inlineStr">
        <is>
          <t>Cantidad de operarios a tiempo completo dedicados al transporte interno</t>
        </is>
      </c>
    </row>
    <row r="33">
      <c r="B33" s="16" t="inlineStr">
        <is>
          <t>Esfuerzo Total Carga-Distancia Ponderado por Masa</t>
        </is>
      </c>
      <c r="C33" s="38">
        <f>O27</f>
        <v/>
      </c>
      <c r="D33" s="32" t="inlineStr">
        <is>
          <t>kg · m / turno</t>
        </is>
      </c>
      <c r="E33" s="24" t="inlineStr">
        <is>
          <t>Indicador global de esfuerzo logístico interno (a minimizar en CAD)</t>
        </is>
      </c>
    </row>
  </sheetData>
  <mergeCells count="3">
    <mergeCell ref="E31:J31"/>
    <mergeCell ref="E33:J33"/>
    <mergeCell ref="E32:J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9" customWidth="1" min="3" max="3"/>
    <col width="27" customWidth="1" min="4" max="4"/>
    <col width="45" customWidth="1" min="5" max="5"/>
  </cols>
  <sheetData>
    <row r="1"/>
    <row r="2">
      <c r="B2" s="1" t="inlineStr">
        <is>
          <t>DIMENSIONAMIENTO DE ALMACENES Y STOCKS (PCP -&gt; LAYOUT)</t>
        </is>
      </c>
    </row>
    <row r="3">
      <c r="B3" s="2" t="inlineStr">
        <is>
          <t>Cálculo de Posiciones de Racks, Superficies de Depósitos (MP y PT) y Pulmones Intermedios (WIP)</t>
        </is>
      </c>
    </row>
    <row r="4">
      <c r="B4" s="3" t="inlineStr">
        <is>
          <t>REFERENCIA DE FORMATO:</t>
        </is>
      </c>
      <c r="C4" s="4" t="inlineStr">
        <is>
          <t>Parámetro Configurable (Modificable)</t>
        </is>
      </c>
      <c r="E4" s="5" t="inlineStr">
        <is>
          <t>Fórmula Automática / Vinculada</t>
        </is>
      </c>
    </row>
    <row r="5"/>
    <row r="6">
      <c r="B6" s="15" t="inlineStr">
        <is>
          <t>Parámetro de Dimensionamiento</t>
        </is>
      </c>
      <c r="C6" s="15" t="inlineStr">
        <is>
          <t>Valor / Fórmula</t>
        </is>
      </c>
      <c r="D6" s="15" t="inlineStr">
        <is>
          <t>Unidad</t>
        </is>
      </c>
      <c r="E6" s="15" t="inlineStr">
        <is>
          <t>Criterio Técnico / Normativa</t>
        </is>
      </c>
    </row>
    <row r="7">
      <c r="B7" s="17" t="inlineStr">
        <is>
          <t>Salida semanal de Galletitas (PT)</t>
        </is>
      </c>
      <c r="C7" s="54">
        <f>'2. PCP - Programa &amp; Lotes'!C35*15</f>
        <v/>
      </c>
      <c r="D7" s="32" t="inlineStr">
        <is>
          <t>pallets / sem</t>
        </is>
      </c>
      <c r="E7" s="17" t="inlineStr">
        <is>
          <t>Vinculado a PCP: Pallets/turno Galletitas * 15 turnos</t>
        </is>
      </c>
    </row>
    <row r="8">
      <c r="B8" s="17" t="inlineStr">
        <is>
          <t>Salida semanal de Panificados (PT)</t>
        </is>
      </c>
      <c r="C8" s="54">
        <f>'2. PCP - Programa &amp; Lotes'!D35*15</f>
        <v/>
      </c>
      <c r="D8" s="32" t="inlineStr">
        <is>
          <t>pallets / sem</t>
        </is>
      </c>
      <c r="E8" s="17" t="inlineStr">
        <is>
          <t>Vinculado a PCP: Pallets/turno Panificados * 15 turnos</t>
        </is>
      </c>
    </row>
    <row r="9">
      <c r="B9" s="17" t="inlineStr">
        <is>
          <t>Total de Pallets generados por semana</t>
        </is>
      </c>
      <c r="C9" s="54">
        <f>C7+C8</f>
        <v/>
      </c>
      <c r="D9" s="32" t="inlineStr">
        <is>
          <t>pallets / sem</t>
        </is>
      </c>
      <c r="E9" s="17" t="inlineStr">
        <is>
          <t>Flujo total a absorber por el depósito PT</t>
        </is>
      </c>
    </row>
    <row r="10">
      <c r="B10" s="17" t="inlineStr">
        <is>
          <t>Política de Cobertura de Stock PT</t>
        </is>
      </c>
      <c r="C10" s="55" t="n">
        <v>20</v>
      </c>
      <c r="D10" s="32" t="inlineStr">
        <is>
          <t>días hábiles</t>
        </is>
      </c>
      <c r="E10" s="17" t="inlineStr">
        <is>
          <t>Equivale a 4 semanas de producción a régimen (Fundamentado por SLA 98% y ciclo)</t>
        </is>
      </c>
    </row>
    <row r="11">
      <c r="B11" s="16" t="inlineStr">
        <is>
          <t>Capacidad de Almacenamiento Requerida (PT)</t>
        </is>
      </c>
      <c r="C11" s="56">
        <f>C9*(C10/5)</f>
        <v/>
      </c>
      <c r="D11" s="32" t="inlineStr">
        <is>
          <t>posiciones pallet</t>
        </is>
      </c>
      <c r="E11" s="17" t="inlineStr">
        <is>
          <t>Stock Máximo = Pallets/sem * Semanas de cobertura</t>
        </is>
      </c>
    </row>
    <row r="12">
      <c r="B12" s="17" t="inlineStr">
        <is>
          <t>Tipo de Pallet Normalizado</t>
        </is>
      </c>
      <c r="C12" s="57" t="inlineStr">
        <is>
          <t>Arlog (1.200 x 1.000 mm)</t>
        </is>
      </c>
      <c r="D12" s="32" t="inlineStr">
        <is>
          <t>-</t>
        </is>
      </c>
      <c r="E12" s="17" t="inlineStr">
        <is>
          <t>Altura máxima con carga estibada: 1,85 m</t>
        </is>
      </c>
    </row>
    <row r="13">
      <c r="B13" s="17" t="inlineStr">
        <is>
          <t>Configuración de Estanterías</t>
        </is>
      </c>
      <c r="C13" s="57" t="inlineStr">
        <is>
          <t>Racks Selectivos pesados</t>
        </is>
      </c>
      <c r="D13" s="32" t="inlineStr">
        <is>
          <t>-</t>
        </is>
      </c>
      <c r="E13" s="17" t="inlineStr">
        <is>
          <t>3 niveles de altura (2 pallets por módulo de 2,70 m)</t>
        </is>
      </c>
    </row>
    <row r="14">
      <c r="B14" s="17" t="inlineStr">
        <is>
          <t>Niveles de Estiba en Racks</t>
        </is>
      </c>
      <c r="C14" s="55" t="n">
        <v>3</v>
      </c>
      <c r="D14" s="32" t="inlineStr">
        <is>
          <t>niveles</t>
        </is>
      </c>
      <c r="E14" s="17" t="inlineStr">
        <is>
          <t>Altura de rack útil: aprox. 6,00 m</t>
        </is>
      </c>
    </row>
    <row r="15">
      <c r="B15" s="17" t="inlineStr">
        <is>
          <t>Cantidad de Módulos de Racks en Planta</t>
        </is>
      </c>
      <c r="C15" s="56">
        <f>ROUNDUP(C11/(C14*2), 0)</f>
        <v/>
      </c>
      <c r="D15" s="32" t="inlineStr">
        <is>
          <t>módulos dobles</t>
        </is>
      </c>
      <c r="E15" s="17" t="inlineStr">
        <is>
          <t>Cada módulo doble aloja 6 pallets (3 niveles x 2 pallets)</t>
        </is>
      </c>
    </row>
    <row r="16">
      <c r="B16" s="17" t="inlineStr">
        <is>
          <t>Superficie Estática de Racks (Ss)</t>
        </is>
      </c>
      <c r="C16" s="54">
        <f>C15*2.7*1.1</f>
        <v/>
      </c>
      <c r="D16" s="32" t="inlineStr">
        <is>
          <t>m²</t>
        </is>
      </c>
      <c r="E16" s="17" t="inlineStr">
        <is>
          <t>Huella de las estructuras de almacenamiento</t>
        </is>
      </c>
    </row>
    <row r="17">
      <c r="B17" s="17" t="inlineStr">
        <is>
          <t>Ancho de Pasillo para Autoelevador</t>
        </is>
      </c>
      <c r="C17" s="55" t="n">
        <v>3</v>
      </c>
      <c r="D17" s="32" t="inlineStr">
        <is>
          <t>metros</t>
        </is>
      </c>
      <c r="E17" s="17" t="inlineStr">
        <is>
          <t>Radio de giro y maniobra autoelevador eléctrico HELI ORME-CMM-16</t>
        </is>
      </c>
    </row>
    <row r="18">
      <c r="B18" s="17" t="inlineStr">
        <is>
          <t>Área de Maniobra y Pasillos (Sg + Se)</t>
        </is>
      </c>
      <c r="C18" s="55" t="n">
        <v>95</v>
      </c>
      <c r="D18" s="32" t="inlineStr">
        <is>
          <t>m²</t>
        </is>
      </c>
      <c r="E18" s="17" t="inlineStr">
        <is>
          <t>Espacio para circulación y carga/descarga segura</t>
        </is>
      </c>
    </row>
    <row r="19">
      <c r="B19" s="17" t="inlineStr">
        <is>
          <t>Área de Enfilmado, Picking y Dársena</t>
        </is>
      </c>
      <c r="C19" s="55" t="n">
        <v>25</v>
      </c>
      <c r="D19" s="32" t="inlineStr">
        <is>
          <t>m²</t>
        </is>
      </c>
      <c r="E19" s="17" t="inlineStr">
        <is>
          <t>Plato giratorio stretch + pulmón de precarga a camión</t>
        </is>
      </c>
    </row>
    <row r="20">
      <c r="B20" s="58" t="inlineStr">
        <is>
          <t>SUPERFICIE TOTAL REQUERIDA DEPÓSITO PT</t>
        </is>
      </c>
      <c r="C20" s="59">
        <f>C16+C18+C19</f>
        <v/>
      </c>
      <c r="D20" s="5" t="inlineStr">
        <is>
          <t>m²</t>
        </is>
      </c>
      <c r="E20" s="58" t="inlineStr">
        <is>
          <t>Dimensión mínima a verificar en el archivo CAD</t>
        </is>
      </c>
    </row>
    <row r="21"/>
    <row r="22">
      <c r="B22" s="30" t="inlineStr">
        <is>
          <t>Parámetro de Dimensionamiento</t>
        </is>
      </c>
      <c r="C22" s="30" t="inlineStr">
        <is>
          <t>Valor / Fórmula</t>
        </is>
      </c>
      <c r="D22" s="30" t="inlineStr">
        <is>
          <t>Unidad</t>
        </is>
      </c>
      <c r="E22" s="30" t="inlineStr">
        <is>
          <t>Criterio Técnico / Normativa</t>
        </is>
      </c>
    </row>
    <row r="23">
      <c r="B23" s="17" t="inlineStr">
        <is>
          <t>Consumo semanal de MP (Galletitas)</t>
        </is>
      </c>
      <c r="C23" s="54">
        <f>'2. PCP - Programa &amp; Lotes'!C28*15</f>
        <v/>
      </c>
      <c r="D23" s="32" t="inlineStr">
        <is>
          <t>kg / sem</t>
        </is>
      </c>
      <c r="E23" s="17" t="inlineStr">
        <is>
          <t>Vinculado a PCP: Masa/turno Galletitas * 15 turnos</t>
        </is>
      </c>
    </row>
    <row r="24">
      <c r="B24" s="17" t="inlineStr">
        <is>
          <t>Consumo semanal de MP (Panificados)</t>
        </is>
      </c>
      <c r="C24" s="54">
        <f>'2. PCP - Programa &amp; Lotes'!D28*15</f>
        <v/>
      </c>
      <c r="D24" s="32" t="inlineStr">
        <is>
          <t>kg / sem</t>
        </is>
      </c>
      <c r="E24" s="17" t="inlineStr">
        <is>
          <t>Vinculado a PCP: Masa/turno Panificados * 15 turnos</t>
        </is>
      </c>
    </row>
    <row r="25">
      <c r="B25" s="17" t="inlineStr">
        <is>
          <t>Consumo total semanal de Materias Primas</t>
        </is>
      </c>
      <c r="C25" s="54">
        <f>C23+C24</f>
        <v/>
      </c>
      <c r="D25" s="32" t="inlineStr">
        <is>
          <t>kg / sem</t>
        </is>
      </c>
      <c r="E25" s="17" t="inlineStr">
        <is>
          <t>Aprox. 17,3 toneladas semanales de insumos</t>
        </is>
      </c>
    </row>
    <row r="26">
      <c r="B26" s="17" t="inlineStr">
        <is>
          <t>Política de Cobertura de Stock MP</t>
        </is>
      </c>
      <c r="C26" s="55" t="n">
        <v>15</v>
      </c>
      <c r="D26" s="32" t="inlineStr">
        <is>
          <t>días hábiles</t>
        </is>
      </c>
      <c r="E26" s="17" t="inlineStr">
        <is>
          <t>10 días de lote de compra + 5 días stock seguridad</t>
        </is>
      </c>
    </row>
    <row r="27">
      <c r="B27" s="16" t="inlineStr">
        <is>
          <t>Capacidad de Almacenamiento MP Requerida</t>
        </is>
      </c>
      <c r="C27" s="56">
        <f>ROUNDUP((C25*(C26/5))/1000, 0)</f>
        <v/>
      </c>
      <c r="D27" s="32" t="inlineStr">
        <is>
          <t>posiciones pallet</t>
        </is>
      </c>
      <c r="E27" s="17" t="inlineStr">
        <is>
          <t>Equivale a 3 semanas de consumo en racks (1000 kg/pal)</t>
        </is>
      </c>
    </row>
    <row r="28">
      <c r="B28" s="17" t="inlineStr">
        <is>
          <t>Zona de Cuarentena y Muestreo Sin TACC</t>
        </is>
      </c>
      <c r="C28" s="55" t="n">
        <v>12</v>
      </c>
      <c r="D28" s="32" t="inlineStr">
        <is>
          <t>m²</t>
        </is>
      </c>
      <c r="E28" s="17" t="inlineStr">
        <is>
          <t>Área delimitada para control de gluten (&lt;10 ppm)</t>
        </is>
      </c>
    </row>
    <row r="29">
      <c r="B29" s="17" t="inlineStr">
        <is>
          <t>Superficie Estática de Racks MP (3 niveles)</t>
        </is>
      </c>
      <c r="C29" s="54">
        <f>ROUNDUP(C27/6, 0)*2.7*1.1</f>
        <v/>
      </c>
      <c r="D29" s="32" t="inlineStr">
        <is>
          <t>m²</t>
        </is>
      </c>
      <c r="E29" s="17" t="inlineStr">
        <is>
          <t>Estructura para almacenar las posiciones en 3 alturas</t>
        </is>
      </c>
    </row>
    <row r="30">
      <c r="B30" s="17" t="inlineStr">
        <is>
          <t>Pasillo y Maniobra Autoelevador MP</t>
        </is>
      </c>
      <c r="C30" s="55" t="n">
        <v>45</v>
      </c>
      <c r="D30" s="32" t="inlineStr">
        <is>
          <t>m²</t>
        </is>
      </c>
      <c r="E30" s="17" t="inlineStr">
        <is>
          <t>Circulación y abastecimiento a Sección Pesado</t>
        </is>
      </c>
    </row>
    <row r="31">
      <c r="B31" s="17" t="inlineStr">
        <is>
          <t>Dársena de Recepción y Descarga</t>
        </is>
      </c>
      <c r="C31" s="55" t="n">
        <v>15</v>
      </c>
      <c r="D31" s="32" t="inlineStr">
        <is>
          <t>m²</t>
        </is>
      </c>
      <c r="E31" s="17" t="inlineStr">
        <is>
          <t>Área bajo techo frente a portón de descarga</t>
        </is>
      </c>
    </row>
    <row r="32">
      <c r="B32" s="58" t="inlineStr">
        <is>
          <t>SUPERFICIE TOTAL REQUERIDA DEPÓSITO MP</t>
        </is>
      </c>
      <c r="C32" s="59">
        <f>C28+C29+C30+C31</f>
        <v/>
      </c>
      <c r="D32" s="5" t="inlineStr">
        <is>
          <t>m²</t>
        </is>
      </c>
      <c r="E32" s="58" t="inlineStr">
        <is>
          <t>Dimensión mínima a verificar en el archivo CAD</t>
        </is>
      </c>
    </row>
    <row r="33"/>
    <row r="34"/>
    <row r="35">
      <c r="B35" s="15" t="inlineStr">
        <is>
          <t>Sector / Buffer Intermedio</t>
        </is>
      </c>
      <c r="C35" s="15" t="inlineStr">
        <is>
          <t>Capacidad Física Requerida</t>
        </is>
      </c>
      <c r="D35" s="15" t="inlineStr">
        <is>
          <t>Superficie Estimada (m²)</t>
        </is>
      </c>
      <c r="E35" s="15" t="inlineStr">
        <is>
          <t>Justificación Operativa / Requisito Sanitario</t>
        </is>
      </c>
    </row>
    <row r="36">
      <c r="B36" s="16" t="inlineStr">
        <is>
          <t>Pulmón de Carros de Enfriamiento (Panificados)</t>
        </is>
      </c>
      <c r="C36" s="19" t="inlineStr">
        <is>
          <t>4 carros en paralelo</t>
        </is>
      </c>
      <c r="D36" s="37" t="n">
        <v>18</v>
      </c>
      <c r="E36" s="24" t="inlineStr">
        <is>
          <t>Carros calientes en reposo térmico (60-90 min) previo a envasado</t>
        </is>
      </c>
    </row>
    <row r="37">
      <c r="B37" s="16" t="inlineStr">
        <is>
          <t>Pulmón de Fermentación (Pan de Molde)</t>
        </is>
      </c>
      <c r="C37" s="19" t="inlineStr">
        <is>
          <t>Cámara + 2 carros buffer</t>
        </is>
      </c>
      <c r="D37" s="37" t="n">
        <v>8.5</v>
      </c>
      <c r="E37" s="24" t="inlineStr">
        <is>
          <t>Carros cargados en espera de horneado</t>
        </is>
      </c>
    </row>
    <row r="38">
      <c r="B38" s="16" t="inlineStr">
        <is>
          <t>Buffer de Palletizado (Envasado 2° Galletitas)</t>
        </is>
      </c>
      <c r="C38" s="19" t="inlineStr">
        <is>
          <t>1 pallet conformando + 1 listo</t>
        </is>
      </c>
      <c r="D38" s="37" t="n">
        <v>6</v>
      </c>
      <c r="E38" s="24" t="inlineStr">
        <is>
          <t>Espacio para estiba manual y zorra hidráulica</t>
        </is>
      </c>
    </row>
    <row r="39">
      <c r="B39" s="16" t="inlineStr">
        <is>
          <t>Buffer de Palletizado (Envasado 2° Panificados)</t>
        </is>
      </c>
      <c r="C39" s="19" t="inlineStr">
        <is>
          <t>1 pallet conformando</t>
        </is>
      </c>
      <c r="D39" s="37" t="n">
        <v>4.5</v>
      </c>
      <c r="E39" s="24" t="inlineStr">
        <is>
          <t>Espacio para estiba de cajas multiproducto</t>
        </is>
      </c>
    </row>
    <row r="40">
      <c r="B40" s="16" t="inlineStr">
        <is>
          <t>Pulmón de Bateas y Tachos Limpios (Lavado)</t>
        </is>
      </c>
      <c r="C40" s="19" t="inlineStr">
        <is>
          <t>Área de baches listos</t>
        </is>
      </c>
      <c r="D40" s="37" t="n">
        <v>6</v>
      </c>
      <c r="E40" s="24" t="inlineStr">
        <is>
          <t>Recipientes limpios en espera de fraccionamiento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32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2" customWidth="1" min="21" max="21"/>
  </cols>
  <sheetData>
    <row r="2">
      <c r="B2" s="1" t="inlineStr">
        <is>
          <t>MATRIZ DESDE - HASTA DE FRECUENCIAS DE TRANSPORTE (fij)</t>
        </is>
      </c>
    </row>
    <row r="3">
      <c r="B3" s="2" t="inlineStr">
        <is>
          <t>Frecuencia de Movimientos por Turno de 8 Horas al Año 10 (Viajes / Turno) - Cabeceras Horizontales y Fórmulas Vinculadas</t>
        </is>
      </c>
    </row>
    <row r="4">
      <c r="B4" s="3" t="inlineStr">
        <is>
          <t>REFERENCIA DE FORMATO:</t>
        </is>
      </c>
      <c r="C4" s="4" t="inlineStr">
        <is>
          <t>Parámetro Configurable (Modificable)</t>
        </is>
      </c>
      <c r="E4" s="5" t="inlineStr">
        <is>
          <t>Fórmula Automática / Vinculada</t>
        </is>
      </c>
    </row>
    <row r="6" ht="28" customHeight="1">
      <c r="B6" s="15" t="inlineStr">
        <is>
          <t>DESDE \ HASTA</t>
        </is>
      </c>
      <c r="C6" s="60" t="inlineStr">
        <is>
          <t>1. Dep. MP</t>
        </is>
      </c>
      <c r="D6" s="60" t="inlineStr">
        <is>
          <t>2. Pesado</t>
        </is>
      </c>
      <c r="E6" s="60" t="inlineStr">
        <is>
          <t>3. Amasado</t>
        </is>
      </c>
      <c r="F6" s="60" t="inlineStr">
        <is>
          <t>4. Moldeado</t>
        </is>
      </c>
      <c r="G6" s="60" t="inlineStr">
        <is>
          <t>5. Horno G</t>
        </is>
      </c>
      <c r="H6" s="60" t="inlineStr">
        <is>
          <t>6. Enfriado</t>
        </is>
      </c>
      <c r="I6" s="60" t="inlineStr">
        <is>
          <t>7. Env 1° G</t>
        </is>
      </c>
      <c r="J6" s="60" t="inlineStr">
        <is>
          <t>8. Env 2° G</t>
        </is>
      </c>
      <c r="K6" s="60" t="inlineStr">
        <is>
          <t>9. Batido</t>
        </is>
      </c>
      <c r="L6" s="60" t="inlineStr">
        <is>
          <t>10. Dosific.</t>
        </is>
      </c>
      <c r="M6" s="60" t="inlineStr">
        <is>
          <t>11. Ferment.</t>
        </is>
      </c>
      <c r="N6" s="60" t="inlineStr">
        <is>
          <t>12. Hornos R.</t>
        </is>
      </c>
      <c r="O6" s="60" t="inlineStr">
        <is>
          <t>13. Enfriado</t>
        </is>
      </c>
      <c r="P6" s="60" t="inlineStr">
        <is>
          <t>14. Reban.</t>
        </is>
      </c>
      <c r="Q6" s="60" t="inlineStr">
        <is>
          <t>15. Env 1° P</t>
        </is>
      </c>
      <c r="R6" s="60" t="inlineStr">
        <is>
          <t>16. Env 2° P</t>
        </is>
      </c>
      <c r="S6" s="60" t="inlineStr">
        <is>
          <t>17. Dep. PT</t>
        </is>
      </c>
      <c r="T6" s="60" t="inlineStr">
        <is>
          <t>18. Lav/Scrap</t>
        </is>
      </c>
      <c r="U6" s="15" t="inlineStr">
        <is>
          <t>SALIDAS</t>
        </is>
      </c>
    </row>
    <row r="7">
      <c r="B7" s="16" t="inlineStr">
        <is>
          <t>1. Depósito MP</t>
        </is>
      </c>
      <c r="C7" s="61" t="inlineStr">
        <is>
          <t>-</t>
        </is>
      </c>
      <c r="D7" s="62">
        <f>'3. Cuantificación Frecuencias'!H7</f>
        <v/>
      </c>
      <c r="E7" s="63" t="inlineStr"/>
      <c r="F7" s="63" t="inlineStr"/>
      <c r="G7" s="63" t="inlineStr"/>
      <c r="H7" s="63" t="inlineStr"/>
      <c r="I7" s="63" t="inlineStr"/>
      <c r="J7" s="63" t="inlineStr"/>
      <c r="K7" s="63" t="inlineStr"/>
      <c r="L7" s="63" t="inlineStr"/>
      <c r="M7" s="63" t="inlineStr"/>
      <c r="N7" s="63" t="inlineStr"/>
      <c r="O7" s="63" t="inlineStr"/>
      <c r="P7" s="63" t="inlineStr"/>
      <c r="Q7" s="63" t="inlineStr"/>
      <c r="R7" s="63" t="inlineStr"/>
      <c r="S7" s="63" t="inlineStr"/>
      <c r="T7" s="63" t="inlineStr"/>
      <c r="U7" s="62">
        <f>SUM(C7:T7)</f>
        <v/>
      </c>
    </row>
    <row r="8">
      <c r="B8" s="16" t="inlineStr">
        <is>
          <t>2. Sección Pesado</t>
        </is>
      </c>
      <c r="C8" s="63" t="inlineStr"/>
      <c r="D8" s="61" t="inlineStr">
        <is>
          <t>-</t>
        </is>
      </c>
      <c r="E8" s="62">
        <f>'3. Cuantificación Frecuencias'!H8</f>
        <v/>
      </c>
      <c r="F8" s="63" t="inlineStr"/>
      <c r="G8" s="63" t="inlineStr"/>
      <c r="H8" s="63" t="inlineStr"/>
      <c r="I8" s="63" t="inlineStr"/>
      <c r="J8" s="63" t="inlineStr"/>
      <c r="K8" s="62">
        <f>'3. Cuantificación Frecuencias'!H15</f>
        <v/>
      </c>
      <c r="L8" s="63" t="inlineStr"/>
      <c r="M8" s="63" t="inlineStr"/>
      <c r="N8" s="63" t="inlineStr"/>
      <c r="O8" s="63" t="inlineStr"/>
      <c r="P8" s="63" t="inlineStr"/>
      <c r="Q8" s="63" t="inlineStr"/>
      <c r="R8" s="63" t="inlineStr"/>
      <c r="S8" s="63" t="inlineStr"/>
      <c r="T8" s="63" t="inlineStr"/>
      <c r="U8" s="62">
        <f>SUM(C8:T8)</f>
        <v/>
      </c>
    </row>
    <row r="9">
      <c r="B9" s="16" t="inlineStr">
        <is>
          <t>3. Amasado G</t>
        </is>
      </c>
      <c r="C9" s="63" t="inlineStr"/>
      <c r="D9" s="63" t="inlineStr"/>
      <c r="E9" s="61" t="inlineStr">
        <is>
          <t>-</t>
        </is>
      </c>
      <c r="F9" s="62">
        <f>'3. Cuantificación Frecuencias'!H9</f>
        <v/>
      </c>
      <c r="G9" s="63" t="inlineStr"/>
      <c r="H9" s="63" t="inlineStr"/>
      <c r="I9" s="63" t="inlineStr"/>
      <c r="J9" s="63" t="inlineStr"/>
      <c r="K9" s="63" t="inlineStr"/>
      <c r="L9" s="63" t="inlineStr"/>
      <c r="M9" s="63" t="inlineStr"/>
      <c r="N9" s="63" t="inlineStr"/>
      <c r="O9" s="63" t="inlineStr"/>
      <c r="P9" s="63" t="inlineStr"/>
      <c r="Q9" s="63" t="inlineStr"/>
      <c r="R9" s="63" t="inlineStr"/>
      <c r="S9" s="63" t="inlineStr"/>
      <c r="T9" s="62" t="n">
        <v>2</v>
      </c>
      <c r="U9" s="62">
        <f>SUM(C9:T9)</f>
        <v/>
      </c>
    </row>
    <row r="10">
      <c r="B10" s="16" t="inlineStr">
        <is>
          <t>4. Moldeado G</t>
        </is>
      </c>
      <c r="C10" s="63" t="inlineStr"/>
      <c r="D10" s="62">
        <f>'3. Cuantificación Frecuencias'!H24/2</f>
        <v/>
      </c>
      <c r="E10" s="63" t="inlineStr"/>
      <c r="F10" s="61" t="inlineStr">
        <is>
          <t>-</t>
        </is>
      </c>
      <c r="G10" s="64" t="inlineStr">
        <is>
          <t>[C]</t>
        </is>
      </c>
      <c r="H10" s="63" t="inlineStr"/>
      <c r="I10" s="63" t="inlineStr"/>
      <c r="J10" s="63" t="inlineStr"/>
      <c r="K10" s="63" t="inlineStr"/>
      <c r="L10" s="63" t="inlineStr"/>
      <c r="M10" s="63" t="inlineStr"/>
      <c r="N10" s="63" t="inlineStr"/>
      <c r="O10" s="63" t="inlineStr"/>
      <c r="P10" s="63" t="inlineStr"/>
      <c r="Q10" s="63" t="inlineStr"/>
      <c r="R10" s="63" t="inlineStr"/>
      <c r="S10" s="63" t="inlineStr"/>
      <c r="T10" s="62" t="n">
        <v>1</v>
      </c>
      <c r="U10" s="62">
        <f>SUM(C10:T10)</f>
        <v/>
      </c>
    </row>
    <row r="11">
      <c r="B11" s="16" t="inlineStr">
        <is>
          <t>5. Horno Túnel G</t>
        </is>
      </c>
      <c r="C11" s="63" t="inlineStr"/>
      <c r="D11" s="63" t="inlineStr"/>
      <c r="E11" s="63" t="inlineStr"/>
      <c r="F11" s="63" t="inlineStr"/>
      <c r="G11" s="61" t="inlineStr">
        <is>
          <t>-</t>
        </is>
      </c>
      <c r="H11" s="64" t="inlineStr">
        <is>
          <t>[C]</t>
        </is>
      </c>
      <c r="I11" s="63" t="inlineStr"/>
      <c r="J11" s="63" t="inlineStr"/>
      <c r="K11" s="63" t="inlineStr"/>
      <c r="L11" s="63" t="inlineStr"/>
      <c r="M11" s="63" t="inlineStr"/>
      <c r="N11" s="63" t="inlineStr"/>
      <c r="O11" s="63" t="inlineStr"/>
      <c r="P11" s="63" t="inlineStr"/>
      <c r="Q11" s="63" t="inlineStr"/>
      <c r="R11" s="63" t="inlineStr"/>
      <c r="S11" s="63" t="inlineStr"/>
      <c r="T11" s="63" t="inlineStr"/>
      <c r="U11" s="62">
        <f>SUM(C11:T11)</f>
        <v/>
      </c>
    </row>
    <row r="12">
      <c r="B12" s="16" t="inlineStr">
        <is>
          <t>6. Cinta Enfriado G</t>
        </is>
      </c>
      <c r="C12" s="63" t="inlineStr"/>
      <c r="D12" s="62">
        <f>'3. Cuantificación Frecuencias'!H24/4</f>
        <v/>
      </c>
      <c r="E12" s="63" t="inlineStr"/>
      <c r="F12" s="63" t="inlineStr"/>
      <c r="G12" s="63" t="inlineStr"/>
      <c r="H12" s="61" t="inlineStr">
        <is>
          <t>-</t>
        </is>
      </c>
      <c r="I12" s="64" t="inlineStr">
        <is>
          <t>[C]</t>
        </is>
      </c>
      <c r="J12" s="63" t="inlineStr"/>
      <c r="K12" s="63" t="inlineStr"/>
      <c r="L12" s="63" t="inlineStr"/>
      <c r="M12" s="63" t="inlineStr"/>
      <c r="N12" s="63" t="inlineStr"/>
      <c r="O12" s="63" t="inlineStr"/>
      <c r="P12" s="63" t="inlineStr"/>
      <c r="Q12" s="63" t="inlineStr"/>
      <c r="R12" s="63" t="inlineStr"/>
      <c r="S12" s="63" t="inlineStr"/>
      <c r="T12" s="62" t="n">
        <v>1</v>
      </c>
      <c r="U12" s="62">
        <f>SUM(C12:T12)</f>
        <v/>
      </c>
    </row>
    <row r="13">
      <c r="B13" s="16" t="inlineStr">
        <is>
          <t>7. Envasado 1° G</t>
        </is>
      </c>
      <c r="C13" s="63" t="inlineStr"/>
      <c r="D13" s="62">
        <f>'3. Cuantificación Frecuencias'!H24/4</f>
        <v/>
      </c>
      <c r="E13" s="63" t="inlineStr"/>
      <c r="F13" s="63" t="inlineStr"/>
      <c r="G13" s="63" t="inlineStr"/>
      <c r="H13" s="63" t="inlineStr"/>
      <c r="I13" s="61" t="inlineStr">
        <is>
          <t>-</t>
        </is>
      </c>
      <c r="J13" s="65" t="inlineStr">
        <is>
          <t>[L]</t>
        </is>
      </c>
      <c r="K13" s="63" t="inlineStr"/>
      <c r="L13" s="63" t="inlineStr"/>
      <c r="M13" s="63" t="inlineStr"/>
      <c r="N13" s="63" t="inlineStr"/>
      <c r="O13" s="63" t="inlineStr"/>
      <c r="P13" s="63" t="inlineStr"/>
      <c r="Q13" s="63" t="inlineStr"/>
      <c r="R13" s="63" t="inlineStr"/>
      <c r="S13" s="63" t="inlineStr"/>
      <c r="T13" s="62" t="n">
        <v>1</v>
      </c>
      <c r="U13" s="62">
        <f>SUM(C13:T13)</f>
        <v/>
      </c>
    </row>
    <row r="14">
      <c r="B14" s="16" t="inlineStr">
        <is>
          <t>8. Envasado 2° G</t>
        </is>
      </c>
      <c r="C14" s="63" t="inlineStr"/>
      <c r="D14" s="63" t="inlineStr"/>
      <c r="E14" s="63" t="inlineStr"/>
      <c r="F14" s="63" t="inlineStr"/>
      <c r="G14" s="63" t="inlineStr"/>
      <c r="H14" s="63" t="inlineStr"/>
      <c r="I14" s="63" t="inlineStr"/>
      <c r="J14" s="61" t="inlineStr">
        <is>
          <t>-</t>
        </is>
      </c>
      <c r="K14" s="63" t="inlineStr"/>
      <c r="L14" s="63" t="inlineStr"/>
      <c r="M14" s="63" t="inlineStr"/>
      <c r="N14" s="63" t="inlineStr"/>
      <c r="O14" s="63" t="inlineStr"/>
      <c r="P14" s="63" t="inlineStr"/>
      <c r="Q14" s="63" t="inlineStr"/>
      <c r="R14" s="63" t="inlineStr"/>
      <c r="S14" s="62">
        <f>'3. Cuantificación Frecuencias'!H14</f>
        <v/>
      </c>
      <c r="T14" s="62" t="n">
        <v>1</v>
      </c>
      <c r="U14" s="62">
        <f>SUM(C14:T14)</f>
        <v/>
      </c>
    </row>
    <row r="15">
      <c r="B15" s="16" t="inlineStr">
        <is>
          <t>9. Batido Panif.</t>
        </is>
      </c>
      <c r="C15" s="63" t="inlineStr"/>
      <c r="D15" s="63" t="inlineStr"/>
      <c r="E15" s="63" t="inlineStr"/>
      <c r="F15" s="63" t="inlineStr"/>
      <c r="G15" s="63" t="inlineStr"/>
      <c r="H15" s="63" t="inlineStr"/>
      <c r="I15" s="63" t="inlineStr"/>
      <c r="J15" s="63" t="inlineStr"/>
      <c r="K15" s="61" t="inlineStr">
        <is>
          <t>-</t>
        </is>
      </c>
      <c r="L15" s="62">
        <f>'3. Cuantificación Frecuencias'!H16</f>
        <v/>
      </c>
      <c r="M15" s="63" t="inlineStr"/>
      <c r="N15" s="63" t="inlineStr"/>
      <c r="O15" s="63" t="inlineStr"/>
      <c r="P15" s="63" t="inlineStr"/>
      <c r="Q15" s="63" t="inlineStr"/>
      <c r="R15" s="63" t="inlineStr"/>
      <c r="S15" s="63" t="inlineStr"/>
      <c r="T15" s="62" t="n">
        <v>1</v>
      </c>
      <c r="U15" s="62">
        <f>SUM(C15:T15)</f>
        <v/>
      </c>
    </row>
    <row r="16">
      <c r="B16" s="16" t="inlineStr">
        <is>
          <t>10. Dosificado P.</t>
        </is>
      </c>
      <c r="C16" s="63" t="inlineStr"/>
      <c r="D16" s="63" t="inlineStr"/>
      <c r="E16" s="63" t="inlineStr"/>
      <c r="F16" s="63" t="inlineStr"/>
      <c r="G16" s="63" t="inlineStr"/>
      <c r="H16" s="63" t="inlineStr"/>
      <c r="I16" s="63" t="inlineStr"/>
      <c r="J16" s="63" t="inlineStr"/>
      <c r="K16" s="63" t="inlineStr"/>
      <c r="L16" s="61" t="inlineStr">
        <is>
          <t>-</t>
        </is>
      </c>
      <c r="M16" s="62">
        <f>'3. Cuantificación Frecuencias'!H17</f>
        <v/>
      </c>
      <c r="N16" s="63" t="inlineStr"/>
      <c r="O16" s="63" t="inlineStr"/>
      <c r="P16" s="63" t="inlineStr"/>
      <c r="Q16" s="63" t="inlineStr"/>
      <c r="R16" s="63" t="inlineStr"/>
      <c r="S16" s="63" t="inlineStr"/>
      <c r="T16" s="62" t="n">
        <v>1</v>
      </c>
      <c r="U16" s="62">
        <f>SUM(C16:T16)</f>
        <v/>
      </c>
    </row>
    <row r="17">
      <c r="B17" s="16" t="inlineStr">
        <is>
          <t>11. Fermentado P.</t>
        </is>
      </c>
      <c r="C17" s="63" t="inlineStr"/>
      <c r="D17" s="63" t="inlineStr"/>
      <c r="E17" s="63" t="inlineStr"/>
      <c r="F17" s="63" t="inlineStr"/>
      <c r="G17" s="63" t="inlineStr"/>
      <c r="H17" s="63" t="inlineStr"/>
      <c r="I17" s="63" t="inlineStr"/>
      <c r="J17" s="63" t="inlineStr"/>
      <c r="K17" s="63" t="inlineStr"/>
      <c r="L17" s="63" t="inlineStr"/>
      <c r="M17" s="61" t="inlineStr">
        <is>
          <t>-</t>
        </is>
      </c>
      <c r="N17" s="62">
        <f>'3. Cuantificación Frecuencias'!H18</f>
        <v/>
      </c>
      <c r="O17" s="63" t="inlineStr"/>
      <c r="P17" s="63" t="inlineStr"/>
      <c r="Q17" s="63" t="inlineStr"/>
      <c r="R17" s="63" t="inlineStr"/>
      <c r="S17" s="63" t="inlineStr"/>
      <c r="T17" s="63" t="inlineStr"/>
      <c r="U17" s="62">
        <f>SUM(C17:T17)</f>
        <v/>
      </c>
    </row>
    <row r="18">
      <c r="B18" s="16" t="inlineStr">
        <is>
          <t>12. Hornos Rotat. P.</t>
        </is>
      </c>
      <c r="C18" s="63" t="inlineStr"/>
      <c r="D18" s="63" t="inlineStr"/>
      <c r="E18" s="63" t="inlineStr"/>
      <c r="F18" s="63" t="inlineStr"/>
      <c r="G18" s="63" t="inlineStr"/>
      <c r="H18" s="63" t="inlineStr"/>
      <c r="I18" s="63" t="inlineStr"/>
      <c r="J18" s="63" t="inlineStr"/>
      <c r="K18" s="63" t="inlineStr"/>
      <c r="L18" s="63" t="inlineStr"/>
      <c r="M18" s="63" t="inlineStr"/>
      <c r="N18" s="61" t="inlineStr">
        <is>
          <t>-</t>
        </is>
      </c>
      <c r="O18" s="62">
        <f>'3. Cuantificación Frecuencias'!H19</f>
        <v/>
      </c>
      <c r="P18" s="63" t="inlineStr"/>
      <c r="Q18" s="63" t="inlineStr"/>
      <c r="R18" s="63" t="inlineStr"/>
      <c r="S18" s="63" t="inlineStr"/>
      <c r="T18" s="63" t="inlineStr"/>
      <c r="U18" s="62">
        <f>SUM(C18:T18)</f>
        <v/>
      </c>
    </row>
    <row r="19">
      <c r="B19" s="16" t="inlineStr">
        <is>
          <t>13. Enfriado P.</t>
        </is>
      </c>
      <c r="C19" s="63" t="inlineStr"/>
      <c r="D19" s="63" t="inlineStr"/>
      <c r="E19" s="63" t="inlineStr"/>
      <c r="F19" s="63" t="inlineStr"/>
      <c r="G19" s="63" t="inlineStr"/>
      <c r="H19" s="63" t="inlineStr"/>
      <c r="I19" s="63" t="inlineStr"/>
      <c r="J19" s="63" t="inlineStr"/>
      <c r="K19" s="63" t="inlineStr"/>
      <c r="L19" s="63" t="inlineStr"/>
      <c r="M19" s="63" t="inlineStr"/>
      <c r="N19" s="63" t="inlineStr"/>
      <c r="O19" s="61" t="inlineStr">
        <is>
          <t>-</t>
        </is>
      </c>
      <c r="P19" s="62">
        <f>'3. Cuantificación Frecuencias'!H20/2</f>
        <v/>
      </c>
      <c r="Q19" s="62">
        <f>'3. Cuantificación Frecuencias'!H20/2</f>
        <v/>
      </c>
      <c r="R19" s="63" t="inlineStr"/>
      <c r="S19" s="63" t="inlineStr"/>
      <c r="T19" s="63" t="inlineStr"/>
      <c r="U19" s="62">
        <f>SUM(C19:T19)</f>
        <v/>
      </c>
    </row>
    <row r="20">
      <c r="B20" s="16" t="inlineStr">
        <is>
          <t>14. Rebanado Pan</t>
        </is>
      </c>
      <c r="C20" s="63" t="inlineStr"/>
      <c r="D20" s="63" t="inlineStr"/>
      <c r="E20" s="63" t="inlineStr"/>
      <c r="F20" s="63" t="inlineStr"/>
      <c r="G20" s="63" t="inlineStr"/>
      <c r="H20" s="63" t="inlineStr"/>
      <c r="I20" s="63" t="inlineStr"/>
      <c r="J20" s="63" t="inlineStr"/>
      <c r="K20" s="63" t="inlineStr"/>
      <c r="L20" s="63" t="inlineStr"/>
      <c r="M20" s="63" t="inlineStr"/>
      <c r="N20" s="63" t="inlineStr"/>
      <c r="O20" s="63" t="inlineStr"/>
      <c r="P20" s="61" t="inlineStr">
        <is>
          <t>-</t>
        </is>
      </c>
      <c r="Q20" s="65" t="inlineStr">
        <is>
          <t>[L]</t>
        </is>
      </c>
      <c r="R20" s="63" t="inlineStr"/>
      <c r="S20" s="63" t="inlineStr"/>
      <c r="T20" s="62" t="n">
        <v>1</v>
      </c>
      <c r="U20" s="62">
        <f>SUM(C20:T20)</f>
        <v/>
      </c>
    </row>
    <row r="21">
      <c r="B21" s="16" t="inlineStr">
        <is>
          <t>15. Envasado 1° P.</t>
        </is>
      </c>
      <c r="C21" s="63" t="inlineStr"/>
      <c r="D21" s="63" t="inlineStr"/>
      <c r="E21" s="63" t="inlineStr"/>
      <c r="F21" s="63" t="inlineStr"/>
      <c r="G21" s="63" t="inlineStr"/>
      <c r="H21" s="63" t="inlineStr"/>
      <c r="I21" s="63" t="inlineStr"/>
      <c r="J21" s="63" t="inlineStr"/>
      <c r="K21" s="63" t="inlineStr"/>
      <c r="L21" s="63" t="inlineStr"/>
      <c r="M21" s="63" t="inlineStr"/>
      <c r="N21" s="63" t="inlineStr"/>
      <c r="O21" s="63" t="inlineStr"/>
      <c r="P21" s="63" t="inlineStr"/>
      <c r="Q21" s="61" t="inlineStr">
        <is>
          <t>-</t>
        </is>
      </c>
      <c r="R21" s="65" t="inlineStr">
        <is>
          <t>[L]</t>
        </is>
      </c>
      <c r="S21" s="63" t="inlineStr"/>
      <c r="T21" s="62" t="n">
        <v>1</v>
      </c>
      <c r="U21" s="62">
        <f>SUM(C21:T21)</f>
        <v/>
      </c>
    </row>
    <row r="22">
      <c r="B22" s="16" t="inlineStr">
        <is>
          <t>16. Envasado 2° P.</t>
        </is>
      </c>
      <c r="C22" s="63" t="inlineStr"/>
      <c r="D22" s="63" t="inlineStr"/>
      <c r="E22" s="63" t="inlineStr"/>
      <c r="F22" s="63" t="inlineStr"/>
      <c r="G22" s="63" t="inlineStr"/>
      <c r="H22" s="63" t="inlineStr"/>
      <c r="I22" s="63" t="inlineStr"/>
      <c r="J22" s="63" t="inlineStr"/>
      <c r="K22" s="63" t="inlineStr"/>
      <c r="L22" s="63" t="inlineStr"/>
      <c r="M22" s="63" t="inlineStr"/>
      <c r="N22" s="63" t="inlineStr"/>
      <c r="O22" s="63" t="inlineStr"/>
      <c r="P22" s="63" t="inlineStr"/>
      <c r="Q22" s="63" t="inlineStr"/>
      <c r="R22" s="61" t="inlineStr">
        <is>
          <t>-</t>
        </is>
      </c>
      <c r="S22" s="62">
        <f>'3. Cuantificación Frecuencias'!H23</f>
        <v/>
      </c>
      <c r="T22" s="62" t="n">
        <v>1</v>
      </c>
      <c r="U22" s="62">
        <f>SUM(C22:T22)</f>
        <v/>
      </c>
    </row>
    <row r="23">
      <c r="B23" s="16" t="inlineStr">
        <is>
          <t>17. Depósito PT</t>
        </is>
      </c>
      <c r="C23" s="63" t="inlineStr"/>
      <c r="D23" s="63" t="inlineStr"/>
      <c r="E23" s="63" t="inlineStr"/>
      <c r="F23" s="63" t="inlineStr"/>
      <c r="G23" s="63" t="inlineStr"/>
      <c r="H23" s="63" t="inlineStr"/>
      <c r="I23" s="63" t="inlineStr"/>
      <c r="J23" s="63" t="inlineStr"/>
      <c r="K23" s="63" t="inlineStr"/>
      <c r="L23" s="63" t="inlineStr"/>
      <c r="M23" s="63" t="inlineStr"/>
      <c r="N23" s="63" t="inlineStr"/>
      <c r="O23" s="63" t="inlineStr"/>
      <c r="P23" s="63" t="inlineStr"/>
      <c r="Q23" s="63" t="inlineStr"/>
      <c r="R23" s="63" t="inlineStr"/>
      <c r="S23" s="61" t="inlineStr">
        <is>
          <t>-</t>
        </is>
      </c>
      <c r="T23" s="63" t="inlineStr"/>
      <c r="U23" s="62">
        <f>SUM(C23:T23)</f>
        <v/>
      </c>
    </row>
    <row r="24">
      <c r="B24" s="16" t="inlineStr">
        <is>
          <t>18. Lavado / Scrap</t>
        </is>
      </c>
      <c r="C24" s="63" t="inlineStr"/>
      <c r="D24" s="62">
        <f>'3. Cuantificación Frecuencias'!H24</f>
        <v/>
      </c>
      <c r="E24" s="63" t="inlineStr"/>
      <c r="F24" s="63" t="inlineStr"/>
      <c r="G24" s="63" t="inlineStr"/>
      <c r="H24" s="63" t="inlineStr"/>
      <c r="I24" s="63" t="inlineStr"/>
      <c r="J24" s="63" t="inlineStr"/>
      <c r="K24" s="63" t="inlineStr"/>
      <c r="L24" s="62">
        <f>'3. Cuantificación Frecuencias'!H25</f>
        <v/>
      </c>
      <c r="M24" s="63" t="inlineStr"/>
      <c r="N24" s="63" t="inlineStr"/>
      <c r="O24" s="63" t="inlineStr"/>
      <c r="P24" s="63" t="inlineStr"/>
      <c r="Q24" s="63" t="inlineStr"/>
      <c r="R24" s="63" t="inlineStr"/>
      <c r="S24" s="63" t="inlineStr"/>
      <c r="T24" s="61" t="inlineStr">
        <is>
          <t>-</t>
        </is>
      </c>
      <c r="U24" s="62">
        <f>SUM(C24:T24)</f>
        <v/>
      </c>
    </row>
    <row r="25">
      <c r="B25" s="66" t="inlineStr">
        <is>
          <t>ENTRADAS</t>
        </is>
      </c>
      <c r="C25" s="67">
        <f>SUM(C7:C24)</f>
        <v/>
      </c>
      <c r="D25" s="67">
        <f>SUM(D7:D24)</f>
        <v/>
      </c>
      <c r="E25" s="67">
        <f>SUM(E7:E24)</f>
        <v/>
      </c>
      <c r="F25" s="67">
        <f>SUM(F7:F24)</f>
        <v/>
      </c>
      <c r="G25" s="67">
        <f>SUM(G7:G24)</f>
        <v/>
      </c>
      <c r="H25" s="67">
        <f>SUM(H7:H24)</f>
        <v/>
      </c>
      <c r="I25" s="67">
        <f>SUM(I7:I24)</f>
        <v/>
      </c>
      <c r="J25" s="67">
        <f>SUM(J7:J24)</f>
        <v/>
      </c>
      <c r="K25" s="67">
        <f>SUM(K7:K24)</f>
        <v/>
      </c>
      <c r="L25" s="67">
        <f>SUM(L7:L24)</f>
        <v/>
      </c>
      <c r="M25" s="67">
        <f>SUM(M7:M24)</f>
        <v/>
      </c>
      <c r="N25" s="67">
        <f>SUM(N7:N24)</f>
        <v/>
      </c>
      <c r="O25" s="67">
        <f>SUM(O7:O24)</f>
        <v/>
      </c>
      <c r="P25" s="67">
        <f>SUM(P7:P24)</f>
        <v/>
      </c>
      <c r="Q25" s="67">
        <f>SUM(Q7:Q24)</f>
        <v/>
      </c>
      <c r="R25" s="67">
        <f>SUM(R7:R24)</f>
        <v/>
      </c>
      <c r="S25" s="67">
        <f>SUM(S7:S24)</f>
        <v/>
      </c>
      <c r="T25" s="67">
        <f>SUM(T7:T24)</f>
        <v/>
      </c>
      <c r="U25" s="68">
        <f>SUM(U7:U24)</f>
        <v/>
      </c>
    </row>
    <row r="28">
      <c r="B28" s="6" t="inlineStr">
        <is>
          <t>REFERENCIAS DE TIPOS DE FLUJO</t>
        </is>
      </c>
    </row>
    <row r="29">
      <c r="B29" s="64" t="inlineStr">
        <is>
          <t>[C]</t>
        </is>
      </c>
      <c r="C29" s="16" t="inlineStr">
        <is>
          <t>Flujo Mecánico Continuo</t>
        </is>
      </c>
      <c r="D29" s="24" t="inlineStr">
        <is>
          <t>Cinta de transporte automatizada en línea recta (Moldeado -&gt; Horno Túnel -&gt; Cinta Enfriado -&gt; Envasadora Vertical). No genera tránsito en pasillos pero exige contigüidad física.</t>
        </is>
      </c>
      <c r="E29" s="9" t="n"/>
      <c r="F29" s="9" t="n"/>
      <c r="G29" s="9" t="n"/>
      <c r="H29" s="9" t="n"/>
      <c r="I29" s="9" t="n"/>
      <c r="J29" s="10" t="n"/>
    </row>
    <row r="30">
      <c r="B30" s="65" t="inlineStr">
        <is>
          <t>[L]</t>
        </is>
      </c>
      <c r="C30" s="16" t="inlineStr">
        <is>
          <t>Flujo Local Adyacente</t>
        </is>
      </c>
      <c r="D30" s="24" t="inlineStr">
        <is>
          <t>Puestos de trabajo inmediatamente contiguos (Envasado 1° -&gt; Mesa de encajonado manual / Rebanado -&gt; Flow-Pack).</t>
        </is>
      </c>
      <c r="E30" s="9" t="n"/>
      <c r="F30" s="9" t="n"/>
      <c r="G30" s="9" t="n"/>
      <c r="H30" s="9" t="n"/>
      <c r="I30" s="9" t="n"/>
      <c r="J30" s="10" t="n"/>
    </row>
    <row r="31">
      <c r="B31" s="5" t="inlineStr">
        <is>
          <t>Azul / Vinculado</t>
        </is>
      </c>
      <c r="C31" s="16" t="inlineStr">
        <is>
          <t>Flujo Vinculado a Solapa 3</t>
        </is>
      </c>
      <c r="D31" s="24" t="inlineStr">
        <is>
          <t>Tramos de transporte calculados dinámicamente desde la hoja de cuantificación y PCP.</t>
        </is>
      </c>
      <c r="E31" s="9" t="n"/>
      <c r="F31" s="9" t="n"/>
      <c r="G31" s="9" t="n"/>
      <c r="H31" s="9" t="n"/>
      <c r="I31" s="9" t="n"/>
      <c r="J31" s="10" t="n"/>
    </row>
    <row r="32">
      <c r="B32" s="69" t="inlineStr">
        <is>
          <t>Zorra / Carro</t>
        </is>
      </c>
      <c r="C32" s="16" t="inlineStr">
        <is>
          <t>Flujo Discontinuo Rodante</t>
        </is>
      </c>
      <c r="D32" s="24" t="inlineStr">
        <is>
          <t>Zorra hidráulica para pallets y carros porta-bandejas para panificados.</t>
        </is>
      </c>
      <c r="E32" s="9" t="n"/>
      <c r="F32" s="9" t="n"/>
      <c r="G32" s="9" t="n"/>
      <c r="H32" s="9" t="n"/>
      <c r="I32" s="9" t="n"/>
      <c r="J32" s="10" t="n"/>
    </row>
  </sheetData>
  <mergeCells count="4">
    <mergeCell ref="D31:J31"/>
    <mergeCell ref="D32:J32"/>
    <mergeCell ref="D29:J29"/>
    <mergeCell ref="D30:J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U25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4" customWidth="1" min="21" max="21"/>
  </cols>
  <sheetData>
    <row r="2">
      <c r="B2" s="1" t="inlineStr">
        <is>
          <t>MATRIZ DESDE - HASTA DE BALANCE DE MASA (kg / Turno)</t>
        </is>
      </c>
    </row>
    <row r="3">
      <c r="B3" s="2" t="inlineStr">
        <is>
          <t>Flujo Másico Neto Transportado por Turno de 8 Horas (Año 10) - Cabeceras Horizontales y Fórmulas Vinculadas</t>
        </is>
      </c>
    </row>
    <row r="4">
      <c r="B4" s="3" t="inlineStr">
        <is>
          <t>REFERENCIA DE FORMATO:</t>
        </is>
      </c>
      <c r="C4" s="4" t="inlineStr">
        <is>
          <t>Parámetro Configurable (Modificable)</t>
        </is>
      </c>
      <c r="E4" s="5" t="inlineStr">
        <is>
          <t>Fórmula Automática / Vinculada</t>
        </is>
      </c>
    </row>
    <row r="6" ht="28" customHeight="1">
      <c r="B6" s="30" t="inlineStr">
        <is>
          <t>DESDE \ HASTA</t>
        </is>
      </c>
      <c r="C6" s="70" t="inlineStr">
        <is>
          <t>1. Dep. MP</t>
        </is>
      </c>
      <c r="D6" s="70" t="inlineStr">
        <is>
          <t>2. Pesado</t>
        </is>
      </c>
      <c r="E6" s="70" t="inlineStr">
        <is>
          <t>3. Amasado</t>
        </is>
      </c>
      <c r="F6" s="70" t="inlineStr">
        <is>
          <t>4. Moldeado</t>
        </is>
      </c>
      <c r="G6" s="70" t="inlineStr">
        <is>
          <t>5. Horno G</t>
        </is>
      </c>
      <c r="H6" s="70" t="inlineStr">
        <is>
          <t>6. Enfriado</t>
        </is>
      </c>
      <c r="I6" s="70" t="inlineStr">
        <is>
          <t>7. Env 1° G</t>
        </is>
      </c>
      <c r="J6" s="70" t="inlineStr">
        <is>
          <t>8. Env 2° G</t>
        </is>
      </c>
      <c r="K6" s="70" t="inlineStr">
        <is>
          <t>9. Batido</t>
        </is>
      </c>
      <c r="L6" s="70" t="inlineStr">
        <is>
          <t>10. Dosific.</t>
        </is>
      </c>
      <c r="M6" s="70" t="inlineStr">
        <is>
          <t>11. Ferment.</t>
        </is>
      </c>
      <c r="N6" s="70" t="inlineStr">
        <is>
          <t>12. Hornos R.</t>
        </is>
      </c>
      <c r="O6" s="70" t="inlineStr">
        <is>
          <t>13. Enfriado</t>
        </is>
      </c>
      <c r="P6" s="70" t="inlineStr">
        <is>
          <t>14. Reban.</t>
        </is>
      </c>
      <c r="Q6" s="70" t="inlineStr">
        <is>
          <t>15. Env 1° P</t>
        </is>
      </c>
      <c r="R6" s="70" t="inlineStr">
        <is>
          <t>16. Env 2° P</t>
        </is>
      </c>
      <c r="S6" s="70" t="inlineStr">
        <is>
          <t>17. Dep. PT</t>
        </is>
      </c>
      <c r="T6" s="70" t="inlineStr">
        <is>
          <t>18. Lav/Scrap</t>
        </is>
      </c>
      <c r="U6" s="30" t="inlineStr">
        <is>
          <t>SALIDAS (kg)</t>
        </is>
      </c>
    </row>
    <row r="7">
      <c r="B7" s="16" t="inlineStr">
        <is>
          <t>1. Depósito MP</t>
        </is>
      </c>
      <c r="C7" s="61" t="inlineStr">
        <is>
          <t>-</t>
        </is>
      </c>
      <c r="D7" s="71">
        <f>'3. Cuantificación Frecuencias'!I7</f>
        <v/>
      </c>
      <c r="E7" s="63" t="inlineStr"/>
      <c r="F7" s="63" t="inlineStr"/>
      <c r="G7" s="63" t="inlineStr"/>
      <c r="H7" s="63" t="inlineStr"/>
      <c r="I7" s="63" t="inlineStr"/>
      <c r="J7" s="63" t="inlineStr"/>
      <c r="K7" s="63" t="inlineStr"/>
      <c r="L7" s="63" t="inlineStr"/>
      <c r="M7" s="63" t="inlineStr"/>
      <c r="N7" s="63" t="inlineStr"/>
      <c r="O7" s="63" t="inlineStr"/>
      <c r="P7" s="63" t="inlineStr"/>
      <c r="Q7" s="63" t="inlineStr"/>
      <c r="R7" s="63" t="inlineStr"/>
      <c r="S7" s="63" t="inlineStr"/>
      <c r="T7" s="63" t="inlineStr"/>
      <c r="U7" s="38">
        <f>SUM(C7:T7)</f>
        <v/>
      </c>
    </row>
    <row r="8">
      <c r="B8" s="16" t="inlineStr">
        <is>
          <t>2. Sección Pesado</t>
        </is>
      </c>
      <c r="C8" s="63" t="inlineStr"/>
      <c r="D8" s="61" t="inlineStr">
        <is>
          <t>-</t>
        </is>
      </c>
      <c r="E8" s="71">
        <f>'3. Cuantificación Frecuencias'!I8</f>
        <v/>
      </c>
      <c r="F8" s="63" t="inlineStr"/>
      <c r="G8" s="63" t="inlineStr"/>
      <c r="H8" s="63" t="inlineStr"/>
      <c r="I8" s="63" t="inlineStr"/>
      <c r="J8" s="63" t="inlineStr"/>
      <c r="K8" s="71">
        <f>'3. Cuantificación Frecuencias'!I15</f>
        <v/>
      </c>
      <c r="L8" s="63" t="inlineStr"/>
      <c r="M8" s="63" t="inlineStr"/>
      <c r="N8" s="63" t="inlineStr"/>
      <c r="O8" s="63" t="inlineStr"/>
      <c r="P8" s="63" t="inlineStr"/>
      <c r="Q8" s="63" t="inlineStr"/>
      <c r="R8" s="63" t="inlineStr"/>
      <c r="S8" s="63" t="inlineStr"/>
      <c r="T8" s="63" t="inlineStr"/>
      <c r="U8" s="38">
        <f>SUM(C8:T8)</f>
        <v/>
      </c>
    </row>
    <row r="9">
      <c r="B9" s="16" t="inlineStr">
        <is>
          <t>3. Amasado G</t>
        </is>
      </c>
      <c r="C9" s="63" t="inlineStr"/>
      <c r="D9" s="63" t="inlineStr"/>
      <c r="E9" s="61" t="inlineStr">
        <is>
          <t>-</t>
        </is>
      </c>
      <c r="F9" s="71">
        <f>'3. Cuantificación Frecuencias'!I9</f>
        <v/>
      </c>
      <c r="G9" s="63" t="inlineStr"/>
      <c r="H9" s="63" t="inlineStr"/>
      <c r="I9" s="63" t="inlineStr"/>
      <c r="J9" s="63" t="inlineStr"/>
      <c r="K9" s="63" t="inlineStr"/>
      <c r="L9" s="63" t="inlineStr"/>
      <c r="M9" s="63" t="inlineStr"/>
      <c r="N9" s="63" t="inlineStr"/>
      <c r="O9" s="63" t="inlineStr"/>
      <c r="P9" s="63" t="inlineStr"/>
      <c r="Q9" s="63" t="inlineStr"/>
      <c r="R9" s="63" t="inlineStr"/>
      <c r="S9" s="63" t="inlineStr"/>
      <c r="T9" s="63" t="inlineStr"/>
      <c r="U9" s="38">
        <f>SUM(C9:T9)</f>
        <v/>
      </c>
    </row>
    <row r="10">
      <c r="B10" s="16" t="inlineStr">
        <is>
          <t>4. Moldeado G</t>
        </is>
      </c>
      <c r="C10" s="63" t="inlineStr"/>
      <c r="D10" s="71">
        <f>'3. Cuantificación Frecuencias'!I24/4</f>
        <v/>
      </c>
      <c r="E10" s="63" t="inlineStr"/>
      <c r="F10" s="61" t="inlineStr">
        <is>
          <t>-</t>
        </is>
      </c>
      <c r="G10" s="71">
        <f>'3. Cuantificación Frecuencias'!I10</f>
        <v/>
      </c>
      <c r="H10" s="63" t="inlineStr"/>
      <c r="I10" s="63" t="inlineStr"/>
      <c r="J10" s="63" t="inlineStr"/>
      <c r="K10" s="63" t="inlineStr"/>
      <c r="L10" s="63" t="inlineStr"/>
      <c r="M10" s="63" t="inlineStr"/>
      <c r="N10" s="63" t="inlineStr"/>
      <c r="O10" s="63" t="inlineStr"/>
      <c r="P10" s="63" t="inlineStr"/>
      <c r="Q10" s="63" t="inlineStr"/>
      <c r="R10" s="63" t="inlineStr"/>
      <c r="S10" s="63" t="inlineStr"/>
      <c r="T10" s="71">
        <f>'3. Cuantificación Frecuencias'!I26/11</f>
        <v/>
      </c>
      <c r="U10" s="38">
        <f>SUM(C10:T10)</f>
        <v/>
      </c>
    </row>
    <row r="11">
      <c r="B11" s="16" t="inlineStr">
        <is>
          <t>5. Horno Túnel G</t>
        </is>
      </c>
      <c r="C11" s="63" t="inlineStr"/>
      <c r="D11" s="63" t="inlineStr"/>
      <c r="E11" s="63" t="inlineStr"/>
      <c r="F11" s="63" t="inlineStr"/>
      <c r="G11" s="61" t="inlineStr">
        <is>
          <t>-</t>
        </is>
      </c>
      <c r="H11" s="71">
        <f>'3. Cuantificación Frecuencias'!I11</f>
        <v/>
      </c>
      <c r="I11" s="63" t="inlineStr"/>
      <c r="J11" s="63" t="inlineStr"/>
      <c r="K11" s="63" t="inlineStr"/>
      <c r="L11" s="63" t="inlineStr"/>
      <c r="M11" s="63" t="inlineStr"/>
      <c r="N11" s="63" t="inlineStr"/>
      <c r="O11" s="63" t="inlineStr"/>
      <c r="P11" s="63" t="inlineStr"/>
      <c r="Q11" s="63" t="inlineStr"/>
      <c r="R11" s="63" t="inlineStr"/>
      <c r="S11" s="63" t="inlineStr"/>
      <c r="T11" s="63" t="inlineStr"/>
      <c r="U11" s="38">
        <f>SUM(C11:T11)</f>
        <v/>
      </c>
    </row>
    <row r="12">
      <c r="B12" s="16" t="inlineStr">
        <is>
          <t>6. Cinta Enfriado G</t>
        </is>
      </c>
      <c r="C12" s="63" t="inlineStr"/>
      <c r="D12" s="71">
        <f>'3. Cuantificación Frecuencias'!I24/4</f>
        <v/>
      </c>
      <c r="E12" s="63" t="inlineStr"/>
      <c r="F12" s="63" t="inlineStr"/>
      <c r="G12" s="63" t="inlineStr"/>
      <c r="H12" s="61" t="inlineStr">
        <is>
          <t>-</t>
        </is>
      </c>
      <c r="I12" s="71">
        <f>'3. Cuantificación Frecuencias'!I12</f>
        <v/>
      </c>
      <c r="J12" s="63" t="inlineStr"/>
      <c r="K12" s="63" t="inlineStr"/>
      <c r="L12" s="63" t="inlineStr"/>
      <c r="M12" s="63" t="inlineStr"/>
      <c r="N12" s="63" t="inlineStr"/>
      <c r="O12" s="63" t="inlineStr"/>
      <c r="P12" s="63" t="inlineStr"/>
      <c r="Q12" s="63" t="inlineStr"/>
      <c r="R12" s="63" t="inlineStr"/>
      <c r="S12" s="63" t="inlineStr"/>
      <c r="T12" s="71">
        <f>'3. Cuantificación Frecuencias'!I26/11</f>
        <v/>
      </c>
      <c r="U12" s="38">
        <f>SUM(C12:T12)</f>
        <v/>
      </c>
    </row>
    <row r="13">
      <c r="B13" s="16" t="inlineStr">
        <is>
          <t>7. Envasado 1° G</t>
        </is>
      </c>
      <c r="C13" s="63" t="inlineStr"/>
      <c r="D13" s="71">
        <f>'3. Cuantificación Frecuencias'!I24/2</f>
        <v/>
      </c>
      <c r="E13" s="63" t="inlineStr"/>
      <c r="F13" s="63" t="inlineStr"/>
      <c r="G13" s="63" t="inlineStr"/>
      <c r="H13" s="63" t="inlineStr"/>
      <c r="I13" s="61" t="inlineStr">
        <is>
          <t>-</t>
        </is>
      </c>
      <c r="J13" s="71">
        <f>'3. Cuantificación Frecuencias'!I13</f>
        <v/>
      </c>
      <c r="K13" s="63" t="inlineStr"/>
      <c r="L13" s="63" t="inlineStr"/>
      <c r="M13" s="63" t="inlineStr"/>
      <c r="N13" s="63" t="inlineStr"/>
      <c r="O13" s="63" t="inlineStr"/>
      <c r="P13" s="63" t="inlineStr"/>
      <c r="Q13" s="63" t="inlineStr"/>
      <c r="R13" s="63" t="inlineStr"/>
      <c r="S13" s="63" t="inlineStr"/>
      <c r="T13" s="63" t="inlineStr"/>
      <c r="U13" s="38">
        <f>SUM(C13:T13)</f>
        <v/>
      </c>
    </row>
    <row r="14">
      <c r="B14" s="16" t="inlineStr">
        <is>
          <t>8. Envasado 2° G</t>
        </is>
      </c>
      <c r="C14" s="63" t="inlineStr"/>
      <c r="D14" s="63" t="inlineStr"/>
      <c r="E14" s="63" t="inlineStr"/>
      <c r="F14" s="63" t="inlineStr"/>
      <c r="G14" s="63" t="inlineStr"/>
      <c r="H14" s="63" t="inlineStr"/>
      <c r="I14" s="63" t="inlineStr"/>
      <c r="J14" s="61" t="inlineStr">
        <is>
          <t>-</t>
        </is>
      </c>
      <c r="K14" s="63" t="inlineStr"/>
      <c r="L14" s="63" t="inlineStr"/>
      <c r="M14" s="63" t="inlineStr"/>
      <c r="N14" s="63" t="inlineStr"/>
      <c r="O14" s="63" t="inlineStr"/>
      <c r="P14" s="63" t="inlineStr"/>
      <c r="Q14" s="63" t="inlineStr"/>
      <c r="R14" s="63" t="inlineStr"/>
      <c r="S14" s="71">
        <f>'3. Cuantificación Frecuencias'!I14</f>
        <v/>
      </c>
      <c r="T14" s="63" t="inlineStr"/>
      <c r="U14" s="38">
        <f>SUM(C14:T14)</f>
        <v/>
      </c>
    </row>
    <row r="15">
      <c r="B15" s="16" t="inlineStr">
        <is>
          <t>9. Batido Panif.</t>
        </is>
      </c>
      <c r="C15" s="63" t="inlineStr"/>
      <c r="D15" s="63" t="inlineStr"/>
      <c r="E15" s="63" t="inlineStr"/>
      <c r="F15" s="63" t="inlineStr"/>
      <c r="G15" s="63" t="inlineStr"/>
      <c r="H15" s="63" t="inlineStr"/>
      <c r="I15" s="63" t="inlineStr"/>
      <c r="J15" s="63" t="inlineStr"/>
      <c r="K15" s="61" t="inlineStr">
        <is>
          <t>-</t>
        </is>
      </c>
      <c r="L15" s="71">
        <f>'3. Cuantificación Frecuencias'!I16</f>
        <v/>
      </c>
      <c r="M15" s="63" t="inlineStr"/>
      <c r="N15" s="63" t="inlineStr"/>
      <c r="O15" s="63" t="inlineStr"/>
      <c r="P15" s="63" t="inlineStr"/>
      <c r="Q15" s="63" t="inlineStr"/>
      <c r="R15" s="63" t="inlineStr"/>
      <c r="S15" s="63" t="inlineStr"/>
      <c r="T15" s="63" t="inlineStr"/>
      <c r="U15" s="38">
        <f>SUM(C15:T15)</f>
        <v/>
      </c>
    </row>
    <row r="16">
      <c r="B16" s="16" t="inlineStr">
        <is>
          <t>10. Dosificado P.</t>
        </is>
      </c>
      <c r="C16" s="63" t="inlineStr"/>
      <c r="D16" s="63" t="inlineStr"/>
      <c r="E16" s="63" t="inlineStr"/>
      <c r="F16" s="63" t="inlineStr"/>
      <c r="G16" s="63" t="inlineStr"/>
      <c r="H16" s="63" t="inlineStr"/>
      <c r="I16" s="63" t="inlineStr"/>
      <c r="J16" s="63" t="inlineStr"/>
      <c r="K16" s="63" t="inlineStr"/>
      <c r="L16" s="61" t="inlineStr">
        <is>
          <t>-</t>
        </is>
      </c>
      <c r="M16" s="71">
        <f>'3. Cuantificación Frecuencias'!I17</f>
        <v/>
      </c>
      <c r="N16" s="63" t="inlineStr"/>
      <c r="O16" s="63" t="inlineStr"/>
      <c r="P16" s="63" t="inlineStr"/>
      <c r="Q16" s="63" t="inlineStr"/>
      <c r="R16" s="63" t="inlineStr"/>
      <c r="S16" s="63" t="inlineStr"/>
      <c r="T16" s="63" t="inlineStr"/>
      <c r="U16" s="38">
        <f>SUM(C16:T16)</f>
        <v/>
      </c>
    </row>
    <row r="17">
      <c r="B17" s="16" t="inlineStr">
        <is>
          <t>11. Fermentado P.</t>
        </is>
      </c>
      <c r="C17" s="63" t="inlineStr"/>
      <c r="D17" s="63" t="inlineStr"/>
      <c r="E17" s="63" t="inlineStr"/>
      <c r="F17" s="63" t="inlineStr"/>
      <c r="G17" s="63" t="inlineStr"/>
      <c r="H17" s="63" t="inlineStr"/>
      <c r="I17" s="63" t="inlineStr"/>
      <c r="J17" s="63" t="inlineStr"/>
      <c r="K17" s="63" t="inlineStr"/>
      <c r="L17" s="63" t="inlineStr"/>
      <c r="M17" s="61" t="inlineStr">
        <is>
          <t>-</t>
        </is>
      </c>
      <c r="N17" s="71">
        <f>'3. Cuantificación Frecuencias'!I18</f>
        <v/>
      </c>
      <c r="O17" s="63" t="inlineStr"/>
      <c r="P17" s="63" t="inlineStr"/>
      <c r="Q17" s="63" t="inlineStr"/>
      <c r="R17" s="63" t="inlineStr"/>
      <c r="S17" s="63" t="inlineStr"/>
      <c r="T17" s="63" t="inlineStr"/>
      <c r="U17" s="38">
        <f>SUM(C17:T17)</f>
        <v/>
      </c>
    </row>
    <row r="18">
      <c r="B18" s="16" t="inlineStr">
        <is>
          <t>12. Hornos Rotat. P.</t>
        </is>
      </c>
      <c r="C18" s="63" t="inlineStr"/>
      <c r="D18" s="63" t="inlineStr"/>
      <c r="E18" s="63" t="inlineStr"/>
      <c r="F18" s="63" t="inlineStr"/>
      <c r="G18" s="63" t="inlineStr"/>
      <c r="H18" s="63" t="inlineStr"/>
      <c r="I18" s="63" t="inlineStr"/>
      <c r="J18" s="63" t="inlineStr"/>
      <c r="K18" s="63" t="inlineStr"/>
      <c r="L18" s="63" t="inlineStr"/>
      <c r="M18" s="63" t="inlineStr"/>
      <c r="N18" s="61" t="inlineStr">
        <is>
          <t>-</t>
        </is>
      </c>
      <c r="O18" s="71">
        <f>'3. Cuantificación Frecuencias'!I19</f>
        <v/>
      </c>
      <c r="P18" s="63" t="inlineStr"/>
      <c r="Q18" s="63" t="inlineStr"/>
      <c r="R18" s="63" t="inlineStr"/>
      <c r="S18" s="63" t="inlineStr"/>
      <c r="T18" s="63" t="inlineStr"/>
      <c r="U18" s="38">
        <f>SUM(C18:T18)</f>
        <v/>
      </c>
    </row>
    <row r="19">
      <c r="B19" s="16" t="inlineStr">
        <is>
          <t>13. Enfriado P.</t>
        </is>
      </c>
      <c r="C19" s="63" t="inlineStr"/>
      <c r="D19" s="63" t="inlineStr"/>
      <c r="E19" s="63" t="inlineStr"/>
      <c r="F19" s="63" t="inlineStr"/>
      <c r="G19" s="63" t="inlineStr"/>
      <c r="H19" s="63" t="inlineStr"/>
      <c r="I19" s="63" t="inlineStr"/>
      <c r="J19" s="63" t="inlineStr"/>
      <c r="K19" s="63" t="inlineStr"/>
      <c r="L19" s="63" t="inlineStr"/>
      <c r="M19" s="63" t="inlineStr"/>
      <c r="N19" s="63" t="inlineStr"/>
      <c r="O19" s="61" t="inlineStr">
        <is>
          <t>-</t>
        </is>
      </c>
      <c r="P19" s="71">
        <f>'3. Cuantificación Frecuencias'!I20*0.54</f>
        <v/>
      </c>
      <c r="Q19" s="71">
        <f>'3. Cuantificación Frecuencias'!I20*0.46</f>
        <v/>
      </c>
      <c r="R19" s="63" t="inlineStr"/>
      <c r="S19" s="63" t="inlineStr"/>
      <c r="T19" s="63" t="inlineStr"/>
      <c r="U19" s="38">
        <f>SUM(C19:T19)</f>
        <v/>
      </c>
    </row>
    <row r="20">
      <c r="B20" s="16" t="inlineStr">
        <is>
          <t>14. Rebanado Pan</t>
        </is>
      </c>
      <c r="C20" s="63" t="inlineStr"/>
      <c r="D20" s="63" t="inlineStr"/>
      <c r="E20" s="63" t="inlineStr"/>
      <c r="F20" s="63" t="inlineStr"/>
      <c r="G20" s="63" t="inlineStr"/>
      <c r="H20" s="63" t="inlineStr"/>
      <c r="I20" s="63" t="inlineStr"/>
      <c r="J20" s="63" t="inlineStr"/>
      <c r="K20" s="63" t="inlineStr"/>
      <c r="L20" s="63" t="inlineStr"/>
      <c r="M20" s="63" t="inlineStr"/>
      <c r="N20" s="63" t="inlineStr"/>
      <c r="O20" s="63" t="inlineStr"/>
      <c r="P20" s="61" t="inlineStr">
        <is>
          <t>-</t>
        </is>
      </c>
      <c r="Q20" s="71">
        <f>'3. Cuantificación Frecuencias'!I21</f>
        <v/>
      </c>
      <c r="R20" s="63" t="inlineStr"/>
      <c r="S20" s="63" t="inlineStr"/>
      <c r="T20" s="63" t="inlineStr"/>
      <c r="U20" s="38">
        <f>SUM(C20:T20)</f>
        <v/>
      </c>
    </row>
    <row r="21">
      <c r="B21" s="16" t="inlineStr">
        <is>
          <t>15. Envasado 1° P.</t>
        </is>
      </c>
      <c r="C21" s="63" t="inlineStr"/>
      <c r="D21" s="63" t="inlineStr"/>
      <c r="E21" s="63" t="inlineStr"/>
      <c r="F21" s="63" t="inlineStr"/>
      <c r="G21" s="63" t="inlineStr"/>
      <c r="H21" s="63" t="inlineStr"/>
      <c r="I21" s="63" t="inlineStr"/>
      <c r="J21" s="63" t="inlineStr"/>
      <c r="K21" s="63" t="inlineStr"/>
      <c r="L21" s="63" t="inlineStr"/>
      <c r="M21" s="63" t="inlineStr"/>
      <c r="N21" s="63" t="inlineStr"/>
      <c r="O21" s="63" t="inlineStr"/>
      <c r="P21" s="63" t="inlineStr"/>
      <c r="Q21" s="61" t="inlineStr">
        <is>
          <t>-</t>
        </is>
      </c>
      <c r="R21" s="71">
        <f>'3. Cuantificación Frecuencias'!I22</f>
        <v/>
      </c>
      <c r="S21" s="63" t="inlineStr"/>
      <c r="T21" s="63" t="inlineStr"/>
      <c r="U21" s="38">
        <f>SUM(C21:T21)</f>
        <v/>
      </c>
    </row>
    <row r="22">
      <c r="B22" s="16" t="inlineStr">
        <is>
          <t>16. Envasado 2° P.</t>
        </is>
      </c>
      <c r="C22" s="63" t="inlineStr"/>
      <c r="D22" s="63" t="inlineStr"/>
      <c r="E22" s="63" t="inlineStr"/>
      <c r="F22" s="63" t="inlineStr"/>
      <c r="G22" s="63" t="inlineStr"/>
      <c r="H22" s="63" t="inlineStr"/>
      <c r="I22" s="63" t="inlineStr"/>
      <c r="J22" s="63" t="inlineStr"/>
      <c r="K22" s="63" t="inlineStr"/>
      <c r="L22" s="63" t="inlineStr"/>
      <c r="M22" s="63" t="inlineStr"/>
      <c r="N22" s="63" t="inlineStr"/>
      <c r="O22" s="63" t="inlineStr"/>
      <c r="P22" s="63" t="inlineStr"/>
      <c r="Q22" s="63" t="inlineStr"/>
      <c r="R22" s="61" t="inlineStr">
        <is>
          <t>-</t>
        </is>
      </c>
      <c r="S22" s="71">
        <f>'3. Cuantificación Frecuencias'!I23</f>
        <v/>
      </c>
      <c r="T22" s="63" t="inlineStr"/>
      <c r="U22" s="38">
        <f>SUM(C22:T22)</f>
        <v/>
      </c>
    </row>
    <row r="23">
      <c r="B23" s="16" t="inlineStr">
        <is>
          <t>17. Depósito PT</t>
        </is>
      </c>
      <c r="C23" s="63" t="inlineStr"/>
      <c r="D23" s="63" t="inlineStr"/>
      <c r="E23" s="63" t="inlineStr"/>
      <c r="F23" s="63" t="inlineStr"/>
      <c r="G23" s="63" t="inlineStr"/>
      <c r="H23" s="63" t="inlineStr"/>
      <c r="I23" s="63" t="inlineStr"/>
      <c r="J23" s="63" t="inlineStr"/>
      <c r="K23" s="63" t="inlineStr"/>
      <c r="L23" s="63" t="inlineStr"/>
      <c r="M23" s="63" t="inlineStr"/>
      <c r="N23" s="63" t="inlineStr"/>
      <c r="O23" s="63" t="inlineStr"/>
      <c r="P23" s="63" t="inlineStr"/>
      <c r="Q23" s="63" t="inlineStr"/>
      <c r="R23" s="63" t="inlineStr"/>
      <c r="S23" s="61" t="inlineStr">
        <is>
          <t>-</t>
        </is>
      </c>
      <c r="T23" s="63" t="inlineStr"/>
      <c r="U23" s="38">
        <f>SUM(C23:T23)</f>
        <v/>
      </c>
    </row>
    <row r="24">
      <c r="B24" s="16" t="inlineStr">
        <is>
          <t>18. Lavado / Scrap</t>
        </is>
      </c>
      <c r="C24" s="63" t="inlineStr"/>
      <c r="D24" s="63" t="inlineStr"/>
      <c r="E24" s="63" t="inlineStr"/>
      <c r="F24" s="63" t="inlineStr"/>
      <c r="G24" s="63" t="inlineStr"/>
      <c r="H24" s="63" t="inlineStr"/>
      <c r="I24" s="63" t="inlineStr"/>
      <c r="J24" s="63" t="inlineStr"/>
      <c r="K24" s="63" t="inlineStr"/>
      <c r="L24" s="63" t="inlineStr"/>
      <c r="M24" s="63" t="inlineStr"/>
      <c r="N24" s="63" t="inlineStr"/>
      <c r="O24" s="63" t="inlineStr"/>
      <c r="P24" s="63" t="inlineStr"/>
      <c r="Q24" s="63" t="inlineStr"/>
      <c r="R24" s="63" t="inlineStr"/>
      <c r="S24" s="63" t="inlineStr"/>
      <c r="T24" s="61" t="inlineStr">
        <is>
          <t>-</t>
        </is>
      </c>
      <c r="U24" s="38">
        <f>SUM(C24:T24)</f>
        <v/>
      </c>
    </row>
    <row r="25">
      <c r="B25" s="72" t="inlineStr">
        <is>
          <t>ENTRADAS (kg)</t>
        </is>
      </c>
      <c r="C25" s="73">
        <f>SUM(C7:C24)</f>
        <v/>
      </c>
      <c r="D25" s="73">
        <f>SUM(D7:D24)</f>
        <v/>
      </c>
      <c r="E25" s="73">
        <f>SUM(E7:E24)</f>
        <v/>
      </c>
      <c r="F25" s="73">
        <f>SUM(F7:F24)</f>
        <v/>
      </c>
      <c r="G25" s="73">
        <f>SUM(G7:G24)</f>
        <v/>
      </c>
      <c r="H25" s="73">
        <f>SUM(H7:H24)</f>
        <v/>
      </c>
      <c r="I25" s="73">
        <f>SUM(I7:I24)</f>
        <v/>
      </c>
      <c r="J25" s="73">
        <f>SUM(J7:J24)</f>
        <v/>
      </c>
      <c r="K25" s="73">
        <f>SUM(K7:K24)</f>
        <v/>
      </c>
      <c r="L25" s="73">
        <f>SUM(L7:L24)</f>
        <v/>
      </c>
      <c r="M25" s="73">
        <f>SUM(M7:M24)</f>
        <v/>
      </c>
      <c r="N25" s="73">
        <f>SUM(N7:N24)</f>
        <v/>
      </c>
      <c r="O25" s="73">
        <f>SUM(O7:O24)</f>
        <v/>
      </c>
      <c r="P25" s="73">
        <f>SUM(P7:P24)</f>
        <v/>
      </c>
      <c r="Q25" s="73">
        <f>SUM(Q7:Q24)</f>
        <v/>
      </c>
      <c r="R25" s="73">
        <f>SUM(R7:R24)</f>
        <v/>
      </c>
      <c r="S25" s="73">
        <f>SUM(S7:S24)</f>
        <v/>
      </c>
      <c r="T25" s="73">
        <f>SUM(T7:T24)</f>
        <v/>
      </c>
      <c r="U25" s="74">
        <f>SUM(U7:U24)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0" customWidth="1" min="3" max="3"/>
    <col width="25" customWidth="1" min="4" max="4"/>
    <col width="33" customWidth="1" min="5" max="5"/>
    <col width="43" customWidth="1" min="6" max="6"/>
    <col width="39" customWidth="1" min="7" max="7"/>
    <col width="35" customWidth="1" min="8" max="8"/>
    <col width="31" customWidth="1" min="9" max="9"/>
    <col width="39" customWidth="1" min="10" max="10"/>
    <col width="39" customWidth="1" min="11" max="11"/>
    <col width="28" customWidth="1" min="12" max="12"/>
    <col width="28" customWidth="1" min="13" max="13"/>
  </cols>
  <sheetData>
    <row r="1"/>
    <row r="2">
      <c r="B2" s="1" t="inlineStr">
        <is>
          <t>HERRAMIENTA DE EVALUACIÓN DE LAYOUT (CARGA - DISTANCIA Y HORAS)</t>
        </is>
      </c>
    </row>
    <row r="3">
      <c r="B3" s="2" t="inlineStr">
        <is>
          <t>Cálculo del Momento de Transporte (M = fij * dij), Esfuerzo Ponderado (kg·m) y Horas de Mano de Obra</t>
        </is>
      </c>
    </row>
    <row r="4">
      <c r="B4" s="3" t="inlineStr">
        <is>
          <t>REFERENCIA DE FORMATO:</t>
        </is>
      </c>
      <c r="C4" s="4" t="inlineStr">
        <is>
          <t>Parámetro Configurable (Modificable)</t>
        </is>
      </c>
      <c r="E4" s="5" t="inlineStr">
        <is>
          <t>Fórmula Automática / Vinculada</t>
        </is>
      </c>
    </row>
    <row r="5"/>
    <row r="6">
      <c r="B6" s="6" t="inlineStr">
        <is>
          <t>1. CENTROIDES Y COORDENADAS DEL PLANO AUTOCAD (MODIFICABLES)</t>
        </is>
      </c>
    </row>
    <row r="7"/>
    <row r="8">
      <c r="B8" s="15" t="inlineStr">
        <is>
          <t>N°</t>
        </is>
      </c>
      <c r="C8" s="15" t="inlineStr">
        <is>
          <t>Sector / Máquina</t>
        </is>
      </c>
      <c r="D8" s="15" t="inlineStr">
        <is>
          <t>Línea</t>
        </is>
      </c>
      <c r="E8" s="15" t="inlineStr">
        <is>
          <t>Coord X (m)</t>
        </is>
      </c>
      <c r="F8" s="15" t="inlineStr">
        <is>
          <t>Coord Y (m)</t>
        </is>
      </c>
      <c r="G8" s="15" t="inlineStr">
        <is>
          <t>Superficie (m²)</t>
        </is>
      </c>
      <c r="H8" s="15" t="inlineStr">
        <is>
          <t>Estado en Layout CAD</t>
        </is>
      </c>
    </row>
    <row r="9">
      <c r="B9" s="18" t="n">
        <v>1</v>
      </c>
      <c r="C9" s="16" t="inlineStr">
        <is>
          <t>Depósito MP e Insumos</t>
        </is>
      </c>
      <c r="D9" s="19" t="inlineStr">
        <is>
          <t>Común</t>
        </is>
      </c>
      <c r="E9" s="39" t="n">
        <v>4</v>
      </c>
      <c r="F9" s="39" t="n">
        <v>18</v>
      </c>
      <c r="G9" s="37" t="n">
        <v>95</v>
      </c>
      <c r="H9" s="24" t="inlineStr">
        <is>
          <t>Ubicado en cabecera de recepción</t>
        </is>
      </c>
    </row>
    <row r="10">
      <c r="B10" s="18" t="n">
        <v>2</v>
      </c>
      <c r="C10" s="16" t="inlineStr">
        <is>
          <t>Sección Pesado / Fraccionamiento</t>
        </is>
      </c>
      <c r="D10" s="19" t="inlineStr">
        <is>
          <t>Común</t>
        </is>
      </c>
      <c r="E10" s="39" t="n">
        <v>8.5</v>
      </c>
      <c r="F10" s="39" t="n">
        <v>18</v>
      </c>
      <c r="G10" s="37" t="n">
        <v>12</v>
      </c>
      <c r="H10" s="24" t="inlineStr">
        <is>
          <t>Adyacente a Depósito MP</t>
        </is>
      </c>
    </row>
    <row r="11">
      <c r="B11" s="18" t="n">
        <v>3</v>
      </c>
      <c r="C11" s="16" t="inlineStr">
        <is>
          <t>Amasado Galletitas (Amasadora HJ25B)</t>
        </is>
      </c>
      <c r="D11" s="19" t="inlineStr">
        <is>
          <t>Galletitas</t>
        </is>
      </c>
      <c r="E11" s="39" t="n">
        <v>12</v>
      </c>
      <c r="F11" s="39" t="n">
        <v>20</v>
      </c>
      <c r="G11" s="37" t="n">
        <v>6.5</v>
      </c>
      <c r="H11" s="24" t="inlineStr">
        <is>
          <t>Alimentación de línea A</t>
        </is>
      </c>
    </row>
    <row r="12">
      <c r="B12" s="18" t="n">
        <v>4</v>
      </c>
      <c r="C12" s="16" t="inlineStr">
        <is>
          <t>Moldeado Galletitas (Ralem R800)</t>
        </is>
      </c>
      <c r="D12" s="19" t="inlineStr">
        <is>
          <t>Galletitas</t>
        </is>
      </c>
      <c r="E12" s="39" t="n">
        <v>15</v>
      </c>
      <c r="F12" s="39" t="n">
        <v>20</v>
      </c>
      <c r="G12" s="37" t="n">
        <v>4</v>
      </c>
      <c r="H12" s="24" t="inlineStr">
        <is>
          <t>Inicio de línea continua</t>
        </is>
      </c>
    </row>
    <row r="13">
      <c r="B13" s="18" t="n">
        <v>5</v>
      </c>
      <c r="C13" s="16" t="inlineStr">
        <is>
          <t>Horno Túnel Galletitas (GD-BTOM10)</t>
        </is>
      </c>
      <c r="D13" s="19" t="inlineStr">
        <is>
          <t>Galletitas</t>
        </is>
      </c>
      <c r="E13" s="39" t="n">
        <v>20</v>
      </c>
      <c r="F13" s="39" t="n">
        <v>20</v>
      </c>
      <c r="G13" s="37" t="n">
        <v>12</v>
      </c>
      <c r="H13" s="24" t="inlineStr">
        <is>
          <t>Línea recta (6 x 1,3 m)</t>
        </is>
      </c>
    </row>
    <row r="14">
      <c r="B14" s="18" t="n">
        <v>6</v>
      </c>
      <c r="C14" s="16" t="inlineStr">
        <is>
          <t>Cinta de Enfriado Galletitas</t>
        </is>
      </c>
      <c r="D14" s="19" t="inlineStr">
        <is>
          <t>Galletitas</t>
        </is>
      </c>
      <c r="E14" s="39" t="n">
        <v>26</v>
      </c>
      <c r="F14" s="39" t="n">
        <v>20</v>
      </c>
      <c r="G14" s="37" t="n">
        <v>11.5</v>
      </c>
      <c r="H14" s="24" t="inlineStr">
        <is>
          <t>Transferencia a envasado</t>
        </is>
      </c>
    </row>
    <row r="15">
      <c r="B15" s="18" t="n">
        <v>7</v>
      </c>
      <c r="C15" s="16" t="inlineStr">
        <is>
          <t>Envasado 1° Galletitas (Zon Pack)</t>
        </is>
      </c>
      <c r="D15" s="19" t="inlineStr">
        <is>
          <t>Galletitas</t>
        </is>
      </c>
      <c r="E15" s="39" t="n">
        <v>30</v>
      </c>
      <c r="F15" s="39" t="n">
        <v>20</v>
      </c>
      <c r="G15" s="37" t="n">
        <v>7.5</v>
      </c>
      <c r="H15" s="24" t="inlineStr">
        <is>
          <t>Envasadora vertical</t>
        </is>
      </c>
    </row>
    <row r="16">
      <c r="B16" s="18" t="n">
        <v>8</v>
      </c>
      <c r="C16" s="16" t="inlineStr">
        <is>
          <t>Envasado 2° Galletitas (Mesa manual)</t>
        </is>
      </c>
      <c r="D16" s="19" t="inlineStr">
        <is>
          <t>Galletitas</t>
        </is>
      </c>
      <c r="E16" s="39" t="n">
        <v>32.5</v>
      </c>
      <c r="F16" s="39" t="n">
        <v>20</v>
      </c>
      <c r="G16" s="37" t="n">
        <v>5</v>
      </c>
      <c r="H16" s="24" t="inlineStr">
        <is>
          <t>Encajonado y conformado pallet</t>
        </is>
      </c>
    </row>
    <row r="17">
      <c r="B17" s="18" t="n">
        <v>9</v>
      </c>
      <c r="C17" s="16" t="inlineStr">
        <is>
          <t>Batido Panificados (Moretti Ultra 60)</t>
        </is>
      </c>
      <c r="D17" s="19" t="inlineStr">
        <is>
          <t>Panificados</t>
        </is>
      </c>
      <c r="E17" s="39" t="n">
        <v>12</v>
      </c>
      <c r="F17" s="39" t="n">
        <v>14</v>
      </c>
      <c r="G17" s="37" t="n">
        <v>8.5</v>
      </c>
      <c r="H17" s="24" t="inlineStr">
        <is>
          <t>Alimentación de línea B</t>
        </is>
      </c>
    </row>
    <row r="18">
      <c r="B18" s="18" t="n">
        <v>10</v>
      </c>
      <c r="C18" s="16" t="inlineStr">
        <is>
          <t>Dosificado Panificados (Indurpack)</t>
        </is>
      </c>
      <c r="D18" s="19" t="inlineStr">
        <is>
          <t>Panificados</t>
        </is>
      </c>
      <c r="E18" s="39" t="n">
        <v>15</v>
      </c>
      <c r="F18" s="39" t="n">
        <v>14</v>
      </c>
      <c r="G18" s="37" t="n">
        <v>6.5</v>
      </c>
      <c r="H18" s="24" t="inlineStr">
        <is>
          <t>Carga de carros con bandejas</t>
        </is>
      </c>
    </row>
    <row r="19">
      <c r="B19" s="18" t="n">
        <v>11</v>
      </c>
      <c r="C19" s="16" t="inlineStr">
        <is>
          <t>Fermentador Panes (NKF-36RS)</t>
        </is>
      </c>
      <c r="D19" s="19" t="inlineStr">
        <is>
          <t>Panificados</t>
        </is>
      </c>
      <c r="E19" s="39" t="n">
        <v>18</v>
      </c>
      <c r="F19" s="39" t="n">
        <v>14</v>
      </c>
      <c r="G19" s="37" t="n">
        <v>6.5</v>
      </c>
      <c r="H19" s="24" t="inlineStr">
        <is>
          <t>Cámara de leudado</t>
        </is>
      </c>
    </row>
    <row r="20">
      <c r="B20" s="18" t="n">
        <v>12</v>
      </c>
      <c r="C20" s="16" t="inlineStr">
        <is>
          <t>Hornos Rotativos Pauna SIGMA (2 u.)</t>
        </is>
      </c>
      <c r="D20" s="19" t="inlineStr">
        <is>
          <t>Panificados</t>
        </is>
      </c>
      <c r="E20" s="39" t="n">
        <v>22</v>
      </c>
      <c r="F20" s="39" t="n">
        <v>14</v>
      </c>
      <c r="G20" s="37" t="n">
        <v>14</v>
      </c>
      <c r="H20" s="24" t="inlineStr">
        <is>
          <t>Batería de cocción por carros</t>
        </is>
      </c>
    </row>
    <row r="21">
      <c r="B21" s="18" t="n">
        <v>13</v>
      </c>
      <c r="C21" s="16" t="inlineStr">
        <is>
          <t>Sector Enfriado Panificados (Carros)</t>
        </is>
      </c>
      <c r="D21" s="19" t="inlineStr">
        <is>
          <t>Panificados</t>
        </is>
      </c>
      <c r="E21" s="39" t="n">
        <v>25.5</v>
      </c>
      <c r="F21" s="39" t="n">
        <v>14</v>
      </c>
      <c r="G21" s="37" t="n">
        <v>18</v>
      </c>
      <c r="H21" s="24" t="inlineStr">
        <is>
          <t>Pulmón de 4 carros calientes</t>
        </is>
      </c>
    </row>
    <row r="22">
      <c r="B22" s="18" t="n">
        <v>14</v>
      </c>
      <c r="C22" s="16" t="inlineStr">
        <is>
          <t>Rebanadora de Pan (Braesi)</t>
        </is>
      </c>
      <c r="D22" s="19" t="inlineStr">
        <is>
          <t>Panificados</t>
        </is>
      </c>
      <c r="E22" s="39" t="n">
        <v>28.5</v>
      </c>
      <c r="F22" s="39" t="n">
        <v>14</v>
      </c>
      <c r="G22" s="37" t="n">
        <v>5.5</v>
      </c>
      <c r="H22" s="24" t="inlineStr">
        <is>
          <t>Corte continuo de pan de molde</t>
        </is>
      </c>
    </row>
    <row r="23">
      <c r="B23" s="18" t="n">
        <v>15</v>
      </c>
      <c r="C23" s="16" t="inlineStr">
        <is>
          <t>Envasado 1° Panificados (Flow-Pack)</t>
        </is>
      </c>
      <c r="D23" s="19" t="inlineStr">
        <is>
          <t>Panificados</t>
        </is>
      </c>
      <c r="E23" s="39" t="n">
        <v>30.5</v>
      </c>
      <c r="F23" s="39" t="n">
        <v>14</v>
      </c>
      <c r="G23" s="37" t="n">
        <v>12</v>
      </c>
      <c r="H23" s="24" t="inlineStr">
        <is>
          <t>Envasadora Brunetti EFH700X</t>
        </is>
      </c>
    </row>
    <row r="24">
      <c r="B24" s="18" t="n">
        <v>16</v>
      </c>
      <c r="C24" s="16" t="inlineStr">
        <is>
          <t>Envasado 2° Panificados (Mesa manual)</t>
        </is>
      </c>
      <c r="D24" s="19" t="inlineStr">
        <is>
          <t>Panificados</t>
        </is>
      </c>
      <c r="E24" s="39" t="n">
        <v>32.5</v>
      </c>
      <c r="F24" s="39" t="n">
        <v>14</v>
      </c>
      <c r="G24" s="37" t="n">
        <v>5</v>
      </c>
      <c r="H24" s="24" t="inlineStr">
        <is>
          <t>Encajonado y conformado pallet</t>
        </is>
      </c>
    </row>
    <row r="25">
      <c r="B25" s="18" t="n">
        <v>17</v>
      </c>
      <c r="C25" s="16" t="inlineStr">
        <is>
          <t>Depósito PT y Expedición</t>
        </is>
      </c>
      <c r="D25" s="19" t="inlineStr">
        <is>
          <t>Común</t>
        </is>
      </c>
      <c r="E25" s="39" t="n">
        <v>36</v>
      </c>
      <c r="F25" s="39" t="n">
        <v>16</v>
      </c>
      <c r="G25" s="37" t="n">
        <v>160</v>
      </c>
      <c r="H25" s="24" t="inlineStr">
        <is>
          <t>Racks selectivos 160 pallets</t>
        </is>
      </c>
    </row>
    <row r="26">
      <c r="B26" s="18" t="n">
        <v>18</v>
      </c>
      <c r="C26" s="16" t="inlineStr">
        <is>
          <t>Lavado de Bateas y Gestión Scrap</t>
        </is>
      </c>
      <c r="D26" s="19" t="inlineStr">
        <is>
          <t>Servicios</t>
        </is>
      </c>
      <c r="E26" s="39" t="n">
        <v>8.5</v>
      </c>
      <c r="F26" s="39" t="n">
        <v>12</v>
      </c>
      <c r="G26" s="37" t="n">
        <v>15</v>
      </c>
      <c r="H26" s="24" t="inlineStr">
        <is>
          <t>Zona periférica limpia</t>
        </is>
      </c>
    </row>
    <row r="27"/>
    <row r="28"/>
    <row r="29">
      <c r="B29" s="6" t="inlineStr">
        <is>
          <t>2. ANÁLISIS DE INTENSIDAD DE TRÁFICO, MOMENTO DE TRANSPORTE Y HORAS DE TRASLADO</t>
        </is>
      </c>
    </row>
    <row r="30"/>
    <row r="31">
      <c r="B31" s="30" t="inlineStr">
        <is>
          <t>Tramo</t>
        </is>
      </c>
      <c r="C31" s="30" t="inlineStr">
        <is>
          <t>Origen</t>
        </is>
      </c>
      <c r="D31" s="30" t="inlineStr">
        <is>
          <t>Destino</t>
        </is>
      </c>
      <c r="E31" s="30" t="inlineStr">
        <is>
          <t>Frecuencia f (viajes/turno)</t>
        </is>
      </c>
      <c r="F31" s="30" t="inlineStr">
        <is>
          <t>Distancia d (m)</t>
        </is>
      </c>
      <c r="G31" s="30" t="inlineStr">
        <is>
          <t>Peso/Viaje (kg)</t>
        </is>
      </c>
      <c r="H31" s="30" t="inlineStr">
        <is>
          <t>Momento M (viajes·m / turno)</t>
        </is>
      </c>
      <c r="I31" s="30" t="inlineStr">
        <is>
          <t>Esfuerzo Masa (kg·m / turno)</t>
        </is>
      </c>
      <c r="J31" s="30" t="inlineStr">
        <is>
          <t>Velocidad (m/min)</t>
        </is>
      </c>
      <c r="K31" s="30" t="inlineStr">
        <is>
          <t>Tiempo Maniobra (min)</t>
        </is>
      </c>
      <c r="L31" s="30" t="inlineStr">
        <is>
          <t>Horas Traslado (hs/turno)</t>
        </is>
      </c>
      <c r="M31" s="30" t="inlineStr">
        <is>
          <t>Nivel de Criticidad</t>
        </is>
      </c>
    </row>
    <row r="32">
      <c r="B32" s="18" t="inlineStr">
        <is>
          <t>T01</t>
        </is>
      </c>
      <c r="C32" s="16" t="inlineStr">
        <is>
          <t>2. Sección Pesado</t>
        </is>
      </c>
      <c r="D32" s="16" t="inlineStr">
        <is>
          <t>3. Amasado Galletitas</t>
        </is>
      </c>
      <c r="E32" s="38">
        <f>'5. Desde-Hasta (Viajes)'!E8</f>
        <v/>
      </c>
      <c r="F32" s="75">
        <f>ROUND(SQRT((E11-E10)^2+(F11-F10)^2), 1)</f>
        <v/>
      </c>
      <c r="G32" s="23">
        <f>'3. Cuantificación Frecuencias'!G8</f>
        <v/>
      </c>
      <c r="H32" s="43">
        <f>E32*F32</f>
        <v/>
      </c>
      <c r="I32" s="43">
        <f>H32*G32</f>
        <v/>
      </c>
      <c r="J32" s="76">
        <f>'3. Cuantificación Frecuencias'!K8</f>
        <v/>
      </c>
      <c r="K32" s="41">
        <f>'3. Cuantificación Frecuencias'!L8</f>
        <v/>
      </c>
      <c r="L32" s="42">
        <f>E32*((2*F32/J32)+K32)/60</f>
        <v/>
      </c>
      <c r="M32" s="77" t="inlineStr">
        <is>
          <t>CRÍTICO (Alta Frecuencia)</t>
        </is>
      </c>
    </row>
    <row r="33">
      <c r="B33" s="18" t="inlineStr">
        <is>
          <t>T02</t>
        </is>
      </c>
      <c r="C33" s="16" t="inlineStr">
        <is>
          <t>3. Amasado Galletitas</t>
        </is>
      </c>
      <c r="D33" s="16" t="inlineStr">
        <is>
          <t>4. Moldeado Galletitas</t>
        </is>
      </c>
      <c r="E33" s="38">
        <f>'5. Desde-Hasta (Viajes)'!F9</f>
        <v/>
      </c>
      <c r="F33" s="75">
        <f>ROUND(SQRT((E12-E11)^2+(F12-F11)^2), 1)</f>
        <v/>
      </c>
      <c r="G33" s="23">
        <f>'3. Cuantificación Frecuencias'!G9</f>
        <v/>
      </c>
      <c r="H33" s="43">
        <f>E33*F33</f>
        <v/>
      </c>
      <c r="I33" s="43">
        <f>H33*G33</f>
        <v/>
      </c>
      <c r="J33" s="76">
        <f>'3. Cuantificación Frecuencias'!K9</f>
        <v/>
      </c>
      <c r="K33" s="41">
        <f>'3. Cuantificación Frecuencias'!L9</f>
        <v/>
      </c>
      <c r="L33" s="42">
        <f>E33*((2*F33/J33)+K33)/60</f>
        <v/>
      </c>
      <c r="M33" s="77" t="inlineStr">
        <is>
          <t>CRÍTICO (Alta Frecuencia)</t>
        </is>
      </c>
    </row>
    <row r="34">
      <c r="B34" s="18" t="inlineStr">
        <is>
          <t>T03</t>
        </is>
      </c>
      <c r="C34" s="16" t="inlineStr">
        <is>
          <t>2. Sección Pesado</t>
        </is>
      </c>
      <c r="D34" s="16" t="inlineStr">
        <is>
          <t>9. Batido Panificados</t>
        </is>
      </c>
      <c r="E34" s="38">
        <f>'5. Desde-Hasta (Viajes)'!K8</f>
        <v/>
      </c>
      <c r="F34" s="75">
        <f>ROUND(SQRT((E17-E10)^2+(F17-F10)^2), 1)</f>
        <v/>
      </c>
      <c r="G34" s="23">
        <f>'3. Cuantificación Frecuencias'!G15</f>
        <v/>
      </c>
      <c r="H34" s="43">
        <f>E34*F34</f>
        <v/>
      </c>
      <c r="I34" s="43">
        <f>H34*G34</f>
        <v/>
      </c>
      <c r="J34" s="76">
        <f>'3. Cuantificación Frecuencias'!K15</f>
        <v/>
      </c>
      <c r="K34" s="41">
        <f>'3. Cuantificación Frecuencias'!L15</f>
        <v/>
      </c>
      <c r="L34" s="42">
        <f>E34*((2*F34/J34)+K34)/60</f>
        <v/>
      </c>
      <c r="M34" s="19" t="inlineStr">
        <is>
          <t>ALTO</t>
        </is>
      </c>
    </row>
    <row r="35">
      <c r="B35" s="18" t="inlineStr">
        <is>
          <t>T04</t>
        </is>
      </c>
      <c r="C35" s="16" t="inlineStr">
        <is>
          <t>9. Batido Panificados</t>
        </is>
      </c>
      <c r="D35" s="16" t="inlineStr">
        <is>
          <t>10. Dosificado Panif.</t>
        </is>
      </c>
      <c r="E35" s="38">
        <f>'5. Desde-Hasta (Viajes)'!L15</f>
        <v/>
      </c>
      <c r="F35" s="75">
        <f>ROUND(SQRT((E18-E17)^2+(F18-F17)^2), 1)</f>
        <v/>
      </c>
      <c r="G35" s="23">
        <f>'3. Cuantificación Frecuencias'!G16</f>
        <v/>
      </c>
      <c r="H35" s="43">
        <f>E35*F35</f>
        <v/>
      </c>
      <c r="I35" s="43">
        <f>H35*G35</f>
        <v/>
      </c>
      <c r="J35" s="76">
        <f>'3. Cuantificación Frecuencias'!K16</f>
        <v/>
      </c>
      <c r="K35" s="41">
        <f>'3. Cuantificación Frecuencias'!L16</f>
        <v/>
      </c>
      <c r="L35" s="42">
        <f>E35*((2*F35/J35)+K35)/60</f>
        <v/>
      </c>
      <c r="M35" s="19" t="inlineStr">
        <is>
          <t>ALTO</t>
        </is>
      </c>
    </row>
    <row r="36">
      <c r="B36" s="18" t="inlineStr">
        <is>
          <t>T05</t>
        </is>
      </c>
      <c r="C36" s="16" t="inlineStr">
        <is>
          <t>10. Dosificado Panif.</t>
        </is>
      </c>
      <c r="D36" s="16" t="inlineStr">
        <is>
          <t>11. Fermentador Panes</t>
        </is>
      </c>
      <c r="E36" s="38">
        <f>'5. Desde-Hasta (Viajes)'!M16</f>
        <v/>
      </c>
      <c r="F36" s="75">
        <f>ROUND(SQRT((E19-E18)^2+(F19-F18)^2), 1)</f>
        <v/>
      </c>
      <c r="G36" s="23">
        <f>'3. Cuantificación Frecuencias'!G17</f>
        <v/>
      </c>
      <c r="H36" s="43">
        <f>E36*F36</f>
        <v/>
      </c>
      <c r="I36" s="43">
        <f>H36*G36</f>
        <v/>
      </c>
      <c r="J36" s="76">
        <f>'3. Cuantificación Frecuencias'!K17</f>
        <v/>
      </c>
      <c r="K36" s="41">
        <f>'3. Cuantificación Frecuencias'!L17</f>
        <v/>
      </c>
      <c r="L36" s="42">
        <f>E36*((2*F36/J36)+K36)/60</f>
        <v/>
      </c>
      <c r="M36" s="19" t="inlineStr">
        <is>
          <t>ALTO</t>
        </is>
      </c>
    </row>
    <row r="37">
      <c r="B37" s="18" t="inlineStr">
        <is>
          <t>T06</t>
        </is>
      </c>
      <c r="C37" s="16" t="inlineStr">
        <is>
          <t>11. Fermentador Panes</t>
        </is>
      </c>
      <c r="D37" s="16" t="inlineStr">
        <is>
          <t>12. Hornos Rotativos</t>
        </is>
      </c>
      <c r="E37" s="38">
        <f>'5. Desde-Hasta (Viajes)'!N17</f>
        <v/>
      </c>
      <c r="F37" s="75">
        <f>ROUND(SQRT((E20-E19)^2+(F20-F19)^2), 1)</f>
        <v/>
      </c>
      <c r="G37" s="23">
        <f>'3. Cuantificación Frecuencias'!G18</f>
        <v/>
      </c>
      <c r="H37" s="43">
        <f>E37*F37</f>
        <v/>
      </c>
      <c r="I37" s="43">
        <f>H37*G37</f>
        <v/>
      </c>
      <c r="J37" s="76">
        <f>'3. Cuantificación Frecuencias'!K18</f>
        <v/>
      </c>
      <c r="K37" s="41">
        <f>'3. Cuantificación Frecuencias'!L18</f>
        <v/>
      </c>
      <c r="L37" s="42">
        <f>E37*((2*F37/J37)+K37)/60</f>
        <v/>
      </c>
      <c r="M37" s="19" t="inlineStr">
        <is>
          <t>ALTO</t>
        </is>
      </c>
    </row>
    <row r="38">
      <c r="B38" s="18" t="inlineStr">
        <is>
          <t>T07</t>
        </is>
      </c>
      <c r="C38" s="16" t="inlineStr">
        <is>
          <t>12. Hornos Rotativos</t>
        </is>
      </c>
      <c r="D38" s="16" t="inlineStr">
        <is>
          <t>13. Enfriado Panif.</t>
        </is>
      </c>
      <c r="E38" s="38">
        <f>'5. Desde-Hasta (Viajes)'!O18</f>
        <v/>
      </c>
      <c r="F38" s="75">
        <f>ROUND(SQRT((E21-E20)^2+(F21-F20)^2), 1)</f>
        <v/>
      </c>
      <c r="G38" s="23">
        <f>'3. Cuantificación Frecuencias'!G19</f>
        <v/>
      </c>
      <c r="H38" s="43">
        <f>E38*F38</f>
        <v/>
      </c>
      <c r="I38" s="43">
        <f>H38*G38</f>
        <v/>
      </c>
      <c r="J38" s="76">
        <f>'3. Cuantificación Frecuencias'!K19</f>
        <v/>
      </c>
      <c r="K38" s="41">
        <f>'3. Cuantificación Frecuencias'!L19</f>
        <v/>
      </c>
      <c r="L38" s="42">
        <f>E38*((2*F38/J38)+K38)/60</f>
        <v/>
      </c>
      <c r="M38" s="77" t="inlineStr">
        <is>
          <t>CRÍTICO (Seguridad 180°C)</t>
        </is>
      </c>
    </row>
    <row r="39">
      <c r="B39" s="18" t="inlineStr">
        <is>
          <t>T08</t>
        </is>
      </c>
      <c r="C39" s="16" t="inlineStr">
        <is>
          <t>13. Enfriado Panif.</t>
        </is>
      </c>
      <c r="D39" s="16" t="inlineStr">
        <is>
          <t>14. Rebanado / Env 1°</t>
        </is>
      </c>
      <c r="E39" s="38">
        <f>'5. Desde-Hasta (Viajes)'!P19</f>
        <v/>
      </c>
      <c r="F39" s="75">
        <f>ROUND(SQRT((E22-E21)^2+(F22-F21)^2), 1)</f>
        <v/>
      </c>
      <c r="G39" s="23">
        <f>'3. Cuantificación Frecuencias'!G20</f>
        <v/>
      </c>
      <c r="H39" s="43">
        <f>E39*F39</f>
        <v/>
      </c>
      <c r="I39" s="43">
        <f>H39*G39</f>
        <v/>
      </c>
      <c r="J39" s="76">
        <f>'3. Cuantificación Frecuencias'!K20</f>
        <v/>
      </c>
      <c r="K39" s="41">
        <f>'3. Cuantificación Frecuencias'!L20</f>
        <v/>
      </c>
      <c r="L39" s="42">
        <f>E39*((2*F39/J39)+K39)/60</f>
        <v/>
      </c>
      <c r="M39" s="19" t="inlineStr">
        <is>
          <t>MEDIO</t>
        </is>
      </c>
    </row>
    <row r="40">
      <c r="B40" s="18" t="inlineStr">
        <is>
          <t>T09</t>
        </is>
      </c>
      <c r="C40" s="16" t="inlineStr">
        <is>
          <t>1. Depósito MP</t>
        </is>
      </c>
      <c r="D40" s="16" t="inlineStr">
        <is>
          <t>2. Sección Pesado</t>
        </is>
      </c>
      <c r="E40" s="38">
        <f>'5. Desde-Hasta (Viajes)'!D7</f>
        <v/>
      </c>
      <c r="F40" s="75">
        <f>ROUND(SQRT((E10-E9)^2+(F10-F9)^2), 1)</f>
        <v/>
      </c>
      <c r="G40" s="23">
        <f>'3. Cuantificación Frecuencias'!G7</f>
        <v/>
      </c>
      <c r="H40" s="43">
        <f>E40*F40</f>
        <v/>
      </c>
      <c r="I40" s="43">
        <f>H40*G40</f>
        <v/>
      </c>
      <c r="J40" s="76">
        <f>'3. Cuantificación Frecuencias'!K7</f>
        <v/>
      </c>
      <c r="K40" s="41">
        <f>'3. Cuantificación Frecuencias'!L7</f>
        <v/>
      </c>
      <c r="L40" s="42">
        <f>E40*((2*F40/J40)+K40)/60</f>
        <v/>
      </c>
      <c r="M40" s="19" t="inlineStr">
        <is>
          <t>MEDIO (Carga Pesada)</t>
        </is>
      </c>
    </row>
    <row r="41">
      <c r="B41" s="18" t="inlineStr">
        <is>
          <t>T10</t>
        </is>
      </c>
      <c r="C41" s="16" t="inlineStr">
        <is>
          <t>8. Envasado 2° G</t>
        </is>
      </c>
      <c r="D41" s="16" t="inlineStr">
        <is>
          <t>17. Depósito PT</t>
        </is>
      </c>
      <c r="E41" s="38">
        <f>'5. Desde-Hasta (Viajes)'!S14</f>
        <v/>
      </c>
      <c r="F41" s="75">
        <f>ROUND(SQRT((E25-E16)^2+(F25-F16)^2), 1)</f>
        <v/>
      </c>
      <c r="G41" s="23">
        <f>'3. Cuantificación Frecuencias'!G14</f>
        <v/>
      </c>
      <c r="H41" s="43">
        <f>E41*F41</f>
        <v/>
      </c>
      <c r="I41" s="43">
        <f>H41*G41</f>
        <v/>
      </c>
      <c r="J41" s="76">
        <f>'3. Cuantificación Frecuencias'!K14</f>
        <v/>
      </c>
      <c r="K41" s="41">
        <f>'3. Cuantificación Frecuencias'!L14</f>
        <v/>
      </c>
      <c r="L41" s="42">
        <f>E41*((2*F41/J41)+K41)/60</f>
        <v/>
      </c>
      <c r="M41" s="19" t="inlineStr">
        <is>
          <t>BAJO (Pallets)</t>
        </is>
      </c>
    </row>
    <row r="42">
      <c r="B42" s="18" t="inlineStr">
        <is>
          <t>T11</t>
        </is>
      </c>
      <c r="C42" s="16" t="inlineStr">
        <is>
          <t>16. Envasado 2° P</t>
        </is>
      </c>
      <c r="D42" s="16" t="inlineStr">
        <is>
          <t>17. Depósito PT</t>
        </is>
      </c>
      <c r="E42" s="38">
        <f>'5. Desde-Hasta (Viajes)'!S22</f>
        <v/>
      </c>
      <c r="F42" s="75">
        <f>ROUND(SQRT((E25-E24)^2+(F25-F24)^2), 1)</f>
        <v/>
      </c>
      <c r="G42" s="23">
        <f>'3. Cuantificación Frecuencias'!G23</f>
        <v/>
      </c>
      <c r="H42" s="43">
        <f>E42*F42</f>
        <v/>
      </c>
      <c r="I42" s="43">
        <f>H42*G42</f>
        <v/>
      </c>
      <c r="J42" s="76">
        <f>'3. Cuantificación Frecuencias'!K23</f>
        <v/>
      </c>
      <c r="K42" s="41">
        <f>'3. Cuantificación Frecuencias'!L23</f>
        <v/>
      </c>
      <c r="L42" s="42">
        <f>E42*((2*F42/J42)+K42)/60</f>
        <v/>
      </c>
      <c r="M42" s="19" t="inlineStr">
        <is>
          <t>BAJO (Pallets)</t>
        </is>
      </c>
    </row>
    <row r="43">
      <c r="B43" s="51" t="inlineStr">
        <is>
          <t>TOTALES GENERALES</t>
        </is>
      </c>
      <c r="C43" s="26" t="inlineStr"/>
      <c r="D43" s="26" t="inlineStr"/>
      <c r="E43" s="26" t="inlineStr"/>
      <c r="F43" s="26" t="inlineStr"/>
      <c r="G43" s="26" t="inlineStr"/>
      <c r="H43" s="52">
        <f>SUM(H32:H42)</f>
        <v/>
      </c>
      <c r="I43" s="52">
        <f>SUM(I32:I42)</f>
        <v/>
      </c>
      <c r="J43" s="26" t="inlineStr"/>
      <c r="K43" s="26" t="inlineStr"/>
      <c r="L43" s="53">
        <f>SUM(L32:L42)</f>
        <v/>
      </c>
      <c r="M43" s="78" t="inlineStr">
        <is>
          <t>Minimizar en CAD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2026-08-31T03:07:52Z</dcterms:created>
  <dcterms:modified xmlns:dcterms="http://purl.org/dc/terms/" xmlns:xsi="http://www.w3.org/2001/XMLSchema-instance" xsi:type="dcterms:W3CDTF">2026-08-31T03:07:52Z</dcterms:modified>
</cp:coreProperties>
</file>