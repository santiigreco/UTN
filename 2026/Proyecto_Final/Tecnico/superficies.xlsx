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Diagrama Relacional" sheetId="2" state="visible" r:id="rId2"/>
    <sheet xmlns:r="http://schemas.openxmlformats.org/officeDocument/2006/relationships" name="Layout General en U" sheetId="3" state="visible" r:id="rId3"/>
    <sheet xmlns:r="http://schemas.openxmlformats.org/officeDocument/2006/relationships" name="Evaluación de Alternativas" sheetId="4" state="visible" r:id="rId4"/>
    <sheet xmlns:r="http://schemas.openxmlformats.org/officeDocument/2006/relationships" name="Sección Pesado" sheetId="5" state="visible" r:id="rId5"/>
    <sheet xmlns:r="http://schemas.openxmlformats.org/officeDocument/2006/relationships" name="Amasado Galletitas" sheetId="6" state="visible" r:id="rId6"/>
    <sheet xmlns:r="http://schemas.openxmlformats.org/officeDocument/2006/relationships" name="Moldeado Galletitas" sheetId="7" state="visible" r:id="rId7"/>
    <sheet xmlns:r="http://schemas.openxmlformats.org/officeDocument/2006/relationships" name="Horneado Galletitas" sheetId="8" state="visible" r:id="rId8"/>
    <sheet xmlns:r="http://schemas.openxmlformats.org/officeDocument/2006/relationships" name="Enfriado Galletitas" sheetId="9" state="visible" r:id="rId9"/>
    <sheet xmlns:r="http://schemas.openxmlformats.org/officeDocument/2006/relationships" name="Envasado 1° Galletitas" sheetId="10" state="visible" r:id="rId10"/>
    <sheet xmlns:r="http://schemas.openxmlformats.org/officeDocument/2006/relationships" name="Envasado 2° Galletitas" sheetId="11" state="visible" r:id="rId11"/>
    <sheet xmlns:r="http://schemas.openxmlformats.org/officeDocument/2006/relationships" name="Batido Panificados" sheetId="12" state="visible" r:id="rId12"/>
    <sheet xmlns:r="http://schemas.openxmlformats.org/officeDocument/2006/relationships" name="Dosificado Panificados" sheetId="13" state="visible" r:id="rId13"/>
    <sheet xmlns:r="http://schemas.openxmlformats.org/officeDocument/2006/relationships" name="Fermentado Panificados" sheetId="14" state="visible" r:id="rId14"/>
    <sheet xmlns:r="http://schemas.openxmlformats.org/officeDocument/2006/relationships" name="Horneado Panificados" sheetId="15" state="visible" r:id="rId15"/>
    <sheet xmlns:r="http://schemas.openxmlformats.org/officeDocument/2006/relationships" name="Enfriado Panificados" sheetId="16" state="visible" r:id="rId16"/>
    <sheet xmlns:r="http://schemas.openxmlformats.org/officeDocument/2006/relationships" name="Rebanadora Pan" sheetId="17" state="visible" r:id="rId17"/>
    <sheet xmlns:r="http://schemas.openxmlformats.org/officeDocument/2006/relationships" name="Envasado 1° Panificados" sheetId="18" state="visible" r:id="rId18"/>
    <sheet xmlns:r="http://schemas.openxmlformats.org/officeDocument/2006/relationships" name="Envasado 2° Panificados" sheetId="19" state="visible" r:id="rId19"/>
    <sheet xmlns:r="http://schemas.openxmlformats.org/officeDocument/2006/relationships" name="Depósito MP" sheetId="20" state="visible" r:id="rId20"/>
    <sheet xmlns:r="http://schemas.openxmlformats.org/officeDocument/2006/relationships" name="Depósito P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Segoe UI"/>
      <b val="1"/>
      <color rgb="000F2042"/>
      <sz val="18"/>
    </font>
    <font>
      <name val="Segoe UI"/>
      <i val="1"/>
      <color rgb="005A6A85"/>
      <sz val="10"/>
    </font>
    <font>
      <name val="Segoe UI"/>
      <b val="1"/>
      <color rgb="001A2B4C"/>
      <sz val="9"/>
    </font>
    <font>
      <name val="Segoe UI"/>
      <b val="1"/>
      <color rgb="00FFFFFF"/>
      <sz val="10"/>
    </font>
    <font>
      <name val="Segoe UI"/>
      <b val="1"/>
      <color rgb="000F2042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C00000"/>
      <sz val="10"/>
    </font>
    <font>
      <name val="Segoe UI"/>
      <b val="1"/>
      <color rgb="00FFFFFF"/>
      <sz val="9"/>
    </font>
    <font>
      <name val="Segoe UI"/>
      <i val="1"/>
      <color rgb="0064748B"/>
      <sz val="8"/>
    </font>
    <font>
      <name val="Segoe UI"/>
      <b val="1"/>
      <color rgb="00D9381E"/>
      <sz val="12"/>
    </font>
    <font>
      <name val="Segoe UI"/>
      <b val="1"/>
      <color rgb="000F2042"/>
      <sz val="11"/>
    </font>
    <font>
      <name val="Segoe UI"/>
      <b val="1"/>
      <color rgb="000F2042"/>
      <sz val="9"/>
    </font>
    <font>
      <name val="Segoe UI"/>
      <color rgb="00475569"/>
      <sz val="8"/>
    </font>
    <font>
      <name val="Segoe UI"/>
      <i val="1"/>
      <color rgb="00475569"/>
      <sz val="9"/>
    </font>
    <font>
      <name val="Segoe UI"/>
      <i val="1"/>
      <color rgb="00059669"/>
      <sz val="9"/>
    </font>
    <font>
      <name val="Segoe UI"/>
      <i val="1"/>
      <color rgb="00D97706"/>
      <sz val="9"/>
    </font>
    <font>
      <name val="Segoe UI"/>
      <b val="1"/>
      <color rgb="000F2042"/>
      <sz val="16"/>
    </font>
    <font>
      <name val="Segoe UI"/>
      <b val="1"/>
      <color rgb="000F2042"/>
      <sz val="8.5"/>
    </font>
    <font>
      <name val="Segoe UI"/>
      <color rgb="00334155"/>
      <sz val="8"/>
    </font>
    <font>
      <name val="Segoe UI"/>
      <b val="1"/>
      <color rgb="00065F46"/>
      <sz val="9"/>
    </font>
    <font>
      <name val="Segoe UI"/>
      <b val="1"/>
      <color rgb="00065F46"/>
      <sz val="11"/>
    </font>
  </fonts>
  <fills count="2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A2B4C"/>
        <bgColor rgb="001A2B4C"/>
      </patternFill>
    </fill>
    <fill>
      <patternFill patternType="solid">
        <fgColor rgb="00D1E7DD"/>
        <bgColor rgb="00D1E7D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9EEF5"/>
        <bgColor rgb="00E9EEF5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CBD5E1"/>
        <bgColor rgb="00CBD5E1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A7F3D0"/>
        <bgColor rgb="00A7F3D0"/>
      </patternFill>
    </fill>
    <fill>
      <patternFill patternType="solid">
        <fgColor rgb="0064748B"/>
        <bgColor rgb="0064748B"/>
      </patternFill>
    </fill>
    <fill>
      <patternFill patternType="solid">
        <fgColor rgb="00EEF2FF"/>
        <bgColor rgb="00EEF2FF"/>
      </patternFill>
    </fill>
    <fill>
      <patternFill patternType="solid">
        <fgColor rgb="00BAE6FD"/>
        <bgColor rgb="00BAE6FD"/>
      </patternFill>
    </fill>
    <fill>
      <patternFill patternType="solid">
        <fgColor rgb="0099F6E4"/>
        <bgColor rgb="0099F6E4"/>
      </patternFill>
    </fill>
    <fill>
      <patternFill patternType="solid">
        <fgColor rgb="00F0F9FF"/>
        <bgColor rgb="00F0F9FF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CCFBF1"/>
        <bgColor rgb="00CCFBF1"/>
      </patternFill>
    </fill>
    <fill>
      <patternFill patternType="solid">
        <fgColor rgb="00F0FDFA"/>
        <bgColor rgb="00F0FDFA"/>
      </patternFill>
    </fill>
  </fills>
  <borders count="7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A2B4C"/>
      </top>
      <bottom style="medium">
        <color rgb="001A2B4C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A2B4C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dotted">
        <color rgb="0094A3B8"/>
      </left>
      <top style="dotted">
        <color rgb="0094A3B8"/>
      </top>
    </border>
    <border>
      <top style="dotted">
        <color rgb="0094A3B8"/>
      </top>
    </border>
    <border>
      <right style="dotted">
        <color rgb="0094A3B8"/>
      </right>
      <top style="dotted">
        <color rgb="0094A3B8"/>
      </top>
    </border>
    <border>
      <left style="dotted">
        <color rgb="0094A3B8"/>
      </left>
    </border>
    <border/>
    <border>
      <right style="dotted">
        <color rgb="0094A3B8"/>
      </right>
    </border>
    <border>
      <left style="dotted">
        <color rgb="0094A3B8"/>
      </left>
      <bottom style="dotted">
        <color rgb="0094A3B8"/>
      </bottom>
    </border>
    <border>
      <bottom style="dotted">
        <color rgb="0094A3B8"/>
      </bottom>
    </border>
    <border>
      <right style="dotted">
        <color rgb="0094A3B8"/>
      </right>
      <bottom style="dotted">
        <color rgb="0094A3B8"/>
      </bottom>
    </border>
    <border>
      <left style="dashed">
        <color rgb="00D9381E"/>
      </left>
      <top style="dashed">
        <color rgb="00D9381E"/>
      </top>
    </border>
    <border>
      <top style="dashed">
        <color rgb="00D9381E"/>
      </top>
    </border>
    <border>
      <right style="dashed">
        <color rgb="00D9381E"/>
      </right>
      <top style="dashed">
        <color rgb="00D9381E"/>
      </top>
    </border>
    <border>
      <left style="dashed">
        <color rgb="00D9381E"/>
      </left>
    </border>
    <border>
      <right style="dashed">
        <color rgb="00D9381E"/>
      </right>
    </border>
    <border>
      <left style="dashed">
        <color rgb="00D9381E"/>
      </left>
      <bottom style="dashed">
        <color rgb="00D9381E"/>
      </bottom>
    </border>
    <border>
      <bottom style="dashed">
        <color rgb="00D9381E"/>
      </bottom>
    </border>
    <border>
      <right style="dashed">
        <color rgb="00D9381E"/>
      </right>
      <bottom style="dashed">
        <color rgb="00D9381E"/>
      </bottom>
    </border>
    <border>
      <left style="dashed">
        <color rgb="00D9381E"/>
      </left>
      <right style="dashed">
        <color rgb="00D9381E"/>
      </right>
      <top style="dashed">
        <color rgb="00D9381E"/>
      </top>
      <bottom style="dashed">
        <color rgb="00D9381E"/>
      </bottom>
    </border>
    <border>
      <left/>
      <right/>
      <top style="dashed">
        <color rgb="00D9381E"/>
      </top>
      <bottom/>
      <diagonal/>
    </border>
    <border>
      <left style="dashed">
        <color rgb="00D9381E"/>
      </left>
      <right/>
      <top/>
      <bottom/>
      <diagonal/>
    </border>
    <border>
      <left/>
      <right style="dashed">
        <color rgb="00D9381E"/>
      </right>
      <top style="dashed">
        <color rgb="00D9381E"/>
      </top>
      <bottom/>
      <diagonal/>
    </border>
    <border>
      <left/>
      <right style="dashed">
        <color rgb="00D9381E"/>
      </right>
      <top/>
      <bottom/>
      <diagonal/>
    </border>
    <border>
      <left style="dashed">
        <color rgb="00D9381E"/>
      </left>
      <right/>
      <top/>
      <bottom style="dashed">
        <color rgb="00D9381E"/>
      </bottom>
      <diagonal/>
    </border>
    <border>
      <left/>
      <right/>
      <top/>
      <bottom style="dashed">
        <color rgb="00D9381E"/>
      </bottom>
      <diagonal/>
    </border>
    <border>
      <left/>
      <right style="dashed">
        <color rgb="00D9381E"/>
      </right>
      <top/>
      <bottom style="dashed">
        <color rgb="00D9381E"/>
      </bottom>
      <diagonal/>
    </border>
    <border>
      <left style="medium">
        <color rgb="001A2B4C"/>
      </left>
      <top style="medium">
        <color rgb="001A2B4C"/>
      </top>
    </border>
    <border>
      <top style="medium">
        <color rgb="001A2B4C"/>
      </top>
    </border>
    <border>
      <right style="medium">
        <color rgb="001A2B4C"/>
      </right>
      <top style="medium">
        <color rgb="001A2B4C"/>
      </top>
    </border>
    <border>
      <left style="medium">
        <color rgb="001A2B4C"/>
      </left>
    </border>
    <border>
      <right style="medium">
        <color rgb="001A2B4C"/>
      </right>
    </border>
    <border>
      <left style="medium">
        <color rgb="001A2B4C"/>
      </left>
      <bottom style="medium">
        <color rgb="001A2B4C"/>
      </bottom>
    </border>
    <border>
      <bottom style="medium">
        <color rgb="001A2B4C"/>
      </bottom>
    </border>
    <border>
      <right style="medium">
        <color rgb="001A2B4C"/>
      </right>
      <bottom style="medium">
        <color rgb="001A2B4C"/>
      </bottom>
    </border>
    <border>
      <left style="medium">
        <color rgb="001A2B4C"/>
      </left>
      <right style="medium">
        <color rgb="001A2B4C"/>
      </right>
      <top style="medium">
        <color rgb="001A2B4C"/>
      </top>
      <bottom style="medium">
        <color rgb="001A2B4C"/>
      </bottom>
    </border>
    <border>
      <left/>
      <right/>
      <top style="medium">
        <color rgb="001A2B4C"/>
      </top>
      <bottom/>
      <diagonal/>
    </border>
    <border>
      <left style="medium">
        <color rgb="001A2B4C"/>
      </left>
      <right/>
      <top/>
      <bottom/>
      <diagonal/>
    </border>
    <border>
      <left/>
      <right style="medium">
        <color rgb="001A2B4C"/>
      </right>
      <top style="medium">
        <color rgb="001A2B4C"/>
      </top>
      <bottom/>
      <diagonal/>
    </border>
    <border>
      <left/>
      <right style="medium">
        <color rgb="001A2B4C"/>
      </right>
      <top/>
      <bottom/>
      <diagonal/>
    </border>
    <border>
      <left style="medium">
        <color rgb="001A2B4C"/>
      </left>
      <right/>
      <top/>
      <bottom style="medium">
        <color rgb="001A2B4C"/>
      </bottom>
      <diagonal/>
    </border>
    <border>
      <left/>
      <right/>
      <top/>
      <bottom style="medium">
        <color rgb="001A2B4C"/>
      </bottom>
      <diagonal/>
    </border>
    <border>
      <left/>
      <right style="medium">
        <color rgb="001A2B4C"/>
      </right>
      <top/>
      <bottom style="medium">
        <color rgb="001A2B4C"/>
      </bottom>
      <diagonal/>
    </border>
    <border>
      <left style="medium">
        <color rgb="000F2042"/>
      </left>
      <top style="medium">
        <color rgb="000F2042"/>
      </top>
      <bottom style="medium">
        <color rgb="000F2042"/>
      </bottom>
    </border>
    <border>
      <top style="medium">
        <color rgb="000F2042"/>
      </top>
      <bottom style="medium">
        <color rgb="000F2042"/>
      </bottom>
    </border>
    <border>
      <right style="medium">
        <color rgb="000F2042"/>
      </right>
      <top style="medium">
        <color rgb="000F2042"/>
      </top>
      <bottom style="medium">
        <color rgb="000F2042"/>
      </bottom>
    </border>
    <border>
      <left style="medium">
        <color rgb="000F2042"/>
      </left>
      <right style="medium">
        <color rgb="000F2042"/>
      </right>
      <top style="medium">
        <color rgb="000F2042"/>
      </top>
      <bottom style="medium">
        <color rgb="000F2042"/>
      </bottom>
    </border>
    <border>
      <left/>
      <right/>
      <top style="medium">
        <color rgb="000F2042"/>
      </top>
      <bottom/>
      <diagonal/>
    </border>
    <border>
      <left/>
      <right style="medium">
        <color rgb="000F2042"/>
      </right>
      <top style="medium">
        <color rgb="000F2042"/>
      </top>
      <bottom/>
      <diagonal/>
    </border>
    <border>
      <left/>
      <right/>
      <top style="medium">
        <color rgb="000F2042"/>
      </top>
      <bottom style="medium">
        <color rgb="000F2042"/>
      </bottom>
      <diagonal/>
    </border>
    <border>
      <left/>
      <right style="medium">
        <color rgb="000F2042"/>
      </right>
      <top style="medium">
        <color rgb="000F2042"/>
      </top>
      <bottom style="medium">
        <color rgb="000F2042"/>
      </bottom>
      <diagonal/>
    </border>
    <border>
      <left style="medium">
        <color rgb="000F2042"/>
      </left>
      <top style="medium">
        <color rgb="000F2042"/>
      </top>
    </border>
    <border>
      <right style="medium">
        <color rgb="000F2042"/>
      </right>
      <top style="medium">
        <color rgb="000F2042"/>
      </top>
    </border>
    <border>
      <left style="medium">
        <color rgb="000F2042"/>
      </left>
    </border>
    <border>
      <right style="medium">
        <color rgb="000F2042"/>
      </right>
    </border>
    <border>
      <left style="medium">
        <color rgb="000F2042"/>
      </left>
      <bottom style="medium">
        <color rgb="000F2042"/>
      </bottom>
    </border>
    <border>
      <right style="medium">
        <color rgb="000F2042"/>
      </right>
      <bottom style="medium">
        <color rgb="000F2042"/>
      </bottom>
    </border>
    <border>
      <left style="medium">
        <color rgb="000F2042"/>
      </left>
      <right/>
      <top/>
      <bottom/>
      <diagonal/>
    </border>
    <border>
      <left/>
      <right style="medium">
        <color rgb="000F2042"/>
      </right>
      <top/>
      <bottom/>
      <diagonal/>
    </border>
    <border>
      <left style="medium">
        <color rgb="000F2042"/>
      </left>
      <right/>
      <top/>
      <bottom style="medium">
        <color rgb="000F2042"/>
      </bottom>
      <diagonal/>
    </border>
    <border>
      <left/>
      <right style="medium">
        <color rgb="000F2042"/>
      </right>
      <top/>
      <bottom style="medium">
        <color rgb="000F2042"/>
      </bottom>
      <diagonal/>
    </border>
    <border>
      <top style="medium">
        <color rgb="000F2042"/>
      </top>
    </border>
    <border>
      <bottom style="medium">
        <color rgb="000F2042"/>
      </bottom>
    </border>
    <border>
      <left/>
      <right/>
      <top/>
      <bottom style="medium">
        <color rgb="000F2042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4" borderId="0" applyAlignment="1" pivotButton="0" quotePrefix="0" xfId="0">
      <alignment horizontal="center"/>
    </xf>
    <xf numFmtId="0" fontId="1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2" fontId="6" fillId="6" borderId="2" applyAlignment="1" pivotButton="0" quotePrefix="0" xfId="0">
      <alignment horizontal="right" vertical="center"/>
    </xf>
    <xf numFmtId="2" fontId="0" fillId="6" borderId="2" applyAlignment="1" pivotButton="0" quotePrefix="0" xfId="0">
      <alignment horizontal="right" vertical="center"/>
    </xf>
    <xf numFmtId="2" fontId="13" fillId="4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2" fontId="6" fillId="5" borderId="2" applyAlignment="1" pivotButton="0" quotePrefix="0" xfId="0">
      <alignment horizontal="right" vertical="center"/>
    </xf>
    <xf numFmtId="2" fontId="0" fillId="5" borderId="2" applyAlignment="1" pivotButton="0" quotePrefix="0" xfId="0">
      <alignment horizontal="right" vertical="center"/>
    </xf>
    <xf numFmtId="0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0" fillId="7" borderId="3" pivotButton="0" quotePrefix="0" xfId="0"/>
    <xf numFmtId="0" fontId="5" fillId="7" borderId="3" pivotButton="0" quotePrefix="0" xfId="0"/>
    <xf numFmtId="2" fontId="6" fillId="7" borderId="3" applyAlignment="1" pivotButton="0" quotePrefix="0" xfId="0">
      <alignment horizontal="right" vertical="center"/>
    </xf>
    <xf numFmtId="2" fontId="5" fillId="7" borderId="3" applyAlignment="1" pivotButton="0" quotePrefix="0" xfId="0">
      <alignment horizontal="right" vertical="center"/>
    </xf>
    <xf numFmtId="2" fontId="12" fillId="4" borderId="3" applyAlignment="1" pivotButton="0" quotePrefix="0" xfId="0">
      <alignment horizontal="right" vertical="center"/>
    </xf>
    <xf numFmtId="0" fontId="18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5" borderId="8" pivotButton="0" quotePrefix="0" xfId="0"/>
    <xf numFmtId="0" fontId="0" fillId="5" borderId="9" pivotButton="0" quotePrefix="0" xfId="0"/>
    <xf numFmtId="0" fontId="11" fillId="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0" fontId="0" fillId="5" borderId="10" pivotButton="0" quotePrefix="0" xfId="0"/>
    <xf numFmtId="0" fontId="0" fillId="5" borderId="11" pivotButton="0" quotePrefix="0" xfId="0"/>
    <xf numFmtId="0" fontId="0" fillId="5" borderId="1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5" borderId="13" pivotButton="0" quotePrefix="0" xfId="0"/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2" fontId="6" fillId="4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right" vertical="center"/>
    </xf>
    <xf numFmtId="1" fontId="7" fillId="5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8" fillId="6" borderId="2" applyAlignment="1" pivotButton="0" quotePrefix="0" xfId="0">
      <alignment horizontal="center" vertical="center"/>
    </xf>
    <xf numFmtId="1" fontId="7" fillId="6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12" fillId="6" borderId="41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4" pivotButton="0" quotePrefix="0" xfId="0"/>
    <xf numFmtId="0" fontId="0" fillId="0" borderId="43" pivotButton="0" quotePrefix="0" xfId="0"/>
    <xf numFmtId="0" fontId="0" fillId="0" borderId="45" pivotButton="0" quotePrefix="0" xfId="0"/>
    <xf numFmtId="0" fontId="9" fillId="8" borderId="0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10" fillId="0" borderId="0" pivotButton="0" quotePrefix="0" xfId="0"/>
    <xf numFmtId="0" fontId="0" fillId="5" borderId="14" pivotButton="0" quotePrefix="0" xfId="0"/>
    <xf numFmtId="0" fontId="0" fillId="5" borderId="15" pivotButton="0" quotePrefix="0" xfId="0"/>
    <xf numFmtId="0" fontId="0" fillId="5" borderId="16" pivotButton="0" quotePrefix="0" xfId="0"/>
    <xf numFmtId="0" fontId="13" fillId="0" borderId="0" pivotButton="0" quotePrefix="0" xfId="0"/>
    <xf numFmtId="0" fontId="14" fillId="0" borderId="0" pivotButton="0" quotePrefix="0" xfId="0"/>
    <xf numFmtId="0" fontId="19" fillId="9" borderId="52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20" fillId="9" borderId="52" applyAlignment="1" pivotButton="0" quotePrefix="0" xfId="0">
      <alignment horizontal="center" vertical="center" wrapText="1"/>
    </xf>
    <xf numFmtId="0" fontId="0" fillId="0" borderId="54" pivotButton="0" quotePrefix="0" xfId="0"/>
    <xf numFmtId="0" fontId="19" fillId="10" borderId="52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11" borderId="5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9" pivotButton="0" quotePrefix="0" xfId="0"/>
    <xf numFmtId="0" fontId="19" fillId="2" borderId="52" applyAlignment="1" pivotButton="0" quotePrefix="0" xfId="0">
      <alignment horizontal="center" vertical="center" wrapText="1"/>
    </xf>
    <xf numFmtId="0" fontId="19" fillId="12" borderId="52" applyAlignment="1" pivotButton="0" quotePrefix="0" xfId="0">
      <alignment horizontal="center" vertical="center" wrapText="1"/>
    </xf>
    <xf numFmtId="0" fontId="20" fillId="13" borderId="52" applyAlignment="1" pivotButton="0" quotePrefix="0" xfId="0">
      <alignment horizontal="center" vertical="center" wrapText="1"/>
    </xf>
    <xf numFmtId="0" fontId="19" fillId="14" borderId="52" applyAlignment="1" pivotButton="0" quotePrefix="0" xfId="0">
      <alignment horizontal="center" vertical="center" wrapText="1"/>
    </xf>
    <xf numFmtId="0" fontId="19" fillId="20" borderId="52" applyAlignment="1" pivotButton="0" quotePrefix="0" xfId="0">
      <alignment horizontal="center" vertical="center" wrapText="1"/>
    </xf>
    <xf numFmtId="0" fontId="19" fillId="15" borderId="52" applyAlignment="1" pivotButton="0" quotePrefix="0" xfId="0">
      <alignment horizontal="center" vertical="center" wrapText="1"/>
    </xf>
    <xf numFmtId="0" fontId="19" fillId="21" borderId="52" applyAlignment="1" pivotButton="0" quotePrefix="0" xfId="0">
      <alignment horizontal="center" vertical="center" wrapText="1"/>
    </xf>
    <xf numFmtId="0" fontId="19" fillId="17" borderId="52" applyAlignment="1" pivotButton="0" quotePrefix="0" xfId="0">
      <alignment horizontal="center" vertical="center" wrapText="1"/>
    </xf>
    <xf numFmtId="0" fontId="19" fillId="18" borderId="52" applyAlignment="1" pivotButton="0" quotePrefix="0" xfId="0">
      <alignment horizontal="center" vertical="center" wrapText="1"/>
    </xf>
    <xf numFmtId="0" fontId="20" fillId="16" borderId="52" applyAlignment="1" pivotButton="0" quotePrefix="0" xfId="0">
      <alignment horizontal="center" vertical="center" wrapText="1"/>
    </xf>
    <xf numFmtId="0" fontId="19" fillId="16" borderId="52" applyAlignment="1" pivotButton="0" quotePrefix="0" xfId="0">
      <alignment horizontal="center" vertical="center" wrapText="1"/>
    </xf>
    <xf numFmtId="0" fontId="20" fillId="22" borderId="52" applyAlignment="1" pivotButton="0" quotePrefix="0" xfId="0">
      <alignment horizontal="center" vertical="center" wrapText="1"/>
    </xf>
    <xf numFmtId="0" fontId="20" fillId="23" borderId="52" applyAlignment="1" pivotButton="0" quotePrefix="0" xfId="0">
      <alignment horizontal="center" vertical="center" wrapText="1"/>
    </xf>
    <xf numFmtId="0" fontId="20" fillId="19" borderId="52" applyAlignment="1" pivotButton="0" quotePrefix="0" xfId="0">
      <alignment horizontal="center" vertical="center" wrapText="1"/>
    </xf>
    <xf numFmtId="0" fontId="19" fillId="13" borderId="52" applyAlignment="1" pivotButton="0" quotePrefix="0" xfId="0">
      <alignment horizontal="center" vertical="center" wrapText="1"/>
    </xf>
    <xf numFmtId="164" fontId="6" fillId="6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164" fontId="6" fillId="7" borderId="3" applyAlignment="1" pivotButton="0" quotePrefix="0" xfId="0">
      <alignment horizontal="right" vertical="center"/>
    </xf>
    <xf numFmtId="0" fontId="0" fillId="7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2" fontId="22" fillId="4" borderId="3" applyAlignment="1" pivotButton="0" quotePrefix="0" xfId="0">
      <alignment horizontal="right" vertical="center"/>
    </xf>
    <xf numFmtId="0" fontId="21" fillId="7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16" customWidth="1" min="4" max="4"/>
    <col width="30" customWidth="1" min="5" max="5"/>
    <col width="8" customWidth="1" min="6" max="6"/>
    <col width="13" customWidth="1" min="7" max="7"/>
    <col width="10" customWidth="1" min="8" max="8"/>
    <col width="13" customWidth="1" min="9" max="9"/>
    <col width="13" customWidth="1" min="10" max="10"/>
    <col width="14" customWidth="1" min="11" max="11"/>
    <col width="15" customWidth="1" min="12" max="12"/>
    <col width="15" customWidth="1" min="13" max="13"/>
  </cols>
  <sheetData>
    <row r="2" ht="28" customHeight="1">
      <c r="B2" s="1" t="inlineStr">
        <is>
          <t>CONSOLIDADO GENERAL DE SUPERFICIES Y BALANCE DE PLANTA</t>
        </is>
      </c>
    </row>
    <row r="3" ht="18" customHeight="1">
      <c r="B3" s="2" t="inlineStr">
        <is>
          <t>Proyecto Final UTN FRBA - Grupo 8 | Planta de Alimentos Libres de Gluten (CELI) | Comparativa Guerchet vs Layout</t>
        </is>
      </c>
    </row>
    <row r="5" ht="26" customHeight="1">
      <c r="B5" s="3" t="inlineStr">
        <is>
          <t>PARÁMETROS DEL MÉTODO DE GUERCHET:</t>
        </is>
      </c>
    </row>
    <row r="6">
      <c r="B6" s="4" t="inlineStr">
        <is>
          <t>Coeficiente de Evolución k =</t>
        </is>
      </c>
      <c r="D6" s="5" t="n">
        <v>0.75</v>
      </c>
      <c r="E6" s="6" t="inlineStr">
        <is>
          <t>Justificación k = 0,75: Industria alimenticia con transporte de carritos rodantes, zorras manuales y operarios en pie.</t>
        </is>
      </c>
    </row>
    <row r="8" ht="26" customHeight="1">
      <c r="B8" s="7" t="inlineStr">
        <is>
          <t>N°</t>
        </is>
      </c>
      <c r="C8" s="7" t="inlineStr">
        <is>
          <t>Sector / Área</t>
        </is>
      </c>
      <c r="D8" s="7" t="inlineStr">
        <is>
          <t>Línea</t>
        </is>
      </c>
      <c r="E8" s="7" t="inlineStr">
        <is>
          <t>Equipo Principal</t>
        </is>
      </c>
      <c r="F8" s="7" t="inlineStr">
        <is>
          <t>Cant.</t>
        </is>
      </c>
      <c r="G8" s="7" t="inlineStr">
        <is>
          <t>Ss (m²) [A0]</t>
        </is>
      </c>
      <c r="H8" s="7" t="inlineStr">
        <is>
          <t>Lados N</t>
        </is>
      </c>
      <c r="I8" s="7" t="inlineStr">
        <is>
          <t>Sg (m²)</t>
        </is>
      </c>
      <c r="J8" s="7" t="inlineStr">
        <is>
          <t>Se (m²)</t>
        </is>
      </c>
      <c r="K8" s="7" t="inlineStr">
        <is>
          <t>St Guerchet (m²)</t>
        </is>
      </c>
      <c r="L8" s="7" t="inlineStr">
        <is>
          <t>St Layout (m²)</t>
        </is>
      </c>
      <c r="M8" s="7" t="inlineStr">
        <is>
          <t>Estado Dimensionamiento</t>
        </is>
      </c>
    </row>
    <row r="9" ht="20" customHeight="1">
      <c r="B9" s="8" t="n">
        <v>1</v>
      </c>
      <c r="C9" s="9" t="inlineStr">
        <is>
          <t>Sección Pesado</t>
        </is>
      </c>
      <c r="D9" s="8" t="inlineStr">
        <is>
          <t>Común</t>
        </is>
      </c>
      <c r="E9" s="10" t="inlineStr">
        <is>
          <t>Balanza de piso + mesa micropesado</t>
        </is>
      </c>
      <c r="F9" s="8" t="n">
        <v>1</v>
      </c>
      <c r="G9" s="11" t="n">
        <v>1.2</v>
      </c>
      <c r="H9" s="8" t="n">
        <v>3</v>
      </c>
      <c r="I9" s="12">
        <f>G9*H9</f>
        <v/>
      </c>
      <c r="J9" s="12">
        <f>(G9+I9)*$D$6</f>
        <v/>
      </c>
      <c r="K9" s="11">
        <f>G9+I9+J9</f>
        <v/>
      </c>
      <c r="L9" s="13">
        <f>'Sección Pesado'!G14</f>
        <v/>
      </c>
      <c r="M9" s="14" t="inlineStr">
        <is>
          <t>Definitivo</t>
        </is>
      </c>
    </row>
    <row r="10" ht="20" customHeight="1">
      <c r="B10" s="15" t="n">
        <v>2</v>
      </c>
      <c r="C10" s="16" t="inlineStr">
        <is>
          <t>Amasado</t>
        </is>
      </c>
      <c r="D10" s="15" t="inlineStr">
        <is>
          <t>Galletitas</t>
        </is>
      </c>
      <c r="E10" s="17" t="inlineStr">
        <is>
          <t>Amasadora doble Z Catania HJ25B</t>
        </is>
      </c>
      <c r="F10" s="15" t="n">
        <v>1</v>
      </c>
      <c r="G10" s="18" t="n">
        <v>0.39</v>
      </c>
      <c r="H10" s="15" t="n">
        <v>3</v>
      </c>
      <c r="I10" s="19">
        <f>G10*H10</f>
        <v/>
      </c>
      <c r="J10" s="19">
        <f>(G10+I10)*$D$6</f>
        <v/>
      </c>
      <c r="K10" s="18">
        <f>G10+I10+J10</f>
        <v/>
      </c>
      <c r="L10" s="13">
        <f>'Amasado Galletitas'!G14</f>
        <v/>
      </c>
      <c r="M10" s="20" t="inlineStr">
        <is>
          <t>Definitivo</t>
        </is>
      </c>
    </row>
    <row r="11" ht="20" customHeight="1">
      <c r="B11" s="8" t="n">
        <v>3</v>
      </c>
      <c r="C11" s="9" t="inlineStr">
        <is>
          <t>Moldeado / Formado</t>
        </is>
      </c>
      <c r="D11" s="8" t="inlineStr">
        <is>
          <t>Galletitas</t>
        </is>
      </c>
      <c r="E11" s="10" t="inlineStr">
        <is>
          <t>Moldeadora Rotativa Ralem R800</t>
        </is>
      </c>
      <c r="F11" s="8" t="n">
        <v>1</v>
      </c>
      <c r="G11" s="11" t="n">
        <v>1.616</v>
      </c>
      <c r="H11" s="8" t="n">
        <v>2</v>
      </c>
      <c r="I11" s="12">
        <f>G11*H11</f>
        <v/>
      </c>
      <c r="J11" s="12">
        <f>(G11+I11)*$D$6</f>
        <v/>
      </c>
      <c r="K11" s="11">
        <f>G11+I11+J11</f>
        <v/>
      </c>
      <c r="L11" s="13">
        <f>'Moldeado Galletitas'!G14</f>
        <v/>
      </c>
      <c r="M11" s="14" t="inlineStr">
        <is>
          <t>Definitivo</t>
        </is>
      </c>
    </row>
    <row r="12" ht="20" customHeight="1">
      <c r="B12" s="15" t="n">
        <v>4</v>
      </c>
      <c r="C12" s="16" t="inlineStr">
        <is>
          <t>Horneado</t>
        </is>
      </c>
      <c r="D12" s="15" t="inlineStr">
        <is>
          <t>Galletitas</t>
        </is>
      </c>
      <c r="E12" s="17" t="inlineStr">
        <is>
          <t>Horno Túnel Polin GD-BTOM10 (6x1,3m)</t>
        </is>
      </c>
      <c r="F12" s="15" t="n">
        <v>1</v>
      </c>
      <c r="G12" s="18" t="n">
        <v>7.8</v>
      </c>
      <c r="H12" s="15" t="n">
        <v>2</v>
      </c>
      <c r="I12" s="19">
        <f>G12*H12</f>
        <v/>
      </c>
      <c r="J12" s="19">
        <f>(G12+I12)*$D$6</f>
        <v/>
      </c>
      <c r="K12" s="18">
        <f>G12+I12+J12</f>
        <v/>
      </c>
      <c r="L12" s="13">
        <f>'Horneado Galletitas'!G14</f>
        <v/>
      </c>
      <c r="M12" s="20" t="inlineStr">
        <is>
          <t>Definitivo</t>
        </is>
      </c>
    </row>
    <row r="13" ht="20" customHeight="1">
      <c r="B13" s="8" t="n">
        <v>5</v>
      </c>
      <c r="C13" s="9" t="inlineStr">
        <is>
          <t>Enfriado</t>
        </is>
      </c>
      <c r="D13" s="8" t="inlineStr">
        <is>
          <t>Galletitas</t>
        </is>
      </c>
      <c r="E13" s="10" t="inlineStr">
        <is>
          <t>Cinta de enfriamiento Golden Way</t>
        </is>
      </c>
      <c r="F13" s="8" t="n">
        <v>1</v>
      </c>
      <c r="G13" s="11" t="n">
        <v>4</v>
      </c>
      <c r="H13" s="8" t="n">
        <v>2</v>
      </c>
      <c r="I13" s="12">
        <f>G13*H13</f>
        <v/>
      </c>
      <c r="J13" s="12">
        <f>(G13+I13)*$D$6</f>
        <v/>
      </c>
      <c r="K13" s="11">
        <f>G13+I13+J13</f>
        <v/>
      </c>
      <c r="L13" s="13">
        <f>'Enfriado Galletitas'!G14</f>
        <v/>
      </c>
      <c r="M13" s="14" t="inlineStr">
        <is>
          <t>Definitivo</t>
        </is>
      </c>
    </row>
    <row r="14" ht="20" customHeight="1">
      <c r="B14" s="15" t="n">
        <v>6</v>
      </c>
      <c r="C14" s="16" t="inlineStr">
        <is>
          <t>Envasado 1°</t>
        </is>
      </c>
      <c r="D14" s="15" t="inlineStr">
        <is>
          <t>Galletitas</t>
        </is>
      </c>
      <c r="E14" s="17" t="inlineStr">
        <is>
          <t>Envasadora Vertical Zon Pack + Detector</t>
        </is>
      </c>
      <c r="F14" s="15" t="n">
        <v>1</v>
      </c>
      <c r="G14" s="18" t="n">
        <v>1.484</v>
      </c>
      <c r="H14" s="15" t="n">
        <v>3</v>
      </c>
      <c r="I14" s="19">
        <f>G14*H14</f>
        <v/>
      </c>
      <c r="J14" s="19">
        <f>(G14+I14)*$D$6</f>
        <v/>
      </c>
      <c r="K14" s="18">
        <f>G14+I14+J14</f>
        <v/>
      </c>
      <c r="L14" s="13">
        <f>'Envasado 1° Galletitas'!G14</f>
        <v/>
      </c>
      <c r="M14" s="20" t="inlineStr">
        <is>
          <t>Definitivo</t>
        </is>
      </c>
    </row>
    <row r="15" ht="20" customHeight="1">
      <c r="B15" s="8" t="n">
        <v>7</v>
      </c>
      <c r="C15" s="9" t="inlineStr">
        <is>
          <t>Envasado 2°</t>
        </is>
      </c>
      <c r="D15" s="8" t="inlineStr">
        <is>
          <t>Galletitas</t>
        </is>
      </c>
      <c r="E15" s="10" t="inlineStr">
        <is>
          <t>Mesa de encajonado manual AISI 304</t>
        </is>
      </c>
      <c r="F15" s="8" t="n">
        <v>1</v>
      </c>
      <c r="G15" s="11" t="n">
        <v>0.96</v>
      </c>
      <c r="H15" s="8" t="n">
        <v>3</v>
      </c>
      <c r="I15" s="12">
        <f>G15*H15</f>
        <v/>
      </c>
      <c r="J15" s="12">
        <f>(G15+I15)*$D$6</f>
        <v/>
      </c>
      <c r="K15" s="11">
        <f>G15+I15+J15</f>
        <v/>
      </c>
      <c r="L15" s="13">
        <f>'Envasado 2° Galletitas'!G14</f>
        <v/>
      </c>
      <c r="M15" s="14" t="inlineStr">
        <is>
          <t>Definitivo</t>
        </is>
      </c>
    </row>
    <row r="16" ht="20" customHeight="1">
      <c r="B16" s="15" t="n">
        <v>8</v>
      </c>
      <c r="C16" s="16" t="inlineStr">
        <is>
          <t>Batido</t>
        </is>
      </c>
      <c r="D16" s="15" t="inlineStr">
        <is>
          <t>Panificados</t>
        </is>
      </c>
      <c r="E16" s="17" t="inlineStr">
        <is>
          <t>Batidora Planetaria Moretti Ultra 60</t>
        </is>
      </c>
      <c r="F16" s="15" t="n">
        <v>1</v>
      </c>
      <c r="G16" s="18" t="n">
        <v>1.001</v>
      </c>
      <c r="H16" s="15" t="n">
        <v>3</v>
      </c>
      <c r="I16" s="19">
        <f>G16*H16</f>
        <v/>
      </c>
      <c r="J16" s="19">
        <f>(G16+I16)*$D$6</f>
        <v/>
      </c>
      <c r="K16" s="18">
        <f>G16+I16+J16</f>
        <v/>
      </c>
      <c r="L16" s="13">
        <f>'Batido Panificados'!G14</f>
        <v/>
      </c>
      <c r="M16" s="20" t="inlineStr">
        <is>
          <t>Definitivo</t>
        </is>
      </c>
    </row>
    <row r="17" ht="20" customHeight="1">
      <c r="B17" s="8" t="n">
        <v>9</v>
      </c>
      <c r="C17" s="9" t="inlineStr">
        <is>
          <t>Dosificado</t>
        </is>
      </c>
      <c r="D17" s="8" t="inlineStr">
        <is>
          <t>Panificados</t>
        </is>
      </c>
      <c r="E17" s="10" t="inlineStr">
        <is>
          <t>Dosificadora Neumática Indurpack G1WGD</t>
        </is>
      </c>
      <c r="F17" s="8" t="n">
        <v>1</v>
      </c>
      <c r="G17" s="11" t="n">
        <v>0.348</v>
      </c>
      <c r="H17" s="8" t="n">
        <v>3</v>
      </c>
      <c r="I17" s="12">
        <f>G17*H17</f>
        <v/>
      </c>
      <c r="J17" s="12">
        <f>(G17+I17)*$D$6</f>
        <v/>
      </c>
      <c r="K17" s="11">
        <f>G17+I17+J17</f>
        <v/>
      </c>
      <c r="L17" s="13">
        <f>'Dosificado Panificados'!G14</f>
        <v/>
      </c>
      <c r="M17" s="14" t="inlineStr">
        <is>
          <t>Definitivo</t>
        </is>
      </c>
    </row>
    <row r="18" ht="20" customHeight="1">
      <c r="B18" s="15" t="n">
        <v>10</v>
      </c>
      <c r="C18" s="16" t="inlineStr">
        <is>
          <t>Fermentado</t>
        </is>
      </c>
      <c r="D18" s="15" t="inlineStr">
        <is>
          <t>Panificados</t>
        </is>
      </c>
      <c r="E18" s="17" t="inlineStr">
        <is>
          <t>Cámara Fermentadora NKF-36RS</t>
        </is>
      </c>
      <c r="F18" s="15" t="n">
        <v>1</v>
      </c>
      <c r="G18" s="18" t="n">
        <v>0.5679999999999999</v>
      </c>
      <c r="H18" s="15" t="n">
        <v>2</v>
      </c>
      <c r="I18" s="19">
        <f>G18*H18</f>
        <v/>
      </c>
      <c r="J18" s="19">
        <f>(G18+I18)*$D$6</f>
        <v/>
      </c>
      <c r="K18" s="18">
        <f>G18+I18+J18</f>
        <v/>
      </c>
      <c r="L18" s="13">
        <f>'Fermentado Panificados'!G14</f>
        <v/>
      </c>
      <c r="M18" s="20" t="inlineStr">
        <is>
          <t>Definitivo</t>
        </is>
      </c>
    </row>
    <row r="19" ht="20" customHeight="1">
      <c r="B19" s="8" t="n">
        <v>11</v>
      </c>
      <c r="C19" s="9" t="inlineStr">
        <is>
          <t>Horneado</t>
        </is>
      </c>
      <c r="D19" s="8" t="inlineStr">
        <is>
          <t>Panificados</t>
        </is>
      </c>
      <c r="E19" s="10" t="inlineStr">
        <is>
          <t>Batería 2 Hornos Rotativos Pauna SIGMA</t>
        </is>
      </c>
      <c r="F19" s="8" t="n">
        <v>2</v>
      </c>
      <c r="G19" s="11" t="n">
        <v>6.24</v>
      </c>
      <c r="H19" s="8" t="n">
        <v>2</v>
      </c>
      <c r="I19" s="12">
        <f>G19*H19</f>
        <v/>
      </c>
      <c r="J19" s="12">
        <f>(G19+I19)*$D$6</f>
        <v/>
      </c>
      <c r="K19" s="11">
        <f>G19+I19+J19</f>
        <v/>
      </c>
      <c r="L19" s="13">
        <f>'Horneado Panificados'!G14</f>
        <v/>
      </c>
      <c r="M19" s="14" t="inlineStr">
        <is>
          <t>Definitivo</t>
        </is>
      </c>
    </row>
    <row r="20" ht="20" customHeight="1">
      <c r="B20" s="15" t="n">
        <v>12</v>
      </c>
      <c r="C20" s="16" t="inlineStr">
        <is>
          <t>Enfriado</t>
        </is>
      </c>
      <c r="D20" s="15" t="inlineStr">
        <is>
          <t>Panificados</t>
        </is>
      </c>
      <c r="E20" s="17" t="inlineStr">
        <is>
          <t>Batería de Carros de Enfriamiento</t>
        </is>
      </c>
      <c r="F20" s="15" t="n">
        <v>1</v>
      </c>
      <c r="G20" s="18" t="n">
        <v>4.8</v>
      </c>
      <c r="H20" s="15" t="n">
        <v>3</v>
      </c>
      <c r="I20" s="19">
        <f>G20*H20</f>
        <v/>
      </c>
      <c r="J20" s="19">
        <f>(G20+I20)*$D$6</f>
        <v/>
      </c>
      <c r="K20" s="18">
        <f>G20+I20+J20</f>
        <v/>
      </c>
      <c r="L20" s="13">
        <f>'Enfriado Panificados'!G14</f>
        <v/>
      </c>
      <c r="M20" s="20" t="inlineStr">
        <is>
          <t>Definitivo</t>
        </is>
      </c>
    </row>
    <row r="21" ht="20" customHeight="1">
      <c r="B21" s="8" t="n">
        <v>13</v>
      </c>
      <c r="C21" s="9" t="inlineStr">
        <is>
          <t>Rebanado Pan</t>
        </is>
      </c>
      <c r="D21" s="8" t="inlineStr">
        <is>
          <t>Panificados</t>
        </is>
      </c>
      <c r="E21" s="10" t="inlineStr">
        <is>
          <t>Rebanadora Continua Braesi FB-12 G2</t>
        </is>
      </c>
      <c r="F21" s="8" t="n">
        <v>1</v>
      </c>
      <c r="G21" s="11" t="n">
        <v>0.344</v>
      </c>
      <c r="H21" s="8" t="n">
        <v>2</v>
      </c>
      <c r="I21" s="12">
        <f>G21*H21</f>
        <v/>
      </c>
      <c r="J21" s="12">
        <f>(G21+I21)*$D$6</f>
        <v/>
      </c>
      <c r="K21" s="11">
        <f>G21+I21+J21</f>
        <v/>
      </c>
      <c r="L21" s="13">
        <f>'Rebanadora Pan'!G14</f>
        <v/>
      </c>
      <c r="M21" s="14" t="inlineStr">
        <is>
          <t>Definitivo</t>
        </is>
      </c>
    </row>
    <row r="22" ht="20" customHeight="1">
      <c r="B22" s="15" t="n">
        <v>14</v>
      </c>
      <c r="C22" s="16" t="inlineStr">
        <is>
          <t>Envasado 1°</t>
        </is>
      </c>
      <c r="D22" s="15" t="inlineStr">
        <is>
          <t>Panificados</t>
        </is>
      </c>
      <c r="E22" s="17" t="inlineStr">
        <is>
          <t>Envasadora Flow-Pack Brunetti EFH700X</t>
        </is>
      </c>
      <c r="F22" s="15" t="n">
        <v>1</v>
      </c>
      <c r="G22" s="18" t="n">
        <v>5.125</v>
      </c>
      <c r="H22" s="15" t="n">
        <v>3</v>
      </c>
      <c r="I22" s="19">
        <f>G22*H22</f>
        <v/>
      </c>
      <c r="J22" s="19">
        <f>(G22+I22)*$D$6</f>
        <v/>
      </c>
      <c r="K22" s="18">
        <f>G22+I22+J22</f>
        <v/>
      </c>
      <c r="L22" s="13">
        <f>'Envasado 1° Panificados'!G14</f>
        <v/>
      </c>
      <c r="M22" s="20" t="inlineStr">
        <is>
          <t>Definitivo</t>
        </is>
      </c>
    </row>
    <row r="23" ht="20" customHeight="1">
      <c r="B23" s="8" t="n">
        <v>15</v>
      </c>
      <c r="C23" s="9" t="inlineStr">
        <is>
          <t>Envasado 2°</t>
        </is>
      </c>
      <c r="D23" s="8" t="inlineStr">
        <is>
          <t>Panificados</t>
        </is>
      </c>
      <c r="E23" s="10" t="inlineStr">
        <is>
          <t>Mesa de encajonado manual AISI 304</t>
        </is>
      </c>
      <c r="F23" s="8" t="n">
        <v>1</v>
      </c>
      <c r="G23" s="11" t="n">
        <v>0.96</v>
      </c>
      <c r="H23" s="8" t="n">
        <v>3</v>
      </c>
      <c r="I23" s="12">
        <f>G23*H23</f>
        <v/>
      </c>
      <c r="J23" s="12">
        <f>(G23+I23)*$D$6</f>
        <v/>
      </c>
      <c r="K23" s="11">
        <f>G23+I23+J23</f>
        <v/>
      </c>
      <c r="L23" s="13">
        <f>'Envasado 2° Panificados'!G14</f>
        <v/>
      </c>
      <c r="M23" s="14" t="inlineStr">
        <is>
          <t>Definitivo</t>
        </is>
      </c>
    </row>
    <row r="24" ht="20" customHeight="1">
      <c r="B24" s="15" t="n">
        <v>16</v>
      </c>
      <c r="C24" s="16" t="inlineStr">
        <is>
          <t>Depósito MP</t>
        </is>
      </c>
      <c r="D24" s="15" t="inlineStr">
        <is>
          <t>Logística</t>
        </is>
      </c>
      <c r="E24" s="17" t="inlineStr">
        <is>
          <t>Racks Selectivos MP (3 niveles / 24 pallets)</t>
        </is>
      </c>
      <c r="F24" s="15" t="n">
        <v>1</v>
      </c>
      <c r="G24" s="18" t="n">
        <v>14.4</v>
      </c>
      <c r="H24" s="15" t="n">
        <v>2</v>
      </c>
      <c r="I24" s="19">
        <f>G24*H24</f>
        <v/>
      </c>
      <c r="J24" s="19">
        <f>(G24+I24)*$D$6</f>
        <v/>
      </c>
      <c r="K24" s="18">
        <f>G24+I24+J24</f>
        <v/>
      </c>
      <c r="L24" s="13">
        <f>'Depósito MP'!G14</f>
        <v/>
      </c>
      <c r="M24" s="21" t="inlineStr">
        <is>
          <t>Estimado (SLP)*</t>
        </is>
      </c>
    </row>
    <row r="25" ht="20" customHeight="1">
      <c r="B25" s="8" t="n">
        <v>17</v>
      </c>
      <c r="C25" s="9" t="inlineStr">
        <is>
          <t>Depósito PT</t>
        </is>
      </c>
      <c r="D25" s="8" t="inlineStr">
        <is>
          <t>Logística</t>
        </is>
      </c>
      <c r="E25" s="10" t="inlineStr">
        <is>
          <t>Racks Selectivos PT (3 niveles / 24 pallets)</t>
        </is>
      </c>
      <c r="F25" s="8" t="n">
        <v>1</v>
      </c>
      <c r="G25" s="11" t="n">
        <v>14.4</v>
      </c>
      <c r="H25" s="8" t="n">
        <v>2</v>
      </c>
      <c r="I25" s="12">
        <f>G25*H25</f>
        <v/>
      </c>
      <c r="J25" s="12">
        <f>(G25+I25)*$D$6</f>
        <v/>
      </c>
      <c r="K25" s="11">
        <f>G25+I25+J25</f>
        <v/>
      </c>
      <c r="L25" s="13">
        <f>'Depósito PT'!G14</f>
        <v/>
      </c>
      <c r="M25" s="22" t="inlineStr">
        <is>
          <t>Estimado (SLP)*</t>
        </is>
      </c>
    </row>
    <row r="26" ht="24" customHeight="1">
      <c r="B26" s="23" t="inlineStr"/>
      <c r="C26" s="24" t="inlineStr">
        <is>
          <t>TOTAL PLANTA CELI</t>
        </is>
      </c>
      <c r="D26" s="23" t="n"/>
      <c r="E26" s="23" t="n"/>
      <c r="F26" s="23" t="n"/>
      <c r="G26" s="25">
        <f>SUM(G9:G25)</f>
        <v/>
      </c>
      <c r="H26" s="23" t="n"/>
      <c r="I26" s="25">
        <f>SUM(I9:I25)</f>
        <v/>
      </c>
      <c r="J26" s="25">
        <f>SUM(J9:J25)</f>
        <v/>
      </c>
      <c r="K26" s="26">
        <f>SUM(K9:K25)</f>
        <v/>
      </c>
      <c r="L26" s="27">
        <f>SUM(L9:L25)</f>
        <v/>
      </c>
      <c r="M26" s="23" t="n"/>
    </row>
  </sheetData>
  <mergeCells count="1">
    <mergeCell ref="E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4" customWidth="1" min="10" max="10"/>
  </cols>
  <sheetData>
    <row r="2" ht="26" customHeight="1">
      <c r="B2" s="28" t="inlineStr">
        <is>
          <t>FUNDAMENTOS DEL LAYOUT – DIAGRAMA RELACIONAL DE SUPERFICIES (SLP)</t>
        </is>
      </c>
    </row>
    <row r="3" ht="18" customHeight="1">
      <c r="B3" s="2" t="inlineStr">
        <is>
          <t>Proyecto Final UTN FRBA - Grupo 8 | Planta CELI | Vinculación entre Matriz de Relaciones (REL) y Áreas Asignadas</t>
        </is>
      </c>
    </row>
    <row r="5" ht="24" customHeight="1">
      <c r="B5" s="29" t="inlineStr">
        <is>
          <t>Nodo</t>
        </is>
      </c>
      <c r="C5" s="29" t="inlineStr">
        <is>
          <t>Sector / Puesto</t>
        </is>
      </c>
      <c r="D5" s="29" t="inlineStr">
        <is>
          <t>Línea</t>
        </is>
      </c>
      <c r="E5" s="29" t="inlineStr">
        <is>
          <t>Superficie (m²)</t>
        </is>
      </c>
      <c r="F5" s="29" t="inlineStr">
        <is>
          <t>Vínculo A (4L)</t>
        </is>
      </c>
      <c r="G5" s="29" t="inlineStr">
        <is>
          <t>Vínculo E (3L)</t>
        </is>
      </c>
      <c r="H5" s="29" t="inlineStr">
        <is>
          <t>Vínculo I (2L)</t>
        </is>
      </c>
      <c r="I5" s="29" t="inlineStr">
        <is>
          <t>Vínculo X</t>
        </is>
      </c>
      <c r="J5" s="29" t="inlineStr">
        <is>
          <t>Criterio / Estado de Dimensionamiento</t>
        </is>
      </c>
    </row>
    <row r="6" ht="20" customHeight="1">
      <c r="B6" s="30" t="inlineStr">
        <is>
          <t>1</t>
        </is>
      </c>
      <c r="C6" s="9" t="inlineStr">
        <is>
          <t>Depósito MP y Recepción</t>
        </is>
      </c>
      <c r="D6" s="31" t="inlineStr">
        <is>
          <t>Logística</t>
        </is>
      </c>
      <c r="E6" s="11">
        <f>'Depósito MP'!G14</f>
        <v/>
      </c>
      <c r="F6" s="31" t="inlineStr">
        <is>
          <t>Nodo 2</t>
        </is>
      </c>
      <c r="G6" s="31" t="inlineStr">
        <is>
          <t>-</t>
        </is>
      </c>
      <c r="H6" s="31" t="inlineStr">
        <is>
          <t>Nodo 10</t>
        </is>
      </c>
      <c r="I6" s="31" t="inlineStr">
        <is>
          <t>Nodo 9</t>
        </is>
      </c>
      <c r="J6" s="32" t="inlineStr">
        <is>
          <t>Superficie Preliminar (~50 m²)* a fijar por lote de compra</t>
        </is>
      </c>
    </row>
    <row r="7" ht="20" customHeight="1">
      <c r="B7" s="33" t="inlineStr">
        <is>
          <t>11</t>
        </is>
      </c>
      <c r="C7" s="16" t="inlineStr">
        <is>
          <t>Filtro Sanitario / Aduana</t>
        </is>
      </c>
      <c r="D7" s="34" t="inlineStr">
        <is>
          <t>Personal</t>
        </is>
      </c>
      <c r="E7" s="18" t="n">
        <v>20</v>
      </c>
      <c r="F7" s="34" t="inlineStr">
        <is>
          <t>-</t>
        </is>
      </c>
      <c r="G7" s="34" t="inlineStr">
        <is>
          <t>Nodos 2, 3A, 3B</t>
        </is>
      </c>
      <c r="H7" s="34" t="inlineStr">
        <is>
          <t>-</t>
        </is>
      </c>
      <c r="I7" s="34" t="inlineStr">
        <is>
          <t>-</t>
        </is>
      </c>
      <c r="J7" s="35" t="inlineStr">
        <is>
          <t>Barrera sanitaria obligatoria libre de gluten (~20 m²)*</t>
        </is>
      </c>
    </row>
    <row r="8" ht="20" customHeight="1">
      <c r="B8" s="30" t="inlineStr">
        <is>
          <t>2</t>
        </is>
      </c>
      <c r="C8" s="9" t="inlineStr">
        <is>
          <t>Sección Pesado y Micropesado</t>
        </is>
      </c>
      <c r="D8" s="31" t="inlineStr">
        <is>
          <t>Común</t>
        </is>
      </c>
      <c r="E8" s="11">
        <f>'Sección Pesado'!G14</f>
        <v/>
      </c>
      <c r="F8" s="31" t="inlineStr">
        <is>
          <t>Nodos 3A, 3B</t>
        </is>
      </c>
      <c r="G8" s="31" t="inlineStr">
        <is>
          <t>Nodos 10, 11</t>
        </is>
      </c>
      <c r="H8" s="31" t="inlineStr">
        <is>
          <t>-</t>
        </is>
      </c>
      <c r="I8" s="31" t="inlineStr">
        <is>
          <t>-</t>
        </is>
      </c>
      <c r="J8" s="32" t="inlineStr">
        <is>
          <t>Dimensionamiento definitivo de puesto (12,16 m²)</t>
        </is>
      </c>
    </row>
    <row r="9" ht="20" customHeight="1">
      <c r="B9" s="33" t="inlineStr">
        <is>
          <t>3A</t>
        </is>
      </c>
      <c r="C9" s="16" t="inlineStr">
        <is>
          <t>Amasado Galletitas</t>
        </is>
      </c>
      <c r="D9" s="34" t="inlineStr">
        <is>
          <t>Galletitas</t>
        </is>
      </c>
      <c r="E9" s="18">
        <f>'Amasado Galletitas'!G14</f>
        <v/>
      </c>
      <c r="F9" s="34" t="inlineStr">
        <is>
          <t>Nodo 4A</t>
        </is>
      </c>
      <c r="G9" s="34" t="inlineStr">
        <is>
          <t>Nodo 11</t>
        </is>
      </c>
      <c r="H9" s="34" t="inlineStr">
        <is>
          <t>-</t>
        </is>
      </c>
      <c r="I9" s="34" t="inlineStr">
        <is>
          <t>-</t>
        </is>
      </c>
      <c r="J9" s="35" t="inlineStr">
        <is>
          <t>Amasadora doble Z volcable Catania HJ25B (7,89 m²)</t>
        </is>
      </c>
    </row>
    <row r="10" ht="20" customHeight="1">
      <c r="B10" s="30" t="inlineStr">
        <is>
          <t>4A</t>
        </is>
      </c>
      <c r="C10" s="9" t="inlineStr">
        <is>
          <t>Moldeado / Formado</t>
        </is>
      </c>
      <c r="D10" s="31" t="inlineStr">
        <is>
          <t>Galletitas</t>
        </is>
      </c>
      <c r="E10" s="11">
        <f>'Moldeado Galletitas'!G14</f>
        <v/>
      </c>
      <c r="F10" s="31" t="inlineStr">
        <is>
          <t>Nodo 5A</t>
        </is>
      </c>
      <c r="G10" s="31" t="inlineStr">
        <is>
          <t>-</t>
        </is>
      </c>
      <c r="H10" s="31" t="inlineStr">
        <is>
          <t>Nodo 12</t>
        </is>
      </c>
      <c r="I10" s="31" t="inlineStr">
        <is>
          <t>-</t>
        </is>
      </c>
      <c r="J10" s="32" t="inlineStr">
        <is>
          <t>Rotativa Ralem R800 y dulcera (11,82 m²)</t>
        </is>
      </c>
    </row>
    <row r="11" ht="20" customHeight="1">
      <c r="B11" s="33" t="inlineStr">
        <is>
          <t>5A</t>
        </is>
      </c>
      <c r="C11" s="16" t="inlineStr">
        <is>
          <t>Horneado Galletitas</t>
        </is>
      </c>
      <c r="D11" s="34" t="inlineStr">
        <is>
          <t>Galletitas</t>
        </is>
      </c>
      <c r="E11" s="18">
        <f>'Horneado Galletitas'!G14</f>
        <v/>
      </c>
      <c r="F11" s="34" t="inlineStr">
        <is>
          <t>Nodo 6A</t>
        </is>
      </c>
      <c r="G11" s="34" t="inlineStr">
        <is>
          <t>Nodo 12</t>
        </is>
      </c>
      <c r="H11" s="34" t="inlineStr">
        <is>
          <t>-</t>
        </is>
      </c>
      <c r="I11" s="34" t="inlineStr">
        <is>
          <t>-</t>
        </is>
      </c>
      <c r="J11" s="35" t="inlineStr">
        <is>
          <t>Horno Túnel Polin 6x1,3m exterior (33,10 m²) [Actualizado]</t>
        </is>
      </c>
    </row>
    <row r="12" ht="20" customHeight="1">
      <c r="B12" s="30" t="inlineStr">
        <is>
          <t>6A</t>
        </is>
      </c>
      <c r="C12" s="9" t="inlineStr">
        <is>
          <t>Enfriado Galletitas</t>
        </is>
      </c>
      <c r="D12" s="31" t="inlineStr">
        <is>
          <t>Galletitas</t>
        </is>
      </c>
      <c r="E12" s="11">
        <f>'Enfriado Galletitas'!G14</f>
        <v/>
      </c>
      <c r="F12" s="31" t="inlineStr">
        <is>
          <t>Nodo 7A</t>
        </is>
      </c>
      <c r="G12" s="31" t="inlineStr">
        <is>
          <t>-</t>
        </is>
      </c>
      <c r="H12" s="31" t="inlineStr">
        <is>
          <t>-</t>
        </is>
      </c>
      <c r="I12" s="31" t="inlineStr">
        <is>
          <t>-</t>
        </is>
      </c>
      <c r="J12" s="32" t="inlineStr">
        <is>
          <t>Cinta continua Golden Way 5x0,8m (20,64 m²)</t>
        </is>
      </c>
    </row>
    <row r="13" ht="20" customHeight="1">
      <c r="B13" s="33" t="inlineStr">
        <is>
          <t>7A</t>
        </is>
      </c>
      <c r="C13" s="16" t="inlineStr">
        <is>
          <t>Envasado 1° Flow-pack</t>
        </is>
      </c>
      <c r="D13" s="34" t="inlineStr">
        <is>
          <t>Galletitas</t>
        </is>
      </c>
      <c r="E13" s="18">
        <f>'Envasado 1° Galletitas'!G14</f>
        <v/>
      </c>
      <c r="F13" s="34" t="inlineStr">
        <is>
          <t>Nodo 8A</t>
        </is>
      </c>
      <c r="G13" s="34" t="inlineStr">
        <is>
          <t>Nodo 10</t>
        </is>
      </c>
      <c r="H13" s="34" t="inlineStr">
        <is>
          <t>Nodo 12</t>
        </is>
      </c>
      <c r="I13" s="34" t="inlineStr">
        <is>
          <t>-</t>
        </is>
      </c>
      <c r="J13" s="35" t="inlineStr">
        <is>
          <t>Envasadora vertical Zon Pack + Detector (11,26 m²)</t>
        </is>
      </c>
    </row>
    <row r="14" ht="20" customHeight="1">
      <c r="B14" s="30" t="inlineStr">
        <is>
          <t>8A</t>
        </is>
      </c>
      <c r="C14" s="9" t="inlineStr">
        <is>
          <t>Envasado 2° Encajonado</t>
        </is>
      </c>
      <c r="D14" s="31" t="inlineStr">
        <is>
          <t>Galletitas</t>
        </is>
      </c>
      <c r="E14" s="11">
        <f>'Envasado 2° Galletitas'!G14</f>
        <v/>
      </c>
      <c r="F14" s="31" t="inlineStr">
        <is>
          <t>Nodo 9</t>
        </is>
      </c>
      <c r="G14" s="31" t="inlineStr">
        <is>
          <t>-</t>
        </is>
      </c>
      <c r="H14" s="31" t="inlineStr">
        <is>
          <t>-</t>
        </is>
      </c>
      <c r="I14" s="31" t="inlineStr">
        <is>
          <t>-</t>
        </is>
      </c>
      <c r="J14" s="32" t="inlineStr">
        <is>
          <t>Mesa manual AISI 304 y paletizado (8,60 m²)</t>
        </is>
      </c>
    </row>
    <row r="15" ht="20" customHeight="1">
      <c r="B15" s="33" t="inlineStr">
        <is>
          <t>3B</t>
        </is>
      </c>
      <c r="C15" s="16" t="inlineStr">
        <is>
          <t>Batido Panificados</t>
        </is>
      </c>
      <c r="D15" s="34" t="inlineStr">
        <is>
          <t>Panificados</t>
        </is>
      </c>
      <c r="E15" s="18">
        <f>'Batido Panificados'!G14</f>
        <v/>
      </c>
      <c r="F15" s="34" t="inlineStr">
        <is>
          <t>Nodo 4B</t>
        </is>
      </c>
      <c r="G15" s="34" t="inlineStr">
        <is>
          <t>Nodo 11</t>
        </is>
      </c>
      <c r="H15" s="34" t="inlineStr">
        <is>
          <t>-</t>
        </is>
      </c>
      <c r="I15" s="34" t="inlineStr">
        <is>
          <t>-</t>
        </is>
      </c>
      <c r="J15" s="35" t="inlineStr">
        <is>
          <t>Batidora planetaria Moretti 60L (8,89 m²)</t>
        </is>
      </c>
    </row>
    <row r="16" ht="20" customHeight="1">
      <c r="B16" s="30" t="inlineStr">
        <is>
          <t>4B</t>
        </is>
      </c>
      <c r="C16" s="9" t="inlineStr">
        <is>
          <t>Dosificado Panificados</t>
        </is>
      </c>
      <c r="D16" s="31" t="inlineStr">
        <is>
          <t>Panificados</t>
        </is>
      </c>
      <c r="E16" s="11">
        <f>'Dosificado Panificados'!G14</f>
        <v/>
      </c>
      <c r="F16" s="31" t="inlineStr">
        <is>
          <t>Nodo 5B</t>
        </is>
      </c>
      <c r="G16" s="31" t="inlineStr">
        <is>
          <t>-</t>
        </is>
      </c>
      <c r="H16" s="31" t="inlineStr">
        <is>
          <t>Nodo 12</t>
        </is>
      </c>
      <c r="I16" s="31" t="inlineStr">
        <is>
          <t>-</t>
        </is>
      </c>
      <c r="J16" s="32" t="inlineStr">
        <is>
          <t>Dosificadora neumática Indurpack (7,63 m²)</t>
        </is>
      </c>
    </row>
    <row r="17" ht="20" customHeight="1">
      <c r="B17" s="33" t="inlineStr">
        <is>
          <t>5B</t>
        </is>
      </c>
      <c r="C17" s="16" t="inlineStr">
        <is>
          <t>Fermentado Panificados</t>
        </is>
      </c>
      <c r="D17" s="34" t="inlineStr">
        <is>
          <t>Panificados</t>
        </is>
      </c>
      <c r="E17" s="18">
        <f>'Fermentado Panificados'!G14</f>
        <v/>
      </c>
      <c r="F17" s="34" t="inlineStr">
        <is>
          <t>Nodo 6B</t>
        </is>
      </c>
      <c r="G17" s="34" t="inlineStr">
        <is>
          <t>-</t>
        </is>
      </c>
      <c r="H17" s="34" t="inlineStr">
        <is>
          <t>-</t>
        </is>
      </c>
      <c r="I17" s="34" t="inlineStr">
        <is>
          <t>-</t>
        </is>
      </c>
      <c r="J17" s="35" t="inlineStr">
        <is>
          <t>Cámara termohigrométrica NKF-36RS (7,75 m²)</t>
        </is>
      </c>
    </row>
    <row r="18" ht="20" customHeight="1">
      <c r="B18" s="30" t="inlineStr">
        <is>
          <t>6B</t>
        </is>
      </c>
      <c r="C18" s="9" t="inlineStr">
        <is>
          <t>Horneado Panificados</t>
        </is>
      </c>
      <c r="D18" s="31" t="inlineStr">
        <is>
          <t>Panificados</t>
        </is>
      </c>
      <c r="E18" s="11">
        <f>'Horneado Panificados'!G14</f>
        <v/>
      </c>
      <c r="F18" s="31" t="inlineStr">
        <is>
          <t>Nodo 7B</t>
        </is>
      </c>
      <c r="G18" s="31" t="inlineStr">
        <is>
          <t>Nodo 12</t>
        </is>
      </c>
      <c r="H18" s="31" t="inlineStr">
        <is>
          <t>-</t>
        </is>
      </c>
      <c r="I18" s="31" t="inlineStr">
        <is>
          <t>-</t>
        </is>
      </c>
      <c r="J18" s="32" t="inlineStr">
        <is>
          <t>Batería 2 Hornos rotativos Pauna SIGMA (27,24 m²)</t>
        </is>
      </c>
    </row>
    <row r="19" ht="20" customHeight="1">
      <c r="B19" s="33" t="inlineStr">
        <is>
          <t>7B</t>
        </is>
      </c>
      <c r="C19" s="16" t="inlineStr">
        <is>
          <t>Enfriado Panificados</t>
        </is>
      </c>
      <c r="D19" s="34" t="inlineStr">
        <is>
          <t>Panificados</t>
        </is>
      </c>
      <c r="E19" s="18">
        <f>'Enfriado Panificados'!G14</f>
        <v/>
      </c>
      <c r="F19" s="34" t="inlineStr">
        <is>
          <t>Nodo 8B</t>
        </is>
      </c>
      <c r="G19" s="34" t="inlineStr">
        <is>
          <t>-</t>
        </is>
      </c>
      <c r="H19" s="34" t="inlineStr">
        <is>
          <t>-</t>
        </is>
      </c>
      <c r="I19" s="34" t="inlineStr">
        <is>
          <t>-</t>
        </is>
      </c>
      <c r="J19" s="35" t="inlineStr">
        <is>
          <t>Sector de 4 carros en reposo convectivo (19,80 m²)</t>
        </is>
      </c>
    </row>
    <row r="20" ht="20" customHeight="1">
      <c r="B20" s="30" t="inlineStr">
        <is>
          <t>8B</t>
        </is>
      </c>
      <c r="C20" s="9" t="inlineStr">
        <is>
          <t>Rebanado / Envasado 1°</t>
        </is>
      </c>
      <c r="D20" s="31" t="inlineStr">
        <is>
          <t>Panificados</t>
        </is>
      </c>
      <c r="E20" s="11">
        <f>'Envasado 1° Panificados'!G14</f>
        <v/>
      </c>
      <c r="F20" s="31" t="inlineStr">
        <is>
          <t>Nodo 8C</t>
        </is>
      </c>
      <c r="G20" s="31" t="inlineStr">
        <is>
          <t>Nodo 10</t>
        </is>
      </c>
      <c r="H20" s="31" t="inlineStr">
        <is>
          <t>Nodo 12</t>
        </is>
      </c>
      <c r="I20" s="31" t="inlineStr">
        <is>
          <t>-</t>
        </is>
      </c>
      <c r="J20" s="32" t="inlineStr">
        <is>
          <t>Rebanadora Braesi + Flow-pack Brunetti (28,00 m²)</t>
        </is>
      </c>
    </row>
    <row r="21" ht="20" customHeight="1">
      <c r="B21" s="33" t="inlineStr">
        <is>
          <t>8C</t>
        </is>
      </c>
      <c r="C21" s="16" t="inlineStr">
        <is>
          <t>Envasado 2° Encajonado</t>
        </is>
      </c>
      <c r="D21" s="34" t="inlineStr">
        <is>
          <t>Panificados</t>
        </is>
      </c>
      <c r="E21" s="18">
        <f>'Envasado 2° Panificados'!G14</f>
        <v/>
      </c>
      <c r="F21" s="34" t="inlineStr">
        <is>
          <t>Nodo 9</t>
        </is>
      </c>
      <c r="G21" s="34" t="inlineStr">
        <is>
          <t>-</t>
        </is>
      </c>
      <c r="H21" s="34" t="inlineStr">
        <is>
          <t>-</t>
        </is>
      </c>
      <c r="I21" s="34" t="inlineStr">
        <is>
          <t>-</t>
        </is>
      </c>
      <c r="J21" s="35" t="inlineStr">
        <is>
          <t>Mesa manual AISI 304 y paletizado (8,60 m²)</t>
        </is>
      </c>
    </row>
    <row r="22" ht="20" customHeight="1">
      <c r="B22" s="30" t="inlineStr">
        <is>
          <t>10</t>
        </is>
      </c>
      <c r="C22" s="9" t="inlineStr">
        <is>
          <t>Lab. Calidad / Inocuidad</t>
        </is>
      </c>
      <c r="D22" s="31" t="inlineStr">
        <is>
          <t>Auxiliar</t>
        </is>
      </c>
      <c r="E22" s="11" t="n">
        <v>15</v>
      </c>
      <c r="F22" s="31" t="inlineStr">
        <is>
          <t>-</t>
        </is>
      </c>
      <c r="G22" s="31" t="inlineStr">
        <is>
          <t>Nodos 2, 7A, 8B</t>
        </is>
      </c>
      <c r="H22" s="31" t="inlineStr">
        <is>
          <t>Nodos 1, 9</t>
        </is>
      </c>
      <c r="I22" s="31" t="inlineStr">
        <is>
          <t>-</t>
        </is>
      </c>
      <c r="J22" s="32" t="inlineStr">
        <is>
          <t>Superficie Preliminar (~15 m²)* para control de PCC</t>
        </is>
      </c>
    </row>
    <row r="23" ht="20" customHeight="1">
      <c r="B23" s="33" t="inlineStr">
        <is>
          <t>12</t>
        </is>
      </c>
      <c r="C23" s="16" t="inlineStr">
        <is>
          <t>Mantenimiento / Servicios</t>
        </is>
      </c>
      <c r="D23" s="34" t="inlineStr">
        <is>
          <t>Auxiliar</t>
        </is>
      </c>
      <c r="E23" s="18" t="n">
        <v>15</v>
      </c>
      <c r="F23" s="34" t="inlineStr">
        <is>
          <t>-</t>
        </is>
      </c>
      <c r="G23" s="34" t="inlineStr">
        <is>
          <t>Nodos 5A, 6B</t>
        </is>
      </c>
      <c r="H23" s="34" t="inlineStr">
        <is>
          <t>Nodos 4A, 7A, 8B</t>
        </is>
      </c>
      <c r="I23" s="34" t="inlineStr">
        <is>
          <t>-</t>
        </is>
      </c>
      <c r="J23" s="35" t="inlineStr">
        <is>
          <t>Superficie Preliminar (~15 m²)* para taller y compresores</t>
        </is>
      </c>
    </row>
    <row r="24" ht="20" customHeight="1">
      <c r="B24" s="30" t="inlineStr">
        <is>
          <t>9</t>
        </is>
      </c>
      <c r="C24" s="9" t="inlineStr">
        <is>
          <t>Depósito PT y Expedición</t>
        </is>
      </c>
      <c r="D24" s="31" t="inlineStr">
        <is>
          <t>Logística</t>
        </is>
      </c>
      <c r="E24" s="11">
        <f>'Depósito PT'!G14</f>
        <v/>
      </c>
      <c r="F24" s="31" t="inlineStr">
        <is>
          <t>-</t>
        </is>
      </c>
      <c r="G24" s="31" t="inlineStr">
        <is>
          <t>-</t>
        </is>
      </c>
      <c r="H24" s="31" t="inlineStr">
        <is>
          <t>Nodo 10</t>
        </is>
      </c>
      <c r="I24" s="31" t="inlineStr">
        <is>
          <t>Nodo 1</t>
        </is>
      </c>
      <c r="J24" s="32" t="inlineStr">
        <is>
          <t>Superficie Preliminar (~50 m²)* a fijar por política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X61"/>
  <sheetViews>
    <sheetView showGridLines="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</cols>
  <sheetData>
    <row r="1" ht="18" customHeight="1"/>
    <row r="2" ht="18" customHeight="1">
      <c r="B2" s="28" t="inlineStr">
        <is>
          <t>PLANO ESQUEMÁTICO DE DISTRIBUCIÓN DE PLANTA EN "U" (LAYOUT 2D)</t>
        </is>
      </c>
    </row>
    <row r="3" ht="18" customHeight="1">
      <c r="B3" s="2" t="inlineStr">
        <is>
          <t>Proyecto Final UTN FRBA - Grupo 8 | Planta CELI | Nave Industrial 24,0 m x 30,0 m | Dársenas de Camiones al Frente</t>
        </is>
      </c>
    </row>
    <row r="4" ht="18" customHeight="1"/>
    <row r="5" ht="18" customHeight="1">
      <c r="C5" s="86" t="inlineStr">
        <is>
          <t>◄ PATIO EXTERIOR COMÚN DE MANIOBRAS PARA CAMIONES (CALLE DE ACCESO) ►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87" t="n"/>
      <c r="X5" s="87" t="n"/>
      <c r="Y5" s="87" t="n"/>
      <c r="Z5" s="87" t="n"/>
      <c r="AA5" s="87" t="n"/>
      <c r="AB5" s="87" t="n"/>
      <c r="AC5" s="87" t="n"/>
      <c r="AD5" s="87" t="n"/>
      <c r="AE5" s="87" t="n"/>
      <c r="AF5" s="87" t="n"/>
      <c r="AG5" s="87" t="n"/>
      <c r="AH5" s="87" t="n"/>
      <c r="AI5" s="87" t="n"/>
      <c r="AJ5" s="87" t="n"/>
      <c r="AK5" s="87" t="n"/>
      <c r="AL5" s="87" t="n"/>
      <c r="AM5" s="87" t="n"/>
      <c r="AN5" s="87" t="n"/>
      <c r="AO5" s="87" t="n"/>
      <c r="AP5" s="87" t="n"/>
      <c r="AQ5" s="87" t="n"/>
      <c r="AR5" s="87" t="n"/>
      <c r="AS5" s="87" t="n"/>
      <c r="AT5" s="87" t="n"/>
      <c r="AU5" s="87" t="n"/>
      <c r="AV5" s="87" t="n"/>
      <c r="AW5" s="87" t="n"/>
      <c r="AX5" s="88" t="n"/>
    </row>
    <row r="6" ht="18" customHeight="1">
      <c r="C6" s="89" t="inlineStr"/>
      <c r="D6" s="90" t="n"/>
      <c r="E6" s="91" t="inlineStr">
        <is>
          <t>CAMIÓN MP
(Descarga Insumos)</t>
        </is>
      </c>
      <c r="F6" s="92" t="n"/>
      <c r="G6" s="92" t="n"/>
      <c r="H6" s="92" t="n"/>
      <c r="I6" s="92" t="n"/>
      <c r="J6" s="92" t="n"/>
      <c r="K6" s="92" t="n"/>
      <c r="L6" s="92" t="n"/>
      <c r="M6" s="92" t="n"/>
      <c r="N6" s="90" t="n"/>
      <c r="O6" s="89" t="inlineStr">
        <is>
          <t>PATIO CENTRAL MANIOBRA</t>
        </is>
      </c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2" t="n"/>
      <c r="AK6" s="92" t="n"/>
      <c r="AL6" s="90" t="n"/>
      <c r="AM6" s="93" t="inlineStr">
        <is>
          <t>CAMIÓN PT
(Despacho Producto)</t>
        </is>
      </c>
      <c r="AN6" s="92" t="n"/>
      <c r="AO6" s="92" t="n"/>
      <c r="AP6" s="92" t="n"/>
      <c r="AQ6" s="92" t="n"/>
      <c r="AR6" s="92" t="n"/>
      <c r="AS6" s="92" t="n"/>
      <c r="AT6" s="92" t="n"/>
      <c r="AU6" s="92" t="n"/>
      <c r="AV6" s="90" t="n"/>
      <c r="AW6" s="89" t="inlineStr"/>
      <c r="AX6" s="90" t="n"/>
    </row>
    <row r="7" ht="18" customHeight="1">
      <c r="C7" s="94" t="n"/>
      <c r="D7" s="95" t="n"/>
      <c r="E7" s="94" t="n"/>
      <c r="N7" s="95" t="n"/>
      <c r="O7" s="94" t="n"/>
      <c r="AL7" s="95" t="n"/>
      <c r="AM7" s="94" t="n"/>
      <c r="AV7" s="95" t="n"/>
      <c r="AW7" s="94" t="n"/>
      <c r="AX7" s="95" t="n"/>
    </row>
    <row r="8" ht="18" customHeight="1">
      <c r="C8" s="94" t="n"/>
      <c r="D8" s="95" t="n"/>
      <c r="E8" s="94" t="n"/>
      <c r="N8" s="95" t="n"/>
      <c r="O8" s="94" t="n"/>
      <c r="AL8" s="95" t="n"/>
      <c r="AM8" s="94" t="n"/>
      <c r="AV8" s="95" t="n"/>
      <c r="AW8" s="94" t="n"/>
      <c r="AX8" s="95" t="n"/>
    </row>
    <row r="9" ht="18" customHeight="1">
      <c r="C9" s="96" t="n"/>
      <c r="D9" s="97" t="n"/>
      <c r="E9" s="96" t="n"/>
      <c r="F9" s="98" t="n"/>
      <c r="G9" s="98" t="n"/>
      <c r="H9" s="98" t="n"/>
      <c r="I9" s="98" t="n"/>
      <c r="J9" s="98" t="n"/>
      <c r="K9" s="98" t="n"/>
      <c r="L9" s="98" t="n"/>
      <c r="M9" s="98" t="n"/>
      <c r="N9" s="97" t="n"/>
      <c r="O9" s="96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7" t="n"/>
      <c r="AM9" s="96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7" t="n"/>
      <c r="AW9" s="96" t="n"/>
      <c r="AX9" s="97" t="n"/>
    </row>
    <row r="10" ht="18" customHeight="1"/>
    <row r="11" ht="18" customHeight="1">
      <c r="D11" s="99" t="inlineStr">
        <is>
          <t>DÁRSENA 1: RECEPCIÓN MP</t>
        </is>
      </c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0" t="n"/>
      <c r="P11" s="100" t="inlineStr">
        <is>
          <t>FILTRO SANITARIO / VESTUARIOS</t>
        </is>
      </c>
      <c r="Q11" s="92" t="n"/>
      <c r="R11" s="92" t="n"/>
      <c r="S11" s="92" t="n"/>
      <c r="T11" s="92" t="n"/>
      <c r="U11" s="92" t="n"/>
      <c r="V11" s="90" t="n"/>
      <c r="W11" s="86" t="inlineStr">
        <is>
          <t>ADMINISTRACIÓN / OFICINA</t>
        </is>
      </c>
      <c r="X11" s="92" t="n"/>
      <c r="Y11" s="92" t="n"/>
      <c r="Z11" s="92" t="n"/>
      <c r="AA11" s="92" t="n"/>
      <c r="AB11" s="92" t="n"/>
      <c r="AC11" s="92" t="n"/>
      <c r="AD11" s="90" t="n"/>
      <c r="AE11" s="101" t="inlineStr">
        <is>
          <t>PASILLO ACCESO</t>
        </is>
      </c>
      <c r="AF11" s="92" t="n"/>
      <c r="AG11" s="92" t="n"/>
      <c r="AH11" s="92" t="n"/>
      <c r="AI11" s="92" t="n"/>
      <c r="AJ11" s="92" t="n"/>
      <c r="AK11" s="90" t="n"/>
      <c r="AL11" s="102" t="inlineStr">
        <is>
          <t>DÁRSENA 2: EXPEDICIÓN PT</t>
        </is>
      </c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0" t="n"/>
    </row>
    <row r="12" ht="18" customHeight="1">
      <c r="D12" s="94" t="n"/>
      <c r="O12" s="95" t="n"/>
      <c r="P12" s="94" t="n"/>
      <c r="V12" s="95" t="n"/>
      <c r="W12" s="94" t="n"/>
      <c r="AD12" s="95" t="n"/>
      <c r="AE12" s="94" t="n"/>
      <c r="AK12" s="95" t="n"/>
      <c r="AL12" s="94" t="n"/>
      <c r="AW12" s="95" t="n"/>
    </row>
    <row r="13" ht="18" customHeight="1">
      <c r="D13" s="96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7" t="n"/>
      <c r="P13" s="96" t="n"/>
      <c r="Q13" s="98" t="n"/>
      <c r="R13" s="98" t="n"/>
      <c r="S13" s="98" t="n"/>
      <c r="T13" s="98" t="n"/>
      <c r="U13" s="98" t="n"/>
      <c r="V13" s="97" t="n"/>
      <c r="W13" s="96" t="n"/>
      <c r="X13" s="98" t="n"/>
      <c r="Y13" s="98" t="n"/>
      <c r="Z13" s="98" t="n"/>
      <c r="AA13" s="98" t="n"/>
      <c r="AB13" s="98" t="n"/>
      <c r="AC13" s="98" t="n"/>
      <c r="AD13" s="97" t="n"/>
      <c r="AE13" s="96" t="n"/>
      <c r="AF13" s="98" t="n"/>
      <c r="AG13" s="98" t="n"/>
      <c r="AH13" s="98" t="n"/>
      <c r="AI13" s="98" t="n"/>
      <c r="AJ13" s="98" t="n"/>
      <c r="AK13" s="97" t="n"/>
      <c r="AL13" s="96" t="n"/>
      <c r="AM13" s="98" t="n"/>
      <c r="AN13" s="98" t="n"/>
      <c r="AO13" s="98" t="n"/>
      <c r="AP13" s="98" t="n"/>
      <c r="AQ13" s="98" t="n"/>
      <c r="AR13" s="98" t="n"/>
      <c r="AS13" s="98" t="n"/>
      <c r="AT13" s="98" t="n"/>
      <c r="AU13" s="98" t="n"/>
      <c r="AV13" s="98" t="n"/>
      <c r="AW13" s="97" t="n"/>
    </row>
    <row r="14" ht="18" customHeight="1">
      <c r="D14" s="99" t="inlineStr">
        <is>
          <t>1. DEPÓSITO MP
(Racks Selectivos 3 niveles - 50 m²)
Harinas, Féculas, Azúcar, Grasas</t>
        </is>
      </c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0" t="n"/>
      <c r="P14" s="101" t="inlineStr">
        <is>
          <t>PASILLO MP (2,0 m)</t>
        </is>
      </c>
      <c r="Q14" s="92" t="n"/>
      <c r="R14" s="92" t="n"/>
      <c r="S14" s="90" t="n"/>
      <c r="T14" s="103" t="inlineStr">
        <is>
          <t>12. Mantenimiento
Compresores / Gas
(15 m²)</t>
        </is>
      </c>
      <c r="U14" s="92" t="n"/>
      <c r="V14" s="92" t="n"/>
      <c r="W14" s="92" t="n"/>
      <c r="X14" s="92" t="n"/>
      <c r="Y14" s="90" t="n"/>
      <c r="Z14" s="104" t="inlineStr">
        <is>
          <t>MURO CIEGO</t>
        </is>
      </c>
      <c r="AA14" s="90" t="n"/>
      <c r="AB14" s="105" t="inlineStr">
        <is>
          <t>10. Laboratorio Calidad
Inocuidad Sin TACC
(15 m²)</t>
        </is>
      </c>
      <c r="AC14" s="92" t="n"/>
      <c r="AD14" s="92" t="n"/>
      <c r="AE14" s="92" t="n"/>
      <c r="AF14" s="92" t="n"/>
      <c r="AG14" s="90" t="n"/>
      <c r="AH14" s="101" t="inlineStr">
        <is>
          <t>PASILLO PT (2,0 m)</t>
        </is>
      </c>
      <c r="AI14" s="92" t="n"/>
      <c r="AJ14" s="92" t="n"/>
      <c r="AK14" s="90" t="n"/>
      <c r="AL14" s="102" t="inlineStr">
        <is>
          <t>9. DEPÓSITO PRODUCTO TERMINADO (50 m²)
Racks Selectivos PT + Enfilmadora Film</t>
        </is>
      </c>
      <c r="AM14" s="92" t="n"/>
      <c r="AN14" s="92" t="n"/>
      <c r="AO14" s="92" t="n"/>
      <c r="AP14" s="92" t="n"/>
      <c r="AQ14" s="92" t="n"/>
      <c r="AR14" s="92" t="n"/>
      <c r="AS14" s="92" t="n"/>
      <c r="AT14" s="92" t="n"/>
      <c r="AU14" s="92" t="n"/>
      <c r="AV14" s="92" t="n"/>
      <c r="AW14" s="90" t="n"/>
    </row>
    <row r="15" ht="18" customHeight="1">
      <c r="D15" s="94" t="n"/>
      <c r="O15" s="95" t="n"/>
      <c r="P15" s="94" t="n"/>
      <c r="S15" s="95" t="n"/>
      <c r="T15" s="94" t="n"/>
      <c r="Y15" s="95" t="n"/>
      <c r="Z15" s="94" t="n"/>
      <c r="AA15" s="95" t="n"/>
      <c r="AB15" s="94" t="n"/>
      <c r="AG15" s="95" t="n"/>
      <c r="AH15" s="94" t="n"/>
      <c r="AK15" s="95" t="n"/>
      <c r="AL15" s="94" t="n"/>
      <c r="AW15" s="95" t="n"/>
    </row>
    <row r="16" ht="18" customHeight="1">
      <c r="D16" s="94" t="n"/>
      <c r="O16" s="95" t="n"/>
      <c r="P16" s="94" t="n"/>
      <c r="S16" s="95" t="n"/>
      <c r="T16" s="94" t="n"/>
      <c r="Y16" s="95" t="n"/>
      <c r="Z16" s="94" t="n"/>
      <c r="AA16" s="95" t="n"/>
      <c r="AB16" s="94" t="n"/>
      <c r="AG16" s="95" t="n"/>
      <c r="AH16" s="94" t="n"/>
      <c r="AK16" s="95" t="n"/>
      <c r="AL16" s="94" t="n"/>
      <c r="AW16" s="95" t="n"/>
    </row>
    <row r="17" ht="18" customHeight="1">
      <c r="D17" s="94" t="n"/>
      <c r="O17" s="95" t="n"/>
      <c r="P17" s="94" t="n"/>
      <c r="S17" s="95" t="n"/>
      <c r="T17" s="94" t="n"/>
      <c r="Y17" s="95" t="n"/>
      <c r="Z17" s="94" t="n"/>
      <c r="AA17" s="95" t="n"/>
      <c r="AB17" s="94" t="n"/>
      <c r="AG17" s="95" t="n"/>
      <c r="AH17" s="94" t="n"/>
      <c r="AK17" s="95" t="n"/>
      <c r="AL17" s="94" t="n"/>
      <c r="AW17" s="95" t="n"/>
    </row>
    <row r="18" ht="18" customHeight="1">
      <c r="D18" s="94" t="n"/>
      <c r="O18" s="95" t="n"/>
      <c r="P18" s="94" t="n"/>
      <c r="S18" s="95" t="n"/>
      <c r="T18" s="94" t="n"/>
      <c r="Y18" s="95" t="n"/>
      <c r="Z18" s="94" t="n"/>
      <c r="AA18" s="95" t="n"/>
      <c r="AB18" s="94" t="n"/>
      <c r="AG18" s="95" t="n"/>
      <c r="AH18" s="94" t="n"/>
      <c r="AK18" s="95" t="n"/>
      <c r="AL18" s="94" t="n"/>
      <c r="AW18" s="95" t="n"/>
    </row>
    <row r="19" ht="18" customHeight="1">
      <c r="D19" s="94" t="n"/>
      <c r="O19" s="95" t="n"/>
      <c r="P19" s="94" t="n"/>
      <c r="S19" s="95" t="n"/>
      <c r="T19" s="94" t="n"/>
      <c r="Y19" s="95" t="n"/>
      <c r="Z19" s="94" t="n"/>
      <c r="AA19" s="95" t="n"/>
      <c r="AB19" s="94" t="n"/>
      <c r="AG19" s="95" t="n"/>
      <c r="AH19" s="94" t="n"/>
      <c r="AK19" s="95" t="n"/>
      <c r="AL19" s="94" t="n"/>
      <c r="AW19" s="95" t="n"/>
    </row>
    <row r="20" ht="18" customHeight="1">
      <c r="D20" s="94" t="n"/>
      <c r="O20" s="95" t="n"/>
      <c r="P20" s="94" t="n"/>
      <c r="S20" s="95" t="n"/>
      <c r="T20" s="94" t="n"/>
      <c r="Y20" s="95" t="n"/>
      <c r="Z20" s="94" t="n"/>
      <c r="AA20" s="95" t="n"/>
      <c r="AB20" s="94" t="n"/>
      <c r="AG20" s="95" t="n"/>
      <c r="AH20" s="94" t="n"/>
      <c r="AK20" s="95" t="n"/>
      <c r="AL20" s="94" t="n"/>
      <c r="AW20" s="95" t="n"/>
    </row>
    <row r="21" ht="18" customHeight="1">
      <c r="D21" s="94" t="n"/>
      <c r="O21" s="95" t="n"/>
      <c r="P21" s="94" t="n"/>
      <c r="S21" s="95" t="n"/>
      <c r="T21" s="94" t="n"/>
      <c r="Y21" s="95" t="n"/>
      <c r="Z21" s="94" t="n"/>
      <c r="AA21" s="95" t="n"/>
      <c r="AB21" s="94" t="n"/>
      <c r="AG21" s="95" t="n"/>
      <c r="AH21" s="94" t="n"/>
      <c r="AK21" s="95" t="n"/>
      <c r="AL21" s="94" t="n"/>
      <c r="AW21" s="95" t="n"/>
    </row>
    <row r="22" ht="18" customHeight="1">
      <c r="D22" s="94" t="n"/>
      <c r="O22" s="95" t="n"/>
      <c r="P22" s="94" t="n"/>
      <c r="S22" s="95" t="n"/>
      <c r="T22" s="94" t="n"/>
      <c r="Y22" s="95" t="n"/>
      <c r="Z22" s="94" t="n"/>
      <c r="AA22" s="95" t="n"/>
      <c r="AB22" s="94" t="n"/>
      <c r="AG22" s="95" t="n"/>
      <c r="AH22" s="94" t="n"/>
      <c r="AK22" s="95" t="n"/>
      <c r="AL22" s="94" t="n"/>
      <c r="AW22" s="95" t="n"/>
    </row>
    <row r="23" ht="18" customHeight="1">
      <c r="D23" s="94" t="n"/>
      <c r="O23" s="95" t="n"/>
      <c r="P23" s="94" t="n"/>
      <c r="S23" s="95" t="n"/>
      <c r="T23" s="94" t="n"/>
      <c r="Y23" s="95" t="n"/>
      <c r="Z23" s="94" t="n"/>
      <c r="AA23" s="95" t="n"/>
      <c r="AB23" s="94" t="n"/>
      <c r="AG23" s="95" t="n"/>
      <c r="AH23" s="94" t="n"/>
      <c r="AK23" s="95" t="n"/>
      <c r="AL23" s="94" t="n"/>
      <c r="AW23" s="95" t="n"/>
    </row>
    <row r="24" ht="18" customHeight="1">
      <c r="D24" s="94" t="n"/>
      <c r="O24" s="95" t="n"/>
      <c r="P24" s="94" t="n"/>
      <c r="S24" s="95" t="n"/>
      <c r="T24" s="94" t="n"/>
      <c r="Y24" s="95" t="n"/>
      <c r="Z24" s="94" t="n"/>
      <c r="AA24" s="95" t="n"/>
      <c r="AB24" s="94" t="n"/>
      <c r="AG24" s="95" t="n"/>
      <c r="AH24" s="94" t="n"/>
      <c r="AK24" s="95" t="n"/>
      <c r="AL24" s="94" t="n"/>
      <c r="AW24" s="95" t="n"/>
    </row>
    <row r="25" ht="18" customHeight="1">
      <c r="D25" s="94" t="n"/>
      <c r="O25" s="95" t="n"/>
      <c r="P25" s="94" t="n"/>
      <c r="S25" s="95" t="n"/>
      <c r="T25" s="94" t="n"/>
      <c r="Y25" s="95" t="n"/>
      <c r="Z25" s="94" t="n"/>
      <c r="AA25" s="95" t="n"/>
      <c r="AB25" s="94" t="n"/>
      <c r="AG25" s="95" t="n"/>
      <c r="AH25" s="94" t="n"/>
      <c r="AK25" s="95" t="n"/>
      <c r="AL25" s="96" t="n"/>
      <c r="AM25" s="98" t="n"/>
      <c r="AN25" s="98" t="n"/>
      <c r="AO25" s="98" t="n"/>
      <c r="AP25" s="98" t="n"/>
      <c r="AQ25" s="98" t="n"/>
      <c r="AR25" s="98" t="n"/>
      <c r="AS25" s="98" t="n"/>
      <c r="AT25" s="98" t="n"/>
      <c r="AU25" s="98" t="n"/>
      <c r="AV25" s="98" t="n"/>
      <c r="AW25" s="97" t="n"/>
    </row>
    <row r="26" ht="18" customHeight="1">
      <c r="D26" s="94" t="n"/>
      <c r="O26" s="95" t="n"/>
      <c r="P26" s="94" t="n"/>
      <c r="S26" s="95" t="n"/>
      <c r="T26" s="94" t="n"/>
      <c r="Y26" s="95" t="n"/>
      <c r="Z26" s="94" t="n"/>
      <c r="AA26" s="95" t="n"/>
      <c r="AB26" s="94" t="n"/>
      <c r="AG26" s="95" t="n"/>
      <c r="AH26" s="94" t="n"/>
      <c r="AK26" s="95" t="n"/>
      <c r="AL26" s="106" t="inlineStr">
        <is>
          <t>8A. Encajonado / Paletizado Galletitas (9 m²)</t>
        </is>
      </c>
      <c r="AM26" s="92" t="n"/>
      <c r="AN26" s="92" t="n"/>
      <c r="AO26" s="92" t="n"/>
      <c r="AP26" s="92" t="n"/>
      <c r="AQ26" s="92" t="n"/>
      <c r="AR26" s="92" t="n"/>
      <c r="AS26" s="92" t="n"/>
      <c r="AT26" s="92" t="n"/>
      <c r="AU26" s="92" t="n"/>
      <c r="AV26" s="92" t="n"/>
      <c r="AW26" s="90" t="n"/>
    </row>
    <row r="27" ht="18" customHeight="1">
      <c r="D27" s="94" t="n"/>
      <c r="O27" s="95" t="n"/>
      <c r="P27" s="94" t="n"/>
      <c r="S27" s="95" t="n"/>
      <c r="T27" s="94" t="n"/>
      <c r="Y27" s="95" t="n"/>
      <c r="Z27" s="94" t="n"/>
      <c r="AA27" s="95" t="n"/>
      <c r="AB27" s="94" t="n"/>
      <c r="AG27" s="95" t="n"/>
      <c r="AH27" s="94" t="n"/>
      <c r="AK27" s="95" t="n"/>
      <c r="AL27" s="94" t="n"/>
      <c r="AW27" s="95" t="n"/>
    </row>
    <row r="28" ht="18" customHeight="1">
      <c r="D28" s="94" t="n"/>
      <c r="O28" s="95" t="n"/>
      <c r="P28" s="94" t="n"/>
      <c r="S28" s="95" t="n"/>
      <c r="T28" s="94" t="n"/>
      <c r="Y28" s="95" t="n"/>
      <c r="Z28" s="94" t="n"/>
      <c r="AA28" s="95" t="n"/>
      <c r="AB28" s="94" t="n"/>
      <c r="AG28" s="95" t="n"/>
      <c r="AH28" s="94" t="n"/>
      <c r="AK28" s="95" t="n"/>
      <c r="AL28" s="94" t="n"/>
      <c r="AW28" s="95" t="n"/>
    </row>
    <row r="29" ht="18" customHeight="1">
      <c r="D29" s="94" t="n"/>
      <c r="O29" s="95" t="n"/>
      <c r="P29" s="94" t="n"/>
      <c r="S29" s="95" t="n"/>
      <c r="T29" s="94" t="n"/>
      <c r="Y29" s="95" t="n"/>
      <c r="Z29" s="94" t="n"/>
      <c r="AA29" s="95" t="n"/>
      <c r="AB29" s="94" t="n"/>
      <c r="AG29" s="95" t="n"/>
      <c r="AH29" s="94" t="n"/>
      <c r="AK29" s="95" t="n"/>
      <c r="AL29" s="96" t="n"/>
      <c r="AM29" s="98" t="n"/>
      <c r="AN29" s="98" t="n"/>
      <c r="AO29" s="98" t="n"/>
      <c r="AP29" s="98" t="n"/>
      <c r="AQ29" s="98" t="n"/>
      <c r="AR29" s="98" t="n"/>
      <c r="AS29" s="98" t="n"/>
      <c r="AT29" s="98" t="n"/>
      <c r="AU29" s="98" t="n"/>
      <c r="AV29" s="98" t="n"/>
      <c r="AW29" s="97" t="n"/>
    </row>
    <row r="30" ht="18" customHeight="1">
      <c r="D30" s="94" t="n"/>
      <c r="O30" s="95" t="n"/>
      <c r="P30" s="94" t="n"/>
      <c r="S30" s="95" t="n"/>
      <c r="T30" s="94" t="n"/>
      <c r="Y30" s="95" t="n"/>
      <c r="Z30" s="94" t="n"/>
      <c r="AA30" s="95" t="n"/>
      <c r="AB30" s="94" t="n"/>
      <c r="AG30" s="95" t="n"/>
      <c r="AH30" s="94" t="n"/>
      <c r="AK30" s="95" t="n"/>
      <c r="AL30" s="107" t="inlineStr">
        <is>
          <t>8C. Encajonado / Paletizado Panificados (9 m²)</t>
        </is>
      </c>
      <c r="AM30" s="92" t="n"/>
      <c r="AN30" s="92" t="n"/>
      <c r="AO30" s="92" t="n"/>
      <c r="AP30" s="92" t="n"/>
      <c r="AQ30" s="92" t="n"/>
      <c r="AR30" s="92" t="n"/>
      <c r="AS30" s="92" t="n"/>
      <c r="AT30" s="92" t="n"/>
      <c r="AU30" s="92" t="n"/>
      <c r="AV30" s="92" t="n"/>
      <c r="AW30" s="90" t="n"/>
    </row>
    <row r="31" ht="18" customHeight="1">
      <c r="D31" s="96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7" t="n"/>
      <c r="P31" s="94" t="n"/>
      <c r="S31" s="95" t="n"/>
      <c r="T31" s="94" t="n"/>
      <c r="Y31" s="95" t="n"/>
      <c r="Z31" s="94" t="n"/>
      <c r="AA31" s="95" t="n"/>
      <c r="AB31" s="94" t="n"/>
      <c r="AG31" s="95" t="n"/>
      <c r="AH31" s="94" t="n"/>
      <c r="AK31" s="95" t="n"/>
      <c r="AL31" s="94" t="n"/>
      <c r="AW31" s="95" t="n"/>
    </row>
    <row r="32" ht="18" customHeight="1">
      <c r="D32" s="108" t="inlineStr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0" t="n"/>
      <c r="P32" s="94" t="n"/>
      <c r="S32" s="95" t="n"/>
      <c r="T32" s="94" t="n"/>
      <c r="Y32" s="95" t="n"/>
      <c r="Z32" s="94" t="n"/>
      <c r="AA32" s="95" t="n"/>
      <c r="AB32" s="94" t="n"/>
      <c r="AG32" s="95" t="n"/>
      <c r="AH32" s="94" t="n"/>
      <c r="AK32" s="95" t="n"/>
      <c r="AL32" s="94" t="n"/>
      <c r="AW32" s="95" t="n"/>
    </row>
    <row r="33" ht="18" customHeight="1">
      <c r="D33" s="96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7" t="n"/>
      <c r="P33" s="94" t="n"/>
      <c r="S33" s="95" t="n"/>
      <c r="T33" s="96" t="n"/>
      <c r="U33" s="98" t="n"/>
      <c r="V33" s="98" t="n"/>
      <c r="W33" s="98" t="n"/>
      <c r="X33" s="98" t="n"/>
      <c r="Y33" s="97" t="n"/>
      <c r="Z33" s="96" t="n"/>
      <c r="AA33" s="97" t="n"/>
      <c r="AB33" s="96" t="n"/>
      <c r="AC33" s="98" t="n"/>
      <c r="AD33" s="98" t="n"/>
      <c r="AE33" s="98" t="n"/>
      <c r="AF33" s="98" t="n"/>
      <c r="AG33" s="97" t="n"/>
      <c r="AH33" s="94" t="n"/>
      <c r="AK33" s="95" t="n"/>
      <c r="AL33" s="96" t="n"/>
      <c r="AM33" s="98" t="n"/>
      <c r="AN33" s="98" t="n"/>
      <c r="AO33" s="98" t="n"/>
      <c r="AP33" s="98" t="n"/>
      <c r="AQ33" s="98" t="n"/>
      <c r="AR33" s="98" t="n"/>
      <c r="AS33" s="98" t="n"/>
      <c r="AT33" s="98" t="n"/>
      <c r="AU33" s="98" t="n"/>
      <c r="AV33" s="98" t="n"/>
      <c r="AW33" s="97" t="n"/>
    </row>
    <row r="34" ht="18" customHeight="1">
      <c r="D34" s="109" t="inlineStr">
        <is>
          <t>2. SECCIÓN PESADO Y MICROPESADO (12 m²)
Balanza de Piso + Mesa Inox Micropesaje</t>
        </is>
      </c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0" t="n"/>
      <c r="P34" s="94" t="n"/>
      <c r="S34" s="95" t="n"/>
      <c r="T34" s="107" t="inlineStr">
        <is>
          <t>4B. Dosificado
Indurpack (8 m²)</t>
        </is>
      </c>
      <c r="U34" s="92" t="n"/>
      <c r="V34" s="92" t="n"/>
      <c r="W34" s="92" t="n"/>
      <c r="X34" s="92" t="n"/>
      <c r="Y34" s="90" t="n"/>
      <c r="AB34" s="107" t="inlineStr">
        <is>
          <t>5B. Fermentador
NKF-36RS (8 m²)</t>
        </is>
      </c>
      <c r="AC34" s="92" t="n"/>
      <c r="AD34" s="92" t="n"/>
      <c r="AE34" s="92" t="n"/>
      <c r="AF34" s="92" t="n"/>
      <c r="AG34" s="90" t="n"/>
      <c r="AH34" s="94" t="n"/>
      <c r="AK34" s="95" t="n"/>
      <c r="AL34" s="107" t="inlineStr">
        <is>
          <t>8B. Rebanadora + Flow-Pack Panificados (28 m²)</t>
        </is>
      </c>
      <c r="AM34" s="92" t="n"/>
      <c r="AN34" s="92" t="n"/>
      <c r="AO34" s="92" t="n"/>
      <c r="AP34" s="92" t="n"/>
      <c r="AQ34" s="92" t="n"/>
      <c r="AR34" s="92" t="n"/>
      <c r="AS34" s="92" t="n"/>
      <c r="AT34" s="92" t="n"/>
      <c r="AU34" s="92" t="n"/>
      <c r="AV34" s="92" t="n"/>
      <c r="AW34" s="90" t="n"/>
    </row>
    <row r="35" ht="18" customHeight="1">
      <c r="D35" s="94" t="n"/>
      <c r="O35" s="95" t="n"/>
      <c r="P35" s="94" t="n"/>
      <c r="S35" s="95" t="n"/>
      <c r="T35" s="94" t="n"/>
      <c r="Y35" s="95" t="n"/>
      <c r="AB35" s="94" t="n"/>
      <c r="AG35" s="95" t="n"/>
      <c r="AH35" s="94" t="n"/>
      <c r="AK35" s="95" t="n"/>
      <c r="AL35" s="94" t="n"/>
      <c r="AW35" s="95" t="n"/>
    </row>
    <row r="36" ht="18" customHeight="1">
      <c r="D36" s="94" t="n"/>
      <c r="O36" s="95" t="n"/>
      <c r="P36" s="94" t="n"/>
      <c r="S36" s="95" t="n"/>
      <c r="T36" s="94" t="n"/>
      <c r="Y36" s="95" t="n"/>
      <c r="AB36" s="94" t="n"/>
      <c r="AG36" s="95" t="n"/>
      <c r="AH36" s="94" t="n"/>
      <c r="AK36" s="95" t="n"/>
      <c r="AL36" s="94" t="n"/>
      <c r="AW36" s="95" t="n"/>
    </row>
    <row r="37" ht="18" customHeight="1">
      <c r="D37" s="94" t="n"/>
      <c r="O37" s="95" t="n"/>
      <c r="P37" s="94" t="n"/>
      <c r="S37" s="95" t="n"/>
      <c r="T37" s="94" t="n"/>
      <c r="Y37" s="95" t="n"/>
      <c r="AB37" s="94" t="n"/>
      <c r="AG37" s="95" t="n"/>
      <c r="AH37" s="94" t="n"/>
      <c r="AK37" s="95" t="n"/>
      <c r="AL37" s="94" t="n"/>
      <c r="AW37" s="95" t="n"/>
    </row>
    <row r="38" ht="18" customHeight="1">
      <c r="D38" s="94" t="n"/>
      <c r="O38" s="95" t="n"/>
      <c r="P38" s="94" t="n"/>
      <c r="S38" s="95" t="n"/>
      <c r="T38" s="94" t="n"/>
      <c r="Y38" s="95" t="n"/>
      <c r="AB38" s="94" t="n"/>
      <c r="AG38" s="95" t="n"/>
      <c r="AH38" s="94" t="n"/>
      <c r="AK38" s="95" t="n"/>
      <c r="AL38" s="94" t="n"/>
      <c r="AW38" s="95" t="n"/>
    </row>
    <row r="39" ht="18" customHeight="1">
      <c r="D39" s="94" t="n"/>
      <c r="O39" s="95" t="n"/>
      <c r="P39" s="94" t="n"/>
      <c r="S39" s="95" t="n"/>
      <c r="T39" s="94" t="n"/>
      <c r="Y39" s="95" t="n"/>
      <c r="AB39" s="94" t="n"/>
      <c r="AG39" s="95" t="n"/>
      <c r="AH39" s="94" t="n"/>
      <c r="AK39" s="95" t="n"/>
      <c r="AL39" s="94" t="n"/>
      <c r="AW39" s="95" t="n"/>
    </row>
    <row r="40" ht="18" customHeight="1">
      <c r="D40" s="94" t="n"/>
      <c r="O40" s="95" t="n"/>
      <c r="P40" s="94" t="n"/>
      <c r="S40" s="95" t="n"/>
      <c r="T40" s="94" t="n"/>
      <c r="Y40" s="95" t="n"/>
      <c r="AB40" s="94" t="n"/>
      <c r="AG40" s="95" t="n"/>
      <c r="AH40" s="94" t="n"/>
      <c r="AK40" s="95" t="n"/>
      <c r="AL40" s="94" t="n"/>
      <c r="AW40" s="95" t="n"/>
    </row>
    <row r="41" ht="18" customHeight="1">
      <c r="D41" s="94" t="n"/>
      <c r="O41" s="95" t="n"/>
      <c r="P41" s="94" t="n"/>
      <c r="S41" s="95" t="n"/>
      <c r="T41" s="94" t="n"/>
      <c r="Y41" s="95" t="n"/>
      <c r="AB41" s="94" t="n"/>
      <c r="AG41" s="95" t="n"/>
      <c r="AH41" s="94" t="n"/>
      <c r="AK41" s="95" t="n"/>
      <c r="AL41" s="94" t="n"/>
      <c r="AW41" s="95" t="n"/>
    </row>
    <row r="42" ht="18" customHeight="1">
      <c r="D42" s="96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7" t="n"/>
      <c r="P42" s="94" t="n"/>
      <c r="S42" s="95" t="n"/>
      <c r="T42" s="96" t="n"/>
      <c r="U42" s="98" t="n"/>
      <c r="V42" s="98" t="n"/>
      <c r="W42" s="98" t="n"/>
      <c r="X42" s="98" t="n"/>
      <c r="Y42" s="97" t="n"/>
      <c r="AB42" s="96" t="n"/>
      <c r="AC42" s="98" t="n"/>
      <c r="AD42" s="98" t="n"/>
      <c r="AE42" s="98" t="n"/>
      <c r="AF42" s="98" t="n"/>
      <c r="AG42" s="97" t="n"/>
      <c r="AH42" s="94" t="n"/>
      <c r="AK42" s="95" t="n"/>
      <c r="AL42" s="96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7" t="n"/>
    </row>
    <row r="43" ht="18" customHeight="1">
      <c r="D43" s="108" t="inlineStr"/>
      <c r="E43" s="87" t="n"/>
      <c r="F43" s="87" t="n"/>
      <c r="G43" s="87" t="n"/>
      <c r="H43" s="87" t="n"/>
      <c r="I43" s="87" t="n"/>
      <c r="J43" s="87" t="n"/>
      <c r="K43" s="87" t="n"/>
      <c r="L43" s="87" t="n"/>
      <c r="M43" s="87" t="n"/>
      <c r="N43" s="87" t="n"/>
      <c r="O43" s="88" t="n"/>
      <c r="P43" s="94" t="n"/>
      <c r="S43" s="95" t="n"/>
      <c r="T43" s="110" t="inlineStr"/>
      <c r="U43" s="87" t="n"/>
      <c r="V43" s="87" t="n"/>
      <c r="W43" s="87" t="n"/>
      <c r="X43" s="87" t="n"/>
      <c r="Y43" s="87" t="n"/>
      <c r="Z43" s="87" t="n"/>
      <c r="AA43" s="87" t="n"/>
      <c r="AB43" s="87" t="n"/>
      <c r="AC43" s="87" t="n"/>
      <c r="AD43" s="87" t="n"/>
      <c r="AE43" s="87" t="n"/>
      <c r="AF43" s="87" t="n"/>
      <c r="AG43" s="88" t="n"/>
      <c r="AH43" s="94" t="n"/>
      <c r="AK43" s="95" t="n"/>
      <c r="AL43" s="111" t="inlineStr"/>
      <c r="AM43" s="87" t="n"/>
      <c r="AN43" s="87" t="n"/>
      <c r="AO43" s="87" t="n"/>
      <c r="AP43" s="87" t="n"/>
      <c r="AQ43" s="87" t="n"/>
      <c r="AR43" s="87" t="n"/>
      <c r="AS43" s="87" t="n"/>
      <c r="AT43" s="87" t="n"/>
      <c r="AU43" s="87" t="n"/>
      <c r="AV43" s="87" t="n"/>
      <c r="AW43" s="88" t="n"/>
    </row>
    <row r="44" ht="18" customHeight="1">
      <c r="D44" s="106" t="inlineStr">
        <is>
          <t>3A. Amasado G.
Catania HJ25B
(8 m²)</t>
        </is>
      </c>
      <c r="E44" s="92" t="n"/>
      <c r="F44" s="92" t="n"/>
      <c r="G44" s="92" t="n"/>
      <c r="H44" s="92" t="n"/>
      <c r="I44" s="90" t="n"/>
      <c r="J44" s="107" t="inlineStr">
        <is>
          <t>3B. Batido P.
Moretti 60L
(9 m²)</t>
        </is>
      </c>
      <c r="K44" s="92" t="n"/>
      <c r="L44" s="92" t="n"/>
      <c r="M44" s="92" t="n"/>
      <c r="N44" s="92" t="n"/>
      <c r="O44" s="90" t="n"/>
      <c r="P44" s="94" t="n"/>
      <c r="S44" s="95" t="n"/>
      <c r="T44" s="107" t="inlineStr">
        <is>
          <t>6B. Batería 2 Hornos Rotativos Pauna SIGMA (27 m²)</t>
        </is>
      </c>
      <c r="U44" s="92" t="n"/>
      <c r="V44" s="92" t="n"/>
      <c r="W44" s="92" t="n"/>
      <c r="X44" s="92" t="n"/>
      <c r="Y44" s="92" t="n"/>
      <c r="Z44" s="92" t="n"/>
      <c r="AA44" s="92" t="n"/>
      <c r="AB44" s="92" t="n"/>
      <c r="AC44" s="92" t="n"/>
      <c r="AD44" s="92" t="n"/>
      <c r="AE44" s="92" t="n"/>
      <c r="AF44" s="92" t="n"/>
      <c r="AG44" s="90" t="n"/>
      <c r="AH44" s="94" t="n"/>
      <c r="AK44" s="95" t="n"/>
      <c r="AL44" s="107" t="inlineStr">
        <is>
          <t>7B. Sector Enfriamiento 4 Carros (20 m²)</t>
        </is>
      </c>
      <c r="AM44" s="92" t="n"/>
      <c r="AN44" s="92" t="n"/>
      <c r="AO44" s="92" t="n"/>
      <c r="AP44" s="92" t="n"/>
      <c r="AQ44" s="92" t="n"/>
      <c r="AR44" s="92" t="n"/>
      <c r="AS44" s="92" t="n"/>
      <c r="AT44" s="92" t="n"/>
      <c r="AU44" s="92" t="n"/>
      <c r="AV44" s="92" t="n"/>
      <c r="AW44" s="90" t="n"/>
    </row>
    <row r="45" ht="18" customHeight="1">
      <c r="D45" s="94" t="n"/>
      <c r="I45" s="95" t="n"/>
      <c r="J45" s="94" t="n"/>
      <c r="O45" s="95" t="n"/>
      <c r="P45" s="94" t="n"/>
      <c r="S45" s="95" t="n"/>
      <c r="T45" s="94" t="n"/>
      <c r="AG45" s="95" t="n"/>
      <c r="AH45" s="94" t="n"/>
      <c r="AK45" s="95" t="n"/>
      <c r="AL45" s="94" t="n"/>
      <c r="AW45" s="95" t="n"/>
    </row>
    <row r="46" ht="18" customHeight="1">
      <c r="D46" s="94" t="n"/>
      <c r="I46" s="95" t="n"/>
      <c r="J46" s="94" t="n"/>
      <c r="O46" s="95" t="n"/>
      <c r="P46" s="94" t="n"/>
      <c r="S46" s="95" t="n"/>
      <c r="T46" s="94" t="n"/>
      <c r="AG46" s="95" t="n"/>
      <c r="AH46" s="94" t="n"/>
      <c r="AK46" s="95" t="n"/>
      <c r="AL46" s="94" t="n"/>
      <c r="AW46" s="95" t="n"/>
    </row>
    <row r="47" ht="18" customHeight="1">
      <c r="D47" s="94" t="n"/>
      <c r="I47" s="95" t="n"/>
      <c r="J47" s="94" t="n"/>
      <c r="O47" s="95" t="n"/>
      <c r="P47" s="94" t="n"/>
      <c r="S47" s="95" t="n"/>
      <c r="T47" s="94" t="n"/>
      <c r="AG47" s="95" t="n"/>
      <c r="AH47" s="94" t="n"/>
      <c r="AK47" s="95" t="n"/>
      <c r="AL47" s="94" t="n"/>
      <c r="AW47" s="95" t="n"/>
    </row>
    <row r="48" ht="18" customHeight="1">
      <c r="D48" s="94" t="n"/>
      <c r="I48" s="95" t="n"/>
      <c r="J48" s="94" t="n"/>
      <c r="O48" s="95" t="n"/>
      <c r="P48" s="94" t="n"/>
      <c r="S48" s="95" t="n"/>
      <c r="T48" s="94" t="n"/>
      <c r="AG48" s="95" t="n"/>
      <c r="AH48" s="94" t="n"/>
      <c r="AK48" s="95" t="n"/>
      <c r="AL48" s="94" t="n"/>
      <c r="AW48" s="95" t="n"/>
    </row>
    <row r="49" ht="18" customHeight="1">
      <c r="D49" s="94" t="n"/>
      <c r="I49" s="95" t="n"/>
      <c r="J49" s="94" t="n"/>
      <c r="O49" s="95" t="n"/>
      <c r="P49" s="94" t="n"/>
      <c r="S49" s="95" t="n"/>
      <c r="T49" s="94" t="n"/>
      <c r="AG49" s="95" t="n"/>
      <c r="AH49" s="94" t="n"/>
      <c r="AK49" s="95" t="n"/>
      <c r="AL49" s="94" t="n"/>
      <c r="AW49" s="95" t="n"/>
    </row>
    <row r="50" ht="18" customHeight="1">
      <c r="D50" s="96" t="n"/>
      <c r="E50" s="98" t="n"/>
      <c r="F50" s="98" t="n"/>
      <c r="G50" s="98" t="n"/>
      <c r="H50" s="98" t="n"/>
      <c r="I50" s="97" t="n"/>
      <c r="J50" s="96" t="n"/>
      <c r="K50" s="98" t="n"/>
      <c r="L50" s="98" t="n"/>
      <c r="M50" s="98" t="n"/>
      <c r="N50" s="98" t="n"/>
      <c r="O50" s="97" t="n"/>
      <c r="P50" s="94" t="n"/>
      <c r="S50" s="95" t="n"/>
      <c r="T50" s="94" t="n"/>
      <c r="AG50" s="95" t="n"/>
      <c r="AH50" s="94" t="n"/>
      <c r="AK50" s="95" t="n"/>
      <c r="AL50" s="94" t="n"/>
      <c r="AW50" s="95" t="n"/>
    </row>
    <row r="51" ht="18" customHeight="1">
      <c r="D51" s="112" t="inlineStr"/>
      <c r="E51" s="87" t="n"/>
      <c r="F51" s="87" t="n"/>
      <c r="G51" s="87" t="n"/>
      <c r="H51" s="87" t="n"/>
      <c r="I51" s="87" t="n"/>
      <c r="J51" s="87" t="n"/>
      <c r="K51" s="87" t="n"/>
      <c r="L51" s="87" t="n"/>
      <c r="M51" s="87" t="n"/>
      <c r="N51" s="87" t="n"/>
      <c r="O51" s="88" t="n"/>
      <c r="P51" s="94" t="n"/>
      <c r="S51" s="95" t="n"/>
      <c r="T51" s="96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  <c r="AF51" s="98" t="n"/>
      <c r="AG51" s="97" t="n"/>
      <c r="AH51" s="96" t="n"/>
      <c r="AI51" s="98" t="n"/>
      <c r="AJ51" s="98" t="n"/>
      <c r="AK51" s="97" t="n"/>
      <c r="AL51" s="96" t="n"/>
      <c r="AM51" s="98" t="n"/>
      <c r="AN51" s="98" t="n"/>
      <c r="AO51" s="98" t="n"/>
      <c r="AP51" s="98" t="n"/>
      <c r="AQ51" s="98" t="n"/>
      <c r="AR51" s="98" t="n"/>
      <c r="AS51" s="98" t="n"/>
      <c r="AT51" s="98" t="n"/>
      <c r="AU51" s="98" t="n"/>
      <c r="AV51" s="98" t="n"/>
      <c r="AW51" s="97" t="n"/>
    </row>
    <row r="52" ht="18" customHeight="1">
      <c r="D52" s="106" t="inlineStr">
        <is>
          <t>4A. Moldeado Rotativa Ralem R800 + Dulcera (12 m²)</t>
        </is>
      </c>
      <c r="E52" s="92" t="n"/>
      <c r="F52" s="92" t="n"/>
      <c r="G52" s="92" t="n"/>
      <c r="H52" s="92" t="n"/>
      <c r="I52" s="92" t="n"/>
      <c r="J52" s="92" t="n"/>
      <c r="K52" s="92" t="n"/>
      <c r="L52" s="92" t="n"/>
      <c r="M52" s="92" t="n"/>
      <c r="N52" s="92" t="n"/>
      <c r="O52" s="90" t="n"/>
      <c r="P52" s="94" t="n"/>
      <c r="S52" s="95" t="n"/>
      <c r="T52" s="106" t="inlineStr">
        <is>
          <t>5A. HORNO TÚNEL POLIN (6,00 m x 1,30 m) - 33 m²</t>
        </is>
      </c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  <c r="AD52" s="92" t="n"/>
      <c r="AE52" s="90" t="n"/>
      <c r="AF52" s="101" t="inlineStr">
        <is>
          <t>PASILLO</t>
        </is>
      </c>
      <c r="AG52" s="90" t="n"/>
      <c r="AH52" s="106" t="inlineStr">
        <is>
          <t>6A. Cinta Enfriado Golden Way (5m x 0,8m) - 21 m²</t>
        </is>
      </c>
      <c r="AI52" s="92" t="n"/>
      <c r="AJ52" s="92" t="n"/>
      <c r="AK52" s="92" t="n"/>
      <c r="AL52" s="92" t="n"/>
      <c r="AM52" s="92" t="n"/>
      <c r="AN52" s="92" t="n"/>
      <c r="AO52" s="92" t="n"/>
      <c r="AP52" s="92" t="n"/>
      <c r="AQ52" s="90" t="n"/>
      <c r="AR52" s="106" t="inlineStr">
        <is>
          <t>7A. Envasadora Vertical
+ Detector Metales (11 m²)</t>
        </is>
      </c>
      <c r="AS52" s="92" t="n"/>
      <c r="AT52" s="92" t="n"/>
      <c r="AU52" s="92" t="n"/>
      <c r="AV52" s="92" t="n"/>
      <c r="AW52" s="90" t="n"/>
    </row>
    <row r="53" ht="18" customHeight="1">
      <c r="D53" s="94" t="n"/>
      <c r="O53" s="95" t="n"/>
      <c r="P53" s="94" t="n"/>
      <c r="S53" s="95" t="n"/>
      <c r="T53" s="94" t="n"/>
      <c r="AE53" s="95" t="n"/>
      <c r="AF53" s="94" t="n"/>
      <c r="AG53" s="95" t="n"/>
      <c r="AH53" s="94" t="n"/>
      <c r="AQ53" s="95" t="n"/>
      <c r="AR53" s="94" t="n"/>
      <c r="AW53" s="95" t="n"/>
    </row>
    <row r="54" ht="18" customHeight="1">
      <c r="D54" s="94" t="n"/>
      <c r="O54" s="95" t="n"/>
      <c r="P54" s="94" t="n"/>
      <c r="S54" s="95" t="n"/>
      <c r="T54" s="94" t="n"/>
      <c r="AE54" s="95" t="n"/>
      <c r="AF54" s="94" t="n"/>
      <c r="AG54" s="95" t="n"/>
      <c r="AH54" s="94" t="n"/>
      <c r="AQ54" s="95" t="n"/>
      <c r="AR54" s="94" t="n"/>
      <c r="AW54" s="95" t="n"/>
    </row>
    <row r="55" ht="18" customHeight="1">
      <c r="D55" s="94" t="n"/>
      <c r="O55" s="95" t="n"/>
      <c r="P55" s="94" t="n"/>
      <c r="S55" s="95" t="n"/>
      <c r="T55" s="94" t="n"/>
      <c r="AE55" s="95" t="n"/>
      <c r="AF55" s="94" t="n"/>
      <c r="AG55" s="95" t="n"/>
      <c r="AH55" s="94" t="n"/>
      <c r="AQ55" s="95" t="n"/>
      <c r="AR55" s="94" t="n"/>
      <c r="AW55" s="95" t="n"/>
    </row>
    <row r="56" ht="18" customHeight="1">
      <c r="D56" s="94" t="n"/>
      <c r="O56" s="95" t="n"/>
      <c r="P56" s="94" t="n"/>
      <c r="S56" s="95" t="n"/>
      <c r="T56" s="94" t="n"/>
      <c r="AE56" s="95" t="n"/>
      <c r="AF56" s="94" t="n"/>
      <c r="AG56" s="95" t="n"/>
      <c r="AH56" s="94" t="n"/>
      <c r="AQ56" s="95" t="n"/>
      <c r="AR56" s="94" t="n"/>
      <c r="AW56" s="95" t="n"/>
    </row>
    <row r="57" ht="18" customHeight="1">
      <c r="D57" s="94" t="n"/>
      <c r="O57" s="95" t="n"/>
      <c r="P57" s="94" t="n"/>
      <c r="S57" s="95" t="n"/>
      <c r="T57" s="94" t="n"/>
      <c r="AE57" s="95" t="n"/>
      <c r="AF57" s="94" t="n"/>
      <c r="AG57" s="95" t="n"/>
      <c r="AH57" s="94" t="n"/>
      <c r="AQ57" s="95" t="n"/>
      <c r="AR57" s="94" t="n"/>
      <c r="AW57" s="95" t="n"/>
    </row>
    <row r="58" ht="18" customHeight="1">
      <c r="D58" s="96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7" t="n"/>
      <c r="P58" s="96" t="n"/>
      <c r="Q58" s="98" t="n"/>
      <c r="R58" s="98" t="n"/>
      <c r="S58" s="97" t="n"/>
      <c r="T58" s="96" t="n"/>
      <c r="U58" s="98" t="n"/>
      <c r="V58" s="98" t="n"/>
      <c r="W58" s="98" t="n"/>
      <c r="X58" s="98" t="n"/>
      <c r="Y58" s="98" t="n"/>
      <c r="Z58" s="98" t="n"/>
      <c r="AA58" s="98" t="n"/>
      <c r="AB58" s="98" t="n"/>
      <c r="AC58" s="98" t="n"/>
      <c r="AD58" s="98" t="n"/>
      <c r="AE58" s="97" t="n"/>
      <c r="AF58" s="96" t="n"/>
      <c r="AG58" s="97" t="n"/>
      <c r="AH58" s="96" t="n"/>
      <c r="AI58" s="98" t="n"/>
      <c r="AJ58" s="98" t="n"/>
      <c r="AK58" s="98" t="n"/>
      <c r="AL58" s="98" t="n"/>
      <c r="AM58" s="98" t="n"/>
      <c r="AN58" s="98" t="n"/>
      <c r="AO58" s="98" t="n"/>
      <c r="AP58" s="98" t="n"/>
      <c r="AQ58" s="97" t="n"/>
      <c r="AR58" s="96" t="n"/>
      <c r="AS58" s="98" t="n"/>
      <c r="AT58" s="98" t="n"/>
      <c r="AU58" s="98" t="n"/>
      <c r="AV58" s="98" t="n"/>
      <c r="AW58" s="97" t="n"/>
    </row>
    <row r="59" ht="18" customHeight="1">
      <c r="C59" s="113" t="inlineStr">
        <is>
          <t>PASILLO TÉCNICO DE CIRCULACIÓN TRASERO Y SALIDA DE VAHOS (2,0 m)</t>
        </is>
      </c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  <c r="AA59" s="92" t="n"/>
      <c r="AB59" s="92" t="n"/>
      <c r="AC59" s="92" t="n"/>
      <c r="AD59" s="92" t="n"/>
      <c r="AE59" s="92" t="n"/>
      <c r="AF59" s="92" t="n"/>
      <c r="AG59" s="92" t="n"/>
      <c r="AH59" s="92" t="n"/>
      <c r="AI59" s="92" t="n"/>
      <c r="AJ59" s="92" t="n"/>
      <c r="AK59" s="92" t="n"/>
      <c r="AL59" s="92" t="n"/>
      <c r="AM59" s="92" t="n"/>
      <c r="AN59" s="92" t="n"/>
      <c r="AO59" s="92" t="n"/>
      <c r="AP59" s="92" t="n"/>
      <c r="AQ59" s="92" t="n"/>
      <c r="AR59" s="92" t="n"/>
      <c r="AS59" s="92" t="n"/>
      <c r="AT59" s="92" t="n"/>
      <c r="AU59" s="92" t="n"/>
      <c r="AV59" s="92" t="n"/>
      <c r="AW59" s="92" t="n"/>
      <c r="AX59" s="90" t="n"/>
    </row>
    <row r="60" ht="18" customHeight="1">
      <c r="C60" s="94" t="n"/>
      <c r="AX60" s="95" t="n"/>
    </row>
    <row r="61" ht="18" customHeight="1">
      <c r="C61" s="96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  <c r="Z61" s="98" t="n"/>
      <c r="AA61" s="98" t="n"/>
      <c r="AB61" s="98" t="n"/>
      <c r="AC61" s="98" t="n"/>
      <c r="AD61" s="98" t="n"/>
      <c r="AE61" s="98" t="n"/>
      <c r="AF61" s="98" t="n"/>
      <c r="AG61" s="98" t="n"/>
      <c r="AH61" s="98" t="n"/>
      <c r="AI61" s="98" t="n"/>
      <c r="AJ61" s="98" t="n"/>
      <c r="AK61" s="98" t="n"/>
      <c r="AL61" s="98" t="n"/>
      <c r="AM61" s="98" t="n"/>
      <c r="AN61" s="98" t="n"/>
      <c r="AO61" s="98" t="n"/>
      <c r="AP61" s="98" t="n"/>
      <c r="AQ61" s="98" t="n"/>
      <c r="AR61" s="98" t="n"/>
      <c r="AS61" s="98" t="n"/>
      <c r="AT61" s="98" t="n"/>
      <c r="AU61" s="98" t="n"/>
      <c r="AV61" s="98" t="n"/>
      <c r="AW61" s="98" t="n"/>
      <c r="AX61" s="97" t="n"/>
    </row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39">
    <mergeCell ref="AR52:AW58"/>
    <mergeCell ref="C5:AX5"/>
    <mergeCell ref="AL11:AW13"/>
    <mergeCell ref="D34:O42"/>
    <mergeCell ref="T52:AE58"/>
    <mergeCell ref="AW6:AX9"/>
    <mergeCell ref="T14:Y33"/>
    <mergeCell ref="J44:O50"/>
    <mergeCell ref="AB14:AG33"/>
    <mergeCell ref="T44:AG51"/>
    <mergeCell ref="AL34:AW42"/>
    <mergeCell ref="D52:O58"/>
    <mergeCell ref="D11:O13"/>
    <mergeCell ref="D43:O43"/>
    <mergeCell ref="AF52:AG58"/>
    <mergeCell ref="C59:AX61"/>
    <mergeCell ref="AL43:AW43"/>
    <mergeCell ref="P14:S58"/>
    <mergeCell ref="AE11:AK13"/>
    <mergeCell ref="E6:N9"/>
    <mergeCell ref="AL14:AW25"/>
    <mergeCell ref="D51:O51"/>
    <mergeCell ref="C6:D9"/>
    <mergeCell ref="AL44:AW51"/>
    <mergeCell ref="O6:AL9"/>
    <mergeCell ref="AL30:AW33"/>
    <mergeCell ref="D32:O33"/>
    <mergeCell ref="AL26:AW29"/>
    <mergeCell ref="AH52:AQ58"/>
    <mergeCell ref="AH14:AK51"/>
    <mergeCell ref="AM6:AV9"/>
    <mergeCell ref="AB34:AG42"/>
    <mergeCell ref="D14:O31"/>
    <mergeCell ref="T43:AG43"/>
    <mergeCell ref="W11:AD13"/>
    <mergeCell ref="Z14:AA33"/>
    <mergeCell ref="D44:I50"/>
    <mergeCell ref="P11:V13"/>
    <mergeCell ref="T34:Y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36" customWidth="1" min="9" max="9"/>
  </cols>
  <sheetData>
    <row r="2" ht="26" customHeight="1">
      <c r="B2" s="28" t="inlineStr">
        <is>
          <t>MATRIZ DE EVALUACIÓN MULTICRITERIO Y COMPARACIÓN DE ALTERNATIVAS DE LAYOUT</t>
        </is>
      </c>
    </row>
    <row r="3" ht="18" customHeight="1">
      <c r="B3" s="2" t="inlineStr">
        <is>
          <t>Proyecto Final UTN FRBA - Grupo 8 | Planta CELI | Metodología SLP (Richard Muther) - Selección por Factores Ponderados</t>
        </is>
      </c>
    </row>
    <row r="5" ht="24" customHeight="1">
      <c r="B5" s="7" t="inlineStr">
        <is>
          <t>N°</t>
        </is>
      </c>
      <c r="C5" s="7" t="inlineStr">
        <is>
          <t>Criterio de Evaluación de Planta</t>
        </is>
      </c>
      <c r="D5" s="7" t="inlineStr">
        <is>
          <t>Peso (%)</t>
        </is>
      </c>
      <c r="E5" s="7" t="inlineStr">
        <is>
          <t>Calif. Alt. A (1-10)</t>
        </is>
      </c>
      <c r="F5" s="7" t="inlineStr">
        <is>
          <t>Puntaje Alt. A</t>
        </is>
      </c>
      <c r="G5" s="7" t="inlineStr">
        <is>
          <t>Calif. Alt. B (1-10)</t>
        </is>
      </c>
      <c r="H5" s="7" t="inlineStr">
        <is>
          <t>Puntaje Alt. B</t>
        </is>
      </c>
      <c r="I5" s="7" t="inlineStr">
        <is>
          <t>Justificación de Ingeniería / Ventaja Comparativa</t>
        </is>
      </c>
    </row>
    <row r="6" ht="24" customHeight="1">
      <c r="B6" s="30" t="n">
        <v>1</v>
      </c>
      <c r="C6" s="9" t="inlineStr">
        <is>
          <t>Distancia de acarreo de Producto Terminado (PT)</t>
        </is>
      </c>
      <c r="D6" s="114" t="n">
        <v>0.25</v>
      </c>
      <c r="E6" s="31" t="n">
        <v>6</v>
      </c>
      <c r="F6" s="64">
        <f>D6*E6</f>
        <v/>
      </c>
      <c r="G6" s="115" t="n">
        <v>10</v>
      </c>
      <c r="H6" s="50">
        <f>D6*G6</f>
        <v/>
      </c>
      <c r="I6" s="32" t="inlineStr">
        <is>
          <t>Alt. B tiene distancia &lt; 2m (envasado pegado a PT), frente a 22m en Alt. A.</t>
        </is>
      </c>
    </row>
    <row r="7" ht="24" customHeight="1">
      <c r="B7" s="33" t="n">
        <v>2</v>
      </c>
      <c r="C7" s="16" t="inlineStr">
        <is>
          <t>Concentración y sinergia del sector de envasado</t>
        </is>
      </c>
      <c r="D7" s="116" t="n">
        <v>0.2</v>
      </c>
      <c r="E7" s="34" t="n">
        <v>6</v>
      </c>
      <c r="F7" s="57">
        <f>D7*E7</f>
        <v/>
      </c>
      <c r="G7" s="115" t="n">
        <v>9</v>
      </c>
      <c r="H7" s="50">
        <f>D7*G7</f>
        <v/>
      </c>
      <c r="I7" s="35" t="inlineStr">
        <is>
          <t>Alt. B unifica el empaque de Galletitas y Panificados en una sola nave limpia compartida.</t>
        </is>
      </c>
    </row>
    <row r="8" ht="24" customHeight="1">
      <c r="B8" s="30" t="n">
        <v>3</v>
      </c>
      <c r="C8" s="9" t="inlineStr">
        <is>
          <t>Zonificación higiénica y separación sucia/limpia (Sin TACC)</t>
        </is>
      </c>
      <c r="D8" s="114" t="n">
        <v>0.15</v>
      </c>
      <c r="E8" s="31" t="n">
        <v>8</v>
      </c>
      <c r="F8" s="64">
        <f>D8*E8</f>
        <v/>
      </c>
      <c r="G8" s="115" t="n">
        <v>9</v>
      </c>
      <c r="H8" s="50">
        <f>D8*G8</f>
        <v/>
      </c>
      <c r="I8" s="32" t="inlineStr">
        <is>
          <t>Alt. B divide nítidamente la elaboración térmica (derecha) del empaque y PT (izquierda).</t>
        </is>
      </c>
    </row>
    <row r="9" ht="24" customHeight="1">
      <c r="B9" s="33" t="n">
        <v>4</v>
      </c>
      <c r="C9" s="16" t="inlineStr">
        <is>
          <t>Alineación mecánica de máquinas continuas (Horno Túnel)</t>
        </is>
      </c>
      <c r="D9" s="116" t="n">
        <v>0.15</v>
      </c>
      <c r="E9" s="34" t="n">
        <v>7</v>
      </c>
      <c r="F9" s="57">
        <f>D9*E9</f>
        <v/>
      </c>
      <c r="G9" s="115" t="n">
        <v>9</v>
      </c>
      <c r="H9" s="50">
        <f>D9*G9</f>
        <v/>
      </c>
      <c r="I9" s="35" t="inlineStr">
        <is>
          <t>Alt. B dispone el Horno Túnel de 6m longitudinalmente en línea recta con la rotativa.</t>
        </is>
      </c>
    </row>
    <row r="10" ht="24" customHeight="1">
      <c r="B10" s="30" t="n">
        <v>5</v>
      </c>
      <c r="C10" s="9" t="inlineStr">
        <is>
          <t>Aislamiento térmico y evacuación de vahos de hornos</t>
        </is>
      </c>
      <c r="D10" s="114" t="n">
        <v>0.15</v>
      </c>
      <c r="E10" s="31" t="n">
        <v>8</v>
      </c>
      <c r="F10" s="64">
        <f>D10*E10</f>
        <v/>
      </c>
      <c r="G10" s="115" t="n">
        <v>9</v>
      </c>
      <c r="H10" s="50">
        <f>D10*G10</f>
        <v/>
      </c>
      <c r="I10" s="32" t="inlineStr">
        <is>
          <t>Alt. B independiza el enfriado de panes mediante tabique aislante respecto al horno rotativo.</t>
        </is>
      </c>
    </row>
    <row r="11" ht="24" customHeight="1">
      <c r="B11" s="33" t="n">
        <v>6</v>
      </c>
      <c r="C11" s="16" t="inlineStr">
        <is>
          <t>Flexibilidad para futuras ampliaciones de capacidad</t>
        </is>
      </c>
      <c r="D11" s="116" t="n">
        <v>0.1</v>
      </c>
      <c r="E11" s="34" t="n">
        <v>7</v>
      </c>
      <c r="F11" s="57">
        <f>D11*E11</f>
        <v/>
      </c>
      <c r="G11" s="115" t="n">
        <v>8</v>
      </c>
      <c r="H11" s="50">
        <f>D11*G11</f>
        <v/>
      </c>
      <c r="I11" s="35" t="inlineStr">
        <is>
          <t>Alt. B permite extender las líneas longitudinalmente hacia el fondo sin interferir con PT.</t>
        </is>
      </c>
    </row>
    <row r="12" ht="26" customHeight="1">
      <c r="B12" s="23" t="inlineStr"/>
      <c r="C12" s="24" t="inlineStr">
        <is>
          <t>TOTAL PUNTUACIÓN PONDERADA</t>
        </is>
      </c>
      <c r="D12" s="117">
        <f>SUM(D6:D11)</f>
        <v/>
      </c>
      <c r="E12" s="118" t="inlineStr">
        <is>
          <t>-</t>
        </is>
      </c>
      <c r="F12" s="26">
        <f>SUM(F6:F11)</f>
        <v/>
      </c>
      <c r="G12" s="119" t="inlineStr">
        <is>
          <t>GANADORA</t>
        </is>
      </c>
      <c r="H12" s="120">
        <f>SUM(H6:H11)</f>
        <v/>
      </c>
      <c r="I12" s="121" t="inlineStr">
        <is>
          <t>La Alternativa B resulta seleccionada con 9,15 pts vs 6,95 pts de Alt.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SECCIÓN PESADO Y MICROPESADO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Línea: Común (Galletitas y Panificados) | Balanza de plataforma industrial + Mesa micropesado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Balanza de plataforma + Mesa micropesado</t>
        </is>
      </c>
      <c r="D6" s="50" t="n">
        <v>1.2</v>
      </c>
      <c r="E6" s="50" t="n">
        <v>1</v>
      </c>
      <c r="F6" s="51" t="n">
        <v>1</v>
      </c>
      <c r="G6" s="52">
        <f>D6*E6*F6</f>
        <v/>
      </c>
      <c r="H6" s="53" t="inlineStr">
        <is>
          <t>Fabricante (plataforma 1x1m + báscula digital)</t>
        </is>
      </c>
      <c r="I6" s="53" t="inlineStr">
        <is>
          <t>Pesaje de bines, bolsas e ingredientes menores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MP en espera (Pallet / bines desde depósito)</t>
        </is>
      </c>
      <c r="D7" s="55" t="n">
        <v>1.2</v>
      </c>
      <c r="E7" s="55" t="n">
        <v>1</v>
      </c>
      <c r="F7" s="56" t="n">
        <v>1</v>
      </c>
      <c r="G7" s="57">
        <f>D7*E7*F7</f>
        <v/>
      </c>
      <c r="H7" s="58" t="inlineStr">
        <is>
          <t>Huella de pallet normalizado Arlog (1,2 x 1,0 m)</t>
        </is>
      </c>
      <c r="I7" s="58" t="inlineStr">
        <is>
          <t>Espera de materias primas a fraccionar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Área de operación y pesaje de operario</t>
        </is>
      </c>
      <c r="D8" s="55" t="n">
        <v>1.5</v>
      </c>
      <c r="E8" s="55" t="n">
        <v>1.2</v>
      </c>
      <c r="F8" s="63" t="n">
        <v>1</v>
      </c>
      <c r="G8" s="64">
        <f>D8*E8*F8</f>
        <v/>
      </c>
      <c r="H8" s="65" t="inlineStr">
        <is>
          <t>Radio ergonómico de giro y manipulación de bolsas</t>
        </is>
      </c>
      <c r="I8" s="65" t="inlineStr">
        <is>
          <t>Carga manual, vaciado, tara y pesaje neto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Mesa de fraccionamiento y salida de bines</t>
        </is>
      </c>
      <c r="D9" s="55" t="n">
        <v>1.2</v>
      </c>
      <c r="E9" s="55" t="n">
        <v>0.8</v>
      </c>
      <c r="F9" s="56" t="n">
        <v>1</v>
      </c>
      <c r="G9" s="57">
        <f>D9*E9*F9</f>
        <v/>
      </c>
      <c r="H9" s="58" t="inlineStr">
        <is>
          <t>Mesa estándar acero inoxidable AISI 304</t>
        </is>
      </c>
      <c r="I9" s="58" t="inlineStr">
        <is>
          <t>Fraccionamiento fino de aditivos y pesadas menores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Tablero / terminal báscula e impresora</t>
        </is>
      </c>
      <c r="D10" s="55" t="n">
        <v>0.6</v>
      </c>
      <c r="E10" s="55" t="n">
        <v>0.5</v>
      </c>
      <c r="F10" s="63" t="n">
        <v>1</v>
      </c>
      <c r="G10" s="64">
        <f>D10*E10*F10</f>
        <v/>
      </c>
      <c r="H10" s="65" t="inlineStr">
        <is>
          <t>Columna con pantalla LCD e impresora térmica</t>
        </is>
      </c>
      <c r="I10" s="65" t="inlineStr">
        <is>
          <t>Registro de lote, peso neto y etiquetas de pesaje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perimetral</t>
        </is>
      </c>
      <c r="D11" s="55" t="n">
        <v>0.5</v>
      </c>
      <c r="E11" s="55" t="n">
        <v>1</v>
      </c>
      <c r="F11" s="56" t="n">
        <v>2</v>
      </c>
      <c r="G11" s="57">
        <f>D11*E11*F11</f>
        <v/>
      </c>
      <c r="H11" s="58" t="inlineStr">
        <is>
          <t>0,5 m de seguridad según normas de higiene</t>
        </is>
      </c>
      <c r="I11" s="58" t="inlineStr">
        <is>
          <t>Seguridad lateral y distanciamiento de pared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y zorra hidráulica</t>
        </is>
      </c>
      <c r="D12" s="55" t="n">
        <v>1.2</v>
      </c>
      <c r="E12" s="55" t="n">
        <v>3.5</v>
      </c>
      <c r="F12" s="63" t="n">
        <v>1</v>
      </c>
      <c r="G12" s="64">
        <f>D12*E12*F12</f>
        <v/>
      </c>
      <c r="H12" s="65" t="inlineStr">
        <is>
          <t>Ancho mínimo de maniobra para zorra manual</t>
        </is>
      </c>
      <c r="I12" s="65" t="inlineStr">
        <is>
          <t>Circulación de materiales y personal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Buffer de bines pesados en espera (SE)</t>
        </is>
      </c>
      <c r="D13" s="55" t="n">
        <v>1.2</v>
      </c>
      <c r="E13" s="55" t="n">
        <v>1</v>
      </c>
      <c r="F13" s="56" t="n">
        <v>1</v>
      </c>
      <c r="G13" s="57">
        <f>D13*E13*F13</f>
        <v/>
      </c>
      <c r="H13" s="58" t="inlineStr">
        <is>
          <t>Batea/carro de transporte a amasado/batido</t>
        </is>
      </c>
      <c r="I13" s="58" t="inlineStr">
        <is>
          <t>Buffer de ingredientes pesados listos para proceso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Balanza de Piso + Mesa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Equipo Principal</t>
        </is>
      </c>
      <c r="C17" s="75" t="n"/>
      <c r="D17" s="76" t="n"/>
      <c r="E17" s="32" t="inlineStr">
        <is>
          <t>Balanza de plataforma MST-150B + Báscula digital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Capacidad Máxima</t>
        </is>
      </c>
      <c r="C18" s="75" t="n"/>
      <c r="D18" s="76" t="n"/>
      <c r="E18" s="32" t="inlineStr">
        <is>
          <t>150 kg (resolución 20 g) / Mesa 50 kg (resolución 1 g)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Plataforma</t>
        </is>
      </c>
      <c r="C19" s="75" t="n"/>
      <c r="D19" s="76" t="n"/>
      <c r="E19" s="32" t="inlineStr">
        <is>
          <t>1000 mm x 1000 mm | Altura plataforma: 120 mm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Mesa de Micropesado</t>
        </is>
      </c>
      <c r="C20" s="75" t="n"/>
      <c r="D20" s="76" t="n"/>
      <c r="E20" s="32" t="inlineStr">
        <is>
          <t>Acero Inox AISI 304 (1200 x 800 mm, h=850 mm)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Alimentación Eléctrica</t>
        </is>
      </c>
      <c r="C21" s="75" t="n"/>
      <c r="D21" s="76" t="n"/>
      <c r="E21" s="32" t="inlineStr">
        <is>
          <t>220 V / 50 Hz con batería de respaldo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Insumos Manipulados</t>
        </is>
      </c>
      <c r="C22" s="75" t="n"/>
      <c r="D22" s="76" t="n"/>
      <c r="E22" s="32" t="inlineStr">
        <is>
          <t>Féculas, harinas, aditivos, leudantes, esencias, sal, azúcar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AMASADO - LÍNEA GALLETITAS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A - Galletitas | Amasadora Doble Z Volcable Catania HJ25B (50 L / 25 kg)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Máquina Amasadora Doble Z Volcable</t>
        </is>
      </c>
      <c r="D6" s="50" t="n">
        <v>0.78</v>
      </c>
      <c r="E6" s="50" t="n">
        <v>0.5</v>
      </c>
      <c r="F6" s="51" t="n">
        <v>1</v>
      </c>
      <c r="G6" s="52">
        <f>D6*E6*F6</f>
        <v/>
      </c>
      <c r="H6" s="53" t="inlineStr">
        <is>
          <t>Fabricante Catania (HJ25B: 780 x 500 mm)</t>
        </is>
      </c>
      <c r="I6" s="53" t="inlineStr">
        <is>
          <t>Mezclado y amasado de masas densas sin gluten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MP pesada en espera (Bines con ingredientes)</t>
        </is>
      </c>
      <c r="D7" s="55" t="n">
        <v>0.8</v>
      </c>
      <c r="E7" s="55" t="n">
        <v>0.6</v>
      </c>
      <c r="F7" s="56" t="n">
        <v>1</v>
      </c>
      <c r="G7" s="57">
        <f>D7*E7*F7</f>
        <v/>
      </c>
      <c r="H7" s="58" t="inlineStr">
        <is>
          <t>Contenedores plásticos rodantes alimentarios</t>
        </is>
      </c>
      <c r="I7" s="58" t="inlineStr">
        <is>
          <t>Espera de carga de materias primas dosificadas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Alimentación + Operación del amasador</t>
        </is>
      </c>
      <c r="D8" s="55" t="n">
        <v>1.2</v>
      </c>
      <c r="E8" s="55" t="n">
        <v>1</v>
      </c>
      <c r="F8" s="63" t="n">
        <v>1</v>
      </c>
      <c r="G8" s="64">
        <f>D8*E8*F8</f>
        <v/>
      </c>
      <c r="H8" s="65" t="inlineStr">
        <is>
          <t>Espacio de trabajo frontal del operario</t>
        </is>
      </c>
      <c r="I8" s="65" t="inlineStr">
        <is>
          <t>Carga manual de ingredientes y control de amasado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Zona de vuelco / descarga de masa amasada</t>
        </is>
      </c>
      <c r="D9" s="55" t="n">
        <v>0.9</v>
      </c>
      <c r="E9" s="55" t="n">
        <v>0.7</v>
      </c>
      <c r="F9" s="56" t="n">
        <v>1</v>
      </c>
      <c r="G9" s="57">
        <f>D9*E9*F9</f>
        <v/>
      </c>
      <c r="H9" s="58" t="inlineStr">
        <is>
          <t>Radio de descarga de batea basculante 90°</t>
        </is>
      </c>
      <c r="I9" s="58" t="inlineStr">
        <is>
          <t>Vuelco de la masa elaborada hacia batea móvil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Tablero eléctrico de comando y variador</t>
        </is>
      </c>
      <c r="D10" s="55" t="n">
        <v>0.6</v>
      </c>
      <c r="E10" s="55" t="n">
        <v>0.4</v>
      </c>
      <c r="F10" s="63" t="n">
        <v>1</v>
      </c>
      <c r="G10" s="64">
        <f>D10*E10*F10</f>
        <v/>
      </c>
      <c r="H10" s="65" t="inlineStr">
        <is>
          <t>Gabinete estanco IP65 para pulsadores y mando</t>
        </is>
      </c>
      <c r="I10" s="65" t="inlineStr">
        <is>
          <t>Comando de velocidad, temporizador y parada emergencia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lateral y vuelco</t>
        </is>
      </c>
      <c r="D11" s="55" t="n">
        <v>0.5</v>
      </c>
      <c r="E11" s="55" t="n">
        <v>0.8</v>
      </c>
      <c r="F11" s="56" t="n">
        <v>2</v>
      </c>
      <c r="G11" s="57">
        <f>D11*E11*F11</f>
        <v/>
      </c>
      <c r="H11" s="58" t="inlineStr">
        <is>
          <t>0,5 m de seguridad lateral respecto a tabiques</t>
        </is>
      </c>
      <c r="I11" s="58" t="inlineStr">
        <is>
          <t>Seguridad operativa y acceso a limpieza/mantenimiento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y transporte de batea</t>
        </is>
      </c>
      <c r="D12" s="55" t="n">
        <v>1</v>
      </c>
      <c r="E12" s="55" t="n">
        <v>2.5</v>
      </c>
      <c r="F12" s="63" t="n">
        <v>1</v>
      </c>
      <c r="G12" s="64">
        <f>D12*E12*F12</f>
        <v/>
      </c>
      <c r="H12" s="65" t="inlineStr">
        <is>
          <t>Pasillo de circulación interna (mínimo 1,00 m)</t>
        </is>
      </c>
      <c r="I12" s="65" t="inlineStr">
        <is>
          <t>Tránsito peatonal y traslado rodante de bateas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Buffer de batea con reposo de masa (SE)</t>
        </is>
      </c>
      <c r="D13" s="55" t="n">
        <v>0.8</v>
      </c>
      <c r="E13" s="55" t="n">
        <v>0.8</v>
      </c>
      <c r="F13" s="56" t="n">
        <v>1</v>
      </c>
      <c r="G13" s="57">
        <f>D13*E13*F13</f>
        <v/>
      </c>
      <c r="H13" s="58" t="inlineStr">
        <is>
          <t>Carro porta-batea de acero inox en reposo</t>
        </is>
      </c>
      <c r="I13" s="58" t="inlineStr">
        <is>
          <t>Buffer de masa lista antes de alimentar moldeadora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Amasadora Doble Z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Catania HJ25B (Amasadora doble Z volcable)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Capacidad de Batea</t>
        </is>
      </c>
      <c r="C18" s="75" t="n"/>
      <c r="D18" s="76" t="n"/>
      <c r="E18" s="32" t="inlineStr">
        <is>
          <t>50 Litros / 25 kg de masa por bache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del Equipo</t>
        </is>
      </c>
      <c r="C19" s="75" t="n"/>
      <c r="D19" s="76" t="n"/>
      <c r="E19" s="32" t="inlineStr">
        <is>
          <t>780 mm (Largo) x 500 mm (Ancho) x 950 mm (Alto)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0,39 m² (según memoria de cálculo BOM y Balanceo)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Potencia y Voltaje</t>
        </is>
      </c>
      <c r="C21" s="75" t="n"/>
      <c r="D21" s="76" t="n"/>
      <c r="E21" s="32" t="inlineStr">
        <is>
          <t>1,50 kW (1500 W) | 220 V / 50 Hz monofásica/trifásica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Tiempo de Bache / Ciclo</t>
        </is>
      </c>
      <c r="C22" s="75" t="n"/>
      <c r="D22" s="76" t="n"/>
      <c r="E22" s="32" t="inlineStr">
        <is>
          <t>12 a 15 min por ciclo de amasado (Capacidad teórica: 125 kg/h)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MOLDEADO / FORMADO - LÍNEA GALLETITAS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A - Galletitas | Máquina Rotativa Ralem R800 + Dulcera + Cinta Transferencia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Máquina Moldeadora Rotativa + Dulcera</t>
        </is>
      </c>
      <c r="D6" s="50" t="n">
        <v>2.02</v>
      </c>
      <c r="E6" s="50" t="n">
        <v>0.8</v>
      </c>
      <c r="F6" s="51" t="n">
        <v>1</v>
      </c>
      <c r="G6" s="52">
        <f>D6*E6*F6</f>
        <v/>
      </c>
      <c r="H6" s="53" t="inlineStr">
        <is>
          <t>Fabricante Ralem (Rotativa R800: 2020 x 800 mm)</t>
        </is>
      </c>
      <c r="I6" s="53" t="inlineStr">
        <is>
          <t>Laminación, corte rotativo de masa y dosificado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Batea de masa amasada en espera</t>
        </is>
      </c>
      <c r="D7" s="55" t="n">
        <v>0.8</v>
      </c>
      <c r="E7" s="55" t="n">
        <v>0.8</v>
      </c>
      <c r="F7" s="56" t="n">
        <v>1</v>
      </c>
      <c r="G7" s="57">
        <f>D7*E7*F7</f>
        <v/>
      </c>
      <c r="H7" s="58" t="inlineStr">
        <is>
          <t>Carro de transporte rodante desde Amasado</t>
        </is>
      </c>
      <c r="I7" s="58" t="inlineStr">
        <is>
          <t>Espera de masa lista para alimentar la tolva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Alimentación de tolva + Puesto de operador</t>
        </is>
      </c>
      <c r="D8" s="55" t="n">
        <v>1.5</v>
      </c>
      <c r="E8" s="55" t="n">
        <v>1</v>
      </c>
      <c r="F8" s="63" t="n">
        <v>1</v>
      </c>
      <c r="G8" s="64">
        <f>D8*E8*F8</f>
        <v/>
      </c>
      <c r="H8" s="65" t="inlineStr">
        <is>
          <t>Acceso ergonómico superior y panel de mandos</t>
        </is>
      </c>
      <c r="I8" s="65" t="inlineStr">
        <is>
          <t>Carga de masa a tolva y calibración de rodillos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Cinta de acople y transferencia a Horno</t>
        </is>
      </c>
      <c r="D9" s="55" t="n">
        <v>1</v>
      </c>
      <c r="E9" s="55" t="n">
        <v>0.8</v>
      </c>
      <c r="F9" s="56" t="n">
        <v>1</v>
      </c>
      <c r="G9" s="57">
        <f>D9*E9*F9</f>
        <v/>
      </c>
      <c r="H9" s="58" t="inlineStr">
        <is>
          <t>Cinta de empalme con la banda metálica del horno</t>
        </is>
      </c>
      <c r="I9" s="58" t="inlineStr">
        <is>
          <t>Alineación y depósito de galletitas en malla de cocción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Tablero eléctrico, variadores y retorno scrap</t>
        </is>
      </c>
      <c r="D10" s="55" t="n">
        <v>0.8</v>
      </c>
      <c r="E10" s="55" t="n">
        <v>0.5</v>
      </c>
      <c r="F10" s="63" t="n">
        <v>1</v>
      </c>
      <c r="G10" s="64">
        <f>D10*E10*F10</f>
        <v/>
      </c>
      <c r="H10" s="65" t="inlineStr">
        <is>
          <t>Gabinete de control y cinta de retorno de recorte</t>
        </is>
      </c>
      <c r="I10" s="65" t="inlineStr">
        <is>
          <t>Regulación de velocidad sincronizada y recuperación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lateral y limpieza</t>
        </is>
      </c>
      <c r="D11" s="55" t="n">
        <v>0.5</v>
      </c>
      <c r="E11" s="55" t="n">
        <v>2</v>
      </c>
      <c r="F11" s="56" t="n">
        <v>2</v>
      </c>
      <c r="G11" s="57">
        <f>D11*E11*F11</f>
        <v/>
      </c>
      <c r="H11" s="58" t="inlineStr">
        <is>
          <t>0,5 m a ambos laterales para acceso y sanidad</t>
        </is>
      </c>
      <c r="I11" s="58" t="inlineStr">
        <is>
          <t>Seguridad y mantenimiento de rodillos formadores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y supervisión</t>
        </is>
      </c>
      <c r="D12" s="55" t="n">
        <v>1</v>
      </c>
      <c r="E12" s="55" t="n">
        <v>3.5</v>
      </c>
      <c r="F12" s="63" t="n">
        <v>1</v>
      </c>
      <c r="G12" s="64">
        <f>D12*E12*F12</f>
        <v/>
      </c>
      <c r="H12" s="65" t="inlineStr">
        <is>
          <t>Pasillo técnico longitudinal de la línea</t>
        </is>
      </c>
      <c r="I12" s="65" t="inlineStr">
        <is>
          <t>Circulación de operarios y control dimensional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Bandeja colectora de recorte / scrap (SE)</t>
        </is>
      </c>
      <c r="D13" s="55" t="n">
        <v>0.6</v>
      </c>
      <c r="E13" s="55" t="n">
        <v>0.6</v>
      </c>
      <c r="F13" s="56" t="n">
        <v>1</v>
      </c>
      <c r="G13" s="57">
        <f>D13*E13*F13</f>
        <v/>
      </c>
      <c r="H13" s="58" t="inlineStr">
        <is>
          <t>Bandeja de recolección de masa sobrante</t>
        </is>
      </c>
      <c r="I13" s="58" t="inlineStr">
        <is>
          <t>Retorno de recortes no conformados hacia amasadora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Moldeadora Rotativa R800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Ralem Rotativa R800 + Dosificadora de Dulce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Ancho de Cilindro / Malla</t>
        </is>
      </c>
      <c r="C18" s="75" t="n"/>
      <c r="D18" s="76" t="n"/>
      <c r="E18" s="32" t="inlineStr">
        <is>
          <t>700 mm útil (Ancho total máquina: 800 mm)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del Equipo</t>
        </is>
      </c>
      <c r="C19" s="75" t="n"/>
      <c r="D19" s="76" t="n"/>
      <c r="E19" s="32" t="inlineStr">
        <is>
          <t>2020 mm (Largo) x 800 mm (Ancho) x 2020 mm (Alto)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1,616 m² (según BOM y Balanceo)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Potencia y Voltaje</t>
        </is>
      </c>
      <c r="C21" s="75" t="n"/>
      <c r="D21" s="76" t="n"/>
      <c r="E21" s="32" t="inlineStr">
        <is>
          <t>2,50 kW | 220 V / 380 V trifásica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Capacidad Teórica</t>
        </is>
      </c>
      <c r="C22" s="75" t="n"/>
      <c r="D22" s="76" t="n"/>
      <c r="E22" s="32" t="inlineStr">
        <is>
          <t>127,66 kg/h (9 galletas/fila, rodillo ø150 mm)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G3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HORNEADO - HORNO TÚNEL CICLOTÉRMICO</t>
        </is>
      </c>
      <c r="L2" s="36" t="inlineStr">
        <is>
          <t>Escala: 1 celda ≈ 0.25 m x 0.25 m (Largo: 24 celdas | Ancho: 5 celdas)</t>
        </is>
      </c>
    </row>
    <row r="3" ht="18" customHeight="1">
      <c r="B3" s="2" t="inlineStr">
        <is>
          <t>Línea A - Galletitas | Horno Túnel Polin GD-BTOM10 (Cámara 6,00 m Largo x 1,30 m Ancho Total)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1" t="n"/>
      <c r="X4" s="38" t="n"/>
      <c r="Y4" s="38" t="n"/>
      <c r="Z4" s="38" t="n"/>
      <c r="AA4" s="38" t="n"/>
      <c r="AB4" s="39" t="inlineStr">
        <is>
          <t>A6</t>
        </is>
      </c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W5" s="46" t="n"/>
      <c r="X5" s="44" t="n"/>
      <c r="Y5" s="44" t="n"/>
      <c r="Z5" s="44" t="n"/>
      <c r="AA5" s="44" t="n"/>
      <c r="AB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Horno Túnel Ciclotérmico Modular</t>
        </is>
      </c>
      <c r="D6" s="50" t="n">
        <v>6</v>
      </c>
      <c r="E6" s="50" t="n">
        <v>1.3</v>
      </c>
      <c r="F6" s="51" t="n">
        <v>1</v>
      </c>
      <c r="G6" s="52">
        <f>D6*E6*F6</f>
        <v/>
      </c>
      <c r="H6" s="53" t="inlineStr">
        <is>
          <t>Fabricante Polin (Cámara 6,0m x 1,3m exterior)</t>
        </is>
      </c>
      <c r="I6" s="53" t="inlineStr">
        <is>
          <t>Cocción continua sobre banda metálica con tiro modulado</t>
        </is>
      </c>
      <c r="M6" s="43" t="n"/>
      <c r="N6" s="44" t="n"/>
      <c r="O6" s="44" t="n"/>
      <c r="P6" s="44" t="n"/>
      <c r="Q6" s="44" t="n"/>
      <c r="R6" s="44" t="n"/>
      <c r="S6" s="59" t="n"/>
      <c r="T6" s="60" t="n"/>
      <c r="U6" s="60" t="n"/>
      <c r="V6" s="60" t="n"/>
      <c r="W6" s="61" t="n"/>
      <c r="X6" s="44" t="n"/>
      <c r="Y6" s="44" t="n"/>
      <c r="Z6" s="44" t="n"/>
      <c r="AA6" s="44" t="n"/>
      <c r="AB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Embocadura y tensión de banda de entrada</t>
        </is>
      </c>
      <c r="D7" s="55" t="n">
        <v>1.2</v>
      </c>
      <c r="E7" s="55" t="n">
        <v>1.3</v>
      </c>
      <c r="F7" s="56" t="n">
        <v>1</v>
      </c>
      <c r="G7" s="57">
        <f>D7*E7*F7</f>
        <v/>
      </c>
      <c r="H7" s="58" t="inlineStr">
        <is>
          <t>Mecanismo de tracción, centrado y raspador</t>
        </is>
      </c>
      <c r="I7" s="58" t="inlineStr">
        <is>
          <t>Recepción continua de galletas crudas desde rotativa</t>
        </is>
      </c>
      <c r="M7" s="43" t="n"/>
      <c r="N7" s="44" t="n"/>
      <c r="O7" s="44" t="n"/>
      <c r="P7" s="44" t="n"/>
      <c r="Q7" s="44" t="n"/>
      <c r="R7" s="44" t="n"/>
      <c r="S7" s="39" t="inlineStr">
        <is>
          <t>A3</t>
        </is>
      </c>
      <c r="T7" s="40" t="n"/>
      <c r="U7" s="40" t="n"/>
      <c r="V7" s="40" t="n"/>
      <c r="W7" s="41" t="n"/>
      <c r="X7" s="44" t="n"/>
      <c r="Y7" s="44" t="n"/>
      <c r="Z7" s="44" t="n"/>
      <c r="AA7" s="44" t="n"/>
      <c r="AB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Pasarela lateral de inspección y visores</t>
        </is>
      </c>
      <c r="D8" s="55" t="n">
        <v>6</v>
      </c>
      <c r="E8" s="55" t="n">
        <v>1</v>
      </c>
      <c r="F8" s="63" t="n">
        <v>1</v>
      </c>
      <c r="G8" s="64">
        <f>D8*E8*F8</f>
        <v/>
      </c>
      <c r="H8" s="65" t="inlineStr">
        <is>
          <t>Pasarela de supervisión con visores pyrex templados</t>
        </is>
      </c>
      <c r="I8" s="65" t="inlineStr">
        <is>
          <t>Control visual de cocción y ajuste de termocuplas</t>
        </is>
      </c>
      <c r="M8" s="43" t="n"/>
      <c r="N8" s="44" t="n"/>
      <c r="O8" s="44" t="n"/>
      <c r="P8" s="44" t="n"/>
      <c r="Q8" s="44" t="n"/>
      <c r="R8" s="44" t="n"/>
      <c r="S8" s="45" t="n"/>
      <c r="W8" s="46" t="n"/>
      <c r="X8" s="44" t="n"/>
      <c r="Y8" s="44" t="n"/>
      <c r="Z8" s="44" t="n"/>
      <c r="AA8" s="44" t="n"/>
      <c r="AB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Salida de galletitas horneadas y descarga</t>
        </is>
      </c>
      <c r="D9" s="55" t="n">
        <v>1.2</v>
      </c>
      <c r="E9" s="55" t="n">
        <v>1.3</v>
      </c>
      <c r="F9" s="56" t="n">
        <v>1</v>
      </c>
      <c r="G9" s="57">
        <f>D9*E9*F9</f>
        <v/>
      </c>
      <c r="H9" s="58" t="inlineStr">
        <is>
          <t>Zona de descarga y despegue con cuchilla de aire</t>
        </is>
      </c>
      <c r="I9" s="58" t="inlineStr">
        <is>
          <t>Transferencia suave hacia cinta de enfriamiento</t>
        </is>
      </c>
      <c r="M9" s="43" t="n"/>
      <c r="N9" s="44" t="n"/>
      <c r="O9" s="44" t="n"/>
      <c r="P9" s="44" t="n"/>
      <c r="Q9" s="44" t="n"/>
      <c r="R9" s="44" t="n"/>
      <c r="S9" s="59" t="n"/>
      <c r="T9" s="60" t="n"/>
      <c r="U9" s="60" t="n"/>
      <c r="V9" s="60" t="n"/>
      <c r="W9" s="61" t="n"/>
      <c r="X9" s="44" t="n"/>
      <c r="Y9" s="44" t="n"/>
      <c r="Z9" s="44" t="n"/>
      <c r="AA9" s="44" t="n"/>
      <c r="AB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Rampa de gas, quemador y tablero PID</t>
        </is>
      </c>
      <c r="D10" s="55" t="n">
        <v>1.5</v>
      </c>
      <c r="E10" s="55" t="n">
        <v>0.8</v>
      </c>
      <c r="F10" s="63" t="n">
        <v>1</v>
      </c>
      <c r="G10" s="64">
        <f>D10*E10*F10</f>
        <v/>
      </c>
      <c r="H10" s="65" t="inlineStr">
        <is>
          <t>Grupo térmico gas natural + tablero electrónico</t>
        </is>
      </c>
      <c r="I10" s="65" t="inlineStr">
        <is>
          <t>Alimentación segura de gas, tren de válvulas y PID</t>
        </is>
      </c>
      <c r="M10" s="43" t="n"/>
      <c r="N10" s="39" t="inlineStr">
        <is>
          <t>A4</t>
        </is>
      </c>
      <c r="O10" s="40" t="n"/>
      <c r="P10" s="40" t="n"/>
      <c r="Q10" s="40" t="n"/>
      <c r="R10" s="41" t="n"/>
      <c r="S10" s="68" t="inlineStr">
        <is>
          <t>A0
Horno Túnel Polin (6m x 1,3m)</t>
        </is>
      </c>
      <c r="T10" s="69" t="n"/>
      <c r="U10" s="69" t="n"/>
      <c r="V10" s="69" t="n"/>
      <c r="W10" s="70" t="n"/>
      <c r="X10" s="39" t="inlineStr">
        <is>
          <t>A2</t>
        </is>
      </c>
      <c r="Y10" s="40" t="n"/>
      <c r="Z10" s="40" t="n"/>
      <c r="AA10" s="41" t="n"/>
      <c r="AB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Aislamiento térmico perimetral y seguridad</t>
        </is>
      </c>
      <c r="D11" s="55" t="n">
        <v>0.6</v>
      </c>
      <c r="E11" s="55" t="n">
        <v>6</v>
      </c>
      <c r="F11" s="56" t="n">
        <v>1</v>
      </c>
      <c r="G11" s="57">
        <f>D11*E11*F11</f>
        <v/>
      </c>
      <c r="H11" s="58" t="inlineStr">
        <is>
          <t>0,6 m de separación por radiación térmica de muros</t>
        </is>
      </c>
      <c r="I11" s="58" t="inlineStr">
        <is>
          <t>Protección al personal contra quemaduras y calor radiante</t>
        </is>
      </c>
      <c r="M11" s="43" t="n"/>
      <c r="N11" s="45" t="n"/>
      <c r="R11" s="46" t="n"/>
      <c r="S11" s="71" t="n"/>
      <c r="W11" s="72" t="n"/>
      <c r="X11" s="45" t="n"/>
      <c r="AA11" s="46" t="n"/>
      <c r="AB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principal de circulación y mantenimiento</t>
        </is>
      </c>
      <c r="D12" s="55" t="n">
        <v>1.2</v>
      </c>
      <c r="E12" s="55" t="n">
        <v>8.4</v>
      </c>
      <c r="F12" s="63" t="n">
        <v>1</v>
      </c>
      <c r="G12" s="64">
        <f>D12*E12*F12</f>
        <v/>
      </c>
      <c r="H12" s="65" t="inlineStr">
        <is>
          <t>Pasillo ancho para tránsito y mantenimiento pesado</t>
        </is>
      </c>
      <c r="I12" s="65" t="inlineStr">
        <is>
          <t>Circulación longitudinal principal de la nave</t>
        </is>
      </c>
      <c r="M12" s="43" t="n"/>
      <c r="N12" s="45" t="n"/>
      <c r="R12" s="46" t="n"/>
      <c r="S12" s="71" t="n"/>
      <c r="W12" s="72" t="n"/>
      <c r="X12" s="45" t="n"/>
      <c r="AA12" s="46" t="n"/>
      <c r="AB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Campana de extracción de vahos y chimenea</t>
        </is>
      </c>
      <c r="D13" s="55" t="n">
        <v>1</v>
      </c>
      <c r="E13" s="55" t="n">
        <v>1.3</v>
      </c>
      <c r="F13" s="56" t="n">
        <v>1</v>
      </c>
      <c r="G13" s="57">
        <f>D13*E13*F13</f>
        <v/>
      </c>
      <c r="H13" s="58" t="inlineStr">
        <is>
          <t>Campana de captación en cabezales y tiro forzado</t>
        </is>
      </c>
      <c r="I13" s="58" t="inlineStr">
        <is>
          <t>Evacuación de humedad y productos de combustión</t>
        </is>
      </c>
      <c r="M13" s="43" t="n"/>
      <c r="N13" s="45" t="n"/>
      <c r="R13" s="46" t="n"/>
      <c r="S13" s="71" t="n"/>
      <c r="W13" s="72" t="n"/>
      <c r="X13" s="45" t="n"/>
      <c r="AA13" s="46" t="n"/>
      <c r="AB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45" t="n"/>
      <c r="R14" s="46" t="n"/>
      <c r="S14" s="71" t="n"/>
      <c r="W14" s="72" t="n"/>
      <c r="X14" s="45" t="n"/>
      <c r="AA14" s="46" t="n"/>
      <c r="AB14" s="45" t="n"/>
      <c r="AF14" s="46" t="n"/>
      <c r="AG14" s="47" t="n"/>
    </row>
    <row r="15" ht="18" customHeight="1">
      <c r="M15" s="43" t="n"/>
      <c r="N15" s="45" t="n"/>
      <c r="R15" s="46" t="n"/>
      <c r="S15" s="71" t="n"/>
      <c r="W15" s="72" t="n"/>
      <c r="X15" s="45" t="n"/>
      <c r="AA15" s="46" t="n"/>
      <c r="AB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R16" s="46" t="n"/>
      <c r="S16" s="71" t="n"/>
      <c r="W16" s="72" t="n"/>
      <c r="X16" s="45" t="n"/>
      <c r="AA16" s="46" t="n"/>
      <c r="AB16" s="45" t="n"/>
      <c r="AF16" s="46" t="n"/>
      <c r="AG16" s="47" t="n"/>
    </row>
    <row r="17" ht="18" customHeight="1">
      <c r="B17" s="74" t="inlineStr">
        <is>
          <t>Marca y Proveedor</t>
        </is>
      </c>
      <c r="C17" s="75" t="n"/>
      <c r="D17" s="76" t="n"/>
      <c r="E17" s="32" t="inlineStr">
        <is>
          <t>Ing. Polin e C. S.p.A. (Cyclothermic Tunnel Oven)</t>
        </is>
      </c>
      <c r="F17" s="75" t="n"/>
      <c r="G17" s="75" t="n"/>
      <c r="H17" s="75" t="n"/>
      <c r="I17" s="76" t="n"/>
      <c r="M17" s="43" t="n"/>
      <c r="N17" s="45" t="n"/>
      <c r="R17" s="46" t="n"/>
      <c r="S17" s="71" t="n"/>
      <c r="W17" s="72" t="n"/>
      <c r="X17" s="45" t="n"/>
      <c r="AA17" s="46" t="n"/>
      <c r="AB17" s="45" t="n"/>
      <c r="AF17" s="46" t="n"/>
      <c r="AG17" s="47" t="n"/>
    </row>
    <row r="18" ht="18" customHeight="1">
      <c r="B18" s="74" t="inlineStr">
        <is>
          <t>Dimensiones Exteriores</t>
        </is>
      </c>
      <c r="C18" s="75" t="n"/>
      <c r="D18" s="76" t="n"/>
      <c r="E18" s="32" t="inlineStr">
        <is>
          <t>6000 mm (Largo) x 1300 mm (Ancho total con aislamiento) x 2000 mm (Alto)</t>
        </is>
      </c>
      <c r="F18" s="75" t="n"/>
      <c r="G18" s="75" t="n"/>
      <c r="H18" s="75" t="n"/>
      <c r="I18" s="76" t="n"/>
      <c r="M18" s="43" t="n"/>
      <c r="N18" s="59" t="n"/>
      <c r="O18" s="60" t="n"/>
      <c r="P18" s="60" t="n"/>
      <c r="Q18" s="60" t="n"/>
      <c r="R18" s="61" t="n"/>
      <c r="S18" s="71" t="n"/>
      <c r="W18" s="72" t="n"/>
      <c r="X18" s="45" t="n"/>
      <c r="AA18" s="46" t="n"/>
      <c r="AB18" s="45" t="n"/>
      <c r="AF18" s="46" t="n"/>
      <c r="AG18" s="47" t="n"/>
    </row>
    <row r="19" ht="18" customHeight="1">
      <c r="B19" s="74" t="inlineStr">
        <is>
          <t>Ancho de Banda Útil</t>
        </is>
      </c>
      <c r="C19" s="75" t="n"/>
      <c r="D19" s="76" t="n"/>
      <c r="E19" s="32" t="inlineStr">
        <is>
          <t>700 mm (Malla de acero al carbono perforado)</t>
        </is>
      </c>
      <c r="F19" s="75" t="n"/>
      <c r="G19" s="75" t="n"/>
      <c r="H19" s="75" t="n"/>
      <c r="I19" s="76" t="n"/>
      <c r="M19" s="43" t="n"/>
      <c r="N19" s="39" t="inlineStr">
        <is>
          <t>A5</t>
        </is>
      </c>
      <c r="O19" s="40" t="n"/>
      <c r="P19" s="40" t="n"/>
      <c r="Q19" s="40" t="n"/>
      <c r="R19" s="41" t="n"/>
      <c r="S19" s="71" t="n"/>
      <c r="W19" s="72" t="n"/>
      <c r="X19" s="45" t="n"/>
      <c r="AA19" s="46" t="n"/>
      <c r="AB19" s="45" t="n"/>
      <c r="AF19" s="46" t="n"/>
      <c r="AG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7,80 m² (Actualizado en BOM y Balanceo: 6,00 m x 1,30 m)</t>
        </is>
      </c>
      <c r="F20" s="75" t="n"/>
      <c r="G20" s="75" t="n"/>
      <c r="H20" s="75" t="n"/>
      <c r="I20" s="76" t="n"/>
      <c r="M20" s="43" t="n"/>
      <c r="N20" s="45" t="n"/>
      <c r="R20" s="46" t="n"/>
      <c r="S20" s="71" t="n"/>
      <c r="W20" s="72" t="n"/>
      <c r="X20" s="45" t="n"/>
      <c r="AA20" s="46" t="n"/>
      <c r="AB20" s="45" t="n"/>
      <c r="AF20" s="46" t="n"/>
      <c r="AG20" s="47" t="n"/>
    </row>
    <row r="21" ht="18" customHeight="1">
      <c r="B21" s="74" t="inlineStr">
        <is>
          <t>Fuente de Alimentación</t>
        </is>
      </c>
      <c r="C21" s="75" t="n"/>
      <c r="D21" s="76" t="n"/>
      <c r="E21" s="32" t="inlineStr">
        <is>
          <t>Gas Natural (Quemador modular 52 kW) + 380 V Trifásica</t>
        </is>
      </c>
      <c r="F21" s="75" t="n"/>
      <c r="G21" s="75" t="n"/>
      <c r="H21" s="75" t="n"/>
      <c r="I21" s="76" t="n"/>
      <c r="M21" s="43" t="n"/>
      <c r="N21" s="45" t="n"/>
      <c r="R21" s="46" t="n"/>
      <c r="S21" s="71" t="n"/>
      <c r="W21" s="72" t="n"/>
      <c r="X21" s="45" t="n"/>
      <c r="AA21" s="46" t="n"/>
      <c r="AB21" s="45" t="n"/>
      <c r="AF21" s="46" t="n"/>
      <c r="AG21" s="47" t="n"/>
    </row>
    <row r="22" ht="18" customHeight="1">
      <c r="B22" s="74" t="inlineStr">
        <is>
          <t>Temperatura y Tiempo</t>
        </is>
      </c>
      <c r="C22" s="75" t="n"/>
      <c r="D22" s="76" t="n"/>
      <c r="E22" s="32" t="inlineStr">
        <is>
          <t>160°C a 240°C regulable | Tiempo de cocción: 6,5 minutos</t>
        </is>
      </c>
      <c r="F22" s="75" t="n"/>
      <c r="G22" s="75" t="n"/>
      <c r="H22" s="75" t="n"/>
      <c r="I22" s="76" t="n"/>
      <c r="M22" s="43" t="n"/>
      <c r="N22" s="45" t="n"/>
      <c r="R22" s="46" t="n"/>
      <c r="S22" s="71" t="n"/>
      <c r="W22" s="72" t="n"/>
      <c r="X22" s="45" t="n"/>
      <c r="AA22" s="46" t="n"/>
      <c r="AB22" s="45" t="n"/>
      <c r="AF22" s="46" t="n"/>
      <c r="AG22" s="47" t="n"/>
    </row>
    <row r="23" ht="18" customHeight="1">
      <c r="M23" s="43" t="n"/>
      <c r="N23" s="45" t="n"/>
      <c r="R23" s="46" t="n"/>
      <c r="S23" s="71" t="n"/>
      <c r="W23" s="72" t="n"/>
      <c r="X23" s="45" t="n"/>
      <c r="AA23" s="46" t="n"/>
      <c r="AB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3" t="n"/>
      <c r="N24" s="45" t="n"/>
      <c r="R24" s="46" t="n"/>
      <c r="S24" s="71" t="n"/>
      <c r="W24" s="72" t="n"/>
      <c r="X24" s="45" t="n"/>
      <c r="AA24" s="46" t="n"/>
      <c r="AB24" s="45" t="n"/>
      <c r="AF24" s="46" t="n"/>
      <c r="AG24" s="47" t="n"/>
    </row>
    <row r="25" ht="18" customHeight="1">
      <c r="M25" s="43" t="n"/>
      <c r="N25" s="45" t="n"/>
      <c r="R25" s="46" t="n"/>
      <c r="S25" s="71" t="n"/>
      <c r="W25" s="72" t="n"/>
      <c r="X25" s="45" t="n"/>
      <c r="AA25" s="46" t="n"/>
      <c r="AB25" s="45" t="n"/>
      <c r="AF25" s="46" t="n"/>
      <c r="AG25" s="47" t="n"/>
    </row>
    <row r="26" ht="18" customHeight="1">
      <c r="M26" s="43" t="n"/>
      <c r="N26" s="45" t="n"/>
      <c r="R26" s="46" t="n"/>
      <c r="S26" s="71" t="n"/>
      <c r="W26" s="72" t="n"/>
      <c r="X26" s="45" t="n"/>
      <c r="AA26" s="46" t="n"/>
      <c r="AB26" s="45" t="n"/>
      <c r="AF26" s="46" t="n"/>
      <c r="AG26" s="47" t="n"/>
    </row>
    <row r="27" ht="18" customHeight="1">
      <c r="M27" s="43" t="n"/>
      <c r="N27" s="45" t="n"/>
      <c r="R27" s="46" t="n"/>
      <c r="S27" s="71" t="n"/>
      <c r="W27" s="72" t="n"/>
      <c r="X27" s="45" t="n"/>
      <c r="AA27" s="46" t="n"/>
      <c r="AB27" s="45" t="n"/>
      <c r="AF27" s="46" t="n"/>
      <c r="AG27" s="47" t="n"/>
    </row>
    <row r="28" ht="18" customHeight="1">
      <c r="M28" s="43" t="n"/>
      <c r="N28" s="59" t="n"/>
      <c r="O28" s="60" t="n"/>
      <c r="P28" s="60" t="n"/>
      <c r="Q28" s="60" t="n"/>
      <c r="R28" s="61" t="n"/>
      <c r="S28" s="77" t="n"/>
      <c r="T28" s="78" t="n"/>
      <c r="U28" s="78" t="n"/>
      <c r="V28" s="78" t="n"/>
      <c r="W28" s="79" t="n"/>
      <c r="X28" s="59" t="n"/>
      <c r="Y28" s="60" t="n"/>
      <c r="Z28" s="60" t="n"/>
      <c r="AA28" s="61" t="n"/>
      <c r="AB28" s="45" t="n"/>
      <c r="AF28" s="46" t="n"/>
      <c r="AG28" s="47" t="n"/>
    </row>
    <row r="29" ht="18" customHeight="1">
      <c r="M29" s="43" t="n"/>
      <c r="N29" s="44" t="n"/>
      <c r="O29" s="44" t="n"/>
      <c r="P29" s="44" t="n"/>
      <c r="Q29" s="44" t="n"/>
      <c r="R29" s="44" t="n"/>
      <c r="S29" s="39" t="inlineStr">
        <is>
          <t>A1</t>
        </is>
      </c>
      <c r="T29" s="40" t="n"/>
      <c r="U29" s="40" t="n"/>
      <c r="V29" s="40" t="n"/>
      <c r="W29" s="41" t="n"/>
      <c r="X29" s="44" t="n"/>
      <c r="Y29" s="44" t="n"/>
      <c r="Z29" s="44" t="n"/>
      <c r="AA29" s="44" t="n"/>
      <c r="AB29" s="45" t="n"/>
      <c r="AF29" s="46" t="n"/>
      <c r="AG29" s="47" t="n"/>
    </row>
    <row r="30" ht="18" customHeight="1">
      <c r="M30" s="43" t="n"/>
      <c r="N30" s="44" t="n"/>
      <c r="O30" s="44" t="n"/>
      <c r="P30" s="44" t="n"/>
      <c r="Q30" s="44" t="n"/>
      <c r="R30" s="44" t="n"/>
      <c r="S30" s="45" t="n"/>
      <c r="W30" s="46" t="n"/>
      <c r="X30" s="44" t="n"/>
      <c r="Y30" s="44" t="n"/>
      <c r="Z30" s="44" t="n"/>
      <c r="AA30" s="44" t="n"/>
      <c r="AB30" s="45" t="n"/>
      <c r="AF30" s="46" t="n"/>
      <c r="AG30" s="47" t="n"/>
    </row>
    <row r="31" ht="18" customHeight="1">
      <c r="M31" s="43" t="n"/>
      <c r="N31" s="44" t="n"/>
      <c r="O31" s="44" t="n"/>
      <c r="P31" s="44" t="n"/>
      <c r="Q31" s="44" t="n"/>
      <c r="R31" s="44" t="n"/>
      <c r="S31" s="45" t="n"/>
      <c r="W31" s="46" t="n"/>
      <c r="X31" s="44" t="n"/>
      <c r="Y31" s="44" t="n"/>
      <c r="Z31" s="44" t="n"/>
      <c r="AA31" s="44" t="n"/>
      <c r="AB31" s="45" t="n"/>
      <c r="AF31" s="46" t="n"/>
      <c r="AG31" s="47" t="n"/>
    </row>
    <row r="32" ht="18" customHeight="1">
      <c r="M32" s="43" t="n"/>
      <c r="N32" s="44" t="n"/>
      <c r="O32" s="44" t="n"/>
      <c r="P32" s="44" t="n"/>
      <c r="Q32" s="44" t="n"/>
      <c r="R32" s="44" t="n"/>
      <c r="S32" s="45" t="n"/>
      <c r="W32" s="46" t="n"/>
      <c r="X32" s="44" t="n"/>
      <c r="Y32" s="44" t="n"/>
      <c r="Z32" s="44" t="n"/>
      <c r="AA32" s="44" t="n"/>
      <c r="AB32" s="45" t="n"/>
      <c r="AF32" s="46" t="n"/>
      <c r="AG32" s="47" t="n"/>
    </row>
    <row r="33" ht="18" customHeight="1">
      <c r="M33" s="43" t="n"/>
      <c r="N33" s="44" t="n"/>
      <c r="O33" s="44" t="n"/>
      <c r="P33" s="44" t="n"/>
      <c r="Q33" s="44" t="n"/>
      <c r="R33" s="44" t="n"/>
      <c r="S33" s="59" t="n"/>
      <c r="T33" s="60" t="n"/>
      <c r="U33" s="60" t="n"/>
      <c r="V33" s="60" t="n"/>
      <c r="W33" s="61" t="n"/>
      <c r="X33" s="44" t="n"/>
      <c r="Y33" s="44" t="n"/>
      <c r="Z33" s="44" t="n"/>
      <c r="AA33" s="44" t="n"/>
      <c r="AB33" s="59" t="n"/>
      <c r="AC33" s="60" t="n"/>
      <c r="AD33" s="60" t="n"/>
      <c r="AE33" s="60" t="n"/>
      <c r="AF33" s="61" t="n"/>
      <c r="AG33" s="47" t="n"/>
    </row>
    <row r="34" ht="18" customHeight="1">
      <c r="M34" s="81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3" t="n"/>
    </row>
    <row r="35" ht="18" customHeight="1"/>
    <row r="36" ht="18" customHeight="1">
      <c r="M36" s="84" t="inlineStr">
        <is>
          <t>REFERENCIAS DE LAYOUT:</t>
        </is>
      </c>
    </row>
    <row r="37" ht="18" customHeight="1">
      <c r="M37" s="85" t="inlineStr">
        <is>
          <t>A0: Máquina Principal | A1: MP en espera | A2: Operación/Alimentación | A3: Salida de Producto</t>
        </is>
      </c>
    </row>
    <row r="38" ht="18" customHeight="1">
      <c r="M38" s="85" t="inlineStr">
        <is>
          <t>A4: Tablero / Mando | A5: Seguridad Lateral | A6: Pasillo Circulación | A7: Buffer Semielaborado (SE)</t>
        </is>
      </c>
    </row>
    <row r="39" ht="18" customHeight="1"/>
  </sheetData>
  <mergeCells count="27">
    <mergeCell ref="E21:I21"/>
    <mergeCell ref="AB4:AF33"/>
    <mergeCell ref="S29:W33"/>
    <mergeCell ref="B17:D17"/>
    <mergeCell ref="E17:I17"/>
    <mergeCell ref="S10:W28"/>
    <mergeCell ref="B19:D19"/>
    <mergeCell ref="E20:I20"/>
    <mergeCell ref="M37:AG37"/>
    <mergeCell ref="E19:I19"/>
    <mergeCell ref="M36:AG36"/>
    <mergeCell ref="B20:D20"/>
    <mergeCell ref="S7:W9"/>
    <mergeCell ref="M38:AG38"/>
    <mergeCell ref="N19:R28"/>
    <mergeCell ref="E18:I18"/>
    <mergeCell ref="B16:D16"/>
    <mergeCell ref="L2:T2"/>
    <mergeCell ref="E16:I16"/>
    <mergeCell ref="B22:D22"/>
    <mergeCell ref="B24:I24"/>
    <mergeCell ref="B18:D18"/>
    <mergeCell ref="B21:D21"/>
    <mergeCell ref="X10:AA28"/>
    <mergeCell ref="E22:I22"/>
    <mergeCell ref="N10:R18"/>
    <mergeCell ref="S4:W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G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ENFRIADO - CINTA CONTINUA</t>
        </is>
      </c>
      <c r="L2" s="36" t="inlineStr">
        <is>
          <t>Escala: 1 celda ≈ 0.25 m x 0.25 m (Largo: 20 celdas | Ancho: 4 celdas)</t>
        </is>
      </c>
    </row>
    <row r="3" ht="18" customHeight="1">
      <c r="B3" s="2" t="inlineStr">
        <is>
          <t>Línea A - Galletitas | Cinta de Enfriamiento por Convección Golden Way (5,00 m Largo x 0,80 m Ancho)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1" t="n"/>
      <c r="W4" s="38" t="n"/>
      <c r="X4" s="38" t="n"/>
      <c r="Y4" s="38" t="n"/>
      <c r="Z4" s="38" t="n"/>
      <c r="AA4" s="38" t="n"/>
      <c r="AB4" s="39" t="inlineStr">
        <is>
          <t>A6</t>
        </is>
      </c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V5" s="46" t="n"/>
      <c r="W5" s="44" t="n"/>
      <c r="X5" s="44" t="n"/>
      <c r="Y5" s="44" t="n"/>
      <c r="Z5" s="44" t="n"/>
      <c r="AA5" s="44" t="n"/>
      <c r="AB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Cinta Transportadora de Enfriamiento por Aire</t>
        </is>
      </c>
      <c r="D6" s="50" t="n">
        <v>5</v>
      </c>
      <c r="E6" s="50" t="n">
        <v>0.8</v>
      </c>
      <c r="F6" s="51" t="n">
        <v>1</v>
      </c>
      <c r="G6" s="52">
        <f>D6*E6*F6</f>
        <v/>
      </c>
      <c r="H6" s="53" t="inlineStr">
        <is>
          <t>Fabricante Golden Way (Largo 5,0 m para t_enfriado)</t>
        </is>
      </c>
      <c r="I6" s="53" t="inlineStr">
        <is>
          <t>Descenso térmico controlado hasta temperatura ambiente</t>
        </is>
      </c>
      <c r="M6" s="43" t="n"/>
      <c r="N6" s="44" t="n"/>
      <c r="O6" s="44" t="n"/>
      <c r="P6" s="44" t="n"/>
      <c r="Q6" s="44" t="n"/>
      <c r="R6" s="44" t="n"/>
      <c r="S6" s="59" t="n"/>
      <c r="T6" s="60" t="n"/>
      <c r="U6" s="60" t="n"/>
      <c r="V6" s="61" t="n"/>
      <c r="W6" s="44" t="n"/>
      <c r="X6" s="44" t="n"/>
      <c r="Y6" s="44" t="n"/>
      <c r="Z6" s="44" t="n"/>
      <c r="AA6" s="44" t="n"/>
      <c r="AB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Entrada continua desde descarga del horno</t>
        </is>
      </c>
      <c r="D7" s="55" t="n">
        <v>0.8</v>
      </c>
      <c r="E7" s="55" t="n">
        <v>0.8</v>
      </c>
      <c r="F7" s="56" t="n">
        <v>1</v>
      </c>
      <c r="G7" s="57">
        <f>D7*E7*F7</f>
        <v/>
      </c>
      <c r="H7" s="58" t="inlineStr">
        <is>
          <t>Acople de transición mecánica y rampa guiada</t>
        </is>
      </c>
      <c r="I7" s="58" t="inlineStr">
        <is>
          <t>Recepción de galletitas cocidas calientes</t>
        </is>
      </c>
      <c r="M7" s="43" t="n"/>
      <c r="N7" s="44" t="n"/>
      <c r="O7" s="44" t="n"/>
      <c r="P7" s="44" t="n"/>
      <c r="Q7" s="44" t="n"/>
      <c r="R7" s="44" t="n"/>
      <c r="S7" s="39" t="inlineStr">
        <is>
          <t>A3</t>
        </is>
      </c>
      <c r="T7" s="40" t="n"/>
      <c r="U7" s="40" t="n"/>
      <c r="V7" s="41" t="n"/>
      <c r="W7" s="44" t="n"/>
      <c r="X7" s="44" t="n"/>
      <c r="Y7" s="44" t="n"/>
      <c r="Z7" s="44" t="n"/>
      <c r="AA7" s="44" t="n"/>
      <c r="AB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Área de inspección de calidad y alineación</t>
        </is>
      </c>
      <c r="D8" s="55" t="n">
        <v>5</v>
      </c>
      <c r="E8" s="55" t="n">
        <v>0.9</v>
      </c>
      <c r="F8" s="63" t="n">
        <v>1</v>
      </c>
      <c r="G8" s="64">
        <f>D8*E8*F8</f>
        <v/>
      </c>
      <c r="H8" s="65" t="inlineStr">
        <is>
          <t>Puesto de control visual a lo largo de la cinta</t>
        </is>
      </c>
      <c r="I8" s="65" t="inlineStr">
        <is>
          <t>Detección y descarte de unidades rotas o deformadas</t>
        </is>
      </c>
      <c r="M8" s="43" t="n"/>
      <c r="N8" s="44" t="n"/>
      <c r="O8" s="44" t="n"/>
      <c r="P8" s="44" t="n"/>
      <c r="Q8" s="44" t="n"/>
      <c r="R8" s="44" t="n"/>
      <c r="S8" s="45" t="n"/>
      <c r="V8" s="46" t="n"/>
      <c r="W8" s="44" t="n"/>
      <c r="X8" s="44" t="n"/>
      <c r="Y8" s="44" t="n"/>
      <c r="Z8" s="44" t="n"/>
      <c r="AA8" s="44" t="n"/>
      <c r="AB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Descarga y caída a tolva de envasado</t>
        </is>
      </c>
      <c r="D9" s="55" t="n">
        <v>1</v>
      </c>
      <c r="E9" s="55" t="n">
        <v>0.8</v>
      </c>
      <c r="F9" s="56" t="n">
        <v>1</v>
      </c>
      <c r="G9" s="57">
        <f>D9*E9*F9</f>
        <v/>
      </c>
      <c r="H9" s="58" t="inlineStr">
        <is>
          <t>Rampa de gravedad en acero inoxidable pulido</t>
        </is>
      </c>
      <c r="I9" s="58" t="inlineStr">
        <is>
          <t>Alimentación hacia el elevador Z de la envasadora</t>
        </is>
      </c>
      <c r="M9" s="43" t="n"/>
      <c r="N9" s="44" t="n"/>
      <c r="O9" s="44" t="n"/>
      <c r="P9" s="44" t="n"/>
      <c r="Q9" s="44" t="n"/>
      <c r="R9" s="44" t="n"/>
      <c r="S9" s="59" t="n"/>
      <c r="T9" s="60" t="n"/>
      <c r="U9" s="60" t="n"/>
      <c r="V9" s="61" t="n"/>
      <c r="W9" s="44" t="n"/>
      <c r="X9" s="44" t="n"/>
      <c r="Y9" s="44" t="n"/>
      <c r="Z9" s="44" t="n"/>
      <c r="AA9" s="44" t="n"/>
      <c r="AB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Motorreductor, variador de avance y sopladores</t>
        </is>
      </c>
      <c r="D10" s="55" t="n">
        <v>0.8</v>
      </c>
      <c r="E10" s="55" t="n">
        <v>0.5</v>
      </c>
      <c r="F10" s="63" t="n">
        <v>1</v>
      </c>
      <c r="G10" s="64">
        <f>D10*E10*F10</f>
        <v/>
      </c>
      <c r="H10" s="65" t="inlineStr">
        <is>
          <t>Grupo motriz inferior con ventiladores axiales</t>
        </is>
      </c>
      <c r="I10" s="65" t="inlineStr">
        <is>
          <t>Impulsión de banda y flujo de aire filtrado</t>
        </is>
      </c>
      <c r="M10" s="43" t="n"/>
      <c r="N10" s="39" t="inlineStr">
        <is>
          <t>A4</t>
        </is>
      </c>
      <c r="O10" s="40" t="n"/>
      <c r="P10" s="40" t="n"/>
      <c r="Q10" s="40" t="n"/>
      <c r="R10" s="41" t="n"/>
      <c r="S10" s="68" t="inlineStr">
        <is>
          <t>A0
Cinta de Enfriado (5m x 0,8m)</t>
        </is>
      </c>
      <c r="T10" s="69" t="n"/>
      <c r="U10" s="69" t="n"/>
      <c r="V10" s="70" t="n"/>
      <c r="W10" s="39" t="inlineStr">
        <is>
          <t>A2</t>
        </is>
      </c>
      <c r="X10" s="40" t="n"/>
      <c r="Y10" s="40" t="n"/>
      <c r="Z10" s="40" t="n"/>
      <c r="AA10" s="41" t="n"/>
      <c r="AB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Espacio de seguridad lateral y limpieza</t>
        </is>
      </c>
      <c r="D11" s="55" t="n">
        <v>0.5</v>
      </c>
      <c r="E11" s="55" t="n">
        <v>5</v>
      </c>
      <c r="F11" s="56" t="n">
        <v>1</v>
      </c>
      <c r="G11" s="57">
        <f>D11*E11*F11</f>
        <v/>
      </c>
      <c r="H11" s="58" t="inlineStr">
        <is>
          <t>0,5 m lateral libre para acceso sanitario</t>
        </is>
      </c>
      <c r="I11" s="58" t="inlineStr">
        <is>
          <t>Limpieza diaria de migas y bandejas inferiores</t>
        </is>
      </c>
      <c r="M11" s="43" t="n"/>
      <c r="N11" s="45" t="n"/>
      <c r="R11" s="46" t="n"/>
      <c r="S11" s="71" t="n"/>
      <c r="V11" s="72" t="n"/>
      <c r="W11" s="45" t="n"/>
      <c r="AA11" s="46" t="n"/>
      <c r="AB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de circulación lateral</t>
        </is>
      </c>
      <c r="D12" s="55" t="n">
        <v>1</v>
      </c>
      <c r="E12" s="55" t="n">
        <v>6.5</v>
      </c>
      <c r="F12" s="63" t="n">
        <v>1</v>
      </c>
      <c r="G12" s="64">
        <f>D12*E12*F12</f>
        <v/>
      </c>
      <c r="H12" s="65" t="inlineStr">
        <is>
          <t>Pasillo de circulación intersectorial</t>
        </is>
      </c>
      <c r="I12" s="65" t="inlineStr">
        <is>
          <t>Tránsito peatonal y supervisión continua</t>
        </is>
      </c>
      <c r="M12" s="43" t="n"/>
      <c r="N12" s="45" t="n"/>
      <c r="R12" s="46" t="n"/>
      <c r="S12" s="71" t="n"/>
      <c r="V12" s="72" t="n"/>
      <c r="W12" s="45" t="n"/>
      <c r="AA12" s="46" t="n"/>
      <c r="AB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Pulmón dinámico acumulador ante paradas (SE)</t>
        </is>
      </c>
      <c r="D13" s="55" t="n">
        <v>1.5</v>
      </c>
      <c r="E13" s="55" t="n">
        <v>0.8</v>
      </c>
      <c r="F13" s="56" t="n">
        <v>1</v>
      </c>
      <c r="G13" s="57">
        <f>D13*E13*F13</f>
        <v/>
      </c>
      <c r="H13" s="58" t="inlineStr">
        <is>
          <t>Bandejas acumuladoras de desvío de emergencia</t>
        </is>
      </c>
      <c r="I13" s="58" t="inlineStr">
        <is>
          <t>Buffer de amortiguamiento si la envasadora se detiene</t>
        </is>
      </c>
      <c r="M13" s="43" t="n"/>
      <c r="N13" s="45" t="n"/>
      <c r="R13" s="46" t="n"/>
      <c r="S13" s="71" t="n"/>
      <c r="V13" s="72" t="n"/>
      <c r="W13" s="45" t="n"/>
      <c r="AA13" s="46" t="n"/>
      <c r="AB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45" t="n"/>
      <c r="R14" s="46" t="n"/>
      <c r="S14" s="71" t="n"/>
      <c r="V14" s="72" t="n"/>
      <c r="W14" s="45" t="n"/>
      <c r="AA14" s="46" t="n"/>
      <c r="AB14" s="45" t="n"/>
      <c r="AF14" s="46" t="n"/>
      <c r="AG14" s="47" t="n"/>
    </row>
    <row r="15" ht="18" customHeight="1">
      <c r="M15" s="43" t="n"/>
      <c r="N15" s="45" t="n"/>
      <c r="R15" s="46" t="n"/>
      <c r="S15" s="71" t="n"/>
      <c r="V15" s="72" t="n"/>
      <c r="W15" s="45" t="n"/>
      <c r="AA15" s="46" t="n"/>
      <c r="AB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R16" s="46" t="n"/>
      <c r="S16" s="71" t="n"/>
      <c r="V16" s="72" t="n"/>
      <c r="W16" s="45" t="n"/>
      <c r="AA16" s="46" t="n"/>
      <c r="AB16" s="45" t="n"/>
      <c r="AF16" s="46" t="n"/>
      <c r="AG16" s="47" t="n"/>
    </row>
    <row r="17" ht="18" customHeight="1">
      <c r="B17" s="74" t="inlineStr">
        <is>
          <t>Marca y Proveedor</t>
        </is>
      </c>
      <c r="C17" s="75" t="n"/>
      <c r="D17" s="76" t="n"/>
      <c r="E17" s="32" t="inlineStr">
        <is>
          <t>Hebei Golden Way Machinery (SUS304 Food Grade)</t>
        </is>
      </c>
      <c r="F17" s="75" t="n"/>
      <c r="G17" s="75" t="n"/>
      <c r="H17" s="75" t="n"/>
      <c r="I17" s="76" t="n"/>
      <c r="M17" s="43" t="n"/>
      <c r="N17" s="59" t="n"/>
      <c r="O17" s="60" t="n"/>
      <c r="P17" s="60" t="n"/>
      <c r="Q17" s="60" t="n"/>
      <c r="R17" s="61" t="n"/>
      <c r="S17" s="71" t="n"/>
      <c r="V17" s="72" t="n"/>
      <c r="W17" s="45" t="n"/>
      <c r="AA17" s="46" t="n"/>
      <c r="AB17" s="45" t="n"/>
      <c r="AF17" s="46" t="n"/>
      <c r="AG17" s="47" t="n"/>
    </row>
    <row r="18" ht="18" customHeight="1">
      <c r="B18" s="74" t="inlineStr">
        <is>
          <t>Dimensiones de la Cinta</t>
        </is>
      </c>
      <c r="C18" s="75" t="n"/>
      <c r="D18" s="76" t="n"/>
      <c r="E18" s="32" t="inlineStr">
        <is>
          <t>5000 mm (Largo) x 800 mm (Ancho) x 1000 mm (Alto)</t>
        </is>
      </c>
      <c r="F18" s="75" t="n"/>
      <c r="G18" s="75" t="n"/>
      <c r="H18" s="75" t="n"/>
      <c r="I18" s="76" t="n"/>
      <c r="M18" s="43" t="n"/>
      <c r="N18" s="39" t="inlineStr">
        <is>
          <t>A5</t>
        </is>
      </c>
      <c r="O18" s="40" t="n"/>
      <c r="P18" s="40" t="n"/>
      <c r="Q18" s="40" t="n"/>
      <c r="R18" s="41" t="n"/>
      <c r="S18" s="71" t="n"/>
      <c r="V18" s="72" t="n"/>
      <c r="W18" s="45" t="n"/>
      <c r="AA18" s="46" t="n"/>
      <c r="AB18" s="45" t="n"/>
      <c r="AF18" s="46" t="n"/>
      <c r="AG18" s="47" t="n"/>
    </row>
    <row r="19" ht="18" customHeight="1">
      <c r="B19" s="74" t="inlineStr">
        <is>
          <t>Superficie Estática (Ss)</t>
        </is>
      </c>
      <c r="C19" s="75" t="n"/>
      <c r="D19" s="76" t="n"/>
      <c r="E19" s="32" t="inlineStr">
        <is>
          <t>4,00 m² (según BOM y Balanceo: 5,0 m x 0,8 m)</t>
        </is>
      </c>
      <c r="F19" s="75" t="n"/>
      <c r="G19" s="75" t="n"/>
      <c r="H19" s="75" t="n"/>
      <c r="I19" s="76" t="n"/>
      <c r="M19" s="43" t="n"/>
      <c r="N19" s="45" t="n"/>
      <c r="R19" s="46" t="n"/>
      <c r="S19" s="71" t="n"/>
      <c r="V19" s="72" t="n"/>
      <c r="W19" s="45" t="n"/>
      <c r="AA19" s="46" t="n"/>
      <c r="AB19" s="45" t="n"/>
      <c r="AF19" s="46" t="n"/>
      <c r="AG19" s="47" t="n"/>
    </row>
    <row r="20" ht="18" customHeight="1">
      <c r="B20" s="74" t="inlineStr">
        <is>
          <t>Potencia y Voltaje</t>
        </is>
      </c>
      <c r="C20" s="75" t="n"/>
      <c r="D20" s="76" t="n"/>
      <c r="E20" s="32" t="inlineStr">
        <is>
          <t>2,20 kW | 220 V / 380 V con motovariador electrónico</t>
        </is>
      </c>
      <c r="F20" s="75" t="n"/>
      <c r="G20" s="75" t="n"/>
      <c r="H20" s="75" t="n"/>
      <c r="I20" s="76" t="n"/>
      <c r="M20" s="43" t="n"/>
      <c r="N20" s="45" t="n"/>
      <c r="R20" s="46" t="n"/>
      <c r="S20" s="71" t="n"/>
      <c r="V20" s="72" t="n"/>
      <c r="W20" s="45" t="n"/>
      <c r="AA20" s="46" t="n"/>
      <c r="AB20" s="45" t="n"/>
      <c r="AF20" s="46" t="n"/>
      <c r="AG20" s="47" t="n"/>
    </row>
    <row r="21" ht="18" customHeight="1">
      <c r="B21" s="74" t="inlineStr">
        <is>
          <t>Tiempo de Enfriamiento</t>
        </is>
      </c>
      <c r="C21" s="75" t="n"/>
      <c r="D21" s="76" t="n"/>
      <c r="E21" s="32" t="inlineStr">
        <is>
          <t>4 a 8 minutos (ajustable por velocidad de avance)</t>
        </is>
      </c>
      <c r="F21" s="75" t="n"/>
      <c r="G21" s="75" t="n"/>
      <c r="H21" s="75" t="n"/>
      <c r="I21" s="76" t="n"/>
      <c r="M21" s="43" t="n"/>
      <c r="N21" s="45" t="n"/>
      <c r="R21" s="46" t="n"/>
      <c r="S21" s="71" t="n"/>
      <c r="V21" s="72" t="n"/>
      <c r="W21" s="45" t="n"/>
      <c r="AA21" s="46" t="n"/>
      <c r="AB21" s="45" t="n"/>
      <c r="AF21" s="46" t="n"/>
      <c r="AG21" s="47" t="n"/>
    </row>
    <row r="22" ht="18" customHeight="1">
      <c r="B22" s="74" t="inlineStr">
        <is>
          <t>Capacidad de Caudal</t>
        </is>
      </c>
      <c r="C22" s="75" t="n"/>
      <c r="D22" s="76" t="n"/>
      <c r="E22" s="32" t="inlineStr">
        <is>
          <t>82,74 kg/h (sincronizada con régimen de horno)</t>
        </is>
      </c>
      <c r="F22" s="75" t="n"/>
      <c r="G22" s="75" t="n"/>
      <c r="H22" s="75" t="n"/>
      <c r="I22" s="76" t="n"/>
      <c r="M22" s="43" t="n"/>
      <c r="N22" s="45" t="n"/>
      <c r="R22" s="46" t="n"/>
      <c r="S22" s="71" t="n"/>
      <c r="V22" s="72" t="n"/>
      <c r="W22" s="45" t="n"/>
      <c r="AA22" s="46" t="n"/>
      <c r="AB22" s="45" t="n"/>
      <c r="AF22" s="46" t="n"/>
      <c r="AG22" s="47" t="n"/>
    </row>
    <row r="23" ht="18" customHeight="1">
      <c r="M23" s="43" t="n"/>
      <c r="N23" s="45" t="n"/>
      <c r="R23" s="46" t="n"/>
      <c r="S23" s="71" t="n"/>
      <c r="V23" s="72" t="n"/>
      <c r="W23" s="45" t="n"/>
      <c r="AA23" s="46" t="n"/>
      <c r="AB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3" t="n"/>
      <c r="N24" s="45" t="n"/>
      <c r="R24" s="46" t="n"/>
      <c r="S24" s="71" t="n"/>
      <c r="V24" s="72" t="n"/>
      <c r="W24" s="45" t="n"/>
      <c r="AA24" s="46" t="n"/>
      <c r="AB24" s="45" t="n"/>
      <c r="AF24" s="46" t="n"/>
      <c r="AG24" s="47" t="n"/>
    </row>
    <row r="25" ht="18" customHeight="1">
      <c r="M25" s="43" t="n"/>
      <c r="N25" s="45" t="n"/>
      <c r="R25" s="46" t="n"/>
      <c r="S25" s="71" t="n"/>
      <c r="V25" s="72" t="n"/>
      <c r="W25" s="45" t="n"/>
      <c r="AA25" s="46" t="n"/>
      <c r="AB25" s="45" t="n"/>
      <c r="AF25" s="46" t="n"/>
      <c r="AG25" s="47" t="n"/>
    </row>
    <row r="26" ht="18" customHeight="1">
      <c r="M26" s="43" t="n"/>
      <c r="N26" s="59" t="n"/>
      <c r="O26" s="60" t="n"/>
      <c r="P26" s="60" t="n"/>
      <c r="Q26" s="60" t="n"/>
      <c r="R26" s="61" t="n"/>
      <c r="S26" s="77" t="n"/>
      <c r="T26" s="78" t="n"/>
      <c r="U26" s="78" t="n"/>
      <c r="V26" s="79" t="n"/>
      <c r="W26" s="59" t="n"/>
      <c r="X26" s="60" t="n"/>
      <c r="Y26" s="60" t="n"/>
      <c r="Z26" s="60" t="n"/>
      <c r="AA26" s="61" t="n"/>
      <c r="AB26" s="45" t="n"/>
      <c r="AF26" s="46" t="n"/>
      <c r="AG26" s="47" t="n"/>
    </row>
    <row r="27" ht="18" customHeight="1">
      <c r="M27" s="43" t="n"/>
      <c r="N27" s="44" t="n"/>
      <c r="O27" s="44" t="n"/>
      <c r="P27" s="44" t="n"/>
      <c r="Q27" s="44" t="n"/>
      <c r="R27" s="44" t="n"/>
      <c r="S27" s="39" t="inlineStr">
        <is>
          <t>A1</t>
        </is>
      </c>
      <c r="T27" s="40" t="n"/>
      <c r="U27" s="40" t="n"/>
      <c r="V27" s="41" t="n"/>
      <c r="W27" s="44" t="n"/>
      <c r="X27" s="44" t="n"/>
      <c r="Y27" s="44" t="n"/>
      <c r="Z27" s="44" t="n"/>
      <c r="AA27" s="44" t="n"/>
      <c r="AB27" s="45" t="n"/>
      <c r="AF27" s="46" t="n"/>
      <c r="AG27" s="47" t="n"/>
    </row>
    <row r="28" ht="18" customHeight="1">
      <c r="M28" s="43" t="n"/>
      <c r="N28" s="44" t="n"/>
      <c r="O28" s="44" t="n"/>
      <c r="P28" s="44" t="n"/>
      <c r="Q28" s="44" t="n"/>
      <c r="R28" s="44" t="n"/>
      <c r="S28" s="45" t="n"/>
      <c r="V28" s="46" t="n"/>
      <c r="W28" s="44" t="n"/>
      <c r="X28" s="44" t="n"/>
      <c r="Y28" s="44" t="n"/>
      <c r="Z28" s="44" t="n"/>
      <c r="AA28" s="44" t="n"/>
      <c r="AB28" s="45" t="n"/>
      <c r="AF28" s="46" t="n"/>
      <c r="AG28" s="47" t="n"/>
    </row>
    <row r="29" ht="18" customHeight="1">
      <c r="M29" s="43" t="n"/>
      <c r="N29" s="44" t="n"/>
      <c r="O29" s="44" t="n"/>
      <c r="P29" s="44" t="n"/>
      <c r="Q29" s="44" t="n"/>
      <c r="R29" s="44" t="n"/>
      <c r="S29" s="45" t="n"/>
      <c r="V29" s="46" t="n"/>
      <c r="W29" s="44" t="n"/>
      <c r="X29" s="44" t="n"/>
      <c r="Y29" s="44" t="n"/>
      <c r="Z29" s="44" t="n"/>
      <c r="AA29" s="44" t="n"/>
      <c r="AB29" s="45" t="n"/>
      <c r="AF29" s="46" t="n"/>
      <c r="AG29" s="47" t="n"/>
    </row>
    <row r="30" ht="18" customHeight="1">
      <c r="M30" s="43" t="n"/>
      <c r="N30" s="44" t="n"/>
      <c r="O30" s="44" t="n"/>
      <c r="P30" s="44" t="n"/>
      <c r="Q30" s="44" t="n"/>
      <c r="R30" s="44" t="n"/>
      <c r="S30" s="45" t="n"/>
      <c r="V30" s="46" t="n"/>
      <c r="W30" s="44" t="n"/>
      <c r="X30" s="44" t="n"/>
      <c r="Y30" s="44" t="n"/>
      <c r="Z30" s="44" t="n"/>
      <c r="AA30" s="44" t="n"/>
      <c r="AB30" s="45" t="n"/>
      <c r="AF30" s="46" t="n"/>
      <c r="AG30" s="47" t="n"/>
    </row>
    <row r="31" ht="18" customHeight="1">
      <c r="M31" s="43" t="n"/>
      <c r="N31" s="44" t="n"/>
      <c r="O31" s="44" t="n"/>
      <c r="P31" s="44" t="n"/>
      <c r="Q31" s="44" t="n"/>
      <c r="R31" s="44" t="n"/>
      <c r="S31" s="59" t="n"/>
      <c r="T31" s="60" t="n"/>
      <c r="U31" s="60" t="n"/>
      <c r="V31" s="61" t="n"/>
      <c r="W31" s="44" t="n"/>
      <c r="X31" s="44" t="n"/>
      <c r="Y31" s="44" t="n"/>
      <c r="Z31" s="44" t="n"/>
      <c r="AA31" s="44" t="n"/>
      <c r="AB31" s="59" t="n"/>
      <c r="AC31" s="60" t="n"/>
      <c r="AD31" s="60" t="n"/>
      <c r="AE31" s="60" t="n"/>
      <c r="AF31" s="61" t="n"/>
      <c r="AG31" s="47" t="n"/>
    </row>
    <row r="32" ht="18" customHeight="1">
      <c r="M32" s="81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3" t="n"/>
    </row>
    <row r="33" ht="18" customHeight="1"/>
    <row r="34" ht="18" customHeight="1">
      <c r="M34" s="84" t="inlineStr">
        <is>
          <t>REFERENCIAS DE LAYOUT:</t>
        </is>
      </c>
    </row>
    <row r="35" ht="18" customHeight="1">
      <c r="M35" s="85" t="inlineStr">
        <is>
          <t>A0: Máquina Principal | A1: MP en espera | A2: Operación/Alimentación | A3: Salida de Producto</t>
        </is>
      </c>
    </row>
    <row r="36" ht="18" customHeight="1">
      <c r="M36" s="85" t="inlineStr">
        <is>
          <t>A4: Tablero / Mando | A5: Seguridad Lateral | A6: Pasillo Circulación | A7: Buffer Semielaborado (SE)</t>
        </is>
      </c>
    </row>
    <row r="37" ht="18" customHeight="1"/>
    <row r="38" ht="18" customHeight="1"/>
    <row r="39" ht="18" customHeight="1"/>
  </sheetData>
  <mergeCells count="27">
    <mergeCell ref="E21:I21"/>
    <mergeCell ref="M35:AG35"/>
    <mergeCell ref="B17:D17"/>
    <mergeCell ref="E17:I17"/>
    <mergeCell ref="B19:D19"/>
    <mergeCell ref="E20:I20"/>
    <mergeCell ref="S4:V6"/>
    <mergeCell ref="E19:I19"/>
    <mergeCell ref="M36:AG36"/>
    <mergeCell ref="B20:D20"/>
    <mergeCell ref="S10:V26"/>
    <mergeCell ref="N10:R17"/>
    <mergeCell ref="W10:AA26"/>
    <mergeCell ref="B16:D16"/>
    <mergeCell ref="N18:R26"/>
    <mergeCell ref="S27:V31"/>
    <mergeCell ref="L2:T2"/>
    <mergeCell ref="E16:I16"/>
    <mergeCell ref="B22:D22"/>
    <mergeCell ref="B24:I24"/>
    <mergeCell ref="M34:AG34"/>
    <mergeCell ref="AB4:AF31"/>
    <mergeCell ref="B18:D18"/>
    <mergeCell ref="S7:V9"/>
    <mergeCell ref="B21:D21"/>
    <mergeCell ref="E22:I22"/>
    <mergeCell ref="E18:I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ENVASADO PRIMARIO - LÍNEA GALLETITAS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A - Galletitas | Envasadora Vertical ZON PACK ZH-BL-10 + Detector de Metales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Envasadora Vertical Flow-Pack + Multicabezal</t>
        </is>
      </c>
      <c r="D6" s="50" t="n">
        <v>1.53</v>
      </c>
      <c r="E6" s="50" t="n">
        <v>0.97</v>
      </c>
      <c r="F6" s="51" t="n">
        <v>1</v>
      </c>
      <c r="G6" s="52">
        <f>D6*E6*F6</f>
        <v/>
      </c>
      <c r="H6" s="53" t="inlineStr">
        <is>
          <t>Fabricante ZON PACK (ZH-BL-10: 1530 x 970 mm)</t>
        </is>
      </c>
      <c r="I6" s="53" t="inlineStr">
        <is>
          <t>Formado de tubo, pesaje, dosificado y sellado hermético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Elevador de cangilones / Tolva de alimentación</t>
        </is>
      </c>
      <c r="D7" s="55" t="n">
        <v>1.2</v>
      </c>
      <c r="E7" s="55" t="n">
        <v>0.8</v>
      </c>
      <c r="F7" s="56" t="n">
        <v>1</v>
      </c>
      <c r="G7" s="57">
        <f>D7*E7*F7</f>
        <v/>
      </c>
      <c r="H7" s="58" t="inlineStr">
        <is>
          <t>Elevador Z de acero inoxidable grado alimentario</t>
        </is>
      </c>
      <c r="I7" s="58" t="inlineStr">
        <is>
          <t>Elevación continua de galletas hacia la tolva superior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Puesto del operador y recambio de bobinas</t>
        </is>
      </c>
      <c r="D8" s="55" t="n">
        <v>1.5</v>
      </c>
      <c r="E8" s="55" t="n">
        <v>1.2</v>
      </c>
      <c r="F8" s="63" t="n">
        <v>1</v>
      </c>
      <c r="G8" s="64">
        <f>D8*E8*F8</f>
        <v/>
      </c>
      <c r="H8" s="65" t="inlineStr">
        <is>
          <t>Espacio frontal para montaje de rollos de film (20 kg)</t>
        </is>
      </c>
      <c r="I8" s="65" t="inlineStr">
        <is>
          <t>Operación táctil HMI, carga de film y fotocélula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Cinta inclinada de salida de paquetes listos</t>
        </is>
      </c>
      <c r="D9" s="55" t="n">
        <v>1.5</v>
      </c>
      <c r="E9" s="55" t="n">
        <v>0.6</v>
      </c>
      <c r="F9" s="56" t="n">
        <v>1</v>
      </c>
      <c r="G9" s="57">
        <f>D9*E9*F9</f>
        <v/>
      </c>
      <c r="H9" s="58" t="inlineStr">
        <is>
          <t>Cinta transportadora de descarga con rampa</t>
        </is>
      </c>
      <c r="I9" s="58" t="inlineStr">
        <is>
          <t>Transporte de paquetes hacia el detector de metales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Tablero HMI, codificador láser e inyector N2</t>
        </is>
      </c>
      <c r="D10" s="55" t="n">
        <v>0.8</v>
      </c>
      <c r="E10" s="55" t="n">
        <v>0.5</v>
      </c>
      <c r="F10" s="63" t="n">
        <v>1</v>
      </c>
      <c r="G10" s="64">
        <f>D10*E10*F10</f>
        <v/>
      </c>
      <c r="H10" s="65" t="inlineStr">
        <is>
          <t>Módulos auxiliares de trazabilidad e inertización</t>
        </is>
      </c>
      <c r="I10" s="65" t="inlineStr">
        <is>
          <t>Fechado de lote/vencimiento e inyección de gas protector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y servicio de mordazas</t>
        </is>
      </c>
      <c r="D11" s="55" t="n">
        <v>0.5</v>
      </c>
      <c r="E11" s="55" t="n">
        <v>1.5</v>
      </c>
      <c r="F11" s="56" t="n">
        <v>2</v>
      </c>
      <c r="G11" s="57">
        <f>D11*E11*F11</f>
        <v/>
      </c>
      <c r="H11" s="58" t="inlineStr">
        <is>
          <t>0,5 m perimetral para cambio de teflón y resistencias</t>
        </is>
      </c>
      <c r="I11" s="58" t="inlineStr">
        <is>
          <t>Mantenimiento seguro y cambio de formatos de tubo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intersectorial</t>
        </is>
      </c>
      <c r="D12" s="55" t="n">
        <v>1</v>
      </c>
      <c r="E12" s="55" t="n">
        <v>3.5</v>
      </c>
      <c r="F12" s="63" t="n">
        <v>1</v>
      </c>
      <c r="G12" s="64">
        <f>D12*E12*F12</f>
        <v/>
      </c>
      <c r="H12" s="65" t="inlineStr">
        <is>
          <t>Pasillo libre de tránsito de materiales</t>
        </is>
      </c>
      <c r="I12" s="65" t="inlineStr">
        <is>
          <t>Circulación de personal y reposición de bobinas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Detector de metales en línea con rechazo neumático</t>
        </is>
      </c>
      <c r="D13" s="55" t="n">
        <v>1.2</v>
      </c>
      <c r="E13" s="55" t="n">
        <v>0.6</v>
      </c>
      <c r="F13" s="56" t="n">
        <v>1</v>
      </c>
      <c r="G13" s="57">
        <f>D13*E13*F13</f>
        <v/>
      </c>
      <c r="H13" s="58" t="inlineStr">
        <is>
          <t>Punto Crítico de Control (PCC) según plan HACCP</t>
        </is>
      </c>
      <c r="I13" s="58" t="inlineStr">
        <is>
          <t>Detección de metales ferrosos/no ferrosos y descarte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Envasadora Vertical ZH-BL-10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ZON PACK ZH-BL-10 (Envasadora vertical flow-pack)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Dimensiones del Equipo</t>
        </is>
      </c>
      <c r="C18" s="75" t="n"/>
      <c r="D18" s="76" t="n"/>
      <c r="E18" s="32" t="inlineStr">
        <is>
          <t>1530 mm (Largo) x 970 mm (Ancho) x 1700 mm (Alto)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Superficie Estática (Ss)</t>
        </is>
      </c>
      <c r="C19" s="75" t="n"/>
      <c r="D19" s="76" t="n"/>
      <c r="E19" s="32" t="inlineStr">
        <is>
          <t>1,4841 m² (según BOM y Balanceo: 1,53 m x 0,97 m)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Potencia y Voltaje</t>
        </is>
      </c>
      <c r="C20" s="75" t="n"/>
      <c r="D20" s="76" t="n"/>
      <c r="E20" s="32" t="inlineStr">
        <is>
          <t>6,50 kW | 220 V / 50 Hz monofásica/trifásica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Velocidad de Envasado</t>
        </is>
      </c>
      <c r="C21" s="75" t="n"/>
      <c r="D21" s="76" t="n"/>
      <c r="E21" s="32" t="inlineStr">
        <is>
          <t>30 a 70 paquetes/minuto (Capacidad: 270 kg/h)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Formato de Empaque</t>
        </is>
      </c>
      <c r="C22" s="75" t="n"/>
      <c r="D22" s="76" t="n"/>
      <c r="E22" s="32" t="inlineStr">
        <is>
          <t>Paquete flow-pack 150 g con atmósfera inerte (N2)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ENVASADO SECUNDARIO - LÍNEA GALLETITAS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A - Galletitas | Mesa de Trabajo Ergonómica, Encajonado y Paletizado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Mesa de Trabajo en Acero Inoxidable AISI 304</t>
        </is>
      </c>
      <c r="D6" s="50" t="n">
        <v>1.2</v>
      </c>
      <c r="E6" s="50" t="n">
        <v>0.8</v>
      </c>
      <c r="F6" s="51" t="n">
        <v>1</v>
      </c>
      <c r="G6" s="52">
        <f>D6*E6*F6</f>
        <v/>
      </c>
      <c r="H6" s="53" t="inlineStr">
        <is>
          <t>Mesa estándar ergonómica de empaque (1200x800mm)</t>
        </is>
      </c>
      <c r="I6" s="53" t="inlineStr">
        <is>
          <t>Superficie de apoyo para conformado y llenado de cajas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Buffer de paquetes recibidos desde detector</t>
        </is>
      </c>
      <c r="D7" s="55" t="n">
        <v>0.8</v>
      </c>
      <c r="E7" s="55" t="n">
        <v>0.6</v>
      </c>
      <c r="F7" s="56" t="n">
        <v>1</v>
      </c>
      <c r="G7" s="57">
        <f>D7*E7*F7</f>
        <v/>
      </c>
      <c r="H7" s="58" t="inlineStr">
        <is>
          <t>Bandeja acumuladora proveniente de envasado 1°</t>
        </is>
      </c>
      <c r="I7" s="58" t="inlineStr">
        <is>
          <t>Recepción de paquetes flow-pack verificados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Puesto del operario de encajonado</t>
        </is>
      </c>
      <c r="D8" s="55" t="n">
        <v>1.2</v>
      </c>
      <c r="E8" s="55" t="n">
        <v>1</v>
      </c>
      <c r="F8" s="63" t="n">
        <v>1</v>
      </c>
      <c r="G8" s="64">
        <f>D8*E8*F8</f>
        <v/>
      </c>
      <c r="H8" s="65" t="inlineStr">
        <is>
          <t>Espacio ergonómico de pie sobre alfombra antifatiga</t>
        </is>
      </c>
      <c r="I8" s="65" t="inlineStr">
        <is>
          <t>Conformado de cajas, colocación de 20 unidades y control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Soporte para cajas corrugadas plegadas</t>
        </is>
      </c>
      <c r="D9" s="55" t="n">
        <v>0.8</v>
      </c>
      <c r="E9" s="55" t="n">
        <v>0.6</v>
      </c>
      <c r="F9" s="56" t="n">
        <v>1</v>
      </c>
      <c r="G9" s="57">
        <f>D9*E9*F9</f>
        <v/>
      </c>
      <c r="H9" s="58" t="inlineStr">
        <is>
          <t>Estante inferior/lateral para cajas desarmadas</t>
        </is>
      </c>
      <c r="I9" s="58" t="inlineStr">
        <is>
          <t>Alimentación rápida de cajas vacías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Precintadora manual y dispensador de rótulos</t>
        </is>
      </c>
      <c r="D10" s="55" t="n">
        <v>0.5</v>
      </c>
      <c r="E10" s="55" t="n">
        <v>0.4</v>
      </c>
      <c r="F10" s="63" t="n">
        <v>1</v>
      </c>
      <c r="G10" s="64">
        <f>D10*E10*F10</f>
        <v/>
      </c>
      <c r="H10" s="65" t="inlineStr">
        <is>
          <t>Dispensador de cinta adhesiva y etiquetas código barras</t>
        </is>
      </c>
      <c r="I10" s="65" t="inlineStr">
        <is>
          <t>Cerrado superior e inferior y etiquetado de trazabilidad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y ergonomía postural</t>
        </is>
      </c>
      <c r="D11" s="55" t="n">
        <v>0.5</v>
      </c>
      <c r="E11" s="55" t="n">
        <v>1.2</v>
      </c>
      <c r="F11" s="56" t="n">
        <v>1</v>
      </c>
      <c r="G11" s="57">
        <f>D11*E11*F11</f>
        <v/>
      </c>
      <c r="H11" s="58" t="inlineStr">
        <is>
          <t>Zona libre perimetral sin obstáculos de tropiezo</t>
        </is>
      </c>
      <c r="I11" s="58" t="inlineStr">
        <is>
          <t>Seguridad y rotación postural del trabajador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y retiro de zorras</t>
        </is>
      </c>
      <c r="D12" s="55" t="n">
        <v>1.2</v>
      </c>
      <c r="E12" s="55" t="n">
        <v>3</v>
      </c>
      <c r="F12" s="63" t="n">
        <v>1</v>
      </c>
      <c r="G12" s="64">
        <f>D12*E12*F12</f>
        <v/>
      </c>
      <c r="H12" s="65" t="inlineStr">
        <is>
          <t>Ancho mínimo para tránsito de zorras hidráulicas</t>
        </is>
      </c>
      <c r="I12" s="65" t="inlineStr">
        <is>
          <t>Retiro de pallets conformados hacia Depósito PT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Pallet en conformación con cajas terminadas (PT)</t>
        </is>
      </c>
      <c r="D13" s="55" t="n">
        <v>1.2</v>
      </c>
      <c r="E13" s="55" t="n">
        <v>1</v>
      </c>
      <c r="F13" s="56" t="n">
        <v>1</v>
      </c>
      <c r="G13" s="57">
        <f>D13*E13*F13</f>
        <v/>
      </c>
      <c r="H13" s="58" t="inlineStr">
        <is>
          <t>Pallet Arlog (1,2 x 1,0 m) en proceso de estibado</t>
        </is>
      </c>
      <c r="I13" s="58" t="inlineStr">
        <is>
          <t>Estiba de cajas terminadas previo al stretch filmado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Mesa de Encajonado Manual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Tipo de Puesto</t>
        </is>
      </c>
      <c r="C17" s="75" t="n"/>
      <c r="D17" s="76" t="n"/>
      <c r="E17" s="32" t="inlineStr">
        <is>
          <t>Mesa de envasado secundario manual en acero inoxidable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Dimensiones de la Mesa</t>
        </is>
      </c>
      <c r="C18" s="75" t="n"/>
      <c r="D18" s="76" t="n"/>
      <c r="E18" s="32" t="inlineStr">
        <is>
          <t>1200 mm (Largo) x 800 mm (Ancho) x 800 mm (Alto)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Superficie Estática (Ss)</t>
        </is>
      </c>
      <c r="C19" s="75" t="n"/>
      <c r="D19" s="76" t="n"/>
      <c r="E19" s="32" t="inlineStr">
        <is>
          <t>0,96 m² (según BOM y Balanceo: 1,20 m x 0,80 m)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Formato de Embalaje</t>
        </is>
      </c>
      <c r="C20" s="75" t="n"/>
      <c r="D20" s="76" t="n"/>
      <c r="E20" s="32" t="inlineStr">
        <is>
          <t>Caja de cartón corrugado x 20 paquetes (3,00 kg netos)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Equipamiento Auxiliar</t>
        </is>
      </c>
      <c r="C21" s="75" t="n"/>
      <c r="D21" s="76" t="n"/>
      <c r="E21" s="32" t="inlineStr">
        <is>
          <t>Dispensador de cinta de embalaje, etiquetadora y balanza de control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Rendimiento</t>
        </is>
      </c>
      <c r="C22" s="75" t="n"/>
      <c r="D22" s="76" t="n"/>
      <c r="E22" s="32" t="inlineStr">
        <is>
          <t>1 caja/minuto por operario (Capacidad holgada para línea)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BATIDO - LÍNEA PANIFICADOS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B - Panificados | Batidora Planetaria Industrial Moretti Ultra 60 (60 L / 37,5 kg)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Batidora Planetaria Industrial de 60 Litros</t>
        </is>
      </c>
      <c r="D6" s="50" t="n">
        <v>1.1</v>
      </c>
      <c r="E6" s="50" t="n">
        <v>0.91</v>
      </c>
      <c r="F6" s="51" t="n">
        <v>1</v>
      </c>
      <c r="G6" s="52">
        <f>D6*E6*F6</f>
        <v/>
      </c>
      <c r="H6" s="53" t="inlineStr">
        <is>
          <t>Fabricante Moretti (Ultra 60: 1100 x 910 mm)</t>
        </is>
      </c>
      <c r="I6" s="53" t="inlineStr">
        <is>
          <t>Batido, emulsión y aireado de masas de budín y pan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Bines con ingredientes secos y líquidos dosificados</t>
        </is>
      </c>
      <c r="D7" s="55" t="n">
        <v>0.8</v>
      </c>
      <c r="E7" s="55" t="n">
        <v>0.6</v>
      </c>
      <c r="F7" s="56" t="n">
        <v>1</v>
      </c>
      <c r="G7" s="57">
        <f>D7*E7*F7</f>
        <v/>
      </c>
      <c r="H7" s="58" t="inlineStr">
        <is>
          <t>Contenedores rodantes plásticos grado alimentario</t>
        </is>
      </c>
      <c r="I7" s="58" t="inlineStr">
        <is>
          <t>Espera de ingredientes pesados listos para verter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Puesto del operador y sistema de elevación</t>
        </is>
      </c>
      <c r="D8" s="55" t="n">
        <v>1.3</v>
      </c>
      <c r="E8" s="55" t="n">
        <v>1.1</v>
      </c>
      <c r="F8" s="63" t="n">
        <v>1</v>
      </c>
      <c r="G8" s="64">
        <f>D8*E8*F8</f>
        <v/>
      </c>
      <c r="H8" s="65" t="inlineStr">
        <is>
          <t>Área de izado y desmontaje del tacho de 60L</t>
        </is>
      </c>
      <c r="I8" s="65" t="inlineStr">
        <is>
          <t>Carga de materias primas, encastre y control de batido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Zona de extracción de tacho con masa batida</t>
        </is>
      </c>
      <c r="D9" s="55" t="n">
        <v>1</v>
      </c>
      <c r="E9" s="55" t="n">
        <v>0.9</v>
      </c>
      <c r="F9" s="56" t="n">
        <v>1</v>
      </c>
      <c r="G9" s="57">
        <f>D9*E9*F9</f>
        <v/>
      </c>
      <c r="H9" s="58" t="inlineStr">
        <is>
          <t>Zona de desacople y descenso del tacho con bache listo</t>
        </is>
      </c>
      <c r="I9" s="58" t="inlineStr">
        <is>
          <t>Retiro rodante del tacho hacia el puesto de dosificado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Tablero eléctrico, temporizador y selector</t>
        </is>
      </c>
      <c r="D10" s="55" t="n">
        <v>0.6</v>
      </c>
      <c r="E10" s="55" t="n">
        <v>0.4</v>
      </c>
      <c r="F10" s="63" t="n">
        <v>1</v>
      </c>
      <c r="G10" s="64">
        <f>D10*E10*F10</f>
        <v/>
      </c>
      <c r="H10" s="65" t="inlineStr">
        <is>
          <t>Gabinete estanco integrado con parada de emergencia</t>
        </is>
      </c>
      <c r="I10" s="65" t="inlineStr">
        <is>
          <t>Control de velocidades, temporizado y seguridad de rejilla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lateral y apertura de rejilla</t>
        </is>
      </c>
      <c r="D11" s="55" t="n">
        <v>0.5</v>
      </c>
      <c r="E11" s="55" t="n">
        <v>1</v>
      </c>
      <c r="F11" s="56" t="n">
        <v>2</v>
      </c>
      <c r="G11" s="57">
        <f>D11*E11*F11</f>
        <v/>
      </c>
      <c r="H11" s="58" t="inlineStr">
        <is>
          <t>0,5 m lateral para resguardo y fácil lavado</t>
        </is>
      </c>
      <c r="I11" s="58" t="inlineStr">
        <is>
          <t>Seguridad contra atrapamiento y limpieza profunda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interna de panificados</t>
        </is>
      </c>
      <c r="D12" s="55" t="n">
        <v>1</v>
      </c>
      <c r="E12" s="55" t="n">
        <v>2.8</v>
      </c>
      <c r="F12" s="63" t="n">
        <v>1</v>
      </c>
      <c r="G12" s="64">
        <f>D12*E12*F12</f>
        <v/>
      </c>
      <c r="H12" s="65" t="inlineStr">
        <is>
          <t>Pasillo de tránsito para operarios y carros</t>
        </is>
      </c>
      <c r="I12" s="65" t="inlineStr">
        <is>
          <t>Circulación peatonal y traslado rodante de tachos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Tacho auxiliar de repuesto / carro porta-tacho</t>
        </is>
      </c>
      <c r="D13" s="55" t="n">
        <v>0.8</v>
      </c>
      <c r="E13" s="55" t="n">
        <v>0.8</v>
      </c>
      <c r="F13" s="56" t="n">
        <v>1</v>
      </c>
      <c r="G13" s="57">
        <f>D13*E13*F13</f>
        <v/>
      </c>
      <c r="H13" s="58" t="inlineStr">
        <is>
          <t>Segundo tacho de acero inoxidable para rotación continua</t>
        </is>
      </c>
      <c r="I13" s="58" t="inlineStr">
        <is>
          <t>Permite iniciar el pesaje del siguiente lote sin demoras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Batidora Moretti Ultra 60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Moretti Ultra 60 (Batidora Planetaria Comercial Pesada)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Capacidad de Tacho</t>
        </is>
      </c>
      <c r="C18" s="75" t="n"/>
      <c r="D18" s="76" t="n"/>
      <c r="E18" s="32" t="inlineStr">
        <is>
          <t>60 Litros / 37,5 kg de masa batida líquida/semilíquida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del Equipo</t>
        </is>
      </c>
      <c r="C19" s="75" t="n"/>
      <c r="D19" s="76" t="n"/>
      <c r="E19" s="32" t="inlineStr">
        <is>
          <t>1100 mm (Largo) x 910 mm (Ancho) x 1580 mm (Alto)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1,001 m² (según BOM y Balanceo: 1,10 m x 0,91 m)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Potencia y Voltaje</t>
        </is>
      </c>
      <c r="C21" s="75" t="n"/>
      <c r="D21" s="76" t="n"/>
      <c r="E21" s="32" t="inlineStr">
        <is>
          <t>2,50 kW | 380 V trifásica (3 velocidades mecánicas)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Tiempo de Batido</t>
        </is>
      </c>
      <c r="C22" s="75" t="n"/>
      <c r="D22" s="76" t="n"/>
      <c r="E22" s="32" t="inlineStr">
        <is>
          <t>18 a 20 min por bache (Capacidad teórica: 112,5 kg/h)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DOSIFICADO - LÍNEA PANIFICADOS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B - Panificados | Dosificadora Volumétrica Neumática Indurpack G1WGD-1000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Dosificadora Neumática sobre Mesa Inox</t>
        </is>
      </c>
      <c r="D6" s="50" t="n">
        <v>1.16</v>
      </c>
      <c r="E6" s="50" t="n">
        <v>0.3</v>
      </c>
      <c r="F6" s="51" t="n">
        <v>1</v>
      </c>
      <c r="G6" s="52">
        <f>D6*E6*F6</f>
        <v/>
      </c>
      <c r="H6" s="53" t="inlineStr">
        <is>
          <t>Fabricante Indurpack (Tolva 40L, pistón SUS304)</t>
        </is>
      </c>
      <c r="I6" s="53" t="inlineStr">
        <is>
          <t>Dosificación volumétrica exacta en moldes de pan y budín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Carro con moldes y bandejas vacías aceitadas</t>
        </is>
      </c>
      <c r="D7" s="55" t="n">
        <v>0.9</v>
      </c>
      <c r="E7" s="55" t="n">
        <v>0.7</v>
      </c>
      <c r="F7" s="56" t="n">
        <v>1</v>
      </c>
      <c r="G7" s="57">
        <f>D7*E7*F7</f>
        <v/>
      </c>
      <c r="H7" s="58" t="inlineStr">
        <is>
          <t>Carro porta-bandejas estándar (450 x 700 mm)</t>
        </is>
      </c>
      <c r="I7" s="58" t="inlineStr">
        <is>
          <t>Alimentación de bandejas vacías hacia la boquilla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Puesto de trabajo del operador con pedal</t>
        </is>
      </c>
      <c r="D8" s="55" t="n">
        <v>1.2</v>
      </c>
      <c r="E8" s="55" t="n">
        <v>1</v>
      </c>
      <c r="F8" s="63" t="n">
        <v>1</v>
      </c>
      <c r="G8" s="64">
        <f>D8*E8*F8</f>
        <v/>
      </c>
      <c r="H8" s="65" t="inlineStr">
        <is>
          <t>Puesto ergonómico sentado/parado con accionador</t>
        </is>
      </c>
      <c r="I8" s="65" t="inlineStr">
        <is>
          <t>Posicionamiento de moldes bajo pico y disparo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Mesa de transferencia de bandejas llenas</t>
        </is>
      </c>
      <c r="D9" s="55" t="n">
        <v>1.2</v>
      </c>
      <c r="E9" s="55" t="n">
        <v>0.6</v>
      </c>
      <c r="F9" s="56" t="n">
        <v>1</v>
      </c>
      <c r="G9" s="57">
        <f>D9*E9*F9</f>
        <v/>
      </c>
      <c r="H9" s="58" t="inlineStr">
        <is>
          <t>Mesa de rodillos libres en acero inoxidable</t>
        </is>
      </c>
      <c r="I9" s="58" t="inlineStr">
        <is>
          <t>Recepción de moldes cargados y verificación de peso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Unidad de Mantenimiento Neumático (FRL)</t>
        </is>
      </c>
      <c r="D10" s="55" t="n">
        <v>0.5</v>
      </c>
      <c r="E10" s="55" t="n">
        <v>0.4</v>
      </c>
      <c r="F10" s="63" t="n">
        <v>1</v>
      </c>
      <c r="G10" s="64">
        <f>D10*E10*F10</f>
        <v/>
      </c>
      <c r="H10" s="65" t="inlineStr">
        <is>
          <t>Filtro, regulador de presión y manómetro</t>
        </is>
      </c>
      <c r="I10" s="65" t="inlineStr">
        <is>
          <t>Alimentación de aire comprimido seco y regulación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lateral y limpieza</t>
        </is>
      </c>
      <c r="D11" s="55" t="n">
        <v>0.5</v>
      </c>
      <c r="E11" s="55" t="n">
        <v>1.2</v>
      </c>
      <c r="F11" s="56" t="n">
        <v>1</v>
      </c>
      <c r="G11" s="57">
        <f>D11*E11*F11</f>
        <v/>
      </c>
      <c r="H11" s="58" t="inlineStr">
        <is>
          <t>Distancia libre para desmontaje y lavado de tolva</t>
        </is>
      </c>
      <c r="I11" s="58" t="inlineStr">
        <is>
          <t>Sanitización CIP y seguridad operativa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y maniobra de carros</t>
        </is>
      </c>
      <c r="D12" s="55" t="n">
        <v>1</v>
      </c>
      <c r="E12" s="55" t="n">
        <v>3</v>
      </c>
      <c r="F12" s="63" t="n">
        <v>1</v>
      </c>
      <c r="G12" s="64">
        <f>D12*E12*F12</f>
        <v/>
      </c>
      <c r="H12" s="65" t="inlineStr">
        <is>
          <t>Pasillo interno de circulación de carros</t>
        </is>
      </c>
      <c r="I12" s="65" t="inlineStr">
        <is>
          <t>Circulación de personal y transporte de carros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Carro porta-bandejas cargado listo (SE)</t>
        </is>
      </c>
      <c r="D13" s="55" t="n">
        <v>0.9</v>
      </c>
      <c r="E13" s="55" t="n">
        <v>0.7</v>
      </c>
      <c r="F13" s="56" t="n">
        <v>1</v>
      </c>
      <c r="G13" s="57">
        <f>D13*E13*F13</f>
        <v/>
      </c>
      <c r="H13" s="58" t="inlineStr">
        <is>
          <t>Carro con 15 bandejas cargadas con moldes</t>
        </is>
      </c>
      <c r="I13" s="58" t="inlineStr">
        <is>
          <t>Espera previa a fermentación (pan) o cocción (budín)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Dosificadora Indurpack G1WGD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Indurpack G1WGD-1000 (Dosificadora neumática de pistón)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Capacidad de Tolva</t>
        </is>
      </c>
      <c r="C18" s="75" t="n"/>
      <c r="D18" s="76" t="n"/>
      <c r="E18" s="32" t="inlineStr">
        <is>
          <t>40 Litros en acero inoxidable SUS304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del Equipo</t>
        </is>
      </c>
      <c r="C19" s="75" t="n"/>
      <c r="D19" s="76" t="n"/>
      <c r="E19" s="32" t="inlineStr">
        <is>
          <t>1160 mm (Largo) x 300 mm (Ancho) x 450 mm (Alto)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0,348 m² (en BOM: 1,16 m x 0,30 m sobre bancada)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Alimentación y Consumo</t>
        </is>
      </c>
      <c r="C21" s="75" t="n"/>
      <c r="D21" s="76" t="n"/>
      <c r="E21" s="32" t="inlineStr">
        <is>
          <t>220 V / 50 Hz + Aire comprimido 0,4-0,6 MPa (100 W)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Rango de Dosificación</t>
        </is>
      </c>
      <c r="C22" s="75" t="n"/>
      <c r="D22" s="76" t="n"/>
      <c r="E22" s="32" t="inlineStr">
        <is>
          <t>100 a 1000 mL por ciclo (10 a 30 dosificaciones/min)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FERMENTADO - CÁMARA CONTROLADA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B - Panificados | Cámara Fermentadora Nick Technology NKF-36RS (36 Bandejas)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Cámara Fermentadora Termohigrométrica</t>
        </is>
      </c>
      <c r="D6" s="50" t="n">
        <v>0.98</v>
      </c>
      <c r="E6" s="50" t="n">
        <v>0.58</v>
      </c>
      <c r="F6" s="51" t="n">
        <v>1</v>
      </c>
      <c r="G6" s="52">
        <f>D6*E6*F6</f>
        <v/>
      </c>
      <c r="H6" s="53" t="inlineStr">
        <is>
          <t>Fabricante Nick Technology (NKF-36RS: 980x580mm)</t>
        </is>
      </c>
      <c r="I6" s="53" t="inlineStr">
        <is>
          <t>Leudado biológico controlado para pan de molde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Carro con bandejas dosificadas en espera</t>
        </is>
      </c>
      <c r="D7" s="55" t="n">
        <v>0.9</v>
      </c>
      <c r="E7" s="55" t="n">
        <v>0.7</v>
      </c>
      <c r="F7" s="56" t="n">
        <v>1</v>
      </c>
      <c r="G7" s="57">
        <f>D7*E7*F7</f>
        <v/>
      </c>
      <c r="H7" s="58" t="inlineStr">
        <is>
          <t>Carro proveniente de la estación de dosificado</t>
        </is>
      </c>
      <c r="I7" s="58" t="inlineStr">
        <is>
          <t>Espera antes del ingreso a la cámara de fermentación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Zona de apertura de puertas y carga/descarga</t>
        </is>
      </c>
      <c r="D8" s="55" t="n">
        <v>1.2</v>
      </c>
      <c r="E8" s="55" t="n">
        <v>1</v>
      </c>
      <c r="F8" s="63" t="n">
        <v>1</v>
      </c>
      <c r="G8" s="64">
        <f>D8*E8*F8</f>
        <v/>
      </c>
      <c r="H8" s="65" t="inlineStr">
        <is>
          <t>Radio de apertura de puertas batientes (90°) y paso</t>
        </is>
      </c>
      <c r="I8" s="65" t="inlineStr">
        <is>
          <t>Carga manual de bandejas en las guías internas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Carro para recepción de producto fermentado</t>
        </is>
      </c>
      <c r="D9" s="55" t="n">
        <v>0.9</v>
      </c>
      <c r="E9" s="55" t="n">
        <v>0.7</v>
      </c>
      <c r="F9" s="56" t="n">
        <v>1</v>
      </c>
      <c r="G9" s="57">
        <f>D9*E9*F9</f>
        <v/>
      </c>
      <c r="H9" s="58" t="inlineStr">
        <is>
          <t>Carro limpio listo para recibir producto con leudado</t>
        </is>
      </c>
      <c r="I9" s="58" t="inlineStr">
        <is>
          <t>Descarga de bandejas leudadas hacia horno rotativo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Tablero electrónico de control de microclima</t>
        </is>
      </c>
      <c r="D10" s="55" t="n">
        <v>0.5</v>
      </c>
      <c r="E10" s="55" t="n">
        <v>0.4</v>
      </c>
      <c r="F10" s="63" t="n">
        <v>1</v>
      </c>
      <c r="G10" s="64">
        <f>D10*E10*F10</f>
        <v/>
      </c>
      <c r="H10" s="65" t="inlineStr">
        <is>
          <t>Módulo de control digital de temperatura y humedad</t>
        </is>
      </c>
      <c r="I10" s="65" t="inlineStr">
        <is>
          <t>Regulación de resistencia calefactora y humidificador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ventilación trasera y lateral</t>
        </is>
      </c>
      <c r="D11" s="55" t="n">
        <v>0.5</v>
      </c>
      <c r="E11" s="55" t="n">
        <v>1</v>
      </c>
      <c r="F11" s="56" t="n">
        <v>1</v>
      </c>
      <c r="G11" s="57">
        <f>D11*E11*F11</f>
        <v/>
      </c>
      <c r="H11" s="58" t="inlineStr">
        <is>
          <t>0,5 m de separación de tabiques para disipación</t>
        </is>
      </c>
      <c r="I11" s="58" t="inlineStr">
        <is>
          <t>Ventilación de condensados y seguridad eléctrica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de carros</t>
        </is>
      </c>
      <c r="D12" s="55" t="n">
        <v>1.2</v>
      </c>
      <c r="E12" s="55" t="n">
        <v>2.8</v>
      </c>
      <c r="F12" s="63" t="n">
        <v>1</v>
      </c>
      <c r="G12" s="64">
        <f>D12*E12*F12</f>
        <v/>
      </c>
      <c r="H12" s="65" t="inlineStr">
        <is>
          <t>Pasillo de circulación apto para carros rodantes</t>
        </is>
      </c>
      <c r="I12" s="65" t="inlineStr">
        <is>
          <t>Transporte fluido entre dosificado, cámara y horno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Pulmón de carros fermentados pre-horneo (SE)</t>
        </is>
      </c>
      <c r="D13" s="55" t="n">
        <v>0.9</v>
      </c>
      <c r="E13" s="55" t="n">
        <v>0.7</v>
      </c>
      <c r="F13" s="56" t="n">
        <v>1</v>
      </c>
      <c r="G13" s="57">
        <f>D13*E13*F13</f>
        <v/>
      </c>
      <c r="H13" s="58" t="inlineStr">
        <is>
          <t>Carro con panes leudados en tiempo crítico de espera</t>
        </is>
      </c>
      <c r="I13" s="58" t="inlineStr">
        <is>
          <t>Pulmón de sincronización con la tanda del horno rotativo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Fermentador NKF-36RS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Proveedor</t>
        </is>
      </c>
      <c r="C17" s="75" t="n"/>
      <c r="D17" s="76" t="n"/>
      <c r="E17" s="32" t="inlineStr">
        <is>
          <t>BestBake / Nick Technology (NKF-36RS)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Capacidad de Carga</t>
        </is>
      </c>
      <c r="C18" s="75" t="n"/>
      <c r="D18" s="76" t="n"/>
      <c r="E18" s="32" t="inlineStr">
        <is>
          <t>36 bandejas (450 x 700 mm) distribuidas en 2 columnas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del Equipo</t>
        </is>
      </c>
      <c r="C19" s="75" t="n"/>
      <c r="D19" s="76" t="n"/>
      <c r="E19" s="32" t="inlineStr">
        <is>
          <t>980 mm (Largo) x 580 mm (Ancho) x 2050 mm (Alto)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0,5684 m² (según BOM y Balanceo: 0,98 m x 0,58 m)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Potencia y Voltaje</t>
        </is>
      </c>
      <c r="C21" s="75" t="n"/>
      <c r="D21" s="76" t="n"/>
      <c r="E21" s="32" t="inlineStr">
        <is>
          <t>1,80 kW | 220 V / 50 Hz monofásica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Parámetros de Proceso</t>
        </is>
      </c>
      <c r="C22" s="75" t="n"/>
      <c r="D22" s="76" t="n"/>
      <c r="E22" s="32" t="inlineStr">
        <is>
          <t>Temperatura: 32°C a 38°C | Humedad Relativa: 75% a 85%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A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HORNEADO - BATERÍA HORNOS ROTATIVOS</t>
        </is>
      </c>
      <c r="L2" s="36" t="inlineStr">
        <is>
          <t>Escala: 1 celda ≈ 0.25 m x 0.25 m</t>
        </is>
      </c>
    </row>
    <row r="3" ht="18" customHeight="1">
      <c r="B3" s="2" t="inlineStr">
        <is>
          <t>Línea B - Panificados | Batería de 2 Hornos Rotativos Pauna SIGMA B-7090 a Carro</t>
        </is>
      </c>
    </row>
    <row r="4" ht="18" customHeight="1">
      <c r="L4" s="37" t="n"/>
      <c r="M4" s="38" t="n"/>
      <c r="N4" s="38" t="n"/>
      <c r="O4" s="38" t="n"/>
      <c r="P4" s="38" t="n"/>
      <c r="Q4" s="39" t="inlineStr">
        <is>
          <t>A7</t>
        </is>
      </c>
      <c r="R4" s="40" t="n"/>
      <c r="S4" s="40" t="n"/>
      <c r="T4" s="40" t="n"/>
      <c r="U4" s="40" t="n"/>
      <c r="V4" s="40" t="n"/>
      <c r="W4" s="40" t="n"/>
      <c r="X4" s="40" t="n"/>
      <c r="Y4" s="40" t="n"/>
      <c r="Z4" s="41" t="n"/>
      <c r="AA4" s="39" t="inlineStr">
        <is>
          <t>A6</t>
        </is>
      </c>
      <c r="AB4" s="40" t="n"/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L5" s="43" t="n"/>
      <c r="M5" s="44" t="n"/>
      <c r="N5" s="44" t="n"/>
      <c r="O5" s="44" t="n"/>
      <c r="P5" s="44" t="n"/>
      <c r="Q5" s="45" t="n"/>
      <c r="Z5" s="46" t="n"/>
      <c r="AA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Batería de 2 Hornos Rotativos a Carro</t>
        </is>
      </c>
      <c r="D6" s="50" t="n">
        <v>1.95</v>
      </c>
      <c r="E6" s="50" t="n">
        <v>3.4</v>
      </c>
      <c r="F6" s="51" t="n">
        <v>1</v>
      </c>
      <c r="G6" s="52">
        <f>D6*E6*F6</f>
        <v/>
      </c>
      <c r="H6" s="53" t="inlineStr">
        <is>
          <t>Fabricante Pauna (2 hornos SIGMA B-7090 acoplados)</t>
        </is>
      </c>
      <c r="I6" s="53" t="inlineStr">
        <is>
          <t>Cocción por convección forzada y rotación de carro</t>
        </is>
      </c>
      <c r="L6" s="43" t="n"/>
      <c r="M6" s="44" t="n"/>
      <c r="N6" s="44" t="n"/>
      <c r="O6" s="44" t="n"/>
      <c r="P6" s="44" t="n"/>
      <c r="Q6" s="59" t="n"/>
      <c r="R6" s="60" t="n"/>
      <c r="S6" s="60" t="n"/>
      <c r="T6" s="60" t="n"/>
      <c r="U6" s="60" t="n"/>
      <c r="V6" s="60" t="n"/>
      <c r="W6" s="60" t="n"/>
      <c r="X6" s="60" t="n"/>
      <c r="Y6" s="60" t="n"/>
      <c r="Z6" s="61" t="n"/>
      <c r="AA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Carros con producto leudado / dosificado en espera</t>
        </is>
      </c>
      <c r="D7" s="55" t="n">
        <v>1.6</v>
      </c>
      <c r="E7" s="55" t="n">
        <v>0.9</v>
      </c>
      <c r="F7" s="56" t="n">
        <v>1</v>
      </c>
      <c r="G7" s="57">
        <f>D7*E7*F7</f>
        <v/>
      </c>
      <c r="H7" s="58" t="inlineStr">
        <is>
          <t>Espacio para 2 carros listos para horneo sincronizado</t>
        </is>
      </c>
      <c r="I7" s="58" t="inlineStr">
        <is>
          <t>Espera inmediata frente a la embocadura de los hornos</t>
        </is>
      </c>
      <c r="L7" s="43" t="n"/>
      <c r="M7" s="44" t="n"/>
      <c r="N7" s="44" t="n"/>
      <c r="O7" s="44" t="n"/>
      <c r="P7" s="44" t="n"/>
      <c r="Q7" s="39" t="inlineStr">
        <is>
          <t>A3</t>
        </is>
      </c>
      <c r="R7" s="40" t="n"/>
      <c r="S7" s="40" t="n"/>
      <c r="T7" s="40" t="n"/>
      <c r="U7" s="40" t="n"/>
      <c r="V7" s="40" t="n"/>
      <c r="W7" s="40" t="n"/>
      <c r="X7" s="40" t="n"/>
      <c r="Y7" s="40" t="n"/>
      <c r="Z7" s="41" t="n"/>
      <c r="AA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Área de maniobra térmica y carga/descarga</t>
        </is>
      </c>
      <c r="D8" s="55" t="n">
        <v>2</v>
      </c>
      <c r="E8" s="55" t="n">
        <v>3.4</v>
      </c>
      <c r="F8" s="63" t="n">
        <v>1</v>
      </c>
      <c r="G8" s="64">
        <f>D8*E8*F8</f>
        <v/>
      </c>
      <c r="H8" s="65" t="inlineStr">
        <is>
          <t>Radio de giro y enganche/desenganche al rotor superior</t>
        </is>
      </c>
      <c r="I8" s="65" t="inlineStr">
        <is>
          <t>Introducción y extracción de carros calientes con EPP</t>
        </is>
      </c>
      <c r="L8" s="43" t="n"/>
      <c r="M8" s="44" t="n"/>
      <c r="N8" s="44" t="n"/>
      <c r="O8" s="44" t="n"/>
      <c r="P8" s="44" t="n"/>
      <c r="Q8" s="45" t="n"/>
      <c r="Z8" s="46" t="n"/>
      <c r="AA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Zona de desalojo y salida de carros calientes</t>
        </is>
      </c>
      <c r="D9" s="55" t="n">
        <v>1.8</v>
      </c>
      <c r="E9" s="55" t="n">
        <v>1.2</v>
      </c>
      <c r="F9" s="56" t="n">
        <v>1</v>
      </c>
      <c r="G9" s="57">
        <f>D9*E9*F9</f>
        <v/>
      </c>
      <c r="H9" s="58" t="inlineStr">
        <is>
          <t>Zona de desalojo rápido de carros a 200°C</t>
        </is>
      </c>
      <c r="I9" s="58" t="inlineStr">
        <is>
          <t>Extracción hacia el área de reposo y enfriamiento</t>
        </is>
      </c>
      <c r="L9" s="43" t="n"/>
      <c r="M9" s="44" t="n"/>
      <c r="N9" s="44" t="n"/>
      <c r="O9" s="44" t="n"/>
      <c r="P9" s="44" t="n"/>
      <c r="Q9" s="45" t="n"/>
      <c r="Z9" s="46" t="n"/>
      <c r="AA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Tableros de control con vaporizador y rampa gas</t>
        </is>
      </c>
      <c r="D10" s="55" t="n">
        <v>1.2</v>
      </c>
      <c r="E10" s="55" t="n">
        <v>0.6</v>
      </c>
      <c r="F10" s="63" t="n">
        <v>1</v>
      </c>
      <c r="G10" s="64">
        <f>D10*E10*F10</f>
        <v/>
      </c>
      <c r="H10" s="65" t="inlineStr">
        <is>
          <t>Paneles de comando, quemadores y electroválvulas vapor</t>
        </is>
      </c>
      <c r="I10" s="65" t="inlineStr">
        <is>
          <t>Programación de recetas térmicas, inyección de vapor y alarmas</t>
        </is>
      </c>
      <c r="L10" s="43" t="n"/>
      <c r="M10" s="44" t="n"/>
      <c r="N10" s="44" t="n"/>
      <c r="O10" s="44" t="n"/>
      <c r="P10" s="44" t="n"/>
      <c r="Q10" s="45" t="n"/>
      <c r="Z10" s="46" t="n"/>
      <c r="AA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Aislamiento térmico perimetral y seguridad</t>
        </is>
      </c>
      <c r="D11" s="55" t="n">
        <v>0.8</v>
      </c>
      <c r="E11" s="55" t="n">
        <v>4</v>
      </c>
      <c r="F11" s="56" t="n">
        <v>1</v>
      </c>
      <c r="G11" s="57">
        <f>D11*E11*F11</f>
        <v/>
      </c>
      <c r="H11" s="58" t="inlineStr">
        <is>
          <t>0,8 m libre contra irradiación térmica de paredes</t>
        </is>
      </c>
      <c r="I11" s="58" t="inlineStr">
        <is>
          <t>Protección de operarios e instalaciones contra calor</t>
        </is>
      </c>
      <c r="L11" s="43" t="n"/>
      <c r="M11" s="44" t="n"/>
      <c r="N11" s="44" t="n"/>
      <c r="O11" s="44" t="n"/>
      <c r="P11" s="44" t="n"/>
      <c r="Q11" s="59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1" t="n"/>
      <c r="AA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de circulación principal para carros</t>
        </is>
      </c>
      <c r="D12" s="55" t="n">
        <v>1.5</v>
      </c>
      <c r="E12" s="55" t="n">
        <v>5</v>
      </c>
      <c r="F12" s="63" t="n">
        <v>1</v>
      </c>
      <c r="G12" s="64">
        <f>D12*E12*F12</f>
        <v/>
      </c>
      <c r="H12" s="65" t="inlineStr">
        <is>
          <t>Pasillo ancho para maniobra pesada de carros calientes</t>
        </is>
      </c>
      <c r="I12" s="65" t="inlineStr">
        <is>
          <t>Circulación segura en área de alta temperatura</t>
        </is>
      </c>
      <c r="L12" s="39" t="inlineStr">
        <is>
          <t>A4</t>
        </is>
      </c>
      <c r="M12" s="40" t="n"/>
      <c r="N12" s="40" t="n"/>
      <c r="O12" s="40" t="n"/>
      <c r="P12" s="41" t="n"/>
      <c r="Q12" s="68" t="inlineStr">
        <is>
          <t>A0
Hornos Rotativos (x2)</t>
        </is>
      </c>
      <c r="R12" s="69" t="n"/>
      <c r="S12" s="69" t="n"/>
      <c r="T12" s="69" t="n"/>
      <c r="U12" s="69" t="n"/>
      <c r="V12" s="69" t="n"/>
      <c r="W12" s="69" t="n"/>
      <c r="X12" s="69" t="n"/>
      <c r="Y12" s="69" t="n"/>
      <c r="Z12" s="70" t="n"/>
      <c r="AA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Campanas de extracción de vahos y chimenea</t>
        </is>
      </c>
      <c r="D13" s="55" t="n">
        <v>2</v>
      </c>
      <c r="E13" s="55" t="n">
        <v>1</v>
      </c>
      <c r="F13" s="56" t="n">
        <v>1</v>
      </c>
      <c r="G13" s="57">
        <f>D13*E13*F13</f>
        <v/>
      </c>
      <c r="H13" s="58" t="inlineStr">
        <is>
          <t>Campanas de acero inox con tiro forzado sobre puertas</t>
        </is>
      </c>
      <c r="I13" s="58" t="inlineStr">
        <is>
          <t>Extracción de vahos y vapores calientes al abrir</t>
        </is>
      </c>
      <c r="L13" s="45" t="n"/>
      <c r="P13" s="46" t="n"/>
      <c r="Q13" s="71" t="n"/>
      <c r="Z13" s="72" t="n"/>
      <c r="AA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L14" s="45" t="n"/>
      <c r="P14" s="46" t="n"/>
      <c r="Q14" s="71" t="n"/>
      <c r="Z14" s="72" t="n"/>
      <c r="AA14" s="45" t="n"/>
      <c r="AF14" s="46" t="n"/>
      <c r="AG14" s="47" t="n"/>
    </row>
    <row r="15" ht="18" customHeight="1">
      <c r="L15" s="45" t="n"/>
      <c r="P15" s="46" t="n"/>
      <c r="Q15" s="71" t="n"/>
      <c r="Z15" s="72" t="n"/>
      <c r="AA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L16" s="59" t="n"/>
      <c r="M16" s="60" t="n"/>
      <c r="N16" s="60" t="n"/>
      <c r="O16" s="60" t="n"/>
      <c r="P16" s="61" t="n"/>
      <c r="Q16" s="71" t="n"/>
      <c r="Z16" s="72" t="n"/>
      <c r="AA16" s="45" t="n"/>
      <c r="AF16" s="46" t="n"/>
      <c r="AG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Pauna SIGMA B-7090 (Batería de 2 unidades industriales)</t>
        </is>
      </c>
      <c r="F17" s="75" t="n"/>
      <c r="G17" s="75" t="n"/>
      <c r="H17" s="75" t="n"/>
      <c r="I17" s="76" t="n"/>
      <c r="L17" s="39" t="inlineStr">
        <is>
          <t>A5</t>
        </is>
      </c>
      <c r="M17" s="40" t="n"/>
      <c r="N17" s="40" t="n"/>
      <c r="O17" s="40" t="n"/>
      <c r="P17" s="41" t="n"/>
      <c r="Q17" s="71" t="n"/>
      <c r="Z17" s="72" t="n"/>
      <c r="AA17" s="45" t="n"/>
      <c r="AF17" s="46" t="n"/>
      <c r="AG17" s="47" t="n"/>
    </row>
    <row r="18" ht="18" customHeight="1">
      <c r="B18" s="74" t="inlineStr">
        <is>
          <t>Capacidad por Horno</t>
        </is>
      </c>
      <c r="C18" s="75" t="n"/>
      <c r="D18" s="76" t="n"/>
      <c r="E18" s="32" t="inlineStr">
        <is>
          <t>1 carro de 15 bandejas (700x900 mm / 450x700 mm)</t>
        </is>
      </c>
      <c r="F18" s="75" t="n"/>
      <c r="G18" s="75" t="n"/>
      <c r="H18" s="75" t="n"/>
      <c r="I18" s="76" t="n"/>
      <c r="L18" s="45" t="n"/>
      <c r="P18" s="46" t="n"/>
      <c r="Q18" s="71" t="n"/>
      <c r="Z18" s="72" t="n"/>
      <c r="AA18" s="45" t="n"/>
      <c r="AF18" s="46" t="n"/>
      <c r="AG18" s="47" t="n"/>
    </row>
    <row r="19" ht="18" customHeight="1">
      <c r="B19" s="74" t="inlineStr">
        <is>
          <t>Dimensiones por Unidad</t>
        </is>
      </c>
      <c r="C19" s="75" t="n"/>
      <c r="D19" s="76" t="n"/>
      <c r="E19" s="32" t="inlineStr">
        <is>
          <t>1950 mm (Largo) x 1600 mm (Ancho) x 2550 mm (Alto)</t>
        </is>
      </c>
      <c r="F19" s="75" t="n"/>
      <c r="G19" s="75" t="n"/>
      <c r="H19" s="75" t="n"/>
      <c r="I19" s="76" t="n"/>
      <c r="L19" s="45" t="n"/>
      <c r="P19" s="46" t="n"/>
      <c r="Q19" s="71" t="n"/>
      <c r="Z19" s="72" t="n"/>
      <c r="AA19" s="45" t="n"/>
      <c r="AF19" s="46" t="n"/>
      <c r="AG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6,24 m² (2 unidades x 3,12 m² c/u según BOM)</t>
        </is>
      </c>
      <c r="F20" s="75" t="n"/>
      <c r="G20" s="75" t="n"/>
      <c r="H20" s="75" t="n"/>
      <c r="I20" s="76" t="n"/>
      <c r="L20" s="59" t="n"/>
      <c r="M20" s="60" t="n"/>
      <c r="N20" s="60" t="n"/>
      <c r="O20" s="60" t="n"/>
      <c r="P20" s="61" t="n"/>
      <c r="Q20" s="77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9" t="n"/>
      <c r="AA20" s="45" t="n"/>
      <c r="AF20" s="46" t="n"/>
      <c r="AG20" s="47" t="n"/>
    </row>
    <row r="21" ht="18" customHeight="1">
      <c r="B21" s="74" t="inlineStr">
        <is>
          <t>Potencia Térmica / Combustible</t>
        </is>
      </c>
      <c r="C21" s="75" t="n"/>
      <c r="D21" s="76" t="n"/>
      <c r="E21" s="32" t="inlineStr">
        <is>
          <t>70.000 kcal/h c/u (Gas Natural) + 1,84 kW potencia motriz</t>
        </is>
      </c>
      <c r="F21" s="75" t="n"/>
      <c r="G21" s="75" t="n"/>
      <c r="H21" s="75" t="n"/>
      <c r="I21" s="76" t="n"/>
      <c r="L21" s="39" t="inlineStr">
        <is>
          <t>A1</t>
        </is>
      </c>
      <c r="M21" s="40" t="n"/>
      <c r="N21" s="40" t="n"/>
      <c r="O21" s="40" t="n"/>
      <c r="P21" s="41" t="n"/>
      <c r="Q21" s="39" t="inlineStr">
        <is>
          <t>A2</t>
        </is>
      </c>
      <c r="R21" s="40" t="n"/>
      <c r="S21" s="40" t="n"/>
      <c r="T21" s="40" t="n"/>
      <c r="U21" s="40" t="n"/>
      <c r="V21" s="40" t="n"/>
      <c r="W21" s="40" t="n"/>
      <c r="X21" s="40" t="n"/>
      <c r="Y21" s="40" t="n"/>
      <c r="Z21" s="41" t="n"/>
      <c r="AA21" s="45" t="n"/>
      <c r="AF21" s="46" t="n"/>
      <c r="AG21" s="47" t="n"/>
    </row>
    <row r="22" ht="18" customHeight="1">
      <c r="B22" s="74" t="inlineStr">
        <is>
          <t>Tiempo de Horneado</t>
        </is>
      </c>
      <c r="C22" s="75" t="n"/>
      <c r="D22" s="76" t="n"/>
      <c r="E22" s="32" t="inlineStr">
        <is>
          <t>45 min por horneada (Capacidad total batería: 90,24 kg/h)</t>
        </is>
      </c>
      <c r="F22" s="75" t="n"/>
      <c r="G22" s="75" t="n"/>
      <c r="H22" s="75" t="n"/>
      <c r="I22" s="76" t="n"/>
      <c r="L22" s="45" t="n"/>
      <c r="P22" s="46" t="n"/>
      <c r="Q22" s="45" t="n"/>
      <c r="Z22" s="46" t="n"/>
      <c r="AA22" s="45" t="n"/>
      <c r="AF22" s="46" t="n"/>
      <c r="AG22" s="47" t="n"/>
    </row>
    <row r="23" ht="18" customHeight="1">
      <c r="L23" s="45" t="n"/>
      <c r="P23" s="46" t="n"/>
      <c r="Q23" s="45" t="n"/>
      <c r="Z23" s="46" t="n"/>
      <c r="AA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L24" s="45" t="n"/>
      <c r="P24" s="46" t="n"/>
      <c r="Q24" s="45" t="n"/>
      <c r="Z24" s="46" t="n"/>
      <c r="AA24" s="45" t="n"/>
      <c r="AF24" s="46" t="n"/>
      <c r="AG24" s="47" t="n"/>
    </row>
    <row r="25" ht="18" customHeight="1">
      <c r="L25" s="45" t="n"/>
      <c r="P25" s="46" t="n"/>
      <c r="Q25" s="45" t="n"/>
      <c r="Z25" s="46" t="n"/>
      <c r="AA25" s="45" t="n"/>
      <c r="AF25" s="46" t="n"/>
      <c r="AG25" s="47" t="n"/>
    </row>
    <row r="26" ht="18" customHeight="1">
      <c r="L26" s="45" t="n"/>
      <c r="P26" s="46" t="n"/>
      <c r="Q26" s="45" t="n"/>
      <c r="Z26" s="46" t="n"/>
      <c r="AA26" s="45" t="n"/>
      <c r="AF26" s="46" t="n"/>
      <c r="AG26" s="47" t="n"/>
    </row>
    <row r="27" ht="18" customHeight="1">
      <c r="L27" s="59" t="n"/>
      <c r="M27" s="60" t="n"/>
      <c r="N27" s="60" t="n"/>
      <c r="O27" s="60" t="n"/>
      <c r="P27" s="61" t="n"/>
      <c r="Q27" s="59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1" t="n"/>
      <c r="AA27" s="59" t="n"/>
      <c r="AB27" s="60" t="n"/>
      <c r="AC27" s="60" t="n"/>
      <c r="AD27" s="60" t="n"/>
      <c r="AE27" s="60" t="n"/>
      <c r="AF27" s="61" t="n"/>
      <c r="AG27" s="47" t="n"/>
    </row>
    <row r="28" ht="18" customHeight="1">
      <c r="L28" s="8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3" t="n"/>
    </row>
    <row r="29" ht="18" customHeight="1"/>
    <row r="30" ht="18" customHeight="1">
      <c r="L30" s="84" t="inlineStr">
        <is>
          <t>REFERENCIAS DE LAYOUT:</t>
        </is>
      </c>
    </row>
    <row r="31" ht="18" customHeight="1">
      <c r="L31" s="85" t="inlineStr">
        <is>
          <t>A0: Máquina Principal | A1: MP en espera | A2: Operación/Alimentación | A3: Salida de Producto</t>
        </is>
      </c>
    </row>
    <row r="32" ht="18" customHeight="1">
      <c r="L32" s="85" t="inlineStr">
        <is>
          <t>A4: Tablero / Mando | A5: Seguridad Lateral | A6: Pasillo Circulación | A7: Buffer Semielaborado (SE)</t>
        </is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L21:P27"/>
    <mergeCell ref="B17:D17"/>
    <mergeCell ref="L31:AG31"/>
    <mergeCell ref="E17:I17"/>
    <mergeCell ref="B19:D19"/>
    <mergeCell ref="E20:I20"/>
    <mergeCell ref="E19:I19"/>
    <mergeCell ref="Q7:Z11"/>
    <mergeCell ref="B20:D20"/>
    <mergeCell ref="L12:P16"/>
    <mergeCell ref="L32:AG32"/>
    <mergeCell ref="L17:P20"/>
    <mergeCell ref="Q12:Z20"/>
    <mergeCell ref="B16:D16"/>
    <mergeCell ref="L2:T2"/>
    <mergeCell ref="E16:I16"/>
    <mergeCell ref="B22:D22"/>
    <mergeCell ref="B24:I24"/>
    <mergeCell ref="Q21:Z27"/>
    <mergeCell ref="Q4:Z6"/>
    <mergeCell ref="AA4:AF27"/>
    <mergeCell ref="B18:D18"/>
    <mergeCell ref="L30:AG30"/>
    <mergeCell ref="B21:D21"/>
    <mergeCell ref="E22:I22"/>
    <mergeCell ref="E18:I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ENFRIADO - SECTOR DE CARROS</t>
        </is>
      </c>
      <c r="L2" s="36" t="inlineStr">
        <is>
          <t>Escala: 1 celda ≈ 0.25 m x 0.25 m</t>
        </is>
      </c>
    </row>
    <row r="3" ht="18" customHeight="1">
      <c r="B3" s="2" t="inlineStr">
        <is>
          <t>Línea B - Panificados | Estacionamiento Estático de Carros Porta-Bandejas (Enfriamiento 60 min)</t>
        </is>
      </c>
    </row>
    <row r="4" ht="18" customHeight="1">
      <c r="L4" s="37" t="n"/>
      <c r="M4" s="38" t="n"/>
      <c r="N4" s="38" t="n"/>
      <c r="O4" s="38" t="n"/>
      <c r="P4" s="38" t="n"/>
      <c r="Q4" s="39" t="inlineStr">
        <is>
          <t>A7</t>
        </is>
      </c>
      <c r="R4" s="40" t="n"/>
      <c r="S4" s="40" t="n"/>
      <c r="T4" s="40" t="n"/>
      <c r="U4" s="40" t="n"/>
      <c r="V4" s="40" t="n"/>
      <c r="W4" s="40" t="n"/>
      <c r="X4" s="40" t="n"/>
      <c r="Y4" s="40" t="n"/>
      <c r="Z4" s="41" t="n"/>
      <c r="AA4" s="39" t="inlineStr">
        <is>
          <t>A6</t>
        </is>
      </c>
      <c r="AB4" s="40" t="n"/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L5" s="43" t="n"/>
      <c r="M5" s="44" t="n"/>
      <c r="N5" s="44" t="n"/>
      <c r="O5" s="44" t="n"/>
      <c r="P5" s="44" t="n"/>
      <c r="Q5" s="45" t="n"/>
      <c r="Z5" s="46" t="n"/>
      <c r="AA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Batería de 4 Carros Porta-Bandejas en Reposo</t>
        </is>
      </c>
      <c r="D6" s="50" t="n">
        <v>3</v>
      </c>
      <c r="E6" s="50" t="n">
        <v>1.6</v>
      </c>
      <c r="F6" s="51" t="n">
        <v>1</v>
      </c>
      <c r="G6" s="52">
        <f>D6*E6*F6</f>
        <v/>
      </c>
      <c r="H6" s="53" t="inlineStr">
        <is>
          <t>4 carros estándar en paralelo con espaciado convectivo</t>
        </is>
      </c>
      <c r="I6" s="53" t="inlineStr">
        <is>
          <t>Enfriamiento natural por aire ambiental de panes y budines</t>
        </is>
      </c>
      <c r="L6" s="43" t="n"/>
      <c r="M6" s="44" t="n"/>
      <c r="N6" s="44" t="n"/>
      <c r="O6" s="44" t="n"/>
      <c r="P6" s="44" t="n"/>
      <c r="Q6" s="59" t="n"/>
      <c r="R6" s="60" t="n"/>
      <c r="S6" s="60" t="n"/>
      <c r="T6" s="60" t="n"/>
      <c r="U6" s="60" t="n"/>
      <c r="V6" s="60" t="n"/>
      <c r="W6" s="60" t="n"/>
      <c r="X6" s="60" t="n"/>
      <c r="Y6" s="60" t="n"/>
      <c r="Z6" s="61" t="n"/>
      <c r="AA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Ingreso de carros recién salidos del horno</t>
        </is>
      </c>
      <c r="D7" s="55" t="n">
        <v>1.2</v>
      </c>
      <c r="E7" s="55" t="n">
        <v>0.9</v>
      </c>
      <c r="F7" s="56" t="n">
        <v>1</v>
      </c>
      <c r="G7" s="57">
        <f>D7*E7*F7</f>
        <v/>
      </c>
      <c r="H7" s="58" t="inlineStr">
        <is>
          <t>Punto de acceso directo desde horneado rotativo</t>
        </is>
      </c>
      <c r="I7" s="58" t="inlineStr">
        <is>
          <t>Estacionamiento de carros calientes entrantes</t>
        </is>
      </c>
      <c r="L7" s="43" t="n"/>
      <c r="M7" s="44" t="n"/>
      <c r="N7" s="44" t="n"/>
      <c r="O7" s="44" t="n"/>
      <c r="P7" s="44" t="n"/>
      <c r="Q7" s="39" t="inlineStr">
        <is>
          <t>A3</t>
        </is>
      </c>
      <c r="R7" s="40" t="n"/>
      <c r="S7" s="40" t="n"/>
      <c r="T7" s="40" t="n"/>
      <c r="U7" s="40" t="n"/>
      <c r="V7" s="40" t="n"/>
      <c r="W7" s="40" t="n"/>
      <c r="X7" s="40" t="n"/>
      <c r="Y7" s="40" t="n"/>
      <c r="Z7" s="41" t="n"/>
      <c r="AA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Pasillo interno de inspección y desmolde</t>
        </is>
      </c>
      <c r="D8" s="55" t="n">
        <v>3</v>
      </c>
      <c r="E8" s="55" t="n">
        <v>1</v>
      </c>
      <c r="F8" s="63" t="n">
        <v>1</v>
      </c>
      <c r="G8" s="64">
        <f>D8*E8*F8</f>
        <v/>
      </c>
      <c r="H8" s="65" t="inlineStr">
        <is>
          <t>Pasillo peatonal entre filas de carros</t>
        </is>
      </c>
      <c r="I8" s="65" t="inlineStr">
        <is>
          <t>Control de temperatura interna y desmolde de budines</t>
        </is>
      </c>
      <c r="L8" s="43" t="n"/>
      <c r="M8" s="44" t="n"/>
      <c r="N8" s="44" t="n"/>
      <c r="O8" s="44" t="n"/>
      <c r="P8" s="44" t="n"/>
      <c r="Q8" s="45" t="n"/>
      <c r="Z8" s="46" t="n"/>
      <c r="AA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Salida de carros templados hacia rebanado/empaque</t>
        </is>
      </c>
      <c r="D9" s="55" t="n">
        <v>1.2</v>
      </c>
      <c r="E9" s="55" t="n">
        <v>0.9</v>
      </c>
      <c r="F9" s="56" t="n">
        <v>1</v>
      </c>
      <c r="G9" s="57">
        <f>D9*E9*F9</f>
        <v/>
      </c>
      <c r="H9" s="58" t="inlineStr">
        <is>
          <t>Carros con producto a temperatura ambiente</t>
        </is>
      </c>
      <c r="I9" s="58" t="inlineStr">
        <is>
          <t>Egreso de carros hacia rebanadora de pan y flow-pack</t>
        </is>
      </c>
      <c r="L9" s="43" t="n"/>
      <c r="M9" s="44" t="n"/>
      <c r="N9" s="44" t="n"/>
      <c r="O9" s="44" t="n"/>
      <c r="P9" s="44" t="n"/>
      <c r="Q9" s="45" t="n"/>
      <c r="Z9" s="46" t="n"/>
      <c r="AA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Mesa de desmolde y estantería de moldes limpios</t>
        </is>
      </c>
      <c r="D10" s="55" t="n">
        <v>1.2</v>
      </c>
      <c r="E10" s="55" t="n">
        <v>0.8</v>
      </c>
      <c r="F10" s="63" t="n">
        <v>1</v>
      </c>
      <c r="G10" s="64">
        <f>D10*E10*F10</f>
        <v/>
      </c>
      <c r="H10" s="65" t="inlineStr">
        <is>
          <t>Mesa de apoyo auxiliar en acero inoxidable</t>
        </is>
      </c>
      <c r="I10" s="65" t="inlineStr">
        <is>
          <t>Desmolde manual y apilado ordenado de moldes vacíos</t>
        </is>
      </c>
      <c r="L10" s="43" t="n"/>
      <c r="M10" s="44" t="n"/>
      <c r="N10" s="44" t="n"/>
      <c r="O10" s="44" t="n"/>
      <c r="P10" s="44" t="n"/>
      <c r="Q10" s="45" t="n"/>
      <c r="Z10" s="46" t="n"/>
      <c r="AA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Espacio perimetral de convección de aire</t>
        </is>
      </c>
      <c r="D11" s="55" t="n">
        <v>0.6</v>
      </c>
      <c r="E11" s="55" t="n">
        <v>4</v>
      </c>
      <c r="F11" s="56" t="n">
        <v>1</v>
      </c>
      <c r="G11" s="57">
        <f>D11*E11*F11</f>
        <v/>
      </c>
      <c r="H11" s="58" t="inlineStr">
        <is>
          <t>Distancia libre para flujo convectivo de aire natural</t>
        </is>
      </c>
      <c r="I11" s="58" t="inlineStr">
        <is>
          <t>Garantizar disipación homogénea de calor y humedad</t>
        </is>
      </c>
      <c r="L11" s="43" t="n"/>
      <c r="M11" s="44" t="n"/>
      <c r="N11" s="44" t="n"/>
      <c r="O11" s="44" t="n"/>
      <c r="P11" s="44" t="n"/>
      <c r="Q11" s="59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1" t="n"/>
      <c r="AA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de circulación intersectorial</t>
        </is>
      </c>
      <c r="D12" s="55" t="n">
        <v>1.2</v>
      </c>
      <c r="E12" s="55" t="n">
        <v>4.5</v>
      </c>
      <c r="F12" s="63" t="n">
        <v>1</v>
      </c>
      <c r="G12" s="64">
        <f>D12*E12*F12</f>
        <v/>
      </c>
      <c r="H12" s="65" t="inlineStr">
        <is>
          <t>Pasillo de circulación principal para carros</t>
        </is>
      </c>
      <c r="I12" s="65" t="inlineStr">
        <is>
          <t>Traslado rodante de carros y tránsito general</t>
        </is>
      </c>
      <c r="L12" s="39" t="inlineStr">
        <is>
          <t>A4</t>
        </is>
      </c>
      <c r="M12" s="40" t="n"/>
      <c r="N12" s="40" t="n"/>
      <c r="O12" s="40" t="n"/>
      <c r="P12" s="41" t="n"/>
      <c r="Q12" s="68" t="inlineStr">
        <is>
          <t>A0
Sector Carros Enfriado</t>
        </is>
      </c>
      <c r="R12" s="69" t="n"/>
      <c r="S12" s="69" t="n"/>
      <c r="T12" s="69" t="n"/>
      <c r="U12" s="69" t="n"/>
      <c r="V12" s="69" t="n"/>
      <c r="W12" s="69" t="n"/>
      <c r="X12" s="69" t="n"/>
      <c r="Y12" s="69" t="n"/>
      <c r="Z12" s="70" t="n"/>
      <c r="AA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Pulmón de bandejas con producto desmoldado (SE)</t>
        </is>
      </c>
      <c r="D13" s="55" t="n">
        <v>1.2</v>
      </c>
      <c r="E13" s="55" t="n">
        <v>0.9</v>
      </c>
      <c r="F13" s="56" t="n">
        <v>1</v>
      </c>
      <c r="G13" s="57">
        <f>D13*E13*F13</f>
        <v/>
      </c>
      <c r="H13" s="58" t="inlineStr">
        <is>
          <t>Carro porta-bandejas con budines listos para envoltura</t>
        </is>
      </c>
      <c r="I13" s="58" t="inlineStr">
        <is>
          <t>Pulmón de amortiguamiento antes del envasado primario</t>
        </is>
      </c>
      <c r="L13" s="45" t="n"/>
      <c r="P13" s="46" t="n"/>
      <c r="Q13" s="71" t="n"/>
      <c r="Z13" s="72" t="n"/>
      <c r="AA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L14" s="45" t="n"/>
      <c r="P14" s="46" t="n"/>
      <c r="Q14" s="71" t="n"/>
      <c r="Z14" s="72" t="n"/>
      <c r="AA14" s="45" t="n"/>
      <c r="AF14" s="46" t="n"/>
      <c r="AG14" s="47" t="n"/>
    </row>
    <row r="15" ht="18" customHeight="1">
      <c r="L15" s="45" t="n"/>
      <c r="P15" s="46" t="n"/>
      <c r="Q15" s="71" t="n"/>
      <c r="Z15" s="72" t="n"/>
      <c r="AA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L16" s="59" t="n"/>
      <c r="M16" s="60" t="n"/>
      <c r="N16" s="60" t="n"/>
      <c r="O16" s="60" t="n"/>
      <c r="P16" s="61" t="n"/>
      <c r="Q16" s="71" t="n"/>
      <c r="Z16" s="72" t="n"/>
      <c r="AA16" s="45" t="n"/>
      <c r="AF16" s="46" t="n"/>
      <c r="AG16" s="47" t="n"/>
    </row>
    <row r="17" ht="18" customHeight="1">
      <c r="B17" s="74" t="inlineStr">
        <is>
          <t>Tipo de Sector</t>
        </is>
      </c>
      <c r="C17" s="75" t="n"/>
      <c r="D17" s="76" t="n"/>
      <c r="E17" s="32" t="inlineStr">
        <is>
          <t>Sector delimitado para enfriamiento convectivo natural de carros</t>
        </is>
      </c>
      <c r="F17" s="75" t="n"/>
      <c r="G17" s="75" t="n"/>
      <c r="H17" s="75" t="n"/>
      <c r="I17" s="76" t="n"/>
      <c r="L17" s="39" t="inlineStr">
        <is>
          <t>A5</t>
        </is>
      </c>
      <c r="M17" s="40" t="n"/>
      <c r="N17" s="40" t="n"/>
      <c r="O17" s="40" t="n"/>
      <c r="P17" s="41" t="n"/>
      <c r="Q17" s="71" t="n"/>
      <c r="Z17" s="72" t="n"/>
      <c r="AA17" s="45" t="n"/>
      <c r="AF17" s="46" t="n"/>
      <c r="AG17" s="47" t="n"/>
    </row>
    <row r="18" ht="18" customHeight="1">
      <c r="B18" s="74" t="inlineStr">
        <is>
          <t>Capacidad de Estacionamiento</t>
        </is>
      </c>
      <c r="C18" s="75" t="n"/>
      <c r="D18" s="76" t="n"/>
      <c r="E18" s="32" t="inlineStr">
        <is>
          <t>4 carros porta-bandejas en paralelo con espaciado de aire</t>
        </is>
      </c>
      <c r="F18" s="75" t="n"/>
      <c r="G18" s="75" t="n"/>
      <c r="H18" s="75" t="n"/>
      <c r="I18" s="76" t="n"/>
      <c r="L18" s="45" t="n"/>
      <c r="P18" s="46" t="n"/>
      <c r="Q18" s="71" t="n"/>
      <c r="Z18" s="72" t="n"/>
      <c r="AA18" s="45" t="n"/>
      <c r="AF18" s="46" t="n"/>
      <c r="AG18" s="47" t="n"/>
    </row>
    <row r="19" ht="18" customHeight="1">
      <c r="B19" s="74" t="inlineStr">
        <is>
          <t>Dimensiones de la Batería</t>
        </is>
      </c>
      <c r="C19" s="75" t="n"/>
      <c r="D19" s="76" t="n"/>
      <c r="E19" s="32" t="inlineStr">
        <is>
          <t>3000 mm (Largo) x 1600 mm (Ancho) x 1800 mm (Alto)</t>
        </is>
      </c>
      <c r="F19" s="75" t="n"/>
      <c r="G19" s="75" t="n"/>
      <c r="H19" s="75" t="n"/>
      <c r="I19" s="76" t="n"/>
      <c r="L19" s="45" t="n"/>
      <c r="P19" s="46" t="n"/>
      <c r="Q19" s="71" t="n"/>
      <c r="Z19" s="72" t="n"/>
      <c r="AA19" s="45" t="n"/>
      <c r="AF19" s="46" t="n"/>
      <c r="AG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4,80 m² (Área asignada total del sector: 8,00 m² según BOM)</t>
        </is>
      </c>
      <c r="F20" s="75" t="n"/>
      <c r="G20" s="75" t="n"/>
      <c r="H20" s="75" t="n"/>
      <c r="I20" s="76" t="n"/>
      <c r="L20" s="59" t="n"/>
      <c r="M20" s="60" t="n"/>
      <c r="N20" s="60" t="n"/>
      <c r="O20" s="60" t="n"/>
      <c r="P20" s="61" t="n"/>
      <c r="Q20" s="77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9" t="n"/>
      <c r="AA20" s="45" t="n"/>
      <c r="AF20" s="46" t="n"/>
      <c r="AG20" s="47" t="n"/>
    </row>
    <row r="21" ht="18" customHeight="1">
      <c r="B21" s="74" t="inlineStr">
        <is>
          <t>Tiempo de Residencia Térmica</t>
        </is>
      </c>
      <c r="C21" s="75" t="n"/>
      <c r="D21" s="76" t="n"/>
      <c r="E21" s="32" t="inlineStr">
        <is>
          <t>60 minutos para descenso a temperatura segura (&lt;30°C)</t>
        </is>
      </c>
      <c r="F21" s="75" t="n"/>
      <c r="G21" s="75" t="n"/>
      <c r="H21" s="75" t="n"/>
      <c r="I21" s="76" t="n"/>
      <c r="L21" s="39" t="inlineStr">
        <is>
          <t>A1</t>
        </is>
      </c>
      <c r="M21" s="40" t="n"/>
      <c r="N21" s="40" t="n"/>
      <c r="O21" s="40" t="n"/>
      <c r="P21" s="41" t="n"/>
      <c r="Q21" s="39" t="inlineStr">
        <is>
          <t>A2</t>
        </is>
      </c>
      <c r="R21" s="40" t="n"/>
      <c r="S21" s="40" t="n"/>
      <c r="T21" s="40" t="n"/>
      <c r="U21" s="40" t="n"/>
      <c r="V21" s="40" t="n"/>
      <c r="W21" s="40" t="n"/>
      <c r="X21" s="40" t="n"/>
      <c r="Y21" s="40" t="n"/>
      <c r="Z21" s="41" t="n"/>
      <c r="AA21" s="45" t="n"/>
      <c r="AF21" s="46" t="n"/>
      <c r="AG21" s="47" t="n"/>
    </row>
    <row r="22" ht="18" customHeight="1">
      <c r="B22" s="74" t="inlineStr">
        <is>
          <t>Operaciones Asociadas</t>
        </is>
      </c>
      <c r="C22" s="75" t="n"/>
      <c r="D22" s="76" t="n"/>
      <c r="E22" s="32" t="inlineStr">
        <is>
          <t>Desmolde manual de budines y verificación de panes</t>
        </is>
      </c>
      <c r="F22" s="75" t="n"/>
      <c r="G22" s="75" t="n"/>
      <c r="H22" s="75" t="n"/>
      <c r="I22" s="76" t="n"/>
      <c r="L22" s="45" t="n"/>
      <c r="P22" s="46" t="n"/>
      <c r="Q22" s="45" t="n"/>
      <c r="Z22" s="46" t="n"/>
      <c r="AA22" s="45" t="n"/>
      <c r="AF22" s="46" t="n"/>
      <c r="AG22" s="47" t="n"/>
    </row>
    <row r="23" ht="18" customHeight="1">
      <c r="L23" s="45" t="n"/>
      <c r="P23" s="46" t="n"/>
      <c r="Q23" s="45" t="n"/>
      <c r="Z23" s="46" t="n"/>
      <c r="AA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L24" s="45" t="n"/>
      <c r="P24" s="46" t="n"/>
      <c r="Q24" s="45" t="n"/>
      <c r="Z24" s="46" t="n"/>
      <c r="AA24" s="45" t="n"/>
      <c r="AF24" s="46" t="n"/>
      <c r="AG24" s="47" t="n"/>
    </row>
    <row r="25" ht="18" customHeight="1">
      <c r="L25" s="45" t="n"/>
      <c r="P25" s="46" t="n"/>
      <c r="Q25" s="45" t="n"/>
      <c r="Z25" s="46" t="n"/>
      <c r="AA25" s="45" t="n"/>
      <c r="AF25" s="46" t="n"/>
      <c r="AG25" s="47" t="n"/>
    </row>
    <row r="26" ht="18" customHeight="1">
      <c r="L26" s="45" t="n"/>
      <c r="P26" s="46" t="n"/>
      <c r="Q26" s="45" t="n"/>
      <c r="Z26" s="46" t="n"/>
      <c r="AA26" s="45" t="n"/>
      <c r="AF26" s="46" t="n"/>
      <c r="AG26" s="47" t="n"/>
    </row>
    <row r="27" ht="18" customHeight="1">
      <c r="L27" s="59" t="n"/>
      <c r="M27" s="60" t="n"/>
      <c r="N27" s="60" t="n"/>
      <c r="O27" s="60" t="n"/>
      <c r="P27" s="61" t="n"/>
      <c r="Q27" s="59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1" t="n"/>
      <c r="AA27" s="59" t="n"/>
      <c r="AB27" s="60" t="n"/>
      <c r="AC27" s="60" t="n"/>
      <c r="AD27" s="60" t="n"/>
      <c r="AE27" s="60" t="n"/>
      <c r="AF27" s="61" t="n"/>
      <c r="AG27" s="47" t="n"/>
    </row>
    <row r="28" ht="18" customHeight="1">
      <c r="L28" s="8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3" t="n"/>
    </row>
    <row r="29" ht="18" customHeight="1"/>
    <row r="30" ht="18" customHeight="1">
      <c r="L30" s="84" t="inlineStr">
        <is>
          <t>REFERENCIAS DE LAYOUT:</t>
        </is>
      </c>
    </row>
    <row r="31" ht="18" customHeight="1">
      <c r="L31" s="85" t="inlineStr">
        <is>
          <t>A0: Máquina Principal | A1: MP en espera | A2: Operación/Alimentación | A3: Salida de Producto</t>
        </is>
      </c>
    </row>
    <row r="32" ht="18" customHeight="1">
      <c r="L32" s="85" t="inlineStr">
        <is>
          <t>A4: Tablero / Mando | A5: Seguridad Lateral | A6: Pasillo Circulación | A7: Buffer Semielaborado (SE)</t>
        </is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L21:P27"/>
    <mergeCell ref="B17:D17"/>
    <mergeCell ref="L31:AG31"/>
    <mergeCell ref="E17:I17"/>
    <mergeCell ref="B19:D19"/>
    <mergeCell ref="E20:I20"/>
    <mergeCell ref="E19:I19"/>
    <mergeCell ref="Q7:Z11"/>
    <mergeCell ref="B20:D20"/>
    <mergeCell ref="L12:P16"/>
    <mergeCell ref="L32:AG32"/>
    <mergeCell ref="L17:P20"/>
    <mergeCell ref="Q12:Z20"/>
    <mergeCell ref="B16:D16"/>
    <mergeCell ref="L2:T2"/>
    <mergeCell ref="E16:I16"/>
    <mergeCell ref="B22:D22"/>
    <mergeCell ref="B24:I24"/>
    <mergeCell ref="Q21:Z27"/>
    <mergeCell ref="Q4:Z6"/>
    <mergeCell ref="AA4:AF27"/>
    <mergeCell ref="B18:D18"/>
    <mergeCell ref="L30:AG30"/>
    <mergeCell ref="B21:D21"/>
    <mergeCell ref="E22:I22"/>
    <mergeCell ref="E18:I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REBANADO - LÍNEA PAN DE MOLDE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B - Panificados | Cortadora / Rebanadora Continua de Pan Braesi FB-12 G2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Máquina Rebanadora de Pan de Molde</t>
        </is>
      </c>
      <c r="D6" s="50" t="n">
        <v>0.72</v>
      </c>
      <c r="E6" s="50" t="n">
        <v>0.48</v>
      </c>
      <c r="F6" s="51" t="n">
        <v>1</v>
      </c>
      <c r="G6" s="52">
        <f>D6*E6*F6</f>
        <v/>
      </c>
      <c r="H6" s="53" t="inlineStr">
        <is>
          <t>Fabricante Braesi (FB-12 G2: 721 x 477 mm)</t>
        </is>
      </c>
      <c r="I6" s="53" t="inlineStr">
        <is>
          <t>Corte simultáneo y uniforme de pan de molde sin desgranar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Bandeja con panes enteros fríos en espera</t>
        </is>
      </c>
      <c r="D7" s="55" t="n">
        <v>0.7</v>
      </c>
      <c r="E7" s="55" t="n">
        <v>0.5</v>
      </c>
      <c r="F7" s="56" t="n">
        <v>1</v>
      </c>
      <c r="G7" s="57">
        <f>D7*E7*F7</f>
        <v/>
      </c>
      <c r="H7" s="58" t="inlineStr">
        <is>
          <t>Contenedor de panes desmoldados listos para corte</t>
        </is>
      </c>
      <c r="I7" s="58" t="inlineStr">
        <is>
          <t>Espera de panes fríos para ingresar a máquina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Puesto del operador y rampa de embolse</t>
        </is>
      </c>
      <c r="D8" s="55" t="n">
        <v>1.2</v>
      </c>
      <c r="E8" s="55" t="n">
        <v>1</v>
      </c>
      <c r="F8" s="63" t="n">
        <v>1</v>
      </c>
      <c r="G8" s="64">
        <f>D8*E8*F8</f>
        <v/>
      </c>
      <c r="H8" s="65" t="inlineStr">
        <is>
          <t>Espacio ergonómico de empuje y recepción rápida</t>
        </is>
      </c>
      <c r="I8" s="65" t="inlineStr">
        <is>
          <t>Alimentación de panes y sostenimiento del paquete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Rampa de salida y soporte de rodajas</t>
        </is>
      </c>
      <c r="D9" s="55" t="n">
        <v>0.7</v>
      </c>
      <c r="E9" s="55" t="n">
        <v>0.5</v>
      </c>
      <c r="F9" s="56" t="n">
        <v>1</v>
      </c>
      <c r="G9" s="57">
        <f>D9*E9*F9</f>
        <v/>
      </c>
      <c r="H9" s="58" t="inlineStr">
        <is>
          <t>Bandeja acanalada receptora con guías de alineación</t>
        </is>
      </c>
      <c r="I9" s="58" t="inlineStr">
        <is>
          <t>Mantenimiento del pan armado para su embolsado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Botonera de mando, ajuste de tensión y paro</t>
        </is>
      </c>
      <c r="D10" s="55" t="n">
        <v>0.4</v>
      </c>
      <c r="E10" s="55" t="n">
        <v>0.3</v>
      </c>
      <c r="F10" s="63" t="n">
        <v>1</v>
      </c>
      <c r="G10" s="64">
        <f>D10*E10*F10</f>
        <v/>
      </c>
      <c r="H10" s="65" t="inlineStr">
        <is>
          <t>Columna de mando y palanca de tensión de cuchillas</t>
        </is>
      </c>
      <c r="I10" s="65" t="inlineStr">
        <is>
          <t>Control de marcha, parada y recambio de cuchillas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y guarda protectora</t>
        </is>
      </c>
      <c r="D11" s="55" t="n">
        <v>0.5</v>
      </c>
      <c r="E11" s="55" t="n">
        <v>0.8</v>
      </c>
      <c r="F11" s="56" t="n">
        <v>1</v>
      </c>
      <c r="G11" s="57">
        <f>D11*E11*F11</f>
        <v/>
      </c>
      <c r="H11" s="58" t="inlineStr">
        <is>
          <t>Protección perimetral de mecanismos móviles de corte</t>
        </is>
      </c>
      <c r="I11" s="58" t="inlineStr">
        <is>
          <t>Seguridad contra atrapamiento y corte del operador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interna</t>
        </is>
      </c>
      <c r="D12" s="55" t="n">
        <v>1</v>
      </c>
      <c r="E12" s="55" t="n">
        <v>2.5</v>
      </c>
      <c r="F12" s="63" t="n">
        <v>1</v>
      </c>
      <c r="G12" s="64">
        <f>D12*E12*F12</f>
        <v/>
      </c>
      <c r="H12" s="65" t="inlineStr">
        <is>
          <t>Pasillo de circulación intersectorial</t>
        </is>
      </c>
      <c r="I12" s="65" t="inlineStr">
        <is>
          <t>Tránsito peatonal y traslado de producto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Bandeja pulmón de panes rebanados (SE)</t>
        </is>
      </c>
      <c r="D13" s="55" t="n">
        <v>0.8</v>
      </c>
      <c r="E13" s="55" t="n">
        <v>0.6</v>
      </c>
      <c r="F13" s="56" t="n">
        <v>1</v>
      </c>
      <c r="G13" s="57">
        <f>D13*E13*F13</f>
        <v/>
      </c>
      <c r="H13" s="58" t="inlineStr">
        <is>
          <t>Bandeja de transferencia hacia la envasadora</t>
        </is>
      </c>
      <c r="I13" s="58" t="inlineStr">
        <is>
          <t>Buffer de pan cortado previo a termoenvasado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Rebanadora Braesi FB-12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Braesi FB-12 G2 (Rebanadora de pan de mesa/pie)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Capacidad Máxima</t>
        </is>
      </c>
      <c r="C18" s="75" t="n"/>
      <c r="D18" s="76" t="n"/>
      <c r="E18" s="32" t="inlineStr">
        <is>
          <t>Hasta 360 piezas de pan/hora (Capacidad teórica: 144 kg/h)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Dimensiones del Equipo</t>
        </is>
      </c>
      <c r="C19" s="75" t="n"/>
      <c r="D19" s="76" t="n"/>
      <c r="E19" s="32" t="inlineStr">
        <is>
          <t>721 mm (Largo) x 477 mm (Ancho) x 1417 mm (Alto)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Superficie Estática (Ss)</t>
        </is>
      </c>
      <c r="C20" s="75" t="n"/>
      <c r="D20" s="76" t="n"/>
      <c r="E20" s="32" t="inlineStr">
        <is>
          <t>0,3439 m² (según BOM y Balanceo: 0,72 m x 0,48 m)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Potencia y Consumo</t>
        </is>
      </c>
      <c r="C21" s="75" t="n"/>
      <c r="D21" s="76" t="n"/>
      <c r="E21" s="32" t="inlineStr">
        <is>
          <t>0,50 kW | 220 V / 50 Hz monofásica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Cuchillas y Corte</t>
        </is>
      </c>
      <c r="C22" s="75" t="n"/>
      <c r="D22" s="76" t="n"/>
      <c r="E22" s="32" t="inlineStr">
        <is>
          <t>Acero al carbono especial, paso de rebanada estándar 12 mm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AG3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ENVASADO PRIMARIO - PAN Y BUDÍN</t>
        </is>
      </c>
      <c r="L2" s="36" t="inlineStr">
        <is>
          <t>Escala: 1 celda ≈ 0.25 m x 0.25 m (Largo: 17 celdas | Ancho: 5 celdas)</t>
        </is>
      </c>
    </row>
    <row r="3" ht="18" customHeight="1">
      <c r="B3" s="2" t="inlineStr">
        <is>
          <t>Línea B - Panificados | Envasadora Horizontal Flow-Pack Brunetti EFH700X (4,38m Largo x 1,17m Ancho)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1" t="n"/>
      <c r="X4" s="38" t="n"/>
      <c r="Y4" s="38" t="n"/>
      <c r="Z4" s="38" t="n"/>
      <c r="AA4" s="38" t="n"/>
      <c r="AB4" s="39" t="inlineStr">
        <is>
          <t>A6</t>
        </is>
      </c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W5" s="46" t="n"/>
      <c r="X5" s="44" t="n"/>
      <c r="Y5" s="44" t="n"/>
      <c r="Z5" s="44" t="n"/>
      <c r="AA5" s="44" t="n"/>
      <c r="AB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Máquina Envasadora Horizontal Flow-Pack</t>
        </is>
      </c>
      <c r="D6" s="50" t="n">
        <v>4.38</v>
      </c>
      <c r="E6" s="50" t="n">
        <v>1.17</v>
      </c>
      <c r="F6" s="51" t="n">
        <v>1</v>
      </c>
      <c r="G6" s="52">
        <f>D6*E6*F6</f>
        <v/>
      </c>
      <c r="H6" s="53" t="inlineStr">
        <is>
          <t>Fabricante Brunetti (EFH700X: 4380 x 1170 mm)</t>
        </is>
      </c>
      <c r="I6" s="53" t="inlineStr">
        <is>
          <t>Envasado horizontal automático, fechado y termosellado</t>
        </is>
      </c>
      <c r="M6" s="43" t="n"/>
      <c r="N6" s="44" t="n"/>
      <c r="O6" s="44" t="n"/>
      <c r="P6" s="44" t="n"/>
      <c r="Q6" s="44" t="n"/>
      <c r="R6" s="44" t="n"/>
      <c r="S6" s="59" t="n"/>
      <c r="T6" s="60" t="n"/>
      <c r="U6" s="60" t="n"/>
      <c r="V6" s="60" t="n"/>
      <c r="W6" s="61" t="n"/>
      <c r="X6" s="44" t="n"/>
      <c r="Y6" s="44" t="n"/>
      <c r="Z6" s="44" t="n"/>
      <c r="AA6" s="44" t="n"/>
      <c r="AB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Carro con budines enteros y panes rebanados</t>
        </is>
      </c>
      <c r="D7" s="55" t="n">
        <v>1.2</v>
      </c>
      <c r="E7" s="55" t="n">
        <v>0.8</v>
      </c>
      <c r="F7" s="56" t="n">
        <v>1</v>
      </c>
      <c r="G7" s="57">
        <f>D7*E7*F7</f>
        <v/>
      </c>
      <c r="H7" s="58" t="inlineStr">
        <is>
          <t>Carro de transferencia desde enfriado/rebanado</t>
        </is>
      </c>
      <c r="I7" s="58" t="inlineStr">
        <is>
          <t>Espera de productos listos para alimentar cadena</t>
        </is>
      </c>
      <c r="M7" s="43" t="n"/>
      <c r="N7" s="44" t="n"/>
      <c r="O7" s="44" t="n"/>
      <c r="P7" s="44" t="n"/>
      <c r="Q7" s="44" t="n"/>
      <c r="R7" s="44" t="n"/>
      <c r="S7" s="39" t="inlineStr">
        <is>
          <t>A3</t>
        </is>
      </c>
      <c r="T7" s="40" t="n"/>
      <c r="U7" s="40" t="n"/>
      <c r="V7" s="40" t="n"/>
      <c r="W7" s="41" t="n"/>
      <c r="X7" s="44" t="n"/>
      <c r="Y7" s="44" t="n"/>
      <c r="Z7" s="44" t="n"/>
      <c r="AA7" s="44" t="n"/>
      <c r="AB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Cadena de arrastre y puesto de operario alimentador</t>
        </is>
      </c>
      <c r="D8" s="55" t="n">
        <v>4</v>
      </c>
      <c r="E8" s="55" t="n">
        <v>1</v>
      </c>
      <c r="F8" s="63" t="n">
        <v>1</v>
      </c>
      <c r="G8" s="64">
        <f>D8*E8*F8</f>
        <v/>
      </c>
      <c r="H8" s="65" t="inlineStr">
        <is>
          <t>Longitud de la cinta de tacos sincronizada</t>
        </is>
      </c>
      <c r="I8" s="65" t="inlineStr">
        <is>
          <t>Alimentación manual sincronizada de budines y panes</t>
        </is>
      </c>
      <c r="M8" s="43" t="n"/>
      <c r="N8" s="44" t="n"/>
      <c r="O8" s="44" t="n"/>
      <c r="P8" s="44" t="n"/>
      <c r="Q8" s="44" t="n"/>
      <c r="R8" s="44" t="n"/>
      <c r="S8" s="45" t="n"/>
      <c r="W8" s="46" t="n"/>
      <c r="X8" s="44" t="n"/>
      <c r="Y8" s="44" t="n"/>
      <c r="Z8" s="44" t="n"/>
      <c r="AA8" s="44" t="n"/>
      <c r="AB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Cinta de salida y paso por detector de metales</t>
        </is>
      </c>
      <c r="D9" s="55" t="n">
        <v>1.5</v>
      </c>
      <c r="E9" s="55" t="n">
        <v>0.6</v>
      </c>
      <c r="F9" s="56" t="n">
        <v>1</v>
      </c>
      <c r="G9" s="57">
        <f>D9*E9*F9</f>
        <v/>
      </c>
      <c r="H9" s="58" t="inlineStr">
        <is>
          <t>Cinta de evacuación de paquetes termosellados</t>
        </is>
      </c>
      <c r="I9" s="58" t="inlineStr">
        <is>
          <t>Descarga suave y control de inocuidad PCC</t>
        </is>
      </c>
      <c r="M9" s="43" t="n"/>
      <c r="N9" s="44" t="n"/>
      <c r="O9" s="44" t="n"/>
      <c r="P9" s="44" t="n"/>
      <c r="Q9" s="44" t="n"/>
      <c r="R9" s="44" t="n"/>
      <c r="S9" s="59" t="n"/>
      <c r="T9" s="60" t="n"/>
      <c r="U9" s="60" t="n"/>
      <c r="V9" s="60" t="n"/>
      <c r="W9" s="61" t="n"/>
      <c r="X9" s="44" t="n"/>
      <c r="Y9" s="44" t="n"/>
      <c r="Z9" s="44" t="n"/>
      <c r="AA9" s="44" t="n"/>
      <c r="AB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Tablero HMI táctil, servomotores y portabobinas</t>
        </is>
      </c>
      <c r="D10" s="55" t="n">
        <v>1.2</v>
      </c>
      <c r="E10" s="55" t="n">
        <v>0.6</v>
      </c>
      <c r="F10" s="63" t="n">
        <v>1</v>
      </c>
      <c r="G10" s="64">
        <f>D10*E10*F10</f>
        <v/>
      </c>
      <c r="H10" s="65" t="inlineStr">
        <is>
          <t>Estructura porta bobina superior con servocontrol</t>
        </is>
      </c>
      <c r="I10" s="65" t="inlineStr">
        <is>
          <t>Regulación de longitud de paquete, temperatura y fotocélula</t>
        </is>
      </c>
      <c r="M10" s="39" t="inlineStr">
        <is>
          <t>A4</t>
        </is>
      </c>
      <c r="N10" s="40" t="n"/>
      <c r="O10" s="40" t="n"/>
      <c r="P10" s="40" t="n"/>
      <c r="Q10" s="40" t="n"/>
      <c r="R10" s="41" t="n"/>
      <c r="S10" s="68" t="inlineStr">
        <is>
          <t>A0
Envasadora Brunetti EFH700X</t>
        </is>
      </c>
      <c r="T10" s="69" t="n"/>
      <c r="U10" s="69" t="n"/>
      <c r="V10" s="69" t="n"/>
      <c r="W10" s="70" t="n"/>
      <c r="X10" s="44" t="n"/>
      <c r="Y10" s="44" t="n"/>
      <c r="Z10" s="44" t="n"/>
      <c r="AA10" s="44" t="n"/>
      <c r="AB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Espacio de seguridad lateral y mantenimiento mordazas</t>
        </is>
      </c>
      <c r="D11" s="55" t="n">
        <v>0.6</v>
      </c>
      <c r="E11" s="55" t="n">
        <v>4</v>
      </c>
      <c r="F11" s="56" t="n">
        <v>1</v>
      </c>
      <c r="G11" s="57">
        <f>D11*E11*F11</f>
        <v/>
      </c>
      <c r="H11" s="58" t="inlineStr">
        <is>
          <t>0,6 m a lo largo del equipo para seguridad mecánica</t>
        </is>
      </c>
      <c r="I11" s="58" t="inlineStr">
        <is>
          <t>Acceso seguro a mordazas rotativas y cuchillas de corte</t>
        </is>
      </c>
      <c r="M11" s="45" t="n"/>
      <c r="R11" s="46" t="n"/>
      <c r="S11" s="71" t="n"/>
      <c r="W11" s="72" t="n"/>
      <c r="X11" s="44" t="n"/>
      <c r="Y11" s="44" t="n"/>
      <c r="Z11" s="44" t="n"/>
      <c r="AA11" s="44" t="n"/>
      <c r="AB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de circulación principal y carga de film</t>
        </is>
      </c>
      <c r="D12" s="55" t="n">
        <v>1.2</v>
      </c>
      <c r="E12" s="55" t="n">
        <v>5.5</v>
      </c>
      <c r="F12" s="63" t="n">
        <v>1</v>
      </c>
      <c r="G12" s="64">
        <f>D12*E12*F12</f>
        <v/>
      </c>
      <c r="H12" s="65" t="inlineStr">
        <is>
          <t>Pasillo ancho para tránsito y carga de bobinas pesadas</t>
        </is>
      </c>
      <c r="I12" s="65" t="inlineStr">
        <is>
          <t>Circulación de zorras y reposición de insumos</t>
        </is>
      </c>
      <c r="M12" s="45" t="n"/>
      <c r="R12" s="46" t="n"/>
      <c r="S12" s="71" t="n"/>
      <c r="W12" s="72" t="n"/>
      <c r="X12" s="44" t="n"/>
      <c r="Y12" s="44" t="n"/>
      <c r="Z12" s="44" t="n"/>
      <c r="AA12" s="44" t="n"/>
      <c r="AB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Mesa rotativa acumuladora / buffer de salida (SE)</t>
        </is>
      </c>
      <c r="D13" s="55" t="n">
        <v>1.2</v>
      </c>
      <c r="E13" s="55" t="n">
        <v>1</v>
      </c>
      <c r="F13" s="56" t="n">
        <v>1</v>
      </c>
      <c r="G13" s="57">
        <f>D13*E13*F13</f>
        <v/>
      </c>
      <c r="H13" s="58" t="inlineStr">
        <is>
          <t>Mesa plato rotativo en acero inoxidable AISI 304</t>
        </is>
      </c>
      <c r="I13" s="58" t="inlineStr">
        <is>
          <t>Acumulación de paquetes previo al encajonado final</t>
        </is>
      </c>
      <c r="M13" s="45" t="n"/>
      <c r="R13" s="46" t="n"/>
      <c r="S13" s="71" t="n"/>
      <c r="W13" s="72" t="n"/>
      <c r="X13" s="44" t="n"/>
      <c r="Y13" s="44" t="n"/>
      <c r="Z13" s="44" t="n"/>
      <c r="AA13" s="44" t="n"/>
      <c r="AB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5" t="n"/>
      <c r="R14" s="46" t="n"/>
      <c r="S14" s="71" t="n"/>
      <c r="W14" s="72" t="n"/>
      <c r="X14" s="44" t="n"/>
      <c r="Y14" s="44" t="n"/>
      <c r="Z14" s="44" t="n"/>
      <c r="AA14" s="44" t="n"/>
      <c r="AB14" s="45" t="n"/>
      <c r="AF14" s="46" t="n"/>
      <c r="AG14" s="47" t="n"/>
    </row>
    <row r="15" ht="18" customHeight="1">
      <c r="M15" s="45" t="n"/>
      <c r="R15" s="46" t="n"/>
      <c r="S15" s="71" t="n"/>
      <c r="W15" s="72" t="n"/>
      <c r="X15" s="44" t="n"/>
      <c r="Y15" s="44" t="n"/>
      <c r="Z15" s="44" t="n"/>
      <c r="AA15" s="44" t="n"/>
      <c r="AB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59" t="n"/>
      <c r="N16" s="60" t="n"/>
      <c r="O16" s="60" t="n"/>
      <c r="P16" s="60" t="n"/>
      <c r="Q16" s="60" t="n"/>
      <c r="R16" s="61" t="n"/>
      <c r="S16" s="71" t="n"/>
      <c r="W16" s="72" t="n"/>
      <c r="X16" s="44" t="n"/>
      <c r="Y16" s="44" t="n"/>
      <c r="Z16" s="44" t="n"/>
      <c r="AA16" s="44" t="n"/>
      <c r="AB16" s="45" t="n"/>
      <c r="AF16" s="46" t="n"/>
      <c r="AG16" s="47" t="n"/>
    </row>
    <row r="17" ht="18" customHeight="1">
      <c r="B17" s="74" t="inlineStr">
        <is>
          <t>Marca y Modelo</t>
        </is>
      </c>
      <c r="C17" s="75" t="n"/>
      <c r="D17" s="76" t="n"/>
      <c r="E17" s="32" t="inlineStr">
        <is>
          <t>Brunetti Hermanos EFH700X (Flow-Pack Horizontal)</t>
        </is>
      </c>
      <c r="F17" s="75" t="n"/>
      <c r="G17" s="75" t="n"/>
      <c r="H17" s="75" t="n"/>
      <c r="I17" s="76" t="n"/>
      <c r="M17" s="39" t="inlineStr">
        <is>
          <t>A5</t>
        </is>
      </c>
      <c r="N17" s="40" t="n"/>
      <c r="O17" s="40" t="n"/>
      <c r="P17" s="40" t="n"/>
      <c r="Q17" s="40" t="n"/>
      <c r="R17" s="41" t="n"/>
      <c r="S17" s="71" t="n"/>
      <c r="W17" s="72" t="n"/>
      <c r="X17" s="44" t="n"/>
      <c r="Y17" s="44" t="n"/>
      <c r="Z17" s="44" t="n"/>
      <c r="AA17" s="44" t="n"/>
      <c r="AB17" s="45" t="n"/>
      <c r="AF17" s="46" t="n"/>
      <c r="AG17" s="47" t="n"/>
    </row>
    <row r="18" ht="18" customHeight="1">
      <c r="B18" s="74" t="inlineStr">
        <is>
          <t>Dimensiones del Equipo</t>
        </is>
      </c>
      <c r="C18" s="75" t="n"/>
      <c r="D18" s="76" t="n"/>
      <c r="E18" s="32" t="inlineStr">
        <is>
          <t>4380 mm (Largo) x 1170 mm (Ancho) x 1500 mm (Alto)</t>
        </is>
      </c>
      <c r="F18" s="75" t="n"/>
      <c r="G18" s="75" t="n"/>
      <c r="H18" s="75" t="n"/>
      <c r="I18" s="76" t="n"/>
      <c r="M18" s="45" t="n"/>
      <c r="R18" s="46" t="n"/>
      <c r="S18" s="71" t="n"/>
      <c r="W18" s="72" t="n"/>
      <c r="X18" s="44" t="n"/>
      <c r="Y18" s="44" t="n"/>
      <c r="Z18" s="44" t="n"/>
      <c r="AA18" s="44" t="n"/>
      <c r="AB18" s="45" t="n"/>
      <c r="AF18" s="46" t="n"/>
      <c r="AG18" s="47" t="n"/>
    </row>
    <row r="19" ht="18" customHeight="1">
      <c r="B19" s="74" t="inlineStr">
        <is>
          <t>Superficie Estática (Ss)</t>
        </is>
      </c>
      <c r="C19" s="75" t="n"/>
      <c r="D19" s="76" t="n"/>
      <c r="E19" s="32" t="inlineStr">
        <is>
          <t>5,125 m² (según catálogo: 4,38 m x 1,17 m, en BOM asignado 6,57 m²)</t>
        </is>
      </c>
      <c r="F19" s="75" t="n"/>
      <c r="G19" s="75" t="n"/>
      <c r="H19" s="75" t="n"/>
      <c r="I19" s="76" t="n"/>
      <c r="M19" s="45" t="n"/>
      <c r="R19" s="46" t="n"/>
      <c r="S19" s="71" t="n"/>
      <c r="W19" s="72" t="n"/>
      <c r="X19" s="44" t="n"/>
      <c r="Y19" s="44" t="n"/>
      <c r="Z19" s="44" t="n"/>
      <c r="AA19" s="44" t="n"/>
      <c r="AB19" s="45" t="n"/>
      <c r="AF19" s="46" t="n"/>
      <c r="AG19" s="47" t="n"/>
    </row>
    <row r="20" ht="18" customHeight="1">
      <c r="B20" s="74" t="inlineStr">
        <is>
          <t>Potencia y Voltaje</t>
        </is>
      </c>
      <c r="C20" s="75" t="n"/>
      <c r="D20" s="76" t="n"/>
      <c r="E20" s="32" t="inlineStr">
        <is>
          <t>3,60 kW | 220 V / 380 V trifásica</t>
        </is>
      </c>
      <c r="F20" s="75" t="n"/>
      <c r="G20" s="75" t="n"/>
      <c r="H20" s="75" t="n"/>
      <c r="I20" s="76" t="n"/>
      <c r="M20" s="45" t="n"/>
      <c r="R20" s="46" t="n"/>
      <c r="S20" s="71" t="n"/>
      <c r="W20" s="72" t="n"/>
      <c r="X20" s="44" t="n"/>
      <c r="Y20" s="44" t="n"/>
      <c r="Z20" s="44" t="n"/>
      <c r="AA20" s="44" t="n"/>
      <c r="AB20" s="45" t="n"/>
      <c r="AF20" s="46" t="n"/>
      <c r="AG20" s="47" t="n"/>
    </row>
    <row r="21" ht="18" customHeight="1">
      <c r="B21" s="74" t="inlineStr">
        <is>
          <t>Velocidad de Envasado</t>
        </is>
      </c>
      <c r="C21" s="75" t="n"/>
      <c r="D21" s="76" t="n"/>
      <c r="E21" s="32" t="inlineStr">
        <is>
          <t>10 a 15 paquetes/minuto (Capacidad teórica: 160,8 kg/h)</t>
        </is>
      </c>
      <c r="F21" s="75" t="n"/>
      <c r="G21" s="75" t="n"/>
      <c r="H21" s="75" t="n"/>
      <c r="I21" s="76" t="n"/>
      <c r="M21" s="45" t="n"/>
      <c r="R21" s="46" t="n"/>
      <c r="S21" s="71" t="n"/>
      <c r="W21" s="72" t="n"/>
      <c r="X21" s="44" t="n"/>
      <c r="Y21" s="44" t="n"/>
      <c r="Z21" s="44" t="n"/>
      <c r="AA21" s="44" t="n"/>
      <c r="AB21" s="45" t="n"/>
      <c r="AF21" s="46" t="n"/>
      <c r="AG21" s="47" t="n"/>
    </row>
    <row r="22" ht="18" customHeight="1">
      <c r="B22" s="74" t="inlineStr">
        <is>
          <t>Formatos Aptos</t>
        </is>
      </c>
      <c r="C22" s="75" t="n"/>
      <c r="D22" s="76" t="n"/>
      <c r="E22" s="32" t="inlineStr">
        <is>
          <t>Pan de molde entero/rebanado (400g) y Budines (180g) en atmósfera modificada</t>
        </is>
      </c>
      <c r="F22" s="75" t="n"/>
      <c r="G22" s="75" t="n"/>
      <c r="H22" s="75" t="n"/>
      <c r="I22" s="76" t="n"/>
      <c r="M22" s="45" t="n"/>
      <c r="R22" s="46" t="n"/>
      <c r="S22" s="71" t="n"/>
      <c r="W22" s="72" t="n"/>
      <c r="X22" s="44" t="n"/>
      <c r="Y22" s="44" t="n"/>
      <c r="Z22" s="44" t="n"/>
      <c r="AA22" s="44" t="n"/>
      <c r="AB22" s="45" t="n"/>
      <c r="AF22" s="46" t="n"/>
      <c r="AG22" s="47" t="n"/>
    </row>
    <row r="23" ht="18" customHeight="1">
      <c r="M23" s="45" t="n"/>
      <c r="R23" s="46" t="n"/>
      <c r="S23" s="71" t="n"/>
      <c r="W23" s="72" t="n"/>
      <c r="X23" s="44" t="n"/>
      <c r="Y23" s="44" t="n"/>
      <c r="Z23" s="44" t="n"/>
      <c r="AA23" s="44" t="n"/>
      <c r="AB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59" t="n"/>
      <c r="N24" s="60" t="n"/>
      <c r="O24" s="60" t="n"/>
      <c r="P24" s="60" t="n"/>
      <c r="Q24" s="60" t="n"/>
      <c r="R24" s="61" t="n"/>
      <c r="S24" s="77" t="n"/>
      <c r="T24" s="78" t="n"/>
      <c r="U24" s="78" t="n"/>
      <c r="V24" s="78" t="n"/>
      <c r="W24" s="79" t="n"/>
      <c r="X24" s="44" t="n"/>
      <c r="Y24" s="44" t="n"/>
      <c r="Z24" s="44" t="n"/>
      <c r="AA24" s="44" t="n"/>
      <c r="AB24" s="45" t="n"/>
      <c r="AF24" s="46" t="n"/>
      <c r="AG24" s="47" t="n"/>
    </row>
    <row r="25" ht="18" customHeight="1">
      <c r="M25" s="39" t="inlineStr">
        <is>
          <t>A1</t>
        </is>
      </c>
      <c r="N25" s="40" t="n"/>
      <c r="O25" s="40" t="n"/>
      <c r="P25" s="40" t="n"/>
      <c r="Q25" s="40" t="n"/>
      <c r="R25" s="41" t="n"/>
      <c r="S25" s="39" t="inlineStr">
        <is>
          <t>A2</t>
        </is>
      </c>
      <c r="T25" s="40" t="n"/>
      <c r="U25" s="40" t="n"/>
      <c r="V25" s="40" t="n"/>
      <c r="W25" s="41" t="n"/>
      <c r="X25" s="44" t="n"/>
      <c r="Y25" s="44" t="n"/>
      <c r="Z25" s="44" t="n"/>
      <c r="AA25" s="44" t="n"/>
      <c r="AB25" s="45" t="n"/>
      <c r="AF25" s="46" t="n"/>
      <c r="AG25" s="47" t="n"/>
    </row>
    <row r="26" ht="18" customHeight="1">
      <c r="M26" s="45" t="n"/>
      <c r="R26" s="46" t="n"/>
      <c r="S26" s="45" t="n"/>
      <c r="W26" s="46" t="n"/>
      <c r="X26" s="44" t="n"/>
      <c r="Y26" s="44" t="n"/>
      <c r="Z26" s="44" t="n"/>
      <c r="AA26" s="44" t="n"/>
      <c r="AB26" s="45" t="n"/>
      <c r="AF26" s="46" t="n"/>
      <c r="AG26" s="47" t="n"/>
    </row>
    <row r="27" ht="18" customHeight="1">
      <c r="M27" s="45" t="n"/>
      <c r="R27" s="46" t="n"/>
      <c r="S27" s="45" t="n"/>
      <c r="W27" s="46" t="n"/>
      <c r="X27" s="44" t="n"/>
      <c r="Y27" s="44" t="n"/>
      <c r="Z27" s="44" t="n"/>
      <c r="AA27" s="44" t="n"/>
      <c r="AB27" s="45" t="n"/>
      <c r="AF27" s="46" t="n"/>
      <c r="AG27" s="47" t="n"/>
    </row>
    <row r="28" ht="18" customHeight="1">
      <c r="M28" s="45" t="n"/>
      <c r="R28" s="46" t="n"/>
      <c r="S28" s="45" t="n"/>
      <c r="W28" s="46" t="n"/>
      <c r="X28" s="44" t="n"/>
      <c r="Y28" s="44" t="n"/>
      <c r="Z28" s="44" t="n"/>
      <c r="AA28" s="44" t="n"/>
      <c r="AB28" s="45" t="n"/>
      <c r="AF28" s="46" t="n"/>
      <c r="AG28" s="47" t="n"/>
    </row>
    <row r="29" ht="18" customHeight="1">
      <c r="M29" s="45" t="n"/>
      <c r="R29" s="46" t="n"/>
      <c r="S29" s="45" t="n"/>
      <c r="W29" s="46" t="n"/>
      <c r="X29" s="44" t="n"/>
      <c r="Y29" s="44" t="n"/>
      <c r="Z29" s="44" t="n"/>
      <c r="AA29" s="44" t="n"/>
      <c r="AB29" s="45" t="n"/>
      <c r="AF29" s="46" t="n"/>
      <c r="AG29" s="47" t="n"/>
    </row>
    <row r="30" ht="18" customHeight="1">
      <c r="M30" s="59" t="n"/>
      <c r="N30" s="60" t="n"/>
      <c r="O30" s="60" t="n"/>
      <c r="P30" s="60" t="n"/>
      <c r="Q30" s="60" t="n"/>
      <c r="R30" s="61" t="n"/>
      <c r="S30" s="59" t="n"/>
      <c r="T30" s="60" t="n"/>
      <c r="U30" s="60" t="n"/>
      <c r="V30" s="60" t="n"/>
      <c r="W30" s="61" t="n"/>
      <c r="X30" s="44" t="n"/>
      <c r="Y30" s="44" t="n"/>
      <c r="Z30" s="44" t="n"/>
      <c r="AA30" s="44" t="n"/>
      <c r="AB30" s="59" t="n"/>
      <c r="AC30" s="60" t="n"/>
      <c r="AD30" s="60" t="n"/>
      <c r="AE30" s="60" t="n"/>
      <c r="AF30" s="61" t="n"/>
      <c r="AG30" s="47" t="n"/>
    </row>
    <row r="31" ht="18" customHeight="1">
      <c r="M31" s="81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3" t="n"/>
    </row>
    <row r="32" ht="18" customHeight="1"/>
    <row r="33" ht="18" customHeight="1">
      <c r="M33" s="84" t="inlineStr">
        <is>
          <t>REFERENCIAS DE LAYOUT:</t>
        </is>
      </c>
    </row>
    <row r="34" ht="18" customHeight="1">
      <c r="M34" s="85" t="inlineStr">
        <is>
          <t>A0: Máquina Principal | A1: MP en espera | A2: Operación/Alimentación | A3: Salida de Producto</t>
        </is>
      </c>
    </row>
    <row r="35" ht="18" customHeight="1">
      <c r="M35" s="85" t="inlineStr">
        <is>
          <t>A4: Tablero / Mando | A5: Seguridad Lateral | A6: Pasillo Circulación | A7: Buffer Semielaborado (SE)</t>
        </is>
      </c>
    </row>
    <row r="36" ht="18" customHeight="1"/>
    <row r="37" ht="18" customHeight="1"/>
    <row r="38" ht="18" customHeight="1"/>
    <row r="39" ht="18" customHeight="1"/>
  </sheetData>
  <mergeCells count="27">
    <mergeCell ref="E21:I21"/>
    <mergeCell ref="M35:AG35"/>
    <mergeCell ref="B17:D17"/>
    <mergeCell ref="M10:R16"/>
    <mergeCell ref="S10:W24"/>
    <mergeCell ref="E17:I17"/>
    <mergeCell ref="B19:D19"/>
    <mergeCell ref="E20:I20"/>
    <mergeCell ref="M17:R24"/>
    <mergeCell ref="E19:I19"/>
    <mergeCell ref="M33:AG33"/>
    <mergeCell ref="AB4:AF30"/>
    <mergeCell ref="B20:D20"/>
    <mergeCell ref="S7:W9"/>
    <mergeCell ref="S25:W30"/>
    <mergeCell ref="E18:I18"/>
    <mergeCell ref="B16:D16"/>
    <mergeCell ref="L2:T2"/>
    <mergeCell ref="M25:R30"/>
    <mergeCell ref="E16:I16"/>
    <mergeCell ref="B22:D22"/>
    <mergeCell ref="B24:I24"/>
    <mergeCell ref="M34:AG34"/>
    <mergeCell ref="B18:D18"/>
    <mergeCell ref="B21:D21"/>
    <mergeCell ref="E22:I22"/>
    <mergeCell ref="S4:W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AF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ENVASADO SECUNDARIO - PANIFICADOS</t>
        </is>
      </c>
      <c r="L2" s="36" t="inlineStr">
        <is>
          <t>Escala: 1 celda ≈ 0.20 m x 0.20 m</t>
        </is>
      </c>
    </row>
    <row r="3" ht="18" customHeight="1">
      <c r="B3" s="2" t="inlineStr">
        <is>
          <t>Línea B - Panificados | Mesa de Trabajo Ergonómica, Encajonado y Paletizado</t>
        </is>
      </c>
    </row>
    <row r="4" ht="18" customHeight="1">
      <c r="M4" s="37" t="n"/>
      <c r="N4" s="38" t="n"/>
      <c r="O4" s="38" t="n"/>
      <c r="P4" s="38" t="n"/>
      <c r="Q4" s="38" t="n"/>
      <c r="R4" s="38" t="n"/>
      <c r="S4" s="39" t="inlineStr">
        <is>
          <t>A7</t>
        </is>
      </c>
      <c r="T4" s="40" t="n"/>
      <c r="U4" s="40" t="n"/>
      <c r="V4" s="40" t="n"/>
      <c r="W4" s="40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M5" s="43" t="n"/>
      <c r="N5" s="44" t="n"/>
      <c r="O5" s="44" t="n"/>
      <c r="P5" s="44" t="n"/>
      <c r="Q5" s="44" t="n"/>
      <c r="R5" s="44" t="n"/>
      <c r="S5" s="45" t="n"/>
      <c r="X5" s="46" t="n"/>
      <c r="Y5" s="44" t="n"/>
      <c r="Z5" s="44" t="n"/>
      <c r="AA5" s="44" t="n"/>
      <c r="AB5" s="44" t="n"/>
      <c r="AC5" s="44" t="n"/>
      <c r="AD5" s="44" t="n"/>
      <c r="AE5" s="44" t="n"/>
      <c r="AF5" s="47" t="n"/>
    </row>
    <row r="6" ht="18" customHeight="1">
      <c r="B6" s="48" t="inlineStr">
        <is>
          <t>A0</t>
        </is>
      </c>
      <c r="C6" s="49" t="inlineStr">
        <is>
          <t>Mesa de Trabajo en Acero Inoxidable AISI 304</t>
        </is>
      </c>
      <c r="D6" s="50" t="n">
        <v>1.2</v>
      </c>
      <c r="E6" s="50" t="n">
        <v>0.8</v>
      </c>
      <c r="F6" s="51" t="n">
        <v>1</v>
      </c>
      <c r="G6" s="52">
        <f>D6*E6*F6</f>
        <v/>
      </c>
      <c r="H6" s="53" t="inlineStr">
        <is>
          <t>Mesa estándar ergonómica de empaque (1200x800mm)</t>
        </is>
      </c>
      <c r="I6" s="53" t="inlineStr">
        <is>
          <t>Superficie de apoyo para conformado y llenado de cajas</t>
        </is>
      </c>
      <c r="M6" s="43" t="n"/>
      <c r="N6" s="44" t="n"/>
      <c r="O6" s="44" t="n"/>
      <c r="P6" s="44" t="n"/>
      <c r="Q6" s="44" t="n"/>
      <c r="R6" s="44" t="n"/>
      <c r="S6" s="45" t="n"/>
      <c r="X6" s="46" t="n"/>
      <c r="Y6" s="44" t="n"/>
      <c r="Z6" s="44" t="n"/>
      <c r="AA6" s="44" t="n"/>
      <c r="AB6" s="44" t="n"/>
      <c r="AC6" s="44" t="n"/>
      <c r="AD6" s="44" t="n"/>
      <c r="AE6" s="44" t="n"/>
      <c r="AF6" s="47" t="n"/>
    </row>
    <row r="7" ht="18" customHeight="1">
      <c r="B7" s="54" t="inlineStr">
        <is>
          <t>A1</t>
        </is>
      </c>
      <c r="C7" s="35" t="inlineStr">
        <is>
          <t>Buffer de paquetes recibidos desde mesa rotativa</t>
        </is>
      </c>
      <c r="D7" s="55" t="n">
        <v>0.8</v>
      </c>
      <c r="E7" s="55" t="n">
        <v>0.6</v>
      </c>
      <c r="F7" s="56" t="n">
        <v>1</v>
      </c>
      <c r="G7" s="57">
        <f>D7*E7*F7</f>
        <v/>
      </c>
      <c r="H7" s="58" t="inlineStr">
        <is>
          <t>Plato rotativo acumulador de envasado primario</t>
        </is>
      </c>
      <c r="I7" s="58" t="inlineStr">
        <is>
          <t>Recepción de paquetes flow-pack verificados</t>
        </is>
      </c>
      <c r="M7" s="43" t="n"/>
      <c r="N7" s="44" t="n"/>
      <c r="O7" s="44" t="n"/>
      <c r="P7" s="44" t="n"/>
      <c r="Q7" s="44" t="n"/>
      <c r="R7" s="44" t="n"/>
      <c r="S7" s="59" t="n"/>
      <c r="T7" s="60" t="n"/>
      <c r="U7" s="60" t="n"/>
      <c r="V7" s="60" t="n"/>
      <c r="W7" s="60" t="n"/>
      <c r="X7" s="61" t="n"/>
      <c r="Y7" s="44" t="n"/>
      <c r="Z7" s="44" t="n"/>
      <c r="AA7" s="44" t="n"/>
      <c r="AB7" s="44" t="n"/>
      <c r="AC7" s="44" t="n"/>
      <c r="AD7" s="44" t="n"/>
      <c r="AE7" s="44" t="n"/>
      <c r="AF7" s="47" t="n"/>
    </row>
    <row r="8" ht="18" customHeight="1">
      <c r="B8" s="62" t="inlineStr">
        <is>
          <t>A2</t>
        </is>
      </c>
      <c r="C8" s="32" t="inlineStr">
        <is>
          <t>Puesto del operario de encajonado</t>
        </is>
      </c>
      <c r="D8" s="55" t="n">
        <v>1.2</v>
      </c>
      <c r="E8" s="55" t="n">
        <v>1</v>
      </c>
      <c r="F8" s="63" t="n">
        <v>1</v>
      </c>
      <c r="G8" s="64">
        <f>D8*E8*F8</f>
        <v/>
      </c>
      <c r="H8" s="65" t="inlineStr">
        <is>
          <t>Espacio ergonómico de pie sobre alfombra antifatiga</t>
        </is>
      </c>
      <c r="I8" s="65" t="inlineStr">
        <is>
          <t>Conformado de cajas, colocación de producto y control</t>
        </is>
      </c>
      <c r="M8" s="43" t="n"/>
      <c r="N8" s="44" t="n"/>
      <c r="O8" s="44" t="n"/>
      <c r="P8" s="44" t="n"/>
      <c r="Q8" s="44" t="n"/>
      <c r="R8" s="39" t="inlineStr">
        <is>
          <t>A3</t>
        </is>
      </c>
      <c r="S8" s="40" t="n"/>
      <c r="T8" s="40" t="n"/>
      <c r="U8" s="40" t="n"/>
      <c r="V8" s="40" t="n"/>
      <c r="W8" s="40" t="n"/>
      <c r="X8" s="40" t="n"/>
      <c r="Y8" s="41" t="n"/>
      <c r="Z8" s="44" t="n"/>
      <c r="AA8" s="44" t="n"/>
      <c r="AB8" s="39" t="inlineStr">
        <is>
          <t>A6</t>
        </is>
      </c>
      <c r="AC8" s="40" t="n"/>
      <c r="AD8" s="40" t="n"/>
      <c r="AE8" s="41" t="n"/>
      <c r="AF8" s="47" t="n"/>
    </row>
    <row r="9" ht="18" customHeight="1">
      <c r="B9" s="54" t="inlineStr">
        <is>
          <t>A3</t>
        </is>
      </c>
      <c r="C9" s="35" t="inlineStr">
        <is>
          <t>Soporte para cajas corrugadas plegadas</t>
        </is>
      </c>
      <c r="D9" s="55" t="n">
        <v>0.8</v>
      </c>
      <c r="E9" s="55" t="n">
        <v>0.6</v>
      </c>
      <c r="F9" s="56" t="n">
        <v>1</v>
      </c>
      <c r="G9" s="57">
        <f>D9*E9*F9</f>
        <v/>
      </c>
      <c r="H9" s="58" t="inlineStr">
        <is>
          <t>Estante inferior/lateral para cajas desarmadas</t>
        </is>
      </c>
      <c r="I9" s="58" t="inlineStr">
        <is>
          <t>Alimentación rápida de cajas vacías</t>
        </is>
      </c>
      <c r="M9" s="43" t="n"/>
      <c r="N9" s="44" t="n"/>
      <c r="O9" s="44" t="n"/>
      <c r="P9" s="44" t="n"/>
      <c r="Q9" s="44" t="n"/>
      <c r="R9" s="45" t="n"/>
      <c r="Y9" s="46" t="n"/>
      <c r="Z9" s="44" t="n"/>
      <c r="AA9" s="44" t="n"/>
      <c r="AB9" s="45" t="n"/>
      <c r="AE9" s="46" t="n"/>
      <c r="AF9" s="47" t="n"/>
    </row>
    <row r="10" ht="18" customHeight="1">
      <c r="B10" s="62" t="inlineStr">
        <is>
          <t>A4</t>
        </is>
      </c>
      <c r="C10" s="32" t="inlineStr">
        <is>
          <t>Precintadora manual y dispensador de rótulos</t>
        </is>
      </c>
      <c r="D10" s="55" t="n">
        <v>0.5</v>
      </c>
      <c r="E10" s="55" t="n">
        <v>0.4</v>
      </c>
      <c r="F10" s="63" t="n">
        <v>1</v>
      </c>
      <c r="G10" s="64">
        <f>D10*E10*F10</f>
        <v/>
      </c>
      <c r="H10" s="65" t="inlineStr">
        <is>
          <t>Dispensador de cinta adhesiva y etiquetas código barras</t>
        </is>
      </c>
      <c r="I10" s="65" t="inlineStr">
        <is>
          <t>Cerrado superior e inferior y etiquetado de trazabilidad</t>
        </is>
      </c>
      <c r="M10" s="43" t="n"/>
      <c r="N10" s="44" t="n"/>
      <c r="O10" s="44" t="n"/>
      <c r="P10" s="44" t="n"/>
      <c r="Q10" s="44" t="n"/>
      <c r="R10" s="45" t="n"/>
      <c r="Y10" s="46" t="n"/>
      <c r="Z10" s="44" t="n"/>
      <c r="AA10" s="44" t="n"/>
      <c r="AB10" s="45" t="n"/>
      <c r="AE10" s="46" t="n"/>
      <c r="AF10" s="47" t="n"/>
    </row>
    <row r="11" ht="18" customHeight="1">
      <c r="B11" s="54" t="inlineStr">
        <is>
          <t>A5</t>
        </is>
      </c>
      <c r="C11" s="35" t="inlineStr">
        <is>
          <t>Espacio de seguridad y ergonomía postural</t>
        </is>
      </c>
      <c r="D11" s="55" t="n">
        <v>0.5</v>
      </c>
      <c r="E11" s="55" t="n">
        <v>1.2</v>
      </c>
      <c r="F11" s="56" t="n">
        <v>1</v>
      </c>
      <c r="G11" s="57">
        <f>D11*E11*F11</f>
        <v/>
      </c>
      <c r="H11" s="58" t="inlineStr">
        <is>
          <t>Zona libre perimetral sin obstáculos de tropiezo</t>
        </is>
      </c>
      <c r="I11" s="58" t="inlineStr">
        <is>
          <t>Seguridad y rotación postural del trabajador</t>
        </is>
      </c>
      <c r="M11" s="43" t="n"/>
      <c r="N11" s="44" t="n"/>
      <c r="O11" s="44" t="n"/>
      <c r="P11" s="44" t="n"/>
      <c r="Q11" s="44" t="n"/>
      <c r="R11" s="45" t="n"/>
      <c r="Y11" s="46" t="n"/>
      <c r="Z11" s="44" t="n"/>
      <c r="AA11" s="44" t="n"/>
      <c r="AB11" s="45" t="n"/>
      <c r="AE11" s="46" t="n"/>
      <c r="AF11" s="47" t="n"/>
    </row>
    <row r="12" ht="18" customHeight="1">
      <c r="B12" s="62" t="inlineStr">
        <is>
          <t>A6</t>
        </is>
      </c>
      <c r="C12" s="32" t="inlineStr">
        <is>
          <t>Pasillo de circulación y retiro de zorras</t>
        </is>
      </c>
      <c r="D12" s="55" t="n">
        <v>1.2</v>
      </c>
      <c r="E12" s="55" t="n">
        <v>3</v>
      </c>
      <c r="F12" s="63" t="n">
        <v>1</v>
      </c>
      <c r="G12" s="64">
        <f>D12*E12*F12</f>
        <v/>
      </c>
      <c r="H12" s="65" t="inlineStr">
        <is>
          <t>Ancho mínimo para tránsito de zorras hidráulicas</t>
        </is>
      </c>
      <c r="I12" s="65" t="inlineStr">
        <is>
          <t>Retiro de pallets conformados hacia Depósito PT</t>
        </is>
      </c>
      <c r="M12" s="43" t="n"/>
      <c r="N12" s="44" t="n"/>
      <c r="O12" s="44" t="n"/>
      <c r="P12" s="44" t="n"/>
      <c r="Q12" s="44" t="n"/>
      <c r="R12" s="45" t="n"/>
      <c r="Y12" s="46" t="n"/>
      <c r="Z12" s="44" t="n"/>
      <c r="AA12" s="44" t="n"/>
      <c r="AB12" s="45" t="n"/>
      <c r="AE12" s="46" t="n"/>
      <c r="AF12" s="47" t="n"/>
    </row>
    <row r="13" ht="18" customHeight="1">
      <c r="B13" s="54" t="inlineStr">
        <is>
          <t>A7</t>
        </is>
      </c>
      <c r="C13" s="35" t="inlineStr">
        <is>
          <t>Pallet en conformación con cajas terminadas (PT)</t>
        </is>
      </c>
      <c r="D13" s="55" t="n">
        <v>1.2</v>
      </c>
      <c r="E13" s="55" t="n">
        <v>1</v>
      </c>
      <c r="F13" s="56" t="n">
        <v>1</v>
      </c>
      <c r="G13" s="57">
        <f>D13*E13*F13</f>
        <v/>
      </c>
      <c r="H13" s="58" t="inlineStr">
        <is>
          <t>Pallet Arlog (1,2 x 1,0 m) en proceso de estibado</t>
        </is>
      </c>
      <c r="I13" s="58" t="inlineStr">
        <is>
          <t>Estiba de cajas terminadas previo al stretch filmado</t>
        </is>
      </c>
      <c r="M13" s="43" t="n"/>
      <c r="N13" s="44" t="n"/>
      <c r="O13" s="44" t="n"/>
      <c r="P13" s="44" t="n"/>
      <c r="Q13" s="44" t="n"/>
      <c r="R13" s="59" t="n"/>
      <c r="S13" s="60" t="n"/>
      <c r="T13" s="60" t="n"/>
      <c r="U13" s="60" t="n"/>
      <c r="V13" s="60" t="n"/>
      <c r="W13" s="60" t="n"/>
      <c r="X13" s="60" t="n"/>
      <c r="Y13" s="61" t="n"/>
      <c r="Z13" s="44" t="n"/>
      <c r="AA13" s="44" t="n"/>
      <c r="AB13" s="45" t="n"/>
      <c r="AE13" s="46" t="n"/>
      <c r="AF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M14" s="43" t="n"/>
      <c r="N14" s="39" t="inlineStr">
        <is>
          <t>A4</t>
        </is>
      </c>
      <c r="O14" s="40" t="n"/>
      <c r="P14" s="40" t="n"/>
      <c r="Q14" s="41" t="n"/>
      <c r="R14" s="68" t="inlineStr">
        <is>
          <t>A0
Mesa de Encajonado Panificados</t>
        </is>
      </c>
      <c r="S14" s="69" t="n"/>
      <c r="T14" s="69" t="n"/>
      <c r="U14" s="69" t="n"/>
      <c r="V14" s="69" t="n"/>
      <c r="W14" s="69" t="n"/>
      <c r="X14" s="69" t="n"/>
      <c r="Y14" s="70" t="n"/>
      <c r="Z14" s="39" t="inlineStr">
        <is>
          <t>A5</t>
        </is>
      </c>
      <c r="AA14" s="41" t="n"/>
      <c r="AB14" s="45" t="n"/>
      <c r="AE14" s="46" t="n"/>
      <c r="AF14" s="47" t="n"/>
    </row>
    <row r="15" ht="18" customHeight="1">
      <c r="M15" s="43" t="n"/>
      <c r="N15" s="45" t="n"/>
      <c r="Q15" s="46" t="n"/>
      <c r="R15" s="71" t="n"/>
      <c r="Y15" s="72" t="n"/>
      <c r="Z15" s="45" t="n"/>
      <c r="AA15" s="46" t="n"/>
      <c r="AB15" s="45" t="n"/>
      <c r="AE15" s="46" t="n"/>
      <c r="AF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M16" s="43" t="n"/>
      <c r="N16" s="45" t="n"/>
      <c r="Q16" s="46" t="n"/>
      <c r="R16" s="71" t="n"/>
      <c r="Y16" s="72" t="n"/>
      <c r="Z16" s="45" t="n"/>
      <c r="AA16" s="46" t="n"/>
      <c r="AB16" s="45" t="n"/>
      <c r="AE16" s="46" t="n"/>
      <c r="AF16" s="47" t="n"/>
    </row>
    <row r="17" ht="18" customHeight="1">
      <c r="B17" s="74" t="inlineStr">
        <is>
          <t>Tipo de Puesto</t>
        </is>
      </c>
      <c r="C17" s="75" t="n"/>
      <c r="D17" s="76" t="n"/>
      <c r="E17" s="32" t="inlineStr">
        <is>
          <t>Mesa de encajonado secundario manual en acero inoxidable AISI 304</t>
        </is>
      </c>
      <c r="F17" s="75" t="n"/>
      <c r="G17" s="75" t="n"/>
      <c r="H17" s="75" t="n"/>
      <c r="I17" s="76" t="n"/>
      <c r="M17" s="43" t="n"/>
      <c r="N17" s="45" t="n"/>
      <c r="Q17" s="46" t="n"/>
      <c r="R17" s="71" t="n"/>
      <c r="Y17" s="72" t="n"/>
      <c r="Z17" s="45" t="n"/>
      <c r="AA17" s="46" t="n"/>
      <c r="AB17" s="45" t="n"/>
      <c r="AE17" s="46" t="n"/>
      <c r="AF17" s="47" t="n"/>
    </row>
    <row r="18" ht="18" customHeight="1">
      <c r="B18" s="74" t="inlineStr">
        <is>
          <t>Dimensiones de la Mesa</t>
        </is>
      </c>
      <c r="C18" s="75" t="n"/>
      <c r="D18" s="76" t="n"/>
      <c r="E18" s="32" t="inlineStr">
        <is>
          <t>1200 mm (Largo) x 800 mm (Ancho) x 800 mm (Alto)</t>
        </is>
      </c>
      <c r="F18" s="75" t="n"/>
      <c r="G18" s="75" t="n"/>
      <c r="H18" s="75" t="n"/>
      <c r="I18" s="76" t="n"/>
      <c r="M18" s="43" t="n"/>
      <c r="N18" s="45" t="n"/>
      <c r="Q18" s="46" t="n"/>
      <c r="R18" s="71" t="n"/>
      <c r="Y18" s="72" t="n"/>
      <c r="Z18" s="45" t="n"/>
      <c r="AA18" s="46" t="n"/>
      <c r="AB18" s="45" t="n"/>
      <c r="AE18" s="46" t="n"/>
      <c r="AF18" s="47" t="n"/>
    </row>
    <row r="19" ht="18" customHeight="1">
      <c r="B19" s="74" t="inlineStr">
        <is>
          <t>Superficie Estática (Ss)</t>
        </is>
      </c>
      <c r="C19" s="75" t="n"/>
      <c r="D19" s="76" t="n"/>
      <c r="E19" s="32" t="inlineStr">
        <is>
          <t>0,96 m² (según BOM y Balanceo: 1,20 m x 0,80 m)</t>
        </is>
      </c>
      <c r="F19" s="75" t="n"/>
      <c r="G19" s="75" t="n"/>
      <c r="H19" s="75" t="n"/>
      <c r="I19" s="76" t="n"/>
      <c r="M19" s="43" t="n"/>
      <c r="N19" s="59" t="n"/>
      <c r="O19" s="60" t="n"/>
      <c r="P19" s="60" t="n"/>
      <c r="Q19" s="61" t="n"/>
      <c r="R19" s="77" t="n"/>
      <c r="S19" s="78" t="n"/>
      <c r="T19" s="78" t="n"/>
      <c r="U19" s="78" t="n"/>
      <c r="V19" s="78" t="n"/>
      <c r="W19" s="78" t="n"/>
      <c r="X19" s="78" t="n"/>
      <c r="Y19" s="79" t="n"/>
      <c r="Z19" s="59" t="n"/>
      <c r="AA19" s="61" t="n"/>
      <c r="AB19" s="45" t="n"/>
      <c r="AE19" s="46" t="n"/>
      <c r="AF19" s="47" t="n"/>
    </row>
    <row r="20" ht="18" customHeight="1">
      <c r="B20" s="74" t="inlineStr">
        <is>
          <t>Formato de Embalaje</t>
        </is>
      </c>
      <c r="C20" s="75" t="n"/>
      <c r="D20" s="76" t="n"/>
      <c r="E20" s="32" t="inlineStr">
        <is>
          <t>Caja corrugada multiproducto (Panes x 10 unid / Budines x 20 unid)</t>
        </is>
      </c>
      <c r="F20" s="75" t="n"/>
      <c r="G20" s="75" t="n"/>
      <c r="H20" s="75" t="n"/>
      <c r="I20" s="76" t="n"/>
      <c r="M20" s="39" t="inlineStr">
        <is>
          <t>A1</t>
        </is>
      </c>
      <c r="N20" s="40" t="n"/>
      <c r="O20" s="40" t="n"/>
      <c r="P20" s="40" t="n"/>
      <c r="Q20" s="41" t="n"/>
      <c r="R20" s="39" t="inlineStr">
        <is>
          <t>A2</t>
        </is>
      </c>
      <c r="S20" s="40" t="n"/>
      <c r="T20" s="40" t="n"/>
      <c r="U20" s="40" t="n"/>
      <c r="V20" s="40" t="n"/>
      <c r="W20" s="40" t="n"/>
      <c r="X20" s="40" t="n"/>
      <c r="Y20" s="41" t="n"/>
      <c r="Z20" s="44" t="n"/>
      <c r="AA20" s="44" t="n"/>
      <c r="AB20" s="45" t="n"/>
      <c r="AE20" s="46" t="n"/>
      <c r="AF20" s="47" t="n"/>
    </row>
    <row r="21" ht="18" customHeight="1">
      <c r="B21" s="74" t="inlineStr">
        <is>
          <t>Equipamiento Auxiliar</t>
        </is>
      </c>
      <c r="C21" s="75" t="n"/>
      <c r="D21" s="76" t="n"/>
      <c r="E21" s="32" t="inlineStr">
        <is>
          <t>Precintadora de cinta adhesiva, fechador manual y balanza de control</t>
        </is>
      </c>
      <c r="F21" s="75" t="n"/>
      <c r="G21" s="75" t="n"/>
      <c r="H21" s="75" t="n"/>
      <c r="I21" s="76" t="n"/>
      <c r="M21" s="45" t="n"/>
      <c r="Q21" s="46" t="n"/>
      <c r="R21" s="45" t="n"/>
      <c r="Y21" s="46" t="n"/>
      <c r="Z21" s="44" t="n"/>
      <c r="AA21" s="44" t="n"/>
      <c r="AB21" s="45" t="n"/>
      <c r="AE21" s="46" t="n"/>
      <c r="AF21" s="47" t="n"/>
    </row>
    <row r="22" ht="18" customHeight="1">
      <c r="B22" s="74" t="inlineStr">
        <is>
          <t>Rendimiento</t>
        </is>
      </c>
      <c r="C22" s="75" t="n"/>
      <c r="D22" s="76" t="n"/>
      <c r="E22" s="32" t="inlineStr">
        <is>
          <t>1 caja/minuto por puesto (Capacidad holgada)</t>
        </is>
      </c>
      <c r="F22" s="75" t="n"/>
      <c r="G22" s="75" t="n"/>
      <c r="H22" s="75" t="n"/>
      <c r="I22" s="76" t="n"/>
      <c r="M22" s="45" t="n"/>
      <c r="Q22" s="46" t="n"/>
      <c r="R22" s="45" t="n"/>
      <c r="Y22" s="46" t="n"/>
      <c r="Z22" s="44" t="n"/>
      <c r="AA22" s="44" t="n"/>
      <c r="AB22" s="45" t="n"/>
      <c r="AE22" s="46" t="n"/>
      <c r="AF22" s="47" t="n"/>
    </row>
    <row r="23" ht="18" customHeight="1">
      <c r="M23" s="45" t="n"/>
      <c r="Q23" s="46" t="n"/>
      <c r="R23" s="45" t="n"/>
      <c r="Y23" s="46" t="n"/>
      <c r="Z23" s="44" t="n"/>
      <c r="AA23" s="44" t="n"/>
      <c r="AB23" s="45" t="n"/>
      <c r="AE23" s="46" t="n"/>
      <c r="AF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M24" s="45" t="n"/>
      <c r="Q24" s="46" t="n"/>
      <c r="R24" s="45" t="n"/>
      <c r="Y24" s="46" t="n"/>
      <c r="Z24" s="44" t="n"/>
      <c r="AA24" s="44" t="n"/>
      <c r="AB24" s="45" t="n"/>
      <c r="AE24" s="46" t="n"/>
      <c r="AF24" s="47" t="n"/>
    </row>
    <row r="25" ht="18" customHeight="1">
      <c r="M25" s="45" t="n"/>
      <c r="Q25" s="46" t="n"/>
      <c r="R25" s="45" t="n"/>
      <c r="Y25" s="46" t="n"/>
      <c r="Z25" s="44" t="n"/>
      <c r="AA25" s="44" t="n"/>
      <c r="AB25" s="45" t="n"/>
      <c r="AE25" s="46" t="n"/>
      <c r="AF25" s="47" t="n"/>
    </row>
    <row r="26" ht="18" customHeight="1">
      <c r="M26" s="59" t="n"/>
      <c r="N26" s="60" t="n"/>
      <c r="O26" s="60" t="n"/>
      <c r="P26" s="60" t="n"/>
      <c r="Q26" s="61" t="n"/>
      <c r="R26" s="59" t="n"/>
      <c r="S26" s="60" t="n"/>
      <c r="T26" s="60" t="n"/>
      <c r="U26" s="60" t="n"/>
      <c r="V26" s="60" t="n"/>
      <c r="W26" s="60" t="n"/>
      <c r="X26" s="60" t="n"/>
      <c r="Y26" s="61" t="n"/>
      <c r="Z26" s="44" t="n"/>
      <c r="AA26" s="44" t="n"/>
      <c r="AB26" s="59" t="n"/>
      <c r="AC26" s="60" t="n"/>
      <c r="AD26" s="60" t="n"/>
      <c r="AE26" s="61" t="n"/>
      <c r="AF26" s="47" t="n"/>
    </row>
    <row r="27" ht="18" customHeight="1">
      <c r="M27" s="81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3" t="n"/>
    </row>
    <row r="28" ht="18" customHeight="1"/>
    <row r="29" ht="18" customHeight="1">
      <c r="M29" s="84" t="inlineStr">
        <is>
          <t>REFERENCIAS DE LAYOUT:</t>
        </is>
      </c>
    </row>
    <row r="30" ht="18" customHeight="1">
      <c r="M30" s="85" t="inlineStr">
        <is>
          <t>A0: Máquina Principal | A1: MP en espera | A2: Operación/Alimentación | A3: Salida de Producto</t>
        </is>
      </c>
    </row>
    <row r="31" ht="18" customHeight="1">
      <c r="M31" s="85" t="inlineStr">
        <is>
          <t>A4: Tablero / Mando | A5: Seguridad Lateral | A6: Pasillo Circulación | A7: Buffer Semielaborado (SE)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B17:D17"/>
    <mergeCell ref="S4:X7"/>
    <mergeCell ref="E17:I17"/>
    <mergeCell ref="B19:D19"/>
    <mergeCell ref="E20:I20"/>
    <mergeCell ref="E19:I19"/>
    <mergeCell ref="M20:Q26"/>
    <mergeCell ref="Z14:AA19"/>
    <mergeCell ref="B20:D20"/>
    <mergeCell ref="N14:Q19"/>
    <mergeCell ref="M31:AF31"/>
    <mergeCell ref="M30:AF30"/>
    <mergeCell ref="AB8:AE26"/>
    <mergeCell ref="R20:Y26"/>
    <mergeCell ref="B16:D16"/>
    <mergeCell ref="R14:Y19"/>
    <mergeCell ref="L2:T2"/>
    <mergeCell ref="R8:Y13"/>
    <mergeCell ref="E16:I16"/>
    <mergeCell ref="B22:D22"/>
    <mergeCell ref="B24:I24"/>
    <mergeCell ref="B18:D18"/>
    <mergeCell ref="B21:D21"/>
    <mergeCell ref="E22:I22"/>
    <mergeCell ref="M29:AF29"/>
    <mergeCell ref="E18:I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A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DEPÓSITO DE MATERIAS PRIMAS E INSUMOS (ESTIMACIÓN PRELIMINAR)</t>
        </is>
      </c>
      <c r="L2" s="36" t="inlineStr">
        <is>
          <t>Escala: 1 celda ≈ 0.40 m x 0.40 m (Superficie Estimada: ~50 m²)</t>
        </is>
      </c>
    </row>
    <row r="3" ht="18" customHeight="1">
      <c r="B3" s="2" t="inlineStr">
        <is>
          <t>Sector Logística | Racks Selectivos, Cuarentena Libre de Gluten y Dársena (Pendiente Dimensionamiento Fino)</t>
        </is>
      </c>
    </row>
    <row r="4" ht="18" customHeight="1">
      <c r="L4" s="37" t="n"/>
      <c r="M4" s="38" t="n"/>
      <c r="N4" s="38" t="n"/>
      <c r="O4" s="38" t="n"/>
      <c r="P4" s="38" t="n"/>
      <c r="Q4" s="39" t="inlineStr">
        <is>
          <t>A7</t>
        </is>
      </c>
      <c r="R4" s="40" t="n"/>
      <c r="S4" s="40" t="n"/>
      <c r="T4" s="40" t="n"/>
      <c r="U4" s="40" t="n"/>
      <c r="V4" s="40" t="n"/>
      <c r="W4" s="40" t="n"/>
      <c r="X4" s="40" t="n"/>
      <c r="Y4" s="40" t="n"/>
      <c r="Z4" s="41" t="n"/>
      <c r="AA4" s="39" t="inlineStr">
        <is>
          <t>A6</t>
        </is>
      </c>
      <c r="AB4" s="40" t="n"/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L5" s="43" t="n"/>
      <c r="M5" s="44" t="n"/>
      <c r="N5" s="44" t="n"/>
      <c r="O5" s="44" t="n"/>
      <c r="P5" s="44" t="n"/>
      <c r="Q5" s="45" t="n"/>
      <c r="Z5" s="46" t="n"/>
      <c r="AA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Estructura de Racks Selectivos para MP [Est.]</t>
        </is>
      </c>
      <c r="D6" s="50" t="n">
        <v>6</v>
      </c>
      <c r="E6" s="50" t="n">
        <v>2.4</v>
      </c>
      <c r="F6" s="51" t="n">
        <v>1</v>
      </c>
      <c r="G6" s="52">
        <f>D6*E6*F6</f>
        <v/>
      </c>
      <c r="H6" s="53" t="inlineStr">
        <is>
          <t>Módulo preliminar para 24 pallets en 3 niveles</t>
        </is>
      </c>
      <c r="I6" s="53" t="inlineStr">
        <is>
          <t>Almacenamiento clasificado de harinas, féculas y materias primas</t>
        </is>
      </c>
      <c r="L6" s="43" t="n"/>
      <c r="M6" s="44" t="n"/>
      <c r="N6" s="44" t="n"/>
      <c r="O6" s="44" t="n"/>
      <c r="P6" s="44" t="n"/>
      <c r="Q6" s="59" t="n"/>
      <c r="R6" s="60" t="n"/>
      <c r="S6" s="60" t="n"/>
      <c r="T6" s="60" t="n"/>
      <c r="U6" s="60" t="n"/>
      <c r="V6" s="60" t="n"/>
      <c r="W6" s="60" t="n"/>
      <c r="X6" s="60" t="n"/>
      <c r="Y6" s="60" t="n"/>
      <c r="Z6" s="61" t="n"/>
      <c r="AA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Dársena de recepción y descarga desde camión</t>
        </is>
      </c>
      <c r="D7" s="55" t="n">
        <v>3</v>
      </c>
      <c r="E7" s="55" t="n">
        <v>2.5</v>
      </c>
      <c r="F7" s="56" t="n">
        <v>1</v>
      </c>
      <c r="G7" s="57">
        <f>D7*E7*F7</f>
        <v/>
      </c>
      <c r="H7" s="58" t="inlineStr">
        <is>
          <t>Área de descarga directa bajo techo</t>
        </is>
      </c>
      <c r="I7" s="58" t="inlineStr">
        <is>
          <t>Recepción de pallets e inspección visual de remito/embalaje</t>
        </is>
      </c>
      <c r="L7" s="43" t="n"/>
      <c r="M7" s="44" t="n"/>
      <c r="N7" s="44" t="n"/>
      <c r="O7" s="44" t="n"/>
      <c r="P7" s="44" t="n"/>
      <c r="Q7" s="39" t="inlineStr">
        <is>
          <t>A3</t>
        </is>
      </c>
      <c r="R7" s="40" t="n"/>
      <c r="S7" s="40" t="n"/>
      <c r="T7" s="40" t="n"/>
      <c r="U7" s="40" t="n"/>
      <c r="V7" s="40" t="n"/>
      <c r="W7" s="40" t="n"/>
      <c r="X7" s="40" t="n"/>
      <c r="Y7" s="40" t="n"/>
      <c r="Z7" s="41" t="n"/>
      <c r="AA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Zona de muestreo, control de calidad y cuarentena</t>
        </is>
      </c>
      <c r="D8" s="55" t="n">
        <v>2.5</v>
      </c>
      <c r="E8" s="55" t="n">
        <v>2</v>
      </c>
      <c r="F8" s="63" t="n">
        <v>1</v>
      </c>
      <c r="G8" s="64">
        <f>D8*E8*F8</f>
        <v/>
      </c>
      <c r="H8" s="65" t="inlineStr">
        <is>
          <t>Espacio delimitado para análisis de gluten (&lt;10 ppm)</t>
        </is>
      </c>
      <c r="I8" s="65" t="inlineStr">
        <is>
          <t>Toma de muestras por Calidad previo a liberación</t>
        </is>
      </c>
      <c r="L8" s="43" t="n"/>
      <c r="M8" s="44" t="n"/>
      <c r="N8" s="44" t="n"/>
      <c r="O8" s="44" t="n"/>
      <c r="P8" s="44" t="n"/>
      <c r="Q8" s="45" t="n"/>
      <c r="Z8" s="46" t="n"/>
      <c r="AA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Mesa de preparación de pedidos a producción (Kitting)</t>
        </is>
      </c>
      <c r="D9" s="55" t="n">
        <v>3</v>
      </c>
      <c r="E9" s="55" t="n">
        <v>1.5</v>
      </c>
      <c r="F9" s="56" t="n">
        <v>1</v>
      </c>
      <c r="G9" s="57">
        <f>D9*E9*F9</f>
        <v/>
      </c>
      <c r="H9" s="58" t="inlineStr">
        <is>
          <t>Mesa y espacio para fraccionamiento de pallets</t>
        </is>
      </c>
      <c r="I9" s="58" t="inlineStr">
        <is>
          <t>Preparación y consolidación de insumos para Sección Pesado</t>
        </is>
      </c>
      <c r="L9" s="43" t="n"/>
      <c r="M9" s="44" t="n"/>
      <c r="N9" s="44" t="n"/>
      <c r="O9" s="44" t="n"/>
      <c r="P9" s="44" t="n"/>
      <c r="Q9" s="45" t="n"/>
      <c r="Z9" s="46" t="n"/>
      <c r="AA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Estación de carga de baterías de autoelevador</t>
        </is>
      </c>
      <c r="D10" s="55" t="n">
        <v>1.5</v>
      </c>
      <c r="E10" s="55" t="n">
        <v>1.2</v>
      </c>
      <c r="F10" s="63" t="n">
        <v>1</v>
      </c>
      <c r="G10" s="64">
        <f>D10*E10*F10</f>
        <v/>
      </c>
      <c r="H10" s="65" t="inlineStr">
        <is>
          <t>Sector ventilado con cargador trifásico industrial</t>
        </is>
      </c>
      <c r="I10" s="65" t="inlineStr">
        <is>
          <t>Recarga segura de baterías de litio 80V</t>
        </is>
      </c>
      <c r="L10" s="43" t="n"/>
      <c r="M10" s="44" t="n"/>
      <c r="N10" s="44" t="n"/>
      <c r="O10" s="44" t="n"/>
      <c r="P10" s="44" t="n"/>
      <c r="Q10" s="45" t="n"/>
      <c r="Z10" s="46" t="n"/>
      <c r="AA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Distancia reglamentaria de seguridad a muros</t>
        </is>
      </c>
      <c r="D11" s="55" t="n">
        <v>0.5</v>
      </c>
      <c r="E11" s="55" t="n">
        <v>8</v>
      </c>
      <c r="F11" s="56" t="n">
        <v>1</v>
      </c>
      <c r="G11" s="57">
        <f>D11*E11*F11</f>
        <v/>
      </c>
      <c r="H11" s="58" t="inlineStr">
        <is>
          <t>Separación de 0,5 m a muros según IRAM/SENASA</t>
        </is>
      </c>
      <c r="I11" s="58" t="inlineStr">
        <is>
          <t>Inspección de plagas, higiene perimetral y ventilación</t>
        </is>
      </c>
      <c r="L11" s="43" t="n"/>
      <c r="M11" s="44" t="n"/>
      <c r="N11" s="44" t="n"/>
      <c r="O11" s="44" t="n"/>
      <c r="P11" s="44" t="n"/>
      <c r="Q11" s="59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1" t="n"/>
      <c r="AA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de circulación y maniobra para autoelevador</t>
        </is>
      </c>
      <c r="D12" s="55" t="n">
        <v>3</v>
      </c>
      <c r="E12" s="55" t="n">
        <v>8</v>
      </c>
      <c r="F12" s="63" t="n">
        <v>1</v>
      </c>
      <c r="G12" s="64">
        <f>D12*E12*F12</f>
        <v/>
      </c>
      <c r="H12" s="65" t="inlineStr">
        <is>
          <t>Radio de giro de autoelevador eléctrico (2,8 - 3,0 m)</t>
        </is>
      </c>
      <c r="I12" s="65" t="inlineStr">
        <is>
          <t>Circulación principal de autoelevador y zorras hidráulicas</t>
        </is>
      </c>
      <c r="L12" s="39" t="inlineStr">
        <is>
          <t>A4</t>
        </is>
      </c>
      <c r="M12" s="40" t="n"/>
      <c r="N12" s="40" t="n"/>
      <c r="O12" s="40" t="n"/>
      <c r="P12" s="41" t="n"/>
      <c r="Q12" s="68" t="inlineStr">
        <is>
          <t>A0
Racks Selectivos MP [Est.]</t>
        </is>
      </c>
      <c r="R12" s="69" t="n"/>
      <c r="S12" s="69" t="n"/>
      <c r="T12" s="69" t="n"/>
      <c r="U12" s="69" t="n"/>
      <c r="V12" s="69" t="n"/>
      <c r="W12" s="69" t="n"/>
      <c r="X12" s="69" t="n"/>
      <c r="Y12" s="69" t="n"/>
      <c r="Z12" s="70" t="n"/>
      <c r="AA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Buffer de pallets preparados listos para planta (SE)</t>
        </is>
      </c>
      <c r="D13" s="55" t="n">
        <v>2.4</v>
      </c>
      <c r="E13" s="55" t="n">
        <v>1.2</v>
      </c>
      <c r="F13" s="56" t="n">
        <v>1</v>
      </c>
      <c r="G13" s="57">
        <f>D13*E13*F13</f>
        <v/>
      </c>
      <c r="H13" s="58" t="inlineStr">
        <is>
          <t>2 posiciones de pallets listos para entrega</t>
        </is>
      </c>
      <c r="I13" s="58" t="inlineStr">
        <is>
          <t>Pulmón de entrega hacia Sección Pesado</t>
        </is>
      </c>
      <c r="L13" s="45" t="n"/>
      <c r="P13" s="46" t="n"/>
      <c r="Q13" s="71" t="n"/>
      <c r="Z13" s="72" t="n"/>
      <c r="AA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L14" s="45" t="n"/>
      <c r="P14" s="46" t="n"/>
      <c r="Q14" s="71" t="n"/>
      <c r="Z14" s="72" t="n"/>
      <c r="AA14" s="45" t="n"/>
      <c r="AF14" s="46" t="n"/>
      <c r="AG14" s="47" t="n"/>
    </row>
    <row r="15" ht="18" customHeight="1">
      <c r="L15" s="45" t="n"/>
      <c r="P15" s="46" t="n"/>
      <c r="Q15" s="71" t="n"/>
      <c r="Z15" s="72" t="n"/>
      <c r="AA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L16" s="59" t="n"/>
      <c r="M16" s="60" t="n"/>
      <c r="N16" s="60" t="n"/>
      <c r="O16" s="60" t="n"/>
      <c r="P16" s="61" t="n"/>
      <c r="Q16" s="71" t="n"/>
      <c r="Z16" s="72" t="n"/>
      <c r="AA16" s="45" t="n"/>
      <c r="AF16" s="46" t="n"/>
      <c r="AG16" s="47" t="n"/>
    </row>
    <row r="17" ht="18" customHeight="1">
      <c r="B17" s="74" t="inlineStr">
        <is>
          <t>Estado de Dimensionamiento</t>
        </is>
      </c>
      <c r="C17" s="75" t="n"/>
      <c r="D17" s="76" t="n"/>
      <c r="E17" s="32" t="inlineStr">
        <is>
          <t>PRELIMINAR / ESTIMACIÓN DE ORDEN DE MAGNITUD (SLP)</t>
        </is>
      </c>
      <c r="F17" s="75" t="n"/>
      <c r="G17" s="75" t="n"/>
      <c r="H17" s="75" t="n"/>
      <c r="I17" s="76" t="n"/>
      <c r="L17" s="39" t="inlineStr">
        <is>
          <t>A5</t>
        </is>
      </c>
      <c r="M17" s="40" t="n"/>
      <c r="N17" s="40" t="n"/>
      <c r="O17" s="40" t="n"/>
      <c r="P17" s="41" t="n"/>
      <c r="Q17" s="71" t="n"/>
      <c r="Z17" s="72" t="n"/>
      <c r="AA17" s="45" t="n"/>
      <c r="AF17" s="46" t="n"/>
      <c r="AG17" s="47" t="n"/>
    </row>
    <row r="18" ht="18" customHeight="1">
      <c r="B18" s="74" t="inlineStr">
        <is>
          <t>Criterio de Cálculo Previsto</t>
        </is>
      </c>
      <c r="C18" s="75" t="n"/>
      <c r="D18" s="76" t="n"/>
      <c r="E18" s="32" t="inlineStr">
        <is>
          <t>Días de stock de MP x Consumo Diario BOM / Capacidad Rack 3 niveles</t>
        </is>
      </c>
      <c r="F18" s="75" t="n"/>
      <c r="G18" s="75" t="n"/>
      <c r="H18" s="75" t="n"/>
      <c r="I18" s="76" t="n"/>
      <c r="L18" s="45" t="n"/>
      <c r="P18" s="46" t="n"/>
      <c r="Q18" s="71" t="n"/>
      <c r="Z18" s="72" t="n"/>
      <c r="AA18" s="45" t="n"/>
      <c r="AF18" s="46" t="n"/>
      <c r="AG18" s="47" t="n"/>
    </row>
    <row r="19" ht="18" customHeight="1">
      <c r="B19" s="74" t="inlineStr">
        <is>
          <t>Estimación de Posiciones</t>
        </is>
      </c>
      <c r="C19" s="75" t="n"/>
      <c r="D19" s="76" t="n"/>
      <c r="E19" s="32" t="inlineStr">
        <is>
          <t>20 a 24 pallets Arlog (1200 x 1000 mm) en racks selectivos</t>
        </is>
      </c>
      <c r="F19" s="75" t="n"/>
      <c r="G19" s="75" t="n"/>
      <c r="H19" s="75" t="n"/>
      <c r="I19" s="76" t="n"/>
      <c r="L19" s="45" t="n"/>
      <c r="P19" s="46" t="n"/>
      <c r="Q19" s="71" t="n"/>
      <c r="Z19" s="72" t="n"/>
      <c r="AA19" s="45" t="n"/>
      <c r="AF19" s="46" t="n"/>
      <c r="AG19" s="47" t="n"/>
    </row>
    <row r="20" ht="18" customHeight="1">
      <c r="B20" s="74" t="inlineStr">
        <is>
          <t>Equipos de Manutención</t>
        </is>
      </c>
      <c r="C20" s="75" t="n"/>
      <c r="D20" s="76" t="n"/>
      <c r="E20" s="32" t="inlineStr">
        <is>
          <t>Autoelevador Eléctrico HELI ORME-CMM-16 + Zorra Hidráulica</t>
        </is>
      </c>
      <c r="F20" s="75" t="n"/>
      <c r="G20" s="75" t="n"/>
      <c r="H20" s="75" t="n"/>
      <c r="I20" s="76" t="n"/>
      <c r="L20" s="59" t="n"/>
      <c r="M20" s="60" t="n"/>
      <c r="N20" s="60" t="n"/>
      <c r="O20" s="60" t="n"/>
      <c r="P20" s="61" t="n"/>
      <c r="Q20" s="77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9" t="n"/>
      <c r="AA20" s="45" t="n"/>
      <c r="AF20" s="46" t="n"/>
      <c r="AG20" s="47" t="n"/>
    </row>
    <row r="21" ht="18" customHeight="1">
      <c r="B21" s="74" t="inlineStr">
        <is>
          <t>Requisitos Sanitarios</t>
        </is>
      </c>
      <c r="C21" s="75" t="n"/>
      <c r="D21" s="76" t="n"/>
      <c r="E21" s="32" t="inlineStr">
        <is>
          <t>Certificación Sin TACC (&lt;10 ppm gluten), muestreo y cuarentena</t>
        </is>
      </c>
      <c r="F21" s="75" t="n"/>
      <c r="G21" s="75" t="n"/>
      <c r="H21" s="75" t="n"/>
      <c r="I21" s="76" t="n"/>
      <c r="L21" s="39" t="inlineStr">
        <is>
          <t>A1</t>
        </is>
      </c>
      <c r="M21" s="40" t="n"/>
      <c r="N21" s="40" t="n"/>
      <c r="O21" s="40" t="n"/>
      <c r="P21" s="41" t="n"/>
      <c r="Q21" s="39" t="inlineStr">
        <is>
          <t>A2</t>
        </is>
      </c>
      <c r="R21" s="40" t="n"/>
      <c r="S21" s="40" t="n"/>
      <c r="T21" s="40" t="n"/>
      <c r="U21" s="40" t="n"/>
      <c r="V21" s="40" t="n"/>
      <c r="W21" s="40" t="n"/>
      <c r="X21" s="40" t="n"/>
      <c r="Y21" s="40" t="n"/>
      <c r="Z21" s="41" t="n"/>
      <c r="AA21" s="45" t="n"/>
      <c r="AF21" s="46" t="n"/>
      <c r="AG21" s="47" t="n"/>
    </row>
    <row r="22" ht="18" customHeight="1">
      <c r="B22" s="74" t="inlineStr">
        <is>
          <t>Nota de Procedimiento</t>
        </is>
      </c>
      <c r="C22" s="75" t="n"/>
      <c r="D22" s="76" t="n"/>
      <c r="E22" s="32" t="inlineStr">
        <is>
          <t>Se fijará superficie definitiva una vez definido el lote de compra de féculas</t>
        </is>
      </c>
      <c r="F22" s="75" t="n"/>
      <c r="G22" s="75" t="n"/>
      <c r="H22" s="75" t="n"/>
      <c r="I22" s="76" t="n"/>
      <c r="L22" s="45" t="n"/>
      <c r="P22" s="46" t="n"/>
      <c r="Q22" s="45" t="n"/>
      <c r="Z22" s="46" t="n"/>
      <c r="AA22" s="45" t="n"/>
      <c r="AF22" s="46" t="n"/>
      <c r="AG22" s="47" t="n"/>
    </row>
    <row r="23" ht="18" customHeight="1">
      <c r="L23" s="45" t="n"/>
      <c r="P23" s="46" t="n"/>
      <c r="Q23" s="45" t="n"/>
      <c r="Z23" s="46" t="n"/>
      <c r="AA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L24" s="45" t="n"/>
      <c r="P24" s="46" t="n"/>
      <c r="Q24" s="45" t="n"/>
      <c r="Z24" s="46" t="n"/>
      <c r="AA24" s="45" t="n"/>
      <c r="AF24" s="46" t="n"/>
      <c r="AG24" s="47" t="n"/>
    </row>
    <row r="25" ht="18" customHeight="1">
      <c r="L25" s="45" t="n"/>
      <c r="P25" s="46" t="n"/>
      <c r="Q25" s="45" t="n"/>
      <c r="Z25" s="46" t="n"/>
      <c r="AA25" s="45" t="n"/>
      <c r="AF25" s="46" t="n"/>
      <c r="AG25" s="47" t="n"/>
    </row>
    <row r="26" ht="18" customHeight="1">
      <c r="L26" s="45" t="n"/>
      <c r="P26" s="46" t="n"/>
      <c r="Q26" s="45" t="n"/>
      <c r="Z26" s="46" t="n"/>
      <c r="AA26" s="45" t="n"/>
      <c r="AF26" s="46" t="n"/>
      <c r="AG26" s="47" t="n"/>
    </row>
    <row r="27" ht="18" customHeight="1">
      <c r="L27" s="59" t="n"/>
      <c r="M27" s="60" t="n"/>
      <c r="N27" s="60" t="n"/>
      <c r="O27" s="60" t="n"/>
      <c r="P27" s="61" t="n"/>
      <c r="Q27" s="59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1" t="n"/>
      <c r="AA27" s="59" t="n"/>
      <c r="AB27" s="60" t="n"/>
      <c r="AC27" s="60" t="n"/>
      <c r="AD27" s="60" t="n"/>
      <c r="AE27" s="60" t="n"/>
      <c r="AF27" s="61" t="n"/>
      <c r="AG27" s="47" t="n"/>
    </row>
    <row r="28" ht="18" customHeight="1">
      <c r="L28" s="8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3" t="n"/>
    </row>
    <row r="29" ht="18" customHeight="1"/>
    <row r="30" ht="18" customHeight="1">
      <c r="L30" s="84" t="inlineStr">
        <is>
          <t>REFERENCIAS DE LAYOUT:</t>
        </is>
      </c>
    </row>
    <row r="31" ht="18" customHeight="1">
      <c r="L31" s="85" t="inlineStr">
        <is>
          <t>A0: Máquina Principal | A1: MP en espera | A2: Operación/Alimentación | A3: Salida de Producto</t>
        </is>
      </c>
    </row>
    <row r="32" ht="18" customHeight="1">
      <c r="L32" s="85" t="inlineStr">
        <is>
          <t>A4: Tablero / Mando | A5: Seguridad Lateral | A6: Pasillo Circulación | A7: Buffer Semielaborado (SE)</t>
        </is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L21:P27"/>
    <mergeCell ref="B17:D17"/>
    <mergeCell ref="L31:AG31"/>
    <mergeCell ref="E17:I17"/>
    <mergeCell ref="B19:D19"/>
    <mergeCell ref="E20:I20"/>
    <mergeCell ref="E19:I19"/>
    <mergeCell ref="Q7:Z11"/>
    <mergeCell ref="B20:D20"/>
    <mergeCell ref="L12:P16"/>
    <mergeCell ref="L32:AG32"/>
    <mergeCell ref="L17:P20"/>
    <mergeCell ref="Q12:Z20"/>
    <mergeCell ref="B16:D16"/>
    <mergeCell ref="L2:T2"/>
    <mergeCell ref="E16:I16"/>
    <mergeCell ref="B22:D22"/>
    <mergeCell ref="B24:I24"/>
    <mergeCell ref="Q21:Z27"/>
    <mergeCell ref="Q4:Z6"/>
    <mergeCell ref="AA4:AF27"/>
    <mergeCell ref="B18:D18"/>
    <mergeCell ref="L30:AG30"/>
    <mergeCell ref="B21:D21"/>
    <mergeCell ref="E22:I22"/>
    <mergeCell ref="E18:I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A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.5" customWidth="1" min="2" max="2"/>
    <col width="33" customWidth="1" min="3" max="3"/>
    <col width="10.5" customWidth="1" min="4" max="4"/>
    <col width="10.5" customWidth="1" min="5" max="5"/>
    <col width="7" customWidth="1" min="6" max="6"/>
    <col width="13.5" customWidth="1" min="7" max="7"/>
    <col width="32" customWidth="1" min="8" max="8"/>
    <col width="34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 ht="12" customHeight="1"/>
    <row r="2" ht="28" customHeight="1">
      <c r="B2" s="1" t="inlineStr">
        <is>
          <t>DEPÓSITO DE PRODUCTO TERMINADO (ESTIMACIÓN PRELIMINAR)</t>
        </is>
      </c>
      <c r="L2" s="36" t="inlineStr">
        <is>
          <t>Escala: 1 celda ≈ 0.40 m x 0.40 m (Superficie Estimada: ~50 m²)</t>
        </is>
      </c>
    </row>
    <row r="3" ht="18" customHeight="1">
      <c r="B3" s="2" t="inlineStr">
        <is>
          <t>Sector Logística | Racks Selectivos PT, Enfilmado y Expedición (Pendiente Dimensionamiento Fino)</t>
        </is>
      </c>
    </row>
    <row r="4" ht="18" customHeight="1">
      <c r="L4" s="37" t="n"/>
      <c r="M4" s="38" t="n"/>
      <c r="N4" s="38" t="n"/>
      <c r="O4" s="38" t="n"/>
      <c r="P4" s="38" t="n"/>
      <c r="Q4" s="39" t="inlineStr">
        <is>
          <t>A7</t>
        </is>
      </c>
      <c r="R4" s="40" t="n"/>
      <c r="S4" s="40" t="n"/>
      <c r="T4" s="40" t="n"/>
      <c r="U4" s="40" t="n"/>
      <c r="V4" s="40" t="n"/>
      <c r="W4" s="40" t="n"/>
      <c r="X4" s="40" t="n"/>
      <c r="Y4" s="40" t="n"/>
      <c r="Z4" s="41" t="n"/>
      <c r="AA4" s="39" t="inlineStr">
        <is>
          <t>A6</t>
        </is>
      </c>
      <c r="AB4" s="40" t="n"/>
      <c r="AC4" s="40" t="n"/>
      <c r="AD4" s="40" t="n"/>
      <c r="AE4" s="40" t="n"/>
      <c r="AF4" s="41" t="n"/>
      <c r="AG4" s="42" t="n"/>
    </row>
    <row r="5" ht="24" customHeight="1">
      <c r="B5" s="7" t="inlineStr">
        <is>
          <t>Subarea</t>
        </is>
      </c>
      <c r="C5" s="7" t="inlineStr">
        <is>
          <t>Descripción / Denominación</t>
        </is>
      </c>
      <c r="D5" s="7" t="inlineStr">
        <is>
          <t>Largo (m)</t>
        </is>
      </c>
      <c r="E5" s="7" t="inlineStr">
        <is>
          <t>Ancho (m)</t>
        </is>
      </c>
      <c r="F5" s="7" t="inlineStr">
        <is>
          <t>Cant.</t>
        </is>
      </c>
      <c r="G5" s="7" t="inlineStr">
        <is>
          <t>Superficie (m²)</t>
        </is>
      </c>
      <c r="H5" s="7" t="inlineStr">
        <is>
          <t>Justificación</t>
        </is>
      </c>
      <c r="I5" s="7" t="inlineStr">
        <is>
          <t>Función</t>
        </is>
      </c>
      <c r="L5" s="43" t="n"/>
      <c r="M5" s="44" t="n"/>
      <c r="N5" s="44" t="n"/>
      <c r="O5" s="44" t="n"/>
      <c r="P5" s="44" t="n"/>
      <c r="Q5" s="45" t="n"/>
      <c r="Z5" s="46" t="n"/>
      <c r="AA5" s="45" t="n"/>
      <c r="AF5" s="46" t="n"/>
      <c r="AG5" s="47" t="n"/>
    </row>
    <row r="6" ht="18" customHeight="1">
      <c r="B6" s="48" t="inlineStr">
        <is>
          <t>A0</t>
        </is>
      </c>
      <c r="C6" s="49" t="inlineStr">
        <is>
          <t>Estructura de Racks Selectivos para PT [Est.]</t>
        </is>
      </c>
      <c r="D6" s="50" t="n">
        <v>6</v>
      </c>
      <c r="E6" s="50" t="n">
        <v>2.4</v>
      </c>
      <c r="F6" s="51" t="n">
        <v>1</v>
      </c>
      <c r="G6" s="52">
        <f>D6*E6*F6</f>
        <v/>
      </c>
      <c r="H6" s="53" t="inlineStr">
        <is>
          <t>Módulo preliminar para 24 pallets en 3 niveles</t>
        </is>
      </c>
      <c r="I6" s="53" t="inlineStr">
        <is>
          <t>Almacenamiento ordenado por SKU y lote de fabricación</t>
        </is>
      </c>
      <c r="L6" s="43" t="n"/>
      <c r="M6" s="44" t="n"/>
      <c r="N6" s="44" t="n"/>
      <c r="O6" s="44" t="n"/>
      <c r="P6" s="44" t="n"/>
      <c r="Q6" s="59" t="n"/>
      <c r="R6" s="60" t="n"/>
      <c r="S6" s="60" t="n"/>
      <c r="T6" s="60" t="n"/>
      <c r="U6" s="60" t="n"/>
      <c r="V6" s="60" t="n"/>
      <c r="W6" s="60" t="n"/>
      <c r="X6" s="60" t="n"/>
      <c r="Y6" s="60" t="n"/>
      <c r="Z6" s="61" t="n"/>
      <c r="AA6" s="45" t="n"/>
      <c r="AF6" s="46" t="n"/>
      <c r="AG6" s="47" t="n"/>
    </row>
    <row r="7" ht="18" customHeight="1">
      <c r="B7" s="54" t="inlineStr">
        <is>
          <t>A1</t>
        </is>
      </c>
      <c r="C7" s="35" t="inlineStr">
        <is>
          <t>Buffer de pallets recibidos desde envasado secundario</t>
        </is>
      </c>
      <c r="D7" s="55" t="n">
        <v>2.4</v>
      </c>
      <c r="E7" s="55" t="n">
        <v>1.2</v>
      </c>
      <c r="F7" s="56" t="n">
        <v>1</v>
      </c>
      <c r="G7" s="57">
        <f>D7*E7*F7</f>
        <v/>
      </c>
      <c r="H7" s="58" t="inlineStr">
        <is>
          <t>2 posiciones de pallets entrantes en espera</t>
        </is>
      </c>
      <c r="I7" s="58" t="inlineStr">
        <is>
          <t>Recepción de pallets desde galletitas y panificados</t>
        </is>
      </c>
      <c r="L7" s="43" t="n"/>
      <c r="M7" s="44" t="n"/>
      <c r="N7" s="44" t="n"/>
      <c r="O7" s="44" t="n"/>
      <c r="P7" s="44" t="n"/>
      <c r="Q7" s="39" t="inlineStr">
        <is>
          <t>A3</t>
        </is>
      </c>
      <c r="R7" s="40" t="n"/>
      <c r="S7" s="40" t="n"/>
      <c r="T7" s="40" t="n"/>
      <c r="U7" s="40" t="n"/>
      <c r="V7" s="40" t="n"/>
      <c r="W7" s="40" t="n"/>
      <c r="X7" s="40" t="n"/>
      <c r="Y7" s="40" t="n"/>
      <c r="Z7" s="41" t="n"/>
      <c r="AA7" s="45" t="n"/>
      <c r="AF7" s="46" t="n"/>
      <c r="AG7" s="47" t="n"/>
    </row>
    <row r="8" ht="18" customHeight="1">
      <c r="B8" s="62" t="inlineStr">
        <is>
          <t>A2</t>
        </is>
      </c>
      <c r="C8" s="32" t="inlineStr">
        <is>
          <t>Estación de enfilmadora / envolvedora de pallets</t>
        </is>
      </c>
      <c r="D8" s="55" t="n">
        <v>2</v>
      </c>
      <c r="E8" s="55" t="n">
        <v>2</v>
      </c>
      <c r="F8" s="63" t="n">
        <v>1</v>
      </c>
      <c r="G8" s="64">
        <f>D8*E8*F8</f>
        <v/>
      </c>
      <c r="H8" s="65" t="inlineStr">
        <is>
          <t>Plato giratorio con dispensador de stretch film</t>
        </is>
      </c>
      <c r="I8" s="65" t="inlineStr">
        <is>
          <t>Enfilmado y aseguramiento de la carga para transporte seguro</t>
        </is>
      </c>
      <c r="L8" s="43" t="n"/>
      <c r="M8" s="44" t="n"/>
      <c r="N8" s="44" t="n"/>
      <c r="O8" s="44" t="n"/>
      <c r="P8" s="44" t="n"/>
      <c r="Q8" s="45" t="n"/>
      <c r="Z8" s="46" t="n"/>
      <c r="AA8" s="45" t="n"/>
      <c r="AF8" s="46" t="n"/>
      <c r="AG8" s="47" t="n"/>
    </row>
    <row r="9" ht="18" customHeight="1">
      <c r="B9" s="54" t="inlineStr">
        <is>
          <t>A3</t>
        </is>
      </c>
      <c r="C9" s="35" t="inlineStr">
        <is>
          <t>Zona de consolidación de pedidos y picking</t>
        </is>
      </c>
      <c r="D9" s="55" t="n">
        <v>3</v>
      </c>
      <c r="E9" s="55" t="n">
        <v>2</v>
      </c>
      <c r="F9" s="56" t="n">
        <v>1</v>
      </c>
      <c r="G9" s="57">
        <f>D9*E9*F9</f>
        <v/>
      </c>
      <c r="H9" s="58" t="inlineStr">
        <is>
          <t>Área abierta de armado de pedidos según remitos</t>
        </is>
      </c>
      <c r="I9" s="58" t="inlineStr">
        <is>
          <t>Consolidación de despachos para distribuidoras y súper</t>
        </is>
      </c>
      <c r="L9" s="43" t="n"/>
      <c r="M9" s="44" t="n"/>
      <c r="N9" s="44" t="n"/>
      <c r="O9" s="44" t="n"/>
      <c r="P9" s="44" t="n"/>
      <c r="Q9" s="45" t="n"/>
      <c r="Z9" s="46" t="n"/>
      <c r="AA9" s="45" t="n"/>
      <c r="AF9" s="46" t="n"/>
      <c r="AG9" s="47" t="n"/>
    </row>
    <row r="10" ht="18" customHeight="1">
      <c r="B10" s="62" t="inlineStr">
        <is>
          <t>A4</t>
        </is>
      </c>
      <c r="C10" s="32" t="inlineStr">
        <is>
          <t>Puesto de control de expedición y remitos</t>
        </is>
      </c>
      <c r="D10" s="55" t="n">
        <v>1.5</v>
      </c>
      <c r="E10" s="55" t="n">
        <v>1.2</v>
      </c>
      <c r="F10" s="63" t="n">
        <v>1</v>
      </c>
      <c r="G10" s="64">
        <f>D10*E10*F10</f>
        <v/>
      </c>
      <c r="H10" s="65" t="inlineStr">
        <is>
          <t>Escritorio con terminal informática y lector láser</t>
        </is>
      </c>
      <c r="I10" s="65" t="inlineStr">
        <is>
          <t>Gestión de remitos, trazabilidad y control de salida</t>
        </is>
      </c>
      <c r="L10" s="43" t="n"/>
      <c r="M10" s="44" t="n"/>
      <c r="N10" s="44" t="n"/>
      <c r="O10" s="44" t="n"/>
      <c r="P10" s="44" t="n"/>
      <c r="Q10" s="45" t="n"/>
      <c r="Z10" s="46" t="n"/>
      <c r="AA10" s="45" t="n"/>
      <c r="AF10" s="46" t="n"/>
      <c r="AG10" s="47" t="n"/>
    </row>
    <row r="11" ht="18" customHeight="1">
      <c r="B11" s="54" t="inlineStr">
        <is>
          <t>A5</t>
        </is>
      </c>
      <c r="C11" s="35" t="inlineStr">
        <is>
          <t>Distancia reglamentaria de seguridad perimetral</t>
        </is>
      </c>
      <c r="D11" s="55" t="n">
        <v>0.5</v>
      </c>
      <c r="E11" s="55" t="n">
        <v>8</v>
      </c>
      <c r="F11" s="56" t="n">
        <v>1</v>
      </c>
      <c r="G11" s="57">
        <f>D11*E11*F11</f>
        <v/>
      </c>
      <c r="H11" s="58" t="inlineStr">
        <is>
          <t>Separación de muros según normativa IRAM</t>
        </is>
      </c>
      <c r="I11" s="58" t="inlineStr">
        <is>
          <t>Inspección de plagas, higiene y seguridad edilicia</t>
        </is>
      </c>
      <c r="L11" s="43" t="n"/>
      <c r="M11" s="44" t="n"/>
      <c r="N11" s="44" t="n"/>
      <c r="O11" s="44" t="n"/>
      <c r="P11" s="44" t="n"/>
      <c r="Q11" s="59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1" t="n"/>
      <c r="AA11" s="45" t="n"/>
      <c r="AF11" s="46" t="n"/>
      <c r="AG11" s="47" t="n"/>
    </row>
    <row r="12" ht="18" customHeight="1">
      <c r="B12" s="62" t="inlineStr">
        <is>
          <t>A6</t>
        </is>
      </c>
      <c r="C12" s="32" t="inlineStr">
        <is>
          <t>Pasillo principal de maniobra de autoelevador</t>
        </is>
      </c>
      <c r="D12" s="55" t="n">
        <v>3</v>
      </c>
      <c r="E12" s="55" t="n">
        <v>8</v>
      </c>
      <c r="F12" s="63" t="n">
        <v>1</v>
      </c>
      <c r="G12" s="64">
        <f>D12*E12*F12</f>
        <v/>
      </c>
      <c r="H12" s="65" t="inlineStr">
        <is>
          <t>Pasillo ancho para maniobra de autoelevador eléctrico</t>
        </is>
      </c>
      <c r="I12" s="65" t="inlineStr">
        <is>
          <t>Carga/descarga en racks y traslado a dársena de salida</t>
        </is>
      </c>
      <c r="L12" s="39" t="inlineStr">
        <is>
          <t>A4</t>
        </is>
      </c>
      <c r="M12" s="40" t="n"/>
      <c r="N12" s="40" t="n"/>
      <c r="O12" s="40" t="n"/>
      <c r="P12" s="41" t="n"/>
      <c r="Q12" s="68" t="inlineStr">
        <is>
          <t>A0
Racks Selectivos PT [Est.]</t>
        </is>
      </c>
      <c r="R12" s="69" t="n"/>
      <c r="S12" s="69" t="n"/>
      <c r="T12" s="69" t="n"/>
      <c r="U12" s="69" t="n"/>
      <c r="V12" s="69" t="n"/>
      <c r="W12" s="69" t="n"/>
      <c r="X12" s="69" t="n"/>
      <c r="Y12" s="69" t="n"/>
      <c r="Z12" s="70" t="n"/>
      <c r="AA12" s="45" t="n"/>
      <c r="AF12" s="46" t="n"/>
      <c r="AG12" s="47" t="n"/>
    </row>
    <row r="13" ht="18" customHeight="1">
      <c r="B13" s="54" t="inlineStr">
        <is>
          <t>A7</t>
        </is>
      </c>
      <c r="C13" s="35" t="inlineStr">
        <is>
          <t>Dársena / Pulmón de expedición hacia camión</t>
        </is>
      </c>
      <c r="D13" s="55" t="n">
        <v>3</v>
      </c>
      <c r="E13" s="55" t="n">
        <v>2.5</v>
      </c>
      <c r="F13" s="56" t="n">
        <v>1</v>
      </c>
      <c r="G13" s="57">
        <f>D13*E13*F13</f>
        <v/>
      </c>
      <c r="H13" s="58" t="inlineStr">
        <is>
          <t>Área de precarga frente a portón de despacho</t>
        </is>
      </c>
      <c r="I13" s="58" t="inlineStr">
        <is>
          <t>Carga a camiones de distribución logística</t>
        </is>
      </c>
      <c r="L13" s="45" t="n"/>
      <c r="P13" s="46" t="n"/>
      <c r="Q13" s="71" t="n"/>
      <c r="Z13" s="72" t="n"/>
      <c r="AA13" s="45" t="n"/>
      <c r="AF13" s="46" t="n"/>
      <c r="AG13" s="47" t="n"/>
    </row>
    <row r="14" ht="22" customHeight="1">
      <c r="B14" s="66" t="inlineStr">
        <is>
          <t>TOTAL</t>
        </is>
      </c>
      <c r="C14" s="67" t="inlineStr">
        <is>
          <t>Superficie Total Asignada al Puesto</t>
        </is>
      </c>
      <c r="D14" s="23" t="n"/>
      <c r="E14" s="23" t="n"/>
      <c r="F14" s="23" t="n"/>
      <c r="G14" s="26">
        <f>SUM(G6:G13)</f>
        <v/>
      </c>
      <c r="H14" s="23" t="n"/>
      <c r="I14" s="23" t="n"/>
      <c r="L14" s="45" t="n"/>
      <c r="P14" s="46" t="n"/>
      <c r="Q14" s="71" t="n"/>
      <c r="Z14" s="72" t="n"/>
      <c r="AA14" s="45" t="n"/>
      <c r="AF14" s="46" t="n"/>
      <c r="AG14" s="47" t="n"/>
    </row>
    <row r="15" ht="18" customHeight="1">
      <c r="L15" s="45" t="n"/>
      <c r="P15" s="46" t="n"/>
      <c r="Q15" s="71" t="n"/>
      <c r="Z15" s="72" t="n"/>
      <c r="AA15" s="45" t="n"/>
      <c r="AF15" s="46" t="n"/>
      <c r="AG15" s="47" t="n"/>
    </row>
    <row r="16" ht="18" customHeight="1">
      <c r="B16" s="73" t="inlineStr">
        <is>
          <t>PARÁMETROS TÉCNICOS DEL EQUIPO / PUESTO</t>
        </is>
      </c>
      <c r="E16" s="73" t="inlineStr">
        <is>
          <t>ESPECIFICACIÓN / VALOR</t>
        </is>
      </c>
      <c r="L16" s="59" t="n"/>
      <c r="M16" s="60" t="n"/>
      <c r="N16" s="60" t="n"/>
      <c r="O16" s="60" t="n"/>
      <c r="P16" s="61" t="n"/>
      <c r="Q16" s="71" t="n"/>
      <c r="Z16" s="72" t="n"/>
      <c r="AA16" s="45" t="n"/>
      <c r="AF16" s="46" t="n"/>
      <c r="AG16" s="47" t="n"/>
    </row>
    <row r="17" ht="18" customHeight="1">
      <c r="B17" s="74" t="inlineStr">
        <is>
          <t>Estado de Dimensionamiento</t>
        </is>
      </c>
      <c r="C17" s="75" t="n"/>
      <c r="D17" s="76" t="n"/>
      <c r="E17" s="32" t="inlineStr">
        <is>
          <t>PRELIMINAR / ESTIMACIÓN DE ORDEN DE MAGNITUD (SLP)</t>
        </is>
      </c>
      <c r="F17" s="75" t="n"/>
      <c r="G17" s="75" t="n"/>
      <c r="H17" s="75" t="n"/>
      <c r="I17" s="76" t="n"/>
      <c r="L17" s="39" t="inlineStr">
        <is>
          <t>A5</t>
        </is>
      </c>
      <c r="M17" s="40" t="n"/>
      <c r="N17" s="40" t="n"/>
      <c r="O17" s="40" t="n"/>
      <c r="P17" s="41" t="n"/>
      <c r="Q17" s="71" t="n"/>
      <c r="Z17" s="72" t="n"/>
      <c r="AA17" s="45" t="n"/>
      <c r="AF17" s="46" t="n"/>
      <c r="AG17" s="47" t="n"/>
    </row>
    <row r="18" ht="18" customHeight="1">
      <c r="B18" s="74" t="inlineStr">
        <is>
          <t>Criterio de Cálculo Previsto</t>
        </is>
      </c>
      <c r="C18" s="75" t="n"/>
      <c r="D18" s="76" t="n"/>
      <c r="E18" s="32" t="inlineStr">
        <is>
          <t>Días de stock PT (Plan de Ventas) / Estiba en Racks</t>
        </is>
      </c>
      <c r="F18" s="75" t="n"/>
      <c r="G18" s="75" t="n"/>
      <c r="H18" s="75" t="n"/>
      <c r="I18" s="76" t="n"/>
      <c r="L18" s="45" t="n"/>
      <c r="P18" s="46" t="n"/>
      <c r="Q18" s="71" t="n"/>
      <c r="Z18" s="72" t="n"/>
      <c r="AA18" s="45" t="n"/>
      <c r="AF18" s="46" t="n"/>
      <c r="AG18" s="47" t="n"/>
    </row>
    <row r="19" ht="18" customHeight="1">
      <c r="B19" s="74" t="inlineStr">
        <is>
          <t>Estimación de Posiciones</t>
        </is>
      </c>
      <c r="C19" s="75" t="n"/>
      <c r="D19" s="76" t="n"/>
      <c r="E19" s="32" t="inlineStr">
        <is>
          <t>20 a 24 pallets Arlog (Galletitas, Panes y Budines)</t>
        </is>
      </c>
      <c r="F19" s="75" t="n"/>
      <c r="G19" s="75" t="n"/>
      <c r="H19" s="75" t="n"/>
      <c r="I19" s="76" t="n"/>
      <c r="L19" s="45" t="n"/>
      <c r="P19" s="46" t="n"/>
      <c r="Q19" s="71" t="n"/>
      <c r="Z19" s="72" t="n"/>
      <c r="AA19" s="45" t="n"/>
      <c r="AF19" s="46" t="n"/>
      <c r="AG19" s="47" t="n"/>
    </row>
    <row r="20" ht="18" customHeight="1">
      <c r="B20" s="74" t="inlineStr">
        <is>
          <t>Equipamiento de Despacho</t>
        </is>
      </c>
      <c r="C20" s="75" t="n"/>
      <c r="D20" s="76" t="n"/>
      <c r="E20" s="32" t="inlineStr">
        <is>
          <t>Envolvedora semiautomática de stretch film + Autoelevador HELI</t>
        </is>
      </c>
      <c r="F20" s="75" t="n"/>
      <c r="G20" s="75" t="n"/>
      <c r="H20" s="75" t="n"/>
      <c r="I20" s="76" t="n"/>
      <c r="L20" s="59" t="n"/>
      <c r="M20" s="60" t="n"/>
      <c r="N20" s="60" t="n"/>
      <c r="O20" s="60" t="n"/>
      <c r="P20" s="61" t="n"/>
      <c r="Q20" s="77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9" t="n"/>
      <c r="AA20" s="45" t="n"/>
      <c r="AF20" s="46" t="n"/>
      <c r="AG20" s="47" t="n"/>
    </row>
    <row r="21" ht="18" customHeight="1">
      <c r="B21" s="74" t="inlineStr">
        <is>
          <t>Criterio Logístico</t>
        </is>
      </c>
      <c r="C21" s="75" t="n"/>
      <c r="D21" s="76" t="n"/>
      <c r="E21" s="32" t="inlineStr">
        <is>
          <t>FIFO estricto con trazabilidad por lote y código de barras</t>
        </is>
      </c>
      <c r="F21" s="75" t="n"/>
      <c r="G21" s="75" t="n"/>
      <c r="H21" s="75" t="n"/>
      <c r="I21" s="76" t="n"/>
      <c r="L21" s="39" t="inlineStr">
        <is>
          <t>A1</t>
        </is>
      </c>
      <c r="M21" s="40" t="n"/>
      <c r="N21" s="40" t="n"/>
      <c r="O21" s="40" t="n"/>
      <c r="P21" s="41" t="n"/>
      <c r="Q21" s="39" t="inlineStr">
        <is>
          <t>A2</t>
        </is>
      </c>
      <c r="R21" s="40" t="n"/>
      <c r="S21" s="40" t="n"/>
      <c r="T21" s="40" t="n"/>
      <c r="U21" s="40" t="n"/>
      <c r="V21" s="40" t="n"/>
      <c r="W21" s="40" t="n"/>
      <c r="X21" s="40" t="n"/>
      <c r="Y21" s="40" t="n"/>
      <c r="Z21" s="41" t="n"/>
      <c r="AA21" s="45" t="n"/>
      <c r="AF21" s="46" t="n"/>
      <c r="AG21" s="47" t="n"/>
    </row>
    <row r="22" ht="18" customHeight="1">
      <c r="B22" s="74" t="inlineStr">
        <is>
          <t>Nota de Procedimiento</t>
        </is>
      </c>
      <c r="C22" s="75" t="n"/>
      <c r="D22" s="76" t="n"/>
      <c r="E22" s="32" t="inlineStr">
        <is>
          <t>Se fijará superficie definitiva una vez cerrada la política de stock de PT</t>
        </is>
      </c>
      <c r="F22" s="75" t="n"/>
      <c r="G22" s="75" t="n"/>
      <c r="H22" s="75" t="n"/>
      <c r="I22" s="76" t="n"/>
      <c r="L22" s="45" t="n"/>
      <c r="P22" s="46" t="n"/>
      <c r="Q22" s="45" t="n"/>
      <c r="Z22" s="46" t="n"/>
      <c r="AA22" s="45" t="n"/>
      <c r="AF22" s="46" t="n"/>
      <c r="AG22" s="47" t="n"/>
    </row>
    <row r="23" ht="18" customHeight="1">
      <c r="L23" s="45" t="n"/>
      <c r="P23" s="46" t="n"/>
      <c r="Q23" s="45" t="n"/>
      <c r="Z23" s="46" t="n"/>
      <c r="AA23" s="45" t="n"/>
      <c r="AF23" s="46" t="n"/>
      <c r="AG23" s="47" t="n"/>
    </row>
    <row r="24" ht="18" customHeight="1">
      <c r="B24" s="80" t="inlineStr">
        <is>
          <t>Proyecto Final UTN FRBA | Grupo 8 - Planta CELI (Alimentos Sin Gluten) | Relevamiento de Superficies y Layout</t>
        </is>
      </c>
      <c r="L24" s="45" t="n"/>
      <c r="P24" s="46" t="n"/>
      <c r="Q24" s="45" t="n"/>
      <c r="Z24" s="46" t="n"/>
      <c r="AA24" s="45" t="n"/>
      <c r="AF24" s="46" t="n"/>
      <c r="AG24" s="47" t="n"/>
    </row>
    <row r="25" ht="18" customHeight="1">
      <c r="L25" s="45" t="n"/>
      <c r="P25" s="46" t="n"/>
      <c r="Q25" s="45" t="n"/>
      <c r="Z25" s="46" t="n"/>
      <c r="AA25" s="45" t="n"/>
      <c r="AF25" s="46" t="n"/>
      <c r="AG25" s="47" t="n"/>
    </row>
    <row r="26" ht="18" customHeight="1">
      <c r="L26" s="45" t="n"/>
      <c r="P26" s="46" t="n"/>
      <c r="Q26" s="45" t="n"/>
      <c r="Z26" s="46" t="n"/>
      <c r="AA26" s="45" t="n"/>
      <c r="AF26" s="46" t="n"/>
      <c r="AG26" s="47" t="n"/>
    </row>
    <row r="27" ht="18" customHeight="1">
      <c r="L27" s="59" t="n"/>
      <c r="M27" s="60" t="n"/>
      <c r="N27" s="60" t="n"/>
      <c r="O27" s="60" t="n"/>
      <c r="P27" s="61" t="n"/>
      <c r="Q27" s="59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1" t="n"/>
      <c r="AA27" s="59" t="n"/>
      <c r="AB27" s="60" t="n"/>
      <c r="AC27" s="60" t="n"/>
      <c r="AD27" s="60" t="n"/>
      <c r="AE27" s="60" t="n"/>
      <c r="AF27" s="61" t="n"/>
      <c r="AG27" s="47" t="n"/>
    </row>
    <row r="28" ht="18" customHeight="1">
      <c r="L28" s="8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3" t="n"/>
    </row>
    <row r="29" ht="18" customHeight="1"/>
    <row r="30" ht="18" customHeight="1">
      <c r="L30" s="84" t="inlineStr">
        <is>
          <t>REFERENCIAS DE LAYOUT:</t>
        </is>
      </c>
    </row>
    <row r="31" ht="18" customHeight="1">
      <c r="L31" s="85" t="inlineStr">
        <is>
          <t>A0: Máquina Principal | A1: MP en espera | A2: Operación/Alimentación | A3: Salida de Producto</t>
        </is>
      </c>
    </row>
    <row r="32" ht="18" customHeight="1">
      <c r="L32" s="85" t="inlineStr">
        <is>
          <t>A4: Tablero / Mando | A5: Seguridad Lateral | A6: Pasillo Circulación | A7: Buffer Semielaborado (SE)</t>
        </is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7">
    <mergeCell ref="E21:I21"/>
    <mergeCell ref="L21:P27"/>
    <mergeCell ref="B17:D17"/>
    <mergeCell ref="L31:AG31"/>
    <mergeCell ref="E17:I17"/>
    <mergeCell ref="B19:D19"/>
    <mergeCell ref="E20:I20"/>
    <mergeCell ref="E19:I19"/>
    <mergeCell ref="Q7:Z11"/>
    <mergeCell ref="B20:D20"/>
    <mergeCell ref="L12:P16"/>
    <mergeCell ref="L32:AG32"/>
    <mergeCell ref="L17:P20"/>
    <mergeCell ref="Q12:Z20"/>
    <mergeCell ref="B16:D16"/>
    <mergeCell ref="L2:T2"/>
    <mergeCell ref="E16:I16"/>
    <mergeCell ref="B22:D22"/>
    <mergeCell ref="B24:I24"/>
    <mergeCell ref="Q21:Z27"/>
    <mergeCell ref="Q4:Z6"/>
    <mergeCell ref="AA4:AF27"/>
    <mergeCell ref="B18:D18"/>
    <mergeCell ref="L30:AG30"/>
    <mergeCell ref="B21:D21"/>
    <mergeCell ref="E22:I22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2026-08-26T02:12:54Z</dcterms:created>
  <dcterms:modified xmlns:dcterms="http://purl.org/dc/terms/" xmlns:xsi="http://www.w3.org/2001/XMLSchema-instance" xsi:type="dcterms:W3CDTF">2026-08-26T02:46:20Z</dcterms:modified>
</cp:coreProperties>
</file>